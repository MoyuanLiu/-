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管理亚马逊库存!$A$1:$R$630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<sst xmlns="http://schemas.openxmlformats.org/spreadsheetml/2006/main" count="10766">
  <si>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</si>
  <si>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</si>
  <si>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</si>
  <si>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</si>
  <si>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</si>
  <si>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</si>
  <si>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</si>
  <si>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</si>
  <si>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DK-HM1789-GZ-XL</t>
  </si>
  <si>
    <t>X001E2A2TX</t>
  </si>
  <si>
    <t>B06XDMX9N9</t>
  </si>
  <si>
    <t>MiYang Women's Beach Pant Bikini Bottom Adjustable Tie Boy Short L (Waist 30.5"-33.5")</t>
  </si>
  <si>
    <t>DK-HM1789-Dot-2XL</t>
  </si>
  <si>
    <t>X001R7CBF3</t>
  </si>
  <si>
    <t>B07CG7WD4G</t>
  </si>
  <si>
    <t>MiYang Women's Polka Dot Pant Bikini Bottom Adjustable Tie Boy Short XXL (Waist 35.5"-38.5")</t>
  </si>
  <si>
    <t>DK-HM1789-B2-L</t>
  </si>
  <si>
    <t>X001B14T87</t>
  </si>
  <si>
    <t>B01N975EFB</t>
  </si>
  <si>
    <t>MiYang Women's Solid Blue Beach Pant Bikini Bottom Adjustable Tie Boy Short L (Waist 30.5"-33.5")</t>
  </si>
  <si>
    <t>DK-HM1789-K0-2XL</t>
  </si>
  <si>
    <t>X001B13GYF</t>
  </si>
  <si>
    <t>B01N976ZVO</t>
  </si>
  <si>
    <t>MiYang Women's Solid Black Beach Pant Bikini Bottom Adjustable Tie Boy Short XXL (Waist 35.5"-38.5")</t>
  </si>
  <si>
    <t>DK-HM1789-PI-M</t>
  </si>
  <si>
    <t>X001B0QEH7</t>
  </si>
  <si>
    <t>B01NB9JLMX</t>
  </si>
  <si>
    <t>MiYang Women's Pink Beach Pant Bikini Bottom Adjustable Tie Boy Short M (Waist 28.5"-30.5")</t>
  </si>
  <si>
    <t>DK-HM1789-B2-S</t>
  </si>
  <si>
    <t>X001B3N4R7</t>
  </si>
  <si>
    <t>B01NBA0N1E</t>
  </si>
  <si>
    <t>MiYang Women's Solid Blue Beach Pant Bikini Bottom Adjustable Tie Boy Short S (Waist 26"-28.5")</t>
  </si>
  <si>
    <t>DK-HM1789-K0-M</t>
  </si>
  <si>
    <t>X0017AT7ST</t>
  </si>
  <si>
    <t>B01LAVAPF2</t>
  </si>
  <si>
    <t>MiYang Women's Solid Black Beach Pant Bikini Bottom Adjustable Tie Boy Short M (Waist 28.5"-30.5")</t>
  </si>
  <si>
    <t>DK-HM1789-R2-L</t>
  </si>
  <si>
    <t>X001B2Q95H</t>
  </si>
  <si>
    <t>B01N54YUBD</t>
  </si>
  <si>
    <t>MiYang Women's Red Beach Pant Bikini Bottom Adjustable Tie Boy Short, Watermelon Red, Tag Size L=US M(Waist 28.5"-31")</t>
  </si>
  <si>
    <t>DK-HM1789-K0-XL</t>
  </si>
  <si>
    <t>X0017CCASL</t>
  </si>
  <si>
    <t>B01LAVATJY</t>
  </si>
  <si>
    <t>MiYang Women's Solid Black Beach Pant Bikini Bottom Adjustable Tie Boy Short XL (Waist 33.5"-35.5")</t>
  </si>
  <si>
    <t>DK-HM1789-Dot-L</t>
  </si>
  <si>
    <t>X001R737JR</t>
  </si>
  <si>
    <t>B07CHZWGMH</t>
  </si>
  <si>
    <t>MiYang Women's Polka Dot Pant Bikini Bottom Adjustable Tie Boy Short L (Waist 30.5"-33.5")</t>
  </si>
  <si>
    <t>DK-HM1789-B2-M</t>
  </si>
  <si>
    <t>X001B0WJ2B</t>
  </si>
  <si>
    <t>B01N77TW9W</t>
  </si>
  <si>
    <t>MiYang Women's Solid Blue Beach Pant Bikini Bottom Adjustable Tie Boy Short M (Waist 28.5"-30.5")</t>
  </si>
  <si>
    <t>DK-HM1789-K0-S</t>
  </si>
  <si>
    <t>X0017CEXU9</t>
  </si>
  <si>
    <t>B01LAVAN5Y</t>
  </si>
  <si>
    <t>MiYang Women's Solid Black Beach Pant Bikini Bottom Adjustable Tie Boy Short S (Waist 26"-28.5")</t>
  </si>
  <si>
    <t>DK-HM1789-ZL-2XL</t>
  </si>
  <si>
    <t>X001ARA1V1</t>
  </si>
  <si>
    <t>B01MXNU1U1</t>
  </si>
  <si>
    <t>MiYang Women's Navy Blue Beach Pant Bikini Bottom Adjustable Tie Boy Short XXL (Waist 35.5"-38.5")</t>
  </si>
  <si>
    <t>DK-HM1789-ZL-XL</t>
  </si>
  <si>
    <t>X001AOUTAR</t>
  </si>
  <si>
    <t>B01NBA4LEW</t>
  </si>
  <si>
    <t>MiYang Women's Navy Blue Beach Pant Bikini Bottom Adjustable Tie Boy Short XL (Waist 33.5"-35.5")</t>
  </si>
  <si>
    <t>DK-HM1789-R2-XL</t>
  </si>
  <si>
    <t>X001B6B0UR</t>
  </si>
  <si>
    <t>B01N1HWICE</t>
  </si>
  <si>
    <t>MiYang Women's Red Beach Pant Bikini Bottom Adjustable Tie Boy Short XL (Waist 33.5"-35.5")</t>
  </si>
  <si>
    <t>DK-HM1789-W0-XL</t>
  </si>
  <si>
    <t>X001B6B0V1</t>
  </si>
  <si>
    <t>B01NBA4LF3</t>
  </si>
  <si>
    <t>MiYang Women's White Beach Pant Bikini Bottom Adjustable Tie Boy Short XL (Waist 33.5"-35.5")</t>
  </si>
  <si>
    <t>DK-HM1789-W0-M</t>
  </si>
  <si>
    <t>X001B33373</t>
  </si>
  <si>
    <t>B01NBA32V6</t>
  </si>
  <si>
    <t>MiYang Women's White Beach Pant Bikini Bottom Adjustable Tie Boy Short M (Waist 28.5"-30.5")</t>
  </si>
  <si>
    <t>DK-MUCL315-RF-2XL</t>
  </si>
  <si>
    <t>X001Q3JOF3</t>
  </si>
  <si>
    <t>B07BGR9T1H</t>
  </si>
  <si>
    <t>High-Waisted Strappy Side Floral Bikini Bottoms Swimwear Brief for Women Red US 14</t>
  </si>
  <si>
    <t>DK-HM1789-ZL-M</t>
  </si>
  <si>
    <t>X001ATSM5B</t>
  </si>
  <si>
    <t>B01NB9NV4H</t>
  </si>
  <si>
    <t>MiYang Women's Navy Blue Beach Pant Bikini Bottom Adjustable Tie Boy Short M (Waist 28.5"-30.5")</t>
  </si>
  <si>
    <t>DK-HM1789-W0-L</t>
  </si>
  <si>
    <t>X001B0LMAB</t>
  </si>
  <si>
    <t>B01NBA1SET</t>
  </si>
  <si>
    <t>MiYang Women's White Beach Pant Bikini Bottom Adjustable Tie Boy Short L (Waist 30.5"-33.5")</t>
  </si>
  <si>
    <t>DK-HM1789-ZL-S</t>
  </si>
  <si>
    <t>X001AR6EGR</t>
  </si>
  <si>
    <t>B01MQLNU9Y</t>
  </si>
  <si>
    <t>MiYang Women's Navy Blue Beach Pant Bikini Bottom Adjustable Tie Boy Short S (Waist 26"-28.5")</t>
  </si>
  <si>
    <t>LYQ--MY-MX02-P0-XL</t>
  </si>
  <si>
    <t>X001L5OECJ</t>
  </si>
  <si>
    <t>B0761RBFJS</t>
  </si>
  <si>
    <t>MiYang Bell Sleeve Shirt Dress Women Loose Flare Swing Blouse Casual Dress Purple XL</t>
  </si>
  <si>
    <t>LYQ-1010P0L</t>
  </si>
  <si>
    <t>X000X3IVR9</t>
  </si>
  <si>
    <t>B017X47VLQ</t>
  </si>
  <si>
    <t>MiYang Women's Purple Long Sleeve A-line Lace Stitching Trim Casual Dress M</t>
  </si>
  <si>
    <t>LYQ-1010W0L</t>
  </si>
  <si>
    <t>X0016QUTP9</t>
  </si>
  <si>
    <t>B01KO0SBKQ</t>
  </si>
  <si>
    <t>MiYang Women's Long Sleeve A-line Lace Stitching Trim Casual Dress M White</t>
  </si>
  <si>
    <t>LYQ-1010K0L</t>
  </si>
  <si>
    <t>X0016QGCGJ</t>
  </si>
  <si>
    <t>B01KO0SBH4</t>
  </si>
  <si>
    <t>MiYang Women's Long Sleeve A-line Lace Stitching Trim Casual Dress M Black</t>
  </si>
  <si>
    <t>LYQ-1010P03L</t>
  </si>
  <si>
    <t>X0017MVZA5</t>
  </si>
  <si>
    <t>B01LAURFZ6</t>
  </si>
  <si>
    <t>MiYang Women's Purple Long Sleeve A-line Lace Stitching Trim Casual Dress 2XL</t>
  </si>
  <si>
    <t>LYQ-K1010-G7-XS</t>
  </si>
  <si>
    <t>X001APEYXJ</t>
  </si>
  <si>
    <t>B01MS11C7L</t>
  </si>
  <si>
    <t>MiYang Women's Long Sleeve A-line Lace Stitching Trim Casual Dress XS Army Green</t>
  </si>
  <si>
    <t>LYQ2015P0</t>
  </si>
  <si>
    <t>X000ZCD39T</t>
  </si>
  <si>
    <t>B01BY03IU8</t>
  </si>
  <si>
    <t>MiYang Women's V-Neck Hot Drilling Wrinkle Long Beach Dress</t>
  </si>
  <si>
    <t>SJ-HM205-B0</t>
  </si>
  <si>
    <t>X001E6SS8L</t>
  </si>
  <si>
    <t>B06ZXST69F</t>
  </si>
  <si>
    <t>Summer Womens Beach Wear Cover up Swimwear Beachwear Bikini</t>
  </si>
  <si>
    <t>SJ-MU002-Pi</t>
  </si>
  <si>
    <t>X001PM8F55</t>
  </si>
  <si>
    <t>B07B479ZYX</t>
  </si>
  <si>
    <t>MiYang Women's Pom Pom Trim Kaftan Chiffon Swimwear Beach Cover Up US Size 0-10</t>
  </si>
  <si>
    <t>SJ-ZZN204G03L</t>
  </si>
  <si>
    <t>X000XADATB</t>
  </si>
  <si>
    <t>B019O6JLG4</t>
  </si>
  <si>
    <t>MiYang Women's Floral Lace Beach Bikini Swimwear Cover-up Green XL (US Size 10-12)</t>
  </si>
  <si>
    <t>SJ-ZZN204G04L</t>
  </si>
  <si>
    <t>X0017NNZ39</t>
  </si>
  <si>
    <t>B01LY8R00U</t>
  </si>
  <si>
    <t>MiYang Women 's Floral Lace Beach Bikini Swimwear Cover-up XX-Large(US Size 14-16) Green</t>
  </si>
  <si>
    <t>SJ-ZZN204G02L</t>
  </si>
  <si>
    <t>X000TVTWTV</t>
  </si>
  <si>
    <t>B0136OUBO6</t>
  </si>
  <si>
    <t>MiYang Women's Floral Lace Beach Bikini Swimwear Cover-up, Green, Large(US Size 10-12)</t>
  </si>
  <si>
    <t>SJ-ZZN204B0-2XL</t>
  </si>
  <si>
    <t>X001F6BA53</t>
  </si>
  <si>
    <t>B071Z99JF8</t>
  </si>
  <si>
    <t>MiYang Women's Floral Lace Beach Bikini Cover-up XXL</t>
  </si>
  <si>
    <t>SJ-ZZN204G0</t>
  </si>
  <si>
    <t>X000TVTWVJ</t>
  </si>
  <si>
    <t>B010SPP3UI</t>
  </si>
  <si>
    <t>MiYang Women's Floral Lace Beach Bikini Swimwear Cover-up, Green, X-Small(US Size 0-4)</t>
  </si>
  <si>
    <t>SJ-ZZN204ZL-XL</t>
  </si>
  <si>
    <t>X001B4Y7NV</t>
  </si>
  <si>
    <t>B01N9K3ZDT</t>
  </si>
  <si>
    <t>MiYang Women's Floral Lace Beach Bikini Cover-up ZL XL</t>
  </si>
  <si>
    <t>SJ-ZZN204ZL-M</t>
  </si>
  <si>
    <t>X001B4E38P</t>
  </si>
  <si>
    <t>B01MZ29NSU</t>
  </si>
  <si>
    <t>MiYang Women's Floral Lace Beach Bikini Cover-up ZL M Navy Blue</t>
  </si>
  <si>
    <t>SJ-ZZN204W03L</t>
  </si>
  <si>
    <t>X000XADATV</t>
  </si>
  <si>
    <t>B019O6JIL2</t>
  </si>
  <si>
    <t>MiYang Women's Floral Lace Beach Bikini Swimwear Cover-up White XL (US Size 10-12)</t>
  </si>
  <si>
    <t>SJ-ZZN204R03L</t>
  </si>
  <si>
    <t>X000XADATL</t>
  </si>
  <si>
    <t>B019O6JK2O</t>
  </si>
  <si>
    <t>MiYang Women's Floral Lace Beach Bikini Swimwear Cover-up Red XL(US Size 10-12)</t>
  </si>
  <si>
    <t>SJ-ZZN204R0XL</t>
  </si>
  <si>
    <t>X000TVTWSR</t>
  </si>
  <si>
    <t>B0136OUJ2K</t>
  </si>
  <si>
    <t>MiYang Women's Floral Lace Beach Bikini Swimwear Cover-up, Red, Medium(US Size 8-10)</t>
  </si>
  <si>
    <t>SJ-ZZN204W0L</t>
  </si>
  <si>
    <t>X000TVTWSH</t>
  </si>
  <si>
    <t>B0136OUC9K</t>
  </si>
  <si>
    <t>MiYang Women's Floral Lace Beach Bikini Swimwear Cover-up, White, Small(US Size 4-8)</t>
  </si>
  <si>
    <t>SJ-ZZN204W02L</t>
  </si>
  <si>
    <t>X000TVTWT1</t>
  </si>
  <si>
    <t>B0136OUFHO</t>
  </si>
  <si>
    <t>MiYang Women's Floral Lace Beach Bikini Swimwear Cover-up, White, Large(US Size 10-12)</t>
  </si>
  <si>
    <t>SJ-ZZN204K02L</t>
  </si>
  <si>
    <t>X000TNF6RV</t>
  </si>
  <si>
    <t>B0136OUG1E</t>
  </si>
  <si>
    <t>MiYang Women's Floral Lace Beach Bikini Swimwear Cover-up, Black, Large(US Size 10-12)</t>
  </si>
  <si>
    <t>SJ-ZZN204W0XL</t>
  </si>
  <si>
    <t>X000TVTWUZ</t>
  </si>
  <si>
    <t>B0136OUDR6</t>
  </si>
  <si>
    <t>MiYang Women's Floral Lace Beach Bikini Swimwear Cover-up, White, Medium(US Size 8-10)</t>
  </si>
  <si>
    <t>SJ-ZZN204K0</t>
  </si>
  <si>
    <t>X000TEKHGF</t>
  </si>
  <si>
    <t>B010SPPG3W</t>
  </si>
  <si>
    <t>MiYang Women's Floral Lace Beach Bikini Swimwear Cover-up Black XS(US Size 0-2)</t>
  </si>
  <si>
    <t>SJ-ZZN204K0L</t>
  </si>
  <si>
    <t>X000TNF6RL</t>
  </si>
  <si>
    <t>B0136OUD6C</t>
  </si>
  <si>
    <t>MiYang Women's Floral Lace Beach Bikini Swimwear Cover-up, Black, Small(US Size 4-8)</t>
  </si>
  <si>
    <t>SJ-ZZN204R04L</t>
  </si>
  <si>
    <t>X0017OZUYZ</t>
  </si>
  <si>
    <t>B01LZ7UEO4</t>
  </si>
  <si>
    <t>MiYang Women 's Floral Lace Beach Bikini Swimwear Cover-up XX-Large(US Size 14-16) Red</t>
  </si>
  <si>
    <t>SJ-ZZN204K0XL</t>
  </si>
  <si>
    <t>X000TNF6RB</t>
  </si>
  <si>
    <t>B0136OUEKW</t>
  </si>
  <si>
    <t>MiYang Women's Floral Lace Beach Bikini Swimwear Cover-up, Black, Medium(US Size 8-10)</t>
  </si>
  <si>
    <t>SJ-ZZN204LB2XL</t>
  </si>
  <si>
    <t>X001QY96CX</t>
  </si>
  <si>
    <t>B07C2SP45L</t>
  </si>
  <si>
    <t>MiYang Women's Floral Lace Beach Bikini Swimwear Cover-up Light Blue 2XL (US 14-16)</t>
  </si>
  <si>
    <t>SJ-ZZN204ZL-L</t>
  </si>
  <si>
    <t>X001B60WTR</t>
  </si>
  <si>
    <t>B01N4GHBB1</t>
  </si>
  <si>
    <t>MiYang Women's Floral Lace Beach Bikini Cover-up ZL L</t>
  </si>
  <si>
    <t>SJ-ZZN204R0L</t>
  </si>
  <si>
    <t>X000TVTWTB</t>
  </si>
  <si>
    <t>B0136OUHKY</t>
  </si>
  <si>
    <t>MiYang Women's Floral Lace Beach Bikini Swimwear Cover-up, Red, Small(US Size 4-8)</t>
  </si>
  <si>
    <t>SJ-ZZN204ZL-2XL</t>
  </si>
  <si>
    <t>X001BANANX</t>
  </si>
  <si>
    <t>B01NBN4NKM</t>
  </si>
  <si>
    <t>MiYang Women's Floral Lace Beach Bikini Cover-up ZL XXL Navy Blue</t>
  </si>
  <si>
    <t>SJ-ZZN204W04L</t>
  </si>
  <si>
    <t>X0017NLOUZ</t>
  </si>
  <si>
    <t>B01LZ7UJGB</t>
  </si>
  <si>
    <t>MiYang Women 's Floral Lace Beach Bikini Swimwear Cover-up XX-Large(US Size 14-16) White</t>
  </si>
  <si>
    <t>SJ-ZZN204W0</t>
  </si>
  <si>
    <t>X000TLXPPX</t>
  </si>
  <si>
    <t>B010SPNUJ4</t>
  </si>
  <si>
    <t>MiYang Women's Floral Lace Beach Bikini Swimwear Cover-up, White, X-Small(US Size 0-4)</t>
  </si>
  <si>
    <t>SJ-ZZN204LP2XL</t>
  </si>
  <si>
    <t>X001QYLYJL</t>
  </si>
  <si>
    <t>B07C326YBD</t>
  </si>
  <si>
    <t>MiYang Women's Floral Lace Beach Bikini Swimwear Cover-up Light Purple 2XL (US 14-16)</t>
  </si>
  <si>
    <t>SJ-ZZN204LPL</t>
  </si>
  <si>
    <t>X001QXYMRD</t>
  </si>
  <si>
    <t>B07C2TG6DM</t>
  </si>
  <si>
    <t>MiYang Women's Floral Lace Beach Bikini Swimwear Cover-up Light Purple L (US 8-10)</t>
  </si>
  <si>
    <t>STJ-1235W0</t>
  </si>
  <si>
    <t>X00133KZHR</t>
  </si>
  <si>
    <t>B01D6AY8K8</t>
  </si>
  <si>
    <t>MiYang Women's Oversized Cover up Baggy T-Shirt Swimsuit Beach Dress</t>
  </si>
  <si>
    <t>SJ-ZZN204LBM</t>
  </si>
  <si>
    <t>X001QXJV79</t>
  </si>
  <si>
    <t>B07C2VPQ86</t>
  </si>
  <si>
    <t>MiYang Women's Floral Lace Beach Bikini Swimwear Cover-up Light Blue M (US 6-8)</t>
  </si>
  <si>
    <t>SJ-ZZN204K04L</t>
  </si>
  <si>
    <t>X0014Z55XX</t>
  </si>
  <si>
    <t>B01HGFEEFI</t>
  </si>
  <si>
    <t>MiYang Women 's Floral Lace Beach Bikini Swimwear Cover-up XX-Large(US Size 14-16) Black</t>
  </si>
  <si>
    <t>SJ-ZZN204G0XL</t>
  </si>
  <si>
    <t>X000TVTWW3</t>
  </si>
  <si>
    <t>B0136OUA60</t>
  </si>
  <si>
    <t>MiYang Women's Floral Lace Beach Bikini Swimwear Cover-up, Green, Medium(US Size 8-10)</t>
  </si>
  <si>
    <t>TK-J02H-SH-18/20</t>
  </si>
  <si>
    <t>X001GBQKWF</t>
  </si>
  <si>
    <t>B072MQJHX1</t>
  </si>
  <si>
    <t>Teenking Boy's Fleece Outdoor Jacket with Hood Big Boy(Size 18/20)</t>
  </si>
  <si>
    <t>TK-Ad413-SH-XL</t>
  </si>
  <si>
    <t>X001I21PEP</t>
  </si>
  <si>
    <t>B0749H6PDP</t>
  </si>
  <si>
    <t>Teenking Men's Fleece Outdoor Jacket with Hood X-Large</t>
  </si>
  <si>
    <t>TK-J01H-K0-14/16</t>
  </si>
  <si>
    <t>X001GBQL5L</t>
  </si>
  <si>
    <t>B0721B4SYJ</t>
  </si>
  <si>
    <t>Teenking Boy's Fleece Outdoor Jacket Big Boy(Size 14/16)</t>
  </si>
  <si>
    <t>TK-J02H-K0-14/16</t>
  </si>
  <si>
    <t>X001GBQL5B</t>
  </si>
  <si>
    <t>B072K52H91</t>
  </si>
  <si>
    <t>Teenking Boy's Fleece Outdoor Jacket with Hood Big Boy(Size 14/16)</t>
  </si>
  <si>
    <t>XZ-2115Pi39</t>
  </si>
  <si>
    <t>X000XCK9X9</t>
  </si>
  <si>
    <t>B019670R3M</t>
  </si>
  <si>
    <t>MiYang Winter Women's Sheep Warm Plush Soft Sole Indoor Slipper 7-8.5 B(M) US</t>
  </si>
  <si>
    <t>XZ-013GR1M</t>
  </si>
  <si>
    <t>X0013MHK4J</t>
  </si>
  <si>
    <t>B0191JT966</t>
  </si>
  <si>
    <t>MiYang Winter Women's Warm Plush Soft Sole Indoor Slipper</t>
  </si>
  <si>
    <t>XZ-2116R038</t>
  </si>
  <si>
    <t>X0018J11CT</t>
  </si>
  <si>
    <t>B01MF4JH5A</t>
  </si>
  <si>
    <t>MiYang Winter Women's Sheep Warm Plush Soft Sole Indoor Slipper red 5-6 B(M) US</t>
  </si>
  <si>
    <t>XZ-013GR3XL</t>
  </si>
  <si>
    <t>X0013MHK53</t>
  </si>
  <si>
    <t>B0191JSLEC</t>
  </si>
  <si>
    <t>MiYang Women's Warm Plush Soft Sole Indoor Slipper Grey(High Top) 9-10.5 B(M) US</t>
  </si>
  <si>
    <t>XZ-013-shark-3637</t>
  </si>
  <si>
    <t>X001NTXCHB</t>
  </si>
  <si>
    <t>B078M9KQ13</t>
  </si>
  <si>
    <t>MiYang Cozy Fleece Memory Foam House Shark Slippers For Women (5-6.5 B(M) US, Wicky Shark)</t>
  </si>
  <si>
    <t>XZ-2116BR42</t>
  </si>
  <si>
    <t>X0018HMBS9</t>
  </si>
  <si>
    <t>B01M2Y8C12</t>
  </si>
  <si>
    <t>MiYang Winter Women's Sheep Warm Plush Soft Sole Indoor Slipper Brown 7-8 B(M) US</t>
  </si>
  <si>
    <t>XZ-013GR2L</t>
  </si>
  <si>
    <t>X0013VVAN7</t>
  </si>
  <si>
    <t>B0191JT2KO</t>
  </si>
  <si>
    <t>MiYang Women's Warm Plush Soft Sole Indoor Slipper (US Size:7-8.5,Grey(low-top)</t>
  </si>
  <si>
    <t>XZ-013GR3L</t>
  </si>
  <si>
    <t>X0013VVANH</t>
  </si>
  <si>
    <t>B0191JSKL6</t>
  </si>
  <si>
    <t>MiYang Women's Warm Plush Soft Sole Indoor Slipper Grey(High Top) 7-8.5 B(M) US</t>
  </si>
  <si>
    <t>XZ-013GR2M</t>
  </si>
  <si>
    <t>X0013HIZKH</t>
  </si>
  <si>
    <t>B0191JT1QE</t>
  </si>
  <si>
    <t>MiYang Women's Warm Plush Soft Sole Indoor Slipper (US Size:5-6.5,Grey(low Top)</t>
  </si>
  <si>
    <t>XZ-2116R040</t>
  </si>
  <si>
    <t>X0018H7QQV</t>
  </si>
  <si>
    <t>B01M5925MU</t>
  </si>
  <si>
    <t>MiYang Winter Women's Sheep Warm Plush Soft Sole Indoor Slipper red 7-8 B(M) US</t>
  </si>
  <si>
    <t>XZ-013WH1M</t>
  </si>
  <si>
    <t>X0017BUXXV</t>
  </si>
  <si>
    <t>B0191JSH0U</t>
  </si>
  <si>
    <t>MiYang Winter Women's Warm Plush Soft Sole Indoor Slipper White 5-6.5 B(M) US</t>
  </si>
  <si>
    <t>XZ-HM0299-GR-3637</t>
  </si>
  <si>
    <t>X001993365</t>
  </si>
  <si>
    <t>B01MFGBHU6</t>
  </si>
  <si>
    <t>MiYang Winter Polar Bear Slippers For Women House Winter Indoor Shoes</t>
  </si>
  <si>
    <t>XZ-HM0299-SH-4445</t>
  </si>
  <si>
    <t>X0019JE5L7</t>
  </si>
  <si>
    <t>B01MFG6S9D</t>
  </si>
  <si>
    <t>XZ-HM8130-PI-3637</t>
  </si>
  <si>
    <t>X001BFSVY1</t>
  </si>
  <si>
    <t>B01MY5IGIH</t>
  </si>
  <si>
    <t>MiYang Winter Women's Cute Sheep Warm Plush Soft Sole Indoor Open Back Slipper</t>
  </si>
  <si>
    <t>XZ-HM8130-G0-3637</t>
  </si>
  <si>
    <t>X001BK2N7R</t>
  </si>
  <si>
    <t>B01N316EKM</t>
  </si>
  <si>
    <t>XZ-HMXX018-Y0-3637</t>
  </si>
  <si>
    <t>X0019VZ6L3</t>
  </si>
  <si>
    <t>B01MA1MR40</t>
  </si>
  <si>
    <t>MiYang Winter Women's Plush Winter Warm Animal Soft Cute Home Slippers Dog 5-6 B(M) US</t>
  </si>
  <si>
    <t>XZ-HMXX018-Y0-3940</t>
  </si>
  <si>
    <t>X0019WY7WB</t>
  </si>
  <si>
    <t>B01MCRF7GA</t>
  </si>
  <si>
    <t>MiYang Winter Women's Plush Winter Warm Animal Soft Cute Home Slippers Dog 9-10 B(M) US</t>
  </si>
  <si>
    <t>XZ-ZQ6001-R1-20</t>
  </si>
  <si>
    <t>X001AM36DB</t>
  </si>
  <si>
    <t>B01NAG5IA7</t>
  </si>
  <si>
    <t>MiYang Kids Cute Dog Winter Warm House Slippers Booties</t>
  </si>
  <si>
    <t>XZ-ZQCB2056-B0-23</t>
  </si>
  <si>
    <t>X0019QCYQD</t>
  </si>
  <si>
    <t>B01M4Q9SV9</t>
  </si>
  <si>
    <t>MiYang Winter Little Kid Cute Cat Warm House Slippers Booties Blue 12 B(M) US Little Kid</t>
  </si>
  <si>
    <t>XZ-ZQCB2056-R1-1415</t>
  </si>
  <si>
    <t>X0019RM6ZV</t>
  </si>
  <si>
    <t>B01M7WQJ6F</t>
  </si>
  <si>
    <t>MiYang Winter Women/Toddlers Cute Cat Warm House Slippers Booties</t>
  </si>
  <si>
    <t>XZ-ZQCB3056-B0-28</t>
  </si>
  <si>
    <t>X0019RT7PN</t>
  </si>
  <si>
    <t>B01MG7F0CC</t>
  </si>
  <si>
    <t>MiYang Winter Women Cute Cat Warm House Slippers Booties Blue 10-11 B(M) US Adult</t>
  </si>
  <si>
    <t>XZ-ZQJZ120-PE-260</t>
  </si>
  <si>
    <t>X001KC6H2D</t>
  </si>
  <si>
    <t>B074TB7QRV</t>
  </si>
  <si>
    <t>MiYang Winter Women's Cute Footprints Warm Indoor Slippers House Shoes</t>
  </si>
  <si>
    <t>YZ-BD1704-K0-S</t>
  </si>
  <si>
    <t>X001DJ3KKF</t>
  </si>
  <si>
    <t>B06XTKJWRL</t>
  </si>
  <si>
    <t>MiYang Vintage Polka Dot Swimdress Crossover Black Slimming One Piece Swimsuit</t>
  </si>
  <si>
    <t>YZ-BS5119ZL2XL</t>
  </si>
  <si>
    <t>X001467XWN</t>
  </si>
  <si>
    <t>B01FXAQPZK</t>
  </si>
  <si>
    <t>MiYang Women's Plus-Size Flower Printing Shaping Body One Piece Swim Dresses Tag 2XL(US L) Navy Blue</t>
  </si>
  <si>
    <t>XZ-ZQJZ120-PR-270</t>
  </si>
  <si>
    <t>X001KC6HJV</t>
  </si>
  <si>
    <t>B074TDFMDN</t>
  </si>
  <si>
    <t>YZ-BS5119ZL3XL</t>
  </si>
  <si>
    <t>X00145XF4T</t>
  </si>
  <si>
    <t>B01FXAQRNK</t>
  </si>
  <si>
    <t>MiYang Women's Plus-Size Flower Printing Shaping Body One Piece Swimdresses Tag 3XL(US XL) Navy Blue</t>
  </si>
  <si>
    <t>YZ-BD1704-K0-XL</t>
  </si>
  <si>
    <t>X001DGWKRH</t>
  </si>
  <si>
    <t>B06XTPVS3K</t>
  </si>
  <si>
    <t>YZ-BD1704-K0-2XL</t>
  </si>
  <si>
    <t>X001DK0YXP</t>
  </si>
  <si>
    <t>B06XTPTXB5</t>
  </si>
  <si>
    <t>YZ-BS5119ZL5XL</t>
  </si>
  <si>
    <t>X00147UDPB</t>
  </si>
  <si>
    <t>B01FXAQVH2</t>
  </si>
  <si>
    <t>MiYang Women's Plus-Size Flower Printing Shaping Body One Piece Swim Dresses Tag 5XL(US 3XL) Navy Blue</t>
  </si>
  <si>
    <t>YZ-BShyl5119-YT-5XL</t>
  </si>
  <si>
    <t>X0014V966T</t>
  </si>
  <si>
    <t>B01HFYMWA4</t>
  </si>
  <si>
    <t>MiYang Women's Plus-Size Flower Printing Shaping Body One Piece Swim Dresses Swimsuit Black Cherry (US 3XL)</t>
  </si>
  <si>
    <t>YZ-BShyl5119K0XL</t>
  </si>
  <si>
    <t>X0012THDCH</t>
  </si>
  <si>
    <t>B01EJ5VRJE</t>
  </si>
  <si>
    <t>MiYang Women's Plus-Size Shaping One Piece Swim Dresses Swimsuit Tag 3XL(US XL) Black</t>
  </si>
  <si>
    <t>YZ-BSLLHT2XL</t>
  </si>
  <si>
    <t>X0013XL7Q5</t>
  </si>
  <si>
    <t>B01F3E3AUY</t>
  </si>
  <si>
    <t>MiYang Vintage Sailor Pin Up Swimsuit One Piece Skirtini Cover Up Swimdress,NavyBlue,Large(US size: 12-14),ASIAN 2XL</t>
  </si>
  <si>
    <t>YZ-BSLLITM</t>
  </si>
  <si>
    <t>X0014DIZ69</t>
  </si>
  <si>
    <t>B01G8H8VAO</t>
  </si>
  <si>
    <t>MiYang Vintage Sailor Pin up Swimsuit One Piece Skirtini Cover up Swimdress Black Striped S (US 4-6)</t>
  </si>
  <si>
    <t>YZ-BSLLIT4XL</t>
  </si>
  <si>
    <t>X0014DGHYB</t>
  </si>
  <si>
    <t>B01G8H8WZI</t>
  </si>
  <si>
    <t>MiYang Vintage Sailor Pin up Swimsuit One Piece Skirtini Cover up Swimdress Black Stripe 2XL (US 14W-16W)</t>
  </si>
  <si>
    <t>YZ-BS5119ZLXL</t>
  </si>
  <si>
    <t>X00145XFIF</t>
  </si>
  <si>
    <t>B01FXAQNIO</t>
  </si>
  <si>
    <t>MiYang Women's Plus-Size Flower Printing Shaping Body One Piece Swim Dresses Tag XL(US M) Navy Blue</t>
  </si>
  <si>
    <t>YZ-BShyl5119K0L</t>
  </si>
  <si>
    <t>X0012Z10ZH</t>
  </si>
  <si>
    <t>B01EJ5VPSW</t>
  </si>
  <si>
    <t>MiYang Women's Plus-Size Shaping One Piece Swim Dresses Swimsuit Tag 2XL(US L) Black</t>
  </si>
  <si>
    <t>YZ-BSLLIT2XL</t>
  </si>
  <si>
    <t>X0014DHFZB</t>
  </si>
  <si>
    <t>B01G8H8T42</t>
  </si>
  <si>
    <t>MiYang Vintage Sailor Pin up Swimsuit One Piece Skirtini Cover up Swimdress Black Striped Large (US 12-14)</t>
  </si>
  <si>
    <t>YZ-BShyl5119K0M</t>
  </si>
  <si>
    <t>X00136WIHJ</t>
  </si>
  <si>
    <t>B01EJ5VO38</t>
  </si>
  <si>
    <t>MiYang Women's Plus-Size Shaping One Piece Swim Dresses Swimsuit Tag XL(US M) Black</t>
  </si>
  <si>
    <t>YZ-BSLLITL</t>
  </si>
  <si>
    <t>X0014DGHY1</t>
  </si>
  <si>
    <t>B01G8H8WRG</t>
  </si>
  <si>
    <t>MiYang Vintage Sailor Pin up Swimsuit One Piece Skirtini Cover up Swimdress Black Stripe M (US 8)</t>
  </si>
  <si>
    <t>YZ-BShyl5119K02XL</t>
  </si>
  <si>
    <t>X00130B1V9</t>
  </si>
  <si>
    <t>B01EJ5VT60</t>
  </si>
  <si>
    <t>MiYang Women's Plus-Size Shaping One Piece Swim Dresses Swimsuit Tag 4XL(US 2XL) Black</t>
  </si>
  <si>
    <t>YZ-BSLLHTM</t>
  </si>
  <si>
    <t>X0013KJB4D</t>
  </si>
  <si>
    <t>B01F3E3GAI</t>
  </si>
  <si>
    <t>MiYang Vintage Sailor Pin up Swimsuit One Piece Skirtini Cover up Swimdress Navy Blue S (US 4-6)</t>
  </si>
  <si>
    <t>YZ-BSLLK0L</t>
  </si>
  <si>
    <t>X001CGB1KZ</t>
  </si>
  <si>
    <t>B06W5K562C</t>
  </si>
  <si>
    <t>MiYang Vintage Sailor Pin up Swimsuit One Piece Skirtini Cover up Swimdress Black M (US 8)</t>
  </si>
  <si>
    <t>YZ-BSLLHT3XL</t>
  </si>
  <si>
    <t>X0013L1VRH</t>
  </si>
  <si>
    <t>B01F3E3PYK</t>
  </si>
  <si>
    <t>MiYang Vintage Sailor Pin up Swimsuit One Piece Skirtini Cover up Swimdress Navy Blue XL (US 16-18)</t>
  </si>
  <si>
    <t>YZ-BShyl5119K04XL</t>
  </si>
  <si>
    <t>X001OSCK6P</t>
  </si>
  <si>
    <t>B079DQJPCL</t>
  </si>
  <si>
    <t>MiYang Women's Plus-Size Shaping One Piece Swim Dresses Swimsuit Black 4XL</t>
  </si>
  <si>
    <t>YZ-BSLLHT4XL</t>
  </si>
  <si>
    <t>X0013KJB4N</t>
  </si>
  <si>
    <t>B01F3E3RI4</t>
  </si>
  <si>
    <t>MiYang Vintage Sailor Pin up Swimsuit One Piece Skirtini Cover up Swimdress Navy Blue 2XL (US 14W-16W)</t>
  </si>
  <si>
    <t>YZ-BSLLHTL</t>
  </si>
  <si>
    <t>X0013USJEB</t>
  </si>
  <si>
    <t>B01F3E3MCK</t>
  </si>
  <si>
    <t>MiYang Vintage Sailor Pin up Swimsuit One Piece Skirtini Cover up Swimdress Navy Blue M (US 8)</t>
  </si>
  <si>
    <t>YZ-BSLLK03XL</t>
  </si>
  <si>
    <t>X001CGEGIT</t>
  </si>
  <si>
    <t>B06X96LMLS</t>
  </si>
  <si>
    <t>MiYang Vintage Sailor Pin up Swimsuit One Piece Skirtini Cover up Swimdress Black XL (US 16-18)</t>
  </si>
  <si>
    <t>YZ-BShyl5119-YH-5XL</t>
  </si>
  <si>
    <t>X001B4EPWJ</t>
  </si>
  <si>
    <t>B01N1Z5YOP</t>
  </si>
  <si>
    <t>MiYang Women's Plus-Size Flower Printing Shaping Body One Piece Swim Dresses Swimsuit XXX-Large(US Size:22W-24W)</t>
  </si>
  <si>
    <t>YZ-BS5119ZL4XL</t>
  </si>
  <si>
    <t>X00147UAMR</t>
  </si>
  <si>
    <t>B01FXAQTLK</t>
  </si>
  <si>
    <t>MiYang Women's Plus-Size Flower Printing Shaping Body One Piece Swim Dresses Tag 4XL(US 2XL) Navy Blue</t>
  </si>
  <si>
    <t>YZ-BShyl5119-YT-3XL</t>
  </si>
  <si>
    <t>X0015297P7</t>
  </si>
  <si>
    <t>B01HFYMTRK</t>
  </si>
  <si>
    <t>MiYang Women's Plus-Size Black Cherry Shaping Body One Piece Swim Dresses Swimsuit YT Tag 3XL(US XL)</t>
  </si>
  <si>
    <t>YZ-BSLLIT3XL</t>
  </si>
  <si>
    <t>X0013SKYW3</t>
  </si>
  <si>
    <t>B01G8H8UUU</t>
  </si>
  <si>
    <t>MiYang Vintage Sailor Pin Up Swimsuit One Piece Skirtini Cover Up Swimdress, BlackStriped, Tag Size 3XL=US Size XL</t>
  </si>
  <si>
    <t>YZ-BSA160301K03XL</t>
  </si>
  <si>
    <t>X0013PT4CR</t>
  </si>
  <si>
    <t>B01EN7V8SS</t>
  </si>
  <si>
    <t>MiYang Retro Vintage Striped One Piece Monokini Chevron Lines Swimsuit 3XL BlackWhite</t>
  </si>
  <si>
    <t>YZ-BSLLK0M</t>
  </si>
  <si>
    <t>X001CG46IT</t>
  </si>
  <si>
    <t>B06W9P6JZT</t>
  </si>
  <si>
    <t>MiYang Vintage Sailor Pin up Swimsuit One Piece Skirtini Cover up Swimdress Black S (US 4-6)</t>
  </si>
  <si>
    <t>YZ-BShyl5119-YH-2XL</t>
  </si>
  <si>
    <t>X001B61S95</t>
  </si>
  <si>
    <t>B01N30QQDJ</t>
  </si>
  <si>
    <t>MiYang Women's Plus-Size Flower Printing Shaping Body One Piece Swim Dresses Swimsuit Large(US Size:12-14)</t>
  </si>
  <si>
    <t>YZ-BShyl5119-YH-4XL</t>
  </si>
  <si>
    <t>X001B6C18R</t>
  </si>
  <si>
    <t>B01NCSVUOC</t>
  </si>
  <si>
    <t>MiYang Women's Plus-Size Flower Printing Shaping Body One Piece Swim Dresses Swimsuit XX-Large(US Size:18W-20W)</t>
  </si>
  <si>
    <t>YZ-BShyl5119-YT-2XL</t>
  </si>
  <si>
    <t>X001528DEN</t>
  </si>
  <si>
    <t>B01HFYMXUI</t>
  </si>
  <si>
    <t>MiYang Women's Plus-Size Flower Printing Shaping Body One Piece Swim Dresses Swimsuit Black Cherry (US Large)</t>
  </si>
  <si>
    <t>YZ-BShyl5119-YH-3XL</t>
  </si>
  <si>
    <t>X001B61MO1</t>
  </si>
  <si>
    <t>B01NAQ17N0</t>
  </si>
  <si>
    <t>MiYang Women's Plus-Size Flower Printing Shaping Body One Piece Swim Dresses Swimsuit X-Large(US Size:16-18)</t>
  </si>
  <si>
    <t>YZ-BShyl5119-YH-XL</t>
  </si>
  <si>
    <t>X001B4ZAEV</t>
  </si>
  <si>
    <t>B01MR2UZI6</t>
  </si>
  <si>
    <t>MiYang Women's Plus-Size Flower Printing Shaping Body One Piece Swim Dresses Swimsuit Medium(US Size:8-10)</t>
  </si>
  <si>
    <t>YZ-BShyl5119-YT-XL</t>
  </si>
  <si>
    <t>X001528QWR</t>
  </si>
  <si>
    <t>B01HFYMW04</t>
  </si>
  <si>
    <t>MiYang Women's Plus-Size Flower Printing Shaping Body One Piece Swim Dresses Swimsuit Black Cherry (US Medium)</t>
  </si>
  <si>
    <t>YZ-BShyl5119-YT-4XL</t>
  </si>
  <si>
    <t>X001528DED</t>
  </si>
  <si>
    <t>B01HFYMV14</t>
  </si>
  <si>
    <t>MiYang Women's Plus-Size Black cherry Printing Shaping Body One Piece Swim Dresses Swimsuit YT Tag 4XL(US 2XL)</t>
  </si>
  <si>
    <t>YZ-BShyl5119K03XL</t>
  </si>
  <si>
    <t>X00136WIND</t>
  </si>
  <si>
    <t>B01EJ5VUNW</t>
  </si>
  <si>
    <t>MiYang Women's Plus-Size Shaping One Piece Swim Dresses Swimsuit Tag 5XL(US 3XL) Black</t>
  </si>
  <si>
    <t>YZ-HE13037Wi4L</t>
  </si>
  <si>
    <t>X000YV0BEV</t>
  </si>
  <si>
    <t>B01AXSD83E</t>
  </si>
  <si>
    <t>MiYang Women's Shaping Body Swimsuit One-Piece Swimwear Spa Suit Size tag 4XL/US size XL,Wine Red</t>
  </si>
  <si>
    <t>YZ-HE13037Wi1L</t>
  </si>
  <si>
    <t>X000YV0BEL</t>
  </si>
  <si>
    <t>B01AXSD2IK</t>
  </si>
  <si>
    <t>MiYang Women's Plus Size Printing Padded High Waist Swimdress Wine Red XS (US 0-2)</t>
  </si>
  <si>
    <t>YZ-HE13037Or7L</t>
  </si>
  <si>
    <t>X0019NIF87</t>
  </si>
  <si>
    <t>B01N41KCAA</t>
  </si>
  <si>
    <t>MiYang Women's Plus Size Printing Padded High Waist Swimdress Orange 2X (US 20W-22W)</t>
  </si>
  <si>
    <t>YZ-HE13037EZ9L</t>
  </si>
  <si>
    <t>X0019QEI5N</t>
  </si>
  <si>
    <t>B01MXLWZ7S</t>
  </si>
  <si>
    <t>MiYang Women's Plus Size Printing Padded High Waist Swimdress Blue and Green 4X (US 26W-28W)</t>
  </si>
  <si>
    <t>YZ-HE13037EZ5L</t>
  </si>
  <si>
    <t>X000YV0BFF</t>
  </si>
  <si>
    <t>B01AXSDGJ0</t>
  </si>
  <si>
    <t>MiYang Women's Shaping Body Swimsuit One-Piece Swimwear Spa Suit Size Tag 5XL/US Size XL</t>
  </si>
  <si>
    <t>YZ-HE13037Pu7L</t>
  </si>
  <si>
    <t>X0019AB8HP</t>
  </si>
  <si>
    <t>B01MQJOXH7</t>
  </si>
  <si>
    <t>MiYang Women's Plus Size Printing Padded High Waist Swimdress Purple 2X (US 20W-22W)</t>
  </si>
  <si>
    <t>YZ-HE13037Or5L</t>
  </si>
  <si>
    <t>X000YV0BE1</t>
  </si>
  <si>
    <t>B01AXSD8PC</t>
  </si>
  <si>
    <t>MiYang Women's Shaping Body Swimsuit One-Piece Swimwear Spa Suit Size Orange XL (US 16-18)</t>
  </si>
  <si>
    <t>YZ-HE13037Or3L</t>
  </si>
  <si>
    <t>X000YV0BDH</t>
  </si>
  <si>
    <t>B01AXSD5KU</t>
  </si>
  <si>
    <t>MiYang Women's Shaping Body Swimsuit One-Piece Swimwear Spa Suit Size tag 3XL/US size L,Orange</t>
  </si>
  <si>
    <t>YZ-HE13037Pu8L</t>
  </si>
  <si>
    <t>X0019NIXTX</t>
  </si>
  <si>
    <t>B01N64GFM9</t>
  </si>
  <si>
    <t>MiYang Women's Plus Size Printing Padded High Waist Swimdress Purple 3X (US 24W-26W)</t>
  </si>
  <si>
    <t>YZ-HE13037Or6L</t>
  </si>
  <si>
    <t>X0019QAHGH</t>
  </si>
  <si>
    <t>B01MTO5MA8</t>
  </si>
  <si>
    <t>MiYang Women's Plus Size Printing Padded High Waist Swimdress Orange 1X (US 16W-18W)</t>
  </si>
  <si>
    <t>YZ-HE13037Wi9L</t>
  </si>
  <si>
    <t>X0019NIF8H</t>
  </si>
  <si>
    <t>B01MSMP0CD</t>
  </si>
  <si>
    <t>MiYang Women's Plus Size Printing Padded High Waist Swimdress, Wine Red, 4X</t>
  </si>
  <si>
    <t>YZ-HE13037Wi6L</t>
  </si>
  <si>
    <t>X0019AA87L</t>
  </si>
  <si>
    <t>B01MRL29E0</t>
  </si>
  <si>
    <t>MiYang Women's Plus Size Printing Padded High Waist Swimdress Wine Red 1X (US 16W-18W)</t>
  </si>
  <si>
    <t>YZ-HE9007Sa1L</t>
  </si>
  <si>
    <t>X000VIGTWP</t>
  </si>
  <si>
    <t>B015QZNXXO</t>
  </si>
  <si>
    <t>MiYang Women's Bowknot Printing Skirt Spa Swimsuit Padded Bathing Swimwear, Sapphire Blue(one piece), X-Small(US Size 0-2)</t>
  </si>
  <si>
    <t>YZ-HE9007Sa7L</t>
  </si>
  <si>
    <t>X0019Q9ALF</t>
  </si>
  <si>
    <t>B01N2HHCOA</t>
  </si>
  <si>
    <t>MiYang Women's Plus Size High Waist Printing Swimsuit Bathing Swimwear Sapphire Blue(one Piece) 2XL(US Size16W-18W)</t>
  </si>
  <si>
    <t>YZ-HE13037Wi8L</t>
  </si>
  <si>
    <t>X0019AA885</t>
  </si>
  <si>
    <t>B01N1FYCZQ</t>
  </si>
  <si>
    <t>MiYang Women's Plus Size Printing Padded High Waist Swimdress Wine Red 3X (US 24W-26W)</t>
  </si>
  <si>
    <t>YZ-HE13037Wi5L</t>
  </si>
  <si>
    <t>X000YV0BG9</t>
  </si>
  <si>
    <t>B01AXSD9M4</t>
  </si>
  <si>
    <t>MiYang Women's Plus Size Printing Padded High Waist Swimdress Wine Red XL (US 16-18)</t>
  </si>
  <si>
    <t>YZ-HE13037EZ6L</t>
  </si>
  <si>
    <t>X0019AY025</t>
  </si>
  <si>
    <t>B01MTO5KOB</t>
  </si>
  <si>
    <t>MiYang Women's Plus Size Printing Padded High Waist Swimdress Blue and Green 1X (US 16W-18W)</t>
  </si>
  <si>
    <t>YZ-HE13037EZ4L</t>
  </si>
  <si>
    <t>X000YV0BFP</t>
  </si>
  <si>
    <t>B01AXSDEWO</t>
  </si>
  <si>
    <t>MiYang Women's Shaping Body Swimsuit One-Piece Swimwear Spa Suit Size tag L(US talla 12-14),Blue and Green</t>
  </si>
  <si>
    <t>YZ-HE13037Pu6L</t>
  </si>
  <si>
    <t>X0019AA8QH</t>
  </si>
  <si>
    <t>B01NA6JJLM</t>
  </si>
  <si>
    <t>MiYang Women's Plus Size Printing Padded High Waist Swimdress Purple 1X (US 16W-18W)</t>
  </si>
  <si>
    <t>YZ-HE13037Or8L</t>
  </si>
  <si>
    <t>X0019PSFLR</t>
  </si>
  <si>
    <t>B01N94WF2D</t>
  </si>
  <si>
    <t>MiYang Women's Plus Size Printing Padded High Waist Swimdress Orange 3X (US 24W-26W)</t>
  </si>
  <si>
    <t>YZ-HE13037EZ3L</t>
  </si>
  <si>
    <t>X000YV0BGJ</t>
  </si>
  <si>
    <t>B01AXSDDFC</t>
  </si>
  <si>
    <t>MiYang Women's Shaping Body Swimsuit One-Piece Swimwear Spa Suit Size tag 3XL/US size L,Blue and Green</t>
  </si>
  <si>
    <t>YZ-HE13037EZ1L</t>
  </si>
  <si>
    <t>X000YV0BFZ</t>
  </si>
  <si>
    <t>B01AXSDADC</t>
  </si>
  <si>
    <t>MiYang Women's Shaping Body Swimsuit One-Piece Swimwear Spa Suit Size Tag XL/US Size XS</t>
  </si>
  <si>
    <t>YZ-HE13037Pu5L</t>
  </si>
  <si>
    <t>X000YV0BD7</t>
  </si>
  <si>
    <t>B01AXSDGPY</t>
  </si>
  <si>
    <t>MiYang Women's Plus Size Printing Padded High Waist Swimdress Purple XL (US 16-18)</t>
  </si>
  <si>
    <t>YZ-HE9008Se5L</t>
  </si>
  <si>
    <t>X000WFYY3N</t>
  </si>
  <si>
    <t>B015QZRXB2</t>
  </si>
  <si>
    <t>MiYang Women's Bowknot Printing Skirt Spa Swimsuit Bathing Swimwear, Black and Blue, Tag Size 5XL=US Size XL(14-16)</t>
  </si>
  <si>
    <t>YZ-HE13037Wi7L</t>
  </si>
  <si>
    <t>X0019QAHG7</t>
  </si>
  <si>
    <t>B01MXLWXE3</t>
  </si>
  <si>
    <t>MiYang Women's Plus Size Printing Padded High Waist Swimdress Wine Red 2X (US 20W-22W)</t>
  </si>
  <si>
    <t>YZ-HE9007Sa3L</t>
  </si>
  <si>
    <t>X000WZHXHR</t>
  </si>
  <si>
    <t>B015QZRO7K</t>
  </si>
  <si>
    <t>MiYang Women's Bowknot Printing Skirt Spa Swimsuit Padded Bathing Swimwear, Sapphire Blue(one piece), Medium(US Size 6-8)</t>
  </si>
  <si>
    <t>YZ-HE9007Sa4L</t>
  </si>
  <si>
    <t>X000WZHXI1</t>
  </si>
  <si>
    <t>B015QZROTS</t>
  </si>
  <si>
    <t>MiYang Women's Bowknot Printing Skirt Spa Swimsuit Padded Bathing Swimwear, Sapphire Blue(one piece), Large(US Size 10-12)</t>
  </si>
  <si>
    <t>YZ-HE13037Pu4L</t>
  </si>
  <si>
    <t>X000YV0BCN</t>
  </si>
  <si>
    <t>B01AXSDFFU</t>
  </si>
  <si>
    <t>MiYang Women's Shaping Body Swimsuit One-Piece Swimwear Spa Suit Size tag 4XL/US size XL,Purple</t>
  </si>
  <si>
    <t>YZ-HE13037Or2L</t>
  </si>
  <si>
    <t>X000YV0BCX</t>
  </si>
  <si>
    <t>B01AXSD47E</t>
  </si>
  <si>
    <t>MiYang Women's Shaping Body Swimsuit One-Piece Swimwear Spa Suit Size tag 2XL/US size M,Orange</t>
  </si>
  <si>
    <t>YZ-HE9007Sa5L</t>
  </si>
  <si>
    <t>X000WZHXIB</t>
  </si>
  <si>
    <t>B015QZRPHO</t>
  </si>
  <si>
    <t>MiYang Women's Bowknot Printing Skirt Spa Swimsuit Padded Bathing Swimwear, Sapphire Blue(one piece), X-Large(US Size14-16)</t>
  </si>
  <si>
    <t>YZ-HE9007Se5L</t>
  </si>
  <si>
    <t>X000WFYY3D</t>
  </si>
  <si>
    <t>B015QZRRWW</t>
  </si>
  <si>
    <t>MiYang Women's Bowknot Printing Skirt Spa Swimsuit Padded Bathing Swimwear, Navy(one piece), X-Large(US Size14-16)</t>
  </si>
  <si>
    <t>YZ-HE13037Pu9L</t>
  </si>
  <si>
    <t>X0019BZT4R</t>
  </si>
  <si>
    <t>B01MXLWU2D</t>
  </si>
  <si>
    <t>MiYang Women's Plus Size Printing Padded High Waist Swimdress Purple 4X (US 26W-28W)</t>
  </si>
  <si>
    <t>YZ-HE13037EZ7L</t>
  </si>
  <si>
    <t>X0019QE8JJ</t>
  </si>
  <si>
    <t>B01N64GDNS</t>
  </si>
  <si>
    <t>MiYang Women's Plus Size Printing Padded High Waist Swimdress Blue and Green 2X (US 20W-22W)</t>
  </si>
  <si>
    <t>YZ-HE9007Se2L</t>
  </si>
  <si>
    <t>X000WFYY29</t>
  </si>
  <si>
    <t>B015QZRQKU</t>
  </si>
  <si>
    <t>MiYang Women's Bowknot Printing Skirt Spa Swimsuit Padded Bathing Swimwear, Navy(one piece), Small(US Size 4)</t>
  </si>
  <si>
    <t>YZ-HE9008Sa7L</t>
  </si>
  <si>
    <t>X0019AA8E9</t>
  </si>
  <si>
    <t>B01N0EHETF</t>
  </si>
  <si>
    <t>MiYang Women's Plus Size High Waist Printing Swimsuit Bathing Swimwear Sapphire Blue(Two Piece) 2XL(US Size16W-18W)</t>
  </si>
  <si>
    <t>YZ-HE9007Se9L</t>
  </si>
  <si>
    <t>X0019AA8DZ</t>
  </si>
  <si>
    <t>B01N41KO05</t>
  </si>
  <si>
    <t>MiYang Women's Bowknot Printing Skirt Spa Swimsuit Padded Bathing Swimwear, Navy(one Piece) 4XL(US Size22W-24W)</t>
  </si>
  <si>
    <t>YZ-HE13037EZ8L</t>
  </si>
  <si>
    <t>X0019QE8J9</t>
  </si>
  <si>
    <t>B01MQJOVR2</t>
  </si>
  <si>
    <t>MiYang Women's Plus Size Printing Padded High Waist Swimdress Blue and Green 3X (US 24W-26W)</t>
  </si>
  <si>
    <t>YZ-HM0007-B0-XL</t>
  </si>
  <si>
    <t>X001EABOE7</t>
  </si>
  <si>
    <t>B071CY9VPW</t>
  </si>
  <si>
    <t>MiYang Retro One Piece Tankini Plus Size Bathing Suits Adjustable Strap Tummy Cover Ruffle Swimwear</t>
  </si>
  <si>
    <t>YZ-HE9008Se7L</t>
  </si>
  <si>
    <t>X0019AB8HF</t>
  </si>
  <si>
    <t>B01N94R08T</t>
  </si>
  <si>
    <t>MiYang Women's Plus Size High Waist Printing Swimsuit Bathing Swimwear Navy(Two Piece) 2XL(US Size16W-18W)</t>
  </si>
  <si>
    <t>YZ-HE9008Se8L</t>
  </si>
  <si>
    <t>X0019P5B23</t>
  </si>
  <si>
    <t>B01N1FYI99</t>
  </si>
  <si>
    <t>MiYang Women's Plus Size High Waist Printing Swimsuit Bathing Swimwear Navy(Two Piece) 3XL(US Size18W-20W)</t>
  </si>
  <si>
    <t>YZ-JG2631R0M</t>
  </si>
  <si>
    <t>X0015QY6CH</t>
  </si>
  <si>
    <t>B01IOEHNK8</t>
  </si>
  <si>
    <t>MiYang Women's One Piece Striped Slim Padded Swim Dress Bathing Swimwear Red and White Medium US 8-10</t>
  </si>
  <si>
    <t>YZ-JG2631HSXS</t>
  </si>
  <si>
    <t>X0015M4NG5</t>
  </si>
  <si>
    <t>B01IOEHM40</t>
  </si>
  <si>
    <t>MiYang Women's One Piece Striped Slim Padded Swim Dress Bathing Swimwear Black and White, XS</t>
  </si>
  <si>
    <t>YZ-JG263100M</t>
  </si>
  <si>
    <t>X000Y7N3GD</t>
  </si>
  <si>
    <t>B01A6WG1V8</t>
  </si>
  <si>
    <t>MiYang Women's One Piece Striped Slim Swim Dress Bathing Swimwear Orange X-Small US 0-2</t>
  </si>
  <si>
    <t>YZ-JG2631HSS</t>
  </si>
  <si>
    <t>X0015M4NFV</t>
  </si>
  <si>
    <t>B01IOEHO7A</t>
  </si>
  <si>
    <t>MiYang Women's One Piece Striped Slim Padded Swim Dress Bathing Swimwear Black and White Small US 4-6</t>
  </si>
  <si>
    <t>YZ-JG2631K03L</t>
  </si>
  <si>
    <t>X000ZNVAHF</t>
  </si>
  <si>
    <t>B01DIHNWI8</t>
  </si>
  <si>
    <t>MiYang Women's One Piece Striped Slim Swim Dress Bathing Swimwear, Black, (Size tag 3XL/US size XL)</t>
  </si>
  <si>
    <t>YZ-JG2631HSL</t>
  </si>
  <si>
    <t>X0015QY6CR</t>
  </si>
  <si>
    <t>B01IOEHSWQ</t>
  </si>
  <si>
    <t>MiYang Women's One Piece Striped Slim Padded Swim Dress Bathing Swimwear Black and White Large US 12-14</t>
  </si>
  <si>
    <t>YZ-JG2631003L</t>
  </si>
  <si>
    <t>X000ZNVAH5</t>
  </si>
  <si>
    <t>B01DIHNXDW</t>
  </si>
  <si>
    <t>MiYang Women's One Piece Striped Slim Swim Dress Bathing Swimwear Orange X-Large US 16-18</t>
  </si>
  <si>
    <t>YZ-HMTW001-K0-XS</t>
  </si>
  <si>
    <t>X001EMM6FV</t>
  </si>
  <si>
    <t>B06Y3PN4G5</t>
  </si>
  <si>
    <t>MiYang Women Vintage Flounce Stripe High Waisted Bathing Suits Two Piece Bikini XS (US 2-4)</t>
  </si>
  <si>
    <t>YZ-JG2631HSM</t>
  </si>
  <si>
    <t>X0015PHWSD</t>
  </si>
  <si>
    <t>B01IOEHQOQ</t>
  </si>
  <si>
    <t>MiYang Women's One Piece Striped Slim Padded Swim Dress Bathing Swimwear, Black and White, Medium(US size:8-10)</t>
  </si>
  <si>
    <t>YZ-JG2631K02L</t>
  </si>
  <si>
    <t>X000Y3ZQBR</t>
  </si>
  <si>
    <t>B01A6WG0SW</t>
  </si>
  <si>
    <t>MiYang Women's One Piece Striped Slim Swim Dress Bathing Swimwear Size tag 2XL/US size L, black</t>
  </si>
  <si>
    <t>YZ-JG2631001L</t>
  </si>
  <si>
    <t>X000Y3ZQC1</t>
  </si>
  <si>
    <t>B01A6WG3RA</t>
  </si>
  <si>
    <t>MiYang Women's One Piece Striped Slim Swim Dress Bathing Swimwear Orange Medium US 8-10</t>
  </si>
  <si>
    <t>YZ-HMTW001-K0-L</t>
  </si>
  <si>
    <t>X001EMMPIJ</t>
  </si>
  <si>
    <t>B06Y3TMRGH</t>
  </si>
  <si>
    <t>MiYang Women Vintage Flounce Stripe High Waisted Bathing Suits Two Piece Bikini L (US 14-16)</t>
  </si>
  <si>
    <t>YZ-JG2631002L</t>
  </si>
  <si>
    <t>X000Y3ZQCB</t>
  </si>
  <si>
    <t>B01A6WG4TW</t>
  </si>
  <si>
    <t>MiYang Women's One Piece Striped Slim Swim Dress Bathing Swimwear Orange Large US 12-14</t>
  </si>
  <si>
    <t>YZ-JG2631HS1L</t>
  </si>
  <si>
    <t>X0015RAJTF</t>
  </si>
  <si>
    <t>B01IOEHVCS</t>
  </si>
  <si>
    <t>MiYang Women's One Piece Striped Slim Padded Swim Dress Bathing Swimwear Black and White X-Large US 16-18</t>
  </si>
  <si>
    <t>YZ-JG2631R0XS</t>
  </si>
  <si>
    <t>X0015PHWVZ</t>
  </si>
  <si>
    <t>B01IOEHIMG</t>
  </si>
  <si>
    <t>MiYang Women's One Piece Striped Slim Padded Swim Dress Bathing Swimwear Red and White X-Small US 0-2</t>
  </si>
  <si>
    <t>YZ-JG2631R01L</t>
  </si>
  <si>
    <t>X0015PHWW9</t>
  </si>
  <si>
    <t>B01IOEHTKC</t>
  </si>
  <si>
    <t>MiYang Women's One Piece Striped Slim Padded Swim Dress Bathing Swimwear Red and White X-Large US 16-18</t>
  </si>
  <si>
    <t>YZ-HM30CH-M</t>
  </si>
  <si>
    <t>X0015WH6L9</t>
  </si>
  <si>
    <t>B01J0S83CO</t>
  </si>
  <si>
    <t>MiYang Women's Sexy Crewneck One Piece Beachwear Bikini Monokini Swimsuit Rainbow Stripe M (US 8-10)</t>
  </si>
  <si>
    <t>YZ-HM30CH-XS</t>
  </si>
  <si>
    <t>X0017ZMMIB</t>
  </si>
  <si>
    <t>B01LX9J8Z0</t>
  </si>
  <si>
    <t>MiYang Women's Sexy Crewneck One Piece Beachwear Bikini Monokini Swimsuit Rainbow Stripe XS (US 0-2)</t>
  </si>
  <si>
    <t>YZ-JG2631R0L</t>
  </si>
  <si>
    <t>X0015OEH5Z</t>
  </si>
  <si>
    <t>B01IOEHRBS</t>
  </si>
  <si>
    <t>MiYang Women's One Piece Striped Slim Padded Swim Dress Bathing Swimwear Red and White Large US 12-14</t>
  </si>
  <si>
    <t>YZ-JG2631K01L</t>
  </si>
  <si>
    <t>X000Y3ZQAX</t>
  </si>
  <si>
    <t>B01A6WFZZQ</t>
  </si>
  <si>
    <t>MiYang Women's One Piece Striped Slim Swim Dress Bathing Swimwear Black Medium US 8-10</t>
  </si>
  <si>
    <t>YZ-JG2631ZL2L</t>
  </si>
  <si>
    <t>X000Y310BR</t>
  </si>
  <si>
    <t>B0196ETN8U</t>
  </si>
  <si>
    <t>MiYang Women's One Piece Striped Slim Swim Dress Bathing Swimwear Navy Large US 12-14</t>
  </si>
  <si>
    <t>YZ-JG2631ZLL</t>
  </si>
  <si>
    <t>X000Y310BH</t>
  </si>
  <si>
    <t>B01A6BXQDK</t>
  </si>
  <si>
    <t>MiYang Women's One Piece Striped Slim Swim Dress Bathing Swimwear Navy Small US 4-6</t>
  </si>
  <si>
    <t>YZ-JG2631R0S</t>
  </si>
  <si>
    <t>X0015P2JDB</t>
  </si>
  <si>
    <t>B01IOEHKXS</t>
  </si>
  <si>
    <t>MiYang Women's One Piece Striped Slim Padded Swim Dress Bathing Swimwear Red and White Small US 4-6</t>
  </si>
  <si>
    <t>YZ-JG2631ZLM</t>
  </si>
  <si>
    <t>X000Y310AX</t>
  </si>
  <si>
    <t>B01A6BXN24</t>
  </si>
  <si>
    <t>MiYang Women's One Piece Striped Slim Swim Dress Bathing Swimwear Navy X-Small US 0-2</t>
  </si>
  <si>
    <t>YZ-JG2631ZL1L</t>
  </si>
  <si>
    <t>X000Y310B7</t>
  </si>
  <si>
    <t>B0196ETM7M</t>
  </si>
  <si>
    <t>MiYang Women's One Piece Striped Slim Swim Dress Bathing Swimwear Size tag XL/US size M, royal blue</t>
  </si>
  <si>
    <t>YZ-JG2631ZL3L</t>
  </si>
  <si>
    <t>X000Y310AN</t>
  </si>
  <si>
    <t>B01B184VYA</t>
  </si>
  <si>
    <t>MiYang Women's One Piece Striped Slim Swim Dress Bathing Swimwear Navy X-Large US 16-18</t>
  </si>
  <si>
    <t>YZ-HM30CH-K0-XS</t>
  </si>
  <si>
    <t>X00180OR4R</t>
  </si>
  <si>
    <t>B01M0IPQVW</t>
  </si>
  <si>
    <t>MiYang Women's Sexy Crewneck One Piece Beachwear Bikini Monokini Swimsuit Black XS (US 0-2)</t>
  </si>
  <si>
    <t>YZ-HM30CH-S</t>
  </si>
  <si>
    <t>X0016ST6PL</t>
  </si>
  <si>
    <t>B01K7C8KAC</t>
  </si>
  <si>
    <t>MiYang Women's Sexy Crewneck One Piece Beachwear Bikini Monokini Swimsuit Rainbow Stripe S (US 4-6)</t>
  </si>
  <si>
    <t>YZ-HM30CH-L</t>
  </si>
  <si>
    <t>X0015WQKCF</t>
  </si>
  <si>
    <t>B01J0S8496</t>
  </si>
  <si>
    <t>MiYang Women's Sexy Crewneck One Piece Beachwear Bikini Monokini Swimsuit Rainbow Stripe L (US10-12)</t>
  </si>
  <si>
    <t>YZ-KL5020YH4L</t>
  </si>
  <si>
    <t>X0014W4YX3</t>
  </si>
  <si>
    <t>B01HPQQG68</t>
  </si>
  <si>
    <t>MiYang Women's One Piece High Waist Printing Swim Dress Swimwear,Dark Blue Flower,X-Large(US size:16-18)</t>
  </si>
  <si>
    <t>YZ-KL5020FL5L</t>
  </si>
  <si>
    <t>X00143FDL9</t>
  </si>
  <si>
    <t>B01F4YOB56</t>
  </si>
  <si>
    <t>MiYangWomen'sOnePieceHighWaistPrintingSwimDressSwimwear,NavyFlower,tagsize(5XL)XX-Large(USsize:16W)</t>
  </si>
  <si>
    <t>YZ-KL5020TW3L</t>
  </si>
  <si>
    <t>X001556ELJ</t>
  </si>
  <si>
    <t>B01HPQQHOY</t>
  </si>
  <si>
    <t>MiYang Women's One Piece High Waist Printing Swim Dress Swimwear,Dark Blue Stripe,Large(US size:12-14)</t>
  </si>
  <si>
    <t>YZ-KL5020TW2L</t>
  </si>
  <si>
    <t>X00155HPLH</t>
  </si>
  <si>
    <t>B01HPQQGE0</t>
  </si>
  <si>
    <t>MiYang Women's One Piece High Waist Shaping Body Swim Dress Spa Swimwear,Dark Blue Stripe,Tag Size 2XL/US size Medium: 8-10</t>
  </si>
  <si>
    <t>YZ-KL5020MF-S</t>
  </si>
  <si>
    <t>X001QES6NN</t>
  </si>
  <si>
    <t>B07BMVZS62</t>
  </si>
  <si>
    <t>MiYang Women's One Piece High Waist Printing Swim Dress Padded Swimwear Small (US Size:4-6)</t>
  </si>
  <si>
    <t>YZ-KL5020MF-L</t>
  </si>
  <si>
    <t>X001QES9DZ</t>
  </si>
  <si>
    <t>B07C8N48RB</t>
  </si>
  <si>
    <t>MiYang Women's One Piece High Waist Printing Swim Dress Padded Swimwear Large (US Size:12-14)</t>
  </si>
  <si>
    <t>YZ-KL5020TW5L</t>
  </si>
  <si>
    <t>X001556EL9</t>
  </si>
  <si>
    <t>B01HPQQPNC</t>
  </si>
  <si>
    <t>MiYang Women's One Piece High Waist Shaping Body Swim Dress Spa Swimwear, Dark Blue Stripe, Tag Size 5XL=US Size XXL(16W)</t>
  </si>
  <si>
    <t>YZ-KL5020TW4L</t>
  </si>
  <si>
    <t>X00155HPL7</t>
  </si>
  <si>
    <t>B01HPQQJ9M</t>
  </si>
  <si>
    <t>MiYang Women's One Piece High Waist Shaping Body Swim Dress Spa Swimwear,Dark Blue Stripe,Tag Size 4XL/US size X-Large: 16-18</t>
  </si>
  <si>
    <t>YZ-KL5020YH5L</t>
  </si>
  <si>
    <t>X00155HY4Z</t>
  </si>
  <si>
    <t>B01HPQQHQ2</t>
  </si>
  <si>
    <t>MiYang Women's One Piece High Waist Printing Swim Dress Swimwear,Dark Blue Flower,XX-Large(US size:16W)</t>
  </si>
  <si>
    <t>YZ-KL5020YH1L</t>
  </si>
  <si>
    <t>X00155ZAWN</t>
  </si>
  <si>
    <t>B01HPQQCFS</t>
  </si>
  <si>
    <t>MiYang Women's One Piece High Waist Printing Swim Dress Swimwear,Dark Blue Flower,Small(US size:4-6)</t>
  </si>
  <si>
    <t>YZ-KL5020MF-XL</t>
  </si>
  <si>
    <t>X001QBJTWN</t>
  </si>
  <si>
    <t>B07BMS1GW2</t>
  </si>
  <si>
    <t>MiYang Women's One Piece High Waist Printing Swim Dress Padded Swimwear X-Large (US Size:16-18)</t>
  </si>
  <si>
    <t>YZ-KL5020ST5L</t>
  </si>
  <si>
    <t>X00143KBCP</t>
  </si>
  <si>
    <t>B01F4YODTU</t>
  </si>
  <si>
    <t>MiYang Womens One Piece High Waist Printing Swim Dress Swimwear, Navy Stripe, XX-Large(US size:16W)/ASIAN 5XL</t>
  </si>
  <si>
    <t>YZ-KL5020FL3L</t>
  </si>
  <si>
    <t>X0013OGI6N</t>
  </si>
  <si>
    <t>B01F4YO7XM</t>
  </si>
  <si>
    <t>MiYang Women's One Piece High Waist Printing Swim Dress Swimwear,Navy Flower,Large(US size:12-14)</t>
  </si>
  <si>
    <t>YZ-KL5020YH2L</t>
  </si>
  <si>
    <t>X0014XP693</t>
  </si>
  <si>
    <t>B01HPQQE6U</t>
  </si>
  <si>
    <t>MiYang Women's One Piece High Waist Shaping Body Swim Dress Spa Swimwear, Dark Blue Flower, 2XL (US Medium size:8-10)</t>
  </si>
  <si>
    <t>YZ-KL5020ST3L</t>
  </si>
  <si>
    <t>X0013YKQWF</t>
  </si>
  <si>
    <t>B01F4YO9U8</t>
  </si>
  <si>
    <t>MiYang Women's One Piece High Waist Printing Swim Dress Swimwear,Navy Stripe,Large(US size:12-14)</t>
  </si>
  <si>
    <t>YZ-KL5020YH3L</t>
  </si>
  <si>
    <t>X00155HYCR</t>
  </si>
  <si>
    <t>B01HPQQF6Y</t>
  </si>
  <si>
    <t>MiYang Women's One Piece High Waist Shaping Body Swim Dress Spa Swimwear, Dark Blue Flower, 3XL (US Large size:12-14)</t>
  </si>
  <si>
    <t>YZ-KL5020MF-M</t>
  </si>
  <si>
    <t>X001QES9NZ</t>
  </si>
  <si>
    <t>B07C8QTKHT</t>
  </si>
  <si>
    <t>MiYang Women's One Piece High Waist Printing Swim Dress Padded Swimwear Medium (US Size:8-10)</t>
  </si>
  <si>
    <t>YZ-KL5020ST4L</t>
  </si>
  <si>
    <t>X00140KO61</t>
  </si>
  <si>
    <t>B01F4YOBQK</t>
  </si>
  <si>
    <t>MiYang Women's One Piece High Waist Shaping Body Swim Dress Spa Swimwear,Tag Size 4XL=US Size XL(16-18),Navy Stripe</t>
  </si>
  <si>
    <t>YZ-KL5020FL2L</t>
  </si>
  <si>
    <t>X001449JXL</t>
  </si>
  <si>
    <t>B01F4YO5YI</t>
  </si>
  <si>
    <t>MiYang Women's One Piece High Waist Printing Swim Dress Swimwear,Navy Flower,Medium(US size:8-10)</t>
  </si>
  <si>
    <t>YZ-KL5020ST1L</t>
  </si>
  <si>
    <t>X0013MIV1Z</t>
  </si>
  <si>
    <t>B01F4YO5Y8</t>
  </si>
  <si>
    <t>MiYangWomen'sOnePieceHighWaistPrintingSwimDressSwimwear,NavyStripe,TAGSIZE(XL)Small(USsize:4-6)</t>
  </si>
  <si>
    <t>YZ-MU181-OR-M</t>
  </si>
  <si>
    <t>X001Q18G3V</t>
  </si>
  <si>
    <t>B07BDJL36J</t>
  </si>
  <si>
    <t>MiYang Padded Push up Brazilian Thong Bikini Sets 2018 Swimsuits for Women Orange M</t>
  </si>
  <si>
    <t>YZ-MU181-Gr-S</t>
  </si>
  <si>
    <t>X001PZ2VH5</t>
  </si>
  <si>
    <t>B07BDFBQY8</t>
  </si>
  <si>
    <t>MiYang Padded Push up Brazilian Thong Bikini Sets 2018 Swimsuits for Women Yellow S</t>
  </si>
  <si>
    <t>YZ-MU181-B0-2XL</t>
  </si>
  <si>
    <t>X001R8M8HN</t>
  </si>
  <si>
    <t>B07CH2NMTB</t>
  </si>
  <si>
    <t>MiYang Padded Push up Brazilian Thong Bikini Sets 2018 Swimsuits for Women Blue XXL</t>
  </si>
  <si>
    <t>YZ-MU181-Gr-M</t>
  </si>
  <si>
    <t>X001Q18G4F</t>
  </si>
  <si>
    <t>B07BDJKGSS</t>
  </si>
  <si>
    <t>MiYang Padded Push up Brazilian Thong Bikini Sets 2018 Swimsuits for Women Yellow M</t>
  </si>
  <si>
    <t>YZ-MU181-K0-XL</t>
  </si>
  <si>
    <t>X001PZ2W1P</t>
  </si>
  <si>
    <t>B07BDD7LMG</t>
  </si>
  <si>
    <t>MiYang Padded Push up Brazilian Thong Bikini Sets 2018 Swimsuits for Women Black XL</t>
  </si>
  <si>
    <t>YZ-MU180-E0-L</t>
  </si>
  <si>
    <t>X001Q0DSKX</t>
  </si>
  <si>
    <t>B07BFB28WT</t>
  </si>
  <si>
    <t>Women Bikini Sets Brazilian Padded Top Thong Cheeky Bikini Bottom 2PCs 2018 Swimsuit for Women Grey L</t>
  </si>
  <si>
    <t>YZ-MU180-B0-S</t>
  </si>
  <si>
    <t>X001Q03KNX</t>
  </si>
  <si>
    <t>B07BF9SJ21</t>
  </si>
  <si>
    <t>Women Bikini Sets Brazilian Padded Top Thong Cheeky Bikini Bottom 2PCs 2018 Swimsuit for Women Blue S</t>
  </si>
  <si>
    <t>YZ-MU180-WI-M</t>
  </si>
  <si>
    <t>X001Q1DOXN</t>
  </si>
  <si>
    <t>B07BF6FBR7</t>
  </si>
  <si>
    <t>Women Bikini Sets Brazilian Padded Top Thong Cheeky Bikini Bottom 2PCs 2018 Swimsuit for Women Wine Red M</t>
  </si>
  <si>
    <t>YZ-MU180-K0-M</t>
  </si>
  <si>
    <t>X001Q2HYCT</t>
  </si>
  <si>
    <t>B07BFBM7MM</t>
  </si>
  <si>
    <t>Women Bikini Sets Brazilian Padded Top Thong Cheeky Bikini Bottom 2PCs 2018 Swimsuit for Women Black M</t>
  </si>
  <si>
    <t>YZ-MU2500-K0-M</t>
  </si>
  <si>
    <t>X001S6OMTV</t>
  </si>
  <si>
    <t>B07D34HBS1</t>
  </si>
  <si>
    <t>Thong One Piece High Cut Cheeky Bikini Monokini Swimsuit</t>
  </si>
  <si>
    <t>YZ-MU180-K0-S</t>
  </si>
  <si>
    <t>X001Q1DOXX</t>
  </si>
  <si>
    <t>B07BF3XYRF</t>
  </si>
  <si>
    <t>Women Bikini Sets Brazilian Padded Top Thong Cheeky Bikini Bottom 2PCs 2018 Swimsuit for Women Black S</t>
  </si>
  <si>
    <t>YZ-MU180-OR-S</t>
  </si>
  <si>
    <t>X001Q1E75R</t>
  </si>
  <si>
    <t>B07BF99WV7</t>
  </si>
  <si>
    <t>Women Bikini Sets Brazilian Padded Top Thong Cheeky Bikini Bottom 2PCs 2018 Swimsuit for Women Orange S</t>
  </si>
  <si>
    <t>YZ-MU181-W0-L</t>
  </si>
  <si>
    <t>X001Q18G3L</t>
  </si>
  <si>
    <t>B07BDCZNZ3</t>
  </si>
  <si>
    <t>MiYang Padded Push up Brazilian Thong Bikini Sets 2018 Swimsuits for Women White L</t>
  </si>
  <si>
    <t>YZ-MU181-G0-M</t>
  </si>
  <si>
    <t>X001R8TA6F</t>
  </si>
  <si>
    <t>B07CH8W1XM</t>
  </si>
  <si>
    <t>MiYang Padded Push up Brazilian Thong Bikini Sets 2018 Swimsuits for Women Army Green M</t>
  </si>
  <si>
    <t>YZ-MU181-W0-S</t>
  </si>
  <si>
    <t>X001Q18G45</t>
  </si>
  <si>
    <t>B07BDJM2W3</t>
  </si>
  <si>
    <t>MiYang Padded Push up Brazilian Thong Bikini Sets 2018 Swimsuits for Women White S</t>
  </si>
  <si>
    <t>YZ-MU180-OR-XL</t>
  </si>
  <si>
    <t>X001Q2D6RL</t>
  </si>
  <si>
    <t>B07BF99FQ3</t>
  </si>
  <si>
    <t>Women Bikini Sets Brazilian Padded Top Thong Cheeky Bikini Bottom 2PCs 2018 Swimsuit for Women Orange XL</t>
  </si>
  <si>
    <t>YZ-MU181-Wi-S</t>
  </si>
  <si>
    <t>X001R89E25</t>
  </si>
  <si>
    <t>B07CH9G4R9</t>
  </si>
  <si>
    <t>MiYang Padded Push up Brazilian Thong Bikini Sets 2018 Swimsuits for Women Burgundy S</t>
  </si>
  <si>
    <t>YZ-MU181-R0-S</t>
  </si>
  <si>
    <t>X001Q1930B</t>
  </si>
  <si>
    <t>B07BDGBXYG</t>
  </si>
  <si>
    <t>MiYang Padded Push up Brazilian Thong Bikini Sets 2018 Swimsuits for Women Red S</t>
  </si>
  <si>
    <t>YZ-MU181-Wi-M</t>
  </si>
  <si>
    <t>X001R89E1V</t>
  </si>
  <si>
    <t>B07CH9CL36</t>
  </si>
  <si>
    <t>MiYang Padded Push up Brazilian Thong Bikini Sets 2018 Swimsuits for Women Burgundy M</t>
  </si>
  <si>
    <t>YZ-MU181-K0-M</t>
  </si>
  <si>
    <t>X001Q191SP</t>
  </si>
  <si>
    <t>B07BDDN4NR</t>
  </si>
  <si>
    <t>MiYang Padded Push up Brazilian Thong Bikini Sets 2018 Swimsuits for Women Black M</t>
  </si>
  <si>
    <t>YZ-MU181-R0-L</t>
  </si>
  <si>
    <t>X001PZ4KYR</t>
  </si>
  <si>
    <t>B07BDM7YRZ</t>
  </si>
  <si>
    <t>MiYang Padded Push up Brazilian Thong Bikini Sets 2018 Swimsuits for Women Red L</t>
  </si>
  <si>
    <t>YZ-MU181-Gr-2XL</t>
  </si>
  <si>
    <t>X001Q191SZ</t>
  </si>
  <si>
    <t>B07BDG9CZ9</t>
  </si>
  <si>
    <t>MiYang Padded Push up Brazilian Thong Bikini Sets 2018 Swimsuits for Women Yellow XXL</t>
  </si>
  <si>
    <t>YZ-MU181-Wi-L</t>
  </si>
  <si>
    <t>X001R8X1ER</t>
  </si>
  <si>
    <t>B07CH13RFY</t>
  </si>
  <si>
    <t>MiYang Padded Push up Brazilian Thong Bikini Sets 2018 Swimsuits for Women Burgundy L</t>
  </si>
  <si>
    <t>YZ-MU181-B0-XL</t>
  </si>
  <si>
    <t>X001R8TW3L</t>
  </si>
  <si>
    <t>B07CH8D57F</t>
  </si>
  <si>
    <t>MiYang Padded Push up Brazilian Thong Bikini Sets 2018 Swimsuits for Women Blue XL</t>
  </si>
  <si>
    <t>YZ-MU180-E0-S</t>
  </si>
  <si>
    <t>X001Q2D7BL</t>
  </si>
  <si>
    <t>B07BF7WS2Q</t>
  </si>
  <si>
    <t>Women Bikini Sets Brazilian Padded Top Thong Cheeky Bikini Bottom 2PCs 2018 Swimsuit for Women Grey S</t>
  </si>
  <si>
    <t>YZ-MU180-WI-XL</t>
  </si>
  <si>
    <t>X001Q2IDMJ</t>
  </si>
  <si>
    <t>B07BF7WS2P</t>
  </si>
  <si>
    <t>Women Bikini Sets Brazilian Padded Top Thong Cheeky Bikini Bottom 2PCs 2018 Swimsuit for Women Wine Red XL</t>
  </si>
  <si>
    <t>YZ-MU181-G0-L</t>
  </si>
  <si>
    <t>X001R8SSGX</t>
  </si>
  <si>
    <t>B07CH1511Y</t>
  </si>
  <si>
    <t>MiYang Padded Push up Brazilian Thong Bikini Sets 2018 Swimsuits for Women Army Green L</t>
  </si>
  <si>
    <t>YZ-MU181-W0-XL</t>
  </si>
  <si>
    <t>X001PZ4KY7</t>
  </si>
  <si>
    <t>B07BDBTQQQ</t>
  </si>
  <si>
    <t>MiYang Padded Push up Brazilian Thong Bikini Sets 2018 Swimsuits for Women White XL</t>
  </si>
  <si>
    <t>YZ-MU2631-ZL-2XL</t>
  </si>
  <si>
    <t>X001SY4GVH</t>
  </si>
  <si>
    <t>B07DMFM265</t>
  </si>
  <si>
    <t>MiYang Women's One Piece Striped Slim Swim Dress Bathing Swimwear Navy XX-Large US 20-22</t>
  </si>
  <si>
    <t>YZ-MU181-W0-M</t>
  </si>
  <si>
    <t>X001PZ438F</t>
  </si>
  <si>
    <t>B07BDHGV81</t>
  </si>
  <si>
    <t>MiYang Padded Push up Brazilian Thong Bikini Sets 2018 Swimsuits for Women White M</t>
  </si>
  <si>
    <t>YZ-MU180-E0-M</t>
  </si>
  <si>
    <t>X001Q03KKB</t>
  </si>
  <si>
    <t>B07BF7XZ7H</t>
  </si>
  <si>
    <t>Women Bikini Sets Brazilian Padded Top Thong Cheeky Bikini Bottom 2PCs 2018 Swimsuit for Women Grey M</t>
  </si>
  <si>
    <t>YZ-MU180-K0-L</t>
  </si>
  <si>
    <t>X001Q2IDM9</t>
  </si>
  <si>
    <t>B07BF5J23T</t>
  </si>
  <si>
    <t>Women Bikini Sets Brazilian Padded Top Thong Cheeky Bikini Bottom 2PCs 2018 Swimsuit for Women Black L</t>
  </si>
  <si>
    <t>YZ-MU2631-ZL-3XL</t>
  </si>
  <si>
    <t>X001SZ5LZV</t>
  </si>
  <si>
    <t>B07DMGQZN1</t>
  </si>
  <si>
    <t>MiYang Women's One Piece Striped Slim Swim Dress Bathing Swimwear Navy XXX-Large US 22-24</t>
  </si>
  <si>
    <t>YZ-MU180-E0-XL</t>
  </si>
  <si>
    <t>X001Q1EE55</t>
  </si>
  <si>
    <t>B07BF81GTN</t>
  </si>
  <si>
    <t>Women Bikini Sets Brazilian Padded Top Thong Cheeky Bikini Bottom 2PCs 2018 Swimsuit for Women Grey XL</t>
  </si>
  <si>
    <t>YZ-MU181-W0-2XL</t>
  </si>
  <si>
    <t>X001PZ4KV5</t>
  </si>
  <si>
    <t>B07BDHFQFR</t>
  </si>
  <si>
    <t>MiYang Padded Push up Brazilian Thong Bikini Sets 2018 Swimsuits for Women White XXL</t>
  </si>
  <si>
    <t>YZ-MU181-K0-S</t>
  </si>
  <si>
    <t>X001PZ4KMJ</t>
  </si>
  <si>
    <t>B07BDGXWJ3</t>
  </si>
  <si>
    <t>MiYang Padded Push up Brazilian Thong Bikini Sets 2018 Swimsuits for Women Black S</t>
  </si>
  <si>
    <t>YZ-MU2500-W0-S</t>
  </si>
  <si>
    <t>X001S731K1</t>
  </si>
  <si>
    <t>B07D34SMKB</t>
  </si>
  <si>
    <t>YZ-MU181-K0-L</t>
  </si>
  <si>
    <t>X001PZ2W1Z</t>
  </si>
  <si>
    <t>B07BDCH6TS</t>
  </si>
  <si>
    <t>MiYang Padded Push up Brazilian Thong Bikini Sets 2018 Swimsuits for Women Black L</t>
  </si>
  <si>
    <t>YZ-MU181-R0-M</t>
  </si>
  <si>
    <t>X001PZ4KVF</t>
  </si>
  <si>
    <t>B07BDJ6B11</t>
  </si>
  <si>
    <t>MiYang Padded Push up Brazilian Thong Bikini Sets 2018 Swimsuits for Women Red M</t>
  </si>
  <si>
    <t>YZ-MU181-B0-L</t>
  </si>
  <si>
    <t>X001R877PB</t>
  </si>
  <si>
    <t>B07CH7PVQC</t>
  </si>
  <si>
    <t>MiYang Padded Push up Brazilian Thong Bikini Sets 2018 Swimsuits for Women Blue L</t>
  </si>
  <si>
    <t>YZ-MU511-ZLYH-2XL</t>
  </si>
  <si>
    <t>X001Q4T0AL</t>
  </si>
  <si>
    <t>B07BHLSSLC</t>
  </si>
  <si>
    <t>MiYang Women's Plus-Size Polka Dot Floral Shaping Body One Piece Swim Dresses Swimsuit 2XL</t>
  </si>
  <si>
    <t>YZ-MU511-ZLSY-3XL</t>
  </si>
  <si>
    <t>X001Q4T0AB</t>
  </si>
  <si>
    <t>B07BHGN5NB</t>
  </si>
  <si>
    <t>MiYang Women's Plus-Size Polka Dot Shaping Body One Piece Swim Dresses Swimsuit 3XL Leaves Print</t>
  </si>
  <si>
    <t>YZ-MU5506-K0-M</t>
  </si>
  <si>
    <t>X001R9G4P9</t>
  </si>
  <si>
    <t>B07CJQYVT2</t>
  </si>
  <si>
    <t>MiYang Active Striped Racerback Tankini with Swim Briefs Two Piece Swimsuit for Women Black and White M</t>
  </si>
  <si>
    <t>YZ-MU511-ZLBD-3XL</t>
  </si>
  <si>
    <t>X001OS6A3T</t>
  </si>
  <si>
    <t>B079DP66PS</t>
  </si>
  <si>
    <t>MiYang Women's Plus-Size Polka Dot Shaping Body One Piece Swim Dresses Swimsuit 3XL Navy Polka Dot</t>
  </si>
  <si>
    <t>YZ-MU511-ZLYH-3XL</t>
  </si>
  <si>
    <t>X001Q48B97</t>
  </si>
  <si>
    <t>B07BHKHVLJ</t>
  </si>
  <si>
    <t>MiYang Women's Plus-Size Polka Dot Floral Shaping Body One Piece Swim Dresses Swimsuit 3XL</t>
  </si>
  <si>
    <t>YZ-MU511-ZLSY-M</t>
  </si>
  <si>
    <t>X001Q48B8X</t>
  </si>
  <si>
    <t>B07BHKG2H8</t>
  </si>
  <si>
    <t>MiYang Women's Plus-Size Polka Dot Shaping Body One Piece Swim Dresses Swimsuit M Leaves Print</t>
  </si>
  <si>
    <t>YZ-MU511-ZLBD-L</t>
  </si>
  <si>
    <t>X001OSCKA1</t>
  </si>
  <si>
    <t>B079DQDPF1</t>
  </si>
  <si>
    <t>MiYang Women's Plus-Size Polka Dot Shaping Body One Piece Swim Dresses Swimsuit L Navy Polka Dot</t>
  </si>
  <si>
    <t>YZ-MU5506-K0-XS</t>
  </si>
  <si>
    <t>X001R8Q4OL</t>
  </si>
  <si>
    <t>B07CHJQXY3</t>
  </si>
  <si>
    <t>MiYang Active Striped Racerback Tankini with Swim Briefs Two Piece Swimsuit for Women Black and White XS</t>
  </si>
  <si>
    <t>YZ-MU511-K0BD-2XL</t>
  </si>
  <si>
    <t>X001OSPIKF</t>
  </si>
  <si>
    <t>B079DP44JF</t>
  </si>
  <si>
    <t>MiYang Women's Plus-Size Polka Dot Shaping Body One Piece Swim Dresses Swimsuit 2XL Black Polka Dot</t>
  </si>
  <si>
    <t>YZ-MU511-ZLBD-XL</t>
  </si>
  <si>
    <t>X001OSPI2X</t>
  </si>
  <si>
    <t>B079DQKM6H</t>
  </si>
  <si>
    <t>MiYang Women's Plus-Size Polka Dot Shaping Body One Piece Swim Dresses Swimsuit XL Navy Polka Dot</t>
  </si>
  <si>
    <t>YZ-MU511-ZLYH-M</t>
  </si>
  <si>
    <t>X001Q487N7</t>
  </si>
  <si>
    <t>B07BHGM9NR</t>
  </si>
  <si>
    <t>MiYang Women's Plus-Size Polka Dot Floral Shaping Body One Piece Swim Dresses Swimsuit M</t>
  </si>
  <si>
    <t>YZ-MU511-ZLYH-XL</t>
  </si>
  <si>
    <t>X001Q487MX</t>
  </si>
  <si>
    <t>B07BHGRSCT</t>
  </si>
  <si>
    <t>MiYang Women's Plus-Size Polka Dot Floral Shaping Body One Piece Swim Dresses Swimsuit XL</t>
  </si>
  <si>
    <t>YZ-MU5129-G0YH-L</t>
  </si>
  <si>
    <t>X001RG3SY7</t>
  </si>
  <si>
    <t>B07CLMDRC1</t>
  </si>
  <si>
    <t>MiYang Plus Size Floral Swimwear One Piece Swimdress for Women Skirted Swimsuit Yellow Floral Large(US 12-14)</t>
  </si>
  <si>
    <t>YZ-MU511-ZLBD-2XL</t>
  </si>
  <si>
    <t>X001OSP19N</t>
  </si>
  <si>
    <t>B079DQ8T8R</t>
  </si>
  <si>
    <t>MiYang Women's Plus-Size Polka Dot Shaping Body One Piece Swim Dresses Swimsuit 2XL Navy Polka Dot</t>
  </si>
  <si>
    <t>YZ-MU511-K0BD-4XL</t>
  </si>
  <si>
    <t>X001S69S59</t>
  </si>
  <si>
    <t>B07D2724PY</t>
  </si>
  <si>
    <t>MiYang Women's Plus-Size Polka Dot Shaping Body One Piece Swim Dresses Swimsuit 4XL Black</t>
  </si>
  <si>
    <t>YZ-MU511-K0BD-XL</t>
  </si>
  <si>
    <t>X001OSOZTZ</t>
  </si>
  <si>
    <t>B079DNYR46</t>
  </si>
  <si>
    <t>MiYang Women's Plus-Size Polka Dot Shaping Body One Piece Swim Dresses Swimsuit XL Black Polka Dot</t>
  </si>
  <si>
    <t>YZ-MU511-K0BD-L</t>
  </si>
  <si>
    <t>X001OQRTOF</t>
  </si>
  <si>
    <t>B079DN65B2</t>
  </si>
  <si>
    <t>MiYang Women's Plus-Size Polka Dot Shaping Body One Piece Swim Dresses Swimsuit L Black Polka Dot</t>
  </si>
  <si>
    <t>YZ-MU5506-ZL-S</t>
  </si>
  <si>
    <t>X001R8THIL</t>
  </si>
  <si>
    <t>B07CHFWVJF</t>
  </si>
  <si>
    <t>MiYang Active Striped Racerback Tankini with Swim Briefs Two Piece Swimsuit for Women Navy and White S</t>
  </si>
  <si>
    <t>YZ-MU511-K0BD-3XL</t>
  </si>
  <si>
    <t>X001OQUMAD</t>
  </si>
  <si>
    <t>B079DPWMTY</t>
  </si>
  <si>
    <t>MiYang Women's Plus-Size Polka Dot Shaping Body One Piece Swim Dresses Swimsuit 3XL Black Polka Dot</t>
  </si>
  <si>
    <t>YZ-MU511-ZLSY-XL</t>
  </si>
  <si>
    <t>X001Q4T0A1</t>
  </si>
  <si>
    <t>B07BHGP2JX</t>
  </si>
  <si>
    <t>MiYang Women's Plus-Size Polka Dot Shaping Body One Piece Swim Dresses Swimsuit XL Leaves Print</t>
  </si>
  <si>
    <t>YZ-MU511-ZLYH-L</t>
  </si>
  <si>
    <t>X001Q4DEAD</t>
  </si>
  <si>
    <t>B07BHGY1VY</t>
  </si>
  <si>
    <t>MiYang Women's Plus-Size Polka Dot Floral Shaping Body One Piece Swim Dresses Swimsuit L</t>
  </si>
  <si>
    <t>YZ-MU511-ZLSY-2XL</t>
  </si>
  <si>
    <t>X001Q4DEAN</t>
  </si>
  <si>
    <t>B07BHGTCLD</t>
  </si>
  <si>
    <t>MiYang Women's Plus-Size Polka Dot Shaping Body One Piece Swim Dresses Swimsuit 2XL Leaves Print</t>
  </si>
  <si>
    <t>YZ-MU5129-K0-2XL</t>
  </si>
  <si>
    <t>X001REKR6V</t>
  </si>
  <si>
    <t>B07CKVWVXT</t>
  </si>
  <si>
    <t>MiYang Plus Size Floral Swimwear One Piece Swimdress for Women Skirted Swimsuit Black 2XL(US 20-22)</t>
  </si>
  <si>
    <t>YZ-MU5506-ZL-XS</t>
  </si>
  <si>
    <t>X001R8B4IH</t>
  </si>
  <si>
    <t>B07CH3DJH5</t>
  </si>
  <si>
    <t>MiYang Active Striped Racerback Tankini with Swim Briefs Two Piece Swimsuit for Women Navy and White XS</t>
  </si>
  <si>
    <t>YZ-MUBK187-R2-M</t>
  </si>
  <si>
    <t>X001RYOPSR</t>
  </si>
  <si>
    <t>B07CYPKD75</t>
  </si>
  <si>
    <t>High Waisted Bikini Set Sporty High Cut Cheeky Bottom Two Piece Swimsuit, Rose, Medium</t>
  </si>
  <si>
    <t>YZ-MUBK187-K0-L</t>
  </si>
  <si>
    <t>X001QBZH51</t>
  </si>
  <si>
    <t>B07BMVNKNW</t>
  </si>
  <si>
    <t>High Waisted Bikini Set Sporty High Cut Cheeky Bottom Two Piece Swimsuit Black</t>
  </si>
  <si>
    <t>YZ-MUBK187-G7-L</t>
  </si>
  <si>
    <t>X001QEYUVZ</t>
  </si>
  <si>
    <t>B07BMVNCFZ</t>
  </si>
  <si>
    <t>High Waisted Bikini Set Sporty High Cut Cheeky Bottom Two Piece Swimsuit Army</t>
  </si>
  <si>
    <t>YZ-MUBK187-K0-2XL</t>
  </si>
  <si>
    <t>X001QC6C95</t>
  </si>
  <si>
    <t>B07BMTTZRC</t>
  </si>
  <si>
    <t>YZ-MUC19P-K0-XL</t>
  </si>
  <si>
    <t>X001R674IN</t>
  </si>
  <si>
    <t>B07C7X4GVJ</t>
  </si>
  <si>
    <t>MiYang Twist Front Bandeau Bikini Top Hipster Bottom Set Two Piece Swimsuit for Women Black US 12-14</t>
  </si>
  <si>
    <t>YZ-MUBK187-B0-S</t>
  </si>
  <si>
    <t>X001RYK2E3</t>
  </si>
  <si>
    <t>B07CYLVFCN</t>
  </si>
  <si>
    <t>High Waisted Bikini Set Sporty High Cut Cheeky Bottom Two Piece Swimsuit Purple</t>
  </si>
  <si>
    <t>YZ-MUBK187-Y0-XL</t>
  </si>
  <si>
    <t>X001QEZ9OH</t>
  </si>
  <si>
    <t>B07C8KVR3Z</t>
  </si>
  <si>
    <t>High Waisted Bikini Set Sporty High Cut Cheeky Bottom Two Piece Swimsuit Yellow</t>
  </si>
  <si>
    <t>YZ-MUBK187-B0-L</t>
  </si>
  <si>
    <t>X001RYN68H</t>
  </si>
  <si>
    <t>B07CYVX7XL</t>
  </si>
  <si>
    <t>YZ-MUBD001-R0-L</t>
  </si>
  <si>
    <t>X001PSUOFN</t>
  </si>
  <si>
    <t>B07B7KFRHD</t>
  </si>
  <si>
    <t>Womens High Waisted Bikini Set Flounce Top Two Piece Polka Dot Swimsuit</t>
  </si>
  <si>
    <t>YZ-MUBK187-B0-M</t>
  </si>
  <si>
    <t>X001RYPBD5</t>
  </si>
  <si>
    <t>B07CZ3VGFG</t>
  </si>
  <si>
    <t>YZ-MUBD001-R0-XS</t>
  </si>
  <si>
    <t>X001PRH1FF</t>
  </si>
  <si>
    <t>B07B7KFRHB</t>
  </si>
  <si>
    <t>YZ-MUBK187-G7-XL</t>
  </si>
  <si>
    <t>X001QBZGWZ</t>
  </si>
  <si>
    <t>B07BMVN76D</t>
  </si>
  <si>
    <t>YZ-MUBK187-BD-M</t>
  </si>
  <si>
    <t>X001QBKN05</t>
  </si>
  <si>
    <t>B07BMX27C9</t>
  </si>
  <si>
    <t>High Waisted Bikini Set Sporty High Cut Cheeky Bottom Two Piece Swimsuit Burgundy</t>
  </si>
  <si>
    <t>YZ-MUBK187-K0-S</t>
  </si>
  <si>
    <t>X001QBZH7J</t>
  </si>
  <si>
    <t>B07BMTVWV2</t>
  </si>
  <si>
    <t>YZ-MUBK187-K0-M</t>
  </si>
  <si>
    <t>X001QESEFD</t>
  </si>
  <si>
    <t>B07C8LWXVZ</t>
  </si>
  <si>
    <t>YZ-MUC19P-OR-2XL</t>
  </si>
  <si>
    <t>X001R6QDDF</t>
  </si>
  <si>
    <t>B07C7X54V6</t>
  </si>
  <si>
    <t>MiYang Twist Front Bandeau Bikini Top Hipster Bottom Set Two Piece Swimsuit for Women Orange US 14-16</t>
  </si>
  <si>
    <t>YZ-MUBK187-Y0-S</t>
  </si>
  <si>
    <t>X001QEZ1LN</t>
  </si>
  <si>
    <t>B07BMTV49H</t>
  </si>
  <si>
    <t>YZ-MULE001-W0-XS</t>
  </si>
  <si>
    <t>X001PSW9K1</t>
  </si>
  <si>
    <t>B07B7L4RR4</t>
  </si>
  <si>
    <t>Womens High Waisted Bikini Set Flounce Top Two Piece Green Leaves Swimsuit</t>
  </si>
  <si>
    <t>YZ-MUCS186-OR-M</t>
  </si>
  <si>
    <t>X001QATI9X</t>
  </si>
  <si>
    <t>B07BLSQ9D2</t>
  </si>
  <si>
    <t>MiYang One Piece Halter Swimsuit Cutout Leaves Printing Stripe Swimwear</t>
  </si>
  <si>
    <t>YZ-MUCS186-G0-M</t>
  </si>
  <si>
    <t>X001QBDVWH</t>
  </si>
  <si>
    <t>B07C8GQ9YF</t>
  </si>
  <si>
    <t>YZ-MULE001-W0-S</t>
  </si>
  <si>
    <t>X001PSUOFX</t>
  </si>
  <si>
    <t>B07B7LG5CH</t>
  </si>
  <si>
    <t>YZ-MULE001-W0-L</t>
  </si>
  <si>
    <t>X001PR4MYX</t>
  </si>
  <si>
    <t>B07B7JL2Q5</t>
  </si>
  <si>
    <t>YZ-MUHM511-ZL-4XL</t>
  </si>
  <si>
    <t>X001OSCJZR</t>
  </si>
  <si>
    <t>B079DPLM98</t>
  </si>
  <si>
    <t>MiYang Women's Plus-Size Flower Printing Shaping Body One Piece Swim Dresses Navy Blue 4XL</t>
  </si>
  <si>
    <t>YZ-MUCLC19-W0-S</t>
  </si>
  <si>
    <t>X001OJ05JN</t>
  </si>
  <si>
    <t>B0795FD395</t>
  </si>
  <si>
    <t>MiYang Twist Front Bandeau Bikini Top Hipster Bottom Set Two Piece Swimsuit for Petite Women White US 0-2</t>
  </si>
  <si>
    <t>YZ-MUCS186-OR-L</t>
  </si>
  <si>
    <t>X001QATMI5</t>
  </si>
  <si>
    <t>B07BLRSMG6</t>
  </si>
  <si>
    <t>YZ-MUCLC19-R0-S</t>
  </si>
  <si>
    <t>X001OIZY6D</t>
  </si>
  <si>
    <t>B0795G31RW</t>
  </si>
  <si>
    <t>MiYang Twist Front Bandeau Bikini Top Hipster Bottom Set Two Piece Swimsuit for Women Red US 0-2</t>
  </si>
  <si>
    <t>YZ-MUTW32-BTW-2XL</t>
  </si>
  <si>
    <t>X001QW8UP9</t>
  </si>
  <si>
    <t>B07C1MCRDX</t>
  </si>
  <si>
    <t>Push up Striped Bikini Sets Two Pieces V Neck Tie Front Swimsuit Blue Striped</t>
  </si>
  <si>
    <t>YZ-MUSM807-K0-L</t>
  </si>
  <si>
    <t>X001QWMGO5</t>
  </si>
  <si>
    <t>B07C1KXFGX</t>
  </si>
  <si>
    <t>Push up Striped Bikini Sets Two Pieces V Neck Tie Front Swimsuit Black Polka Dot</t>
  </si>
  <si>
    <t>YZ-MUSM807-K0-M</t>
  </si>
  <si>
    <t>X001QW8UOF</t>
  </si>
  <si>
    <t>B07C1KXY7B</t>
  </si>
  <si>
    <t>YZ-MUTW32-BTW-XL</t>
  </si>
  <si>
    <t>X001QVWF8X</t>
  </si>
  <si>
    <t>B07C1LZKX3</t>
  </si>
  <si>
    <t>YZ-MUYF181-G0-XL</t>
  </si>
  <si>
    <t>X001OW2AQB</t>
  </si>
  <si>
    <t>B079JVQLPK</t>
  </si>
  <si>
    <t>Women Maternity Tankini Swimsuit Floral Pregnancy Plus Size Swimwear Pink Palm XL</t>
  </si>
  <si>
    <t>YZ-MUYF181-G0-L</t>
  </si>
  <si>
    <t>X001OW2AQV</t>
  </si>
  <si>
    <t>B079JLZKGX</t>
  </si>
  <si>
    <t>Women Maternity Tankini Swimsuit Floral Pregnancy Plus Size Swimwear Pink Palm L</t>
  </si>
  <si>
    <t>YZ-MUYF181-K0-2XL</t>
  </si>
  <si>
    <t>X001S5Z2K5</t>
  </si>
  <si>
    <t>B07D27J52R</t>
  </si>
  <si>
    <t>Women Maternity Tankini Swimsuit Floral Pregnancy Plus Size Swimwear Black 2XL</t>
  </si>
  <si>
    <t>YZ-MUYF181-G0-2XL</t>
  </si>
  <si>
    <t>X001OW1ZFD</t>
  </si>
  <si>
    <t>B079K4MYHW</t>
  </si>
  <si>
    <t>Women Maternity Tankini Swimsuit Floral Pregnancy Plus Size Swimwear Pink Palm 2XL</t>
  </si>
  <si>
    <t>YZ-MUYF182-R0-S</t>
  </si>
  <si>
    <t>X001PY5TW5</t>
  </si>
  <si>
    <t>B07BCDNW6R</t>
  </si>
  <si>
    <t>Halter Maternity Tankini Abstract Cutout Pregnancy Swimsuit Two Piece Beach Swimwear S</t>
  </si>
  <si>
    <t>YZ-MUWS32-K0-M</t>
  </si>
  <si>
    <t>X001QWWC9J</t>
  </si>
  <si>
    <t>B07C21SJ3Y</t>
  </si>
  <si>
    <t>Black One Piece Swimsuit High Neck V-Neckline Mesh Ruched Monokini燬winwear M US(8-10)</t>
  </si>
  <si>
    <t>YZ-MUYF181-B0-XL</t>
  </si>
  <si>
    <t>X001OX3OER</t>
  </si>
  <si>
    <t>B079JNS46Q</t>
  </si>
  <si>
    <t>Women Maternity Tankini Swimsuit Floral Pregnancy Plus Size Swimwear Blue Plus Size</t>
  </si>
  <si>
    <t>YZ-MUYF181-G0-M</t>
  </si>
  <si>
    <t>X001OVB9GJ</t>
  </si>
  <si>
    <t>B079JQHFSL</t>
  </si>
  <si>
    <t>Women Maternity Tankini Swimsuit Floral Pregnancy Plus Size Swimwear Pink Palm M</t>
  </si>
  <si>
    <t>YZ-MUYF181-K0-M</t>
  </si>
  <si>
    <t>X001S6AK2T</t>
  </si>
  <si>
    <t>B07D26WSDQ</t>
  </si>
  <si>
    <t>Women Maternity Tankini Swimsuit Floral Pregnancy Plus Size Swimwear Black M</t>
  </si>
  <si>
    <t>YZ-MUYF181-PI-M</t>
  </si>
  <si>
    <t>X001QD0PG5</t>
  </si>
  <si>
    <t>B079JRQ3GM</t>
  </si>
  <si>
    <t>Women Maternity Tankini Swimsuit Floral Pregnancy Plus Size Swimwear Pink M</t>
  </si>
  <si>
    <t>YZ-MUYF182-R0-2XL</t>
  </si>
  <si>
    <t>X001PXH2FD</t>
  </si>
  <si>
    <t>B07BC4SDDT</t>
  </si>
  <si>
    <t>Halter Maternity Tankini Abstract Cutout Pregnancy Swimsuit Two Piece Beach Swimwear 2XL</t>
  </si>
  <si>
    <t>YZ-MUYF181-G0-S</t>
  </si>
  <si>
    <t>X001OXGCL9</t>
  </si>
  <si>
    <t>B079JQS92R</t>
  </si>
  <si>
    <t>Women Maternity Tankini Swimsuit Floral Pregnancy Plus Size Swimwear Pink Palm S</t>
  </si>
  <si>
    <t>YZ-MUTW32-BTW-M</t>
  </si>
  <si>
    <t>X001QVWOYD</t>
  </si>
  <si>
    <t>B07C17GLG9</t>
  </si>
  <si>
    <t>YZ-MUYF181-B0-L</t>
  </si>
  <si>
    <t>X001OXG34F</t>
  </si>
  <si>
    <t>B079JVPJV5</t>
  </si>
  <si>
    <t>Women Maternity Tankini Swimsuit Floral Pregnancy Plus Size Swimwear Blue L</t>
  </si>
  <si>
    <t>YZ-MUYF181-B0-S</t>
  </si>
  <si>
    <t>X001OXG34P</t>
  </si>
  <si>
    <t>B079JXLRKN</t>
  </si>
  <si>
    <t>Women Maternity Tankini Swimsuit Floral Pregnancy Plus Size Swimwear Blue S</t>
  </si>
  <si>
    <t>YZ-MUTW32-PI-XL</t>
  </si>
  <si>
    <t>X001QWIZSL</t>
  </si>
  <si>
    <t>B07C1KXHZC</t>
  </si>
  <si>
    <t>Push up Striped Bikini Sets Two Pieces V Neck Tie Front Swimsuit Pink Striped</t>
  </si>
  <si>
    <t>YZ-MUTW32-BTW-L</t>
  </si>
  <si>
    <t>X001QVX0HD</t>
  </si>
  <si>
    <t>B07C1L2K4P</t>
  </si>
  <si>
    <t>YZ-MUYF181-K0-XL</t>
  </si>
  <si>
    <t>X001S6ALWN</t>
  </si>
  <si>
    <t>B07D26LVQW</t>
  </si>
  <si>
    <t>Women Maternity Tankini Swimsuit Floral Pregnancy Plus Size Swimwear Black XL</t>
  </si>
  <si>
    <t>YZ-MUYF181-PI-S</t>
  </si>
  <si>
    <t>X001OVB47D</t>
  </si>
  <si>
    <t>B079JNWFC5</t>
  </si>
  <si>
    <t>Women Maternity Tankini Swimsuit Floral Pregnancy Plus Size Swimwear Pink S</t>
  </si>
  <si>
    <t>YZ-MUYF182-R0-L</t>
  </si>
  <si>
    <t>X001PXH069</t>
  </si>
  <si>
    <t>B07BC88D2H</t>
  </si>
  <si>
    <t>Halter Maternity Tankini Abstract Cutout Pregnancy Swimsuit Two Piece Beach Swimwear L</t>
  </si>
  <si>
    <t>YZ-MUYF181-K0-S</t>
  </si>
  <si>
    <t>X001S6AVTB</t>
  </si>
  <si>
    <t>B07D28FSKB</t>
  </si>
  <si>
    <t>Women Maternity Tankini Swimsuit Floral Pregnancy Plus Size Swimwear Black S</t>
  </si>
  <si>
    <t>YZ-MUYF181-PI-L</t>
  </si>
  <si>
    <t>X001QF8LQ9</t>
  </si>
  <si>
    <t>B079K3F2MM</t>
  </si>
  <si>
    <t>Women Maternity Tankini Swimsuit Floral Pregnancy Plus Size Swimwear Pink L</t>
  </si>
  <si>
    <t>YZ-MUYF183-TW-L</t>
  </si>
  <si>
    <t>X001PY5U1Z</t>
  </si>
  <si>
    <t>B07BCBYWX5</t>
  </si>
  <si>
    <t>Striped Maternity Tankini Halter Pregnancy Swimsuit Two Piece L</t>
  </si>
  <si>
    <t>YZ-MUSM807-K0-S</t>
  </si>
  <si>
    <t>X001QWLZDD</t>
  </si>
  <si>
    <t>B07C1Q5KPQ</t>
  </si>
  <si>
    <t>YZ-MUYF181-B0-M</t>
  </si>
  <si>
    <t>X001OVGSGF</t>
  </si>
  <si>
    <t>B079JNY4Y4</t>
  </si>
  <si>
    <t>Women Maternity Tankini Swimsuit Floral Pregnancy Plus Size Swimwear Blue M</t>
  </si>
  <si>
    <t>YZ-MUYF183-TW-2XL</t>
  </si>
  <si>
    <t>X001PZK20D</t>
  </si>
  <si>
    <t>B07BCBZ36Q</t>
  </si>
  <si>
    <t>Striped Maternity Tankini Halter Pregnancy Swimsuit Two Piece 2XL</t>
  </si>
  <si>
    <t>YZ-MUYF181-WI-M</t>
  </si>
  <si>
    <t>X001T0KDF3</t>
  </si>
  <si>
    <t>B07DN4MGZ2</t>
  </si>
  <si>
    <t>Halter Maternity Tankini Floral Pregnancy Triangle Swimsuit Wine Red M</t>
  </si>
  <si>
    <t>YZ-MUYF181-PI-XL</t>
  </si>
  <si>
    <t>X001QD6QL3</t>
  </si>
  <si>
    <t>B079JVH2PF</t>
  </si>
  <si>
    <t>Women Maternity Tankini Swimsuit Floral Pregnancy Plus Size Swimwear Pink Plus Size</t>
  </si>
  <si>
    <t>YZ-MUYF181-B0-2XL</t>
  </si>
  <si>
    <t>X001OX3AGT</t>
  </si>
  <si>
    <t>B079JRQ19Z</t>
  </si>
  <si>
    <t>Women Maternity Tankini Swimsuit Floral Pregnancy Plus Size Swimwear Blue 2XL</t>
  </si>
  <si>
    <t>YZ-MUYF181-K0-L</t>
  </si>
  <si>
    <t>X001S69REL</t>
  </si>
  <si>
    <t>B07D27SJJG</t>
  </si>
  <si>
    <t>Women Maternity Tankini Swimsuit Floral Pregnancy Plus Size Swimwear Black L</t>
  </si>
  <si>
    <t>YZ-MUWS32-K0-S</t>
  </si>
  <si>
    <t>X001QX8IKP</t>
  </si>
  <si>
    <t>B07C22FDG6</t>
  </si>
  <si>
    <t>Black One Piece Swimsuit High Neck V-Neckline Mesh Ruched Monokini燬winwear S US(4-6)</t>
  </si>
  <si>
    <t>YZ-MUYF182-R0-XL</t>
  </si>
  <si>
    <t>X001PY5THF</t>
  </si>
  <si>
    <t>B07BC4YZKL</t>
  </si>
  <si>
    <t>Halter Maternity Tankini Abstract Cutout Pregnancy Swimsuit Plus Size Two Piece Beach Swimwear</t>
  </si>
  <si>
    <t>YZ-MUYF181-PI-2XL</t>
  </si>
  <si>
    <t>X001QF8VF5</t>
  </si>
  <si>
    <t>B079K53ZYF</t>
  </si>
  <si>
    <t>Women Maternity Tankini Swimsuit Floral Pregnancy Plus Size Swimwear Pink 2XL</t>
  </si>
  <si>
    <t>YZ-MUYF184-ZLBD-M</t>
  </si>
  <si>
    <t>X001SUFXLN</t>
  </si>
  <si>
    <t>B07DKGH17T</t>
  </si>
  <si>
    <t>Halter Neck Maternity Tankini Tie-dye Striped Swimsuit Set Navy Polka Dot M</t>
  </si>
  <si>
    <t>YZ-MUYF184-B0-S</t>
  </si>
  <si>
    <t>X001PY9C19</t>
  </si>
  <si>
    <t>B07BC8Z3WS</t>
  </si>
  <si>
    <t>Halter Neck Maternity Tankini Tie-dye Striped Swimsuit Set S</t>
  </si>
  <si>
    <t>YZ-MUYF184-K0-2XL</t>
  </si>
  <si>
    <t>X001SS68CX</t>
  </si>
  <si>
    <t>B07DJ1ZF5L</t>
  </si>
  <si>
    <t>Halter Neck Maternity Tankini Tie-dye Striped Swimsuit Set Black Polka Dot 2XL</t>
  </si>
  <si>
    <t>YZ-MUYF185-K0-L</t>
  </si>
  <si>
    <t>X001S9EQ6R</t>
  </si>
  <si>
    <t>B07D3K754D</t>
  </si>
  <si>
    <t>MiYang Women Maternity Tankini set Pregnant Two Piece Beach Swimwear Black L</t>
  </si>
  <si>
    <t>YZ-MUYF184-B0-XL</t>
  </si>
  <si>
    <t>X001PZL1IF</t>
  </si>
  <si>
    <t>B07BCBB8Y4</t>
  </si>
  <si>
    <t>Halter Neck Maternity Tankini Tie-dye Striped Swimsuit Set XL</t>
  </si>
  <si>
    <t>YZ-MUYF184-ZLBD-S</t>
  </si>
  <si>
    <t>X001SUFVZB</t>
  </si>
  <si>
    <t>B07DKD84MJ</t>
  </si>
  <si>
    <t>Halter Neck Maternity Tankini Tie-dye Striped Swimsuit Set Navy Polka Dot S</t>
  </si>
  <si>
    <t>YZ-MY1701-KO-S</t>
  </si>
  <si>
    <t>X001D67X3N</t>
  </si>
  <si>
    <t>B06XCLZ2TD</t>
  </si>
  <si>
    <t>MiYang Women's Black Shaping Body Swimdress with Bare Back and White Laces</t>
  </si>
  <si>
    <t>YZ-MYQZ1709-R0-XL</t>
  </si>
  <si>
    <t>X001DGGGFT</t>
  </si>
  <si>
    <t>B06XSTGSRV</t>
  </si>
  <si>
    <t>MiYang Plus Size Ruffle Adjustable Tank One Piece Swimdress With Shorts</t>
  </si>
  <si>
    <t>YZ-MUYF184-B0-2XL</t>
  </si>
  <si>
    <t>X001PZK2DF</t>
  </si>
  <si>
    <t>B07BCBWK92</t>
  </si>
  <si>
    <t>Halter Neck Maternity Tankini Tie-dye Striped Swimsuit Set 2XL</t>
  </si>
  <si>
    <t>YZ-MUYF184-B0-M</t>
  </si>
  <si>
    <t>X001PZK2D5</t>
  </si>
  <si>
    <t>B07BC87299</t>
  </si>
  <si>
    <t>Halter Neck Maternity Tankini Tie-dye Striped Swimsuit Set M</t>
  </si>
  <si>
    <t>YZ-MUYF183-TW-XL</t>
  </si>
  <si>
    <t>X001PZLT37</t>
  </si>
  <si>
    <t>B07BC9Q6P2</t>
  </si>
  <si>
    <t>Striped Maternity Tankini Halter Pregnancy Swimsuit Two Piece XL</t>
  </si>
  <si>
    <t>YZ-MUYF185-K0-M</t>
  </si>
  <si>
    <t>X001S89KUZ</t>
  </si>
  <si>
    <t>B07D3K8CDB</t>
  </si>
  <si>
    <t>MiYang Women Maternity Tankini set Pregnant Two Piece Beach Swimwear Black M</t>
  </si>
  <si>
    <t>YZ-MUYF185-K0-XL</t>
  </si>
  <si>
    <t>X001S89L77</t>
  </si>
  <si>
    <t>B07D3KR92Z</t>
  </si>
  <si>
    <t>MiYang Women Maternity Tankini set Pregnant Two Piece Beach Swimwear Black XL</t>
  </si>
  <si>
    <t>YZ-MYQZ1709-R0-2XL</t>
  </si>
  <si>
    <t>X001DJ3V1D</t>
  </si>
  <si>
    <t>B06XSG9RYH</t>
  </si>
  <si>
    <t>MiYang Plus Size Ruffle Adjustable Tank One Piece Swimdress with Shorts</t>
  </si>
  <si>
    <t>YZ-MYQZ1709-R0-3XL</t>
  </si>
  <si>
    <t>X001DK0ZNT</t>
  </si>
  <si>
    <t>B06XSRF84W</t>
  </si>
  <si>
    <t>YZ-MUYF184-B0-L</t>
  </si>
  <si>
    <t>X001PZL153</t>
  </si>
  <si>
    <t>B07BC672J5</t>
  </si>
  <si>
    <t>Halter Neck Maternity Tankini Tie-dye Striped Swimsuit Set L</t>
  </si>
  <si>
    <t>YZ-MYQZ1709-K0-2XL</t>
  </si>
  <si>
    <t>X001DGM8RT</t>
  </si>
  <si>
    <t>B06XSYX7SG</t>
  </si>
  <si>
    <t>YZ-MUYF184-ZLBD-L</t>
  </si>
  <si>
    <t>X001SUFX81</t>
  </si>
  <si>
    <t>B07DKD8QPX</t>
  </si>
  <si>
    <t>Halter Neck Maternity Tankini Tie-dye Striped Swimsuit Set Navy Polka Dot L</t>
  </si>
  <si>
    <t>YZ-MUYF183-TW-M</t>
  </si>
  <si>
    <t>X001PXICXT</t>
  </si>
  <si>
    <t>B07BC8F9QK</t>
  </si>
  <si>
    <t>Striped Maternity Tankini Halter Pregnancy Swimsuit Two Piece M</t>
  </si>
  <si>
    <t>YZ-RF1123-B0-2X</t>
  </si>
  <si>
    <t>X001BALVP7</t>
  </si>
  <si>
    <t>B01N98BS2V</t>
  </si>
  <si>
    <t>Women One Piece High Cut Halter Swimsuit Retro High Waisted Bikini</t>
  </si>
  <si>
    <t>YZ-TJ1245W03L</t>
  </si>
  <si>
    <t>X0015YAVMD</t>
  </si>
  <si>
    <t>B01J71HSAC</t>
  </si>
  <si>
    <t>MiYang Women's Two Pieces Stripes Slim Tankini Suit Bathing Swimwear</t>
  </si>
  <si>
    <t>YZ-TJ1245G0L</t>
  </si>
  <si>
    <t>X00134VUPH</t>
  </si>
  <si>
    <t>B01DLSNDZG</t>
  </si>
  <si>
    <t>MiYang Women's Two Pieces Diamond Slim Tankini Suit Bathing Swimwear,Green,Small(US size:4-6)</t>
  </si>
  <si>
    <t>YZ-TJ1245W02L</t>
  </si>
  <si>
    <t>X00160A185</t>
  </si>
  <si>
    <t>B01J71HR3U</t>
  </si>
  <si>
    <t>YZ-TJ1245002L</t>
  </si>
  <si>
    <t>X00160A17V</t>
  </si>
  <si>
    <t>B01J71HTJM</t>
  </si>
  <si>
    <t>YZ-TJ1245W01L</t>
  </si>
  <si>
    <t>X0010BYSPH</t>
  </si>
  <si>
    <t>B01DLSNC8O</t>
  </si>
  <si>
    <t>MiYang Women's Two Pieces Stripes Slim Tankini Suit Bathing Swimwear White Medium (US 8-10)</t>
  </si>
  <si>
    <t>YZ-TJ1245G01L</t>
  </si>
  <si>
    <t>X0010BYSP7</t>
  </si>
  <si>
    <t>B01DLSNF6I</t>
  </si>
  <si>
    <t>MiYang Women's Two Pieces Diamond Slim Tankini Suit Bathing Swimwear,Green,Medium(US size:8-10)</t>
  </si>
  <si>
    <t>YZ-TJ1245001L</t>
  </si>
  <si>
    <t>X0010BYSOX</t>
  </si>
  <si>
    <t>B01DLSNBBC</t>
  </si>
  <si>
    <t>MiYang Women's Two Pieces Stripes Slim Tankini Suit Bathing Swimwear Orange Medium (US 8-10)</t>
  </si>
  <si>
    <t>YZ-TJ124500L</t>
  </si>
  <si>
    <t>X0013GA4GB</t>
  </si>
  <si>
    <t>B01DLSN9BY</t>
  </si>
  <si>
    <t>MiYang Women's Two Pieces Stripes Slim Tankini Suit Bathing Swimwear Orange Small (US 4-6)</t>
  </si>
  <si>
    <t>YZ-TJ1245W0L</t>
  </si>
  <si>
    <t>X0013OKSXR</t>
  </si>
  <si>
    <t>B01DLSNB76</t>
  </si>
  <si>
    <t>MiYang Women's Two Pieces Stripes Slim Tankini Suit Bathing Swimwear White Small (US 4-6)</t>
  </si>
  <si>
    <t>YZ-TJ1245003L</t>
  </si>
  <si>
    <t>X00160Q8JV</t>
  </si>
  <si>
    <t>B01J71HPMS</t>
  </si>
  <si>
    <t>MiYang Women's Two Pieces Stripes Slim Tankini Suit Bathing Swimwear Orange X-Large (US 16-18)</t>
  </si>
  <si>
    <t>YZ-TJ1245G03L</t>
  </si>
  <si>
    <t>X00160XLUF</t>
  </si>
  <si>
    <t>B01J71HRV2</t>
  </si>
  <si>
    <t>MiYang Women's Two Pieces Diamond Slim Tankini Suit Bathing Swimwear,XL,Green</t>
  </si>
  <si>
    <t>YZ-TJ1245-K0-M</t>
  </si>
  <si>
    <t>X001QEZI0H</t>
  </si>
  <si>
    <t>B07C8H7NXP</t>
  </si>
  <si>
    <t>MiYang Women's Padded High Waist Slim Tankini Set Bathing Swimwear Medium (US Size:8-10)</t>
  </si>
  <si>
    <t>YZ-TJ1245G02L</t>
  </si>
  <si>
    <t>X0015ZMMFV</t>
  </si>
  <si>
    <t>B01J71HQRW</t>
  </si>
  <si>
    <t>MiYang Women's Two Pieces Stripes Slim Tankini Suit Bathing Swimwear Green Large (US 12-14)</t>
  </si>
  <si>
    <t>YZ-TJ1245-K0-XL</t>
  </si>
  <si>
    <t>X001QEZH71</t>
  </si>
  <si>
    <t>B07BMWL13Y</t>
  </si>
  <si>
    <t>MiYang Women's Padded High Waist Slim Tankini Set Bathing Swimwear X-Large (US Size:16-18)</t>
  </si>
  <si>
    <t>YZ5060Y01L</t>
  </si>
  <si>
    <t>X0014F1A6J</t>
  </si>
  <si>
    <t>B01GJ2ARXM</t>
  </si>
  <si>
    <t>MiYang Women's Halter Polka Dot Tankini Swim Dress(Yellow XL)</t>
  </si>
  <si>
    <t>YZ1458K06XL</t>
  </si>
  <si>
    <t>X001Q9038T</t>
  </si>
  <si>
    <t>B07BK3GHBK</t>
  </si>
  <si>
    <t>MiYang Women's Plus Size Tassel One Piece Swimwear Black US 2XL (US 16-18)</t>
  </si>
  <si>
    <t>YZ5060Y0S</t>
  </si>
  <si>
    <t>X0014EUNZT</t>
  </si>
  <si>
    <t>B01GJ2BBKU</t>
  </si>
  <si>
    <t>MiYang Women's Halter Polka Dot Tankini Swim Dress(Yellow S)</t>
  </si>
  <si>
    <t>YZ5060B21L</t>
  </si>
  <si>
    <t>X001068CJF</t>
  </si>
  <si>
    <t>B01E89VL06</t>
  </si>
  <si>
    <t>MiYang Women's Halter Polka Dot Tankini Swim Dress(Deep Blue XL)</t>
  </si>
  <si>
    <t>YZ5060B2L</t>
  </si>
  <si>
    <t>X001068CJ5</t>
  </si>
  <si>
    <t>B01E89VK3E</t>
  </si>
  <si>
    <t>MiYang Women's Halter Polka Dot Tankini Swim Dress(Deep Blue L)</t>
  </si>
  <si>
    <t>YZ5060B2S</t>
  </si>
  <si>
    <t>X001068CIL</t>
  </si>
  <si>
    <t>B01E89VKPM</t>
  </si>
  <si>
    <t>MiYang Women's Halter Polka Dot Tankini Swim Dress(Deep Blue S)</t>
  </si>
  <si>
    <t>YZ5060R2</t>
  </si>
  <si>
    <t>X000SHM3QP</t>
  </si>
  <si>
    <t>B00YAI9KJK</t>
  </si>
  <si>
    <t>MiYang Women's Halter Polka Dot Tankini Swim Dress(Rose Red XS)</t>
  </si>
  <si>
    <t>YZ1458R25XL</t>
  </si>
  <si>
    <t>X000SZ871H</t>
  </si>
  <si>
    <t>B00YMGVH4Q</t>
  </si>
  <si>
    <t>MiYang Women's Plus Size Tassel One Piece Swimwear Rose Red 1X(14W) Rose Red</t>
  </si>
  <si>
    <t>YZ5060Y0L</t>
  </si>
  <si>
    <t>X0014F13WP</t>
  </si>
  <si>
    <t>B01GJ2AO9E</t>
  </si>
  <si>
    <t>MiYang Women's Halter Polka Dot Tankini Swim Dress(Yellow L)</t>
  </si>
  <si>
    <t>YZ1458K05XL</t>
  </si>
  <si>
    <t>X000SZ871R</t>
  </si>
  <si>
    <t>B00YMGUZQC</t>
  </si>
  <si>
    <t>MiYang Women's Plus Size Tassel One Piece Swimwear Black 2X/Tag 5XL</t>
  </si>
  <si>
    <t>YZ5060R2L</t>
  </si>
  <si>
    <t>X0013RTMWR</t>
  </si>
  <si>
    <t>B01FTOGXHU</t>
  </si>
  <si>
    <t>MiYang Women's Halter Polka Dot Tankini Swim Dress(Rose Red L)</t>
  </si>
  <si>
    <t>YZ1458FB5XL</t>
  </si>
  <si>
    <t>X000SZ870X</t>
  </si>
  <si>
    <t>B00YMGV72S</t>
  </si>
  <si>
    <t>MiYang Women's Plus Size Tassel One Piece Swimwear Sapphire Blue 1X(14W) Sapphire Blue</t>
  </si>
  <si>
    <t>YZ1458R26XL</t>
  </si>
  <si>
    <t>X001Q7O42R</t>
  </si>
  <si>
    <t>B07BK2D7B1</t>
  </si>
  <si>
    <t>MiYang Women's Plus Size Tassel One Piece Swimwear Rose Red US 2XL (US 16-18)</t>
  </si>
  <si>
    <t>YZ1458FB6XL</t>
  </si>
  <si>
    <t>X001Q7T0S5</t>
  </si>
  <si>
    <t>B07BK1FYJV</t>
  </si>
  <si>
    <t>MiYang Women's Plus Size Tassel One Piece Swimwear Sapphire Blue US 2XL (US 16-18)</t>
  </si>
  <si>
    <t>YZ5505R0-XL</t>
  </si>
  <si>
    <t>X001APZR2V</t>
  </si>
  <si>
    <t>B06XYPJS47</t>
  </si>
  <si>
    <t>MiYang Women's Tankini Striped Vintage Swim Dress</t>
  </si>
  <si>
    <t>YZ5505JRM</t>
  </si>
  <si>
    <t>X000UZHCH5</t>
  </si>
  <si>
    <t>B013OSTD70</t>
  </si>
  <si>
    <t>MiYang Women's Tankini Striped Vintage Swim Dress (Pink Medium)</t>
  </si>
  <si>
    <t>YZ5505JRS</t>
  </si>
  <si>
    <t>X000UZHCGV</t>
  </si>
  <si>
    <t>B06XYZS6NS</t>
  </si>
  <si>
    <t>MiYang Women's Tankini Striped Vintage Swim Dress (Pink Small)</t>
  </si>
  <si>
    <t>YZ5505JR2L</t>
  </si>
  <si>
    <t>X000ZW1N6T</t>
  </si>
  <si>
    <t>B01C9TE2BW</t>
  </si>
  <si>
    <t>MiYang Women's Tankini Striped Vintage Swim Dress (Pink XX-Large)</t>
  </si>
  <si>
    <t>YZ5505JRXL</t>
  </si>
  <si>
    <t>X000UZHCGL</t>
  </si>
  <si>
    <t>B0154PQBZ8</t>
  </si>
  <si>
    <t>MiYang Women's Tankini Striped Vintage Swim Dress (Pink X-Large)</t>
  </si>
  <si>
    <t>YZ5505K0-XL</t>
  </si>
  <si>
    <t>X001F1B2NX</t>
  </si>
  <si>
    <t>B071VS9Y2M</t>
  </si>
  <si>
    <t>MiYang Women's Tankini Striped Vintage Swim Dress (Black X-Large)</t>
  </si>
  <si>
    <t>YZ7438B0XXL</t>
  </si>
  <si>
    <t>X0014DJ6EJ</t>
  </si>
  <si>
    <t>B01F78AYQY</t>
  </si>
  <si>
    <t>MiYang Vintage Sailor Pin up Swimsuit One Piece Skirtini Cover up Swimdress Black Dot Large (US 12-14)</t>
  </si>
  <si>
    <t>YZ5505LbS</t>
  </si>
  <si>
    <t>X00145YBGF</t>
  </si>
  <si>
    <t>B01G3JEO62</t>
  </si>
  <si>
    <t>MiYang Women's Tankini Striped Vintage Swim Dress (Light Blue Small)</t>
  </si>
  <si>
    <t>YZ5505LbL</t>
  </si>
  <si>
    <t>X00145B5ZP</t>
  </si>
  <si>
    <t>B01G3JENB8</t>
  </si>
  <si>
    <t>MiYang Women's Tankini Striped Vintage Swim Dress (Light Blue Large)</t>
  </si>
  <si>
    <t>YZ5505K0-2XL</t>
  </si>
  <si>
    <t>X001F1U09Z</t>
  </si>
  <si>
    <t>B0711R9KHN</t>
  </si>
  <si>
    <t>MiYang Women's Tankini Striped Vintage Swim Dress (Black XX-Large)</t>
  </si>
  <si>
    <t>YZ5505DaXL</t>
  </si>
  <si>
    <t>X000UZHCHZ</t>
  </si>
  <si>
    <t>B0154PQ95K</t>
  </si>
  <si>
    <t>MiYang Women's Tankini Striped Vintage Swim Dress (Deep Blue X-Large)</t>
  </si>
  <si>
    <t>YZ5505LbXXL</t>
  </si>
  <si>
    <t>X001468HP5</t>
  </si>
  <si>
    <t>B01G3JERSM</t>
  </si>
  <si>
    <t>MiYang Women's Tankini Striped Vintage Swim Dress (Light Blue XX-Large)</t>
  </si>
  <si>
    <t>YZ5505LbXL</t>
  </si>
  <si>
    <t>X001468HOV</t>
  </si>
  <si>
    <t>B01G3JEPKM</t>
  </si>
  <si>
    <t>MiYang Women's Tankini Striped Vintage Swim Dress (Light Blue X-Large)</t>
  </si>
  <si>
    <t>YZ7438K04xL</t>
  </si>
  <si>
    <t>X0013MBSWJ</t>
  </si>
  <si>
    <t>B01F78AYPK</t>
  </si>
  <si>
    <t>MiYang Vintage Sailor Pin up Swimsuit One Piece Skirtini Cover up Swimdress Black Dot 2XL (US 14W-16W)</t>
  </si>
  <si>
    <t>YZ5505JRL</t>
  </si>
  <si>
    <t>X000UZHCHF</t>
  </si>
  <si>
    <t>B013OSTFTG</t>
  </si>
  <si>
    <t>MiYang Women's Tankini Striped Vintage Swim Dress (Pink Large)</t>
  </si>
  <si>
    <t>YZ7438B0XXXL</t>
  </si>
  <si>
    <t>X0014DIYD3</t>
  </si>
  <si>
    <t>B01F78B0QW</t>
  </si>
  <si>
    <t>MiYang Vintage Sailor Pin Up Swimsuit One Piece Skirtini Cover Up Swimdress XL Blue Tag Size 3XL=US Size XL</t>
  </si>
  <si>
    <t>YZ5505K0-M</t>
  </si>
  <si>
    <t>X001F2EAAJ</t>
  </si>
  <si>
    <t>B071LFK69M</t>
  </si>
  <si>
    <t>MiYang Women's Tankini Striped Vintage Swim Dress (Black Medium)</t>
  </si>
  <si>
    <t>YZ5505R0-2X</t>
  </si>
  <si>
    <t>X001C7ZB4V</t>
  </si>
  <si>
    <t>B01NCIBC55</t>
  </si>
  <si>
    <t>YZ5505DaS</t>
  </si>
  <si>
    <t>X000U0KXMV</t>
  </si>
  <si>
    <t>B013OSTD48</t>
  </si>
  <si>
    <t>MiYang Women's Tankini Striped Vintage Swim Dress (Deep Blue Small)</t>
  </si>
  <si>
    <t>YZ5505DaM</t>
  </si>
  <si>
    <t>X000U0KXN5</t>
  </si>
  <si>
    <t>B013OSTFWS</t>
  </si>
  <si>
    <t>MiYang Women's Tankini Striped Vintage Swim Dress (Deep Blue Medium)</t>
  </si>
  <si>
    <t>YZ5505R0-M</t>
  </si>
  <si>
    <t>X001AOIGS9</t>
  </si>
  <si>
    <t>B01N7F779G</t>
  </si>
  <si>
    <t>YZ5505DaL</t>
  </si>
  <si>
    <t>X000U0KXNF</t>
  </si>
  <si>
    <t>B013OSTKN2</t>
  </si>
  <si>
    <t>MiYang Women's Tankini Striped Vintage Swim Dress (Deep Blue Large)</t>
  </si>
  <si>
    <t>YZ7438B04XL</t>
  </si>
  <si>
    <t>X0014NGJDZ</t>
  </si>
  <si>
    <t>B01F78B2GK</t>
  </si>
  <si>
    <t>MiYang Vintage Sailor Pin up Swimsuit One Piece Skirtini Cover up Swimdress Blue 2XL (US 14W-16W)</t>
  </si>
  <si>
    <t>YZ5505K0-S</t>
  </si>
  <si>
    <t>X001F24SER</t>
  </si>
  <si>
    <t>B071F8K78X</t>
  </si>
  <si>
    <t>MiYang Women's Tankini Striped Vintage Swim Dress (Black Small)</t>
  </si>
  <si>
    <t>YZ7438B0M</t>
  </si>
  <si>
    <t>X0014UV9XX</t>
  </si>
  <si>
    <t>B01F78AU72</t>
  </si>
  <si>
    <t>MiYang Vintage Sailor Pin up Swimsuit One Piece Skirtini Cover up Swimdress Blue S (US 4-6)</t>
  </si>
  <si>
    <t>YZ7438K0M</t>
  </si>
  <si>
    <t>X0014W4ELF</t>
  </si>
  <si>
    <t>B01F78AQYY</t>
  </si>
  <si>
    <t>MiYang Vintage Sailor Pin Up Swimsuit One Piece Skirtini Cover Up Swimdress</t>
  </si>
  <si>
    <t>YZ5505R0-L</t>
  </si>
  <si>
    <t>X001ANJX8R</t>
  </si>
  <si>
    <t>B01MYWR3ET</t>
  </si>
  <si>
    <t>MiYang Women's Tankini Striped Vintage Swim Dress Red and White (Large)</t>
  </si>
  <si>
    <t>YZ5505Da</t>
  </si>
  <si>
    <t>X000SPI983</t>
  </si>
  <si>
    <t>B00YAIA008</t>
  </si>
  <si>
    <t>MiYang Women's Tankini Striped Vintage Swim Dress (Deep Blue X-Small)</t>
  </si>
  <si>
    <t>YZ5505LbM</t>
  </si>
  <si>
    <t>X00145GWJJ</t>
  </si>
  <si>
    <t>B06XYZMZ9V</t>
  </si>
  <si>
    <t>MiYang Women's Tankini Striped Vintage Swim Dress (Light Blue Medium)</t>
  </si>
  <si>
    <t>YZ5505Da2L</t>
  </si>
  <si>
    <t>X000W3X3QT</t>
  </si>
  <si>
    <t>B017JO0OBE</t>
  </si>
  <si>
    <t>MiYang Women's Tankini Striped Vintage Swim Dress (Deep Blue XX-Large)</t>
  </si>
  <si>
    <t>YZ7438B0L</t>
  </si>
  <si>
    <t>X0014U4LHJ</t>
  </si>
  <si>
    <t>B01F78AVPI</t>
  </si>
  <si>
    <t>MiYang Vintage Sailor Pin up Swimsuit One Piece Skirtini Cover up Swimdress Blue M (US 8)</t>
  </si>
  <si>
    <t>YZ7438K0XXL</t>
  </si>
  <si>
    <t>X0014Z7G2V</t>
  </si>
  <si>
    <t>B01F78AVEO</t>
  </si>
  <si>
    <t>YZ5505K0-L</t>
  </si>
  <si>
    <t>X001F1BGST</t>
  </si>
  <si>
    <t>B071HV6ZCB</t>
  </si>
  <si>
    <t>MiYang Women's Tankini Striped Vintage Swim Dress (Black Large)</t>
  </si>
  <si>
    <t>YZ5505K0-XS</t>
  </si>
  <si>
    <t>X001F1CPTX</t>
  </si>
  <si>
    <t>B0711R9KHM</t>
  </si>
  <si>
    <t>MiYang Women's Tankini Striped Vintage Swim Dress (Black X-Small)</t>
  </si>
  <si>
    <t>YZ5505JR</t>
  </si>
  <si>
    <t>X000SPI98D</t>
  </si>
  <si>
    <t>B00YAIA20G</t>
  </si>
  <si>
    <t>MiYang Women's Tankini Striped Vintage Swim Dress (Pink X-Small)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</si>
  <si>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</si>
  <si>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</si>
  <si>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</si>
  <si>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</si>
  <si>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</si>
  <si>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</si>
  <si>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</si>
  <si>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</si>
  <si>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</si>
  <si>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</si>
  <si>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</si>
  <si>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</si>
  <si>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</si>
  <si>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</si>
  <si>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</si>
  <si>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</si>
  <si>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</si>
  <si>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</si>
  <si>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</si>
  <si>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</si>
  <si>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</si>
  <si>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</si>
  <si>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</si>
  <si>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</si>
  <si>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</si>
  <si>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</si>
  <si>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</si>
  <si>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</si>
  <si>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</si>
  <si>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</si>
  <si>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</si>
  <si>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</si>
  <si>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YZ-MUTW32-KTW-L</t>
  </si>
  <si>
    <t>X001QWIZSV</t>
  </si>
  <si>
    <t>B07C1LZJ2P</t>
  </si>
  <si>
    <t>Push up Striped Bikini Sets Two Pieces V Neck Tie Front Swimsuit Black Striped</t>
  </si>
  <si>
    <t>New</t>
  </si>
  <si>
    <t>USD</t>
  </si>
  <si>
    <t>Low conversion</t>
  </si>
  <si>
    <t>Improve recommendations</t>
  </si>
  <si>
    <t>0.077163 cuft</t>
  </si>
  <si>
    <t>Apparel</t>
  </si>
  <si>
    <t>MY-HM1206-KH-XL</t>
  </si>
  <si>
    <t>X001KMNZNH</t>
  </si>
  <si>
    <t>B075FQQZHK</t>
  </si>
  <si>
    <t>MiYang Women Sweater Pullover V Neck Lace Up Knitted Tops Criss Cross Backless Jumper Khaki X-Large</t>
  </si>
  <si>
    <t>Low traffic</t>
  </si>
  <si>
    <t>Advertise listing</t>
  </si>
  <si>
    <t>0.273572 cuft</t>
  </si>
  <si>
    <t>LYQ-LB01-K0-S</t>
  </si>
  <si>
    <t>X001L51E45</t>
  </si>
  <si>
    <t>B0761L4ZTG</t>
  </si>
  <si>
    <t>MiYang Turtleneck Loose Tunic Top Casual Swing Mini Dress For Women With Trumpet Sleeves Black Small</t>
  </si>
  <si>
    <t>0.145141 cuft</t>
  </si>
  <si>
    <t>LYQ-K1010-G0-L</t>
  </si>
  <si>
    <t>X0019ZQWE9</t>
  </si>
  <si>
    <t>B01MQPQDX8</t>
  </si>
  <si>
    <t>MiYang Women's Long Sleeve A-line Lace Stitching Trim Casual Dress L Green</t>
  </si>
  <si>
    <t>Create Sale</t>
  </si>
  <si>
    <t>0.096309 cuft</t>
  </si>
  <si>
    <t>0.108333 cuft</t>
  </si>
  <si>
    <t>YZ-MU180-B0-L</t>
  </si>
  <si>
    <t>X001Q2D7C5</t>
  </si>
  <si>
    <t>B07BF8LMPC</t>
  </si>
  <si>
    <t>Women Bikini Sets Brazilian Padded Top Thong Cheeky Bikini Bottom 2PCs 2018 Swimsuit for Women Blue L</t>
  </si>
  <si>
    <t>0.085137 cuft</t>
  </si>
  <si>
    <t>YZ-MUCL17015-B0-3XL</t>
  </si>
  <si>
    <t>X001OJ7CIZ</t>
  </si>
  <si>
    <t>B0795N75DP</t>
  </si>
  <si>
    <t>MiYang High Waisted Ruched One Piece Swimsuit Twist Vintage Bathing Suit for Women Blue Plus Size</t>
  </si>
  <si>
    <t>0.081929 cuft</t>
  </si>
  <si>
    <t>LYQ-LB01-R0-XL</t>
  </si>
  <si>
    <t>X001L50T2N</t>
  </si>
  <si>
    <t>B0761JWRMV</t>
  </si>
  <si>
    <t>MiYang Turtleneck Loose Tunic Top Casual Swing Mini Dress For Women With Trumpet Sleeves Dark Red X-Large</t>
  </si>
  <si>
    <t>0.151881 cuft</t>
  </si>
  <si>
    <t>0.128162 cuft</t>
  </si>
  <si>
    <t>0.144375 cuft</t>
  </si>
  <si>
    <t>LYQ-MU1058-N0-M</t>
  </si>
  <si>
    <t>X001RWO61Z</t>
  </si>
  <si>
    <t>B07CXZD6JC</t>
  </si>
  <si>
    <t>MiYang Women's Casual Tunic Top Short Sleeve Blouse T-Shirt Button Decor</t>
  </si>
  <si>
    <t>0.063369 cuft</t>
  </si>
  <si>
    <t>YZ-BSLLK02XL</t>
  </si>
  <si>
    <t>X001CGB1KP</t>
  </si>
  <si>
    <t>B06VY8LBYP</t>
  </si>
  <si>
    <t>MiYang Vintage Sailor Pin up Swimsuit One Piece Skirtini Cover up Swimdress Black Large (US 12-14)</t>
  </si>
  <si>
    <t>0.108054 cuft</t>
  </si>
  <si>
    <t>YZ-MU180-E0-2XL</t>
  </si>
  <si>
    <t>X001Q2HYD3</t>
  </si>
  <si>
    <t>B07BF9SZ42</t>
  </si>
  <si>
    <t>Women Bikini Sets Brazilian Padded Top Thong Cheeky Bikini Bottom 2PCs 2018 Swimsuit for Women Grey 2XL</t>
  </si>
  <si>
    <t>LYQ-MU18-N0-S</t>
  </si>
  <si>
    <t>X001ODM37B</t>
  </si>
  <si>
    <t>B0792QCKVS</t>
  </si>
  <si>
    <t>MiYang Women's Loose Solid Long Sleeve Tunic T-Shirt Dress Brown Small</t>
  </si>
  <si>
    <t>0.131006 cuft</t>
  </si>
  <si>
    <t>YZ-MULK185-K0-M</t>
  </si>
  <si>
    <t>X001PZLLCB</t>
  </si>
  <si>
    <t>B07BC4YFCB</t>
  </si>
  <si>
    <t>Women's Halter High Waisted Cut Out One Piece Swimsuit Backless Bathing Suit Black M</t>
  </si>
  <si>
    <t>0.075168 cuft</t>
  </si>
  <si>
    <t>Edit listing</t>
  </si>
  <si>
    <t>0.134557 cuft</t>
  </si>
  <si>
    <t>XZ-CL1537-KH-35/36</t>
  </si>
  <si>
    <t>X001M2053D</t>
  </si>
  <si>
    <t>B076WXSYY5</t>
  </si>
  <si>
    <t>MiYang Winter Fur House Slipper Boots Cute Indoor/Outdoor Moccasins Shoes Khaki US 4</t>
  </si>
  <si>
    <t>5.79E-4 cuft</t>
  </si>
  <si>
    <t>Footwear</t>
  </si>
  <si>
    <t>0.112006 cuft</t>
  </si>
  <si>
    <t>YZ-KL5020ST2L</t>
  </si>
  <si>
    <t>X0013TNLVD</t>
  </si>
  <si>
    <t>B01F4YO7SC</t>
  </si>
  <si>
    <t>MiYangWomen'sOnePieceHighWaistPrintingSwimDressSwimwear,NavyStripe,TAGSIZE(XXL)Medium(USsize:8-10)</t>
  </si>
  <si>
    <t>0.132439 cuft</t>
  </si>
  <si>
    <t>YZ-HM30CH-K0-XL</t>
  </si>
  <si>
    <t>X0017YZWYX</t>
  </si>
  <si>
    <t>B01LWM2R3S</t>
  </si>
  <si>
    <t>MiYang Women's Sexy Crewneck One Piece Beachwear Bikini Monokini Swimsuit Black XL (US 12-14)</t>
  </si>
  <si>
    <t>0.013194 cuft</t>
  </si>
  <si>
    <t>YZ1458FB4XL</t>
  </si>
  <si>
    <t>X000SZ8717</t>
  </si>
  <si>
    <t>B00YMGV4MG</t>
  </si>
  <si>
    <t>MiYang Women's Plus Size Tassel One Piece Swimwear Sapphire Blue 1X/Tag 4XL</t>
  </si>
  <si>
    <t>0.104722 cuft</t>
  </si>
  <si>
    <t>0.09566 cuft</t>
  </si>
  <si>
    <t>0.185446 cuft</t>
  </si>
  <si>
    <t>MY-CL1925-E0-L</t>
  </si>
  <si>
    <t>X001KDZ3UJ</t>
  </si>
  <si>
    <t>B07528XSQH</t>
  </si>
  <si>
    <t>MiYang Sexy V Neck Oversized Knitted Patchwork Casual Pullovers Sweater</t>
  </si>
  <si>
    <t>0.219383 cuft</t>
  </si>
  <si>
    <t>XZ-CLA177-DS-39/40</t>
  </si>
  <si>
    <t>X001JTRQ9P</t>
  </si>
  <si>
    <t>B074J8B5LP</t>
  </si>
  <si>
    <t>MiYang Women/Men Indoor Shoe Couples Open Toe House Slipper</t>
  </si>
  <si>
    <t>0.118667 cuft</t>
  </si>
  <si>
    <t>CX-TW401-blue-XL</t>
  </si>
  <si>
    <t>X001AZYDHV</t>
  </si>
  <si>
    <t>B01N79T2RS</t>
  </si>
  <si>
    <t>MiYang Women's Long Sleeve Back Lace Shirt Striped Blouse Tunic</t>
  </si>
  <si>
    <t>0.100497 cuft</t>
  </si>
  <si>
    <t>YZ-MUHY025-B0-XL</t>
  </si>
  <si>
    <t>X001RJ0Y0Z</t>
  </si>
  <si>
    <t>B07CNHD7RX</t>
  </si>
  <si>
    <t>Women One Piece V-Neck Flounce Swimsuit Retro Cross Back Bikini</t>
  </si>
  <si>
    <t>0.061683 cuft</t>
  </si>
  <si>
    <t>Top-HM7702-K0-L</t>
  </si>
  <si>
    <t>X001GAI1EV</t>
  </si>
  <si>
    <t>B071YVBPHJ</t>
  </si>
  <si>
    <t>MiYang Women's Vintage 50s Solid Black Pattern Halter Bikini Top Swimsuits</t>
  </si>
  <si>
    <t>0.058148 cuft</t>
  </si>
  <si>
    <t>TK-J02H-K0-2T</t>
  </si>
  <si>
    <t>X001JR6WXD</t>
  </si>
  <si>
    <t>B074Z4LD5F</t>
  </si>
  <si>
    <t>Teenking Boy's Fleece Outdoor Jacket with Hood Little Boy(2T)</t>
  </si>
  <si>
    <t>0.322411 cuft</t>
  </si>
  <si>
    <t>YZ-HM30CH-K0-S</t>
  </si>
  <si>
    <t>X0017YKMYD</t>
  </si>
  <si>
    <t>B01M1RR15U</t>
  </si>
  <si>
    <t>MiYang Women's Sexy Crewneck One Piece Beachwear Bikini Monokini Swimsuit Black S (US 2-4)</t>
  </si>
  <si>
    <t>LYQ-CF8512-GR-XXL</t>
  </si>
  <si>
    <t>X001FTUYJ3</t>
  </si>
  <si>
    <t>B072HWKBTG</t>
  </si>
  <si>
    <t>MiYang Women's Casual Loosen T-Shirt Sleeveless Swing Dress Tunic Tank Top Dresses With Two Pockets, Green, 2X Plus</t>
  </si>
  <si>
    <t>0.064061 cuft</t>
  </si>
  <si>
    <t>0.148829 cuft</t>
  </si>
  <si>
    <t>XZ-ZQJZ100-P0-290</t>
  </si>
  <si>
    <t>X001L11HG9</t>
  </si>
  <si>
    <t>B074TDSMQ9</t>
  </si>
  <si>
    <t>MiYang Winter Women and Man Cute Cartoon Warm Indoor Slippers House Shoes, Purple, 11-12B(M) US</t>
  </si>
  <si>
    <t>0.143623 cuft</t>
  </si>
  <si>
    <t>LYQ-CS04-CO-S</t>
  </si>
  <si>
    <t>X001L5K8SX</t>
  </si>
  <si>
    <t>B0761LM2W8</t>
  </si>
  <si>
    <t>MiYang Casual Long Sleeve Shirt Pockets Dress Fall Clothes For Women Coffee Small</t>
  </si>
  <si>
    <t>0.121594 cuft</t>
  </si>
  <si>
    <t>LYQ-CL0127-R2-2XL</t>
  </si>
  <si>
    <t>X001JIMUZ1</t>
  </si>
  <si>
    <t>B074SM82NF</t>
  </si>
  <si>
    <t>MiYang Women's Plus Size Floral Dress 3/7 Sleeve Casual Swing Dress With Pockets Rose Red</t>
  </si>
  <si>
    <t>0.095973 cuft</t>
  </si>
  <si>
    <t>0.096444 cuft</t>
  </si>
  <si>
    <t>XZ-ZQ2182-C0-290</t>
  </si>
  <si>
    <t>X001KJY9DF</t>
  </si>
  <si>
    <t>B074W7B53C</t>
  </si>
  <si>
    <t>MiYang Women and Man Cute Cartoon Bowknot Warm Indoor Slippers House Shoes</t>
  </si>
  <si>
    <t>0.167241 cuft</t>
  </si>
  <si>
    <t>YZ-MU727-Pi-4XL</t>
  </si>
  <si>
    <t>X001Q1VVQP</t>
  </si>
  <si>
    <t>B07BFWG644</t>
  </si>
  <si>
    <t>Halter Deep Plunging High Cut Cutout One Piece Swimsuit Criss Cross Monokini 3XL (US 14W-16W)</t>
  </si>
  <si>
    <t>0.068429 cuft</t>
  </si>
  <si>
    <t>LYQ-CF8512-BU-M</t>
  </si>
  <si>
    <t>X001G38GNT</t>
  </si>
  <si>
    <t>B0711LC531</t>
  </si>
  <si>
    <t>MiYang Womens Casual Loosen T-Shirt Sleeveless Swing Dress Tunic Tank Top Dresses With Two Pockets, Medium, Blue</t>
  </si>
  <si>
    <t>0.545722 cuft</t>
  </si>
  <si>
    <t>MY-HM1206-K0-XL</t>
  </si>
  <si>
    <t>X001KMNZN7</t>
  </si>
  <si>
    <t>B075FQK5BB</t>
  </si>
  <si>
    <t>MiYang Women Sweater Pullover V Neck Lace up Knitted Tops Criss Cross Backless Jumper Black X-Large</t>
  </si>
  <si>
    <t>YZ-MU181-OR-2XL</t>
  </si>
  <si>
    <t>X001PZ2VHF</t>
  </si>
  <si>
    <t>B07BDK27LB</t>
  </si>
  <si>
    <t>MiYang Padded Push up Brazilian Thong Bikini Sets 2018 Swimsuits for Women Orange XXL</t>
  </si>
  <si>
    <t>0.054167 cuft</t>
  </si>
  <si>
    <t>0.070677 cuft</t>
  </si>
  <si>
    <t>0.218653 cuft</t>
  </si>
  <si>
    <t>YZ-MUHY025-B0-L</t>
  </si>
  <si>
    <t>X001RJ0TMX</t>
  </si>
  <si>
    <t>B07CNM2LT8</t>
  </si>
  <si>
    <t>YZ-MUBK187-P0-S</t>
  </si>
  <si>
    <t>X001QBKDKF</t>
  </si>
  <si>
    <t>B07BMYJ3XY</t>
  </si>
  <si>
    <t>0.066568 cuft</t>
  </si>
  <si>
    <t>0.067101 cuft</t>
  </si>
  <si>
    <t>XZ-HM36-BE-XL</t>
  </si>
  <si>
    <t>X001A27GRN</t>
  </si>
  <si>
    <t>B01M75FC0Y</t>
  </si>
  <si>
    <t>MiYang Winter Women's Bunny Warm Plush Soft Sole Indoor Slipper</t>
  </si>
  <si>
    <t>0.115781 cuft</t>
  </si>
  <si>
    <t>YZ-MY1701-KO-M</t>
  </si>
  <si>
    <t>X001D491CV</t>
  </si>
  <si>
    <t>B06XCTMH6N</t>
  </si>
  <si>
    <t>0.060764 cuft</t>
  </si>
  <si>
    <t>LYQ-MUCL628-G7-XL</t>
  </si>
  <si>
    <t>X001QQZZ4J</t>
  </si>
  <si>
    <t>B07BW8N1S6</t>
  </si>
  <si>
    <t>MiYang Short Sleeve Cold Shoulder T-Shirt Dress Solid Color Tunics with Pockets for Women Army Green XL (US12-14)</t>
  </si>
  <si>
    <t>0.053197 cuft</t>
  </si>
  <si>
    <t>YZ-HT1304G01L</t>
  </si>
  <si>
    <t>X00147A46J</t>
  </si>
  <si>
    <t>B01F4P0S7A</t>
  </si>
  <si>
    <t>MiYang Women's Shaping Body Swimsuit One-Piece Swimwear Spa Suit,Dark Green,Tag Size XL</t>
  </si>
  <si>
    <t>YZ-BSA160301B0L</t>
  </si>
  <si>
    <t>X001GANPZL</t>
  </si>
  <si>
    <t>B071469DGJ</t>
  </si>
  <si>
    <t>MiYang Retro Vintage Striped One Piece Monokini Chevron Lines Swimsuit L BlueWhite</t>
  </si>
  <si>
    <t>0.060928 cuft</t>
  </si>
  <si>
    <t>YZ-MUWS32-BD-M</t>
  </si>
  <si>
    <t>X001QWWC9T</t>
  </si>
  <si>
    <t>B07CF76W1T</t>
  </si>
  <si>
    <t>Wine Red One Piece Swimsuit High Neck V-Neckline Mesh Ruched Monokini Swinwear M US(8-10)</t>
  </si>
  <si>
    <t>0.09355 cuft</t>
  </si>
  <si>
    <t>LYQ-1010P02L</t>
  </si>
  <si>
    <t>X000YB7QMB</t>
  </si>
  <si>
    <t>B01BCZBKJ6</t>
  </si>
  <si>
    <t>MiYang Women's Purple Long Sleeve A-line Lace Stitching Trim Casual Dress XL</t>
  </si>
  <si>
    <t>XZ-7178-CG0-36-37-1</t>
  </si>
  <si>
    <t>X001JQA25D</t>
  </si>
  <si>
    <t>B01IOZKRGO</t>
  </si>
  <si>
    <t>MiYang Womens Cat Print Fleece House Warm Bedroom Slippers Cat Green 5-5.5</t>
  </si>
  <si>
    <t>0.103477 cuft</t>
  </si>
  <si>
    <t>LYQ-1010N0M</t>
  </si>
  <si>
    <t>X0018RTIIF</t>
  </si>
  <si>
    <t>B01M59530X</t>
  </si>
  <si>
    <t>MiYang Women's Long Sleeve A-line Lace Stitching Trim Casual Dress S Brown</t>
  </si>
  <si>
    <t>LYQ-CF8512-NAVY-M</t>
  </si>
  <si>
    <t>X001F3N0HH</t>
  </si>
  <si>
    <t>B071NVR2GZ</t>
  </si>
  <si>
    <t>MiYang Women's Casual Loosen T-Shirt Sleeveless Swing Dress Tunic Tank Top Dresses With Two Pockets</t>
  </si>
  <si>
    <t>TK-J01H-SH-2T</t>
  </si>
  <si>
    <t>X001JR6YMH</t>
  </si>
  <si>
    <t>B074Z5SG25</t>
  </si>
  <si>
    <t>Teenking Boy's Fleece Outdoor Jacket Little Boy(2T)</t>
  </si>
  <si>
    <t>LYQ-MU1058-P0-XS</t>
  </si>
  <si>
    <t>X001RWOZH5</t>
  </si>
  <si>
    <t>B07CXT5NS2</t>
  </si>
  <si>
    <t>XZ-ZQCB2056-R2-1415</t>
  </si>
  <si>
    <t>X0019QCYQ3</t>
  </si>
  <si>
    <t>B01MDTFR2F</t>
  </si>
  <si>
    <t>0.063555 cuft</t>
  </si>
  <si>
    <t>YZ-LS1068K0S</t>
  </si>
  <si>
    <t>X0010BWB4H</t>
  </si>
  <si>
    <t>B01DF0KYQG</t>
  </si>
  <si>
    <t>MiYang Women's Sexy One-Piece V-Neck Lace Swimsuit Bathing Swimwear</t>
  </si>
  <si>
    <t>0.095314 cuft</t>
  </si>
  <si>
    <t>MY-HM1206-K0-L</t>
  </si>
  <si>
    <t>X001KNN883</t>
  </si>
  <si>
    <t>B075FNBNG6</t>
  </si>
  <si>
    <t>MiYang Women Sweater Pullover V Neck Lace up Knitted Tops Criss Cross Backless Jumper Black Large</t>
  </si>
  <si>
    <t>0.020222 cuft</t>
  </si>
  <si>
    <t>YZ-MUCLC19-K0-S</t>
  </si>
  <si>
    <t>X001OJ02UP</t>
  </si>
  <si>
    <t>B0795FJG67</t>
  </si>
  <si>
    <t>MiYang Twist Front Bandeau Bikini Top Hipster Bottom Set Two Piece Swimsuit for Women Black US 0-2</t>
  </si>
  <si>
    <t>0.065782 cuft</t>
  </si>
  <si>
    <t>LYQ-1010DX-E0-M</t>
  </si>
  <si>
    <t>X001QZ1AIZ</t>
  </si>
  <si>
    <t>B07C3RHPM6</t>
  </si>
  <si>
    <t>MiYang Short Sleeve Loose Swing T-Shirt Dress Tunic Blouse for Women s Pink</t>
  </si>
  <si>
    <t>LYQ-CS04-GR-2XL</t>
  </si>
  <si>
    <t>X001L5LL4N</t>
  </si>
  <si>
    <t>B0761MWLBP</t>
  </si>
  <si>
    <t>MiYang Casual Long Sleeve Shirt Pockets Dress Fall Clothes For Women Light Grey XX-Large</t>
  </si>
  <si>
    <t>XZ-ZQ2256-R0-24</t>
  </si>
  <si>
    <t>X001M0SRTT</t>
  </si>
  <si>
    <t>B076VJDXQG</t>
  </si>
  <si>
    <t>MiYang Winter Cute Dinosaur Slippers Women Family Cartoon Winter Warm House Slippers Booties Red 4.5-5.5 B(M) US Adult</t>
  </si>
  <si>
    <t>YZ-HM30CH-K0-M</t>
  </si>
  <si>
    <t>X0017YKN1F</t>
  </si>
  <si>
    <t>B01LYKGU5X</t>
  </si>
  <si>
    <t>MiYang Women's Sexy Crewneck One Piece Beachwear Bikini Monokini Swimsuit Black M (US8-10)</t>
  </si>
  <si>
    <t>YZ-MUHY025-K0-S</t>
  </si>
  <si>
    <t>X001RJ3BY1</t>
  </si>
  <si>
    <t>B07CNZMLZH</t>
  </si>
  <si>
    <t>XZ-HMA190-MGR-4142</t>
  </si>
  <si>
    <t>X001JGOJ7P</t>
  </si>
  <si>
    <t>B074FRNZPP</t>
  </si>
  <si>
    <t>MiYang Winter House Slippers for Women Winter Warm Home Plush Non-slip Animal Slip on Shoes</t>
  </si>
  <si>
    <t>0.177475 cuft</t>
  </si>
  <si>
    <t>XZ-ZQCB3056-R2-26</t>
  </si>
  <si>
    <t>X0019QKJIX</t>
  </si>
  <si>
    <t>B01M34BFGG</t>
  </si>
  <si>
    <t>MiYang Winter Women Cute Cat Warm House Slippers Booties Rose 7.5-8.5 B(M) US Adult</t>
  </si>
  <si>
    <t>0.406221 cuft</t>
  </si>
  <si>
    <t>LYQ-TW03-K0-L</t>
  </si>
  <si>
    <t>X001L52H3H</t>
  </si>
  <si>
    <t>B0761FG333</t>
  </si>
  <si>
    <t>MiYang Striped Tunic T-Shirt Dress Women Plus Long Sleeve V-Neck Floral Pocket Casual Dress Black Striped L</t>
  </si>
  <si>
    <t>0.107765 cuft</t>
  </si>
  <si>
    <t>0.17974 cuft</t>
  </si>
  <si>
    <t>LYQ-YY05-K0-XL</t>
  </si>
  <si>
    <t>X001L58UFB</t>
  </si>
  <si>
    <t>B0761N43R9</t>
  </si>
  <si>
    <t>MiYang Women's Crew Neck Solid Color Long Sleeve Casual Flared Midi Dress Black XL</t>
  </si>
  <si>
    <t>0.138925 cuft</t>
  </si>
  <si>
    <t>YZ-MU5506-ZL-2XL</t>
  </si>
  <si>
    <t>X001R8EZ4H</t>
  </si>
  <si>
    <t>B07CHL724D</t>
  </si>
  <si>
    <t>MiYang Active Striped Racerback Tankini with Swim Briefs Two Piece Swimsuit for Women Navy 2XL (US 14W-16W)</t>
  </si>
  <si>
    <t>0.131729 cuft</t>
  </si>
  <si>
    <t>LYQ-1010DX-E0-XL</t>
  </si>
  <si>
    <t>X001QZ1A4J</t>
  </si>
  <si>
    <t>B07C3VBDX8</t>
  </si>
  <si>
    <t>MiYang Short Sleeve Loose Swing T-Shirt Dress Tunic Blouse for Women l Pink</t>
  </si>
  <si>
    <t>YZ-MU5506-K0-XL</t>
  </si>
  <si>
    <t>X001RGZ093</t>
  </si>
  <si>
    <t>B07CHDNFPX</t>
  </si>
  <si>
    <t>MiYang Active Striped Racerback Tankini with Swim Briefs Two Piece Swimsuit for Women Black XL (US 16-18)</t>
  </si>
  <si>
    <t>0.134412 cuft</t>
  </si>
  <si>
    <t>MiYang Women's Navy Blue Beach Pant Bikini Bottom Adjustable Tie Boy Short Tag XXL/US XL</t>
  </si>
  <si>
    <t>0.013958 cuft</t>
  </si>
  <si>
    <t>YZ-MU2500-W0-M</t>
  </si>
  <si>
    <t>X001S8Z9HX</t>
  </si>
  <si>
    <t>B07D2XYYWP</t>
  </si>
  <si>
    <t>0.071235 cuft</t>
  </si>
  <si>
    <t>YZ-MU5506-ZL-XL</t>
  </si>
  <si>
    <t>X001R8EAUL</t>
  </si>
  <si>
    <t>B07CHGK311</t>
  </si>
  <si>
    <t>MiYang Active Striped Racerback Tankini with Swim Briefs Two Piece Swimsuit for Women Navy and White XL</t>
  </si>
  <si>
    <t>LYQ-ZQ-1199-ZL-S</t>
  </si>
  <si>
    <t>X001KXVNZ3</t>
  </si>
  <si>
    <t>B074QNFQTY</t>
  </si>
  <si>
    <t>MiYang Women's Fashion Striped Long Sleeves Floral A-line Casual T-Shirt Dress</t>
  </si>
  <si>
    <t>0.020362 cuft</t>
  </si>
  <si>
    <t>DK-HM1789-PI-2XL</t>
  </si>
  <si>
    <t>X001B3MIVF</t>
  </si>
  <si>
    <t>B01NA8PRNZ</t>
  </si>
  <si>
    <t>MiYang Women's Pink Beach Pant Bikini Bottom Adjustable Tie Boy Short Tag XXL/US XL</t>
  </si>
  <si>
    <t>0.062472 cuft</t>
  </si>
  <si>
    <t>LYQ-MUCL628-BD-S</t>
  </si>
  <si>
    <t>X001QR3F8B</t>
  </si>
  <si>
    <t>B07BWH154F</t>
  </si>
  <si>
    <t>MiYang Short Sleeve Cold Shoulder T-Shirt Dress Solid Color Tunics with Pockets for Women Wine Red S (US0-2)</t>
  </si>
  <si>
    <t>LYQ-YY05-R0-M</t>
  </si>
  <si>
    <t>X001L58V4V</t>
  </si>
  <si>
    <t>B0761PZ9VT</t>
  </si>
  <si>
    <t>MiYang Women's Crew Neck Solid Color Long Sleeve Casual Flared Midi Dress Red M</t>
  </si>
  <si>
    <t>XZ-ZQCB2056-KQ-22</t>
  </si>
  <si>
    <t>X0019PLXOX</t>
  </si>
  <si>
    <t>B01M73W7PR</t>
  </si>
  <si>
    <t>MiYang Winter Little Kid Cute Cat Warm House Slippers Booties Khaki 11 B(M) US Little Kid</t>
  </si>
  <si>
    <t>0.120461 cuft</t>
  </si>
  <si>
    <t>0.044252 cuft</t>
  </si>
  <si>
    <t>YZ-HE13037Or4L</t>
  </si>
  <si>
    <t>X000YV0BDR</t>
  </si>
  <si>
    <t>B01AXSD6QS</t>
  </si>
  <si>
    <t>MiYang Women's Shaping Body Swimsuit One-Piece Swimwear Spa Suit Size Orange L (US 12-14)</t>
  </si>
  <si>
    <t>0.145347 cuft</t>
  </si>
  <si>
    <t>XZ-ZQ2176-B0-1415</t>
  </si>
  <si>
    <t>X001KNQFMT</t>
  </si>
  <si>
    <t>B074W6TBTV</t>
  </si>
  <si>
    <t>MiYang Winter Toddlers Cute Mouse Plush Winter Warm House Indoor Slippers Blue 5-6 B(M) US Toddler</t>
  </si>
  <si>
    <t>0.148537 cuft</t>
  </si>
  <si>
    <t>YZ-MU5129-G0YH-M</t>
  </si>
  <si>
    <t>X001RF0QZ7</t>
  </si>
  <si>
    <t>B07CKPMDMB</t>
  </si>
  <si>
    <t>MiYang Plus Size Floral Swimwear One Piece Swimdress for Women Skirted Swimsuit Yellow Floral Medium(US 8-10)</t>
  </si>
  <si>
    <t>0.143426 cuft</t>
  </si>
  <si>
    <t>MY-HM1206-OR-L</t>
  </si>
  <si>
    <t>X001KNIDS3</t>
  </si>
  <si>
    <t>B075FRDMYP</t>
  </si>
  <si>
    <t>MiYang Women Sweater Pullover V Neck Lace Up Knitted Tops Criss Cross Backless Jumper Orange Large</t>
  </si>
  <si>
    <t>0.066597 cuft</t>
  </si>
  <si>
    <t>0.079063 cuft</t>
  </si>
  <si>
    <t>YZ-MU5129-G0-XL</t>
  </si>
  <si>
    <t>X001RG3SYR</t>
  </si>
  <si>
    <t>B07CLM12L1</t>
  </si>
  <si>
    <t>MiYang Plus Size Floral Swimwear One Piece Swimdress for Women Skirted Swimsuit Green XL(US 16-18)</t>
  </si>
  <si>
    <t>0.222063 cuft</t>
  </si>
  <si>
    <t>LYQ-1010DX-K0-S</t>
  </si>
  <si>
    <t>X001QZ3VDH</t>
  </si>
  <si>
    <t>B07C3RXC63</t>
  </si>
  <si>
    <t>MiYang Short Sleeve Loose Swing T-Shirt Dress Tunic Blouse for Women XS Black</t>
  </si>
  <si>
    <t>MiYang Women's Navy Blue Beach Pant Bikini Bottom Adjustable Tie Boy Short Tag S/US XS</t>
  </si>
  <si>
    <t>0.063333 cuft</t>
  </si>
  <si>
    <t>YZ-MU5129-G0-3XL</t>
  </si>
  <si>
    <t>X001RG3GMB</t>
  </si>
  <si>
    <t>B07CKVX4V7</t>
  </si>
  <si>
    <t>MiYang Plus Size Floral Swimwear One Piece Swimdress for Women Skirted Swimsuit Green 3XL(US 24-26)</t>
  </si>
  <si>
    <t>TK-C412H-GR-XL</t>
  </si>
  <si>
    <t>X001I1C7CF</t>
  </si>
  <si>
    <t>B0748C6V6F</t>
  </si>
  <si>
    <t>TK-J02H-GR-7</t>
  </si>
  <si>
    <t>X001GBQKVL</t>
  </si>
  <si>
    <t>B072K5GT15</t>
  </si>
  <si>
    <t>Teenking Boy's Fleece Outdoor Jacket with Hood Little Boy(Size 7)</t>
  </si>
  <si>
    <t>0.43397 cuft</t>
  </si>
  <si>
    <t>TX-7223-RB-3637</t>
  </si>
  <si>
    <t>X001A5JRIB</t>
  </si>
  <si>
    <t>B01M5LK630</t>
  </si>
  <si>
    <t>MiYang Winter Vintage Arctic Solid Indoor Boot Slippers</t>
  </si>
  <si>
    <t>0.421349 cuft</t>
  </si>
  <si>
    <t>DK-MUCL315-R0-M</t>
  </si>
  <si>
    <t>X001Q37O69</t>
  </si>
  <si>
    <t>B07BGVNJ7S</t>
  </si>
  <si>
    <t>High-Waisted Strappy Side Bikini Bottoms Swimwear Brief for Women Red US 8</t>
  </si>
  <si>
    <t>0.023788 cuft</t>
  </si>
  <si>
    <t>XZ-ZQCB1001-R2-40</t>
  </si>
  <si>
    <t>X001JTW87Z</t>
  </si>
  <si>
    <t>B01N0VHO87</t>
  </si>
  <si>
    <t>MiYang Winter Women and Men Solid Color Plush Warm House Slippers Booties</t>
  </si>
  <si>
    <t>0.238902 cuft</t>
  </si>
  <si>
    <t>0.139028 cuft</t>
  </si>
  <si>
    <t>MY-HM1206-KH-L</t>
  </si>
  <si>
    <t>X001KNMC7B</t>
  </si>
  <si>
    <t>B075FPPBRC</t>
  </si>
  <si>
    <t>MiYang Women Sweater Pullover V Neck Lace Up Knitted Tops Criss Cross Backless Jumper Khaki Large</t>
  </si>
  <si>
    <t>XZ-ZQ2256-B0-24</t>
  </si>
  <si>
    <t>X001M0H1SR</t>
  </si>
  <si>
    <t>B076VHKM64</t>
  </si>
  <si>
    <t>MiYang Winter Cute Dinosaur Slippers Adult Cartoon Winter Warm House Slippers Booties Blue 4.5-5.5 B(M) US Adult</t>
  </si>
  <si>
    <t>MY-CL1925-W0-M</t>
  </si>
  <si>
    <t>X001JZHWVL</t>
  </si>
  <si>
    <t>B0752CJ6BP</t>
  </si>
  <si>
    <t>0.198305 cuft</t>
  </si>
  <si>
    <t>0.122766 cuft</t>
  </si>
  <si>
    <t>YZ-HE9007Sa6L</t>
  </si>
  <si>
    <t>X0019NIF8R</t>
  </si>
  <si>
    <t>B01N531UTZ</t>
  </si>
  <si>
    <t>MiYang Women's Plus Size High Waist Printing Swimsuit Bathing Swimwear Sapphire Blue(one Piece) 1X(US Size14W-16W)</t>
  </si>
  <si>
    <t>0.074375 cuft</t>
  </si>
  <si>
    <t>YZ-MU5506-HS-L</t>
  </si>
  <si>
    <t>X001R8ERQD</t>
  </si>
  <si>
    <t>B07CHJ5H5S</t>
  </si>
  <si>
    <t>Racerback Tankini Set with Boyshort Two Piece Swimsuit US 12W</t>
  </si>
  <si>
    <t>0.137258 cuft</t>
  </si>
  <si>
    <t>LYQ-CL90501-G7-S</t>
  </si>
  <si>
    <t>X001KNLPR9</t>
  </si>
  <si>
    <t>B075DCVPY4</t>
  </si>
  <si>
    <t>Long Sleeve Casual Dress Swing T-Shirt Dresses For Women Army Green S</t>
  </si>
  <si>
    <t>XZ-ZQCB1001-R1-40</t>
  </si>
  <si>
    <t>X001JTVM27</t>
  </si>
  <si>
    <t>B01N7MUBGP</t>
  </si>
  <si>
    <t>YZ-MUCLC19-R0-2XL</t>
  </si>
  <si>
    <t>X001OJ046R</t>
  </si>
  <si>
    <t>B0795DZXDQ</t>
  </si>
  <si>
    <t>MiYang Twist Front Bandeau Bikini Top Hipster Bottom Set Two Piece Swimsuit for Women Red 8-10</t>
  </si>
  <si>
    <t>LYQ-LB01-Wi-XL</t>
  </si>
  <si>
    <t>X001L51391</t>
  </si>
  <si>
    <t>B0761RY3TH</t>
  </si>
  <si>
    <t>MiYang Turtleneck Loose Tunic Top Casual Swing Mini Dress For Women With Trumpet Sleeves Purplish Red X-Large</t>
  </si>
  <si>
    <t>0.159527 cuft</t>
  </si>
  <si>
    <t>0.120324 cuft</t>
  </si>
  <si>
    <t>YZ-MULK185-Y9-XL</t>
  </si>
  <si>
    <t>X001QXA493</t>
  </si>
  <si>
    <t>B07CBT54MZ</t>
  </si>
  <si>
    <t>Women's Halter High Waisted Cut Out One Piece Swimsuit Backless Bathing Suit Yellow XL</t>
  </si>
  <si>
    <t>0.111526 cuft</t>
  </si>
  <si>
    <t>LYQ-1010DX-E0-S</t>
  </si>
  <si>
    <t>X001QZSZN3</t>
  </si>
  <si>
    <t>B07C3MCWGC</t>
  </si>
  <si>
    <t>MiYang Short Sleeve Loose Swing T-Shirt Dress Tunic Blouse for Women XS Pink</t>
  </si>
  <si>
    <t>0.076851 cuft</t>
  </si>
  <si>
    <t>LYQ-LS06-E0-L</t>
  </si>
  <si>
    <t>X001L55Z9F</t>
  </si>
  <si>
    <t>B0761PSSC7</t>
  </si>
  <si>
    <t>MiYang Women's Turtle-Neck Solid Long-Sleeve Short Straight Dress, Turtleneck-Grey, Large</t>
  </si>
  <si>
    <t>0.115967 cuft</t>
  </si>
  <si>
    <t>LYQ-1010DX-K0-M</t>
  </si>
  <si>
    <t>X001QZ1A5D</t>
  </si>
  <si>
    <t>B07C3VKKGV</t>
  </si>
  <si>
    <t>MiYang Short Sleeve Loose Swing T-Shirt Dress Tunic Blouse for Women s Black</t>
  </si>
  <si>
    <t>XZ-HMA190-CO-4142</t>
  </si>
  <si>
    <t>X001JGCATJ</t>
  </si>
  <si>
    <t>B074FR874W</t>
  </si>
  <si>
    <t>MiYang Winter House Slippers For Women Winter Warm Home Plush Non-Slip Animal Slip On Shoes</t>
  </si>
  <si>
    <t>MiYang Women's White Beach Pant Bikini Bottom Adjustable Tie Boy Short Tag M/US S</t>
  </si>
  <si>
    <t>LYQ-MU18-K0-XL</t>
  </si>
  <si>
    <t>X001OF0OV1</t>
  </si>
  <si>
    <t>B0792R8JYL</t>
  </si>
  <si>
    <t>MiYang Women's Loose Solid Long Sleeve Tunic T-Shirt Dress Black X-Large</t>
  </si>
  <si>
    <t>XZ-ZQJZ120-KQ-250</t>
  </si>
  <si>
    <t>X001KRJ53V</t>
  </si>
  <si>
    <t>B074TD8PTD</t>
  </si>
  <si>
    <t>0.388362 cuft</t>
  </si>
  <si>
    <t>DK-HM1789-PP-2XL</t>
  </si>
  <si>
    <t>X001E2A2UH</t>
  </si>
  <si>
    <t>B06XDKX1LP</t>
  </si>
  <si>
    <t>MiYang Women's Beach Pant Bikini Bottom Adjustable Tie Boy Short Tag XXL/US XL</t>
  </si>
  <si>
    <t>LYQ-MUCL628-G0-M</t>
  </si>
  <si>
    <t>X001QQZZ49</t>
  </si>
  <si>
    <t>B07BWD8X2V</t>
  </si>
  <si>
    <t>Short Sleeve Cold Shoulder T-Shirt Dress Solid Color Tunics with Pockets for Women Green M (US4-6)</t>
  </si>
  <si>
    <t>MY-HM1206-GR-S</t>
  </si>
  <si>
    <t>X001KMNZMX</t>
  </si>
  <si>
    <t>B075FQ93BX</t>
  </si>
  <si>
    <t>MiYang Women Sweater Pullover V Neck Lace Up Knitted Tops Criss Cross Backless Jumper Grey Small</t>
  </si>
  <si>
    <t>LYQ-CS04-G0-S</t>
  </si>
  <si>
    <t>X001L51733</t>
  </si>
  <si>
    <t>B0761L9BFW</t>
  </si>
  <si>
    <t>MiYang Casual Long Sleeve Shirt Pockets Dress Fall Clothes For Women Army Green Small</t>
  </si>
  <si>
    <t>YZ-TJ1245-K0-S</t>
  </si>
  <si>
    <t>X001QEYXVH</t>
  </si>
  <si>
    <t>B07BMY3P65</t>
  </si>
  <si>
    <t>MiYang Women's Padded High Waist Slim Tankini Set Bathing Swimwear Small (US Size:4-6)</t>
  </si>
  <si>
    <t>0.112772 cuft</t>
  </si>
  <si>
    <t>0.127738 cuft</t>
  </si>
  <si>
    <t>XZ-ZQ2256-G0-26</t>
  </si>
  <si>
    <t>X001M0IC1R</t>
  </si>
  <si>
    <t>B076VLB5YJ</t>
  </si>
  <si>
    <t>MiYang Winter Cute Dinosaur Slippers Adult Cartoon Winter Warm House Slippers Booties Green 7.5-8.5 B(M) US Adult</t>
  </si>
  <si>
    <t>MY-0036NEW-K0</t>
  </si>
  <si>
    <t>X001LBJNLZ</t>
  </si>
  <si>
    <t>B07651DDLY</t>
  </si>
  <si>
    <t>MiYang Women's Long Sleeve Turtleneck Cable Knit Sweater Dress Bodycon Pullovers Black</t>
  </si>
  <si>
    <t>0.183487 cuft</t>
  </si>
  <si>
    <t>DK-HM1789-Y0-S</t>
  </si>
  <si>
    <t>X001E622RT</t>
  </si>
  <si>
    <t>B06XDM9GFL</t>
  </si>
  <si>
    <t>MiYang Women's Yellow Beach Pant Bikini Bottom Adjustable Tie Boy Short Tag S/US XS</t>
  </si>
  <si>
    <t>YZ-MULK185-K0-2XL</t>
  </si>
  <si>
    <t>X001PY9S2H</t>
  </si>
  <si>
    <t>B07BC3MSSN</t>
  </si>
  <si>
    <t>Women's Halter High Waisted Cut Out One Piece Swimsuit Backless Bathing Suit Black 2XL</t>
  </si>
  <si>
    <t>SJ-HM205-B0YH</t>
  </si>
  <si>
    <t>X001E22U0H</t>
  </si>
  <si>
    <t>B06ZYNCWFN</t>
  </si>
  <si>
    <t>MiYang Summer Womens Beach Wear Cover up Swimwear Beachwear Bikini</t>
  </si>
  <si>
    <t>0.130064 cuft</t>
  </si>
  <si>
    <t>LYQ-MUCL628-E0-M</t>
  </si>
  <si>
    <t>X001QQGV1P</t>
  </si>
  <si>
    <t>B07BWB2NSM</t>
  </si>
  <si>
    <t>Short Sleeve Cold Shoulder T-Shirt Dress Solid Color Tunics with Pockets for Women Grey M (US4-6)</t>
  </si>
  <si>
    <t>YZ7438K0-L</t>
  </si>
  <si>
    <t>X001CG5JIF</t>
  </si>
  <si>
    <t>B06XCWXY45</t>
  </si>
  <si>
    <t>MiYang Vintage Sailor Pin up Swimsuit One Piece Skirtini Cover up Swimdress Black Dot Stripe M (US 8)</t>
  </si>
  <si>
    <t>YZ-HE9008Sa5L</t>
  </si>
  <si>
    <t>X000WZHXFJ</t>
  </si>
  <si>
    <t>B015QZRUJM</t>
  </si>
  <si>
    <t>MiYang Women's Bowknot Printing Skirt Spa Swimsuit Padded Bathing Swimwear, Sapphire Blue(two piece), X-Large(US Size14-16)</t>
  </si>
  <si>
    <t>0.157219 cuft</t>
  </si>
  <si>
    <t>LYQ-TW03-B0-S</t>
  </si>
  <si>
    <t>X001L5M7OL</t>
  </si>
  <si>
    <t>B0761M3L7V</t>
  </si>
  <si>
    <t>MiYang Striped Tunic T-Shirt Dress Women Plus Long Sleeve V-Neck Floral Pocket Casual Dress Floral S</t>
  </si>
  <si>
    <t>MiYang Women's Polka Dot Pant Bikini Bottom Adjustable Tie Boy Short Tag L/US M</t>
  </si>
  <si>
    <t>XZ-2115Pi37</t>
  </si>
  <si>
    <t>X000XCK9WF</t>
  </si>
  <si>
    <t>B019670P2U</t>
  </si>
  <si>
    <t>MiYang Winter Women's Sheep Warm Plush Soft Sole Indoor Slipper 5-6.5 B(M) US</t>
  </si>
  <si>
    <t>0.042875 cuft</t>
  </si>
  <si>
    <t>0.056769 cuft</t>
  </si>
  <si>
    <t>Black One Piece Swimsuit High Neck V-Neckline Mesh Ruched Monokini Swinwear M US(8-10)</t>
  </si>
  <si>
    <t>XZ-2115Gr36</t>
  </si>
  <si>
    <t>X000XCK9XT</t>
  </si>
  <si>
    <t>B01966VRO6</t>
  </si>
  <si>
    <t>MiYang Winter Women's Sheep Warm Plush Soft Sole Indoor Slipper</t>
  </si>
  <si>
    <t>0.080671 cuft</t>
  </si>
  <si>
    <t>YZ-MULK185-Y9-2XL</t>
  </si>
  <si>
    <t>X001QX9DWH</t>
  </si>
  <si>
    <t>B07CBTGQYC</t>
  </si>
  <si>
    <t>Women's Halter High Waisted Cut Out One Piece Swimsuit Backless Bathing Suit Yellow 2XL</t>
  </si>
  <si>
    <t>XZ-ZQ7032-K0-28</t>
  </si>
  <si>
    <t>X0019W1X8H</t>
  </si>
  <si>
    <t>B01M4QAPMQ</t>
  </si>
  <si>
    <t>MiYang Winter Winter Women's Cheerful Mario Warm House Slippers Booties</t>
  </si>
  <si>
    <t>0.263687 cuft</t>
  </si>
  <si>
    <t>YZ-HMTW001-K0-XL</t>
  </si>
  <si>
    <t>X001EMJOUL</t>
  </si>
  <si>
    <t>B06Y3W9332</t>
  </si>
  <si>
    <t>MiYang Women Vintage Flounce Stripe High Waisted Bathing Suits Two Piece Bikini XL (US 18-20)</t>
  </si>
  <si>
    <t>0.125297 cuft</t>
  </si>
  <si>
    <t>XZ-HMYZ22-PI-38(5.5)</t>
  </si>
  <si>
    <t>X001AW7CL3</t>
  </si>
  <si>
    <t>B01N6LHQ2C</t>
  </si>
  <si>
    <t>MiYang Winter Women's Pure Cotton Soft Sole Washable Anti-Skid Cozy House Shoes Slippers</t>
  </si>
  <si>
    <t>0.032407 cuft</t>
  </si>
  <si>
    <t>XZ-HMA190-MGR-4344</t>
  </si>
  <si>
    <t>X001JGMQD9</t>
  </si>
  <si>
    <t>B074FQH39Y</t>
  </si>
  <si>
    <t>0.188175 cuft</t>
  </si>
  <si>
    <t>LYQ-CS04-G0-2XL</t>
  </si>
  <si>
    <t>X001L5K8SD</t>
  </si>
  <si>
    <t>B0761QVFVC</t>
  </si>
  <si>
    <t>MiYang Casual Long Sleeve Shirt Pockets Dress Fall Clothes For Women Army Green XX-Large</t>
  </si>
  <si>
    <t>TK-J01H-SH-8</t>
  </si>
  <si>
    <t>X001GBYX5V</t>
  </si>
  <si>
    <t>B071WVS3ZL</t>
  </si>
  <si>
    <t>Teenking Boy's Fleece Outdoor Jacket Big Boy(Size 8)</t>
  </si>
  <si>
    <t>YZ-BSA160301B03XL</t>
  </si>
  <si>
    <t>X001FNNQ85</t>
  </si>
  <si>
    <t>B0711LQP2M</t>
  </si>
  <si>
    <t>MiYang Retro Vintage Striped One Piece Monokini Chevron Lines Swimsuit 3XL BlueWhite</t>
  </si>
  <si>
    <t>YZ-MUPLUS24-G0-2XL</t>
  </si>
  <si>
    <t>X001RG28OX</t>
  </si>
  <si>
    <t>B07CM858TZ</t>
  </si>
  <si>
    <t>0.082006 cuft</t>
  </si>
  <si>
    <t>DK-HM1789-R2-2XL</t>
  </si>
  <si>
    <t>X001B3337N</t>
  </si>
  <si>
    <t>B01NB9M5SD</t>
  </si>
  <si>
    <t>MiYang Women's Red Beach Pant Bikini Bottom Adjustable Tie Boy Short Tag XXL/US XL</t>
  </si>
  <si>
    <t>0.081019 cuft</t>
  </si>
  <si>
    <t>LYQ-MU1058-PR-XL</t>
  </si>
  <si>
    <t>X001RWOZGB</t>
  </si>
  <si>
    <t>B07CXX4WMK</t>
  </si>
  <si>
    <t>LYQ-CS04-CO-2XL</t>
  </si>
  <si>
    <t>X001L5172T</t>
  </si>
  <si>
    <t>B0761PPSRV</t>
  </si>
  <si>
    <t>MiYang Casual Long Sleeve Shirt Pockets Dress Fall Clothes For Women Coffee XX-Large</t>
  </si>
  <si>
    <t>LYQ-CS04-Wi-L</t>
  </si>
  <si>
    <t>X001L53ZBF</t>
  </si>
  <si>
    <t>B0761HPQWW</t>
  </si>
  <si>
    <t>MiYang Casual Long Sleeve Shirt Pockets Dress Fall Clothes For Women Wine Red Large</t>
  </si>
  <si>
    <t>MiYang Women's Beach Pant Bikini Bottom Adjustable Tie Boy Short Tag XL/US L</t>
  </si>
  <si>
    <t>LYQ-CL0127-R2-3XL</t>
  </si>
  <si>
    <t>X001JIDCZ3</t>
  </si>
  <si>
    <t>B074SWDLHW</t>
  </si>
  <si>
    <t>0.085035 cuft</t>
  </si>
  <si>
    <t>LYQ-1010N0S</t>
  </si>
  <si>
    <t>X0018RN8GX</t>
  </si>
  <si>
    <t>B01M22DUD3</t>
  </si>
  <si>
    <t>MiYang Women's Long Sleeve A-line Lace Stitching Trim Casual Dress XS Brown</t>
  </si>
  <si>
    <t>TK-J02H-SH-3T</t>
  </si>
  <si>
    <t>X001JQZQD1</t>
  </si>
  <si>
    <t>B074Z6G1TG</t>
  </si>
  <si>
    <t>Teenking Boy's Fleece Outdoor Jacket with Hood Little Boy(3T)</t>
  </si>
  <si>
    <t>LYQ-TW03-K0-XXL</t>
  </si>
  <si>
    <t>X001L5LIW3</t>
  </si>
  <si>
    <t>B0761Q9QJD</t>
  </si>
  <si>
    <t>MiYang Striped Tunic T-Shirt Dress Women Plus Long Sleeve V-Neck Floral Pocket Casual Dress Black Striped XXL</t>
  </si>
  <si>
    <t>XZ-ZQCB2002-C0-44</t>
  </si>
  <si>
    <t>X001BC9I5F</t>
  </si>
  <si>
    <t>B01N2NOGRS</t>
  </si>
  <si>
    <t>MiYang Winter Winter Winter Women and Men Solid Color Plush Warm House Slippers Booties</t>
  </si>
  <si>
    <t>0.147392 cuft</t>
  </si>
  <si>
    <t>YZ-MU5506-HS-XL</t>
  </si>
  <si>
    <t>X001R9GF0X</t>
  </si>
  <si>
    <t>B07CHGCC27</t>
  </si>
  <si>
    <t>Racerback Tankini Set with Boyshort Two Piece Swimsuit US 14W-16W</t>
  </si>
  <si>
    <t>YZ-HE13037Wi2L</t>
  </si>
  <si>
    <t>X000YV0BEB</t>
  </si>
  <si>
    <t>B01AXSD3V6</t>
  </si>
  <si>
    <t>MiYang Women's Shaping Body Swimsuit One-Piece Swimwear Spa Suit Size tag 2XL/US size M,Wine Red</t>
  </si>
  <si>
    <t>DK-MUCL315-RF-XL</t>
  </si>
  <si>
    <t>X001Q4DDU9</t>
  </si>
  <si>
    <t>B07BGTMWTV</t>
  </si>
  <si>
    <t>High-Waisted Strappy Side Floral Bikini Bottoms Swimwear Brief for Women Red US 12</t>
  </si>
  <si>
    <t>MiYang Women's Plus Size Printing Padded High Waist Swimdress Purple 4X (US 24W-26W)</t>
  </si>
  <si>
    <t>MY-HM1206-BR-M</t>
  </si>
  <si>
    <t>X001KNIDSD</t>
  </si>
  <si>
    <t>B075FPFDKQ</t>
  </si>
  <si>
    <t>MiYang Women Sweater Pullover V Neck Lace Up Knitted Tops Criss Cross Backless Jumper Army Green Medium</t>
  </si>
  <si>
    <t>0.1891 cuft</t>
  </si>
  <si>
    <t>LYQ-K1010-KQ-2X</t>
  </si>
  <si>
    <t>X001ARRZXX</t>
  </si>
  <si>
    <t>B01N1X1M4J</t>
  </si>
  <si>
    <t>MiYang Women's Long Sleeve A-line Lace Stitching Trim Casual Dress 2XL Khaki</t>
  </si>
  <si>
    <t>XZ-013GR1S</t>
  </si>
  <si>
    <t>X0013MHKAN</t>
  </si>
  <si>
    <t>B0191JT81C</t>
  </si>
  <si>
    <t>MiYang Winter Women's Warm Plush Soft Sole Indoor Slipper(US Size:4-5.5 B(M) US,Grey Open Back)</t>
  </si>
  <si>
    <t>0.198917 cuft</t>
  </si>
  <si>
    <t>MNQ-N7188-K0-S</t>
  </si>
  <si>
    <t>X001CJKEYV</t>
  </si>
  <si>
    <t>B01MQXZFP6</t>
  </si>
  <si>
    <t>MiYang Women's Long Sleeve A-Line Lace Stitching Trim Mini Dress</t>
  </si>
  <si>
    <t>0.050003 cuft</t>
  </si>
  <si>
    <t>YZ-MYQZ1709-K0-S</t>
  </si>
  <si>
    <t>X001DGGGG3</t>
  </si>
  <si>
    <t>B06XSTGTGD</t>
  </si>
  <si>
    <t>0.096806 cuft</t>
  </si>
  <si>
    <t>0.196915 cuft</t>
  </si>
  <si>
    <t>LYQ-CS04-K0-XL</t>
  </si>
  <si>
    <t>X001L51PKN</t>
  </si>
  <si>
    <t>B0761LHQRT</t>
  </si>
  <si>
    <t>MiYang Casual Long Sleeve Shirt Pockets Dress Fall Clothes For Women Black X-Large</t>
  </si>
  <si>
    <t>YZ-MUBK187-BD-S</t>
  </si>
  <si>
    <t>X001QBKMZV</t>
  </si>
  <si>
    <t>B07BMYBDKP</t>
  </si>
  <si>
    <t>LYQ-CS04-Wi-XL</t>
  </si>
  <si>
    <t>X001L51F7V</t>
  </si>
  <si>
    <t>B0761PCXCX</t>
  </si>
  <si>
    <t>MiYang Casual Long Sleeve Shirt Pockets Dress Fall Clothes For Women Wine Red X-Large</t>
  </si>
  <si>
    <t>LYQ-LB01-K0-M</t>
  </si>
  <si>
    <t>X001L5138R</t>
  </si>
  <si>
    <t>B0761N2RGM</t>
  </si>
  <si>
    <t>MiYang Turtleneck Loose Tunic Top Casual Swing Mini Dress For Women With Trumpet Sleeves Black Medium</t>
  </si>
  <si>
    <t>YZ-PP1705-K0-M</t>
  </si>
  <si>
    <t>X001DJ3V13</t>
  </si>
  <si>
    <t>B06XSG4Z8B</t>
  </si>
  <si>
    <t>MiYang Vintage Starry Sky Convertible Black One Piece Swimsuit Size M</t>
  </si>
  <si>
    <t>0.144679 cuft</t>
  </si>
  <si>
    <t>YZ-MUPLUS24-K0-L</t>
  </si>
  <si>
    <t>X001RGXPJF</t>
  </si>
  <si>
    <t>B07CM32VDZ</t>
  </si>
  <si>
    <t>LYQ--MY-MX02-N0-M</t>
  </si>
  <si>
    <t>X001L5O4Y7</t>
  </si>
  <si>
    <t>B0761NNFHG</t>
  </si>
  <si>
    <t>MiYang Bell Sleeve Shirt Dress Women Loose Flare Swing Blouse Casual Dress Brown M</t>
  </si>
  <si>
    <t>0.117722 cuft</t>
  </si>
  <si>
    <t>TK-C412H-SH-XL</t>
  </si>
  <si>
    <t>X001I211KN</t>
  </si>
  <si>
    <t>B0748C9C86</t>
  </si>
  <si>
    <t>Teenking Men's Fleece Outdoor Jacket X-Large</t>
  </si>
  <si>
    <t>DK-HM1789-Dot-S</t>
  </si>
  <si>
    <t>X001R7U62N</t>
  </si>
  <si>
    <t>B07CJ1RHBK</t>
  </si>
  <si>
    <t>MiYang Women's Polka Dot Pant Bikini Bottom Adjustable Tie Boy Short Tag S/US XS</t>
  </si>
  <si>
    <t>LYQ-K1010-KQ-M</t>
  </si>
  <si>
    <t>X001AT8M9R</t>
  </si>
  <si>
    <t>B01N2YLI1M</t>
  </si>
  <si>
    <t>MiYang Women's Long Sleeve A-line Lace Stitching Trim Casual Dress M Khaki</t>
  </si>
  <si>
    <t>XZ-CL05-BE-3637</t>
  </si>
  <si>
    <t>X001NQ98VX</t>
  </si>
  <si>
    <t>B078HVV4XF</t>
  </si>
  <si>
    <t>Womens Indoor Warm Fleece Slippers, Ladies Girls Cute Cartoon Winter Soft Cozy Booties Non-Slip Plush Mules Home Bedroom Slip-On Shoes Ankle Boots (US Size:4-5.5 (EUR Size: 36/37), Cream Teddy Bear)</t>
  </si>
  <si>
    <t>0.382171 cuft</t>
  </si>
  <si>
    <t>YZ-HM17015-K0-XL</t>
  </si>
  <si>
    <t>X001JDUXV9</t>
  </si>
  <si>
    <t>B074JZB431</t>
  </si>
  <si>
    <t>MiYang Women's Sexy Bandage Bikini Set Push-up Padded 2 Piece Swimsuit Swimwear</t>
  </si>
  <si>
    <t>0.034772 cuft</t>
  </si>
  <si>
    <t>MY-CL1925-R6-L</t>
  </si>
  <si>
    <t>X001KDZ4FX</t>
  </si>
  <si>
    <t>B0752FF9R6</t>
  </si>
  <si>
    <t>0.177349 cuft</t>
  </si>
  <si>
    <t>XZ-YG7223Gr4041</t>
  </si>
  <si>
    <t>X000XU0CEH</t>
  </si>
  <si>
    <t>B018Z5B8BG</t>
  </si>
  <si>
    <t>MiYang Winter Vintage Arctic Solid Indoor Boot Slippers Green 9 B(M) US</t>
  </si>
  <si>
    <t>Lower price</t>
  </si>
  <si>
    <t>0.290162 cuft</t>
  </si>
  <si>
    <t>SJ-HM205-G0</t>
  </si>
  <si>
    <t>X001E2J22V</t>
  </si>
  <si>
    <t>B06ZZSRM9K</t>
  </si>
  <si>
    <t>LYQ-CF8512-NAVY-L</t>
  </si>
  <si>
    <t>X001F1B2A1</t>
  </si>
  <si>
    <t>B071F3F5S1</t>
  </si>
  <si>
    <t>MiYang Womens Casual Loosen T-Shirt Sleeveless Swing Dress Tunic Tank Top Dresses With Two Pockets, Large, Navy</t>
  </si>
  <si>
    <t>XZ-ZQ6834-KQ-270</t>
  </si>
  <si>
    <t>X001KNP4T9</t>
  </si>
  <si>
    <t>B075FQK1ZQ</t>
  </si>
  <si>
    <t>MiYang Women's Cute Panda Warm House Family Slippers Booties Khaki 9-10 B(M) US</t>
  </si>
  <si>
    <t>0.311447 cuft</t>
  </si>
  <si>
    <t>XZ-ZQFT730-C0-4647</t>
  </si>
  <si>
    <t>X001K1ELYZ</t>
  </si>
  <si>
    <t>B074XDXQTY</t>
  </si>
  <si>
    <t>MiYang Winter Women Men and Men Cute A Solid Warm House Indoor Slippers</t>
  </si>
  <si>
    <t>YZ-HE9007Sa9L</t>
  </si>
  <si>
    <t>X0019Q9ALP</t>
  </si>
  <si>
    <t>B01MSMPBNA</t>
  </si>
  <si>
    <t>MiYang Women's Plus Size High Waist Printing Swimsuit Bathing Swimwear Sapphire Blue(one Piece) 4X(US Size22W-24W)</t>
  </si>
  <si>
    <t>DK-HM1789-PI-XL</t>
  </si>
  <si>
    <t>X001B0LMAL</t>
  </si>
  <si>
    <t>B01N97753Y</t>
  </si>
  <si>
    <t>MiYang Women's Pink Beach Pant Bikini Bottom Adjustable Tie Boy Short Tag XL/US L</t>
  </si>
  <si>
    <t>LYQ-YY05-ZL-M</t>
  </si>
  <si>
    <t>X001L5N4Z7</t>
  </si>
  <si>
    <t>B0761LFRQT</t>
  </si>
  <si>
    <t>MiYang Women's Crew Neck Solid Color Long Sleeve Casual Flared Midi Dress Navy M</t>
  </si>
  <si>
    <t>YZ-MUBK187-OR-S</t>
  </si>
  <si>
    <t>X001QBLH23</t>
  </si>
  <si>
    <t>B07BMVSGKW</t>
  </si>
  <si>
    <t>High Waisted Bikini Set Sporty High Cut Cheeky Bottom Two Piece Swimsuit Orange</t>
  </si>
  <si>
    <t>LYQ2015B0</t>
  </si>
  <si>
    <t>X000ZCD38Z</t>
  </si>
  <si>
    <t>B01BY03I8K</t>
  </si>
  <si>
    <t>0.06875 cuft</t>
  </si>
  <si>
    <t>0.017569 cuft</t>
  </si>
  <si>
    <t>LYQ-CF8512-DKGR-XL</t>
  </si>
  <si>
    <t>X001G71OI9</t>
  </si>
  <si>
    <t>B072HW2LW8</t>
  </si>
  <si>
    <t>DK-HM1789-W0-S</t>
  </si>
  <si>
    <t>X001B13GY5</t>
  </si>
  <si>
    <t>B01N9775WM</t>
  </si>
  <si>
    <t>MiYang Women's White Beach Pant Bikini Bottom Adjustable Tie Boy Short Tag S/US XS</t>
  </si>
  <si>
    <t>LYQ--MY-MX02-R0-XL</t>
  </si>
  <si>
    <t>X001L57K9X</t>
  </si>
  <si>
    <t>B0761MS2GG</t>
  </si>
  <si>
    <t>MiYang Bell Sleeve Shirt Dress Women Loose Flare Swing Blouse Casual Dress Red XL</t>
  </si>
  <si>
    <t>0.148582 cuft</t>
  </si>
  <si>
    <t>YZ-MU5129-G0YH-2XL</t>
  </si>
  <si>
    <t>X001REKR5R</t>
  </si>
  <si>
    <t>B07CLLBFQB</t>
  </si>
  <si>
    <t>MiYang Plus Size Floral Swimwear One Piece Swimdress for Women Skirted Swimsuit Yellow Floral 2XL(US 20-22)</t>
  </si>
  <si>
    <t>TK-Ad413-K0-L</t>
  </si>
  <si>
    <t>X001I24HPT</t>
  </si>
  <si>
    <t>B0749JZC2V</t>
  </si>
  <si>
    <t>Teenking Men's Fleece Outdoor Jacket with Hood Large</t>
  </si>
  <si>
    <t>MY-HM1206-KH-M</t>
  </si>
  <si>
    <t>X001KMNZWD</t>
  </si>
  <si>
    <t>B075FQ8554</t>
  </si>
  <si>
    <t>MiYang Women Sweater Pullover V Neck Lace Up Knitted Tops Criss Cross Backless Jumper Khaki Medium</t>
  </si>
  <si>
    <t>LYQ-MU1059-PR-XL</t>
  </si>
  <si>
    <t>X001RYBLL1</t>
  </si>
  <si>
    <t>B07CYMC3KF</t>
  </si>
  <si>
    <t>MiYang Short Sleeve V Neck Casual Flare Tunic Top Loose Blouse for Women</t>
  </si>
  <si>
    <t>0.094957 cuft</t>
  </si>
  <si>
    <t>MiYang Women's Plus Size Printing Padded High Waist Swimdress Orange 3X (US 20W-22W)</t>
  </si>
  <si>
    <t>YZ-YGD2000-M</t>
  </si>
  <si>
    <t>X0012Z10RF</t>
  </si>
  <si>
    <t>B01EJABD7K</t>
  </si>
  <si>
    <t>MiYang Women's Fluorescent Halter Neck One Piece Monokinis Swimsuit Bathing Suit M (US 4-6)</t>
  </si>
  <si>
    <t>0.042611 cuft</t>
  </si>
  <si>
    <t>LYQ-LS06-E0-M</t>
  </si>
  <si>
    <t>X001L5OG1D</t>
  </si>
  <si>
    <t>B0761QYPBP</t>
  </si>
  <si>
    <t>MiYang Women's Turtle-Neck Solid Long-Sleeve Short Straight Dress, Turtleneck-Grey, Medium</t>
  </si>
  <si>
    <t>XZ-HMA119-ZL-4142</t>
  </si>
  <si>
    <t>X001KMPNWD</t>
  </si>
  <si>
    <t>B075CGXYSJ</t>
  </si>
  <si>
    <t>MiYang Soft Cotton Stripe Indoor Anti- Slip Slippers</t>
  </si>
  <si>
    <t>DK-MUCL315-B7-M</t>
  </si>
  <si>
    <t>X001Q4E46B</t>
  </si>
  <si>
    <t>B07BGWGRFR</t>
  </si>
  <si>
    <t>High-Waisted Strappy Side Bikini Bottoms Swimwear Brief for Women Sky Blue US 8</t>
  </si>
  <si>
    <t>0.029167 cuft</t>
  </si>
  <si>
    <t>XZ-HMA194-CO-4344</t>
  </si>
  <si>
    <t>X001KNPUGB</t>
  </si>
  <si>
    <t>B075CGNW3D</t>
  </si>
  <si>
    <t>MiYang Winter Women/Men Soft Open Toe Indoor Anti- Slip Slippers</t>
  </si>
  <si>
    <t>0.01775 cuft</t>
  </si>
  <si>
    <t>LYQ-TW03-K0-M</t>
  </si>
  <si>
    <t>X001L5LBCP</t>
  </si>
  <si>
    <t>B0761P5YXS</t>
  </si>
  <si>
    <t>MiYang Striped Tunic T-Shirt Dress Women Plus Long Sleeve V-Neck Floral Pocket Casual Dress Black Striped M</t>
  </si>
  <si>
    <t>Bottom-5505PI-2XL</t>
  </si>
  <si>
    <t>X001BDDOZJ</t>
  </si>
  <si>
    <t>B01MXOG1M7</t>
  </si>
  <si>
    <t>MiYang Women's Tankini Striped Vintage Swim Dress (Pink XX-Large)Bottom</t>
  </si>
  <si>
    <t>0.072049 cuft</t>
  </si>
  <si>
    <t>MNQ-N7188-W0-XS</t>
  </si>
  <si>
    <t>X001CHS87D</t>
  </si>
  <si>
    <t>B01N9JKZ8Q</t>
  </si>
  <si>
    <t>0.056407 cuft</t>
  </si>
  <si>
    <t>YZ-MUHY025-R0-XL</t>
  </si>
  <si>
    <t>X001RJ0Y19</t>
  </si>
  <si>
    <t>B07CNHB118</t>
  </si>
  <si>
    <t>0.09779 cuft</t>
  </si>
  <si>
    <t>DK-MUCL315-P0-S</t>
  </si>
  <si>
    <t>X001Q3KLTB</t>
  </si>
  <si>
    <t>B07BH23PP3</t>
  </si>
  <si>
    <t>High-Waisted Strappy Side Bikini Bottoms Swimwear Brief for Women Purple US 6</t>
  </si>
  <si>
    <t>0.029731 cuft</t>
  </si>
  <si>
    <t>Bottom-5505LB-XL</t>
  </si>
  <si>
    <t>X001BIC4TV</t>
  </si>
  <si>
    <t>B01NCAA5LV</t>
  </si>
  <si>
    <t>MiYang Women's Tankini Striped Vintage Swim Dress (Light Blue X-Large)Bottom</t>
  </si>
  <si>
    <t>YZ-MUCS186-G0-2XL</t>
  </si>
  <si>
    <t>X001QBKT4F</t>
  </si>
  <si>
    <t>B07BLV64RN</t>
  </si>
  <si>
    <t>0.09776 cuft</t>
  </si>
  <si>
    <t>YZ-MUBK187-P0-M</t>
  </si>
  <si>
    <t>X001QESCU5</t>
  </si>
  <si>
    <t>B07C8L8GT5</t>
  </si>
  <si>
    <t>LYQ-CF8512-DKGR-XXL</t>
  </si>
  <si>
    <t>X001G7A01L</t>
  </si>
  <si>
    <t>B071F3F6GV</t>
  </si>
  <si>
    <t>LYQ-1010N0S-New</t>
  </si>
  <si>
    <t>X001KFI1LZ</t>
  </si>
  <si>
    <t>B075H7Q73T</t>
  </si>
  <si>
    <t>0.053815 cuft</t>
  </si>
  <si>
    <t>YZ-MUC19P-W0-L</t>
  </si>
  <si>
    <t>X001R6744H</t>
  </si>
  <si>
    <t>B07CGPLGCB</t>
  </si>
  <si>
    <t>MiYang Twist Front Bandeau Bikini Top Hipster Bottom Set Two Piece Swimsuit for Women White US 8-10</t>
  </si>
  <si>
    <t>0.125417 cuft</t>
  </si>
  <si>
    <t>XZ-ZQ2182-PI-3637</t>
  </si>
  <si>
    <t>X001KJQUTV</t>
  </si>
  <si>
    <t>B074W7XF15</t>
  </si>
  <si>
    <t>0.25657 cuft</t>
  </si>
  <si>
    <t>YZ-MUBK187-R2-L</t>
  </si>
  <si>
    <t>X001RYJZSR</t>
  </si>
  <si>
    <t>B07CYMH8KZ</t>
  </si>
  <si>
    <t>0.164314 cuft</t>
  </si>
  <si>
    <t>XZ-ZQ6102-N0-4243</t>
  </si>
  <si>
    <t>X001A8EKZX</t>
  </si>
  <si>
    <t>B01N3LN00G</t>
  </si>
  <si>
    <t>MiYang Winter Winter Cute Cat and Dog Warm House Slippers Booties</t>
  </si>
  <si>
    <t>0.015604 cuft</t>
  </si>
  <si>
    <t>YZ-MUWS32-ZL-XL</t>
  </si>
  <si>
    <t>X001QWWCFD</t>
  </si>
  <si>
    <t>B07C22DFJD</t>
  </si>
  <si>
    <t>Navy Blue One Piece Swimsuit High Neck V-Neckline Mesh Ruched Monokini Swinwear XL US (16)</t>
  </si>
  <si>
    <t>DK-HM1789-ZL-L</t>
  </si>
  <si>
    <t>X001ATT8Y5</t>
  </si>
  <si>
    <t>B01N0GFLQY</t>
  </si>
  <si>
    <t>MiYang Women's Navy Blue Beach Pant Bikini Bottom Adjustable Tie Boy Short Tag L/US M</t>
  </si>
  <si>
    <t>YZ-MULK185-B0-L</t>
  </si>
  <si>
    <t>X001QW49RR</t>
  </si>
  <si>
    <t>B07C21Y9V2</t>
  </si>
  <si>
    <t>Women's Halter High Waisted Cut Out One Piece Swimsuit Backless Bathing Suit Patchwork Blue L</t>
  </si>
  <si>
    <t>TK-J01H-SH-14/16</t>
  </si>
  <si>
    <t>X001GBL5NT</t>
  </si>
  <si>
    <t>B071GBX3QZ</t>
  </si>
  <si>
    <t>YZ-MULK185-B0-S</t>
  </si>
  <si>
    <t>X001QX922N</t>
  </si>
  <si>
    <t>B07C21SNB5</t>
  </si>
  <si>
    <t>Women's Halter High Waisted Cut Out One Piece Swimsuit Backless Bathing Suit Patchwork Blue S</t>
  </si>
  <si>
    <t>YZ-MU5129-K0-M</t>
  </si>
  <si>
    <t>X001RG4ARV</t>
  </si>
  <si>
    <t>B07CKVX5SF</t>
  </si>
  <si>
    <t>MiYang Plus Size Floral Swimwear One Piece Swimdress for Women Skirted Swimsuit Black Medium(US 8-10)</t>
  </si>
  <si>
    <t>TK-J01H-SH-5/6</t>
  </si>
  <si>
    <t>X001GBQL4R</t>
  </si>
  <si>
    <t>B0721B4FRH</t>
  </si>
  <si>
    <t>Teenking Boy's Fleece Outdoor Jacket Little Boy(Size 5/6)</t>
  </si>
  <si>
    <t>MiYang Women's Plus Size Printing Padded High Waist Swimdress Purple 2X (US 16W-18W)</t>
  </si>
  <si>
    <t>LYQ-CS04-Wi-2XL</t>
  </si>
  <si>
    <t>X001L54HOT</t>
  </si>
  <si>
    <t>B0761RVCRK</t>
  </si>
  <si>
    <t>MiYang Casual Long Sleeve Shirt Pockets Dress Fall Clothes For Women Wine Red XX-Large</t>
  </si>
  <si>
    <t>LYQ-ZQ-1188-P0-M</t>
  </si>
  <si>
    <t>X001K6BDC3</t>
  </si>
  <si>
    <t>B074NZ9LYJ</t>
  </si>
  <si>
    <t>MiYang Women's Fashion Striped Short Sleeves Floral A-line Casual T-Shirt Dress Purple Medium</t>
  </si>
  <si>
    <t>0.036552 cuft</t>
  </si>
  <si>
    <t>Standard</t>
  </si>
  <si>
    <t>LYQ-1010N03L</t>
  </si>
  <si>
    <t>X0018RMVLV</t>
  </si>
  <si>
    <t>B01M6UNN0N</t>
  </si>
  <si>
    <t>MiYang Women's Long Sleeve A-line Lace Stitching Trim Casual Dress 2XL Brown</t>
  </si>
  <si>
    <t>XZ-YG7223Gr3839</t>
  </si>
  <si>
    <t>X000XU0CD3</t>
  </si>
  <si>
    <t>B018Z5B7EO</t>
  </si>
  <si>
    <t>MiYang Winter Vintage Arctic Solid Indoor Boot Slippers Green 8 B(M) US</t>
  </si>
  <si>
    <t>0.4235 cuft</t>
  </si>
  <si>
    <t>YZ1458K04XL</t>
  </si>
  <si>
    <t>X000SZ872B</t>
  </si>
  <si>
    <t>B00YMGUX6Y</t>
  </si>
  <si>
    <t>MiYang Women's Plus Size Tassel One Piece Swimwear Black 1X/Tag 4XL</t>
  </si>
  <si>
    <t>0.078038 cuft</t>
  </si>
  <si>
    <t>TK-Ad413-SH-L</t>
  </si>
  <si>
    <t>X001I21Y19</t>
  </si>
  <si>
    <t>B0749HWXH2</t>
  </si>
  <si>
    <t>TK-J02H-K0-4T</t>
  </si>
  <si>
    <t>X001JQZQDB</t>
  </si>
  <si>
    <t>B074Z6KXS5</t>
  </si>
  <si>
    <t>Teenking Boy's Fleece Outdoor Jacket with Hood Little Boy(4T)</t>
  </si>
  <si>
    <t>0.113766 cuft</t>
  </si>
  <si>
    <t>YZ5505R0-XS</t>
  </si>
  <si>
    <t>X001AQ79CB</t>
  </si>
  <si>
    <t>B01MRUFE10</t>
  </si>
  <si>
    <t>0.113197 cuft</t>
  </si>
  <si>
    <t>0.050099 cuft</t>
  </si>
  <si>
    <t>YZ-MUC19P-R0-S</t>
  </si>
  <si>
    <t>X001R6QEF7</t>
  </si>
  <si>
    <t>B07C7J853W</t>
  </si>
  <si>
    <t>MiYang Twist Front Bandeau Bikini Top Hipster Bottom Set Two Piece Swimsuit for Women Red US 4-6</t>
  </si>
  <si>
    <t>YZ-MULK185-Y9-S</t>
  </si>
  <si>
    <t>X001QW49OP</t>
  </si>
  <si>
    <t>B07CBTBCFM</t>
  </si>
  <si>
    <t>Women's Halter High Waisted Cut Out One Piece Swimsuit Backless Bathing Suit Yellow S</t>
  </si>
  <si>
    <t>LYQ-1010DX-B0-M</t>
  </si>
  <si>
    <t>X001QZ3VEB</t>
  </si>
  <si>
    <t>B07C3R813Q</t>
  </si>
  <si>
    <t>Short Sleeve Loose Swing T-Shirt Dress Tunic Blouse for Women s Blue</t>
  </si>
  <si>
    <t>TK-J02H-SH-14/16</t>
  </si>
  <si>
    <t>X001GBQKW5</t>
  </si>
  <si>
    <t>B071GBPHL3</t>
  </si>
  <si>
    <t>DK-HM1789-Dot-M</t>
  </si>
  <si>
    <t>X001R737MJ</t>
  </si>
  <si>
    <t>B07CG6JT46</t>
  </si>
  <si>
    <t>MiYang Women's Polka Dot Pant Bikini Bottom Adjustable Tie Boy Short Tag M/US S</t>
  </si>
  <si>
    <t>YZ-HM0007-B0-L</t>
  </si>
  <si>
    <t>X001E9UYY9</t>
  </si>
  <si>
    <t>B06ZYLNNZG</t>
  </si>
  <si>
    <t>0.151348 cuft</t>
  </si>
  <si>
    <t>LYQ-K1010-Z0-L</t>
  </si>
  <si>
    <t>X001A2LFWF</t>
  </si>
  <si>
    <t>B01NCE22FH</t>
  </si>
  <si>
    <t>MiYang Women's Long Sleeve A-line Lace Stitching Trim Casual Dress L Violet</t>
  </si>
  <si>
    <t>LYQ-MU1058-GA-XXL</t>
  </si>
  <si>
    <t>X001RWPD3P</t>
  </si>
  <si>
    <t>B07CXX2YDX</t>
  </si>
  <si>
    <t>SJ-ZZN204AX</t>
  </si>
  <si>
    <t>X000TVTWRX</t>
  </si>
  <si>
    <t>B010SPPNNK</t>
  </si>
  <si>
    <t>MiYang Women's Floral Lace Beach Bikini Swimwear Cover-up, Red, X-Small(US Size 0-4)</t>
  </si>
  <si>
    <t>LYQ-YY05-R0-S</t>
  </si>
  <si>
    <t>X001L5O753</t>
  </si>
  <si>
    <t>B0761MXFZ8</t>
  </si>
  <si>
    <t>MiYang Women's Crew Neck Solid Color Long Sleeve Casual Flared Midi Dress Red S</t>
  </si>
  <si>
    <t>YZ-MU180-K0-2XL</t>
  </si>
  <si>
    <t>X001Q2HYCJ</t>
  </si>
  <si>
    <t>B07BF962P1</t>
  </si>
  <si>
    <t>Women Bikini Sets Brazilian Padded Top Thong Cheeky Bikini Bottom 2PCs 2018 Swimsuit for Women Black 2XL</t>
  </si>
  <si>
    <t>YZ-HE9008Se3L</t>
  </si>
  <si>
    <t>X000WFYY47</t>
  </si>
  <si>
    <t>B015QZRW4A</t>
  </si>
  <si>
    <t>MiYang Women's Bowknot Printing Skirt Spa Swimsuit Padded Bathing Swimwear, Navy(two piece), Medium(US Size 6-8)</t>
  </si>
  <si>
    <t>YZ-BSA160301B0M</t>
  </si>
  <si>
    <t>X001GAOTEH</t>
  </si>
  <si>
    <t>B071469FK1</t>
  </si>
  <si>
    <t>MiYang Retro Vintage Striped One Piece Monokini Chevron Lines Swimsuit M BlueWhite</t>
  </si>
  <si>
    <t>0.175974 cuft</t>
  </si>
  <si>
    <t>0.12375 cuft</t>
  </si>
  <si>
    <t>XZ-HM8130-G0-3839</t>
  </si>
  <si>
    <t>X001BGAV1V</t>
  </si>
  <si>
    <t>B01N7PGCL5</t>
  </si>
  <si>
    <t>0.118363 cuft</t>
  </si>
  <si>
    <t>LYQ-MU18-Y0-XL</t>
  </si>
  <si>
    <t>X001OEEQA7</t>
  </si>
  <si>
    <t>B0792QY26V</t>
  </si>
  <si>
    <t>MiYang Women's Loose Solid Long Sleeve Tunic T-Shirt Dress Beige X-Large</t>
  </si>
  <si>
    <t>XZ-013WH3S</t>
  </si>
  <si>
    <t>X0017ALCMN</t>
  </si>
  <si>
    <t>B0191JSM82</t>
  </si>
  <si>
    <t>MiYang Women's Warm Plush Soft Sole Indoor Slipper White(High Top) 4-5.5 B(M) US</t>
  </si>
  <si>
    <t>0.283306 cuft</t>
  </si>
  <si>
    <t>LYQ-CF8512-DKGR-L</t>
  </si>
  <si>
    <t>X001G78P0J</t>
  </si>
  <si>
    <t>B071NVSDQK</t>
  </si>
  <si>
    <t>YZ-MUCLC19-OR-L</t>
  </si>
  <si>
    <t>X001OIZOEP</t>
  </si>
  <si>
    <t>B0795FP574</t>
  </si>
  <si>
    <t>MiYang Twist Front Bandeau Bikini Top Hipster Bottom Set Two Piece Swimsuit for Women Orange US 4-6</t>
  </si>
  <si>
    <t>DK-MUCL315-AB-2XL</t>
  </si>
  <si>
    <t>X001Q37JFF</t>
  </si>
  <si>
    <t>B07BGWVBS5</t>
  </si>
  <si>
    <t>High-Waisted Strappy Side Abstract Print Bikini Bottoms Swimwear Brief for Women Butterfly US 14</t>
  </si>
  <si>
    <t>0.109462 cuft</t>
  </si>
  <si>
    <t>LYQ-CL0127-B0-3XL</t>
  </si>
  <si>
    <t>X001JIDC6H</t>
  </si>
  <si>
    <t>B074SV36XV</t>
  </si>
  <si>
    <t>MiYang Women's Plus Size Floral Dress 3/10 Sleeve Casual Swing Dress With Pockets Blue</t>
  </si>
  <si>
    <t>DK-MUCL315-K0-M</t>
  </si>
  <si>
    <t>X001Q37O8R</t>
  </si>
  <si>
    <t>B07BGY75YJ</t>
  </si>
  <si>
    <t>High-Waisted Strappy Side Bikini Bottoms Swimwear Brief for Women Black US 8</t>
  </si>
  <si>
    <t>MiYang Women's Plus Size Printing Padded High Waist Swimdress Orange 2X (US 16W-18W)</t>
  </si>
  <si>
    <t>XZ-HMA190-P0-3738</t>
  </si>
  <si>
    <t>X001JGOC13</t>
  </si>
  <si>
    <t>B074FW61XM</t>
  </si>
  <si>
    <t>0.156113 cuft</t>
  </si>
  <si>
    <t>YZ-MUCS186-G0-S</t>
  </si>
  <si>
    <t>X001QE1O19</t>
  </si>
  <si>
    <t>B07BLYPYRD</t>
  </si>
  <si>
    <t>LYQ-1010DX-BD-S</t>
  </si>
  <si>
    <t>X001QZ3V8R</t>
  </si>
  <si>
    <t>B07C3S28PL</t>
  </si>
  <si>
    <t>MiYang Short Sleeve Loose Swing T-Shirt Dress Tunic Blouse for Women XS Wine Red</t>
  </si>
  <si>
    <t>YZ-MUBK187-Y0-L</t>
  </si>
  <si>
    <t>X001QCL1Q9</t>
  </si>
  <si>
    <t>B07BMXFVDM</t>
  </si>
  <si>
    <t>LYQ-K1010-G7-XL</t>
  </si>
  <si>
    <t>X001ATRREX</t>
  </si>
  <si>
    <t>B06XZ42T58</t>
  </si>
  <si>
    <t>MiYang Women's Long Sleeve A-line Lace Stitching Trim Casual Dress XL Army Green</t>
  </si>
  <si>
    <t>0.073435 cuft</t>
  </si>
  <si>
    <t>XZ-HMA190-W0-3334</t>
  </si>
  <si>
    <t>X001JGO3T9</t>
  </si>
  <si>
    <t>B074FSB5SX</t>
  </si>
  <si>
    <t>MiYang Winter House Slippers for Women Winter Warm Home Plush Non-Slip Animal Slip on Shoes Little Kid 1.5M</t>
  </si>
  <si>
    <t>0.109054 cuft</t>
  </si>
  <si>
    <t>0.067742 cuft</t>
  </si>
  <si>
    <t>LYQ-MU1059-Z0-2XL</t>
  </si>
  <si>
    <t>X001RYJGNV</t>
  </si>
  <si>
    <t>B07CYMNJD7</t>
  </si>
  <si>
    <t>0.094988 cuft</t>
  </si>
  <si>
    <t>YZ-MUHY025-K0-L</t>
  </si>
  <si>
    <t>X001RIW1YX</t>
  </si>
  <si>
    <t>B07CND7JQ1</t>
  </si>
  <si>
    <t>YZ5505R0-S</t>
  </si>
  <si>
    <t>X001APKMWL</t>
  </si>
  <si>
    <t>B01NCIQ2XY</t>
  </si>
  <si>
    <t>LYQ-MU1059-DGR-XL</t>
  </si>
  <si>
    <t>X001RYCWV9</t>
  </si>
  <si>
    <t>B07CYS84C3</t>
  </si>
  <si>
    <t>MiYang Women's Plus Size Printing Padded High Waist Swimdress Blue and Green 2X (US 16W-18W)</t>
  </si>
  <si>
    <t>0.137196 cuft</t>
  </si>
  <si>
    <t>YZ-MUHY025-K0-M</t>
  </si>
  <si>
    <t>X001RIXGWT</t>
  </si>
  <si>
    <t>B07CNHGT8G</t>
  </si>
  <si>
    <t>YZ-BD1704-K0-XS</t>
  </si>
  <si>
    <t>X001DJ3KKP</t>
  </si>
  <si>
    <t>B06XTNSVG7</t>
  </si>
  <si>
    <t>0.183115 cuft</t>
  </si>
  <si>
    <t>LYQ-ZQ-1199-P0-L</t>
  </si>
  <si>
    <t>X001KYBVPJ</t>
  </si>
  <si>
    <t>B074QP1DST</t>
  </si>
  <si>
    <t>DK-MUCL315-RF-L</t>
  </si>
  <si>
    <t>X001Q4DZVB</t>
  </si>
  <si>
    <t>B07BGXN7S1</t>
  </si>
  <si>
    <t>High-Waisted Strappy Side Floral Bikini Bottoms Swimwear Brief for Women Red US 10</t>
  </si>
  <si>
    <t>0.03075 cuft</t>
  </si>
  <si>
    <t>YZ-MU727-Pi-XL</t>
  </si>
  <si>
    <t>X001Q1W669</t>
  </si>
  <si>
    <t>B07BFWZ7PC</t>
  </si>
  <si>
    <t>Halter Deep Plunging High Cut Cutout One Piece Swimsuit Criss Cross Monokini L (US 10-12)</t>
  </si>
  <si>
    <t>0.256054 cuft</t>
  </si>
  <si>
    <t>0.109349 cuft</t>
  </si>
  <si>
    <t>YZ-MU511-ZLSY-L</t>
  </si>
  <si>
    <t>X001Q4QPW7</t>
  </si>
  <si>
    <t>B07BHGQQLT</t>
  </si>
  <si>
    <t>MiYang Women's Plus-Size Polka Dot Shaping Body One Piece Swim Dresses Swimsuit L Leaves Print</t>
  </si>
  <si>
    <t>XZ-ZQCB2002-K0-44</t>
  </si>
  <si>
    <t>X001AK4HCR</t>
  </si>
  <si>
    <t>B01MYTIK5Q</t>
  </si>
  <si>
    <t>MiYang Winter Winter Women and Men Solid Color Plush Warm House Slippers Booties</t>
  </si>
  <si>
    <t>0.14659 cuft</t>
  </si>
  <si>
    <t>LYQ-K1010-G0-M</t>
  </si>
  <si>
    <t>X001A1XI3Z</t>
  </si>
  <si>
    <t>B01MQPQHB5</t>
  </si>
  <si>
    <t>MiYang Women's Long Sleeve A-line Lace Stitching Trim Casual Dress M Green</t>
  </si>
  <si>
    <t>0.055792 cuft</t>
  </si>
  <si>
    <t>YZ-HE9007Se3L</t>
  </si>
  <si>
    <t>X000WFYY2J</t>
  </si>
  <si>
    <t>B015QZRR2C</t>
  </si>
  <si>
    <t>MiYang Women's Bowknot Printing Skirt Spa Swimsuit Padded Bathing Swimwear, Navy(one piece), Medium(US Size 6-8)</t>
  </si>
  <si>
    <t>LYQ-LB01-R0-L</t>
  </si>
  <si>
    <t>X001L5KIZV</t>
  </si>
  <si>
    <t>B0761N4S6V</t>
  </si>
  <si>
    <t>MiYang Turtleneck Loose Tunic Top Casual Swing Mini Dress For Women With Trumpet Sleeves Dark Red Large</t>
  </si>
  <si>
    <t>LYQ-MU18-K0-M</t>
  </si>
  <si>
    <t>X001OEEM65</t>
  </si>
  <si>
    <t>B0792Q4BXZ</t>
  </si>
  <si>
    <t>MiYang Women's Loose Solid Long Sleeve Tunic T-Shirt Dress Black Medium</t>
  </si>
  <si>
    <t>XZ-ZQJZ100-PI-250</t>
  </si>
  <si>
    <t>X001L1386L</t>
  </si>
  <si>
    <t>B074TF3Z93</t>
  </si>
  <si>
    <t>MiYang Cute Rabbit Slippers for Women/Men Winter Warm House Slippers Light Pink 6-7 B(M) US</t>
  </si>
  <si>
    <t>0.086093 cuft</t>
  </si>
  <si>
    <t>YZ-HM30CH-K0-L</t>
  </si>
  <si>
    <t>X0017YZWZ7</t>
  </si>
  <si>
    <t>B01LXLA7TK</t>
  </si>
  <si>
    <t>MiYang Women's Sexy Crewneck One Piece Beachwear Bikini Monokini Swimsuit Black L (US 10-12)</t>
  </si>
  <si>
    <t>LYQ-YY05-ZL-L</t>
  </si>
  <si>
    <t>X001L571AV</t>
  </si>
  <si>
    <t>B0761SCWXR</t>
  </si>
  <si>
    <t>MiYang Women's Crew Neck Solid Color Long Sleeve Casual Flared Midi Dress Navy L</t>
  </si>
  <si>
    <t>JK-CL0137-BD-S</t>
  </si>
  <si>
    <t>X001LB74FR</t>
  </si>
  <si>
    <t>B0765RRNCR</t>
  </si>
  <si>
    <t>MiYang Warm Quilted Lightweight Jacket Padded Short Bomber Jacket Coat For Women Wine Red S</t>
  </si>
  <si>
    <t>0.332247 cuft</t>
  </si>
  <si>
    <t>YZ-MYQZ1709-K0-XS</t>
  </si>
  <si>
    <t>X001DGZEG1</t>
  </si>
  <si>
    <t>B06Y1Z9J7Y</t>
  </si>
  <si>
    <t>0.085824 cuft</t>
  </si>
  <si>
    <t>TK-J02H-K0-4</t>
  </si>
  <si>
    <t>X001GBR0YH</t>
  </si>
  <si>
    <t>B071WW5YGH</t>
  </si>
  <si>
    <t>Teenking Boy's Fleece Outdoor Jacket with Hood Little Boy(Size 4)</t>
  </si>
  <si>
    <t>LYQ-ZQ-1199-P0-M</t>
  </si>
  <si>
    <t>X001KYBVZ9</t>
  </si>
  <si>
    <t>B074QFYGPH</t>
  </si>
  <si>
    <t>XZ-ZQ6102-R0-4041</t>
  </si>
  <si>
    <t>X001A8WBN1</t>
  </si>
  <si>
    <t>B01N8X2DT5</t>
  </si>
  <si>
    <t>MiYang Cute Cat and Dog Warm House Slippers Booties</t>
  </si>
  <si>
    <t>0.147639 cuft</t>
  </si>
  <si>
    <t>YZ-BSA160301R0XL</t>
  </si>
  <si>
    <t>X001FNIYPF</t>
  </si>
  <si>
    <t>B071S1Z4NW</t>
  </si>
  <si>
    <t>MiYang Retro Vintage Striped One Piece Monokini Chevron Lines Swimsuit XL PinkWhite</t>
  </si>
  <si>
    <t>0.121129 cuft</t>
  </si>
  <si>
    <t>DK-HM1789-GZ-M</t>
  </si>
  <si>
    <t>X001E072FH</t>
  </si>
  <si>
    <t>B06XDKNWXJ</t>
  </si>
  <si>
    <t>MiYang Women's Beach Pant Bikini Bottom Adjustable Tie Boy Short Tag M/US S</t>
  </si>
  <si>
    <t>YZ-HM30CH-Pi-XL</t>
  </si>
  <si>
    <t>X001ECJ30H</t>
  </si>
  <si>
    <t>B06Y2TVKDH</t>
  </si>
  <si>
    <t>MiYang Women's Sexy Crewneck One Piece Beachwear Bikini Monokini Swimsuit Pink XL (US 12-14)</t>
  </si>
  <si>
    <t>0.013029 cuft</t>
  </si>
  <si>
    <t>LYQ-ZQ-1188-W0-M</t>
  </si>
  <si>
    <t>X001JDXPWD</t>
  </si>
  <si>
    <t>B074P13QDF</t>
  </si>
  <si>
    <t>MiYang Women's Fashion Striped Short Sleeves Floral A-line Casual T-Shirt Dress White Medium</t>
  </si>
  <si>
    <t>XZ-ZQCB3056-R2-28</t>
  </si>
  <si>
    <t>X0019DAV2F</t>
  </si>
  <si>
    <t>B01M7WQVRH</t>
  </si>
  <si>
    <t>MiYang Winter Women Cute Cat Warm House Slippers Booties Rose 10-11 B(M) US Adult</t>
  </si>
  <si>
    <t>0.304344 cuft</t>
  </si>
  <si>
    <t>LYQ-K1010-G7-2X</t>
  </si>
  <si>
    <t>X001AOX8DR</t>
  </si>
  <si>
    <t>B01MS11ABV</t>
  </si>
  <si>
    <t>MiYang Women's Long Sleeve A-line Lace Stitching Trim Casual Dress 2X Army Green</t>
  </si>
  <si>
    <t>0.090536 cuft</t>
  </si>
  <si>
    <t>CX-TW401-blue-S</t>
  </si>
  <si>
    <t>X001B0996Z</t>
  </si>
  <si>
    <t>B01N79SOR1</t>
  </si>
  <si>
    <t>0.078689 cuft</t>
  </si>
  <si>
    <t>0.047418 cuft</t>
  </si>
  <si>
    <t>0.105729 cuft</t>
  </si>
  <si>
    <t>Bottom-5505LB-2XL</t>
  </si>
  <si>
    <t>X001BEBD6F</t>
  </si>
  <si>
    <t>B01MRNMCWN</t>
  </si>
  <si>
    <t>MiYang Women's Tankini Striped Vintage Swim Dress (Light Blue XX-Large)Bottom</t>
  </si>
  <si>
    <t>DK-MUCL315-R0-L</t>
  </si>
  <si>
    <t>X001Q4DDUJ</t>
  </si>
  <si>
    <t>B07BGSCHVV</t>
  </si>
  <si>
    <t>High-Waisted Strappy Side Bikini Bottoms Swimwear Brief for Women Red US 10</t>
  </si>
  <si>
    <t>YZ-MUBK187-OR-L</t>
  </si>
  <si>
    <t>X001QBLKON</t>
  </si>
  <si>
    <t>B07BMVSV5Y</t>
  </si>
  <si>
    <t>YZ-MU180-WI-2XL</t>
  </si>
  <si>
    <t>X001Q03KKL</t>
  </si>
  <si>
    <t>B07BF4RXZL</t>
  </si>
  <si>
    <t>Women Bikini Sets Brazilian Padded Top Thong Cheeky Bikini Bottom 2PCs 2018 Swimsuit for Women Wine Red 2XL</t>
  </si>
  <si>
    <t>YZ-HE13037Wi3L</t>
  </si>
  <si>
    <t>X000YV0BF5</t>
  </si>
  <si>
    <t>B01AXSD6KO</t>
  </si>
  <si>
    <t>MiYang Women's Shaping Body Swimsuit One-Piece Swimwear Spa Suit Size tag 3XL/US size L,Wine Red</t>
  </si>
  <si>
    <t>LYQ-K1010-Z0-2X</t>
  </si>
  <si>
    <t>X0019ZQWDZ</t>
  </si>
  <si>
    <t>B06XYRGGZJ</t>
  </si>
  <si>
    <t>MiYang Women's Long Sleeve A-line Lace Stitching Trim Casual Dress 2XL Violet</t>
  </si>
  <si>
    <t>XZ-013WH3M</t>
  </si>
  <si>
    <t>X0017ALCOV</t>
  </si>
  <si>
    <t>B0191K3BWS</t>
  </si>
  <si>
    <t>MiYang Women's Warm Plush Soft Sole Indoor Slipper White(High Top) 5-6.5 B(M) US</t>
  </si>
  <si>
    <t>0.1639 cuft</t>
  </si>
  <si>
    <t>XZ-ZQ2182-C0-270</t>
  </si>
  <si>
    <t>X001KJQPCN</t>
  </si>
  <si>
    <t>B074W614DD</t>
  </si>
  <si>
    <t>0.036974 cuft</t>
  </si>
  <si>
    <t>LYQ-K1010-B0-M</t>
  </si>
  <si>
    <t>X0019WL10H</t>
  </si>
  <si>
    <t>B01MDUDE2E</t>
  </si>
  <si>
    <t>MiYang Women's Long Sleeve A-line Lace Stitching Trim Casual Dress M Blue</t>
  </si>
  <si>
    <t>DK-HM1789-PiTW-S</t>
  </si>
  <si>
    <t>X001E3OZB3</t>
  </si>
  <si>
    <t>B06XD96M6X</t>
  </si>
  <si>
    <t>MiYang Women's Pink Stripe Beach Pant Bikini Bottom Adjustable Tie Boy Short Tag S/US XS</t>
  </si>
  <si>
    <t>TK-J02H-GR-4T</t>
  </si>
  <si>
    <t>X001JR6WXX</t>
  </si>
  <si>
    <t>B074Z4JZJR</t>
  </si>
  <si>
    <t>LYQ2015W0</t>
  </si>
  <si>
    <t>X000ZCD37V</t>
  </si>
  <si>
    <t>B01BY03G1O</t>
  </si>
  <si>
    <t>MiYang Women's V-Neck Hot Drilling Wrinkle Long Beach Dress,One Size,White</t>
  </si>
  <si>
    <t>0.065313 cuft</t>
  </si>
  <si>
    <t>YZ5118DaM</t>
  </si>
  <si>
    <t>X000VGEZBJ</t>
  </si>
  <si>
    <t>B0162IVR5U</t>
  </si>
  <si>
    <t>MiYang Women's One-piece Ruched Halter Push Up Slim Tummy Control Swim Dress,Medium(US Size 8-10),Deep Blue</t>
  </si>
  <si>
    <t>0.068833 cuft</t>
  </si>
  <si>
    <t>XZ-ZQCB2002-R1-38</t>
  </si>
  <si>
    <t>X001AIFDY5</t>
  </si>
  <si>
    <t>B01N1M4B7Q</t>
  </si>
  <si>
    <t>0.140392 cuft</t>
  </si>
  <si>
    <t>YZ-MU5129-G0-L</t>
  </si>
  <si>
    <t>X001RG3SZ1</t>
  </si>
  <si>
    <t>B07CLLW7XW</t>
  </si>
  <si>
    <t>MiYang Plus Size Floral Swimwear One Piece Swimdress for Women Skirted Swimsuit Green Large(US 12-14)</t>
  </si>
  <si>
    <t>XZ-HMA194-Pi-3738</t>
  </si>
  <si>
    <t>X001KNR3AH</t>
  </si>
  <si>
    <t>B075CH23GK</t>
  </si>
  <si>
    <t>0.201771 cuft</t>
  </si>
  <si>
    <t>LYQ-TW03-B0-XXL</t>
  </si>
  <si>
    <t>X001L5LBCZ</t>
  </si>
  <si>
    <t>B0761LYXTF</t>
  </si>
  <si>
    <t>MiYang Striped Tunic T-Shirt Dress Women Plus Long Sleeve V-Neck Floral Pocket Casual Dress Floral XXL</t>
  </si>
  <si>
    <t>YZ-MU181-R0-2XL</t>
  </si>
  <si>
    <t>X001Q18AV9</t>
  </si>
  <si>
    <t>B07BDFZTJY</t>
  </si>
  <si>
    <t>MiYang Padded Push up Brazilian Thong Bikini Sets 2018 Swimsuits for Women Red XXL</t>
  </si>
  <si>
    <t>LYQ-MUCL628-E0-S</t>
  </si>
  <si>
    <t>X001QQZZ3Z</t>
  </si>
  <si>
    <t>B07BWC2Z33</t>
  </si>
  <si>
    <t>MiYang Short Sleeve Cold Shoulder T-Shirt Dress Solid Color Tunics with Pockets for Women Grey S (US0-2)</t>
  </si>
  <si>
    <t>YZ-HE9008Sa2L</t>
  </si>
  <si>
    <t>X000WZHXFT</t>
  </si>
  <si>
    <t>B015QZRSWG</t>
  </si>
  <si>
    <t>MiYang Women's Bowknot Printing Skirt Spa Swimsuit Padded Bathing Swimwear, Sapphire Blue(two piece), Small(US Size 4)</t>
  </si>
  <si>
    <t>YZ-JY1151-R0-2XL</t>
  </si>
  <si>
    <t>X00148TJJ1</t>
  </si>
  <si>
    <t>B01GYFA8RO</t>
  </si>
  <si>
    <t>MiYang Women's Pure Color High Waist Boy Shorts Swimdress Bikini Bottom Red Large(US size:12-14)</t>
  </si>
  <si>
    <t>0.105264 cuft</t>
  </si>
  <si>
    <t>YZ-HE9008Se9L</t>
  </si>
  <si>
    <t>X0019AA88P</t>
  </si>
  <si>
    <t>B01MQJP2YK</t>
  </si>
  <si>
    <t>MiYang Women's Plus Size High Waist Printing Swimsuit Bathing Swimwear Navy(Two Piece) 4X(US Size22W-24W)</t>
  </si>
  <si>
    <t>MY-CL1925-E0-M</t>
  </si>
  <si>
    <t>X001KE4MGT</t>
  </si>
  <si>
    <t>B07525WJC3</t>
  </si>
  <si>
    <t>0.173453 cuft</t>
  </si>
  <si>
    <t>YZ-BSY97Z3M</t>
  </si>
  <si>
    <t>X0015Y9J67</t>
  </si>
  <si>
    <t>B01EN7V4XM</t>
  </si>
  <si>
    <t>MiYang Retro Vintage Striped One Piece Monokini Chevron Lines Swimsuit M Blue and White Stripes</t>
  </si>
  <si>
    <t>0.075 cuft</t>
  </si>
  <si>
    <t>YZ-HE9008Sa6L</t>
  </si>
  <si>
    <t>X0019AA8D5</t>
  </si>
  <si>
    <t>B01N1FYJS2</t>
  </si>
  <si>
    <t>MiYang Women's Plus Size High Waist Printing Swimsuit Bathing Swimwear Sapphire Blue(Two Piece) 1X(US Size14W-16W)</t>
  </si>
  <si>
    <t>0.056009 cuft</t>
  </si>
  <si>
    <t>YZ-MUWS32-BD-L</t>
  </si>
  <si>
    <t>X001QWW2UD</t>
  </si>
  <si>
    <t>B07C229DD3</t>
  </si>
  <si>
    <t>Wine Red One Piece Swimsuit High Neck V-Neckline Mesh Ruched Monokini Swinwear L US(12-14)</t>
  </si>
  <si>
    <t>TK-J02H-K0-18/20</t>
  </si>
  <si>
    <t>X001GC16XH</t>
  </si>
  <si>
    <t>B071WW65KM</t>
  </si>
  <si>
    <t>LYQ-CS04-CO-M</t>
  </si>
  <si>
    <t>X001L51F85</t>
  </si>
  <si>
    <t>B0761PPMYR</t>
  </si>
  <si>
    <t>MiYang Casual Long Sleeve Shirt Pockets Dress Fall Clothes For Women Coffee Medium</t>
  </si>
  <si>
    <t>YZ-MUYF185-K0-XXL</t>
  </si>
  <si>
    <t>X001S7GUM7</t>
  </si>
  <si>
    <t>B07D3KSWQX</t>
  </si>
  <si>
    <t>MiYang Women Maternity Tankini set Pregnant Two Piece Beach Swimwear Black XXL</t>
  </si>
  <si>
    <t>0.091246 cuft</t>
  </si>
  <si>
    <t>XZ-ZQCB2056-B0-1617</t>
  </si>
  <si>
    <t>X0019R2NCR</t>
  </si>
  <si>
    <t>B01MG7FDG6</t>
  </si>
  <si>
    <t>MiYang Winter Winter Women/Toddlers Cute Cat Warm House Slippers Booties</t>
  </si>
  <si>
    <t>0.077574 cuft</t>
  </si>
  <si>
    <t>YZ-MUYF183-TW-S</t>
  </si>
  <si>
    <t>X001PZK785</t>
  </si>
  <si>
    <t>B07BC4RLPF</t>
  </si>
  <si>
    <t>Striped Maternity Tankini Halter Pregnancy Swimsuit Two Piece S</t>
  </si>
  <si>
    <t>DK-MUCL315-B7-XL</t>
  </si>
  <si>
    <t>X001Q37O5Z</t>
  </si>
  <si>
    <t>B07BH2354Y</t>
  </si>
  <si>
    <t>High-Waisted Strappy Side Bikini Bottoms Swimwear Brief for Women Sky Blue US 12</t>
  </si>
  <si>
    <t>XZ-CL05-BE-3839</t>
  </si>
  <si>
    <t>X001NQ9C2N</t>
  </si>
  <si>
    <t>B078HWBTXP</t>
  </si>
  <si>
    <t>Womens Indoor Warm Fleece Slippers, Ladies Girls Cute Cartoon Winter Soft Cozy Booties Non-Slip Plush Mules Home Bedroom Slip-On Shoes Ankle Boots (US Size:5-6.5 (EUR Size: 38/39), Cream Teddy Bear)</t>
  </si>
  <si>
    <t>0.125713 cuft</t>
  </si>
  <si>
    <t>LYQ-K1010-B0-S</t>
  </si>
  <si>
    <t>X001A0EAQP</t>
  </si>
  <si>
    <t>B01M5JCF70</t>
  </si>
  <si>
    <t>MiYang Women's Long Sleeve A-line Lace Stitching Trim Casual Dress S Blue</t>
  </si>
  <si>
    <t>LYQ-K1010-Z0-XS</t>
  </si>
  <si>
    <t>X001A1XI85</t>
  </si>
  <si>
    <t>B06XZ37ZL7</t>
  </si>
  <si>
    <t>MiYang Women's Long Sleeve A-line Lace Stitching Trim Casual Dress XS Violet</t>
  </si>
  <si>
    <t>XZ-ZQ6834-R3-20</t>
  </si>
  <si>
    <t>X001L1387P</t>
  </si>
  <si>
    <t>B075GLB6KJ</t>
  </si>
  <si>
    <t>MiYang Toddlers and Kids Cute Panda Warm House Family Slippers Booties Dark Pink 11-12 B(M) US Little Kid</t>
  </si>
  <si>
    <t>0.087226 cuft</t>
  </si>
  <si>
    <t>MY-HM1206-K0-S</t>
  </si>
  <si>
    <t>X001KNLGSH</t>
  </si>
  <si>
    <t>B075FPF652</t>
  </si>
  <si>
    <t>MiYang Women Sweater Pullover V Neck Lace up Knitted Tops Criss Cross Backless Jumper Black Small</t>
  </si>
  <si>
    <t>SJ-ZZN204LBXS</t>
  </si>
  <si>
    <t>X001QYL7H5</t>
  </si>
  <si>
    <t>B07C2K6J6Q</t>
  </si>
  <si>
    <t>MiYang Women's Floral Lace Beach Bikini Swimwear Cover-up Light Blue XS (US 0-2)</t>
  </si>
  <si>
    <t>DK-MUCL315-K0-L</t>
  </si>
  <si>
    <t>X001Q4E47F</t>
  </si>
  <si>
    <t>B07BGXG6T1</t>
  </si>
  <si>
    <t>High-Waisted Strappy Side Bikini Bottoms Swimwear Brief for Women Black US 10</t>
  </si>
  <si>
    <t>TK-J02H-SH-4T</t>
  </si>
  <si>
    <t>X001JQJSCB</t>
  </si>
  <si>
    <t>B074Z3W6R4</t>
  </si>
  <si>
    <t>YZ-MU5129-ZLYH-L</t>
  </si>
  <si>
    <t>X001REMUH5</t>
  </si>
  <si>
    <t>B07CKPGYS1</t>
  </si>
  <si>
    <t>MiYang Plus Size Floral Swimwear One Piece Swimdress for Women Skirted Swimsuit Navy Floral Large(US 12-14)</t>
  </si>
  <si>
    <t>XZ-013WH2S</t>
  </si>
  <si>
    <t>X0017DFU5F</t>
  </si>
  <si>
    <t>B0191JT498</t>
  </si>
  <si>
    <t>MiYang Winter Women's Warm Plush Soft Sole Indoor Slipper (US Size:4-5.5 B(M) US,White(low-top)</t>
  </si>
  <si>
    <t>MY-CL1925-G7-S</t>
  </si>
  <si>
    <t>X001JZKAZB</t>
  </si>
  <si>
    <t>B0752FH1P7</t>
  </si>
  <si>
    <t>LYQ-MU1058-GA-M</t>
  </si>
  <si>
    <t>X001RWK583</t>
  </si>
  <si>
    <t>B07CXQ1YBQ</t>
  </si>
  <si>
    <t>YZ-MU181-Wi-2XL</t>
  </si>
  <si>
    <t>X001R8LXPL</t>
  </si>
  <si>
    <t>B07CH77V11</t>
  </si>
  <si>
    <t>MiYang Padded Push up Brazilian Thong Bikini Sets 2018 Swimsuits for Women Burgundy XXL</t>
  </si>
  <si>
    <t>SJ-ZZN204ZL-XS</t>
  </si>
  <si>
    <t>X001B48Y5D</t>
  </si>
  <si>
    <t>B01MQYIU4E</t>
  </si>
  <si>
    <t>MiYang Women's Floral Lace Beach Bikini Cover-up ZL XS</t>
  </si>
  <si>
    <t>MiYang Women's Navy Blue Beach Pant Bikini Bottom Adjustable Tie Boy Short Tag M/US S</t>
  </si>
  <si>
    <t>0.079167 cuft</t>
  </si>
  <si>
    <t>MY-HM1206-GR-XL</t>
  </si>
  <si>
    <t>X001KNLI49</t>
  </si>
  <si>
    <t>B075FQG6VF</t>
  </si>
  <si>
    <t>MiYang Women Sweater Pullover V Neck Lace Up Knitted Tops Criss Cross Backless Jumper Grey X-Large</t>
  </si>
  <si>
    <t>XZ-011CoM</t>
  </si>
  <si>
    <t>X001NUJGG1</t>
  </si>
  <si>
    <t>B0191JSS1I</t>
  </si>
  <si>
    <t>0.131134 cuft</t>
  </si>
  <si>
    <t>YZ-MUHY025-OR-L</t>
  </si>
  <si>
    <t>X001RIOEE3</t>
  </si>
  <si>
    <t>B07CNMCSL3</t>
  </si>
  <si>
    <t>0.061785 cuft</t>
  </si>
  <si>
    <t>LYQ-MU1059-PR-L</t>
  </si>
  <si>
    <t>X001RYJGLX</t>
  </si>
  <si>
    <t>B07CYGGG5Z</t>
  </si>
  <si>
    <t>YZ-HE9008Sa8L</t>
  </si>
  <si>
    <t>X0019Q9AL5</t>
  </si>
  <si>
    <t>B01N94EU0L</t>
  </si>
  <si>
    <t>MiYang Women's Plus Size High Waist Printing Swimsuit Bathing Swimwear Sapphire Blue(Two Piece) 3X(US Size18W-20W)</t>
  </si>
  <si>
    <t>YZ-MUHY025-R0-L</t>
  </si>
  <si>
    <t>X001RJ0TMN</t>
  </si>
  <si>
    <t>B07CNZMBKX</t>
  </si>
  <si>
    <t>0.094349 cuft</t>
  </si>
  <si>
    <t>0.072569 cuft</t>
  </si>
  <si>
    <t>LYQ-CF352-PU-S</t>
  </si>
  <si>
    <t>X001FZKGLX</t>
  </si>
  <si>
    <t>B06Y52H8M7</t>
  </si>
  <si>
    <t>MiYang Women's Sleeveless Round Neck Open Back Slim Cocktail Striped Casual Cute Mini Formal Party Cocktail Dress,Purple,XS</t>
  </si>
  <si>
    <t>0.168906 cuft</t>
  </si>
  <si>
    <t>0.062854 cuft</t>
  </si>
  <si>
    <t>XZ-HMA194-Pi-3940</t>
  </si>
  <si>
    <t>X001KNN0OP</t>
  </si>
  <si>
    <t>B075CGH3W9</t>
  </si>
  <si>
    <t>YZ-MUCL17015-K0-XL</t>
  </si>
  <si>
    <t>X001OJ7CI5</t>
  </si>
  <si>
    <t>B0795NWYGC</t>
  </si>
  <si>
    <t>MiYang High Waisted Ruched One Piece Swimsuit Twist Vintage Bathing Suit for Women Black US 6</t>
  </si>
  <si>
    <t>0.081991 cuft</t>
  </si>
  <si>
    <t>0.125516 cuft</t>
  </si>
  <si>
    <t>XZ-ZQJZ120-PR-260</t>
  </si>
  <si>
    <t>X001KNPGQF</t>
  </si>
  <si>
    <t>B074TDTJ4T</t>
  </si>
  <si>
    <t>0.086342 cuft</t>
  </si>
  <si>
    <t>YZ-MUC19P-K0-L</t>
  </si>
  <si>
    <t>X001R674F1</t>
  </si>
  <si>
    <t>B07C7JDNJ4</t>
  </si>
  <si>
    <t>MiYang Twist Front Bandeau Bikini Top Hipster Bottom Set Two Piece Swimsuit for Women Black US 8-10</t>
  </si>
  <si>
    <t>0.176794 cuft</t>
  </si>
  <si>
    <t>YZ-BSA160301B0XL</t>
  </si>
  <si>
    <t>X001FM0N6J</t>
  </si>
  <si>
    <t>B071Z2M75X</t>
  </si>
  <si>
    <t>MiYang Retro Vintage Striped One Piece Monokini Chevron Lines Swimsuit XL BlueWhite</t>
  </si>
  <si>
    <t>DK-MUCL315-P0-M</t>
  </si>
  <si>
    <t>X001Q37JF5</t>
  </si>
  <si>
    <t>B07BGV23P8</t>
  </si>
  <si>
    <t>High-Waisted Strappy Side Bikini Bottoms Swimwear Brief for Women Purple US 8</t>
  </si>
  <si>
    <t>LYQ-CS04-K0-M</t>
  </si>
  <si>
    <t>X001L5JMA3</t>
  </si>
  <si>
    <t>B0761LC6MQ</t>
  </si>
  <si>
    <t>MiYang Casual Long Sleeve Shirt Pockets Dress Fall Clothes For Women Black Medium</t>
  </si>
  <si>
    <t>TK-J02H-SH-2T</t>
  </si>
  <si>
    <t>X001JR73U9</t>
  </si>
  <si>
    <t>B074Z3CM2B</t>
  </si>
  <si>
    <t>XZ-HMYZ22-PI-41(8)</t>
  </si>
  <si>
    <t>X001AVQ80F</t>
  </si>
  <si>
    <t>B01N2YJGBY</t>
  </si>
  <si>
    <t>0.067083 cuft</t>
  </si>
  <si>
    <t>DK-HM1789-FL-L</t>
  </si>
  <si>
    <t>X001E2QTN1</t>
  </si>
  <si>
    <t>B06XDL48X7</t>
  </si>
  <si>
    <t>MiYang Women's White Floral Beach Pant Bikini Bottom Adjustable Tie Boy Short Tag L/US M</t>
  </si>
  <si>
    <t>XZ-HMA190-CO-4344</t>
  </si>
  <si>
    <t>X001JGC84V</t>
  </si>
  <si>
    <t>B074FQZ53W</t>
  </si>
  <si>
    <t>TK-J02H-GR-5/6</t>
  </si>
  <si>
    <t>X001GBR1AP</t>
  </si>
  <si>
    <t>B071GBSSHQ</t>
  </si>
  <si>
    <t>Teenking Boy's Fleece Outdoor Jacket with Hood Little Boy(Size 5/6)</t>
  </si>
  <si>
    <t>SJ-HM205-R0</t>
  </si>
  <si>
    <t>X001E5WD47</t>
  </si>
  <si>
    <t>B06ZYNCM56</t>
  </si>
  <si>
    <t>MY-HM1206-BR-XL</t>
  </si>
  <si>
    <t>X001KNIDSN</t>
  </si>
  <si>
    <t>B075FPST59</t>
  </si>
  <si>
    <t>MiYang Women Sweater Pullover V Neck Lace Up Knitted Tops Criss Cross Backless Jumper Army Green X-Large</t>
  </si>
  <si>
    <t>LYQ-1010K0M</t>
  </si>
  <si>
    <t>X0016QLKMF</t>
  </si>
  <si>
    <t>B01KO0SAIE</t>
  </si>
  <si>
    <t>MiYang Women's Long Sleeve A-line Lace Stitching Trim Casual Dress S Black</t>
  </si>
  <si>
    <t>0.066561 cuft</t>
  </si>
  <si>
    <t>YZ-MY-JY3233-K0-XS</t>
  </si>
  <si>
    <t>X001AY9CYB</t>
  </si>
  <si>
    <t>B01N9OFP7J</t>
  </si>
  <si>
    <t>MiYang Women's Padded One Piece Vintage Printing Mesh Bikini Swimsuit XS</t>
  </si>
  <si>
    <t>0.088167 cuft</t>
  </si>
  <si>
    <t>YZ-MU181-Gr-XL</t>
  </si>
  <si>
    <t>X001Q18AUZ</t>
  </si>
  <si>
    <t>B07BDHFQ67</t>
  </si>
  <si>
    <t>MiYang Padded Push up Brazilian Thong Bikini Sets 2018 Swimsuits for Women Yellow XL</t>
  </si>
  <si>
    <t>0.048028 cuft</t>
  </si>
  <si>
    <t>XZ-ZQ6606-PI-3839</t>
  </si>
  <si>
    <t>X001L13FYV</t>
  </si>
  <si>
    <t>B075JG4F9Q</t>
  </si>
  <si>
    <t>MiYang Winter Women and Man Cute Solid Plush Winter Warm Indoor Slippers House Shoes</t>
  </si>
  <si>
    <t>YZ-MU5506-HS-2XL</t>
  </si>
  <si>
    <t>X001R8EAUB</t>
  </si>
  <si>
    <t>B07CHF5SG4</t>
  </si>
  <si>
    <t>Racerback Tankini Set with Boyshort Two Piece Swimsuit US 18W-20W</t>
  </si>
  <si>
    <t>0.118908 cuft</t>
  </si>
  <si>
    <t>LYQ-MUCL628-K0-S</t>
  </si>
  <si>
    <t>X001QR6THZ</t>
  </si>
  <si>
    <t>B07BWGPCYL</t>
  </si>
  <si>
    <t>MiYang Short Sleeve Cold Shoulder T-Shirt Dress Solid Color Tunics with Pockets for Women Black S (US0-2)</t>
  </si>
  <si>
    <t>SJ-HM205-W0YH</t>
  </si>
  <si>
    <t>X001E7AQUN</t>
  </si>
  <si>
    <t>B071R7QL46</t>
  </si>
  <si>
    <t>YZ-MUC19P-OR-XL</t>
  </si>
  <si>
    <t>X001R673WF</t>
  </si>
  <si>
    <t>B07C7VSC95</t>
  </si>
  <si>
    <t>MiYang Twist Front Bandeau Bikini Top Hipster Bottom Set Two Piece Swimsuit for Women Orange US 12-14</t>
  </si>
  <si>
    <t>YZ-MU5129-K0-XL</t>
  </si>
  <si>
    <t>X001RG3OTV</t>
  </si>
  <si>
    <t>B07CKTK9W5</t>
  </si>
  <si>
    <t>MiYang Plus Size Floral Swimwear One Piece Swimdress for Women Skirted Swimsuit Black XL(US 16-18)</t>
  </si>
  <si>
    <t>XZ-ZQ8812-K0-1415</t>
  </si>
  <si>
    <t>X001L8SUU3</t>
  </si>
  <si>
    <t>B075V131MD</t>
  </si>
  <si>
    <t>MiYang Winter Winter Winter Toddlers Cute Panda Warm House Slippers Booties Black</t>
  </si>
  <si>
    <t>0.094691 cuft</t>
  </si>
  <si>
    <t>XZ-013-shark-3839</t>
  </si>
  <si>
    <t>X001NTWFN3</t>
  </si>
  <si>
    <t>B078MH6BVM</t>
  </si>
  <si>
    <t>MiYang Cozy Fleece Memory Foam House Shark Slippers For Women (7-8.5 B(M) US, Wicky Shark)</t>
  </si>
  <si>
    <t>0.23895 cuft</t>
  </si>
  <si>
    <t>LYQ-ZQ-1199-ZL-2XL</t>
  </si>
  <si>
    <t>X001KYBUV9</t>
  </si>
  <si>
    <t>B074QN5TGR</t>
  </si>
  <si>
    <t>TK-J02H-GR-3T</t>
  </si>
  <si>
    <t>X001JR6XT1</t>
  </si>
  <si>
    <t>B074Z47CNR</t>
  </si>
  <si>
    <t>MNQ-N7188-K0-M</t>
  </si>
  <si>
    <t>X001CK3J3X</t>
  </si>
  <si>
    <t>B01N2VVWDE</t>
  </si>
  <si>
    <t>XZ-ZQJZ100-G0-250</t>
  </si>
  <si>
    <t>X001KC67OV</t>
  </si>
  <si>
    <t>B074TG2Y7V</t>
  </si>
  <si>
    <t>MiYang Cute Rabbit Slippers for Women/Men Winter Warm House Slippers Light Green 6-7 B(M) US</t>
  </si>
  <si>
    <t>YZ-YGD2000-L</t>
  </si>
  <si>
    <t>X00133AML1</t>
  </si>
  <si>
    <t>B01EJABF9Q</t>
  </si>
  <si>
    <t>MiYang Women's Fluorescent Halter Neck One Piece Monokinis Swimsuit Bathing Suit L (US 8-10)</t>
  </si>
  <si>
    <t>0.044589 cuft</t>
  </si>
  <si>
    <t>0.125868 cuft</t>
  </si>
  <si>
    <t>YZ-MUBK187-K0-XL</t>
  </si>
  <si>
    <t>X001QBKDKP</t>
  </si>
  <si>
    <t>B07C8H1946</t>
  </si>
  <si>
    <t>MY-HM1206-GR-L</t>
  </si>
  <si>
    <t>X001KNN88D</t>
  </si>
  <si>
    <t>B075FPMY8N</t>
  </si>
  <si>
    <t>MiYang Women Sweater Pullover V Neck Lace Up Knitted Tops Criss Cross Backless Jumper Grey Large</t>
  </si>
  <si>
    <t>YZ-MUWS32-K0-L</t>
  </si>
  <si>
    <t>X001QW4DMD</t>
  </si>
  <si>
    <t>B07C22DJVX</t>
  </si>
  <si>
    <t>Black One Piece Swimsuit High Neck V-Neckline Mesh Ruched Monokini Swinwear L US(12-14)</t>
  </si>
  <si>
    <t>DK-MUCL315-P0-L</t>
  </si>
  <si>
    <t>X001Q4E1IR</t>
  </si>
  <si>
    <t>B07BH1BW56</t>
  </si>
  <si>
    <t>High-Waisted Strappy Side Bikini Bottoms Swimwear Brief for Women Purple US 10</t>
  </si>
  <si>
    <t>LYQ-MU1058-N0-S</t>
  </si>
  <si>
    <t>X001RWKDX5</t>
  </si>
  <si>
    <t>B07CXYXWGT</t>
  </si>
  <si>
    <t>TK-J01H-SH-10/12</t>
  </si>
  <si>
    <t>X001GC16XR</t>
  </si>
  <si>
    <t>B071WVS3ZM</t>
  </si>
  <si>
    <t>Teenking Boy's Fleece Outdoor Jacket Big Boy(Size 10/12) Charcoal/Black</t>
  </si>
  <si>
    <t>YZ-MU511-ZLBD-M</t>
  </si>
  <si>
    <t>X001OSCK01</t>
  </si>
  <si>
    <t>B079DPWR6Z</t>
  </si>
  <si>
    <t>MiYang Women's Plus-Size Polka Dot Shaping Body One Piece Swim Dresses Swimsuit M Navy Polka Dot</t>
  </si>
  <si>
    <t>0.206916 cuft</t>
  </si>
  <si>
    <t>YZ-YGD2000-XL</t>
  </si>
  <si>
    <t>X0012Z10R5</t>
  </si>
  <si>
    <t>B01EJABGU4</t>
  </si>
  <si>
    <t>MiYang Women's Fluorescent Halter Neck One Piece Monokinis Swimsuit Bathing Suit XL US 12</t>
  </si>
  <si>
    <t>YZ-MULK185-K0-S</t>
  </si>
  <si>
    <t>X001PY6LHR</t>
  </si>
  <si>
    <t>B07BCCGMPF</t>
  </si>
  <si>
    <t>Women's Halter High Waisted Cut Out One Piece Swimsuit Backless Bathing Suit Black S</t>
  </si>
  <si>
    <t>LYQ-LB01-R0-M</t>
  </si>
  <si>
    <t>X001L5128N</t>
  </si>
  <si>
    <t>B0761QVFVD</t>
  </si>
  <si>
    <t>MiYang Turtleneck Loose Tunic Top Casual Swing Mini Dress For Women With Trumpet Sleeves Dark Red Medium</t>
  </si>
  <si>
    <t>YZ-MULK185-B0-XL</t>
  </si>
  <si>
    <t>X001QW49OZ</t>
  </si>
  <si>
    <t>B07C259PRQ</t>
  </si>
  <si>
    <t>Women's Halter High Waisted Cut Out One Piece Swimsuit Backless Bathing Suit Patchwork Blue XL</t>
  </si>
  <si>
    <t>0.132281 cuft</t>
  </si>
  <si>
    <t>XZ-2115Li35</t>
  </si>
  <si>
    <t>X0013NDP5B</t>
  </si>
  <si>
    <t>B01966VV6A</t>
  </si>
  <si>
    <t>0.115712 cuft</t>
  </si>
  <si>
    <t>MNQ-N7188-W0-2XL</t>
  </si>
  <si>
    <t>X001CN6SR9</t>
  </si>
  <si>
    <t>B01N1UAIN5</t>
  </si>
  <si>
    <t>0.053205 cuft</t>
  </si>
  <si>
    <t>MY-CL1925-G7-M</t>
  </si>
  <si>
    <t>X001JZLC67</t>
  </si>
  <si>
    <t>B0752B5RN9</t>
  </si>
  <si>
    <t>0.293043 cuft</t>
  </si>
  <si>
    <t>XZ-HMA119-GR-3738</t>
  </si>
  <si>
    <t>X001KNRJ2T</t>
  </si>
  <si>
    <t>B075CH9Z9P</t>
  </si>
  <si>
    <t>YZ-BSY97Z3XL</t>
  </si>
  <si>
    <t>X0015UOQS7</t>
  </si>
  <si>
    <t>B01EN7V81U</t>
  </si>
  <si>
    <t>MiYang Retro Vintage Striped One Piece Monokini Chevron Lines Swimsuit XL Blue and White Stripes</t>
  </si>
  <si>
    <t>0.060975 cuft</t>
  </si>
  <si>
    <t>Create removal order</t>
  </si>
  <si>
    <t>0.145722 cuft</t>
  </si>
  <si>
    <t>LYQ-CF8512-BU-XL</t>
  </si>
  <si>
    <t>X001G38CLZ</t>
  </si>
  <si>
    <t>B072HVY9DH</t>
  </si>
  <si>
    <t>MiYang Women's Casual Loosen T-Shirt Sleeveless Swing Dress Tunic Tank Top Dresses with Two Pockets</t>
  </si>
  <si>
    <t>YZ-MUCL17015-K0-L</t>
  </si>
  <si>
    <t>X001OJ73MF</t>
  </si>
  <si>
    <t>B0795MJT4S</t>
  </si>
  <si>
    <t>MiYang High Waisted Ruched One Piece Swimsuit Twist Vintage Bathing Suit for Women Black US 4</t>
  </si>
  <si>
    <t>LYQ-LS06-E0-XL</t>
  </si>
  <si>
    <t>X001L5OVC7</t>
  </si>
  <si>
    <t>B0761R1YTC</t>
  </si>
  <si>
    <t>MiYang Women's Turtle-Neck Solid Long-Sleeve Short Straight Dress, Turtleneck-Grey, X-Large</t>
  </si>
  <si>
    <t>LYQ-ZQ-1199-K0-M</t>
  </si>
  <si>
    <t>X001JQY18R</t>
  </si>
  <si>
    <t>B074QHQRQQ</t>
  </si>
  <si>
    <t>0.020427 cuft</t>
  </si>
  <si>
    <t>YZ-MY1727-S</t>
  </si>
  <si>
    <t>X001GVZLD9</t>
  </si>
  <si>
    <t>B073QNRSY1</t>
  </si>
  <si>
    <t>MiYang Womens Deep V-Neck Cross-Back High Cut One Piece Swimsuit Size S</t>
  </si>
  <si>
    <t>0.10458 cuft</t>
  </si>
  <si>
    <t>XZ-ZQ6102-R1-4041</t>
  </si>
  <si>
    <t>X001A7F8LT</t>
  </si>
  <si>
    <t>B01N3TVVOY</t>
  </si>
  <si>
    <t>MNQ-N7188-W0-M</t>
  </si>
  <si>
    <t>X001CIDDYF</t>
  </si>
  <si>
    <t>B01N4FYEIH</t>
  </si>
  <si>
    <t>YZ-MULK185-Y9-L</t>
  </si>
  <si>
    <t>X001QWWCDZ</t>
  </si>
  <si>
    <t>B07C2219CP</t>
  </si>
  <si>
    <t>Women's Halter High Waisted Cut Out One Piece Swimsuit Backless Bathing Suit Yellow L</t>
  </si>
  <si>
    <t>YZ1458K03XL</t>
  </si>
  <si>
    <t>X000WZMP57</t>
  </si>
  <si>
    <t>B00YMGUV9I</t>
  </si>
  <si>
    <t>MiYang Women's Plus Size Tassel One Piece Swimwear Black US M (US 10-12)</t>
  </si>
  <si>
    <t>JK-CL0137-K0-L</t>
  </si>
  <si>
    <t>X001LBO9DH</t>
  </si>
  <si>
    <t>B0765TNY42</t>
  </si>
  <si>
    <t>Warm Quilted Lightweight Jacket Padded Short Bomber Jacket Coat For Women Black L</t>
  </si>
  <si>
    <t>TK-C412H-GR-L</t>
  </si>
  <si>
    <t>X001I1MT6T</t>
  </si>
  <si>
    <t>B0748CHX3C</t>
  </si>
  <si>
    <t>LYQ-K1010-KQ-L</t>
  </si>
  <si>
    <t>X001ARS0Z5</t>
  </si>
  <si>
    <t>B01MZ4HIL3</t>
  </si>
  <si>
    <t>MiYang Women's Long Sleeve A-line Lace Stitching Trim Casual Dress L Khaki</t>
  </si>
  <si>
    <t>XZ-ZQ2182-R0-3637</t>
  </si>
  <si>
    <t>X001L8U6Q9</t>
  </si>
  <si>
    <t>B074W4SSBL</t>
  </si>
  <si>
    <t>LYQ-CF352-LTBU-M</t>
  </si>
  <si>
    <t>X001EUGRT9</t>
  </si>
  <si>
    <t>B06Y5FC4BG</t>
  </si>
  <si>
    <t>MiYang Women's Sleeveless Round Neck Open Back Slim Cocktail Striped Casual Cute Mini Formal Party Cocktail Dress,Light Blue,S</t>
  </si>
  <si>
    <t>LYQ-MU1058-P0-XL</t>
  </si>
  <si>
    <t>X001RWK58D</t>
  </si>
  <si>
    <t>B07CY1NCC2</t>
  </si>
  <si>
    <t>DK-HM1789-PI-S</t>
  </si>
  <si>
    <t>X001B14T8H</t>
  </si>
  <si>
    <t>B01N2JEKXQ</t>
  </si>
  <si>
    <t>MiYang Women's Pink Beach Pant Bikini Bottom Adjustable Tie Boy Short Tag S/US XS</t>
  </si>
  <si>
    <t>0.039375 cuft</t>
  </si>
  <si>
    <t>LYQ-MU18-G7-L</t>
  </si>
  <si>
    <t>X001OF0OKH</t>
  </si>
  <si>
    <t>B0792QXZRD</t>
  </si>
  <si>
    <t>MiYang Women's Loose Solid Long Sleeve Tunic T-Shirt Dress Light Green Large</t>
  </si>
  <si>
    <t>YZ-HE13037EZ2L</t>
  </si>
  <si>
    <t>X000YV0BGT</t>
  </si>
  <si>
    <t>B01AXSDC1C</t>
  </si>
  <si>
    <t>MiYang Women's Shaping Body Swimsuit One-Piece Swimwear Spa Suit Size tag 2XL/US size M,Blue and Green</t>
  </si>
  <si>
    <t>YZ-MUBK187-Y0-2XL</t>
  </si>
  <si>
    <t>X001QCL1QJ</t>
  </si>
  <si>
    <t>B07BMTTXBB</t>
  </si>
  <si>
    <t>Top-HM7702-GZK0-3XL</t>
  </si>
  <si>
    <t>X001FJIZZD</t>
  </si>
  <si>
    <t>B071NN6V4P</t>
  </si>
  <si>
    <t>MiYang Women's Vintage 50s Plaid Pattern Halter Bikini Top Swimsuits</t>
  </si>
  <si>
    <t>LYQ-MU18-G7-S</t>
  </si>
  <si>
    <t>X001ODM37L</t>
  </si>
  <si>
    <t>B0792PP4WJ</t>
  </si>
  <si>
    <t>MiYang Women's Loose Solid Long Sleeve Tunic T-Shirt Dress Light Green Small</t>
  </si>
  <si>
    <t>YZ-MUWS32-K0-2XL</t>
  </si>
  <si>
    <t>X001QWWCET</t>
  </si>
  <si>
    <t>B07C229DTQ</t>
  </si>
  <si>
    <t>Black One Piece Swimsuit High Neck V-Neckline Mesh Ruched Monokini Swinwear 2XL US(14W)</t>
  </si>
  <si>
    <t>0.082457 cuft</t>
  </si>
  <si>
    <t>LYQ-CF8512-BU-XXL</t>
  </si>
  <si>
    <t>X001G38CLF</t>
  </si>
  <si>
    <t>B071NVRW65</t>
  </si>
  <si>
    <t>LYQ2015FB</t>
  </si>
  <si>
    <t>X000ZCD38P</t>
  </si>
  <si>
    <t>B01BY03J3O</t>
  </si>
  <si>
    <t>MiYang Women's V-Neck Hot Drilling Wrinkle Long Beach Dress,One Size,Sapphire Blue</t>
  </si>
  <si>
    <t>0.064653 cuft</t>
  </si>
  <si>
    <t>LYQ--MY-MX02-K0-M</t>
  </si>
  <si>
    <t>X001L55K4Z</t>
  </si>
  <si>
    <t>B0761SZPSK</t>
  </si>
  <si>
    <t>MiYang Bell Sleeve Shirt Dress Women Loose Flare Swing Blouse Casual Dress Black M</t>
  </si>
  <si>
    <t>LYQ--MY-MX02-N0-S</t>
  </si>
  <si>
    <t>X001L55JX7</t>
  </si>
  <si>
    <t>B0761NNMG1</t>
  </si>
  <si>
    <t>MiYang Bell Sleeve Shirt Dress Women Loose Flare Swing Blouse Casual Dress Brown S</t>
  </si>
  <si>
    <t>LYQ-YY05-K0-M</t>
  </si>
  <si>
    <t>X001L571BF</t>
  </si>
  <si>
    <t>B0761N692Z</t>
  </si>
  <si>
    <t>MiYang Women's Crew Neck Solid Color Long Sleeve Casual Flared Midi Dress Black M</t>
  </si>
  <si>
    <t>TK-Ad413-SH-M</t>
  </si>
  <si>
    <t>X001I1UKPB</t>
  </si>
  <si>
    <t>B0749GDNCT</t>
  </si>
  <si>
    <t>Teenking Men's Fleece Outdoor Jacket with Hood Medium</t>
  </si>
  <si>
    <t>LYQ-CS04-K0-S</t>
  </si>
  <si>
    <t>X001L54HOJ</t>
  </si>
  <si>
    <t>B0761M67NL</t>
  </si>
  <si>
    <t>MiYang Casual Long Sleeve Shirt Pockets Dress Fall Clothes For Women Black Small</t>
  </si>
  <si>
    <t>LYQ-1010N0XL</t>
  </si>
  <si>
    <t>X0018S0LQR</t>
  </si>
  <si>
    <t>B01M59507R</t>
  </si>
  <si>
    <t>MiYang Women's Long Sleeve A-line Lace Stitching Trim Casual Dress L Brown</t>
  </si>
  <si>
    <t>YZ-MU181-G0-S</t>
  </si>
  <si>
    <t>X001R8SRYV</t>
  </si>
  <si>
    <t>B07CJRH27K</t>
  </si>
  <si>
    <t>MiYang Padded Push up Brazilian Thong Bikini Sets 2018 Swimsuits for Women Army Green S</t>
  </si>
  <si>
    <t>Top-5505PI-XL</t>
  </si>
  <si>
    <t>X001BESIPJ</t>
  </si>
  <si>
    <t>B01N55KCD9</t>
  </si>
  <si>
    <t>MiYang Women's Tankini Striped Vintage Swim Dress (Pink X-Large)Top</t>
  </si>
  <si>
    <t>YZ-MUC19P-W0-2XL</t>
  </si>
  <si>
    <t>X001R6PBQ5</t>
  </si>
  <si>
    <t>B07CGPTSG5</t>
  </si>
  <si>
    <t>MiYang Twist Front Bandeau Bikini Top Hipster Bottom Set Two Piece Swimsuit for Women White US 14-16</t>
  </si>
  <si>
    <t>MiYang Women's Pink Beach Pant Bikini Bottom Adjustable Tie Boy Short Tag M/US S</t>
  </si>
  <si>
    <t>0.013688 cuft</t>
  </si>
  <si>
    <t>TK-Ad413-GR-M</t>
  </si>
  <si>
    <t>X001I24HQ3</t>
  </si>
  <si>
    <t>B0749GSZTG</t>
  </si>
  <si>
    <t>LYQ-K1010-Z0-XL</t>
  </si>
  <si>
    <t>X001A1XI49</t>
  </si>
  <si>
    <t>B01N7BWCPD</t>
  </si>
  <si>
    <t>MiYang Women's Long Sleeve A-line Lace Stitching Trim Casual Dress XL Violet</t>
  </si>
  <si>
    <t>XZ-ZQJZ120-K0-250</t>
  </si>
  <si>
    <t>X001KC6H23</t>
  </si>
  <si>
    <t>B074TCXLZV</t>
  </si>
  <si>
    <t>YZ5505Lb0XS</t>
  </si>
  <si>
    <t>X00145HBGH</t>
  </si>
  <si>
    <t>B01G3MA2TC</t>
  </si>
  <si>
    <t>MiYang Women's Tankini Striped Vintage Swim Dress (Light Blue X-Small)</t>
  </si>
  <si>
    <t>0.026178 cuft</t>
  </si>
  <si>
    <t>XZ-HMBH019-36-37</t>
  </si>
  <si>
    <t>X001A3MSMZ</t>
  </si>
  <si>
    <t>B01MSLB8P2</t>
  </si>
  <si>
    <t>MiYang Winter Lovely Christmas Slipper Shoes Santa Claus Booties</t>
  </si>
  <si>
    <t>0.140972 cuft</t>
  </si>
  <si>
    <t>Top-5505LB-2XL</t>
  </si>
  <si>
    <t>X001BE0BVN</t>
  </si>
  <si>
    <t>B01N2K0Q79</t>
  </si>
  <si>
    <t>MiYang Women's Tankini Striped Vintage Swim Dress (Light Blue XX-Large)Top</t>
  </si>
  <si>
    <t>XZ-ZQ2176-B0-1819</t>
  </si>
  <si>
    <t>X001KNPUG1</t>
  </si>
  <si>
    <t>B074W7PW29</t>
  </si>
  <si>
    <t>MiYang Winter Toddlers Cute Mouse Plush Winter Warm House Indoor Slippers Blue 8-9 B(M) US Toddler</t>
  </si>
  <si>
    <t>0.085899 cuft</t>
  </si>
  <si>
    <t>LYQ-K1010-B0-L</t>
  </si>
  <si>
    <t>X001A1FPHH</t>
  </si>
  <si>
    <t>B01MDUC8WA</t>
  </si>
  <si>
    <t>MiYang Women's Long Sleeve A-line Lace Stitching Trim Casual Dress L Blue</t>
  </si>
  <si>
    <t>YZ-MUPLUS24-G0-XL</t>
  </si>
  <si>
    <t>X001RGBCVD</t>
  </si>
  <si>
    <t>B07CM2GRP6</t>
  </si>
  <si>
    <t>XZ-HMA190-W0-3536</t>
  </si>
  <si>
    <t>X001JGCATT</t>
  </si>
  <si>
    <t>B074FT8Y3D</t>
  </si>
  <si>
    <t>MiYang Winter House Slippers for Women Winter Warm Home Plush Non-Slip Animal Slip on Shoes</t>
  </si>
  <si>
    <t>0.144216 cuft</t>
  </si>
  <si>
    <t>YZ-HE9007Se8L</t>
  </si>
  <si>
    <t>X0019AA8DP</t>
  </si>
  <si>
    <t>B01N1FYKHR</t>
  </si>
  <si>
    <t>MiYang Women's Bowknot Printing Skirt Spa Swimsuit Padded Bathing Swimwear, Navy(one Piece) 3X(US Size18W-20W)</t>
  </si>
  <si>
    <t>LYQ-MU18-BD-S</t>
  </si>
  <si>
    <t>X001ODM37V</t>
  </si>
  <si>
    <t>B0792Q4D4Y</t>
  </si>
  <si>
    <t>MiYang Women's Loose Solid Long Sleeve Tunic T-Shirt Dress Burgundy Small</t>
  </si>
  <si>
    <t>LYQ-1010W02L</t>
  </si>
  <si>
    <t>X0016PV6LV</t>
  </si>
  <si>
    <t>B01KO0SDZY</t>
  </si>
  <si>
    <t>MiYang Women's Long Sleeve A-line Lace Stitching Trim Casual Dress XL White</t>
  </si>
  <si>
    <t>MY-HM1206-KH-S</t>
  </si>
  <si>
    <t>X001KMO027</t>
  </si>
  <si>
    <t>B075FLSKCB</t>
  </si>
  <si>
    <t>MiYang Women Sweater Pullover V Neck Lace Up Knitted Tops Criss Cross Backless Jumper Khaki Small</t>
  </si>
  <si>
    <t>LYQ-K1010-R0-XL</t>
  </si>
  <si>
    <t>X001AQ7ARF</t>
  </si>
  <si>
    <t>B01MT2QB36</t>
  </si>
  <si>
    <t>MiYang Women's Long Sleeve A-line Lace Stitching Trim Casual Dress XL Red</t>
  </si>
  <si>
    <t>0.049795 cuft</t>
  </si>
  <si>
    <t>XZ-HMYZ22-GR-M</t>
  </si>
  <si>
    <t>X0019OXRED</t>
  </si>
  <si>
    <t>B01LWPR82E</t>
  </si>
  <si>
    <t>MiYang Winter Women's Pure Cotton Soft Sole Washable Anti-Skid Cozy House Shoes Slippers Grey M</t>
  </si>
  <si>
    <t>0.034294 cuft</t>
  </si>
  <si>
    <t>YZ7438B0XL</t>
  </si>
  <si>
    <t>X0014QTT6B</t>
  </si>
  <si>
    <t>B01F78AX2Y</t>
  </si>
  <si>
    <t>MiYang Vintage Sailor Pin Up Swimsuit One Piece Skirtini Cover Up Swimdress M BLUE  Tag Size XL=US Size 10</t>
  </si>
  <si>
    <t>YZ-MU5129-K0YH-3XL</t>
  </si>
  <si>
    <t>X001REKR61</t>
  </si>
  <si>
    <t>B07CL1T9PR</t>
  </si>
  <si>
    <t>MiYang Plus Size Floral Swimwear One Piece Swimdress for Women Skirted Swimsuit Black Floral 3XL(US 24-26)</t>
  </si>
  <si>
    <t>DK-HM1789-PP-S</t>
  </si>
  <si>
    <t>X001E3OZBN</t>
  </si>
  <si>
    <t>B06XDKLZ92</t>
  </si>
  <si>
    <t>MiYang Women's Beach Pant Bikini Bottom Adjustable Tie Boy Short Tag S/US XS</t>
  </si>
  <si>
    <t>LYQ-HMCX22-W0-L</t>
  </si>
  <si>
    <t>X001EMJIJN</t>
  </si>
  <si>
    <t>B06ZZQGQGX</t>
  </si>
  <si>
    <t>MiYang Women's Summer Sleeveless Loose Casual Floral Embroidered A Line Dress</t>
  </si>
  <si>
    <t>0.066427 cuft</t>
  </si>
  <si>
    <t>LYQ-MU18-K0-S</t>
  </si>
  <si>
    <t>X001OEETQX</t>
  </si>
  <si>
    <t>B0792QMWW8</t>
  </si>
  <si>
    <t>MiYang Women's Loose Solid Long Sleeve Tunic T-Shirt Dress Black Small</t>
  </si>
  <si>
    <t>YZ-MUWS32-ZL-M</t>
  </si>
  <si>
    <t>X001QWW2UN</t>
  </si>
  <si>
    <t>B07C1PPZ4L</t>
  </si>
  <si>
    <t>Navy Blue One Piece Swimsuit High Neck V-Neckline Mesh Ruched Monokini Swinwear M US(8-10)</t>
  </si>
  <si>
    <t>DK-HM1789-PP-M</t>
  </si>
  <si>
    <t>X001E3OZ59</t>
  </si>
  <si>
    <t>B06XDKX6CJ</t>
  </si>
  <si>
    <t>LYQ--MY-MX02-R0-L</t>
  </si>
  <si>
    <t>X001L5NVIR</t>
  </si>
  <si>
    <t>B0761RW5F2</t>
  </si>
  <si>
    <t>MiYang Bell Sleeve Shirt Dress Women Loose Flare Swing Blouse Casual Dress Red L</t>
  </si>
  <si>
    <t>MZ-SV2843BD</t>
  </si>
  <si>
    <t>X000XW916F</t>
  </si>
  <si>
    <t>B019I2YXCQ</t>
  </si>
  <si>
    <t>MiYang Men's Stylish Hollow Star Warm Knit Cap Slouchy Beanie Hat,Wine Red</t>
  </si>
  <si>
    <t>0.097376 cuft</t>
  </si>
  <si>
    <t>YZ-MU180-B0-2XL</t>
  </si>
  <si>
    <t>X001Q03KO7</t>
  </si>
  <si>
    <t>B07BF3RV68</t>
  </si>
  <si>
    <t>Women Bikini Sets Brazilian Padded Top Thong Cheeky Bikini Bottom 2PCs 2018 Swimsuit for Women Blue 2XL</t>
  </si>
  <si>
    <t>LYQ-29PHJ-BD-L</t>
  </si>
  <si>
    <t>X0019SNEY7</t>
  </si>
  <si>
    <t>B01LZB1X83</t>
  </si>
  <si>
    <t>MiYang Women's Long Sleeve Casual Loose T-Shirt Dress Burgundy L</t>
  </si>
  <si>
    <t>0.114641 cuft</t>
  </si>
  <si>
    <t>YZ-BSA160301K02XL</t>
  </si>
  <si>
    <t>X0013GWCJD</t>
  </si>
  <si>
    <t>B01EN7V6P8</t>
  </si>
  <si>
    <t>MiYang Retro Vintage Striped One Piece Monokini Chevron Lines Swimsuit 2XL BlackWhite</t>
  </si>
  <si>
    <t>LYQ-CL0127-KQ-3XL</t>
  </si>
  <si>
    <t>X001JISCX5</t>
  </si>
  <si>
    <t>B074SY1CR3</t>
  </si>
  <si>
    <t>MiYang Women's Plus Size Floral Dress 3/4 Sleeve Casual Swing Dress With Pockets Khaki</t>
  </si>
  <si>
    <t>0.083712 cuft</t>
  </si>
  <si>
    <t>YZ-MU5129-K0-3XL</t>
  </si>
  <si>
    <t>X001RG3O91</t>
  </si>
  <si>
    <t>B07CLKMQYF</t>
  </si>
  <si>
    <t>MiYang Plus Size Floral Swimwear One Piece Swimdress for Women Skirted Swimsuit Black 3XL(US 24-26)</t>
  </si>
  <si>
    <t>LYQ-MU1059-DGR-S</t>
  </si>
  <si>
    <t>X001RYHK4D</t>
  </si>
  <si>
    <t>B07CYNX6Y9</t>
  </si>
  <si>
    <t>DK-HM1789-GrTW-L</t>
  </si>
  <si>
    <t>X001E622SX</t>
  </si>
  <si>
    <t>B06XDLPG99</t>
  </si>
  <si>
    <t>MiYang Women's Green Beach Pant Bikini Bottom Adjustable Tie Boy Short Tag L/US M</t>
  </si>
  <si>
    <t>DK-HM1789-PP-XL</t>
  </si>
  <si>
    <t>X001E7GORH</t>
  </si>
  <si>
    <t>B06XDKLZ95</t>
  </si>
  <si>
    <t>MY-CL1925-E0-XL</t>
  </si>
  <si>
    <t>X001KDWXGV</t>
  </si>
  <si>
    <t>B07523CW4Z</t>
  </si>
  <si>
    <t>0.185502 cuft</t>
  </si>
  <si>
    <t>YZ-MUCLC19-K0-L</t>
  </si>
  <si>
    <t>X001OGZP2N</t>
  </si>
  <si>
    <t>B0795F6S6J</t>
  </si>
  <si>
    <t>MiYang Twist Front Bandeau Bikini Top Hipster Bottom Set Two Piece Swimsuit for Women Black US 4-6</t>
  </si>
  <si>
    <t>0.081965 cuft</t>
  </si>
  <si>
    <t>XZ-013WH1S</t>
  </si>
  <si>
    <t>X0017C014V</t>
  </si>
  <si>
    <t>B0191JSFZW</t>
  </si>
  <si>
    <t>MiYang Winter Women's Warm Plush Soft Sole Indoor Slipper White 4-5.5 B(M) US</t>
  </si>
  <si>
    <t>MY-HM1206-K0-M</t>
  </si>
  <si>
    <t>X001KNN4YB</t>
  </si>
  <si>
    <t>B075FPT9Y5</t>
  </si>
  <si>
    <t>MiYang Women Sweater Pullover V Neck Lace up Knitted Tops Criss Cross Backless Jumper Black Medium</t>
  </si>
  <si>
    <t>Bottom-HM7702-GZK0-M</t>
  </si>
  <si>
    <t>X001GA9RZX</t>
  </si>
  <si>
    <t>B071HGQG62</t>
  </si>
  <si>
    <t>MiYang Women's Vintage 50s Plaid Pattern Halter Bikini Bottom</t>
  </si>
  <si>
    <t>XZ-ZQ2176-KQ-22</t>
  </si>
  <si>
    <t>X001K64PF5</t>
  </si>
  <si>
    <t>B074W8NVR6</t>
  </si>
  <si>
    <t>MiYang Winter Kids Cute Mouse Plush Winter Warm House Indoor Slippers Khaki 12-13 B(M) US Little Kid</t>
  </si>
  <si>
    <t>0.134294 cuft</t>
  </si>
  <si>
    <t>YZ-KL5020MF-2XL</t>
  </si>
  <si>
    <t>X001QC5FRP</t>
  </si>
  <si>
    <t>B07BMT64GD</t>
  </si>
  <si>
    <t>MiYang Women's One Piece High Waist Printing Swim Dress Padded Swimwear XX-Large (US Size:16W)</t>
  </si>
  <si>
    <t>XZ-ZQ6606-PI-4041</t>
  </si>
  <si>
    <t>X001L13OID</t>
  </si>
  <si>
    <t>B075JF67ZS</t>
  </si>
  <si>
    <t>YZ-MUWS32-K0-XL</t>
  </si>
  <si>
    <t>X001QWWCF3</t>
  </si>
  <si>
    <t>B07C1PCBP1</t>
  </si>
  <si>
    <t>Black One Piece Swimsuit High Neck V-Neckline Mesh Ruched Monokini Swinwear XL US (16)</t>
  </si>
  <si>
    <t>LYQ-HB1377-grey1-S</t>
  </si>
  <si>
    <t>X001AU3U7F</t>
  </si>
  <si>
    <t>B01MU1DQP5</t>
  </si>
  <si>
    <t>MiYang Women's Long Sleeve Ruffled Casual Loose T-Shirt Dress</t>
  </si>
  <si>
    <t>0.124515 cuft</t>
  </si>
  <si>
    <t>XZ-CLA177-K0-43/44</t>
  </si>
  <si>
    <t>X001JTRAOV</t>
  </si>
  <si>
    <t>B074J4J6M2</t>
  </si>
  <si>
    <t>0.172069 cuft</t>
  </si>
  <si>
    <t>YZ-MUTW32-BTW-S</t>
  </si>
  <si>
    <t>X001QW8UOP</t>
  </si>
  <si>
    <t>B07C17LLPP</t>
  </si>
  <si>
    <t>XZ-2115Pi35</t>
  </si>
  <si>
    <t>X000XCK9VV</t>
  </si>
  <si>
    <t>B019670NIQ</t>
  </si>
  <si>
    <t>MiYang Winter Women's Sheep Warm Plush Soft Sole Indoor Slipper 4-5.5 B(M) US</t>
  </si>
  <si>
    <t>LYQ-K1010-Z0-M</t>
  </si>
  <si>
    <t>X0019Z5SKX</t>
  </si>
  <si>
    <t>B01MZYYG9U</t>
  </si>
  <si>
    <t>MiYang Women's Long Sleeve A-line Lace Stitching Trim Casual Dress M Violet</t>
  </si>
  <si>
    <t>TK-J01H-SH-4T</t>
  </si>
  <si>
    <t>X001JQJSC1</t>
  </si>
  <si>
    <t>B074Z5MHHW</t>
  </si>
  <si>
    <t>Teenking Boy's Fleece Outdoor Jacket Little Boy(4T)</t>
  </si>
  <si>
    <t>0.246231 cuft</t>
  </si>
  <si>
    <t>TK-Ad413-K0-M</t>
  </si>
  <si>
    <t>X001I21Y1J</t>
  </si>
  <si>
    <t>B0749HSSCJ</t>
  </si>
  <si>
    <t>LYQ-1010DX-BD-M</t>
  </si>
  <si>
    <t>X001QZTMXF</t>
  </si>
  <si>
    <t>B07C3X3ZTW</t>
  </si>
  <si>
    <t>MiYang Short Sleeve Loose Swing T-Shirt Dress Tunic Blouse for Women s Wine Red</t>
  </si>
  <si>
    <t>YZ1458R23XL</t>
  </si>
  <si>
    <t>X000WZMP5R</t>
  </si>
  <si>
    <t>B00YMGV9JO</t>
  </si>
  <si>
    <t>MiYang Women's Plus Size Tassel One Piece Swimwear Rose Red US M (US 10-12)</t>
  </si>
  <si>
    <t>LYQ-CL0127-B0-2XL</t>
  </si>
  <si>
    <t>X001JIM975</t>
  </si>
  <si>
    <t>B074SSVPNF</t>
  </si>
  <si>
    <t>LYQ-CS04-G0-L</t>
  </si>
  <si>
    <t>X001L53ZBP</t>
  </si>
  <si>
    <t>B0761KCTC4</t>
  </si>
  <si>
    <t>MiYang Casual Long Sleeve Shirt Pockets Dress Fall Clothes For Women Army Green Large</t>
  </si>
  <si>
    <t>XZ-HM8130-Y0-3637</t>
  </si>
  <si>
    <t>X001BDGVAT</t>
  </si>
  <si>
    <t>B01N6O4XGL</t>
  </si>
  <si>
    <t>0.124364 cuft</t>
  </si>
  <si>
    <t>XZ-HM029-K0-43-45</t>
  </si>
  <si>
    <t>X0018EW5JH</t>
  </si>
  <si>
    <t>B01LSJHV8K</t>
  </si>
  <si>
    <t>0.031127 cuft</t>
  </si>
  <si>
    <t>XZ-HM0299-SH-4243</t>
  </si>
  <si>
    <t>X0019OA26J</t>
  </si>
  <si>
    <t>B01M8QX56D</t>
  </si>
  <si>
    <t>XZ-CL02-E0-43/44</t>
  </si>
  <si>
    <t>X001K5BLT9</t>
  </si>
  <si>
    <t>B074QM52VY</t>
  </si>
  <si>
    <t>MiYang Winter Cute House Slipper Warm Plush Indoor Shoes Gray</t>
  </si>
  <si>
    <t>XZ-056-R3-S</t>
  </si>
  <si>
    <t>X00182XHZF</t>
  </si>
  <si>
    <t>B01J376YM8</t>
  </si>
  <si>
    <t>MiYang Women's Super Soft Lovely Animal Ballerina Slipper Yellow S</t>
  </si>
  <si>
    <t>0.123854 cuft</t>
  </si>
  <si>
    <t>YZ-MU727-Pi-L</t>
  </si>
  <si>
    <t>X001Q1ZB6L</t>
  </si>
  <si>
    <t>B07BFWK4RD</t>
  </si>
  <si>
    <t>Halter Deep Plunging High Cut Cutout One Piece Swimsuit Criss Cross Monokini M (US 6-8)</t>
  </si>
  <si>
    <t>XZ-CLBH004-R6-M</t>
  </si>
  <si>
    <t>X001L137QR</t>
  </si>
  <si>
    <t>B075R745TJ</t>
  </si>
  <si>
    <t>MiYang Winter Comfortable Plush Warm Soft Sole Indoor House Boot Slippers for Womens</t>
  </si>
  <si>
    <t>0.421496 cuft</t>
  </si>
  <si>
    <t>YZ-MUCLC19-K0-2XL</t>
  </si>
  <si>
    <t>X001OGZOTH</t>
  </si>
  <si>
    <t>B0795DVSK4</t>
  </si>
  <si>
    <t>YZ-BZ1707-B0-XS</t>
  </si>
  <si>
    <t>X001DJ3VB3</t>
  </si>
  <si>
    <t>B06XT1QTPL</t>
  </si>
  <si>
    <t>MiYang Vintage V-Neck Knitting Straps Solid Tankini Swimsuit Set</t>
  </si>
  <si>
    <t>0.159154 cuft</t>
  </si>
  <si>
    <t>LYQ-1010P0XL</t>
  </si>
  <si>
    <t>X000X3IVS3</t>
  </si>
  <si>
    <t>B017X47WOW</t>
  </si>
  <si>
    <t>MiYang Women's Purple Long Sleeve A-line Lace Stitching Trim Casual Dress L</t>
  </si>
  <si>
    <t>0.028472 cuft</t>
  </si>
  <si>
    <t>YZ-JG2631K0L</t>
  </si>
  <si>
    <t>X000Y3ZQAN</t>
  </si>
  <si>
    <t>B01A6WFYJ8</t>
  </si>
  <si>
    <t>MiYang Women's One Piece Striped Slim Swim Dress Bathing Swimwear Black Small US 4-6</t>
  </si>
  <si>
    <t>XZ-HMA185-GR-4142</t>
  </si>
  <si>
    <t>X001JGCBLV</t>
  </si>
  <si>
    <t>B074FTZTZW</t>
  </si>
  <si>
    <t>MiYang Women/Men Slippers On Faux Fur Mules Fluffy Suede Comfy Slippers</t>
  </si>
  <si>
    <t>0.296197 cuft</t>
  </si>
  <si>
    <t>LYQ-MUCL628-E0-XL</t>
  </si>
  <si>
    <t>X001QR4OGX</t>
  </si>
  <si>
    <t>B07BWFT1FW</t>
  </si>
  <si>
    <t>MiYang Short Sleeve Cold Shoulder T-Shirt Dress Solid Color Tunics with Pockets for Women Grey XL (US12-14)</t>
  </si>
  <si>
    <t>0.164007 cuft</t>
  </si>
  <si>
    <t>TK-J01H-K0-10/12</t>
  </si>
  <si>
    <t>X001GBKZU3</t>
  </si>
  <si>
    <t>B072K4LYMS</t>
  </si>
  <si>
    <t>Teenking Boy's Fleece Outdoor Jacket Big Boy(Size 10/12)</t>
  </si>
  <si>
    <t>YZ-BShyl5119K0S</t>
  </si>
  <si>
    <t>X001OSP19X</t>
  </si>
  <si>
    <t>B079DPS9KP</t>
  </si>
  <si>
    <t>MiYang Women's Plus-Size Shaping One Piece Swim Dresses Swimsuit Black S</t>
  </si>
  <si>
    <t>YZ-MUCL17015-B0-L</t>
  </si>
  <si>
    <t>X001OJ513N</t>
  </si>
  <si>
    <t>B0795K663Y</t>
  </si>
  <si>
    <t>MiYang High Waisted Ruched One Piece Swimsuit Twist Vintage Bathing Suit for Women Blue US 4</t>
  </si>
  <si>
    <t>YZ-MUHY025-K0-XL</t>
  </si>
  <si>
    <t>X001RIOEDT</t>
  </si>
  <si>
    <t>B07CNDBB4J</t>
  </si>
  <si>
    <t>YZ-BSY97Z2M</t>
  </si>
  <si>
    <t>X0015WQKC5</t>
  </si>
  <si>
    <t>B01EN7VPBI</t>
  </si>
  <si>
    <t>MiYang Retro Vintage Striped One Piece Monokini Chevron Lines Swimsuit M Black and White Stripes</t>
  </si>
  <si>
    <t>YZ-MUHY025-OR-M</t>
  </si>
  <si>
    <t>X001RIXGW9</t>
  </si>
  <si>
    <t>B07CNHDJVY</t>
  </si>
  <si>
    <t>YZ-RF1123-B0-XL</t>
  </si>
  <si>
    <t>X001B9SO5D</t>
  </si>
  <si>
    <t>B01MQMSXN9</t>
  </si>
  <si>
    <t>MiYang Women's Plus Size Ruffled Two Piece Tankini Printed-Hem Ruffled Swim Dress Blue Ruffle US Size:10-12</t>
  </si>
  <si>
    <t>YZ-MYBKN1703-R0-M</t>
  </si>
  <si>
    <t>X001DAEXAP</t>
  </si>
  <si>
    <t>B06XD876BR</t>
  </si>
  <si>
    <t>MiYang Women's Luxurious Pretty Double Straps Elegant Two Piece Bikini Set Size M</t>
  </si>
  <si>
    <t>0.047615 cuft</t>
  </si>
  <si>
    <t>MNQ-N7188-W0-L</t>
  </si>
  <si>
    <t>X001CIDDEF</t>
  </si>
  <si>
    <t>B01NBMJTOI</t>
  </si>
  <si>
    <t>YZ-JY1151-R0-M</t>
  </si>
  <si>
    <t>X0014MXD53</t>
  </si>
  <si>
    <t>B01GYFA4TG</t>
  </si>
  <si>
    <t>MiYang Women's Pure Color High Waist Boy Shorts Swimdress Bikini Bottom</t>
  </si>
  <si>
    <t>DK-HM1789-PiTW-2XL</t>
  </si>
  <si>
    <t>X001E622T7</t>
  </si>
  <si>
    <t>B06XDLJJPZ</t>
  </si>
  <si>
    <t>MiYang Women's Pink Stripe Beach Pant Bikini Bottom Adjustable Tie Boy Short Tag XXL/US XL</t>
  </si>
  <si>
    <t>MiYang Women's Solid Black Beach Pant Bikini Bottom Adjustable Tie Boy Short Tag XL/US L</t>
  </si>
  <si>
    <t>LYQ-CS04-K0-L</t>
  </si>
  <si>
    <t>X001L546YF</t>
  </si>
  <si>
    <t>B0761G9C5L</t>
  </si>
  <si>
    <t>MiYang Casual Long Sleeve Shirt Pockets Dress Fall Clothes For Women Black Large</t>
  </si>
  <si>
    <t>XZ-HMA195-B0-3738</t>
  </si>
  <si>
    <t>X001JGFO29</t>
  </si>
  <si>
    <t>B074FRWNTL</t>
  </si>
  <si>
    <t>MiYang Women's Plush Cute Soft Bear Animal Non-Slip House Slippers Blue</t>
  </si>
  <si>
    <t>0.122199 cuft</t>
  </si>
  <si>
    <t>YZ-BSA160301K0XL</t>
  </si>
  <si>
    <t>X00142Z79D</t>
  </si>
  <si>
    <t>B01EN7V4TG</t>
  </si>
  <si>
    <t>MiYang Retro Vintage Striped One Piece Monokini Chevron Lines Swimsuit, Black/White, Medium(US size 8-10)/XL ASIAN</t>
  </si>
  <si>
    <t>TK-J01H-K0-8</t>
  </si>
  <si>
    <t>X001GBF5F3</t>
  </si>
  <si>
    <t>B0721B379M</t>
  </si>
  <si>
    <t>0.135813 cuft</t>
  </si>
  <si>
    <t>LYQ-MU18-BD-L</t>
  </si>
  <si>
    <t>X001OEEQ9N</t>
  </si>
  <si>
    <t>B0792R4JFL</t>
  </si>
  <si>
    <t>MiYang Women's Loose Solid Long Sleeve Tunic T-Shirt Dress Burgundy Large</t>
  </si>
  <si>
    <t>LYQ-1010DX-E0-L</t>
  </si>
  <si>
    <t>X001QZ3V8H</t>
  </si>
  <si>
    <t>B07C3R7VRS</t>
  </si>
  <si>
    <t>MiYang Short Sleeve Loose Swing T-Shirt Dress Tunic Blouse for Women m Pink</t>
  </si>
  <si>
    <t>0.202315 cuft</t>
  </si>
  <si>
    <t>LYQ-LB01-K0-XL</t>
  </si>
  <si>
    <t>X001L50T2X</t>
  </si>
  <si>
    <t>B0761PC3W7</t>
  </si>
  <si>
    <t>MiYang Turtleneck Loose Tunic Top Casual Swing Mini Dress For Women With Trumpet Sleeves Black X-Large</t>
  </si>
  <si>
    <t>MZ-SV2843N5</t>
  </si>
  <si>
    <t>X000XWA4HZ</t>
  </si>
  <si>
    <t>B019I2YZ6U</t>
  </si>
  <si>
    <t>MiYang Winter Men's Stylish Hollow Star Warm Knit Cap Slouchy Beanie Hat</t>
  </si>
  <si>
    <t>XZ-CLBH004-R6-S</t>
  </si>
  <si>
    <t>X001L11I63</t>
  </si>
  <si>
    <t>B075R95KJQ</t>
  </si>
  <si>
    <t>0.443775 cuft</t>
  </si>
  <si>
    <t>XZ-HMHX-QE004-GR-3738</t>
  </si>
  <si>
    <t>X0019ZF5LZ</t>
  </si>
  <si>
    <t>B01M8PFQ8M</t>
  </si>
  <si>
    <t>iYang Winter Women Cute Penguin Slipper Boot Grey 5-6.5 B(M) US</t>
  </si>
  <si>
    <t>0.131151 cuft</t>
  </si>
  <si>
    <t>YZ-MU5129-K0YH-XL</t>
  </si>
  <si>
    <t>X001RG3ZKT</t>
  </si>
  <si>
    <t>B07CL3MCZ9</t>
  </si>
  <si>
    <t>MiYang Plus Size Floral Swimwear One Piece Swimdress for Women Skirted Swimsuit Black Floral XL(US 16-18)</t>
  </si>
  <si>
    <t>YZ-JY1151-K0-M</t>
  </si>
  <si>
    <t>X0014MPG5N</t>
  </si>
  <si>
    <t>B01GYFAA72</t>
  </si>
  <si>
    <t>MiYang Women's Pure Color High Waist Boy Shorts Swimdress Bikini Bottom Black X-Small(US size:0-2)</t>
  </si>
  <si>
    <t>0.121111 cuft</t>
  </si>
  <si>
    <t>YZ-MUWS32-ZL-S</t>
  </si>
  <si>
    <t>X001QWWCFN</t>
  </si>
  <si>
    <t>B07C21WMP2</t>
  </si>
  <si>
    <t>Navy Blue One Piece Swimsuit High Neck V-Neckline Mesh Ruched Monokini Swinwear S US(4-6)</t>
  </si>
  <si>
    <t>TK-J02H-K0-5/6</t>
  </si>
  <si>
    <t>X001GBQL0L</t>
  </si>
  <si>
    <t>B072K414LR</t>
  </si>
  <si>
    <t>XZ-ZQCB1001-R1-38</t>
  </si>
  <si>
    <t>X001JTW4WT</t>
  </si>
  <si>
    <t>B01N6LHS6M</t>
  </si>
  <si>
    <t>LYQ-HB1377-blue-L</t>
  </si>
  <si>
    <t>X001AUX2RD</t>
  </si>
  <si>
    <t>B01MRY67C5</t>
  </si>
  <si>
    <t>SJ-ZZN204ZL-S</t>
  </si>
  <si>
    <t>X001B4M5Q7</t>
  </si>
  <si>
    <t>B01N6JCAQV</t>
  </si>
  <si>
    <t>MiYang Women's Floral Lace Beach Bikini Cover-up ZL S</t>
  </si>
  <si>
    <t>YZ-MUBK187-R2-XL</t>
  </si>
  <si>
    <t>X001RYPBDP</t>
  </si>
  <si>
    <t>B07CYL3B53</t>
  </si>
  <si>
    <t>YZ-MU727-Pi-5XL</t>
  </si>
  <si>
    <t>X001Q2J3G9</t>
  </si>
  <si>
    <t>B07BFWCCJF</t>
  </si>
  <si>
    <t>Halter Deep Plunging High Cut Cutout One Piece Swimsuit Criss Cross Monokini 4XL (US 18W-20W)</t>
  </si>
  <si>
    <t>LYQ-CS04-Wi-M</t>
  </si>
  <si>
    <t>X001L5K8SN</t>
  </si>
  <si>
    <t>B0761KCJSN</t>
  </si>
  <si>
    <t>MiYang Casual Long Sleeve Shirt Pockets Dress Fall Clothes For Women Wine Red Medium</t>
  </si>
  <si>
    <t>0.086765 cuft</t>
  </si>
  <si>
    <t>XZ-HMA119-Pi-3738</t>
  </si>
  <si>
    <t>X001KNPGQZ</t>
  </si>
  <si>
    <t>B075CB6LN2</t>
  </si>
  <si>
    <t>0.171023 cuft</t>
  </si>
  <si>
    <t>XZ-ZQ6606-PI-3637</t>
  </si>
  <si>
    <t>X001L11NYP</t>
  </si>
  <si>
    <t>B075JGN8WK</t>
  </si>
  <si>
    <t>XZ-2115Gr35</t>
  </si>
  <si>
    <t>X000XCK9YD</t>
  </si>
  <si>
    <t>B019670SPO</t>
  </si>
  <si>
    <t>TK-C412H-SH-L</t>
  </si>
  <si>
    <t>X001I1CTK5</t>
  </si>
  <si>
    <t>B0748D4MZ7</t>
  </si>
  <si>
    <t>Teenking Men's Fleece Outdoor Jacket Large</t>
  </si>
  <si>
    <t>TK-Ad413-K0-2XL</t>
  </si>
  <si>
    <t>X001I1PO89</t>
  </si>
  <si>
    <t>B0749F4CJS</t>
  </si>
  <si>
    <t>Teenking Men's Fleece Outdoor Jacket with Hood XX-Large</t>
  </si>
  <si>
    <t>LYQ-CS04-Wi-S</t>
  </si>
  <si>
    <t>X001L546Y5</t>
  </si>
  <si>
    <t>B0761P6MM1</t>
  </si>
  <si>
    <t>MiYang Casual Long Sleeve Shirt Pockets Dress Fall Clothes For Women Wine Red Small</t>
  </si>
  <si>
    <t>0.116233 cuft</t>
  </si>
  <si>
    <t>LYQ-1010P0M</t>
  </si>
  <si>
    <t>X000X3IVRJ</t>
  </si>
  <si>
    <t>B017X47UK8</t>
  </si>
  <si>
    <t>MiYang Women's Purple Long Sleeve A-line Lace Stitching Trim Casual Dress S</t>
  </si>
  <si>
    <t>0.054879 cuft</t>
  </si>
  <si>
    <t>LYQ-HB1377-purple-M</t>
  </si>
  <si>
    <t>X001AZLZJ5</t>
  </si>
  <si>
    <t>B01N4ELXO2</t>
  </si>
  <si>
    <t>YZ-MY1701-KO-XS</t>
  </si>
  <si>
    <t>X001D7JO39</t>
  </si>
  <si>
    <t>B06XCTTS4X</t>
  </si>
  <si>
    <t>0.102087 cuft</t>
  </si>
  <si>
    <t>YZ-MU5506-ZL-L</t>
  </si>
  <si>
    <t>X001R95EOV</t>
  </si>
  <si>
    <t>B07CHF8WGV</t>
  </si>
  <si>
    <t>MiYang Active Striped Racerback Tankini with Swim Briefs Two Piece Swimsuit for Women Navy and White L</t>
  </si>
  <si>
    <t>YZ-MU181-Gr-L</t>
  </si>
  <si>
    <t>X001Q18AU5</t>
  </si>
  <si>
    <t>B07BDJW7N7</t>
  </si>
  <si>
    <t>MiYang Padded Push up Brazilian Thong Bikini Sets 2018 Swimsuits for Women Yellow L</t>
  </si>
  <si>
    <t>0.045636 cuft</t>
  </si>
  <si>
    <t>0.076771 cuft</t>
  </si>
  <si>
    <t>LYQ-CF8215-ZL-M</t>
  </si>
  <si>
    <t>X001EEFMZF</t>
  </si>
  <si>
    <t>B06Y6CBQYH</t>
  </si>
  <si>
    <t>MiYang Women's Chiffon Cut Out Cold Shoulder Trumpet Sleeve Spaghetti Strap Sexy Dress Top</t>
  </si>
  <si>
    <t>0.062565 cuft</t>
  </si>
  <si>
    <t>LYQ-CS04-CO-L</t>
  </si>
  <si>
    <t>X001L5JM9T</t>
  </si>
  <si>
    <t>B0761S91Q5</t>
  </si>
  <si>
    <t>MiYang Casual Long Sleeve Shirt Pockets Dress Fall Clothes For Women Coffee Large</t>
  </si>
  <si>
    <t>YZ-MUPLUS24-PI-L</t>
  </si>
  <si>
    <t>X001RGXQ7B</t>
  </si>
  <si>
    <t>B07CM1JPQ4</t>
  </si>
  <si>
    <t>LYQ-HB1377-blue-M</t>
  </si>
  <si>
    <t>X001AVOTL5</t>
  </si>
  <si>
    <t>B01MU1E5NR</t>
  </si>
  <si>
    <t>MiYang Women's Long Sleeve Ruffled Casual Loose T-Shirt Dress Blue M</t>
  </si>
  <si>
    <t>YZ-HM0007-R0-L</t>
  </si>
  <si>
    <t>X001E9UYXZ</t>
  </si>
  <si>
    <t>B06ZZQP3FK</t>
  </si>
  <si>
    <t>XZ-013GR2S</t>
  </si>
  <si>
    <t>X0013HJ0LF</t>
  </si>
  <si>
    <t>B0191JT0MY</t>
  </si>
  <si>
    <t>MiYang Women's Warm Plush Soft Sole Indoor Slipper (US Size:4-5.5,Grey(low Top)</t>
  </si>
  <si>
    <t>GM-SJ002BW</t>
  </si>
  <si>
    <t>X000WS3CAB</t>
  </si>
  <si>
    <t>B013GV3Z7Y</t>
  </si>
  <si>
    <t>MiYang Women's Beachwear Cover-up Tunic Pom Pom Trim Cover up</t>
  </si>
  <si>
    <t>0.102222 cuft</t>
  </si>
  <si>
    <t>YZ-MYBKN1703-R0-XS</t>
  </si>
  <si>
    <t>X001D7JG0Z</t>
  </si>
  <si>
    <t>B06XCX11MF</t>
  </si>
  <si>
    <t>MiYang Women's Luxurious Pretty Double Straps Elegant Two Piece Bikini Set Size XS</t>
  </si>
  <si>
    <t>0.053363 cuft</t>
  </si>
  <si>
    <t>YZ-MUBK187-G7-S</t>
  </si>
  <si>
    <t>X001QBKDJV</t>
  </si>
  <si>
    <t>B07BMXG39H</t>
  </si>
  <si>
    <t>YZ-MU180-B0-XL</t>
  </si>
  <si>
    <t>X001Q1E757</t>
  </si>
  <si>
    <t>B07BF3S1ZQ</t>
  </si>
  <si>
    <t>Women Bikini Sets Brazilian Padded Top Thong Cheeky Bikini Bottom 2PCs 2018 Swimsuit for Women Blue XL</t>
  </si>
  <si>
    <t>MY-HM1206-BR-S</t>
  </si>
  <si>
    <t>X001KMO0KJ</t>
  </si>
  <si>
    <t>B075FQ91LS</t>
  </si>
  <si>
    <t>MiYang Women Sweater Pullover V Neck Lace Up Knitted Tops Criss Cross Backless Jumper Army Green Small</t>
  </si>
  <si>
    <t>YZ-MULK185-K0-XL</t>
  </si>
  <si>
    <t>X001PZLLCL</t>
  </si>
  <si>
    <t>B07BC7NPT5</t>
  </si>
  <si>
    <t>Women's Halter High Waisted Cut Out One Piece Swimsuit Backless Bathing Suit Black XL</t>
  </si>
  <si>
    <t>DK-MUCL315-P0-2XL</t>
  </si>
  <si>
    <t>X001Q4E1J1</t>
  </si>
  <si>
    <t>B07BGT4G59</t>
  </si>
  <si>
    <t>High-Waisted Strappy Side Bikini Bottoms Swimwear Brief for Women Purple US 14</t>
  </si>
  <si>
    <t>YZ-MU30CH-K0-XL</t>
  </si>
  <si>
    <t>X001PSVFDN</t>
  </si>
  <si>
    <t>B07B7LXNDY</t>
  </si>
  <si>
    <t>MiYang Women's Sexy Crewneck One Piece Beachwear Bikini Monokini Swimsuit Solid Black XL XL (US 14-16)</t>
  </si>
  <si>
    <t>YZ-MUPLUS24-K0-M</t>
  </si>
  <si>
    <t>X001RG2X4N</t>
  </si>
  <si>
    <t>B07CLZVBF5</t>
  </si>
  <si>
    <t>XZ-HMBH019-32-33</t>
  </si>
  <si>
    <t>X001A9I1N9</t>
  </si>
  <si>
    <t>B01MYM1UOI</t>
  </si>
  <si>
    <t>MiYang Lovely Christmas Slipper Shoes Santa Claus Booties</t>
  </si>
  <si>
    <t>0.1 cuft</t>
  </si>
  <si>
    <t>YZ-HE13037Or1L</t>
  </si>
  <si>
    <t>X000YV0BCD</t>
  </si>
  <si>
    <t>B01AXSD1OK</t>
  </si>
  <si>
    <t>MiYang Women's Shaping Body Swimsuit One-Piece Swimwear Spa Suit Size Orange XS (US 0-2)</t>
  </si>
  <si>
    <t>0.192 cuft</t>
  </si>
  <si>
    <t>0.040639 cuft</t>
  </si>
  <si>
    <t>YZ-MU5506-K0-S</t>
  </si>
  <si>
    <t>X001R9G4GX</t>
  </si>
  <si>
    <t>B07CHKJ3RY</t>
  </si>
  <si>
    <t>MiYang Active Striped Racerback Tankini with Swim Briefs Two Piece Swimsuit for Women Black and White S</t>
  </si>
  <si>
    <t>LYQ-MU1059-DGR-M</t>
  </si>
  <si>
    <t>X001RYBHUB</t>
  </si>
  <si>
    <t>B07CYX7N5R</t>
  </si>
  <si>
    <t>LYQ-CL90501-G7-L</t>
  </si>
  <si>
    <t>X001KNLI4J</t>
  </si>
  <si>
    <t>B075D6KV8B</t>
  </si>
  <si>
    <t>Women's Long Sleeve Casual Dress Swing T-Shirt Dresses Army Green L</t>
  </si>
  <si>
    <t>LYQ-MU18-ZL-XL</t>
  </si>
  <si>
    <t>X001OF0OUR</t>
  </si>
  <si>
    <t>B0792Q2BH3</t>
  </si>
  <si>
    <t>MiYang Women's Loose Solid Long Sleeve Tunic T-Shirt Dress Navy Blue X-Large</t>
  </si>
  <si>
    <t>YZ-MUCL17015-K0-2XL</t>
  </si>
  <si>
    <t>X001OJ52XH</t>
  </si>
  <si>
    <t>B0795MBYQM</t>
  </si>
  <si>
    <t>MiYang High Waisted Ruched One Piece Swimsuit Twist Vintage Bathing Suit for Women Black US 8</t>
  </si>
  <si>
    <t>YZ-MUTW32-KTW-M</t>
  </si>
  <si>
    <t>X001QWMGNV</t>
  </si>
  <si>
    <t>B07CBP3XK5</t>
  </si>
  <si>
    <t>DK-MUCL315-K0-XL</t>
  </si>
  <si>
    <t>X001Q3JOFD</t>
  </si>
  <si>
    <t>B07BGVQP3Q</t>
  </si>
  <si>
    <t>High-Waisted Strappy Side Bikini Bottoms Swimwear Brief for Women Black US 12</t>
  </si>
  <si>
    <t>YZ-HE9007Se6L</t>
  </si>
  <si>
    <t>X0019PSFM1</t>
  </si>
  <si>
    <t>B01MQJP47N</t>
  </si>
  <si>
    <t>MiYang Women's Plus Size High Waist Printing Swimsuit Bathing Swimwear Navy(one Piece) 1X(US Size14W-16W)</t>
  </si>
  <si>
    <t>XZ-CLA177-DS-37/38</t>
  </si>
  <si>
    <t>X001JTRTZL</t>
  </si>
  <si>
    <t>B074J6T9G6</t>
  </si>
  <si>
    <t>0.100291 cuft</t>
  </si>
  <si>
    <t>YZ-MUCL17015-K0-3XL</t>
  </si>
  <si>
    <t>X001OJ4ZHV</t>
  </si>
  <si>
    <t>B0795N3Z46</t>
  </si>
  <si>
    <t>MiYang High Waisted Ruched One Piece Swimsuit Twist Vintage Bathing Suit for Women Black Plus Size</t>
  </si>
  <si>
    <t>YZ-BSA160301B02XL</t>
  </si>
  <si>
    <t>X001FM18S1</t>
  </si>
  <si>
    <t>B071VMPTFC</t>
  </si>
  <si>
    <t>MiYang Retro Vintage Striped One Piece Monokini Chevron Lines Swimsuit 2XL BlueWhite</t>
  </si>
  <si>
    <t>0.075465 cuft</t>
  </si>
  <si>
    <t>YZ-MUCS186-OR-2XL</t>
  </si>
  <si>
    <t>X001QATN4D</t>
  </si>
  <si>
    <t>B07BLT8KKK</t>
  </si>
  <si>
    <t>0.059087 cuft</t>
  </si>
  <si>
    <t>YZ-MU5129-ZLYH-3XL</t>
  </si>
  <si>
    <t>X001RF0OAT</t>
  </si>
  <si>
    <t>B07CKW2DBN</t>
  </si>
  <si>
    <t>MiYang Plus Size Floral Swimwear One Piece Swimdress for Women Skirted Swimsuit Navy Floral 3XL(US 24-26)</t>
  </si>
  <si>
    <t>LYQ-CS04-K0-2XL</t>
  </si>
  <si>
    <t>X001L51F7L</t>
  </si>
  <si>
    <t>B0761NF6SX</t>
  </si>
  <si>
    <t>MiYang Casual Long Sleeve Shirt Pockets Dress Fall Clothes For Women Black XX-Large</t>
  </si>
  <si>
    <t>LYQ-YY05-R0-XL</t>
  </si>
  <si>
    <t>X001L5NNW1</t>
  </si>
  <si>
    <t>B0761Q7ZKZ</t>
  </si>
  <si>
    <t>MiYang Women's Crew Neck Solid Color Long Sleeve Casual Flared Midi Dress Red XL</t>
  </si>
  <si>
    <t>LYQ-MU1059-Z0-L</t>
  </si>
  <si>
    <t>X001RYBLLL</t>
  </si>
  <si>
    <t>B07CYT7PD1</t>
  </si>
  <si>
    <t>YZ5060R21L</t>
  </si>
  <si>
    <t>X00140J6FB</t>
  </si>
  <si>
    <t>B01FTOGZ0A</t>
  </si>
  <si>
    <t>MiYang Women's Halter Polka Dot Tankini Swim Dress(Rose Red XL)</t>
  </si>
  <si>
    <t>DX-TW410-K0-2X</t>
  </si>
  <si>
    <t>X001DYZPKD</t>
  </si>
  <si>
    <t>B06Y52Y8PM</t>
  </si>
  <si>
    <t>MiYang Women's Short Sleeve Casual Blouse Striped T-Shirt Dress</t>
  </si>
  <si>
    <t>0.09718 cuft</t>
  </si>
  <si>
    <t>XZ-CL01-N0-38/39</t>
  </si>
  <si>
    <t>X001JS5HXN</t>
  </si>
  <si>
    <t>B074M8LVY1</t>
  </si>
  <si>
    <t>MiYang Women's Cute Warm Plush Slipper Winter Indoor Shoes Brown Bear</t>
  </si>
  <si>
    <t>0.160981 cuft</t>
  </si>
  <si>
    <t>LYQ-LS06-N5-XL</t>
  </si>
  <si>
    <t>X001L5OCFX</t>
  </si>
  <si>
    <t>B0761PVGZX</t>
  </si>
  <si>
    <t>MiYang Women's Turtle-Neck Solid Long-Sleeve Short Straight Dress, Turtleneck-Coffee, X-Large</t>
  </si>
  <si>
    <t>YZ-MYQZ1709-K0-3XL</t>
  </si>
  <si>
    <t>X001DJ3V1N</t>
  </si>
  <si>
    <t>B06XSTGVRF</t>
  </si>
  <si>
    <t>YZ-MU5129-K0YH-M</t>
  </si>
  <si>
    <t>X001RG3O8R</t>
  </si>
  <si>
    <t>B07CKTNMC5</t>
  </si>
  <si>
    <t>MiYang Plus Size Floral Swimwear One Piece Swimdress for Women Skirted Swimsuit Black Floral Medium(US 8-10)</t>
  </si>
  <si>
    <t>MiYang Women's Solid Black Beach Pant Bikini Bottom Adjustable Tie Boy Short Tag M/US S</t>
  </si>
  <si>
    <t>YZ-MU2500-W0-XL</t>
  </si>
  <si>
    <t>X001S72YGD</t>
  </si>
  <si>
    <t>B07D35FGLZ</t>
  </si>
  <si>
    <t>0.071266 cuft</t>
  </si>
  <si>
    <t>YZ-MYQQ1706-K0-M</t>
  </si>
  <si>
    <t>X001DGM8R9</t>
  </si>
  <si>
    <t>B06XT13L41</t>
  </si>
  <si>
    <t>MiYang Dot Swirl Print Tankini Top With Black Shorts</t>
  </si>
  <si>
    <t>YZ-MUBK187-R2-S</t>
  </si>
  <si>
    <t>X001RY94ND</t>
  </si>
  <si>
    <t>B07CYJDL3T</t>
  </si>
  <si>
    <t>LYQ-MU18-G7-XL</t>
  </si>
  <si>
    <t>X001ODOJJV</t>
  </si>
  <si>
    <t>B0792PZQHK</t>
  </si>
  <si>
    <t>MiYang Women's Loose Solid Long Sleeve Tunic T-Shirt Dress Light Green X-Large</t>
  </si>
  <si>
    <t>XZ-HM8130-R0-3637</t>
  </si>
  <si>
    <t>X001BK45EV</t>
  </si>
  <si>
    <t>B01N3162FD</t>
  </si>
  <si>
    <t>YZ-MUSM807-K0-XL</t>
  </si>
  <si>
    <t>X001QVWZND</t>
  </si>
  <si>
    <t>B07CBQ6VQH</t>
  </si>
  <si>
    <t>YZ-MU180-WI-L</t>
  </si>
  <si>
    <t>X001Q03KL5</t>
  </si>
  <si>
    <t>B07BF77FF8</t>
  </si>
  <si>
    <t>Women Bikini Sets Brazilian Padded Top Thong Cheeky Bikini Bottom 2PCs 2018 Swimsuit for Women Wine Red L</t>
  </si>
  <si>
    <t>XZ-HMYZ22-GR-35(3)</t>
  </si>
  <si>
    <t>X001C09919</t>
  </si>
  <si>
    <t>B01N0VHR0D</t>
  </si>
  <si>
    <t>0.098282 cuft</t>
  </si>
  <si>
    <t>MiYang Women's Solid Black Beach Pant Bikini Bottom Adjustable Tie Boy Short Tag XXL/US XL</t>
  </si>
  <si>
    <t>LYQ-MU1059-Z0-S</t>
  </si>
  <si>
    <t>X001RYJGMH</t>
  </si>
  <si>
    <t>B07CYNY9NG</t>
  </si>
  <si>
    <t>LYQ-1010K0XL</t>
  </si>
  <si>
    <t>X0016RQ24F</t>
  </si>
  <si>
    <t>B01KO0SCAA</t>
  </si>
  <si>
    <t>MiYang Women's Long Sleeve A-line Lace Stitching Trim Casual Dress L Black</t>
  </si>
  <si>
    <t>YZ-MU2631-K0-3XL</t>
  </si>
  <si>
    <t>X001SYC0FV</t>
  </si>
  <si>
    <t>B07DMD8DPH</t>
  </si>
  <si>
    <t>MiYang Women's One Piece Striped Slim Swim Dress Bathing Swimwear, Black, (US size XXXL)</t>
  </si>
  <si>
    <t>LYQ-MU1058-GA-L</t>
  </si>
  <si>
    <t>X001RWKLWN</t>
  </si>
  <si>
    <t>B07CXTBK7P</t>
  </si>
  <si>
    <t>XZ-HMXX018-Y0-3839</t>
  </si>
  <si>
    <t>X0019VGJUZ</t>
  </si>
  <si>
    <t>B01M4GEPS6</t>
  </si>
  <si>
    <t>MiYang Winter Women's Plush Winter Warm Animal Soft Cute Home Slippers Dog 7-8 B(M) US</t>
  </si>
  <si>
    <t>0.077692 cuft</t>
  </si>
  <si>
    <t>DK-MUCL315-R0-S</t>
  </si>
  <si>
    <t>X001Q4E46V</t>
  </si>
  <si>
    <t>B07BGSTQPJ</t>
  </si>
  <si>
    <t>High-Waisted Strappy Side Bikini Bottoms Swimwear Brief for Women Red US 6</t>
  </si>
  <si>
    <t>LYQ-ZQ-1188-K0-M</t>
  </si>
  <si>
    <t>X001JDUXZF</t>
  </si>
  <si>
    <t>B074P11YWV</t>
  </si>
  <si>
    <t>MiYang Women's Fashion Striped Short Sleeves Floral A-line Casual T-Shirt Dress Black Medium</t>
  </si>
  <si>
    <t>DK-MUCL315-RF-S</t>
  </si>
  <si>
    <t>X001Q4DYTJ</t>
  </si>
  <si>
    <t>B07BGWXVHM</t>
  </si>
  <si>
    <t>High-Waisted Strappy Side Floral Bikini Bottoms Swimwear Brief for Women Red US 6</t>
  </si>
  <si>
    <t>LYQ-MU1059-Z0-XS</t>
  </si>
  <si>
    <t>X001RYHK4N</t>
  </si>
  <si>
    <t>B07CYN5LK2</t>
  </si>
  <si>
    <t>LYQ-CL90501-G7-2XL</t>
  </si>
  <si>
    <t>X001KMO0K9</t>
  </si>
  <si>
    <t>B075DGT9MY</t>
  </si>
  <si>
    <t>Long Sleeve Casual Dress Swing T-Shirt Dresses For Women Army Green Plus Size</t>
  </si>
  <si>
    <t>DK-HM1789-B0TW-XL</t>
  </si>
  <si>
    <t>X001E2A2TN</t>
  </si>
  <si>
    <t>B06XDMG3RP</t>
  </si>
  <si>
    <t>MiYang Women's Blue Stripe Beach Pant Bikini Bottom Adjustable Tie Boy Short Tag XL/US L</t>
  </si>
  <si>
    <t>LYQ-MU1058-N0-XS</t>
  </si>
  <si>
    <t>X001RWO61F</t>
  </si>
  <si>
    <t>B07CXMRCR6</t>
  </si>
  <si>
    <t>LYQ-MU18-Y0-L</t>
  </si>
  <si>
    <t>X001ODOOE1</t>
  </si>
  <si>
    <t>B0792QNLK9</t>
  </si>
  <si>
    <t>MiYang Women's Loose Solid Long Sleeve Tunic T-Shirt Dress Beige Large</t>
  </si>
  <si>
    <t>LYQ-1010DX-BD-XL</t>
  </si>
  <si>
    <t>X001QZT85R</t>
  </si>
  <si>
    <t>B07C3NWLLN</t>
  </si>
  <si>
    <t>MiYang Short Sleeve Loose Swing T-Shirt Dress Tunic Blouse for Women l Wine Red</t>
  </si>
  <si>
    <t>XZ-ZQ2176-B0-21</t>
  </si>
  <si>
    <t>X001LGCL2N</t>
  </si>
  <si>
    <t>B074W45L7R</t>
  </si>
  <si>
    <t>MiYang Winter Kids Cute Mouse Plush Winter Warm House Indoor Slippers Blue 10-11 B(M) US Little Kid</t>
  </si>
  <si>
    <t>0.081668 cuft</t>
  </si>
  <si>
    <t>YZ-JG263100L</t>
  </si>
  <si>
    <t>X000Y3ZQBH</t>
  </si>
  <si>
    <t>B01A6WG2QM</t>
  </si>
  <si>
    <t>MiYang Women's One Piece Striped Slim Swim Dress Bathing Swimwear Orange Small US 4-6</t>
  </si>
  <si>
    <t>0.098 cuft</t>
  </si>
  <si>
    <t>XZ-ZQ6606-C0-4445</t>
  </si>
  <si>
    <t>X001L135BJ</t>
  </si>
  <si>
    <t>B075JFZXGP</t>
  </si>
  <si>
    <t>LYQ-K1010-B0-2X</t>
  </si>
  <si>
    <t>X001A05SHZ</t>
  </si>
  <si>
    <t>B01M2CJRHO</t>
  </si>
  <si>
    <t>MiYang Women's Long Sleeve A-line Lace Stitching Trim Casual Dress 2XL Blue</t>
  </si>
  <si>
    <t>XZ-ZQCB2056-B0-1415</t>
  </si>
  <si>
    <t>X0019R2N31</t>
  </si>
  <si>
    <t>B01M9HWE17</t>
  </si>
  <si>
    <t>MiYang Winter Winter Winter Toddlers Cute Cat Warm House Slippers Booties Blue 4.5-5.5 B(M) US Toddler</t>
  </si>
  <si>
    <t>LYQ-CF8512-GR-L</t>
  </si>
  <si>
    <t>X001FU3DMH</t>
  </si>
  <si>
    <t>B071S24ZM7</t>
  </si>
  <si>
    <t>YZ5118DaXS</t>
  </si>
  <si>
    <t>X000VTAG05</t>
  </si>
  <si>
    <t>B0162IVP5M</t>
  </si>
  <si>
    <t>MiYang Padded Push up Brazilian Thong Bikini Sets 2018 Swimsuits for Women</t>
  </si>
  <si>
    <t>LYQ-CL90501-G7-XL</t>
  </si>
  <si>
    <t>X001KNLUKB</t>
  </si>
  <si>
    <t>B075D22QWC</t>
  </si>
  <si>
    <t>Women's Long Sleeve Casual Dress Swing T-Shirt Dresses Army Green XL</t>
  </si>
  <si>
    <t>0.061875 cuft</t>
  </si>
  <si>
    <t>TK-J02H-K0-3T</t>
  </si>
  <si>
    <t>X001JR6WXN</t>
  </si>
  <si>
    <t>B074Z6JZPR</t>
  </si>
  <si>
    <t>TK-Ad413SH-2XL</t>
  </si>
  <si>
    <t>X001I24KQP</t>
  </si>
  <si>
    <t>B0749HXX68</t>
  </si>
  <si>
    <t>0.013188 cuft</t>
  </si>
  <si>
    <t>TK-J01H-SH-3T</t>
  </si>
  <si>
    <t>X001JR73TZ</t>
  </si>
  <si>
    <t>B074Z4QSQX</t>
  </si>
  <si>
    <t>Teenking Boy's Fleece Outdoor Jacket Little Boy(3T)</t>
  </si>
  <si>
    <t>YZ-MUHY025-OR-S</t>
  </si>
  <si>
    <t>X001RJ3BYB</t>
  </si>
  <si>
    <t>B07CNHWLW7</t>
  </si>
  <si>
    <t>XZ-ZQ2256-K0-25</t>
  </si>
  <si>
    <t>X001M0H1S7</t>
  </si>
  <si>
    <t>B076VLTVG3</t>
  </si>
  <si>
    <t>MiYang Winter Cute Dinosaur Slippers Adult Cartoon Winter Warm House Slippers Booties Black 6-7 B(M) US Adult</t>
  </si>
  <si>
    <t>TK-J02H-SH-4</t>
  </si>
  <si>
    <t>X001GBL5NJ</t>
  </si>
  <si>
    <t>B07219Y437</t>
  </si>
  <si>
    <t>LYQ-ZQ-1199-K0-S</t>
  </si>
  <si>
    <t>X001JQXSVD</t>
  </si>
  <si>
    <t>B074QLQ4DS</t>
  </si>
  <si>
    <t>XZ-YG7223Gr3637</t>
  </si>
  <si>
    <t>X000XU0CF1</t>
  </si>
  <si>
    <t>B018Z5B68G</t>
  </si>
  <si>
    <t>MiYang Winter Vintage Arctic Solid Indoor Boot Slippers Green 6 B(M) US</t>
  </si>
  <si>
    <t>LYQ-CS04-GR-S</t>
  </si>
  <si>
    <t>X001L53ZBZ</t>
  </si>
  <si>
    <t>B0761R8Z99</t>
  </si>
  <si>
    <t>MiYang Casual Long Sleeve Shirt Pockets Dress Fall Clothes For Women Light Grey Small</t>
  </si>
  <si>
    <t>YZ-MUWS32-BD-XL</t>
  </si>
  <si>
    <t>X001QWT4BX</t>
  </si>
  <si>
    <t>B07C1ZCCLP</t>
  </si>
  <si>
    <t>MiYang Wine Red One Piece Swimsuit High Neck V-Neckline Mesh Ruched Monokini Swinwear XL US (16)</t>
  </si>
  <si>
    <t>0.097034 cuft</t>
  </si>
  <si>
    <t>YZ-MULK185-B0-M</t>
  </si>
  <si>
    <t>X001QXA48T</t>
  </si>
  <si>
    <t>B07C22KGZB</t>
  </si>
  <si>
    <t>Women's Halter High Waisted Cut Out One Piece Swimsuit Backless Bathing Suit Patchwork Blue M</t>
  </si>
  <si>
    <t>LYQ-K1010-KQ-XS</t>
  </si>
  <si>
    <t>X001ASCR71</t>
  </si>
  <si>
    <t>B01MT3RUVQ</t>
  </si>
  <si>
    <t>MiYang Women's Long Sleeve A-line Lace Stitching Trim Casual Dress XS Khaki</t>
  </si>
  <si>
    <t>YZ-MUPLUS24-G0-M</t>
  </si>
  <si>
    <t>X001RGBCV3</t>
  </si>
  <si>
    <t>B07CLSQFGC</t>
  </si>
  <si>
    <t>LYQ--MY-MX02-K0-XL</t>
  </si>
  <si>
    <t>X001L5NVI7</t>
  </si>
  <si>
    <t>B0761NMHBK</t>
  </si>
  <si>
    <t>MiYang Bell Sleeve Shirt Dress Women Loose Flare Swing Blouse Casual Dress Black XL</t>
  </si>
  <si>
    <t>YZ-MU5506-K0-L</t>
  </si>
  <si>
    <t>X001R8FTXN</t>
  </si>
  <si>
    <t>B07CHFY8VP</t>
  </si>
  <si>
    <t>MiYang Active Striped Racerback Tankini with Swim Briefs Two Piece Swimsuit for Women Black and White L</t>
  </si>
  <si>
    <t>LYQ-CS04-G0-XL</t>
  </si>
  <si>
    <t>X001L51PKD</t>
  </si>
  <si>
    <t>B0761T7BDL</t>
  </si>
  <si>
    <t>MiYang Casual Long Sleeve Shirt Pockets Dress Fall Clothes For Women Army Green X-Large</t>
  </si>
  <si>
    <t>0.094039 cuft</t>
  </si>
  <si>
    <t>LYQ-CL0127-R2-XL</t>
  </si>
  <si>
    <t>X001JIT2VB</t>
  </si>
  <si>
    <t>B074SZHTJX</t>
  </si>
  <si>
    <t>0.096147 cuft</t>
  </si>
  <si>
    <t>YZ-BSLLK04XL</t>
  </si>
  <si>
    <t>X001CL8UVX</t>
  </si>
  <si>
    <t>B06WGVMBXD</t>
  </si>
  <si>
    <t>MiYang Vintage Sailor Pin up Swimsuit One Piece Skirtini Cover up Swimdress Black 2XL (US 14W-16W)</t>
  </si>
  <si>
    <t>LYQ-MUCL628-R0-S</t>
  </si>
  <si>
    <t>X001QQZZ5N</t>
  </si>
  <si>
    <t>B07BWH6G4Y</t>
  </si>
  <si>
    <t>MiYang Short Sleeve Cold Shoulder T-Shirt Dress Solid Color Tunics with Pockets for Women Red S (US0-2)</t>
  </si>
  <si>
    <t>DK-HM1789-W0-2XL</t>
  </si>
  <si>
    <t>X001B0QEHH</t>
  </si>
  <si>
    <t>B01N9771OD</t>
  </si>
  <si>
    <t>MiYang Women's White Beach Pant Bikini Bottom Adjustable Tie Boy Short Tag XXL/US XL</t>
  </si>
  <si>
    <t>XZ-ZQFT730-C0-4445</t>
  </si>
  <si>
    <t>X001K1GVZ7</t>
  </si>
  <si>
    <t>B074X4VCKB</t>
  </si>
  <si>
    <t>YZ-MUBK187-OR-XL</t>
  </si>
  <si>
    <t>X001QC75E1</t>
  </si>
  <si>
    <t>B07BMZHNZJ</t>
  </si>
  <si>
    <t>YZ-MU181-Wi-XL</t>
  </si>
  <si>
    <t>X001R8M8HX</t>
  </si>
  <si>
    <t>B07CH789BH</t>
  </si>
  <si>
    <t>MiYang Padded Push up Brazilian Thong Bikini Sets 2018 Swimsuits for Women Burgundy XL</t>
  </si>
  <si>
    <t>YZ-HE9007Se7L</t>
  </si>
  <si>
    <t>X0019QAEWT</t>
  </si>
  <si>
    <t>B01N64GO5L</t>
  </si>
  <si>
    <t>MiYang Women's Bowknot Printing Skirt Spa Swimsuit Padded Bathing Swimwear, Navy(one Piece) 2X(US Size14W-16W)</t>
  </si>
  <si>
    <t>YZ7438K0XL</t>
  </si>
  <si>
    <t>X0014R1SZF</t>
  </si>
  <si>
    <t>B01F78ATUU</t>
  </si>
  <si>
    <t>MiYang Vintage Sailor Pin up Swimsuit One Piece Skirtini Cover up Swimdress Black Dot M (US 10)</t>
  </si>
  <si>
    <t>LYQ-ZQ-1199-W0-S</t>
  </si>
  <si>
    <t>X001JQQZF9</t>
  </si>
  <si>
    <t>B074QJK8N4</t>
  </si>
  <si>
    <t>DK-HM1789-Dot-XL</t>
  </si>
  <si>
    <t>X001R71BGD</t>
  </si>
  <si>
    <t>B07CGBKNK2</t>
  </si>
  <si>
    <t>MiYang Women's Polka Dot Pant Bikini Bottom Adjustable Tie Boy Short Tag XL/US L</t>
  </si>
  <si>
    <t>YZ-BSA160301R03XL</t>
  </si>
  <si>
    <t>X001FNIJPP</t>
  </si>
  <si>
    <t>B071L8ZJQY</t>
  </si>
  <si>
    <t>MiYang Retro Vintage Striped One Piece Monokini Chevron Lines Swimsuit 3XL PinkWhite</t>
  </si>
  <si>
    <t>LYQ-MU1059-B7-2XL</t>
  </si>
  <si>
    <t>X001RYBLLV</t>
  </si>
  <si>
    <t>B07CYX71K5</t>
  </si>
  <si>
    <t>LYQ--MY-MX02-N0-L</t>
  </si>
  <si>
    <t>X001L55JWX</t>
  </si>
  <si>
    <t>B0761MJW9H</t>
  </si>
  <si>
    <t>MiYang Bell Sleeve Shirt Dress Women Loose Flare Swing Blouse Casual Dress Brown L</t>
  </si>
  <si>
    <t>DK-HM1789-FL-S</t>
  </si>
  <si>
    <t>X001E5KRWH</t>
  </si>
  <si>
    <t>B06XXBP4CX</t>
  </si>
  <si>
    <t>MiYang Women's White Floral Beach Pant Bikini Bottom Adjustable Tie Boy Short Tag S/US XS</t>
  </si>
  <si>
    <t>0.026571 cuft</t>
  </si>
  <si>
    <t>LYQ-MU18-BD-M</t>
  </si>
  <si>
    <t>X001ODLZYX</t>
  </si>
  <si>
    <t>B0792PMVJP</t>
  </si>
  <si>
    <t>MiYang Women's Loose Solid Long Sleeve Tunic T-Shirt Dress Burgundy Medium</t>
  </si>
  <si>
    <t>YZ-MYQZ1709-R0-M</t>
  </si>
  <si>
    <t>X001DK0YYJ</t>
  </si>
  <si>
    <t>B06XSYV62J</t>
  </si>
  <si>
    <t>LYQ--MY-MX02-R0-S</t>
  </si>
  <si>
    <t>X001L5NW7R</t>
  </si>
  <si>
    <t>B0761NKX15</t>
  </si>
  <si>
    <t>MiYang Bell Sleeve Shirt Dress Women Loose Flare Swing Blouse Casual Dress Red S</t>
  </si>
  <si>
    <t>XZ-013GR3M</t>
  </si>
  <si>
    <t>X0013KJ5BR</t>
  </si>
  <si>
    <t>B0191JSJSA</t>
  </si>
  <si>
    <t>MiYang Women's Warm Plush Soft Sole Indoor Slipper Grey(High Top) 5-6.5 B(M) US</t>
  </si>
  <si>
    <t>0.143851 cuft</t>
  </si>
  <si>
    <t>YZ-MUBK187-P0-L</t>
  </si>
  <si>
    <t>X001QEYUWJ</t>
  </si>
  <si>
    <t>B07BMWXP6M</t>
  </si>
  <si>
    <t>LYQ-CS04-GR-XL</t>
  </si>
  <si>
    <t>X001L546L3</t>
  </si>
  <si>
    <t>B0761RG837</t>
  </si>
  <si>
    <t>MiYang Casual Long Sleeve Shirt Pockets Dress Fall Clothes For Women Light Grey X-Large</t>
  </si>
  <si>
    <t>0.134512 cuft</t>
  </si>
  <si>
    <t>YZ5060R2M</t>
  </si>
  <si>
    <t>X0013X4O6P</t>
  </si>
  <si>
    <t>B01FTOGVWM</t>
  </si>
  <si>
    <t>MiYang Women's Halter Polka Dot Tankini Swim Dress(Rose Red M)</t>
  </si>
  <si>
    <t>XZ-HMA194-R0-3738</t>
  </si>
  <si>
    <t>X001KMPODB</t>
  </si>
  <si>
    <t>B075CH9D9B</t>
  </si>
  <si>
    <t>0.201584 cuft</t>
  </si>
  <si>
    <t>XZ-HMA185-P0-3738</t>
  </si>
  <si>
    <t>X001JGCAUD</t>
  </si>
  <si>
    <t>B074FRX3R1</t>
  </si>
  <si>
    <t>0.052911 cuft</t>
  </si>
  <si>
    <t>LYQ--MY-MX02-P0-S</t>
  </si>
  <si>
    <t>X001L5NVIH</t>
  </si>
  <si>
    <t>B0761N12C2</t>
  </si>
  <si>
    <t>MiYang Bell Sleeve Shirt Dress Women Loose Flare Swing Blouse Casual Dress Purple S</t>
  </si>
  <si>
    <t>LYQ-MU1059-GA-S</t>
  </si>
  <si>
    <t>X001RY0CL1</t>
  </si>
  <si>
    <t>B07CYR5YFB</t>
  </si>
  <si>
    <t>DK-HM1789-GrTW-M</t>
  </si>
  <si>
    <t>X001E6IXJZ</t>
  </si>
  <si>
    <t>B06XD6K3ML</t>
  </si>
  <si>
    <t>MiYang Women's Green Beach Pant Bikini Bottom Adjustable Tie Boy Short Tag M/US S</t>
  </si>
  <si>
    <t>LYQ2015G0</t>
  </si>
  <si>
    <t>X000ZCD385</t>
  </si>
  <si>
    <t>B01BY03FEM</t>
  </si>
  <si>
    <t>0.060995 cuft</t>
  </si>
  <si>
    <t>YZ-HM30CH-Pi-L</t>
  </si>
  <si>
    <t>X001EBHX5F</t>
  </si>
  <si>
    <t>B06Y2M5BNW</t>
  </si>
  <si>
    <t>MiYang Women's Sexy Crewneck One Piece Beachwear Bikini Monokini Swimsuit Pink L (US 10-12)</t>
  </si>
  <si>
    <t>MY-HM1206-GR-M</t>
  </si>
  <si>
    <t>X001KMNZW3</t>
  </si>
  <si>
    <t>B075FPQZ9W</t>
  </si>
  <si>
    <t>MiYang Women Sweater Pullover V Neck Lace Up Knitted Tops Criss Cross Backless Jumper Grey Medium</t>
  </si>
  <si>
    <t>0.178609 cuft</t>
  </si>
  <si>
    <t>YZ-MUCLC19-R0-XL</t>
  </si>
  <si>
    <t>X001OIZOEF</t>
  </si>
  <si>
    <t>B0795DL7PJ</t>
  </si>
  <si>
    <t>MiYang Twist Front Bandeau Bikini Top Hipster Bottom Set Two Piece Swimsuit for Women Red US 6-8</t>
  </si>
  <si>
    <t>LYQ-MU18-G7-M</t>
  </si>
  <si>
    <t>X001OF21K3</t>
  </si>
  <si>
    <t>B0792QJHWP</t>
  </si>
  <si>
    <t>MiYang Women's Loose Solid Long Sleeve Tunic T-Shirt Dress Light Green Medium</t>
  </si>
  <si>
    <t>DK-MUCL315-P0-XL</t>
  </si>
  <si>
    <t>X001Q4ER4P</t>
  </si>
  <si>
    <t>B07BGW6JY3</t>
  </si>
  <si>
    <t>High-Waisted Strappy Side Bikini Bottoms Swimwear Brief for Women Purple US 12</t>
  </si>
  <si>
    <t>DK-HM1789-Y0-L</t>
  </si>
  <si>
    <t>X001E45NI1</t>
  </si>
  <si>
    <t>B06XDLHL5W</t>
  </si>
  <si>
    <t>MiYang Women's Yellow Beach Pant Bikini Bottom Adjustable Tie Boy Short Tag L/US M</t>
  </si>
  <si>
    <t>0.128347 cuft</t>
  </si>
  <si>
    <t>0.106792 cuft</t>
  </si>
  <si>
    <t>LYQ-YY05-K0-L</t>
  </si>
  <si>
    <t>X001L58V4L</t>
  </si>
  <si>
    <t>B0761PJTSG</t>
  </si>
  <si>
    <t>MiYang Women's Crew Neck Solid Color Long Sleeve Casual Flared Midi Dress Black L</t>
  </si>
  <si>
    <t>YZ-MU181-B0-S</t>
  </si>
  <si>
    <t>X001R88XKJ</t>
  </si>
  <si>
    <t>B07CH4FL95</t>
  </si>
  <si>
    <t>MiYang Padded Push up Brazilian Thong Bikini Sets 2018 Swimsuits for Women Blue S</t>
  </si>
  <si>
    <t>TK-J01H-GR-18/20</t>
  </si>
  <si>
    <t>X001GBR1BT</t>
  </si>
  <si>
    <t>B07218YKDT</t>
  </si>
  <si>
    <t>Teenking Boy's Fleece Outdoor Jacket Big Boy(Size 18/20)</t>
  </si>
  <si>
    <t>DK-HM1789-R2-S</t>
  </si>
  <si>
    <t>X001B3N4QX</t>
  </si>
  <si>
    <t>B01MSOO12U</t>
  </si>
  <si>
    <t>MiYang Women's Red Beach Pant Bikini Bottom Adjustable Tie Boy Short Tag S/US XS</t>
  </si>
  <si>
    <t>0.167627 cuft</t>
  </si>
  <si>
    <t>LYQ-MU1059-PR-2XL</t>
  </si>
  <si>
    <t>X001RY0CLB</t>
  </si>
  <si>
    <t>B07CYNJ1BC</t>
  </si>
  <si>
    <t>YZ-MU180-K0-XL</t>
  </si>
  <si>
    <t>X001Q03KKV</t>
  </si>
  <si>
    <t>B07BF5PHT7</t>
  </si>
  <si>
    <t>Women Bikini Sets Brazilian Padded Top Thong Cheeky Bikini Bottom 2PCs 2018 Swimsuit for Women Black XL</t>
  </si>
  <si>
    <t>LYQ-CS04-GR-L</t>
  </si>
  <si>
    <t>X001L546LD</t>
  </si>
  <si>
    <t>B0761QBNNS</t>
  </si>
  <si>
    <t>MiYang Casual Long Sleeve Shirt Pockets Dress Fall Clothes For Women Light Grey Large</t>
  </si>
  <si>
    <t>YZ-MU30CH-K0-XS</t>
  </si>
  <si>
    <t>X001PSVFM9</t>
  </si>
  <si>
    <t>B07B7KWWL1</t>
  </si>
  <si>
    <t>MiYang Women's Sexy Crewneck One Piece Beachwear Bikini Monokini Swimsuit Solid Black XS (US 0-2)</t>
  </si>
  <si>
    <t>YZ-MU180-OR-L</t>
  </si>
  <si>
    <t>X001Q2D6RB</t>
  </si>
  <si>
    <t>B07BF7S7SS</t>
  </si>
  <si>
    <t>Women Bikini Sets Brazilian Padded Top Thong Cheeky Bikini Bottom 2PCs 2018 Swimsuit for Women Orange L</t>
  </si>
  <si>
    <t>YZ-MUC19P-K0-S</t>
  </si>
  <si>
    <t>X001R674ID</t>
  </si>
  <si>
    <t>B07C82DKMN</t>
  </si>
  <si>
    <t>LYQ-K1010-R0-M</t>
  </si>
  <si>
    <t>X001APL97D</t>
  </si>
  <si>
    <t>B01N9LAAEZ</t>
  </si>
  <si>
    <t>MiYang Women's Long Sleeve A-line Lace Stitching Trim Casual Dress M Red</t>
  </si>
  <si>
    <t>LYQ-MU1059-Z0-M</t>
  </si>
  <si>
    <t>X001RYCPUR</t>
  </si>
  <si>
    <t>B07CYQ7PVY</t>
  </si>
  <si>
    <t>0.164593 cuft</t>
  </si>
  <si>
    <t>DK-MUCL315-B7-2XL</t>
  </si>
  <si>
    <t>X001Q4EHNL</t>
  </si>
  <si>
    <t>B07BGW1263</t>
  </si>
  <si>
    <t>High-Waisted Strappy Side Bikini Bottoms Swimwear Brief for Women Sky Blue US 14</t>
  </si>
  <si>
    <t>LYQ-K1010-R0-2X</t>
  </si>
  <si>
    <t>X001ANKJZN</t>
  </si>
  <si>
    <t>B06XZ3CJYQ</t>
  </si>
  <si>
    <t>MiYang Women's Long Sleeve A-line Lace Stitching Trim Casual Dress 2XL Red</t>
  </si>
  <si>
    <t>XZ-ZQ6001-R1-21</t>
  </si>
  <si>
    <t>X001AFQTR3</t>
  </si>
  <si>
    <t>B01MQT0G1L</t>
  </si>
  <si>
    <t>0.125481 cuft</t>
  </si>
  <si>
    <t>CX-TW401-grey-M</t>
  </si>
  <si>
    <t>X001B0113T</t>
  </si>
  <si>
    <t>B01N996CJO</t>
  </si>
  <si>
    <t>0.068566 cuft</t>
  </si>
  <si>
    <t>YZ-MUSM807-K0-2XL</t>
  </si>
  <si>
    <t>X001QWICKR</t>
  </si>
  <si>
    <t>B07C17GQ3H</t>
  </si>
  <si>
    <t>YZ-HM30CH-XL</t>
  </si>
  <si>
    <t>X0015UOQRX</t>
  </si>
  <si>
    <t>B01J0S857W</t>
  </si>
  <si>
    <t>MiYang Women's Sexy Crewneck One Piece Beachwear Bikini Monokini Swimsuit Tag XL(US XL:14-16),Rainbow Stripe</t>
  </si>
  <si>
    <t>0.093986 cuft</t>
  </si>
  <si>
    <t>LYQ-1010N0L</t>
  </si>
  <si>
    <t>X0018RT9V1</t>
  </si>
  <si>
    <t>B01M22DT7M</t>
  </si>
  <si>
    <t>MiYang Women's Long Sleeve A-line Lace Stitching Trim Casual Dress M Brown</t>
  </si>
  <si>
    <t>0.077009 cuft</t>
  </si>
  <si>
    <t>XZ-ZQ6001-R0-22</t>
  </si>
  <si>
    <t>X001IO9F0T</t>
  </si>
  <si>
    <t>B01N0NS2G8</t>
  </si>
  <si>
    <t>0.090349 cuft</t>
  </si>
  <si>
    <t>XZ-HMYZ22-PI-40(7)</t>
  </si>
  <si>
    <t>X001AVQ805</t>
  </si>
  <si>
    <t>B01MT3PSFH</t>
  </si>
  <si>
    <t>0.088333 cuft</t>
  </si>
  <si>
    <t>YZ-MUBK187-OR-2XL</t>
  </si>
  <si>
    <t>X001QCLK1F</t>
  </si>
  <si>
    <t>B07C8H4JLX</t>
  </si>
  <si>
    <t>YZ-MUPLUS24-PI-M</t>
  </si>
  <si>
    <t>X001RGYFSP</t>
  </si>
  <si>
    <t>B07CM5PNSY</t>
  </si>
  <si>
    <t>YZ-MUBK187-B0-XL</t>
  </si>
  <si>
    <t>X001RYK2ED</t>
  </si>
  <si>
    <t>B07CYJZZCR</t>
  </si>
  <si>
    <t>0.111017 cuft</t>
  </si>
  <si>
    <t>SJ-ZZN204LBL</t>
  </si>
  <si>
    <t>X001QYLZFT</t>
  </si>
  <si>
    <t>B07C2WKTYZ</t>
  </si>
  <si>
    <t>MiYang Women's Floral Lace Beach Bikini Swimwear Cover-up Light Blue L (US 8-10)</t>
  </si>
  <si>
    <t>LYQ-K1010-R0-L</t>
  </si>
  <si>
    <t>X001ANKJZ3</t>
  </si>
  <si>
    <t>B06XYQKYNP</t>
  </si>
  <si>
    <t>MiYang Women's Long Sleeve A-line Lace Stitching Trim Casual Dress L Red</t>
  </si>
  <si>
    <t>0.183925 cuft</t>
  </si>
  <si>
    <t>Black One Piece Swimsuit High Neck V-Neckline Mesh Ruched Monokini Swinwear S US(4-6)</t>
  </si>
  <si>
    <t>LYQ-MU1058-PR-L</t>
  </si>
  <si>
    <t>X001RWRZE5</t>
  </si>
  <si>
    <t>B07CXZNC96</t>
  </si>
  <si>
    <t>XZ-HM801-Bear-CO-3637</t>
  </si>
  <si>
    <t>X001ATZ16J</t>
  </si>
  <si>
    <t>B01M1CEK3T</t>
  </si>
  <si>
    <t>MiYang Winter Women's Fashion Novelty Slippers Classic Bunny Slippers</t>
  </si>
  <si>
    <t>0.085342 cuft</t>
  </si>
  <si>
    <t>LYQ-LS06-K0-L</t>
  </si>
  <si>
    <t>X001L5NO3J</t>
  </si>
  <si>
    <t>B0761QLCKZ</t>
  </si>
  <si>
    <t>MiYang Women's Turtle-Neck Solid Long-Sleeve Short Straight Dress, Turtleneck-Black, Large</t>
  </si>
  <si>
    <t>YZ-MUBD001-R0-S</t>
  </si>
  <si>
    <t>X001PQQE7R</t>
  </si>
  <si>
    <t>B07B7KB2MY</t>
  </si>
  <si>
    <t>LYQ-1010DX-K0-XL</t>
  </si>
  <si>
    <t>X001QZTMY9</t>
  </si>
  <si>
    <t>B07C3KYR4D</t>
  </si>
  <si>
    <t>MiYang Short Sleeve Loose Swing T-Shirt Dress Tunic Blouse for Women l Black</t>
  </si>
  <si>
    <t>YZ-MUHY025-R0-2XL</t>
  </si>
  <si>
    <t>X001RJ27O1</t>
  </si>
  <si>
    <t>B07CNZ8NTP</t>
  </si>
  <si>
    <t>YZ-MUTW32-KTW-S</t>
  </si>
  <si>
    <t>X001QWMVZJ</t>
  </si>
  <si>
    <t>B07CBRSFJ7</t>
  </si>
  <si>
    <t>TK-C412H-GR-M</t>
  </si>
  <si>
    <t>X001I21QG7</t>
  </si>
  <si>
    <t>B0748CMF77</t>
  </si>
  <si>
    <t>YZ-HE9008Se6L</t>
  </si>
  <si>
    <t>X0019QAEWJ</t>
  </si>
  <si>
    <t>B01N1FYKJE</t>
  </si>
  <si>
    <t>MiYang Women's Plus Size High Waist Printing Swimsuit Bathing Swimwear Navy(Two Piece) 1X(US Size14W-16W)</t>
  </si>
  <si>
    <t>YZ-HM17015-OR-XL</t>
  </si>
  <si>
    <t>X001JDXI6V</t>
  </si>
  <si>
    <t>B074JV7JC3</t>
  </si>
  <si>
    <t>YZ-MU181-R0-XL</t>
  </si>
  <si>
    <t>X001Q19301</t>
  </si>
  <si>
    <t>B07BDGSQ6W</t>
  </si>
  <si>
    <t>MiYang Padded Push up Brazilian Thong Bikini Sets 2018 Swimsuits for Women Red XL</t>
  </si>
  <si>
    <t>XZ-ZQCB2002-R2-40</t>
  </si>
  <si>
    <t>X001BESIHH</t>
  </si>
  <si>
    <t>B01NBEE49Z</t>
  </si>
  <si>
    <t>JK-CL0137-BD-2XL</t>
  </si>
  <si>
    <t>X001LBJNR9</t>
  </si>
  <si>
    <t>B0765ZNY8W</t>
  </si>
  <si>
    <t>MiYang Warm Quilted Lightweight Jacket Padded Short Bomber Jacket Coat For Women Wine Red 2XL</t>
  </si>
  <si>
    <t>YZ-MU511-K0BD-M</t>
  </si>
  <si>
    <t>X001OSPD73</t>
  </si>
  <si>
    <t>B079DPSFWQ</t>
  </si>
  <si>
    <t>MiYang Women's Plus-Size Polka Dot Shaping Body One Piece Swim Dresses Swimsuit M Black Polka Dot</t>
  </si>
  <si>
    <t>XZ-013GR1XL</t>
  </si>
  <si>
    <t>X0013HJ01Z</t>
  </si>
  <si>
    <t>B0191JTBIM</t>
  </si>
  <si>
    <t>MiYang Winter Women's Warm Plush Soft Sole Indoor Slipper(US Size:9-10.5 B(M) US,Grey Open Back)</t>
  </si>
  <si>
    <t>0.236806 cuft</t>
  </si>
  <si>
    <t>TK-J01H-GR-2T</t>
  </si>
  <si>
    <t>X001JR6NDR</t>
  </si>
  <si>
    <t>B074Z3LVBR</t>
  </si>
  <si>
    <t>DK-HM1789-GZ-S</t>
  </si>
  <si>
    <t>X001E6ZTLP</t>
  </si>
  <si>
    <t>B06XDMT3W7</t>
  </si>
  <si>
    <t>TK-J01H-SH-18/20</t>
  </si>
  <si>
    <t>X001GBF6BV</t>
  </si>
  <si>
    <t>B0721B4S6S</t>
  </si>
  <si>
    <t>XZ-ZQ2256-B0-26</t>
  </si>
  <si>
    <t>X001M0IQ8B</t>
  </si>
  <si>
    <t>B076VK48SR</t>
  </si>
  <si>
    <t>MiYang Winter Cute Dinosaur Slippers Adult Cartoon Winter Warm House Slippers Booties Blue 7.5-8.5 B(M) US Adult</t>
  </si>
  <si>
    <t>LYQ-MU1059-B7-XL</t>
  </si>
  <si>
    <t>X001RYBLLB</t>
  </si>
  <si>
    <t>B07CYKH4G4</t>
  </si>
  <si>
    <t>SJ-ZZN204LBXL</t>
  </si>
  <si>
    <t>X001QY96HD</t>
  </si>
  <si>
    <t>B07C2VK454</t>
  </si>
  <si>
    <t>MiYang Women's Floral Lace Beach Bikini Swimwear Cover-up Light Blue XL (US 10-12)</t>
  </si>
  <si>
    <t>TK-J01H-SH-7</t>
  </si>
  <si>
    <t>X001GC16Y1</t>
  </si>
  <si>
    <t>B071JXWM2T</t>
  </si>
  <si>
    <t>Teenking Boy's Fleece Outdoor Jacket Little Boy(Size 7)</t>
  </si>
  <si>
    <t>TK-J01H-K0-3T</t>
  </si>
  <si>
    <t>X001JR72PF</t>
  </si>
  <si>
    <t>B074Z3VJW3</t>
  </si>
  <si>
    <t>XZ-ZQCB2002-R2-38</t>
  </si>
  <si>
    <t>X001BBQDFT</t>
  </si>
  <si>
    <t>B01NBEE0CH</t>
  </si>
  <si>
    <t>0.140041 cuft</t>
  </si>
  <si>
    <t>LYQ-1010K0S</t>
  </si>
  <si>
    <t>X0016QUQ2F</t>
  </si>
  <si>
    <t>B01KO0S9LM</t>
  </si>
  <si>
    <t>MiYang Women'sLong Sleeve A-line Lace Stitching Trim Casual Dress XS Black</t>
  </si>
  <si>
    <t>YZ-NA9008Se9L</t>
  </si>
  <si>
    <t>X001IWSKHF</t>
  </si>
  <si>
    <t>YZ1458R24XL</t>
  </si>
  <si>
    <t>X000SZ8721</t>
  </si>
  <si>
    <t>B00YMGVEV2</t>
  </si>
  <si>
    <t>MiYang Women's Plus Size Tassel One Piece Swimwear Rose Red US L (US 12-14)</t>
  </si>
  <si>
    <t>0.076424 cuft</t>
  </si>
  <si>
    <t>YZ-MU181-G0-2XL</t>
  </si>
  <si>
    <t>X001R8TA6P</t>
  </si>
  <si>
    <t>B07CHC79H5</t>
  </si>
  <si>
    <t>MiYang Padded Push up Brazilian Thong Bikini Sets 2018 Swimsuits for Women Army Green XXL</t>
  </si>
  <si>
    <t>XZ-ZQCB1001-R2-36</t>
  </si>
  <si>
    <t>X001JTWMSZ</t>
  </si>
  <si>
    <t>B01NCQRBBV</t>
  </si>
  <si>
    <t>0.124444 cuft</t>
  </si>
  <si>
    <t>YZ-MUTW32-KTW-XL</t>
  </si>
  <si>
    <t>X001QWLNCV</t>
  </si>
  <si>
    <t>B07C1M22MW</t>
  </si>
  <si>
    <t>XZ-HMA190-Pi-3738</t>
  </si>
  <si>
    <t>X001JGNKTN</t>
  </si>
  <si>
    <t>B074FV2PF3</t>
  </si>
  <si>
    <t>0.0585 cuft</t>
  </si>
  <si>
    <t>YZ-MULK185-Y9-M</t>
  </si>
  <si>
    <t>X001QX922D</t>
  </si>
  <si>
    <t>B07C1Z714J</t>
  </si>
  <si>
    <t>Women's Halter High Waisted Cut Out One Piece Swimsuit Backless Bathing Suit Yellow M</t>
  </si>
  <si>
    <t>XZ-CL02-N0-43/44</t>
  </si>
  <si>
    <t>X001K55DBL</t>
  </si>
  <si>
    <t>B074QLK7XS</t>
  </si>
  <si>
    <t>MiYang Winter Cute House Slipper Warm Plush Indoor Shoes Brown</t>
  </si>
  <si>
    <t>YZ-MYQZ1709-K0-XL</t>
  </si>
  <si>
    <t>X001DGGGGD</t>
  </si>
  <si>
    <t>B06XSRBW8K</t>
  </si>
  <si>
    <t>YZ-MU2500-W0-L</t>
  </si>
  <si>
    <t>X001S85DD3</t>
  </si>
  <si>
    <t>B07D36DW7N</t>
  </si>
  <si>
    <t>LYQ-MU1059-PR-S</t>
  </si>
  <si>
    <t>X001RXZZ41</t>
  </si>
  <si>
    <t>B07CYSMRTS</t>
  </si>
  <si>
    <t>YZ-HT1304Y01L</t>
  </si>
  <si>
    <t>X00147QOG3</t>
  </si>
  <si>
    <t>B01F4P0V4A</t>
  </si>
  <si>
    <t>MiYang Women's Plus Size Printing Padded High Waist Swimdress Bright Orange XS (US 0-2)</t>
  </si>
  <si>
    <t>YZ-XQ1443K0XL</t>
  </si>
  <si>
    <t>X000W1N1HR</t>
  </si>
  <si>
    <t>B0144J8KLI</t>
  </si>
  <si>
    <t>MiYang One Piece Ruched Slim Tummy Control Swim Dress Asian tag L/US Size S</t>
  </si>
  <si>
    <t>TK-J01H-K0-5/6</t>
  </si>
  <si>
    <t>X001GBF6BL</t>
  </si>
  <si>
    <t>B072MQG8P2</t>
  </si>
  <si>
    <t>MiYang Women's Polka Dot Pant Bikini Bottom Adjustable Tie Boy Short Tag XXL/US XL</t>
  </si>
  <si>
    <t>LYQ--MY-MX02-N0-XL</t>
  </si>
  <si>
    <t>X001L5NU5V</t>
  </si>
  <si>
    <t>B0761NMRVR</t>
  </si>
  <si>
    <t>MiYang Bell Sleeve Shirt Dress Women Loose Flare Swing Blouse Casual Dress Brown XL</t>
  </si>
  <si>
    <t>LYQ-LS06-K0-M</t>
  </si>
  <si>
    <t>X001L5OCG7</t>
  </si>
  <si>
    <t>B0761N1HPD</t>
  </si>
  <si>
    <t>MiYang Women's Turtle-Neck Solid Long-Sleeve Short Straight Dress, Turtleneck-Black, Medium</t>
  </si>
  <si>
    <t>TK-J01H-K0-2T</t>
  </si>
  <si>
    <t>X001JR6NE1</t>
  </si>
  <si>
    <t>B074Z4JHBG</t>
  </si>
  <si>
    <t>YZ-MUPLUS24-PI-2XL</t>
  </si>
  <si>
    <t>X001RGXQ71</t>
  </si>
  <si>
    <t>B07CM493VL</t>
  </si>
  <si>
    <t>YZ-HE9007Se4L</t>
  </si>
  <si>
    <t>X000WFYY2T</t>
  </si>
  <si>
    <t>B015QZRRHW</t>
  </si>
  <si>
    <t>MiYang Women's Bowknot Printing Skirt Spa Swimsuit Padded Bathing Swimwear, Navy(one piece), Large(US Size 10-12)</t>
  </si>
  <si>
    <t>LYQ-CS04-CO-XL</t>
  </si>
  <si>
    <t>X001L517DX</t>
  </si>
  <si>
    <t>B0761JX48H</t>
  </si>
  <si>
    <t>MiYang Casual Long Sleeve Shirt Pockets Dress Fall Clothes For Women Coffee X-Large</t>
  </si>
  <si>
    <t>LYQ-ZQ-1199-P0-S</t>
  </si>
  <si>
    <t>X001KYIASZ</t>
  </si>
  <si>
    <t>B074QNYZSK</t>
  </si>
  <si>
    <t>0.149156 cuft</t>
  </si>
  <si>
    <t>YZ-MUHY025-R0-M</t>
  </si>
  <si>
    <t>X001RIXGVZ</t>
  </si>
  <si>
    <t>B07CNMCGYF</t>
  </si>
  <si>
    <t>XZ-ZQJZ100-C0-290</t>
  </si>
  <si>
    <t>X001KC6H2N</t>
  </si>
  <si>
    <t>B074TB9VJR</t>
  </si>
  <si>
    <t>MiYang Cute Rabbit Slippers for Women/Men Winter Warm House Slippers Coffee 11-12B(M) US</t>
  </si>
  <si>
    <t>XZ-ZQ8812N-K0-260</t>
  </si>
  <si>
    <t>X001K6AXNX</t>
  </si>
  <si>
    <t>B01N99GRIC</t>
  </si>
  <si>
    <t>MiYang Winter Winter Winter Men's Cute Panda Warm House Slippers Booties</t>
  </si>
  <si>
    <t>MiYang Women's Plus Size High Waist Printing Swimsuit Bathing Swimwear Navy(Two Piece) 2X(US Size14W-16W)</t>
  </si>
  <si>
    <t>LYQ-1010K02L</t>
  </si>
  <si>
    <t>X0016RQ245</t>
  </si>
  <si>
    <t>B01KO0SDBI</t>
  </si>
  <si>
    <t>MiYang Women's Long Sleeve A-line Lace Stitching Trim Casual Dress XL Black</t>
  </si>
  <si>
    <t>YZ-MU181-B0-M</t>
  </si>
  <si>
    <t>X001R877PL</t>
  </si>
  <si>
    <t>B07CH8WW7Y</t>
  </si>
  <si>
    <t>MiYang Padded Push up Brazilian Thong Bikini Sets 2018 Swimsuits for Women Blue M</t>
  </si>
  <si>
    <t>YZ2216K0M</t>
  </si>
  <si>
    <t>X000X1Q2T5</t>
  </si>
  <si>
    <t>B018YR535W</t>
  </si>
  <si>
    <t>MiYang Women's 1 Piece Stripes Skirted Slim Swimsuit Bathing Swimwear, Black, M</t>
  </si>
  <si>
    <t>YZ-KL5020FL4L</t>
  </si>
  <si>
    <t>X0013YKQPR</t>
  </si>
  <si>
    <t>B01F4YO9IU</t>
  </si>
  <si>
    <t>MiYang Women's One Piece High Waist Printing Swim Dress Swimwear,Navy Flower,X-Large(US size:16-18)</t>
  </si>
  <si>
    <t>0.192194 cuft</t>
  </si>
  <si>
    <t>YZ-MU5129-G0YH-XL</t>
  </si>
  <si>
    <t>X001RF0R0V</t>
  </si>
  <si>
    <t>B07CL1TBM5</t>
  </si>
  <si>
    <t>MiYang Plus Size Floral Swimwear One Piece Swimdress for Women Skirted Swimsuit Yellow Floral XL(US 16-18)</t>
  </si>
  <si>
    <t>LYQ-1010W0XL</t>
  </si>
  <si>
    <t>X0016QUQ2Z</t>
  </si>
  <si>
    <t>B01KO0SCQE</t>
  </si>
  <si>
    <t>MiYang Women's Long Sleeve A-line Lace Stitching Trim Casual Dress L White</t>
  </si>
  <si>
    <t>DK-MUCL315-B7-L</t>
  </si>
  <si>
    <t>X001Q4E1IH</t>
  </si>
  <si>
    <t>B07BGVNY31</t>
  </si>
  <si>
    <t>High-Waisted Strappy Side Bikini Bottoms Swimwear Brief for Women Sky Blue US 10</t>
  </si>
  <si>
    <t>LYQ-1010P0S</t>
  </si>
  <si>
    <t>X000X3IVRT</t>
  </si>
  <si>
    <t>B017X47TA4</t>
  </si>
  <si>
    <t>MiYang Women's Purple Long Sleeve A-line Lace Stitching Trim Casual Dress XS</t>
  </si>
  <si>
    <t>MY-CL1925-E0-S</t>
  </si>
  <si>
    <t>X001KEDCER</t>
  </si>
  <si>
    <t>B07529THJ8</t>
  </si>
  <si>
    <t>YZ-HM30CH-Pi-XS</t>
  </si>
  <si>
    <t>X001EBTLS7</t>
  </si>
  <si>
    <t>B06Y2PS32G</t>
  </si>
  <si>
    <t>MiYang Women's Sexy Crewneck One Piece Beachwear Bikini Monokini Swimsuit Pink XS (US 0-2)</t>
  </si>
  <si>
    <t>MY-CL1925-R6-S</t>
  </si>
  <si>
    <t>X001KEDRNX</t>
  </si>
  <si>
    <t>B0752BS1TY</t>
  </si>
  <si>
    <t>LYQ-LB01-G0-S</t>
  </si>
  <si>
    <t>X001L512J7</t>
  </si>
  <si>
    <t>B0761KGMCV</t>
  </si>
  <si>
    <t>MiYang Turtleneck Loose Tunic Top Casual Swing Mini Dress For Women With Trumpet Sleeves Grey Small</t>
  </si>
  <si>
    <t>YZ-MUHY025-B0-M</t>
  </si>
  <si>
    <t>X001RIVSWT</t>
  </si>
  <si>
    <t>B07CNHD4XR</t>
  </si>
  <si>
    <t>YZ-MU180-B0-M</t>
  </si>
  <si>
    <t>X001Q1E75H</t>
  </si>
  <si>
    <t>B07BF38C4D</t>
  </si>
  <si>
    <t>Women Bikini Sets Brazilian Padded Top Thong Cheeky Bikini Bottom 2PCs 2018 Swimsuit for Women Blue M</t>
  </si>
  <si>
    <t>XZ-ZQ2256-G0-24</t>
  </si>
  <si>
    <t>X001M1XPL3</t>
  </si>
  <si>
    <t>B076VDPJ4H</t>
  </si>
  <si>
    <t>MiYang Winter Cute Dinosaur Slippers Adult Cartoon Winter Warm House Slippers Booties Green 4.5-5.5 B(M) US Adult</t>
  </si>
  <si>
    <t>XZ-HMBH019-30-31</t>
  </si>
  <si>
    <t>X001A6217J</t>
  </si>
  <si>
    <t>B01MTMRX2Z</t>
  </si>
  <si>
    <t>0.091875 cuft</t>
  </si>
  <si>
    <t>YZ-MUCS186-G0-XL</t>
  </si>
  <si>
    <t>X001QATCPD</t>
  </si>
  <si>
    <t>B07BLX1SJB</t>
  </si>
  <si>
    <t>0.098704 cuft</t>
  </si>
  <si>
    <t>MiYang Women's Solid Blue Beach Pant Bikini Bottom Adjustable Tie Boy Short Tag S/US XS</t>
  </si>
  <si>
    <t>YZ-KL5020TW1L</t>
  </si>
  <si>
    <t>X00155ZAWX</t>
  </si>
  <si>
    <t>B01HPQQEZQ</t>
  </si>
  <si>
    <t>MiYang Women's One Piece High Waist Shaping Body Swim Dress Spa Swimwear,Dark Blue Stripe,Tag Size XL/US size Small:4-6</t>
  </si>
  <si>
    <t>TK-C412H-GR-2XL</t>
  </si>
  <si>
    <t>X001I1TSUT</t>
  </si>
  <si>
    <t>B0748D7DSC</t>
  </si>
  <si>
    <t>0.138704 cuft</t>
  </si>
  <si>
    <t>TK-J01H-SH-4</t>
  </si>
  <si>
    <t>X001GBR0Y7</t>
  </si>
  <si>
    <t>B072K42VFM</t>
  </si>
  <si>
    <t>Teenking Boy's Fleece Outdoor Jacket Little Boy(Size 4)</t>
  </si>
  <si>
    <t>DK-HM1789-B2-XL</t>
  </si>
  <si>
    <t>X001B1S4TH</t>
  </si>
  <si>
    <t>B01MXNU21J</t>
  </si>
  <si>
    <t>MiYang Women's Solid Blue Beach Pant Bikini Bottom Adjustable Tie Boy Short Tag XL/US L</t>
  </si>
  <si>
    <t>LYQ-MU1059-GA-M</t>
  </si>
  <si>
    <t>X001RYCZVB</t>
  </si>
  <si>
    <t>B07CYS9D85</t>
  </si>
  <si>
    <t>YZ-MU180-OR-2XL</t>
  </si>
  <si>
    <t>X001Q0DSL7</t>
  </si>
  <si>
    <t>B07BF4NPNC</t>
  </si>
  <si>
    <t>Women Bikini Sets Brazilian Padded Top Thong Cheeky Bikini Bottom 2PCs 2018 Swimsuit for Women Orange 2XL</t>
  </si>
  <si>
    <t>XZ-HMBH019-38-39</t>
  </si>
  <si>
    <t>X001A3H9ID</t>
  </si>
  <si>
    <t>B01N51O4TN</t>
  </si>
  <si>
    <t>0.153125 cuft</t>
  </si>
  <si>
    <t>LYQ-CF8512-GR-XL</t>
  </si>
  <si>
    <t>X001FUM48B</t>
  </si>
  <si>
    <t>B071Z2SZDT</t>
  </si>
  <si>
    <t>MiYang Womens Casual Loosen T-Shirt Sleeveless Swing Dress Tunic Tank Top Dresses With Two Pockets, X-Large, Green</t>
  </si>
  <si>
    <t>YZ-MUWS32-ZL-L</t>
  </si>
  <si>
    <t>X001QWWCA3</t>
  </si>
  <si>
    <t>B07C21FPQP</t>
  </si>
  <si>
    <t>Navy Blue One Piece Swimsuit High Neck V-Neckline Mesh Ruched Monokini Swinwear L US(12-14)</t>
  </si>
  <si>
    <t>XZ-013GR2XL</t>
  </si>
  <si>
    <t>X0013L2R4X</t>
  </si>
  <si>
    <t>B0191JT3DA</t>
  </si>
  <si>
    <t>MiYang Women's Warm Plush Soft Sole Indoor Slipper (US Size:9-10.5,Grey(low-top)</t>
  </si>
  <si>
    <t>0.170438 cuft</t>
  </si>
  <si>
    <t>LYQ-MU18-BD-XL</t>
  </si>
  <si>
    <t>X001OEEPVR</t>
  </si>
  <si>
    <t>B0792QCRJZ</t>
  </si>
  <si>
    <t>MiYang Women's Loose Solid Long Sleeve Tunic T-Shirt Dress Burgundy X-Large</t>
  </si>
  <si>
    <t>JK-CL0137-BD-L</t>
  </si>
  <si>
    <t>X001LBJNUL</t>
  </si>
  <si>
    <t>B0765THS2K</t>
  </si>
  <si>
    <t>MiYang Warm Quilted Lightweight Jacket Padded Short Bomber Jacket Coat For Women Wine Red L</t>
  </si>
  <si>
    <t>MiYang Women's Plus Size Printing Padded High Waist Swimdress Wine Red 2X (US 16W-18W)</t>
  </si>
  <si>
    <t>0.053749 cuft</t>
  </si>
  <si>
    <t>TK-C412H-K0-2XL</t>
  </si>
  <si>
    <t>X001I1CTAF</t>
  </si>
  <si>
    <t>B0748CVF93</t>
  </si>
  <si>
    <t>Teenking Men's Fleece Outdoor Jacket XX-Large</t>
  </si>
  <si>
    <t>YZ-TJ1245W0M</t>
  </si>
  <si>
    <t>X0013OJTRX</t>
  </si>
  <si>
    <t>B01DLSNA3Q</t>
  </si>
  <si>
    <t>MiYang Women's Two Pieces Stripes Slim Tankini Suit Bathing Swimwear White X-Small(US 0-2)</t>
  </si>
  <si>
    <t>LYQ-LS06-K0-S</t>
  </si>
  <si>
    <t>X001L5868R</t>
  </si>
  <si>
    <t>B0761PYWHQ</t>
  </si>
  <si>
    <t>MiYang Women's Turtle-Neck Solid Long-Sleeve Short Straight Dress, Turtleneck-Black, Small</t>
  </si>
  <si>
    <t>LYQ-CF8512-BU-S</t>
  </si>
  <si>
    <t>X001G38GED</t>
  </si>
  <si>
    <t>B0719C9MGY</t>
  </si>
  <si>
    <t>MNQ-N7188-W0-S</t>
  </si>
  <si>
    <t>X001CHU547</t>
  </si>
  <si>
    <t>B01MRZD1BB</t>
  </si>
  <si>
    <t>LYQ-K1010-KQ-S</t>
  </si>
  <si>
    <t>X001ASONYB</t>
  </si>
  <si>
    <t>B06XZ2GBMX</t>
  </si>
  <si>
    <t>MiYang Women's Long Sleeve A-line Lace Stitching Trim Casual Dress S Khaki</t>
  </si>
  <si>
    <t>TK-J02H-GR-4</t>
  </si>
  <si>
    <t>X001GBQKVV</t>
  </si>
  <si>
    <t>B072K57HMG</t>
  </si>
  <si>
    <t>0.070771 cuft</t>
  </si>
  <si>
    <t>XZ-ZQ8032-KQ-1415</t>
  </si>
  <si>
    <t>X001BAD6I7</t>
  </si>
  <si>
    <t>B01M34CB8D</t>
  </si>
  <si>
    <t>MiYang Toddlers Cute Panda Winter Warm House Slippers Booties</t>
  </si>
  <si>
    <t>0.138187 cuft</t>
  </si>
  <si>
    <t>LYQ-HB1377-rose-L</t>
  </si>
  <si>
    <t>X001ATGF0F</t>
  </si>
  <si>
    <t>B01N5G0JFV</t>
  </si>
  <si>
    <t>MiYang Women's Plus Size High Waist Printing Swimsuit Bathing Swimwear Navy(Two Piece) 3X(US Size18W-20W)</t>
  </si>
  <si>
    <t>0.083789 cuft</t>
  </si>
  <si>
    <t>XZ-HM8130-Y0-3839</t>
  </si>
  <si>
    <t>X001BDGV6D</t>
  </si>
  <si>
    <t>B01N4L9O1R</t>
  </si>
  <si>
    <t>SJ-ZZN204K03L</t>
  </si>
  <si>
    <t>X000WIFO2F</t>
  </si>
  <si>
    <t>B0187LCMLS</t>
  </si>
  <si>
    <t>MiYang Women's Floral Lace Beach Bikini Swimwear Cover-up, Black, X-Large(US Size 10-12)</t>
  </si>
  <si>
    <t>YZ-FQ008G1M</t>
  </si>
  <si>
    <t>X0015GIYTD</t>
  </si>
  <si>
    <t>B0191EHOXG</t>
  </si>
  <si>
    <t>Women's Plus Size One-Piece Flat Angle Slim Swimsuit</t>
  </si>
  <si>
    <t>0.170171 cuft</t>
  </si>
  <si>
    <t>TK-J02H-SH-10/12</t>
  </si>
  <si>
    <t>X001GBQL51</t>
  </si>
  <si>
    <t>B071WVZMN9</t>
  </si>
  <si>
    <t>Teenking Boy's Fleece Outdoor Jacket with Hood Big Boy(Size 10/12)</t>
  </si>
  <si>
    <t>XZ-YG7223Pu3637</t>
  </si>
  <si>
    <t>X000XU0CDD</t>
  </si>
  <si>
    <t>B018Z5B4KG</t>
  </si>
  <si>
    <t>0.360719 cuft</t>
  </si>
  <si>
    <t>YZ-HE13037Pu1L</t>
  </si>
  <si>
    <t>X000YV0BBJ</t>
  </si>
  <si>
    <t>B01AXSDB2C</t>
  </si>
  <si>
    <t>MiYang Women's Plus Size Printing Padded High Waist Swimdress Purple XS (US 0-2)</t>
  </si>
  <si>
    <t>0.197031 cuft</t>
  </si>
  <si>
    <t>YZ-MUHY025-R0-S</t>
  </si>
  <si>
    <t>X001RJ5N15</t>
  </si>
  <si>
    <t>B07CNDBH8F</t>
  </si>
  <si>
    <t>YZ-MU2631-OR-3XL</t>
  </si>
  <si>
    <t>X001SXRPP7</t>
  </si>
  <si>
    <t>B07DMDMFXF</t>
  </si>
  <si>
    <t>MiYang Women's One Piece Striped Slim Swim Dress Bathing Swimwear Orange XXX-Large US 22-24</t>
  </si>
  <si>
    <t>MiYang Women's Solid Blue Beach Pant Bikini Bottom Adjustable Tie Boy Short Tag M/US S</t>
  </si>
  <si>
    <t>TK-C412H-SH-2XL</t>
  </si>
  <si>
    <t>X001I1TBIN</t>
  </si>
  <si>
    <t>B0748CKSJ7</t>
  </si>
  <si>
    <t>YZ-MUCLC19-OR-2XL</t>
  </si>
  <si>
    <t>X001OIZVS9</t>
  </si>
  <si>
    <t>B0795DNBK6</t>
  </si>
  <si>
    <t>MiYang Twist Front Bandeau Bikini Top Hipster Bottom Set Two Piece Swimsuit for Women Orange US 8-10</t>
  </si>
  <si>
    <t>YZ-MU2500-R0-XL</t>
  </si>
  <si>
    <t>X001S737H3</t>
  </si>
  <si>
    <t>B07D32X22F</t>
  </si>
  <si>
    <t>0.084145 cuft</t>
  </si>
  <si>
    <t>XZ-056-W0-S</t>
  </si>
  <si>
    <t>X00185284N</t>
  </si>
  <si>
    <t>B01J377APS</t>
  </si>
  <si>
    <t>MiYang Women's Super Soft Lovely Animal Ballerina Slipper White S</t>
  </si>
  <si>
    <t>YZ-MU30CH-K0-L</t>
  </si>
  <si>
    <t>X001PS5ALL</t>
  </si>
  <si>
    <t>B07B7KZ4QS</t>
  </si>
  <si>
    <t>MiYang Women's Sexy Crewneck One Piece Beachwear Bikini Monokini Swimsuit Solid Black L (US 10-12)</t>
  </si>
  <si>
    <t>YZ7438K0XXXL</t>
  </si>
  <si>
    <t>X00145ITM7</t>
  </si>
  <si>
    <t>B01F78AWZW</t>
  </si>
  <si>
    <t>MiYang Vintage Sailor Pin up Swimsuit One Piece Skirtini Cover up Swimdress Black Dot XL (US 16-18)</t>
  </si>
  <si>
    <t>LYQ--MY-MX02-P0-L</t>
  </si>
  <si>
    <t>X001L57G1F</t>
  </si>
  <si>
    <t>B0761NN6K2</t>
  </si>
  <si>
    <t>MiYang Bell Sleeve Shirt Dress Women Loose Flare Swing Blouse Casual Dress Purple L</t>
  </si>
  <si>
    <t>LYQ-MU18-N0-XL</t>
  </si>
  <si>
    <t>X001OF0OK7</t>
  </si>
  <si>
    <t>B0792SDVYK</t>
  </si>
  <si>
    <t>MiYang Women's Loose Solid Long Sleeve Tunic T-Shirt Dress Brown X-Large</t>
  </si>
  <si>
    <t>YZ-HE9007Sa8L</t>
  </si>
  <si>
    <t>X0019AB8H5</t>
  </si>
  <si>
    <t>B01MQJP6LF</t>
  </si>
  <si>
    <t>MiYang Women's Plus Size High Waist Printing Swimsuit Bathing Swimwear Sapphire Blue(one Piece) 3X(US Size18W-20W)</t>
  </si>
  <si>
    <t>YZ-MUBK187-BD-2XL</t>
  </si>
  <si>
    <t>X001QBZHC9</t>
  </si>
  <si>
    <t>B07BMYBBMB</t>
  </si>
  <si>
    <t>CX-TW401-green-S</t>
  </si>
  <si>
    <t>X001B1SSEX</t>
  </si>
  <si>
    <t>B01NCBTHQS</t>
  </si>
  <si>
    <t>0.077297 cuft</t>
  </si>
  <si>
    <t>LYQ-YY05-ZL-XL</t>
  </si>
  <si>
    <t>X001L5N4YX</t>
  </si>
  <si>
    <t>B0761RS5MS</t>
  </si>
  <si>
    <t>MiYang Women's Crew Neck Solid Color Long Sleeve Casual Flared Midi Dress Navy XL</t>
  </si>
  <si>
    <t>0.048962 cuft</t>
  </si>
  <si>
    <t>YZ-MUCL17015-B0-XL</t>
  </si>
  <si>
    <t>X001OJ7CIF</t>
  </si>
  <si>
    <t>B0795K3478</t>
  </si>
  <si>
    <t>MiYang High Waisted Ruched One Piece Swimsuit Twist Vintage Bathing Suit for Women Blue US 6</t>
  </si>
  <si>
    <t>XZ-ZQ2176-E0-21</t>
  </si>
  <si>
    <t>X001KJX43L</t>
  </si>
  <si>
    <t>B074W5TLBF</t>
  </si>
  <si>
    <t>MiYang Winter Kids Cute Mouse Plush Winter Warm House Indoor Slippers Grey 11-12 B(M) US Little Kid</t>
  </si>
  <si>
    <t>0.043191 cuft</t>
  </si>
  <si>
    <t>LYQ-CF352-PU-M</t>
  </si>
  <si>
    <t>X001FZ7FBH</t>
  </si>
  <si>
    <t>B06Y5DNVJJ</t>
  </si>
  <si>
    <t>MiYang Women's Sleeveless Round Neck Open Back Slim Cocktail Striped Casual Cute Mini Formal Party Cocktail Dress,Purple,S</t>
  </si>
  <si>
    <t>LYQ-K1010-Z0-S</t>
  </si>
  <si>
    <t>X0019Z5SB7</t>
  </si>
  <si>
    <t>B01N0KISRL</t>
  </si>
  <si>
    <t>MiYang Women's Long Sleeve A-line Lace Stitching Trim Casual Dress S Violet</t>
  </si>
  <si>
    <t>XZ-HMBH019-28-29</t>
  </si>
  <si>
    <t>X001A3MSN9</t>
  </si>
  <si>
    <t>B01MYM1PQL</t>
  </si>
  <si>
    <t>YZ-MU2500-K0-L</t>
  </si>
  <si>
    <t>X001S8Z9HN</t>
  </si>
  <si>
    <t>B07D368ZCG</t>
  </si>
  <si>
    <t>XZ-CLA177-ZL-43/44</t>
  </si>
  <si>
    <t>X001JTPDJF</t>
  </si>
  <si>
    <t>B074J8CV9H</t>
  </si>
  <si>
    <t>0.081459 cuft</t>
  </si>
  <si>
    <t>LYQ-MU1059-PR-XS</t>
  </si>
  <si>
    <t>X001RYCZVL</t>
  </si>
  <si>
    <t>B07CYMVYND</t>
  </si>
  <si>
    <t>YZ-HE9008Se4L</t>
  </si>
  <si>
    <t>X000WFYY33</t>
  </si>
  <si>
    <t>B015QZRWKO</t>
  </si>
  <si>
    <t>MiYang Women's Bowknot Printing Skirt Spa Swimsuit Padded Bathing Swimwear, Navy(two piece), Large(US Size 10-12)</t>
  </si>
  <si>
    <t>MY-0036NEW-B0</t>
  </si>
  <si>
    <t>X001LBGJML</t>
  </si>
  <si>
    <t>B07653CXFQ</t>
  </si>
  <si>
    <t>MiYang Women's Long Sleeve Turtleneck Cable Knit Sweater Dress Bodycon Pullovers Blue</t>
  </si>
  <si>
    <t>0.191502 cuft</t>
  </si>
  <si>
    <t>YZ-JG2631K0M</t>
  </si>
  <si>
    <t>X000Y3ZQB7</t>
  </si>
  <si>
    <t>B01A6WFX9Y</t>
  </si>
  <si>
    <t>MiYang Women's One Piece Striped Slim Swim Dress Bathing Swimwear Black X-Small US 0-2</t>
  </si>
  <si>
    <t>YZ-MYQQ1706-K0-S</t>
  </si>
  <si>
    <t>X001DGMQQH</t>
  </si>
  <si>
    <t>B06XSYQZK6</t>
  </si>
  <si>
    <t>LYQ-MU1058-P0-L</t>
  </si>
  <si>
    <t>X001RWOZGL</t>
  </si>
  <si>
    <t>B07CXT5NS7</t>
  </si>
  <si>
    <t>0.018444 cuft</t>
  </si>
  <si>
    <t>YZ-MU5129-ZLYH-M</t>
  </si>
  <si>
    <t>X001REKR6B</t>
  </si>
  <si>
    <t>B07CKTKDNQ</t>
  </si>
  <si>
    <t>MiYang Plus Size Floral Swimwear One Piece Swimdress for Women Skirted Swimsuit Navy Floral Medium(US 8-10)</t>
  </si>
  <si>
    <t>MiYang Women's Plus Size Printing Padded High Waist Swimdress Blue and Green 4X (US 24W-26W)</t>
  </si>
  <si>
    <t>XZ-HMA195-Pi-3940</t>
  </si>
  <si>
    <t>X001JGNI8L</t>
  </si>
  <si>
    <t>B074FSFBDS</t>
  </si>
  <si>
    <t>MiYang Women's Plush Cute Soft Bear Animal Non-Slip House Slippers Pink</t>
  </si>
  <si>
    <t>0.177306 cuft</t>
  </si>
  <si>
    <t>XZ-ZQ8812-R2-1415</t>
  </si>
  <si>
    <t>X001L8SS41</t>
  </si>
  <si>
    <t>B075V357XS</t>
  </si>
  <si>
    <t>MiYang Winter Winter Winter Toddlers Cute Panda Warm House Slippers Booties Watermelon Red</t>
  </si>
  <si>
    <t>0.077246 cuft</t>
  </si>
  <si>
    <t>TK-C412H-SH-M</t>
  </si>
  <si>
    <t>X001I1CTJV</t>
  </si>
  <si>
    <t>B0748D72Z1</t>
  </si>
  <si>
    <t>Teenking Men's Fleece Outdoor Jacket Medium</t>
  </si>
  <si>
    <t>LYQ-MU18-K0-L</t>
  </si>
  <si>
    <t>X001OEZFPH</t>
  </si>
  <si>
    <t>B0792S5PXS</t>
  </si>
  <si>
    <t>MiYang Women's Loose Solid Long Sleeve Tunic T-Shirt Dress Black Large</t>
  </si>
  <si>
    <t>XZ-HMYZ22-GR-37(5)</t>
  </si>
  <si>
    <t>X001AWMJOD</t>
  </si>
  <si>
    <t>B01N4IN51X</t>
  </si>
  <si>
    <t>0.099985 cuft</t>
  </si>
  <si>
    <t>DK-HM1789-B0TW-2XL</t>
  </si>
  <si>
    <t>X001E45NIB</t>
  </si>
  <si>
    <t>B06XDLF76C</t>
  </si>
  <si>
    <t>MiYang Women's Blue Stripe Beach Pant Bikini Bottom Adjustable Tie Boy Short Tag XXL/US XL</t>
  </si>
  <si>
    <t>YZ-MYBKN1703-R0-L</t>
  </si>
  <si>
    <t>X001D5BF3N</t>
  </si>
  <si>
    <t>B06XD7Y3CX</t>
  </si>
  <si>
    <t>MiYang Women's Luxurious Pretty Double Straps Elegant Two Piece Bikini Set Size L</t>
  </si>
  <si>
    <t>0.068449 cuft</t>
  </si>
  <si>
    <t>LYQ-1010W0S</t>
  </si>
  <si>
    <t>X0016QUQ2P</t>
  </si>
  <si>
    <t>B01KO0S9JO</t>
  </si>
  <si>
    <t>MiYang Women's Long Sleeve A-line Lace Stitching Trim Casual Dress XS White</t>
  </si>
  <si>
    <t>YZ-MYQZ1709-R0-L</t>
  </si>
  <si>
    <t>X001DGMQQ7</t>
  </si>
  <si>
    <t>B06XSR83MW</t>
  </si>
  <si>
    <t>LYQ-HMCX22-K0-M</t>
  </si>
  <si>
    <t>X001EMNPQP</t>
  </si>
  <si>
    <t>B071CNGR55</t>
  </si>
  <si>
    <t>MY-HM1206-OR-M</t>
  </si>
  <si>
    <t>X001KNLGSR</t>
  </si>
  <si>
    <t>B075FHH1V7</t>
  </si>
  <si>
    <t>MiYang Women Sweater Pullover V Neck Lace Up Knitted Tops Criss Cross Backless Jumper Orange Medium</t>
  </si>
  <si>
    <t>YZ-MUBK187-P0-2XL</t>
  </si>
  <si>
    <t>X001QBKMWJ</t>
  </si>
  <si>
    <t>B07BMYFH4Z</t>
  </si>
  <si>
    <t>MiYang Women's White Beach Pant Bikini Bottom Adjustable Tie Boy Short Tag L/US M</t>
  </si>
  <si>
    <t>YZ-MUCLC19-K0-XL</t>
  </si>
  <si>
    <t>X001OJ046H</t>
  </si>
  <si>
    <t>B0795FRL48</t>
  </si>
  <si>
    <t>MiYang Twist Front Bandeau Bikini Top Hipster Bottom Set Two Piece Swimsuit for Women Black US 6-8</t>
  </si>
  <si>
    <t>Top-5505PI-2XL</t>
  </si>
  <si>
    <t>X001BIDHER</t>
  </si>
  <si>
    <t>B01N66YUUX</t>
  </si>
  <si>
    <t>MiYang Women's Tankini Striped Vintage Swim Dress (Pink XX-Large)Top</t>
  </si>
  <si>
    <t>XZ-ZQ2182-C0-280</t>
  </si>
  <si>
    <t>X001KJRJZ5</t>
  </si>
  <si>
    <t>B074W614DG</t>
  </si>
  <si>
    <t>0.173901 cuft</t>
  </si>
  <si>
    <t>0.116278 cuft</t>
  </si>
  <si>
    <t>LYQ-MUCL628-R0-XL</t>
  </si>
  <si>
    <t>X001QQZZ7B</t>
  </si>
  <si>
    <t>B07CB4KW52</t>
  </si>
  <si>
    <t>MiYang Short Sleeve Cold Shoulder T-Shirt Dress Solid Color Tunics with Pockets for Women Red XL (US12-14)</t>
  </si>
  <si>
    <t>DK-HM1789-R2-M</t>
  </si>
  <si>
    <t>X001B0QEGX</t>
  </si>
  <si>
    <t>B01NB9ZO88</t>
  </si>
  <si>
    <t>MiYang Women's Red Beach Pant Bikini Bottom Adjustable Tie Boy Short Tag M/US S</t>
  </si>
  <si>
    <t>YZ-JY1151-R0-XL</t>
  </si>
  <si>
    <t>X0014KOHAP</t>
  </si>
  <si>
    <t>B01GYFA7BQ</t>
  </si>
  <si>
    <t>MiYang Women's Pure Color High Waist Boy Shorts Swimdress Bikini Bottom Red Medium(US size:8-10)</t>
  </si>
  <si>
    <t>0.042393 cuft</t>
  </si>
  <si>
    <t>YZ-HT1304G03L</t>
  </si>
  <si>
    <t>X00147SILR</t>
  </si>
  <si>
    <t>B01F4P0TJC</t>
  </si>
  <si>
    <t>MiYang Women's Plus Size Printing Padded High Waist Swimdress Dark Green M (US 8-10)</t>
  </si>
  <si>
    <t>0.074991 cuft</t>
  </si>
  <si>
    <t>TK-J01H-GR-4T</t>
  </si>
  <si>
    <t>X001JQZQM7</t>
  </si>
  <si>
    <t>B074Z52RSR</t>
  </si>
  <si>
    <t>YZ-HM1584-K0-S</t>
  </si>
  <si>
    <t>X001E5L7KN</t>
  </si>
  <si>
    <t>B06XDMBV5R</t>
  </si>
  <si>
    <t>Women's One Piece Polka Dot Swimdress With Shorts Cover Up, Black, Small (US Size:0-2)</t>
  </si>
  <si>
    <t>0.059144 cuft</t>
  </si>
  <si>
    <t>LYQ-LS06-N5-S</t>
  </si>
  <si>
    <t>X001L57YK3</t>
  </si>
  <si>
    <t>B0761QK8RC</t>
  </si>
  <si>
    <t>MiYang Women's Turtle-Neck Solid Long-Sleeve Short Straight Dress, Turtleneck-Coffee, Small</t>
  </si>
  <si>
    <t>LYQ-HMCX22-W0-S</t>
  </si>
  <si>
    <t>X001FDQ2AJ</t>
  </si>
  <si>
    <t>B071R5NGLW</t>
  </si>
  <si>
    <t>LYQ--MY-MX02-P0-M</t>
  </si>
  <si>
    <t>X001L55K4F</t>
  </si>
  <si>
    <t>B076211Q7F</t>
  </si>
  <si>
    <t>MiYang Bell Sleeve Shirt Dress Women Loose Flare Swing Blouse Casual Dress Purple M</t>
  </si>
  <si>
    <t>YZ-MU5129-ZLYH-XL</t>
  </si>
  <si>
    <t>X001RF0QYX</t>
  </si>
  <si>
    <t>B07CKTFTQ8</t>
  </si>
  <si>
    <t>MiYang Plus Size Floral Swimwear One Piece Swimdress for Women Skirted Swimsuit Navy Floral XL(US 16-18)</t>
  </si>
  <si>
    <t>LYQ-K1010-G0-XS</t>
  </si>
  <si>
    <t>X0019ZR0OZ</t>
  </si>
  <si>
    <t>B01MQPQALH</t>
  </si>
  <si>
    <t>MiYang Women's Long Sleeve A-line Lace Stitching Trim Casual Dress XS Green</t>
  </si>
  <si>
    <t>YZ-HE9007Se1L</t>
  </si>
  <si>
    <t>X000WFYY4H</t>
  </si>
  <si>
    <t>B015QZRQ0U</t>
  </si>
  <si>
    <t>MiYang Women's Bowknot Printing Skirt Spa Swimsuit Padded Bathing Swimwear, Navy(one piece), X-Small(US Size 0-2)</t>
  </si>
  <si>
    <t>0.182899 cuft</t>
  </si>
  <si>
    <t>XZ-ZQCB1001-C0-44</t>
  </si>
  <si>
    <t>X001JTUQER</t>
  </si>
  <si>
    <t>B01MS20OJO</t>
  </si>
  <si>
    <t>YZ-MUCL17015-B0-2XL</t>
  </si>
  <si>
    <t>X001OJ514H</t>
  </si>
  <si>
    <t>B0795PWLYV</t>
  </si>
  <si>
    <t>MiYang High Waisted Ruched One Piece Swimsuit Twist Vintage Bathing Suit for Women Blue US 8</t>
  </si>
  <si>
    <t>TK-J02H-GR-2T</t>
  </si>
  <si>
    <t>X001JR6XTB</t>
  </si>
  <si>
    <t>B074Z3H17W</t>
  </si>
  <si>
    <t>TK-J01H-K0-4T</t>
  </si>
  <si>
    <t>X001JR6WX3</t>
  </si>
  <si>
    <t>B074Z54Q66</t>
  </si>
  <si>
    <t>MiYang Women's Solid Blue Beach Pant Bikini Bottom Adjustable Tie Boy Short Tag L/US M</t>
  </si>
  <si>
    <t>LYQ-TW03-B0-XL</t>
  </si>
  <si>
    <t>X001L56HUV</t>
  </si>
  <si>
    <t>B0761K63CJ</t>
  </si>
  <si>
    <t>MiYang Striped Tunic T-Shirt Dress Women Plus Long Sleeve V-Neck Floral Pocket Casual Dress Floral XL</t>
  </si>
  <si>
    <t>0.109201 cuft</t>
  </si>
  <si>
    <t>LYQ-MU1059-GA-L</t>
  </si>
  <si>
    <t>X001RYCWUZ</t>
  </si>
  <si>
    <t>B07CZ312WB</t>
  </si>
  <si>
    <t>YZ-MU5129-K0YH-2XL</t>
  </si>
  <si>
    <t>X001REMUHF</t>
  </si>
  <si>
    <t>B07CKPKB3S</t>
  </si>
  <si>
    <t>MiYang Plus Size Floral Swimwear One Piece Swimdress for Women Skirted Swimsuit Black Floral 2XL(US 20-22)</t>
  </si>
  <si>
    <t>LYQ-K1010-R0-S</t>
  </si>
  <si>
    <t>X001APKZ4B</t>
  </si>
  <si>
    <t>B06XZ4THHH</t>
  </si>
  <si>
    <t>MiYang Women's Long Sleeve A-line Lace Stitching Trim Casual Dress S Red</t>
  </si>
  <si>
    <t>YZ1458FB3XL</t>
  </si>
  <si>
    <t>X000WZMP5H</t>
  </si>
  <si>
    <t>B00YMGV2AK</t>
  </si>
  <si>
    <t>MiYang Women's Plus Size Tassel One Piece Swimwear Sapphire Blue US M (US 10-12)</t>
  </si>
  <si>
    <t>TK-J02H-SH-7</t>
  </si>
  <si>
    <t>X001GBF5QH</t>
  </si>
  <si>
    <t>B071JY2YXB</t>
  </si>
  <si>
    <t>0.11713 cuft</t>
  </si>
  <si>
    <t>YZ-MULK185-B0-2XL</t>
  </si>
  <si>
    <t>X001QWJGLB</t>
  </si>
  <si>
    <t>B07CF74521</t>
  </si>
  <si>
    <t>Women's Halter High Waisted Cut Out One Piece Swimsuit Backless Bathing Suit Patchwork Blue 2XL</t>
  </si>
  <si>
    <t>0.075262 cuft</t>
  </si>
  <si>
    <t>TK-J02H-GR-18/20</t>
  </si>
  <si>
    <t>X001GBF5FD</t>
  </si>
  <si>
    <t>B071WW5QM6</t>
  </si>
  <si>
    <t>YZ-MUTW32-KTW-2XL</t>
  </si>
  <si>
    <t>X001QVWF9H</t>
  </si>
  <si>
    <t>B07C17JKLR</t>
  </si>
  <si>
    <t>0.077208 cuft</t>
  </si>
  <si>
    <t>LYQ-LB01-R0-S</t>
  </si>
  <si>
    <t>X001L512JH</t>
  </si>
  <si>
    <t>B0761RSNBZ</t>
  </si>
  <si>
    <t>MiYang Turtleneck Loose Tunic Top Casual Swing Mini Dress For Women With Trumpet Sleeves Dark Red Small</t>
  </si>
  <si>
    <t>0.133972 cuft</t>
  </si>
  <si>
    <t>LYQ-CL0127-B0-XL</t>
  </si>
  <si>
    <t>X001JIDCYT</t>
  </si>
  <si>
    <t>B074SXZRT1</t>
  </si>
  <si>
    <t>Women's Plus Size Floral Dress 3/10 Sleeve Casual Swing Dress With Pockets Blue</t>
  </si>
  <si>
    <t>LYQ-MU1058-PR-S</t>
  </si>
  <si>
    <t>X001RWKLW3</t>
  </si>
  <si>
    <t>B07CXQCXL6</t>
  </si>
  <si>
    <t>YZ-MUWS32-BD-2XL</t>
  </si>
  <si>
    <t>X001QW4DMN</t>
  </si>
  <si>
    <t>B07CBS7R5J</t>
  </si>
  <si>
    <t>Wine Red One Piece Swimsuit High Neck V-Neckline Mesh Ruched Monokini Swinwear 2XL US(14W)</t>
  </si>
  <si>
    <t>YZ-MUBK187-P0-XL</t>
  </si>
  <si>
    <t>X001QBZH5B</t>
  </si>
  <si>
    <t>B07C8HSM5D</t>
  </si>
  <si>
    <t>MiYang Women's Red Beach Pant Bikini Bottom Adjustable Tie Boy Short Tag XL/US L</t>
  </si>
  <si>
    <t>XZ-ZQJZ120-PR-250</t>
  </si>
  <si>
    <t>X001KC6G15</t>
  </si>
  <si>
    <t>B074TC5DYT</t>
  </si>
  <si>
    <t>YZ-HE13037Or9L</t>
  </si>
  <si>
    <t>X0019AA88F</t>
  </si>
  <si>
    <t>B01N531MXS</t>
  </si>
  <si>
    <t>MiYang Women's Plus Size Printing Padded High Waist Swimdress Orange 4X (US 24W-26W)</t>
  </si>
  <si>
    <t>XZ-YG7223Pu4041</t>
  </si>
  <si>
    <t>X000XU0CFB</t>
  </si>
  <si>
    <t>B018Z5B5G4</t>
  </si>
  <si>
    <t>0.395753 cuft</t>
  </si>
  <si>
    <t>Top-5505LB-XL</t>
  </si>
  <si>
    <t>X001BICTWN</t>
  </si>
  <si>
    <t>B01N78F5A4</t>
  </si>
  <si>
    <t>MiYang Women's Tankini Striped Vintage Swim Dress (Light Blue X-Large)Top</t>
  </si>
  <si>
    <t>YZ-MUBD001-R0-XL</t>
  </si>
  <si>
    <t>X001PRH1F5</t>
  </si>
  <si>
    <t>B07B7KFP3L</t>
  </si>
  <si>
    <t>LYQ-MU1059-GR-2XL</t>
  </si>
  <si>
    <t>X001RXZZ4B</t>
  </si>
  <si>
    <t>B07CYNWNP9</t>
  </si>
  <si>
    <t>XZ-ZQ2176-E0-20</t>
  </si>
  <si>
    <t>X001KJY9CV</t>
  </si>
  <si>
    <t>B074W4B84B</t>
  </si>
  <si>
    <t>MiYang Winter Kids Cute Mouse Plush Winter Warm House Indoor Slippers Grey 10-11 B(M) US Little Kid</t>
  </si>
  <si>
    <t>0.032278 cuft</t>
  </si>
  <si>
    <t>TK-Ad413-GR-L</t>
  </si>
  <si>
    <t>X001I2153L</t>
  </si>
  <si>
    <t>B0749H3YPB</t>
  </si>
  <si>
    <t>LYQ-MU1058-P0-S</t>
  </si>
  <si>
    <t>X001RWO61P</t>
  </si>
  <si>
    <t>B07CXW3T2Z</t>
  </si>
  <si>
    <t>LYQ-K1010-G7-S</t>
  </si>
  <si>
    <t>X001AQI8C1</t>
  </si>
  <si>
    <t>B01MZ3GE8A</t>
  </si>
  <si>
    <t>MiYang Women's Long Sleeve A-line Lace Stitching Trim Casual Dress S Army Green</t>
  </si>
  <si>
    <t>0.079636 cuft</t>
  </si>
  <si>
    <t>DK-HM1789-GrTW-2XL</t>
  </si>
  <si>
    <t>X001E62305</t>
  </si>
  <si>
    <t>B06XDL42DB</t>
  </si>
  <si>
    <t>MiYang Women's Green Beach Pant Bikini Bottom Adjustable Tie Boy Short Tag XXL/US XL</t>
  </si>
  <si>
    <t>LYQ--MY-MX02-K0-S</t>
  </si>
  <si>
    <t>X001L55K4P</t>
  </si>
  <si>
    <t>B0761N3ZVS</t>
  </si>
  <si>
    <t>MiYang Bell Sleeve Shirt Dress Women Loose Flare Swing Blouse Casual Dress Black S</t>
  </si>
  <si>
    <t>0.192105 cuft</t>
  </si>
  <si>
    <t>YZ-TJ1245-K0-XS</t>
  </si>
  <si>
    <t>X001QBL8B3</t>
  </si>
  <si>
    <t>B07C8M1T6S</t>
  </si>
  <si>
    <t>MiYang Women's Padded High Waist Slim Tankini Set Bathing Swimwear Black Stripe X-Small (US Size:0-2)</t>
  </si>
  <si>
    <t>YZ-HE13037Pu3L</t>
  </si>
  <si>
    <t>X000YV0BC3</t>
  </si>
  <si>
    <t>B01AXSDE2E</t>
  </si>
  <si>
    <t>MiYang Women's Plus Size Printing Padded High Waist Swimdress Purple M (US 8-10)</t>
  </si>
  <si>
    <t>0.115144 cuft</t>
  </si>
  <si>
    <t>TK-J01H-K0-4</t>
  </si>
  <si>
    <t>X001GBF6B1</t>
  </si>
  <si>
    <t>B0721B4D44</t>
  </si>
  <si>
    <t>YZ-MY-JY3233-K0-XL</t>
  </si>
  <si>
    <t>X001AXT5FN</t>
  </si>
  <si>
    <t>B01N7P036A</t>
  </si>
  <si>
    <t>MiYang Women's Padded One Piece Vintage Printing Mesh Bikini Swimsuit XL</t>
  </si>
  <si>
    <t>0.111146 cuft</t>
  </si>
  <si>
    <t>0.181125 cuft</t>
  </si>
  <si>
    <t>TK-Ad413-GR-XL</t>
  </si>
  <si>
    <t>X001I23OVH</t>
  </si>
  <si>
    <t>B0749GFSHH</t>
  </si>
  <si>
    <t>YZ-MU727-Pi-2XL</t>
  </si>
  <si>
    <t>X001Q1VURZ</t>
  </si>
  <si>
    <t>B07BFWCJRP</t>
  </si>
  <si>
    <t>Halter Deep Plunging High Cut Cutout One Piece Swimsuit Criss Cross Monokini XL (US 14-16)</t>
  </si>
  <si>
    <t>LYQ-MU1058-N0-XXL</t>
  </si>
  <si>
    <t>X001RWOYLR</t>
  </si>
  <si>
    <t>B07CXXHYMV</t>
  </si>
  <si>
    <t>XZ-ZQCB1001-C0-42</t>
  </si>
  <si>
    <t>X001JTUQ5V</t>
  </si>
  <si>
    <t>B01N2YJBRN</t>
  </si>
  <si>
    <t>0.200042 cuft</t>
  </si>
  <si>
    <t>XZ-ZQ6606-P0-3839</t>
  </si>
  <si>
    <t>X001M28EF9</t>
  </si>
  <si>
    <t>B075JGKVCW</t>
  </si>
  <si>
    <t>LYQ-1010DX-B0-L</t>
  </si>
  <si>
    <t>X001QZ3VDR</t>
  </si>
  <si>
    <t>B07C3P8N1R</t>
  </si>
  <si>
    <t>MiYang Short Sleeve Loose Swing T-Shirt Dress Tunic Blouse for Women m Blue</t>
  </si>
  <si>
    <t>YZ-HE13037Pu2L</t>
  </si>
  <si>
    <t>X000YV0BBT</t>
  </si>
  <si>
    <t>B01AXSDCDK</t>
  </si>
  <si>
    <t>MiYang Women's Shaping Body Swimsuit One-Piece Swimwear Spa Suit Size tag 2XL/US size M,Purple</t>
  </si>
  <si>
    <t>0.223734 cuft</t>
  </si>
  <si>
    <t>YZ-YO1521-GW-XL</t>
  </si>
  <si>
    <t>X001CK4F27</t>
  </si>
  <si>
    <t>B06X9LFQWR</t>
  </si>
  <si>
    <t>MiYang Women's One Piece Bathing Suit Tankini Swimdress Cover Up Swimsuit XS</t>
  </si>
  <si>
    <t>YZ-MUC19P-R0-L</t>
  </si>
  <si>
    <t>X001R6RY0V</t>
  </si>
  <si>
    <t>B07CGLYCTM</t>
  </si>
  <si>
    <t>MiYang Twist Front Bandeau Bikini Top Hipster Bottom Set Two Piece Swimsuit for Women Red US 8-10</t>
  </si>
  <si>
    <t>YZ-MUBK187-BD-XL</t>
  </si>
  <si>
    <t>X001QESCUF</t>
  </si>
  <si>
    <t>B07BMVHY6L</t>
  </si>
  <si>
    <t>0.151665 cuft</t>
  </si>
  <si>
    <t>XZ-2116Pi38</t>
  </si>
  <si>
    <t>X0018J11FB</t>
  </si>
  <si>
    <t>B01M5925ZH</t>
  </si>
  <si>
    <t>MiYang Winter Women's Sheep Warm Plush Soft Sole Indoor Slipper Pink 5-6 B(M) US</t>
  </si>
  <si>
    <t>0.149045 cuft</t>
  </si>
  <si>
    <t>YZ-MUPLUS24-K0-2XL</t>
  </si>
  <si>
    <t>X001RGXPJP</t>
  </si>
  <si>
    <t>B07CM4NBHV</t>
  </si>
  <si>
    <t>XZ-006GRM</t>
  </si>
  <si>
    <t>X000XXESDF</t>
  </si>
  <si>
    <t>B019C8MLUW</t>
  </si>
  <si>
    <t>MiYang Winter Women's Super Soft Fuzzy Bunny Ballerina Cozy Slipper Blue L</t>
  </si>
  <si>
    <t>0.06556 cuft</t>
  </si>
  <si>
    <t>XZ-YG7223RB3637</t>
  </si>
  <si>
    <t>X000XU0CDX</t>
  </si>
  <si>
    <t>B018Z5B97O</t>
  </si>
  <si>
    <t>LYQ-MU1058-PR-XS</t>
  </si>
  <si>
    <t>X001RWOYM1</t>
  </si>
  <si>
    <t>B07CXQ1QJF</t>
  </si>
  <si>
    <t>YZ-MU2500-K0-XL</t>
  </si>
  <si>
    <t>X001S72U85</t>
  </si>
  <si>
    <t>B07D35D1KR</t>
  </si>
  <si>
    <t>YZ-TJ124500M</t>
  </si>
  <si>
    <t>X00137AVO5</t>
  </si>
  <si>
    <t>B01DLSNDLU</t>
  </si>
  <si>
    <t>MiYang Women's Two Pieces Stripes Slim Tankini Suit Bathing Swimwear Orange X-Small(US size:0-2)</t>
  </si>
  <si>
    <t>TK-J01H-K0-18/20</t>
  </si>
  <si>
    <t>X001GBKZTJ</t>
  </si>
  <si>
    <t>B072K4QLCC</t>
  </si>
  <si>
    <t>LYQ-K1010-G0-S</t>
  </si>
  <si>
    <t>X001A550W3</t>
  </si>
  <si>
    <t>B06XZ3WZ4S</t>
  </si>
  <si>
    <t>MiYang Women's Long Sleeve A-line Lace Stitching Trim Casual Dress S Green</t>
  </si>
  <si>
    <t>YZ-MU5129-ZLYH-2XL</t>
  </si>
  <si>
    <t>X001RG3SYH</t>
  </si>
  <si>
    <t>B07CL1TFF9</t>
  </si>
  <si>
    <t>MiYang Plus Size Floral Swimwear One Piece Swimdress for Women Skirted Swimsuit Navy Floral 2XL(US 20-22)</t>
  </si>
  <si>
    <t>DK-HM1789-PiTW-L</t>
  </si>
  <si>
    <t>X001E6IX45</t>
  </si>
  <si>
    <t>B06XDM5H9Y</t>
  </si>
  <si>
    <t>MiYang Women's Pink Stripe Beach Pant Bikini Bottom Adjustable Tie Boy Short Tag L/US M</t>
  </si>
  <si>
    <t>XZ-HMA185-CO-4142</t>
  </si>
  <si>
    <t>X001JGCBLL</t>
  </si>
  <si>
    <t>B074FVHBV4</t>
  </si>
  <si>
    <t>LYQ-HB1377-grey1-XL</t>
  </si>
  <si>
    <t>X001AU3U7P</t>
  </si>
  <si>
    <t>B01N1T1TBP</t>
  </si>
  <si>
    <t>0.155167 cuft</t>
  </si>
  <si>
    <t>MY-CL1925-R6-M</t>
  </si>
  <si>
    <t>X001KEF0AV</t>
  </si>
  <si>
    <t>B07527KPYJ</t>
  </si>
  <si>
    <t>MiYang Women's Plus Size High Waist Printing Swimsuit Bathing Swimwear Sapphire Blue(Two Piece) 2X(US Size14W-16W)</t>
  </si>
  <si>
    <t>YZ-PP1705-K0-L</t>
  </si>
  <si>
    <t>X001DH7PUN</t>
  </si>
  <si>
    <t>B06XT1G5ZL</t>
  </si>
  <si>
    <t>MiYang Vintage Starry Sky Convertible Black One Piece Swimsuit Size L</t>
  </si>
  <si>
    <t>YZ-HM1584-K0-L</t>
  </si>
  <si>
    <t>X001CT792V</t>
  </si>
  <si>
    <t>B06XD93G19</t>
  </si>
  <si>
    <t>MiYang Women's One Piece Polka Dot Swimdress with Shorts Cover Up</t>
  </si>
  <si>
    <t>0.046958 cuft</t>
  </si>
  <si>
    <t>YZ-MU5129-G0YH-3XL</t>
  </si>
  <si>
    <t>X001REKR6L</t>
  </si>
  <si>
    <t>B07CL3NM4L</t>
  </si>
  <si>
    <t>MiYang Plus Size Floral Swimwear One Piece Swimdress for Women Skirted Swimsuit Yellow Floral 3XL(US 24-26)</t>
  </si>
  <si>
    <t>XZ-HM1657-DS-3536</t>
  </si>
  <si>
    <t>X001M4CI0T</t>
  </si>
  <si>
    <t>B076Z782Z1</t>
  </si>
  <si>
    <t>MiYang Winter Women Slippers Coral Fleece Cute Fuzzy Indoor Shoes For Womens Cameo Brown 4 B(M) US</t>
  </si>
  <si>
    <t>LYQ-TW03-B0-L</t>
  </si>
  <si>
    <t>X001L5KXZ1</t>
  </si>
  <si>
    <t>B0761N6S5X</t>
  </si>
  <si>
    <t>MiYang Striped Tunic T-Shirt Dress Women Plus Long Sleeve V-Neck Floral Pocket Casual Dress Floral L</t>
  </si>
  <si>
    <t>XZ-CL02-R6-35/36</t>
  </si>
  <si>
    <t>X001KC2KVF</t>
  </si>
  <si>
    <t>B075CVKC9S</t>
  </si>
  <si>
    <t>MiYang Winter Cute House Slipper Warm Plush Indoor Shoes Pink</t>
  </si>
  <si>
    <t>DK-HM1789-FL-XL</t>
  </si>
  <si>
    <t>X001E6IWZZ</t>
  </si>
  <si>
    <t>B06XDKRTPP</t>
  </si>
  <si>
    <t>MiYang Women's White Floral Beach Pant Bikini Bottom Adjustable Tie Boy Short Tag XL/US L</t>
  </si>
  <si>
    <t>LYQ-YY05-E0-S</t>
  </si>
  <si>
    <t>X001L58UND</t>
  </si>
  <si>
    <t>B0761MXNVR</t>
  </si>
  <si>
    <t>MiYang Women's Crew Neck Solid Color Long Sleeve Casual Flared Midi Dress Grey S</t>
  </si>
  <si>
    <t>YZ-MU2500-R0-L</t>
  </si>
  <si>
    <t>X001S6LXDT</t>
  </si>
  <si>
    <t>B07D338WDP</t>
  </si>
  <si>
    <t>LYQ-TW03-K0-S</t>
  </si>
  <si>
    <t>X001L5KXZB</t>
  </si>
  <si>
    <t>B0761MJRYY</t>
  </si>
  <si>
    <t>MiYang Striped Tunic T-Shirt Dress Women Plus Long Sleeve V-Neck Floral Pocket Casual Dress Black Striped S</t>
  </si>
  <si>
    <t>LYQ-29PHJ-BD-M</t>
  </si>
  <si>
    <t>X0019QZOI3</t>
  </si>
  <si>
    <t>B01LXCUWPN</t>
  </si>
  <si>
    <t>MiYang Women's Long Sleeve Casual Loose T-Shirt Dress Burgundy M</t>
  </si>
  <si>
    <t>XZ-HM6003-OR-3738</t>
  </si>
  <si>
    <t>X001A6FMDT</t>
  </si>
  <si>
    <t>B01M9AI29D</t>
  </si>
  <si>
    <t>MiYang Winter Women's Soft Warm Reindeer Plush Indoor Cartoon Slippers Orange</t>
  </si>
  <si>
    <t>0.191023 cuft</t>
  </si>
  <si>
    <t>YZ-MUTW32-PI-2XL</t>
  </si>
  <si>
    <t>X001QW8UOZ</t>
  </si>
  <si>
    <t>B07C1L5LDS</t>
  </si>
  <si>
    <t>LYQ-MU1059-B7-XS</t>
  </si>
  <si>
    <t>X001RYCWUF</t>
  </si>
  <si>
    <t>B07CYDQDM1</t>
  </si>
  <si>
    <t>MiYang Women's Navy Blue Beach Pant Bikini Bottom Adjustable Tie Boy Short Tag XL/US L</t>
  </si>
  <si>
    <t>LYQ-ZQ-1188-K0-L</t>
  </si>
  <si>
    <t>X001JDXI75</t>
  </si>
  <si>
    <t>B074NZB3MT</t>
  </si>
  <si>
    <t>MiYang Women's Fashion Striped Short Sleeves Floral A-line Casual T-Shirt Dress Black Large</t>
  </si>
  <si>
    <t>YZ-MU2500-R0-M</t>
  </si>
  <si>
    <t>X001S6LXED</t>
  </si>
  <si>
    <t>B07D356822</t>
  </si>
  <si>
    <t>YZ-MU5506-ZL-M</t>
  </si>
  <si>
    <t>X001R8H0WB</t>
  </si>
  <si>
    <t>B07CHJW7NS</t>
  </si>
  <si>
    <t>MiYang Active Striped Racerback Tankini with Swim Briefs Two Piece Swimsuit for Women Navy and White M</t>
  </si>
  <si>
    <t>LYQ-MU1059-Z0-XL</t>
  </si>
  <si>
    <t>X001RY0437</t>
  </si>
  <si>
    <t>B07CYT77Z3</t>
  </si>
  <si>
    <t>YZ-MUBK187-BD-L</t>
  </si>
  <si>
    <t>X001QBZGNJ</t>
  </si>
  <si>
    <t>B07BMVKJ96</t>
  </si>
  <si>
    <t>LYQ-K1010-B0-XL</t>
  </si>
  <si>
    <t>X001A0H3PF</t>
  </si>
  <si>
    <t>B01MDUDF3T</t>
  </si>
  <si>
    <t>MiYang Women's Long Sleeve A-line Lace Stitching Trim Casual Dress XL Blue</t>
  </si>
  <si>
    <t>YZ-HE9008Se1L</t>
  </si>
  <si>
    <t>X000WFYY4R</t>
  </si>
  <si>
    <t>B015QZRV0U</t>
  </si>
  <si>
    <t>MiYang Women's Bowknot Printing Skirt Spa Swimsuit Padded Bathing Swimwear, Navy(two piece), X-Small(US Size 0-2)</t>
  </si>
  <si>
    <t>LYQ-TW03-K0-XL</t>
  </si>
  <si>
    <t>X001L56HV5</t>
  </si>
  <si>
    <t>B0761PSCCK</t>
  </si>
  <si>
    <t>MiYang Striped Tunic T-Shirt Dress Women Plus Long Sleeve V-Neck Floral Pocket Casual Dress Black Striped XL</t>
  </si>
  <si>
    <t>YZ-MUYF184-K0-XL</t>
  </si>
  <si>
    <t>X001ST7OZR</t>
  </si>
  <si>
    <t>B07DJ1GQY5</t>
  </si>
  <si>
    <t>Halter Neck Maternity Tankini Tie-dye Striped Swimsuit Set Black Polka Dot XL</t>
  </si>
  <si>
    <t>YZ-MU181-OR-S</t>
  </si>
  <si>
    <t>X001Q18AVJ</t>
  </si>
  <si>
    <t>B07BDCXZDR</t>
  </si>
  <si>
    <t>MiYang Padded Push up Brazilian Thong Bikini Sets 2018 Swimsuits for Women Orange S</t>
  </si>
  <si>
    <t>YZ-MY1701-KO-L</t>
  </si>
  <si>
    <t>X001D7JO6V</t>
  </si>
  <si>
    <t>B06XCD1GV1</t>
  </si>
  <si>
    <t>0.166003 cuft</t>
  </si>
  <si>
    <t>0.126794 cuft</t>
  </si>
  <si>
    <t>SJ-ZZN204B0-M</t>
  </si>
  <si>
    <t>X001F63G23</t>
  </si>
  <si>
    <t>B0711T4DCM</t>
  </si>
  <si>
    <t>MiYang Women's Floral Lace Beach Bikini Cover-up M Sky Blue</t>
  </si>
  <si>
    <t>LYQ-LS06-E0-S</t>
  </si>
  <si>
    <t>X001L5OHPD</t>
  </si>
  <si>
    <t>B0761P363P</t>
  </si>
  <si>
    <t>MiYang Women's Turtle-Neck Solid Long-Sleeve Short Straight Dress, Turtleneck-Grey, Small</t>
  </si>
  <si>
    <t>LYQ-MU1058-N0-XL</t>
  </si>
  <si>
    <t>X001RWSO09</t>
  </si>
  <si>
    <t>B07CXYC9MH</t>
  </si>
  <si>
    <t>0.063556 cuft</t>
  </si>
  <si>
    <t>YZ-HE9008Sa4L</t>
  </si>
  <si>
    <t>X000WZHXF9</t>
  </si>
  <si>
    <t>B015QZRTVG</t>
  </si>
  <si>
    <t>MiYang Women's Bowknot Printing Skirt Spa Swimsuit Padded Bathing Swimwear, Sapphire Blue(two piece), Large(US Size 10-12)</t>
  </si>
  <si>
    <t>0.145935 cuft</t>
  </si>
  <si>
    <t>XZ-HM1657-N5-4344</t>
  </si>
  <si>
    <t>X001M44KDH</t>
  </si>
  <si>
    <t>B076Z7GGP9</t>
  </si>
  <si>
    <t>MiYang Winter Women Slippers Coral Fleece Cute Fuzzy Indoor Shoes for Womens Light Coffee 10 B(M) US</t>
  </si>
  <si>
    <t>LYQ-K1010-G7-M</t>
  </si>
  <si>
    <t>X001ARAYM7</t>
  </si>
  <si>
    <t>B01MS11D3B</t>
  </si>
  <si>
    <t>MiYang Women's Long Sleeve A-line Lace Stitching Trim Casual Dress M Army Green</t>
  </si>
  <si>
    <t>DK-MUCL315-K0-2XL</t>
  </si>
  <si>
    <t>X001Q4DZV1</t>
  </si>
  <si>
    <t>B07BGWXVHL</t>
  </si>
  <si>
    <t>High-Waisted Strappy Side Bikini Bottoms Swimwear Brief for Women Black US 14</t>
  </si>
  <si>
    <t>YZ-BSY97Z3L</t>
  </si>
  <si>
    <t>X0015XY2B5</t>
  </si>
  <si>
    <t>B01EN7V6I0</t>
  </si>
  <si>
    <t>MiYang Retro Vintage Striped One Piece Monokini Chevron Lines Swimsuit L Blue and White Stripes</t>
  </si>
  <si>
    <t>XZ-ZQCB3056-R1-28</t>
  </si>
  <si>
    <t>X0019DAV7F</t>
  </si>
  <si>
    <t>B01M8PFFQD</t>
  </si>
  <si>
    <t>MiYang Winter Women Cute Cat Warm House Slippers Booties Pink 10-11 B(M) US Adult</t>
  </si>
  <si>
    <t>0.171684 cuft</t>
  </si>
  <si>
    <t>LYQ-MU18-ZL-S</t>
  </si>
  <si>
    <t>X001OEEQ9X</t>
  </si>
  <si>
    <t>B0792RYKS1</t>
  </si>
  <si>
    <t>MiYang Women's Loose Solid Long Sleeve Tunic T-Shirt Dress Navy Blue Small</t>
  </si>
  <si>
    <t>XZ-YG7223Co4445</t>
  </si>
  <si>
    <t>X000XCK9WP</t>
  </si>
  <si>
    <t>B018Z5DB52</t>
  </si>
  <si>
    <t>0.076796 cuft</t>
  </si>
  <si>
    <t>DK-MUCL315-RF-M</t>
  </si>
  <si>
    <t>X001Q33ROH</t>
  </si>
  <si>
    <t>B07BGWLV1B</t>
  </si>
  <si>
    <t>High-Waisted Strappy Side Floral Bikini Bottoms Swimwear Brief for Women Red US 8</t>
  </si>
  <si>
    <t>MNQ-N7188-K0-XS</t>
  </si>
  <si>
    <t>X001CIDN59</t>
  </si>
  <si>
    <t>B01MY079LI</t>
  </si>
  <si>
    <t>DK-MUCL315-R0-XL</t>
  </si>
  <si>
    <t>X001Q4DYUN</t>
  </si>
  <si>
    <t>B07BGS8BT9</t>
  </si>
  <si>
    <t>High-Waisted Strappy Side Bikini Bottoms Swimwear Brief for Women Red US 12</t>
  </si>
  <si>
    <t>YZ-BSA160301R0L</t>
  </si>
  <si>
    <t>X001GAI1TB</t>
  </si>
  <si>
    <t>B0716S4HQ1</t>
  </si>
  <si>
    <t>MiYang Retro Vintage Striped One Piece Monokini Chevron Lines Swimsuit L PinkWhite</t>
  </si>
  <si>
    <t>XZ-ZQCB2002-R2-36</t>
  </si>
  <si>
    <t>X001BC9I5P</t>
  </si>
  <si>
    <t>B01MYTIFBQ</t>
  </si>
  <si>
    <t>0.187225 cuft</t>
  </si>
  <si>
    <t>YZ-MUBK187-R2-2XL</t>
  </si>
  <si>
    <t>X001RYJZT1</t>
  </si>
  <si>
    <t>B07CYKPK83</t>
  </si>
  <si>
    <t>MY-0036NEW-KA</t>
  </si>
  <si>
    <t>X001LB6G5V</t>
  </si>
  <si>
    <t>B07653JNDQ</t>
  </si>
  <si>
    <t>MiYang Women's Long Sleeve Turtleneck Cable Knit Sweater Dress Bodycon Pullovers Khaki</t>
  </si>
  <si>
    <t>0.17099 cuft</t>
  </si>
  <si>
    <t>YZ-MUHY025-OR-XL</t>
  </si>
  <si>
    <t>X001RIOED9</t>
  </si>
  <si>
    <t>B07CNR7DKS</t>
  </si>
  <si>
    <t>LYQ-CF8512-BU-L</t>
  </si>
  <si>
    <t>X001G3FR09</t>
  </si>
  <si>
    <t>B071461WGS</t>
  </si>
  <si>
    <t>LYQ-MU1058-PR-M</t>
  </si>
  <si>
    <t>X001RWOZGV</t>
  </si>
  <si>
    <t>B07CXVHLHJ</t>
  </si>
  <si>
    <t>SJ-ZZN204B0-XS</t>
  </si>
  <si>
    <t>X001F627JL</t>
  </si>
  <si>
    <t>B071FB59DJ</t>
  </si>
  <si>
    <t>MiYang Women's Floral Lace Beach Bikini Cover-up XS</t>
  </si>
  <si>
    <t>YZ-HMTW001-K0-S</t>
  </si>
  <si>
    <t>X001ELQWT3</t>
  </si>
  <si>
    <t>B06Y3WYZ1Z</t>
  </si>
  <si>
    <t>MiYang Women Vintage Flounce Stripe High Waisted Bathing Suits Two Piece Bikini S (US 6-8)</t>
  </si>
  <si>
    <t>0.102063 cuft</t>
  </si>
  <si>
    <t>MiYang Women's Solid Black Beach Pant Bikini Bottom Adjustable Tie Boy Short Tag S/US XS</t>
  </si>
  <si>
    <t>XZ-ZQ6834-R2-250</t>
  </si>
  <si>
    <t>X001KQZC39</t>
  </si>
  <si>
    <t>B075FPPGV5</t>
  </si>
  <si>
    <t>MiYang Women's Cute Panda Warm House Family Slippers Booties Watermelon Red 6-7 B(M) US</t>
  </si>
  <si>
    <t>0.288029 cuft</t>
  </si>
  <si>
    <t>YZ-MUBK187-G7-M</t>
  </si>
  <si>
    <t>X001QBZH5L</t>
  </si>
  <si>
    <t>B07C8FX8VC</t>
  </si>
  <si>
    <t>XZ-HMA185-GR-4344</t>
  </si>
  <si>
    <t>X001JGCAU3</t>
  </si>
  <si>
    <t>B074FVT7X3</t>
  </si>
  <si>
    <t>0.305294 cuft</t>
  </si>
  <si>
    <t>LYQ-MU1059-GA-XL</t>
  </si>
  <si>
    <t>X001RY042X</t>
  </si>
  <si>
    <t>B07CYWBVVK</t>
  </si>
  <si>
    <t>LYQ-YY05-E0-M</t>
  </si>
  <si>
    <t>X001L571B5</t>
  </si>
  <si>
    <t>B0761LQ5W9</t>
  </si>
  <si>
    <t>MiYang Women's Crew Neck Solid Color Long Sleeve Casual Flared Midi Dress Grey M</t>
  </si>
  <si>
    <t>LYQ-HMCX22-K0-L</t>
  </si>
  <si>
    <t>X001EMMPIT</t>
  </si>
  <si>
    <t>B071Y6KYPH</t>
  </si>
  <si>
    <t>YZ-MUC19P-R0-2XL</t>
  </si>
  <si>
    <t>X001R6PBPV</t>
  </si>
  <si>
    <t>B07CGLJNYW</t>
  </si>
  <si>
    <t>MiYang Twist Front Bandeau Bikini Top Hipster Bottom Set Two Piece Swimsuit for Women Red US 14-16</t>
  </si>
  <si>
    <t>MiYang Women's Plus Size Printing Padded High Waist Swimdress Purple 3X (US 20W-22W)</t>
  </si>
  <si>
    <t>LYQ-MU1059-DGR-XS</t>
  </si>
  <si>
    <t>X001RY0CKH</t>
  </si>
  <si>
    <t>B07CYVX25Y</t>
  </si>
  <si>
    <t>SJ-ZZN204B0-L</t>
  </si>
  <si>
    <t>X001F68CIL</t>
  </si>
  <si>
    <t>B0714DQZMS</t>
  </si>
  <si>
    <t>MiYang Women's Floral Lace Beach Bikini Cover-up L</t>
  </si>
  <si>
    <t>YZ-BSA160301R0M</t>
  </si>
  <si>
    <t>X001GAO3G1</t>
  </si>
  <si>
    <t>B0716S4V2W</t>
  </si>
  <si>
    <t>MiYang Retro Vintage Striped One Piece Monokini Chevron Lines Swimsuit M PinkWhite</t>
  </si>
  <si>
    <t>SJ-ZZN204G0L</t>
  </si>
  <si>
    <t>X000TVTWVT</t>
  </si>
  <si>
    <t>B0136OUGWS</t>
  </si>
  <si>
    <t>MiYang Women's Floral Lace Beach Bikini Swimwear Cover-up, Green, Small(US Size 4-8)</t>
  </si>
  <si>
    <t>LYQ-YY05-ZL-S</t>
  </si>
  <si>
    <t>X001L5NNWB</t>
  </si>
  <si>
    <t>B0761WK98H</t>
  </si>
  <si>
    <t>MiYang Women's Crew Neck Solid Color Long Sleeve Casual Flared Midi Dress Navy S</t>
  </si>
  <si>
    <t>YZ-MUBK187-G7-2XL</t>
  </si>
  <si>
    <t>X001QBKDK5</t>
  </si>
  <si>
    <t>B07BMX1XR4</t>
  </si>
  <si>
    <t>LYQ-MU1059-DGR-2XL</t>
  </si>
  <si>
    <t>X001RYCZV1</t>
  </si>
  <si>
    <t>B07CYLXDDL</t>
  </si>
  <si>
    <t>YZ-MYBKN1703-R0-XL</t>
  </si>
  <si>
    <t>X001D4T4NR</t>
  </si>
  <si>
    <t>B06XN5QMXT</t>
  </si>
  <si>
    <t>MiYang Women's Luxurious Pretty Double Straps Elegant Two Piece Bikini Set Size XL</t>
  </si>
  <si>
    <t>0.058842 cuft</t>
  </si>
  <si>
    <t>XZ-HMA190-CPi-3132</t>
  </si>
  <si>
    <t>X001JGFO2J</t>
  </si>
  <si>
    <t>B074FWCZ2Z</t>
  </si>
  <si>
    <t>0.123532 cuft</t>
  </si>
  <si>
    <t>LYQ-MUCL628-G7-S</t>
  </si>
  <si>
    <t>X001QR4ORR</t>
  </si>
  <si>
    <t>B07BWB2C72</t>
  </si>
  <si>
    <t>MiYang Short Sleeve Cold Shoulder T-Shirt Dress Solid Color Tunics with Pockets for Women Army Green S (US0-2)</t>
  </si>
  <si>
    <t>TK-Ad413-GR-2XL</t>
  </si>
  <si>
    <t>X001I1EHTV</t>
  </si>
  <si>
    <t>B0749JGGD1</t>
  </si>
  <si>
    <t>XZ-013PI3S</t>
  </si>
  <si>
    <t>X0018ZOEM7</t>
  </si>
  <si>
    <t>B01M6ZD8VV</t>
  </si>
  <si>
    <t>MiYang Winter Women's Warm Plush Soft Sole Indoor Slipper Pink(High Top) 4-5.5 B(M) US</t>
  </si>
  <si>
    <t>YZ-MYQZ1709-R0-S</t>
  </si>
  <si>
    <t>X001DJ3V0T</t>
  </si>
  <si>
    <t>B06XSRJ6K2</t>
  </si>
  <si>
    <t>LYQ-MU1058-N0-L</t>
  </si>
  <si>
    <t>X001RWPD49</t>
  </si>
  <si>
    <t>B07CXNBG1L</t>
  </si>
  <si>
    <t>LYQ-MU18-ZL-M</t>
  </si>
  <si>
    <t>X001OF1ERT</t>
  </si>
  <si>
    <t>B0792PS2PM</t>
  </si>
  <si>
    <t>MiYang Women's Loose Solid Long Sleeve Tunic T-Shirt Dress Navy Blue Medium</t>
  </si>
  <si>
    <t>YZ-HM1584-K0-M</t>
  </si>
  <si>
    <t>X001CT66EN</t>
  </si>
  <si>
    <t>B06XDLZH7M</t>
  </si>
  <si>
    <t>0.055671 cuft</t>
  </si>
  <si>
    <t>XZ-ZQ2182-R0-3839</t>
  </si>
  <si>
    <t>X001L8TK25</t>
  </si>
  <si>
    <t>B074W7GD41</t>
  </si>
  <si>
    <t>0.112285 cuft</t>
  </si>
  <si>
    <t>YZ-BD1704-K0-L</t>
  </si>
  <si>
    <t>X001DK0YY9</t>
  </si>
  <si>
    <t>B06XTM86ZQ</t>
  </si>
  <si>
    <t>DK-MUCL315-K0-S</t>
  </si>
  <si>
    <t>X001Q4E1JB</t>
  </si>
  <si>
    <t>B07BGVJVGJ</t>
  </si>
  <si>
    <t>High-Waisted Strappy Side Bikini Bottoms Swimwear Brief for Women Black US 6</t>
  </si>
  <si>
    <t>YZ-MUC19P-K0-M</t>
  </si>
  <si>
    <t>X001R5VPLL</t>
  </si>
  <si>
    <t>B07C7X4NM7</t>
  </si>
  <si>
    <t>YZ-HM30CH-Pi-S</t>
  </si>
  <si>
    <t>X001ECDGYB</t>
  </si>
  <si>
    <t>B06Y2VJKJ2</t>
  </si>
  <si>
    <t>MiYang Women's Sexy Crewneck One Piece Beachwear Bikini Monokini Swimsuit Pink S (US 4-6)</t>
  </si>
  <si>
    <t>MiYang Women's Plus Size High Waist Printing Swimsuit Bathing Swimwear Sapphire Blue(one Piece) 2X(US Size14W-16W)</t>
  </si>
  <si>
    <t>YZ-MU2500-R0-S</t>
  </si>
  <si>
    <t>X001S6OMU5</t>
  </si>
  <si>
    <t>B07D34C7QS</t>
  </si>
  <si>
    <t>Women One Piece High Cut Cheeky Bikini Monokini Swimsuit</t>
  </si>
  <si>
    <t>XZ-HMA190-W0-3132</t>
  </si>
  <si>
    <t>X001JGOC0T</t>
  </si>
  <si>
    <t>B074FTDKMJ</t>
  </si>
  <si>
    <t>MiYang Winter House Slippers for Women Winter Warm Home Plush Non-Slip Animal Slip on Shoes Little Kid 12.5M</t>
  </si>
  <si>
    <t>YZ-MU180-WI-S</t>
  </si>
  <si>
    <t>X001Q1EDVF</t>
  </si>
  <si>
    <t>B07BF4N2NR</t>
  </si>
  <si>
    <t>Women Bikini Sets Brazilian Padded Top Thong Cheeky Bikini Bottom 2PCs 2018 Swimsuit for Women Wine Red S</t>
  </si>
  <si>
    <t>LYQ-1010K03L</t>
  </si>
  <si>
    <t>X0017O8HEF</t>
  </si>
  <si>
    <t>B01LAURHU4</t>
  </si>
  <si>
    <t>MiYang Women's Long Sleeve A-line Lace Stitching Trim Casual Dress 2XL Black</t>
  </si>
  <si>
    <t>0.139719 cuft</t>
  </si>
  <si>
    <t>0.186713 cuft</t>
  </si>
  <si>
    <t>YZ-JY1151-ZL-M</t>
  </si>
  <si>
    <t>X0014KONJP</t>
  </si>
  <si>
    <t>B01GYFAAUO</t>
  </si>
  <si>
    <t>MiYang Women's Pure Color High Waist Boy Shorts Swimdress Bikini Bottom Navy X-Small(US size:0-2)</t>
  </si>
  <si>
    <t>YZ5060B2</t>
  </si>
  <si>
    <t>X000SHM3U1</t>
  </si>
  <si>
    <t>B00YAI9GWG</t>
  </si>
  <si>
    <t>MiYang Women's Halter Polka Dot Tankini Swim Dress(Deep Blue XS)</t>
  </si>
  <si>
    <t>XZ-CL02-R2-35/36</t>
  </si>
  <si>
    <t>X001K4YOFN</t>
  </si>
  <si>
    <t>B074QPHF36</t>
  </si>
  <si>
    <t>MiYang Winter Cute House Slipper Warm Plush Indoor Shoes</t>
  </si>
  <si>
    <t>SJ-HM205-K0</t>
  </si>
  <si>
    <t>X001E1NNLN</t>
  </si>
  <si>
    <t>B071CGCH2C</t>
  </si>
  <si>
    <t>LYQ-CS04-G0-M</t>
  </si>
  <si>
    <t>X001L546KT</t>
  </si>
  <si>
    <t>B0761J63DN</t>
  </si>
  <si>
    <t>MiYang Casual Long Sleeve Shirt Pockets Dress Fall Clothes For Women Army Green Medium</t>
  </si>
  <si>
    <t>0.076962 cuft</t>
  </si>
  <si>
    <t>LYQ-YY05-R0-L</t>
  </si>
  <si>
    <t>X001L58V0Z</t>
  </si>
  <si>
    <t>B0761N78N6</t>
  </si>
  <si>
    <t>MiYang Women's Crew Neck Solid Color Long Sleeve Casual Flared Midi Dress Red L</t>
  </si>
  <si>
    <t>DK-HM1789-FL-2XL</t>
  </si>
  <si>
    <t>X001E622TH</t>
  </si>
  <si>
    <t>B06XDLB73H</t>
  </si>
  <si>
    <t>MiYang Women's White Floral Beach Pant Bikini Bottom Adjustable Tie Boy Short Tag XXL/US XL</t>
  </si>
  <si>
    <t>XZ-HMHX-QE004-K0-3738</t>
  </si>
  <si>
    <t>X0019WMTBR</t>
  </si>
  <si>
    <t>B01M3X2B1A</t>
  </si>
  <si>
    <t>MiYang Winter Super-Soft Plush Rabbit Slipper Boot For Women Bunny Fuzzy Indoor Shoes (5-6.5 B(M) US)</t>
  </si>
  <si>
    <t>LYQ-1010W03L</t>
  </si>
  <si>
    <t>X0017M8B93</t>
  </si>
  <si>
    <t>B01LAURKNS</t>
  </si>
  <si>
    <t>MiYang Women's Long Sleeve A-line Lace Stitching Trim Casual Dress 2XL White</t>
  </si>
  <si>
    <t>XZ-ZQCB1001-K0-44</t>
  </si>
  <si>
    <t>X001JTUHOB</t>
  </si>
  <si>
    <t>B01MY2VAT6</t>
  </si>
  <si>
    <t>YZ-MYBKN1703-R0-S</t>
  </si>
  <si>
    <t>X001D5F49T</t>
  </si>
  <si>
    <t>B06XCWWFRF</t>
  </si>
  <si>
    <t>MiYang Women's Luxurious Pretty Double Straps Elegant Two Piece Bikini Set Size S</t>
  </si>
  <si>
    <t>0.026238 cuft</t>
  </si>
  <si>
    <t>LYQ2015K0</t>
  </si>
  <si>
    <t>X000ZCD36R</t>
  </si>
  <si>
    <t>B01BY03G96</t>
  </si>
  <si>
    <t>MiYang Women's V-Neck Hot Drilling Wrinkle Long Beach Dress,Free Size,Black,Black</t>
  </si>
  <si>
    <t>YZ-MUPLUS24-PI-XL</t>
  </si>
  <si>
    <t>X001RGC7DZ</t>
  </si>
  <si>
    <t>B07CM4FRTZ</t>
  </si>
  <si>
    <t>0.082063 cuft</t>
  </si>
  <si>
    <t>YZ-MY1727-3XL</t>
  </si>
  <si>
    <t>X001GVN77V</t>
  </si>
  <si>
    <t>B073QMH9FK</t>
  </si>
  <si>
    <t>MiYang Womens Deep V-Neck Cross-Back High Cut One Piece Swimsuit Size 3XL</t>
  </si>
  <si>
    <t>LYQ-K1010-G0-XL</t>
  </si>
  <si>
    <t>X0019ZZKWT</t>
  </si>
  <si>
    <t>B01N1LZPE7</t>
  </si>
  <si>
    <t>MiYang Women's Long Sleeve A-line Lace Stitching Trim Casual Dress XL Green</t>
  </si>
  <si>
    <t>MiYang Women's Plus Size Printing Padded High Waist Swimdress Wine Red 3X (US 20W-22W)</t>
  </si>
  <si>
    <t>YZ-YGD2000-2XL</t>
  </si>
  <si>
    <t>X00147S0JH</t>
  </si>
  <si>
    <t>B01G1JZ7L0</t>
  </si>
  <si>
    <t>MiYang Women's Fluorescent Halter Neck One Piece Monokinis Swimsuit Bathing Suit 2XL US 14</t>
  </si>
  <si>
    <t>0.050985 cuft</t>
  </si>
  <si>
    <t>YZ-HE9008Sa3L</t>
  </si>
  <si>
    <t>X000WZHXG3</t>
  </si>
  <si>
    <t>B015QZRTB6</t>
  </si>
  <si>
    <t>MiYang Women's Bowknot Printing Skirt Spa Swimsuit Padded Bathing Swimwear, Sapphire Blue(two piece), Medium(US Size 6-8)</t>
  </si>
  <si>
    <t>LYQ-MU1058-GA-S</t>
  </si>
  <si>
    <t>X001RWNU7B</t>
  </si>
  <si>
    <t>B07CXT1FXT</t>
  </si>
  <si>
    <t>TK-J02H-SH-5/6</t>
  </si>
  <si>
    <t>X001GBF5FN</t>
  </si>
  <si>
    <t>B072193PDC</t>
  </si>
  <si>
    <t>YZ-MUHY025-B0-2XL</t>
  </si>
  <si>
    <t>X001RJ2EIP</t>
  </si>
  <si>
    <t>B07CNHDD6P</t>
  </si>
  <si>
    <t>LYQ--MY-MX02-K0-L</t>
  </si>
  <si>
    <t>X001L57KA7</t>
  </si>
  <si>
    <t>B0761PRSBS</t>
  </si>
  <si>
    <t>MiYang Bell Sleeve Shirt Dress Women Loose Flare Swing Blouse Casual Dress Black L</t>
  </si>
  <si>
    <t>YZ-MU181-OR-XL</t>
  </si>
  <si>
    <t>X001PZ4KYH</t>
  </si>
  <si>
    <t>B07BDD8DG4</t>
  </si>
  <si>
    <t>MiYang Padded Push up Brazilian Thong Bikini Sets 2018 Swimsuits for Women Orange XL</t>
  </si>
  <si>
    <t>LYQ-MU1059-PR-M</t>
  </si>
  <si>
    <t>X001RXRHT7</t>
  </si>
  <si>
    <t>B07CYJ4RL7</t>
  </si>
  <si>
    <t>YZ-MUBK187-Y0-M</t>
  </si>
  <si>
    <t>X001QESEF3</t>
  </si>
  <si>
    <t>B07BMYFH4T</t>
  </si>
  <si>
    <t>LYQ-K1010-B0-XS</t>
  </si>
  <si>
    <t>X0019ZWI3N</t>
  </si>
  <si>
    <t>B01M7XMBP9</t>
  </si>
  <si>
    <t>MiYang Women's Long Sleeve A-line Lace Stitching Trim Casual Dress XS Blue</t>
  </si>
  <si>
    <t>0.047396 cuft</t>
  </si>
  <si>
    <t>XZ-CL01-N0-36/37</t>
  </si>
  <si>
    <t>X001JS3I57</t>
  </si>
  <si>
    <t>B074M941WL</t>
  </si>
  <si>
    <t>0.065532 cuft</t>
  </si>
  <si>
    <t>LYQ-ZQ-1199-K0-2XL</t>
  </si>
  <si>
    <t>X001JQA50Z</t>
  </si>
  <si>
    <t>B074QL1QVT</t>
  </si>
  <si>
    <t>0.020557 cuft</t>
  </si>
  <si>
    <t>0.179688 cuft</t>
  </si>
  <si>
    <t>MZ-SV2843ZL</t>
  </si>
  <si>
    <t>X000XW9165</t>
  </si>
  <si>
    <t>B019I2Z0LE</t>
  </si>
  <si>
    <t>LYQ-CF8512-BK-S</t>
  </si>
  <si>
    <t>X001GWA615</t>
  </si>
  <si>
    <t>B0716RZKFD</t>
  </si>
  <si>
    <t>YZ-BZ1707-B0-S</t>
  </si>
  <si>
    <t>X001DH7PUX</t>
  </si>
  <si>
    <t>B06XT1JNK5</t>
  </si>
  <si>
    <t>LYQ-MU1058-PR-XXL</t>
  </si>
  <si>
    <t>X001RWPD3Z</t>
  </si>
  <si>
    <t>B07CXRD4L1</t>
  </si>
  <si>
    <t>LYQ-1010DX-K0-L</t>
  </si>
  <si>
    <t>X001QZSYAR</t>
  </si>
  <si>
    <t>B07C3YHJJW</t>
  </si>
  <si>
    <t>MiYang Short Sleeve Loose Swing T-Shirt Dress Tunic Blouse for Women m Black</t>
  </si>
  <si>
    <t>YZ-MUCL17015-P0-XL</t>
  </si>
  <si>
    <t>X001OH5KG3</t>
  </si>
  <si>
    <t>B0795P3P57</t>
  </si>
  <si>
    <t>MiYang High Waisted Ruched One Piece Swimsuit Twist Vintage Bathing Suit for Women Purple US 6</t>
  </si>
  <si>
    <t>LYQ-CF352-RD-M</t>
  </si>
  <si>
    <t>X001EU5C3L</t>
  </si>
  <si>
    <t>B06Y5DLZ3W</t>
  </si>
  <si>
    <t>MiYang Women's Sleeveless Round Neck Open Back Slim Cocktail Striped Casual Cute Mini Formal Party Cocktail Dress£¬Red,S</t>
  </si>
  <si>
    <t>TK-J01H-GR-4</t>
  </si>
  <si>
    <t>X001GBR1BJ</t>
  </si>
  <si>
    <t>B072K42VFR</t>
  </si>
  <si>
    <t>YZ-MUC19P-R0-XL</t>
  </si>
  <si>
    <t>X001R64N8R</t>
  </si>
  <si>
    <t>B07CGNLQMR</t>
  </si>
  <si>
    <t>MiYang Twist Front Bandeau Bikini Top Hipster Bottom Set Two Piece Swimsuit for Women Red US 12-14</t>
  </si>
  <si>
    <t>TK-C412H-K0-M</t>
  </si>
  <si>
    <t>X001I1C94L</t>
  </si>
  <si>
    <t>B0748BWR5J</t>
  </si>
  <si>
    <t>0.11375 cuft</t>
  </si>
  <si>
    <t>LYQ-1010N02L</t>
  </si>
  <si>
    <t>X0018RU0RN</t>
  </si>
  <si>
    <t>B01M7NHI4J</t>
  </si>
  <si>
    <t>MiYang Women's Long Sleeve A-line Lace Stitching Trim Casual Dress XL Brown</t>
  </si>
  <si>
    <t>LYQ-1010W0M</t>
  </si>
  <si>
    <t>X0016Q5IZF</t>
  </si>
  <si>
    <t>B01KO0SAKM</t>
  </si>
  <si>
    <t>MiYang Women's Long Sleeve A-line Lace Stitching Trim Casual Dress S White</t>
  </si>
  <si>
    <t>TK-J02H-K0-7</t>
  </si>
  <si>
    <t>X001GC16YB</t>
  </si>
  <si>
    <t>B071WW5ZWF</t>
  </si>
  <si>
    <t>LYQ-K1010-G0-2X</t>
  </si>
  <si>
    <t>X001A1BPPD</t>
  </si>
  <si>
    <t>B01MRR4GGW</t>
  </si>
  <si>
    <t>MiYang Women's Long Sleeve A-line Lace Stitching Trim Casual Dress 2X Green</t>
  </si>
  <si>
    <t>YZ-MUPLUS24-G0-L</t>
  </si>
  <si>
    <t>X001RGC7IF</t>
  </si>
  <si>
    <t>B07CM2GHW7</t>
  </si>
  <si>
    <t>YZ-HM30CH-Pi-M</t>
  </si>
  <si>
    <t>X001EAJRR3</t>
  </si>
  <si>
    <t>B06Y2XFGDN</t>
  </si>
  <si>
    <t>MiYang Women's Sexy Crewneck One Piece Beachwear Bikini Monokini Swimsuit Pink M (US 8-10)</t>
  </si>
  <si>
    <t>LYQ-ZQ-1199-W0-M</t>
  </si>
  <si>
    <t>X001JR0AYF</t>
  </si>
  <si>
    <t>B074QPYPF3</t>
  </si>
  <si>
    <t>XZ-HMA190-W0-3738</t>
  </si>
  <si>
    <t>X001JGNWEL</t>
  </si>
  <si>
    <t>B074FV539D</t>
  </si>
  <si>
    <t>0.231802 cuft</t>
  </si>
  <si>
    <t>0.111823 cuft</t>
  </si>
  <si>
    <t>XZ-HMMX360-GR-3637</t>
  </si>
  <si>
    <t>X001ASM401</t>
  </si>
  <si>
    <t>B01M98T6LE</t>
  </si>
  <si>
    <t>MiYang Winter Women Animal Sheep House Shoes Indoor/Outdoor Fluffy Boot Slippers (US Size:5-6.5 B(M) US,Grey)</t>
  </si>
  <si>
    <t>0.168984 cuft</t>
  </si>
  <si>
    <t>LYQ-MU1058-P0-M</t>
  </si>
  <si>
    <t>X001RWRZEZ</t>
  </si>
  <si>
    <t>B07CXNCK9Y</t>
  </si>
  <si>
    <t>XZ-007W0XL</t>
  </si>
  <si>
    <t>X0016UTSFR</t>
  </si>
  <si>
    <t>B01KWOVVWO</t>
  </si>
  <si>
    <t>MiYang Winter Women's Super Soft Bunny Ballerina Slipper White XL</t>
  </si>
  <si>
    <t>0.07933 cuft</t>
  </si>
  <si>
    <t>XZ-ZQCB2002-R1-40</t>
  </si>
  <si>
    <t>X001AHJPK9</t>
  </si>
  <si>
    <t>B01MQPV2SS</t>
  </si>
  <si>
    <t>0.19977 cuft</t>
  </si>
  <si>
    <t>MiYang Women's White Beach Pant Bikini Bottom Adjustable Tie Boy Short Tag XL/US L</t>
  </si>
  <si>
    <t>YZ-MYQZ1709-K0-M</t>
  </si>
  <si>
    <t>X001DK0YXZ</t>
  </si>
  <si>
    <t>B06XT1G4PS</t>
  </si>
  <si>
    <t>YZ-HE9008Sa1L</t>
  </si>
  <si>
    <t>X000WZHXGD</t>
  </si>
  <si>
    <t>B015QZRSF8</t>
  </si>
  <si>
    <t>MiYang Women's Bowknot Printing Skirt Spa Swimsuit Padded Bathing Swimwear, Sapphire Blue(two piece), X-Small(US Size 0-2)</t>
  </si>
  <si>
    <t>0.122667 cuft</t>
  </si>
  <si>
    <t>YZ-MUPLUS24-K0-XL</t>
  </si>
  <si>
    <t>X001RGYFSZ</t>
  </si>
  <si>
    <t>B07CM2S4JB</t>
  </si>
  <si>
    <t>YZ-BZ1707-B0-M</t>
  </si>
  <si>
    <t>X001DGM8RJ</t>
  </si>
  <si>
    <t>B06XSYC4ZS</t>
  </si>
  <si>
    <t>Bottom-HM7702-GZK0-3XL</t>
  </si>
  <si>
    <t>X001GA9S6B</t>
  </si>
  <si>
    <t>B071YVBVW5</t>
  </si>
  <si>
    <t>YZ-MU727-Pi-M</t>
  </si>
  <si>
    <t>X001Q1W66J</t>
  </si>
  <si>
    <t>B07BG1C3YX</t>
  </si>
  <si>
    <t>Halter Deep Plunging High Cut Cutout One Piece Swimsuit Criss Cross Monokini S (US 2-4)</t>
  </si>
  <si>
    <t>YZ-RF1123-K0-M</t>
  </si>
  <si>
    <t>X001B8YO67</t>
  </si>
  <si>
    <t>B01N44N74S</t>
  </si>
  <si>
    <t>MiYang Women's Plus Size Ruffled Two Piece Tankini Printed-Hem Ruffled Swim Dress Grey Ruffle US Size:6-8</t>
  </si>
  <si>
    <t>YZ-MUHM511-ZL-S</t>
  </si>
  <si>
    <t>X001OSPI37</t>
  </si>
  <si>
    <t>B079DPX5R4</t>
  </si>
  <si>
    <t>MiYang Women's Plus-Size Flower Printing Shaping Body One Piece Swim Dresses Navy Blue S</t>
  </si>
  <si>
    <t>YZ-MYQZ1709-K0-L</t>
  </si>
  <si>
    <t>X001DGXDMN</t>
  </si>
  <si>
    <t>B06XSY1YCG</t>
  </si>
  <si>
    <t>XZ-HMA185-Pi-3738</t>
  </si>
  <si>
    <t>X001JGOHR7</t>
  </si>
  <si>
    <t>B074FW5DDN</t>
  </si>
  <si>
    <t>LYQ-YY05-K0-S</t>
  </si>
  <si>
    <t>X001L58UF1</t>
  </si>
  <si>
    <t>B0761NBQX3</t>
  </si>
  <si>
    <t>MiYang Women's Crew Neck Solid Color Long Sleeve Casual Flared Midi Dress Black Small</t>
  </si>
  <si>
    <t>LYQ-CL0127-KQ-XL</t>
  </si>
  <si>
    <t>X001JIS3MP</t>
  </si>
  <si>
    <t>B074SKGMXZ</t>
  </si>
  <si>
    <t>MiYang Women's Plus Size Floral Dress 3/4 Sleeve Casual Swing Dress with Pockets Khaki</t>
  </si>
  <si>
    <t>YZ-MUBK187-B0-2XL</t>
  </si>
  <si>
    <t>X001RYLG75</t>
  </si>
  <si>
    <t>B07CYR8LNW</t>
  </si>
  <si>
    <t>0.12763 cuft</t>
  </si>
  <si>
    <t>DK-HM1789-PI-L</t>
  </si>
  <si>
    <t>X001B25EOT</t>
  </si>
  <si>
    <t>B01N66DBTL</t>
  </si>
  <si>
    <t>MiYang Women's Pink Beach Pant Bikini Bottom Adjustable Tie Boy Short Tag L/US M</t>
  </si>
  <si>
    <t>TK-C412H-K0-XL</t>
  </si>
  <si>
    <t>X001I1C8HT</t>
  </si>
  <si>
    <t>B0748C8NW6</t>
  </si>
  <si>
    <t>TK-J01H-K0-7</t>
  </si>
  <si>
    <t>X001GBF6AR</t>
  </si>
  <si>
    <t>B07219QHVZ</t>
  </si>
  <si>
    <t>Bottom-HM7702-K0-3XL</t>
  </si>
  <si>
    <t>X001F4PGK5</t>
  </si>
  <si>
    <t>B071VDZBCB</t>
  </si>
  <si>
    <t>LYQ-K1010-G7-L</t>
  </si>
  <si>
    <t>X001AQI8F3</t>
  </si>
  <si>
    <t>B06XZ37QQM</t>
  </si>
  <si>
    <t>MiYang Women's Long Sleeve A-line Lace Stitching Trim Casual Dress L Army Green</t>
  </si>
  <si>
    <t>0.09535 cuft</t>
  </si>
  <si>
    <t>YZ-BD1704-K0-M</t>
  </si>
  <si>
    <t>X001DFVKHJ</t>
  </si>
  <si>
    <t>B06XTK9L9C</t>
  </si>
  <si>
    <t>DK-HM1789-B2-2XL</t>
  </si>
  <si>
    <t>X001B3MVA3</t>
  </si>
  <si>
    <t>B01MQLNUZB</t>
  </si>
  <si>
    <t>MiYang Women's Solid Blue Beach Pant Bikini Bottom Adjustable Tie Boy Short Tag XXL/US XL</t>
  </si>
  <si>
    <t>LYQ-MU1058-P0-XXL</t>
  </si>
  <si>
    <t>X001RWRZEP</t>
  </si>
  <si>
    <t>B07CXQ2LY9</t>
  </si>
  <si>
    <t>YZ-BSA160301K0L</t>
  </si>
  <si>
    <t>X0013LEOPX</t>
  </si>
  <si>
    <t>B01EN7V3A6</t>
  </si>
  <si>
    <t>MiYang Retro Vintage Striped One Piece Monokini Chevron Lines Swimsuit L BlackWhite</t>
  </si>
  <si>
    <t>LYQ-K1010-R0-XS</t>
  </si>
  <si>
    <t>X001AQ6ME7</t>
  </si>
  <si>
    <t>B01N5J3B2Z</t>
  </si>
  <si>
    <t>MiYang Women's Long Sleeve A-line Lace Stitching Trim Casual Dress XS Red</t>
  </si>
  <si>
    <t>XZ-ZQJZ100-PI-260</t>
  </si>
  <si>
    <t>X001L135AP</t>
  </si>
  <si>
    <t>B074TF2K4R</t>
  </si>
  <si>
    <t>MiYang Cute Rabbit Slippers for Women/Men Winter Warm House Slippers Light Pink 7-8 B(M) US</t>
  </si>
  <si>
    <t>0.095129 cuft</t>
  </si>
  <si>
    <t>TK-Ad413-K0-XL</t>
  </si>
  <si>
    <t>X001I2153V</t>
  </si>
  <si>
    <t>B0749HSZ2P</t>
  </si>
  <si>
    <t>XZ-HMA194-B0-3738</t>
  </si>
  <si>
    <t>X001KMPOO5</t>
  </si>
  <si>
    <t>B075CGTS1T</t>
  </si>
  <si>
    <t>XZ-ZQJZ120-PE-250</t>
  </si>
  <si>
    <t>X001KC2KVP</t>
  </si>
  <si>
    <t>B074TD1KWN</t>
  </si>
  <si>
    <t>0.196453 cuft</t>
  </si>
  <si>
    <t>XZ-CL1537-PI-35/36</t>
  </si>
  <si>
    <t>X001M204OD</t>
  </si>
  <si>
    <t>B076WVQPWB</t>
  </si>
  <si>
    <t>MiYang Winter Fur House Slipper Boots Cute Indoor/Outdoor Moccasins Shoes Pink US 4</t>
  </si>
  <si>
    <t>YZ-MU5129-K0-L</t>
  </si>
  <si>
    <t>X001REMUHP</t>
  </si>
  <si>
    <t>B07CKTGCD3</t>
  </si>
  <si>
    <t>MiYang Plus Size Floral Swimwear One Piece Swimdress for Women Skirted Swimsuit Black Large(US 12-14)</t>
  </si>
  <si>
    <t>YZ-MU181-K0-2XL</t>
  </si>
  <si>
    <t>X001Q18AUF</t>
  </si>
  <si>
    <t>B07BDCZJK4</t>
  </si>
  <si>
    <t>MiYang Padded Push up Brazilian Thong Bikini Sets 2018 Swimsuits for Women Black XXL</t>
  </si>
  <si>
    <t>DK-HM1789-GZ-2XL</t>
  </si>
  <si>
    <t>X001E6ZTLZ</t>
  </si>
  <si>
    <t>B06XD94LR2</t>
  </si>
  <si>
    <t>LYQ-CS04-GR-M</t>
  </si>
  <si>
    <t>X001L5465T</t>
  </si>
  <si>
    <t>B0761N26DS</t>
  </si>
  <si>
    <t>MiYang Casual Long Sleeve Shirt Pockets Dress Fall Clothes For Women Light Grey Medium</t>
  </si>
  <si>
    <t>XZ-ZQ2176-K0-20</t>
  </si>
  <si>
    <t>X001KJQUDH</t>
  </si>
  <si>
    <t>B074W7K5S7</t>
  </si>
  <si>
    <t>MiYang Winter Kids Cute Mouse Plush Winter Warm House Indoor Slippers Black 10-11 B(M) US Little Kid</t>
  </si>
  <si>
    <t>XZ-ZQ2182-PI-3839</t>
  </si>
  <si>
    <t>X001KJNGLL</t>
  </si>
  <si>
    <t>B074W3X8C8</t>
  </si>
  <si>
    <t>YZ-MU30CH-K0-M</t>
  </si>
  <si>
    <t>X001PRIX89</t>
  </si>
  <si>
    <t>B07B7L1KS1</t>
  </si>
  <si>
    <t>MiYang Women's Sexy Crewneck One Piece Beachwear Bikini Monokini Swimsuit Solid Black M (US 8-10)</t>
  </si>
  <si>
    <t>XZ-ZQCB3056-R2-25</t>
  </si>
  <si>
    <t>X0019BTA7T</t>
  </si>
  <si>
    <t>B01MG7AAT3</t>
  </si>
  <si>
    <t>MiYang Winter Women Cute Cat Warm House Slippers Booties Rose 6-7 B(M) US Adult</t>
  </si>
  <si>
    <t>0.210407 cuft</t>
  </si>
  <si>
    <t>LYQ-CF352-PU-XL</t>
  </si>
  <si>
    <t>X001FZLB9J</t>
  </si>
  <si>
    <t>B06Y5DKK7H</t>
  </si>
  <si>
    <t>MiYang Women's Sleeveless Round Neck Open Back Slim Cocktail Striped Casual Cute Mini Formal Party Cocktail Dress,Purple,L</t>
  </si>
  <si>
    <t>LYQ-1010DX-B0-S</t>
  </si>
  <si>
    <t>X001QZ1AB7</t>
  </si>
  <si>
    <t>B07C3PSBST</t>
  </si>
  <si>
    <t>MiYang Short Sleeve Loose Swing T-Shirt Dress Tunic Blouse for Women XS Blue</t>
  </si>
  <si>
    <t>LYQ-CF8512-WI-L</t>
  </si>
  <si>
    <t>X001FULT23</t>
  </si>
  <si>
    <t>B0711LLKG7</t>
  </si>
  <si>
    <t>MiYang Women's Casual Loosen T-Shirt Sleeveless Swing Dress Tunic Tank Top Dresses With Two Pockets, Wine, Large</t>
  </si>
  <si>
    <t>0.12809 cuft</t>
  </si>
  <si>
    <t>XZ-013WH2M</t>
  </si>
  <si>
    <t>X0017ALCKZ</t>
  </si>
  <si>
    <t>B0191JT52E</t>
  </si>
  <si>
    <t>MiYang Winter Women's Warm Plush Soft Sole Indoor Slipper (US Size:5-6.5 B(M) US,White(low-top)</t>
  </si>
  <si>
    <t>0.227257 cuft</t>
  </si>
  <si>
    <t>0.293143 cuft</t>
  </si>
  <si>
    <t>XZ-ZQFT730-E0-4647</t>
  </si>
  <si>
    <t>X001K1HN7R</t>
  </si>
  <si>
    <t>B074X8X9X5</t>
  </si>
  <si>
    <t>YZ5060Y0M</t>
  </si>
  <si>
    <t>X0014F00HJ</t>
  </si>
  <si>
    <t>B01GJ2AKVQ</t>
  </si>
  <si>
    <t>MiYang Women's Halter Polka Dot Tankini Swim Dress(Yellow M)</t>
  </si>
  <si>
    <t>XZ-ZQ6001-R0-21</t>
  </si>
  <si>
    <t>X001IPK1UL</t>
  </si>
  <si>
    <t>B01MYWQ08L</t>
  </si>
  <si>
    <t>0.054596 cuft</t>
  </si>
  <si>
    <t>YZ-MU5129-G0-M</t>
  </si>
  <si>
    <t>X001RG2UNR</t>
  </si>
  <si>
    <t>B07CLHTTWD</t>
  </si>
  <si>
    <t>MiYang Plus Size Floral Swimwear One Piece Swimdress for Women Skirted Swimsuit Green Medium(US 8-10)</t>
  </si>
  <si>
    <t>0.143701 cuft</t>
  </si>
  <si>
    <t>SJ-ZZN204R02L</t>
  </si>
  <si>
    <t>X000TVTWV9</t>
  </si>
  <si>
    <t>B0136OUKGU</t>
  </si>
  <si>
    <t>MiYang Women's Floral Lace Beach Bikini Swimwear Cover-up, Red, Large(US Size 8-10)</t>
  </si>
  <si>
    <t>0.040193 cuft</t>
  </si>
  <si>
    <t>SJ-ZZN204LBS</t>
  </si>
  <si>
    <t>X001QY96CD</t>
  </si>
  <si>
    <t>B07C32953F</t>
  </si>
  <si>
    <t>MiYang Women's Floral Lace Beach Bikini Swimwear Cover-up Light Blue S (US 4-6)</t>
  </si>
  <si>
    <t>YZ-MU5129-K0YH-L</t>
  </si>
  <si>
    <t>X001RG2UO1</t>
  </si>
  <si>
    <t>B07CL1M3YM</t>
  </si>
  <si>
    <t>MiYang Plus Size Floral Swimwear One Piece Swimdress for Women Skirted Swimsuit Black Floral Large(US 12-14)</t>
  </si>
  <si>
    <t>YZ-MUHY025-K0-2XL</t>
  </si>
  <si>
    <t>X001RIXGWJ</t>
  </si>
  <si>
    <t>B07CNHD4P3</t>
  </si>
  <si>
    <t>YZ-MUHY025-B0-S</t>
  </si>
  <si>
    <t>X001RIW1Z7</t>
  </si>
  <si>
    <t>B07CNN66QV</t>
  </si>
  <si>
    <t>YZ-MUHY025-OR-2XL</t>
  </si>
  <si>
    <t>X001RJ0Y0P</t>
  </si>
  <si>
    <t>B07CNHWLW8</t>
  </si>
  <si>
    <t>LYQ-K1010-KQ-XL</t>
  </si>
  <si>
    <t>X001AQQAUD</t>
  </si>
  <si>
    <t>B01NH0M9O4</t>
  </si>
  <si>
    <t>MiYang Women's Long Sleeve A-line Lace Stitching Trim Casual Dress XL Khaki</t>
  </si>
  <si>
    <t>0.056386 cuft</t>
  </si>
  <si>
    <t>LYQ-MU1059-B7-M</t>
  </si>
  <si>
    <t>X001RYCWUP</t>
  </si>
  <si>
    <t>B07CYMHXYL</t>
  </si>
  <si>
    <t>0.148898 cuft</t>
  </si>
  <si>
    <t>DK-HM1789-GrTW-XL</t>
  </si>
  <si>
    <t>X001E7GOR7</t>
  </si>
  <si>
    <t>B06XDH4L2G</t>
  </si>
  <si>
    <t>MiYang Women's Green Beach Pant Bikini Bottom Adjustable Tie Boy Short Tag XL/US L</t>
  </si>
  <si>
    <t>XZ-ZQ6102-R0-3839</t>
  </si>
  <si>
    <t>X001ADI0D1</t>
  </si>
  <si>
    <t>B01MQG9YKW</t>
  </si>
  <si>
    <t>0.15625 cuft</t>
  </si>
  <si>
    <t>YZ-MUYF181-OR-M</t>
  </si>
  <si>
    <t>X001T0KDFD</t>
  </si>
  <si>
    <t>B07DN65DHL</t>
  </si>
  <si>
    <t>Halter Maternity Tankini Floral Pregnancy Triangle Swimsuit Orange M</t>
  </si>
  <si>
    <t>XZ-013GR3S</t>
  </si>
  <si>
    <t>X0013HJ01P</t>
  </si>
  <si>
    <t>B0191K3ABK</t>
  </si>
  <si>
    <t>MiYang Women's Warm Plush Soft Sole Indoor Slipper Grey(High Top) 4-5.5 B(M) US</t>
  </si>
  <si>
    <t>LYQ-MU1059-DGR-L</t>
  </si>
  <si>
    <t>X001RY0CKR</t>
  </si>
  <si>
    <t>B07CYT7WR2</t>
  </si>
  <si>
    <t>XZ-CL02-R2-37/38</t>
  </si>
  <si>
    <t>X001K540ER</t>
  </si>
  <si>
    <t>B074QLC46X</t>
  </si>
  <si>
    <t>YZ-MUWS32-BD-S</t>
  </si>
  <si>
    <t>X001QX8IKZ</t>
  </si>
  <si>
    <t>B07CBVR688</t>
  </si>
  <si>
    <t>Wine Red One Piece Swimsuit High Neck V-Neckline Mesh Ruched Monokini Swinwear S US(4-6)</t>
  </si>
  <si>
    <t>YZ-MUCLC19-OR-M</t>
  </si>
  <si>
    <t>X001OIZY6N</t>
  </si>
  <si>
    <t>B0795FHZTP</t>
  </si>
  <si>
    <t>MiYang Twist Front Bandeau Bikini Top Hipster Bottom Set Two Piece Swimsuit for Women Orange US 2-4</t>
  </si>
  <si>
    <t>DK-MUCL315-R0-2XL</t>
  </si>
  <si>
    <t>X001Q4ER4F</t>
  </si>
  <si>
    <t>B07BGY6DH1</t>
  </si>
  <si>
    <t>High-Waisted Strappy Side Bikini Bottoms Swimwear Brief for Women Red US 14</t>
  </si>
  <si>
    <t>XZ-013WH3L</t>
  </si>
  <si>
    <t>X0017DJD2V</t>
  </si>
  <si>
    <t>B0191JSNBS</t>
  </si>
  <si>
    <t>MiYang Women's Warm Plush Soft Sole Indoor Slipper White(High Top) 7-8.5 B(M) US</t>
  </si>
  <si>
    <t>YZ-MU727-Pi-3XL</t>
  </si>
  <si>
    <t>X001Q1VURP</t>
  </si>
  <si>
    <t>B07BFWJP55</t>
  </si>
  <si>
    <t>Halter Deep Plunging High Cut Cutout One Piece Swimsuit Criss Cross Monokini 2XL (US 18-20)</t>
  </si>
  <si>
    <t>0.081667 cuft</t>
  </si>
  <si>
    <t>0.157986 cuft</t>
  </si>
  <si>
    <t>LYQ-LS06-N5-L</t>
  </si>
  <si>
    <t>X001L5NO2Z</t>
  </si>
  <si>
    <t>B0761TCRT4</t>
  </si>
  <si>
    <t>MiYang Women's Turtle-Neck Solid Long-Sleeve Short Straight Dress, Turtleneck-Coffee, Large</t>
  </si>
  <si>
    <t>XZ-HM0299-GR-4041</t>
  </si>
  <si>
    <t>X0019O9MOR</t>
  </si>
  <si>
    <t>B01M4RTPXZ</t>
  </si>
  <si>
    <t>0.173542 cuft</t>
  </si>
  <si>
    <t>YZ-TJ1245-K0-L</t>
  </si>
  <si>
    <t>X001QBZV8J</t>
  </si>
  <si>
    <t>B07C8LF7WB</t>
  </si>
  <si>
    <t>MiYang Women's Padded High Waist Slim Tankini Set Bathing Swimwear Large (US Size:12-14)</t>
  </si>
  <si>
    <t>XZ-HMA185-CO-4344</t>
  </si>
  <si>
    <t>X001L2B8JT</t>
  </si>
  <si>
    <t>B074FTQQJ9</t>
  </si>
  <si>
    <t>0.128472 cuft</t>
  </si>
  <si>
    <t>LYQ-YY05-E0-L</t>
  </si>
  <si>
    <t>X001L5O74T</t>
  </si>
  <si>
    <t>B0761SMDWQ</t>
  </si>
  <si>
    <t>MiYang Women's Crew Neck Solid Color Long Sleeve Casual Flared Midi Dress Grey L</t>
  </si>
  <si>
    <t>TK-C412H-K0-L</t>
  </si>
  <si>
    <t>X001I1C7C5</t>
  </si>
  <si>
    <t>B0748D1L11</t>
  </si>
  <si>
    <t>LYQ-MU1059-B7-S</t>
  </si>
  <si>
    <t>X001RYBP2L</t>
  </si>
  <si>
    <t>B07CYDBRPX</t>
  </si>
  <si>
    <t>YZ-MULK185-K0-L</t>
  </si>
  <si>
    <t>X001PY6LDL</t>
  </si>
  <si>
    <t>B07BCD69SP</t>
  </si>
  <si>
    <t>Women's Halter High Waisted Cut Out One Piece Swimsuit Backless Bathing Suit Black L</t>
  </si>
  <si>
    <t>LYQ-MU1058-GA-XS</t>
  </si>
  <si>
    <t>X001RWSO0J</t>
  </si>
  <si>
    <t>B07CXSLPBJ</t>
  </si>
  <si>
    <t>YZ-MU181-G0-XL</t>
  </si>
  <si>
    <t>X001R8XEQ7</t>
  </si>
  <si>
    <t>B07CHFPVT3</t>
  </si>
  <si>
    <t>MiYang Padded Push up Brazilian Thong Bikini Sets 2018 Swimsuits for Women Army Green XL</t>
  </si>
  <si>
    <t>YZ-MU2500-K0-S</t>
  </si>
  <si>
    <t>X001S6LXE3</t>
  </si>
  <si>
    <t>B07D36BVLH</t>
  </si>
  <si>
    <t>YZ-MUCS186-G0-L</t>
  </si>
  <si>
    <t>X001QAT6L3</t>
  </si>
  <si>
    <t>B07BLZPY3D</t>
  </si>
  <si>
    <t>0.060046 cuft</t>
  </si>
  <si>
    <t>0.177528 cuft</t>
  </si>
  <si>
    <t>TK-J02H-K0-10/12</t>
  </si>
  <si>
    <t>X001GBR1B9</t>
  </si>
  <si>
    <t>B071JXVQ39</t>
  </si>
  <si>
    <t>LYQ-CL90501-G7-M</t>
  </si>
  <si>
    <t>X001KMO02H</t>
  </si>
  <si>
    <t>B075D8DGL3</t>
  </si>
  <si>
    <t>Long Sleeve Casual Dress Swing T-Shirt Dresses For Women Army Green M</t>
  </si>
  <si>
    <t>XZ-ZQCB3056-KQ-28</t>
  </si>
  <si>
    <t>X0019QDP4N</t>
  </si>
  <si>
    <t>B01MG7I20D</t>
  </si>
  <si>
    <t>MiYang Winter Women Cute Cat Warm House Slippers Booties Khaki 10-11 B(M) US Adult</t>
  </si>
  <si>
    <t>0.242245 cuft</t>
  </si>
  <si>
    <t>XZ-ZQ6606-E0-4445</t>
  </si>
  <si>
    <t>X001M2782T</t>
  </si>
  <si>
    <t>B075JF4GBG</t>
  </si>
  <si>
    <t>XZ-ZQCB2002-K0-36</t>
  </si>
  <si>
    <t>X001ATYMJL</t>
  </si>
  <si>
    <t>B01NBEB5YT</t>
  </si>
  <si>
    <t>0.185778 cuft</t>
  </si>
  <si>
    <t>TK-J01H-GR-5/6</t>
  </si>
  <si>
    <t>X001GBKZTT</t>
  </si>
  <si>
    <t>B071WVZ8T6</t>
  </si>
  <si>
    <t>XZ-013PI3M</t>
  </si>
  <si>
    <t>X0018PF77X</t>
  </si>
  <si>
    <t>B01MF9ZPY8</t>
  </si>
  <si>
    <t>MiYang Winter Women's Warm Plush Soft Sole Indoor Slipper Pink(High Top) 5-6.5 B(M) US</t>
  </si>
  <si>
    <t>0.209421 cuft</t>
  </si>
  <si>
    <t>YZ-HMTW001-K0-M</t>
  </si>
  <si>
    <t>X001EMGSOB</t>
  </si>
  <si>
    <t>B06Y3WV683</t>
  </si>
  <si>
    <t>MiYang Women Vintage Flounce Stripe High Waisted Bathing Suits Two Piece Bikini M (US 10-12)</t>
  </si>
  <si>
    <t>MiYang Women's Plus Size Printing Padded High Waist Swimdress Blue and Green 3X (US 20W-22W)</t>
  </si>
  <si>
    <t>XZ-ZQ6102-N0-4041</t>
  </si>
  <si>
    <t>X001A6NASD</t>
  </si>
  <si>
    <t>B01N0AZSZQ</t>
  </si>
  <si>
    <t>YZ-MUBD001-R0-M</t>
  </si>
  <si>
    <t>X001PRH1EV</t>
  </si>
  <si>
    <t>B07B7JY2HX</t>
  </si>
  <si>
    <t>YZ-BSA160301K0M</t>
  </si>
  <si>
    <t>X0013ZD5QD</t>
  </si>
  <si>
    <t>B01EN7V1LW</t>
  </si>
  <si>
    <t>MiYang Retro Vintage Striped One Piece Monokini Chevron Lines Swimsuit M BlackWhite</t>
  </si>
  <si>
    <t>LYQ-MU18-N0-L</t>
  </si>
  <si>
    <t>X001ODLZYN</t>
  </si>
  <si>
    <t>B0792S3RPS</t>
  </si>
  <si>
    <t>MiYang Women's Loose Solid Long Sleeve Tunic T-Shirt Dress Brown Large</t>
  </si>
  <si>
    <t>YZ-MU181-OR-L</t>
  </si>
  <si>
    <t>X001PZ4KZ1</t>
  </si>
  <si>
    <t>B07BDHNDG1</t>
  </si>
  <si>
    <t>MiYang Padded Push up Brazilian Thong Bikini Sets 2018 Swimsuits for Women Orange L</t>
  </si>
  <si>
    <t>0.124542 cuft</t>
  </si>
  <si>
    <t>LYQ-CF352-PU-L</t>
  </si>
  <si>
    <t>X001FZKXHZ</t>
  </si>
  <si>
    <t>B06Y5321GN</t>
  </si>
  <si>
    <t>MiYang Women's Sleeveless Round Neck Open Back Slim Cocktail Striped Casual Cute Mini Formal Party Cocktail Dress,Purple,M</t>
  </si>
  <si>
    <t>XZ-HMA195-Pi-3738</t>
  </si>
  <si>
    <t>X001JGNKST</t>
  </si>
  <si>
    <t>B074FX6F62</t>
  </si>
  <si>
    <t>LYQ-LB01-K0-L</t>
  </si>
  <si>
    <t>X001L5128X</t>
  </si>
  <si>
    <t>B0761LBWMN</t>
  </si>
  <si>
    <t>MiYang Turtleneck Loose Tunic Top Casual Swing Mini Dress For Women With Trumpet Sleeves Black Large</t>
  </si>
  <si>
    <t>YZ-MUWS32-ZL-2XL</t>
  </si>
  <si>
    <t>X001QWT4C7</t>
  </si>
  <si>
    <t>B07C25Q9T4</t>
  </si>
  <si>
    <t>Navy Blue One Piece Swimsuit High Neck V-Neckline Mesh Ruched Monokini Swinwear 2XL US(14W)</t>
  </si>
  <si>
    <t>0.093576 cuft</t>
  </si>
  <si>
    <t>LYQ-YY05-E0-XL</t>
  </si>
  <si>
    <t>X001L571BP</t>
  </si>
  <si>
    <t>B0761NC3P1</t>
  </si>
  <si>
    <t>MiYang Women's Crew Neck Solid Color Long Sleeve Casual Flared Midi Dress Grey XL</t>
  </si>
  <si>
    <t>XZ-ZQCB2002-C0-42</t>
  </si>
  <si>
    <t>X001AUWCR9</t>
  </si>
  <si>
    <t>B01MYTIM4X</t>
  </si>
  <si>
    <t>0.201339 cuft</t>
  </si>
  <si>
    <t>YZ5060Y0</t>
  </si>
  <si>
    <t>X000SHM3MJ</t>
  </si>
  <si>
    <t>B00YAI9MGQ</t>
  </si>
  <si>
    <t>MiYang Women's Halter Polka Dot Tankini Swim Dress(Yellow XS)</t>
  </si>
  <si>
    <t>0.049167 cuft</t>
  </si>
  <si>
    <t>DK-HM1789-PiTW-XL</t>
  </si>
  <si>
    <t>X001E45NHR</t>
  </si>
  <si>
    <t>B06XDB5698</t>
  </si>
  <si>
    <t>MiYang Women's Pink Stripe Beach Pant Bikini Bottom Adjustable Tie Boy Short Tag XL/US L</t>
  </si>
  <si>
    <t>0.22522 cuft</t>
  </si>
  <si>
    <t>MiYang Women's Bowknot Printing Skirt Spa Swimsuit Padded Bathing Swimwear, Navy(one Piece) 4X(US Size22W-24W)</t>
  </si>
  <si>
    <t>LYQ-MUCL628-G7-M</t>
  </si>
  <si>
    <t>X001QR87XJ</t>
  </si>
  <si>
    <t>B07BWH154B</t>
  </si>
  <si>
    <t>Short Sleeve Cold Shoulder T-Shirt Dress Solid Color Tunics with Pockets for Women Army Green M (US4-6)</t>
  </si>
  <si>
    <t>XZ-ZQ2176-P0-3839</t>
  </si>
  <si>
    <t>X001LHBSO9</t>
  </si>
  <si>
    <t>B076CJ5H2W</t>
  </si>
  <si>
    <t>MiYang Winter Women/Men Cute Mouse Plush Winter Warm House Indoor Slippers Watermelon Red 5-6 B(M) US Adult</t>
  </si>
  <si>
    <t>YZ-BSLLK0XL</t>
  </si>
  <si>
    <t>X001CGC979</t>
  </si>
  <si>
    <t>B06WD8MW2K</t>
  </si>
  <si>
    <t>MiYang Vintage Sailor Pin up Swimsuit One Piece Skirtini Cover up Swimdress Black M (US 10)</t>
  </si>
  <si>
    <t>LYQ-ZQ-1199-ZL-M</t>
  </si>
  <si>
    <t>X001KYJ70F</t>
  </si>
  <si>
    <t>B074QLSSPL</t>
  </si>
  <si>
    <t>YZ-MU5129-G0-2XL</t>
  </si>
  <si>
    <t>X001RG3OU5</t>
  </si>
  <si>
    <t>B07CL1M4FH</t>
  </si>
  <si>
    <t>MiYang Plus Size Floral Swimwear One Piece Swimdress for Women Skirted Swimsuit Green 2XL(US 20-22)</t>
  </si>
  <si>
    <t>DK-HM1789-GrTW-S</t>
  </si>
  <si>
    <t>X001E5KRW7</t>
  </si>
  <si>
    <t>B06XDMVWZV</t>
  </si>
  <si>
    <t>MiYang Women's Green Beach Pant Bikini Bottom Adjustable Tie Boy Short Tag S/US XS</t>
  </si>
  <si>
    <t>XZ-HM1657-PI-3536</t>
  </si>
  <si>
    <t>X001M4ENJD</t>
  </si>
  <si>
    <t>B076Z77L7J</t>
  </si>
  <si>
    <t>MiYang Winter Women Slippers Coral Fleece Cute Fuzzy Indoor Shoes For Womens Dusty Pink 4 B(M) US</t>
  </si>
  <si>
    <t>LYQ-MU1059-GA-XS</t>
  </si>
  <si>
    <t>X001RYCZVV</t>
  </si>
  <si>
    <t>B07CZ23T7Q</t>
  </si>
  <si>
    <t>YZ-MU5506-K0-2XL</t>
  </si>
  <si>
    <t>X001R8D6VF</t>
  </si>
  <si>
    <t>B07CHGQ24F</t>
  </si>
  <si>
    <t>MiYang Active Striped Racerback Tankini with Swim Briefs Two Piece Swimsuit for Women Black 2XL (US 14W-16W)</t>
  </si>
  <si>
    <t>LYQ-TW03-B0-M</t>
  </si>
  <si>
    <t>X001L5LIVT</t>
  </si>
  <si>
    <t>B0761PH68H</t>
  </si>
  <si>
    <t>MiYang Striped Tunic T-Shirt Dress Women Plus Long Sleeve V-Neck Floral Pocket Casual Dress Floral M</t>
  </si>
  <si>
    <t>LYQ-MU1058-GA-XL</t>
  </si>
  <si>
    <t>X001RWQZU5</t>
  </si>
  <si>
    <t>B07CXQ1T8C</t>
  </si>
  <si>
    <t>0.118056 cuft</t>
  </si>
  <si>
    <t>YZ-HE9007Sa2L</t>
  </si>
  <si>
    <t>X000VIGTWF</t>
  </si>
  <si>
    <t>B015QZRNIU</t>
  </si>
  <si>
    <t>MiYang Women's Bowknot Printing Skirt Spa Swimsuit Padded Bathing Swimwear, Sapphire Blue(one piece), Small(US Size 4)</t>
  </si>
  <si>
    <t>0.133031 cuft</t>
  </si>
  <si>
    <t>YZ-MU30CH-K0-S</t>
  </si>
  <si>
    <t>X001PRIXAH</t>
  </si>
  <si>
    <t>B07B7LRYJ1</t>
  </si>
  <si>
    <t>MiYang Women's Sexy Crewneck One Piece Beachwear Bikini Monokini Swimsuit Solid Black S (US 4-6)</t>
  </si>
  <si>
    <t>YZ-HE9008Se2L</t>
  </si>
  <si>
    <t>X000WFYY3X</t>
  </si>
  <si>
    <t>B015QZRVFK</t>
  </si>
  <si>
    <t>MiYang Women's Bowknot Printing Skirt Spa Swimsuit Padded Bathing Swimwear, Navy(two piece), Small(US Size 4)</t>
  </si>
  <si>
    <t>LYQ-LB01-Wi-S</t>
  </si>
  <si>
    <t>X001L51EK9</t>
  </si>
  <si>
    <t>B0761PMSGQ</t>
  </si>
  <si>
    <t>MiYang Turtleneck Loose Tunic Top Casual Swing Mini Dress For Women With Trumpet Sleeves Purplish Red Small</t>
  </si>
  <si>
    <t>XZ-013GR3-2XL</t>
  </si>
  <si>
    <t>X0017B6A3N</t>
  </si>
  <si>
    <t>B01LRZIFFS</t>
  </si>
  <si>
    <t>MiYang Winter Women's Warm Plush Soft Sole Indoor Slipper GR3 2XL</t>
  </si>
  <si>
    <t>0.295935 cuft</t>
  </si>
  <si>
    <t>YZ-TJ1245G0M</t>
  </si>
  <si>
    <t>X0013DXANN</t>
  </si>
  <si>
    <t>B01DLSNCJI</t>
  </si>
  <si>
    <t>MiYang Women's Two Pieces Stripes Slim Tankini Suit Bathing Swimwear Green X-Small(US 0-2)</t>
  </si>
  <si>
    <t>YZ-MUCLC19-OR-XL</t>
  </si>
  <si>
    <t>X001OIZOE5</t>
  </si>
  <si>
    <t>B0795FG8DJ</t>
  </si>
  <si>
    <t>MiYang Twist Front Bandeau Bikini Top Hipster Bottom Set Two Piece Swimsuit for Women Orange US 6-8</t>
  </si>
  <si>
    <t>LYQ-MU1059-B7-L</t>
  </si>
  <si>
    <t>X001RY0CK7</t>
  </si>
  <si>
    <t>B07CYP77M2</t>
  </si>
  <si>
    <t>DK-MUCL315-B7-S</t>
  </si>
  <si>
    <t>X001Q4ER3V</t>
  </si>
  <si>
    <t>B07BGSMYPV</t>
  </si>
  <si>
    <t>High-Waisted Strappy Side Bikini Bottoms Swimwear Brief for Women Sky Blue US 6</t>
  </si>
  <si>
    <t>XZ-HMA190-B0-3738</t>
  </si>
  <si>
    <t>X001JGOJ75</t>
  </si>
  <si>
    <t>B074FVZ713</t>
  </si>
  <si>
    <t>YZ-MUC19P-R0-M</t>
  </si>
  <si>
    <t>X001R5VPLV</t>
  </si>
  <si>
    <t>B07CGMFX55</t>
  </si>
  <si>
    <t>TK-J01H-GR-14/16</t>
  </si>
  <si>
    <t>X001GBF5WL</t>
  </si>
  <si>
    <t>B0721B4WM8</t>
  </si>
  <si>
    <t>Teenking Boy's Fleece Outdoor Jacket Big Boy(Size 14/16) Light Grey/Charcoal</t>
  </si>
  <si>
    <t>XZ-ZQCB2056-E0-22</t>
  </si>
  <si>
    <t>X0019OY2EH</t>
  </si>
  <si>
    <t>B01M9I2TK9</t>
  </si>
  <si>
    <t>MiYang Winter Little Kid Cute Cat Warm House Slippers Booties Grey 11 B(M) US Little Kid</t>
  </si>
  <si>
    <t>YZ-KL5020FL1L</t>
  </si>
  <si>
    <t>X001448E3H</t>
  </si>
  <si>
    <t>B01F4YO4B2</t>
  </si>
  <si>
    <t>MiYang Women's One Piece High Waist Printing Swim Dress Swimwear,Navy Flower,Small(US size:4-6)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</si>
  <si>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</si>
  <si>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</si>
  <si>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</si>
  <si>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</si>
  <si>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</si>
  <si>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</si>
  <si>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</si>
  <si>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</si>
  <si>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</si>
  <si>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</si>
  <si>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</si>
  <si>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</si>
  <si>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BKN-666B0L</t>
  </si>
  <si>
    <t>X0010C11ND</t>
  </si>
  <si>
    <t>B01DXWQKZA</t>
  </si>
  <si>
    <t>MiYang Womens Cross Double Colored Padded Push Up Halter Bikini Swimsuit Blue US 12-14</t>
  </si>
  <si>
    <t>No</t>
  </si>
  <si>
    <t>Yes</t>
  </si>
  <si>
    <t>BKN-666HBL</t>
  </si>
  <si>
    <t>X000ZHLPOT</t>
  </si>
  <si>
    <t>B01D42EBLO</t>
  </si>
  <si>
    <t>MiYang Womens Cross Double Colored Padded Push Up Halter Bikini Swimsuit White US 12-14</t>
  </si>
  <si>
    <t>BKN-666HBS</t>
  </si>
  <si>
    <t>X000ZHLPPD</t>
  </si>
  <si>
    <t>B01D42ECC2</t>
  </si>
  <si>
    <t>MiYang Womens Cross Double Colored Padded Push Up Halter Bikini Swimsuit White US 4-6</t>
  </si>
  <si>
    <t>BKN-666P0M</t>
  </si>
  <si>
    <t>X00140TH7D</t>
  </si>
  <si>
    <t>B01DXWQ3WA</t>
  </si>
  <si>
    <t>MiYang Womens Cross Double Colored Padded Push Up Halter Bikini Swimsuit Purple US 8-10</t>
  </si>
  <si>
    <t>Bottom-5505PI-L</t>
  </si>
  <si>
    <t>X001BEQBSF</t>
  </si>
  <si>
    <t>B01NA9CZ8H</t>
  </si>
  <si>
    <t>MiYang Women's Tankini Striped Vintage Swim Dress (Pink Large)Bottom</t>
  </si>
  <si>
    <t>Bottom-5505PI-XL</t>
  </si>
  <si>
    <t>X001BDDOWH</t>
  </si>
  <si>
    <t>B01N443WS0</t>
  </si>
  <si>
    <t>MiYang Women's Tankini Striped Vintage Swim Dress (Pink X-Large)Bottom</t>
  </si>
  <si>
    <t>Bottom-5505ZL-L</t>
  </si>
  <si>
    <t>X001BIC83X</t>
  </si>
  <si>
    <t>B01NBARH9L</t>
  </si>
  <si>
    <t>MiYang Women's Tankini Striped Vintage Swim Dress (Deep Blue Large)Bottom</t>
  </si>
  <si>
    <t>Bottom-5505ZL-S</t>
  </si>
  <si>
    <t>X001BDDOZT</t>
  </si>
  <si>
    <t>B01N55K6WR</t>
  </si>
  <si>
    <t>MiYang Women's Tankini Striped Vintage Swim Dress (Deep Blue Small)Bottom</t>
  </si>
  <si>
    <t>Bottom-HM7702-GZK0-2XL</t>
  </si>
  <si>
    <t>X001GAJFVJ</t>
  </si>
  <si>
    <t>B0713YJKMX</t>
  </si>
  <si>
    <t>Bottom-HM7702-GZK0-L</t>
  </si>
  <si>
    <t>X001GAHRQ9</t>
  </si>
  <si>
    <t>B071DW3XN2</t>
  </si>
  <si>
    <t>Bottom-HM7702-GZK0-XL</t>
  </si>
  <si>
    <t>X001GA9SCF</t>
  </si>
  <si>
    <t>B071HGQ8L5</t>
  </si>
  <si>
    <t>Bottom-HM7702-K0-L</t>
  </si>
  <si>
    <t>X001GACUAR</t>
  </si>
  <si>
    <t>B0722QNQRV</t>
  </si>
  <si>
    <t>Unknown</t>
  </si>
  <si>
    <t>Bottom-HM7702-K0-XL</t>
  </si>
  <si>
    <t>X001GAJG7H</t>
  </si>
  <si>
    <t>B0716KJ665</t>
  </si>
  <si>
    <t>CA-BKN16024-Y0-L</t>
  </si>
  <si>
    <t>X001GDDYLD</t>
  </si>
  <si>
    <t>B07285NKX8</t>
  </si>
  <si>
    <t>CA-BKN16024-Y0-M</t>
  </si>
  <si>
    <t>X001GD4X5T</t>
  </si>
  <si>
    <t>B071471D72</t>
  </si>
  <si>
    <t>CA-BKN16024-Y0-S</t>
  </si>
  <si>
    <t>X001GDCSLF</t>
  </si>
  <si>
    <t>B0719DGF4Q</t>
  </si>
  <si>
    <t>CA-HM1727-Pi-2XL</t>
  </si>
  <si>
    <t>X001O8VLC9</t>
  </si>
  <si>
    <t>B06ZYBNGZP</t>
  </si>
  <si>
    <t>CA-HM1727-Pi-3XL</t>
  </si>
  <si>
    <t>X001O7NZAV</t>
  </si>
  <si>
    <t>B06ZZRLK8R</t>
  </si>
  <si>
    <t>CA-HM1727-Pi-4XL</t>
  </si>
  <si>
    <t>X001O7NZB5</t>
  </si>
  <si>
    <t>B071XY3V7Z</t>
  </si>
  <si>
    <t>CA-HM1727-Pi-5XL</t>
  </si>
  <si>
    <t>X001O7WP9N</t>
  </si>
  <si>
    <t>B071XNXCJT</t>
  </si>
  <si>
    <t>CA-HM1727-Pi-L</t>
  </si>
  <si>
    <t>X001O7WTQR</t>
  </si>
  <si>
    <t>B06ZY2BYPX</t>
  </si>
  <si>
    <t>CA-HM1727-Pi-M</t>
  </si>
  <si>
    <t>X001GDCIP1</t>
  </si>
  <si>
    <t>B06ZZRTC23</t>
  </si>
  <si>
    <t>CA-HM1727-Pi-S</t>
  </si>
  <si>
    <t>X001GD4X59</t>
  </si>
  <si>
    <t>B06ZYMFCVP</t>
  </si>
  <si>
    <t>CA-HM1727-Pi-XL</t>
  </si>
  <si>
    <t>X001O7WTQH</t>
  </si>
  <si>
    <t>B071XP6PNQ</t>
  </si>
  <si>
    <t>CA-HM1789-B0TW-2XL</t>
  </si>
  <si>
    <t>X001LV9D29</t>
  </si>
  <si>
    <t>B06XXF5DLN</t>
  </si>
  <si>
    <t>CA-HM1789-B0TW-L</t>
  </si>
  <si>
    <t>X001LW8C11</t>
  </si>
  <si>
    <t>B06XXBTJRZ</t>
  </si>
  <si>
    <t>CA-HM1789-B0TW-M</t>
  </si>
  <si>
    <t>X001LV9QK3</t>
  </si>
  <si>
    <t>B06XWWTXPN</t>
  </si>
  <si>
    <t>CA-HM1789-B0TW-S</t>
  </si>
  <si>
    <t>X001LV9D1F</t>
  </si>
  <si>
    <t>B06XWWLKNP</t>
  </si>
  <si>
    <t>CA-HM1789-B0TW-XL</t>
  </si>
  <si>
    <t>X001FATWBD</t>
  </si>
  <si>
    <t>B06XXBP2ZY</t>
  </si>
  <si>
    <t>CA-HM1789-B2-2XL</t>
  </si>
  <si>
    <t>X001G4QYIH</t>
  </si>
  <si>
    <t>B06XXDMBLP</t>
  </si>
  <si>
    <t>CA-HM1789-B2-L</t>
  </si>
  <si>
    <t>X001HG6B19</t>
  </si>
  <si>
    <t>B06XWVLPRH</t>
  </si>
  <si>
    <t>CA-HM1789-B2-M</t>
  </si>
  <si>
    <t>X001HGHI43</t>
  </si>
  <si>
    <t>B06XWZLBXL</t>
  </si>
  <si>
    <t>CA-HM1789-B2-S</t>
  </si>
  <si>
    <t>X001LOMFVR</t>
  </si>
  <si>
    <t>B06XXDYCFP</t>
  </si>
  <si>
    <t>CA-HM1789-B2-XL</t>
  </si>
  <si>
    <t>X001LO2CSN</t>
  </si>
  <si>
    <t>B06XX6QYT9</t>
  </si>
  <si>
    <t>CA-HM1789-Dot-2XL</t>
  </si>
  <si>
    <t>X001SO3DXT</t>
  </si>
  <si>
    <t>B07DFG942Y</t>
  </si>
  <si>
    <t>CA-HM1789-Dot-L</t>
  </si>
  <si>
    <t>X001SNGIO1</t>
  </si>
  <si>
    <t>B07DFFCKTM</t>
  </si>
  <si>
    <t>CA-HM1789-Dot-M</t>
  </si>
  <si>
    <t>X001SO3DXJ</t>
  </si>
  <si>
    <t>B07DFB3XMF</t>
  </si>
  <si>
    <t>CA-HM1789-Dot-S</t>
  </si>
  <si>
    <t>X001SO2Y4X</t>
  </si>
  <si>
    <t>B07DFJ57WK</t>
  </si>
  <si>
    <t>CA-HM1789-Dot-XL</t>
  </si>
  <si>
    <t>X001SO3K4B</t>
  </si>
  <si>
    <t>B07DFFZFR9</t>
  </si>
  <si>
    <t>CA-HM1789-FL-L</t>
  </si>
  <si>
    <t>X001GSWQPD</t>
  </si>
  <si>
    <t>B06XXCGWXQ</t>
  </si>
  <si>
    <t>CA-HM1789-FL-M</t>
  </si>
  <si>
    <t>X001GSWQP3</t>
  </si>
  <si>
    <t>B06XXBRNDB</t>
  </si>
  <si>
    <t>CA-HM1789-FL-XL</t>
  </si>
  <si>
    <t>X001GSWQWV</t>
  </si>
  <si>
    <t>B06XXBTHZK</t>
  </si>
  <si>
    <t>CA-HM1789-GZ-2XL</t>
  </si>
  <si>
    <t>X001LV9D1P</t>
  </si>
  <si>
    <t>B06XXDBZVB</t>
  </si>
  <si>
    <t>CA-HM1789-GZ-L</t>
  </si>
  <si>
    <t>X001GSVKKZ</t>
  </si>
  <si>
    <t>B06XXGJKW1</t>
  </si>
  <si>
    <t>CA-HM1789-GZ-M</t>
  </si>
  <si>
    <t>X001HGQ9GL</t>
  </si>
  <si>
    <t>B06XXDF459</t>
  </si>
  <si>
    <t>CA-HM1789-GZ-S</t>
  </si>
  <si>
    <t>X001LYWLDJ</t>
  </si>
  <si>
    <t>B06XX1BZ9P</t>
  </si>
  <si>
    <t>CA-HM1789-GZ-XL</t>
  </si>
  <si>
    <t>X001GSYBVZ</t>
  </si>
  <si>
    <t>B06XWWSHKS</t>
  </si>
  <si>
    <t>CA-HM1789-GrTW-2XL</t>
  </si>
  <si>
    <t>X001LV9D2J</t>
  </si>
  <si>
    <t>B06XWWR5DN</t>
  </si>
  <si>
    <t>CA-HM1789-GrTW-L</t>
  </si>
  <si>
    <t>X001LW8C0H</t>
  </si>
  <si>
    <t>B06XX6W772</t>
  </si>
  <si>
    <t>CA-HM1789-GrTW-M</t>
  </si>
  <si>
    <t>X001LWCF73</t>
  </si>
  <si>
    <t>B06XXC15LM</t>
  </si>
  <si>
    <t>CA-HM1789-GrTW-S</t>
  </si>
  <si>
    <t>X001LW8LG7</t>
  </si>
  <si>
    <t>B06XXD8SKZ</t>
  </si>
  <si>
    <t>CA-HM1789-GrTW-XL</t>
  </si>
  <si>
    <t>X001HGPT0X</t>
  </si>
  <si>
    <t>B06XXF8QVK</t>
  </si>
  <si>
    <t>CA-HM1789-K0-2XL</t>
  </si>
  <si>
    <t>X001DOWWBD</t>
  </si>
  <si>
    <t>B06XXFGJ5Z</t>
  </si>
  <si>
    <t>CA-HM1789-K0-L</t>
  </si>
  <si>
    <t>X001DNQBG1</t>
  </si>
  <si>
    <t>B06XWZDQBF</t>
  </si>
  <si>
    <t>CA-HM1789-K0-M</t>
  </si>
  <si>
    <t>X001DO1CNH</t>
  </si>
  <si>
    <t>B06XXBMK3H</t>
  </si>
  <si>
    <t>CA-HM1789-K0-S</t>
  </si>
  <si>
    <t>X001DO6J4T</t>
  </si>
  <si>
    <t>B06XXD5D68</t>
  </si>
  <si>
    <t>CA-HM1789-K0-XL</t>
  </si>
  <si>
    <t>X001DO1K75</t>
  </si>
  <si>
    <t>B06XXC71R7</t>
  </si>
  <si>
    <t>CA-HM1789-PI-2XL</t>
  </si>
  <si>
    <t>X001LO24DL</t>
  </si>
  <si>
    <t>B06XXCMLCL</t>
  </si>
  <si>
    <t>CA-HM1789-PI-L</t>
  </si>
  <si>
    <t>X001LOMFVH</t>
  </si>
  <si>
    <t>B06XXBRM57</t>
  </si>
  <si>
    <t>CA-HM1789-PI-M</t>
  </si>
  <si>
    <t>X001LO24DB</t>
  </si>
  <si>
    <t>B06XXFWS3X</t>
  </si>
  <si>
    <t>CA-HM1789-PI-S</t>
  </si>
  <si>
    <t>X001LO24OP</t>
  </si>
  <si>
    <t>B06XWZPCD4</t>
  </si>
  <si>
    <t>CA-HM1789-PI-XL</t>
  </si>
  <si>
    <t>X001FX0XVD</t>
  </si>
  <si>
    <t>B06XX6WB5H</t>
  </si>
  <si>
    <t>CA-HM1789-PP-2XL</t>
  </si>
  <si>
    <t>X001LV9R4N</t>
  </si>
  <si>
    <t>B06XXDYCM1</t>
  </si>
  <si>
    <t>CA-HM1789-PP-M</t>
  </si>
  <si>
    <t>X001HGQOVL</t>
  </si>
  <si>
    <t>B06XXBRLF4</t>
  </si>
  <si>
    <t>CA-HM1789-PP-S</t>
  </si>
  <si>
    <t>X001HG6B0Z</t>
  </si>
  <si>
    <t>B06XXBSCLJ</t>
  </si>
  <si>
    <t>CA-HM1789-PP-XL</t>
  </si>
  <si>
    <t>X001LV9QTT</t>
  </si>
  <si>
    <t>B06XXF1ZTL</t>
  </si>
  <si>
    <t>CA-HM1789-PiTW-2XL</t>
  </si>
  <si>
    <t>X001LWC3T3</t>
  </si>
  <si>
    <t>B06XXCGVVB</t>
  </si>
  <si>
    <t>CA-HM1789-PiTW-M</t>
  </si>
  <si>
    <t>X001LWBLVT</t>
  </si>
  <si>
    <t>B06XXDT473</t>
  </si>
  <si>
    <t>CA-HM1789-PiTW-S</t>
  </si>
  <si>
    <t>X001LW8C0R</t>
  </si>
  <si>
    <t>B06XWZJ5FX</t>
  </si>
  <si>
    <t>CA-HM1789-PiTW-XL</t>
  </si>
  <si>
    <t>X001LV9D1Z</t>
  </si>
  <si>
    <t>B06XX6YLYZ</t>
  </si>
  <si>
    <t>CA-HM1789-R2-2XL</t>
  </si>
  <si>
    <t>X001LO24U9</t>
  </si>
  <si>
    <t>B06XXDC6VV</t>
  </si>
  <si>
    <t>CA-HM1789-R2-L</t>
  </si>
  <si>
    <t>X001LOPTBZ</t>
  </si>
  <si>
    <t>B06XXFXC2B</t>
  </si>
  <si>
    <t>CA-HM1789-R2-M</t>
  </si>
  <si>
    <t>X001FWQ0O3</t>
  </si>
  <si>
    <t>B06XXBSFVK</t>
  </si>
  <si>
    <t>CA-HM1789-R2-S</t>
  </si>
  <si>
    <t>X001HGLUY7</t>
  </si>
  <si>
    <t>B06XXDNKC5</t>
  </si>
  <si>
    <t>CA-HM1789-R2-XL</t>
  </si>
  <si>
    <t>X001FX092L</t>
  </si>
  <si>
    <t>B06XXBTHN3</t>
  </si>
  <si>
    <t>CA-HM1789-W0-2XL</t>
  </si>
  <si>
    <t>X001FATWAJ</t>
  </si>
  <si>
    <t>B06XXFTJ3Y</t>
  </si>
  <si>
    <t>CA-HM1789-W0-L</t>
  </si>
  <si>
    <t>X001HGHBBD</t>
  </si>
  <si>
    <t>B06XXFPXMZ</t>
  </si>
  <si>
    <t>CA-HM1789-W0-M</t>
  </si>
  <si>
    <t>X001F9Q5NH</t>
  </si>
  <si>
    <t>B06XWVQKJC</t>
  </si>
  <si>
    <t>CA-HM1789-W0-S</t>
  </si>
  <si>
    <t>X001GDCIPB</t>
  </si>
  <si>
    <t>B06XXCD9RY</t>
  </si>
  <si>
    <t>CA-HM1789-W0-XL</t>
  </si>
  <si>
    <t>X001FX0XVX</t>
  </si>
  <si>
    <t>B06XXD8SKQ</t>
  </si>
  <si>
    <t>CA-HM1789-ZL-2XL</t>
  </si>
  <si>
    <t>X001DNO0FF</t>
  </si>
  <si>
    <t>B06XXF7D82</t>
  </si>
  <si>
    <t>CA-HM1789-ZL-L</t>
  </si>
  <si>
    <t>X001DTI9NX</t>
  </si>
  <si>
    <t>B06XXCZS9G</t>
  </si>
  <si>
    <t>CA-HM1789-ZL-M</t>
  </si>
  <si>
    <t>X001DNU84H</t>
  </si>
  <si>
    <t>B06XWZJ94M</t>
  </si>
  <si>
    <t>CA-HM1789-ZL-S</t>
  </si>
  <si>
    <t>X001DO6949</t>
  </si>
  <si>
    <t>B06XXF89VM</t>
  </si>
  <si>
    <t>CA-HM1789-ZL-XL</t>
  </si>
  <si>
    <t>X001DTGZD9</t>
  </si>
  <si>
    <t>B06XXDTLKL</t>
  </si>
  <si>
    <t>CA-LYQ2015FB</t>
  </si>
  <si>
    <t>X001OH4G8L</t>
  </si>
  <si>
    <t>B06XZ48M2X</t>
  </si>
  <si>
    <t>CA-LYQ2015G0</t>
  </si>
  <si>
    <t>X001OJ5UZH</t>
  </si>
  <si>
    <t>B06XYZQ5HH</t>
  </si>
  <si>
    <t>CA-LYQ2015K0</t>
  </si>
  <si>
    <t>X001O8SFN7</t>
  </si>
  <si>
    <t>B06XZ3CHRY</t>
  </si>
  <si>
    <t>CA-LYQ2015P0</t>
  </si>
  <si>
    <t>X001OJ18YT</t>
  </si>
  <si>
    <t>B06XYSFCJV</t>
  </si>
  <si>
    <t>CA-LYQ2015R0</t>
  </si>
  <si>
    <t>X001OJ4OMR</t>
  </si>
  <si>
    <t>B06XZ46385</t>
  </si>
  <si>
    <t>CS-DSW002W0M</t>
  </si>
  <si>
    <t>X000UGI2YB</t>
  </si>
  <si>
    <t>B014QP914A</t>
  </si>
  <si>
    <t>CS-MCCL031-R0-L</t>
  </si>
  <si>
    <t>X001OQ17G1</t>
  </si>
  <si>
    <t>B079B5XTJ6</t>
  </si>
  <si>
    <t>CS-MCCL031-R0-M</t>
  </si>
  <si>
    <t>X001OQ17WZ</t>
  </si>
  <si>
    <t>B079BHZJJ4</t>
  </si>
  <si>
    <t>CS-MCCL031-R0-S</t>
  </si>
  <si>
    <t>X001OQ1U4F</t>
  </si>
  <si>
    <t>B079BC8T57</t>
  </si>
  <si>
    <t>CS-MCCL031-R0-XL</t>
  </si>
  <si>
    <t>X001OQ0TIX</t>
  </si>
  <si>
    <t>B079BP4MD1</t>
  </si>
  <si>
    <t>CS-MCCL031-R0-XXL</t>
  </si>
  <si>
    <t>X001OQ1G5N</t>
  </si>
  <si>
    <t>B079BD349J</t>
  </si>
  <si>
    <t>CS-MCCL150-E0-2XL</t>
  </si>
  <si>
    <t>X001OLV1IF</t>
  </si>
  <si>
    <t>B0798Q44LZ</t>
  </si>
  <si>
    <t>CS-MCCL150-E0-XL</t>
  </si>
  <si>
    <t>X001ONT5R7</t>
  </si>
  <si>
    <t>B0798PJ2W3</t>
  </si>
  <si>
    <t>CS-MCCL150-K0-2XL</t>
  </si>
  <si>
    <t>X001OLV17B</t>
  </si>
  <si>
    <t>B0798QDDBQ</t>
  </si>
  <si>
    <t>CS-MCCL150-K0-XL</t>
  </si>
  <si>
    <t>X001ONEZLD</t>
  </si>
  <si>
    <t>B0798NNPDY</t>
  </si>
  <si>
    <t>CS-MCCL150-R0-2XL</t>
  </si>
  <si>
    <t>X001OMUU4F</t>
  </si>
  <si>
    <t>B0798MWQ2N</t>
  </si>
  <si>
    <t>CS-MCCL150-R0-XL</t>
  </si>
  <si>
    <t>X001OMUU4P</t>
  </si>
  <si>
    <t>B0798NP7DR</t>
  </si>
  <si>
    <t>CX-MCZQP01-P0-L</t>
  </si>
  <si>
    <t>X001QEGE87</t>
  </si>
  <si>
    <t>B07BM1J5HY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</si>
  <si>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</si>
  <si>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</si>
  <si>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</si>
  <si>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</si>
  <si>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</si>
  <si>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</si>
  <si>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</si>
  <si>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</si>
  <si>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</si>
  <si>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</si>
  <si>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</si>
  <si>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</si>
  <si>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CX-TW401-green-L-MX</t>
  </si>
  <si>
    <t>X001EDELHV</t>
  </si>
  <si>
    <t>B01N56X3AK</t>
  </si>
  <si>
    <t>CX-TW401-green-M-MX</t>
  </si>
  <si>
    <t>X001EEDTS7</t>
  </si>
  <si>
    <t>B01N1JWMFJ</t>
  </si>
  <si>
    <t>CX-TW401-green-XL-MX</t>
  </si>
  <si>
    <t>X001EERWB7</t>
  </si>
  <si>
    <t>B01MQNNSX3</t>
  </si>
  <si>
    <t>CX-TW401-grey-L-MX</t>
  </si>
  <si>
    <t>X001EEQQ37</t>
  </si>
  <si>
    <t>B01MZWUY7R</t>
  </si>
  <si>
    <t>CX-TW4600-coffee-M</t>
  </si>
  <si>
    <t>X001MOWCBT</t>
  </si>
  <si>
    <t>B06XZ87DKR</t>
  </si>
  <si>
    <t>CX-TW4600-green-XL</t>
  </si>
  <si>
    <t>X001F3MZMD</t>
  </si>
  <si>
    <t>B06XZ69DFK</t>
  </si>
  <si>
    <t>MiYang Women's Blue Stripe Beach Pant Bikini Bottom Adjustable Tie Boy Short XL (Waist 33.5"-35.5")</t>
  </si>
  <si>
    <t>DK-HM1789-B0TW-L</t>
  </si>
  <si>
    <t>X001E3OZ4F</t>
  </si>
  <si>
    <t>B06XDLFFMP</t>
  </si>
  <si>
    <t>MiYang Women's Blue Stripe Beach Pant Bikini Bottom Adjustable Tie Boy Short M (Waist 28.5"-30.5")</t>
  </si>
  <si>
    <t>DK-HM1789-B0TW-M</t>
  </si>
  <si>
    <t>X001E3OZ95</t>
  </si>
  <si>
    <t>B06XD9B536</t>
  </si>
  <si>
    <t>MiYang Women's Blue Stripe Beach Pant Bikini Bottom Adjustable Tie Boy Short S (Waist 26"-28.5")</t>
  </si>
  <si>
    <t>DK-HM1789-B0TW-S</t>
  </si>
  <si>
    <t>X001E622SD</t>
  </si>
  <si>
    <t>B06XDLG3ZL</t>
  </si>
  <si>
    <t>MiYang Women's Blue Stripe Beach Pant Bikini Bottom Adjustable Tie Boy Short XS (Waist 24"-26")</t>
  </si>
  <si>
    <t>MiYang Women's Blue Stripe Beach Pant Bikini Bottom Adjustable Tie Boy Short L (Waist 30.5"-33.5")</t>
  </si>
  <si>
    <t>MiYang Women's Solid Blue Beach Pant Bikini Bottom Adjustable Tie Boy Short XL (Waist 33.5"-35.5")</t>
  </si>
  <si>
    <t>DK-HM1789-BD-2XL</t>
  </si>
  <si>
    <t>X001B36KOV</t>
  </si>
  <si>
    <t>B01N77TYF0</t>
  </si>
  <si>
    <t>MiYang Women's Polka Dot Pant Bikini Bottom Adjustable Tie Boy Short XL (Waist 33.5"-35.5")</t>
  </si>
  <si>
    <t>MiYang Women's White Floral Beach Pant Bikini Bottom Adjustable Tie Boy Short XL (Waist 33.5"-35.5")</t>
  </si>
  <si>
    <t>MiYang Women's White Floral Beach Pant Bikini Bottom Adjustable Tie Boy Short M (Waist 28.5"-30.5")</t>
  </si>
  <si>
    <t>DK-HM1789-FL-M</t>
  </si>
  <si>
    <t>X001E3OZ4P</t>
  </si>
  <si>
    <t>B06XDL3NY9</t>
  </si>
  <si>
    <t>MiYang Women's White Floral Beach Pant Bikini Bottom Adjustable Tie Boy Short S (Waist 26"-28.5")</t>
  </si>
  <si>
    <t>MiYang Women's White Floral Beach Pant Bikini Bottom Adjustable Tie Boy Short XS (Waist 24"-26")</t>
  </si>
  <si>
    <t>MiYang Women's White Floral Beach Pant Bikini Bottom Adjustable Tie Boy Short L (Waist 30.5"-33.5")</t>
  </si>
  <si>
    <t>MiYang Women's Beach Pant Bikini Bottom Adjustable Tie Boy Short XL (Waist 33.5"-35.5")</t>
  </si>
  <si>
    <t>DK-HM1789-GZ-L</t>
  </si>
  <si>
    <t>X001E622S3</t>
  </si>
  <si>
    <t>B06XDLFB2J</t>
  </si>
  <si>
    <t>MiYang Women's Beach Pant Bikini Bottom Adjustable Tie Boy Short M (Waist 28.5"-30.5")</t>
  </si>
  <si>
    <t>MiYang Women's Beach Pant Bikini Bottom Adjustable Tie Boy Short S (Waist 26"-28.5")</t>
  </si>
  <si>
    <t>MiYang Women's Beach Pant Bikini Bottom Adjustable Tie Boy Short XS (Waist 24"-26")</t>
  </si>
  <si>
    <t>MiYang Women's Green Beach Pant Bikini Bottom Adjustable Tie Boy Short M (Waist 28.5"-30.5")</t>
  </si>
  <si>
    <t>MiYang Women's Green Beach Pant Bikini Bottom Adjustable Tie Boy Short S (Waist 26"-28.5")</t>
  </si>
  <si>
    <t>MiYang Women's Green Beach Pant Bikini Bottom Adjustable Tie Boy Short XS (Waist 24"-26")</t>
  </si>
  <si>
    <t>MiYang Women's Green Beach Pant Bikini Bottom Adjustable Tie Boy Short L (Waist 30.5"-33.5")</t>
  </si>
  <si>
    <t>DK-HM1789-K0-L</t>
  </si>
  <si>
    <t>X0017B7EAB</t>
  </si>
  <si>
    <t>B01LAVARFU</t>
  </si>
  <si>
    <t>MiYang Women's Solid Black Beach Pant Bikini Bottom Adjustable Tie Boy Short Tag L/US M</t>
  </si>
  <si>
    <t>MiYang Women's Pink Beach Pant Bikini Bottom Adjustable Tie Boy Short XXL (Waist 35.5"-38.5")</t>
  </si>
  <si>
    <t>DK-HM1789-PP-L</t>
  </si>
  <si>
    <t>X001E3OZBD</t>
  </si>
  <si>
    <t>B06XDKCRWD</t>
  </si>
  <si>
    <t>MiYang Women's Beach Pant Bikini Bottom Adjustable Tie Boy Short Tag L/US M</t>
  </si>
  <si>
    <t>MiYang Women's Pink Stripe Beach Pant Bikini Bottom Adjustable Tie Boy Short XL (Waist 33.5"-35.5")</t>
  </si>
  <si>
    <t>DK-HM1789-PiTW-M</t>
  </si>
  <si>
    <t>X001E6IX09</t>
  </si>
  <si>
    <t>B06XDLFXTX</t>
  </si>
  <si>
    <t>MiYang Women's Pink Stripe Beach Pant Bikini Bottom Adjustable Tie Boy Short Tag M/US S</t>
  </si>
  <si>
    <t>MiYang Women's Pink Stripe Beach Pant Bikini Bottom Adjustable Tie Boy Short XS (Waist 24"-26")</t>
  </si>
  <si>
    <t>MiYang Women's Pink Stripe Beach Pant Bikini Bottom Adjustable Tie Boy Short L (Waist 30.5"-33.5")</t>
  </si>
  <si>
    <t>MiYang Women's Red Beach Pant Bikini Bottom Adjustable Tie Boy Short XXL (Waist 35.5"-38.5")</t>
  </si>
  <si>
    <t>MiYang Women's Red Beach Pant Bikini Bottom Adjustable Tie Boy Short S (Waist 26"-28.5")</t>
  </si>
  <si>
    <t>MiYang Women's White Beach Pant Bikini Bottom Adjustable Tie Boy Short XXL (Waist 35.5"-38.5")</t>
  </si>
  <si>
    <t>MiYang Women's White Beach Pant Bikini Bottom Adjustable Tie Boy Short S (Waist 26"-28.5")</t>
  </si>
  <si>
    <t>MiYang Women's Yellow Beach Pant Bikini Bottom Adjustable Tie Boy Short XS (Waist 24"-26")</t>
  </si>
  <si>
    <t>DK-HM1789-Y0-XL</t>
  </si>
  <si>
    <t>X001E2A2U7</t>
  </si>
  <si>
    <t>B06XDL2KS1</t>
  </si>
  <si>
    <t>MiYang Women's Yellow Beach Pant Bikini Bottom Adjustable Tie Boy Short Tag XL/US L</t>
  </si>
  <si>
    <t>MiYang Women's Navy Blue Beach Pant Bikini Bottom Adjustable Tie Boy Short L (Waist 30.5"-33.5")</t>
  </si>
  <si>
    <t>DK-HM1790-Dot-M</t>
  </si>
  <si>
    <t>X001R7U8Q7</t>
  </si>
  <si>
    <t>B07C89XDH9</t>
  </si>
  <si>
    <t>DK-HM1791-Dot-L</t>
  </si>
  <si>
    <t>X001R7RPJ5</t>
  </si>
  <si>
    <t>B07CGDW9SP</t>
  </si>
  <si>
    <t>DK-HM1792-Dot-XL</t>
  </si>
  <si>
    <t>X001R7USBR</t>
  </si>
  <si>
    <t>B07CGNBXL3</t>
  </si>
  <si>
    <t>DK-HM1793-Dot-2XL</t>
  </si>
  <si>
    <t>X001R78Q7P</t>
  </si>
  <si>
    <t>B07CGDRVGK</t>
  </si>
  <si>
    <t>DK-MCCL315-AB-2XL</t>
  </si>
  <si>
    <t>X001QA7K39</t>
  </si>
  <si>
    <t>B07BGX8YX3</t>
  </si>
  <si>
    <t>DK-MCCL315-AB-L</t>
  </si>
  <si>
    <t>X001QB9BSZ</t>
  </si>
  <si>
    <t>B07BGWYFT1</t>
  </si>
  <si>
    <t>DK-MCCL315-AB-M</t>
  </si>
  <si>
    <t>X001QAQRUL</t>
  </si>
  <si>
    <t>B07BGTVJV5</t>
  </si>
  <si>
    <t>DK-MCCL315-AB-S</t>
  </si>
  <si>
    <t>X001QB9C61</t>
  </si>
  <si>
    <t>B07BGRSDDY</t>
  </si>
  <si>
    <t>DK-MCCL315-AB-XL</t>
  </si>
  <si>
    <t>X001QAQBL1</t>
  </si>
  <si>
    <t>B07BH1ZQY3</t>
  </si>
  <si>
    <t>DK-MCCL315-B7-2XL</t>
  </si>
  <si>
    <t>X001QEE1BJ</t>
  </si>
  <si>
    <t>B07BGV6GF1</t>
  </si>
  <si>
    <t>DK-MCCL315-B7-L</t>
  </si>
  <si>
    <t>X001QAR0EN</t>
  </si>
  <si>
    <t>B07BGR6MLZ</t>
  </si>
  <si>
    <t>DK-MCCL315-B7-M</t>
  </si>
  <si>
    <t>X001QA7K2Z</t>
  </si>
  <si>
    <t>B07BGTD779</t>
  </si>
  <si>
    <t>DK-MCCL315-B7-S</t>
  </si>
  <si>
    <t>X001QAR0ED</t>
  </si>
  <si>
    <t>B07BGTD4GX</t>
  </si>
  <si>
    <t>DK-MCCL315-B7-XL</t>
  </si>
  <si>
    <t>X001QEE1AZ</t>
  </si>
  <si>
    <t>B07BGXPKH9</t>
  </si>
  <si>
    <t>DK-MCCL315-BF-2XL</t>
  </si>
  <si>
    <t>X001QAQRUV</t>
  </si>
  <si>
    <t>B07BGR41XW</t>
  </si>
  <si>
    <t>DK-MCCL315-BF-L</t>
  </si>
  <si>
    <t>X001QB8DTD</t>
  </si>
  <si>
    <t>B07BGW9GZ7</t>
  </si>
  <si>
    <t>DK-MCCL315-BF-M</t>
  </si>
  <si>
    <t>X001QB9C5R</t>
  </si>
  <si>
    <t>B07BGR6MM2</t>
  </si>
  <si>
    <t>DK-MCCL315-BF-S</t>
  </si>
  <si>
    <t>X001QARGX3</t>
  </si>
  <si>
    <t>B07BGY76L5</t>
  </si>
  <si>
    <t>DK-MCCL315-BF-XL</t>
  </si>
  <si>
    <t>X001QB9C6L</t>
  </si>
  <si>
    <t>B07BGZRVRZ</t>
  </si>
  <si>
    <t>DK-MCCL315-K0-2XL</t>
  </si>
  <si>
    <t>X001QAQRTH</t>
  </si>
  <si>
    <t>B07BGVC2B5</t>
  </si>
  <si>
    <t>DK-MCCL315-K0-L</t>
  </si>
  <si>
    <t>X001QB9BSP</t>
  </si>
  <si>
    <t>B07BGV9YBD</t>
  </si>
  <si>
    <t>DK-MCCL315-K0-M</t>
  </si>
  <si>
    <t>X001QBBMEB</t>
  </si>
  <si>
    <t>B07BGWYFSW</t>
  </si>
  <si>
    <t>DK-MCCL315-K0-S</t>
  </si>
  <si>
    <t>X001QA7K57</t>
  </si>
  <si>
    <t>B07BGWM8TJ</t>
  </si>
  <si>
    <t>DK-MCCL315-K0-XL</t>
  </si>
  <si>
    <t>X001QAQBLL</t>
  </si>
  <si>
    <t>B07BGRSDDX</t>
  </si>
  <si>
    <t>DK-MCCL315-P0-2XL</t>
  </si>
  <si>
    <t>X001QAQRUB</t>
  </si>
  <si>
    <t>B07BGYKWPD</t>
  </si>
  <si>
    <t>DK-MCCL315-P0-L</t>
  </si>
  <si>
    <t>X001QAQX4V</t>
  </si>
  <si>
    <t>B07BGQR5N4</t>
  </si>
  <si>
    <t>DK-MCCL315-P0-M</t>
  </si>
  <si>
    <t>X001QEE1B9</t>
  </si>
  <si>
    <t>B07BGWYTWC</t>
  </si>
  <si>
    <t>DK-MCCL315-P0-XL</t>
  </si>
  <si>
    <t>X001QAQBLB</t>
  </si>
  <si>
    <t>B07BGQQV8T</t>
  </si>
  <si>
    <t>DK-MCCL315-R0-2XL</t>
  </si>
  <si>
    <t>X001QBBETT</t>
  </si>
  <si>
    <t>B07BGT52BQ</t>
  </si>
  <si>
    <t>DK-MCCL315-R0-L</t>
  </si>
  <si>
    <t>X001QB877V</t>
  </si>
  <si>
    <t>B07BGYB84Y</t>
  </si>
  <si>
    <t>DK-MCCL315-R0-M</t>
  </si>
  <si>
    <t>X001QB8DST</t>
  </si>
  <si>
    <t>B07BGVBYLV</t>
  </si>
  <si>
    <t>DK-MCCL315-R0-S</t>
  </si>
  <si>
    <t>X001QAQRTR</t>
  </si>
  <si>
    <t>B07BGTVC5W</t>
  </si>
  <si>
    <t>DK-MCCL315-R0-XL</t>
  </si>
  <si>
    <t>X001QAQRU1</t>
  </si>
  <si>
    <t>B07BGVR9N5</t>
  </si>
  <si>
    <t>DK-MCCL315-RF-2XL</t>
  </si>
  <si>
    <t>X001QB8DT3</t>
  </si>
  <si>
    <t>B07BGXQC65</t>
  </si>
  <si>
    <t>DK-MCCL315-RF-L</t>
  </si>
  <si>
    <t>X001QA7K4X</t>
  </si>
  <si>
    <t>B07BGXQZSL</t>
  </si>
  <si>
    <t>DK-MCCL315-RF-M</t>
  </si>
  <si>
    <t>X001QB9C6B</t>
  </si>
  <si>
    <t>B07BGWLVL7</t>
  </si>
  <si>
    <t>DK-MCCL315-RF-XL</t>
  </si>
  <si>
    <t>X001QBBME1</t>
  </si>
  <si>
    <t>B07BGXBPYL</t>
  </si>
  <si>
    <t>DK-MCCL315-W0-2XL</t>
  </si>
  <si>
    <t>X001QB877L</t>
  </si>
  <si>
    <t>B07BGXBD9M</t>
  </si>
  <si>
    <t>DK-MCCL315-W0-L</t>
  </si>
  <si>
    <t>X001QAR0E3</t>
  </si>
  <si>
    <t>B07BGT4B2J</t>
  </si>
  <si>
    <t>DK-MCCL315-W0-M</t>
  </si>
  <si>
    <t>X001QBBMDH</t>
  </si>
  <si>
    <t>B07BGWC6DM</t>
  </si>
  <si>
    <t>DK-MCCL315-W0-S</t>
  </si>
  <si>
    <t>X001QARGWT</t>
  </si>
  <si>
    <t>B07BGWM8TB</t>
  </si>
  <si>
    <t>DK-MCCL315-W0-XL</t>
  </si>
  <si>
    <t>X001QBBMDR</t>
  </si>
  <si>
    <t>B07BGT52BM</t>
  </si>
  <si>
    <t>DK-MUCL315-AB-L</t>
  </si>
  <si>
    <t>X001Q3JOET</t>
  </si>
  <si>
    <t>B07BGSTT5N</t>
  </si>
  <si>
    <t>High-Waisted Strappy Side Abstract Print Bikini Bottoms Swimwear Brief for Women Butterfly US 10</t>
  </si>
  <si>
    <t>DK-MUCL315-AB-M</t>
  </si>
  <si>
    <t>X001Q4DYU3</t>
  </si>
  <si>
    <t>B07BGVSTBS</t>
  </si>
  <si>
    <t>High-Waisted Strappy Side Abstract Print Bikini Bottoms Swimwear Brief for Women Butterfly US 8</t>
  </si>
  <si>
    <t>DK-MUCL315-AB-S</t>
  </si>
  <si>
    <t>X001Q37O6J</t>
  </si>
  <si>
    <t>B07BGXJNQ1</t>
  </si>
  <si>
    <t>High-Waisted Strappy Side Abstract Print Bikini Bottoms Swimwear Brief for Women Butterfly US 6</t>
  </si>
  <si>
    <t>DK-MUCL315-AB-XL</t>
  </si>
  <si>
    <t>X001Q37O8H</t>
  </si>
  <si>
    <t>B07BGTVL35</t>
  </si>
  <si>
    <t>High-Waisted Strappy Side Abstract Print Bikini Bottoms Swimwear Brief for Women Butterfly US 12</t>
  </si>
  <si>
    <t>DK-MUCL315-BF-2XL</t>
  </si>
  <si>
    <t>X001Q3KLTL</t>
  </si>
  <si>
    <t>B07BGX4ZNS</t>
  </si>
  <si>
    <t>High-Waisted Strappy Side Floral Bikini Bottoms Swimwear Brief for Women Butterfly US 14</t>
  </si>
  <si>
    <t>DK-MUCL315-BF-L</t>
  </si>
  <si>
    <t>X001Q4DYTT</t>
  </si>
  <si>
    <t>B07BGS79BL</t>
  </si>
  <si>
    <t>High-Waisted Strappy Side Floral Bikini Bottoms Swimwear Brief for Women Butterfly US 10</t>
  </si>
  <si>
    <t>DK-MUCL315-BF-M</t>
  </si>
  <si>
    <t>X001Q4DYUD</t>
  </si>
  <si>
    <t>B07BGR3RT3</t>
  </si>
  <si>
    <t>High-Waisted Strappy Side Floral Bikini Bottoms Swimwear Brief for Women Butterfly US 8</t>
  </si>
  <si>
    <t>DK-MUCL315-BF-S</t>
  </si>
  <si>
    <t>X001Q4EHNV</t>
  </si>
  <si>
    <t>B07BH1R32M</t>
  </si>
  <si>
    <t>High-Waisted Strappy Side Floral Bikini Bottoms Swimwear Brief for Women Butterfly US 6</t>
  </si>
  <si>
    <t>DK-MUCL315-BF-XL</t>
  </si>
  <si>
    <t>X001Q4E475</t>
  </si>
  <si>
    <t>B07BGW9PXK</t>
  </si>
  <si>
    <t>High-Waisted Strappy Side Floral Bikini Bottoms Swimwear Brief for Women Butterfly US 12</t>
  </si>
  <si>
    <t>DK-MUCL315-W0-2XL</t>
  </si>
  <si>
    <t>X001Q4E46L</t>
  </si>
  <si>
    <t>B07BGX343X</t>
  </si>
  <si>
    <t>High-Waisted Strappy Side Bikini Bottoms Swimwear Brief for Women White US 14</t>
  </si>
  <si>
    <t>DK-MUCL315-W0-L</t>
  </si>
  <si>
    <t>X001Q33RD3</t>
  </si>
  <si>
    <t>B07BGX8WCQ</t>
  </si>
  <si>
    <t>High-Waisted Strappy Side Bikini Bottoms Swimwear Brief for Women White US 10</t>
  </si>
  <si>
    <t>DK-MUCL315-W0-M</t>
  </si>
  <si>
    <t>X001Q4ER45</t>
  </si>
  <si>
    <t>B07BGXTMR6</t>
  </si>
  <si>
    <t>High-Waisted Strappy Side Bikini Bottoms Swimwear Brief for Women White US 8</t>
  </si>
  <si>
    <t>DK-MUCL315-W0-S</t>
  </si>
  <si>
    <t>X001Q3KLTV</t>
  </si>
  <si>
    <t>B07BGXJ8W2</t>
  </si>
  <si>
    <t>High-Waisted Strappy Side Bikini Bottoms Swimwear Brief for Women White US 6</t>
  </si>
  <si>
    <t>DK-MUCL315-W0-XL</t>
  </si>
  <si>
    <t>X001Q4DDTZ</t>
  </si>
  <si>
    <t>B07BGY79YB</t>
  </si>
  <si>
    <t>High-Waisted Strappy Side Bikini Bottoms Swimwear Brief for Women White US 12</t>
  </si>
  <si>
    <t>DX-MU410-W0-L</t>
  </si>
  <si>
    <t>X001Q1WT3T</t>
  </si>
  <si>
    <t>B07BFV9V5M</t>
  </si>
  <si>
    <t>MiYang Women's Striped Short Sleeve Casual Tunic T-Shirt Dress</t>
  </si>
  <si>
    <t>DX-TW410-K0-S</t>
  </si>
  <si>
    <t>X001DOS0IR</t>
  </si>
  <si>
    <t>B06Y5NGN8V</t>
  </si>
  <si>
    <t>FBA-YZ5505Da2L</t>
  </si>
  <si>
    <t>X00101MU2F</t>
  </si>
  <si>
    <t>FBA-YZ5505DaS</t>
  </si>
  <si>
    <t>X00101MX3L</t>
  </si>
  <si>
    <t>FBA-YZ5505DaXL</t>
  </si>
  <si>
    <t>X00101MX3B</t>
  </si>
  <si>
    <t>GM-SJ002-Pi</t>
  </si>
  <si>
    <t>X001FWONZV</t>
  </si>
  <si>
    <t>B071ZDN5RM</t>
  </si>
  <si>
    <t>MiYang Women's Beachwear Cover-up Tunic Pom Pom Trim Cover Up US Size 0-10</t>
  </si>
  <si>
    <t>GM-SJ002B0</t>
  </si>
  <si>
    <t>X000TVTWUF</t>
  </si>
  <si>
    <t>B013GSZDWM</t>
  </si>
  <si>
    <t>Women's Beachwear Cover-up Tunic Pom Pom Trim Cover up Blue OS</t>
  </si>
  <si>
    <t>GM-SJ002W0</t>
  </si>
  <si>
    <t>X000U0L91F</t>
  </si>
  <si>
    <t>B013GSZGMY</t>
  </si>
  <si>
    <t>MiYang Women's Beachwear Cover-up Tunic Pom Pom Trim Cover up US Size 0-10</t>
  </si>
  <si>
    <t>JK-CL0137-K0-S</t>
  </si>
  <si>
    <t>X001LB6GU1</t>
  </si>
  <si>
    <t>B0765TGXTX</t>
  </si>
  <si>
    <t>MiYang Warm Quilted Lightweight Jacket Padded Short Bomber Jacket Coat For Women Black S</t>
  </si>
  <si>
    <t>JK-CL0137-K0-XL</t>
  </si>
  <si>
    <t>X001LBJNRJ</t>
  </si>
  <si>
    <t>B0765RWDQ6</t>
  </si>
  <si>
    <t>MiYang Warm Quilted Lightweight Jacket Padded Short Bomber Jacket Coat For Women Black XL</t>
  </si>
  <si>
    <t>LYQ-1010DX-B0-2XL</t>
  </si>
  <si>
    <t>X001QZT861</t>
  </si>
  <si>
    <t>B07C3R7YLT</t>
  </si>
  <si>
    <t>MiYang Short Sleeve Loose Swing T-Shirt Dress Tunic Blouse for Women XL Blue</t>
  </si>
  <si>
    <t>LYQ-1010DX-B0-XL</t>
  </si>
  <si>
    <t>X001QZSX9J</t>
  </si>
  <si>
    <t>B07C3VPWQ5</t>
  </si>
  <si>
    <t>MiYang Short Sleeve Loose Swing T-Shirt Dress Tunic Blouse for Women l Blue</t>
  </si>
  <si>
    <t>LYQ-1010DX-BD-2XL</t>
  </si>
  <si>
    <t>X001QZSZND</t>
  </si>
  <si>
    <t>B07C3PRJCV</t>
  </si>
  <si>
    <t>Short Sleeve Loose Swing T-Shirt Dress Tunic Blouse for Women XL Wine Red</t>
  </si>
  <si>
    <t>LYQ-1010DX-BD-L</t>
  </si>
  <si>
    <t>X001QZTTDX</t>
  </si>
  <si>
    <t>B07C3RWY9B</t>
  </si>
  <si>
    <t>MiYang Short Sleeve Loose Swing T-Shirt Dress Tunic Blouse for Women m Wine Red</t>
  </si>
  <si>
    <t>LYQ-1010DX-C0-2XL</t>
  </si>
  <si>
    <t>X001QZFPS1</t>
  </si>
  <si>
    <t>B07C3YM27B</t>
  </si>
  <si>
    <t>LYQ-1010DX-C0-L</t>
  </si>
  <si>
    <t>X001QZ3VE1</t>
  </si>
  <si>
    <t>B07C3T8N8R</t>
  </si>
  <si>
    <t>LYQ-1010DX-C0-M</t>
  </si>
  <si>
    <t>X001QZFPSL</t>
  </si>
  <si>
    <t>B07C3P4GJL</t>
  </si>
  <si>
    <t>LYQ-1010DX-C0-S</t>
  </si>
  <si>
    <t>X001QZFPSB</t>
  </si>
  <si>
    <t>B07C3W6N7K</t>
  </si>
  <si>
    <t>LYQ-1010DX-C0-XL</t>
  </si>
  <si>
    <t>X001QZTMXZ</t>
  </si>
  <si>
    <t>B07C3PJYWT</t>
  </si>
  <si>
    <t>LYQ-1010DX-E0-2XL</t>
  </si>
  <si>
    <t>X001QZTMYT</t>
  </si>
  <si>
    <t>B07C3YFPWW</t>
  </si>
  <si>
    <t>MiYang Short Sleeve Loose Swing T-Shirt Dress Tunic Blouse for Women XL Pink</t>
  </si>
  <si>
    <t>LYQ-1010DX-K0-2XL</t>
  </si>
  <si>
    <t>X001QZ3VMN</t>
  </si>
  <si>
    <t>B07C3TJM8F</t>
  </si>
  <si>
    <t>MiYang Short Sleeve Loose Swing T-Shirt Dress Tunic Blouse for Women XL Black</t>
  </si>
  <si>
    <t>LYQ-1010DX-LP-2XL</t>
  </si>
  <si>
    <t>X001QZTH0D</t>
  </si>
  <si>
    <t>B07CC447J1</t>
  </si>
  <si>
    <t>LYQ-1010DX-LP-L</t>
  </si>
  <si>
    <t>X001QZ1AIP</t>
  </si>
  <si>
    <t>B07CFQJRM2</t>
  </si>
  <si>
    <t>LYQ-1010DX-LP-M</t>
  </si>
  <si>
    <t>X001QZSZNN</t>
  </si>
  <si>
    <t>B07C3YTS7T</t>
  </si>
  <si>
    <t>LYQ-1010DX-LP-S</t>
  </si>
  <si>
    <t>X001QZ3VMX</t>
  </si>
  <si>
    <t>B07C3SWHYT</t>
  </si>
  <si>
    <t>LYQ-1010DX-LP-XL</t>
  </si>
  <si>
    <t>X001QZSYB1</t>
  </si>
  <si>
    <t>B07C3QHSKK</t>
  </si>
  <si>
    <t>LYQ-1010DX-P0-2XL</t>
  </si>
  <si>
    <t>X001QZ1AJ9</t>
  </si>
  <si>
    <t>B07C3T59BR</t>
  </si>
  <si>
    <t>LYQ-1010DX-P0-L</t>
  </si>
  <si>
    <t>X001QZTTDN</t>
  </si>
  <si>
    <t>B07C3WC99C</t>
  </si>
  <si>
    <t>LYQ-1010DX-P0-M</t>
  </si>
  <si>
    <t>X001QZTH0N</t>
  </si>
  <si>
    <t>B07C3WM5PN</t>
  </si>
  <si>
    <t>LYQ-1010DX-P0-S</t>
  </si>
  <si>
    <t>X001QZ1A53</t>
  </si>
  <si>
    <t>B07C3VYG2F</t>
  </si>
  <si>
    <t>LYQ-1010DX-P0-XL</t>
  </si>
  <si>
    <t>X001QZ1AAX</t>
  </si>
  <si>
    <t>B07C3P4KFH</t>
  </si>
  <si>
    <t>LYQ-1010DX-PI-2XL</t>
  </si>
  <si>
    <t>X001QZ3VEL</t>
  </si>
  <si>
    <t>B07C3X685Q</t>
  </si>
  <si>
    <t>LYQ-1010DX-PI-L</t>
  </si>
  <si>
    <t>X001QZSYBB</t>
  </si>
  <si>
    <t>B07C3NYFK5</t>
  </si>
  <si>
    <t>LYQ-1010DX-PI-M</t>
  </si>
  <si>
    <t>X001QZ1AFD</t>
  </si>
  <si>
    <t>B07C3WBZ38</t>
  </si>
  <si>
    <t>LYQ-1010DX-PI-S</t>
  </si>
  <si>
    <t>X001QZT6FJ</t>
  </si>
  <si>
    <t>B07C3WC49Q</t>
  </si>
  <si>
    <t>LYQ-1010DX-PI-XL</t>
  </si>
  <si>
    <t>X001QZSYAH</t>
  </si>
  <si>
    <t>B07CC3WTWH</t>
  </si>
  <si>
    <t>LYQ-1010DX-TL-2XL</t>
  </si>
  <si>
    <t>X001QZT6F9</t>
  </si>
  <si>
    <t>B07C3VH9T8</t>
  </si>
  <si>
    <t>LYQ-1010DX-TL-L</t>
  </si>
  <si>
    <t>X001QZ3VI7</t>
  </si>
  <si>
    <t>B07C3YBVC4</t>
  </si>
  <si>
    <t>LYQ-1010DX-TL-M</t>
  </si>
  <si>
    <t>X001QZSZNX</t>
  </si>
  <si>
    <t>B07C3N7W6P</t>
  </si>
  <si>
    <t>LYQ-1010DX-TL-S</t>
  </si>
  <si>
    <t>X001QZ1AF3</t>
  </si>
  <si>
    <t>B07C3Y6QKD</t>
  </si>
  <si>
    <t>LYQ-1010DX-TL-XL</t>
  </si>
  <si>
    <t>X001QZTH03</t>
  </si>
  <si>
    <t>B07C3RT543</t>
  </si>
  <si>
    <t>LYQ-1010DX-Y0-2XL</t>
  </si>
  <si>
    <t>X001QZSX9T</t>
  </si>
  <si>
    <t>B07CFQGMWC</t>
  </si>
  <si>
    <t>LYQ-1010DX-Y0-L</t>
  </si>
  <si>
    <t>X001QZ1A4T</t>
  </si>
  <si>
    <t>B07C3RT4KP</t>
  </si>
  <si>
    <t>LYQ-1010DX-Y0-M</t>
  </si>
  <si>
    <t>X001QZTMYJ</t>
  </si>
  <si>
    <t>B07C3SGQXR</t>
  </si>
  <si>
    <t>LYQ-1010DX-Y0-S</t>
  </si>
  <si>
    <t>X001QZTMXP</t>
  </si>
  <si>
    <t>B07C3SQWH1</t>
  </si>
  <si>
    <t>LYQ-1010DX-Y0-XL</t>
  </si>
  <si>
    <t>X001QZTTE7</t>
  </si>
  <si>
    <t>B07CFQHLPM</t>
  </si>
  <si>
    <t>LYQ-1010K02L-MX</t>
  </si>
  <si>
    <t>X001EETCXD</t>
  </si>
  <si>
    <t>LYQ-1010K0M-MX</t>
  </si>
  <si>
    <t>X001EEDTTL</t>
  </si>
  <si>
    <t>LYQ-1010K0S-MX</t>
  </si>
  <si>
    <t>X001EESJ23</t>
  </si>
  <si>
    <t>LYQ-1010K0XL-MX</t>
  </si>
  <si>
    <t>X001EERWBR</t>
  </si>
  <si>
    <t>LYQ-1010P02L-MX</t>
  </si>
  <si>
    <t>X001EE9495</t>
  </si>
  <si>
    <t>LYQ-1010P03L-MX</t>
  </si>
  <si>
    <t>X001EEDVYJ</t>
  </si>
  <si>
    <t>LYQ-1010P0S-MX</t>
  </si>
  <si>
    <t>X001EEQQ41</t>
  </si>
  <si>
    <t>LYQ-1010P0XL-MX</t>
  </si>
  <si>
    <t>X001EE95P3</t>
  </si>
  <si>
    <t>LYQ-29CA-G7-S</t>
  </si>
  <si>
    <t>X001DO1CO1</t>
  </si>
  <si>
    <t>B06XZ5SZS5</t>
  </si>
  <si>
    <t>LYQ-29CA-G7-XL</t>
  </si>
  <si>
    <t>X001DNNDBH</t>
  </si>
  <si>
    <t>B06XZ39LMT</t>
  </si>
  <si>
    <t>LYQ-CA1377-blue-S</t>
  </si>
  <si>
    <t>X001FX0935</t>
  </si>
  <si>
    <t>B01MRY6935</t>
  </si>
  <si>
    <t>LYQ-CA1377-grey1-M</t>
  </si>
  <si>
    <t>X001ESUFDP</t>
  </si>
  <si>
    <t>B01N4EO5QD</t>
  </si>
  <si>
    <t>LYQ-CA1377-grey1-S</t>
  </si>
  <si>
    <t>X001ESU2Y7</t>
  </si>
  <si>
    <t>LYQ-CA1377-purple-L</t>
  </si>
  <si>
    <t>X001ESU2YH</t>
  </si>
  <si>
    <t>B01N1SY1E2</t>
  </si>
  <si>
    <t>LYQ-CA1377-purple-M</t>
  </si>
  <si>
    <t>X001ESU2YR</t>
  </si>
  <si>
    <t>LYQ-CA1377-purple-S</t>
  </si>
  <si>
    <t>X001ES7XRL</t>
  </si>
  <si>
    <t>B01N4EPTMN</t>
  </si>
  <si>
    <t>LYQ-CA1377-rose-S</t>
  </si>
  <si>
    <t>X001FWQ0ON</t>
  </si>
  <si>
    <t>B01N4EO5Q7</t>
  </si>
  <si>
    <t>MiYang Women's Sleeveless Round Neck Open Back Slim Cocktail Striped Casual Cute Mini Formal Party Cocktail Dress，Red,S</t>
  </si>
  <si>
    <t>LYQ-CF8512-DKGR-M</t>
  </si>
  <si>
    <t>X001G6Y671</t>
  </si>
  <si>
    <t>B0719CGMD2</t>
  </si>
  <si>
    <t>LYQ-CF8512-DKGR-S</t>
  </si>
  <si>
    <t>X001G71PAB</t>
  </si>
  <si>
    <t>B071S1WPX5</t>
  </si>
  <si>
    <t>LYQ-CF8512-GR-M</t>
  </si>
  <si>
    <t>X001FTUS9T</t>
  </si>
  <si>
    <t>B0716RWRKQ</t>
  </si>
  <si>
    <t>LYQ-CF8512-NAVY-S</t>
  </si>
  <si>
    <t>X001G78P95</t>
  </si>
  <si>
    <t>B071F3FKRP</t>
  </si>
  <si>
    <t>LYQ-CF8512-NAVY-XL</t>
  </si>
  <si>
    <t>X001F0OQU5</t>
  </si>
  <si>
    <t>B071L8QGPN</t>
  </si>
  <si>
    <t>MiYang Womens Casual Loosen T-Shirt Sleeveless Swing Dress Tunic Tank Top Dresses With Two Pockets, X-Large, Navy</t>
  </si>
  <si>
    <t>LYQ-HB1377-grey0-L</t>
  </si>
  <si>
    <t>X001ARRNGR</t>
  </si>
  <si>
    <t>B01N2UM2SW</t>
  </si>
  <si>
    <t>MiYang Women's Long Sleeve Ruffled Casual Loose T-Shirt Dress, Gray, L</t>
  </si>
  <si>
    <t>LYQ-HB1377-grey0-M</t>
  </si>
  <si>
    <t>X001AT4CW3</t>
  </si>
  <si>
    <t>B01MRY5PEV</t>
  </si>
  <si>
    <t>MiYang Women's Long Sleeve Ruffled Casual Loose T-Shirt Dress, Gray, M</t>
  </si>
  <si>
    <t>LYQ-HB1377-grey1-M</t>
  </si>
  <si>
    <t>X001AYOW87</t>
  </si>
  <si>
    <t>MiYang Women's Long Sleeve Ruffled Casual Loose T-Shirt Dress, Dark Grey, M</t>
  </si>
  <si>
    <t>LYQ-HM010-B0YH-M</t>
  </si>
  <si>
    <t>X001J6S46H</t>
  </si>
  <si>
    <t>B074C4TBDT</t>
  </si>
  <si>
    <t>MiYang Women's Casual Flare Floral Sleeveless Party Mini Dress</t>
  </si>
  <si>
    <t>LYQ-HM010-K0-M</t>
  </si>
  <si>
    <t>X001J7K7TX</t>
  </si>
  <si>
    <t>B074C47GGR</t>
  </si>
  <si>
    <t>LYQ-HM1205-KH-S-CA</t>
  </si>
  <si>
    <t>X001LBGITF</t>
  </si>
  <si>
    <t>B0756YM6MX</t>
  </si>
  <si>
    <t>LYQ-HM1205-OR-XL-CA</t>
  </si>
  <si>
    <t>X001LB69WV</t>
  </si>
  <si>
    <t>B0756ZM3FS</t>
  </si>
  <si>
    <t>LYQ-HMCX22-K0-S</t>
  </si>
  <si>
    <t>X001EMPSJR</t>
  </si>
  <si>
    <t>B071RFMZBY</t>
  </si>
  <si>
    <t>MiYang Turtleneck燣oose Tunic Top燙asual Swing Mini燚ress For Women With Trumpet Sleeves Grey Small</t>
  </si>
  <si>
    <t>MiYang Turtleneck燣oose Tunic Top燙asual Swing Mini燚ress For Women With Trumpet Sleeves Black Large</t>
  </si>
  <si>
    <t>MiYang Turtleneck燣oose Tunic Top燙asual Swing Mini燚ress For Women With Trumpet Sleeves Black Medium</t>
  </si>
  <si>
    <t>MiYang Turtleneck燣oose Tunic Top燙asual Swing Mini燚ress For Women With Trumpet Sleeves Black Small</t>
  </si>
  <si>
    <t>MiYang Turtleneck燣oose Tunic Top燙asual Swing Mini燚ress For Women With Trumpet Sleeves Black X-Large</t>
  </si>
  <si>
    <t>MiYang Turtleneck燣oose Tunic Top燙asual Swing Mini燚ress For Women With Trumpet Sleeves Dark Red Large</t>
  </si>
  <si>
    <t>MiYang Turtleneck燣oose Tunic Top燙asual Swing Mini燚ress For Women With Trumpet Sleeves Dark Red Medium</t>
  </si>
  <si>
    <t>MiYang Turtleneck燣oose Tunic Top燙asual Swing Mini燚ress For Women With Trumpet Sleeves Dark Red Small</t>
  </si>
  <si>
    <t>MiYang Turtleneck燣oose Tunic Top燙asual Swing Mini燚ress For Women With Trumpet Sleeves Dark Red X-Large</t>
  </si>
  <si>
    <t>LYQ-LB01-Wi-L</t>
  </si>
  <si>
    <t>X001L50SBZ</t>
  </si>
  <si>
    <t>B0761Q8XKG</t>
  </si>
  <si>
    <t>MiYang Turtleneck燣oose Tunic Top燙asual Swing Mini燚ress For Women With Trumpet Sleeves Purplish Red Large</t>
  </si>
  <si>
    <t>LYQ-LB01-Wi-M</t>
  </si>
  <si>
    <t>X001L5138H</t>
  </si>
  <si>
    <t>B0761L9NXY</t>
  </si>
  <si>
    <t>MiYang Turtleneck燣oose Tunic Top燙asual Swing Mini燚ress For Women With Trumpet Sleeves Purplish Red Medium</t>
  </si>
  <si>
    <t>MiYang Turtleneck燣oose Tunic Top燙asual Swing Mini燚ress For Women With Trumpet Sleeves Purplish Red Small</t>
  </si>
  <si>
    <t>MiYang Turtleneck燣oose Tunic Top燙asual Swing Mini燚ress For Women With Trumpet Sleeves Purplish Red X-Large</t>
  </si>
  <si>
    <t>LYQ-MCCS04-CO-2XL</t>
  </si>
  <si>
    <t>X001PLBGAH</t>
  </si>
  <si>
    <t>LYQ-MCCS04-CO-L</t>
  </si>
  <si>
    <t>X001PLBGB1</t>
  </si>
  <si>
    <t>LYQ-MCCS04-CO-M</t>
  </si>
  <si>
    <t>X001PKBZ1D</t>
  </si>
  <si>
    <t>LYQ-MCCS04-CO-XL</t>
  </si>
  <si>
    <t>X001PJ5UDN</t>
  </si>
  <si>
    <t>LYQ-MCMX02-K0-S</t>
  </si>
  <si>
    <t>X001PZOKVP</t>
  </si>
  <si>
    <t>LYQ-MCMX02-N0-M</t>
  </si>
  <si>
    <t>X001PZOKVF</t>
  </si>
  <si>
    <t>LYQ-MCMX02-N0-S</t>
  </si>
  <si>
    <t>X001PY8T2H</t>
  </si>
  <si>
    <t>LYQ-MCMX02-N0-XL</t>
  </si>
  <si>
    <t>X001PXL3XZ</t>
  </si>
  <si>
    <t>LYQ-MCMX02-P0-M</t>
  </si>
  <si>
    <t>X001PZOOX9</t>
  </si>
  <si>
    <t>LYQ-MCMX02-P0-S</t>
  </si>
  <si>
    <t>X001PXL3XF</t>
  </si>
  <si>
    <t>LYQ-MCMX02-R0-L</t>
  </si>
  <si>
    <t>X001PZOCJP</t>
  </si>
  <si>
    <t>LYQ-MCMX02-R0-S</t>
  </si>
  <si>
    <t>X001PXL3XP</t>
  </si>
  <si>
    <t>LYQ-MCTW03-B0-L</t>
  </si>
  <si>
    <t>X001PY8ALH</t>
  </si>
  <si>
    <t>LYQ-MCTW03-B0-M</t>
  </si>
  <si>
    <t>X001PZOUDX</t>
  </si>
  <si>
    <t>LYQ-MCTW03-B0-S</t>
  </si>
  <si>
    <t>X001PZNKDJ</t>
  </si>
  <si>
    <t>LYQ-MCTW03-B0-XL</t>
  </si>
  <si>
    <t>X001PXLHI1</t>
  </si>
  <si>
    <t>LYQ-MCTW03-B0-XXL</t>
  </si>
  <si>
    <t>X001PZOD21</t>
  </si>
  <si>
    <t>LYQ-MCTW03-K0-L</t>
  </si>
  <si>
    <t>X001PZOIUN</t>
  </si>
  <si>
    <t>LYQ-MCTW03-K0-M</t>
  </si>
  <si>
    <t>X001PZNTAX</t>
  </si>
  <si>
    <t>LYQ-MCTW03-K0-S</t>
  </si>
  <si>
    <t>X001PZNZW5</t>
  </si>
  <si>
    <t>LYQ-MCTW03-K0-XL</t>
  </si>
  <si>
    <t>X001PZOIUD</t>
  </si>
  <si>
    <t>LYQ-MCTW03-K0-XXL</t>
  </si>
  <si>
    <t>X001PYBBOZ</t>
  </si>
  <si>
    <t>LYQ-MCZQ604-B0-L</t>
  </si>
  <si>
    <t>X001QLHF0L</t>
  </si>
  <si>
    <t>B07BS58FFW</t>
  </si>
  <si>
    <t>LYQ-MCZQ604-BL-L</t>
  </si>
  <si>
    <t>X001QLHFER</t>
  </si>
  <si>
    <t>B07BS4HV2H</t>
  </si>
  <si>
    <t>LYQ-MCZQ604-BL-M</t>
  </si>
  <si>
    <t>X001QM840P</t>
  </si>
  <si>
    <t>B07BS7KFZH</t>
  </si>
  <si>
    <t>LYQ-MCZQ604-BL-S</t>
  </si>
  <si>
    <t>X001QLW0U1</t>
  </si>
  <si>
    <t>B07BSCJJM4</t>
  </si>
  <si>
    <t>LYQ-MCZQ604-BL-XL</t>
  </si>
  <si>
    <t>X001QLHFOH</t>
  </si>
  <si>
    <t>B07BSGKFBX</t>
  </si>
  <si>
    <t>LYQ-MCZQ604-BT-L</t>
  </si>
  <si>
    <t>X001QL316D</t>
  </si>
  <si>
    <t>B07BS9NPQR</t>
  </si>
  <si>
    <t>LYQ-MCZQ604-O0-L</t>
  </si>
  <si>
    <t>X001QLW0TR</t>
  </si>
  <si>
    <t>B07BS92DW1</t>
  </si>
  <si>
    <t>LYQ-MCZQ604-O0-M</t>
  </si>
  <si>
    <t>X001QLHF3N</t>
  </si>
  <si>
    <t>B07BSGWKB2</t>
  </si>
  <si>
    <t>LYQ-MCZQ604-O0-S</t>
  </si>
  <si>
    <t>X001QLHFOR</t>
  </si>
  <si>
    <t>B07BSCKKKN</t>
  </si>
  <si>
    <t>LYQ-MCZQ604-O0-XL</t>
  </si>
  <si>
    <t>X001QM84ZP</t>
  </si>
  <si>
    <t>B07BSB34TT</t>
  </si>
  <si>
    <t>LYQ-MCZQ819-ZL-S</t>
  </si>
  <si>
    <t>X001OJIXUV</t>
  </si>
  <si>
    <t>B0795SCLZL</t>
  </si>
  <si>
    <t>LYQ-MU1058-B7-L</t>
  </si>
  <si>
    <t>X001RWOZJ3</t>
  </si>
  <si>
    <t>B07CY5TMZH</t>
  </si>
  <si>
    <t>LYQ-MU1058-B7-M</t>
  </si>
  <si>
    <t>X001RWO60V</t>
  </si>
  <si>
    <t>B07CXT8274</t>
  </si>
  <si>
    <t>LYQ-MU1058-B7-S</t>
  </si>
  <si>
    <t>X001RWQZUP</t>
  </si>
  <si>
    <t>B07CXXHYMH</t>
  </si>
  <si>
    <t>LYQ-MU1058-B7-XL</t>
  </si>
  <si>
    <t>X001RWS07B</t>
  </si>
  <si>
    <t>B07CXP7NL8</t>
  </si>
  <si>
    <t>LYQ-MU1058-B7-XS</t>
  </si>
  <si>
    <t>X001RWO615</t>
  </si>
  <si>
    <t>B07CXQLPZG</t>
  </si>
  <si>
    <t>LYQ-MU1058-B7-XXL</t>
  </si>
  <si>
    <t>X001RWKCOZ</t>
  </si>
  <si>
    <t>B07CXQQ14Q</t>
  </si>
  <si>
    <t>LYQ-MU1058-DG-L</t>
  </si>
  <si>
    <t>X001RWKD2L</t>
  </si>
  <si>
    <t>B07CXPCYMT</t>
  </si>
  <si>
    <t>LYQ-MU1058-DG-M</t>
  </si>
  <si>
    <t>X001RWQHDZ</t>
  </si>
  <si>
    <t>B07CXSJD98</t>
  </si>
  <si>
    <t>LYQ-MU1058-DG-S</t>
  </si>
  <si>
    <t>X001RWQHDP</t>
  </si>
  <si>
    <t>B07CXRR113</t>
  </si>
  <si>
    <t>LYQ-MU1058-DG-XL</t>
  </si>
  <si>
    <t>X001RWOZ07</t>
  </si>
  <si>
    <t>B07CXNBYL8</t>
  </si>
  <si>
    <t>LYQ-MU1058-DG-XS</t>
  </si>
  <si>
    <t>X001RWQZUZ</t>
  </si>
  <si>
    <t>B07CXRYGDR</t>
  </si>
  <si>
    <t>LYQ-MU1058-DG-XXL</t>
  </si>
  <si>
    <t>X001RWRZEF</t>
  </si>
  <si>
    <t>B07CXV5NSQ</t>
  </si>
  <si>
    <t>LYQ-MU1058-Z0-L</t>
  </si>
  <si>
    <t>X001RWKCOP</t>
  </si>
  <si>
    <t>B07CXNKJSY</t>
  </si>
  <si>
    <t>LYQ-MU1058-Z0-M</t>
  </si>
  <si>
    <t>X001RWOYMB</t>
  </si>
  <si>
    <t>B07CY27DW9</t>
  </si>
  <si>
    <t>LYQ-MU1058-Z0-S</t>
  </si>
  <si>
    <t>X001RWOYZX</t>
  </si>
  <si>
    <t>B07CXSX9Z8</t>
  </si>
  <si>
    <t>LYQ-MU1058-Z0-XL</t>
  </si>
  <si>
    <t>X001RWKLWD</t>
  </si>
  <si>
    <t>B07CXN5PQM</t>
  </si>
  <si>
    <t>LYQ-MU1058-Z0-XS</t>
  </si>
  <si>
    <t>X001RWQZUF</t>
  </si>
  <si>
    <t>B07CXX5C4H</t>
  </si>
  <si>
    <t>LYQ-MU1058-Z0-XXL</t>
  </si>
  <si>
    <t>X001RWOZ0H</t>
  </si>
  <si>
    <t>B07CXSJLZJ</t>
  </si>
  <si>
    <t>LYQ-MU1059-N0-2XL</t>
  </si>
  <si>
    <t>X001RXZZ3R</t>
  </si>
  <si>
    <t>B07CYMJPP4</t>
  </si>
  <si>
    <t>LYQ-MU1059-N0-L</t>
  </si>
  <si>
    <t>X001RYHXBX</t>
  </si>
  <si>
    <t>B07CYR43N4</t>
  </si>
  <si>
    <t>LYQ-MU1059-N0-M</t>
  </si>
  <si>
    <t>X001RYCTKX</t>
  </si>
  <si>
    <t>B07CYKMJJC</t>
  </si>
  <si>
    <t>Short Sleeve V Neck Casual Flare Tunic Top Loose Blouse for Women</t>
  </si>
  <si>
    <t>LYQ-MU1059-N0-S</t>
  </si>
  <si>
    <t>X001RYCTL7</t>
  </si>
  <si>
    <t>B07CYQJP8X</t>
  </si>
  <si>
    <t>LYQ-MU1059-N0-XL</t>
  </si>
  <si>
    <t>X001RXRHTH</t>
  </si>
  <si>
    <t>B07CYGSYLL</t>
  </si>
  <si>
    <t>LYQ-MU1059-N0-XS</t>
  </si>
  <si>
    <t>X001RYHK4X</t>
  </si>
  <si>
    <t>B07CYQNCS2</t>
  </si>
  <si>
    <t>LYQ-MU1059-P0-2XL</t>
  </si>
  <si>
    <t>X001RXRHTR</t>
  </si>
  <si>
    <t>B07CYWRV4J</t>
  </si>
  <si>
    <t>LYQ-MU1059-P0-L</t>
  </si>
  <si>
    <t>X001RXRHU1</t>
  </si>
  <si>
    <t>B07CYFP393</t>
  </si>
  <si>
    <t>LYQ-MU1059-P0-M</t>
  </si>
  <si>
    <t>X001RYCZW5</t>
  </si>
  <si>
    <t>B07CYLZT8F</t>
  </si>
  <si>
    <t>LYQ-MU1059-P0-S</t>
  </si>
  <si>
    <t>X001RYHXBN</t>
  </si>
  <si>
    <t>B07CYKHFB6</t>
  </si>
  <si>
    <t>LYQ-MU1059-P0-XL</t>
  </si>
  <si>
    <t>X001RYBP2B</t>
  </si>
  <si>
    <t>B07CZ1BNSM</t>
  </si>
  <si>
    <t>LYQ-MU1059-P0-XS</t>
  </si>
  <si>
    <t>X001RYBLKR</t>
  </si>
  <si>
    <t>B07CYNMN26</t>
  </si>
  <si>
    <t>LYQ-MUCL628-BD-L</t>
  </si>
  <si>
    <t>X001QQZZ85</t>
  </si>
  <si>
    <t>B07BWGR37K</t>
  </si>
  <si>
    <t>MiYang Short Sleeve Cold Shoulder T-Shirt Dress Solid Color Tunics with Pockets for Women Wine Red L (US8-10)</t>
  </si>
  <si>
    <t>LYQ-MUCL628-BD-M</t>
  </si>
  <si>
    <t>X001QR3F63</t>
  </si>
  <si>
    <t>B07CB4P8BQ</t>
  </si>
  <si>
    <t>Short Sleeve Cold Shoulder T-Shirt Dress Solid Color Tunics with Pockets for Women Wine Red M (US4-6)</t>
  </si>
  <si>
    <t>LYQ-MUCL628-BD-XL</t>
  </si>
  <si>
    <t>X001QQZZ7L</t>
  </si>
  <si>
    <t>B07BW1G73B</t>
  </si>
  <si>
    <t>MiYang Short Sleeve Cold Shoulder T-Shirt Dress Solid Color Tunics with Pockets for Women Wine Red XL (US12-14)</t>
  </si>
  <si>
    <t>LYQ-MUCL628-E0-L</t>
  </si>
  <si>
    <t>X001QQGV5V</t>
  </si>
  <si>
    <t>B07CB4G7TY</t>
  </si>
  <si>
    <t>MiYang Short Sleeve Cold Shoulder T-Shirt Dress Solid Color Tunics with Pockets for Women Grey L (US8-10)</t>
  </si>
  <si>
    <t>LYQ-MUCL628-G0-S</t>
  </si>
  <si>
    <t>X001QR3F8V</t>
  </si>
  <si>
    <t>B07BWBJVB6</t>
  </si>
  <si>
    <t>MiYang Short Sleeve Cold Shoulder T-Shirt Dress Solid Color Tunics with Pockets for Women Green S (US0-2)</t>
  </si>
  <si>
    <t>LYQ-MUCL628-G7-L</t>
  </si>
  <si>
    <t>X001QR6TIJ</t>
  </si>
  <si>
    <t>B07BWF7M3X</t>
  </si>
  <si>
    <t>MiYang Short Sleeve Cold Shoulder T-Shirt Dress Solid Color Tunics with Pockets for Women Army Green L (US8-10)</t>
  </si>
  <si>
    <t>LYQ-MUCL628-K0-L</t>
  </si>
  <si>
    <t>X001QR7Y0B</t>
  </si>
  <si>
    <t>B07BWJWFYX</t>
  </si>
  <si>
    <t>MiYang Short Sleeve Cold Shoulder T-Shirt Dress Solid Color Tunics with Pockets for Women Black L (US8-10)</t>
  </si>
  <si>
    <t>LYQ-MUCL628-K0-M</t>
  </si>
  <si>
    <t>X001QR4OI1</t>
  </si>
  <si>
    <t>B07BWBLL22</t>
  </si>
  <si>
    <t>Short Sleeve Cold Shoulder T-Shirt Dress Solid Color Tunics with Pockets for Women Black M (US4-6)</t>
  </si>
  <si>
    <t>LYQ-MUCL628-K0-XL</t>
  </si>
  <si>
    <t>X001QQGV15</t>
  </si>
  <si>
    <t>B07BVZGRNR</t>
  </si>
  <si>
    <t>MiYang Short Sleeve Cold Shoulder T-Shirt Dress Solid Color Tunics with Pockets for Women Black XL (US12-14)</t>
  </si>
  <si>
    <t>LYQ-MUCL628-OR-M</t>
  </si>
  <si>
    <t>X001QR4OQN</t>
  </si>
  <si>
    <t>B07BWGR37C</t>
  </si>
  <si>
    <t>LYQ-MUCL628-R0-L</t>
  </si>
  <si>
    <t>X001QQZW7T</t>
  </si>
  <si>
    <t>B07CDQXH89</t>
  </si>
  <si>
    <t>MiYang Short Sleeve Cold Shoulder T-Shirt Dress Solid Color Tunics with Pockets for Women Red L (US8-10)</t>
  </si>
  <si>
    <t>LYQ-MUCL628-R0-M</t>
  </si>
  <si>
    <t>X001QR6THP</t>
  </si>
  <si>
    <t>B07BWDCGXB</t>
  </si>
  <si>
    <t>Short Sleeve Cold Shoulder T-Shirt Dress Solid Color Tunics with Pockets for Women Red M (US4-6)</t>
  </si>
  <si>
    <t>LYQ-MUCL628-Y0-L</t>
  </si>
  <si>
    <t>X001QR4OQX</t>
  </si>
  <si>
    <t>B07BW974B8</t>
  </si>
  <si>
    <t>LYQ-MUCL628-Y0-M</t>
  </si>
  <si>
    <t>X001QR6TI9</t>
  </si>
  <si>
    <t>B07BWDDZPH</t>
  </si>
  <si>
    <t>LYQ-MUCL628-Y0-S</t>
  </si>
  <si>
    <t>X001QR3F8L</t>
  </si>
  <si>
    <t>B07BWFBHSD</t>
  </si>
  <si>
    <t>LYQ-MUCL628-Y0-XL</t>
  </si>
  <si>
    <t>X001QR4OH7</t>
  </si>
  <si>
    <t>B07BWFLSS2</t>
  </si>
  <si>
    <t>LYQ-MY6287-B0-L</t>
  </si>
  <si>
    <t>X001JQA447</t>
  </si>
  <si>
    <t>B074H12K9V</t>
  </si>
  <si>
    <t>MiYang Women's Scoop-Neck Solid Sleeve Short Straight Dress, Sapphire Blue, Large</t>
  </si>
  <si>
    <t>LYQ-MY6287-G0-M</t>
  </si>
  <si>
    <t>X001L8WS5V</t>
  </si>
  <si>
    <t>B074H2H1LQ</t>
  </si>
  <si>
    <t>MiYang Short Sleeve Cold Shoulder T-Shirt Dress Solid Color Tunics with Pockets for Women Green L (US8-10)</t>
  </si>
  <si>
    <t>LYQ-MY6287-P0-L</t>
  </si>
  <si>
    <t>X001J72G51</t>
  </si>
  <si>
    <t>B074GYJYHG</t>
  </si>
  <si>
    <t>LYQ-NA1010-B0-2X</t>
  </si>
  <si>
    <t>X001E183ZJ</t>
  </si>
  <si>
    <t>LYQ-NA1010-B0-L</t>
  </si>
  <si>
    <t>X001EAMNY7</t>
  </si>
  <si>
    <t>LYQ-NA1010-B0-M</t>
  </si>
  <si>
    <t>X001ESYEWX</t>
  </si>
  <si>
    <t>LYQ-NA1010-B0-S</t>
  </si>
  <si>
    <t>X001E183Z9</t>
  </si>
  <si>
    <t>LYQ-NA1010-B0-XL</t>
  </si>
  <si>
    <t>X001EAEAKR</t>
  </si>
  <si>
    <t>LYQ-NA1010-B0-XS</t>
  </si>
  <si>
    <t>X001E1845N</t>
  </si>
  <si>
    <t>LYQ-NA1010-G0-2X</t>
  </si>
  <si>
    <t>X001F1PUYF</t>
  </si>
  <si>
    <t>LYQ-NA1010-G0-M</t>
  </si>
  <si>
    <t>X001F2BQA1</t>
  </si>
  <si>
    <t>LYQ-NA1010-G0-S</t>
  </si>
  <si>
    <t>X001F29OGJ</t>
  </si>
  <si>
    <t>LYQ-NA1010-G0-XL</t>
  </si>
  <si>
    <t>X001F1CYBH</t>
  </si>
  <si>
    <t>LYQ-NA1010-G0-XS</t>
  </si>
  <si>
    <t>X001F2BQ9H</t>
  </si>
  <si>
    <t>LYQ-NA1010-G7-L</t>
  </si>
  <si>
    <t>X001KNPQRJ</t>
  </si>
  <si>
    <t>LYQ-NA1010-G7-M</t>
  </si>
  <si>
    <t>X001E2MRXH</t>
  </si>
  <si>
    <t>LYQ-NA1010-G7-S</t>
  </si>
  <si>
    <t>X001E33NNT</t>
  </si>
  <si>
    <t>LYQ-NA1010-G7-XL</t>
  </si>
  <si>
    <t>X001E2MRTL</t>
  </si>
  <si>
    <t>LYQ-NA1010-G7-XS</t>
  </si>
  <si>
    <t>X001HGPT0N</t>
  </si>
  <si>
    <t>LYQ-NA1010-K0-2X</t>
  </si>
  <si>
    <t>X001DNN7QX</t>
  </si>
  <si>
    <t>LYQ-NA1010-K0-L</t>
  </si>
  <si>
    <t>X001DNNJU7</t>
  </si>
  <si>
    <t>LYQ-NA1010-K0-M</t>
  </si>
  <si>
    <t>X001DO08VT</t>
  </si>
  <si>
    <t>LYQ-NA1010-K0-S</t>
  </si>
  <si>
    <t>X001DNRU61</t>
  </si>
  <si>
    <t>LYQ-NA1010-K0-XL</t>
  </si>
  <si>
    <t>X001DNNJWF</t>
  </si>
  <si>
    <t>LYQ-NA1010-K0-XS</t>
  </si>
  <si>
    <t>X001DOTZC7</t>
  </si>
  <si>
    <t>LYQ-NA1010-KQ-2X</t>
  </si>
  <si>
    <t>X001K1XPIN</t>
  </si>
  <si>
    <t>LYQ-NA1010-KQ-M</t>
  </si>
  <si>
    <t>X001KNQ1YB</t>
  </si>
  <si>
    <t>LYQ-NA1010-KQ-S</t>
  </si>
  <si>
    <t>X001KNQ1DH</t>
  </si>
  <si>
    <t>LYQ-NA1010-KQ-XL</t>
  </si>
  <si>
    <t>X001F3MZLT</t>
  </si>
  <si>
    <t>LYQ-NA1010-KQ-XS</t>
  </si>
  <si>
    <t>X001F1PUYZ</t>
  </si>
  <si>
    <t>LYQ-NA1010-N0-2X</t>
  </si>
  <si>
    <t>X001EAM09P</t>
  </si>
  <si>
    <t>LYQ-NA1010-N0-L</t>
  </si>
  <si>
    <t>X001E27O49</t>
  </si>
  <si>
    <t>LYQ-NA1010-N0-M</t>
  </si>
  <si>
    <t>X001EA5IUN</t>
  </si>
  <si>
    <t>LYQ-NA1010-N0-S</t>
  </si>
  <si>
    <t>X001EAMXU1</t>
  </si>
  <si>
    <t>LYQ-NA1010-N0-XL</t>
  </si>
  <si>
    <t>X001EA5F2T</t>
  </si>
  <si>
    <t>LYQ-NA1010-N0-XS</t>
  </si>
  <si>
    <t>X001EAE8TZ</t>
  </si>
  <si>
    <t>LYQ-NA1010-P0-2X</t>
  </si>
  <si>
    <t>X001DNNSMB</t>
  </si>
  <si>
    <t>LYQ-NA1010-P0-L</t>
  </si>
  <si>
    <t>X001FX14JD</t>
  </si>
  <si>
    <t>LYQ-NA1010-P0-M</t>
  </si>
  <si>
    <t>X001DNN7R7</t>
  </si>
  <si>
    <t>LYQ-NA1010-P0-S</t>
  </si>
  <si>
    <t>X001DNNDC1</t>
  </si>
  <si>
    <t>LYQ-NA1010-P0-XL</t>
  </si>
  <si>
    <t>X001DNQBFR</t>
  </si>
  <si>
    <t>LYQ-NA1010-P0-XS</t>
  </si>
  <si>
    <t>X001DNN7QD</t>
  </si>
  <si>
    <t>LYQ-NA1010-R0-2X</t>
  </si>
  <si>
    <t>X001ESZAXZ</t>
  </si>
  <si>
    <t>LYQ-NA1010-R0-L</t>
  </si>
  <si>
    <t>X001GSXGDJ</t>
  </si>
  <si>
    <t>LYQ-NA1010-R0-M</t>
  </si>
  <si>
    <t>X001ESZAXP</t>
  </si>
  <si>
    <t>LYQ-NA1010-R0-S</t>
  </si>
  <si>
    <t>X001GTX1TH</t>
  </si>
  <si>
    <t>LYQ-NA1010-R0-XL</t>
  </si>
  <si>
    <t>X001ESDDW5</t>
  </si>
  <si>
    <t>LYQ-NA1010-R0-XS</t>
  </si>
  <si>
    <t>X001ESZ3VT</t>
  </si>
  <si>
    <t>LYQ-NA1010-W0-2X</t>
  </si>
  <si>
    <t>X001DNNDBR</t>
  </si>
  <si>
    <t>LYQ-NA1010-W0-L</t>
  </si>
  <si>
    <t>X001DNNSM1</t>
  </si>
  <si>
    <t>LYQ-NA1010-W0-M</t>
  </si>
  <si>
    <t>X001DNNJW5</t>
  </si>
  <si>
    <t>LYQ-NA1010-W0-S</t>
  </si>
  <si>
    <t>X001JRIX7B</t>
  </si>
  <si>
    <t>LYQ-NA1010-W0-XL</t>
  </si>
  <si>
    <t>X001DNRKNT</t>
  </si>
  <si>
    <t>LYQ-NA1010-W0-XS</t>
  </si>
  <si>
    <t>X001DOTZCR</t>
  </si>
  <si>
    <t>LYQ-NA1010-Z0-2X</t>
  </si>
  <si>
    <t>X001F1D4IT</t>
  </si>
  <si>
    <t>LYQ-NA1010-Z0-L</t>
  </si>
  <si>
    <t>X001F1CSNL</t>
  </si>
  <si>
    <t>LYQ-NA1010-Z0-S</t>
  </si>
  <si>
    <t>X001F1D4JD</t>
  </si>
  <si>
    <t>LYQ-NA1010-Z0-XL</t>
  </si>
  <si>
    <t>X001F1LI5P</t>
  </si>
  <si>
    <t>LYQ-NA1010-Z0-XS</t>
  </si>
  <si>
    <t>X001F29OFZ</t>
  </si>
  <si>
    <t>LYQ-ZQ-1188-K0-2XL</t>
  </si>
  <si>
    <t>X001JDUXRD</t>
  </si>
  <si>
    <t>B074NZ3NYK</t>
  </si>
  <si>
    <t>MiYang Women's Fashion Striped Short Sleeves Floral A-line Casual T-Shirt Dress Black XX-Large</t>
  </si>
  <si>
    <t>LYQ-ZQ-1188-K0-S</t>
  </si>
  <si>
    <t>X001JDXGD1</t>
  </si>
  <si>
    <t>B074NYWMX8</t>
  </si>
  <si>
    <t>LYQ-ZQ-1188-K0-XL</t>
  </si>
  <si>
    <t>X001K6C5BB</t>
  </si>
  <si>
    <t>B074NTQ33X</t>
  </si>
  <si>
    <t>LYQ-ZQ-1188-P0-2XL</t>
  </si>
  <si>
    <t>X001K6C5B1</t>
  </si>
  <si>
    <t>B074NWYL8R</t>
  </si>
  <si>
    <t>LYQ-ZQ-1188-P0-L</t>
  </si>
  <si>
    <t>X001K6CLZL</t>
  </si>
  <si>
    <t>B074NWT7PV</t>
  </si>
  <si>
    <t>LYQ-ZQ-1188-P0-XL</t>
  </si>
  <si>
    <t>X001K5U7Y9</t>
  </si>
  <si>
    <t>B074NX5V9Y</t>
  </si>
  <si>
    <t>LYQ-ZQ-1188-W0-2XL</t>
  </si>
  <si>
    <t>X001JDUXVT</t>
  </si>
  <si>
    <t>B074NZY7MP</t>
  </si>
  <si>
    <t>LYQ-ZQ-1188-W0-L</t>
  </si>
  <si>
    <t>X001JDY0WH</t>
  </si>
  <si>
    <t>B074NWH7FK</t>
  </si>
  <si>
    <t>LYQ-ZQ-1188-W0-XL</t>
  </si>
  <si>
    <t>X001K5ZETR</t>
  </si>
  <si>
    <t>B074NX9HDL</t>
  </si>
  <si>
    <t>LYQ-ZQ-1199-K0-L</t>
  </si>
  <si>
    <t>X001JQA50P</t>
  </si>
  <si>
    <t>B074QHLM93</t>
  </si>
  <si>
    <t>LYQ-ZQ-1199-P0-2XL</t>
  </si>
  <si>
    <t>X001KXVNQR</t>
  </si>
  <si>
    <t>B074QJ9G95</t>
  </si>
  <si>
    <t>LYQ-ZQ-1199-W0-L</t>
  </si>
  <si>
    <t>X001JQA4P1</t>
  </si>
  <si>
    <t>B074QDM42S</t>
  </si>
  <si>
    <t>MNQ-N7188-K0-L</t>
  </si>
  <si>
    <t>X001CN8UCP</t>
  </si>
  <si>
    <t>B01MY078OZ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</si>
  <si>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</si>
  <si>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</si>
  <si>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</si>
  <si>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</si>
  <si>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</si>
  <si>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</si>
  <si>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</si>
  <si>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</si>
  <si>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</si>
  <si>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</si>
  <si>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</si>
  <si>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</si>
  <si>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</si>
  <si>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</si>
  <si>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</si>
  <si>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</si>
  <si>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</si>
  <si>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</si>
  <si>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</si>
  <si>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</si>
  <si>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</si>
  <si>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</si>
  <si>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</si>
  <si>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</si>
  <si>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MY-0036NEW-OR</t>
  </si>
  <si>
    <t>X001LBN7JT</t>
  </si>
  <si>
    <t>B07655X3PR</t>
  </si>
  <si>
    <t>MiYang Women's Long Sleeve Turtleneck Cable Knit Sweater Dress Bodycon Pullovers Orange</t>
  </si>
  <si>
    <t>MY-0036NEW-PI</t>
  </si>
  <si>
    <t>X001LBJNJH</t>
  </si>
  <si>
    <t>B07654CLHN</t>
  </si>
  <si>
    <t>MiYang Women's Long Sleeve Turtleneck Cable Knit Sweater Dress Bodycon Pullovers Pink</t>
  </si>
  <si>
    <t>MY-CL1925-G7-XL</t>
  </si>
  <si>
    <t>X001JZR1QR</t>
  </si>
  <si>
    <t>B0752CXYPX</t>
  </si>
  <si>
    <t>MY-HM1206-BR-L</t>
  </si>
  <si>
    <t>X001KNN4YL</t>
  </si>
  <si>
    <t>B075FPYJR2</t>
  </si>
  <si>
    <t>MiYang Women Sweater Pullover V Neck Lace Up Knitted Tops Criss Cross Backless Jumper Army Green Large</t>
  </si>
  <si>
    <t>MY-HM1206-OR-XL</t>
  </si>
  <si>
    <t>X001KNN4YV</t>
  </si>
  <si>
    <t>B075FMW1G2</t>
  </si>
  <si>
    <t>MiYang Women Sweater Pullover V Neck Lace Up Knitted Tops Criss Cross Backless Jumper Orange X-Large</t>
  </si>
  <si>
    <t>MY-ZQ-TWA1-KG-4X</t>
  </si>
  <si>
    <t>X001IFLJG1</t>
  </si>
  <si>
    <t>B074C1L599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</si>
  <si>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</si>
  <si>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</si>
  <si>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</si>
  <si>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</si>
  <si>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</si>
  <si>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</si>
  <si>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</si>
  <si>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</si>
  <si>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</si>
  <si>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MZ-SV2843N5-CA</t>
  </si>
  <si>
    <t>X001N8QCE7</t>
  </si>
  <si>
    <t>B076KJ53HX</t>
  </si>
  <si>
    <t>SJ-ALKQ006G0</t>
  </si>
  <si>
    <t>X000TEKHGP</t>
  </si>
  <si>
    <t>B010SPJS5E</t>
  </si>
  <si>
    <t>SJ-CA205-B0</t>
  </si>
  <si>
    <t>X001O7YBUT</t>
  </si>
  <si>
    <t>SJ-CA205-B0YH</t>
  </si>
  <si>
    <t>X001O8S2M1</t>
  </si>
  <si>
    <t>SJ-CA205-G0</t>
  </si>
  <si>
    <t>X001FX0XW7</t>
  </si>
  <si>
    <t>SJ-CA205-K0</t>
  </si>
  <si>
    <t>X001O8VL7T</t>
  </si>
  <si>
    <t>SJ-CA205-R0</t>
  </si>
  <si>
    <t>X001O8SB7R</t>
  </si>
  <si>
    <t>SJ-HM071-K0G</t>
  </si>
  <si>
    <t>X001EZQE1Z</t>
  </si>
  <si>
    <t>B0713ZQL27</t>
  </si>
  <si>
    <t>MiYang Women Tassel Backless Beach Bikini Cover up Dress Swimsuit</t>
  </si>
  <si>
    <t>SJ-HM071-R2W0</t>
  </si>
  <si>
    <t>X001EZOL2T</t>
  </si>
  <si>
    <t>B0713ZPTBD</t>
  </si>
  <si>
    <t>SJ-HM2017-G0-M</t>
  </si>
  <si>
    <t>X001EU5R9Z</t>
  </si>
  <si>
    <t>B071RTGQMX</t>
  </si>
  <si>
    <t>MiYang Women's Chiffon Kimono Beach Bikini Cover Up Floral Cardigan</t>
  </si>
  <si>
    <t>SJ-HM2400-B0-S</t>
  </si>
  <si>
    <t>X001EUZG0P</t>
  </si>
  <si>
    <t>B071RRNPSD</t>
  </si>
  <si>
    <t>MiYang Women's Sexy Chiffon Swimsuit Cover UPS Sheer Bikini Plus Blouse Blue</t>
  </si>
  <si>
    <t>SJ-MC002-B0</t>
  </si>
  <si>
    <t>X001PV7B1P</t>
  </si>
  <si>
    <t>B07B45SPRL</t>
  </si>
  <si>
    <t>SJ-MC002-Pi</t>
  </si>
  <si>
    <t>X001PVO9HT</t>
  </si>
  <si>
    <t>SJ-MCHM550-B0</t>
  </si>
  <si>
    <t>X001PJ5UBP</t>
  </si>
  <si>
    <t>B07B2VQW6G</t>
  </si>
  <si>
    <t>SJ-MCHM550-G0</t>
  </si>
  <si>
    <t>X001PLB30F</t>
  </si>
  <si>
    <t>B07B2TFFFX</t>
  </si>
  <si>
    <t>SJ-MCHM550-K0</t>
  </si>
  <si>
    <t>X001PLCEYT</t>
  </si>
  <si>
    <t>B07B2V6N8F</t>
  </si>
  <si>
    <t>SJ-MCHM550-W0</t>
  </si>
  <si>
    <t>X001PLBGP7</t>
  </si>
  <si>
    <t>B07B2VGZJG</t>
  </si>
  <si>
    <t>SJ-MCHM550-Y0</t>
  </si>
  <si>
    <t>X001PI1BU5</t>
  </si>
  <si>
    <t>B07B2TN7SZ</t>
  </si>
  <si>
    <t>SJ-MCHM550-ZL</t>
  </si>
  <si>
    <t>X001PJ3YVD</t>
  </si>
  <si>
    <t>B07B2TPKZS</t>
  </si>
  <si>
    <t>SJ-MCZQS01-B0-3XL</t>
  </si>
  <si>
    <t>X001PY9CO1</t>
  </si>
  <si>
    <t>B07BC7V9HL</t>
  </si>
  <si>
    <t>SJ-MCZQS12-K0-L</t>
  </si>
  <si>
    <t>X001OOX86Z</t>
  </si>
  <si>
    <t>B0799L65B5</t>
  </si>
  <si>
    <t>SJ-MU002-B0</t>
  </si>
  <si>
    <t>X001PLDXGR</t>
  </si>
  <si>
    <t>MiYang Women's Pom Pom Trim Kaftan Chiffon Swimwear Beach Cover up US Size 0-10</t>
  </si>
  <si>
    <t>SJ-NA204-G0-2XL</t>
  </si>
  <si>
    <t>X001MPBHPF</t>
  </si>
  <si>
    <t>SJ-NA204-G0-L</t>
  </si>
  <si>
    <t>X001HGQ2ZJ</t>
  </si>
  <si>
    <t>SJ-NA204-G0-M</t>
  </si>
  <si>
    <t>X001FCM4PH</t>
  </si>
  <si>
    <t>SJ-NA204-G0-S</t>
  </si>
  <si>
    <t>X001HG6B0F</t>
  </si>
  <si>
    <t>SJ-NA204-G0-XL</t>
  </si>
  <si>
    <t>X001F1LI5F</t>
  </si>
  <si>
    <t>SJ-NA204-G0-XS</t>
  </si>
  <si>
    <t>X001FCM2KJ</t>
  </si>
  <si>
    <t>SJ-NA204-K0-2XL</t>
  </si>
  <si>
    <t>X001E1843P</t>
  </si>
  <si>
    <t>SJ-NA204-K0-L</t>
  </si>
  <si>
    <t>X001EAMPWH</t>
  </si>
  <si>
    <t>SJ-NA204-K0-M</t>
  </si>
  <si>
    <t>X001F1PQN5</t>
  </si>
  <si>
    <t>SJ-NA204-K0-XL</t>
  </si>
  <si>
    <t>X001EAM6HV</t>
  </si>
  <si>
    <t>SJ-NA204-K0-XS</t>
  </si>
  <si>
    <t>X001EALTCJ</t>
  </si>
  <si>
    <t>SJ-NA204-R0-2XL</t>
  </si>
  <si>
    <t>X001FBGEI1</t>
  </si>
  <si>
    <t>SJ-NA204-R0-L</t>
  </si>
  <si>
    <t>X001MP2A0L</t>
  </si>
  <si>
    <t>SJ-NA204-R0-M</t>
  </si>
  <si>
    <t>X001FBGEFT</t>
  </si>
  <si>
    <t>SJ-NA204-R0-S</t>
  </si>
  <si>
    <t>X001MP26P5</t>
  </si>
  <si>
    <t>SJ-NA204-R0-XL</t>
  </si>
  <si>
    <t>X001F1D4J3</t>
  </si>
  <si>
    <t>SJ-NA204-R0-XS</t>
  </si>
  <si>
    <t>X001GD4X4Z</t>
  </si>
  <si>
    <t>SJ-NA204-W0-2XL</t>
  </si>
  <si>
    <t>X001F1CL01</t>
  </si>
  <si>
    <t>SJ-NA204-W0-L</t>
  </si>
  <si>
    <t>X001MOWKBL</t>
  </si>
  <si>
    <t>SJ-NA204-W0-S</t>
  </si>
  <si>
    <t>X001GDCSLP</t>
  </si>
  <si>
    <t>SJ-NA204-W0-XL</t>
  </si>
  <si>
    <t>X001FCM4P7</t>
  </si>
  <si>
    <t>SJ-NA204-W0-XS</t>
  </si>
  <si>
    <t>X001MOYE6Z</t>
  </si>
  <si>
    <t>SJ-NA204-ZL-2XL</t>
  </si>
  <si>
    <t>X001MOZ06D</t>
  </si>
  <si>
    <t>SJ-NA204-ZL-L</t>
  </si>
  <si>
    <t>X001F1LI55</t>
  </si>
  <si>
    <t>SJ-NA204-ZL-M</t>
  </si>
  <si>
    <t>X001HG6AUL</t>
  </si>
  <si>
    <t>SJ-NA204-ZL-S</t>
  </si>
  <si>
    <t>X001FCFYE5</t>
  </si>
  <si>
    <t>SJ-NA204-ZL-XL</t>
  </si>
  <si>
    <t>X001HG6A3N</t>
  </si>
  <si>
    <t>SJ-NA204-ZL-XS</t>
  </si>
  <si>
    <t>X001FBN7LX</t>
  </si>
  <si>
    <t>SJ-ZZN204</t>
  </si>
  <si>
    <t>X001QXJV6Z</t>
  </si>
  <si>
    <t>B01BV7E8GW</t>
  </si>
  <si>
    <t>MiYang Women's Floral Lace Beach Bikini Cover-up</t>
  </si>
  <si>
    <t>SJ-ZZN204B0-S</t>
  </si>
  <si>
    <t>X001F60LGR</t>
  </si>
  <si>
    <t>B072BY2G37</t>
  </si>
  <si>
    <t>MiYang Women's Floral Lace Beach Bikini Cover-up S</t>
  </si>
  <si>
    <t>SJ-ZZN204B0-XL</t>
  </si>
  <si>
    <t>X001F6CYFD</t>
  </si>
  <si>
    <t>B071FB53BV</t>
  </si>
  <si>
    <t>MiYang Women's Floral Lace Beach Bikini Cover-up XL</t>
  </si>
  <si>
    <t>SJ-ZZN204LPM</t>
  </si>
  <si>
    <t>X001QYLYJB</t>
  </si>
  <si>
    <t>B07C3392YY</t>
  </si>
  <si>
    <t>MiYang Women's Floral Lace Beach Bikini Swimwear Cover-up Light Purple M (US 6-8)</t>
  </si>
  <si>
    <t>SJ-ZZN204LPS</t>
  </si>
  <si>
    <t>X001QXTKXT</t>
  </si>
  <si>
    <t>B07C35CVD8</t>
  </si>
  <si>
    <t>MiYang Women's Floral Lace Beach Bikini Swimwear Cover-up Light Purple S (US 4-6)</t>
  </si>
  <si>
    <t>SJ-ZZN204LPXL</t>
  </si>
  <si>
    <t>X001QYL7GV</t>
  </si>
  <si>
    <t>B07C2X2QXP</t>
  </si>
  <si>
    <t>MiYang Women's Floral Lace Beach Bikini Swimwear Cover-up Light Purple XL (US 10-12)</t>
  </si>
  <si>
    <t>SJ-ZZN204LPXS</t>
  </si>
  <si>
    <t>X001QY963H</t>
  </si>
  <si>
    <t>B07C2QRWJG</t>
  </si>
  <si>
    <t>MiYang Women's Floral Lace Beach Bikini Swimwear Cover-up Light Purple XS (US 0-2)</t>
  </si>
  <si>
    <t>STJ-ZS55016B0L</t>
  </si>
  <si>
    <t>X000X3MJWR</t>
  </si>
  <si>
    <t>B018E4CNFS</t>
  </si>
  <si>
    <t>MiYang Women's Lace Short Sleeves Princess Dress Printing Beach Cover-up Blue 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</si>
  <si>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</si>
  <si>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</si>
  <si>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</si>
  <si>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</si>
  <si>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</si>
  <si>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</si>
  <si>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</si>
  <si>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</si>
  <si>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</si>
  <si>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MiYang Women's Lace Short Sleeves Princess Dress Printing Beach Cover-up Rose Red M</t>
  </si>
  <si>
    <t>STJ-ZS55016W0L</t>
  </si>
  <si>
    <t>X000X9IXNP</t>
  </si>
  <si>
    <t>B018E4CUR4</t>
  </si>
  <si>
    <t>STJ-ZS55016W0XL</t>
  </si>
  <si>
    <t>X000WZN745</t>
  </si>
  <si>
    <t>B018E4CVVY</t>
  </si>
  <si>
    <t>TK-J01H-GR-10/12</t>
  </si>
  <si>
    <t>X001GBQL15</t>
  </si>
  <si>
    <t>B072K3Y6X5</t>
  </si>
  <si>
    <t>Teenking Boy's Fleece Outdoor Jacket Big Boy(Size 10/12) Light Grey/Charcoal</t>
  </si>
  <si>
    <t>TK-J01H-GR-3T</t>
  </si>
  <si>
    <t>X001JR6LQ1</t>
  </si>
  <si>
    <t>B074Z394W5</t>
  </si>
  <si>
    <t>TK-J01H-GR-7</t>
  </si>
  <si>
    <t>X001GBF5RB</t>
  </si>
  <si>
    <t>B072K4BGMF</t>
  </si>
  <si>
    <t>TK-J01H-GR-8</t>
  </si>
  <si>
    <t>X001GBF5R1</t>
  </si>
  <si>
    <t>B071WV824C</t>
  </si>
  <si>
    <t>TK-J02H-GR-10/12</t>
  </si>
  <si>
    <t>X001GBF6BB</t>
  </si>
  <si>
    <t>B07219TXTD</t>
  </si>
  <si>
    <t>TK-J02H-GR-14/16</t>
  </si>
  <si>
    <t>X001GBQL0V</t>
  </si>
  <si>
    <t>B071WW3FKF</t>
  </si>
  <si>
    <t>TK-J02H-K0-8</t>
  </si>
  <si>
    <t>X001GBYX5L</t>
  </si>
  <si>
    <t>B0721B7VTT</t>
  </si>
  <si>
    <t>Teenking Boy's Fleece Outdoor Jacket with Hood Big Boy(Size 8)</t>
  </si>
  <si>
    <t>TK-J02H-SH-8</t>
  </si>
  <si>
    <t>X001GBQL1F</t>
  </si>
  <si>
    <t>B071WVSRKD</t>
  </si>
  <si>
    <t>TX-7223-CO-4041</t>
  </si>
  <si>
    <t>X001A2DOUL</t>
  </si>
  <si>
    <t>B01MTJU1IQ</t>
  </si>
  <si>
    <t>TX-7223-CO-4243</t>
  </si>
  <si>
    <t>X001A2DOUB</t>
  </si>
  <si>
    <t>B01N01RZFS</t>
  </si>
  <si>
    <t>TX-7223-CO-4445</t>
  </si>
  <si>
    <t>X001A0Q3S3</t>
  </si>
  <si>
    <t>B01MQFAN8F</t>
  </si>
  <si>
    <t>TX-7223-Da-4243</t>
  </si>
  <si>
    <t>X001A10Y1J</t>
  </si>
  <si>
    <t>B01MTJU1IS</t>
  </si>
  <si>
    <t>TX-7223-Da-4445</t>
  </si>
  <si>
    <t>X001A10Y23</t>
  </si>
  <si>
    <t>B01N0A0UL1</t>
  </si>
  <si>
    <t>TX-7223-PI-4041</t>
  </si>
  <si>
    <t>X001A0Q3SD</t>
  </si>
  <si>
    <t>B01MSICOJN</t>
  </si>
  <si>
    <t>TX-7223-RB-3839</t>
  </si>
  <si>
    <t>X001A5KB6X</t>
  </si>
  <si>
    <t>B01MFI21IM</t>
  </si>
  <si>
    <t>TX-7223-RB-4041</t>
  </si>
  <si>
    <t>X001A74DF1</t>
  </si>
  <si>
    <t>B01MXHGQFR</t>
  </si>
  <si>
    <t>MiYang Vintage Arctic Solid Indoor Boot Slippers</t>
  </si>
  <si>
    <t>Top-5505ZL-L</t>
  </si>
  <si>
    <t>X001BBQMYL</t>
  </si>
  <si>
    <t>B01N78FATF</t>
  </si>
  <si>
    <t>MiYang Women's Tankini Striped Vintage Swim Dress (Deep Blue Large)Top</t>
  </si>
  <si>
    <t>Top-5505ZL-M</t>
  </si>
  <si>
    <t>X001BBQMYB</t>
  </si>
  <si>
    <t>B01N78F5MA</t>
  </si>
  <si>
    <t>MiYang Women's Tankini Striped Vintage Swim Dress (Deep Blue Medium)Top</t>
  </si>
  <si>
    <t>Top-HM7702-GZR0-3XL</t>
  </si>
  <si>
    <t>X001FJEQ3X</t>
  </si>
  <si>
    <t>B0725BB3G1</t>
  </si>
  <si>
    <t>Top-HM7702-GZR0-XL</t>
  </si>
  <si>
    <t>X001GA9RZN</t>
  </si>
  <si>
    <t>B0727WQD68</t>
  </si>
  <si>
    <t>Top-HM7702-K0-M</t>
  </si>
  <si>
    <t>X001GAQE5T</t>
  </si>
  <si>
    <t>B071YVBQP9</t>
  </si>
  <si>
    <t>Top-HM7702-W0-3XL</t>
  </si>
  <si>
    <t>X001GA9S61</t>
  </si>
  <si>
    <t>B071VDZ9QM</t>
  </si>
  <si>
    <t>XZ-001E0L</t>
  </si>
  <si>
    <t>X000VREOOB</t>
  </si>
  <si>
    <t>B015W6E1BA</t>
  </si>
  <si>
    <t>MiYang Winter Women's Super Soft Fur Lining Ballerina Cozy Slipper L</t>
  </si>
  <si>
    <t>XZ-003B0L</t>
  </si>
  <si>
    <t>X000VREOLT</t>
  </si>
  <si>
    <t>B016LTZF8K</t>
  </si>
  <si>
    <t>MiYang Winter Women's Super Soft Bunny Roomy Slipper Blue L ?New</t>
  </si>
  <si>
    <t>XZ-003B0M</t>
  </si>
  <si>
    <t>X000VREOKZ</t>
  </si>
  <si>
    <t>B016LTZDZ0</t>
  </si>
  <si>
    <t>MiYang Winter Women's Super Soft Bunny Roomy Slipper Blue M</t>
  </si>
  <si>
    <t>XZ-003R0L</t>
  </si>
  <si>
    <t>X000VREONH</t>
  </si>
  <si>
    <t>B016LTZJFY</t>
  </si>
  <si>
    <t>MiYang Winter Women's Super Soft Bunny Roomy Slipper Red L</t>
  </si>
  <si>
    <t>XZ-006B0M</t>
  </si>
  <si>
    <t>X000VREOX7</t>
  </si>
  <si>
    <t>B016LTZQNO</t>
  </si>
  <si>
    <t>XZ-006R0S</t>
  </si>
  <si>
    <t>X000VREOY1</t>
  </si>
  <si>
    <t>B016LTZKIU</t>
  </si>
  <si>
    <t>MiYang Winter Women's Super Soft Fuzzy Bunny Ballerina Cozy Slipper Red S</t>
  </si>
  <si>
    <t>XZ-007GRXL</t>
  </si>
  <si>
    <t>X0016UTSG1</t>
  </si>
  <si>
    <t>B01KWOVX2C</t>
  </si>
  <si>
    <t>MiYang Winter Women's Super Soft Bunny Ballerina Slipper Grey XL</t>
  </si>
  <si>
    <t>XZ-007W0L</t>
  </si>
  <si>
    <t>X000VREOYL</t>
  </si>
  <si>
    <t>B016LTZWOC</t>
  </si>
  <si>
    <t>MiYang Winter Women's Super Soft Bunny Ballerina Slipper White l</t>
  </si>
  <si>
    <t>XZ-013-Cat-3839</t>
  </si>
  <si>
    <t>X0019W32OZ</t>
  </si>
  <si>
    <t>B01MQDF6W6</t>
  </si>
  <si>
    <t>MiYang Winter Women's Warm Plush Soft Sole Indoor Slipper Cat</t>
  </si>
  <si>
    <t>XZ-013-GR3-3536</t>
  </si>
  <si>
    <t>X001B2RN3J</t>
  </si>
  <si>
    <t>XZ-013-WH3-3738</t>
  </si>
  <si>
    <t>X0018WXM7D</t>
  </si>
  <si>
    <t>XZ-013GR1L</t>
  </si>
  <si>
    <t>X0013MHK4T</t>
  </si>
  <si>
    <t>B0191JTA6A</t>
  </si>
  <si>
    <t>MiYang Winter Women's Warm Plush Soft Sole Indoor Slipper(US Size:7-8.5 B(M) US,Grey Open Back)</t>
  </si>
  <si>
    <t>XZ-013PI3L</t>
  </si>
  <si>
    <t>X0018ZKTIF</t>
  </si>
  <si>
    <t>B01M5DWLUT</t>
  </si>
  <si>
    <t>MiYang Winter Women's Warm Plush Soft Sole Indoor Slipper Pink(High Top) 7-8.5 B(M) US</t>
  </si>
  <si>
    <t>XZ-2115Gr38</t>
  </si>
  <si>
    <t>X000XCK9YN</t>
  </si>
  <si>
    <t>B01966VTGW</t>
  </si>
  <si>
    <t>XZ-2115Li36</t>
  </si>
  <si>
    <t>X0013MHKAD</t>
  </si>
  <si>
    <t>B01966VWUA</t>
  </si>
  <si>
    <t>XZ-2115Li38</t>
  </si>
  <si>
    <t>X0013HJ15Z</t>
  </si>
  <si>
    <t>B01966VYEO</t>
  </si>
  <si>
    <t>XZ-2116G042</t>
  </si>
  <si>
    <t>X0018JL1PV</t>
  </si>
  <si>
    <t>B01M8G10Q0</t>
  </si>
  <si>
    <t>MiYang Winter Women's Sheep Warm Plush Soft Sole Indoor Slipper Light Coffee 42-43</t>
  </si>
  <si>
    <t>XZ-2116G044</t>
  </si>
  <si>
    <t>X0018IVG1B</t>
  </si>
  <si>
    <t>B01M7NEI29</t>
  </si>
  <si>
    <t>MiYang Winter Women's Sheep Warm Plush Soft Sole Indoor Slipper Light Coffee 44-45</t>
  </si>
  <si>
    <t>XZ-2116Pi40</t>
  </si>
  <si>
    <t>X0018HO2N1</t>
  </si>
  <si>
    <t>B01MAUBFSQ</t>
  </si>
  <si>
    <t>MiYang Winter Women's Sheep Warm Plush Soft Sole Indoor Slipper Pink 7-8 B(M) US</t>
  </si>
  <si>
    <t>XZ-7178-CP0-38-39-1</t>
  </si>
  <si>
    <t>X001B4GVP3</t>
  </si>
  <si>
    <t>B01IOZKZJS</t>
  </si>
  <si>
    <t>MiYang Winter Womens Cat Print Fleece House Warm Bedroom Slippers Cat Purple 38-39-1</t>
  </si>
  <si>
    <t>XZ-7178-CY0-40-41-1</t>
  </si>
  <si>
    <t>X001JQXRH3</t>
  </si>
  <si>
    <t>B01IOZKPVG</t>
  </si>
  <si>
    <t>MiYang Womens Cat Print Fleece House Warm Bedroom Slippers Cat Orange 40-41-1</t>
  </si>
  <si>
    <t>MiYang Women's Cute Warm Plush Slipper Winter Indoor Shoes Brown Bear?New</t>
  </si>
  <si>
    <t>XZ-CL01-R6-38/39</t>
  </si>
  <si>
    <t>X001KNQFMJ</t>
  </si>
  <si>
    <t>B074M8YY4B</t>
  </si>
  <si>
    <t>MiYang Women's Cute Bunny Winter Slippers for Women Indoor Sip On Shoes?New</t>
  </si>
  <si>
    <t>XZ-CL05-BE-4041</t>
  </si>
  <si>
    <t>X001NQCLVR</t>
  </si>
  <si>
    <t>B078J2JWXQ</t>
  </si>
  <si>
    <t>Womens Indoor Warm Fleece Slippers, Ladies Girls Cute Cartoon Winter Soft Cozy Booties Non-Slip Plush Mules Home Bedroom Slip-On Shoes Ankle Boots (US Size:7-8.5 (EUR Size: 40/41), Cream Teddy Bear)</t>
  </si>
  <si>
    <t>XZ-CL1055E0</t>
  </si>
  <si>
    <t>X001JWPO1T</t>
  </si>
  <si>
    <t>B074R7SCYN</t>
  </si>
  <si>
    <t>XZ-CL1055W0</t>
  </si>
  <si>
    <t>X001JWT9U1</t>
  </si>
  <si>
    <t>B074R8JC85</t>
  </si>
  <si>
    <t>XZ-CL1537-CO-35/36</t>
  </si>
  <si>
    <t>X001M1AMX7</t>
  </si>
  <si>
    <t>B076WVP83Y</t>
  </si>
  <si>
    <t>XZ-CL16018-GP-42/43</t>
  </si>
  <si>
    <t>X001JQA1QD</t>
  </si>
  <si>
    <t>B074R91B2Z</t>
  </si>
  <si>
    <t>XZ-CL16022-R6-36/37</t>
  </si>
  <si>
    <t>X001LWDSDD</t>
  </si>
  <si>
    <t>B074RCL1SY</t>
  </si>
  <si>
    <t>XZ-CL1721DB-N5-4445</t>
  </si>
  <si>
    <t>X001NR2VON</t>
  </si>
  <si>
    <t>B078KFKDK6</t>
  </si>
  <si>
    <t>XZ-CL1721DB-ZL-4445</t>
  </si>
  <si>
    <t>X001NRERMR</t>
  </si>
  <si>
    <t>B078K4ZQZR</t>
  </si>
  <si>
    <t>XZ-CLA1-E0-38</t>
  </si>
  <si>
    <t>X001KQZ45P</t>
  </si>
  <si>
    <t>B074JC48F7</t>
  </si>
  <si>
    <t>MiYang Winter Women's Warm Plush Slipper Boots Knit Indoor/Outdoor Slipper Shoes</t>
  </si>
  <si>
    <t>XZ-CLA1-E0-40</t>
  </si>
  <si>
    <t>X001KRJ54F</t>
  </si>
  <si>
    <t>B074JBSXL6</t>
  </si>
  <si>
    <t>XZ-CLA1133DD</t>
  </si>
  <si>
    <t>X001JGO3SZ</t>
  </si>
  <si>
    <t>B074J6VKD5</t>
  </si>
  <si>
    <t>XZ-CLA1133W0</t>
  </si>
  <si>
    <t>X001JGNWF5</t>
  </si>
  <si>
    <t>B074J9MTX4</t>
  </si>
  <si>
    <t>XZ-CLA177-K0-41/42</t>
  </si>
  <si>
    <t>X001K1HN81</t>
  </si>
  <si>
    <t>B074J9DYSM</t>
  </si>
  <si>
    <t>XZ-CLA177-ZL-41/42</t>
  </si>
  <si>
    <t>X001K1HNT5</t>
  </si>
  <si>
    <t>B074HZVRTF</t>
  </si>
  <si>
    <t>XZ-HM029-K0-41-42</t>
  </si>
  <si>
    <t>X0018FEYCR</t>
  </si>
  <si>
    <t>B01LSJHRMU</t>
  </si>
  <si>
    <t>XZ-HM029-W0-35-37</t>
  </si>
  <si>
    <t>X0018DUKZT</t>
  </si>
  <si>
    <t>B01LSJHJX2</t>
  </si>
  <si>
    <t>MiYang Winter Women's Comfort Cotton Polar Bear Slippers Closed Toe Indoor Shoes S(35-37)</t>
  </si>
  <si>
    <t>XZ-HM0299-SH-4041</t>
  </si>
  <si>
    <t>X0019O3MAH</t>
  </si>
  <si>
    <t>B01MDUOZMH</t>
  </si>
  <si>
    <t>XZ-HM1613-ZL-XL</t>
  </si>
  <si>
    <t>X001AC9937</t>
  </si>
  <si>
    <t>B01MD0N7PI</t>
  </si>
  <si>
    <t>MiYang Slippers for Women</t>
  </si>
  <si>
    <t>XZ-HM165-CO-XL</t>
  </si>
  <si>
    <t>X00185E26F</t>
  </si>
  <si>
    <t>B01LZG1IFH</t>
  </si>
  <si>
    <t>MiYang Winter Women's Cozy Fleece Plush House Slipper Coffee XL</t>
  </si>
  <si>
    <t>XZ-HM165-K0-XL</t>
  </si>
  <si>
    <t>X00185OMXX</t>
  </si>
  <si>
    <t>B01LXTHZYG</t>
  </si>
  <si>
    <t>MiYang Winter Women's Cozy Fleece Plush House Slipper Black XL</t>
  </si>
  <si>
    <t>XZ-HM165-P0-XL</t>
  </si>
  <si>
    <t>X00185JWRJ</t>
  </si>
  <si>
    <t>B01LXTHZYN</t>
  </si>
  <si>
    <t>MiYang Winter Women's Cozy Fleece Plush House Slipper Purple XL</t>
  </si>
  <si>
    <t>XZ-HM168-CO-40/41</t>
  </si>
  <si>
    <t>X0017ZLX8V</t>
  </si>
  <si>
    <t>B01M1DZELB</t>
  </si>
  <si>
    <t>XZ-HM168-CO-42/43</t>
  </si>
  <si>
    <t>X0017Y2M9V</t>
  </si>
  <si>
    <t>B01M0F8496</t>
  </si>
  <si>
    <t>XZ-HM219-PI-35-39</t>
  </si>
  <si>
    <t>X001H3CMY7</t>
  </si>
  <si>
    <t>B01MQISTBG</t>
  </si>
  <si>
    <t>MiYang Winter Super-Soft Plush Rabbit Slipper Boot For Women Bunny Fuzzy Indoor Shoes</t>
  </si>
  <si>
    <t>XZ-HM36-BE-L</t>
  </si>
  <si>
    <t>X001A1C1N3</t>
  </si>
  <si>
    <t>B01MG8W31K</t>
  </si>
  <si>
    <t>XZ-HM36-BE-M</t>
  </si>
  <si>
    <t>X0019ZZ4WP</t>
  </si>
  <si>
    <t>B01MDUWRRL</t>
  </si>
  <si>
    <t>XZ-HM36-CO-L</t>
  </si>
  <si>
    <t>X001A27GMN</t>
  </si>
  <si>
    <t>B01MDUY4GW</t>
  </si>
  <si>
    <t>XZ-HM36-CO-XL</t>
  </si>
  <si>
    <t>X0019ZJBZB</t>
  </si>
  <si>
    <t>B01MD1YEAG</t>
  </si>
  <si>
    <t>XZ-HM6003-P0-3940</t>
  </si>
  <si>
    <t>X001A9BFGJ</t>
  </si>
  <si>
    <t>B01M5AZIEW</t>
  </si>
  <si>
    <t>MiYang Winter Women's Soft Warm Reindeer Plush Indoor Cartoon Slippers Purple</t>
  </si>
  <si>
    <t>XZ-HM8130-BR-4243</t>
  </si>
  <si>
    <t>X001BK1PXP</t>
  </si>
  <si>
    <t>B01N316EBU</t>
  </si>
  <si>
    <t>XZ-HM8130-BR-4445</t>
  </si>
  <si>
    <t>X001BK1PXZ</t>
  </si>
  <si>
    <t>B01MT6CS0W</t>
  </si>
  <si>
    <t>XZ-HM8130-PI-4041</t>
  </si>
  <si>
    <t>X001BG3DAR</t>
  </si>
  <si>
    <t>B01N7PH3E3</t>
  </si>
  <si>
    <t>XZ-HMA185-BE-3738</t>
  </si>
  <si>
    <t>X001JGNKTD</t>
  </si>
  <si>
    <t>B074FRMSY6</t>
  </si>
  <si>
    <t>XZ-HMA190-CPi-3334</t>
  </si>
  <si>
    <t>X001JGNI8B</t>
  </si>
  <si>
    <t>B074FSKP6K</t>
  </si>
  <si>
    <t>XZ-HMA194-KQ-4344</t>
  </si>
  <si>
    <t>X001KMPOGN</t>
  </si>
  <si>
    <t>B075CGV5FL</t>
  </si>
  <si>
    <t>XZ-HMA204-R0-3738</t>
  </si>
  <si>
    <t>X001K1HN8B</t>
  </si>
  <si>
    <t>B074FT247J</t>
  </si>
  <si>
    <t>MiYang Winter Plush Faux Fur Flip Flop Slipper Soft Fuzzy Shoes for Womens Dark Red 4-6</t>
  </si>
  <si>
    <t>MiYang Winter Lovely Christmas Slipper Shoes Santa Claus Booties?New</t>
  </si>
  <si>
    <t>XZ-HMCAT250-GR-4041</t>
  </si>
  <si>
    <t>X001K9GSQ1</t>
  </si>
  <si>
    <t>B075CHKP6Y</t>
  </si>
  <si>
    <t>MiYang Winter Cat Slippers for Women Animal Plush Indoor Shoes-grey 40/41</t>
  </si>
  <si>
    <t>XZ-HMGG29-Y0-3839</t>
  </si>
  <si>
    <t>X001AGS7VN</t>
  </si>
  <si>
    <t>B01MXSW78A</t>
  </si>
  <si>
    <t>MiYang Super Soft Cute Dog Plush Slipper Booties</t>
  </si>
  <si>
    <t>XZ-HMGR23-GR-3738</t>
  </si>
  <si>
    <t>X001AFD0JN</t>
  </si>
  <si>
    <t>B01MQO9X52</t>
  </si>
  <si>
    <t>MiYang Dog Design Soft Plush Girls Teen Women Fun House Slippers</t>
  </si>
  <si>
    <t>XZ-HMGR23-GR-3940</t>
  </si>
  <si>
    <t>X001AEJHG9</t>
  </si>
  <si>
    <t>B01N99CUM2</t>
  </si>
  <si>
    <t>XZ-HMHX-ML299-PI-3738</t>
  </si>
  <si>
    <t>X001L13OHT</t>
  </si>
  <si>
    <t>B01MT6C5AQ</t>
  </si>
  <si>
    <t>MiYang Women Cute Plush Cat Warm Slipper</t>
  </si>
  <si>
    <t>XZ-HMHX-QE004-GR-3940</t>
  </si>
  <si>
    <t>X0019ZJ2WN</t>
  </si>
  <si>
    <t>B01M2BNK8F</t>
  </si>
  <si>
    <t>MiYang Winter Women Cute Penguin Slipper Boot Grey 8 ?New</t>
  </si>
  <si>
    <t>XZ-HMHX-QE004-K0-4344</t>
  </si>
  <si>
    <t>X001A8N35V</t>
  </si>
  <si>
    <t>B01N0L1IYA</t>
  </si>
  <si>
    <t>XZ-HMHX-QE004-PI-3738</t>
  </si>
  <si>
    <t>X0019Z6H3F</t>
  </si>
  <si>
    <t>B01M9I3CMC</t>
  </si>
  <si>
    <t>XZ-HMHX-QE004-PI-3940</t>
  </si>
  <si>
    <t>X001A5FP7N</t>
  </si>
  <si>
    <t>B01M5IFJC9</t>
  </si>
  <si>
    <t>XZ-HMLion-3637</t>
  </si>
  <si>
    <t>X001M0R5AB</t>
  </si>
  <si>
    <t>B01MCV6UN0</t>
  </si>
  <si>
    <t>XZ-HMM311-B0-4041</t>
  </si>
  <si>
    <t>X0019URHI9</t>
  </si>
  <si>
    <t>B01M7VEDW6</t>
  </si>
  <si>
    <t>MiYang Winter Plush Slipper Boot for Women Cozy Warm Indoor Shoes Blue 9 B(M) US</t>
  </si>
  <si>
    <t>XZ-HMM311-GR-4445</t>
  </si>
  <si>
    <t>X0019ILJ67</t>
  </si>
  <si>
    <t>B01M5H2KVD</t>
  </si>
  <si>
    <t>XZ-HMM311-KH-4445</t>
  </si>
  <si>
    <t>X0019UWNVZ</t>
  </si>
  <si>
    <t>B01MCZDQGB</t>
  </si>
  <si>
    <t>MiYang Winter Plush Slipper Boot for Women Cozy Warm Indoor Shoes Khaki 11 B(M) US</t>
  </si>
  <si>
    <t>XZ-HMM311-W0-3637</t>
  </si>
  <si>
    <t>X0019URZHH</t>
  </si>
  <si>
    <t>B01M7VEDO3</t>
  </si>
  <si>
    <t>MiYang Winter Plush Slipper Boot for Women Cozy Warm Indoor Shoes White 6 B(M) US</t>
  </si>
  <si>
    <t>XZ-HMM311-W0-4041</t>
  </si>
  <si>
    <t>X00197ON61</t>
  </si>
  <si>
    <t>B01M9GQLWE</t>
  </si>
  <si>
    <t>MiYang Winter Plush Slipper Boot for Women Cozy Warm Indoor Shoes White 9 B(M) US</t>
  </si>
  <si>
    <t>XZ-HMMX360-GR-3839</t>
  </si>
  <si>
    <t>X001AW2R1X</t>
  </si>
  <si>
    <t>B01M98T50R</t>
  </si>
  <si>
    <t>MiYang Winter Women Animal Sheep House Shoes Indoor/Outdoor Fluffy Boot Slippers (US Size:7-8.5 B(M) US,Grey)</t>
  </si>
  <si>
    <t>XZ-HMMX360-GR-4041</t>
  </si>
  <si>
    <t>X0018VVJFV</t>
  </si>
  <si>
    <t>B01M4GE8GG</t>
  </si>
  <si>
    <t>MiYang Winter Women Animal Sheep House Shoes Indoor/Outdoor Fluffy Boot Slippers (US Size:9-10.5 B(M) US,Grey)</t>
  </si>
  <si>
    <t>XZ-HMTZ250-CO-4243</t>
  </si>
  <si>
    <t>X001K9B843</t>
  </si>
  <si>
    <t>B075CHJMDG</t>
  </si>
  <si>
    <t>XZ-HMTZ250-CO-4445</t>
  </si>
  <si>
    <t>X001K9CC4D</t>
  </si>
  <si>
    <t>B075CFT1KK</t>
  </si>
  <si>
    <t>XZ-HMTZ250-GR-4243</t>
  </si>
  <si>
    <t>X001K9DEUJ</t>
  </si>
  <si>
    <t>B075CGM2Y7</t>
  </si>
  <si>
    <t>XZ-HMTZ250-GR-4445</t>
  </si>
  <si>
    <t>X001K9CKJZ</t>
  </si>
  <si>
    <t>B075CB6GCJ</t>
  </si>
  <si>
    <t>XZ-HMTZ250-P0-3637</t>
  </si>
  <si>
    <t>X001K9CZ45</t>
  </si>
  <si>
    <t>B075CGMJZF</t>
  </si>
  <si>
    <t>XZ-HMYZ22-GR-41(8)</t>
  </si>
  <si>
    <t>X001AYME8R</t>
  </si>
  <si>
    <t>B01N9M9O9K</t>
  </si>
  <si>
    <t>XZ-HMYZ22-PI-37(5)</t>
  </si>
  <si>
    <t>X001AW7CO5</t>
  </si>
  <si>
    <t>B01N4IMUD1</t>
  </si>
  <si>
    <t>XZ-HMYZ22-PI-M</t>
  </si>
  <si>
    <t>X0019JNE9B</t>
  </si>
  <si>
    <t>B01M19QCNH</t>
  </si>
  <si>
    <t>MiYang Winter Women's Pure Cotton Soft Sole Washable Anti-Skid Cozy House Shoes Slippers Pink M</t>
  </si>
  <si>
    <t>XZ-MU615</t>
  </si>
  <si>
    <t>X001TCDHNV</t>
  </si>
  <si>
    <t>B07DVJ823D</t>
  </si>
  <si>
    <t>MiYang 6 Pairs Hotel Spa Slipper Unisex Closed Toe Coral Fleece Soft Non-Slip</t>
  </si>
  <si>
    <t>XZ-YG7223Co4041</t>
  </si>
  <si>
    <t>X000XCK9VL</t>
  </si>
  <si>
    <t>B018Z5D8W8</t>
  </si>
  <si>
    <t>XZ-YG7223Co4243</t>
  </si>
  <si>
    <t>X000XCK9XJ</t>
  </si>
  <si>
    <t>B018Z5D9QS</t>
  </si>
  <si>
    <t>XZ-YG7223Da3637</t>
  </si>
  <si>
    <t>X001QXCERD</t>
  </si>
  <si>
    <t>B07C2CZBFX</t>
  </si>
  <si>
    <t>MiYang Winter Vintage Arctic Solid Indoor Boot Slippers Dark Blue US 6</t>
  </si>
  <si>
    <t>XZ-YG7223Da3839</t>
  </si>
  <si>
    <t>X001QYFCXZ</t>
  </si>
  <si>
    <t>B07C2QR6YS</t>
  </si>
  <si>
    <t>MiYang Winter Vintage Arctic Solid Indoor Boot Slippers Dark Blue US 8</t>
  </si>
  <si>
    <t>XZ-YG7223Da4041</t>
  </si>
  <si>
    <t>X000XCK9WZ</t>
  </si>
  <si>
    <t>B018Z5D5SA</t>
  </si>
  <si>
    <t>XZ-YG7223Da4243</t>
  </si>
  <si>
    <t>X000XCK9W5</t>
  </si>
  <si>
    <t>B018Z5D6QQ</t>
  </si>
  <si>
    <t>XZ-YG7223Pu3839-New</t>
  </si>
  <si>
    <t>X001KGEUM3</t>
  </si>
  <si>
    <t>B075CK2R5Z</t>
  </si>
  <si>
    <t>XZ-YG7223RB3839</t>
  </si>
  <si>
    <t>X000XU0CE7</t>
  </si>
  <si>
    <t>B018Z5BA5K</t>
  </si>
  <si>
    <t>XZ-YG7223RB4041</t>
  </si>
  <si>
    <t>X000XU0CDN</t>
  </si>
  <si>
    <t>B018Z5D4PE</t>
  </si>
  <si>
    <t>XZ-ZQ2176-B0-1617</t>
  </si>
  <si>
    <t>X001KJNGL1</t>
  </si>
  <si>
    <t>B074W7LMBT</t>
  </si>
  <si>
    <t>MiYang Winter Toddlers Cute Mouse Plush Winter Warm House Indoor Slippers Blue 7-8 B(M) US Toddler</t>
  </si>
  <si>
    <t>XZ-ZQ2176-B0-23</t>
  </si>
  <si>
    <t>X001KJY6X3</t>
  </si>
  <si>
    <t>B074W61H3B</t>
  </si>
  <si>
    <t>MiYang Winter Kids Cute Mouse Plush Winter Warm House Indoor Slippers Blue 12-13 B(M) US Little Kid</t>
  </si>
  <si>
    <t>XZ-ZQ2176-E0-1819</t>
  </si>
  <si>
    <t>X001KJX43V</t>
  </si>
  <si>
    <t>B074W4JLG8</t>
  </si>
  <si>
    <t>MiYang Winter Toddlers Cute Mouse Plush Winter Warm House Indoor Slippers Grey 8-9 B(M) US Toddler</t>
  </si>
  <si>
    <t>XZ-ZQ2176-KQ-1415</t>
  </si>
  <si>
    <t>X001K64PEV</t>
  </si>
  <si>
    <t>B074W7LQCW</t>
  </si>
  <si>
    <t>MiYang Winter Toddlers Cute Mouse Plush Winter Warm House Indoor Slippers Khaki 5-6 B(M) US Toddler</t>
  </si>
  <si>
    <t>XZ-ZQ2176-KQ-1617</t>
  </si>
  <si>
    <t>X001K6AXO7</t>
  </si>
  <si>
    <t>B074W8PMKT</t>
  </si>
  <si>
    <t>MiYang Winter Toddlers Cute Mouse Plush Winter Warm House Indoor Slippers Khaki 7-8 B(M) US Toddler</t>
  </si>
  <si>
    <t>XZ-ZQ2176-KQ-1819</t>
  </si>
  <si>
    <t>X001K6AJ9B</t>
  </si>
  <si>
    <t>B074W4JK4J</t>
  </si>
  <si>
    <t>MiYang Winter Toddlers Cute Mouse Plush Winter Warm House Indoor Slippers Khaki 8-9 B(M) US Toddler</t>
  </si>
  <si>
    <t>XZ-ZQ2176-KQ-20</t>
  </si>
  <si>
    <t>X001K64IP7</t>
  </si>
  <si>
    <t>B074W779WG</t>
  </si>
  <si>
    <t>MiYang Winter Kids Cute Mouse Plush Winter Warm House Indoor Slippers Khaki 10-11 B(M) US Little Kid</t>
  </si>
  <si>
    <t>XZ-ZQ2176-KQ-21</t>
  </si>
  <si>
    <t>X001K5T99D</t>
  </si>
  <si>
    <t>B074W6N9Q5</t>
  </si>
  <si>
    <t>MiYang Winter Kids Cute Mouse Plush Winter Warm House Indoor Slippers Khaki 11-12 B(M) US Little Kid</t>
  </si>
  <si>
    <t>XZ-ZQ2176-KQ-4445</t>
  </si>
  <si>
    <t>X001LHBPKL</t>
  </si>
  <si>
    <t>B076CFXXK2</t>
  </si>
  <si>
    <t>MiYang Winter Women/Men Cute Mouse Plush Winter Warm House Indoor Slippers Khaiki 10-11 B(M) US Adult</t>
  </si>
  <si>
    <t>XZ-ZQ2176-P0-1617</t>
  </si>
  <si>
    <t>X001KE3UDF</t>
  </si>
  <si>
    <t>B074W7YB5F</t>
  </si>
  <si>
    <t>MiYang Winter Toddlers Cute Mouse Plush Winter Warm House Indoor Slippers Watermelon Red 7-8 B(M) US Toddler</t>
  </si>
  <si>
    <t>XZ-ZQ2176-P0-21</t>
  </si>
  <si>
    <t>X001KEGH2L</t>
  </si>
  <si>
    <t>B074W2CRGP</t>
  </si>
  <si>
    <t>MiYang Winter Kids Cute Mouse Plush Winter Warm House Indoor Slippers Watermelon Red 11-12 B(M) US Little Kid</t>
  </si>
  <si>
    <t>XZ-ZQ2176-P0-4041</t>
  </si>
  <si>
    <t>X001LHR88T</t>
  </si>
  <si>
    <t>B076CF6MTW</t>
  </si>
  <si>
    <t>MiYang Winter Women/Men Cute Mouse Plush Winter Warm House Indoor Slippers Watermelon Red 7-8 B(M) US Adult</t>
  </si>
  <si>
    <t>XZ-ZQ2176-R1-3637</t>
  </si>
  <si>
    <t>X001LHTT8V</t>
  </si>
  <si>
    <t>B076CDFSJK</t>
  </si>
  <si>
    <t>MiYang Winter Women/Men Cute Mouse Plush Winter Warm House Indoor Slippers Pink 4-4.5 B(M) US Adult</t>
  </si>
  <si>
    <t>XZ-ZQ2176-R1-3839</t>
  </si>
  <si>
    <t>X001LHME83</t>
  </si>
  <si>
    <t>B076C78T6R</t>
  </si>
  <si>
    <t>MiYang Winter Women/Men Cute Mouse Plush Winter Warm House Indoor Slippers Pink 5-6 B(M) US Adult</t>
  </si>
  <si>
    <t>XZ-ZQ2176-R1-4041</t>
  </si>
  <si>
    <t>X001LHFFRP</t>
  </si>
  <si>
    <t>B076CFWTTM</t>
  </si>
  <si>
    <t>MiYang Winter Women/Men Cute Mouse Plush Winter Warm House Indoor Slippers Pink 7-8 B(M) US Adult</t>
  </si>
  <si>
    <t>XZ-ZQ2182-PI-4041</t>
  </si>
  <si>
    <t>X001KJYCT1</t>
  </si>
  <si>
    <t>B074W4YQJV</t>
  </si>
  <si>
    <t>XZ-ZQ6001-R0-20</t>
  </si>
  <si>
    <t>X001IP95JJ</t>
  </si>
  <si>
    <t>B01MRUEJQQ</t>
  </si>
  <si>
    <t>XZ-ZQ6102-K0-3637</t>
  </si>
  <si>
    <t>X0019TONQJ</t>
  </si>
  <si>
    <t>B01N06DAIK</t>
  </si>
  <si>
    <t>XZ-ZQ6102-K0-3839</t>
  </si>
  <si>
    <t>X0019U41FB</t>
  </si>
  <si>
    <t>B01MRHPWYR</t>
  </si>
  <si>
    <t>MiYang Winter Winter Winter Cute Cat and Dog Warm House Slippers Booties</t>
  </si>
  <si>
    <t>XZ-ZQ6102-K0-4243</t>
  </si>
  <si>
    <t>X0019RS5KL</t>
  </si>
  <si>
    <t>B01N06ULDU</t>
  </si>
  <si>
    <t>XZ-ZQ6102-KW-3637</t>
  </si>
  <si>
    <t>X0019VH4LN</t>
  </si>
  <si>
    <t>B01N06ULCJ</t>
  </si>
  <si>
    <t>XZ-ZQ6102-KW-3839</t>
  </si>
  <si>
    <t>X0019VQN8D</t>
  </si>
  <si>
    <t>B01MQG9WBZ</t>
  </si>
  <si>
    <t>XZ-ZQ6102-KW-4243</t>
  </si>
  <si>
    <t>X0019VGTZ5</t>
  </si>
  <si>
    <t>B01MQG9W4I</t>
  </si>
  <si>
    <t>XZ-ZQ6102-KW-4445</t>
  </si>
  <si>
    <t>X0019TOIFP</t>
  </si>
  <si>
    <t>B01N3PTMX1</t>
  </si>
  <si>
    <t>XZ-ZQ6102-N0-4445</t>
  </si>
  <si>
    <t>X001A7EY9B</t>
  </si>
  <si>
    <t>B01N8PFPYU</t>
  </si>
  <si>
    <t>XZ-ZQ6102-R0-3637</t>
  </si>
  <si>
    <t>X001ACBZ1B</t>
  </si>
  <si>
    <t>B01N06UL7Q</t>
  </si>
  <si>
    <t>XZ-ZQ6102-R1-3637</t>
  </si>
  <si>
    <t>X001A8160F</t>
  </si>
  <si>
    <t>B01N8PFO70</t>
  </si>
  <si>
    <t>XZ-ZQ6102-R1-3839</t>
  </si>
  <si>
    <t>X001A9G645</t>
  </si>
  <si>
    <t>B01N3PTH8S</t>
  </si>
  <si>
    <t>XZ-ZQ6102-W0-4041</t>
  </si>
  <si>
    <t>X001A7J0DB</t>
  </si>
  <si>
    <t>B01N3LN00O</t>
  </si>
  <si>
    <t>XZ-ZQ6102-W0-4243</t>
  </si>
  <si>
    <t>X001A9G64F</t>
  </si>
  <si>
    <t>B01N0AZUZS</t>
  </si>
  <si>
    <t>XZ-ZQ6102-W0-4445-New</t>
  </si>
  <si>
    <t>X001M8BNHT</t>
  </si>
  <si>
    <t>B075CKSM3K</t>
  </si>
  <si>
    <t>MiYang Winter Cute Cat and Dog Warm House Slippers Booties</t>
  </si>
  <si>
    <t>XZ-ZQ6606-C0-4041</t>
  </si>
  <si>
    <t>X001L12XTJ</t>
  </si>
  <si>
    <t>B075JF6HJS</t>
  </si>
  <si>
    <t>XZ-ZQ6834-E0-18-19</t>
  </si>
  <si>
    <t>X001L1387Z</t>
  </si>
  <si>
    <t>B075GKMH7R</t>
  </si>
  <si>
    <t>MiYang Toddlers and Kids Cute Panda Warm House Family Slippers Booties Grey 8-9 B(M) US Toddler</t>
  </si>
  <si>
    <t>XZ-ZQ6834-KQ-290</t>
  </si>
  <si>
    <t>X001KNQFN3</t>
  </si>
  <si>
    <t>B075FNKD1R</t>
  </si>
  <si>
    <t>MiYang Women's Cute Panda Warm House Family Slippers Booties Khaki 11-12B(M) US</t>
  </si>
  <si>
    <t>XZ-ZQ6834-R2-18-19</t>
  </si>
  <si>
    <t>X001L11NZ9</t>
  </si>
  <si>
    <t>B075GMTPC8</t>
  </si>
  <si>
    <t>MiYang Toddlers and Kids Cute Panda Warm House Family Slippers Booties Watermelon Red 8-9 B(M) US Toddler</t>
  </si>
  <si>
    <t>XZ-ZQ7032-K0-24</t>
  </si>
  <si>
    <t>X0019W1X5Z</t>
  </si>
  <si>
    <t>B01MPZAUO6</t>
  </si>
  <si>
    <t>XZ-ZQ8032-K0-1415</t>
  </si>
  <si>
    <t>X001ARN8ST</t>
  </si>
  <si>
    <t>B01M73X0LX</t>
  </si>
  <si>
    <t>XZ-ZQ8032-K0-1819</t>
  </si>
  <si>
    <t>X001ADUFST</t>
  </si>
  <si>
    <t>B01M6B5GR2</t>
  </si>
  <si>
    <t>XZ-ZQ8032-K0-20</t>
  </si>
  <si>
    <t>X001B9HH0B</t>
  </si>
  <si>
    <t>B01MQFANCL</t>
  </si>
  <si>
    <t>MiYang Kids Cute Panda Winter Warm House Slippers Booties</t>
  </si>
  <si>
    <t>XZ-ZQ8032-KQ-22</t>
  </si>
  <si>
    <t>X001B7SB85</t>
  </si>
  <si>
    <t>B01M6EB0BD</t>
  </si>
  <si>
    <t>XZ-ZQ8032-R1-20</t>
  </si>
  <si>
    <t>X001BADA1P</t>
  </si>
  <si>
    <t>B01MSICMWF</t>
  </si>
  <si>
    <t>XZ-ZQ9901-KW-250</t>
  </si>
  <si>
    <t>X001ALN80D</t>
  </si>
  <si>
    <t>B01MT0P3IQ</t>
  </si>
  <si>
    <t>XZ-ZQ9901-KW-260</t>
  </si>
  <si>
    <t>X001ALMTX5</t>
  </si>
  <si>
    <t>B01N0SGKSE</t>
  </si>
  <si>
    <t>XZ-ZQ9901-KW-270</t>
  </si>
  <si>
    <t>X001ALN3VR</t>
  </si>
  <si>
    <t>B01N9J83XO</t>
  </si>
  <si>
    <t>XZ-ZQCB1001-K0-42</t>
  </si>
  <si>
    <t>X001JTUQ1Z</t>
  </si>
  <si>
    <t>B01NCQRI0G</t>
  </si>
  <si>
    <t>XZ-ZQCB1001-R2-38</t>
  </si>
  <si>
    <t>X001JTUQ29</t>
  </si>
  <si>
    <t>B01N0VHOOS</t>
  </si>
  <si>
    <t>XZ-ZQCB2002-K0-40</t>
  </si>
  <si>
    <t>X001AHEDRT</t>
  </si>
  <si>
    <t>B01N2NO8V0</t>
  </si>
  <si>
    <t>XZ-ZQCB2002-R1-36</t>
  </si>
  <si>
    <t>X001AIFDXV</t>
  </si>
  <si>
    <t>B01N6AMLTG</t>
  </si>
  <si>
    <t>XZ-ZQCB2056-E0-1819</t>
  </si>
  <si>
    <t>X0019OY2DX</t>
  </si>
  <si>
    <t>B01M73W5MX</t>
  </si>
  <si>
    <t>MiYang Winter Toddlers Cute Cat Warm House Slippers Booties Grey 8-9 B(M) US Toddler</t>
  </si>
  <si>
    <t>XZ-ZQCB2056-R1-22</t>
  </si>
  <si>
    <t>X0019R2N0T</t>
  </si>
  <si>
    <t>B01M3X1MA4</t>
  </si>
  <si>
    <t>MiYang Winter Little Kid Cute Cat Warm House Slippers Booties Pink 11 B(M) US Little Kid</t>
  </si>
  <si>
    <t>XZ-ZQCB3056-B0-25</t>
  </si>
  <si>
    <t>X0019DAV25</t>
  </si>
  <si>
    <t>B01MG7KHV0</t>
  </si>
  <si>
    <t>MiYang Winter Women Cute Cat Warm House Slippers Booties Blue 6-7 B(M) US Adult</t>
  </si>
  <si>
    <t>XZ-ZQCB3056-B0-26</t>
  </si>
  <si>
    <t>X0019BBQ49</t>
  </si>
  <si>
    <t>B01MFETMOF</t>
  </si>
  <si>
    <t>MiYang Winter Women Cute Cat Warm House Slippers Booties Blue 7.5-8.5 B(M) US Adult</t>
  </si>
  <si>
    <t>XZ-ZQCB3056-B0-27</t>
  </si>
  <si>
    <t>X0019BTA7J</t>
  </si>
  <si>
    <t>B01M6B4N7G</t>
  </si>
  <si>
    <t>MiYang Winter Women Cute Cat Warm House Slippers Booties Blue 9-10 B(M) US Adult</t>
  </si>
  <si>
    <t>XZ-ZQCB3056-E0-24</t>
  </si>
  <si>
    <t>X0019PM8AL</t>
  </si>
  <si>
    <t>B01M34BHSF</t>
  </si>
  <si>
    <t>MiYang Winter Women Cute Cat Warm House Slippers Booties Grey 5-5.5 B(M) US Adult</t>
  </si>
  <si>
    <t>XZ-ZQCB3056-E0-25</t>
  </si>
  <si>
    <t>X0019QDBU1</t>
  </si>
  <si>
    <t>B01M6B4OGB</t>
  </si>
  <si>
    <t>MiYang Winter Women Cute Cat Warm House Slippers Booties Grey 6-7 B(M) US Adult</t>
  </si>
  <si>
    <t>XZ-ZQCB3056-E0-26</t>
  </si>
  <si>
    <t>X0019JG6SH</t>
  </si>
  <si>
    <t>B01MFEU77E</t>
  </si>
  <si>
    <t>MiYang Winter Women Cute Cat Warm House Slippers Booties Grey 7.5-8.5 B(M) US Adult</t>
  </si>
  <si>
    <t>XZ-ZQCB3056-E0-27</t>
  </si>
  <si>
    <t>X0019ITF27</t>
  </si>
  <si>
    <t>B01M9I34ZQ</t>
  </si>
  <si>
    <t>MiYang Winter Women Cute Cat Warm House Slippers Booties Grey 9-10 B(M) US Adult</t>
  </si>
  <si>
    <t>XZ-ZQCB3056-E0-28</t>
  </si>
  <si>
    <t>X0019QKJSN</t>
  </si>
  <si>
    <t>B01M7WQVPJ</t>
  </si>
  <si>
    <t>MiYang Winter Women Cute Cat Warm House Slippers Booties Grey 10-11 B(M) US Adult</t>
  </si>
  <si>
    <t>XZ-ZQCB3056-KQ-26</t>
  </si>
  <si>
    <t>X0019BTFZB</t>
  </si>
  <si>
    <t>B01M4QA8AJ</t>
  </si>
  <si>
    <t>MiYang Winter Women Cute Cat Warm House Slippers Booties Khaki 7.5-8.5 B(M) US Adult</t>
  </si>
  <si>
    <t>XZ-ZQCB3056-R1-24</t>
  </si>
  <si>
    <t>X0019JG8E9</t>
  </si>
  <si>
    <t>B01MG79DKI</t>
  </si>
  <si>
    <t>MiYang Winter Women Cute Cat Warm House Slippers Booties Pink 5-5.5 B(M) US Adult</t>
  </si>
  <si>
    <t>XZ-ZQCB3056-R1-26</t>
  </si>
  <si>
    <t>X0019NFCAL</t>
  </si>
  <si>
    <t>B01MG7ARWK</t>
  </si>
  <si>
    <t>MiYang Winter Women Cute Cat Warm House Slippers Booties Pink 7.5-8.5 B(M) US Adult</t>
  </si>
  <si>
    <t>XZ-ZQCB3056-R1-27</t>
  </si>
  <si>
    <t>X0019ITF45</t>
  </si>
  <si>
    <t>B01M9I34UP</t>
  </si>
  <si>
    <t>MiYang Winter Women Cute Cat Warm House Slippers Booties Pink 9-10 B(M) US Adult</t>
  </si>
  <si>
    <t>XZ-ZQCB3056-R2-27</t>
  </si>
  <si>
    <t>X0019BTAB5</t>
  </si>
  <si>
    <t>B01MFEU6B8</t>
  </si>
  <si>
    <t>MiYang Winter Women Cute Cat Warm House Slippers Booties Rose 9-10 B(M) US Adult</t>
  </si>
  <si>
    <t>XZ-ZQCB3056-kQ-25</t>
  </si>
  <si>
    <t>X0019BBQ4J</t>
  </si>
  <si>
    <t>B01M9I349O</t>
  </si>
  <si>
    <t>MiYang Winter Women Cute Cat Warm House Slippers Booties Khaki 6-7 B(M) US Adult</t>
  </si>
  <si>
    <t>XZ-ZQCB3056-kQ-27</t>
  </si>
  <si>
    <t>X0019R2O8F</t>
  </si>
  <si>
    <t>B01M2BN88E</t>
  </si>
  <si>
    <t>MiYang Winter Women Cute Cat Warm House Slippers Booties Khaki 9-10 B(M) US Adult</t>
  </si>
  <si>
    <t>XZ-ZQFT730-K0-4445</t>
  </si>
  <si>
    <t>X001LHM9OH</t>
  </si>
  <si>
    <t>B074X4BVMT</t>
  </si>
  <si>
    <t>XZ-ZQJZ100-G0-260</t>
  </si>
  <si>
    <t>X001KC60WP</t>
  </si>
  <si>
    <t>B074TDJV9J</t>
  </si>
  <si>
    <t>MiYang Cute Rabbit Slippers for Women/Men Winter Warm House Slippers Light Green 7-8 B(M) US</t>
  </si>
  <si>
    <t>XZ-ZQJZ120-KQ-270</t>
  </si>
  <si>
    <t>X001KQXVJ1</t>
  </si>
  <si>
    <t>B074TDN365</t>
  </si>
  <si>
    <t>XZ-ZQJZ120-PE-270</t>
  </si>
  <si>
    <t>X001KC7SNZ</t>
  </si>
  <si>
    <t>B074TB883M</t>
  </si>
  <si>
    <t>MiYang Women's Cute Footprints Warm Indoor Slippers House Shoes</t>
  </si>
  <si>
    <t>YZ-BS11112R0XL</t>
  </si>
  <si>
    <t>X0013UG8SF</t>
  </si>
  <si>
    <t>B01ELBPW9W</t>
  </si>
  <si>
    <t>YZ-BSLLHTXL</t>
  </si>
  <si>
    <t>X0013USJEL</t>
  </si>
  <si>
    <t>B01F3E3964</t>
  </si>
  <si>
    <t>MiYang Vintage Sailor Pin up Swimsuit One Piece Skirtini Cover up Swimdress Navy Blue M (US 10)</t>
  </si>
  <si>
    <t>YZ-BSLLITXL</t>
  </si>
  <si>
    <t>X0013SKYWD</t>
  </si>
  <si>
    <t>B01G8H8Z4Q</t>
  </si>
  <si>
    <t>MiYang Vintage Sailor Pin up Swimsuit One Piece Skirtini Cover up SwimdressBlackStriped M (US 10)</t>
  </si>
  <si>
    <t>MiYang Vintage Sailor Pin Up Swimsuit One Piece Skirtini Cover Up Swimdress S Black</t>
  </si>
  <si>
    <t>YZ-BSY97Z2XL</t>
  </si>
  <si>
    <t>X0015UOQMX</t>
  </si>
  <si>
    <t>B01EN7V1LM</t>
  </si>
  <si>
    <t>MiYang Retro Vintage Striped One Piece Monokini Chevron Lines Swimsuit XL Black and White Stripes</t>
  </si>
  <si>
    <t>YZ-BZ1707-B0-XL</t>
  </si>
  <si>
    <t>X001DFVKH9</t>
  </si>
  <si>
    <t>B06XSHBZLT</t>
  </si>
  <si>
    <t>YZ-CA1245001L</t>
  </si>
  <si>
    <t>X001LEMPL7</t>
  </si>
  <si>
    <t>YZ-CA1245002L</t>
  </si>
  <si>
    <t>X001F1PUYP</t>
  </si>
  <si>
    <t>YZ-CA1245003L</t>
  </si>
  <si>
    <t>X001FATWB3</t>
  </si>
  <si>
    <t>YZ-CA124500L</t>
  </si>
  <si>
    <t>X001FWNBA9</t>
  </si>
  <si>
    <t>YZ-CA124500M</t>
  </si>
  <si>
    <t>X001LESB97</t>
  </si>
  <si>
    <t>YZ-CA1245G01L</t>
  </si>
  <si>
    <t>X001EAEALB</t>
  </si>
  <si>
    <t>YZ-CA1245G02L</t>
  </si>
  <si>
    <t>X001LESC87</t>
  </si>
  <si>
    <t>YZ-CA1245G0L</t>
  </si>
  <si>
    <t>X001DNQBF7</t>
  </si>
  <si>
    <t>YZ-CA1245G0M</t>
  </si>
  <si>
    <t>X001LESP75</t>
  </si>
  <si>
    <t>YZ-CA1245W01L</t>
  </si>
  <si>
    <t>X001LESQ5L</t>
  </si>
  <si>
    <t>YZ-CA1245W02L</t>
  </si>
  <si>
    <t>X001F1LDKF</t>
  </si>
  <si>
    <t>YZ-CA1245W03L</t>
  </si>
  <si>
    <t>X001LESPVB</t>
  </si>
  <si>
    <t>YZ-CA1245W0L</t>
  </si>
  <si>
    <t>X001FWQ0ST</t>
  </si>
  <si>
    <t>YZ-CA1245W0M</t>
  </si>
  <si>
    <t>X001FWPWVZ</t>
  </si>
  <si>
    <t>YZ-CA160301B02XL</t>
  </si>
  <si>
    <t>X001OJ4N6T</t>
  </si>
  <si>
    <t>YZ-CA160301B03XL</t>
  </si>
  <si>
    <t>X001OJ18PN</t>
  </si>
  <si>
    <t>YZ-CA160301K02XL</t>
  </si>
  <si>
    <t>X001ES85KZ</t>
  </si>
  <si>
    <t>YZ-CA160301K0L</t>
  </si>
  <si>
    <t>X001ESDPJB</t>
  </si>
  <si>
    <t>YZ-CA160301K0M</t>
  </si>
  <si>
    <t>X001ESUFDZ</t>
  </si>
  <si>
    <t>YZ-CA160301K0XL</t>
  </si>
  <si>
    <t>X001ESDDWF</t>
  </si>
  <si>
    <t>YZ-CA160301R03XL</t>
  </si>
  <si>
    <t>X001OGXVQ5</t>
  </si>
  <si>
    <t>YZ-CA2000-2XL</t>
  </si>
  <si>
    <t>X001ESZAXF</t>
  </si>
  <si>
    <t>YZ-CA2000-XL</t>
  </si>
  <si>
    <t>X001ESPLLL</t>
  </si>
  <si>
    <t>YZ-CA233-K0-XS</t>
  </si>
  <si>
    <t>X001FCFOZ9</t>
  </si>
  <si>
    <t>B06XXZKZ6G</t>
  </si>
  <si>
    <t>YZ-CA30CH-K0-L</t>
  </si>
  <si>
    <t>X001HGPU9N</t>
  </si>
  <si>
    <t>B06XXG6YTP</t>
  </si>
  <si>
    <t>YZ-CA30CH-K0-M</t>
  </si>
  <si>
    <t>X001HGQ9GB</t>
  </si>
  <si>
    <t>B06XWTXLNW</t>
  </si>
  <si>
    <t>YZ-CA30CH-K0-XS</t>
  </si>
  <si>
    <t>X001OCJB31</t>
  </si>
  <si>
    <t>B06XXHHLLC</t>
  </si>
  <si>
    <t>YZ-CA30CH-L</t>
  </si>
  <si>
    <t>X001F205AD</t>
  </si>
  <si>
    <t>B06XWW493Q</t>
  </si>
  <si>
    <t>YZ-CA30CH-M</t>
  </si>
  <si>
    <t>X001F1LDJV</t>
  </si>
  <si>
    <t>B06XXCVW4M</t>
  </si>
  <si>
    <t>YZ-CA30CH-S</t>
  </si>
  <si>
    <t>X001GDDYLN</t>
  </si>
  <si>
    <t>B06XXCT3RF</t>
  </si>
  <si>
    <t>YZ-CA30CH-XL</t>
  </si>
  <si>
    <t>X001F1U487</t>
  </si>
  <si>
    <t>B06XXF1MDP</t>
  </si>
  <si>
    <t>YZ-CA30CH-XS</t>
  </si>
  <si>
    <t>X001MOWSC7</t>
  </si>
  <si>
    <t>B06XXDTB6S</t>
  </si>
  <si>
    <t>YZ-CA3233-K0-M</t>
  </si>
  <si>
    <t>X001OCJTBP</t>
  </si>
  <si>
    <t>B06XXZZXQX</t>
  </si>
  <si>
    <t>YZ-CAA160301K03XL</t>
  </si>
  <si>
    <t>X001FAGLQR</t>
  </si>
  <si>
    <t>YZ-CAY97Z2M</t>
  </si>
  <si>
    <t>X001FCMOMF</t>
  </si>
  <si>
    <t>YZ-CAY97Z3L</t>
  </si>
  <si>
    <t>X001OBZJ3N</t>
  </si>
  <si>
    <t>YZ-CAY97Z3M</t>
  </si>
  <si>
    <t>X001OCJ7X5</t>
  </si>
  <si>
    <t>YZ-CAY97Z3XL</t>
  </si>
  <si>
    <t>X001OCJAJ1</t>
  </si>
  <si>
    <t>YZ-FQ008G12L</t>
  </si>
  <si>
    <t>X0015GIYTN</t>
  </si>
  <si>
    <t>B0191EHSD2</t>
  </si>
  <si>
    <t>Women's Plus Size One-Piece Flat Angle Slim Swimsuit Dark Green Large</t>
  </si>
  <si>
    <t>MiYang Women's Plus Size One-Piece Flat Angle Slim Swimsuit</t>
  </si>
  <si>
    <t>YZ-HE13037EZ1L-MX</t>
  </si>
  <si>
    <t>X001EEQST9</t>
  </si>
  <si>
    <t>YZ-HE13037Or1L-MX</t>
  </si>
  <si>
    <t>X001EE948B</t>
  </si>
  <si>
    <t>YZ-HE13037Or8L-MX</t>
  </si>
  <si>
    <t>X001EEDVXZ</t>
  </si>
  <si>
    <t>MiYang Women's Plus Size Printing Padded High Waist Swimdress Orange 4X (US 26W-28W)</t>
  </si>
  <si>
    <t>YZ-HE13037Pu1L-MX</t>
  </si>
  <si>
    <t>X001EEQSSF</t>
  </si>
  <si>
    <t>YZ-HE13037Pu4L-MX</t>
  </si>
  <si>
    <t>X001EDELI5</t>
  </si>
  <si>
    <t>YZ-HE13037Wi1L-MX</t>
  </si>
  <si>
    <t>X001EDCBZ5</t>
  </si>
  <si>
    <t>YZ-HE13037Wi2L-MX</t>
  </si>
  <si>
    <t>X001EEQSSZ</t>
  </si>
  <si>
    <t>YZ-HE13037Wi8L-MX</t>
  </si>
  <si>
    <t>X001EERWBH</t>
  </si>
  <si>
    <t>MiYang Women's Plus Size High Waist Printing Swimsuit Bathing Swimwear Sapphire Blue(one Piece) 3XL(US Size18W-20W)</t>
  </si>
  <si>
    <t>MiYang Women's Plus Size High Waist Printing Swimsuit Bathing Swimwear Sapphire Blue(one Piece) 4XL(US Size22W-24W)</t>
  </si>
  <si>
    <t>MiYang Women's Bowknot Printing Skirt Spa Swimsuit Padded Bathing Swimwear, Navy(one Piece) 2XL(US Size16W-18W)</t>
  </si>
  <si>
    <t>MiYang Women's Bowknot Printing Skirt Spa Swimsuit Padded Bathing Swimwear, Navy(one Piece) 3XL(US Size18W-20W)</t>
  </si>
  <si>
    <t>MiYang Women's Plus Size High Waist Printing Swimsuit Bathing Swimwear Sapphire Blue(Two Piece) 3XL(US Size18W-20W)</t>
  </si>
  <si>
    <t>YZ-HE9008Sa9L</t>
  </si>
  <si>
    <t>X0019BZT4H</t>
  </si>
  <si>
    <t>B01MRL2GKJ</t>
  </si>
  <si>
    <t>MiYang Women's Plus Size High Waist Printing Swimsuit Bathing Swimwear Sapphire Blue(Two Piece) 4XL(US Size22W-24W)</t>
  </si>
  <si>
    <t>MiYang Women's Plus Size High Waist Printing Swimsuit Bathing Swimwear Navy(Two Piece) 4XL(US Size22W-24W)</t>
  </si>
  <si>
    <t>YZ-HM0007-B0-2XL</t>
  </si>
  <si>
    <t>X001EADPHL</t>
  </si>
  <si>
    <t>B071D7XMXB</t>
  </si>
  <si>
    <t>YZ-HM0007-B0-3XL</t>
  </si>
  <si>
    <t>X001EA18U7</t>
  </si>
  <si>
    <t>B06ZYLNNZF</t>
  </si>
  <si>
    <t>YZ-HM0007-K0-2XL</t>
  </si>
  <si>
    <t>X001EA18TN</t>
  </si>
  <si>
    <t>B071R2GXZQ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</si>
  <si>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</si>
  <si>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</si>
  <si>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</si>
  <si>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</si>
  <si>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</si>
  <si>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</si>
  <si>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</si>
  <si>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</si>
  <si>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</si>
  <si>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</si>
  <si>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</si>
  <si>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</si>
  <si>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YZ-HM1584-K0-1XL</t>
  </si>
  <si>
    <t>X001CUFIM3</t>
  </si>
  <si>
    <t>B06XDLCBD1</t>
  </si>
  <si>
    <t>YZ-HM17015-B0-XL</t>
  </si>
  <si>
    <t>X001JQXJ3F</t>
  </si>
  <si>
    <t>B074K1MYBJ</t>
  </si>
  <si>
    <t>YZ-HT1304G02L</t>
  </si>
  <si>
    <t>X00147RDG3</t>
  </si>
  <si>
    <t>B01F4P0SZ2</t>
  </si>
  <si>
    <t>MiYang Women's Plus Size Printing Padded High Waist Swimdress Dark Green S (US 4-6)</t>
  </si>
  <si>
    <t>YZ-HT1304G04L</t>
  </si>
  <si>
    <t>X00146T61T</t>
  </si>
  <si>
    <t>B01F4P0UAA</t>
  </si>
  <si>
    <t>MiYang Women's Plus Size Printing Padded High Waist Swimdress Dark Green L (US 12-14)</t>
  </si>
  <si>
    <t>YZ-HT1304G05L</t>
  </si>
  <si>
    <t>X00146W1O3</t>
  </si>
  <si>
    <t>B01F4P0UIM</t>
  </si>
  <si>
    <t>MiYang Women's Plus Size Printing Padded High Waist Swimdress Dark Green XL (US 16-18)</t>
  </si>
  <si>
    <t>YZ-HT1304Y02L</t>
  </si>
  <si>
    <t>X00147QOGD</t>
  </si>
  <si>
    <t>B01F4P0VTU</t>
  </si>
  <si>
    <t>MiYang Women's Plus Size Printing Padded High Waist Swimdress Bright Orange S (US 4-6)</t>
  </si>
  <si>
    <t>YZ-HT1304Y03L</t>
  </si>
  <si>
    <t>X00147PQ71</t>
  </si>
  <si>
    <t>B01F4P0W6M</t>
  </si>
  <si>
    <t>MiYang Women's Shaping Body Swimsuit One-Piece Swimwear Spa Suit,Bright Orange,Tag Size 3XL</t>
  </si>
  <si>
    <t>YZ-HT1304Y05L</t>
  </si>
  <si>
    <t>X00147AH2Z</t>
  </si>
  <si>
    <t>B01F4P0X6Q</t>
  </si>
  <si>
    <t>MiYang Women's Plus Size Printing Padded High Waist Swimdress Bright Orange XL (US 16-18)</t>
  </si>
  <si>
    <t>YZ-JY1151-K0-L</t>
  </si>
  <si>
    <t>X0014LI2XH</t>
  </si>
  <si>
    <t>B01GYFABQC</t>
  </si>
  <si>
    <t>MiYang Women's Pure Color High Waist Boy Shorts Swimdress Bikini Bottom Black Small(US size:4-6)</t>
  </si>
  <si>
    <t>YZ-JY1151-K0-XL</t>
  </si>
  <si>
    <t>X0014LHWTR</t>
  </si>
  <si>
    <t>B01GYFA7UC</t>
  </si>
  <si>
    <t>MiYang Women's Pure Color High Waist Boy Shorts Swimdress Bikini Bottom Black Medium(US size:8-10)</t>
  </si>
  <si>
    <t>YZ-JY1151-ZL-L</t>
  </si>
  <si>
    <t>X0014M3H6D</t>
  </si>
  <si>
    <t>B01GYFAC4S</t>
  </si>
  <si>
    <t>MiYang Women's Pure Color High Waist Boy Shorts Swimdress Bikini Bottom Navy Small(US size:4-6)</t>
  </si>
  <si>
    <t>YZ-JY1151-ZL-XL</t>
  </si>
  <si>
    <t>X0014LI33L</t>
  </si>
  <si>
    <t>B01GYFAD7Y</t>
  </si>
  <si>
    <t>MiYang Women's Pure Color High Waist Boy Shorts Swimdress Bikini Bottom Navy Medium(US size:8-10)</t>
  </si>
  <si>
    <t>YZ-LS1068B0L</t>
  </si>
  <si>
    <t>X0010BWB2T</t>
  </si>
  <si>
    <t>B01DF0KYBG</t>
  </si>
  <si>
    <t>YZ-LS1068K0L</t>
  </si>
  <si>
    <t>X0010BWB3N</t>
  </si>
  <si>
    <t>B01DF0KZXS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</si>
  <si>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</si>
  <si>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</si>
  <si>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</si>
  <si>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</si>
  <si>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</si>
  <si>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</si>
  <si>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</si>
  <si>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</si>
  <si>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YZ-MAPLUS24-PI-M</t>
  </si>
  <si>
    <t>X001TQGC25</t>
  </si>
  <si>
    <t>YZ-MC180-B0-2XL</t>
  </si>
  <si>
    <t>X001R1WM3F</t>
  </si>
  <si>
    <t>B07C5PJLTZ</t>
  </si>
  <si>
    <t>YZ-MC180-B0-L</t>
  </si>
  <si>
    <t>X001R2K01Z</t>
  </si>
  <si>
    <t>B07C5MYQSM</t>
  </si>
  <si>
    <t>YZ-MC180-B0-M</t>
  </si>
  <si>
    <t>X001R2K029</t>
  </si>
  <si>
    <t>B07C63C5T5</t>
  </si>
  <si>
    <t>YZ-MC180-B0-S</t>
  </si>
  <si>
    <t>X001R1RTBF</t>
  </si>
  <si>
    <t>B07C5PVKL5</t>
  </si>
  <si>
    <t>YZ-MC180-B0-XL</t>
  </si>
  <si>
    <t>X001R2LPKF</t>
  </si>
  <si>
    <t>B07C5TQHMT</t>
  </si>
  <si>
    <t>YZ-MC180-E0-2XL</t>
  </si>
  <si>
    <t>X001R22U31</t>
  </si>
  <si>
    <t>B07C5R6NDC</t>
  </si>
  <si>
    <t>YZ-MC180-E0-L</t>
  </si>
  <si>
    <t>X001R2KA3X</t>
  </si>
  <si>
    <t>B07C5TH6B4</t>
  </si>
  <si>
    <t>YZ-MC180-E0-M</t>
  </si>
  <si>
    <t>X001R1RTB5</t>
  </si>
  <si>
    <t>B07C5LBSRZ</t>
  </si>
  <si>
    <t>YZ-MC180-E0-S</t>
  </si>
  <si>
    <t>X001R2K0XD</t>
  </si>
  <si>
    <t>B07CCH46TV</t>
  </si>
  <si>
    <t>YZ-MC180-E0-XL</t>
  </si>
  <si>
    <t>X001R2JSBX</t>
  </si>
  <si>
    <t>B07C5R3C3X</t>
  </si>
  <si>
    <t>YZ-MC180-K0-2XL</t>
  </si>
  <si>
    <t>X001R1WXCF</t>
  </si>
  <si>
    <t>B07CCH38L6</t>
  </si>
  <si>
    <t>YZ-MC180-K0-L</t>
  </si>
  <si>
    <t>X001R2MUS1</t>
  </si>
  <si>
    <t>B07C5TT7JK</t>
  </si>
  <si>
    <t>YZ-MC180-K0-M</t>
  </si>
  <si>
    <t>X001R2NRK1</t>
  </si>
  <si>
    <t>B07C5K76XV</t>
  </si>
  <si>
    <t>YZ-MC180-K0-S</t>
  </si>
  <si>
    <t>X001R2MUGN</t>
  </si>
  <si>
    <t>B07CCH6Y1S</t>
  </si>
  <si>
    <t>YZ-MC180-K0-XL</t>
  </si>
  <si>
    <t>X001R2KA7T</t>
  </si>
  <si>
    <t>B07C5WJ1M4</t>
  </si>
  <si>
    <t>YZ-MC180-OR-2XL</t>
  </si>
  <si>
    <t>X001R2MURR</t>
  </si>
  <si>
    <t>B07C5GFBWL</t>
  </si>
  <si>
    <t>YZ-MC180-OR-L</t>
  </si>
  <si>
    <t>X001R2LPK5</t>
  </si>
  <si>
    <t>B07C5JH52G</t>
  </si>
  <si>
    <t>YZ-MC180-OR-M</t>
  </si>
  <si>
    <t>X001R1RTBP</t>
  </si>
  <si>
    <t>B07C5P5FLP</t>
  </si>
  <si>
    <t>YZ-MC180-OR-S</t>
  </si>
  <si>
    <t>X001R1WM3P</t>
  </si>
  <si>
    <t>B07C5LF2NN</t>
  </si>
  <si>
    <t>YZ-MC180-OR-XL</t>
  </si>
  <si>
    <t>X001R2KA47</t>
  </si>
  <si>
    <t>B07C61CK7L</t>
  </si>
  <si>
    <t>YZ-MC180-WI-2XL</t>
  </si>
  <si>
    <t>X001R2LPJV</t>
  </si>
  <si>
    <t>B07C5YJ8P4</t>
  </si>
  <si>
    <t>YZ-MC180-WI-L</t>
  </si>
  <si>
    <t>X001R2JSBN</t>
  </si>
  <si>
    <t>B07C5RJP16</t>
  </si>
  <si>
    <t>YZ-MC180-WI-M</t>
  </si>
  <si>
    <t>X001R2K01F</t>
  </si>
  <si>
    <t>B07C5P42N1</t>
  </si>
  <si>
    <t>YZ-MC180-WI-S</t>
  </si>
  <si>
    <t>X001R2NRKB</t>
  </si>
  <si>
    <t>B07C5PVKL8</t>
  </si>
  <si>
    <t>YZ-MC180-WI-XL</t>
  </si>
  <si>
    <t>X001R2K01P</t>
  </si>
  <si>
    <t>B07C5LPTQB</t>
  </si>
  <si>
    <t>YZ-MC181-Gr-2XL</t>
  </si>
  <si>
    <t>X001R2AHYZ</t>
  </si>
  <si>
    <t>YZ-MC181-Gr-L</t>
  </si>
  <si>
    <t>X001R1PA89</t>
  </si>
  <si>
    <t>YZ-MC181-Gr-M</t>
  </si>
  <si>
    <t>X001R2D2JR</t>
  </si>
  <si>
    <t>YZ-MC181-Gr-S</t>
  </si>
  <si>
    <t>X001R2ACYF</t>
  </si>
  <si>
    <t>YZ-MC181-Gr-XL</t>
  </si>
  <si>
    <t>X001R1M00P</t>
  </si>
  <si>
    <t>YZ-MC181-K0-2XL</t>
  </si>
  <si>
    <t>X001R1PA57</t>
  </si>
  <si>
    <t>YZ-MC181-K0-L</t>
  </si>
  <si>
    <t>X001R2AIDF</t>
  </si>
  <si>
    <t>YZ-MC181-K0-M</t>
  </si>
  <si>
    <t>X001R1M00F</t>
  </si>
  <si>
    <t>YZ-MC181-K0-S</t>
  </si>
  <si>
    <t>X001R1M005</t>
  </si>
  <si>
    <t>YZ-MC181-K0-XL</t>
  </si>
  <si>
    <t>X001R1TGXJ</t>
  </si>
  <si>
    <t>YZ-MC181-OR-2XL</t>
  </si>
  <si>
    <t>X001R2AIDP</t>
  </si>
  <si>
    <t>YZ-MC181-OR-L</t>
  </si>
  <si>
    <t>X001R1TGN9</t>
  </si>
  <si>
    <t>YZ-MC181-OR-M</t>
  </si>
  <si>
    <t>X001R2D2JH</t>
  </si>
  <si>
    <t>YZ-MC181-OR-S</t>
  </si>
  <si>
    <t>X001R2DF0X</t>
  </si>
  <si>
    <t>YZ-MC181-OR-XL</t>
  </si>
  <si>
    <t>X001R1GT25</t>
  </si>
  <si>
    <t>YZ-MC181-R0-2XL</t>
  </si>
  <si>
    <t>X001R1M8D9</t>
  </si>
  <si>
    <t>YZ-MC181-R0-L</t>
  </si>
  <si>
    <t>X001R2AID5</t>
  </si>
  <si>
    <t>YZ-MC181-R0-M</t>
  </si>
  <si>
    <t>X001R1TGXT</t>
  </si>
  <si>
    <t>YZ-MC181-R0-S</t>
  </si>
  <si>
    <t>X001R2ACYP</t>
  </si>
  <si>
    <t>YZ-MC181-R0-XL</t>
  </si>
  <si>
    <t>X001R1M8HP</t>
  </si>
  <si>
    <t>YZ-MC181-W0-2XL</t>
  </si>
  <si>
    <t>X001R1LZZV</t>
  </si>
  <si>
    <t>YZ-MC181-W0-L</t>
  </si>
  <si>
    <t>X001R1TGX9</t>
  </si>
  <si>
    <t>YZ-MC181-W0-M</t>
  </si>
  <si>
    <t>X001R2D2K1</t>
  </si>
  <si>
    <t>YZ-MC181-W0-S</t>
  </si>
  <si>
    <t>X001R2AHYP</t>
  </si>
  <si>
    <t>YZ-MC181-W0-XL</t>
  </si>
  <si>
    <t>X001R2AHYF</t>
  </si>
  <si>
    <t>YZ-MC2500-K0-L</t>
  </si>
  <si>
    <t>X001T6DW0F</t>
  </si>
  <si>
    <t>YZ-MC2500-K0-M</t>
  </si>
  <si>
    <t>X001T5CRC5</t>
  </si>
  <si>
    <t>YZ-MC2500-K0-S</t>
  </si>
  <si>
    <t>X001T5C24X</t>
  </si>
  <si>
    <t>YZ-MC2500-K0-XL</t>
  </si>
  <si>
    <t>X001T4SGU3</t>
  </si>
  <si>
    <t>YZ-MC2500-R0-L</t>
  </si>
  <si>
    <t>X001T6DVZL</t>
  </si>
  <si>
    <t>YZ-MC2500-R0-M</t>
  </si>
  <si>
    <t>X001T6EX35</t>
  </si>
  <si>
    <t>YZ-MC2500-R0-S</t>
  </si>
  <si>
    <t>X001T6F4L5</t>
  </si>
  <si>
    <t>YZ-MC2500-R0-XL</t>
  </si>
  <si>
    <t>X001T6B83N</t>
  </si>
  <si>
    <t>YZ-MC2500-W0-L</t>
  </si>
  <si>
    <t>X001T6F915</t>
  </si>
  <si>
    <t>YZ-MC2500-W0-M</t>
  </si>
  <si>
    <t>X001T6B6AD</t>
  </si>
  <si>
    <t>YZ-MC2500-W0-S</t>
  </si>
  <si>
    <t>X001T6F91Z</t>
  </si>
  <si>
    <t>YZ-MC2500-W0-XL</t>
  </si>
  <si>
    <t>X001T6HIKF</t>
  </si>
  <si>
    <t>YZ-MC5119-K0BD-2XL</t>
  </si>
  <si>
    <t>X001Q5QFVH</t>
  </si>
  <si>
    <t>B07BHJG457</t>
  </si>
  <si>
    <t>YZ-MC5119-K0BD-3XL</t>
  </si>
  <si>
    <t>X001Q5R0ON</t>
  </si>
  <si>
    <t>B07BHMP7JD</t>
  </si>
  <si>
    <t>YZ-MC5119-K0BD-L</t>
  </si>
  <si>
    <t>X001Q4SXN1</t>
  </si>
  <si>
    <t>B07BHLKK45</t>
  </si>
  <si>
    <t>YZ-MC5119-K0BD-M</t>
  </si>
  <si>
    <t>X001Q5QAFD</t>
  </si>
  <si>
    <t>B07BHLXX2Z</t>
  </si>
  <si>
    <t>YZ-MC5119-K0BD-XL</t>
  </si>
  <si>
    <t>X001Q5QXO1</t>
  </si>
  <si>
    <t>B07BHKN4XR</t>
  </si>
  <si>
    <t>YZ-MC5119-ZLBD-2XL</t>
  </si>
  <si>
    <t>X001Q5QXOB</t>
  </si>
  <si>
    <t>B07BHJMT22</t>
  </si>
  <si>
    <t>YZ-MC5119-ZLBD-3XL</t>
  </si>
  <si>
    <t>X001Q4SXMH</t>
  </si>
  <si>
    <t>B07BHJSQGX</t>
  </si>
  <si>
    <t>YZ-MC5119-ZLBD-L</t>
  </si>
  <si>
    <t>X001Q4SXMR</t>
  </si>
  <si>
    <t>B07BHL8PRT</t>
  </si>
  <si>
    <t>YZ-MC5119-ZLBD-M</t>
  </si>
  <si>
    <t>X001Q5QRWT</t>
  </si>
  <si>
    <t>B07BHJ3QCC</t>
  </si>
  <si>
    <t>YZ-MC5119-ZLBD-XL</t>
  </si>
  <si>
    <t>X001Q5R3XV</t>
  </si>
  <si>
    <t>B07BHJ9892</t>
  </si>
  <si>
    <t>YZ-MC5119-ZLSY-2XL</t>
  </si>
  <si>
    <t>X001Q5QFVR</t>
  </si>
  <si>
    <t>B07BHJT4BC</t>
  </si>
  <si>
    <t>YZ-MC5119-ZLSY-3XL</t>
  </si>
  <si>
    <t>X001Q4SXPT</t>
  </si>
  <si>
    <t>B07BHJNXF7</t>
  </si>
  <si>
    <t>YZ-MC5119-ZLSY-L</t>
  </si>
  <si>
    <t>X001Q4SXM7</t>
  </si>
  <si>
    <t>B07BHJMB51</t>
  </si>
  <si>
    <t>YZ-MC5119-ZLSY-M</t>
  </si>
  <si>
    <t>X001Q5QFW1</t>
  </si>
  <si>
    <t>B07BHJCSG3</t>
  </si>
  <si>
    <t>YZ-MC5119-ZLSY-XL</t>
  </si>
  <si>
    <t>X001Q4F3UH</t>
  </si>
  <si>
    <t>B07BHLTFSJ</t>
  </si>
  <si>
    <t>YZ-MC5119-ZLYH-2XL</t>
  </si>
  <si>
    <t>X001Q5Q5NF</t>
  </si>
  <si>
    <t>B07BHKB36F</t>
  </si>
  <si>
    <t>YZ-MC5119-ZLYH-3XL</t>
  </si>
  <si>
    <t>X001Q5QRWJ</t>
  </si>
  <si>
    <t>B07BHJHX4N</t>
  </si>
  <si>
    <t>YZ-MC5119-ZLYH-L</t>
  </si>
  <si>
    <t>X001Q5QAIP</t>
  </si>
  <si>
    <t>B07BHLNS3H</t>
  </si>
  <si>
    <t>YZ-MC5119-ZLYH-M</t>
  </si>
  <si>
    <t>X001Q5Q5N5</t>
  </si>
  <si>
    <t>B07BHJBZHH</t>
  </si>
  <si>
    <t>YZ-MC5119-ZLYH-XL</t>
  </si>
  <si>
    <t>X001Q5QZ9T</t>
  </si>
  <si>
    <t>B07BHK9VDD</t>
  </si>
  <si>
    <t>YZ-MC5119K0-4XL</t>
  </si>
  <si>
    <t>X001Q5QXOL</t>
  </si>
  <si>
    <t>B07BHM9Y4H</t>
  </si>
  <si>
    <t>YZ-MC5119K0-S</t>
  </si>
  <si>
    <t>X001Q4SXSV</t>
  </si>
  <si>
    <t>B07BHJLJCW</t>
  </si>
  <si>
    <t>YZ-MC5119ZL-4XL</t>
  </si>
  <si>
    <t>X001Q49X0X</t>
  </si>
  <si>
    <t>B07BHMDF7S</t>
  </si>
  <si>
    <t>YZ-MC5119ZL-S</t>
  </si>
  <si>
    <t>X001Q5PIV5</t>
  </si>
  <si>
    <t>B07BHJDC8B</t>
  </si>
  <si>
    <t>YZ-MC5129-G0-2XL</t>
  </si>
  <si>
    <t>X001T61Y7X</t>
  </si>
  <si>
    <t>YZ-MC5129-G0-3XL</t>
  </si>
  <si>
    <t>X001T66EPF</t>
  </si>
  <si>
    <t>YZ-MC5129-G0-L</t>
  </si>
  <si>
    <t>X001T58SE1</t>
  </si>
  <si>
    <t>YZ-MC5129-G0-M</t>
  </si>
  <si>
    <t>X001T63S2H</t>
  </si>
  <si>
    <t>YZ-MC5129-G0-XL</t>
  </si>
  <si>
    <t>X001T63S31</t>
  </si>
  <si>
    <t>YZ-MC5129-G0YH-2XL</t>
  </si>
  <si>
    <t>X001T61Y7N</t>
  </si>
  <si>
    <t>YZ-MC5129-G0YH-3XL</t>
  </si>
  <si>
    <t>X001T4WLEF</t>
  </si>
  <si>
    <t>YZ-MC5129-G0YH-L</t>
  </si>
  <si>
    <t>X001T4WLEP</t>
  </si>
  <si>
    <t>YZ-MC5129-G0YH-M</t>
  </si>
  <si>
    <t>X001T66EP5</t>
  </si>
  <si>
    <t>YZ-MC5129-G0YH-XL</t>
  </si>
  <si>
    <t>X001T63RUP</t>
  </si>
  <si>
    <t>YZ-MC5129-K0-2XL</t>
  </si>
  <si>
    <t>X001T61UCH</t>
  </si>
  <si>
    <t>YZ-MC5129-K0-3XL</t>
  </si>
  <si>
    <t>X001T63S2R</t>
  </si>
  <si>
    <t>YZ-MC5129-K0-L</t>
  </si>
  <si>
    <t>X001T4P6O7</t>
  </si>
  <si>
    <t>YZ-MC5129-K0-M</t>
  </si>
  <si>
    <t>X001T66EOL</t>
  </si>
  <si>
    <t>YZ-MC5129-K0-XL</t>
  </si>
  <si>
    <t>X001T58KL7</t>
  </si>
  <si>
    <t>YZ-MC5129-K0YH-2XL</t>
  </si>
  <si>
    <t>X001T66EOV</t>
  </si>
  <si>
    <t>YZ-MC5129-K0YH-3XL</t>
  </si>
  <si>
    <t>X001T58SDR</t>
  </si>
  <si>
    <t>YZ-MC5129-K0YH-L</t>
  </si>
  <si>
    <t>X001T61Y55</t>
  </si>
  <si>
    <t>YZ-MC5129-K0YH-M</t>
  </si>
  <si>
    <t>X001T63RUF</t>
  </si>
  <si>
    <t>YZ-MC5129-K0YH-XL</t>
  </si>
  <si>
    <t>X001T61Y87</t>
  </si>
  <si>
    <t>YZ-MC5129-ZLYH-2XL</t>
  </si>
  <si>
    <t>X001T65B2R</t>
  </si>
  <si>
    <t>YZ-MC5129-ZLYH-3XL</t>
  </si>
  <si>
    <t>X001T58KLH</t>
  </si>
  <si>
    <t>YZ-MC5129-ZLYH-L</t>
  </si>
  <si>
    <t>X001T65B31</t>
  </si>
  <si>
    <t>YZ-MC5129-ZLYH-M</t>
  </si>
  <si>
    <t>X001T61UCR</t>
  </si>
  <si>
    <t>YZ-MC5129-ZLYH-XL</t>
  </si>
  <si>
    <t>X001T4WLJZ</t>
  </si>
  <si>
    <t>YZ-MC666-B0-L</t>
  </si>
  <si>
    <t>X001PM8SBL</t>
  </si>
  <si>
    <t>YZ-MC666-B0-M</t>
  </si>
  <si>
    <t>X001PM82D5</t>
  </si>
  <si>
    <t>B01DXWQIRA</t>
  </si>
  <si>
    <t>YZ-MC666-B0-S</t>
  </si>
  <si>
    <t>X001PJVEER</t>
  </si>
  <si>
    <t>B01DXWQFWS</t>
  </si>
  <si>
    <t>YZ-MC666-B0-XL</t>
  </si>
  <si>
    <t>X001PM8SBV</t>
  </si>
  <si>
    <t>B01DXWQP50</t>
  </si>
  <si>
    <t>YZ-MC666-B0-XS</t>
  </si>
  <si>
    <t>X001PM9DW9</t>
  </si>
  <si>
    <t>B01DXWQE1A</t>
  </si>
  <si>
    <t>YZ-MC666-HB-L</t>
  </si>
  <si>
    <t>X001PL9WUD</t>
  </si>
  <si>
    <t>YZ-MC666-HB-M</t>
  </si>
  <si>
    <t>X001PJV7YT</t>
  </si>
  <si>
    <t>B01D42E9OS</t>
  </si>
  <si>
    <t>YZ-MC666-HB-S</t>
  </si>
  <si>
    <t>X001PM82CL</t>
  </si>
  <si>
    <t>YZ-MC666-HB-XL</t>
  </si>
  <si>
    <t>X001PJVDT3</t>
  </si>
  <si>
    <t>B01D42ED8K</t>
  </si>
  <si>
    <t>YZ-MC666-P0-L</t>
  </si>
  <si>
    <t>X001PM82CB</t>
  </si>
  <si>
    <t>B01DXWQ69A</t>
  </si>
  <si>
    <t>YZ-MC666-P0-M</t>
  </si>
  <si>
    <t>X001PIZA43</t>
  </si>
  <si>
    <t>YZ-MC666-P0-S</t>
  </si>
  <si>
    <t>X001PM82CV</t>
  </si>
  <si>
    <t>B01DXWQ208</t>
  </si>
  <si>
    <t>YZ-MC666-P0-XL</t>
  </si>
  <si>
    <t>X001PM80Y1</t>
  </si>
  <si>
    <t>B01DXWQ86Q</t>
  </si>
  <si>
    <t>YZ-MC666-Y0-M</t>
  </si>
  <si>
    <t>X001PIZA4D</t>
  </si>
  <si>
    <t>B01DXWQG4U</t>
  </si>
  <si>
    <t>YZ-MCBD01-R0-XL</t>
  </si>
  <si>
    <t>X001QM89MX</t>
  </si>
  <si>
    <t>YZ-MCBD01-R0-XS</t>
  </si>
  <si>
    <t>X001QKUNXD</t>
  </si>
  <si>
    <t>YZ-MCBK187-B0-2XL</t>
  </si>
  <si>
    <t>X001T4Z40X</t>
  </si>
  <si>
    <t>YZ-MCBK187-B0-L</t>
  </si>
  <si>
    <t>X001T4Z41H</t>
  </si>
  <si>
    <t>YZ-MCBK187-B0-M</t>
  </si>
  <si>
    <t>X001T4ZWCN</t>
  </si>
  <si>
    <t>YZ-MCBK187-B0-S</t>
  </si>
  <si>
    <t>X001T4ZVVZ</t>
  </si>
  <si>
    <t>YZ-MCBK187-B0-XL</t>
  </si>
  <si>
    <t>X001T655R3</t>
  </si>
  <si>
    <t>YZ-MCBK187-BD-2XL</t>
  </si>
  <si>
    <t>X001T66JEB</t>
  </si>
  <si>
    <t>YZ-MCBK187-BD-L</t>
  </si>
  <si>
    <t>X001T4Z2WD</t>
  </si>
  <si>
    <t>YZ-MCBK187-BD-M</t>
  </si>
  <si>
    <t>X001T4ZWC3</t>
  </si>
  <si>
    <t>YZ-MCBK187-BD-S</t>
  </si>
  <si>
    <t>X001T66JEL</t>
  </si>
  <si>
    <t>YZ-MCBK187-BD-XL</t>
  </si>
  <si>
    <t>X001T4SYOV</t>
  </si>
  <si>
    <t>YZ-MCBK187-G7-2XL</t>
  </si>
  <si>
    <t>X001T4ZNCH</t>
  </si>
  <si>
    <t>YZ-MCBK187-G7-L</t>
  </si>
  <si>
    <t>X001T4Z2WN</t>
  </si>
  <si>
    <t>YZ-MCBK187-G7-M</t>
  </si>
  <si>
    <t>X001T66JEV</t>
  </si>
  <si>
    <t>YZ-MCBK187-G7-S</t>
  </si>
  <si>
    <t>X001T5DC6P</t>
  </si>
  <si>
    <t>YZ-MCBK187-G7-XL</t>
  </si>
  <si>
    <t>X001T66JFF</t>
  </si>
  <si>
    <t>YZ-MCBK187-K0-2XL</t>
  </si>
  <si>
    <t>X001T4ZWHD</t>
  </si>
  <si>
    <t>YZ-MCBK187-K0-L</t>
  </si>
  <si>
    <t>X001T5DC65</t>
  </si>
  <si>
    <t>YZ-MCBK187-K0-M</t>
  </si>
  <si>
    <t>X001T5E9TT</t>
  </si>
  <si>
    <t>YZ-MCBK187-K0-S</t>
  </si>
  <si>
    <t>X001T4ZWYV</t>
  </si>
  <si>
    <t>YZ-MCBK187-K0-XL</t>
  </si>
  <si>
    <t>X001T4SYP5</t>
  </si>
  <si>
    <t>YZ-MCBK187-OR-2XL</t>
  </si>
  <si>
    <t>X001T4ZWH3</t>
  </si>
  <si>
    <t>YZ-MCBK187-OR-L</t>
  </si>
  <si>
    <t>X001T4Z40N</t>
  </si>
  <si>
    <t>YZ-MCBK187-OR-M</t>
  </si>
  <si>
    <t>X001T4ZNCR</t>
  </si>
  <si>
    <t>B07BMV85BB</t>
  </si>
  <si>
    <t>YZ-MCBK187-OR-S</t>
  </si>
  <si>
    <t>X001T66JE1</t>
  </si>
  <si>
    <t>YZ-MCBK187-OR-XL</t>
  </si>
  <si>
    <t>X001T5CRR5</t>
  </si>
  <si>
    <t>YZ-MCBK187-P0-2XL</t>
  </si>
  <si>
    <t>X001T4Z421</t>
  </si>
  <si>
    <t>YZ-MCBK187-P0-L</t>
  </si>
  <si>
    <t>X001T4SWGL</t>
  </si>
  <si>
    <t>YZ-MCBK187-P0-M</t>
  </si>
  <si>
    <t>X001T4ZWHN</t>
  </si>
  <si>
    <t>YZ-MCBK187-P0-S</t>
  </si>
  <si>
    <t>X001T4ZVVP</t>
  </si>
  <si>
    <t>YZ-MCBK187-P0-XL</t>
  </si>
  <si>
    <t>X001T4SWGV</t>
  </si>
  <si>
    <t>YZ-MCBK187-R2-2XL</t>
  </si>
  <si>
    <t>X001T5DC6F</t>
  </si>
  <si>
    <t>YZ-MCBK187-R2-L</t>
  </si>
  <si>
    <t>X001T5DC5V</t>
  </si>
  <si>
    <t>YZ-MCBK187-R2-M</t>
  </si>
  <si>
    <t>X001T4ZWCD</t>
  </si>
  <si>
    <t>YZ-MCBK187-R2-S</t>
  </si>
  <si>
    <t>X001T655RD</t>
  </si>
  <si>
    <t>YZ-MCBK187-R2-XL</t>
  </si>
  <si>
    <t>X001T5E9TJ</t>
  </si>
  <si>
    <t>YZ-MCBK187-Y0-2XL</t>
  </si>
  <si>
    <t>X001T66JF5</t>
  </si>
  <si>
    <t>YZ-MCBK187-Y0-L</t>
  </si>
  <si>
    <t>X001T4Z41R</t>
  </si>
  <si>
    <t>YZ-MCBK187-Y0-M</t>
  </si>
  <si>
    <t>X001T4Z3E5</t>
  </si>
  <si>
    <t>YZ-MCBK187-Y0-S</t>
  </si>
  <si>
    <t>X001T4ZNC7</t>
  </si>
  <si>
    <t>YZ-MCBK187-Y0-XL</t>
  </si>
  <si>
    <t>X001T655QT</t>
  </si>
  <si>
    <t>YZ-MCBKN1703-R0-L</t>
  </si>
  <si>
    <t>X001PLCFWF</t>
  </si>
  <si>
    <t>YZ-MCBKN1703-R0-M</t>
  </si>
  <si>
    <t>X001PJ3Z5N</t>
  </si>
  <si>
    <t>YZ-MCBKN1703-R0-S</t>
  </si>
  <si>
    <t>X001PJ3Z0N</t>
  </si>
  <si>
    <t>YZ-MCBKN1703-R0-XL</t>
  </si>
  <si>
    <t>X001PKC8YV</t>
  </si>
  <si>
    <t>YZ-MCBKN1703-R0-XS</t>
  </si>
  <si>
    <t>X001PJ3Z0X</t>
  </si>
  <si>
    <t>YZ-MCCL173-K0-L</t>
  </si>
  <si>
    <t>X001P2WRNL</t>
  </si>
  <si>
    <t>B079NXJ2WX</t>
  </si>
  <si>
    <t>YZ-MCCL173-K0-M</t>
  </si>
  <si>
    <t>X001P2WRO5</t>
  </si>
  <si>
    <t>B079P1TSLZ</t>
  </si>
  <si>
    <t>YZ-MCCL173-K0-S</t>
  </si>
  <si>
    <t>X001P1O3BB</t>
  </si>
  <si>
    <t>B079NWXH51</t>
  </si>
  <si>
    <t>YZ-MCCL173-K0-XL</t>
  </si>
  <si>
    <t>X001P2X7M1</t>
  </si>
  <si>
    <t>B079NSVLXQ</t>
  </si>
  <si>
    <t>YZ-MCCL173-K0-XXL</t>
  </si>
  <si>
    <t>X001P1XK1Z</t>
  </si>
  <si>
    <t>B079NSKLJX</t>
  </si>
  <si>
    <t>YZ-MCCL173-OR-L</t>
  </si>
  <si>
    <t>X001P2UK6H</t>
  </si>
  <si>
    <t>B079NTDSPB</t>
  </si>
  <si>
    <t>YZ-MCCL173-OR-M</t>
  </si>
  <si>
    <t>X001P2W6PF</t>
  </si>
  <si>
    <t>B079NVD55S</t>
  </si>
  <si>
    <t>YZ-MCCL173-OR-S</t>
  </si>
  <si>
    <t>X001P2WO39</t>
  </si>
  <si>
    <t>B079NZBJYS</t>
  </si>
  <si>
    <t>YZ-MCCL173-OR-XL</t>
  </si>
  <si>
    <t>X001P1XK8X</t>
  </si>
  <si>
    <t>B079NWXNZ7</t>
  </si>
  <si>
    <t>YZ-MCCL173-OR-XXL</t>
  </si>
  <si>
    <t>X001P2VWYV</t>
  </si>
  <si>
    <t>B079NR6CSY</t>
  </si>
  <si>
    <t>YZ-MCCL173-P0-L</t>
  </si>
  <si>
    <t>X001P2UN87</t>
  </si>
  <si>
    <t>B079NTGNH4</t>
  </si>
  <si>
    <t>YZ-MCCL173-P0-M</t>
  </si>
  <si>
    <t>X001P2WHYF</t>
  </si>
  <si>
    <t>B079NRPFMR</t>
  </si>
  <si>
    <t>YZ-MCCL173-P0-S</t>
  </si>
  <si>
    <t>X001P2X4IN</t>
  </si>
  <si>
    <t>B079NSM1XK</t>
  </si>
  <si>
    <t>YZ-MCCL173-P0-XL</t>
  </si>
  <si>
    <t>X001P1XK1F</t>
  </si>
  <si>
    <t>B079NVPK5Y</t>
  </si>
  <si>
    <t>YZ-MCCL173-P0-XXL</t>
  </si>
  <si>
    <t>X001P2VWYL</t>
  </si>
  <si>
    <t>B079NXTDDF</t>
  </si>
  <si>
    <t>YZ-MCCL252-R0-2XL</t>
  </si>
  <si>
    <t>X001P4143D</t>
  </si>
  <si>
    <t>B079PTRJ7F</t>
  </si>
  <si>
    <t>YZ-MCCL252-R0-4XL</t>
  </si>
  <si>
    <t>X001P45Q1J</t>
  </si>
  <si>
    <t>B079PPX3B3</t>
  </si>
  <si>
    <t>YZ-MCCL252-R0-XL</t>
  </si>
  <si>
    <t>X001P45Q1T</t>
  </si>
  <si>
    <t>B079PQZG5K</t>
  </si>
  <si>
    <t>YZ-MCCS186-G0-2XL</t>
  </si>
  <si>
    <t>X001TOR8O3</t>
  </si>
  <si>
    <t>YZ-MCCS186-G0-L</t>
  </si>
  <si>
    <t>X001TOR8NT</t>
  </si>
  <si>
    <t>YZ-MCCS186-G0-M</t>
  </si>
  <si>
    <t>X001TOQU9H</t>
  </si>
  <si>
    <t>YZ-MCCS186-G0-S</t>
  </si>
  <si>
    <t>X001TOR9VZ</t>
  </si>
  <si>
    <t>YZ-MCCS186-G0-XL</t>
  </si>
  <si>
    <t>X001TOQNKX</t>
  </si>
  <si>
    <t>YZ-MCCS186-OR-2XL</t>
  </si>
  <si>
    <t>X001TOED73</t>
  </si>
  <si>
    <t>YZ-MCCS186-OR-L</t>
  </si>
  <si>
    <t>X001TOE7A1</t>
  </si>
  <si>
    <t>YZ-MCCS186-OR-M</t>
  </si>
  <si>
    <t>X001TOQY93</t>
  </si>
  <si>
    <t>YZ-MCCS186-OR-S</t>
  </si>
  <si>
    <t>X001TORDY3</t>
  </si>
  <si>
    <t>B07BM1NQ9Q</t>
  </si>
  <si>
    <t>YZ-MCCS186-OR-XL</t>
  </si>
  <si>
    <t>X001TOR8OD</t>
  </si>
  <si>
    <t>B07BLXZM8B</t>
  </si>
  <si>
    <t>YZ-MCHM111-K0-L</t>
  </si>
  <si>
    <t>X001O5YQFL</t>
  </si>
  <si>
    <t>B078X8LWL3</t>
  </si>
  <si>
    <t>YZ-MCHM111-K0-M</t>
  </si>
  <si>
    <t>X001O73YK7</t>
  </si>
  <si>
    <t>B078X88XXP</t>
  </si>
  <si>
    <t>YZ-MCHM111-K0-S</t>
  </si>
  <si>
    <t>X001O73YKH</t>
  </si>
  <si>
    <t>B078X8H4W9</t>
  </si>
  <si>
    <t>YZ-MCHM111-K0-XL</t>
  </si>
  <si>
    <t>X001O76ZXZ</t>
  </si>
  <si>
    <t>B078X8NHCV</t>
  </si>
  <si>
    <t>YZ-MCHM170-B0-L</t>
  </si>
  <si>
    <t>X001O9L439</t>
  </si>
  <si>
    <t>B078Z5YVZF</t>
  </si>
  <si>
    <t>YZ-MCHM170-B0-M</t>
  </si>
  <si>
    <t>X001OBAN6B</t>
  </si>
  <si>
    <t>B078Z6HK79</t>
  </si>
  <si>
    <t>YZ-MCHM170-B0-S</t>
  </si>
  <si>
    <t>X001OBAN6L</t>
  </si>
  <si>
    <t>B078Z63C29</t>
  </si>
  <si>
    <t>YZ-MCHM170-B0-XL</t>
  </si>
  <si>
    <t>X001OBDX45</t>
  </si>
  <si>
    <t>B078Z58KKV</t>
  </si>
  <si>
    <t>YZ-MCHM170-K0-L</t>
  </si>
  <si>
    <t>X001OBAN5R</t>
  </si>
  <si>
    <t>B078Z66MT8</t>
  </si>
  <si>
    <t>YZ-MCHM170-K0-M</t>
  </si>
  <si>
    <t>X001OBAN61</t>
  </si>
  <si>
    <t>B078Z5XRQG</t>
  </si>
  <si>
    <t>YZ-MCHM170-OR-M</t>
  </si>
  <si>
    <t>X001O9L3XP</t>
  </si>
  <si>
    <t>B078Z5YCLG</t>
  </si>
  <si>
    <t>YZ-MCHM170-OR-S</t>
  </si>
  <si>
    <t>X001OBC75V</t>
  </si>
  <si>
    <t>B078Z5L59M</t>
  </si>
  <si>
    <t>YZ-MCHM170-OR-XL</t>
  </si>
  <si>
    <t>X001O9Y7KL</t>
  </si>
  <si>
    <t>B078Z6HRV2</t>
  </si>
  <si>
    <t>YZ-MCHM170-WI-L</t>
  </si>
  <si>
    <t>X001OBC47R</t>
  </si>
  <si>
    <t>B078Z5C7DK</t>
  </si>
  <si>
    <t>YZ-MCHM170-WI-M</t>
  </si>
  <si>
    <t>X001O9L3XZ</t>
  </si>
  <si>
    <t>B078Z6KBSV</t>
  </si>
  <si>
    <t>YZ-MCHM170-WI-S</t>
  </si>
  <si>
    <t>X001OBC765</t>
  </si>
  <si>
    <t>B078Z62LWT</t>
  </si>
  <si>
    <t>YZ-MCHM170-WI-XL</t>
  </si>
  <si>
    <t>X001OALQG3</t>
  </si>
  <si>
    <t>B078Z6JW2L</t>
  </si>
  <si>
    <t>YZ-MCHM17077-B0-L</t>
  </si>
  <si>
    <t>X001PXGUGF</t>
  </si>
  <si>
    <t>B07BBPBJJB</t>
  </si>
  <si>
    <t>YZ-MCHM17077-B0-M</t>
  </si>
  <si>
    <t>X001PWDOHT</t>
  </si>
  <si>
    <t>B07BBLDJ37</t>
  </si>
  <si>
    <t>YZ-MCHM17077-B0-S</t>
  </si>
  <si>
    <t>X001PXGUG5</t>
  </si>
  <si>
    <t>B07BBL7J1Q</t>
  </si>
  <si>
    <t>YZ-MCHM17077-B0-XL</t>
  </si>
  <si>
    <t>X001PWDP4V</t>
  </si>
  <si>
    <t>B07BBLB5QY</t>
  </si>
  <si>
    <t>YZ-MCHM17077-C0-L</t>
  </si>
  <si>
    <t>X001Q5BEKJ</t>
  </si>
  <si>
    <t>B07BBNKCVN</t>
  </si>
  <si>
    <t>YZ-MCHM17077-C0-M</t>
  </si>
  <si>
    <t>X001Q6NI8T</t>
  </si>
  <si>
    <t>B07BBJVB43</t>
  </si>
  <si>
    <t>YZ-MCHM17077-C0-S</t>
  </si>
  <si>
    <t>X001Q51N55</t>
  </si>
  <si>
    <t>B07BBP8RZC</t>
  </si>
  <si>
    <t>YZ-MCHM17077-C0-XL</t>
  </si>
  <si>
    <t>X001Q6NW7B</t>
  </si>
  <si>
    <t>B07BBN5PGF</t>
  </si>
  <si>
    <t>YZ-MCHM17077-K0-L</t>
  </si>
  <si>
    <t>X001PXTKEJ</t>
  </si>
  <si>
    <t>B07BBPMYWR</t>
  </si>
  <si>
    <t>YZ-MCHM17077-K0-M</t>
  </si>
  <si>
    <t>X001PXTJXB</t>
  </si>
  <si>
    <t>B07BBM5BS7</t>
  </si>
  <si>
    <t>YZ-MCHM17077-K0-S</t>
  </si>
  <si>
    <t>X001PWDOOR</t>
  </si>
  <si>
    <t>B07BBLDSCV</t>
  </si>
  <si>
    <t>YZ-MCHM17077-K0-XL</t>
  </si>
  <si>
    <t>X001PWDOID</t>
  </si>
  <si>
    <t>B07BBKF6QX</t>
  </si>
  <si>
    <t>YZ-MCHM17077-Pi-L</t>
  </si>
  <si>
    <t>X001PWDOI3</t>
  </si>
  <si>
    <t>B07BBPXFBQ</t>
  </si>
  <si>
    <t>YZ-MCHM17077-Pi-M</t>
  </si>
  <si>
    <t>X001PWDP4B</t>
  </si>
  <si>
    <t>B07BBP8NQ2</t>
  </si>
  <si>
    <t>YZ-MCHM17077-Pi-S</t>
  </si>
  <si>
    <t>X001PWDP4L</t>
  </si>
  <si>
    <t>B07BBLBZJQ</t>
  </si>
  <si>
    <t>YZ-MCHM17077-Pi-XL</t>
  </si>
  <si>
    <t>X001PXGUGP</t>
  </si>
  <si>
    <t>B07BBM63FG</t>
  </si>
  <si>
    <t>YZ-MCHM17077-W0-L</t>
  </si>
  <si>
    <t>X001PYQU19</t>
  </si>
  <si>
    <t>B07BBNS89B</t>
  </si>
  <si>
    <t>YZ-MCHM17077-W0-M</t>
  </si>
  <si>
    <t>X001PWGH6J</t>
  </si>
  <si>
    <t>B07BBNDDX6</t>
  </si>
  <si>
    <t>YZ-MCHM17077-W0-S</t>
  </si>
  <si>
    <t>X001PXGU01</t>
  </si>
  <si>
    <t>B07BBM5ZSW</t>
  </si>
  <si>
    <t>YZ-MCHM17077-W0-XL</t>
  </si>
  <si>
    <t>X001PYQSE3</t>
  </si>
  <si>
    <t>B07BBM9P4Q</t>
  </si>
  <si>
    <t>YZ-MCHM172-ZL-L</t>
  </si>
  <si>
    <t>X001O763Y1</t>
  </si>
  <si>
    <t>B078X7FL96</t>
  </si>
  <si>
    <t>YZ-MCHM172-ZL-M</t>
  </si>
  <si>
    <t>X001O7597D</t>
  </si>
  <si>
    <t>B078X8HY72</t>
  </si>
  <si>
    <t>YZ-MCHM172-ZL-S</t>
  </si>
  <si>
    <t>X001O663KB</t>
  </si>
  <si>
    <t>B078X77CMG</t>
  </si>
  <si>
    <t>YZ-MCHM172-ZL-XL</t>
  </si>
  <si>
    <t>X001O763XR</t>
  </si>
  <si>
    <t>B078X7KB91</t>
  </si>
  <si>
    <t>YZ-MCHM175-K0-L</t>
  </si>
  <si>
    <t>X001O6IAHF</t>
  </si>
  <si>
    <t>B078X8L534</t>
  </si>
  <si>
    <t>YZ-MCHM175-K0-S</t>
  </si>
  <si>
    <t>X001O75X2J</t>
  </si>
  <si>
    <t>B078X81YSK</t>
  </si>
  <si>
    <t>YZ-MCHM175-K0-XL</t>
  </si>
  <si>
    <t>X001O767S3</t>
  </si>
  <si>
    <t>B078X846BY</t>
  </si>
  <si>
    <t>YZ-MCHM175-Pi-L</t>
  </si>
  <si>
    <t>X001O6IIEZ</t>
  </si>
  <si>
    <t>B078X7VLDK</t>
  </si>
  <si>
    <t>YZ-MCHM175-Pi-M</t>
  </si>
  <si>
    <t>X001O77OHV</t>
  </si>
  <si>
    <t>B078X8J5CV</t>
  </si>
  <si>
    <t>YZ-MCHM175-Pi-S</t>
  </si>
  <si>
    <t>X001O5YNJ5</t>
  </si>
  <si>
    <t>B078X8VNXZ</t>
  </si>
  <si>
    <t>YZ-MCHM175-Pi-XL</t>
  </si>
  <si>
    <t>X001O679LD</t>
  </si>
  <si>
    <t>B078X82PXX</t>
  </si>
  <si>
    <t>YZ-MCHM178-YH-L</t>
  </si>
  <si>
    <t>X001PYRK81</t>
  </si>
  <si>
    <t>B07BBPQYN5</t>
  </si>
  <si>
    <t>YZ-MCHM178-YH-S</t>
  </si>
  <si>
    <t>X001PXGO25</t>
  </si>
  <si>
    <t>B07BBP159F</t>
  </si>
  <si>
    <t>YZ-MCHM178-YH-XL</t>
  </si>
  <si>
    <t>X001PXGO1V</t>
  </si>
  <si>
    <t>B07BBL8VX5</t>
  </si>
  <si>
    <t>YZ-MCHM241-DS-2XL</t>
  </si>
  <si>
    <t>X001QZNBMN</t>
  </si>
  <si>
    <t>B07C33BP26</t>
  </si>
  <si>
    <t>YZ-MCHM241-DS-L</t>
  </si>
  <si>
    <t>X001QZLB61</t>
  </si>
  <si>
    <t>B07C3PHK5Z</t>
  </si>
  <si>
    <t>YZ-MCHM241-DS-M</t>
  </si>
  <si>
    <t>X001QZJFTL</t>
  </si>
  <si>
    <t>B07C3FN7P9</t>
  </si>
  <si>
    <t>YZ-MCHM241-DS-S</t>
  </si>
  <si>
    <t>X001QZK57R</t>
  </si>
  <si>
    <t>B07C3M6V51</t>
  </si>
  <si>
    <t>YZ-MCHM241-DS-XL</t>
  </si>
  <si>
    <t>X001QZKQ0D</t>
  </si>
  <si>
    <t>B07C3LCW8Q</t>
  </si>
  <si>
    <t>YZ-MCHM241-G0-2XL</t>
  </si>
  <si>
    <t>X001QZM44J</t>
  </si>
  <si>
    <t>B07C3HYPHR</t>
  </si>
  <si>
    <t>YZ-MCHM241-G0-L</t>
  </si>
  <si>
    <t>X001QYRFOJ</t>
  </si>
  <si>
    <t>B07C39WKCQ</t>
  </si>
  <si>
    <t>YZ-MCHM241-G0-M</t>
  </si>
  <si>
    <t>X001QZ8AIX</t>
  </si>
  <si>
    <t>B07C3FN21C</t>
  </si>
  <si>
    <t>YZ-MCHM241-G0-S</t>
  </si>
  <si>
    <t>X001QZNRLX</t>
  </si>
  <si>
    <t>B07C3GTFTB</t>
  </si>
  <si>
    <t>YZ-MCHM241-G0-XL</t>
  </si>
  <si>
    <t>X001QZMANT</t>
  </si>
  <si>
    <t>B07C3LMC53</t>
  </si>
  <si>
    <t>YZ-MCHM241-K0-2XL</t>
  </si>
  <si>
    <t>X001PJUBYB</t>
  </si>
  <si>
    <t>B07B3YZDJ5</t>
  </si>
  <si>
    <t>YZ-MCHM241-K0-L</t>
  </si>
  <si>
    <t>X001PM7GDR</t>
  </si>
  <si>
    <t>B07B3RF9GF</t>
  </si>
  <si>
    <t>YZ-MCHM241-K0-M</t>
  </si>
  <si>
    <t>X001PIY4LX</t>
  </si>
  <si>
    <t>B00V3NA5CG</t>
  </si>
  <si>
    <t>YZ-MCHM241-K0-S</t>
  </si>
  <si>
    <t>X001PL8X0X</t>
  </si>
  <si>
    <t>B07B3QKH42</t>
  </si>
  <si>
    <t>YZ-MCHM241-K0-XL</t>
  </si>
  <si>
    <t>X001PL8LQ9</t>
  </si>
  <si>
    <t>B07B3L1L68</t>
  </si>
  <si>
    <t>YZ-MCHY025-B0-2XL</t>
  </si>
  <si>
    <t>X001T696E1</t>
  </si>
  <si>
    <t>YZ-MCHY025-B0-L</t>
  </si>
  <si>
    <t>X001T699I9</t>
  </si>
  <si>
    <t>YZ-MCHY025-B0-M</t>
  </si>
  <si>
    <t>X001T684O9</t>
  </si>
  <si>
    <t>YZ-MCHY025-B0-S</t>
  </si>
  <si>
    <t>X001T65S43</t>
  </si>
  <si>
    <t>YZ-MCHY025-B0-XL</t>
  </si>
  <si>
    <t>X001T698XP</t>
  </si>
  <si>
    <t>YZ-MCHY025-K0-2XL</t>
  </si>
  <si>
    <t>X001T5BR67</t>
  </si>
  <si>
    <t>YZ-MCHY025-K0-L</t>
  </si>
  <si>
    <t>X001T696EB</t>
  </si>
  <si>
    <t>YZ-MCHY025-K0-M</t>
  </si>
  <si>
    <t>X001T681RT</t>
  </si>
  <si>
    <t>YZ-MCHY025-K0-S</t>
  </si>
  <si>
    <t>X001T69MYF</t>
  </si>
  <si>
    <t>YZ-MCHY025-K0-XL</t>
  </si>
  <si>
    <t>X001T698XZ</t>
  </si>
  <si>
    <t>YZ-MCHY025-OR-2XL</t>
  </si>
  <si>
    <t>X001T68A11</t>
  </si>
  <si>
    <t>YZ-MCHY025-OR-L</t>
  </si>
  <si>
    <t>X001T696EL</t>
  </si>
  <si>
    <t>YZ-MCHY025-OR-M</t>
  </si>
  <si>
    <t>X001T681RJ</t>
  </si>
  <si>
    <t>YZ-MCHY025-OR-S</t>
  </si>
  <si>
    <t>X001T65S3T</t>
  </si>
  <si>
    <t>YZ-MCHY025-OR-XL</t>
  </si>
  <si>
    <t>X001T69MYP</t>
  </si>
  <si>
    <t>YZ-MCHY025-R0-2XL</t>
  </si>
  <si>
    <t>X001T684OJ</t>
  </si>
  <si>
    <t>YZ-MCHY025-R0-L</t>
  </si>
  <si>
    <t>X001T68A1B</t>
  </si>
  <si>
    <t>YZ-MCHY025-R0-M</t>
  </si>
  <si>
    <t>X001T69745</t>
  </si>
  <si>
    <t>YZ-MCHY025-R0-S</t>
  </si>
  <si>
    <t>X001T684NZ</t>
  </si>
  <si>
    <t>YZ-MCHY025-R0-XL</t>
  </si>
  <si>
    <t>X001T681S3</t>
  </si>
  <si>
    <t>YZ-MCLK185-B0-2XL</t>
  </si>
  <si>
    <t>X001SY6129</t>
  </si>
  <si>
    <t>YZ-MCLK185-B0-L</t>
  </si>
  <si>
    <t>X001SY6PO3</t>
  </si>
  <si>
    <t>YZ-MCLK185-B0-M</t>
  </si>
  <si>
    <t>X001SY2W7H</t>
  </si>
  <si>
    <t>YZ-MCLK185-B0-S</t>
  </si>
  <si>
    <t>X001SXFI2J</t>
  </si>
  <si>
    <t>YZ-MCLK185-B0-XL</t>
  </si>
  <si>
    <t>X001SY6ND1</t>
  </si>
  <si>
    <t>YZ-MCLK185-K0-2XL</t>
  </si>
  <si>
    <t>X001SXK0OZ</t>
  </si>
  <si>
    <t>YZ-MCLK185-K0-L</t>
  </si>
  <si>
    <t>X001SY8TH9</t>
  </si>
  <si>
    <t>YZ-MCLK185-K0-M</t>
  </si>
  <si>
    <t>X001SXFZGN</t>
  </si>
  <si>
    <t>YZ-MCLK185-K0-S</t>
  </si>
  <si>
    <t>X001SY7HV3</t>
  </si>
  <si>
    <t>YZ-MCLK185-K0-XL</t>
  </si>
  <si>
    <t>X001SY67O1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</si>
  <si>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</si>
  <si>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</si>
  <si>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</si>
  <si>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</si>
  <si>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</si>
  <si>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</si>
  <si>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</si>
  <si>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</si>
  <si>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</si>
  <si>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</si>
  <si>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</si>
  <si>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</si>
  <si>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</si>
  <si>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</si>
  <si>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</si>
  <si>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YZ-MCLK185-Y9-2XL</t>
  </si>
  <si>
    <t>X001SY6MLJ</t>
  </si>
  <si>
    <t>YZ-MCLK185-Y9-L</t>
  </si>
  <si>
    <t>X001SY6G97</t>
  </si>
  <si>
    <t>YZ-MCLK185-Y9-M</t>
  </si>
  <si>
    <t>X001SY6N31</t>
  </si>
  <si>
    <t>YZ-MCLK185-Y9-S</t>
  </si>
  <si>
    <t>X001SY7NA3</t>
  </si>
  <si>
    <t>YZ-MCLK185-Y9-XL</t>
  </si>
  <si>
    <t>X001SXFHXT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</si>
  <si>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</si>
  <si>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</si>
  <si>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</si>
  <si>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</si>
  <si>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</si>
  <si>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</si>
  <si>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</si>
  <si>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</si>
  <si>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</si>
  <si>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</si>
  <si>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</si>
  <si>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</si>
  <si>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</si>
  <si>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</si>
  <si>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</si>
  <si>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YZ-MCPLUS24-G0-2XL</t>
  </si>
  <si>
    <t>X001TQUNY3</t>
  </si>
  <si>
    <t>YZ-MCPLUS24-G0-3XL</t>
  </si>
  <si>
    <t>X001TQGC1L</t>
  </si>
  <si>
    <t>B07CLSYBXR</t>
  </si>
  <si>
    <t>YZ-MCPLUS24-G0-L</t>
  </si>
  <si>
    <t>X001TQGC2F</t>
  </si>
  <si>
    <t>YZ-MCPLUS24-G0-M</t>
  </si>
  <si>
    <t>X001TQVCY3</t>
  </si>
  <si>
    <t>YZ-MCPLUS24-G0-XL</t>
  </si>
  <si>
    <t>X001TQTV9V</t>
  </si>
  <si>
    <t>YZ-MCPLUS24-K0-2XL</t>
  </si>
  <si>
    <t>X001TQGLA3</t>
  </si>
  <si>
    <t>YZ-MCPLUS24-K0-3XL</t>
  </si>
  <si>
    <t>X001TQPMP3</t>
  </si>
  <si>
    <t>B07CLSK14R</t>
  </si>
  <si>
    <t>YZ-MCPLUS24-K0-L</t>
  </si>
  <si>
    <t>X001TQGC1V</t>
  </si>
  <si>
    <t>YZ-MCPLUS24-K0-M</t>
  </si>
  <si>
    <t>X001TQUQP9</t>
  </si>
  <si>
    <t>YZ-MCPLUS24-K0-XL</t>
  </si>
  <si>
    <t>X001TQRNPZ</t>
  </si>
  <si>
    <t>YZ-MCPLUS24-PI-2XL</t>
  </si>
  <si>
    <t>X001TQRNY1</t>
  </si>
  <si>
    <t>YZ-MCPLUS24-PI-3XL</t>
  </si>
  <si>
    <t>X001TQV1JT</t>
  </si>
  <si>
    <t>B07CNBRYBD</t>
  </si>
  <si>
    <t>YZ-MCPLUS24-PI-L</t>
  </si>
  <si>
    <t>X001TQPMPD</t>
  </si>
  <si>
    <t>YZ-MCPLUS24-PI-M</t>
  </si>
  <si>
    <t>X001TQUDST</t>
  </si>
  <si>
    <t>YZ-MCPLUS24-PI-XL</t>
  </si>
  <si>
    <t>X001TQVNS3</t>
  </si>
  <si>
    <t>YZ-MCPP1705-K0-L</t>
  </si>
  <si>
    <t>X001PI2P0P</t>
  </si>
  <si>
    <t>YZ-MCPP1705-K0-M</t>
  </si>
  <si>
    <t>X001PJ5WQ3</t>
  </si>
  <si>
    <t>YZ-MCPP1705-K0-S</t>
  </si>
  <si>
    <t>X001PLAOCD</t>
  </si>
  <si>
    <t>B06XT2533W</t>
  </si>
  <si>
    <t>YZ-MCPP1705-K0-XL</t>
  </si>
  <si>
    <t>X001PLCH5F</t>
  </si>
  <si>
    <t>B06XT2KLFS</t>
  </si>
  <si>
    <t>YZ-MCPP1705-K0-XS</t>
  </si>
  <si>
    <t>X001PLBTSL</t>
  </si>
  <si>
    <t>B06XT19RJS</t>
  </si>
  <si>
    <t>YZ-MCSJ1708-R0-2XL</t>
  </si>
  <si>
    <t>X001PI1BL9</t>
  </si>
  <si>
    <t>B06XSFWS59</t>
  </si>
  <si>
    <t>YZ-MCSJ1708-R0-M</t>
  </si>
  <si>
    <t>X001PLBGON</t>
  </si>
  <si>
    <t>B06XT2TLHG</t>
  </si>
  <si>
    <t>YZ-MCSJ1708-R0-S</t>
  </si>
  <si>
    <t>X001PLBGOD</t>
  </si>
  <si>
    <t>B06XSJDHB2</t>
  </si>
  <si>
    <t>YZ-MCSJ1708-R0-XL</t>
  </si>
  <si>
    <t>X001PJ5UCT</t>
  </si>
  <si>
    <t>B06XT17PTJ</t>
  </si>
  <si>
    <t>YZ-MCSJ1708-R0-XS</t>
  </si>
  <si>
    <t>X001PKBZ0J</t>
  </si>
  <si>
    <t>B06XSRQBT7</t>
  </si>
  <si>
    <t>YZ-MCSM807-K0-2XL</t>
  </si>
  <si>
    <t>X001RIYJIT</t>
  </si>
  <si>
    <t>YZ-MCSM807-K0-L</t>
  </si>
  <si>
    <t>X001RJ28IV</t>
  </si>
  <si>
    <t>YZ-MCSM807-K0-M</t>
  </si>
  <si>
    <t>X001RJ73G3</t>
  </si>
  <si>
    <t>YZ-MCSM807-K0-S</t>
  </si>
  <si>
    <t>X001RIXSX1</t>
  </si>
  <si>
    <t>YZ-MCSM807-K0-XL</t>
  </si>
  <si>
    <t>X001RJ6AU3</t>
  </si>
  <si>
    <t>YZ-MCWS32-BD-2XL</t>
  </si>
  <si>
    <t>X001T1JAXN</t>
  </si>
  <si>
    <t>YZ-MCWS32-BD-L</t>
  </si>
  <si>
    <t>X001T0HTF5</t>
  </si>
  <si>
    <t>YZ-MCWS32-BD-M</t>
  </si>
  <si>
    <t>X001T1J1U5</t>
  </si>
  <si>
    <t>YZ-MCWS32-BD-S</t>
  </si>
  <si>
    <t>X001T0HTHX</t>
  </si>
  <si>
    <t>YZ-MCWS32-BD-XL</t>
  </si>
  <si>
    <t>X001T0LTAB</t>
  </si>
  <si>
    <t>YZ-MCWS32-K0-2XL</t>
  </si>
  <si>
    <t>X001T1JSFX</t>
  </si>
  <si>
    <t>YZ-MCWS32-K0-L</t>
  </si>
  <si>
    <t>X001T1HB0R</t>
  </si>
  <si>
    <t>YZ-MCWS32-K0-M</t>
  </si>
  <si>
    <t>X001T1J1TL</t>
  </si>
  <si>
    <t>YZ-MCWS32-K0-S</t>
  </si>
  <si>
    <t>X001T1IKQ1</t>
  </si>
  <si>
    <t>YZ-MCWS32-K0-XL</t>
  </si>
  <si>
    <t>X001T0HTI7</t>
  </si>
  <si>
    <t>YZ-MCWS32-ZL-2XL</t>
  </si>
  <si>
    <t>X001T1JAXX</t>
  </si>
  <si>
    <t>YZ-MCWS32-ZL-L</t>
  </si>
  <si>
    <t>X001T1JSFN</t>
  </si>
  <si>
    <t>YZ-MCWS32-ZL-M</t>
  </si>
  <si>
    <t>X001T0HT2D</t>
  </si>
  <si>
    <t>YZ-MCWS32-ZL-S</t>
  </si>
  <si>
    <t>X001T1JK0B</t>
  </si>
  <si>
    <t>YZ-MCWS32-ZL-XL</t>
  </si>
  <si>
    <t>X001T0LSQB</t>
  </si>
  <si>
    <t>YZ-MCYF181-PI-2XL</t>
  </si>
  <si>
    <t>X001QH966V</t>
  </si>
  <si>
    <t>B07BQNBH9X</t>
  </si>
  <si>
    <t>YZ-MCYF181-PI-L</t>
  </si>
  <si>
    <t>X001QJAV9P</t>
  </si>
  <si>
    <t>B07BQT3JSN</t>
  </si>
  <si>
    <t>YZ-MCYF181-PI-M</t>
  </si>
  <si>
    <t>X001QJCQXJ</t>
  </si>
  <si>
    <t>B07BQZCDQS</t>
  </si>
  <si>
    <t>YZ-MCYF181-PI-S</t>
  </si>
  <si>
    <t>X001QJDJNP</t>
  </si>
  <si>
    <t>B07BQM3ZD5</t>
  </si>
  <si>
    <t>YZ-MCYF181-PI-XL</t>
  </si>
  <si>
    <t>X001QH9P2L</t>
  </si>
  <si>
    <t>B07BQPBTDX</t>
  </si>
  <si>
    <t>YZ-MCYF184-B0-2XL</t>
  </si>
  <si>
    <t>X001QJPAEV</t>
  </si>
  <si>
    <t>B07BQS6XB8</t>
  </si>
  <si>
    <t>YZ-MCYF184-B0-L</t>
  </si>
  <si>
    <t>X001QJEOQ1</t>
  </si>
  <si>
    <t>B07BQT2Q5Z</t>
  </si>
  <si>
    <t>YZ-MCYF184-B0-M</t>
  </si>
  <si>
    <t>X001QJM3E1</t>
  </si>
  <si>
    <t>B07BQR9LPP</t>
  </si>
  <si>
    <t>YZ-MCYF184-B0-S</t>
  </si>
  <si>
    <t>X001QHAB1Z</t>
  </si>
  <si>
    <t>B07BQS7TPW</t>
  </si>
  <si>
    <t>YZ-MCYF184-B0-XL</t>
  </si>
  <si>
    <t>X001QJMBJD</t>
  </si>
  <si>
    <t>B07BR22GX5</t>
  </si>
  <si>
    <t>YZ-MCYF184-K0-2XL</t>
  </si>
  <si>
    <t>X001T1EG91</t>
  </si>
  <si>
    <t>YZ-MCYF184-K0-L</t>
  </si>
  <si>
    <t>X001T1B0ZT</t>
  </si>
  <si>
    <t>B07DHZXJH9</t>
  </si>
  <si>
    <t>YZ-MCYF184-K0-M</t>
  </si>
  <si>
    <t>X001T0FV6T</t>
  </si>
  <si>
    <t>B07DHZNT31</t>
  </si>
  <si>
    <t>YZ-MCYF184-K0-S</t>
  </si>
  <si>
    <t>X001T1D8U9</t>
  </si>
  <si>
    <t>B07DJ1L77M</t>
  </si>
  <si>
    <t>YZ-MCYF184-K0-XL</t>
  </si>
  <si>
    <t>X001T1BJ5Z</t>
  </si>
  <si>
    <t>YZ-MCYF184-ZLBD-2XL</t>
  </si>
  <si>
    <t>X001T1ELQT</t>
  </si>
  <si>
    <t>B07DKGQ2G5</t>
  </si>
  <si>
    <t>YZ-MCYF184-ZLBD-L</t>
  </si>
  <si>
    <t>X001T1BJ9L</t>
  </si>
  <si>
    <t>YZ-MCYF184-ZLBD-M</t>
  </si>
  <si>
    <t>X001T1BF1X</t>
  </si>
  <si>
    <t>YZ-MCYF184-ZLBD-S</t>
  </si>
  <si>
    <t>X001T1BJ9B</t>
  </si>
  <si>
    <t>YZ-MCYF184-ZLBD-XL</t>
  </si>
  <si>
    <t>X001T1BJ91</t>
  </si>
  <si>
    <t>B07DKC6BTL</t>
  </si>
  <si>
    <t>YZ-MCZQ112B0S</t>
  </si>
  <si>
    <t>X001OE0ZW5</t>
  </si>
  <si>
    <t>B07921JD1H</t>
  </si>
  <si>
    <t>YZ-MCZQ112B0XL</t>
  </si>
  <si>
    <t>X001ODZWN3</t>
  </si>
  <si>
    <t>B079275FTZ</t>
  </si>
  <si>
    <t>YZ-MCZQ159B0L</t>
  </si>
  <si>
    <t>X001QAYQTF</t>
  </si>
  <si>
    <t>B07BLQMDF9</t>
  </si>
  <si>
    <t>YZ-MCZQ159B0M</t>
  </si>
  <si>
    <t>X001QE0IHZ</t>
  </si>
  <si>
    <t>B07BLQHPLB</t>
  </si>
  <si>
    <t>YZ-MCZQ161-BH-2XL</t>
  </si>
  <si>
    <t>X001OE6JON</t>
  </si>
  <si>
    <t>B07922F8BR</t>
  </si>
  <si>
    <t>YZ-MCZQ161-BH-3XL</t>
  </si>
  <si>
    <t>X001OCGDTL</t>
  </si>
  <si>
    <t>B07923MJGT</t>
  </si>
  <si>
    <t>YZ-MCZQ161-BH-4XL</t>
  </si>
  <si>
    <t>X001OE6JO3</t>
  </si>
  <si>
    <t>B0791Z16F4</t>
  </si>
  <si>
    <t>YZ-MCZQ161-BH-L</t>
  </si>
  <si>
    <t>X001OE6JOD</t>
  </si>
  <si>
    <t>B0791VZF27</t>
  </si>
  <si>
    <t>YZ-MCZQ161-BH-M</t>
  </si>
  <si>
    <t>X001OE7FTV</t>
  </si>
  <si>
    <t>B07922VJ74</t>
  </si>
  <si>
    <t>YZ-MCZQ161-BH-XL</t>
  </si>
  <si>
    <t>X001OE3F95</t>
  </si>
  <si>
    <t>B0791ZV5KT</t>
  </si>
  <si>
    <t>YZ-MCZQ161-K0-3XL</t>
  </si>
  <si>
    <t>X001OE3F8V</t>
  </si>
  <si>
    <t>B0792468JQ</t>
  </si>
  <si>
    <t>YZ-MCZQ161-K0-M</t>
  </si>
  <si>
    <t>X001OCGFRL</t>
  </si>
  <si>
    <t>B07922CC2M</t>
  </si>
  <si>
    <t>YZ-MCZQ161-KH-2XL</t>
  </si>
  <si>
    <t>X001OE4C3X</t>
  </si>
  <si>
    <t>B07928RFLP</t>
  </si>
  <si>
    <t>YZ-MCZQ161-KH-M</t>
  </si>
  <si>
    <t>X001OE6K1F</t>
  </si>
  <si>
    <t>B0791Y9KTC</t>
  </si>
  <si>
    <t>YZ-MCZQ161-KH-XL</t>
  </si>
  <si>
    <t>X001OE7FUF</t>
  </si>
  <si>
    <t>B07924TNKH</t>
  </si>
  <si>
    <t>YZ-MCZQ161-R0-2XL</t>
  </si>
  <si>
    <t>X001ODNEB5</t>
  </si>
  <si>
    <t>B07925BPB9</t>
  </si>
  <si>
    <t>YZ-MCZQ161-R0-XL</t>
  </si>
  <si>
    <t>X001OE7FU5</t>
  </si>
  <si>
    <t>B0792179ZD</t>
  </si>
  <si>
    <t>YZ-MCZQ161-ZL-2XL</t>
  </si>
  <si>
    <t>X001OE4C3N</t>
  </si>
  <si>
    <t>B07923C749</t>
  </si>
  <si>
    <t>YZ-MCZQ161-ZL-M</t>
  </si>
  <si>
    <t>X001OE40KD</t>
  </si>
  <si>
    <t>B07923HVLY</t>
  </si>
  <si>
    <t>YZ-MCZQ165R02XL</t>
  </si>
  <si>
    <t>X001O771DX</t>
  </si>
  <si>
    <t>B078X9WW3H</t>
  </si>
  <si>
    <t>YZ-MCZQ165R03XL</t>
  </si>
  <si>
    <t>X001O74TOR</t>
  </si>
  <si>
    <t>B078X9BW26</t>
  </si>
  <si>
    <t>YZ-MCZQ165R05XL</t>
  </si>
  <si>
    <t>X001O690L5</t>
  </si>
  <si>
    <t>B078X9ZV4J</t>
  </si>
  <si>
    <t>YZ-MCZQ165R0L</t>
  </si>
  <si>
    <t>X001O6K14Z</t>
  </si>
  <si>
    <t>B078X9NN8C</t>
  </si>
  <si>
    <t>YZ-MCZQ165R0XL</t>
  </si>
  <si>
    <t>X001O690OH</t>
  </si>
  <si>
    <t>B078X92FKH</t>
  </si>
  <si>
    <t>YZ-MCZQ187-K0-2X</t>
  </si>
  <si>
    <t>X001OOWSMP</t>
  </si>
  <si>
    <t>B0799KX6LR</t>
  </si>
  <si>
    <t>YZ-MCZQ187-K0-3X</t>
  </si>
  <si>
    <t>X001OOX851</t>
  </si>
  <si>
    <t>B0799M9ZJD</t>
  </si>
  <si>
    <t>YZ-MCZQ187-K0-4X</t>
  </si>
  <si>
    <t>X001OOWWZX</t>
  </si>
  <si>
    <t>B0799KXWMN</t>
  </si>
  <si>
    <t>YZ-MCZQ187-K0-5X</t>
  </si>
  <si>
    <t>X001OOWYND</t>
  </si>
  <si>
    <t>B0799JZC83</t>
  </si>
  <si>
    <t>YZ-MCZQ187-K0-L</t>
  </si>
  <si>
    <t>X001OOWM5N</t>
  </si>
  <si>
    <t>B0799JX2BP</t>
  </si>
  <si>
    <t>YZ-MCZQ187-K0-M</t>
  </si>
  <si>
    <t>X001OOXMMF</t>
  </si>
  <si>
    <t>B0799KCTTP</t>
  </si>
  <si>
    <t>YZ-MCZQ187-K0-S</t>
  </si>
  <si>
    <t>X001OOXMFH</t>
  </si>
  <si>
    <t>B0799JXYMX</t>
  </si>
  <si>
    <t>YZ-MCZQ187-K0-XL</t>
  </si>
  <si>
    <t>X001OOWSMZ</t>
  </si>
  <si>
    <t>B0799KW69D</t>
  </si>
  <si>
    <t>YZ-MCZQ298BR2XL</t>
  </si>
  <si>
    <t>X001O75PMH</t>
  </si>
  <si>
    <t>B078XCM636</t>
  </si>
  <si>
    <t>YZ-MCZQ298BR3XL</t>
  </si>
  <si>
    <t>X001O75IBF</t>
  </si>
  <si>
    <t>B078XBXBYK</t>
  </si>
  <si>
    <t>YZ-MCZQ298BR4XL</t>
  </si>
  <si>
    <t>X001O75PSL</t>
  </si>
  <si>
    <t>B078XC6LYJ</t>
  </si>
  <si>
    <t>YZ-MCZQ298BR5XL</t>
  </si>
  <si>
    <t>X001O75PM7</t>
  </si>
  <si>
    <t>B078XB7FNC</t>
  </si>
  <si>
    <t>YZ-MCZQ789K03XL</t>
  </si>
  <si>
    <t>X001O788ZD</t>
  </si>
  <si>
    <t>B078XBG4ZM</t>
  </si>
  <si>
    <t>YZ-MCZQ789K04XL</t>
  </si>
  <si>
    <t>X001O78VJ1</t>
  </si>
  <si>
    <t>B078X9SCBX</t>
  </si>
  <si>
    <t>YZ-MCZQ789K0XL</t>
  </si>
  <si>
    <t>X001O78NA3</t>
  </si>
  <si>
    <t>B078XC37VR</t>
  </si>
  <si>
    <t>YZ-MCZQL02-G0-L</t>
  </si>
  <si>
    <t>X001P1UYT1</t>
  </si>
  <si>
    <t>B079N9L8W1</t>
  </si>
  <si>
    <t>YZ-MCZQL02-G0-M</t>
  </si>
  <si>
    <t>X001P1UL53</t>
  </si>
  <si>
    <t>B079NKJHBP</t>
  </si>
  <si>
    <t>YZ-MCZQL02-G0-S</t>
  </si>
  <si>
    <t>X001P1W8HR</t>
  </si>
  <si>
    <t>B079NDDD7J</t>
  </si>
  <si>
    <t>YZ-MCZQL02-G0-XL</t>
  </si>
  <si>
    <t>X001P1Q5WL</t>
  </si>
  <si>
    <t>B079N9RBTV</t>
  </si>
  <si>
    <t>YZ-MU1702-G0-L</t>
  </si>
  <si>
    <t>X001S762FR</t>
  </si>
  <si>
    <t>B07D35HZ8D</t>
  </si>
  <si>
    <t>YZ-MU1702-G0-M</t>
  </si>
  <si>
    <t>X001S6MJSR</t>
  </si>
  <si>
    <t>B07D38BSLG</t>
  </si>
  <si>
    <t>YZ-MU1708-K0-M</t>
  </si>
  <si>
    <t>X001S75Z6T</t>
  </si>
  <si>
    <t>B07D36LTM8</t>
  </si>
  <si>
    <t>MiYang Women One Piece Floral Blouson Adjustable Swimsuit</t>
  </si>
  <si>
    <t>YZ-MU1708-K0-S</t>
  </si>
  <si>
    <t>X001S8A7KH</t>
  </si>
  <si>
    <t>B07D3685K2</t>
  </si>
  <si>
    <t>YZ-MU1708-K0-XS</t>
  </si>
  <si>
    <t>X001S8FWJD</t>
  </si>
  <si>
    <t>B07D36Y4C6</t>
  </si>
  <si>
    <t>YZ-MU1708-R0-2XL</t>
  </si>
  <si>
    <t>X001S8AGBH</t>
  </si>
  <si>
    <t>B07D381XZJ</t>
  </si>
  <si>
    <t>YZ-MU1708-R0-M</t>
  </si>
  <si>
    <t>X001S6MILZ</t>
  </si>
  <si>
    <t>B07D34D36D</t>
  </si>
  <si>
    <t>YZ-MU1708-R0-S</t>
  </si>
  <si>
    <t>X001S8A9OV</t>
  </si>
  <si>
    <t>B07D35K92B</t>
  </si>
  <si>
    <t>YZ-MU1708-R0-XS</t>
  </si>
  <si>
    <t>X001S8SKH9</t>
  </si>
  <si>
    <t>B07D35HXR9</t>
  </si>
  <si>
    <t>YZ-MU180-OR-M</t>
  </si>
  <si>
    <t>X001Q0DSKN</t>
  </si>
  <si>
    <t>B07BF92TQM</t>
  </si>
  <si>
    <t>Women Bikini Sets Brazilian Padded Top Thong Cheeky Bikini Bottom 2PCs 2018 Swimsuit for Women Orange M</t>
  </si>
  <si>
    <t>YZ-MU2631-K0-2XL</t>
  </si>
  <si>
    <t>X001SXRPOX</t>
  </si>
  <si>
    <t>B07DMFX624</t>
  </si>
  <si>
    <t>MiYang Women's One Piece Striped Slim Swim Dress Bathing Swimwear, Black, (US size XXL)</t>
  </si>
  <si>
    <t>YZ-MU2631-OR-2XL</t>
  </si>
  <si>
    <t>X001SZ4QNJ</t>
  </si>
  <si>
    <t>B07DMFDF41</t>
  </si>
  <si>
    <t>MiYang Women's One Piece Striped Slim Swim Dress Bathing Swimwear Orange XX-Large US 20-22</t>
  </si>
  <si>
    <t>YZ-MU5119-B0-2XL</t>
  </si>
  <si>
    <t>X001T88KB9</t>
  </si>
  <si>
    <t>B07DRDTMB5</t>
  </si>
  <si>
    <t>MiYang Women's Plus-Size Flower Printing Shaping Body One Piece Swim Dresses Swimsuit Blue 2XL</t>
  </si>
  <si>
    <t>YZ-MU5119-B0-3XL</t>
  </si>
  <si>
    <t>X001T8D9ND</t>
  </si>
  <si>
    <t>B07DR6MJ1L</t>
  </si>
  <si>
    <t>MiYang Women's Plus-Size Flower Printing Shaping Body One Piece Swim Dresses Swimsuit Blue 3XL</t>
  </si>
  <si>
    <t>YZ-MU5119-B0-L</t>
  </si>
  <si>
    <t>X001T8GTF3</t>
  </si>
  <si>
    <t>B07DR9M2BB</t>
  </si>
  <si>
    <t>MiYang Women's Plus-Size Flower Printing Shaping Body One Piece Swim Dresses Swimsuit Blue L</t>
  </si>
  <si>
    <t>YZ-MU5119-B0-M</t>
  </si>
  <si>
    <t>X001T7I39J</t>
  </si>
  <si>
    <t>B07DRDHC1C</t>
  </si>
  <si>
    <t>MiYang Women's Plus-Size Flower Printing Shaping Body One Piece Swim Dresses Swimsuit Blue M</t>
  </si>
  <si>
    <t>YZ-MU5119-B0-XL</t>
  </si>
  <si>
    <t>X001T88L95</t>
  </si>
  <si>
    <t>B07DRDHDY6</t>
  </si>
  <si>
    <t>MiYang Women's Plus-Size Flower Printing Shaping Body One Piece Swim Dresses Swimsuit Blue XL</t>
  </si>
  <si>
    <t>YZ-MU5119-R0-2XL</t>
  </si>
  <si>
    <t>X001T7I2OZ</t>
  </si>
  <si>
    <t>B07DRGCTVD</t>
  </si>
  <si>
    <t>MiYang Women's Plus-Size Flower Printing Shaping Body One Piece Swim Dresses Swimsuit Wine Red 2XL</t>
  </si>
  <si>
    <t>YZ-MU5119-R0-3XL</t>
  </si>
  <si>
    <t>X001T7I2P9</t>
  </si>
  <si>
    <t>B07DRC7BGY</t>
  </si>
  <si>
    <t>MiYang Women's Plus-Size Flower Printing Shaping Body One Piece Swim Dresses Swimsuit Wine Red 3XL</t>
  </si>
  <si>
    <t>YZ-MU5119-R0-L</t>
  </si>
  <si>
    <t>X001T8DN4N</t>
  </si>
  <si>
    <t>B07DRG8387</t>
  </si>
  <si>
    <t>MiYang Women's Plus-Size Flower Printing Shaping Body One Piece Swim Dresses Swimsuit Wine Red L</t>
  </si>
  <si>
    <t>YZ-MU5119-R0-M</t>
  </si>
  <si>
    <t>X001T88U55</t>
  </si>
  <si>
    <t>B07DRDN6RG</t>
  </si>
  <si>
    <t>MiYang Women's Plus-Size Flower Printing Shaping Body One Piece Swim Dresses Swimsuit Wine Red M</t>
  </si>
  <si>
    <t>YZ-MU5119-R0-XL</t>
  </si>
  <si>
    <t>X001T88LDL</t>
  </si>
  <si>
    <t>B07DR8XXZP</t>
  </si>
  <si>
    <t>MiYang Women's Plus-Size Flower Printing Shaping Body One Piece Swim Dresses Swimsuit Wine Red XL</t>
  </si>
  <si>
    <t>YZ-MU5506-HS-M</t>
  </si>
  <si>
    <t>X001R8EAD3</t>
  </si>
  <si>
    <t>B07CHK8W2M</t>
  </si>
  <si>
    <t>Racerback Tankini Set with Boyshort Two Piece Swimsuit US 12-14</t>
  </si>
  <si>
    <t>YZ-MU5506-HS-S</t>
  </si>
  <si>
    <t>X001R8F091</t>
  </si>
  <si>
    <t>B07CHDWPD4</t>
  </si>
  <si>
    <t>Racerback Tankini Set with Boyshort Two Piece Swimsuit US 8-10</t>
  </si>
  <si>
    <t>YZ-MU5506-HS-XS</t>
  </si>
  <si>
    <t>X001R8D3FT</t>
  </si>
  <si>
    <t>B07CH4KZ7V</t>
  </si>
  <si>
    <t>Racerback Tankini Set with Boyshort Two Piece Swimsuit US 4-6</t>
  </si>
  <si>
    <t>YZ-MU5507-HS-S</t>
  </si>
  <si>
    <t>X001R8X78R</t>
  </si>
  <si>
    <t>B07CH7TVJ7</t>
  </si>
  <si>
    <t>YZ-MU5507-K0-S</t>
  </si>
  <si>
    <t>X001R8Q43H</t>
  </si>
  <si>
    <t>B07CHBFDQT</t>
  </si>
  <si>
    <t>YZ-MU5507-ZL-S</t>
  </si>
  <si>
    <t>X001R8BSOR</t>
  </si>
  <si>
    <t>B07CHDP8VT</t>
  </si>
  <si>
    <t>YZ-MU5508-HS-M</t>
  </si>
  <si>
    <t>X001R8H0FN</t>
  </si>
  <si>
    <t>B07CHD4HZP</t>
  </si>
  <si>
    <t>YZ-MU5508-K0-M</t>
  </si>
  <si>
    <t>X001R8D3CH</t>
  </si>
  <si>
    <t>B07CHFNXBG</t>
  </si>
  <si>
    <t>YZ-MU5508-ZL-M</t>
  </si>
  <si>
    <t>X001R8D3FJ</t>
  </si>
  <si>
    <t>B07CHGR6MT</t>
  </si>
  <si>
    <t>YZ-MU5509-HS-L</t>
  </si>
  <si>
    <t>X001R8B4H3</t>
  </si>
  <si>
    <t>B07CHDP8W2</t>
  </si>
  <si>
    <t>YZ-MU5509-K0-L</t>
  </si>
  <si>
    <t>X001R8B4G9</t>
  </si>
  <si>
    <t>B07CHBSS5Z</t>
  </si>
  <si>
    <t>YZ-MU5509-ZL-L</t>
  </si>
  <si>
    <t>X001R8X78H</t>
  </si>
  <si>
    <t>B07CH7BZ1Q</t>
  </si>
  <si>
    <t>YZ-MU5510-HS-XL</t>
  </si>
  <si>
    <t>X001R8BSTH</t>
  </si>
  <si>
    <t>B07CH3H6NL</t>
  </si>
  <si>
    <t>YZ-MU5510-K0-XL</t>
  </si>
  <si>
    <t>X001R8D3G3</t>
  </si>
  <si>
    <t>B07CHDB1RP</t>
  </si>
  <si>
    <t>YZ-MU5510-ZL-XL</t>
  </si>
  <si>
    <t>X001R8B4GT</t>
  </si>
  <si>
    <t>B07CHBX6Y2</t>
  </si>
  <si>
    <t>YZ-MU5511-HS-2XL</t>
  </si>
  <si>
    <t>X001R8Y33P</t>
  </si>
  <si>
    <t>B07CHGGPHV</t>
  </si>
  <si>
    <t>YZ-MU5511-K0-2XL</t>
  </si>
  <si>
    <t>X001R8D3C7</t>
  </si>
  <si>
    <t>B07CH3NJ9H</t>
  </si>
  <si>
    <t>YZ-MU5511-ZL-2XL</t>
  </si>
  <si>
    <t>X001R8BSO7</t>
  </si>
  <si>
    <t>B07CH7FCZF</t>
  </si>
  <si>
    <t>YZ-MU556-K0-XL</t>
  </si>
  <si>
    <t>X001R90IJH</t>
  </si>
  <si>
    <t>YZ-MU727-Pi-S</t>
  </si>
  <si>
    <t>X001Q1VUSJ</t>
  </si>
  <si>
    <t>B07BFWP5D1</t>
  </si>
  <si>
    <t>Halter Deep Plunging High Cut Cutout One Piece Swimsuit Criss Cross Monokini XS (US 0-2)</t>
  </si>
  <si>
    <t>YZ-MUBK187-OR-M</t>
  </si>
  <si>
    <t>X001QC0VE7</t>
  </si>
  <si>
    <t>YZ-MUC19P-K0-2XL</t>
  </si>
  <si>
    <t>X001R674FV</t>
  </si>
  <si>
    <t>B07C828L8Q</t>
  </si>
  <si>
    <t>MiYang Twist Front Bandeau Bikini Top Hipster Bottom Set Two Piece Swimsuit for Women Black US 14-16</t>
  </si>
  <si>
    <t>YZ-MUC19P-OR-L</t>
  </si>
  <si>
    <t>X001R5WT7F</t>
  </si>
  <si>
    <t>B07C7J821L</t>
  </si>
  <si>
    <t>YZ-MUC19P-OR-M</t>
  </si>
  <si>
    <t>X001R673WP</t>
  </si>
  <si>
    <t>B07C7VRY5H</t>
  </si>
  <si>
    <t>YZ-MUC19P-OR-S</t>
  </si>
  <si>
    <t>X001R674FB</t>
  </si>
  <si>
    <t>B07C7VSL2T</t>
  </si>
  <si>
    <t>YZ-MUC19P-W0-M</t>
  </si>
  <si>
    <t>X001R5VPM5</t>
  </si>
  <si>
    <t>B07C7VS3HD</t>
  </si>
  <si>
    <t>MiYang Twist Front Bandeau Bikini Top Hipster Bottom Set Two Piece Swimsuit for Women White US 6-8</t>
  </si>
  <si>
    <t>YZ-MUC19P-W0-S</t>
  </si>
  <si>
    <t>X001R5WT7P</t>
  </si>
  <si>
    <t>B07C7YC9JL</t>
  </si>
  <si>
    <t>MiYang Twist Front Bandeau Bikini Top Hipster Bottom Set Two Piece Swimsuit for Women White US 4-6</t>
  </si>
  <si>
    <t>YZ-MUC19P-W0-XL</t>
  </si>
  <si>
    <t>X001R674FL</t>
  </si>
  <si>
    <t>B07C824ZJR</t>
  </si>
  <si>
    <t>MiYang Twist Front Bandeau Bikini Top Hipster Bottom Set Two Piece Swimsuit for Women White US 12-14</t>
  </si>
  <si>
    <t>YZ-MUCL17015-P0-2XL</t>
  </si>
  <si>
    <t>X001OJ72CV</t>
  </si>
  <si>
    <t>B0795ZWHQY</t>
  </si>
  <si>
    <t>MiYang High Waisted Ruched One Piece Swimsuit Twist Vintage Bathing Suit for Women Purple US 8</t>
  </si>
  <si>
    <t>YZ-MUCL17015-P0-L</t>
  </si>
  <si>
    <t>X001OJ5223</t>
  </si>
  <si>
    <t>B0795RJZ4P</t>
  </si>
  <si>
    <t>MiYang High Waisted Ruched One Piece Swimsuit Twist Vintage Bathing Suit for Women Purple US 4</t>
  </si>
  <si>
    <t>YZ-MUCL17015-P0-M</t>
  </si>
  <si>
    <t>X001OJ5237</t>
  </si>
  <si>
    <t>B0795MBS2Z</t>
  </si>
  <si>
    <t>MiYang High Waisted Ruched One Piece Swimsuit Twist Vintage Bathing Suit for Women Purple XS</t>
  </si>
  <si>
    <t>YZ-MUCLC19-K0-M</t>
  </si>
  <si>
    <t>X001OIZYJF</t>
  </si>
  <si>
    <t>B0795DXKJG</t>
  </si>
  <si>
    <t>MiYang Twist Front Bandeau Bikini Top Hipster Bottom Set Two Piece Swimsuit for Women Black US 2-4</t>
  </si>
  <si>
    <t>YZ-MUCLC19-OR-S</t>
  </si>
  <si>
    <t>X001OIZVRZ</t>
  </si>
  <si>
    <t>B0795FM638</t>
  </si>
  <si>
    <t>MiYang Twist Front Bandeau Bikini Top Hipster Bottom Set Two Piece Swimsuit for Women Orange US 0-2</t>
  </si>
  <si>
    <t>YZ-MUCLC19-R0-L</t>
  </si>
  <si>
    <t>X001OGV3L5</t>
  </si>
  <si>
    <t>B0795FFB31</t>
  </si>
  <si>
    <t>YZ-MUCLC19-R0-M</t>
  </si>
  <si>
    <t>X001OJ3BZ3</t>
  </si>
  <si>
    <t>B0795FDMPM</t>
  </si>
  <si>
    <t>MiYang Twist Front Bandeau Bikini Top Hipster Bottom Set Two Piece Swimsuit for Women Red US 2-4</t>
  </si>
  <si>
    <t>YZ-MUCLC19-W0-2XL</t>
  </si>
  <si>
    <t>X001OIZOEZ</t>
  </si>
  <si>
    <t>B0795DRYVD</t>
  </si>
  <si>
    <t>YZ-MUCLC19-W0-L</t>
  </si>
  <si>
    <t>X001OGZP23</t>
  </si>
  <si>
    <t>B0795FC9FY</t>
  </si>
  <si>
    <t>YZ-MUCLC19-W0-M</t>
  </si>
  <si>
    <t>X001OJ05JX</t>
  </si>
  <si>
    <t>B0795FQFC9</t>
  </si>
  <si>
    <t>MiYang Twist Front Bandeau Bikini Top Hipster Bottom Set Two Piece Swimsuit for Women White US 2-4</t>
  </si>
  <si>
    <t>YZ-MUCLC19-W0-XL</t>
  </si>
  <si>
    <t>X001OGZP2X</t>
  </si>
  <si>
    <t>B0795DY39X</t>
  </si>
  <si>
    <t>YZ-MUCS186-OR-S</t>
  </si>
  <si>
    <t>X001QBDWN5</t>
  </si>
  <si>
    <t>YZ-MUCS186-OR-XL</t>
  </si>
  <si>
    <t>X001QE1BZX</t>
  </si>
  <si>
    <t>One Piece Halter Swimsuit Cutout Leaves Printing Stripe Swimwear</t>
  </si>
  <si>
    <t>YZ-MULE001-W0-M</t>
  </si>
  <si>
    <t>X001PS427J</t>
  </si>
  <si>
    <t>B07B7L7K48</t>
  </si>
  <si>
    <t>YZ-MULE001-W0-XL</t>
  </si>
  <si>
    <t>X001PSW9KB</t>
  </si>
  <si>
    <t>B07B7K21YT</t>
  </si>
  <si>
    <t>YZ-MUPLUS24-G0-3XL</t>
  </si>
  <si>
    <t>X001RGC7DP</t>
  </si>
  <si>
    <t>Women Plus Size One Piece High Cut Halter Swimsuit Retro High Waisted Bikini</t>
  </si>
  <si>
    <t>YZ-MUPLUS24-K0-3XL</t>
  </si>
  <si>
    <t>X001RGAAVV</t>
  </si>
  <si>
    <t>YZ-MUPLUS24-PI-3XL</t>
  </si>
  <si>
    <t>X001RFTAN1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</si>
  <si>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</si>
  <si>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</si>
  <si>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</si>
  <si>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</si>
  <si>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</si>
  <si>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</si>
  <si>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</si>
  <si>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</si>
  <si>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</si>
  <si>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</si>
  <si>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</si>
  <si>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</si>
  <si>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</si>
  <si>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</si>
  <si>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</si>
  <si>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</si>
  <si>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</si>
  <si>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</si>
  <si>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YZ-MUTW001-O0-L</t>
  </si>
  <si>
    <t>X001TGD5YN</t>
  </si>
  <si>
    <t>B07DWWHLKX</t>
  </si>
  <si>
    <t>YZ-MUTW001-O0-M</t>
  </si>
  <si>
    <t>X001TGEDDF</t>
  </si>
  <si>
    <t>B07DWXVS6S</t>
  </si>
  <si>
    <t>YZ-MUTW001-O0-S</t>
  </si>
  <si>
    <t>X001TGEDDP</t>
  </si>
  <si>
    <t>B07DWXHXYR</t>
  </si>
  <si>
    <t>YZ-MUTW001-O0-XL</t>
  </si>
  <si>
    <t>X001TGDR2D</t>
  </si>
  <si>
    <t>B07DWZ5DYL</t>
  </si>
  <si>
    <t>YZ-MUTW001-O0-XS</t>
  </si>
  <si>
    <t>X001TGF22B</t>
  </si>
  <si>
    <t>B07DWXSG2T</t>
  </si>
  <si>
    <t>YZ-MUTW001-O0-XXL</t>
  </si>
  <si>
    <t>X001TFYF4X</t>
  </si>
  <si>
    <t>B07DX1Q1WG</t>
  </si>
  <si>
    <t>YZ-MUTW001-P0-L</t>
  </si>
  <si>
    <t>X001TGD8XB</t>
  </si>
  <si>
    <t>B07DWZ71S6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</si>
  <si>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</si>
  <si>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</si>
  <si>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</si>
  <si>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</si>
  <si>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</si>
  <si>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</si>
  <si>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</si>
  <si>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</si>
  <si>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</si>
  <si>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</si>
  <si>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</si>
  <si>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</si>
  <si>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</si>
  <si>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</si>
  <si>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</si>
  <si>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YZ-MUTW32-PI-L</t>
  </si>
  <si>
    <t>X001QWICL1</t>
  </si>
  <si>
    <t>B07CBS6NC4</t>
  </si>
  <si>
    <t>YZ-MUTW32-PI-M</t>
  </si>
  <si>
    <t>X001QVWF97</t>
  </si>
  <si>
    <t>B07C1MFK4Z</t>
  </si>
  <si>
    <t>YZ-MUTW32-PI-S</t>
  </si>
  <si>
    <t>X001QVWZN3</t>
  </si>
  <si>
    <t>B07C1L2LP3</t>
  </si>
  <si>
    <t>Wine Red One Piece Swimsuit High Neck V-Neckline Mesh Ruched Monokini燬winwear 2XL US(14W)</t>
  </si>
  <si>
    <t>Wine Red One Piece Swimsuit High Neck V-Neckline Mesh Ruched Monokini燬winwear L US(12-14)</t>
  </si>
  <si>
    <t>Wine Red One Piece Swimsuit High Neck V-Neckline Mesh Ruched Monokini燬winwear M US(8-10)</t>
  </si>
  <si>
    <t>Wine Red One Piece Swimsuit High Neck V-Neckline Mesh Ruched Monokini燬winwear S US(4-6)</t>
  </si>
  <si>
    <t>MiYang Wine Red One Piece Swimsuit High Neck V-Neckline Mesh Ruched Monokini燬winwear XL US (16)</t>
  </si>
  <si>
    <t>Black One Piece Swimsuit High Neck V-Neckline Mesh Ruched Monokini燬winwear 2XL US(14W)</t>
  </si>
  <si>
    <t>Black One Piece Swimsuit High Neck V-Neckline Mesh Ruched Monokini燬winwear L US(12-14)</t>
  </si>
  <si>
    <t>Black One Piece Swimsuit High Neck V-Neckline Mesh Ruched Monokini燬winwear XL US (16)</t>
  </si>
  <si>
    <t>Navy Blue One Piece Swimsuit High Neck V-Neckline Mesh Ruched Monokini燬winwear 2XL US(14W)</t>
  </si>
  <si>
    <t>Navy Blue One Piece Swimsuit High Neck V-Neckline Mesh Ruched Monokini燬winwear L US(12-14)</t>
  </si>
  <si>
    <t>Navy Blue One Piece Swimsuit High Neck V-Neckline Mesh Ruched Monokini燬winwear M US(8-10)</t>
  </si>
  <si>
    <t>Navy Blue One Piece Swimsuit High Neck V-Neckline Mesh Ruched Monokini燬winwear S US(4-6)</t>
  </si>
  <si>
    <t>Navy Blue One Piece Swimsuit High Neck V-Neckline Mesh Ruched Monokini燬winwear XL US (16)</t>
  </si>
  <si>
    <t>YZ-MUYF181-OR-2XL</t>
  </si>
  <si>
    <t>X001T1DURP</t>
  </si>
  <si>
    <t>B07DN5JL5H</t>
  </si>
  <si>
    <t>Halter Maternity Tankini Floral Pregnancy Triangle Swimsuit Orange 2XL</t>
  </si>
  <si>
    <t>YZ-MUYF181-OR-L</t>
  </si>
  <si>
    <t>X001T1G4CD</t>
  </si>
  <si>
    <t>B07DN6NZDL</t>
  </si>
  <si>
    <t>Halter Maternity Tankini Floral Pregnancy Triangle Swimsuit Orange L</t>
  </si>
  <si>
    <t>YZ-MUYF181-OR-S</t>
  </si>
  <si>
    <t>X001T1DYUD</t>
  </si>
  <si>
    <t>B07DN5JHRJ</t>
  </si>
  <si>
    <t>Halter Maternity Tankini Floral Pregnancy Triangle Swimsuit Orange S</t>
  </si>
  <si>
    <t>YZ-MUYF181-OR-XL</t>
  </si>
  <si>
    <t>X001T0HKOP</t>
  </si>
  <si>
    <t>B07DN8MP6W</t>
  </si>
  <si>
    <t>Halter Maternity Tankini Floral Pregnancy Triangle Swimsuit Orange XL</t>
  </si>
  <si>
    <t>YZ-MUYF181-WI-2XL</t>
  </si>
  <si>
    <t>X001T0HKEP</t>
  </si>
  <si>
    <t>B07DN68J98</t>
  </si>
  <si>
    <t>Halter Maternity Tankini Floral Pregnancy Triangle Swimsuit Wine Red 2XL</t>
  </si>
  <si>
    <t>YZ-MUYF181-WI-L</t>
  </si>
  <si>
    <t>X001T0KDFN</t>
  </si>
  <si>
    <t>B07DN58Z1L</t>
  </si>
  <si>
    <t>Halter Maternity Tankini Floral Pregnancy Triangle Swimsuit Wine Red L</t>
  </si>
  <si>
    <t>YZ-MUYF181-WI-S</t>
  </si>
  <si>
    <t>X001T0HKEF</t>
  </si>
  <si>
    <t>B07DN5BSYL</t>
  </si>
  <si>
    <t>Halter Maternity Tankini Floral Pregnancy Triangle Swimsuit Wine Red S</t>
  </si>
  <si>
    <t>YZ-MUYF181-WI-XL</t>
  </si>
  <si>
    <t>X001T1FHYT</t>
  </si>
  <si>
    <t>B07DN5WXNM</t>
  </si>
  <si>
    <t>Halter Maternity Tankini Floral Pregnancy Triangle Swimsuit Wine Red XL</t>
  </si>
  <si>
    <t>YZ-MUYF181-YH-2XL</t>
  </si>
  <si>
    <t>X001T1DURZ</t>
  </si>
  <si>
    <t>B07DN566JY</t>
  </si>
  <si>
    <t>Halter Maternity Tankini Pregnancy Triangle Swimsuit Floral Printed 2XL</t>
  </si>
  <si>
    <t>YZ-MUYF181-YH-L</t>
  </si>
  <si>
    <t>X001T1GH2P</t>
  </si>
  <si>
    <t>B07DN562RS</t>
  </si>
  <si>
    <t>Halter Maternity Tankini Pregnancy Triangle Swimsuit Floral Printed L</t>
  </si>
  <si>
    <t>YZ-MUYF181-YH-M</t>
  </si>
  <si>
    <t>X001T1DYUN</t>
  </si>
  <si>
    <t>B07DN68NLB</t>
  </si>
  <si>
    <t>Halter Maternity Tankini Pregnancy Triangle Swimsuit Floral Printed M</t>
  </si>
  <si>
    <t>YZ-MUYF181-YH-S</t>
  </si>
  <si>
    <t>X001T0KDFX</t>
  </si>
  <si>
    <t>B07DN5R5XG</t>
  </si>
  <si>
    <t>Halter Maternity Tankini Pregnancy Triangle Swimsuit Floral Printed S</t>
  </si>
  <si>
    <t>YZ-MUYF181-YH-XL</t>
  </si>
  <si>
    <t>X001T1G4CN</t>
  </si>
  <si>
    <t>B07DN5HKNH</t>
  </si>
  <si>
    <t>Halter Maternity Tankini Pregnancy Triangle Swimsuit Floral Printed XL</t>
  </si>
  <si>
    <t>YZ-MUYF182-R0-M</t>
  </si>
  <si>
    <t>X001PXH2BR</t>
  </si>
  <si>
    <t>B07BC97457</t>
  </si>
  <si>
    <t>Halter Maternity Tankini Abstract Cutout Pregnancy Swimsuit Two Piece Beach Swimwear M</t>
  </si>
  <si>
    <t>YZ-MUYF184-K0-L</t>
  </si>
  <si>
    <t>X001ST6CR3</t>
  </si>
  <si>
    <t>Halter Neck Maternity Tankini Tie-dye Striped Swimsuit Set Black Polka Dot L</t>
  </si>
  <si>
    <t>YZ-MUYF184-K0-M</t>
  </si>
  <si>
    <t>X001ST7P01</t>
  </si>
  <si>
    <t>Halter Neck Maternity Tankini Tie-dye Striped Swimsuit Set Black Polka Dot M</t>
  </si>
  <si>
    <t>YZ-MUYF184-K0-S</t>
  </si>
  <si>
    <t>X001SS68CN</t>
  </si>
  <si>
    <t>Halter Neck Maternity Tankini Tie-dye Striped Swimsuit Set Black Polka Dot S</t>
  </si>
  <si>
    <t>YZ-MUYF184-ZLBD-2XL</t>
  </si>
  <si>
    <t>X001SULJYN</t>
  </si>
  <si>
    <t>Halter Neck Maternity Tankini Tie-dye Striped Swimsuit Set Navy Polka Dot 2XL</t>
  </si>
  <si>
    <t>YZ-MUYF184-ZLBD-XL</t>
  </si>
  <si>
    <t>X001SUFVZL</t>
  </si>
  <si>
    <t>Halter Neck Maternity Tankini Tie-dye Striped Swimsuit Set Navy Polka Dot XL</t>
  </si>
  <si>
    <t>YZ-MUYF185-K0-S</t>
  </si>
  <si>
    <t>X001S9FFY9</t>
  </si>
  <si>
    <t>B07D3KY2D9</t>
  </si>
  <si>
    <t>MiYang Women Maternity Tankini set Pregnant Two Piece Beach Swimwear Black S</t>
  </si>
  <si>
    <t>YZ-MY-JY3233-K0-L</t>
  </si>
  <si>
    <t>X001AWOJ8H</t>
  </si>
  <si>
    <t>B01N9OFQ1B</t>
  </si>
  <si>
    <t>MiYang Women's Padded One Piece Vintage Printing Mesh Bikini Swimsuit L</t>
  </si>
  <si>
    <t>YZ-MY-JY3233-K0-M</t>
  </si>
  <si>
    <t>X001AY4COL</t>
  </si>
  <si>
    <t>B01N1Z3Y8I</t>
  </si>
  <si>
    <t>MiYang Women's Padded One Piece Vintage Printing Mesh Bikini Swimsuit M</t>
  </si>
  <si>
    <t>YZ-MY1701-KO-XL</t>
  </si>
  <si>
    <t>X001D7JO2Z</t>
  </si>
  <si>
    <t>B06XCCYH43</t>
  </si>
  <si>
    <t>YZ-MY1702-G0-L</t>
  </si>
  <si>
    <t>X001S8DAGZ</t>
  </si>
  <si>
    <t>MiYang Women One Piece Halter Bathing Suit Green</t>
  </si>
  <si>
    <t>YZ-MY1702-G0-M</t>
  </si>
  <si>
    <t>X001S762HP</t>
  </si>
  <si>
    <t>YZ-MY1727-4XL</t>
  </si>
  <si>
    <t>X001GVZLV1</t>
  </si>
  <si>
    <t>B073QM6LPQ</t>
  </si>
  <si>
    <t>MiYang Womens Deep V-Neck Cross-Back High Cut One Piece Swimsuit Size 4XL</t>
  </si>
  <si>
    <t>YZ-MYQQ1706-K0-2XL</t>
  </si>
  <si>
    <t>X001DGXDLT</t>
  </si>
  <si>
    <t>B06XSHF51L</t>
  </si>
  <si>
    <t>YZ-MYQQ1706-K0-XL</t>
  </si>
  <si>
    <t>X001DJ3VAJ</t>
  </si>
  <si>
    <t>B06XT16GTH</t>
  </si>
  <si>
    <t>YZ-MYQQ1706-K0-XS</t>
  </si>
  <si>
    <t>X001DGMQTJ</t>
  </si>
  <si>
    <t>B06XSKDBD3</t>
  </si>
  <si>
    <t>MiYang Dot Swirl Print Tankini Top with Black Shorts,Small</t>
  </si>
  <si>
    <t>YZ-MYQZ1709-R0-XS</t>
  </si>
  <si>
    <t>X001DGXDM3</t>
  </si>
  <si>
    <t>B06Y2B2H4B</t>
  </si>
  <si>
    <t>YZ-MYSJ1708-K0-M</t>
  </si>
  <si>
    <t>X001DDL6OD</t>
  </si>
  <si>
    <t>B06XSXSY1J</t>
  </si>
  <si>
    <t>MiYang Floral Print Bandeau Blouson Adjustable Mio One Piece Size M</t>
  </si>
  <si>
    <t>YZ-MYSJ1708-K0-XL</t>
  </si>
  <si>
    <t>X001DCHJT5</t>
  </si>
  <si>
    <t>B06XT1T22Y</t>
  </si>
  <si>
    <t>MiYang Floral Print Bandeau Blouson Adjustable Mio One Piece</t>
  </si>
  <si>
    <t>YZ-MYSJ1708-R0-2XL</t>
  </si>
  <si>
    <t>X001DDFR5H</t>
  </si>
  <si>
    <t>YZ-MYSJ1708-R0-L</t>
  </si>
  <si>
    <t>X001DDG1CP</t>
  </si>
  <si>
    <t>B06XSYWJYX</t>
  </si>
  <si>
    <t>YZ-MYSJ1708-R0-S</t>
  </si>
  <si>
    <t>X001DDGGKH</t>
  </si>
  <si>
    <t>YZ-MYSJ1708-R0-XL</t>
  </si>
  <si>
    <t>X001DDBZA3</t>
  </si>
  <si>
    <t>YZ-MYSJ1708-R0-XS</t>
  </si>
  <si>
    <t>X001DDKAWR</t>
  </si>
  <si>
    <t>MiYang Floral Print Bandeau Blouson Adjustable Mio One Piece Size XS</t>
  </si>
  <si>
    <t>YZ-NA13037EZ1L</t>
  </si>
  <si>
    <t>X001GDCSS3</t>
  </si>
  <si>
    <t>YZ-NA13037EZ2L</t>
  </si>
  <si>
    <t>X001LCM7ZX</t>
  </si>
  <si>
    <t>YZ-NA13037EZ3L</t>
  </si>
  <si>
    <t>X001IXVJ7R</t>
  </si>
  <si>
    <t>YZ-NA13037EZ4L</t>
  </si>
  <si>
    <t>X001GD4WWX</t>
  </si>
  <si>
    <t>YZ-NA13037EZ5L</t>
  </si>
  <si>
    <t>X001JSESKV</t>
  </si>
  <si>
    <t>YZ-NA13037EZ6L</t>
  </si>
  <si>
    <t>X001ESQ2PF</t>
  </si>
  <si>
    <t>YZ-NA13037EZ7L</t>
  </si>
  <si>
    <t>X001JSESKL</t>
  </si>
  <si>
    <t>YZ-NA13037EZ8L</t>
  </si>
  <si>
    <t>X001F1LDKP</t>
  </si>
  <si>
    <t>YZ-NA13037EZ9L</t>
  </si>
  <si>
    <t>X001ES7XRV</t>
  </si>
  <si>
    <t>YZ-NA13037Or1L</t>
  </si>
  <si>
    <t>X001LCOJNL</t>
  </si>
  <si>
    <t>YZ-NA13037Or2L</t>
  </si>
  <si>
    <t>X001LCE1AH</t>
  </si>
  <si>
    <t>YZ-NA13037Or3L</t>
  </si>
  <si>
    <t>X001LCEOHR</t>
  </si>
  <si>
    <t>YZ-NA13037Or4L</t>
  </si>
  <si>
    <t>X001FWTEDR</t>
  </si>
  <si>
    <t>YZ-NA13037Or5L</t>
  </si>
  <si>
    <t>X001IX29MB</t>
  </si>
  <si>
    <t>YZ-NA13037Or6L</t>
  </si>
  <si>
    <t>X001GDDQXJ</t>
  </si>
  <si>
    <t>YZ-NA13037Or7L</t>
  </si>
  <si>
    <t>X001FAGLQ7</t>
  </si>
  <si>
    <t>YZ-NA13037Or8L</t>
  </si>
  <si>
    <t>X001JSCGGT</t>
  </si>
  <si>
    <t>YZ-NA13037Or9L</t>
  </si>
  <si>
    <t>X001F3MZM3</t>
  </si>
  <si>
    <t>YZ-NA13037Pu1L</t>
  </si>
  <si>
    <t>X001LCE1A7</t>
  </si>
  <si>
    <t>YZ-NA13037Pu2L</t>
  </si>
  <si>
    <t>X001LCDPX1</t>
  </si>
  <si>
    <t>YZ-NA13037Pu3L</t>
  </si>
  <si>
    <t>X001LCORC9</t>
  </si>
  <si>
    <t>YZ-NA13037Pu4L</t>
  </si>
  <si>
    <t>X001GDD64N</t>
  </si>
  <si>
    <t>YZ-NA13037Pu5L</t>
  </si>
  <si>
    <t>X001L2KZBB</t>
  </si>
  <si>
    <t>YZ-NA13037Pu6L</t>
  </si>
  <si>
    <t>X001ESDPJ1</t>
  </si>
  <si>
    <t>YZ-NA13037Pu7L</t>
  </si>
  <si>
    <t>X001JSDHZX</t>
  </si>
  <si>
    <t>YZ-NA13037Pu8L</t>
  </si>
  <si>
    <t>X001FCM2KT</t>
  </si>
  <si>
    <t>YZ-NA13037Pu9L</t>
  </si>
  <si>
    <t>X001JSERMP</t>
  </si>
  <si>
    <t>YZ-NA13037Wi1L</t>
  </si>
  <si>
    <t>X001GDCZDB</t>
  </si>
  <si>
    <t>YZ-NA13037Wi2L</t>
  </si>
  <si>
    <t>X001GD9NHH</t>
  </si>
  <si>
    <t>YZ-NA13037Wi3L</t>
  </si>
  <si>
    <t>X001L2Q0LZ</t>
  </si>
  <si>
    <t>YZ-NA13037Wi4L</t>
  </si>
  <si>
    <t>X001GDD3VJ</t>
  </si>
  <si>
    <t>YZ-NA13037Wi5L</t>
  </si>
  <si>
    <t>X001GD9NH7</t>
  </si>
  <si>
    <t>YZ-NA13037Wi6L</t>
  </si>
  <si>
    <t>X001ESZN05</t>
  </si>
  <si>
    <t>YZ-NA13037Wi7L</t>
  </si>
  <si>
    <t>X001ESZN0F</t>
  </si>
  <si>
    <t>YZ-NA13037Wi8L</t>
  </si>
  <si>
    <t>X001ES8AF5</t>
  </si>
  <si>
    <t>YZ-NA13037Wi9L</t>
  </si>
  <si>
    <t>X001F1D4JN</t>
  </si>
  <si>
    <t>YZ-NA1304G01L</t>
  </si>
  <si>
    <t>X001OCJIXJ</t>
  </si>
  <si>
    <t>YZ-NA1304G02L</t>
  </si>
  <si>
    <t>X001OB5BH7</t>
  </si>
  <si>
    <t>YZ-NA1304G03L</t>
  </si>
  <si>
    <t>X001OAR8IX</t>
  </si>
  <si>
    <t>YZ-NA1304G05L</t>
  </si>
  <si>
    <t>X001OB5BDL</t>
  </si>
  <si>
    <t>YZ-NA1304Y01L</t>
  </si>
  <si>
    <t>X001OBZMI5</t>
  </si>
  <si>
    <t>YZ-NA1304Y02L</t>
  </si>
  <si>
    <t>X001OCKPIL</t>
  </si>
  <si>
    <t>YZ-NA1304Y05L</t>
  </si>
  <si>
    <t>X001OCKHYX</t>
  </si>
  <si>
    <t>YZ-NA1521-BF-2XL</t>
  </si>
  <si>
    <t>X001ODJCH5</t>
  </si>
  <si>
    <t>B06X9M7NXQ</t>
  </si>
  <si>
    <t>YZ-NA1521-BF-3XL</t>
  </si>
  <si>
    <t>X001GSWSNN</t>
  </si>
  <si>
    <t>B06WWLKZRB</t>
  </si>
  <si>
    <t>YZ-NA1521-BF-4XL</t>
  </si>
  <si>
    <t>X001OCUHW5</t>
  </si>
  <si>
    <t>B06X9LF74S</t>
  </si>
  <si>
    <t>YZ-NA1521-BF-5XL</t>
  </si>
  <si>
    <t>X001HGHBB3</t>
  </si>
  <si>
    <t>B06X9NCVM4</t>
  </si>
  <si>
    <t>YZ-NA1521-BL-2XL</t>
  </si>
  <si>
    <t>X001FX0XVN</t>
  </si>
  <si>
    <t>B06X9LB4RZ</t>
  </si>
  <si>
    <t>YZ-NA1521-BL-3XL</t>
  </si>
  <si>
    <t>X001OE0NFT</t>
  </si>
  <si>
    <t>B06X9NBJ2G</t>
  </si>
  <si>
    <t>YZ-NA1521-BL-4XL</t>
  </si>
  <si>
    <t>X001HG6AUB</t>
  </si>
  <si>
    <t>B06X9GHZBM</t>
  </si>
  <si>
    <t>YZ-NA1521-BL-5XL</t>
  </si>
  <si>
    <t>X001FWNB9Z</t>
  </si>
  <si>
    <t>B06X9M7ZJG</t>
  </si>
  <si>
    <t>YZ-NA1521-BL-XL</t>
  </si>
  <si>
    <t>X001ODJNXN</t>
  </si>
  <si>
    <t>B06X9GSQGC</t>
  </si>
  <si>
    <t>YZ-NA1521-GF-2XL</t>
  </si>
  <si>
    <t>X001GD4WWD</t>
  </si>
  <si>
    <t>B06X9P1QZK</t>
  </si>
  <si>
    <t>YZ-NA1521-GF-3XL</t>
  </si>
  <si>
    <t>X001GSYBVP</t>
  </si>
  <si>
    <t>B06X9L7JK2</t>
  </si>
  <si>
    <t>YZ-NA1521-GF-4XL</t>
  </si>
  <si>
    <t>X001GDCZDL</t>
  </si>
  <si>
    <t>B06X9L9FDB</t>
  </si>
  <si>
    <t>YZ-NA1521-GF-5XL</t>
  </si>
  <si>
    <t>X001K1XNYT</t>
  </si>
  <si>
    <t>B06X9CGXPK</t>
  </si>
  <si>
    <t>YZ-NA1521-GF-XL</t>
  </si>
  <si>
    <t>X001GDD0VR</t>
  </si>
  <si>
    <t>B06X9FQ4JW</t>
  </si>
  <si>
    <t>YZ-NA1521-GW-3XL</t>
  </si>
  <si>
    <t>X001GTVDLP</t>
  </si>
  <si>
    <t>B06X9R23M1</t>
  </si>
  <si>
    <t>YZ-NA1521-GW-4XL</t>
  </si>
  <si>
    <t>X001FWNB9F</t>
  </si>
  <si>
    <t>B06X9LCD4W</t>
  </si>
  <si>
    <t>YZ-NA1521-GW-5XL</t>
  </si>
  <si>
    <t>X001FX14JN</t>
  </si>
  <si>
    <t>B06X9GQXH7</t>
  </si>
  <si>
    <t>YZ-NA1521-GW-XL</t>
  </si>
  <si>
    <t>X001FWTA45</t>
  </si>
  <si>
    <t>YZ-NA1521-KF-2XL</t>
  </si>
  <si>
    <t>X001ODY69J</t>
  </si>
  <si>
    <t>B06X9N1YP5</t>
  </si>
  <si>
    <t>YZ-NA1521-KF-3XL</t>
  </si>
  <si>
    <t>X001OCUHVV</t>
  </si>
  <si>
    <t>B06X9HFW1R</t>
  </si>
  <si>
    <t>YZ-NA1521-KF-4XL</t>
  </si>
  <si>
    <t>X001F1AX0B</t>
  </si>
  <si>
    <t>B06WWRHVCC</t>
  </si>
  <si>
    <t>YZ-NA1521-KF-5XL</t>
  </si>
  <si>
    <t>X001F1CL5B</t>
  </si>
  <si>
    <t>B06X9L9FDK</t>
  </si>
  <si>
    <t>YZ-NA1521-KF-XL</t>
  </si>
  <si>
    <t>X001GD4X5J</t>
  </si>
  <si>
    <t>B06X9GM1TS</t>
  </si>
  <si>
    <t>YZ-NA1521-RF-2XL</t>
  </si>
  <si>
    <t>X001GSXGCZ</t>
  </si>
  <si>
    <t>B06X9GHX4V</t>
  </si>
  <si>
    <t>YZ-NA1521-RF-3XL</t>
  </si>
  <si>
    <t>X001HG6B0P</t>
  </si>
  <si>
    <t>B06X9PDD7C</t>
  </si>
  <si>
    <t>YZ-NA1521-RF-4XL</t>
  </si>
  <si>
    <t>X001GD4WWN</t>
  </si>
  <si>
    <t>B06WWLKZR5</t>
  </si>
  <si>
    <t>YZ-NA1521-RF-5XL</t>
  </si>
  <si>
    <t>X001HGQOVB</t>
  </si>
  <si>
    <t>B06X9H8P1F</t>
  </si>
  <si>
    <t>YZ-NA1521-RF-XL</t>
  </si>
  <si>
    <t>X001GSWSIN</t>
  </si>
  <si>
    <t>B06X9GNHK9</t>
  </si>
  <si>
    <t>YZ-NA1521-RL-3XL</t>
  </si>
  <si>
    <t>X001GSWSO7</t>
  </si>
  <si>
    <t>B06X9PYNJ7</t>
  </si>
  <si>
    <t>YZ-NA1521-RL-4XL</t>
  </si>
  <si>
    <t>X001HG6AU1</t>
  </si>
  <si>
    <t>B06X9P1QZC</t>
  </si>
  <si>
    <t>YZ-NA1521-RL-5XL</t>
  </si>
  <si>
    <t>X001F1N16J</t>
  </si>
  <si>
    <t>B06X9QF7DK</t>
  </si>
  <si>
    <t>YZ-NA1521-RL-XL</t>
  </si>
  <si>
    <t>X001ODJNXD</t>
  </si>
  <si>
    <t>B06X9G7C3F</t>
  </si>
  <si>
    <t>YZ-NA1521-RM-2XL</t>
  </si>
  <si>
    <t>X001HGPT0D</t>
  </si>
  <si>
    <t>B06WWLKZQY</t>
  </si>
  <si>
    <t>YZ-NA1521-RM-3XL</t>
  </si>
  <si>
    <t>X001K1XDAX</t>
  </si>
  <si>
    <t>B06X9N8R16</t>
  </si>
  <si>
    <t>YZ-NA1521-RM-4XL</t>
  </si>
  <si>
    <t>X001GU2LQP</t>
  </si>
  <si>
    <t>B06X9GFQ7H</t>
  </si>
  <si>
    <t>YZ-NA1521-RM-5XL</t>
  </si>
  <si>
    <t>X001FX1GNR</t>
  </si>
  <si>
    <t>B06X9NZPVJ</t>
  </si>
  <si>
    <t>YZ-NA1521-RM-XL</t>
  </si>
  <si>
    <t>X001ODIVLD</t>
  </si>
  <si>
    <t>B06X9FYPRJ</t>
  </si>
  <si>
    <t>YZ-NA1521-WP-2XL</t>
  </si>
  <si>
    <t>X001FX14JX</t>
  </si>
  <si>
    <t>B06X9GFPPM</t>
  </si>
  <si>
    <t>YZ-NA1521-WP-3XL</t>
  </si>
  <si>
    <t>X001ODJRSJ</t>
  </si>
  <si>
    <t>B06X9N2LD5</t>
  </si>
  <si>
    <t>YZ-NA1521-WP-4XL</t>
  </si>
  <si>
    <t>X001F205AN</t>
  </si>
  <si>
    <t>B06WWPKW46</t>
  </si>
  <si>
    <t>YZ-NA1521-WP-5XL</t>
  </si>
  <si>
    <t>X001OCDAZ1</t>
  </si>
  <si>
    <t>B06X9MW8XS</t>
  </si>
  <si>
    <t>YZ-NA1521-WP-XL</t>
  </si>
  <si>
    <t>X001GSVK2D</t>
  </si>
  <si>
    <t>B06X9LFBFN</t>
  </si>
  <si>
    <t>YZ-NA15827-B0-2X</t>
  </si>
  <si>
    <t>X001O5VXPH</t>
  </si>
  <si>
    <t>YZ-NA15827-B0-4X</t>
  </si>
  <si>
    <t>X001O5WQSP</t>
  </si>
  <si>
    <t>B01NA9W3DM</t>
  </si>
  <si>
    <t>YZ-NA15827-B0-5X</t>
  </si>
  <si>
    <t>X001O4TBWF</t>
  </si>
  <si>
    <t>B01N98BSX7</t>
  </si>
  <si>
    <t>YZ-NA15827-B0-L</t>
  </si>
  <si>
    <t>X001O5VX9N</t>
  </si>
  <si>
    <t>B01NCB9AGE</t>
  </si>
  <si>
    <t>YZ-NA15827-B0-M</t>
  </si>
  <si>
    <t>X001O5W04F</t>
  </si>
  <si>
    <t>B01N98BUDH</t>
  </si>
  <si>
    <t>YZ-NA15827-B0-S</t>
  </si>
  <si>
    <t>X001O5WQSZ</t>
  </si>
  <si>
    <t>B01NCAZQ1E</t>
  </si>
  <si>
    <t>YZ-NA15827-K0-4X</t>
  </si>
  <si>
    <t>X001O5ZJFH</t>
  </si>
  <si>
    <t>B01NCACZ4V</t>
  </si>
  <si>
    <t>YZ-NA15827-K0-5X</t>
  </si>
  <si>
    <t>X001O5Y56B</t>
  </si>
  <si>
    <t>B01MQMSY3U</t>
  </si>
  <si>
    <t>YZ-NA15827-K0-L</t>
  </si>
  <si>
    <t>X001N9E4A5</t>
  </si>
  <si>
    <t>B01N1J1BHL</t>
  </si>
  <si>
    <t>YZ-NA15827-K0-M</t>
  </si>
  <si>
    <t>X001N8PMRZ</t>
  </si>
  <si>
    <t>YZ-NA15827-K0-S</t>
  </si>
  <si>
    <t>X001O5VXPR</t>
  </si>
  <si>
    <t>B01N98BUDE</t>
  </si>
  <si>
    <t>YZ-NA15827-K0-XL</t>
  </si>
  <si>
    <t>X001N905WL</t>
  </si>
  <si>
    <t>B01N563260</t>
  </si>
  <si>
    <t>YZ-NA15827-R0-4X</t>
  </si>
  <si>
    <t>X001O4TKHL</t>
  </si>
  <si>
    <t>B01N2KK4NZ</t>
  </si>
  <si>
    <t>YZ-NA15827-R0-5X</t>
  </si>
  <si>
    <t>X001O602UN</t>
  </si>
  <si>
    <t>B01N67IEL7</t>
  </si>
  <si>
    <t>YZ-NA15827-R0-L</t>
  </si>
  <si>
    <t>X001O5CQUN</t>
  </si>
  <si>
    <t>B01N2KK500</t>
  </si>
  <si>
    <t>YZ-NA15827-R0-M</t>
  </si>
  <si>
    <t>X001O605EL</t>
  </si>
  <si>
    <t>B01NBBAK0K</t>
  </si>
  <si>
    <t>YZ-NA15827-R0-S</t>
  </si>
  <si>
    <t>X001O5W045</t>
  </si>
  <si>
    <t>B01N56351Q</t>
  </si>
  <si>
    <t>YZ-NA15827-SB-3X</t>
  </si>
  <si>
    <t>X001N9F55D</t>
  </si>
  <si>
    <t>B06XDLY8K4</t>
  </si>
  <si>
    <t>YZ-NA15827-SB-4X</t>
  </si>
  <si>
    <t>X001N9G1OH</t>
  </si>
  <si>
    <t>B06XDKRX68</t>
  </si>
  <si>
    <t>YZ-NA15827-SB-5X</t>
  </si>
  <si>
    <t>X001O5C7EX</t>
  </si>
  <si>
    <t>B06XDKH1C7</t>
  </si>
  <si>
    <t>YZ-NA15827-SB-L</t>
  </si>
  <si>
    <t>X001N9EGUN</t>
  </si>
  <si>
    <t>B06XDLBMCD</t>
  </si>
  <si>
    <t>YZ-NA15827-SB-M</t>
  </si>
  <si>
    <t>X001N9G1O7</t>
  </si>
  <si>
    <t>B06XDKF3YC</t>
  </si>
  <si>
    <t>YZ-NA15827-SB-S</t>
  </si>
  <si>
    <t>X001O5VXED</t>
  </si>
  <si>
    <t>B06XDQ99QG</t>
  </si>
  <si>
    <t>YZ-NA15827-SB-XL</t>
  </si>
  <si>
    <t>X001O5CQXZ</t>
  </si>
  <si>
    <t>B06XDLHJ5Q</t>
  </si>
  <si>
    <t>YZ-NA263100-1L</t>
  </si>
  <si>
    <t>X001LCDPWR</t>
  </si>
  <si>
    <t>YZ-NA263100-3L</t>
  </si>
  <si>
    <t>X001K1RGR9</t>
  </si>
  <si>
    <t>YZ-NA263100L</t>
  </si>
  <si>
    <t>X001HGQ2ZT</t>
  </si>
  <si>
    <t>YZ-NA263100M</t>
  </si>
  <si>
    <t>X001FX1GO1</t>
  </si>
  <si>
    <t>YZ-NA2631HS1L</t>
  </si>
  <si>
    <t>X001FWNB9P</t>
  </si>
  <si>
    <t>YZ-NA2631HSL</t>
  </si>
  <si>
    <t>X001FWTADV</t>
  </si>
  <si>
    <t>YZ-NA2631HSM</t>
  </si>
  <si>
    <t>X001LCNUW7</t>
  </si>
  <si>
    <t>YZ-NA2631HSS</t>
  </si>
  <si>
    <t>X001HG6A33</t>
  </si>
  <si>
    <t>YZ-NA2631HSXS</t>
  </si>
  <si>
    <t>X001FX1GNH</t>
  </si>
  <si>
    <t>YZ-NA2631K01L</t>
  </si>
  <si>
    <t>X001ESDPJL</t>
  </si>
  <si>
    <t>YZ-NA2631K02L</t>
  </si>
  <si>
    <t>X001GSVKL9</t>
  </si>
  <si>
    <t>YZ-NA2631K03L</t>
  </si>
  <si>
    <t>X001GSVKP5</t>
  </si>
  <si>
    <t>YZ-NA2631K0L</t>
  </si>
  <si>
    <t>X001ESZ3VJ</t>
  </si>
  <si>
    <t>YZ-NA2631K0M</t>
  </si>
  <si>
    <t>X001ES85KP</t>
  </si>
  <si>
    <t>YZ-NA2631R01L</t>
  </si>
  <si>
    <t>X001IX2B97</t>
  </si>
  <si>
    <t>YZ-NA2631R0L</t>
  </si>
  <si>
    <t>X001LCEOHH</t>
  </si>
  <si>
    <t>YZ-NA2631R0M</t>
  </si>
  <si>
    <t>X001G4QYIR</t>
  </si>
  <si>
    <t>YZ-NA2631R0S</t>
  </si>
  <si>
    <t>X001HG6ATR</t>
  </si>
  <si>
    <t>YZ-NA2631R0XS</t>
  </si>
  <si>
    <t>X001FWTEDH</t>
  </si>
  <si>
    <t>YZ-NA2631ZL1L</t>
  </si>
  <si>
    <t>X001G4RO77</t>
  </si>
  <si>
    <t>YZ-NA2631ZL2L</t>
  </si>
  <si>
    <t>X001LCM7N5</t>
  </si>
  <si>
    <t>YZ-NA2631ZL3L</t>
  </si>
  <si>
    <t>X001FWQ0PH</t>
  </si>
  <si>
    <t>YZ-NA2631ZLL</t>
  </si>
  <si>
    <t>X001LCM80H</t>
  </si>
  <si>
    <t>YZ-NA2631ZLM</t>
  </si>
  <si>
    <t>X001LCM807</t>
  </si>
  <si>
    <t>YZ-NA5060B2</t>
  </si>
  <si>
    <t>X001E183XB</t>
  </si>
  <si>
    <t>YZ-NA5060B21L</t>
  </si>
  <si>
    <t>X001E2MRLT</t>
  </si>
  <si>
    <t>YZ-NA5060B2L</t>
  </si>
  <si>
    <t>X001EANG0R</t>
  </si>
  <si>
    <t>YZ-NA5060B2M</t>
  </si>
  <si>
    <t>X001E7SUVP</t>
  </si>
  <si>
    <t>B01E89VIYA</t>
  </si>
  <si>
    <t>YZ-NA5060B2S</t>
  </si>
  <si>
    <t>X001E27OFN</t>
  </si>
  <si>
    <t>YZ-NA5060R2</t>
  </si>
  <si>
    <t>X001G4RN37</t>
  </si>
  <si>
    <t>YZ-NA5060R21L</t>
  </si>
  <si>
    <t>X001O7OANH</t>
  </si>
  <si>
    <t>YZ-NA5060R2L</t>
  </si>
  <si>
    <t>X001FCMBT1</t>
  </si>
  <si>
    <t>YZ-NA5060R2M</t>
  </si>
  <si>
    <t>X001O8SY5L</t>
  </si>
  <si>
    <t>YZ-NA5060R2S</t>
  </si>
  <si>
    <t>X001FWQ0SJ</t>
  </si>
  <si>
    <t>B01FTOGZDW</t>
  </si>
  <si>
    <t>YZ-NA5060Y0</t>
  </si>
  <si>
    <t>X001G4RO6X</t>
  </si>
  <si>
    <t>YZ-NA5060Y01L</t>
  </si>
  <si>
    <t>X001FCLOCB</t>
  </si>
  <si>
    <t>YZ-NA5060Y0L</t>
  </si>
  <si>
    <t>X001HG6A3D</t>
  </si>
  <si>
    <t>YZ-NA5060Y0M</t>
  </si>
  <si>
    <t>X001JSDIST</t>
  </si>
  <si>
    <t>YZ-NA5060Y0S</t>
  </si>
  <si>
    <t>X001FWQ0PR</t>
  </si>
  <si>
    <t>YZ-NA5119-YH-2XL</t>
  </si>
  <si>
    <t>X001GSVK5P</t>
  </si>
  <si>
    <t>YZ-NA5119-YH-3XL</t>
  </si>
  <si>
    <t>X001GSVK2N</t>
  </si>
  <si>
    <t>YZ-NA5119-YH-4XL</t>
  </si>
  <si>
    <t>X001GSXESV</t>
  </si>
  <si>
    <t>YZ-NA5119-YH-5XL</t>
  </si>
  <si>
    <t>X001GSWSTH</t>
  </si>
  <si>
    <t>YZ-NA5119-YH-XL</t>
  </si>
  <si>
    <t>X001HGPU9X</t>
  </si>
  <si>
    <t>YZ-NA5119-YT-2XL</t>
  </si>
  <si>
    <t>X001GDDQX9</t>
  </si>
  <si>
    <t>YZ-NA5119-YT-3XL</t>
  </si>
  <si>
    <t>X001GSVK2X</t>
  </si>
  <si>
    <t>YZ-NA5119-YT-4XL</t>
  </si>
  <si>
    <t>X001F20MND</t>
  </si>
  <si>
    <t>YZ-NA5119-YT-5XL</t>
  </si>
  <si>
    <t>X001GSVKLJ</t>
  </si>
  <si>
    <t>YZ-NA5119-YT-XL</t>
  </si>
  <si>
    <t>X001KNT3HD</t>
  </si>
  <si>
    <t>YZ-NA5119K0-2XL</t>
  </si>
  <si>
    <t>X001EAMXUB</t>
  </si>
  <si>
    <t>YZ-NA5119K0-3XL</t>
  </si>
  <si>
    <t>X001E7SUVF</t>
  </si>
  <si>
    <t>YZ-NA5119K0-4XL</t>
  </si>
  <si>
    <t>X001EANG0H</t>
  </si>
  <si>
    <t>YZ-NA5119K0-5XL</t>
  </si>
  <si>
    <t>X001EAE8TP</t>
  </si>
  <si>
    <t>YZ-NA5119K0-XL</t>
  </si>
  <si>
    <t>X001EA5IVH</t>
  </si>
  <si>
    <t>YZ-NA5119ZL2XL</t>
  </si>
  <si>
    <t>X001FX092V</t>
  </si>
  <si>
    <t>YZ-NA5119ZL3XL</t>
  </si>
  <si>
    <t>X001K1SPKV</t>
  </si>
  <si>
    <t>YZ-NA5119ZL4XL</t>
  </si>
  <si>
    <t>X001FWQ0OD</t>
  </si>
  <si>
    <t>YZ-NA5119ZL5XL</t>
  </si>
  <si>
    <t>X001K1XDAN</t>
  </si>
  <si>
    <t>YZ-NA5119ZLXL</t>
  </si>
  <si>
    <t>X001FWNAY1</t>
  </si>
  <si>
    <t>YZ-NA5505-K0-L</t>
  </si>
  <si>
    <t>X001Q149EL</t>
  </si>
  <si>
    <t>YZ-NA5505-K0-M</t>
  </si>
  <si>
    <t>X001Q156LL</t>
  </si>
  <si>
    <t>YZ-NA5505-K0-S</t>
  </si>
  <si>
    <t>X001PZZ3M5</t>
  </si>
  <si>
    <t>YZ-NA5505-K0-XL</t>
  </si>
  <si>
    <t>X001Q15O1D</t>
  </si>
  <si>
    <t>YZ-NA5505-K0-XS</t>
  </si>
  <si>
    <t>X001Q15FCL</t>
  </si>
  <si>
    <t>YZ-NA5505-K0-XXL</t>
  </si>
  <si>
    <t>X001Q18H1R</t>
  </si>
  <si>
    <t>YZ-NA5505Da</t>
  </si>
  <si>
    <t>X001DO181D</t>
  </si>
  <si>
    <t>YZ-NA5505Da2L</t>
  </si>
  <si>
    <t>X001DNNDAX</t>
  </si>
  <si>
    <t>YZ-NA5505DaL</t>
  </si>
  <si>
    <t>X001DO6J7L</t>
  </si>
  <si>
    <t>YZ-NA5505DaM</t>
  </si>
  <si>
    <t>X001E9ZVOR</t>
  </si>
  <si>
    <t>YZ-NA5505DaS</t>
  </si>
  <si>
    <t>X001DNNJUH</t>
  </si>
  <si>
    <t>YZ-NA5505DaXL</t>
  </si>
  <si>
    <t>X001DOWWB3</t>
  </si>
  <si>
    <t>YZ-NA5505JR</t>
  </si>
  <si>
    <t>X001LESLF1</t>
  </si>
  <si>
    <t>YZ-NA5505JR2L</t>
  </si>
  <si>
    <t>X001GDCZDV</t>
  </si>
  <si>
    <t>YZ-NA5505JRL</t>
  </si>
  <si>
    <t>X001GDD3IH</t>
  </si>
  <si>
    <t>YZ-NA5505JRM</t>
  </si>
  <si>
    <t>X001LEJJ2P</t>
  </si>
  <si>
    <t>YZ-NA5505JRS</t>
  </si>
  <si>
    <t>X001HGQ2Z9</t>
  </si>
  <si>
    <t>YZ-NA5505JRXL</t>
  </si>
  <si>
    <t>X001HGHI39</t>
  </si>
  <si>
    <t>YZ-NA5505Lb0XS</t>
  </si>
  <si>
    <t>X001LESRYV</t>
  </si>
  <si>
    <t>YZ-NA5505LbL</t>
  </si>
  <si>
    <t>X001LESEOT</t>
  </si>
  <si>
    <t>YZ-NA5505LbM</t>
  </si>
  <si>
    <t>X001LESQAB</t>
  </si>
  <si>
    <t>YZ-NA5505LbS</t>
  </si>
  <si>
    <t>X001LEJN0D</t>
  </si>
  <si>
    <t>YZ-NA5505LbXL</t>
  </si>
  <si>
    <t>X001G4RH29</t>
  </si>
  <si>
    <t>YZ-NA5505LbXXL</t>
  </si>
  <si>
    <t>X001LESAN9</t>
  </si>
  <si>
    <t>YZ-NA5505R0-2X</t>
  </si>
  <si>
    <t>X001LEIRPZ</t>
  </si>
  <si>
    <t>YZ-NA5505R0-L</t>
  </si>
  <si>
    <t>X001LERTQN</t>
  </si>
  <si>
    <t>YZ-NA5505R0-M</t>
  </si>
  <si>
    <t>X001G4R6AH</t>
  </si>
  <si>
    <t>YZ-NA5505R0-S</t>
  </si>
  <si>
    <t>X001G4RJKJ</t>
  </si>
  <si>
    <t>YZ-NA5505R0-XL</t>
  </si>
  <si>
    <t>X001LESH1J</t>
  </si>
  <si>
    <t>YZ-NA5505R0-XS</t>
  </si>
  <si>
    <t>X001G4R9J5</t>
  </si>
  <si>
    <t>YZ-NA9007Sa1L</t>
  </si>
  <si>
    <t>X001LCNUWH</t>
  </si>
  <si>
    <t>YZ-NA9007Sa2L</t>
  </si>
  <si>
    <t>X001LCNUWR</t>
  </si>
  <si>
    <t>YZ-NA9007Sa3L</t>
  </si>
  <si>
    <t>X001LCM80R</t>
  </si>
  <si>
    <t>YZ-NA9007Sa4L</t>
  </si>
  <si>
    <t>X001GD4X4P</t>
  </si>
  <si>
    <t>YZ-NA9007Sa5L</t>
  </si>
  <si>
    <t>X001DOTZCH</t>
  </si>
  <si>
    <t>YZ-NA9007Sa6L</t>
  </si>
  <si>
    <t>X001DNNJTX</t>
  </si>
  <si>
    <t>YZ-NA9007Sa7L</t>
  </si>
  <si>
    <t>X001DO1K6V</t>
  </si>
  <si>
    <t>YZ-NA9007Sa8L</t>
  </si>
  <si>
    <t>X001DNNJVV</t>
  </si>
  <si>
    <t>YZ-NA9007Sa9L</t>
  </si>
  <si>
    <t>X001DOTZD1</t>
  </si>
  <si>
    <t>YZ-NA9007Se1L</t>
  </si>
  <si>
    <t>X001LCE1FR</t>
  </si>
  <si>
    <t>YZ-NA9007Se2L</t>
  </si>
  <si>
    <t>X001LCDPWH</t>
  </si>
  <si>
    <t>YZ-NA9007Se3L</t>
  </si>
  <si>
    <t>X001HGHI3J</t>
  </si>
  <si>
    <t>YZ-NA9007Se4L</t>
  </si>
  <si>
    <t>X001DO1813</t>
  </si>
  <si>
    <t>YZ-NA9007Se5L</t>
  </si>
  <si>
    <t>X001GDCIOR</t>
  </si>
  <si>
    <t>YZ-NA9007Se6L</t>
  </si>
  <si>
    <t>X001DNNDCB</t>
  </si>
  <si>
    <t>YZ-NA9007Se7L</t>
  </si>
  <si>
    <t>X001KNNGT9</t>
  </si>
  <si>
    <t>YZ-NA9007Se8L</t>
  </si>
  <si>
    <t>X001DO1COB</t>
  </si>
  <si>
    <t>YZ-NA9007Se9L</t>
  </si>
  <si>
    <t>X001L2Q90H</t>
  </si>
  <si>
    <t>YZ-NA9008Sa1L</t>
  </si>
  <si>
    <t>X001LCM7MV</t>
  </si>
  <si>
    <t>YZ-NA9008Sa2L</t>
  </si>
  <si>
    <t>X001LCE1G1</t>
  </si>
  <si>
    <t>YZ-NA9008Sa3L</t>
  </si>
  <si>
    <t>X001LCEOGX</t>
  </si>
  <si>
    <t>YZ-NA9008Sa4L</t>
  </si>
  <si>
    <t>X001LCEOGN</t>
  </si>
  <si>
    <t>YZ-NA9008Sa5L</t>
  </si>
  <si>
    <t>X001LCM7D5</t>
  </si>
  <si>
    <t>YZ-NA9008Sa6L</t>
  </si>
  <si>
    <t>X001F1CL0L</t>
  </si>
  <si>
    <t>YZ-NA9008Sa7L</t>
  </si>
  <si>
    <t>X001G4RF0N</t>
  </si>
  <si>
    <t>YZ-NA9008Sa8L</t>
  </si>
  <si>
    <t>X001FBN7MH</t>
  </si>
  <si>
    <t>YZ-NA9008Sa9L</t>
  </si>
  <si>
    <t>X001GDD3J1</t>
  </si>
  <si>
    <t>YZ-NA9008Se1L</t>
  </si>
  <si>
    <t>X001LCDPW7</t>
  </si>
  <si>
    <t>YZ-NA9008Se2L</t>
  </si>
  <si>
    <t>X001HGLUXN</t>
  </si>
  <si>
    <t>YZ-NA9008Se3L</t>
  </si>
  <si>
    <t>X001GDDQWP</t>
  </si>
  <si>
    <t>YZ-NA9008Se4L</t>
  </si>
  <si>
    <t>X001FCMOMP</t>
  </si>
  <si>
    <t>YZ-NA9008Se5L</t>
  </si>
  <si>
    <t>X001IWSIRH</t>
  </si>
  <si>
    <t>YZ-NA9008Se6L</t>
  </si>
  <si>
    <t>X001LCP29V</t>
  </si>
  <si>
    <t>YZ-NA9008Se7L</t>
  </si>
  <si>
    <t>X001ESDDVV</t>
  </si>
  <si>
    <t>YZ-NA9008Se8L</t>
  </si>
  <si>
    <t>X001LCE1FH</t>
  </si>
  <si>
    <t>YZ-NALLHT2XL</t>
  </si>
  <si>
    <t>X001EA5IUX</t>
  </si>
  <si>
    <t>YZ-NALLHT4XL</t>
  </si>
  <si>
    <t>X001EA1901</t>
  </si>
  <si>
    <t>YZ-NALLHTL</t>
  </si>
  <si>
    <t>X001EAMPW7</t>
  </si>
  <si>
    <t>YZ-NALLHTM</t>
  </si>
  <si>
    <t>X001E2MRM3</t>
  </si>
  <si>
    <t>YZ-NALLHTXL</t>
  </si>
  <si>
    <t>X001EA190L</t>
  </si>
  <si>
    <t>YZ-NALLIT2XL</t>
  </si>
  <si>
    <t>X001OAIH51</t>
  </si>
  <si>
    <t>YZ-NALLITL</t>
  </si>
  <si>
    <t>X001OB5AYL</t>
  </si>
  <si>
    <t>YZ-NALLITM</t>
  </si>
  <si>
    <t>X001OAIC0L</t>
  </si>
  <si>
    <t>YZ-NALLITXL</t>
  </si>
  <si>
    <t>X001O8SH03</t>
  </si>
  <si>
    <t>YZ-NALLK02XL</t>
  </si>
  <si>
    <t>X001OGXSBN</t>
  </si>
  <si>
    <t>YZ-NALLK0L</t>
  </si>
  <si>
    <t>X001OGXSSL</t>
  </si>
  <si>
    <t>YZ-NALLK0M</t>
  </si>
  <si>
    <t>X001OHTXCF</t>
  </si>
  <si>
    <t>YZ-NALLK0XL</t>
  </si>
  <si>
    <t>X001OGX2VT</t>
  </si>
  <si>
    <t>YZ-PP1705-K0-2XL</t>
  </si>
  <si>
    <t>X001DK0ZN9</t>
  </si>
  <si>
    <t>B06XT192BS</t>
  </si>
  <si>
    <t>MiYang Vintage Starry Sky Convertible Black One Piece Swimsuit Size 2XL</t>
  </si>
  <si>
    <t>YZ-PP1705-K0-S</t>
  </si>
  <si>
    <t>X001DGMQT9</t>
  </si>
  <si>
    <t>MiYang Vintage Starry Sky Convertible Black One Piece Swimsuit Size S</t>
  </si>
  <si>
    <t>YZ-PP1705-K0-XL</t>
  </si>
  <si>
    <t>X001DK0ZNJ</t>
  </si>
  <si>
    <t>MiYang Vintage Starry Sky Convertible Black One Piece Swimsuit Size XL</t>
  </si>
  <si>
    <t>YZ-RF1123-K0-2X</t>
  </si>
  <si>
    <t>X001B9FGJP</t>
  </si>
  <si>
    <t>B01N5636ZN</t>
  </si>
  <si>
    <t>YZ-RF1123-K0-4X</t>
  </si>
  <si>
    <t>X001B9SO5N</t>
  </si>
  <si>
    <t>YZ-RF1123-K0-XL</t>
  </si>
  <si>
    <t>X001B9FGQ3</t>
  </si>
  <si>
    <t>YZ-RF1123-R0-5X</t>
  </si>
  <si>
    <t>X001B9FGOP</t>
  </si>
  <si>
    <t>YZ-RF1123-R0-XL</t>
  </si>
  <si>
    <t>X001B8JS5T</t>
  </si>
  <si>
    <t>B01N98BTEX</t>
  </si>
  <si>
    <t>YZ-RF1123-SB-3X</t>
  </si>
  <si>
    <t>X001DK1QAF</t>
  </si>
  <si>
    <t>YZ-RF1123-SB-4X</t>
  </si>
  <si>
    <t>X001D92AQ5</t>
  </si>
  <si>
    <t>YZ-RF1123-SB-M</t>
  </si>
  <si>
    <t>X001DAEUU3</t>
  </si>
  <si>
    <t>YZ-TW1634Pi1L</t>
  </si>
  <si>
    <t>X0013ZTMAB</t>
  </si>
  <si>
    <t>B01ER99S70</t>
  </si>
  <si>
    <t>YZ-TW1919Z2-L</t>
  </si>
  <si>
    <t>X0012W304J</t>
  </si>
  <si>
    <t>B01EJ5VT2Y</t>
  </si>
  <si>
    <t>YZ-XQ1443K02XL</t>
  </si>
  <si>
    <t>X000W1N1MR</t>
  </si>
  <si>
    <t>B0144J8ONW</t>
  </si>
  <si>
    <t>MiYang One Piece Ruched Slim Tummy Control Swim Dress Asian tag M/US Size XS</t>
  </si>
  <si>
    <t>YZ-XQ1443K03XL</t>
  </si>
  <si>
    <t>X000W1N1J5</t>
  </si>
  <si>
    <t>B0144J8RNO</t>
  </si>
  <si>
    <t>YZ-XQ1443K0L</t>
  </si>
  <si>
    <t>X000W1N1LX</t>
  </si>
  <si>
    <t>B0144J8G2Q</t>
  </si>
  <si>
    <t>MiYang One Piece Ruched Slim Tummy Control Swim Dress Asian tag XL/US Size M</t>
  </si>
  <si>
    <t>YZ-XQ1443K0M</t>
  </si>
  <si>
    <t>X000W1N1LD</t>
  </si>
  <si>
    <t>B0144J8CM0</t>
  </si>
  <si>
    <t>MiYang Halter Neck Maternity Tankini Tie-dye Striped Swimsuit 2-Piece Set</t>
  </si>
  <si>
    <t>YZ-XSW3071Feather5L</t>
  </si>
  <si>
    <t>X000Z8TGJ9</t>
  </si>
  <si>
    <t>B015XPXJOK</t>
  </si>
  <si>
    <t>YZ-YO1521-BF-2XL</t>
  </si>
  <si>
    <t>X001CK0V3J</t>
  </si>
  <si>
    <t>MiYang Women's One Piece Bathing Suit Tankini Swimdress Cover Up Swimsuit S</t>
  </si>
  <si>
    <t>YZ-YO1521-GF-2XL</t>
  </si>
  <si>
    <t>X001CLAT3Z</t>
  </si>
  <si>
    <t>MiYang Women's One Piece Bathing Suit Tankini Swimdress Cover up Swimsuit S</t>
  </si>
  <si>
    <t>YZ-YO1521-GF-3XL</t>
  </si>
  <si>
    <t>X001CGCG3V</t>
  </si>
  <si>
    <t>MiYang Women's One Piece Bathing Suit Tankini Swimdress Cover Up Swimsuit M</t>
  </si>
  <si>
    <t>YZ-YO1521-KF-2XL</t>
  </si>
  <si>
    <t>X001CM5EBB</t>
  </si>
  <si>
    <t>YZ-YO1521-RF-5XL</t>
  </si>
  <si>
    <t>X001CGCG1D</t>
  </si>
  <si>
    <t>MiYang Striped Racerback Tankini with Swim Briefs Two Piece Swimsuit for Women</t>
  </si>
  <si>
    <t>YZ-YO1521-RL-4XL</t>
  </si>
  <si>
    <t>X001CLEGUH</t>
  </si>
  <si>
    <t>MiYang Solid Twist Front Bandeau Thong Bikini for Women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</si>
  <si>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</si>
  <si>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</si>
  <si>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</si>
  <si>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</si>
  <si>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</si>
  <si>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</si>
  <si>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</si>
  <si>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</si>
  <si>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</si>
  <si>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YZ-ZQNA16121R03XL</t>
  </si>
  <si>
    <t>X001F9Q5NR</t>
  </si>
  <si>
    <t>B071YHCSCV</t>
  </si>
  <si>
    <t>YZ-ZQNA16121R0L</t>
  </si>
  <si>
    <t>X001GDD0W1</t>
  </si>
  <si>
    <t>B071XX713D</t>
  </si>
  <si>
    <t>YZ-ZQNA161244-Y0-L</t>
  </si>
  <si>
    <t>X001GDD3VT</t>
  </si>
  <si>
    <t>B071N9PKF4</t>
  </si>
  <si>
    <t>YZ2216K0</t>
  </si>
  <si>
    <t>X000T01UTH</t>
  </si>
  <si>
    <t>B00YAIBE76</t>
  </si>
  <si>
    <t>MiYang Women's 1 Piece Stripes Skirted Slim Swimsuit Bathing Swimwear, Black, XS</t>
  </si>
  <si>
    <t>YZ2216K01L</t>
  </si>
  <si>
    <t>X000X1Q2SL</t>
  </si>
  <si>
    <t>B018YR55XC</t>
  </si>
  <si>
    <t>MiYang Plus Size Floral Swimwear One Piece Swimdress for Women Skirted Swimsuit Black</t>
  </si>
  <si>
    <t>YZ2216K0L</t>
  </si>
  <si>
    <t>X000X1Q2SV</t>
  </si>
  <si>
    <t>B018YR54GA</t>
  </si>
  <si>
    <t>MiYang Women's One Piece Stripes Skirted Slim Swimsuit Bathing Swimwear, Black, L</t>
  </si>
  <si>
    <t>YZ2216K0S</t>
  </si>
  <si>
    <t>X000X1Q2SB</t>
  </si>
  <si>
    <t>B018YR51OA</t>
  </si>
  <si>
    <t>MiYang Women's 1 Piece Stripes Skirted Slim Swimsuit Bathing Swimwear, Black, S</t>
  </si>
  <si>
    <t>YZ2526L</t>
  </si>
  <si>
    <t>X000W5ZHTN</t>
  </si>
  <si>
    <t>B015L0ZVKC</t>
  </si>
  <si>
    <t>YZ5060B2-MX</t>
  </si>
  <si>
    <t>X001EERWAX</t>
  </si>
  <si>
    <t>YZ5060B2M</t>
  </si>
  <si>
    <t>X001068CIV</t>
  </si>
  <si>
    <t>MiYang Women's Halter Polka Dot Tankini Swim Dress(Deep Blue M)</t>
  </si>
  <si>
    <t>YZ5060R2-MX</t>
  </si>
  <si>
    <t>X001EESJ1T</t>
  </si>
  <si>
    <t>YZ5060R2S</t>
  </si>
  <si>
    <t>X0013WNBOH</t>
  </si>
  <si>
    <t>MiYang Women's Halter Polka Dot Tankini Swim Dress(Rose Red S)</t>
  </si>
  <si>
    <t>YZ5060Y0-MX</t>
  </si>
  <si>
    <t>X001EETCWT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</si>
  <si>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</si>
  <si>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</si>
  <si>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</si>
  <si>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</si>
  <si>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</si>
  <si>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</si>
  <si>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</si>
  <si>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</si>
  <si>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Women's Ruched Halter Push Up Slim Tummy Control Tankini Swim Dress, Deep Blue, Large(US size 12-14)</t>
  </si>
  <si>
    <t>YZ5118Da1L</t>
  </si>
  <si>
    <t>X000VGEZC3</t>
  </si>
  <si>
    <t>B01664ELYY</t>
  </si>
  <si>
    <t>MiYang Women's One-piece Ruched Halter Push Up Slim Tummy Control Swim Dress, Deep Blue, XL</t>
  </si>
  <si>
    <t>YZ5118DaS</t>
  </si>
  <si>
    <t>X000VGEZCX</t>
  </si>
  <si>
    <t>B015PZ7NH2</t>
  </si>
  <si>
    <t>MiYang Women's One-Piece Ruched Halter Push up Slim Swim Dress, Deep Blue Small(US Size:4-6)</t>
  </si>
  <si>
    <t>YZ5505DaXS-FBM</t>
  </si>
  <si>
    <t>X00100W5VH</t>
  </si>
  <si>
    <t>YZ5505JR0L</t>
  </si>
  <si>
    <t>X000WAIDTJ</t>
  </si>
  <si>
    <t>YZ5505Lb0XS-MX</t>
  </si>
  <si>
    <t>X001EEDTSR</t>
  </si>
  <si>
    <t>YZ5505LbS-MX</t>
  </si>
  <si>
    <t>X001EE946N</t>
  </si>
  <si>
    <t>YZ5505LbXL-MX</t>
  </si>
  <si>
    <t>X001EES58L</t>
  </si>
  <si>
    <t>YZ5505R0-2X-MX</t>
  </si>
  <si>
    <t>X001EET8JB</t>
  </si>
  <si>
    <t>YZ5505R0-L-MX</t>
  </si>
  <si>
    <t>X001EES581</t>
  </si>
  <si>
    <t>YZ5505R0-XL-MX</t>
  </si>
  <si>
    <t>X001EE948V</t>
  </si>
  <si>
    <t>YZCA30CH-K0-XL</t>
  </si>
  <si>
    <t>X001O8SJPL</t>
  </si>
  <si>
    <t>B06XXCWXDT</t>
  </si>
  <si>
    <t>YZNA11B04XL</t>
  </si>
  <si>
    <t>X001G4QYI7</t>
  </si>
  <si>
    <t>YZNA11K0L</t>
  </si>
  <si>
    <t>X001E183XL</t>
  </si>
  <si>
    <t>B01F78ASF6</t>
  </si>
  <si>
    <t>YZNA11K0M</t>
  </si>
  <si>
    <t>X001E27O4T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</si>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</sst>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8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8" fillId="24" borderId="8" applyNumberFormat="0" applyAlignment="0" applyProtection="0">
      <alignment vertical="center"/>
    </xf>
    <xf numFmtId="0" fontId="20" fillId="24" borderId="5" applyNumberFormat="0" applyAlignment="0" applyProtection="0">
      <alignment vertical="center"/>
    </xf>
    <xf numFmtId="0" fontId="9" fillId="15" borderId="6" applyNumberFormat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0</xdr:rowOff>
        </xdr:from>
        <xdr:to>
          <xdr:col>16</xdr:col>
          <xdr:colOff>9525</xdr:colOff>
          <xdr:row>5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5429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25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0</v>
      </c>
      <c r="G3" s="3">
        <v>2</v>
      </c>
      <c r="H3" s="3">
        <v>0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0</v>
      </c>
      <c r="H4" s="3">
        <v>1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1</v>
      </c>
      <c r="H5" s="3">
        <v>0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0</v>
      </c>
      <c r="G6" s="3">
        <v>0</v>
      </c>
      <c r="H6" s="3">
        <v>2</v>
      </c>
      <c r="I6" s="5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2</v>
      </c>
      <c r="F7" s="3">
        <v>1</v>
      </c>
      <c r="G7" s="3">
        <v>0</v>
      </c>
      <c r="H7" s="3">
        <v>1</v>
      </c>
      <c r="I7" s="5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</v>
      </c>
      <c r="F8" s="3">
        <v>1</v>
      </c>
      <c r="G8" s="3">
        <v>1</v>
      </c>
      <c r="H8" s="3">
        <v>0</v>
      </c>
      <c r="I8" s="5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2</v>
      </c>
      <c r="F9" s="3">
        <v>1</v>
      </c>
      <c r="G9" s="3">
        <v>1</v>
      </c>
      <c r="H9" s="3">
        <v>0</v>
      </c>
      <c r="I9" s="5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</v>
      </c>
      <c r="F10" s="3">
        <v>0</v>
      </c>
      <c r="G10" s="3">
        <v>0</v>
      </c>
      <c r="H10" s="3">
        <v>1</v>
      </c>
      <c r="I10" s="5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5</v>
      </c>
      <c r="F11" s="3">
        <v>5</v>
      </c>
      <c r="G11" s="3">
        <v>0</v>
      </c>
      <c r="H11" s="3">
        <v>0</v>
      </c>
      <c r="I11" s="5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1</v>
      </c>
      <c r="F12" s="3">
        <v>0</v>
      </c>
      <c r="G12" s="3">
        <v>0</v>
      </c>
      <c r="H12" s="3">
        <v>1</v>
      </c>
      <c r="I12" s="5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16</v>
      </c>
      <c r="F13" s="3">
        <v>1</v>
      </c>
      <c r="G13" s="3">
        <v>14</v>
      </c>
      <c r="H13" s="3">
        <v>1</v>
      </c>
      <c r="I13" s="5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0</v>
      </c>
      <c r="G14" s="3">
        <v>1</v>
      </c>
      <c r="H14" s="3">
        <v>1</v>
      </c>
      <c r="I14" s="5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2</v>
      </c>
      <c r="F15" s="3">
        <v>0</v>
      </c>
      <c r="G15" s="3">
        <v>2</v>
      </c>
      <c r="H15" s="3">
        <v>0</v>
      </c>
      <c r="I15" s="5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5</v>
      </c>
      <c r="F16" s="3">
        <v>0</v>
      </c>
      <c r="G16" s="3">
        <v>5</v>
      </c>
      <c r="H16" s="3">
        <v>0</v>
      </c>
      <c r="I16" s="5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0</v>
      </c>
      <c r="G17" s="3">
        <v>0</v>
      </c>
      <c r="H17" s="3">
        <v>1</v>
      </c>
      <c r="I17" s="5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1</v>
      </c>
      <c r="F18" s="3">
        <v>1</v>
      </c>
      <c r="G18" s="3">
        <v>0</v>
      </c>
      <c r="H18" s="3">
        <v>0</v>
      </c>
      <c r="I18" s="5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1</v>
      </c>
      <c r="F19" s="3">
        <v>0</v>
      </c>
      <c r="G19" s="3">
        <v>0</v>
      </c>
      <c r="H19" s="3">
        <v>1</v>
      </c>
      <c r="I19" s="5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3</v>
      </c>
      <c r="F20" s="3">
        <v>1</v>
      </c>
      <c r="G20" s="3">
        <v>0</v>
      </c>
      <c r="H20" s="3">
        <v>2</v>
      </c>
      <c r="I20" s="5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1</v>
      </c>
      <c r="F21" s="3">
        <v>0</v>
      </c>
      <c r="G21" s="3">
        <v>0</v>
      </c>
      <c r="H21" s="3">
        <v>1</v>
      </c>
      <c r="I21" s="5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2</v>
      </c>
      <c r="F22" s="3">
        <v>2</v>
      </c>
      <c r="G22" s="3">
        <v>0</v>
      </c>
      <c r="H22" s="3">
        <v>0</v>
      </c>
      <c r="I22" s="5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1</v>
      </c>
      <c r="F23" s="3">
        <v>1</v>
      </c>
      <c r="G23" s="3">
        <v>0</v>
      </c>
      <c r="H23" s="3">
        <v>0</v>
      </c>
      <c r="I23" s="5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1</v>
      </c>
      <c r="F24" s="3">
        <v>1</v>
      </c>
      <c r="G24" s="3">
        <v>0</v>
      </c>
      <c r="H24" s="3">
        <v>0</v>
      </c>
      <c r="I24" s="5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1</v>
      </c>
      <c r="F25" s="3">
        <v>1</v>
      </c>
      <c r="G25" s="3">
        <v>0</v>
      </c>
      <c r="H25" s="3">
        <v>0</v>
      </c>
      <c r="I25" s="5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2</v>
      </c>
      <c r="F26" s="3">
        <v>1</v>
      </c>
      <c r="G26" s="3">
        <v>1</v>
      </c>
      <c r="H26" s="3">
        <v>0</v>
      </c>
      <c r="I26" s="5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2</v>
      </c>
      <c r="F27" s="3">
        <v>1</v>
      </c>
      <c r="G27" s="3">
        <v>1</v>
      </c>
      <c r="H27" s="3">
        <v>0</v>
      </c>
      <c r="I27" s="5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2</v>
      </c>
      <c r="F28" s="3">
        <v>1</v>
      </c>
      <c r="G28" s="3">
        <v>1</v>
      </c>
      <c r="H28" s="3">
        <v>0</v>
      </c>
      <c r="I28" s="5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0</v>
      </c>
      <c r="G29" s="3">
        <v>0</v>
      </c>
      <c r="H29" s="3">
        <v>1</v>
      </c>
      <c r="I29" s="5"/>
    </row>
    <row r="30" spans="1:9">
      <c r="A30" s="3" t="s">
        <v>120</v>
      </c>
      <c r="B30" s="3" t="s">
        <v>121</v>
      </c>
      <c r="C30" s="3" t="s">
        <v>122</v>
      </c>
      <c r="D30" s="3" t="s">
        <v>123</v>
      </c>
      <c r="E30" s="3">
        <v>1</v>
      </c>
      <c r="F30" s="3">
        <v>0</v>
      </c>
      <c r="G30" s="3">
        <v>1</v>
      </c>
      <c r="H30" s="3">
        <v>0</v>
      </c>
      <c r="I30" s="5"/>
    </row>
    <row r="31" spans="1:9">
      <c r="A31" s="3" t="s">
        <v>124</v>
      </c>
      <c r="B31" s="3" t="s">
        <v>125</v>
      </c>
      <c r="C31" s="3" t="s">
        <v>126</v>
      </c>
      <c r="D31" s="3" t="s">
        <v>127</v>
      </c>
      <c r="E31" s="3">
        <v>1</v>
      </c>
      <c r="F31" s="3">
        <v>0</v>
      </c>
      <c r="G31" s="3">
        <v>0</v>
      </c>
      <c r="H31" s="3">
        <v>1</v>
      </c>
      <c r="I31" s="5"/>
    </row>
    <row r="32" spans="1:9">
      <c r="A32" s="3" t="s">
        <v>128</v>
      </c>
      <c r="B32" s="3" t="s">
        <v>129</v>
      </c>
      <c r="C32" s="3" t="s">
        <v>130</v>
      </c>
      <c r="D32" s="3" t="s">
        <v>131</v>
      </c>
      <c r="E32" s="3">
        <v>1</v>
      </c>
      <c r="F32" s="3">
        <v>1</v>
      </c>
      <c r="G32" s="3">
        <v>0</v>
      </c>
      <c r="H32" s="3">
        <v>0</v>
      </c>
      <c r="I32" s="5"/>
    </row>
    <row r="33" spans="1:9">
      <c r="A33" s="3" t="s">
        <v>132</v>
      </c>
      <c r="B33" s="3" t="s">
        <v>133</v>
      </c>
      <c r="C33" s="3" t="s">
        <v>134</v>
      </c>
      <c r="D33" s="3" t="s">
        <v>135</v>
      </c>
      <c r="E33" s="3">
        <v>3</v>
      </c>
      <c r="F33" s="3">
        <v>0</v>
      </c>
      <c r="G33" s="3">
        <v>0</v>
      </c>
      <c r="H33" s="3">
        <v>3</v>
      </c>
      <c r="I33" s="5"/>
    </row>
    <row r="34" spans="1:9">
      <c r="A34" s="3" t="s">
        <v>136</v>
      </c>
      <c r="B34" s="3" t="s">
        <v>137</v>
      </c>
      <c r="C34" s="3" t="s">
        <v>138</v>
      </c>
      <c r="D34" s="3" t="s">
        <v>139</v>
      </c>
      <c r="E34" s="3">
        <v>3</v>
      </c>
      <c r="F34" s="3">
        <v>0</v>
      </c>
      <c r="G34" s="3">
        <v>2</v>
      </c>
      <c r="H34" s="3">
        <v>1</v>
      </c>
      <c r="I34" s="5"/>
    </row>
    <row r="35" spans="1:9">
      <c r="A35" s="3" t="s">
        <v>140</v>
      </c>
      <c r="B35" s="3" t="s">
        <v>141</v>
      </c>
      <c r="C35" s="3" t="s">
        <v>142</v>
      </c>
      <c r="D35" s="3" t="s">
        <v>143</v>
      </c>
      <c r="E35" s="3">
        <v>2</v>
      </c>
      <c r="F35" s="3">
        <v>1</v>
      </c>
      <c r="G35" s="3">
        <v>0</v>
      </c>
      <c r="H35" s="3">
        <v>1</v>
      </c>
      <c r="I35" s="5"/>
    </row>
    <row r="36" spans="1:9">
      <c r="A36" s="3" t="s">
        <v>144</v>
      </c>
      <c r="B36" s="3" t="s">
        <v>145</v>
      </c>
      <c r="C36" s="3" t="s">
        <v>146</v>
      </c>
      <c r="D36" s="3" t="s">
        <v>147</v>
      </c>
      <c r="E36" s="3">
        <v>1</v>
      </c>
      <c r="F36" s="3">
        <v>0</v>
      </c>
      <c r="G36" s="3">
        <v>0</v>
      </c>
      <c r="H36" s="3">
        <v>1</v>
      </c>
      <c r="I36" s="5"/>
    </row>
    <row r="37" spans="1:9">
      <c r="A37" s="3" t="s">
        <v>148</v>
      </c>
      <c r="B37" s="3" t="s">
        <v>149</v>
      </c>
      <c r="C37" s="3" t="s">
        <v>150</v>
      </c>
      <c r="D37" s="3" t="s">
        <v>151</v>
      </c>
      <c r="E37" s="3">
        <v>2</v>
      </c>
      <c r="F37" s="3">
        <v>1</v>
      </c>
      <c r="G37" s="3">
        <v>1</v>
      </c>
      <c r="H37" s="3">
        <v>0</v>
      </c>
      <c r="I37" s="5"/>
    </row>
    <row r="38" spans="1:9">
      <c r="A38" s="3" t="s">
        <v>152</v>
      </c>
      <c r="B38" s="3" t="s">
        <v>153</v>
      </c>
      <c r="C38" s="3" t="s">
        <v>154</v>
      </c>
      <c r="D38" s="3" t="s">
        <v>155</v>
      </c>
      <c r="E38" s="3">
        <v>5</v>
      </c>
      <c r="F38" s="3">
        <v>1</v>
      </c>
      <c r="G38" s="3">
        <v>4</v>
      </c>
      <c r="H38" s="3">
        <v>0</v>
      </c>
      <c r="I38" s="5"/>
    </row>
    <row r="39" spans="1:9">
      <c r="A39" s="3" t="s">
        <v>156</v>
      </c>
      <c r="B39" s="3" t="s">
        <v>157</v>
      </c>
      <c r="C39" s="3" t="s">
        <v>158</v>
      </c>
      <c r="D39" s="3" t="s">
        <v>159</v>
      </c>
      <c r="E39" s="3">
        <v>8</v>
      </c>
      <c r="F39" s="3">
        <v>3</v>
      </c>
      <c r="G39" s="3">
        <v>2</v>
      </c>
      <c r="H39" s="3">
        <v>3</v>
      </c>
      <c r="I39" s="5"/>
    </row>
    <row r="40" spans="1:9">
      <c r="A40" s="3" t="s">
        <v>160</v>
      </c>
      <c r="B40" s="3" t="s">
        <v>161</v>
      </c>
      <c r="C40" s="3" t="s">
        <v>162</v>
      </c>
      <c r="D40" s="3" t="s">
        <v>163</v>
      </c>
      <c r="E40" s="3">
        <v>1</v>
      </c>
      <c r="F40" s="3">
        <v>1</v>
      </c>
      <c r="G40" s="3">
        <v>0</v>
      </c>
      <c r="H40" s="3">
        <v>0</v>
      </c>
      <c r="I40" s="5"/>
    </row>
    <row r="41" spans="1:9">
      <c r="A41" s="3" t="s">
        <v>164</v>
      </c>
      <c r="B41" s="3" t="s">
        <v>165</v>
      </c>
      <c r="C41" s="3" t="s">
        <v>166</v>
      </c>
      <c r="D41" s="3" t="s">
        <v>167</v>
      </c>
      <c r="E41" s="3">
        <v>1</v>
      </c>
      <c r="F41" s="3">
        <v>1</v>
      </c>
      <c r="G41" s="3">
        <v>0</v>
      </c>
      <c r="H41" s="3">
        <v>0</v>
      </c>
      <c r="I41" s="5"/>
    </row>
    <row r="42" spans="1:9">
      <c r="A42" s="3" t="s">
        <v>168</v>
      </c>
      <c r="B42" s="3" t="s">
        <v>169</v>
      </c>
      <c r="C42" s="3" t="s">
        <v>170</v>
      </c>
      <c r="D42" s="3" t="s">
        <v>171</v>
      </c>
      <c r="E42" s="3">
        <v>3</v>
      </c>
      <c r="F42" s="3">
        <v>1</v>
      </c>
      <c r="G42" s="3">
        <v>0</v>
      </c>
      <c r="H42" s="3">
        <v>2</v>
      </c>
      <c r="I42" s="5"/>
    </row>
    <row r="43" spans="1:9">
      <c r="A43" s="3" t="s">
        <v>172</v>
      </c>
      <c r="B43" s="3" t="s">
        <v>173</v>
      </c>
      <c r="C43" s="3" t="s">
        <v>174</v>
      </c>
      <c r="D43" s="3" t="s">
        <v>175</v>
      </c>
      <c r="E43" s="3">
        <v>7</v>
      </c>
      <c r="F43" s="3">
        <v>5</v>
      </c>
      <c r="G43" s="3">
        <v>2</v>
      </c>
      <c r="H43" s="3">
        <v>0</v>
      </c>
      <c r="I43" s="5"/>
    </row>
    <row r="44" spans="1:9">
      <c r="A44" s="3" t="s">
        <v>176</v>
      </c>
      <c r="B44" s="3" t="s">
        <v>177</v>
      </c>
      <c r="C44" s="3" t="s">
        <v>178</v>
      </c>
      <c r="D44" s="3" t="s">
        <v>179</v>
      </c>
      <c r="E44" s="3">
        <v>53</v>
      </c>
      <c r="F44" s="3">
        <v>2</v>
      </c>
      <c r="G44" s="3">
        <v>47</v>
      </c>
      <c r="H44" s="3">
        <v>4</v>
      </c>
      <c r="I44" s="5"/>
    </row>
    <row r="45" spans="1:9">
      <c r="A45" s="3" t="s">
        <v>180</v>
      </c>
      <c r="B45" s="3" t="s">
        <v>181</v>
      </c>
      <c r="C45" s="3" t="s">
        <v>182</v>
      </c>
      <c r="D45" s="3" t="s">
        <v>183</v>
      </c>
      <c r="E45" s="3">
        <v>5</v>
      </c>
      <c r="F45" s="3">
        <v>0</v>
      </c>
      <c r="G45" s="3">
        <v>1</v>
      </c>
      <c r="H45" s="3">
        <v>4</v>
      </c>
      <c r="I45" s="5"/>
    </row>
    <row r="46" spans="1:9">
      <c r="A46" s="3" t="s">
        <v>184</v>
      </c>
      <c r="B46" s="3" t="s">
        <v>185</v>
      </c>
      <c r="C46" s="3" t="s">
        <v>186</v>
      </c>
      <c r="D46" s="3" t="s">
        <v>187</v>
      </c>
      <c r="E46" s="3">
        <v>2</v>
      </c>
      <c r="F46" s="3">
        <v>0</v>
      </c>
      <c r="G46" s="3">
        <v>1</v>
      </c>
      <c r="H46" s="3">
        <v>1</v>
      </c>
      <c r="I46" s="5"/>
    </row>
    <row r="47" spans="1:9">
      <c r="A47" s="3" t="s">
        <v>188</v>
      </c>
      <c r="B47" s="3" t="s">
        <v>189</v>
      </c>
      <c r="C47" s="3" t="s">
        <v>190</v>
      </c>
      <c r="D47" s="3" t="s">
        <v>191</v>
      </c>
      <c r="E47" s="3">
        <v>31</v>
      </c>
      <c r="F47" s="3">
        <v>5</v>
      </c>
      <c r="G47" s="3">
        <v>21</v>
      </c>
      <c r="H47" s="3">
        <v>5</v>
      </c>
      <c r="I47" s="5"/>
    </row>
    <row r="48" spans="1:9">
      <c r="A48" s="3" t="s">
        <v>192</v>
      </c>
      <c r="B48" s="3" t="s">
        <v>193</v>
      </c>
      <c r="C48" s="3" t="s">
        <v>194</v>
      </c>
      <c r="D48" s="3" t="s">
        <v>195</v>
      </c>
      <c r="E48" s="3">
        <v>2</v>
      </c>
      <c r="F48" s="3">
        <v>2</v>
      </c>
      <c r="G48" s="3">
        <v>0</v>
      </c>
      <c r="H48" s="3">
        <v>0</v>
      </c>
      <c r="I48" s="5"/>
    </row>
    <row r="49" spans="1:9">
      <c r="A49" s="3" t="s">
        <v>196</v>
      </c>
      <c r="B49" s="3" t="s">
        <v>197</v>
      </c>
      <c r="C49" s="3" t="s">
        <v>198</v>
      </c>
      <c r="D49" s="3" t="s">
        <v>199</v>
      </c>
      <c r="E49" s="3">
        <v>10</v>
      </c>
      <c r="F49" s="3">
        <v>3</v>
      </c>
      <c r="G49" s="3">
        <v>2</v>
      </c>
      <c r="H49" s="3">
        <v>5</v>
      </c>
      <c r="I49" s="5"/>
    </row>
    <row r="50" spans="1:9">
      <c r="A50" s="3" t="s">
        <v>200</v>
      </c>
      <c r="B50" s="3" t="s">
        <v>201</v>
      </c>
      <c r="C50" s="3" t="s">
        <v>202</v>
      </c>
      <c r="D50" s="3" t="s">
        <v>203</v>
      </c>
      <c r="E50" s="3">
        <v>3</v>
      </c>
      <c r="F50" s="3">
        <v>1</v>
      </c>
      <c r="G50" s="3">
        <v>1</v>
      </c>
      <c r="H50" s="3">
        <v>1</v>
      </c>
      <c r="I50" s="5"/>
    </row>
    <row r="51" spans="1:9">
      <c r="A51" s="3" t="s">
        <v>204</v>
      </c>
      <c r="B51" s="3" t="s">
        <v>205</v>
      </c>
      <c r="C51" s="3" t="s">
        <v>206</v>
      </c>
      <c r="D51" s="3" t="s">
        <v>207</v>
      </c>
      <c r="E51" s="3">
        <v>1</v>
      </c>
      <c r="F51" s="3">
        <v>0</v>
      </c>
      <c r="G51" s="3">
        <v>0</v>
      </c>
      <c r="H51" s="3">
        <v>1</v>
      </c>
      <c r="I51" s="5"/>
    </row>
    <row r="52" spans="1:9">
      <c r="A52" s="3" t="s">
        <v>208</v>
      </c>
      <c r="B52" s="3" t="s">
        <v>209</v>
      </c>
      <c r="C52" s="3" t="s">
        <v>210</v>
      </c>
      <c r="D52" s="3" t="s">
        <v>211</v>
      </c>
      <c r="E52" s="3">
        <v>5</v>
      </c>
      <c r="F52" s="3">
        <v>0</v>
      </c>
      <c r="G52" s="3">
        <v>5</v>
      </c>
      <c r="H52" s="3">
        <v>0</v>
      </c>
      <c r="I52" s="5"/>
    </row>
    <row r="53" spans="1:9">
      <c r="A53" s="3" t="s">
        <v>212</v>
      </c>
      <c r="B53" s="3" t="s">
        <v>213</v>
      </c>
      <c r="C53" s="3" t="s">
        <v>214</v>
      </c>
      <c r="D53" s="3" t="s">
        <v>215</v>
      </c>
      <c r="E53" s="3">
        <v>1</v>
      </c>
      <c r="F53" s="3">
        <v>0</v>
      </c>
      <c r="G53" s="3">
        <v>0</v>
      </c>
      <c r="H53" s="3">
        <v>1</v>
      </c>
      <c r="I53" s="5"/>
    </row>
    <row r="54" spans="1:9">
      <c r="A54" s="3" t="s">
        <v>216</v>
      </c>
      <c r="B54" s="3" t="s">
        <v>217</v>
      </c>
      <c r="C54" s="3" t="s">
        <v>218</v>
      </c>
      <c r="D54" s="3" t="s">
        <v>219</v>
      </c>
      <c r="E54" s="3">
        <v>2</v>
      </c>
      <c r="F54" s="3">
        <v>1</v>
      </c>
      <c r="G54" s="3">
        <v>1</v>
      </c>
      <c r="H54" s="3">
        <v>0</v>
      </c>
      <c r="I54" s="5"/>
    </row>
    <row r="55" spans="1:9">
      <c r="A55" s="3" t="s">
        <v>220</v>
      </c>
      <c r="B55" s="3" t="s">
        <v>221</v>
      </c>
      <c r="C55" s="3" t="s">
        <v>222</v>
      </c>
      <c r="D55" s="3" t="s">
        <v>223</v>
      </c>
      <c r="E55" s="3">
        <v>1</v>
      </c>
      <c r="F55" s="3">
        <v>0</v>
      </c>
      <c r="G55" s="3">
        <v>1</v>
      </c>
      <c r="H55" s="3">
        <v>0</v>
      </c>
      <c r="I55" s="5"/>
    </row>
    <row r="56" spans="1:9">
      <c r="A56" s="3" t="s">
        <v>224</v>
      </c>
      <c r="B56" s="3" t="s">
        <v>225</v>
      </c>
      <c r="C56" s="3" t="s">
        <v>226</v>
      </c>
      <c r="D56" s="3" t="s">
        <v>227</v>
      </c>
      <c r="E56" s="3">
        <v>1</v>
      </c>
      <c r="F56" s="3">
        <v>1</v>
      </c>
      <c r="G56" s="3">
        <v>0</v>
      </c>
      <c r="H56" s="3">
        <v>0</v>
      </c>
      <c r="I56" s="5"/>
    </row>
    <row r="57" spans="1:9">
      <c r="A57" s="3" t="s">
        <v>228</v>
      </c>
      <c r="B57" s="3" t="s">
        <v>229</v>
      </c>
      <c r="C57" s="3" t="s">
        <v>230</v>
      </c>
      <c r="D57" s="3" t="s">
        <v>231</v>
      </c>
      <c r="E57" s="3">
        <v>1</v>
      </c>
      <c r="F57" s="3">
        <v>1</v>
      </c>
      <c r="G57" s="3">
        <v>0</v>
      </c>
      <c r="H57" s="3">
        <v>0</v>
      </c>
      <c r="I57" s="5"/>
    </row>
    <row r="58" spans="1:9">
      <c r="A58" s="3" t="s">
        <v>232</v>
      </c>
      <c r="B58" s="3" t="s">
        <v>233</v>
      </c>
      <c r="C58" s="3" t="s">
        <v>234</v>
      </c>
      <c r="D58" s="3" t="s">
        <v>235</v>
      </c>
      <c r="E58" s="3">
        <v>10</v>
      </c>
      <c r="F58" s="3">
        <v>7</v>
      </c>
      <c r="G58" s="3">
        <v>2</v>
      </c>
      <c r="H58" s="3">
        <v>1</v>
      </c>
      <c r="I58" s="5"/>
    </row>
    <row r="59" spans="1:9">
      <c r="A59" s="3" t="s">
        <v>236</v>
      </c>
      <c r="B59" s="3" t="s">
        <v>237</v>
      </c>
      <c r="C59" s="3" t="s">
        <v>238</v>
      </c>
      <c r="D59" s="3" t="s">
        <v>239</v>
      </c>
      <c r="E59" s="3">
        <v>1</v>
      </c>
      <c r="F59" s="3">
        <v>0</v>
      </c>
      <c r="G59" s="3">
        <v>0</v>
      </c>
      <c r="H59" s="3">
        <v>1</v>
      </c>
      <c r="I59" s="5"/>
    </row>
    <row r="60" spans="1:9">
      <c r="A60" s="3" t="s">
        <v>240</v>
      </c>
      <c r="B60" s="3" t="s">
        <v>241</v>
      </c>
      <c r="C60" s="3" t="s">
        <v>242</v>
      </c>
      <c r="D60" s="3" t="s">
        <v>243</v>
      </c>
      <c r="E60" s="3">
        <v>2</v>
      </c>
      <c r="F60" s="3">
        <v>0</v>
      </c>
      <c r="G60" s="3">
        <v>0</v>
      </c>
      <c r="H60" s="3">
        <v>2</v>
      </c>
      <c r="I60" s="5"/>
    </row>
    <row r="61" spans="1:9">
      <c r="A61" s="3" t="s">
        <v>244</v>
      </c>
      <c r="B61" s="3" t="s">
        <v>245</v>
      </c>
      <c r="C61" s="3" t="s">
        <v>246</v>
      </c>
      <c r="D61" s="3" t="s">
        <v>247</v>
      </c>
      <c r="E61" s="3">
        <v>2</v>
      </c>
      <c r="F61" s="3">
        <v>0</v>
      </c>
      <c r="G61" s="3">
        <v>2</v>
      </c>
      <c r="H61" s="3">
        <v>0</v>
      </c>
      <c r="I61" s="5"/>
    </row>
    <row r="62" spans="1:9">
      <c r="A62" s="3" t="s">
        <v>248</v>
      </c>
      <c r="B62" s="3" t="s">
        <v>249</v>
      </c>
      <c r="C62" s="3" t="s">
        <v>250</v>
      </c>
      <c r="D62" s="3" t="s">
        <v>251</v>
      </c>
      <c r="E62" s="3">
        <v>2</v>
      </c>
      <c r="F62" s="3">
        <v>1</v>
      </c>
      <c r="G62" s="3">
        <v>1</v>
      </c>
      <c r="H62" s="3">
        <v>0</v>
      </c>
      <c r="I62" s="5"/>
    </row>
    <row r="63" spans="1:9">
      <c r="A63" s="3" t="s">
        <v>252</v>
      </c>
      <c r="B63" s="3" t="s">
        <v>253</v>
      </c>
      <c r="C63" s="3" t="s">
        <v>254</v>
      </c>
      <c r="D63" s="3" t="s">
        <v>255</v>
      </c>
      <c r="E63" s="3">
        <v>1</v>
      </c>
      <c r="F63" s="3">
        <v>0</v>
      </c>
      <c r="G63" s="3">
        <v>0</v>
      </c>
      <c r="H63" s="3">
        <v>1</v>
      </c>
      <c r="I63" s="5"/>
    </row>
    <row r="64" spans="1:9">
      <c r="A64" s="3" t="s">
        <v>256</v>
      </c>
      <c r="B64" s="3" t="s">
        <v>257</v>
      </c>
      <c r="C64" s="3" t="s">
        <v>258</v>
      </c>
      <c r="D64" s="3" t="s">
        <v>259</v>
      </c>
      <c r="E64" s="3">
        <v>2</v>
      </c>
      <c r="F64" s="3">
        <v>1</v>
      </c>
      <c r="G64" s="3">
        <v>0</v>
      </c>
      <c r="H64" s="3">
        <v>1</v>
      </c>
      <c r="I64" s="5"/>
    </row>
    <row r="65" spans="1:9">
      <c r="A65" s="3" t="s">
        <v>260</v>
      </c>
      <c r="B65" s="3" t="s">
        <v>261</v>
      </c>
      <c r="C65" s="3" t="s">
        <v>262</v>
      </c>
      <c r="D65" s="3" t="s">
        <v>263</v>
      </c>
      <c r="E65" s="3">
        <v>1</v>
      </c>
      <c r="F65" s="3">
        <v>0</v>
      </c>
      <c r="G65" s="3">
        <v>0</v>
      </c>
      <c r="H65" s="3">
        <v>1</v>
      </c>
      <c r="I65" s="5"/>
    </row>
    <row r="66" spans="1:9">
      <c r="A66" s="3" t="s">
        <v>264</v>
      </c>
      <c r="B66" s="3" t="s">
        <v>265</v>
      </c>
      <c r="C66" s="3" t="s">
        <v>266</v>
      </c>
      <c r="D66" s="3" t="s">
        <v>267</v>
      </c>
      <c r="E66" s="3">
        <v>2</v>
      </c>
      <c r="F66" s="3">
        <v>0</v>
      </c>
      <c r="G66" s="3">
        <v>0</v>
      </c>
      <c r="H66" s="3">
        <v>2</v>
      </c>
      <c r="I66" s="5"/>
    </row>
    <row r="67" spans="1:9">
      <c r="A67" s="3" t="s">
        <v>268</v>
      </c>
      <c r="B67" s="3" t="s">
        <v>269</v>
      </c>
      <c r="C67" s="3" t="s">
        <v>270</v>
      </c>
      <c r="D67" s="3" t="s">
        <v>271</v>
      </c>
      <c r="E67" s="3">
        <v>1</v>
      </c>
      <c r="F67" s="3">
        <v>1</v>
      </c>
      <c r="G67" s="3">
        <v>0</v>
      </c>
      <c r="H67" s="3">
        <v>0</v>
      </c>
      <c r="I67" s="5"/>
    </row>
    <row r="68" spans="1:9">
      <c r="A68" s="3" t="s">
        <v>272</v>
      </c>
      <c r="B68" s="3" t="s">
        <v>273</v>
      </c>
      <c r="C68" s="3" t="s">
        <v>274</v>
      </c>
      <c r="D68" s="3" t="s">
        <v>275</v>
      </c>
      <c r="E68" s="3">
        <v>1</v>
      </c>
      <c r="F68" s="3">
        <v>0</v>
      </c>
      <c r="G68" s="3">
        <v>0</v>
      </c>
      <c r="H68" s="3">
        <v>1</v>
      </c>
      <c r="I68" s="5"/>
    </row>
    <row r="69" spans="1:9">
      <c r="A69" s="3" t="s">
        <v>276</v>
      </c>
      <c r="B69" s="3" t="s">
        <v>277</v>
      </c>
      <c r="C69" s="3" t="s">
        <v>278</v>
      </c>
      <c r="D69" s="3" t="s">
        <v>279</v>
      </c>
      <c r="E69" s="3">
        <v>2</v>
      </c>
      <c r="F69" s="3">
        <v>0</v>
      </c>
      <c r="G69" s="3">
        <v>0</v>
      </c>
      <c r="H69" s="3">
        <v>2</v>
      </c>
      <c r="I69" s="5"/>
    </row>
    <row r="70" spans="1:9">
      <c r="A70" s="3" t="s">
        <v>280</v>
      </c>
      <c r="B70" s="3" t="s">
        <v>281</v>
      </c>
      <c r="C70" s="3" t="s">
        <v>282</v>
      </c>
      <c r="D70" s="3" t="s">
        <v>283</v>
      </c>
      <c r="E70" s="3">
        <v>1</v>
      </c>
      <c r="F70" s="3">
        <v>0</v>
      </c>
      <c r="G70" s="3">
        <v>0</v>
      </c>
      <c r="H70" s="3">
        <v>1</v>
      </c>
      <c r="I70" s="5"/>
    </row>
    <row r="71" spans="1:9">
      <c r="A71" s="3" t="s">
        <v>284</v>
      </c>
      <c r="B71" s="3" t="s">
        <v>285</v>
      </c>
      <c r="C71" s="3" t="s">
        <v>286</v>
      </c>
      <c r="D71" s="3" t="s">
        <v>287</v>
      </c>
      <c r="E71" s="3">
        <v>2</v>
      </c>
      <c r="F71" s="3">
        <v>1</v>
      </c>
      <c r="G71" s="3">
        <v>1</v>
      </c>
      <c r="H71" s="3">
        <v>0</v>
      </c>
      <c r="I71" s="5"/>
    </row>
    <row r="72" spans="1:9">
      <c r="A72" s="3" t="s">
        <v>288</v>
      </c>
      <c r="B72" s="3" t="s">
        <v>289</v>
      </c>
      <c r="C72" s="3" t="s">
        <v>290</v>
      </c>
      <c r="D72" s="3" t="s">
        <v>291</v>
      </c>
      <c r="E72" s="3">
        <v>1</v>
      </c>
      <c r="F72" s="3">
        <v>0</v>
      </c>
      <c r="G72" s="3">
        <v>0</v>
      </c>
      <c r="H72" s="3">
        <v>1</v>
      </c>
      <c r="I72" s="5"/>
    </row>
    <row r="73" spans="1:9">
      <c r="A73" s="3" t="s">
        <v>292</v>
      </c>
      <c r="B73" s="3" t="s">
        <v>293</v>
      </c>
      <c r="C73" s="3" t="s">
        <v>294</v>
      </c>
      <c r="D73" s="3" t="s">
        <v>295</v>
      </c>
      <c r="E73" s="3">
        <v>2</v>
      </c>
      <c r="F73" s="3">
        <v>1</v>
      </c>
      <c r="G73" s="3">
        <v>0</v>
      </c>
      <c r="H73" s="3">
        <v>1</v>
      </c>
      <c r="I73" s="5"/>
    </row>
    <row r="74" spans="1:9">
      <c r="A74" s="3" t="s">
        <v>296</v>
      </c>
      <c r="B74" s="3" t="s">
        <v>297</v>
      </c>
      <c r="C74" s="3" t="s">
        <v>298</v>
      </c>
      <c r="D74" s="3" t="s">
        <v>299</v>
      </c>
      <c r="E74" s="3">
        <v>1</v>
      </c>
      <c r="F74" s="3">
        <v>0</v>
      </c>
      <c r="G74" s="3">
        <v>0</v>
      </c>
      <c r="H74" s="3">
        <v>1</v>
      </c>
      <c r="I74" s="5"/>
    </row>
    <row r="75" spans="1:9">
      <c r="A75" s="3" t="s">
        <v>300</v>
      </c>
      <c r="B75" s="3" t="s">
        <v>301</v>
      </c>
      <c r="C75" s="3" t="s">
        <v>302</v>
      </c>
      <c r="D75" s="3" t="s">
        <v>303</v>
      </c>
      <c r="E75" s="3">
        <v>5</v>
      </c>
      <c r="F75" s="3">
        <v>1</v>
      </c>
      <c r="G75" s="3">
        <v>1</v>
      </c>
      <c r="H75" s="3">
        <v>3</v>
      </c>
      <c r="I75" s="5"/>
    </row>
    <row r="76" spans="1:9">
      <c r="A76" s="3" t="s">
        <v>304</v>
      </c>
      <c r="B76" s="3" t="s">
        <v>305</v>
      </c>
      <c r="C76" s="3" t="s">
        <v>306</v>
      </c>
      <c r="D76" s="3" t="s">
        <v>307</v>
      </c>
      <c r="E76" s="3">
        <v>1</v>
      </c>
      <c r="F76" s="3">
        <v>0</v>
      </c>
      <c r="G76" s="3">
        <v>0</v>
      </c>
      <c r="H76" s="3">
        <v>1</v>
      </c>
      <c r="I76" s="5"/>
    </row>
    <row r="77" spans="1:9">
      <c r="A77" s="3" t="s">
        <v>308</v>
      </c>
      <c r="B77" s="3" t="s">
        <v>309</v>
      </c>
      <c r="C77" s="3" t="s">
        <v>310</v>
      </c>
      <c r="D77" s="3" t="s">
        <v>311</v>
      </c>
      <c r="E77" s="3">
        <v>1</v>
      </c>
      <c r="F77" s="3">
        <v>1</v>
      </c>
      <c r="G77" s="3">
        <v>0</v>
      </c>
      <c r="H77" s="3">
        <v>0</v>
      </c>
      <c r="I77" s="5"/>
    </row>
    <row r="78" spans="1:9">
      <c r="A78" s="3" t="s">
        <v>312</v>
      </c>
      <c r="B78" s="3" t="s">
        <v>313</v>
      </c>
      <c r="C78" s="3" t="s">
        <v>314</v>
      </c>
      <c r="D78" s="3" t="s">
        <v>311</v>
      </c>
      <c r="E78" s="3">
        <v>1</v>
      </c>
      <c r="F78" s="3">
        <v>1</v>
      </c>
      <c r="G78" s="3">
        <v>0</v>
      </c>
      <c r="H78" s="3">
        <v>0</v>
      </c>
      <c r="I78" s="5"/>
    </row>
    <row r="79" spans="1:9">
      <c r="A79" s="3" t="s">
        <v>315</v>
      </c>
      <c r="B79" s="3" t="s">
        <v>316</v>
      </c>
      <c r="C79" s="3" t="s">
        <v>317</v>
      </c>
      <c r="D79" s="3" t="s">
        <v>318</v>
      </c>
      <c r="E79" s="3">
        <v>1</v>
      </c>
      <c r="F79" s="3">
        <v>0</v>
      </c>
      <c r="G79" s="3">
        <v>1</v>
      </c>
      <c r="H79" s="3">
        <v>0</v>
      </c>
      <c r="I79" s="5"/>
    </row>
    <row r="80" spans="1:9">
      <c r="A80" s="3" t="s">
        <v>319</v>
      </c>
      <c r="B80" s="3" t="s">
        <v>320</v>
      </c>
      <c r="C80" s="3" t="s">
        <v>321</v>
      </c>
      <c r="D80" s="3" t="s">
        <v>318</v>
      </c>
      <c r="E80" s="3">
        <v>1</v>
      </c>
      <c r="F80" s="3">
        <v>0</v>
      </c>
      <c r="G80" s="3">
        <v>1</v>
      </c>
      <c r="H80" s="3">
        <v>0</v>
      </c>
      <c r="I80" s="5"/>
    </row>
    <row r="81" spans="1:9">
      <c r="A81" s="3" t="s">
        <v>322</v>
      </c>
      <c r="B81" s="3" t="s">
        <v>323</v>
      </c>
      <c r="C81" s="3" t="s">
        <v>324</v>
      </c>
      <c r="D81" s="3" t="s">
        <v>325</v>
      </c>
      <c r="E81" s="3">
        <v>1</v>
      </c>
      <c r="F81" s="3">
        <v>1</v>
      </c>
      <c r="G81" s="3">
        <v>0</v>
      </c>
      <c r="H81" s="3">
        <v>0</v>
      </c>
      <c r="I81" s="5"/>
    </row>
    <row r="82" spans="1:9">
      <c r="A82" s="3" t="s">
        <v>326</v>
      </c>
      <c r="B82" s="3" t="s">
        <v>327</v>
      </c>
      <c r="C82" s="3" t="s">
        <v>328</v>
      </c>
      <c r="D82" s="3" t="s">
        <v>329</v>
      </c>
      <c r="E82" s="3">
        <v>2</v>
      </c>
      <c r="F82" s="3">
        <v>1</v>
      </c>
      <c r="G82" s="3">
        <v>0</v>
      </c>
      <c r="H82" s="3">
        <v>1</v>
      </c>
      <c r="I82" s="5"/>
    </row>
    <row r="83" spans="1:9">
      <c r="A83" s="3" t="s">
        <v>330</v>
      </c>
      <c r="B83" s="3" t="s">
        <v>331</v>
      </c>
      <c r="C83" s="3" t="s">
        <v>332</v>
      </c>
      <c r="D83" s="3" t="s">
        <v>333</v>
      </c>
      <c r="E83" s="3">
        <v>1</v>
      </c>
      <c r="F83" s="3">
        <v>1</v>
      </c>
      <c r="G83" s="3">
        <v>0</v>
      </c>
      <c r="H83" s="3">
        <v>0</v>
      </c>
      <c r="I83" s="5"/>
    </row>
    <row r="84" spans="1:9">
      <c r="A84" s="3" t="s">
        <v>334</v>
      </c>
      <c r="B84" s="3" t="s">
        <v>335</v>
      </c>
      <c r="C84" s="3" t="s">
        <v>336</v>
      </c>
      <c r="D84" s="3" t="s">
        <v>337</v>
      </c>
      <c r="E84" s="3">
        <v>1</v>
      </c>
      <c r="F84" s="3">
        <v>1</v>
      </c>
      <c r="G84" s="3">
        <v>0</v>
      </c>
      <c r="H84" s="3">
        <v>0</v>
      </c>
      <c r="I84" s="5"/>
    </row>
    <row r="85" spans="1:9">
      <c r="A85" s="3" t="s">
        <v>338</v>
      </c>
      <c r="B85" s="3" t="s">
        <v>339</v>
      </c>
      <c r="C85" s="3" t="s">
        <v>340</v>
      </c>
      <c r="D85" s="3" t="s">
        <v>341</v>
      </c>
      <c r="E85" s="3">
        <v>1</v>
      </c>
      <c r="F85" s="3">
        <v>1</v>
      </c>
      <c r="G85" s="3">
        <v>0</v>
      </c>
      <c r="H85" s="3">
        <v>0</v>
      </c>
      <c r="I85" s="5"/>
    </row>
    <row r="86" spans="1:9">
      <c r="A86" s="3" t="s">
        <v>342</v>
      </c>
      <c r="B86" s="3" t="s">
        <v>343</v>
      </c>
      <c r="C86" s="3" t="s">
        <v>344</v>
      </c>
      <c r="D86" s="3" t="s">
        <v>345</v>
      </c>
      <c r="E86" s="3">
        <v>1</v>
      </c>
      <c r="F86" s="3">
        <v>0</v>
      </c>
      <c r="G86" s="3">
        <v>0</v>
      </c>
      <c r="H86" s="3">
        <v>1</v>
      </c>
      <c r="I86" s="5"/>
    </row>
    <row r="87" spans="1:9">
      <c r="A87" s="3" t="s">
        <v>346</v>
      </c>
      <c r="B87" s="3" t="s">
        <v>347</v>
      </c>
      <c r="C87" s="3" t="s">
        <v>348</v>
      </c>
      <c r="D87" s="3" t="s">
        <v>349</v>
      </c>
      <c r="E87" s="3">
        <v>2</v>
      </c>
      <c r="F87" s="3">
        <v>1</v>
      </c>
      <c r="G87" s="3">
        <v>1</v>
      </c>
      <c r="H87" s="3">
        <v>0</v>
      </c>
      <c r="I87" s="5"/>
    </row>
    <row r="88" spans="1:9">
      <c r="A88" s="3" t="s">
        <v>350</v>
      </c>
      <c r="B88" s="3" t="s">
        <v>351</v>
      </c>
      <c r="C88" s="3" t="s">
        <v>352</v>
      </c>
      <c r="D88" s="3" t="s">
        <v>353</v>
      </c>
      <c r="E88" s="3">
        <v>3</v>
      </c>
      <c r="F88" s="3">
        <v>0</v>
      </c>
      <c r="G88" s="3">
        <v>1</v>
      </c>
      <c r="H88" s="3">
        <v>2</v>
      </c>
      <c r="I88" s="5"/>
    </row>
    <row r="89" spans="1:9">
      <c r="A89" s="3" t="s">
        <v>354</v>
      </c>
      <c r="B89" s="3" t="s">
        <v>355</v>
      </c>
      <c r="C89" s="3" t="s">
        <v>356</v>
      </c>
      <c r="D89" s="3" t="s">
        <v>357</v>
      </c>
      <c r="E89" s="3">
        <v>3</v>
      </c>
      <c r="F89" s="3">
        <v>3</v>
      </c>
      <c r="G89" s="3">
        <v>0</v>
      </c>
      <c r="H89" s="3">
        <v>0</v>
      </c>
      <c r="I89" s="5"/>
    </row>
    <row r="90" spans="1:9">
      <c r="A90" s="3" t="s">
        <v>358</v>
      </c>
      <c r="B90" s="3" t="s">
        <v>359</v>
      </c>
      <c r="C90" s="3" t="s">
        <v>360</v>
      </c>
      <c r="D90" s="3" t="s">
        <v>349</v>
      </c>
      <c r="E90" s="3">
        <v>1</v>
      </c>
      <c r="F90" s="3">
        <v>1</v>
      </c>
      <c r="G90" s="3">
        <v>0</v>
      </c>
      <c r="H90" s="3">
        <v>0</v>
      </c>
      <c r="I90" s="5"/>
    </row>
    <row r="91" spans="1:9">
      <c r="A91" s="3" t="s">
        <v>361</v>
      </c>
      <c r="B91" s="3" t="s">
        <v>362</v>
      </c>
      <c r="C91" s="3" t="s">
        <v>363</v>
      </c>
      <c r="D91" s="3" t="s">
        <v>364</v>
      </c>
      <c r="E91" s="3">
        <v>4</v>
      </c>
      <c r="F91" s="3">
        <v>1</v>
      </c>
      <c r="G91" s="3">
        <v>0</v>
      </c>
      <c r="H91" s="3">
        <v>3</v>
      </c>
      <c r="I91" s="5"/>
    </row>
    <row r="92" spans="1:9">
      <c r="A92" s="3" t="s">
        <v>365</v>
      </c>
      <c r="B92" s="3" t="s">
        <v>366</v>
      </c>
      <c r="C92" s="3" t="s">
        <v>367</v>
      </c>
      <c r="D92" s="3" t="s">
        <v>353</v>
      </c>
      <c r="E92" s="3">
        <v>1</v>
      </c>
      <c r="F92" s="3">
        <v>0</v>
      </c>
      <c r="G92" s="3">
        <v>1</v>
      </c>
      <c r="H92" s="3">
        <v>0</v>
      </c>
      <c r="I92" s="5"/>
    </row>
    <row r="93" spans="1:9">
      <c r="A93" s="3" t="s">
        <v>368</v>
      </c>
      <c r="B93" s="3" t="s">
        <v>369</v>
      </c>
      <c r="C93" s="3" t="s">
        <v>370</v>
      </c>
      <c r="D93" s="3" t="s">
        <v>353</v>
      </c>
      <c r="E93" s="3">
        <v>2</v>
      </c>
      <c r="F93" s="3">
        <v>1</v>
      </c>
      <c r="G93" s="3">
        <v>0</v>
      </c>
      <c r="H93" s="3">
        <v>1</v>
      </c>
      <c r="I93" s="5"/>
    </row>
    <row r="94" spans="1:9">
      <c r="A94" s="3" t="s">
        <v>371</v>
      </c>
      <c r="B94" s="3" t="s">
        <v>372</v>
      </c>
      <c r="C94" s="3" t="s">
        <v>373</v>
      </c>
      <c r="D94" s="3" t="s">
        <v>374</v>
      </c>
      <c r="E94" s="3">
        <v>2</v>
      </c>
      <c r="F94" s="3">
        <v>1</v>
      </c>
      <c r="G94" s="3">
        <v>0</v>
      </c>
      <c r="H94" s="3">
        <v>1</v>
      </c>
      <c r="I94" s="5"/>
    </row>
    <row r="95" spans="1:9">
      <c r="A95" s="3" t="s">
        <v>375</v>
      </c>
      <c r="B95" s="3" t="s">
        <v>376</v>
      </c>
      <c r="C95" s="3" t="s">
        <v>377</v>
      </c>
      <c r="D95" s="3" t="s">
        <v>378</v>
      </c>
      <c r="E95" s="3">
        <v>14</v>
      </c>
      <c r="F95" s="3">
        <v>3</v>
      </c>
      <c r="G95" s="3">
        <v>5</v>
      </c>
      <c r="H95" s="3">
        <v>6</v>
      </c>
      <c r="I95" s="5"/>
    </row>
    <row r="96" spans="1:9">
      <c r="A96" s="3" t="s">
        <v>379</v>
      </c>
      <c r="B96" s="3" t="s">
        <v>380</v>
      </c>
      <c r="C96" s="3" t="s">
        <v>381</v>
      </c>
      <c r="D96" s="3" t="s">
        <v>382</v>
      </c>
      <c r="E96" s="3">
        <v>5</v>
      </c>
      <c r="F96" s="3">
        <v>1</v>
      </c>
      <c r="G96" s="3">
        <v>3</v>
      </c>
      <c r="H96" s="3">
        <v>1</v>
      </c>
      <c r="I96" s="5"/>
    </row>
    <row r="97" spans="1:9">
      <c r="A97" s="3" t="s">
        <v>383</v>
      </c>
      <c r="B97" s="3" t="s">
        <v>384</v>
      </c>
      <c r="C97" s="3" t="s">
        <v>385</v>
      </c>
      <c r="D97" s="3" t="s">
        <v>386</v>
      </c>
      <c r="E97" s="3">
        <v>12</v>
      </c>
      <c r="F97" s="3">
        <v>4</v>
      </c>
      <c r="G97" s="3">
        <v>0</v>
      </c>
      <c r="H97" s="3">
        <v>8</v>
      </c>
      <c r="I97" s="5"/>
    </row>
    <row r="98" spans="1:9">
      <c r="A98" s="3" t="s">
        <v>387</v>
      </c>
      <c r="B98" s="3" t="s">
        <v>388</v>
      </c>
      <c r="C98" s="3" t="s">
        <v>389</v>
      </c>
      <c r="D98" s="3" t="s">
        <v>390</v>
      </c>
      <c r="E98" s="3">
        <v>2</v>
      </c>
      <c r="F98" s="3">
        <v>0</v>
      </c>
      <c r="G98" s="3">
        <v>0</v>
      </c>
      <c r="H98" s="3">
        <v>2</v>
      </c>
      <c r="I98" s="5"/>
    </row>
    <row r="99" spans="1:9">
      <c r="A99" s="3" t="s">
        <v>391</v>
      </c>
      <c r="B99" s="3" t="s">
        <v>392</v>
      </c>
      <c r="C99" s="3" t="s">
        <v>393</v>
      </c>
      <c r="D99" s="3" t="s">
        <v>394</v>
      </c>
      <c r="E99" s="3">
        <v>1</v>
      </c>
      <c r="F99" s="3">
        <v>0</v>
      </c>
      <c r="G99" s="3">
        <v>0</v>
      </c>
      <c r="H99" s="3">
        <v>1</v>
      </c>
      <c r="I99" s="5"/>
    </row>
    <row r="100" spans="1:9">
      <c r="A100" s="3" t="s">
        <v>395</v>
      </c>
      <c r="B100" s="3" t="s">
        <v>396</v>
      </c>
      <c r="C100" s="3" t="s">
        <v>397</v>
      </c>
      <c r="D100" s="3" t="s">
        <v>398</v>
      </c>
      <c r="E100" s="3">
        <v>2</v>
      </c>
      <c r="F100" s="3">
        <v>1</v>
      </c>
      <c r="G100" s="3">
        <v>1</v>
      </c>
      <c r="H100" s="3">
        <v>0</v>
      </c>
      <c r="I100" s="5"/>
    </row>
    <row r="101" spans="1:9">
      <c r="A101" s="3" t="s">
        <v>399</v>
      </c>
      <c r="B101" s="3" t="s">
        <v>400</v>
      </c>
      <c r="C101" s="3" t="s">
        <v>401</v>
      </c>
      <c r="D101" s="3" t="s">
        <v>402</v>
      </c>
      <c r="E101" s="3">
        <v>4</v>
      </c>
      <c r="F101" s="3">
        <v>2</v>
      </c>
      <c r="G101" s="3">
        <v>1</v>
      </c>
      <c r="H101" s="3">
        <v>1</v>
      </c>
      <c r="I101" s="5"/>
    </row>
    <row r="102" spans="1:9">
      <c r="A102" s="3" t="s">
        <v>403</v>
      </c>
      <c r="B102" s="3" t="s">
        <v>404</v>
      </c>
      <c r="C102" s="3" t="s">
        <v>405</v>
      </c>
      <c r="D102" s="3" t="s">
        <v>406</v>
      </c>
      <c r="E102" s="3">
        <v>11</v>
      </c>
      <c r="F102" s="3">
        <v>3</v>
      </c>
      <c r="G102" s="3">
        <v>3</v>
      </c>
      <c r="H102" s="3">
        <v>5</v>
      </c>
      <c r="I102" s="5"/>
    </row>
    <row r="103" spans="1:9">
      <c r="A103" s="3" t="s">
        <v>407</v>
      </c>
      <c r="B103" s="3" t="s">
        <v>408</v>
      </c>
      <c r="C103" s="3" t="s">
        <v>409</v>
      </c>
      <c r="D103" s="3" t="s">
        <v>410</v>
      </c>
      <c r="E103" s="3">
        <v>3</v>
      </c>
      <c r="F103" s="3">
        <v>0</v>
      </c>
      <c r="G103" s="3">
        <v>3</v>
      </c>
      <c r="H103" s="3">
        <v>0</v>
      </c>
      <c r="I103" s="5"/>
    </row>
    <row r="104" spans="1:9">
      <c r="A104" s="3" t="s">
        <v>411</v>
      </c>
      <c r="B104" s="3" t="s">
        <v>412</v>
      </c>
      <c r="C104" s="3" t="s">
        <v>413</v>
      </c>
      <c r="D104" s="3" t="s">
        <v>414</v>
      </c>
      <c r="E104" s="3">
        <v>1</v>
      </c>
      <c r="F104" s="3">
        <v>0</v>
      </c>
      <c r="G104" s="3">
        <v>0</v>
      </c>
      <c r="H104" s="3">
        <v>1</v>
      </c>
      <c r="I104" s="5"/>
    </row>
    <row r="105" spans="1:9">
      <c r="A105" s="3" t="s">
        <v>415</v>
      </c>
      <c r="B105" s="3" t="s">
        <v>416</v>
      </c>
      <c r="C105" s="3" t="s">
        <v>417</v>
      </c>
      <c r="D105" s="3" t="s">
        <v>418</v>
      </c>
      <c r="E105" s="3">
        <v>8</v>
      </c>
      <c r="F105" s="3">
        <v>3</v>
      </c>
      <c r="G105" s="3">
        <v>2</v>
      </c>
      <c r="H105" s="3">
        <v>3</v>
      </c>
      <c r="I105" s="5"/>
    </row>
    <row r="106" spans="1:9">
      <c r="A106" s="3" t="s">
        <v>419</v>
      </c>
      <c r="B106" s="3" t="s">
        <v>420</v>
      </c>
      <c r="C106" s="3" t="s">
        <v>421</v>
      </c>
      <c r="D106" s="3" t="s">
        <v>422</v>
      </c>
      <c r="E106" s="3">
        <v>2</v>
      </c>
      <c r="F106" s="3">
        <v>1</v>
      </c>
      <c r="G106" s="3">
        <v>0</v>
      </c>
      <c r="H106" s="3">
        <v>1</v>
      </c>
      <c r="I106" s="5"/>
    </row>
    <row r="107" spans="1:9">
      <c r="A107" s="3" t="s">
        <v>423</v>
      </c>
      <c r="B107" s="3" t="s">
        <v>424</v>
      </c>
      <c r="C107" s="3" t="s">
        <v>425</v>
      </c>
      <c r="D107" s="3" t="s">
        <v>426</v>
      </c>
      <c r="E107" s="3">
        <v>1</v>
      </c>
      <c r="F107" s="3">
        <v>0</v>
      </c>
      <c r="G107" s="3">
        <v>0</v>
      </c>
      <c r="H107" s="3">
        <v>1</v>
      </c>
      <c r="I107" s="5"/>
    </row>
    <row r="108" spans="1:9">
      <c r="A108" s="3" t="s">
        <v>427</v>
      </c>
      <c r="B108" s="3" t="s">
        <v>428</v>
      </c>
      <c r="C108" s="3" t="s">
        <v>429</v>
      </c>
      <c r="D108" s="3" t="s">
        <v>430</v>
      </c>
      <c r="E108" s="3">
        <v>6</v>
      </c>
      <c r="F108" s="3">
        <v>2</v>
      </c>
      <c r="G108" s="3">
        <v>0</v>
      </c>
      <c r="H108" s="3">
        <v>4</v>
      </c>
      <c r="I108" s="5"/>
    </row>
    <row r="109" spans="1:9">
      <c r="A109" s="3" t="s">
        <v>431</v>
      </c>
      <c r="B109" s="3" t="s">
        <v>432</v>
      </c>
      <c r="C109" s="3" t="s">
        <v>433</v>
      </c>
      <c r="D109" s="3" t="s">
        <v>434</v>
      </c>
      <c r="E109" s="3">
        <v>3</v>
      </c>
      <c r="F109" s="3">
        <v>1</v>
      </c>
      <c r="G109" s="3">
        <v>0</v>
      </c>
      <c r="H109" s="3">
        <v>2</v>
      </c>
      <c r="I109" s="5"/>
    </row>
    <row r="110" spans="1:9">
      <c r="A110" s="3" t="s">
        <v>435</v>
      </c>
      <c r="B110" s="3" t="s">
        <v>436</v>
      </c>
      <c r="C110" s="3" t="s">
        <v>437</v>
      </c>
      <c r="D110" s="3" t="s">
        <v>438</v>
      </c>
      <c r="E110" s="3">
        <v>4</v>
      </c>
      <c r="F110" s="3">
        <v>2</v>
      </c>
      <c r="G110" s="3">
        <v>0</v>
      </c>
      <c r="H110" s="3">
        <v>2</v>
      </c>
      <c r="I110" s="5"/>
    </row>
    <row r="111" spans="1:9">
      <c r="A111" s="3" t="s">
        <v>439</v>
      </c>
      <c r="B111" s="3" t="s">
        <v>440</v>
      </c>
      <c r="C111" s="3" t="s">
        <v>441</v>
      </c>
      <c r="D111" s="3" t="s">
        <v>442</v>
      </c>
      <c r="E111" s="3">
        <v>2</v>
      </c>
      <c r="F111" s="3">
        <v>0</v>
      </c>
      <c r="G111" s="3">
        <v>0</v>
      </c>
      <c r="H111" s="3">
        <v>2</v>
      </c>
      <c r="I111" s="5"/>
    </row>
    <row r="112" spans="1:9">
      <c r="A112" s="3" t="s">
        <v>443</v>
      </c>
      <c r="B112" s="3" t="s">
        <v>444</v>
      </c>
      <c r="C112" s="3" t="s">
        <v>445</v>
      </c>
      <c r="D112" s="3" t="s">
        <v>446</v>
      </c>
      <c r="E112" s="3">
        <v>1</v>
      </c>
      <c r="F112" s="3">
        <v>1</v>
      </c>
      <c r="G112" s="3">
        <v>0</v>
      </c>
      <c r="H112" s="3">
        <v>0</v>
      </c>
      <c r="I112" s="5"/>
    </row>
    <row r="113" spans="1:9">
      <c r="A113" s="3" t="s">
        <v>447</v>
      </c>
      <c r="B113" s="3" t="s">
        <v>448</v>
      </c>
      <c r="C113" s="3" t="s">
        <v>449</v>
      </c>
      <c r="D113" s="3" t="s">
        <v>450</v>
      </c>
      <c r="E113" s="3">
        <v>16</v>
      </c>
      <c r="F113" s="3">
        <v>5</v>
      </c>
      <c r="G113" s="3">
        <v>4</v>
      </c>
      <c r="H113" s="3">
        <v>7</v>
      </c>
      <c r="I113" s="5"/>
    </row>
    <row r="114" spans="1:9">
      <c r="A114" s="3" t="s">
        <v>451</v>
      </c>
      <c r="B114" s="3" t="s">
        <v>452</v>
      </c>
      <c r="C114" s="3" t="s">
        <v>453</v>
      </c>
      <c r="D114" s="3" t="s">
        <v>454</v>
      </c>
      <c r="E114" s="3">
        <v>7</v>
      </c>
      <c r="F114" s="3">
        <v>3</v>
      </c>
      <c r="G114" s="3">
        <v>2</v>
      </c>
      <c r="H114" s="3">
        <v>2</v>
      </c>
      <c r="I114" s="5"/>
    </row>
    <row r="115" spans="1:9">
      <c r="A115" s="3" t="s">
        <v>455</v>
      </c>
      <c r="B115" s="3" t="s">
        <v>456</v>
      </c>
      <c r="C115" s="3" t="s">
        <v>457</v>
      </c>
      <c r="D115" s="3" t="s">
        <v>458</v>
      </c>
      <c r="E115" s="3">
        <v>7</v>
      </c>
      <c r="F115" s="3">
        <v>2</v>
      </c>
      <c r="G115" s="3">
        <v>2</v>
      </c>
      <c r="H115" s="3">
        <v>3</v>
      </c>
      <c r="I115" s="5"/>
    </row>
    <row r="116" spans="1:9">
      <c r="A116" s="3" t="s">
        <v>459</v>
      </c>
      <c r="B116" s="3" t="s">
        <v>460</v>
      </c>
      <c r="C116" s="3" t="s">
        <v>461</v>
      </c>
      <c r="D116" s="3" t="s">
        <v>462</v>
      </c>
      <c r="E116" s="3">
        <v>1</v>
      </c>
      <c r="F116" s="3">
        <v>1</v>
      </c>
      <c r="G116" s="3">
        <v>0</v>
      </c>
      <c r="H116" s="3">
        <v>0</v>
      </c>
      <c r="I116" s="5"/>
    </row>
    <row r="117" spans="1:9">
      <c r="A117" s="3" t="s">
        <v>463</v>
      </c>
      <c r="B117" s="3" t="s">
        <v>464</v>
      </c>
      <c r="C117" s="3" t="s">
        <v>465</v>
      </c>
      <c r="D117" s="3" t="s">
        <v>466</v>
      </c>
      <c r="E117" s="3">
        <v>3</v>
      </c>
      <c r="F117" s="3">
        <v>1</v>
      </c>
      <c r="G117" s="3">
        <v>0</v>
      </c>
      <c r="H117" s="3">
        <v>2</v>
      </c>
      <c r="I117" s="5"/>
    </row>
    <row r="118" spans="1:9">
      <c r="A118" s="3" t="s">
        <v>467</v>
      </c>
      <c r="B118" s="3" t="s">
        <v>468</v>
      </c>
      <c r="C118" s="3" t="s">
        <v>469</v>
      </c>
      <c r="D118" s="3" t="s">
        <v>470</v>
      </c>
      <c r="E118" s="3">
        <v>1</v>
      </c>
      <c r="F118" s="3">
        <v>0</v>
      </c>
      <c r="G118" s="3">
        <v>0</v>
      </c>
      <c r="H118" s="3">
        <v>1</v>
      </c>
      <c r="I118" s="5"/>
    </row>
    <row r="119" spans="1:9">
      <c r="A119" s="3" t="s">
        <v>471</v>
      </c>
      <c r="B119" s="3" t="s">
        <v>472</v>
      </c>
      <c r="C119" s="3" t="s">
        <v>473</v>
      </c>
      <c r="D119" s="3" t="s">
        <v>474</v>
      </c>
      <c r="E119" s="3">
        <v>5</v>
      </c>
      <c r="F119" s="3">
        <v>1</v>
      </c>
      <c r="G119" s="3">
        <v>1</v>
      </c>
      <c r="H119" s="3">
        <v>3</v>
      </c>
      <c r="I119" s="5"/>
    </row>
    <row r="120" spans="1:9">
      <c r="A120" s="3" t="s">
        <v>475</v>
      </c>
      <c r="B120" s="3" t="s">
        <v>476</v>
      </c>
      <c r="C120" s="3" t="s">
        <v>477</v>
      </c>
      <c r="D120" s="3" t="s">
        <v>478</v>
      </c>
      <c r="E120" s="3">
        <v>22</v>
      </c>
      <c r="F120" s="3">
        <v>5</v>
      </c>
      <c r="G120" s="3">
        <v>8</v>
      </c>
      <c r="H120" s="3">
        <v>9</v>
      </c>
      <c r="I120" s="5"/>
    </row>
    <row r="121" spans="1:9">
      <c r="A121" s="3" t="s">
        <v>479</v>
      </c>
      <c r="B121" s="3" t="s">
        <v>480</v>
      </c>
      <c r="C121" s="3" t="s">
        <v>481</v>
      </c>
      <c r="D121" s="3" t="s">
        <v>482</v>
      </c>
      <c r="E121" s="3">
        <v>6</v>
      </c>
      <c r="F121" s="3">
        <v>3</v>
      </c>
      <c r="G121" s="3">
        <v>2</v>
      </c>
      <c r="H121" s="3">
        <v>1</v>
      </c>
      <c r="I121" s="5"/>
    </row>
    <row r="122" spans="1:9">
      <c r="A122" s="3" t="s">
        <v>483</v>
      </c>
      <c r="B122" s="3" t="s">
        <v>484</v>
      </c>
      <c r="C122" s="3" t="s">
        <v>485</v>
      </c>
      <c r="D122" s="3" t="s">
        <v>486</v>
      </c>
      <c r="E122" s="3">
        <v>24</v>
      </c>
      <c r="F122" s="3">
        <v>10</v>
      </c>
      <c r="G122" s="3">
        <v>6</v>
      </c>
      <c r="H122" s="3">
        <v>8</v>
      </c>
      <c r="I122" s="5"/>
    </row>
    <row r="123" spans="1:9">
      <c r="A123" s="3" t="s">
        <v>487</v>
      </c>
      <c r="B123" s="3" t="s">
        <v>488</v>
      </c>
      <c r="C123" s="3" t="s">
        <v>489</v>
      </c>
      <c r="D123" s="3" t="s">
        <v>490</v>
      </c>
      <c r="E123" s="3">
        <v>2</v>
      </c>
      <c r="F123" s="3">
        <v>0</v>
      </c>
      <c r="G123" s="3">
        <v>0</v>
      </c>
      <c r="H123" s="3">
        <v>2</v>
      </c>
      <c r="I123" s="5"/>
    </row>
    <row r="124" spans="1:9">
      <c r="A124" s="3" t="s">
        <v>491</v>
      </c>
      <c r="B124" s="3" t="s">
        <v>492</v>
      </c>
      <c r="C124" s="3" t="s">
        <v>493</v>
      </c>
      <c r="D124" s="3" t="s">
        <v>494</v>
      </c>
      <c r="E124" s="3">
        <v>1</v>
      </c>
      <c r="F124" s="3">
        <v>0</v>
      </c>
      <c r="G124" s="3">
        <v>0</v>
      </c>
      <c r="H124" s="3">
        <v>1</v>
      </c>
      <c r="I124" s="5"/>
    </row>
    <row r="125" spans="1:9">
      <c r="A125" s="3" t="s">
        <v>495</v>
      </c>
      <c r="B125" s="3" t="s">
        <v>496</v>
      </c>
      <c r="C125" s="3" t="s">
        <v>497</v>
      </c>
      <c r="D125" s="3" t="s">
        <v>498</v>
      </c>
      <c r="E125" s="3">
        <v>81</v>
      </c>
      <c r="F125" s="3">
        <v>6</v>
      </c>
      <c r="G125" s="3">
        <v>64</v>
      </c>
      <c r="H125" s="3">
        <v>11</v>
      </c>
      <c r="I125" s="5"/>
    </row>
    <row r="126" spans="1:9">
      <c r="A126" s="3" t="s">
        <v>499</v>
      </c>
      <c r="B126" s="3" t="s">
        <v>500</v>
      </c>
      <c r="C126" s="3" t="s">
        <v>501</v>
      </c>
      <c r="D126" s="3" t="s">
        <v>502</v>
      </c>
      <c r="E126" s="3">
        <v>7</v>
      </c>
      <c r="F126" s="3">
        <v>4</v>
      </c>
      <c r="G126" s="3">
        <v>3</v>
      </c>
      <c r="H126" s="3">
        <v>0</v>
      </c>
      <c r="I126" s="5"/>
    </row>
    <row r="127" spans="1:9">
      <c r="A127" s="3" t="s">
        <v>503</v>
      </c>
      <c r="B127" s="3" t="s">
        <v>504</v>
      </c>
      <c r="C127" s="3" t="s">
        <v>505</v>
      </c>
      <c r="D127" s="3" t="s">
        <v>506</v>
      </c>
      <c r="E127" s="3">
        <v>3</v>
      </c>
      <c r="F127" s="3">
        <v>1</v>
      </c>
      <c r="G127" s="3">
        <v>0</v>
      </c>
      <c r="H127" s="3">
        <v>2</v>
      </c>
      <c r="I127" s="5"/>
    </row>
    <row r="128" spans="1:9">
      <c r="A128" s="3" t="s">
        <v>507</v>
      </c>
      <c r="B128" s="3" t="s">
        <v>508</v>
      </c>
      <c r="C128" s="3" t="s">
        <v>509</v>
      </c>
      <c r="D128" s="3" t="s">
        <v>510</v>
      </c>
      <c r="E128" s="3">
        <v>8</v>
      </c>
      <c r="F128" s="3">
        <v>4</v>
      </c>
      <c r="G128" s="3">
        <v>2</v>
      </c>
      <c r="H128" s="3">
        <v>2</v>
      </c>
      <c r="I128" s="5"/>
    </row>
    <row r="129" spans="1:9">
      <c r="A129" s="3" t="s">
        <v>511</v>
      </c>
      <c r="B129" s="3" t="s">
        <v>512</v>
      </c>
      <c r="C129" s="3" t="s">
        <v>513</v>
      </c>
      <c r="D129" s="3" t="s">
        <v>514</v>
      </c>
      <c r="E129" s="3">
        <v>1</v>
      </c>
      <c r="F129" s="3">
        <v>0</v>
      </c>
      <c r="G129" s="3">
        <v>0</v>
      </c>
      <c r="H129" s="3">
        <v>1</v>
      </c>
      <c r="I129" s="5"/>
    </row>
    <row r="130" spans="1:9">
      <c r="A130" s="3" t="s">
        <v>515</v>
      </c>
      <c r="B130" s="3" t="s">
        <v>516</v>
      </c>
      <c r="C130" s="3" t="s">
        <v>517</v>
      </c>
      <c r="D130" s="3" t="s">
        <v>518</v>
      </c>
      <c r="E130" s="3">
        <v>3</v>
      </c>
      <c r="F130" s="3">
        <v>1</v>
      </c>
      <c r="G130" s="3">
        <v>0</v>
      </c>
      <c r="H130" s="3">
        <v>2</v>
      </c>
      <c r="I130" s="5"/>
    </row>
    <row r="131" spans="1:9">
      <c r="A131" s="3" t="s">
        <v>519</v>
      </c>
      <c r="B131" s="3" t="s">
        <v>520</v>
      </c>
      <c r="C131" s="3" t="s">
        <v>521</v>
      </c>
      <c r="D131" s="3" t="s">
        <v>522</v>
      </c>
      <c r="E131" s="3">
        <v>7</v>
      </c>
      <c r="F131" s="3">
        <v>2</v>
      </c>
      <c r="G131" s="3">
        <v>1</v>
      </c>
      <c r="H131" s="3">
        <v>4</v>
      </c>
      <c r="I131" s="5"/>
    </row>
    <row r="132" spans="1:9">
      <c r="A132" s="3" t="s">
        <v>523</v>
      </c>
      <c r="B132" s="3" t="s">
        <v>524</v>
      </c>
      <c r="C132" s="3" t="s">
        <v>525</v>
      </c>
      <c r="D132" s="3" t="s">
        <v>526</v>
      </c>
      <c r="E132" s="3">
        <v>11</v>
      </c>
      <c r="F132" s="3">
        <v>3</v>
      </c>
      <c r="G132" s="3">
        <v>3</v>
      </c>
      <c r="H132" s="3">
        <v>5</v>
      </c>
      <c r="I132" s="5"/>
    </row>
    <row r="133" spans="1:9">
      <c r="A133" s="3" t="s">
        <v>527</v>
      </c>
      <c r="B133" s="3" t="s">
        <v>528</v>
      </c>
      <c r="C133" s="3" t="s">
        <v>529</v>
      </c>
      <c r="D133" s="3" t="s">
        <v>530</v>
      </c>
      <c r="E133" s="3">
        <v>2</v>
      </c>
      <c r="F133" s="3">
        <v>0</v>
      </c>
      <c r="G133" s="3">
        <v>0</v>
      </c>
      <c r="H133" s="3">
        <v>2</v>
      </c>
      <c r="I133" s="5"/>
    </row>
    <row r="134" spans="1:9">
      <c r="A134" s="3" t="s">
        <v>531</v>
      </c>
      <c r="B134" s="3" t="s">
        <v>532</v>
      </c>
      <c r="C134" s="3" t="s">
        <v>533</v>
      </c>
      <c r="D134" s="3" t="s">
        <v>534</v>
      </c>
      <c r="E134" s="3">
        <v>1</v>
      </c>
      <c r="F134" s="3">
        <v>0</v>
      </c>
      <c r="G134" s="3">
        <v>0</v>
      </c>
      <c r="H134" s="3">
        <v>1</v>
      </c>
      <c r="I134" s="5"/>
    </row>
    <row r="135" spans="1:9">
      <c r="A135" s="3" t="s">
        <v>535</v>
      </c>
      <c r="B135" s="3" t="s">
        <v>536</v>
      </c>
      <c r="C135" s="3" t="s">
        <v>537</v>
      </c>
      <c r="D135" s="3" t="s">
        <v>538</v>
      </c>
      <c r="E135" s="3">
        <v>5</v>
      </c>
      <c r="F135" s="3">
        <v>1</v>
      </c>
      <c r="G135" s="3">
        <v>2</v>
      </c>
      <c r="H135" s="3">
        <v>2</v>
      </c>
      <c r="I135" s="5"/>
    </row>
    <row r="136" spans="1:9">
      <c r="A136" s="3" t="s">
        <v>539</v>
      </c>
      <c r="B136" s="3" t="s">
        <v>540</v>
      </c>
      <c r="C136" s="3" t="s">
        <v>541</v>
      </c>
      <c r="D136" s="3" t="s">
        <v>542</v>
      </c>
      <c r="E136" s="3">
        <v>4</v>
      </c>
      <c r="F136" s="3">
        <v>1</v>
      </c>
      <c r="G136" s="3">
        <v>1</v>
      </c>
      <c r="H136" s="3">
        <v>2</v>
      </c>
      <c r="I136" s="5"/>
    </row>
    <row r="137" spans="1:9">
      <c r="A137" s="3" t="s">
        <v>543</v>
      </c>
      <c r="B137" s="3" t="s">
        <v>544</v>
      </c>
      <c r="C137" s="3" t="s">
        <v>545</v>
      </c>
      <c r="D137" s="3" t="s">
        <v>546</v>
      </c>
      <c r="E137" s="3">
        <v>2</v>
      </c>
      <c r="F137" s="3">
        <v>0</v>
      </c>
      <c r="G137" s="3">
        <v>0</v>
      </c>
      <c r="H137" s="3">
        <v>2</v>
      </c>
      <c r="I137" s="5"/>
    </row>
    <row r="138" spans="1:9">
      <c r="A138" s="3" t="s">
        <v>547</v>
      </c>
      <c r="B138" s="3" t="s">
        <v>548</v>
      </c>
      <c r="C138" s="3" t="s">
        <v>549</v>
      </c>
      <c r="D138" s="3" t="s">
        <v>550</v>
      </c>
      <c r="E138" s="3">
        <v>3</v>
      </c>
      <c r="F138" s="3">
        <v>1</v>
      </c>
      <c r="G138" s="3">
        <v>0</v>
      </c>
      <c r="H138" s="3">
        <v>2</v>
      </c>
      <c r="I138" s="5"/>
    </row>
    <row r="139" spans="1:9">
      <c r="A139" s="3" t="s">
        <v>551</v>
      </c>
      <c r="B139" s="3" t="s">
        <v>552</v>
      </c>
      <c r="C139" s="3" t="s">
        <v>553</v>
      </c>
      <c r="D139" s="3" t="s">
        <v>554</v>
      </c>
      <c r="E139" s="3">
        <v>1</v>
      </c>
      <c r="F139" s="3">
        <v>1</v>
      </c>
      <c r="G139" s="3">
        <v>0</v>
      </c>
      <c r="H139" s="3">
        <v>0</v>
      </c>
      <c r="I139" s="5"/>
    </row>
    <row r="140" spans="1:9">
      <c r="A140" s="3" t="s">
        <v>555</v>
      </c>
      <c r="B140" s="3" t="s">
        <v>556</v>
      </c>
      <c r="C140" s="3" t="s">
        <v>557</v>
      </c>
      <c r="D140" s="3" t="s">
        <v>558</v>
      </c>
      <c r="E140" s="3">
        <v>1</v>
      </c>
      <c r="F140" s="3">
        <v>0</v>
      </c>
      <c r="G140" s="3">
        <v>0</v>
      </c>
      <c r="H140" s="3">
        <v>1</v>
      </c>
      <c r="I140" s="5"/>
    </row>
    <row r="141" spans="1:9">
      <c r="A141" s="3" t="s">
        <v>559</v>
      </c>
      <c r="B141" s="3" t="s">
        <v>560</v>
      </c>
      <c r="C141" s="3" t="s">
        <v>561</v>
      </c>
      <c r="D141" s="3" t="s">
        <v>562</v>
      </c>
      <c r="E141" s="3">
        <v>5</v>
      </c>
      <c r="F141" s="3">
        <v>1</v>
      </c>
      <c r="G141" s="3">
        <v>1</v>
      </c>
      <c r="H141" s="3">
        <v>3</v>
      </c>
      <c r="I141" s="5"/>
    </row>
    <row r="142" spans="1:9">
      <c r="A142" s="3" t="s">
        <v>563</v>
      </c>
      <c r="B142" s="3" t="s">
        <v>564</v>
      </c>
      <c r="C142" s="3" t="s">
        <v>565</v>
      </c>
      <c r="D142" s="3" t="s">
        <v>566</v>
      </c>
      <c r="E142" s="3">
        <v>8</v>
      </c>
      <c r="F142" s="3">
        <v>5</v>
      </c>
      <c r="G142" s="3">
        <v>2</v>
      </c>
      <c r="H142" s="3">
        <v>1</v>
      </c>
      <c r="I142" s="5"/>
    </row>
    <row r="143" spans="1:9">
      <c r="A143" s="3" t="s">
        <v>567</v>
      </c>
      <c r="B143" s="3" t="s">
        <v>568</v>
      </c>
      <c r="C143" s="3" t="s">
        <v>569</v>
      </c>
      <c r="D143" s="3" t="s">
        <v>570</v>
      </c>
      <c r="E143" s="3">
        <v>7</v>
      </c>
      <c r="F143" s="3">
        <v>2</v>
      </c>
      <c r="G143" s="3">
        <v>1</v>
      </c>
      <c r="H143" s="3">
        <v>4</v>
      </c>
      <c r="I143" s="5"/>
    </row>
    <row r="144" spans="1:9">
      <c r="A144" s="3" t="s">
        <v>571</v>
      </c>
      <c r="B144" s="3" t="s">
        <v>572</v>
      </c>
      <c r="C144" s="3" t="s">
        <v>573</v>
      </c>
      <c r="D144" s="3" t="s">
        <v>574</v>
      </c>
      <c r="E144" s="3">
        <v>5</v>
      </c>
      <c r="F144" s="3">
        <v>3</v>
      </c>
      <c r="G144" s="3">
        <v>2</v>
      </c>
      <c r="H144" s="3">
        <v>0</v>
      </c>
      <c r="I144" s="5"/>
    </row>
    <row r="145" spans="1:9">
      <c r="A145" s="3" t="s">
        <v>575</v>
      </c>
      <c r="B145" s="3" t="s">
        <v>576</v>
      </c>
      <c r="C145" s="3" t="s">
        <v>577</v>
      </c>
      <c r="D145" s="3" t="s">
        <v>578</v>
      </c>
      <c r="E145" s="3">
        <v>6</v>
      </c>
      <c r="F145" s="3">
        <v>2</v>
      </c>
      <c r="G145" s="3">
        <v>2</v>
      </c>
      <c r="H145" s="3">
        <v>2</v>
      </c>
      <c r="I145" s="5"/>
    </row>
    <row r="146" spans="1:9">
      <c r="A146" s="3" t="s">
        <v>579</v>
      </c>
      <c r="B146" s="3" t="s">
        <v>580</v>
      </c>
      <c r="C146" s="3" t="s">
        <v>581</v>
      </c>
      <c r="D146" s="3" t="s">
        <v>582</v>
      </c>
      <c r="E146" s="3">
        <v>5</v>
      </c>
      <c r="F146" s="3">
        <v>1</v>
      </c>
      <c r="G146" s="3">
        <v>0</v>
      </c>
      <c r="H146" s="3">
        <v>4</v>
      </c>
      <c r="I146" s="5"/>
    </row>
    <row r="147" spans="1:9">
      <c r="A147" s="3" t="s">
        <v>583</v>
      </c>
      <c r="B147" s="3" t="s">
        <v>584</v>
      </c>
      <c r="C147" s="3" t="s">
        <v>585</v>
      </c>
      <c r="D147" s="3" t="s">
        <v>586</v>
      </c>
      <c r="E147" s="3">
        <v>2</v>
      </c>
      <c r="F147" s="3">
        <v>1</v>
      </c>
      <c r="G147" s="3">
        <v>1</v>
      </c>
      <c r="H147" s="3">
        <v>0</v>
      </c>
      <c r="I147" s="5"/>
    </row>
    <row r="148" spans="1:9">
      <c r="A148" s="3" t="s">
        <v>587</v>
      </c>
      <c r="B148" s="3" t="s">
        <v>588</v>
      </c>
      <c r="C148" s="3" t="s">
        <v>589</v>
      </c>
      <c r="D148" s="3" t="s">
        <v>590</v>
      </c>
      <c r="E148" s="3">
        <v>1</v>
      </c>
      <c r="F148" s="3">
        <v>0</v>
      </c>
      <c r="G148" s="3">
        <v>0</v>
      </c>
      <c r="H148" s="3">
        <v>1</v>
      </c>
      <c r="I148" s="5"/>
    </row>
    <row r="149" spans="1:9">
      <c r="A149" s="3" t="s">
        <v>591</v>
      </c>
      <c r="B149" s="3" t="s">
        <v>592</v>
      </c>
      <c r="C149" s="3" t="s">
        <v>593</v>
      </c>
      <c r="D149" s="3" t="s">
        <v>594</v>
      </c>
      <c r="E149" s="3">
        <v>2</v>
      </c>
      <c r="F149" s="3">
        <v>0</v>
      </c>
      <c r="G149" s="3">
        <v>0</v>
      </c>
      <c r="H149" s="3">
        <v>2</v>
      </c>
      <c r="I149" s="5"/>
    </row>
    <row r="150" spans="1:9">
      <c r="A150" s="3" t="s">
        <v>595</v>
      </c>
      <c r="B150" s="3" t="s">
        <v>596</v>
      </c>
      <c r="C150" s="3" t="s">
        <v>597</v>
      </c>
      <c r="D150" s="3" t="s">
        <v>598</v>
      </c>
      <c r="E150" s="3">
        <v>1</v>
      </c>
      <c r="F150" s="3">
        <v>0</v>
      </c>
      <c r="G150" s="3">
        <v>0</v>
      </c>
      <c r="H150" s="3">
        <v>1</v>
      </c>
      <c r="I150" s="5"/>
    </row>
    <row r="151" spans="1:9">
      <c r="A151" s="3" t="s">
        <v>599</v>
      </c>
      <c r="B151" s="3" t="s">
        <v>600</v>
      </c>
      <c r="C151" s="3" t="s">
        <v>601</v>
      </c>
      <c r="D151" s="3" t="s">
        <v>602</v>
      </c>
      <c r="E151" s="3">
        <v>3</v>
      </c>
      <c r="F151" s="3">
        <v>1</v>
      </c>
      <c r="G151" s="3">
        <v>1</v>
      </c>
      <c r="H151" s="3">
        <v>1</v>
      </c>
      <c r="I151" s="5"/>
    </row>
    <row r="152" spans="1:9">
      <c r="A152" s="3" t="s">
        <v>603</v>
      </c>
      <c r="B152" s="3" t="s">
        <v>604</v>
      </c>
      <c r="C152" s="3" t="s">
        <v>605</v>
      </c>
      <c r="D152" s="3" t="s">
        <v>606</v>
      </c>
      <c r="E152" s="3">
        <v>1</v>
      </c>
      <c r="F152" s="3">
        <v>0</v>
      </c>
      <c r="G152" s="3">
        <v>0</v>
      </c>
      <c r="H152" s="3">
        <v>1</v>
      </c>
      <c r="I152" s="5"/>
    </row>
    <row r="153" spans="1:9">
      <c r="A153" s="3" t="s">
        <v>607</v>
      </c>
      <c r="B153" s="3" t="s">
        <v>608</v>
      </c>
      <c r="C153" s="3" t="s">
        <v>609</v>
      </c>
      <c r="D153" s="3" t="s">
        <v>610</v>
      </c>
      <c r="E153" s="3">
        <v>1</v>
      </c>
      <c r="F153" s="3">
        <v>0</v>
      </c>
      <c r="G153" s="3">
        <v>0</v>
      </c>
      <c r="H153" s="3">
        <v>1</v>
      </c>
      <c r="I153" s="5"/>
    </row>
    <row r="154" spans="1:9">
      <c r="A154" s="3" t="s">
        <v>611</v>
      </c>
      <c r="B154" s="3" t="s">
        <v>612</v>
      </c>
      <c r="C154" s="3" t="s">
        <v>613</v>
      </c>
      <c r="D154" s="3" t="s">
        <v>614</v>
      </c>
      <c r="E154" s="3">
        <v>6</v>
      </c>
      <c r="F154" s="3">
        <v>4</v>
      </c>
      <c r="G154" s="3">
        <v>1</v>
      </c>
      <c r="H154" s="3">
        <v>1</v>
      </c>
      <c r="I154" s="5"/>
    </row>
    <row r="155" spans="1:9">
      <c r="A155" s="3" t="s">
        <v>615</v>
      </c>
      <c r="B155" s="3" t="s">
        <v>616</v>
      </c>
      <c r="C155" s="3" t="s">
        <v>617</v>
      </c>
      <c r="D155" s="3" t="s">
        <v>618</v>
      </c>
      <c r="E155" s="3">
        <v>1</v>
      </c>
      <c r="F155" s="3">
        <v>0</v>
      </c>
      <c r="G155" s="3">
        <v>0</v>
      </c>
      <c r="H155" s="3">
        <v>1</v>
      </c>
      <c r="I155" s="5"/>
    </row>
    <row r="156" spans="1:9">
      <c r="A156" s="3" t="s">
        <v>619</v>
      </c>
      <c r="B156" s="3" t="s">
        <v>620</v>
      </c>
      <c r="C156" s="3" t="s">
        <v>621</v>
      </c>
      <c r="D156" s="3" t="s">
        <v>622</v>
      </c>
      <c r="E156" s="3">
        <v>2</v>
      </c>
      <c r="F156" s="3">
        <v>1</v>
      </c>
      <c r="G156" s="3">
        <v>0</v>
      </c>
      <c r="H156" s="3">
        <v>1</v>
      </c>
      <c r="I156" s="5"/>
    </row>
    <row r="157" spans="1:9">
      <c r="A157" s="3" t="s">
        <v>623</v>
      </c>
      <c r="B157" s="3" t="s">
        <v>624</v>
      </c>
      <c r="C157" s="3" t="s">
        <v>625</v>
      </c>
      <c r="D157" s="3" t="s">
        <v>626</v>
      </c>
      <c r="E157" s="3">
        <v>1</v>
      </c>
      <c r="F157" s="3">
        <v>1</v>
      </c>
      <c r="G157" s="3">
        <v>0</v>
      </c>
      <c r="H157" s="3">
        <v>0</v>
      </c>
      <c r="I157" s="5"/>
    </row>
    <row r="158" spans="1:9">
      <c r="A158" s="3" t="s">
        <v>627</v>
      </c>
      <c r="B158" s="3" t="s">
        <v>628</v>
      </c>
      <c r="C158" s="3" t="s">
        <v>629</v>
      </c>
      <c r="D158" s="3" t="s">
        <v>630</v>
      </c>
      <c r="E158" s="3">
        <v>7</v>
      </c>
      <c r="F158" s="3">
        <v>2</v>
      </c>
      <c r="G158" s="3">
        <v>1</v>
      </c>
      <c r="H158" s="3">
        <v>4</v>
      </c>
      <c r="I158" s="5"/>
    </row>
    <row r="159" spans="1:9">
      <c r="A159" s="3" t="s">
        <v>631</v>
      </c>
      <c r="B159" s="3" t="s">
        <v>632</v>
      </c>
      <c r="C159" s="3" t="s">
        <v>633</v>
      </c>
      <c r="D159" s="3" t="s">
        <v>634</v>
      </c>
      <c r="E159" s="3">
        <v>13</v>
      </c>
      <c r="F159" s="3">
        <v>5</v>
      </c>
      <c r="G159" s="3">
        <v>2</v>
      </c>
      <c r="H159" s="3">
        <v>6</v>
      </c>
      <c r="I159" s="5"/>
    </row>
    <row r="160" spans="1:9">
      <c r="A160" s="3" t="s">
        <v>635</v>
      </c>
      <c r="B160" s="3" t="s">
        <v>636</v>
      </c>
      <c r="C160" s="3" t="s">
        <v>637</v>
      </c>
      <c r="D160" s="3" t="s">
        <v>638</v>
      </c>
      <c r="E160" s="3">
        <v>1</v>
      </c>
      <c r="F160" s="3">
        <v>0</v>
      </c>
      <c r="G160" s="3">
        <v>1</v>
      </c>
      <c r="H160" s="3">
        <v>0</v>
      </c>
      <c r="I160" s="5"/>
    </row>
    <row r="161" spans="1:9">
      <c r="A161" s="3" t="s">
        <v>639</v>
      </c>
      <c r="B161" s="3" t="s">
        <v>640</v>
      </c>
      <c r="C161" s="3" t="s">
        <v>641</v>
      </c>
      <c r="D161" s="3" t="s">
        <v>642</v>
      </c>
      <c r="E161" s="3">
        <v>4</v>
      </c>
      <c r="F161" s="3">
        <v>1</v>
      </c>
      <c r="G161" s="3">
        <v>1</v>
      </c>
      <c r="H161" s="3">
        <v>2</v>
      </c>
      <c r="I161" s="5"/>
    </row>
    <row r="162" spans="1:9">
      <c r="A162" s="3" t="s">
        <v>643</v>
      </c>
      <c r="B162" s="3" t="s">
        <v>644</v>
      </c>
      <c r="C162" s="3" t="s">
        <v>645</v>
      </c>
      <c r="D162" s="3" t="s">
        <v>646</v>
      </c>
      <c r="E162" s="3">
        <v>2</v>
      </c>
      <c r="F162" s="3">
        <v>1</v>
      </c>
      <c r="G162" s="3">
        <v>1</v>
      </c>
      <c r="H162" s="3">
        <v>0</v>
      </c>
      <c r="I162" s="5"/>
    </row>
    <row r="163" spans="1:9">
      <c r="A163" s="3" t="s">
        <v>647</v>
      </c>
      <c r="B163" s="3" t="s">
        <v>648</v>
      </c>
      <c r="C163" s="3" t="s">
        <v>649</v>
      </c>
      <c r="D163" s="3" t="s">
        <v>650</v>
      </c>
      <c r="E163" s="3">
        <v>10</v>
      </c>
      <c r="F163" s="3">
        <v>4</v>
      </c>
      <c r="G163" s="3">
        <v>3</v>
      </c>
      <c r="H163" s="3">
        <v>3</v>
      </c>
      <c r="I163" s="5"/>
    </row>
    <row r="164" spans="1:9">
      <c r="A164" s="3" t="s">
        <v>651</v>
      </c>
      <c r="B164" s="3" t="s">
        <v>652</v>
      </c>
      <c r="C164" s="3" t="s">
        <v>653</v>
      </c>
      <c r="D164" s="3" t="s">
        <v>654</v>
      </c>
      <c r="E164" s="3">
        <v>2</v>
      </c>
      <c r="F164" s="3">
        <v>0</v>
      </c>
      <c r="G164" s="3">
        <v>0</v>
      </c>
      <c r="H164" s="3">
        <v>2</v>
      </c>
      <c r="I164" s="5"/>
    </row>
    <row r="165" spans="1:9">
      <c r="A165" s="3" t="s">
        <v>655</v>
      </c>
      <c r="B165" s="3" t="s">
        <v>656</v>
      </c>
      <c r="C165" s="3" t="s">
        <v>657</v>
      </c>
      <c r="D165" s="3" t="s">
        <v>658</v>
      </c>
      <c r="E165" s="3">
        <v>1</v>
      </c>
      <c r="F165" s="3">
        <v>0</v>
      </c>
      <c r="G165" s="3">
        <v>0</v>
      </c>
      <c r="H165" s="3">
        <v>1</v>
      </c>
      <c r="I165" s="5"/>
    </row>
    <row r="166" spans="1:9">
      <c r="A166" s="3" t="s">
        <v>659</v>
      </c>
      <c r="B166" s="3" t="s">
        <v>660</v>
      </c>
      <c r="C166" s="3" t="s">
        <v>661</v>
      </c>
      <c r="D166" s="3" t="s">
        <v>662</v>
      </c>
      <c r="E166" s="3">
        <v>1</v>
      </c>
      <c r="F166" s="3">
        <v>0</v>
      </c>
      <c r="G166" s="3">
        <v>0</v>
      </c>
      <c r="H166" s="3">
        <v>1</v>
      </c>
      <c r="I166" s="5"/>
    </row>
    <row r="167" spans="1:9">
      <c r="A167" s="3" t="s">
        <v>663</v>
      </c>
      <c r="B167" s="3" t="s">
        <v>664</v>
      </c>
      <c r="C167" s="3" t="s">
        <v>665</v>
      </c>
      <c r="D167" s="3" t="s">
        <v>666</v>
      </c>
      <c r="E167" s="3">
        <v>20</v>
      </c>
      <c r="F167" s="3">
        <v>0</v>
      </c>
      <c r="G167" s="3">
        <v>20</v>
      </c>
      <c r="H167" s="3">
        <v>0</v>
      </c>
      <c r="I167" s="5"/>
    </row>
    <row r="168" spans="1:9">
      <c r="A168" s="3" t="s">
        <v>667</v>
      </c>
      <c r="B168" s="3" t="s">
        <v>668</v>
      </c>
      <c r="C168" s="3" t="s">
        <v>669</v>
      </c>
      <c r="D168" s="3" t="s">
        <v>670</v>
      </c>
      <c r="E168" s="3">
        <v>49</v>
      </c>
      <c r="F168" s="3">
        <v>0</v>
      </c>
      <c r="G168" s="3">
        <v>49</v>
      </c>
      <c r="H168" s="3">
        <v>0</v>
      </c>
      <c r="I168" s="5"/>
    </row>
    <row r="169" spans="1:9">
      <c r="A169" s="3" t="s">
        <v>671</v>
      </c>
      <c r="B169" s="3" t="s">
        <v>672</v>
      </c>
      <c r="C169" s="3" t="s">
        <v>673</v>
      </c>
      <c r="D169" s="3" t="s">
        <v>674</v>
      </c>
      <c r="E169" s="3">
        <v>1</v>
      </c>
      <c r="F169" s="3">
        <v>0</v>
      </c>
      <c r="G169" s="3">
        <v>0</v>
      </c>
      <c r="H169" s="3">
        <v>1</v>
      </c>
      <c r="I169" s="5"/>
    </row>
    <row r="170" spans="1:9">
      <c r="A170" s="3" t="s">
        <v>675</v>
      </c>
      <c r="B170" s="3" t="s">
        <v>676</v>
      </c>
      <c r="C170" s="3" t="s">
        <v>677</v>
      </c>
      <c r="D170" s="3" t="s">
        <v>678</v>
      </c>
      <c r="E170" s="3">
        <v>13</v>
      </c>
      <c r="F170" s="3">
        <v>2</v>
      </c>
      <c r="G170" s="3">
        <v>11</v>
      </c>
      <c r="H170" s="3">
        <v>0</v>
      </c>
      <c r="I170" s="5"/>
    </row>
    <row r="171" spans="1:9">
      <c r="A171" s="3" t="s">
        <v>679</v>
      </c>
      <c r="B171" s="3" t="s">
        <v>680</v>
      </c>
      <c r="C171" s="3" t="s">
        <v>681</v>
      </c>
      <c r="D171" s="3" t="s">
        <v>682</v>
      </c>
      <c r="E171" s="3">
        <v>2</v>
      </c>
      <c r="F171" s="3">
        <v>1</v>
      </c>
      <c r="G171" s="3">
        <v>1</v>
      </c>
      <c r="H171" s="3">
        <v>0</v>
      </c>
      <c r="I171" s="5"/>
    </row>
    <row r="172" spans="1:9">
      <c r="A172" s="3" t="s">
        <v>683</v>
      </c>
      <c r="B172" s="3" t="s">
        <v>684</v>
      </c>
      <c r="C172" s="3" t="s">
        <v>685</v>
      </c>
      <c r="D172" s="3" t="s">
        <v>686</v>
      </c>
      <c r="E172" s="3">
        <v>2</v>
      </c>
      <c r="F172" s="3">
        <v>2</v>
      </c>
      <c r="G172" s="3">
        <v>0</v>
      </c>
      <c r="H172" s="3">
        <v>0</v>
      </c>
      <c r="I172" s="5"/>
    </row>
    <row r="173" spans="1:9">
      <c r="A173" s="3" t="s">
        <v>687</v>
      </c>
      <c r="B173" s="3" t="s">
        <v>688</v>
      </c>
      <c r="C173" s="3" t="s">
        <v>689</v>
      </c>
      <c r="D173" s="3" t="s">
        <v>690</v>
      </c>
      <c r="E173" s="3">
        <v>14</v>
      </c>
      <c r="F173" s="3">
        <v>1</v>
      </c>
      <c r="G173" s="3">
        <v>11</v>
      </c>
      <c r="H173" s="3">
        <v>2</v>
      </c>
      <c r="I173" s="5"/>
    </row>
    <row r="174" spans="1:9">
      <c r="A174" s="3" t="s">
        <v>691</v>
      </c>
      <c r="B174" s="3" t="s">
        <v>692</v>
      </c>
      <c r="C174" s="3" t="s">
        <v>693</v>
      </c>
      <c r="D174" s="3" t="s">
        <v>694</v>
      </c>
      <c r="E174" s="3">
        <v>4</v>
      </c>
      <c r="F174" s="3">
        <v>0</v>
      </c>
      <c r="G174" s="3">
        <v>0</v>
      </c>
      <c r="H174" s="3">
        <v>4</v>
      </c>
      <c r="I174" s="5"/>
    </row>
    <row r="175" spans="1:9">
      <c r="A175" s="3" t="s">
        <v>695</v>
      </c>
      <c r="B175" s="3" t="s">
        <v>696</v>
      </c>
      <c r="C175" s="3" t="s">
        <v>697</v>
      </c>
      <c r="D175" s="3" t="s">
        <v>698</v>
      </c>
      <c r="E175" s="3">
        <v>55</v>
      </c>
      <c r="F175" s="3">
        <v>4</v>
      </c>
      <c r="G175" s="3">
        <v>51</v>
      </c>
      <c r="H175" s="3">
        <v>0</v>
      </c>
      <c r="I175" s="5"/>
    </row>
    <row r="176" spans="1:9">
      <c r="A176" s="3" t="s">
        <v>699</v>
      </c>
      <c r="B176" s="3" t="s">
        <v>700</v>
      </c>
      <c r="C176" s="3" t="s">
        <v>701</v>
      </c>
      <c r="D176" s="3" t="s">
        <v>702</v>
      </c>
      <c r="E176" s="3">
        <v>10</v>
      </c>
      <c r="F176" s="3">
        <v>2</v>
      </c>
      <c r="G176" s="3">
        <v>2</v>
      </c>
      <c r="H176" s="3">
        <v>6</v>
      </c>
      <c r="I176" s="5"/>
    </row>
    <row r="177" spans="1:9">
      <c r="A177" s="3" t="s">
        <v>703</v>
      </c>
      <c r="B177" s="3" t="s">
        <v>704</v>
      </c>
      <c r="C177" s="3" t="s">
        <v>705</v>
      </c>
      <c r="D177" s="3" t="s">
        <v>706</v>
      </c>
      <c r="E177" s="3">
        <v>1</v>
      </c>
      <c r="F177" s="3">
        <v>0</v>
      </c>
      <c r="G177" s="3">
        <v>0</v>
      </c>
      <c r="H177" s="3">
        <v>1</v>
      </c>
      <c r="I177" s="5"/>
    </row>
    <row r="178" spans="1:9">
      <c r="A178" s="3" t="s">
        <v>707</v>
      </c>
      <c r="B178" s="3" t="s">
        <v>708</v>
      </c>
      <c r="C178" s="3" t="s">
        <v>709</v>
      </c>
      <c r="D178" s="3" t="s">
        <v>710</v>
      </c>
      <c r="E178" s="3">
        <v>1</v>
      </c>
      <c r="F178" s="3">
        <v>0</v>
      </c>
      <c r="G178" s="3">
        <v>0</v>
      </c>
      <c r="H178" s="3">
        <v>1</v>
      </c>
      <c r="I178" s="5"/>
    </row>
    <row r="179" spans="1:9">
      <c r="A179" s="3" t="s">
        <v>711</v>
      </c>
      <c r="B179" s="3" t="s">
        <v>712</v>
      </c>
      <c r="C179" s="3" t="s">
        <v>713</v>
      </c>
      <c r="D179" s="3" t="s">
        <v>714</v>
      </c>
      <c r="E179" s="3">
        <v>21</v>
      </c>
      <c r="F179" s="3">
        <v>0</v>
      </c>
      <c r="G179" s="3">
        <v>19</v>
      </c>
      <c r="H179" s="3">
        <v>2</v>
      </c>
      <c r="I179" s="5"/>
    </row>
    <row r="180" spans="1:9">
      <c r="A180" s="3" t="s">
        <v>715</v>
      </c>
      <c r="B180" s="3" t="s">
        <v>716</v>
      </c>
      <c r="C180" s="3" t="s">
        <v>717</v>
      </c>
      <c r="D180" s="3" t="s">
        <v>718</v>
      </c>
      <c r="E180" s="3">
        <v>8</v>
      </c>
      <c r="F180" s="3">
        <v>5</v>
      </c>
      <c r="G180" s="3">
        <v>1</v>
      </c>
      <c r="H180" s="3">
        <v>2</v>
      </c>
      <c r="I180" s="5"/>
    </row>
    <row r="181" spans="1:9">
      <c r="A181" s="3" t="s">
        <v>719</v>
      </c>
      <c r="B181" s="3" t="s">
        <v>720</v>
      </c>
      <c r="C181" s="3" t="s">
        <v>721</v>
      </c>
      <c r="D181" s="3" t="s">
        <v>722</v>
      </c>
      <c r="E181" s="3">
        <v>8</v>
      </c>
      <c r="F181" s="3">
        <v>1</v>
      </c>
      <c r="G181" s="3">
        <v>6</v>
      </c>
      <c r="H181" s="3">
        <v>1</v>
      </c>
      <c r="I181" s="5"/>
    </row>
    <row r="182" spans="1:9">
      <c r="A182" s="3" t="s">
        <v>723</v>
      </c>
      <c r="B182" s="3" t="s">
        <v>724</v>
      </c>
      <c r="C182" s="3" t="s">
        <v>725</v>
      </c>
      <c r="D182" s="3" t="s">
        <v>726</v>
      </c>
      <c r="E182" s="3">
        <v>16</v>
      </c>
      <c r="F182" s="3">
        <v>0</v>
      </c>
      <c r="G182" s="3">
        <v>15</v>
      </c>
      <c r="H182" s="3">
        <v>1</v>
      </c>
      <c r="I182" s="5"/>
    </row>
    <row r="183" spans="1:9">
      <c r="A183" s="3" t="s">
        <v>727</v>
      </c>
      <c r="B183" s="3" t="s">
        <v>728</v>
      </c>
      <c r="C183" s="3" t="s">
        <v>729</v>
      </c>
      <c r="D183" s="3" t="s">
        <v>730</v>
      </c>
      <c r="E183" s="3">
        <v>2</v>
      </c>
      <c r="F183" s="3">
        <v>1</v>
      </c>
      <c r="G183" s="3">
        <v>1</v>
      </c>
      <c r="H183" s="3">
        <v>0</v>
      </c>
      <c r="I183" s="5"/>
    </row>
    <row r="184" spans="1:9">
      <c r="A184" s="3" t="s">
        <v>731</v>
      </c>
      <c r="B184" s="3" t="s">
        <v>732</v>
      </c>
      <c r="C184" s="3" t="s">
        <v>733</v>
      </c>
      <c r="D184" s="3" t="s">
        <v>734</v>
      </c>
      <c r="E184" s="3">
        <v>1</v>
      </c>
      <c r="F184" s="3">
        <v>1</v>
      </c>
      <c r="G184" s="3">
        <v>0</v>
      </c>
      <c r="H184" s="3">
        <v>0</v>
      </c>
      <c r="I184" s="5"/>
    </row>
    <row r="185" spans="1:9">
      <c r="A185" s="3" t="s">
        <v>735</v>
      </c>
      <c r="B185" s="3" t="s">
        <v>736</v>
      </c>
      <c r="C185" s="3" t="s">
        <v>737</v>
      </c>
      <c r="D185" s="3" t="s">
        <v>738</v>
      </c>
      <c r="E185" s="3">
        <v>23</v>
      </c>
      <c r="F185" s="3">
        <v>2</v>
      </c>
      <c r="G185" s="3">
        <v>21</v>
      </c>
      <c r="H185" s="3">
        <v>0</v>
      </c>
      <c r="I185" s="5"/>
    </row>
    <row r="186" spans="1:9">
      <c r="A186" s="3" t="s">
        <v>739</v>
      </c>
      <c r="B186" s="3" t="s">
        <v>740</v>
      </c>
      <c r="C186" s="3" t="s">
        <v>741</v>
      </c>
      <c r="D186" s="3" t="s">
        <v>742</v>
      </c>
      <c r="E186" s="3">
        <v>3</v>
      </c>
      <c r="F186" s="3">
        <v>0</v>
      </c>
      <c r="G186" s="3">
        <v>0</v>
      </c>
      <c r="H186" s="3">
        <v>3</v>
      </c>
      <c r="I186" s="5"/>
    </row>
    <row r="187" spans="1:9">
      <c r="A187" s="3" t="s">
        <v>743</v>
      </c>
      <c r="B187" s="3" t="s">
        <v>744</v>
      </c>
      <c r="C187" s="3" t="s">
        <v>745</v>
      </c>
      <c r="D187" s="3" t="s">
        <v>746</v>
      </c>
      <c r="E187" s="3">
        <v>1</v>
      </c>
      <c r="F187" s="3">
        <v>1</v>
      </c>
      <c r="G187" s="3">
        <v>0</v>
      </c>
      <c r="H187" s="3">
        <v>0</v>
      </c>
      <c r="I187" s="5"/>
    </row>
    <row r="188" spans="1:9">
      <c r="A188" s="3" t="s">
        <v>747</v>
      </c>
      <c r="B188" s="3" t="s">
        <v>748</v>
      </c>
      <c r="C188" s="3" t="s">
        <v>749</v>
      </c>
      <c r="D188" s="3" t="s">
        <v>750</v>
      </c>
      <c r="E188" s="3">
        <v>5</v>
      </c>
      <c r="F188" s="3">
        <v>1</v>
      </c>
      <c r="G188" s="3">
        <v>1</v>
      </c>
      <c r="H188" s="3">
        <v>3</v>
      </c>
      <c r="I188" s="5"/>
    </row>
    <row r="189" spans="1:9">
      <c r="A189" s="3" t="s">
        <v>751</v>
      </c>
      <c r="B189" s="3" t="s">
        <v>752</v>
      </c>
      <c r="C189" s="3" t="s">
        <v>753</v>
      </c>
      <c r="D189" s="3" t="s">
        <v>754</v>
      </c>
      <c r="E189" s="3">
        <v>3</v>
      </c>
      <c r="F189" s="3">
        <v>1</v>
      </c>
      <c r="G189" s="3">
        <v>2</v>
      </c>
      <c r="H189" s="3">
        <v>0</v>
      </c>
      <c r="I189" s="5"/>
    </row>
    <row r="190" spans="1:9">
      <c r="A190" s="3" t="s">
        <v>755</v>
      </c>
      <c r="B190" s="3" t="s">
        <v>756</v>
      </c>
      <c r="C190" s="3" t="s">
        <v>757</v>
      </c>
      <c r="D190" s="3" t="s">
        <v>758</v>
      </c>
      <c r="E190" s="3">
        <v>1</v>
      </c>
      <c r="F190" s="3">
        <v>0</v>
      </c>
      <c r="G190" s="3">
        <v>0</v>
      </c>
      <c r="H190" s="3">
        <v>1</v>
      </c>
      <c r="I190" s="5"/>
    </row>
    <row r="191" spans="1:9">
      <c r="A191" s="3" t="s">
        <v>759</v>
      </c>
      <c r="B191" s="3" t="s">
        <v>760</v>
      </c>
      <c r="C191" s="3" t="s">
        <v>761</v>
      </c>
      <c r="D191" s="3" t="s">
        <v>762</v>
      </c>
      <c r="E191" s="3">
        <v>16</v>
      </c>
      <c r="F191" s="3">
        <v>5</v>
      </c>
      <c r="G191" s="3">
        <v>8</v>
      </c>
      <c r="H191" s="3">
        <v>3</v>
      </c>
      <c r="I191" s="5"/>
    </row>
    <row r="192" spans="1:9">
      <c r="A192" s="3" t="s">
        <v>763</v>
      </c>
      <c r="B192" s="3" t="s">
        <v>764</v>
      </c>
      <c r="C192" s="3" t="s">
        <v>765</v>
      </c>
      <c r="D192" s="3" t="s">
        <v>766</v>
      </c>
      <c r="E192" s="3">
        <v>7</v>
      </c>
      <c r="F192" s="3">
        <v>4</v>
      </c>
      <c r="G192" s="3">
        <v>0</v>
      </c>
      <c r="H192" s="3">
        <v>3</v>
      </c>
      <c r="I192" s="5"/>
    </row>
    <row r="193" spans="1:9">
      <c r="A193" s="3" t="s">
        <v>767</v>
      </c>
      <c r="B193" s="3" t="s">
        <v>768</v>
      </c>
      <c r="C193" s="3" t="s">
        <v>769</v>
      </c>
      <c r="D193" s="3" t="s">
        <v>770</v>
      </c>
      <c r="E193" s="3">
        <v>1</v>
      </c>
      <c r="F193" s="3">
        <v>0</v>
      </c>
      <c r="G193" s="3">
        <v>0</v>
      </c>
      <c r="H193" s="3">
        <v>1</v>
      </c>
      <c r="I193" s="5"/>
    </row>
    <row r="194" spans="1:9">
      <c r="A194" s="3" t="s">
        <v>771</v>
      </c>
      <c r="B194" s="3" t="s">
        <v>772</v>
      </c>
      <c r="C194" s="3" t="s">
        <v>773</v>
      </c>
      <c r="D194" s="3" t="s">
        <v>774</v>
      </c>
      <c r="E194" s="3">
        <v>12</v>
      </c>
      <c r="F194" s="3">
        <v>0</v>
      </c>
      <c r="G194" s="3">
        <v>12</v>
      </c>
      <c r="H194" s="3">
        <v>0</v>
      </c>
      <c r="I194" s="5"/>
    </row>
    <row r="195" spans="1:9">
      <c r="A195" s="3" t="s">
        <v>775</v>
      </c>
      <c r="B195" s="3" t="s">
        <v>776</v>
      </c>
      <c r="C195" s="3" t="s">
        <v>777</v>
      </c>
      <c r="D195" s="3" t="s">
        <v>778</v>
      </c>
      <c r="E195" s="3">
        <v>2</v>
      </c>
      <c r="F195" s="3">
        <v>1</v>
      </c>
      <c r="G195" s="3">
        <v>1</v>
      </c>
      <c r="H195" s="3">
        <v>0</v>
      </c>
      <c r="I195" s="5"/>
    </row>
    <row r="196" spans="1:9">
      <c r="A196" s="3" t="s">
        <v>779</v>
      </c>
      <c r="B196" s="3" t="s">
        <v>780</v>
      </c>
      <c r="C196" s="3" t="s">
        <v>781</v>
      </c>
      <c r="D196" s="3" t="s">
        <v>782</v>
      </c>
      <c r="E196" s="3">
        <v>3</v>
      </c>
      <c r="F196" s="3">
        <v>1</v>
      </c>
      <c r="G196" s="3">
        <v>0</v>
      </c>
      <c r="H196" s="3">
        <v>2</v>
      </c>
      <c r="I196" s="5"/>
    </row>
    <row r="197" spans="1:9">
      <c r="A197" s="3" t="s">
        <v>783</v>
      </c>
      <c r="B197" s="3" t="s">
        <v>784</v>
      </c>
      <c r="C197" s="3" t="s">
        <v>785</v>
      </c>
      <c r="D197" s="3" t="s">
        <v>786</v>
      </c>
      <c r="E197" s="3">
        <v>2</v>
      </c>
      <c r="F197" s="3">
        <v>1</v>
      </c>
      <c r="G197" s="3">
        <v>0</v>
      </c>
      <c r="H197" s="3">
        <v>1</v>
      </c>
      <c r="I197" s="5"/>
    </row>
    <row r="198" spans="1:9">
      <c r="A198" s="3" t="s">
        <v>787</v>
      </c>
      <c r="B198" s="3" t="s">
        <v>788</v>
      </c>
      <c r="C198" s="3" t="s">
        <v>789</v>
      </c>
      <c r="D198" s="3" t="s">
        <v>790</v>
      </c>
      <c r="E198" s="3">
        <v>5</v>
      </c>
      <c r="F198" s="3">
        <v>2</v>
      </c>
      <c r="G198" s="3">
        <v>0</v>
      </c>
      <c r="H198" s="3">
        <v>3</v>
      </c>
      <c r="I198" s="5"/>
    </row>
    <row r="199" spans="1:9">
      <c r="A199" s="3" t="s">
        <v>791</v>
      </c>
      <c r="B199" s="3" t="s">
        <v>792</v>
      </c>
      <c r="C199" s="3" t="s">
        <v>793</v>
      </c>
      <c r="D199" s="3" t="s">
        <v>794</v>
      </c>
      <c r="E199" s="3">
        <v>3</v>
      </c>
      <c r="F199" s="3">
        <v>1</v>
      </c>
      <c r="G199" s="3">
        <v>0</v>
      </c>
      <c r="H199" s="3">
        <v>2</v>
      </c>
      <c r="I199" s="5"/>
    </row>
    <row r="200" spans="1:9">
      <c r="A200" s="3" t="s">
        <v>795</v>
      </c>
      <c r="B200" s="3" t="s">
        <v>796</v>
      </c>
      <c r="C200" s="3" t="s">
        <v>797</v>
      </c>
      <c r="D200" s="3" t="s">
        <v>798</v>
      </c>
      <c r="E200" s="3">
        <v>1</v>
      </c>
      <c r="F200" s="3">
        <v>1</v>
      </c>
      <c r="G200" s="3">
        <v>0</v>
      </c>
      <c r="H200" s="3">
        <v>0</v>
      </c>
      <c r="I200" s="5"/>
    </row>
    <row r="201" spans="1:9">
      <c r="A201" s="3" t="s">
        <v>799</v>
      </c>
      <c r="B201" s="3" t="s">
        <v>800</v>
      </c>
      <c r="C201" s="3" t="s">
        <v>801</v>
      </c>
      <c r="D201" s="3" t="s">
        <v>802</v>
      </c>
      <c r="E201" s="3">
        <v>1</v>
      </c>
      <c r="F201" s="3">
        <v>1</v>
      </c>
      <c r="G201" s="3">
        <v>0</v>
      </c>
      <c r="H201" s="3">
        <v>0</v>
      </c>
      <c r="I201" s="5"/>
    </row>
    <row r="202" spans="1:9">
      <c r="A202" s="3" t="s">
        <v>803</v>
      </c>
      <c r="B202" s="3" t="s">
        <v>804</v>
      </c>
      <c r="C202" s="3" t="s">
        <v>805</v>
      </c>
      <c r="D202" s="3" t="s">
        <v>806</v>
      </c>
      <c r="E202" s="3">
        <v>6</v>
      </c>
      <c r="F202" s="3">
        <v>2</v>
      </c>
      <c r="G202" s="3">
        <v>0</v>
      </c>
      <c r="H202" s="3">
        <v>4</v>
      </c>
      <c r="I202" s="5"/>
    </row>
    <row r="203" spans="1:9">
      <c r="A203" s="3" t="s">
        <v>807</v>
      </c>
      <c r="B203" s="3" t="s">
        <v>808</v>
      </c>
      <c r="C203" s="3" t="s">
        <v>809</v>
      </c>
      <c r="D203" s="3" t="s">
        <v>810</v>
      </c>
      <c r="E203" s="3">
        <v>5</v>
      </c>
      <c r="F203" s="3">
        <v>1</v>
      </c>
      <c r="G203" s="3">
        <v>0</v>
      </c>
      <c r="H203" s="3">
        <v>4</v>
      </c>
      <c r="I203" s="5"/>
    </row>
    <row r="204" spans="1:9">
      <c r="A204" s="3" t="s">
        <v>811</v>
      </c>
      <c r="B204" s="3" t="s">
        <v>812</v>
      </c>
      <c r="C204" s="3" t="s">
        <v>813</v>
      </c>
      <c r="D204" s="3" t="s">
        <v>814</v>
      </c>
      <c r="E204" s="3">
        <v>1</v>
      </c>
      <c r="F204" s="3">
        <v>1</v>
      </c>
      <c r="G204" s="3">
        <v>0</v>
      </c>
      <c r="H204" s="3">
        <v>0</v>
      </c>
      <c r="I204" s="5"/>
    </row>
    <row r="205" spans="1:9">
      <c r="A205" s="3" t="s">
        <v>815</v>
      </c>
      <c r="B205" s="3" t="s">
        <v>816</v>
      </c>
      <c r="C205" s="3" t="s">
        <v>817</v>
      </c>
      <c r="D205" s="3" t="s">
        <v>818</v>
      </c>
      <c r="E205" s="3">
        <v>2</v>
      </c>
      <c r="F205" s="3">
        <v>2</v>
      </c>
      <c r="G205" s="3">
        <v>0</v>
      </c>
      <c r="H205" s="3">
        <v>0</v>
      </c>
      <c r="I205" s="5"/>
    </row>
    <row r="206" spans="1:9">
      <c r="A206" s="3" t="s">
        <v>819</v>
      </c>
      <c r="B206" s="3" t="s">
        <v>820</v>
      </c>
      <c r="C206" s="3" t="s">
        <v>821</v>
      </c>
      <c r="D206" s="3" t="s">
        <v>822</v>
      </c>
      <c r="E206" s="3">
        <v>1</v>
      </c>
      <c r="F206" s="3">
        <v>0</v>
      </c>
      <c r="G206" s="3">
        <v>0</v>
      </c>
      <c r="H206" s="3">
        <v>1</v>
      </c>
      <c r="I206" s="5"/>
    </row>
    <row r="207" spans="1:9">
      <c r="A207" s="3" t="s">
        <v>823</v>
      </c>
      <c r="B207" s="3" t="s">
        <v>824</v>
      </c>
      <c r="C207" s="3" t="s">
        <v>825</v>
      </c>
      <c r="D207" s="3" t="s">
        <v>826</v>
      </c>
      <c r="E207" s="3">
        <v>2</v>
      </c>
      <c r="F207" s="3">
        <v>0</v>
      </c>
      <c r="G207" s="3">
        <v>0</v>
      </c>
      <c r="H207" s="3">
        <v>2</v>
      </c>
      <c r="I207" s="5"/>
    </row>
    <row r="208" spans="1:9">
      <c r="A208" s="3" t="s">
        <v>827</v>
      </c>
      <c r="B208" s="3" t="s">
        <v>828</v>
      </c>
      <c r="C208" s="3" t="s">
        <v>829</v>
      </c>
      <c r="D208" s="3" t="s">
        <v>830</v>
      </c>
      <c r="E208" s="3">
        <v>1</v>
      </c>
      <c r="F208" s="3">
        <v>0</v>
      </c>
      <c r="G208" s="3">
        <v>0</v>
      </c>
      <c r="H208" s="3">
        <v>1</v>
      </c>
      <c r="I208" s="5"/>
    </row>
    <row r="209" spans="1:9">
      <c r="A209" s="3" t="s">
        <v>831</v>
      </c>
      <c r="B209" s="3" t="s">
        <v>832</v>
      </c>
      <c r="C209" s="3" t="s">
        <v>833</v>
      </c>
      <c r="D209" s="3" t="s">
        <v>834</v>
      </c>
      <c r="E209" s="3">
        <v>3</v>
      </c>
      <c r="F209" s="3">
        <v>0</v>
      </c>
      <c r="G209" s="3">
        <v>1</v>
      </c>
      <c r="H209" s="3">
        <v>2</v>
      </c>
      <c r="I209" s="5"/>
    </row>
    <row r="210" spans="1:9">
      <c r="A210" s="3" t="s">
        <v>835</v>
      </c>
      <c r="B210" s="3" t="s">
        <v>836</v>
      </c>
      <c r="C210" s="3" t="s">
        <v>837</v>
      </c>
      <c r="D210" s="3" t="s">
        <v>838</v>
      </c>
      <c r="E210" s="3">
        <v>4</v>
      </c>
      <c r="F210" s="3">
        <v>2</v>
      </c>
      <c r="G210" s="3">
        <v>0</v>
      </c>
      <c r="H210" s="3">
        <v>2</v>
      </c>
      <c r="I210" s="5"/>
    </row>
    <row r="211" spans="1:9">
      <c r="A211" s="3" t="s">
        <v>839</v>
      </c>
      <c r="B211" s="3" t="s">
        <v>840</v>
      </c>
      <c r="C211" s="3" t="s">
        <v>841</v>
      </c>
      <c r="D211" s="3" t="s">
        <v>842</v>
      </c>
      <c r="E211" s="3">
        <v>6</v>
      </c>
      <c r="F211" s="3">
        <v>4</v>
      </c>
      <c r="G211" s="3">
        <v>0</v>
      </c>
      <c r="H211" s="3">
        <v>2</v>
      </c>
      <c r="I211" s="5"/>
    </row>
    <row r="212" spans="1:9">
      <c r="A212" s="3" t="s">
        <v>843</v>
      </c>
      <c r="B212" s="3" t="s">
        <v>844</v>
      </c>
      <c r="C212" s="3" t="s">
        <v>845</v>
      </c>
      <c r="D212" s="3" t="s">
        <v>846</v>
      </c>
      <c r="E212" s="3">
        <v>5</v>
      </c>
      <c r="F212" s="3">
        <v>1</v>
      </c>
      <c r="G212" s="3">
        <v>0</v>
      </c>
      <c r="H212" s="3">
        <v>4</v>
      </c>
      <c r="I212" s="5"/>
    </row>
    <row r="213" spans="1:9">
      <c r="A213" s="3" t="s">
        <v>847</v>
      </c>
      <c r="B213" s="3" t="s">
        <v>848</v>
      </c>
      <c r="C213" s="3" t="s">
        <v>849</v>
      </c>
      <c r="D213" s="3" t="s">
        <v>850</v>
      </c>
      <c r="E213" s="3">
        <v>6</v>
      </c>
      <c r="F213" s="3">
        <v>1</v>
      </c>
      <c r="G213" s="3">
        <v>1</v>
      </c>
      <c r="H213" s="3">
        <v>4</v>
      </c>
      <c r="I213" s="5"/>
    </row>
    <row r="214" spans="1:9">
      <c r="A214" s="3" t="s">
        <v>851</v>
      </c>
      <c r="B214" s="3" t="s">
        <v>852</v>
      </c>
      <c r="C214" s="3" t="s">
        <v>853</v>
      </c>
      <c r="D214" s="3" t="s">
        <v>854</v>
      </c>
      <c r="E214" s="3">
        <v>6</v>
      </c>
      <c r="F214" s="3">
        <v>1</v>
      </c>
      <c r="G214" s="3">
        <v>0</v>
      </c>
      <c r="H214" s="3">
        <v>5</v>
      </c>
      <c r="I214" s="5"/>
    </row>
    <row r="215" spans="1:9">
      <c r="A215" s="3" t="s">
        <v>855</v>
      </c>
      <c r="B215" s="3" t="s">
        <v>856</v>
      </c>
      <c r="C215" s="3" t="s">
        <v>857</v>
      </c>
      <c r="D215" s="3" t="s">
        <v>858</v>
      </c>
      <c r="E215" s="3">
        <v>3</v>
      </c>
      <c r="F215" s="3">
        <v>3</v>
      </c>
      <c r="G215" s="3">
        <v>0</v>
      </c>
      <c r="H215" s="3">
        <v>0</v>
      </c>
      <c r="I215" s="5"/>
    </row>
    <row r="216" spans="1:9">
      <c r="A216" s="3" t="s">
        <v>859</v>
      </c>
      <c r="B216" s="3" t="s">
        <v>860</v>
      </c>
      <c r="C216" s="3" t="s">
        <v>861</v>
      </c>
      <c r="D216" s="3" t="s">
        <v>862</v>
      </c>
      <c r="E216" s="3">
        <v>2</v>
      </c>
      <c r="F216" s="3">
        <v>1</v>
      </c>
      <c r="G216" s="3">
        <v>0</v>
      </c>
      <c r="H216" s="3">
        <v>1</v>
      </c>
      <c r="I216" s="5"/>
    </row>
    <row r="217" spans="1:9">
      <c r="A217" s="3" t="s">
        <v>863</v>
      </c>
      <c r="B217" s="3" t="s">
        <v>864</v>
      </c>
      <c r="C217" s="3" t="s">
        <v>865</v>
      </c>
      <c r="D217" s="3" t="s">
        <v>866</v>
      </c>
      <c r="E217" s="3">
        <v>4</v>
      </c>
      <c r="F217" s="3">
        <v>2</v>
      </c>
      <c r="G217" s="3">
        <v>0</v>
      </c>
      <c r="H217" s="3">
        <v>2</v>
      </c>
      <c r="I217" s="5"/>
    </row>
    <row r="218" spans="1:9">
      <c r="A218" s="3" t="s">
        <v>867</v>
      </c>
      <c r="B218" s="3" t="s">
        <v>868</v>
      </c>
      <c r="C218" s="3" t="s">
        <v>869</v>
      </c>
      <c r="D218" s="3" t="s">
        <v>870</v>
      </c>
      <c r="E218" s="3">
        <v>3</v>
      </c>
      <c r="F218" s="3">
        <v>1</v>
      </c>
      <c r="G218" s="3">
        <v>2</v>
      </c>
      <c r="H218" s="3">
        <v>0</v>
      </c>
      <c r="I218" s="5"/>
    </row>
    <row r="219" spans="1:9">
      <c r="A219" s="3" t="s">
        <v>871</v>
      </c>
      <c r="B219" s="3" t="s">
        <v>872</v>
      </c>
      <c r="C219" s="3" t="s">
        <v>873</v>
      </c>
      <c r="D219" s="3" t="s">
        <v>874</v>
      </c>
      <c r="E219" s="3">
        <v>4</v>
      </c>
      <c r="F219" s="3">
        <v>1</v>
      </c>
      <c r="G219" s="3">
        <v>2</v>
      </c>
      <c r="H219" s="3">
        <v>1</v>
      </c>
      <c r="I219" s="5"/>
    </row>
    <row r="220" spans="1:9">
      <c r="A220" s="3" t="s">
        <v>875</v>
      </c>
      <c r="B220" s="3" t="s">
        <v>876</v>
      </c>
      <c r="C220" s="3" t="s">
        <v>877</v>
      </c>
      <c r="D220" s="3" t="s">
        <v>878</v>
      </c>
      <c r="E220" s="3">
        <v>7</v>
      </c>
      <c r="F220" s="3">
        <v>0</v>
      </c>
      <c r="G220" s="3">
        <v>5</v>
      </c>
      <c r="H220" s="3">
        <v>2</v>
      </c>
      <c r="I220" s="5"/>
    </row>
    <row r="221" spans="1:9">
      <c r="A221" s="3" t="s">
        <v>879</v>
      </c>
      <c r="B221" s="3" t="s">
        <v>880</v>
      </c>
      <c r="C221" s="3" t="s">
        <v>881</v>
      </c>
      <c r="D221" s="3" t="s">
        <v>882</v>
      </c>
      <c r="E221" s="3">
        <v>1</v>
      </c>
      <c r="F221" s="3">
        <v>1</v>
      </c>
      <c r="G221" s="3">
        <v>0</v>
      </c>
      <c r="H221" s="3">
        <v>0</v>
      </c>
      <c r="I221" s="5"/>
    </row>
    <row r="222" spans="1:9">
      <c r="A222" s="3" t="s">
        <v>883</v>
      </c>
      <c r="B222" s="3" t="s">
        <v>884</v>
      </c>
      <c r="C222" s="3" t="s">
        <v>885</v>
      </c>
      <c r="D222" s="3" t="s">
        <v>886</v>
      </c>
      <c r="E222" s="3">
        <v>3</v>
      </c>
      <c r="F222" s="3">
        <v>0</v>
      </c>
      <c r="G222" s="3">
        <v>1</v>
      </c>
      <c r="H222" s="3">
        <v>2</v>
      </c>
      <c r="I222" s="5"/>
    </row>
    <row r="223" spans="1:9">
      <c r="A223" s="3" t="s">
        <v>887</v>
      </c>
      <c r="B223" s="3" t="s">
        <v>888</v>
      </c>
      <c r="C223" s="3" t="s">
        <v>889</v>
      </c>
      <c r="D223" s="3" t="s">
        <v>890</v>
      </c>
      <c r="E223" s="3">
        <v>1</v>
      </c>
      <c r="F223" s="3">
        <v>1</v>
      </c>
      <c r="G223" s="3">
        <v>0</v>
      </c>
      <c r="H223" s="3">
        <v>0</v>
      </c>
      <c r="I223" s="5"/>
    </row>
    <row r="224" spans="1:9">
      <c r="A224" s="3" t="s">
        <v>891</v>
      </c>
      <c r="B224" s="3" t="s">
        <v>892</v>
      </c>
      <c r="C224" s="3" t="s">
        <v>893</v>
      </c>
      <c r="D224" s="3" t="s">
        <v>894</v>
      </c>
      <c r="E224" s="3">
        <v>2</v>
      </c>
      <c r="F224" s="3">
        <v>1</v>
      </c>
      <c r="G224" s="3">
        <v>1</v>
      </c>
      <c r="H224" s="3">
        <v>0</v>
      </c>
      <c r="I224" s="5"/>
    </row>
    <row r="225" spans="1:9">
      <c r="A225" s="3" t="s">
        <v>895</v>
      </c>
      <c r="B225" s="3" t="s">
        <v>896</v>
      </c>
      <c r="C225" s="3" t="s">
        <v>897</v>
      </c>
      <c r="D225" s="3" t="s">
        <v>898</v>
      </c>
      <c r="E225" s="3">
        <v>2</v>
      </c>
      <c r="F225" s="3">
        <v>1</v>
      </c>
      <c r="G225" s="3">
        <v>1</v>
      </c>
      <c r="H225" s="3">
        <v>0</v>
      </c>
      <c r="I225" s="5"/>
    </row>
    <row r="226" spans="1:9">
      <c r="A226" s="3" t="s">
        <v>899</v>
      </c>
      <c r="B226" s="3" t="s">
        <v>900</v>
      </c>
      <c r="C226" s="3" t="s">
        <v>901</v>
      </c>
      <c r="D226" s="3" t="s">
        <v>902</v>
      </c>
      <c r="E226" s="3">
        <v>4</v>
      </c>
      <c r="F226" s="3">
        <v>2</v>
      </c>
      <c r="G226" s="3">
        <v>2</v>
      </c>
      <c r="H226" s="3">
        <v>0</v>
      </c>
      <c r="I226" s="5"/>
    </row>
    <row r="227" spans="1:9">
      <c r="A227" s="3" t="s">
        <v>903</v>
      </c>
      <c r="B227" s="3" t="s">
        <v>904</v>
      </c>
      <c r="C227" s="3" t="s">
        <v>905</v>
      </c>
      <c r="D227" s="3" t="s">
        <v>906</v>
      </c>
      <c r="E227" s="3">
        <v>6</v>
      </c>
      <c r="F227" s="3">
        <v>3</v>
      </c>
      <c r="G227" s="3">
        <v>1</v>
      </c>
      <c r="H227" s="3">
        <v>2</v>
      </c>
      <c r="I227" s="5"/>
    </row>
    <row r="228" spans="1:9">
      <c r="A228" s="3" t="s">
        <v>907</v>
      </c>
      <c r="B228" s="3" t="s">
        <v>908</v>
      </c>
      <c r="C228" s="3" t="s">
        <v>909</v>
      </c>
      <c r="D228" s="3" t="s">
        <v>910</v>
      </c>
      <c r="E228" s="3">
        <v>2</v>
      </c>
      <c r="F228" s="3">
        <v>1</v>
      </c>
      <c r="G228" s="3">
        <v>0</v>
      </c>
      <c r="H228" s="3">
        <v>1</v>
      </c>
      <c r="I228" s="5"/>
    </row>
    <row r="229" spans="1:9">
      <c r="A229" s="3" t="s">
        <v>911</v>
      </c>
      <c r="B229" s="3" t="s">
        <v>912</v>
      </c>
      <c r="C229" s="3" t="s">
        <v>913</v>
      </c>
      <c r="D229" s="3" t="s">
        <v>914</v>
      </c>
      <c r="E229" s="3">
        <v>8</v>
      </c>
      <c r="F229" s="3">
        <v>3</v>
      </c>
      <c r="G229" s="3">
        <v>5</v>
      </c>
      <c r="H229" s="3">
        <v>0</v>
      </c>
      <c r="I229" s="5"/>
    </row>
    <row r="230" spans="1:9">
      <c r="A230" s="3" t="s">
        <v>915</v>
      </c>
      <c r="B230" s="3" t="s">
        <v>916</v>
      </c>
      <c r="C230" s="3" t="s">
        <v>917</v>
      </c>
      <c r="D230" s="3" t="s">
        <v>918</v>
      </c>
      <c r="E230" s="3">
        <v>7</v>
      </c>
      <c r="F230" s="3">
        <v>1</v>
      </c>
      <c r="G230" s="3">
        <v>2</v>
      </c>
      <c r="H230" s="3">
        <v>4</v>
      </c>
      <c r="I230" s="5"/>
    </row>
    <row r="231" spans="1:9">
      <c r="A231" s="3" t="s">
        <v>919</v>
      </c>
      <c r="B231" s="3" t="s">
        <v>920</v>
      </c>
      <c r="C231" s="3" t="s">
        <v>921</v>
      </c>
      <c r="D231" s="3" t="s">
        <v>922</v>
      </c>
      <c r="E231" s="3">
        <v>1</v>
      </c>
      <c r="F231" s="3">
        <v>0</v>
      </c>
      <c r="G231" s="3">
        <v>1</v>
      </c>
      <c r="H231" s="3">
        <v>0</v>
      </c>
      <c r="I231" s="5"/>
    </row>
    <row r="232" spans="1:9">
      <c r="A232" s="3" t="s">
        <v>923</v>
      </c>
      <c r="B232" s="3" t="s">
        <v>924</v>
      </c>
      <c r="C232" s="3" t="s">
        <v>925</v>
      </c>
      <c r="D232" s="3" t="s">
        <v>926</v>
      </c>
      <c r="E232" s="3">
        <v>2</v>
      </c>
      <c r="F232" s="3">
        <v>0</v>
      </c>
      <c r="G232" s="3">
        <v>1</v>
      </c>
      <c r="H232" s="3">
        <v>1</v>
      </c>
      <c r="I232" s="5"/>
    </row>
    <row r="233" spans="1:9">
      <c r="A233" s="3" t="s">
        <v>927</v>
      </c>
      <c r="B233" s="3" t="s">
        <v>928</v>
      </c>
      <c r="C233" s="3" t="s">
        <v>929</v>
      </c>
      <c r="D233" s="3" t="s">
        <v>930</v>
      </c>
      <c r="E233" s="3">
        <v>1</v>
      </c>
      <c r="F233" s="3">
        <v>1</v>
      </c>
      <c r="G233" s="3">
        <v>0</v>
      </c>
      <c r="H233" s="3">
        <v>0</v>
      </c>
      <c r="I233" s="5"/>
    </row>
    <row r="234" spans="1:9">
      <c r="A234" s="3" t="s">
        <v>931</v>
      </c>
      <c r="B234" s="3" t="s">
        <v>932</v>
      </c>
      <c r="C234" s="3" t="s">
        <v>933</v>
      </c>
      <c r="D234" s="3" t="s">
        <v>934</v>
      </c>
      <c r="E234" s="3">
        <v>1</v>
      </c>
      <c r="F234" s="3">
        <v>1</v>
      </c>
      <c r="G234" s="3">
        <v>0</v>
      </c>
      <c r="H234" s="3">
        <v>0</v>
      </c>
      <c r="I234" s="5"/>
    </row>
    <row r="235" spans="1:9">
      <c r="A235" s="3" t="s">
        <v>935</v>
      </c>
      <c r="B235" s="3" t="s">
        <v>936</v>
      </c>
      <c r="C235" s="3" t="s">
        <v>937</v>
      </c>
      <c r="D235" s="3" t="s">
        <v>938</v>
      </c>
      <c r="E235" s="3">
        <v>3</v>
      </c>
      <c r="F235" s="3">
        <v>2</v>
      </c>
      <c r="G235" s="3">
        <v>0</v>
      </c>
      <c r="H235" s="3">
        <v>1</v>
      </c>
      <c r="I235" s="5"/>
    </row>
    <row r="236" spans="1:9">
      <c r="A236" s="3" t="s">
        <v>939</v>
      </c>
      <c r="B236" s="3" t="s">
        <v>940</v>
      </c>
      <c r="C236" s="3" t="s">
        <v>941</v>
      </c>
      <c r="D236" s="3" t="s">
        <v>942</v>
      </c>
      <c r="E236" s="3">
        <v>1</v>
      </c>
      <c r="F236" s="3">
        <v>0</v>
      </c>
      <c r="G236" s="3">
        <v>0</v>
      </c>
      <c r="H236" s="3">
        <v>1</v>
      </c>
      <c r="I236" s="5"/>
    </row>
    <row r="237" spans="1:9">
      <c r="A237" s="3" t="s">
        <v>943</v>
      </c>
      <c r="B237" s="3" t="s">
        <v>944</v>
      </c>
      <c r="C237" s="3" t="s">
        <v>945</v>
      </c>
      <c r="D237" s="3" t="s">
        <v>946</v>
      </c>
      <c r="E237" s="3">
        <v>1</v>
      </c>
      <c r="F237" s="3">
        <v>0</v>
      </c>
      <c r="G237" s="3">
        <v>0</v>
      </c>
      <c r="H237" s="3">
        <v>1</v>
      </c>
      <c r="I237" s="5"/>
    </row>
    <row r="238" spans="1:9">
      <c r="A238" s="3" t="s">
        <v>947</v>
      </c>
      <c r="B238" s="3" t="s">
        <v>948</v>
      </c>
      <c r="C238" s="3" t="s">
        <v>949</v>
      </c>
      <c r="D238" s="3" t="s">
        <v>950</v>
      </c>
      <c r="E238" s="3">
        <v>1</v>
      </c>
      <c r="F238" s="3">
        <v>0</v>
      </c>
      <c r="G238" s="3">
        <v>0</v>
      </c>
      <c r="H238" s="3">
        <v>1</v>
      </c>
      <c r="I238" s="5"/>
    </row>
    <row r="239" spans="1:9">
      <c r="A239" s="3" t="s">
        <v>951</v>
      </c>
      <c r="B239" s="3" t="s">
        <v>952</v>
      </c>
      <c r="C239" s="3" t="s">
        <v>953</v>
      </c>
      <c r="D239" s="3" t="s">
        <v>954</v>
      </c>
      <c r="E239" s="3">
        <v>1</v>
      </c>
      <c r="F239" s="3">
        <v>1</v>
      </c>
      <c r="G239" s="3">
        <v>0</v>
      </c>
      <c r="H239" s="3">
        <v>0</v>
      </c>
      <c r="I239" s="5"/>
    </row>
    <row r="240" spans="1:9">
      <c r="A240" s="3" t="s">
        <v>955</v>
      </c>
      <c r="B240" s="3" t="s">
        <v>956</v>
      </c>
      <c r="C240" s="3" t="s">
        <v>957</v>
      </c>
      <c r="D240" s="3" t="s">
        <v>958</v>
      </c>
      <c r="E240" s="3">
        <v>1</v>
      </c>
      <c r="F240" s="3">
        <v>0</v>
      </c>
      <c r="G240" s="3">
        <v>0</v>
      </c>
      <c r="H240" s="3">
        <v>1</v>
      </c>
      <c r="I240" s="5"/>
    </row>
    <row r="241" spans="1:9">
      <c r="A241" s="3" t="s">
        <v>959</v>
      </c>
      <c r="B241" s="3" t="s">
        <v>960</v>
      </c>
      <c r="C241" s="3" t="s">
        <v>961</v>
      </c>
      <c r="D241" s="3" t="s">
        <v>962</v>
      </c>
      <c r="E241" s="3">
        <v>1</v>
      </c>
      <c r="F241" s="3">
        <v>0</v>
      </c>
      <c r="G241" s="3">
        <v>1</v>
      </c>
      <c r="H241" s="3">
        <v>0</v>
      </c>
      <c r="I241" s="5"/>
    </row>
    <row r="242" spans="1:9">
      <c r="A242" s="3" t="s">
        <v>963</v>
      </c>
      <c r="B242" s="3" t="s">
        <v>964</v>
      </c>
      <c r="C242" s="3" t="s">
        <v>965</v>
      </c>
      <c r="D242" s="3" t="s">
        <v>966</v>
      </c>
      <c r="E242" s="3">
        <v>2</v>
      </c>
      <c r="F242" s="3">
        <v>1</v>
      </c>
      <c r="G242" s="3">
        <v>1</v>
      </c>
      <c r="H242" s="3">
        <v>0</v>
      </c>
      <c r="I242" s="5"/>
    </row>
    <row r="243" spans="1:9">
      <c r="A243" s="3" t="s">
        <v>967</v>
      </c>
      <c r="B243" s="3" t="s">
        <v>968</v>
      </c>
      <c r="C243" s="3" t="s">
        <v>969</v>
      </c>
      <c r="D243" s="3" t="s">
        <v>970</v>
      </c>
      <c r="E243" s="3">
        <v>4</v>
      </c>
      <c r="F243" s="3">
        <v>2</v>
      </c>
      <c r="G243" s="3">
        <v>1</v>
      </c>
      <c r="H243" s="3">
        <v>1</v>
      </c>
      <c r="I243" s="5"/>
    </row>
    <row r="244" spans="1:9">
      <c r="A244" s="3" t="s">
        <v>971</v>
      </c>
      <c r="B244" s="3" t="s">
        <v>972</v>
      </c>
      <c r="C244" s="3" t="s">
        <v>973</v>
      </c>
      <c r="D244" s="3" t="s">
        <v>974</v>
      </c>
      <c r="E244" s="3">
        <v>2</v>
      </c>
      <c r="F244" s="3">
        <v>1</v>
      </c>
      <c r="G244" s="3">
        <v>0</v>
      </c>
      <c r="H244" s="3">
        <v>1</v>
      </c>
      <c r="I244" s="5"/>
    </row>
    <row r="245" spans="1:9">
      <c r="A245" s="3" t="s">
        <v>975</v>
      </c>
      <c r="B245" s="3" t="s">
        <v>976</v>
      </c>
      <c r="C245" s="3" t="s">
        <v>977</v>
      </c>
      <c r="D245" s="3" t="s">
        <v>978</v>
      </c>
      <c r="E245" s="3">
        <v>17</v>
      </c>
      <c r="F245" s="3">
        <v>3</v>
      </c>
      <c r="G245" s="3">
        <v>11</v>
      </c>
      <c r="H245" s="3">
        <v>3</v>
      </c>
      <c r="I245" s="5"/>
    </row>
    <row r="246" spans="1:9">
      <c r="A246" s="3" t="s">
        <v>979</v>
      </c>
      <c r="B246" s="3" t="s">
        <v>980</v>
      </c>
      <c r="C246" s="3" t="s">
        <v>981</v>
      </c>
      <c r="D246" s="3" t="s">
        <v>982</v>
      </c>
      <c r="E246" s="3">
        <v>1</v>
      </c>
      <c r="F246" s="3">
        <v>1</v>
      </c>
      <c r="G246" s="3">
        <v>0</v>
      </c>
      <c r="H246" s="3">
        <v>0</v>
      </c>
      <c r="I246" s="5"/>
    </row>
    <row r="247" spans="1:9">
      <c r="A247" s="3" t="s">
        <v>983</v>
      </c>
      <c r="B247" s="3" t="s">
        <v>984</v>
      </c>
      <c r="C247" s="3" t="s">
        <v>985</v>
      </c>
      <c r="D247" s="3" t="s">
        <v>986</v>
      </c>
      <c r="E247" s="3">
        <v>8</v>
      </c>
      <c r="F247" s="3">
        <v>2</v>
      </c>
      <c r="G247" s="3">
        <v>6</v>
      </c>
      <c r="H247" s="3">
        <v>0</v>
      </c>
      <c r="I247" s="5"/>
    </row>
    <row r="248" spans="1:9">
      <c r="A248" s="3" t="s">
        <v>987</v>
      </c>
      <c r="B248" s="3" t="s">
        <v>988</v>
      </c>
      <c r="C248" s="3" t="s">
        <v>989</v>
      </c>
      <c r="D248" s="3" t="s">
        <v>990</v>
      </c>
      <c r="E248" s="3">
        <v>1</v>
      </c>
      <c r="F248" s="3">
        <v>0</v>
      </c>
      <c r="G248" s="3">
        <v>0</v>
      </c>
      <c r="H248" s="3">
        <v>1</v>
      </c>
      <c r="I248" s="5"/>
    </row>
    <row r="249" spans="1:9">
      <c r="A249" s="3" t="s">
        <v>991</v>
      </c>
      <c r="B249" s="3" t="s">
        <v>992</v>
      </c>
      <c r="C249" s="3" t="s">
        <v>993</v>
      </c>
      <c r="D249" s="3" t="s">
        <v>994</v>
      </c>
      <c r="E249" s="3">
        <v>1</v>
      </c>
      <c r="F249" s="3">
        <v>0</v>
      </c>
      <c r="G249" s="3">
        <v>0</v>
      </c>
      <c r="H249" s="3">
        <v>1</v>
      </c>
      <c r="I249" s="5"/>
    </row>
    <row r="250" spans="1:9">
      <c r="A250" s="3" t="s">
        <v>995</v>
      </c>
      <c r="B250" s="3" t="s">
        <v>996</v>
      </c>
      <c r="C250" s="3" t="s">
        <v>997</v>
      </c>
      <c r="D250" s="3" t="s">
        <v>998</v>
      </c>
      <c r="E250" s="3">
        <v>4</v>
      </c>
      <c r="F250" s="3">
        <v>2</v>
      </c>
      <c r="G250" s="3">
        <v>1</v>
      </c>
      <c r="H250" s="3">
        <v>1</v>
      </c>
      <c r="I250" s="5"/>
    </row>
    <row r="251" spans="1:9">
      <c r="A251" s="3" t="s">
        <v>999</v>
      </c>
      <c r="B251" s="3" t="s">
        <v>1000</v>
      </c>
      <c r="C251" s="3" t="s">
        <v>1001</v>
      </c>
      <c r="D251" s="3" t="s">
        <v>1002</v>
      </c>
      <c r="E251" s="3">
        <v>3</v>
      </c>
      <c r="F251" s="3">
        <v>1</v>
      </c>
      <c r="G251" s="3">
        <v>1</v>
      </c>
      <c r="H251" s="3">
        <v>1</v>
      </c>
      <c r="I251" s="5"/>
    </row>
    <row r="252" spans="1:9">
      <c r="A252" s="3" t="s">
        <v>1003</v>
      </c>
      <c r="B252" s="3" t="s">
        <v>1004</v>
      </c>
      <c r="C252" s="3" t="s">
        <v>1005</v>
      </c>
      <c r="D252" s="3" t="s">
        <v>898</v>
      </c>
      <c r="E252" s="3">
        <v>1</v>
      </c>
      <c r="F252" s="3">
        <v>1</v>
      </c>
      <c r="G252" s="3">
        <v>0</v>
      </c>
      <c r="H252" s="3">
        <v>0</v>
      </c>
      <c r="I252" s="5"/>
    </row>
    <row r="253" spans="1:9">
      <c r="A253" s="3" t="s">
        <v>1006</v>
      </c>
      <c r="B253" s="3" t="s">
        <v>1007</v>
      </c>
      <c r="C253" s="3" t="s">
        <v>1008</v>
      </c>
      <c r="D253" s="3" t="s">
        <v>1009</v>
      </c>
      <c r="E253" s="3">
        <v>1</v>
      </c>
      <c r="F253" s="3">
        <v>1</v>
      </c>
      <c r="G253" s="3">
        <v>0</v>
      </c>
      <c r="H253" s="3">
        <v>0</v>
      </c>
      <c r="I253" s="5"/>
    </row>
    <row r="254" spans="1:9">
      <c r="A254" s="3" t="s">
        <v>1010</v>
      </c>
      <c r="B254" s="3" t="s">
        <v>1011</v>
      </c>
      <c r="C254" s="3" t="s">
        <v>1012</v>
      </c>
      <c r="D254" s="3" t="s">
        <v>1013</v>
      </c>
      <c r="E254" s="3">
        <v>12</v>
      </c>
      <c r="F254" s="3">
        <v>4</v>
      </c>
      <c r="G254" s="3">
        <v>6</v>
      </c>
      <c r="H254" s="3">
        <v>2</v>
      </c>
      <c r="I254" s="5"/>
    </row>
    <row r="255" spans="1:9">
      <c r="A255" s="3" t="s">
        <v>1014</v>
      </c>
      <c r="B255" s="3" t="s">
        <v>1015</v>
      </c>
      <c r="C255" s="3" t="s">
        <v>1016</v>
      </c>
      <c r="D255" s="3" t="s">
        <v>1017</v>
      </c>
      <c r="E255" s="3">
        <v>2</v>
      </c>
      <c r="F255" s="3">
        <v>1</v>
      </c>
      <c r="G255" s="3">
        <v>1</v>
      </c>
      <c r="H255" s="3">
        <v>0</v>
      </c>
      <c r="I255" s="5"/>
    </row>
    <row r="256" spans="1:9">
      <c r="A256" s="3" t="s">
        <v>1018</v>
      </c>
      <c r="B256" s="3" t="s">
        <v>1019</v>
      </c>
      <c r="C256" s="3" t="s">
        <v>1020</v>
      </c>
      <c r="D256" s="3" t="s">
        <v>1021</v>
      </c>
      <c r="E256" s="3">
        <v>3</v>
      </c>
      <c r="F256" s="3">
        <v>2</v>
      </c>
      <c r="G256" s="3">
        <v>0</v>
      </c>
      <c r="H256" s="3">
        <v>1</v>
      </c>
      <c r="I256" s="5"/>
    </row>
    <row r="257" spans="1:9">
      <c r="A257" s="3" t="s">
        <v>1022</v>
      </c>
      <c r="B257" s="3" t="s">
        <v>1023</v>
      </c>
      <c r="C257" s="3" t="s">
        <v>1024</v>
      </c>
      <c r="D257" s="3" t="s">
        <v>1025</v>
      </c>
      <c r="E257" s="3">
        <v>2</v>
      </c>
      <c r="F257" s="3">
        <v>1</v>
      </c>
      <c r="G257" s="3">
        <v>0</v>
      </c>
      <c r="H257" s="3">
        <v>1</v>
      </c>
      <c r="I257" s="5"/>
    </row>
    <row r="258" spans="1:9">
      <c r="A258" s="3" t="s">
        <v>1026</v>
      </c>
      <c r="B258" s="3" t="s">
        <v>1027</v>
      </c>
      <c r="C258" s="3" t="s">
        <v>1028</v>
      </c>
      <c r="D258" s="3" t="s">
        <v>1029</v>
      </c>
      <c r="E258" s="3">
        <v>2</v>
      </c>
      <c r="F258" s="3">
        <v>0</v>
      </c>
      <c r="G258" s="3">
        <v>0</v>
      </c>
      <c r="H258" s="3">
        <v>2</v>
      </c>
      <c r="I258" s="5"/>
    </row>
    <row r="259" spans="1:9">
      <c r="A259" s="3" t="s">
        <v>1030</v>
      </c>
      <c r="B259" s="3" t="s">
        <v>1031</v>
      </c>
      <c r="C259" s="3" t="s">
        <v>1032</v>
      </c>
      <c r="D259" s="3" t="s">
        <v>1033</v>
      </c>
      <c r="E259" s="3">
        <v>8</v>
      </c>
      <c r="F259" s="3">
        <v>4</v>
      </c>
      <c r="G259" s="3">
        <v>0</v>
      </c>
      <c r="H259" s="3">
        <v>4</v>
      </c>
      <c r="I259" s="5"/>
    </row>
    <row r="260" spans="1:9">
      <c r="A260" s="3" t="s">
        <v>1034</v>
      </c>
      <c r="B260" s="3" t="s">
        <v>1035</v>
      </c>
      <c r="C260" s="3" t="s">
        <v>1036</v>
      </c>
      <c r="D260" s="3" t="s">
        <v>1037</v>
      </c>
      <c r="E260" s="3">
        <v>1</v>
      </c>
      <c r="F260" s="3">
        <v>0</v>
      </c>
      <c r="G260" s="3">
        <v>0</v>
      </c>
      <c r="H260" s="3">
        <v>1</v>
      </c>
      <c r="I260" s="5"/>
    </row>
    <row r="261" spans="1:9">
      <c r="A261" s="3" t="s">
        <v>1038</v>
      </c>
      <c r="B261" s="3" t="s">
        <v>1039</v>
      </c>
      <c r="C261" s="3" t="s">
        <v>1040</v>
      </c>
      <c r="D261" s="3" t="s">
        <v>1041</v>
      </c>
      <c r="E261" s="3">
        <v>1</v>
      </c>
      <c r="F261" s="3">
        <v>0</v>
      </c>
      <c r="G261" s="3">
        <v>0</v>
      </c>
      <c r="H261" s="3">
        <v>1</v>
      </c>
      <c r="I261" s="5"/>
    </row>
    <row r="262" spans="1:9">
      <c r="A262" s="3" t="s">
        <v>1042</v>
      </c>
      <c r="B262" s="3" t="s">
        <v>1043</v>
      </c>
      <c r="C262" s="3" t="s">
        <v>1044</v>
      </c>
      <c r="D262" s="3" t="s">
        <v>1045</v>
      </c>
      <c r="E262" s="3">
        <v>8</v>
      </c>
      <c r="F262" s="3">
        <v>3</v>
      </c>
      <c r="G262" s="3">
        <v>2</v>
      </c>
      <c r="H262" s="3">
        <v>3</v>
      </c>
      <c r="I262" s="5"/>
    </row>
    <row r="263" spans="1:9">
      <c r="A263" s="3" t="s">
        <v>1046</v>
      </c>
      <c r="B263" s="3" t="s">
        <v>1047</v>
      </c>
      <c r="C263" s="3" t="s">
        <v>1048</v>
      </c>
      <c r="D263" s="3" t="s">
        <v>1049</v>
      </c>
      <c r="E263" s="3">
        <v>2</v>
      </c>
      <c r="F263" s="3">
        <v>0</v>
      </c>
      <c r="G263" s="3">
        <v>1</v>
      </c>
      <c r="H263" s="3">
        <v>1</v>
      </c>
      <c r="I263" s="5"/>
    </row>
    <row r="264" spans="1:9">
      <c r="A264" s="3" t="s">
        <v>1050</v>
      </c>
      <c r="B264" s="3" t="s">
        <v>1051</v>
      </c>
      <c r="C264" s="3" t="s">
        <v>1052</v>
      </c>
      <c r="D264" s="3" t="s">
        <v>1053</v>
      </c>
      <c r="E264" s="3">
        <v>2</v>
      </c>
      <c r="F264" s="3">
        <v>1</v>
      </c>
      <c r="G264" s="3">
        <v>0</v>
      </c>
      <c r="H264" s="3">
        <v>1</v>
      </c>
      <c r="I264" s="5"/>
    </row>
    <row r="265" spans="1:9">
      <c r="A265" s="3" t="s">
        <v>1054</v>
      </c>
      <c r="B265" s="3" t="s">
        <v>1055</v>
      </c>
      <c r="C265" s="3" t="s">
        <v>1056</v>
      </c>
      <c r="D265" s="3" t="s">
        <v>1057</v>
      </c>
      <c r="E265" s="3">
        <v>1</v>
      </c>
      <c r="F265" s="3">
        <v>1</v>
      </c>
      <c r="G265" s="3">
        <v>0</v>
      </c>
      <c r="H265" s="3">
        <v>0</v>
      </c>
      <c r="I265" s="5"/>
    </row>
    <row r="266" spans="1:9">
      <c r="A266" s="3" t="s">
        <v>1058</v>
      </c>
      <c r="B266" s="3" t="s">
        <v>1059</v>
      </c>
      <c r="C266" s="3" t="s">
        <v>1060</v>
      </c>
      <c r="D266" s="3" t="s">
        <v>1061</v>
      </c>
      <c r="E266" s="3">
        <v>1</v>
      </c>
      <c r="F266" s="3">
        <v>0</v>
      </c>
      <c r="G266" s="3">
        <v>0</v>
      </c>
      <c r="H266" s="3">
        <v>1</v>
      </c>
      <c r="I266" s="5"/>
    </row>
    <row r="267" spans="1:9">
      <c r="A267" s="3" t="s">
        <v>1062</v>
      </c>
      <c r="B267" s="3" t="s">
        <v>1063</v>
      </c>
      <c r="C267" s="3" t="s">
        <v>1064</v>
      </c>
      <c r="D267" s="3" t="s">
        <v>1065</v>
      </c>
      <c r="E267" s="3">
        <v>1</v>
      </c>
      <c r="F267" s="3">
        <v>1</v>
      </c>
      <c r="G267" s="3">
        <v>0</v>
      </c>
      <c r="H267" s="3">
        <v>0</v>
      </c>
      <c r="I267" s="5"/>
    </row>
    <row r="268" spans="1:9">
      <c r="A268" s="3" t="s">
        <v>1066</v>
      </c>
      <c r="B268" s="3" t="s">
        <v>1067</v>
      </c>
      <c r="C268" s="3" t="s">
        <v>1068</v>
      </c>
      <c r="D268" s="3" t="s">
        <v>1069</v>
      </c>
      <c r="E268" s="3">
        <v>1</v>
      </c>
      <c r="F268" s="3">
        <v>0</v>
      </c>
      <c r="G268" s="3">
        <v>0</v>
      </c>
      <c r="H268" s="3">
        <v>1</v>
      </c>
      <c r="I268" s="5"/>
    </row>
    <row r="269" spans="1:9">
      <c r="A269" s="3" t="s">
        <v>1070</v>
      </c>
      <c r="B269" s="3" t="s">
        <v>1071</v>
      </c>
      <c r="C269" s="3" t="s">
        <v>1072</v>
      </c>
      <c r="D269" s="3" t="s">
        <v>1073</v>
      </c>
      <c r="E269" s="3">
        <v>1</v>
      </c>
      <c r="F269" s="3">
        <v>0</v>
      </c>
      <c r="G269" s="3">
        <v>0</v>
      </c>
      <c r="H269" s="3">
        <v>1</v>
      </c>
      <c r="I269" s="5"/>
    </row>
    <row r="270" spans="1:9">
      <c r="A270" s="3" t="s">
        <v>1074</v>
      </c>
      <c r="B270" s="3" t="s">
        <v>1075</v>
      </c>
      <c r="C270" s="3" t="s">
        <v>1076</v>
      </c>
      <c r="D270" s="3" t="s">
        <v>1077</v>
      </c>
      <c r="E270" s="3">
        <v>1</v>
      </c>
      <c r="F270" s="3">
        <v>0</v>
      </c>
      <c r="G270" s="3">
        <v>0</v>
      </c>
      <c r="H270" s="3">
        <v>1</v>
      </c>
      <c r="I270" s="5"/>
    </row>
    <row r="271" spans="1:9">
      <c r="A271" s="3" t="s">
        <v>1078</v>
      </c>
      <c r="B271" s="3" t="s">
        <v>1079</v>
      </c>
      <c r="C271" s="3" t="s">
        <v>1080</v>
      </c>
      <c r="D271" s="3" t="s">
        <v>1081</v>
      </c>
      <c r="E271" s="3">
        <v>13</v>
      </c>
      <c r="F271" s="3">
        <v>7</v>
      </c>
      <c r="G271" s="3">
        <v>2</v>
      </c>
      <c r="H271" s="3">
        <v>4</v>
      </c>
      <c r="I271" s="5"/>
    </row>
    <row r="272" spans="1:9">
      <c r="A272" s="3" t="s">
        <v>1082</v>
      </c>
      <c r="B272" s="3" t="s">
        <v>1083</v>
      </c>
      <c r="C272" s="3" t="s">
        <v>1084</v>
      </c>
      <c r="D272" s="3" t="s">
        <v>1085</v>
      </c>
      <c r="E272" s="3">
        <v>4</v>
      </c>
      <c r="F272" s="3">
        <v>2</v>
      </c>
      <c r="G272" s="3">
        <v>0</v>
      </c>
      <c r="H272" s="3">
        <v>2</v>
      </c>
      <c r="I272" s="5"/>
    </row>
    <row r="273" spans="1:9">
      <c r="A273" s="3" t="s">
        <v>1086</v>
      </c>
      <c r="B273" s="3" t="s">
        <v>1087</v>
      </c>
      <c r="C273" s="3" t="s">
        <v>1088</v>
      </c>
      <c r="D273" s="3" t="s">
        <v>1089</v>
      </c>
      <c r="E273" s="3">
        <v>1</v>
      </c>
      <c r="F273" s="3">
        <v>1</v>
      </c>
      <c r="G273" s="3">
        <v>0</v>
      </c>
      <c r="H273" s="3">
        <v>0</v>
      </c>
      <c r="I273" s="5"/>
    </row>
    <row r="274" spans="1:9">
      <c r="A274" s="3" t="s">
        <v>1090</v>
      </c>
      <c r="B274" s="3" t="s">
        <v>1091</v>
      </c>
      <c r="C274" s="3" t="s">
        <v>1092</v>
      </c>
      <c r="D274" s="3" t="s">
        <v>1093</v>
      </c>
      <c r="E274" s="3">
        <v>4</v>
      </c>
      <c r="F274" s="3">
        <v>0</v>
      </c>
      <c r="G274" s="3">
        <v>0</v>
      </c>
      <c r="H274" s="3">
        <v>4</v>
      </c>
      <c r="I274" s="5"/>
    </row>
    <row r="275" spans="1:9">
      <c r="A275" s="3" t="s">
        <v>1094</v>
      </c>
      <c r="B275" s="3" t="s">
        <v>1095</v>
      </c>
      <c r="C275" s="3" t="s">
        <v>1096</v>
      </c>
      <c r="D275" s="3" t="s">
        <v>1097</v>
      </c>
      <c r="E275" s="3">
        <v>1</v>
      </c>
      <c r="F275" s="3">
        <v>1</v>
      </c>
      <c r="G275" s="3">
        <v>0</v>
      </c>
      <c r="H275" s="3">
        <v>0</v>
      </c>
      <c r="I275" s="5"/>
    </row>
    <row r="276" spans="1:9">
      <c r="A276" s="3" t="s">
        <v>1098</v>
      </c>
      <c r="B276" s="3" t="s">
        <v>1099</v>
      </c>
      <c r="C276" s="3" t="s">
        <v>1100</v>
      </c>
      <c r="D276" s="3" t="s">
        <v>1101</v>
      </c>
      <c r="E276" s="3">
        <v>4</v>
      </c>
      <c r="F276" s="3">
        <v>1</v>
      </c>
      <c r="G276" s="3">
        <v>1</v>
      </c>
      <c r="H276" s="3">
        <v>2</v>
      </c>
      <c r="I276" s="5"/>
    </row>
    <row r="277" spans="1:9">
      <c r="A277" s="3" t="s">
        <v>1102</v>
      </c>
      <c r="B277" s="3" t="s">
        <v>1103</v>
      </c>
      <c r="C277" s="3" t="s">
        <v>1104</v>
      </c>
      <c r="D277" s="3" t="s">
        <v>1105</v>
      </c>
      <c r="E277" s="3">
        <v>6</v>
      </c>
      <c r="F277" s="3">
        <v>3</v>
      </c>
      <c r="G277" s="3">
        <v>0</v>
      </c>
      <c r="H277" s="3">
        <v>3</v>
      </c>
      <c r="I277" s="5"/>
    </row>
    <row r="278" spans="1:9">
      <c r="A278" s="3" t="s">
        <v>1106</v>
      </c>
      <c r="B278" s="3" t="s">
        <v>1107</v>
      </c>
      <c r="C278" s="3" t="s">
        <v>1108</v>
      </c>
      <c r="D278" s="3" t="s">
        <v>1109</v>
      </c>
      <c r="E278" s="3">
        <v>3</v>
      </c>
      <c r="F278" s="3">
        <v>1</v>
      </c>
      <c r="G278" s="3">
        <v>1</v>
      </c>
      <c r="H278" s="3">
        <v>1</v>
      </c>
      <c r="I278" s="5"/>
    </row>
    <row r="279" spans="1:9">
      <c r="A279" s="3" t="s">
        <v>1110</v>
      </c>
      <c r="B279" s="3" t="s">
        <v>1111</v>
      </c>
      <c r="C279" s="3" t="s">
        <v>1112</v>
      </c>
      <c r="D279" s="3" t="s">
        <v>1113</v>
      </c>
      <c r="E279" s="3">
        <v>3</v>
      </c>
      <c r="F279" s="3">
        <v>1</v>
      </c>
      <c r="G279" s="3">
        <v>1</v>
      </c>
      <c r="H279" s="3">
        <v>1</v>
      </c>
      <c r="I279" s="5"/>
    </row>
    <row r="280" spans="1:9">
      <c r="A280" s="3" t="s">
        <v>1114</v>
      </c>
      <c r="B280" s="3" t="s">
        <v>1115</v>
      </c>
      <c r="C280" s="3" t="s">
        <v>1116</v>
      </c>
      <c r="D280" s="3" t="s">
        <v>1117</v>
      </c>
      <c r="E280" s="3">
        <v>1</v>
      </c>
      <c r="F280" s="3">
        <v>0</v>
      </c>
      <c r="G280" s="3">
        <v>0</v>
      </c>
      <c r="H280" s="3">
        <v>1</v>
      </c>
      <c r="I280" s="5"/>
    </row>
    <row r="281" spans="1:9">
      <c r="A281" s="3" t="s">
        <v>1118</v>
      </c>
      <c r="B281" s="3" t="s">
        <v>1119</v>
      </c>
      <c r="C281" s="3" t="s">
        <v>1120</v>
      </c>
      <c r="D281" s="3" t="s">
        <v>1121</v>
      </c>
      <c r="E281" s="3">
        <v>2</v>
      </c>
      <c r="F281" s="3">
        <v>2</v>
      </c>
      <c r="G281" s="3">
        <v>0</v>
      </c>
      <c r="H281" s="3">
        <v>0</v>
      </c>
      <c r="I281" s="5"/>
    </row>
    <row r="282" spans="1:9">
      <c r="A282" s="3" t="s">
        <v>1122</v>
      </c>
      <c r="B282" s="3" t="s">
        <v>1123</v>
      </c>
      <c r="C282" s="3" t="s">
        <v>1124</v>
      </c>
      <c r="D282" s="3" t="s">
        <v>1125</v>
      </c>
      <c r="E282" s="3">
        <v>13</v>
      </c>
      <c r="F282" s="3">
        <v>0</v>
      </c>
      <c r="G282" s="3">
        <v>13</v>
      </c>
      <c r="H282" s="3">
        <v>0</v>
      </c>
      <c r="I282" s="5"/>
    </row>
    <row r="283" spans="1:9">
      <c r="A283" s="3" t="s">
        <v>1126</v>
      </c>
      <c r="B283" s="3" t="s">
        <v>1127</v>
      </c>
      <c r="C283" s="3" t="s">
        <v>1128</v>
      </c>
      <c r="D283" s="3" t="s">
        <v>1121</v>
      </c>
      <c r="E283" s="3">
        <v>1</v>
      </c>
      <c r="F283" s="3">
        <v>0</v>
      </c>
      <c r="G283" s="3">
        <v>0</v>
      </c>
      <c r="H283" s="3">
        <v>1</v>
      </c>
      <c r="I283" s="5"/>
    </row>
    <row r="284" spans="1:9">
      <c r="A284" s="3" t="s">
        <v>1129</v>
      </c>
      <c r="B284" s="3" t="s">
        <v>1130</v>
      </c>
      <c r="C284" s="3" t="s">
        <v>1131</v>
      </c>
      <c r="D284" s="3" t="s">
        <v>1132</v>
      </c>
      <c r="E284" s="3">
        <v>1</v>
      </c>
      <c r="F284" s="3">
        <v>0</v>
      </c>
      <c r="G284" s="3">
        <v>0</v>
      </c>
      <c r="H284" s="3">
        <v>1</v>
      </c>
      <c r="I284" s="5"/>
    </row>
    <row r="285" spans="1:9">
      <c r="A285" s="3" t="s">
        <v>1133</v>
      </c>
      <c r="B285" s="3" t="s">
        <v>1134</v>
      </c>
      <c r="C285" s="3" t="s">
        <v>1135</v>
      </c>
      <c r="D285" s="3" t="s">
        <v>1136</v>
      </c>
      <c r="E285" s="3">
        <v>2</v>
      </c>
      <c r="F285" s="3">
        <v>1</v>
      </c>
      <c r="G285" s="3">
        <v>1</v>
      </c>
      <c r="H285" s="3">
        <v>0</v>
      </c>
      <c r="I285" s="5"/>
    </row>
    <row r="286" spans="1:9">
      <c r="A286" s="3" t="s">
        <v>1137</v>
      </c>
      <c r="B286" s="3" t="s">
        <v>1138</v>
      </c>
      <c r="C286" s="3" t="s">
        <v>1139</v>
      </c>
      <c r="D286" s="3" t="s">
        <v>1140</v>
      </c>
      <c r="E286" s="3">
        <v>5</v>
      </c>
      <c r="F286" s="3">
        <v>0</v>
      </c>
      <c r="G286" s="3">
        <v>5</v>
      </c>
      <c r="H286" s="3">
        <v>0</v>
      </c>
      <c r="I286" s="5"/>
    </row>
    <row r="287" spans="1:9">
      <c r="A287" s="3" t="s">
        <v>1141</v>
      </c>
      <c r="B287" s="3" t="s">
        <v>1142</v>
      </c>
      <c r="C287" s="3" t="s">
        <v>1143</v>
      </c>
      <c r="D287" s="3" t="s">
        <v>1136</v>
      </c>
      <c r="E287" s="3">
        <v>3</v>
      </c>
      <c r="F287" s="3">
        <v>2</v>
      </c>
      <c r="G287" s="3">
        <v>0</v>
      </c>
      <c r="H287" s="3">
        <v>1</v>
      </c>
      <c r="I287" s="5"/>
    </row>
    <row r="288" spans="1:9">
      <c r="A288" s="3" t="s">
        <v>1144</v>
      </c>
      <c r="B288" s="3" t="s">
        <v>1145</v>
      </c>
      <c r="C288" s="3" t="s">
        <v>1146</v>
      </c>
      <c r="D288" s="3" t="s">
        <v>1147</v>
      </c>
      <c r="E288" s="3">
        <v>1</v>
      </c>
      <c r="F288" s="3">
        <v>0</v>
      </c>
      <c r="G288" s="3">
        <v>0</v>
      </c>
      <c r="H288" s="3">
        <v>1</v>
      </c>
      <c r="I288" s="5"/>
    </row>
    <row r="289" spans="1:9">
      <c r="A289" s="3" t="s">
        <v>1148</v>
      </c>
      <c r="B289" s="3" t="s">
        <v>1149</v>
      </c>
      <c r="C289" s="3" t="s">
        <v>1150</v>
      </c>
      <c r="D289" s="3" t="s">
        <v>1136</v>
      </c>
      <c r="E289" s="3">
        <v>3</v>
      </c>
      <c r="F289" s="3">
        <v>1</v>
      </c>
      <c r="G289" s="3">
        <v>1</v>
      </c>
      <c r="H289" s="3">
        <v>1</v>
      </c>
      <c r="I289" s="5"/>
    </row>
    <row r="290" spans="1:9">
      <c r="A290" s="3" t="s">
        <v>1151</v>
      </c>
      <c r="B290" s="3" t="s">
        <v>1152</v>
      </c>
      <c r="C290" s="3" t="s">
        <v>1153</v>
      </c>
      <c r="D290" s="3" t="s">
        <v>1147</v>
      </c>
      <c r="E290" s="3">
        <v>3</v>
      </c>
      <c r="F290" s="3">
        <v>1</v>
      </c>
      <c r="G290" s="3">
        <v>0</v>
      </c>
      <c r="H290" s="3">
        <v>2</v>
      </c>
      <c r="I290" s="5"/>
    </row>
    <row r="291" spans="1:9">
      <c r="A291" s="3" t="s">
        <v>1154</v>
      </c>
      <c r="B291" s="3" t="s">
        <v>1155</v>
      </c>
      <c r="C291" s="3" t="s">
        <v>1156</v>
      </c>
      <c r="D291" s="3" t="s">
        <v>1125</v>
      </c>
      <c r="E291" s="3">
        <v>1</v>
      </c>
      <c r="F291" s="3">
        <v>1</v>
      </c>
      <c r="G291" s="3">
        <v>0</v>
      </c>
      <c r="H291" s="3">
        <v>0</v>
      </c>
      <c r="I291" s="5"/>
    </row>
    <row r="292" spans="1:9">
      <c r="A292" s="3" t="s">
        <v>1157</v>
      </c>
      <c r="B292" s="3" t="s">
        <v>1158</v>
      </c>
      <c r="C292" s="3" t="s">
        <v>1159</v>
      </c>
      <c r="D292" s="3" t="s">
        <v>1160</v>
      </c>
      <c r="E292" s="3">
        <v>1</v>
      </c>
      <c r="F292" s="3">
        <v>0</v>
      </c>
      <c r="G292" s="3">
        <v>0</v>
      </c>
      <c r="H292" s="3">
        <v>1</v>
      </c>
      <c r="I292" s="5"/>
    </row>
    <row r="293" spans="1:9">
      <c r="A293" s="3" t="s">
        <v>1161</v>
      </c>
      <c r="B293" s="3" t="s">
        <v>1162</v>
      </c>
      <c r="C293" s="3" t="s">
        <v>1163</v>
      </c>
      <c r="D293" s="3" t="s">
        <v>1121</v>
      </c>
      <c r="E293" s="3">
        <v>1</v>
      </c>
      <c r="F293" s="3">
        <v>1</v>
      </c>
      <c r="G293" s="3">
        <v>0</v>
      </c>
      <c r="H293" s="3">
        <v>0</v>
      </c>
      <c r="I293" s="5"/>
    </row>
    <row r="294" spans="1:9">
      <c r="A294" s="3" t="s">
        <v>1164</v>
      </c>
      <c r="B294" s="3" t="s">
        <v>1165</v>
      </c>
      <c r="C294" s="3" t="s">
        <v>1166</v>
      </c>
      <c r="D294" s="3" t="s">
        <v>1121</v>
      </c>
      <c r="E294" s="3">
        <v>2</v>
      </c>
      <c r="F294" s="3">
        <v>0</v>
      </c>
      <c r="G294" s="3">
        <v>1</v>
      </c>
      <c r="H294" s="3">
        <v>1</v>
      </c>
      <c r="I294" s="5"/>
    </row>
    <row r="295" spans="1:9">
      <c r="A295" s="3" t="s">
        <v>1167</v>
      </c>
      <c r="B295" s="3" t="s">
        <v>1168</v>
      </c>
      <c r="C295" s="3" t="s">
        <v>1169</v>
      </c>
      <c r="D295" s="3" t="s">
        <v>1170</v>
      </c>
      <c r="E295" s="3">
        <v>1</v>
      </c>
      <c r="F295" s="3">
        <v>0</v>
      </c>
      <c r="G295" s="3">
        <v>0</v>
      </c>
      <c r="H295" s="3">
        <v>1</v>
      </c>
      <c r="I295" s="5"/>
    </row>
    <row r="296" spans="1:9">
      <c r="A296" s="3" t="s">
        <v>1171</v>
      </c>
      <c r="B296" s="3" t="s">
        <v>1172</v>
      </c>
      <c r="C296" s="3" t="s">
        <v>1173</v>
      </c>
      <c r="D296" s="3" t="s">
        <v>1140</v>
      </c>
      <c r="E296" s="3">
        <v>2</v>
      </c>
      <c r="F296" s="3">
        <v>0</v>
      </c>
      <c r="G296" s="3">
        <v>2</v>
      </c>
      <c r="H296" s="3">
        <v>0</v>
      </c>
      <c r="I296" s="5"/>
    </row>
    <row r="297" spans="1:9">
      <c r="A297" s="3" t="s">
        <v>1174</v>
      </c>
      <c r="B297" s="3" t="s">
        <v>1175</v>
      </c>
      <c r="C297" s="3" t="s">
        <v>1176</v>
      </c>
      <c r="D297" s="3" t="s">
        <v>1177</v>
      </c>
      <c r="E297" s="3">
        <v>1</v>
      </c>
      <c r="F297" s="3">
        <v>0</v>
      </c>
      <c r="G297" s="3">
        <v>0</v>
      </c>
      <c r="H297" s="3">
        <v>1</v>
      </c>
      <c r="I297" s="5"/>
    </row>
    <row r="298" spans="1:9">
      <c r="A298" s="3" t="s">
        <v>1178</v>
      </c>
      <c r="B298" s="3" t="s">
        <v>1179</v>
      </c>
      <c r="C298" s="3" t="s">
        <v>1180</v>
      </c>
      <c r="D298" s="3" t="s">
        <v>1181</v>
      </c>
      <c r="E298" s="3">
        <v>1</v>
      </c>
      <c r="F298" s="3">
        <v>1</v>
      </c>
      <c r="G298" s="3">
        <v>0</v>
      </c>
      <c r="H298" s="3">
        <v>0</v>
      </c>
      <c r="I298" s="5"/>
    </row>
    <row r="299" spans="1:9">
      <c r="A299" s="3" t="s">
        <v>1182</v>
      </c>
      <c r="B299" s="3" t="s">
        <v>1183</v>
      </c>
      <c r="C299" s="3" t="s">
        <v>1184</v>
      </c>
      <c r="D299" s="3" t="s">
        <v>1181</v>
      </c>
      <c r="E299" s="3">
        <v>1</v>
      </c>
      <c r="F299" s="3">
        <v>0</v>
      </c>
      <c r="G299" s="3">
        <v>0</v>
      </c>
      <c r="H299" s="3">
        <v>1</v>
      </c>
      <c r="I299" s="5"/>
    </row>
    <row r="300" spans="1:9">
      <c r="A300" s="3" t="s">
        <v>1185</v>
      </c>
      <c r="B300" s="3" t="s">
        <v>1186</v>
      </c>
      <c r="C300" s="3" t="s">
        <v>1187</v>
      </c>
      <c r="D300" s="3" t="s">
        <v>1177</v>
      </c>
      <c r="E300" s="3">
        <v>3</v>
      </c>
      <c r="F300" s="3">
        <v>2</v>
      </c>
      <c r="G300" s="3">
        <v>0</v>
      </c>
      <c r="H300" s="3">
        <v>1</v>
      </c>
      <c r="I300" s="5"/>
    </row>
    <row r="301" spans="1:9">
      <c r="A301" s="3" t="s">
        <v>1188</v>
      </c>
      <c r="B301" s="3" t="s">
        <v>1189</v>
      </c>
      <c r="C301" s="3" t="s">
        <v>1190</v>
      </c>
      <c r="D301" s="3" t="s">
        <v>1177</v>
      </c>
      <c r="E301" s="3">
        <v>23</v>
      </c>
      <c r="F301" s="3">
        <v>1</v>
      </c>
      <c r="G301" s="3">
        <v>19</v>
      </c>
      <c r="H301" s="3">
        <v>3</v>
      </c>
      <c r="I301" s="5"/>
    </row>
    <row r="302" spans="1:9">
      <c r="A302" s="3" t="s">
        <v>1191</v>
      </c>
      <c r="B302" s="3" t="s">
        <v>1192</v>
      </c>
      <c r="C302" s="3" t="s">
        <v>1193</v>
      </c>
      <c r="D302" s="3" t="s">
        <v>1194</v>
      </c>
      <c r="E302" s="3">
        <v>1</v>
      </c>
      <c r="F302" s="3">
        <v>1</v>
      </c>
      <c r="G302" s="3">
        <v>0</v>
      </c>
      <c r="H302" s="3">
        <v>0</v>
      </c>
      <c r="I302" s="5"/>
    </row>
    <row r="303" spans="1:9">
      <c r="A303" s="3" t="s">
        <v>1195</v>
      </c>
      <c r="B303" s="3" t="s">
        <v>1196</v>
      </c>
      <c r="C303" s="3" t="s">
        <v>1197</v>
      </c>
      <c r="D303" s="3" t="s">
        <v>1198</v>
      </c>
      <c r="E303" s="3">
        <v>1</v>
      </c>
      <c r="F303" s="3">
        <v>0</v>
      </c>
      <c r="G303" s="3">
        <v>0</v>
      </c>
      <c r="H303" s="3">
        <v>1</v>
      </c>
      <c r="I303" s="5"/>
    </row>
    <row r="304" spans="1:9">
      <c r="A304" s="3" t="s">
        <v>1199</v>
      </c>
      <c r="B304" s="3" t="s">
        <v>1200</v>
      </c>
      <c r="C304" s="3" t="s">
        <v>1201</v>
      </c>
      <c r="D304" s="3" t="s">
        <v>1181</v>
      </c>
      <c r="E304" s="3">
        <v>1</v>
      </c>
      <c r="F304" s="3">
        <v>0</v>
      </c>
      <c r="G304" s="3">
        <v>0</v>
      </c>
      <c r="H304" s="3">
        <v>1</v>
      </c>
      <c r="I304" s="5"/>
    </row>
    <row r="305" spans="1:9">
      <c r="A305" s="3" t="s">
        <v>1202</v>
      </c>
      <c r="B305" s="3" t="s">
        <v>1203</v>
      </c>
      <c r="C305" s="3" t="s">
        <v>1204</v>
      </c>
      <c r="D305" s="3" t="s">
        <v>1205</v>
      </c>
      <c r="E305" s="3">
        <v>1</v>
      </c>
      <c r="F305" s="3">
        <v>0</v>
      </c>
      <c r="G305" s="3">
        <v>0</v>
      </c>
      <c r="H305" s="3">
        <v>1</v>
      </c>
      <c r="I305" s="5"/>
    </row>
    <row r="306" spans="1:9">
      <c r="A306" s="3" t="s">
        <v>1206</v>
      </c>
      <c r="B306" s="3" t="s">
        <v>1207</v>
      </c>
      <c r="C306" s="3" t="s">
        <v>1208</v>
      </c>
      <c r="D306" s="3" t="s">
        <v>1209</v>
      </c>
      <c r="E306" s="3">
        <v>1</v>
      </c>
      <c r="F306" s="3">
        <v>0</v>
      </c>
      <c r="G306" s="3">
        <v>0</v>
      </c>
      <c r="H306" s="3">
        <v>1</v>
      </c>
      <c r="I306" s="5"/>
    </row>
    <row r="307" spans="1:9">
      <c r="A307" s="3" t="s">
        <v>1210</v>
      </c>
      <c r="B307" s="3" t="s">
        <v>1211</v>
      </c>
      <c r="C307" s="3" t="s">
        <v>1212</v>
      </c>
      <c r="D307" s="3" t="s">
        <v>1213</v>
      </c>
      <c r="E307" s="3">
        <v>4</v>
      </c>
      <c r="F307" s="3">
        <v>2</v>
      </c>
      <c r="G307" s="3">
        <v>1</v>
      </c>
      <c r="H307" s="3">
        <v>1</v>
      </c>
      <c r="I307" s="5"/>
    </row>
    <row r="308" spans="1:9">
      <c r="A308" s="3" t="s">
        <v>1214</v>
      </c>
      <c r="B308" s="3" t="s">
        <v>1215</v>
      </c>
      <c r="C308" s="3" t="s">
        <v>1216</v>
      </c>
      <c r="D308" s="3" t="s">
        <v>1213</v>
      </c>
      <c r="E308" s="3">
        <v>2</v>
      </c>
      <c r="F308" s="3">
        <v>1</v>
      </c>
      <c r="G308" s="3">
        <v>1</v>
      </c>
      <c r="H308" s="3">
        <v>0</v>
      </c>
      <c r="I308" s="5"/>
    </row>
    <row r="309" spans="1:9">
      <c r="A309" s="3" t="s">
        <v>1217</v>
      </c>
      <c r="B309" s="3" t="s">
        <v>1218</v>
      </c>
      <c r="C309" s="3" t="s">
        <v>1219</v>
      </c>
      <c r="D309" s="3" t="s">
        <v>1209</v>
      </c>
      <c r="E309" s="3">
        <v>1</v>
      </c>
      <c r="F309" s="3">
        <v>0</v>
      </c>
      <c r="G309" s="3">
        <v>0</v>
      </c>
      <c r="H309" s="3">
        <v>1</v>
      </c>
      <c r="I309" s="5"/>
    </row>
    <row r="310" spans="1:9">
      <c r="A310" s="3" t="s">
        <v>1220</v>
      </c>
      <c r="B310" s="3" t="s">
        <v>1221</v>
      </c>
      <c r="C310" s="3" t="s">
        <v>1222</v>
      </c>
      <c r="D310" s="3" t="s">
        <v>1223</v>
      </c>
      <c r="E310" s="3">
        <v>42</v>
      </c>
      <c r="F310" s="3">
        <v>1</v>
      </c>
      <c r="G310" s="3">
        <v>36</v>
      </c>
      <c r="H310" s="3">
        <v>5</v>
      </c>
      <c r="I310" s="5"/>
    </row>
    <row r="311" spans="1:9">
      <c r="A311" s="3" t="s">
        <v>1224</v>
      </c>
      <c r="B311" s="3" t="s">
        <v>1225</v>
      </c>
      <c r="C311" s="3" t="s">
        <v>1226</v>
      </c>
      <c r="D311" s="3" t="s">
        <v>1227</v>
      </c>
      <c r="E311" s="3">
        <v>34</v>
      </c>
      <c r="F311" s="3">
        <v>3</v>
      </c>
      <c r="G311" s="3">
        <v>22</v>
      </c>
      <c r="H311" s="3">
        <v>9</v>
      </c>
      <c r="I311" s="5"/>
    </row>
    <row r="312" spans="1:9">
      <c r="A312" s="3" t="s">
        <v>1228</v>
      </c>
      <c r="B312" s="3" t="s">
        <v>1229</v>
      </c>
      <c r="C312" s="3" t="s">
        <v>1230</v>
      </c>
      <c r="D312" s="3" t="s">
        <v>1231</v>
      </c>
      <c r="E312" s="3">
        <v>1</v>
      </c>
      <c r="F312" s="3">
        <v>0</v>
      </c>
      <c r="G312" s="3">
        <v>0</v>
      </c>
      <c r="H312" s="3">
        <v>1</v>
      </c>
      <c r="I312" s="5"/>
    </row>
    <row r="313" spans="1:9">
      <c r="A313" s="3" t="s">
        <v>1232</v>
      </c>
      <c r="B313" s="3" t="s">
        <v>1233</v>
      </c>
      <c r="C313" s="3" t="s">
        <v>1234</v>
      </c>
      <c r="D313" s="3" t="s">
        <v>1235</v>
      </c>
      <c r="E313" s="3">
        <v>7</v>
      </c>
      <c r="F313" s="3">
        <v>1</v>
      </c>
      <c r="G313" s="3">
        <v>1</v>
      </c>
      <c r="H313" s="3">
        <v>5</v>
      </c>
      <c r="I313" s="5"/>
    </row>
    <row r="314" spans="1:9">
      <c r="A314" s="3" t="s">
        <v>1236</v>
      </c>
      <c r="B314" s="3" t="s">
        <v>1237</v>
      </c>
      <c r="C314" s="3" t="s">
        <v>1238</v>
      </c>
      <c r="D314" s="3" t="s">
        <v>1239</v>
      </c>
      <c r="E314" s="3">
        <v>5</v>
      </c>
      <c r="F314" s="3">
        <v>2</v>
      </c>
      <c r="G314" s="3">
        <v>1</v>
      </c>
      <c r="H314" s="3">
        <v>2</v>
      </c>
      <c r="I314" s="5"/>
    </row>
    <row r="315" spans="1:9">
      <c r="A315" s="3" t="s">
        <v>1240</v>
      </c>
      <c r="B315" s="3" t="s">
        <v>1241</v>
      </c>
      <c r="C315" s="3" t="s">
        <v>1242</v>
      </c>
      <c r="D315" s="3" t="s">
        <v>1243</v>
      </c>
      <c r="E315" s="3">
        <v>1</v>
      </c>
      <c r="F315" s="3">
        <v>0</v>
      </c>
      <c r="G315" s="3">
        <v>0</v>
      </c>
      <c r="H315" s="3">
        <v>1</v>
      </c>
      <c r="I315" s="5"/>
    </row>
    <row r="316" spans="1:9">
      <c r="A316" s="3" t="s">
        <v>1244</v>
      </c>
      <c r="B316" s="3" t="s">
        <v>1245</v>
      </c>
      <c r="C316" s="3" t="s">
        <v>1246</v>
      </c>
      <c r="D316" s="3" t="s">
        <v>1247</v>
      </c>
      <c r="E316" s="3">
        <v>1</v>
      </c>
      <c r="F316" s="3">
        <v>1</v>
      </c>
      <c r="G316" s="3">
        <v>0</v>
      </c>
      <c r="H316" s="3">
        <v>0</v>
      </c>
      <c r="I316" s="5"/>
    </row>
    <row r="317" spans="1:9">
      <c r="A317" s="3" t="s">
        <v>1248</v>
      </c>
      <c r="B317" s="3" t="s">
        <v>1249</v>
      </c>
      <c r="C317" s="3" t="s">
        <v>1250</v>
      </c>
      <c r="D317" s="3" t="s">
        <v>1251</v>
      </c>
      <c r="E317" s="3">
        <v>70</v>
      </c>
      <c r="F317" s="3">
        <v>5</v>
      </c>
      <c r="G317" s="3">
        <v>62</v>
      </c>
      <c r="H317" s="3">
        <v>3</v>
      </c>
      <c r="I317" s="5"/>
    </row>
    <row r="318" spans="1:9">
      <c r="A318" s="3" t="s">
        <v>1252</v>
      </c>
      <c r="B318" s="3" t="s">
        <v>1253</v>
      </c>
      <c r="C318" s="3" t="s">
        <v>1254</v>
      </c>
      <c r="D318" s="3" t="s">
        <v>1255</v>
      </c>
      <c r="E318" s="3">
        <v>2</v>
      </c>
      <c r="F318" s="3">
        <v>1</v>
      </c>
      <c r="G318" s="3">
        <v>1</v>
      </c>
      <c r="H318" s="3">
        <v>0</v>
      </c>
      <c r="I318" s="5"/>
    </row>
    <row r="319" spans="1:9">
      <c r="A319" s="3" t="s">
        <v>1256</v>
      </c>
      <c r="B319" s="3" t="s">
        <v>1257</v>
      </c>
      <c r="C319" s="3" t="s">
        <v>1258</v>
      </c>
      <c r="D319" s="3" t="s">
        <v>1259</v>
      </c>
      <c r="E319" s="3">
        <v>21</v>
      </c>
      <c r="F319" s="3">
        <v>0</v>
      </c>
      <c r="G319" s="3">
        <v>21</v>
      </c>
      <c r="H319" s="3">
        <v>0</v>
      </c>
      <c r="I319" s="5"/>
    </row>
    <row r="320" spans="1:9">
      <c r="A320" s="3" t="s">
        <v>1260</v>
      </c>
      <c r="B320" s="3" t="s">
        <v>1261</v>
      </c>
      <c r="C320" s="3" t="s">
        <v>1262</v>
      </c>
      <c r="D320" s="3" t="s">
        <v>1263</v>
      </c>
      <c r="E320" s="3">
        <v>2</v>
      </c>
      <c r="F320" s="3">
        <v>1</v>
      </c>
      <c r="G320" s="3">
        <v>0</v>
      </c>
      <c r="H320" s="3">
        <v>1</v>
      </c>
      <c r="I320" s="5"/>
    </row>
    <row r="321" spans="1:9">
      <c r="A321" s="3" t="s">
        <v>1264</v>
      </c>
      <c r="B321" s="3" t="s">
        <v>1265</v>
      </c>
      <c r="C321" s="3" t="s">
        <v>1266</v>
      </c>
      <c r="D321" s="3" t="s">
        <v>1267</v>
      </c>
      <c r="E321" s="3">
        <v>1</v>
      </c>
      <c r="F321" s="3">
        <v>1</v>
      </c>
      <c r="G321" s="3">
        <v>0</v>
      </c>
      <c r="H321" s="3">
        <v>0</v>
      </c>
      <c r="I321" s="5"/>
    </row>
    <row r="322" spans="1:9">
      <c r="A322" s="3" t="s">
        <v>1268</v>
      </c>
      <c r="B322" s="3" t="s">
        <v>1269</v>
      </c>
      <c r="C322" s="3" t="s">
        <v>1270</v>
      </c>
      <c r="D322" s="3" t="s">
        <v>1209</v>
      </c>
      <c r="E322" s="3">
        <v>1</v>
      </c>
      <c r="F322" s="3">
        <v>0</v>
      </c>
      <c r="G322" s="3">
        <v>1</v>
      </c>
      <c r="H322" s="3">
        <v>0</v>
      </c>
      <c r="I322" s="5"/>
    </row>
    <row r="323" spans="1:9">
      <c r="A323" s="3" t="s">
        <v>1271</v>
      </c>
      <c r="B323" s="3" t="s">
        <v>1272</v>
      </c>
      <c r="C323" s="3" t="s">
        <v>1273</v>
      </c>
      <c r="D323" s="3" t="s">
        <v>1274</v>
      </c>
      <c r="E323" s="3">
        <v>1</v>
      </c>
      <c r="F323" s="3">
        <v>1</v>
      </c>
      <c r="G323" s="3">
        <v>0</v>
      </c>
      <c r="H323" s="3">
        <v>0</v>
      </c>
      <c r="I323" s="5"/>
    </row>
    <row r="324" spans="1:9">
      <c r="A324" s="3" t="s">
        <v>1275</v>
      </c>
      <c r="B324" s="3" t="s">
        <v>1276</v>
      </c>
      <c r="C324" s="3" t="s">
        <v>1277</v>
      </c>
      <c r="D324" s="3" t="s">
        <v>1278</v>
      </c>
      <c r="E324" s="3">
        <v>12</v>
      </c>
      <c r="F324" s="3">
        <v>0</v>
      </c>
      <c r="G324" s="3">
        <v>9</v>
      </c>
      <c r="H324" s="3">
        <v>3</v>
      </c>
      <c r="I324" s="5"/>
    </row>
    <row r="325" spans="1:9">
      <c r="A325" s="3" t="s">
        <v>1279</v>
      </c>
      <c r="B325" s="3" t="s">
        <v>1280</v>
      </c>
      <c r="C325" s="3" t="s">
        <v>1281</v>
      </c>
      <c r="D325" s="3" t="s">
        <v>1282</v>
      </c>
      <c r="E325" s="3">
        <v>1</v>
      </c>
      <c r="F325" s="3">
        <v>0</v>
      </c>
      <c r="G325" s="3">
        <v>0</v>
      </c>
      <c r="H325" s="3">
        <v>1</v>
      </c>
      <c r="I325" s="5"/>
    </row>
    <row r="326" spans="1:9">
      <c r="A326" s="3" t="s">
        <v>1283</v>
      </c>
      <c r="B326" s="3" t="s">
        <v>1284</v>
      </c>
      <c r="C326" s="3" t="s">
        <v>1285</v>
      </c>
      <c r="D326" s="3" t="s">
        <v>1209</v>
      </c>
      <c r="E326" s="3">
        <v>1</v>
      </c>
      <c r="F326" s="3">
        <v>0</v>
      </c>
      <c r="G326" s="3">
        <v>0</v>
      </c>
      <c r="H326" s="3">
        <v>1</v>
      </c>
      <c r="I326" s="5"/>
    </row>
    <row r="327" spans="1:9">
      <c r="A327" s="3" t="s">
        <v>1286</v>
      </c>
      <c r="B327" s="3" t="s">
        <v>1287</v>
      </c>
      <c r="C327" s="3" t="s">
        <v>1288</v>
      </c>
      <c r="D327" s="3" t="s">
        <v>1289</v>
      </c>
      <c r="E327" s="3">
        <v>3</v>
      </c>
      <c r="F327" s="3">
        <v>1</v>
      </c>
      <c r="G327" s="3">
        <v>0</v>
      </c>
      <c r="H327" s="3">
        <v>2</v>
      </c>
      <c r="I327" s="5"/>
    </row>
    <row r="328" spans="1:9">
      <c r="A328" s="3" t="s">
        <v>1290</v>
      </c>
      <c r="B328" s="3" t="s">
        <v>1291</v>
      </c>
      <c r="C328" s="3" t="s">
        <v>1292</v>
      </c>
      <c r="D328" s="3" t="s">
        <v>1293</v>
      </c>
      <c r="E328" s="3">
        <v>1</v>
      </c>
      <c r="F328" s="3">
        <v>0</v>
      </c>
      <c r="G328" s="3">
        <v>0</v>
      </c>
      <c r="H328" s="3">
        <v>1</v>
      </c>
      <c r="I328" s="5"/>
    </row>
    <row r="329" spans="1:9">
      <c r="A329" s="3" t="s">
        <v>1294</v>
      </c>
      <c r="B329" s="3" t="s">
        <v>1295</v>
      </c>
      <c r="C329" s="3" t="s">
        <v>1296</v>
      </c>
      <c r="D329" s="3" t="s">
        <v>1297</v>
      </c>
      <c r="E329" s="3">
        <v>7</v>
      </c>
      <c r="F329" s="3">
        <v>1</v>
      </c>
      <c r="G329" s="3">
        <v>2</v>
      </c>
      <c r="H329" s="3">
        <v>4</v>
      </c>
      <c r="I329" s="5"/>
    </row>
    <row r="330" spans="1:9">
      <c r="A330" s="3" t="s">
        <v>1298</v>
      </c>
      <c r="B330" s="3" t="s">
        <v>1299</v>
      </c>
      <c r="C330" s="3" t="s">
        <v>1300</v>
      </c>
      <c r="D330" s="3" t="s">
        <v>1301</v>
      </c>
      <c r="E330" s="3">
        <v>15</v>
      </c>
      <c r="F330" s="3">
        <v>0</v>
      </c>
      <c r="G330" s="3">
        <v>13</v>
      </c>
      <c r="H330" s="3">
        <v>2</v>
      </c>
      <c r="I330" s="5"/>
    </row>
    <row r="331" spans="1:9">
      <c r="A331" s="3" t="s">
        <v>1302</v>
      </c>
      <c r="B331" s="3" t="s">
        <v>1303</v>
      </c>
      <c r="C331" s="3" t="s">
        <v>1304</v>
      </c>
      <c r="D331" s="3" t="s">
        <v>1305</v>
      </c>
      <c r="E331" s="3">
        <v>98</v>
      </c>
      <c r="F331" s="3">
        <v>2</v>
      </c>
      <c r="G331" s="3">
        <v>96</v>
      </c>
      <c r="H331" s="3">
        <v>0</v>
      </c>
      <c r="I331" s="5"/>
    </row>
    <row r="332" spans="1:9">
      <c r="A332" s="3" t="s">
        <v>1306</v>
      </c>
      <c r="B332" s="3" t="s">
        <v>1307</v>
      </c>
      <c r="C332" s="3" t="s">
        <v>1308</v>
      </c>
      <c r="D332" s="3" t="s">
        <v>1309</v>
      </c>
      <c r="E332" s="3">
        <v>103</v>
      </c>
      <c r="F332" s="3">
        <v>1</v>
      </c>
      <c r="G332" s="3">
        <v>100</v>
      </c>
      <c r="H332" s="3">
        <v>2</v>
      </c>
      <c r="I332" s="5"/>
    </row>
    <row r="333" spans="1:9">
      <c r="A333" s="3" t="s">
        <v>1310</v>
      </c>
      <c r="B333" s="3" t="s">
        <v>1311</v>
      </c>
      <c r="C333" s="3" t="s">
        <v>1312</v>
      </c>
      <c r="D333" s="3" t="s">
        <v>1213</v>
      </c>
      <c r="E333" s="3">
        <v>1</v>
      </c>
      <c r="F333" s="3">
        <v>1</v>
      </c>
      <c r="G333" s="3">
        <v>0</v>
      </c>
      <c r="H333" s="3">
        <v>0</v>
      </c>
      <c r="I333" s="5"/>
    </row>
    <row r="334" spans="1:9">
      <c r="A334" s="3" t="s">
        <v>1313</v>
      </c>
      <c r="B334" s="3" t="s">
        <v>1314</v>
      </c>
      <c r="C334" s="3" t="s">
        <v>1315</v>
      </c>
      <c r="D334" s="3" t="s">
        <v>1316</v>
      </c>
      <c r="E334" s="3">
        <v>4</v>
      </c>
      <c r="F334" s="3">
        <v>1</v>
      </c>
      <c r="G334" s="3">
        <v>0</v>
      </c>
      <c r="H334" s="3">
        <v>3</v>
      </c>
      <c r="I334" s="5"/>
    </row>
    <row r="335" spans="1:9">
      <c r="A335" s="3" t="s">
        <v>1317</v>
      </c>
      <c r="B335" s="3" t="s">
        <v>1318</v>
      </c>
      <c r="C335" s="3" t="s">
        <v>1319</v>
      </c>
      <c r="D335" s="3" t="s">
        <v>1320</v>
      </c>
      <c r="E335" s="3">
        <v>16</v>
      </c>
      <c r="F335" s="3">
        <v>0</v>
      </c>
      <c r="G335" s="3">
        <v>14</v>
      </c>
      <c r="H335" s="3">
        <v>2</v>
      </c>
      <c r="I335" s="5"/>
    </row>
    <row r="336" spans="1:9">
      <c r="A336" s="3" t="s">
        <v>1321</v>
      </c>
      <c r="B336" s="3" t="s">
        <v>1322</v>
      </c>
      <c r="C336" s="3" t="s">
        <v>1323</v>
      </c>
      <c r="D336" s="3" t="s">
        <v>1324</v>
      </c>
      <c r="E336" s="3">
        <v>1</v>
      </c>
      <c r="F336" s="3">
        <v>0</v>
      </c>
      <c r="G336" s="3">
        <v>0</v>
      </c>
      <c r="H336" s="3">
        <v>1</v>
      </c>
      <c r="I336" s="5"/>
    </row>
    <row r="337" spans="1:9">
      <c r="A337" s="3" t="s">
        <v>1325</v>
      </c>
      <c r="B337" s="3" t="s">
        <v>1326</v>
      </c>
      <c r="C337" s="3" t="s">
        <v>1327</v>
      </c>
      <c r="D337" s="3" t="s">
        <v>1328</v>
      </c>
      <c r="E337" s="3">
        <v>1</v>
      </c>
      <c r="F337" s="3">
        <v>1</v>
      </c>
      <c r="G337" s="3">
        <v>0</v>
      </c>
      <c r="H337" s="3">
        <v>0</v>
      </c>
      <c r="I337" s="5"/>
    </row>
    <row r="338" spans="1:9">
      <c r="A338" s="3" t="s">
        <v>1329</v>
      </c>
      <c r="B338" s="3" t="s">
        <v>1330</v>
      </c>
      <c r="C338" s="3" t="s">
        <v>1331</v>
      </c>
      <c r="D338" s="3" t="s">
        <v>1332</v>
      </c>
      <c r="E338" s="3">
        <v>2</v>
      </c>
      <c r="F338" s="3">
        <v>0</v>
      </c>
      <c r="G338" s="3">
        <v>0</v>
      </c>
      <c r="H338" s="3">
        <v>2</v>
      </c>
      <c r="I338" s="5"/>
    </row>
    <row r="339" spans="1:9">
      <c r="A339" s="3" t="s">
        <v>1333</v>
      </c>
      <c r="B339" s="3" t="s">
        <v>1334</v>
      </c>
      <c r="C339" s="3" t="s">
        <v>1335</v>
      </c>
      <c r="D339" s="3" t="s">
        <v>1336</v>
      </c>
      <c r="E339" s="3">
        <v>64</v>
      </c>
      <c r="F339" s="3">
        <v>2</v>
      </c>
      <c r="G339" s="3">
        <v>54</v>
      </c>
      <c r="H339" s="3">
        <v>8</v>
      </c>
      <c r="I339" s="5"/>
    </row>
    <row r="340" spans="1:9">
      <c r="A340" s="3" t="s">
        <v>1337</v>
      </c>
      <c r="B340" s="3" t="s">
        <v>1338</v>
      </c>
      <c r="C340" s="3" t="s">
        <v>1339</v>
      </c>
      <c r="D340" s="3" t="s">
        <v>1340</v>
      </c>
      <c r="E340" s="3">
        <v>1</v>
      </c>
      <c r="F340" s="3">
        <v>0</v>
      </c>
      <c r="G340" s="3">
        <v>0</v>
      </c>
      <c r="H340" s="3">
        <v>1</v>
      </c>
      <c r="I340" s="5"/>
    </row>
    <row r="341" spans="1:9">
      <c r="A341" s="3" t="s">
        <v>1341</v>
      </c>
      <c r="B341" s="3" t="s">
        <v>1342</v>
      </c>
      <c r="C341" s="3" t="s">
        <v>1343</v>
      </c>
      <c r="D341" s="3" t="s">
        <v>1344</v>
      </c>
      <c r="E341" s="3">
        <v>3</v>
      </c>
      <c r="F341" s="3">
        <v>0</v>
      </c>
      <c r="G341" s="3">
        <v>0</v>
      </c>
      <c r="H341" s="3">
        <v>3</v>
      </c>
      <c r="I341" s="5"/>
    </row>
    <row r="342" spans="1:9">
      <c r="A342" s="3" t="s">
        <v>1345</v>
      </c>
      <c r="B342" s="3" t="s">
        <v>1346</v>
      </c>
      <c r="C342" s="3" t="s">
        <v>1347</v>
      </c>
      <c r="D342" s="3" t="s">
        <v>1348</v>
      </c>
      <c r="E342" s="3">
        <v>1</v>
      </c>
      <c r="F342" s="3">
        <v>1</v>
      </c>
      <c r="G342" s="3">
        <v>0</v>
      </c>
      <c r="H342" s="3">
        <v>0</v>
      </c>
      <c r="I342" s="5"/>
    </row>
    <row r="343" spans="1:9">
      <c r="A343" s="3" t="s">
        <v>1349</v>
      </c>
      <c r="B343" s="3" t="s">
        <v>1350</v>
      </c>
      <c r="C343" s="3" t="s">
        <v>1351</v>
      </c>
      <c r="D343" s="3" t="s">
        <v>1352</v>
      </c>
      <c r="E343" s="3">
        <v>18</v>
      </c>
      <c r="F343" s="3">
        <v>8</v>
      </c>
      <c r="G343" s="3">
        <v>5</v>
      </c>
      <c r="H343" s="3">
        <v>5</v>
      </c>
      <c r="I343" s="5"/>
    </row>
    <row r="344" spans="1:9">
      <c r="A344" s="3" t="s">
        <v>1353</v>
      </c>
      <c r="B344" s="3" t="s">
        <v>1354</v>
      </c>
      <c r="C344" s="3" t="s">
        <v>1355</v>
      </c>
      <c r="D344" s="3" t="s">
        <v>1356</v>
      </c>
      <c r="E344" s="3">
        <v>2</v>
      </c>
      <c r="F344" s="3">
        <v>0</v>
      </c>
      <c r="G344" s="3">
        <v>0</v>
      </c>
      <c r="H344" s="3">
        <v>2</v>
      </c>
      <c r="I344" s="5"/>
    </row>
    <row r="345" spans="1:9">
      <c r="A345" s="3" t="s">
        <v>1357</v>
      </c>
      <c r="B345" s="3" t="s">
        <v>1358</v>
      </c>
      <c r="C345" s="3" t="s">
        <v>1359</v>
      </c>
      <c r="D345" s="3" t="s">
        <v>1360</v>
      </c>
      <c r="E345" s="3">
        <v>2</v>
      </c>
      <c r="F345" s="3">
        <v>0</v>
      </c>
      <c r="G345" s="3">
        <v>0</v>
      </c>
      <c r="H345" s="3">
        <v>2</v>
      </c>
      <c r="I345" s="5"/>
    </row>
    <row r="346" spans="1:9">
      <c r="A346" s="3" t="s">
        <v>1361</v>
      </c>
      <c r="B346" s="3" t="s">
        <v>1362</v>
      </c>
      <c r="C346" s="3" t="s">
        <v>1363</v>
      </c>
      <c r="D346" s="3" t="s">
        <v>1364</v>
      </c>
      <c r="E346" s="3">
        <v>1</v>
      </c>
      <c r="F346" s="3">
        <v>0</v>
      </c>
      <c r="G346" s="3">
        <v>0</v>
      </c>
      <c r="H346" s="3">
        <v>1</v>
      </c>
      <c r="I346" s="5"/>
    </row>
    <row r="347" spans="1:9">
      <c r="A347" s="3" t="s">
        <v>1365</v>
      </c>
      <c r="B347" s="3" t="s">
        <v>1366</v>
      </c>
      <c r="C347" s="3" t="s">
        <v>1367</v>
      </c>
      <c r="D347" s="3" t="s">
        <v>1368</v>
      </c>
      <c r="E347" s="3">
        <v>5</v>
      </c>
      <c r="F347" s="3">
        <v>1</v>
      </c>
      <c r="G347" s="3">
        <v>0</v>
      </c>
      <c r="H347" s="3">
        <v>4</v>
      </c>
      <c r="I347" s="5"/>
    </row>
    <row r="348" spans="1:9">
      <c r="A348" s="3" t="s">
        <v>1369</v>
      </c>
      <c r="B348" s="3" t="s">
        <v>1370</v>
      </c>
      <c r="C348" s="3" t="s">
        <v>1371</v>
      </c>
      <c r="D348" s="3" t="s">
        <v>1372</v>
      </c>
      <c r="E348" s="3">
        <v>2</v>
      </c>
      <c r="F348" s="3">
        <v>0</v>
      </c>
      <c r="G348" s="3">
        <v>0</v>
      </c>
      <c r="H348" s="3">
        <v>2</v>
      </c>
      <c r="I348" s="5"/>
    </row>
    <row r="349" spans="1:9">
      <c r="A349" s="3" t="s">
        <v>1373</v>
      </c>
      <c r="B349" s="3" t="s">
        <v>1374</v>
      </c>
      <c r="C349" s="3" t="s">
        <v>1375</v>
      </c>
      <c r="D349" s="3" t="s">
        <v>1376</v>
      </c>
      <c r="E349" s="3">
        <v>1</v>
      </c>
      <c r="F349" s="3">
        <v>0</v>
      </c>
      <c r="G349" s="3">
        <v>0</v>
      </c>
      <c r="H349" s="3">
        <v>1</v>
      </c>
      <c r="I349" s="5"/>
    </row>
    <row r="350" spans="1:9">
      <c r="A350" s="3" t="s">
        <v>1377</v>
      </c>
      <c r="B350" s="3" t="s">
        <v>1378</v>
      </c>
      <c r="C350" s="3" t="s">
        <v>1379</v>
      </c>
      <c r="D350" s="3" t="s">
        <v>1380</v>
      </c>
      <c r="E350" s="3">
        <v>1</v>
      </c>
      <c r="F350" s="3">
        <v>0</v>
      </c>
      <c r="G350" s="3">
        <v>0</v>
      </c>
      <c r="H350" s="3">
        <v>1</v>
      </c>
      <c r="I350" s="5"/>
    </row>
    <row r="351" spans="1:9">
      <c r="A351" s="3" t="s">
        <v>1381</v>
      </c>
      <c r="B351" s="3" t="s">
        <v>1382</v>
      </c>
      <c r="C351" s="3" t="s">
        <v>1383</v>
      </c>
      <c r="D351" s="3" t="s">
        <v>1384</v>
      </c>
      <c r="E351" s="3">
        <v>2</v>
      </c>
      <c r="F351" s="3">
        <v>0</v>
      </c>
      <c r="G351" s="3">
        <v>1</v>
      </c>
      <c r="H351" s="3">
        <v>1</v>
      </c>
      <c r="I351" s="5"/>
    </row>
    <row r="352" spans="1:9">
      <c r="A352" s="3" t="s">
        <v>1385</v>
      </c>
      <c r="B352" s="3" t="s">
        <v>1386</v>
      </c>
      <c r="C352" s="3" t="s">
        <v>1387</v>
      </c>
      <c r="D352" s="3" t="s">
        <v>1388</v>
      </c>
      <c r="E352" s="3">
        <v>1</v>
      </c>
      <c r="F352" s="3">
        <v>0</v>
      </c>
      <c r="G352" s="3">
        <v>0</v>
      </c>
      <c r="H352" s="3">
        <v>1</v>
      </c>
      <c r="I352" s="5"/>
    </row>
    <row r="353" spans="1:9">
      <c r="A353" s="3" t="s">
        <v>1389</v>
      </c>
      <c r="B353" s="3" t="s">
        <v>1390</v>
      </c>
      <c r="C353" s="3" t="s">
        <v>1391</v>
      </c>
      <c r="D353" s="3" t="s">
        <v>1392</v>
      </c>
      <c r="E353" s="3">
        <v>20</v>
      </c>
      <c r="F353" s="3">
        <v>1</v>
      </c>
      <c r="G353" s="3">
        <v>19</v>
      </c>
      <c r="H353" s="3">
        <v>0</v>
      </c>
      <c r="I353" s="5"/>
    </row>
    <row r="354" spans="1:9">
      <c r="A354" s="3" t="s">
        <v>1393</v>
      </c>
      <c r="B354" s="3" t="s">
        <v>1394</v>
      </c>
      <c r="C354" s="3" t="s">
        <v>1395</v>
      </c>
      <c r="D354" s="3" t="s">
        <v>1396</v>
      </c>
      <c r="E354" s="3">
        <v>47</v>
      </c>
      <c r="F354" s="3">
        <v>7</v>
      </c>
      <c r="G354" s="3">
        <v>40</v>
      </c>
      <c r="H354" s="3">
        <v>0</v>
      </c>
      <c r="I354" s="5"/>
    </row>
    <row r="355" spans="1:9">
      <c r="A355" s="3" t="s">
        <v>1397</v>
      </c>
      <c r="B355" s="3" t="s">
        <v>1398</v>
      </c>
      <c r="C355" s="3" t="s">
        <v>1399</v>
      </c>
      <c r="D355" s="3" t="s">
        <v>1400</v>
      </c>
      <c r="E355" s="3">
        <v>26</v>
      </c>
      <c r="F355" s="3">
        <v>4</v>
      </c>
      <c r="G355" s="3">
        <v>22</v>
      </c>
      <c r="H355" s="3">
        <v>0</v>
      </c>
      <c r="I355" s="5"/>
    </row>
    <row r="356" spans="1:9">
      <c r="A356" s="3" t="s">
        <v>1401</v>
      </c>
      <c r="B356" s="3" t="s">
        <v>1402</v>
      </c>
      <c r="C356" s="3" t="s">
        <v>1403</v>
      </c>
      <c r="D356" s="3" t="s">
        <v>1404</v>
      </c>
      <c r="E356" s="3">
        <v>1</v>
      </c>
      <c r="F356" s="3">
        <v>0</v>
      </c>
      <c r="G356" s="3">
        <v>0</v>
      </c>
      <c r="H356" s="3">
        <v>1</v>
      </c>
      <c r="I356" s="5"/>
    </row>
    <row r="357" spans="1:9">
      <c r="A357" s="3" t="s">
        <v>1405</v>
      </c>
      <c r="B357" s="3" t="s">
        <v>1406</v>
      </c>
      <c r="C357" s="3" t="s">
        <v>1407</v>
      </c>
      <c r="D357" s="3" t="s">
        <v>1404</v>
      </c>
      <c r="E357" s="3">
        <v>3</v>
      </c>
      <c r="F357" s="3">
        <v>0</v>
      </c>
      <c r="G357" s="3">
        <v>2</v>
      </c>
      <c r="H357" s="3">
        <v>1</v>
      </c>
      <c r="I357" s="5"/>
    </row>
    <row r="358" spans="1:9">
      <c r="A358" s="3" t="s">
        <v>1408</v>
      </c>
      <c r="B358" s="3" t="s">
        <v>1409</v>
      </c>
      <c r="C358" s="3" t="s">
        <v>1410</v>
      </c>
      <c r="D358" s="3" t="s">
        <v>1411</v>
      </c>
      <c r="E358" s="3">
        <v>21</v>
      </c>
      <c r="F358" s="3">
        <v>4</v>
      </c>
      <c r="G358" s="3">
        <v>5</v>
      </c>
      <c r="H358" s="3">
        <v>12</v>
      </c>
      <c r="I358" s="5"/>
    </row>
    <row r="359" spans="1:9">
      <c r="A359" s="3" t="s">
        <v>1412</v>
      </c>
      <c r="B359" s="3" t="s">
        <v>1413</v>
      </c>
      <c r="C359" s="3" t="s">
        <v>1414</v>
      </c>
      <c r="D359" s="3" t="s">
        <v>1404</v>
      </c>
      <c r="E359" s="3">
        <v>1</v>
      </c>
      <c r="F359" s="3">
        <v>0</v>
      </c>
      <c r="G359" s="3">
        <v>0</v>
      </c>
      <c r="H359" s="3">
        <v>1</v>
      </c>
      <c r="I359" s="5"/>
    </row>
    <row r="360" spans="1:9">
      <c r="A360" s="3" t="s">
        <v>1415</v>
      </c>
      <c r="B360" s="3" t="s">
        <v>1416</v>
      </c>
      <c r="C360" s="3" t="s">
        <v>1417</v>
      </c>
      <c r="D360" s="3" t="s">
        <v>1418</v>
      </c>
      <c r="E360" s="3">
        <v>11</v>
      </c>
      <c r="F360" s="3">
        <v>7</v>
      </c>
      <c r="G360" s="3">
        <v>0</v>
      </c>
      <c r="H360" s="3">
        <v>4</v>
      </c>
      <c r="I360" s="5"/>
    </row>
    <row r="361" spans="1:9">
      <c r="A361" s="3" t="s">
        <v>1419</v>
      </c>
      <c r="B361" s="3" t="s">
        <v>1420</v>
      </c>
      <c r="C361" s="3" t="s">
        <v>1421</v>
      </c>
      <c r="D361" s="3" t="s">
        <v>1422</v>
      </c>
      <c r="E361" s="3">
        <v>7</v>
      </c>
      <c r="F361" s="3">
        <v>2</v>
      </c>
      <c r="G361" s="3">
        <v>0</v>
      </c>
      <c r="H361" s="3">
        <v>5</v>
      </c>
      <c r="I361" s="5"/>
    </row>
    <row r="362" spans="1:9">
      <c r="A362" s="3" t="s">
        <v>1423</v>
      </c>
      <c r="B362" s="3" t="s">
        <v>1424</v>
      </c>
      <c r="C362" s="3" t="s">
        <v>1425</v>
      </c>
      <c r="D362" s="3" t="s">
        <v>1426</v>
      </c>
      <c r="E362" s="3">
        <v>1</v>
      </c>
      <c r="F362" s="3">
        <v>0</v>
      </c>
      <c r="G362" s="3">
        <v>0</v>
      </c>
      <c r="H362" s="3">
        <v>1</v>
      </c>
      <c r="I362" s="5"/>
    </row>
    <row r="363" spans="1:9">
      <c r="A363" s="3" t="s">
        <v>1427</v>
      </c>
      <c r="B363" s="3" t="s">
        <v>1428</v>
      </c>
      <c r="C363" s="3" t="s">
        <v>1429</v>
      </c>
      <c r="D363" s="3" t="s">
        <v>1430</v>
      </c>
      <c r="E363" s="3">
        <v>2</v>
      </c>
      <c r="F363" s="3">
        <v>0</v>
      </c>
      <c r="G363" s="3">
        <v>0</v>
      </c>
      <c r="H363" s="3">
        <v>2</v>
      </c>
      <c r="I363" s="5"/>
    </row>
    <row r="364" spans="1:9">
      <c r="A364" s="3" t="s">
        <v>1431</v>
      </c>
      <c r="B364" s="3" t="s">
        <v>1432</v>
      </c>
      <c r="C364" s="3" t="s">
        <v>1433</v>
      </c>
      <c r="D364" s="3" t="s">
        <v>1434</v>
      </c>
      <c r="E364" s="3">
        <v>2</v>
      </c>
      <c r="F364" s="3">
        <v>1</v>
      </c>
      <c r="G364" s="3">
        <v>1</v>
      </c>
      <c r="H364" s="3">
        <v>0</v>
      </c>
      <c r="I364" s="5"/>
    </row>
    <row r="365" spans="1:9">
      <c r="A365" s="3" t="s">
        <v>1435</v>
      </c>
      <c r="B365" s="3" t="s">
        <v>1436</v>
      </c>
      <c r="C365" s="3" t="s">
        <v>1437</v>
      </c>
      <c r="D365" s="3" t="s">
        <v>1430</v>
      </c>
      <c r="E365" s="3">
        <v>4</v>
      </c>
      <c r="F365" s="3">
        <v>2</v>
      </c>
      <c r="G365" s="3">
        <v>2</v>
      </c>
      <c r="H365" s="3">
        <v>0</v>
      </c>
      <c r="I365" s="5"/>
    </row>
    <row r="366" spans="1:9">
      <c r="A366" s="3" t="s">
        <v>1438</v>
      </c>
      <c r="B366" s="3" t="s">
        <v>1439</v>
      </c>
      <c r="C366" s="3" t="s">
        <v>1440</v>
      </c>
      <c r="D366" s="3" t="s">
        <v>1430</v>
      </c>
      <c r="E366" s="3">
        <v>16</v>
      </c>
      <c r="F366" s="3">
        <v>5</v>
      </c>
      <c r="G366" s="3">
        <v>10</v>
      </c>
      <c r="H366" s="3">
        <v>1</v>
      </c>
      <c r="I366" s="5"/>
    </row>
    <row r="367" spans="1:9">
      <c r="A367" s="3" t="s">
        <v>1441</v>
      </c>
      <c r="B367" s="3" t="s">
        <v>1442</v>
      </c>
      <c r="C367" s="3" t="s">
        <v>1443</v>
      </c>
      <c r="D367" s="3" t="s">
        <v>1444</v>
      </c>
      <c r="E367" s="3">
        <v>1</v>
      </c>
      <c r="F367" s="3">
        <v>1</v>
      </c>
      <c r="G367" s="3">
        <v>0</v>
      </c>
      <c r="H367" s="3">
        <v>0</v>
      </c>
      <c r="I367" s="5"/>
    </row>
    <row r="368" spans="1:9">
      <c r="A368" s="3" t="s">
        <v>1445</v>
      </c>
      <c r="B368" s="3" t="s">
        <v>1446</v>
      </c>
      <c r="C368" s="3" t="s">
        <v>1447</v>
      </c>
      <c r="D368" s="3" t="s">
        <v>1448</v>
      </c>
      <c r="E368" s="3">
        <v>10</v>
      </c>
      <c r="F368" s="3">
        <v>0</v>
      </c>
      <c r="G368" s="3">
        <v>7</v>
      </c>
      <c r="H368" s="3">
        <v>3</v>
      </c>
      <c r="I368" s="5"/>
    </row>
    <row r="369" spans="1:9">
      <c r="A369" s="3" t="s">
        <v>1449</v>
      </c>
      <c r="B369" s="3" t="s">
        <v>1450</v>
      </c>
      <c r="C369" s="3" t="s">
        <v>1451</v>
      </c>
      <c r="D369" s="3" t="s">
        <v>1452</v>
      </c>
      <c r="E369" s="3">
        <v>1</v>
      </c>
      <c r="F369" s="3">
        <v>0</v>
      </c>
      <c r="G369" s="3">
        <v>1</v>
      </c>
      <c r="H369" s="3">
        <v>0</v>
      </c>
      <c r="I369" s="5"/>
    </row>
    <row r="370" spans="1:9">
      <c r="A370" s="3" t="s">
        <v>1453</v>
      </c>
      <c r="B370" s="3" t="s">
        <v>1454</v>
      </c>
      <c r="C370" s="3" t="s">
        <v>1455</v>
      </c>
      <c r="D370" s="3" t="s">
        <v>1456</v>
      </c>
      <c r="E370" s="3">
        <v>1</v>
      </c>
      <c r="F370" s="3">
        <v>0</v>
      </c>
      <c r="G370" s="3">
        <v>0</v>
      </c>
      <c r="H370" s="3">
        <v>1</v>
      </c>
      <c r="I370" s="5"/>
    </row>
    <row r="371" spans="1:9">
      <c r="A371" s="3" t="s">
        <v>1457</v>
      </c>
      <c r="B371" s="3" t="s">
        <v>1458</v>
      </c>
      <c r="C371" s="3" t="s">
        <v>1459</v>
      </c>
      <c r="D371" s="3" t="s">
        <v>1460</v>
      </c>
      <c r="E371" s="3">
        <v>2</v>
      </c>
      <c r="F371" s="3">
        <v>1</v>
      </c>
      <c r="G371" s="3">
        <v>1</v>
      </c>
      <c r="H371" s="3">
        <v>0</v>
      </c>
      <c r="I371" s="5"/>
    </row>
    <row r="372" spans="1:9">
      <c r="A372" s="3" t="s">
        <v>1461</v>
      </c>
      <c r="B372" s="3" t="s">
        <v>1462</v>
      </c>
      <c r="C372" s="3" t="s">
        <v>1463</v>
      </c>
      <c r="D372" s="3" t="s">
        <v>1464</v>
      </c>
      <c r="E372" s="3">
        <v>4</v>
      </c>
      <c r="F372" s="3">
        <v>1</v>
      </c>
      <c r="G372" s="3">
        <v>1</v>
      </c>
      <c r="H372" s="3">
        <v>2</v>
      </c>
      <c r="I372" s="5"/>
    </row>
    <row r="373" spans="1:9">
      <c r="A373" s="3" t="s">
        <v>1465</v>
      </c>
      <c r="B373" s="3" t="s">
        <v>1466</v>
      </c>
      <c r="C373" s="3" t="s">
        <v>1467</v>
      </c>
      <c r="D373" s="3" t="s">
        <v>1468</v>
      </c>
      <c r="E373" s="3">
        <v>5</v>
      </c>
      <c r="F373" s="3">
        <v>1</v>
      </c>
      <c r="G373" s="3">
        <v>0</v>
      </c>
      <c r="H373" s="3">
        <v>4</v>
      </c>
      <c r="I373" s="5"/>
    </row>
    <row r="374" spans="1:9">
      <c r="A374" s="3" t="s">
        <v>1469</v>
      </c>
      <c r="B374" s="3" t="s">
        <v>1470</v>
      </c>
      <c r="C374" s="3" t="s">
        <v>1471</v>
      </c>
      <c r="D374" s="3" t="s">
        <v>1472</v>
      </c>
      <c r="E374" s="3">
        <v>6</v>
      </c>
      <c r="F374" s="3">
        <v>0</v>
      </c>
      <c r="G374" s="3">
        <v>6</v>
      </c>
      <c r="H374" s="3">
        <v>0</v>
      </c>
      <c r="I374" s="5"/>
    </row>
    <row r="375" spans="1:9">
      <c r="A375" s="3" t="s">
        <v>1473</v>
      </c>
      <c r="B375" s="3" t="s">
        <v>1474</v>
      </c>
      <c r="C375" s="3" t="s">
        <v>1475</v>
      </c>
      <c r="D375" s="3" t="s">
        <v>1476</v>
      </c>
      <c r="E375" s="3">
        <v>3</v>
      </c>
      <c r="F375" s="3">
        <v>1</v>
      </c>
      <c r="G375" s="3">
        <v>1</v>
      </c>
      <c r="H375" s="3">
        <v>1</v>
      </c>
      <c r="I375" s="5"/>
    </row>
    <row r="376" spans="1:9">
      <c r="A376" s="3" t="s">
        <v>1477</v>
      </c>
      <c r="B376" s="3" t="s">
        <v>1478</v>
      </c>
      <c r="C376" s="3" t="s">
        <v>1479</v>
      </c>
      <c r="D376" s="3" t="s">
        <v>1480</v>
      </c>
      <c r="E376" s="3">
        <v>1</v>
      </c>
      <c r="F376" s="3">
        <v>0</v>
      </c>
      <c r="G376" s="3">
        <v>0</v>
      </c>
      <c r="H376" s="3">
        <v>1</v>
      </c>
      <c r="I376" s="5"/>
    </row>
    <row r="377" spans="1:9">
      <c r="A377" s="3" t="s">
        <v>1481</v>
      </c>
      <c r="B377" s="3" t="s">
        <v>1482</v>
      </c>
      <c r="C377" s="3" t="s">
        <v>1483</v>
      </c>
      <c r="D377" s="3" t="s">
        <v>1484</v>
      </c>
      <c r="E377" s="3">
        <v>1</v>
      </c>
      <c r="F377" s="3">
        <v>1</v>
      </c>
      <c r="G377" s="3">
        <v>0</v>
      </c>
      <c r="H377" s="3">
        <v>0</v>
      </c>
      <c r="I377" s="5"/>
    </row>
    <row r="378" spans="1:9">
      <c r="A378" s="3" t="s">
        <v>1485</v>
      </c>
      <c r="B378" s="3" t="s">
        <v>1486</v>
      </c>
      <c r="C378" s="3" t="s">
        <v>1487</v>
      </c>
      <c r="D378" s="3" t="s">
        <v>1488</v>
      </c>
      <c r="E378" s="3">
        <v>24</v>
      </c>
      <c r="F378" s="3">
        <v>4</v>
      </c>
      <c r="G378" s="3">
        <v>17</v>
      </c>
      <c r="H378" s="3">
        <v>3</v>
      </c>
      <c r="I378" s="5"/>
    </row>
    <row r="379" spans="1:9">
      <c r="A379" s="3" t="s">
        <v>1489</v>
      </c>
      <c r="B379" s="3" t="s">
        <v>1490</v>
      </c>
      <c r="C379" s="3" t="s">
        <v>1491</v>
      </c>
      <c r="D379" s="3" t="s">
        <v>1492</v>
      </c>
      <c r="E379" s="3">
        <v>1</v>
      </c>
      <c r="F379" s="3">
        <v>0</v>
      </c>
      <c r="G379" s="3">
        <v>1</v>
      </c>
      <c r="H379" s="3">
        <v>0</v>
      </c>
      <c r="I379" s="5"/>
    </row>
    <row r="380" spans="1:9">
      <c r="A380" s="3" t="s">
        <v>1493</v>
      </c>
      <c r="B380" s="3" t="s">
        <v>1494</v>
      </c>
      <c r="C380" s="3" t="s">
        <v>1495</v>
      </c>
      <c r="D380" s="3" t="s">
        <v>1496</v>
      </c>
      <c r="E380" s="3">
        <v>3</v>
      </c>
      <c r="F380" s="3">
        <v>1</v>
      </c>
      <c r="G380" s="3">
        <v>1</v>
      </c>
      <c r="H380" s="3">
        <v>1</v>
      </c>
      <c r="I380" s="5"/>
    </row>
    <row r="381" spans="1:9">
      <c r="A381" s="3" t="s">
        <v>1497</v>
      </c>
      <c r="B381" s="3" t="s">
        <v>1498</v>
      </c>
      <c r="C381" s="3" t="s">
        <v>1499</v>
      </c>
      <c r="D381" s="3" t="s">
        <v>1500</v>
      </c>
      <c r="E381" s="3">
        <v>4</v>
      </c>
      <c r="F381" s="3">
        <v>1</v>
      </c>
      <c r="G381" s="3">
        <v>2</v>
      </c>
      <c r="H381" s="3">
        <v>1</v>
      </c>
      <c r="I381" s="5"/>
    </row>
    <row r="382" spans="1:9">
      <c r="A382" s="3" t="s">
        <v>1501</v>
      </c>
      <c r="B382" s="3" t="s">
        <v>1502</v>
      </c>
      <c r="C382" s="3" t="s">
        <v>1503</v>
      </c>
      <c r="D382" s="3" t="s">
        <v>1504</v>
      </c>
      <c r="E382" s="3">
        <v>1</v>
      </c>
      <c r="F382" s="3">
        <v>1</v>
      </c>
      <c r="G382" s="3">
        <v>0</v>
      </c>
      <c r="H382" s="3">
        <v>0</v>
      </c>
      <c r="I382" s="5"/>
    </row>
    <row r="383" spans="1:9">
      <c r="A383" s="3" t="s">
        <v>1505</v>
      </c>
      <c r="B383" s="3" t="s">
        <v>1506</v>
      </c>
      <c r="C383" s="3" t="s">
        <v>1507</v>
      </c>
      <c r="D383" s="3" t="s">
        <v>1508</v>
      </c>
      <c r="E383" s="3">
        <v>3</v>
      </c>
      <c r="F383" s="3">
        <v>2</v>
      </c>
      <c r="G383" s="3">
        <v>1</v>
      </c>
      <c r="H383" s="3">
        <v>0</v>
      </c>
      <c r="I383" s="5"/>
    </row>
    <row r="384" spans="1:9">
      <c r="A384" s="3" t="s">
        <v>1509</v>
      </c>
      <c r="B384" s="3" t="s">
        <v>1510</v>
      </c>
      <c r="C384" s="3" t="s">
        <v>1511</v>
      </c>
      <c r="D384" s="3" t="s">
        <v>1512</v>
      </c>
      <c r="E384" s="3">
        <v>4</v>
      </c>
      <c r="F384" s="3">
        <v>2</v>
      </c>
      <c r="G384" s="3">
        <v>2</v>
      </c>
      <c r="H384" s="3">
        <v>0</v>
      </c>
      <c r="I384" s="5"/>
    </row>
    <row r="385" spans="1:9">
      <c r="A385" s="3" t="s">
        <v>1513</v>
      </c>
      <c r="B385" s="3" t="s">
        <v>1514</v>
      </c>
      <c r="C385" s="3" t="s">
        <v>1515</v>
      </c>
      <c r="D385" s="3" t="s">
        <v>1516</v>
      </c>
      <c r="E385" s="3">
        <v>4</v>
      </c>
      <c r="F385" s="3">
        <v>1</v>
      </c>
      <c r="G385" s="3">
        <v>3</v>
      </c>
      <c r="H385" s="3">
        <v>0</v>
      </c>
      <c r="I385" s="5"/>
    </row>
    <row r="386" spans="1:9">
      <c r="A386" s="3" t="s">
        <v>1517</v>
      </c>
      <c r="B386" s="3" t="s">
        <v>1518</v>
      </c>
      <c r="C386" s="3" t="s">
        <v>1519</v>
      </c>
      <c r="D386" s="3" t="s">
        <v>1520</v>
      </c>
      <c r="E386" s="3">
        <v>1</v>
      </c>
      <c r="F386" s="3">
        <v>0</v>
      </c>
      <c r="G386" s="3">
        <v>0</v>
      </c>
      <c r="H386" s="3">
        <v>1</v>
      </c>
      <c r="I386" s="5"/>
    </row>
    <row r="387" spans="1:9">
      <c r="A387" s="3" t="s">
        <v>1521</v>
      </c>
      <c r="B387" s="3" t="s">
        <v>1522</v>
      </c>
      <c r="C387" s="3" t="s">
        <v>1523</v>
      </c>
      <c r="D387" s="3" t="s">
        <v>1524</v>
      </c>
      <c r="E387" s="3">
        <v>2</v>
      </c>
      <c r="F387" s="3">
        <v>0</v>
      </c>
      <c r="G387" s="3">
        <v>0</v>
      </c>
      <c r="H387" s="3">
        <v>2</v>
      </c>
      <c r="I387" s="5"/>
    </row>
    <row r="388" spans="1:9">
      <c r="A388" s="3" t="s">
        <v>1525</v>
      </c>
      <c r="B388" s="3" t="s">
        <v>1526</v>
      </c>
      <c r="C388" s="3" t="s">
        <v>1527</v>
      </c>
      <c r="D388" s="3" t="s">
        <v>1528</v>
      </c>
      <c r="E388" s="3">
        <v>1</v>
      </c>
      <c r="F388" s="3">
        <v>0</v>
      </c>
      <c r="G388" s="3">
        <v>0</v>
      </c>
      <c r="H388" s="3">
        <v>1</v>
      </c>
      <c r="I388" s="5"/>
    </row>
    <row r="389" spans="1:9">
      <c r="A389" s="3" t="s">
        <v>1529</v>
      </c>
      <c r="B389" s="3" t="s">
        <v>1530</v>
      </c>
      <c r="C389" s="3" t="s">
        <v>1531</v>
      </c>
      <c r="D389" s="3" t="s">
        <v>1532</v>
      </c>
      <c r="E389" s="3">
        <v>6</v>
      </c>
      <c r="F389" s="3">
        <v>0</v>
      </c>
      <c r="G389" s="3">
        <v>6</v>
      </c>
      <c r="H389" s="3">
        <v>0</v>
      </c>
      <c r="I389" s="5"/>
    </row>
    <row r="390" spans="1:9">
      <c r="A390" s="3" t="s">
        <v>1533</v>
      </c>
      <c r="B390" s="3" t="s">
        <v>1534</v>
      </c>
      <c r="C390" s="3" t="s">
        <v>1535</v>
      </c>
      <c r="D390" s="3" t="s">
        <v>1536</v>
      </c>
      <c r="E390" s="3">
        <v>15</v>
      </c>
      <c r="F390" s="3">
        <v>1</v>
      </c>
      <c r="G390" s="3">
        <v>12</v>
      </c>
      <c r="H390" s="3">
        <v>2</v>
      </c>
      <c r="I390" s="5"/>
    </row>
    <row r="391" spans="1:9">
      <c r="A391" s="3" t="s">
        <v>1537</v>
      </c>
      <c r="B391" s="3" t="s">
        <v>1538</v>
      </c>
      <c r="C391" s="3" t="s">
        <v>1539</v>
      </c>
      <c r="D391" s="3" t="s">
        <v>1540</v>
      </c>
      <c r="E391" s="3">
        <v>2</v>
      </c>
      <c r="F391" s="3">
        <v>1</v>
      </c>
      <c r="G391" s="3">
        <v>1</v>
      </c>
      <c r="H391" s="3">
        <v>0</v>
      </c>
      <c r="I391" s="5"/>
    </row>
    <row r="392" spans="1:9">
      <c r="A392" s="3" t="s">
        <v>1541</v>
      </c>
      <c r="B392" s="3" t="s">
        <v>1542</v>
      </c>
      <c r="C392" s="3" t="s">
        <v>1543</v>
      </c>
      <c r="D392" s="3" t="s">
        <v>1544</v>
      </c>
      <c r="E392" s="3">
        <v>5</v>
      </c>
      <c r="F392" s="3">
        <v>1</v>
      </c>
      <c r="G392" s="3">
        <v>0</v>
      </c>
      <c r="H392" s="3">
        <v>4</v>
      </c>
      <c r="I392" s="5"/>
    </row>
    <row r="393" spans="1:9">
      <c r="A393" s="3" t="s">
        <v>1545</v>
      </c>
      <c r="B393" s="3" t="s">
        <v>1546</v>
      </c>
      <c r="C393" s="3" t="s">
        <v>1547</v>
      </c>
      <c r="D393" s="3" t="s">
        <v>1548</v>
      </c>
      <c r="E393" s="3">
        <v>1</v>
      </c>
      <c r="F393" s="3">
        <v>0</v>
      </c>
      <c r="G393" s="3">
        <v>0</v>
      </c>
      <c r="H393" s="3">
        <v>1</v>
      </c>
      <c r="I393" s="5"/>
    </row>
    <row r="394" spans="1:9">
      <c r="A394" s="3" t="s">
        <v>1549</v>
      </c>
      <c r="B394" s="3" t="s">
        <v>1550</v>
      </c>
      <c r="C394" s="3" t="s">
        <v>1551</v>
      </c>
      <c r="D394" s="3" t="s">
        <v>1552</v>
      </c>
      <c r="E394" s="3">
        <v>2</v>
      </c>
      <c r="F394" s="3">
        <v>0</v>
      </c>
      <c r="G394" s="3">
        <v>2</v>
      </c>
      <c r="H394" s="3">
        <v>0</v>
      </c>
      <c r="I394" s="5"/>
    </row>
    <row r="395" spans="1:9">
      <c r="A395" s="3" t="s">
        <v>1553</v>
      </c>
      <c r="B395" s="3" t="s">
        <v>1554</v>
      </c>
      <c r="C395" s="3" t="s">
        <v>1555</v>
      </c>
      <c r="D395" s="3" t="s">
        <v>1556</v>
      </c>
      <c r="E395" s="3">
        <v>1</v>
      </c>
      <c r="F395" s="3">
        <v>0</v>
      </c>
      <c r="G395" s="3">
        <v>0</v>
      </c>
      <c r="H395" s="3">
        <v>1</v>
      </c>
      <c r="I395" s="5"/>
    </row>
    <row r="396" spans="1:9">
      <c r="A396" s="3" t="s">
        <v>1557</v>
      </c>
      <c r="B396" s="3" t="s">
        <v>1558</v>
      </c>
      <c r="C396" s="3" t="s">
        <v>1559</v>
      </c>
      <c r="D396" s="3" t="s">
        <v>1560</v>
      </c>
      <c r="E396" s="3">
        <v>10</v>
      </c>
      <c r="F396" s="3">
        <v>5</v>
      </c>
      <c r="G396" s="3">
        <v>2</v>
      </c>
      <c r="H396" s="3">
        <v>3</v>
      </c>
      <c r="I396" s="5"/>
    </row>
    <row r="397" spans="1:9">
      <c r="A397" s="3" t="s">
        <v>1561</v>
      </c>
      <c r="B397" s="3" t="s">
        <v>1562</v>
      </c>
      <c r="C397" s="3" t="s">
        <v>1563</v>
      </c>
      <c r="D397" s="3" t="s">
        <v>1564</v>
      </c>
      <c r="E397" s="3">
        <v>2</v>
      </c>
      <c r="F397" s="3">
        <v>1</v>
      </c>
      <c r="G397" s="3">
        <v>1</v>
      </c>
      <c r="H397" s="3">
        <v>0</v>
      </c>
      <c r="I397" s="5"/>
    </row>
    <row r="398" spans="1:9">
      <c r="A398" s="3" t="s">
        <v>1565</v>
      </c>
      <c r="B398" s="3" t="s">
        <v>1566</v>
      </c>
      <c r="C398" s="3" t="s">
        <v>1567</v>
      </c>
      <c r="D398" s="3" t="s">
        <v>1568</v>
      </c>
      <c r="E398" s="3">
        <v>3</v>
      </c>
      <c r="F398" s="3">
        <v>1</v>
      </c>
      <c r="G398" s="3">
        <v>1</v>
      </c>
      <c r="H398" s="3">
        <v>1</v>
      </c>
      <c r="I398" s="5"/>
    </row>
    <row r="399" spans="1:9">
      <c r="A399" s="3" t="s">
        <v>1569</v>
      </c>
      <c r="B399" s="3" t="s">
        <v>1570</v>
      </c>
      <c r="C399" s="3" t="s">
        <v>1571</v>
      </c>
      <c r="D399" s="3" t="s">
        <v>1572</v>
      </c>
      <c r="E399" s="3">
        <v>7</v>
      </c>
      <c r="F399" s="3">
        <v>1</v>
      </c>
      <c r="G399" s="3">
        <v>3</v>
      </c>
      <c r="H399" s="3">
        <v>3</v>
      </c>
      <c r="I399" s="5"/>
    </row>
    <row r="400" spans="1:9">
      <c r="A400" s="3" t="s">
        <v>1573</v>
      </c>
      <c r="B400" s="3" t="s">
        <v>1574</v>
      </c>
      <c r="C400" s="3" t="s">
        <v>1575</v>
      </c>
      <c r="D400" s="3" t="s">
        <v>1576</v>
      </c>
      <c r="E400" s="3">
        <v>13</v>
      </c>
      <c r="F400" s="3">
        <v>5</v>
      </c>
      <c r="G400" s="3">
        <v>3</v>
      </c>
      <c r="H400" s="3">
        <v>5</v>
      </c>
      <c r="I400" s="5"/>
    </row>
    <row r="401" spans="1:9">
      <c r="A401" s="3" t="s">
        <v>1577</v>
      </c>
      <c r="B401" s="3" t="s">
        <v>1578</v>
      </c>
      <c r="C401" s="3" t="s">
        <v>1579</v>
      </c>
      <c r="D401" s="3" t="s">
        <v>1580</v>
      </c>
      <c r="E401" s="3">
        <v>20</v>
      </c>
      <c r="F401" s="3">
        <v>10</v>
      </c>
      <c r="G401" s="3">
        <v>4</v>
      </c>
      <c r="H401" s="3">
        <v>6</v>
      </c>
      <c r="I401" s="5"/>
    </row>
    <row r="402" spans="1:9">
      <c r="A402" s="3" t="s">
        <v>1581</v>
      </c>
      <c r="B402" s="3" t="s">
        <v>1582</v>
      </c>
      <c r="C402" s="3" t="s">
        <v>1583</v>
      </c>
      <c r="D402" s="3" t="s">
        <v>1584</v>
      </c>
      <c r="E402" s="3">
        <v>1</v>
      </c>
      <c r="F402" s="3">
        <v>1</v>
      </c>
      <c r="G402" s="3">
        <v>0</v>
      </c>
      <c r="H402" s="3">
        <v>0</v>
      </c>
      <c r="I402" s="5"/>
    </row>
    <row r="403" spans="1:9">
      <c r="A403" s="3" t="s">
        <v>1585</v>
      </c>
      <c r="B403" s="3" t="s">
        <v>1586</v>
      </c>
      <c r="C403" s="3" t="s">
        <v>1587</v>
      </c>
      <c r="D403" s="3" t="s">
        <v>1588</v>
      </c>
      <c r="E403" s="3">
        <v>2</v>
      </c>
      <c r="F403" s="3">
        <v>1</v>
      </c>
      <c r="G403" s="3">
        <v>1</v>
      </c>
      <c r="H403" s="3">
        <v>0</v>
      </c>
      <c r="I403" s="5"/>
    </row>
    <row r="404" spans="1:9">
      <c r="A404" s="3" t="s">
        <v>1589</v>
      </c>
      <c r="B404" s="3" t="s">
        <v>1590</v>
      </c>
      <c r="C404" s="3" t="s">
        <v>1591</v>
      </c>
      <c r="D404" s="3" t="s">
        <v>1592</v>
      </c>
      <c r="E404" s="3">
        <v>1</v>
      </c>
      <c r="F404" s="3">
        <v>1</v>
      </c>
      <c r="G404" s="3">
        <v>0</v>
      </c>
      <c r="H404" s="3">
        <v>0</v>
      </c>
      <c r="I404" s="5"/>
    </row>
    <row r="405" spans="1:9">
      <c r="A405" s="3" t="s">
        <v>1593</v>
      </c>
      <c r="B405" s="3" t="s">
        <v>1594</v>
      </c>
      <c r="C405" s="3" t="s">
        <v>1595</v>
      </c>
      <c r="D405" s="3" t="s">
        <v>1596</v>
      </c>
      <c r="E405" s="3">
        <v>5</v>
      </c>
      <c r="F405" s="3">
        <v>1</v>
      </c>
      <c r="G405" s="3">
        <v>2</v>
      </c>
      <c r="H405" s="3">
        <v>2</v>
      </c>
      <c r="I405" s="5"/>
    </row>
    <row r="406" spans="1:9">
      <c r="A406" s="3" t="s">
        <v>1597</v>
      </c>
      <c r="B406" s="3" t="s">
        <v>1598</v>
      </c>
      <c r="C406" s="3" t="s">
        <v>1599</v>
      </c>
      <c r="D406" s="3" t="s">
        <v>1600</v>
      </c>
      <c r="E406" s="3">
        <v>4</v>
      </c>
      <c r="F406" s="3">
        <v>2</v>
      </c>
      <c r="G406" s="3">
        <v>0</v>
      </c>
      <c r="H406" s="3">
        <v>2</v>
      </c>
      <c r="I406" s="5"/>
    </row>
    <row r="407" spans="1:9">
      <c r="A407" s="3" t="s">
        <v>1601</v>
      </c>
      <c r="B407" s="3" t="s">
        <v>1602</v>
      </c>
      <c r="C407" s="3" t="s">
        <v>1603</v>
      </c>
      <c r="D407" s="3" t="s">
        <v>1604</v>
      </c>
      <c r="E407" s="3">
        <v>6</v>
      </c>
      <c r="F407" s="3">
        <v>3</v>
      </c>
      <c r="G407" s="3">
        <v>2</v>
      </c>
      <c r="H407" s="3">
        <v>1</v>
      </c>
      <c r="I407" s="5"/>
    </row>
    <row r="408" spans="1:9">
      <c r="A408" s="3" t="s">
        <v>1605</v>
      </c>
      <c r="B408" s="3" t="s">
        <v>1606</v>
      </c>
      <c r="C408" s="3" t="s">
        <v>1607</v>
      </c>
      <c r="D408" s="3" t="s">
        <v>1540</v>
      </c>
      <c r="E408" s="3">
        <v>2</v>
      </c>
      <c r="F408" s="3">
        <v>1</v>
      </c>
      <c r="G408" s="3">
        <v>0</v>
      </c>
      <c r="H408" s="3">
        <v>1</v>
      </c>
      <c r="I408" s="5"/>
    </row>
    <row r="409" spans="1:9">
      <c r="A409" s="3" t="s">
        <v>1608</v>
      </c>
      <c r="B409" s="3" t="s">
        <v>1609</v>
      </c>
      <c r="C409" s="3" t="s">
        <v>1610</v>
      </c>
      <c r="D409" s="3" t="s">
        <v>1611</v>
      </c>
      <c r="E409" s="3">
        <v>8</v>
      </c>
      <c r="F409" s="3">
        <v>4</v>
      </c>
      <c r="G409" s="3">
        <v>4</v>
      </c>
      <c r="H409" s="3">
        <v>0</v>
      </c>
      <c r="I409" s="5"/>
    </row>
    <row r="410" spans="1:9">
      <c r="A410" s="3" t="s">
        <v>1612</v>
      </c>
      <c r="B410" s="3" t="s">
        <v>1613</v>
      </c>
      <c r="C410" s="3" t="s">
        <v>1614</v>
      </c>
      <c r="D410" s="3" t="s">
        <v>1615</v>
      </c>
      <c r="E410" s="3">
        <v>6</v>
      </c>
      <c r="F410" s="3">
        <v>2</v>
      </c>
      <c r="G410" s="3">
        <v>0</v>
      </c>
      <c r="H410" s="3">
        <v>4</v>
      </c>
      <c r="I410" s="5"/>
    </row>
    <row r="411" spans="1:9">
      <c r="A411" s="3" t="s">
        <v>1616</v>
      </c>
      <c r="B411" s="3" t="s">
        <v>1617</v>
      </c>
      <c r="C411" s="3" t="s">
        <v>1618</v>
      </c>
      <c r="D411" s="3" t="s">
        <v>1540</v>
      </c>
      <c r="E411" s="3">
        <v>3</v>
      </c>
      <c r="F411" s="3">
        <v>2</v>
      </c>
      <c r="G411" s="3">
        <v>0</v>
      </c>
      <c r="H411" s="3">
        <v>1</v>
      </c>
      <c r="I411" s="5"/>
    </row>
    <row r="412" spans="1:9">
      <c r="A412" s="3" t="s">
        <v>1619</v>
      </c>
      <c r="B412" s="3" t="s">
        <v>1620</v>
      </c>
      <c r="C412" s="3" t="s">
        <v>1621</v>
      </c>
      <c r="D412" s="3" t="s">
        <v>1622</v>
      </c>
      <c r="E412" s="3">
        <v>20</v>
      </c>
      <c r="F412" s="3">
        <v>8</v>
      </c>
      <c r="G412" s="3">
        <v>4</v>
      </c>
      <c r="H412" s="3">
        <v>8</v>
      </c>
      <c r="I412" s="5"/>
    </row>
    <row r="413" spans="1:9">
      <c r="A413" s="3" t="s">
        <v>1623</v>
      </c>
      <c r="B413" s="3" t="s">
        <v>1624</v>
      </c>
      <c r="C413" s="3" t="s">
        <v>1625</v>
      </c>
      <c r="D413" s="3" t="s">
        <v>1626</v>
      </c>
      <c r="E413" s="3">
        <v>3</v>
      </c>
      <c r="F413" s="3">
        <v>1</v>
      </c>
      <c r="G413" s="3">
        <v>0</v>
      </c>
      <c r="H413" s="3">
        <v>2</v>
      </c>
      <c r="I413" s="5"/>
    </row>
    <row r="414" spans="1:9">
      <c r="A414" s="3" t="s">
        <v>1627</v>
      </c>
      <c r="B414" s="3" t="s">
        <v>1628</v>
      </c>
      <c r="C414" s="3" t="s">
        <v>1629</v>
      </c>
      <c r="D414" s="3" t="s">
        <v>1630</v>
      </c>
      <c r="E414" s="3">
        <v>3</v>
      </c>
      <c r="F414" s="3">
        <v>1</v>
      </c>
      <c r="G414" s="3">
        <v>0</v>
      </c>
      <c r="H414" s="3">
        <v>2</v>
      </c>
      <c r="I414" s="5"/>
    </row>
    <row r="415" spans="1:9">
      <c r="A415" s="3" t="s">
        <v>1631</v>
      </c>
      <c r="B415" s="3" t="s">
        <v>1632</v>
      </c>
      <c r="C415" s="3" t="s">
        <v>1633</v>
      </c>
      <c r="D415" s="3" t="s">
        <v>1634</v>
      </c>
      <c r="E415" s="3">
        <v>1</v>
      </c>
      <c r="F415" s="3">
        <v>0</v>
      </c>
      <c r="G415" s="3">
        <v>0</v>
      </c>
      <c r="H415" s="3">
        <v>1</v>
      </c>
      <c r="I415" s="5"/>
    </row>
    <row r="416" spans="1:9">
      <c r="A416" s="3" t="s">
        <v>1635</v>
      </c>
      <c r="B416" s="3" t="s">
        <v>1636</v>
      </c>
      <c r="C416" s="3" t="s">
        <v>1637</v>
      </c>
      <c r="D416" s="3" t="s">
        <v>1638</v>
      </c>
      <c r="E416" s="3">
        <v>2</v>
      </c>
      <c r="F416" s="3">
        <v>0</v>
      </c>
      <c r="G416" s="3">
        <v>0</v>
      </c>
      <c r="H416" s="3">
        <v>2</v>
      </c>
      <c r="I416" s="5"/>
    </row>
    <row r="417" spans="1:9">
      <c r="A417" s="3" t="s">
        <v>1639</v>
      </c>
      <c r="B417" s="3" t="s">
        <v>1640</v>
      </c>
      <c r="C417" s="3" t="s">
        <v>1641</v>
      </c>
      <c r="D417" s="3" t="s">
        <v>1642</v>
      </c>
      <c r="E417" s="3">
        <v>3</v>
      </c>
      <c r="F417" s="3">
        <v>1</v>
      </c>
      <c r="G417" s="3">
        <v>0</v>
      </c>
      <c r="H417" s="3">
        <v>2</v>
      </c>
      <c r="I417" s="5"/>
    </row>
    <row r="418" spans="1:9">
      <c r="A418" s="3" t="s">
        <v>1643</v>
      </c>
      <c r="B418" s="3" t="s">
        <v>1644</v>
      </c>
      <c r="C418" s="3" t="s">
        <v>1645</v>
      </c>
      <c r="D418" s="3" t="s">
        <v>1646</v>
      </c>
      <c r="E418" s="3">
        <v>2</v>
      </c>
      <c r="F418" s="3">
        <v>1</v>
      </c>
      <c r="G418" s="3">
        <v>1</v>
      </c>
      <c r="H418" s="3">
        <v>0</v>
      </c>
      <c r="I418" s="5"/>
    </row>
    <row r="419" spans="1:9">
      <c r="A419" s="3" t="s">
        <v>1647</v>
      </c>
      <c r="B419" s="3" t="s">
        <v>1648</v>
      </c>
      <c r="C419" s="3" t="s">
        <v>1649</v>
      </c>
      <c r="D419" s="3" t="s">
        <v>1650</v>
      </c>
      <c r="E419" s="3">
        <v>1</v>
      </c>
      <c r="F419" s="3">
        <v>0</v>
      </c>
      <c r="G419" s="3">
        <v>1</v>
      </c>
      <c r="H419" s="3">
        <v>0</v>
      </c>
      <c r="I419" s="5"/>
    </row>
    <row r="420" spans="1:9">
      <c r="A420" s="3" t="s">
        <v>1651</v>
      </c>
      <c r="B420" s="3" t="s">
        <v>1652</v>
      </c>
      <c r="C420" s="3" t="s">
        <v>1653</v>
      </c>
      <c r="D420" s="3" t="s">
        <v>1654</v>
      </c>
      <c r="E420" s="3">
        <v>11</v>
      </c>
      <c r="F420" s="3">
        <v>4</v>
      </c>
      <c r="G420" s="3">
        <v>3</v>
      </c>
      <c r="H420" s="3">
        <v>4</v>
      </c>
      <c r="I420" s="5"/>
    </row>
    <row r="421" spans="1:9">
      <c r="A421" s="3" t="s">
        <v>1655</v>
      </c>
      <c r="B421" s="3" t="s">
        <v>1656</v>
      </c>
      <c r="C421" s="3" t="s">
        <v>1657</v>
      </c>
      <c r="D421" s="3" t="s">
        <v>1658</v>
      </c>
      <c r="E421" s="3">
        <v>1</v>
      </c>
      <c r="F421" s="3">
        <v>1</v>
      </c>
      <c r="G421" s="3">
        <v>0</v>
      </c>
      <c r="H421" s="3">
        <v>0</v>
      </c>
      <c r="I421" s="5"/>
    </row>
    <row r="422" spans="1:9">
      <c r="A422" s="3" t="s">
        <v>1659</v>
      </c>
      <c r="B422" s="3" t="s">
        <v>1660</v>
      </c>
      <c r="C422" s="3" t="s">
        <v>1661</v>
      </c>
      <c r="D422" s="3" t="s">
        <v>1564</v>
      </c>
      <c r="E422" s="3">
        <v>1</v>
      </c>
      <c r="F422" s="3">
        <v>1</v>
      </c>
      <c r="G422" s="3">
        <v>0</v>
      </c>
      <c r="H422" s="3">
        <v>0</v>
      </c>
      <c r="I422" s="5"/>
    </row>
    <row r="423" spans="1:9">
      <c r="A423" s="3" t="s">
        <v>1662</v>
      </c>
      <c r="B423" s="3" t="s">
        <v>1663</v>
      </c>
      <c r="C423" s="3" t="s">
        <v>1664</v>
      </c>
      <c r="D423" s="3" t="s">
        <v>1665</v>
      </c>
      <c r="E423" s="3">
        <v>14</v>
      </c>
      <c r="F423" s="3">
        <v>4</v>
      </c>
      <c r="G423" s="3">
        <v>4</v>
      </c>
      <c r="H423" s="3">
        <v>6</v>
      </c>
      <c r="I423" s="5"/>
    </row>
    <row r="424" spans="1:9">
      <c r="A424" s="3" t="s">
        <v>1666</v>
      </c>
      <c r="B424" s="3" t="s">
        <v>1667</v>
      </c>
      <c r="C424" s="3" t="s">
        <v>1668</v>
      </c>
      <c r="D424" s="3" t="s">
        <v>1669</v>
      </c>
      <c r="E424" s="3">
        <v>1</v>
      </c>
      <c r="F424" s="3">
        <v>1</v>
      </c>
      <c r="G424" s="3">
        <v>0</v>
      </c>
      <c r="H424" s="3">
        <v>0</v>
      </c>
      <c r="I424" s="5"/>
    </row>
    <row r="425" spans="1:9">
      <c r="A425" s="3" t="s">
        <v>1670</v>
      </c>
      <c r="B425" s="3" t="s">
        <v>1671</v>
      </c>
      <c r="C425" s="3" t="s">
        <v>1672</v>
      </c>
      <c r="D425" s="3" t="s">
        <v>1673</v>
      </c>
      <c r="E425" s="3">
        <v>1</v>
      </c>
      <c r="F425" s="3">
        <v>0</v>
      </c>
      <c r="G425" s="3">
        <v>0</v>
      </c>
      <c r="H425" s="3">
        <v>1</v>
      </c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9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1674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1675</v>
      </c>
      <c r="G1" s="3" t="s">
        <v>1676</v>
      </c>
      <c r="H1" s="3" t="s">
        <v>1677</v>
      </c>
      <c r="I1" s="3" t="s">
        <v>1678</v>
      </c>
      <c r="J1" s="3" t="s">
        <v>1679</v>
      </c>
      <c r="K1" s="3" t="s">
        <v>1680</v>
      </c>
      <c r="L1" s="3" t="s">
        <v>1681</v>
      </c>
      <c r="M1" s="3" t="s">
        <v>1682</v>
      </c>
      <c r="N1" s="3" t="s">
        <v>1683</v>
      </c>
      <c r="O1" s="3" t="s">
        <v>1684</v>
      </c>
      <c r="P1" s="3" t="s">
        <v>1685</v>
      </c>
      <c r="Q1" s="3" t="s">
        <v>1686</v>
      </c>
      <c r="R1" s="3" t="s">
        <v>1687</v>
      </c>
      <c r="S1" s="3" t="s">
        <v>1688</v>
      </c>
      <c r="T1" s="3" t="s">
        <v>1689</v>
      </c>
      <c r="U1" s="3" t="s">
        <v>1690</v>
      </c>
      <c r="V1" s="3" t="s">
        <v>1691</v>
      </c>
      <c r="W1" s="3" t="s">
        <v>1692</v>
      </c>
      <c r="X1" s="3" t="s">
        <v>1693</v>
      </c>
      <c r="Y1" s="3" t="s">
        <v>1694</v>
      </c>
      <c r="Z1" s="3" t="s">
        <v>1695</v>
      </c>
      <c r="AA1" s="3" t="s">
        <v>1696</v>
      </c>
      <c r="AB1" s="3" t="s">
        <v>1697</v>
      </c>
      <c r="AC1" s="3" t="s">
        <v>1698</v>
      </c>
      <c r="AD1" s="3" t="s">
        <v>1699</v>
      </c>
      <c r="AE1" s="3" t="s">
        <v>1700</v>
      </c>
      <c r="AF1" s="3" t="s">
        <v>1701</v>
      </c>
      <c r="AG1" s="3" t="s">
        <v>1702</v>
      </c>
      <c r="AH1" s="3" t="s">
        <v>1703</v>
      </c>
      <c r="AI1" s="3" t="s">
        <v>1704</v>
      </c>
      <c r="AJ1" s="3" t="s">
        <v>1705</v>
      </c>
    </row>
    <row r="2" spans="1:36">
      <c r="A2" s="4">
        <v>43277</v>
      </c>
      <c r="B2" s="3" t="s">
        <v>1706</v>
      </c>
      <c r="C2" s="3" t="s">
        <v>1707</v>
      </c>
      <c r="D2" s="3" t="s">
        <v>1708</v>
      </c>
      <c r="E2" s="3" t="s">
        <v>1709</v>
      </c>
      <c r="F2" s="3" t="s">
        <v>1710</v>
      </c>
      <c r="G2" s="3">
        <v>12</v>
      </c>
      <c r="H2" s="3">
        <v>0</v>
      </c>
      <c r="I2" s="3">
        <v>12</v>
      </c>
      <c r="J2" s="3">
        <v>0</v>
      </c>
      <c r="K2" s="3">
        <v>0</v>
      </c>
      <c r="L2" s="3">
        <v>0</v>
      </c>
      <c r="M2" s="3">
        <v>0</v>
      </c>
      <c r="N2" s="3" t="s">
        <v>1711</v>
      </c>
      <c r="O2" s="3">
        <v>0</v>
      </c>
      <c r="P2" s="3">
        <v>0</v>
      </c>
      <c r="Q2" s="3">
        <v>0</v>
      </c>
      <c r="R2" s="3">
        <v>0</v>
      </c>
      <c r="S2" s="3">
        <v>1</v>
      </c>
      <c r="T2" s="3">
        <v>3</v>
      </c>
      <c r="U2" s="3">
        <v>3</v>
      </c>
      <c r="V2" s="3">
        <v>3</v>
      </c>
      <c r="W2" s="3" t="s">
        <v>1712</v>
      </c>
      <c r="X2" s="3">
        <v>39.99</v>
      </c>
      <c r="Y2" s="3">
        <v>19.99</v>
      </c>
      <c r="Z2" s="3">
        <v>19.99</v>
      </c>
      <c r="AA2" s="3">
        <v>0</v>
      </c>
      <c r="AB2" s="3" t="s">
        <v>1713</v>
      </c>
      <c r="AC2" s="3">
        <v>12</v>
      </c>
      <c r="AD2" s="3">
        <v>19.99</v>
      </c>
      <c r="AE2" s="3">
        <v>0</v>
      </c>
      <c r="AF2" s="3">
        <v>0</v>
      </c>
      <c r="AG2" s="3">
        <v>0</v>
      </c>
      <c r="AH2" s="3">
        <v>0.222222222222222</v>
      </c>
      <c r="AI2" s="3" t="s">
        <v>1714</v>
      </c>
      <c r="AJ2" s="3" t="s">
        <v>1715</v>
      </c>
    </row>
    <row r="3" spans="1:36">
      <c r="A3" s="4">
        <v>43277</v>
      </c>
      <c r="B3" s="3" t="s">
        <v>1716</v>
      </c>
      <c r="C3" s="3" t="s">
        <v>1717</v>
      </c>
      <c r="D3" s="3" t="s">
        <v>1718</v>
      </c>
      <c r="E3" s="3" t="s">
        <v>1719</v>
      </c>
      <c r="F3" s="3" t="s">
        <v>1710</v>
      </c>
      <c r="G3" s="3">
        <v>7</v>
      </c>
      <c r="H3" s="3">
        <v>0</v>
      </c>
      <c r="I3" s="3">
        <v>1</v>
      </c>
      <c r="J3" s="3">
        <v>6</v>
      </c>
      <c r="K3" s="3">
        <v>0</v>
      </c>
      <c r="L3" s="3">
        <v>0</v>
      </c>
      <c r="M3" s="3">
        <v>0</v>
      </c>
      <c r="N3" s="3" t="s">
        <v>1711</v>
      </c>
      <c r="O3" s="3">
        <v>5</v>
      </c>
      <c r="P3" s="3">
        <v>15.39</v>
      </c>
      <c r="Q3" s="3">
        <v>0</v>
      </c>
      <c r="R3" s="3">
        <v>0</v>
      </c>
      <c r="S3" s="3">
        <v>0</v>
      </c>
      <c r="T3" s="3">
        <v>0</v>
      </c>
      <c r="U3" s="3">
        <v>1</v>
      </c>
      <c r="V3" s="3">
        <v>1</v>
      </c>
      <c r="W3" s="3" t="s">
        <v>1720</v>
      </c>
      <c r="X3" s="3">
        <v>21.99</v>
      </c>
      <c r="Y3" s="3">
        <v>21.99</v>
      </c>
      <c r="Z3" s="3">
        <v>21.99</v>
      </c>
      <c r="AA3" s="3">
        <v>0</v>
      </c>
      <c r="AB3" s="3" t="s">
        <v>1721</v>
      </c>
      <c r="AC3" s="3">
        <v>7</v>
      </c>
      <c r="AD3" s="3">
        <v>21.99</v>
      </c>
      <c r="AE3" s="3">
        <v>0</v>
      </c>
      <c r="AF3" s="3">
        <v>0</v>
      </c>
      <c r="AG3" s="3">
        <v>0</v>
      </c>
      <c r="AH3" s="3">
        <v>0.133333333333333</v>
      </c>
      <c r="AI3" s="3" t="s">
        <v>1722</v>
      </c>
      <c r="AJ3" s="3" t="s">
        <v>1715</v>
      </c>
    </row>
    <row r="4" spans="1:36">
      <c r="A4" s="4">
        <v>43277</v>
      </c>
      <c r="B4" s="3" t="s">
        <v>1723</v>
      </c>
      <c r="C4" s="3" t="s">
        <v>1724</v>
      </c>
      <c r="D4" s="3" t="s">
        <v>1725</v>
      </c>
      <c r="E4" s="3" t="s">
        <v>1726</v>
      </c>
      <c r="F4" s="3" t="s">
        <v>1710</v>
      </c>
      <c r="G4" s="3">
        <v>48</v>
      </c>
      <c r="H4" s="3">
        <v>0</v>
      </c>
      <c r="I4" s="3">
        <v>0</v>
      </c>
      <c r="J4" s="3">
        <v>7</v>
      </c>
      <c r="K4" s="3">
        <v>41</v>
      </c>
      <c r="L4" s="3">
        <v>0</v>
      </c>
      <c r="M4" s="3">
        <v>0</v>
      </c>
      <c r="N4" s="3" t="s">
        <v>1711</v>
      </c>
      <c r="O4" s="3">
        <v>48</v>
      </c>
      <c r="P4" s="3">
        <v>78.38</v>
      </c>
      <c r="Q4" s="3">
        <v>0</v>
      </c>
      <c r="R4" s="3">
        <v>0</v>
      </c>
      <c r="S4" s="3">
        <v>0</v>
      </c>
      <c r="T4" s="3">
        <v>1</v>
      </c>
      <c r="U4" s="3">
        <v>3</v>
      </c>
      <c r="V4" s="3">
        <v>4</v>
      </c>
      <c r="W4" s="3" t="s">
        <v>1720</v>
      </c>
      <c r="X4" s="3">
        <v>18.99</v>
      </c>
      <c r="Y4" s="3">
        <v>18.99</v>
      </c>
      <c r="Z4" s="3">
        <v>18.99</v>
      </c>
      <c r="AA4" s="3">
        <v>0</v>
      </c>
      <c r="AB4" s="3" t="s">
        <v>1721</v>
      </c>
      <c r="AC4" s="3">
        <v>1</v>
      </c>
      <c r="AD4" s="3">
        <v>15.36</v>
      </c>
      <c r="AE4" s="3">
        <v>189</v>
      </c>
      <c r="AF4" s="3">
        <v>0</v>
      </c>
      <c r="AG4" s="3">
        <v>1205.834503</v>
      </c>
      <c r="AH4" s="3">
        <v>0.08</v>
      </c>
      <c r="AI4" s="3" t="s">
        <v>1727</v>
      </c>
      <c r="AJ4" s="3" t="s">
        <v>1715</v>
      </c>
    </row>
    <row r="5" spans="1:36">
      <c r="A5" s="4">
        <v>43277</v>
      </c>
      <c r="B5" s="3" t="s">
        <v>1728</v>
      </c>
      <c r="C5" s="3" t="s">
        <v>1729</v>
      </c>
      <c r="D5" s="3" t="s">
        <v>1730</v>
      </c>
      <c r="E5" s="3" t="s">
        <v>1731</v>
      </c>
      <c r="F5" s="3" t="s">
        <v>1710</v>
      </c>
      <c r="G5" s="3">
        <v>91</v>
      </c>
      <c r="H5" s="3">
        <v>0</v>
      </c>
      <c r="I5" s="3">
        <v>6</v>
      </c>
      <c r="J5" s="3">
        <v>27</v>
      </c>
      <c r="K5" s="3">
        <v>58</v>
      </c>
      <c r="L5" s="3">
        <v>0</v>
      </c>
      <c r="M5" s="3">
        <v>0</v>
      </c>
      <c r="N5" s="3" t="s">
        <v>1711</v>
      </c>
      <c r="O5" s="3">
        <v>79</v>
      </c>
      <c r="P5" s="3">
        <v>85.59</v>
      </c>
      <c r="Q5" s="3">
        <v>0</v>
      </c>
      <c r="R5" s="3">
        <v>0</v>
      </c>
      <c r="S5" s="3">
        <v>0</v>
      </c>
      <c r="T5" s="3">
        <v>1</v>
      </c>
      <c r="U5" s="3">
        <v>5</v>
      </c>
      <c r="V5" s="3">
        <v>9</v>
      </c>
      <c r="W5" s="3"/>
      <c r="X5" s="3">
        <v>35</v>
      </c>
      <c r="Y5" s="3">
        <v>16.99</v>
      </c>
      <c r="Z5" s="3">
        <v>16</v>
      </c>
      <c r="AA5" s="3">
        <v>0</v>
      </c>
      <c r="AB5" s="3" t="s">
        <v>1732</v>
      </c>
      <c r="AC5" s="3">
        <v>6</v>
      </c>
      <c r="AD5" s="3">
        <v>14.96</v>
      </c>
      <c r="AE5" s="3">
        <v>133</v>
      </c>
      <c r="AF5" s="3">
        <v>0</v>
      </c>
      <c r="AG5" s="3">
        <v>1826.132992</v>
      </c>
      <c r="AH5" s="3">
        <v>0.0365853658536585</v>
      </c>
      <c r="AI5" s="3" t="s">
        <v>1733</v>
      </c>
      <c r="AJ5" s="3" t="s">
        <v>1715</v>
      </c>
    </row>
    <row r="6" spans="1:36">
      <c r="A6" s="4">
        <v>43277</v>
      </c>
      <c r="B6" s="3" t="s">
        <v>1623</v>
      </c>
      <c r="C6" s="3" t="s">
        <v>1624</v>
      </c>
      <c r="D6" s="3" t="s">
        <v>1625</v>
      </c>
      <c r="E6" s="3" t="s">
        <v>1626</v>
      </c>
      <c r="F6" s="3" t="s">
        <v>1710</v>
      </c>
      <c r="G6" s="3">
        <v>24</v>
      </c>
      <c r="H6" s="3">
        <v>0</v>
      </c>
      <c r="I6" s="3">
        <v>24</v>
      </c>
      <c r="J6" s="3">
        <v>0</v>
      </c>
      <c r="K6" s="3">
        <v>0</v>
      </c>
      <c r="L6" s="3">
        <v>0</v>
      </c>
      <c r="M6" s="3">
        <v>0</v>
      </c>
      <c r="N6" s="3" t="s">
        <v>1711</v>
      </c>
      <c r="O6" s="3">
        <v>0</v>
      </c>
      <c r="P6" s="3">
        <v>0</v>
      </c>
      <c r="Q6" s="3">
        <v>0</v>
      </c>
      <c r="R6" s="3">
        <v>0</v>
      </c>
      <c r="S6" s="3">
        <v>3</v>
      </c>
      <c r="T6" s="3">
        <v>14</v>
      </c>
      <c r="U6" s="3">
        <v>31</v>
      </c>
      <c r="V6" s="3">
        <v>39</v>
      </c>
      <c r="W6" s="3"/>
      <c r="X6" s="3">
        <v>25.99</v>
      </c>
      <c r="Y6" s="3">
        <v>25.99</v>
      </c>
      <c r="Z6" s="3">
        <v>22.59</v>
      </c>
      <c r="AA6" s="3">
        <v>0</v>
      </c>
      <c r="AB6" s="3" t="s">
        <v>1713</v>
      </c>
      <c r="AC6" s="3">
        <v>24</v>
      </c>
      <c r="AD6" s="3">
        <v>25.99</v>
      </c>
      <c r="AE6" s="3">
        <v>0</v>
      </c>
      <c r="AF6" s="3">
        <v>0</v>
      </c>
      <c r="AG6" s="3">
        <v>0</v>
      </c>
      <c r="AH6" s="3">
        <v>1.90243902439024</v>
      </c>
      <c r="AI6" s="3" t="s">
        <v>1734</v>
      </c>
      <c r="AJ6" s="3" t="s">
        <v>1715</v>
      </c>
    </row>
    <row r="7" spans="1:36">
      <c r="A7" s="4">
        <v>43277</v>
      </c>
      <c r="B7" s="3" t="s">
        <v>1735</v>
      </c>
      <c r="C7" s="3" t="s">
        <v>1736</v>
      </c>
      <c r="D7" s="3" t="s">
        <v>1737</v>
      </c>
      <c r="E7" s="3" t="s">
        <v>1738</v>
      </c>
      <c r="F7" s="3" t="s">
        <v>1710</v>
      </c>
      <c r="G7" s="3">
        <v>10</v>
      </c>
      <c r="H7" s="3">
        <v>0</v>
      </c>
      <c r="I7" s="3">
        <v>10</v>
      </c>
      <c r="J7" s="3">
        <v>0</v>
      </c>
      <c r="K7" s="3">
        <v>0</v>
      </c>
      <c r="L7" s="3">
        <v>0</v>
      </c>
      <c r="M7" s="3">
        <v>0</v>
      </c>
      <c r="N7" s="3" t="s">
        <v>1711</v>
      </c>
      <c r="O7" s="3">
        <v>0</v>
      </c>
      <c r="P7" s="3">
        <v>0</v>
      </c>
      <c r="Q7" s="3">
        <v>0</v>
      </c>
      <c r="R7" s="3">
        <v>0</v>
      </c>
      <c r="S7" s="3">
        <v>4</v>
      </c>
      <c r="T7" s="3">
        <v>9</v>
      </c>
      <c r="U7" s="3">
        <v>14</v>
      </c>
      <c r="V7" s="3">
        <v>14</v>
      </c>
      <c r="W7" s="3" t="s">
        <v>1712</v>
      </c>
      <c r="X7" s="3">
        <v>15.99</v>
      </c>
      <c r="Y7" s="3">
        <v>15.99</v>
      </c>
      <c r="Z7" s="3">
        <v>15.99</v>
      </c>
      <c r="AA7" s="3">
        <v>0</v>
      </c>
      <c r="AB7" s="3" t="s">
        <v>1713</v>
      </c>
      <c r="AC7" s="3">
        <v>9</v>
      </c>
      <c r="AD7" s="3">
        <v>15.99</v>
      </c>
      <c r="AE7" s="3">
        <v>0</v>
      </c>
      <c r="AF7" s="3">
        <v>0</v>
      </c>
      <c r="AG7" s="3">
        <v>0</v>
      </c>
      <c r="AH7" s="3">
        <v>0.954545454545454</v>
      </c>
      <c r="AI7" s="3" t="s">
        <v>1739</v>
      </c>
      <c r="AJ7" s="3" t="s">
        <v>1715</v>
      </c>
    </row>
    <row r="8" spans="1:36">
      <c r="A8" s="4">
        <v>43277</v>
      </c>
      <c r="B8" s="3" t="s">
        <v>1740</v>
      </c>
      <c r="C8" s="3" t="s">
        <v>1741</v>
      </c>
      <c r="D8" s="3" t="s">
        <v>1742</v>
      </c>
      <c r="E8" s="3" t="s">
        <v>1743</v>
      </c>
      <c r="F8" s="3" t="s">
        <v>1710</v>
      </c>
      <c r="G8" s="3">
        <v>1</v>
      </c>
      <c r="H8" s="3">
        <v>0</v>
      </c>
      <c r="I8" s="3">
        <v>0</v>
      </c>
      <c r="J8" s="3">
        <v>1</v>
      </c>
      <c r="K8" s="3">
        <v>0</v>
      </c>
      <c r="L8" s="3">
        <v>0</v>
      </c>
      <c r="M8" s="3">
        <v>0</v>
      </c>
      <c r="N8" s="3" t="s">
        <v>1711</v>
      </c>
      <c r="O8" s="3">
        <v>1</v>
      </c>
      <c r="P8" s="3">
        <v>0.92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1720</v>
      </c>
      <c r="X8" s="3">
        <v>21.99</v>
      </c>
      <c r="Y8" s="3">
        <v>21.99</v>
      </c>
      <c r="Z8" s="3">
        <v>21.99</v>
      </c>
      <c r="AA8" s="3">
        <v>0</v>
      </c>
      <c r="AB8" s="3" t="s">
        <v>1721</v>
      </c>
      <c r="AC8" s="3">
        <v>1</v>
      </c>
      <c r="AD8" s="3">
        <v>21.99</v>
      </c>
      <c r="AE8" s="3">
        <v>0</v>
      </c>
      <c r="AF8" s="3">
        <v>0</v>
      </c>
      <c r="AG8" s="3">
        <v>0</v>
      </c>
      <c r="AH8" s="3">
        <v>0</v>
      </c>
      <c r="AI8" s="3" t="s">
        <v>1744</v>
      </c>
      <c r="AJ8" s="3" t="s">
        <v>1715</v>
      </c>
    </row>
    <row r="9" spans="1:36">
      <c r="A9" s="4">
        <v>43277</v>
      </c>
      <c r="B9" s="3" t="s">
        <v>1635</v>
      </c>
      <c r="C9" s="3" t="s">
        <v>1636</v>
      </c>
      <c r="D9" s="3" t="s">
        <v>1637</v>
      </c>
      <c r="E9" s="3" t="s">
        <v>1638</v>
      </c>
      <c r="F9" s="3" t="s">
        <v>1710</v>
      </c>
      <c r="G9" s="3">
        <v>15</v>
      </c>
      <c r="H9" s="3">
        <v>0</v>
      </c>
      <c r="I9" s="3">
        <v>15</v>
      </c>
      <c r="J9" s="3">
        <v>0</v>
      </c>
      <c r="K9" s="3">
        <v>0</v>
      </c>
      <c r="L9" s="3">
        <v>0</v>
      </c>
      <c r="M9" s="3">
        <v>0</v>
      </c>
      <c r="N9" s="3" t="s">
        <v>1711</v>
      </c>
      <c r="O9" s="3">
        <v>0</v>
      </c>
      <c r="P9" s="3">
        <v>0</v>
      </c>
      <c r="Q9" s="3">
        <v>0</v>
      </c>
      <c r="R9" s="3">
        <v>0</v>
      </c>
      <c r="S9" s="3">
        <v>1</v>
      </c>
      <c r="T9" s="3">
        <v>9</v>
      </c>
      <c r="U9" s="3">
        <v>16</v>
      </c>
      <c r="V9" s="3">
        <v>21</v>
      </c>
      <c r="W9" s="3"/>
      <c r="X9" s="3">
        <v>29.98</v>
      </c>
      <c r="Y9" s="3">
        <v>22.99</v>
      </c>
      <c r="Z9" s="3">
        <v>22.99</v>
      </c>
      <c r="AA9" s="3">
        <v>0</v>
      </c>
      <c r="AB9" s="3" t="s">
        <v>1713</v>
      </c>
      <c r="AC9" s="3">
        <v>16</v>
      </c>
      <c r="AD9" s="3">
        <v>22.99</v>
      </c>
      <c r="AE9" s="3">
        <v>0</v>
      </c>
      <c r="AF9" s="3">
        <v>0</v>
      </c>
      <c r="AG9" s="3">
        <v>0</v>
      </c>
      <c r="AH9" s="3">
        <v>2.15384615384615</v>
      </c>
      <c r="AI9" s="3" t="s">
        <v>1734</v>
      </c>
      <c r="AJ9" s="3" t="s">
        <v>1715</v>
      </c>
    </row>
    <row r="10" spans="1:36">
      <c r="A10" s="4">
        <v>43277</v>
      </c>
      <c r="B10" s="3" t="s">
        <v>1745</v>
      </c>
      <c r="C10" s="3" t="s">
        <v>1746</v>
      </c>
      <c r="D10" s="3" t="s">
        <v>1747</v>
      </c>
      <c r="E10" s="3" t="s">
        <v>1748</v>
      </c>
      <c r="F10" s="3" t="s">
        <v>1710</v>
      </c>
      <c r="G10" s="3">
        <v>14</v>
      </c>
      <c r="H10" s="3">
        <v>0</v>
      </c>
      <c r="I10" s="3">
        <v>1</v>
      </c>
      <c r="J10" s="3">
        <v>1</v>
      </c>
      <c r="K10" s="3">
        <v>12</v>
      </c>
      <c r="L10" s="3">
        <v>0</v>
      </c>
      <c r="M10" s="3">
        <v>0</v>
      </c>
      <c r="N10" s="3" t="s">
        <v>1711</v>
      </c>
      <c r="O10" s="3">
        <v>13</v>
      </c>
      <c r="P10" s="3">
        <v>22.22</v>
      </c>
      <c r="Q10" s="3">
        <v>0</v>
      </c>
      <c r="R10" s="3">
        <v>0</v>
      </c>
      <c r="S10" s="3">
        <v>0</v>
      </c>
      <c r="T10" s="3">
        <v>1</v>
      </c>
      <c r="U10" s="3">
        <v>1</v>
      </c>
      <c r="V10" s="3">
        <v>1</v>
      </c>
      <c r="W10" s="3" t="s">
        <v>1720</v>
      </c>
      <c r="X10" s="3">
        <v>18.99</v>
      </c>
      <c r="Y10" s="3">
        <v>18.99</v>
      </c>
      <c r="Z10" s="3">
        <v>18.99</v>
      </c>
      <c r="AA10" s="3">
        <v>0</v>
      </c>
      <c r="AB10" s="3" t="s">
        <v>1721</v>
      </c>
      <c r="AC10" s="3">
        <v>1</v>
      </c>
      <c r="AD10" s="3">
        <v>17.06</v>
      </c>
      <c r="AE10" s="3">
        <v>119</v>
      </c>
      <c r="AF10" s="3">
        <v>0</v>
      </c>
      <c r="AG10" s="3">
        <v>378.420572</v>
      </c>
      <c r="AH10" s="3">
        <v>0.0714285714285714</v>
      </c>
      <c r="AI10" s="3" t="s">
        <v>1749</v>
      </c>
      <c r="AJ10" s="3" t="s">
        <v>1715</v>
      </c>
    </row>
    <row r="11" spans="1:36">
      <c r="A11" s="4">
        <v>43277</v>
      </c>
      <c r="B11" s="3" t="s">
        <v>1557</v>
      </c>
      <c r="C11" s="3" t="s">
        <v>1558</v>
      </c>
      <c r="D11" s="3" t="s">
        <v>1559</v>
      </c>
      <c r="E11" s="3" t="s">
        <v>1560</v>
      </c>
      <c r="F11" s="3" t="s">
        <v>1710</v>
      </c>
      <c r="G11" s="3">
        <v>112</v>
      </c>
      <c r="H11" s="3">
        <v>0</v>
      </c>
      <c r="I11" s="3">
        <v>112</v>
      </c>
      <c r="J11" s="3">
        <v>0</v>
      </c>
      <c r="K11" s="3">
        <v>0</v>
      </c>
      <c r="L11" s="3">
        <v>0</v>
      </c>
      <c r="M11" s="3">
        <v>0</v>
      </c>
      <c r="N11" s="3" t="s">
        <v>1711</v>
      </c>
      <c r="O11" s="3">
        <v>0</v>
      </c>
      <c r="P11" s="3">
        <v>0</v>
      </c>
      <c r="Q11" s="3">
        <v>0</v>
      </c>
      <c r="R11" s="3">
        <v>0</v>
      </c>
      <c r="S11" s="3">
        <v>59</v>
      </c>
      <c r="T11" s="3">
        <v>244</v>
      </c>
      <c r="U11" s="3">
        <v>428</v>
      </c>
      <c r="V11" s="3">
        <v>598</v>
      </c>
      <c r="W11" s="3"/>
      <c r="X11" s="3">
        <v>40</v>
      </c>
      <c r="Y11" s="3">
        <v>29.99</v>
      </c>
      <c r="Z11" s="3">
        <v>29.99</v>
      </c>
      <c r="AA11" s="3">
        <v>0</v>
      </c>
      <c r="AB11" s="3" t="s">
        <v>1713</v>
      </c>
      <c r="AC11" s="3">
        <v>49</v>
      </c>
      <c r="AD11" s="3">
        <v>29.99</v>
      </c>
      <c r="AE11" s="3">
        <v>0</v>
      </c>
      <c r="AF11" s="3">
        <v>0</v>
      </c>
      <c r="AG11" s="3">
        <v>0</v>
      </c>
      <c r="AH11" s="3">
        <v>5.47368421052631</v>
      </c>
      <c r="AI11" s="3" t="s">
        <v>1750</v>
      </c>
      <c r="AJ11" s="3" t="s">
        <v>1715</v>
      </c>
    </row>
    <row r="12" spans="1:36">
      <c r="A12" s="4">
        <v>43277</v>
      </c>
      <c r="B12" s="3" t="s">
        <v>723</v>
      </c>
      <c r="C12" s="3" t="s">
        <v>724</v>
      </c>
      <c r="D12" s="3" t="s">
        <v>725</v>
      </c>
      <c r="E12" s="3" t="s">
        <v>726</v>
      </c>
      <c r="F12" s="3" t="s">
        <v>1710</v>
      </c>
      <c r="G12" s="3">
        <v>58</v>
      </c>
      <c r="H12" s="3">
        <v>0</v>
      </c>
      <c r="I12" s="3">
        <v>58</v>
      </c>
      <c r="J12" s="3">
        <v>0</v>
      </c>
      <c r="K12" s="3">
        <v>0</v>
      </c>
      <c r="L12" s="3">
        <v>0</v>
      </c>
      <c r="M12" s="3">
        <v>0</v>
      </c>
      <c r="N12" s="3" t="s">
        <v>1711</v>
      </c>
      <c r="O12" s="3">
        <v>0</v>
      </c>
      <c r="P12" s="3">
        <v>0</v>
      </c>
      <c r="Q12" s="3">
        <v>0</v>
      </c>
      <c r="R12" s="3">
        <v>0</v>
      </c>
      <c r="S12" s="3">
        <v>2</v>
      </c>
      <c r="T12" s="3">
        <v>19</v>
      </c>
      <c r="U12" s="3">
        <v>30</v>
      </c>
      <c r="V12" s="3">
        <v>36</v>
      </c>
      <c r="W12" s="3"/>
      <c r="X12" s="3">
        <v>28.58</v>
      </c>
      <c r="Y12" s="3">
        <v>28.58</v>
      </c>
      <c r="Z12" s="3">
        <v>28</v>
      </c>
      <c r="AA12" s="3">
        <v>0</v>
      </c>
      <c r="AB12" s="3" t="s">
        <v>1713</v>
      </c>
      <c r="AC12" s="3">
        <v>60</v>
      </c>
      <c r="AD12" s="3">
        <v>28.58</v>
      </c>
      <c r="AE12" s="3">
        <v>0</v>
      </c>
      <c r="AF12" s="3">
        <v>0</v>
      </c>
      <c r="AG12" s="3">
        <v>0</v>
      </c>
      <c r="AH12" s="3">
        <v>1.5</v>
      </c>
      <c r="AI12" s="3" t="s">
        <v>1751</v>
      </c>
      <c r="AJ12" s="3" t="s">
        <v>1715</v>
      </c>
    </row>
    <row r="13" spans="1:36">
      <c r="A13" s="4">
        <v>43277</v>
      </c>
      <c r="B13" s="3" t="s">
        <v>1752</v>
      </c>
      <c r="C13" s="3" t="s">
        <v>1753</v>
      </c>
      <c r="D13" s="3" t="s">
        <v>1754</v>
      </c>
      <c r="E13" s="3" t="s">
        <v>1755</v>
      </c>
      <c r="F13" s="3" t="s">
        <v>1710</v>
      </c>
      <c r="G13" s="3">
        <v>10</v>
      </c>
      <c r="H13" s="3">
        <v>0</v>
      </c>
      <c r="I13" s="3">
        <v>10</v>
      </c>
      <c r="J13" s="3">
        <v>0</v>
      </c>
      <c r="K13" s="3">
        <v>0</v>
      </c>
      <c r="L13" s="3">
        <v>0</v>
      </c>
      <c r="M13" s="3">
        <v>0</v>
      </c>
      <c r="N13" s="3" t="s">
        <v>1711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1720</v>
      </c>
      <c r="X13" s="3">
        <v>15.99</v>
      </c>
      <c r="Y13" s="3">
        <v>15.99</v>
      </c>
      <c r="Z13" s="3">
        <v>15.99</v>
      </c>
      <c r="AA13" s="3">
        <v>0</v>
      </c>
      <c r="AB13" s="3" t="s">
        <v>1721</v>
      </c>
      <c r="AC13" s="3">
        <v>10</v>
      </c>
      <c r="AD13" s="3">
        <v>15.99</v>
      </c>
      <c r="AE13" s="3">
        <v>0</v>
      </c>
      <c r="AF13" s="3">
        <v>0</v>
      </c>
      <c r="AG13" s="3">
        <v>0</v>
      </c>
      <c r="AH13" s="3">
        <v>0</v>
      </c>
      <c r="AI13" s="3" t="s">
        <v>1756</v>
      </c>
      <c r="AJ13" s="3" t="s">
        <v>1715</v>
      </c>
    </row>
    <row r="14" spans="1:36">
      <c r="A14" s="4">
        <v>43277</v>
      </c>
      <c r="B14" s="3" t="s">
        <v>1757</v>
      </c>
      <c r="C14" s="3" t="s">
        <v>1758</v>
      </c>
      <c r="D14" s="3" t="s">
        <v>1759</v>
      </c>
      <c r="E14" s="3" t="s">
        <v>1760</v>
      </c>
      <c r="F14" s="3" t="s">
        <v>1710</v>
      </c>
      <c r="G14" s="3">
        <v>28</v>
      </c>
      <c r="H14" s="3">
        <v>0</v>
      </c>
      <c r="I14" s="3">
        <v>25</v>
      </c>
      <c r="J14" s="3">
        <v>3</v>
      </c>
      <c r="K14" s="3">
        <v>0</v>
      </c>
      <c r="L14" s="3">
        <v>0</v>
      </c>
      <c r="M14" s="3">
        <v>0</v>
      </c>
      <c r="N14" s="3" t="s">
        <v>1711</v>
      </c>
      <c r="O14" s="3">
        <v>0</v>
      </c>
      <c r="P14" s="3">
        <v>0</v>
      </c>
      <c r="Q14" s="3">
        <v>0</v>
      </c>
      <c r="R14" s="3">
        <v>0</v>
      </c>
      <c r="S14" s="3">
        <v>3</v>
      </c>
      <c r="T14" s="3">
        <v>5</v>
      </c>
      <c r="U14" s="3">
        <v>6</v>
      </c>
      <c r="V14" s="3">
        <v>12</v>
      </c>
      <c r="W14" s="3"/>
      <c r="X14" s="3">
        <v>32.99</v>
      </c>
      <c r="Y14" s="3">
        <v>28.58</v>
      </c>
      <c r="Z14" s="3">
        <v>28.58</v>
      </c>
      <c r="AA14" s="3">
        <v>0</v>
      </c>
      <c r="AB14" s="3" t="s">
        <v>1713</v>
      </c>
      <c r="AC14" s="3">
        <v>15</v>
      </c>
      <c r="AD14" s="3">
        <v>28.58</v>
      </c>
      <c r="AE14" s="3">
        <v>0</v>
      </c>
      <c r="AF14" s="3">
        <v>0</v>
      </c>
      <c r="AG14" s="3">
        <v>0</v>
      </c>
      <c r="AH14" s="3">
        <v>0.941176470588235</v>
      </c>
      <c r="AI14" s="3" t="s">
        <v>1761</v>
      </c>
      <c r="AJ14" s="3" t="s">
        <v>1715</v>
      </c>
    </row>
    <row r="15" spans="1:36">
      <c r="A15" s="4">
        <v>43277</v>
      </c>
      <c r="B15" s="3" t="s">
        <v>1762</v>
      </c>
      <c r="C15" s="3" t="s">
        <v>1763</v>
      </c>
      <c r="D15" s="3" t="s">
        <v>1764</v>
      </c>
      <c r="E15" s="3" t="s">
        <v>1765</v>
      </c>
      <c r="F15" s="3" t="s">
        <v>1710</v>
      </c>
      <c r="G15" s="3">
        <v>23</v>
      </c>
      <c r="H15" s="3">
        <v>0</v>
      </c>
      <c r="I15" s="3">
        <v>23</v>
      </c>
      <c r="J15" s="3">
        <v>0</v>
      </c>
      <c r="K15" s="3">
        <v>0</v>
      </c>
      <c r="L15" s="3">
        <v>0</v>
      </c>
      <c r="M15" s="3">
        <v>0</v>
      </c>
      <c r="N15" s="3" t="s">
        <v>1711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1712</v>
      </c>
      <c r="X15" s="3">
        <v>15.99</v>
      </c>
      <c r="Y15" s="3">
        <v>15.99</v>
      </c>
      <c r="Z15" s="3">
        <v>15.99</v>
      </c>
      <c r="AA15" s="3">
        <v>0</v>
      </c>
      <c r="AB15" s="3" t="s">
        <v>1713</v>
      </c>
      <c r="AC15" s="3">
        <v>23</v>
      </c>
      <c r="AD15" s="3">
        <v>15.99</v>
      </c>
      <c r="AE15" s="3">
        <v>0</v>
      </c>
      <c r="AF15" s="3">
        <v>0</v>
      </c>
      <c r="AG15" s="3">
        <v>0</v>
      </c>
      <c r="AH15" s="3">
        <v>0</v>
      </c>
      <c r="AI15" s="3" t="s">
        <v>1739</v>
      </c>
      <c r="AJ15" s="3" t="s">
        <v>1715</v>
      </c>
    </row>
    <row r="16" spans="1:36">
      <c r="A16" s="4">
        <v>43277</v>
      </c>
      <c r="B16" s="3" t="s">
        <v>1766</v>
      </c>
      <c r="C16" s="3" t="s">
        <v>1767</v>
      </c>
      <c r="D16" s="3" t="s">
        <v>1768</v>
      </c>
      <c r="E16" s="3" t="s">
        <v>1769</v>
      </c>
      <c r="F16" s="3" t="s">
        <v>1710</v>
      </c>
      <c r="G16" s="3">
        <v>21</v>
      </c>
      <c r="H16" s="3">
        <v>0</v>
      </c>
      <c r="I16" s="3">
        <v>0</v>
      </c>
      <c r="J16" s="3">
        <v>21</v>
      </c>
      <c r="K16" s="3">
        <v>0</v>
      </c>
      <c r="L16" s="3">
        <v>0</v>
      </c>
      <c r="M16" s="3">
        <v>0</v>
      </c>
      <c r="N16" s="3" t="s">
        <v>1711</v>
      </c>
      <c r="O16" s="3">
        <v>21</v>
      </c>
      <c r="P16" s="3">
        <v>30.95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1720</v>
      </c>
      <c r="X16" s="3">
        <v>35</v>
      </c>
      <c r="Y16" s="3">
        <v>13.99</v>
      </c>
      <c r="Z16" s="3">
        <v>13.99</v>
      </c>
      <c r="AA16" s="3">
        <v>0</v>
      </c>
      <c r="AB16" s="3" t="s">
        <v>1732</v>
      </c>
      <c r="AC16" s="3">
        <v>0</v>
      </c>
      <c r="AD16" s="3">
        <v>11.19</v>
      </c>
      <c r="AE16" s="3">
        <v>63</v>
      </c>
      <c r="AF16" s="3">
        <v>0</v>
      </c>
      <c r="AG16" s="3">
        <v>364.945722</v>
      </c>
      <c r="AH16" s="3">
        <v>0</v>
      </c>
      <c r="AI16" s="3" t="s">
        <v>1770</v>
      </c>
      <c r="AJ16" s="3" t="s">
        <v>1715</v>
      </c>
    </row>
    <row r="17" spans="1:36">
      <c r="A17" s="4">
        <v>43277</v>
      </c>
      <c r="B17" s="3" t="s">
        <v>1771</v>
      </c>
      <c r="C17" s="3" t="s">
        <v>1772</v>
      </c>
      <c r="D17" s="3" t="s">
        <v>1773</v>
      </c>
      <c r="E17" s="3" t="s">
        <v>1774</v>
      </c>
      <c r="F17" s="3" t="s">
        <v>1710</v>
      </c>
      <c r="G17" s="3">
        <v>8</v>
      </c>
      <c r="H17" s="3">
        <v>0</v>
      </c>
      <c r="I17" s="3">
        <v>8</v>
      </c>
      <c r="J17" s="3">
        <v>0</v>
      </c>
      <c r="K17" s="3">
        <v>0</v>
      </c>
      <c r="L17" s="3">
        <v>0</v>
      </c>
      <c r="M17" s="3">
        <v>0</v>
      </c>
      <c r="N17" s="3" t="s">
        <v>1711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2</v>
      </c>
      <c r="V17" s="3">
        <v>2</v>
      </c>
      <c r="W17" s="3" t="s">
        <v>1712</v>
      </c>
      <c r="X17" s="3">
        <v>19.99</v>
      </c>
      <c r="Y17" s="3">
        <v>19.99</v>
      </c>
      <c r="Z17" s="3">
        <v>19.99</v>
      </c>
      <c r="AA17" s="3">
        <v>0</v>
      </c>
      <c r="AB17" s="3" t="s">
        <v>1713</v>
      </c>
      <c r="AC17" s="3">
        <v>8</v>
      </c>
      <c r="AD17" s="3">
        <v>19.99</v>
      </c>
      <c r="AE17" s="3">
        <v>0</v>
      </c>
      <c r="AF17" s="3">
        <v>0</v>
      </c>
      <c r="AG17" s="3">
        <v>0</v>
      </c>
      <c r="AH17" s="3">
        <v>0.333333333333333</v>
      </c>
      <c r="AI17" s="3" t="s">
        <v>1775</v>
      </c>
      <c r="AJ17" s="3" t="s">
        <v>1715</v>
      </c>
    </row>
    <row r="18" spans="1:36">
      <c r="A18" s="4">
        <v>43277</v>
      </c>
      <c r="B18" s="3" t="s">
        <v>1248</v>
      </c>
      <c r="C18" s="3" t="s">
        <v>1249</v>
      </c>
      <c r="D18" s="3" t="s">
        <v>1250</v>
      </c>
      <c r="E18" s="3" t="s">
        <v>1251</v>
      </c>
      <c r="F18" s="3" t="s">
        <v>1710</v>
      </c>
      <c r="G18" s="3">
        <v>2</v>
      </c>
      <c r="H18" s="3">
        <v>0</v>
      </c>
      <c r="I18" s="3">
        <v>2</v>
      </c>
      <c r="J18" s="3">
        <v>0</v>
      </c>
      <c r="K18" s="3">
        <v>0</v>
      </c>
      <c r="L18" s="3">
        <v>0</v>
      </c>
      <c r="M18" s="3">
        <v>0</v>
      </c>
      <c r="N18" s="3" t="s">
        <v>1711</v>
      </c>
      <c r="O18" s="3">
        <v>0</v>
      </c>
      <c r="P18" s="3">
        <v>0</v>
      </c>
      <c r="Q18" s="3">
        <v>0</v>
      </c>
      <c r="R18" s="3">
        <v>0</v>
      </c>
      <c r="S18" s="3">
        <v>15</v>
      </c>
      <c r="T18" s="3">
        <v>41</v>
      </c>
      <c r="U18" s="3">
        <v>56</v>
      </c>
      <c r="V18" s="3">
        <v>56</v>
      </c>
      <c r="W18" s="3"/>
      <c r="X18" s="3"/>
      <c r="Y18" s="3"/>
      <c r="Z18" s="3">
        <v>-1</v>
      </c>
      <c r="AA18" s="3">
        <v>-1</v>
      </c>
      <c r="AB18" s="3" t="s">
        <v>1776</v>
      </c>
      <c r="AC18" s="3">
        <v>8</v>
      </c>
      <c r="AD18" s="3">
        <v>25.99</v>
      </c>
      <c r="AE18" s="3">
        <v>0</v>
      </c>
      <c r="AF18" s="3">
        <v>0</v>
      </c>
      <c r="AG18" s="3">
        <v>0</v>
      </c>
      <c r="AH18" s="3">
        <v>42</v>
      </c>
      <c r="AI18" s="3" t="s">
        <v>1777</v>
      </c>
      <c r="AJ18" s="3" t="s">
        <v>1715</v>
      </c>
    </row>
    <row r="19" spans="1:36">
      <c r="A19" s="4">
        <v>43277</v>
      </c>
      <c r="B19" s="3" t="s">
        <v>1778</v>
      </c>
      <c r="C19" s="3" t="s">
        <v>1779</v>
      </c>
      <c r="D19" s="3" t="s">
        <v>1780</v>
      </c>
      <c r="E19" s="3" t="s">
        <v>1781</v>
      </c>
      <c r="F19" s="3" t="s">
        <v>1710</v>
      </c>
      <c r="G19" s="3">
        <v>1</v>
      </c>
      <c r="H19" s="3">
        <v>0</v>
      </c>
      <c r="I19" s="3">
        <v>0</v>
      </c>
      <c r="J19" s="3">
        <v>0</v>
      </c>
      <c r="K19" s="3">
        <v>1</v>
      </c>
      <c r="L19" s="3">
        <v>0</v>
      </c>
      <c r="M19" s="3">
        <v>0</v>
      </c>
      <c r="N19" s="3" t="s">
        <v>1711</v>
      </c>
      <c r="O19" s="3">
        <v>1</v>
      </c>
      <c r="P19" s="3">
        <v>0.01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1</v>
      </c>
      <c r="W19" s="3" t="s">
        <v>1720</v>
      </c>
      <c r="X19" s="3">
        <v>15.99</v>
      </c>
      <c r="Y19" s="3">
        <v>15.99</v>
      </c>
      <c r="Z19" s="3">
        <v>15.99</v>
      </c>
      <c r="AA19" s="3">
        <v>0</v>
      </c>
      <c r="AB19" s="3" t="s">
        <v>1721</v>
      </c>
      <c r="AC19" s="3">
        <v>1</v>
      </c>
      <c r="AD19" s="3">
        <v>15.99</v>
      </c>
      <c r="AE19" s="3">
        <v>0</v>
      </c>
      <c r="AF19" s="3">
        <v>0</v>
      </c>
      <c r="AG19" s="3">
        <v>0</v>
      </c>
      <c r="AH19" s="3">
        <v>0.8</v>
      </c>
      <c r="AI19" s="3" t="s">
        <v>1782</v>
      </c>
      <c r="AJ19" s="3" t="s">
        <v>1783</v>
      </c>
    </row>
    <row r="20" spans="1:36">
      <c r="A20" s="4">
        <v>43277</v>
      </c>
      <c r="B20" s="3" t="s">
        <v>395</v>
      </c>
      <c r="C20" s="3" t="s">
        <v>396</v>
      </c>
      <c r="D20" s="3" t="s">
        <v>397</v>
      </c>
      <c r="E20" s="3" t="s">
        <v>398</v>
      </c>
      <c r="F20" s="3" t="s">
        <v>1710</v>
      </c>
      <c r="G20" s="3">
        <v>30</v>
      </c>
      <c r="H20" s="3">
        <v>0</v>
      </c>
      <c r="I20" s="3">
        <v>29</v>
      </c>
      <c r="J20" s="3">
        <v>1</v>
      </c>
      <c r="K20" s="3">
        <v>0</v>
      </c>
      <c r="L20" s="3">
        <v>0</v>
      </c>
      <c r="M20" s="3">
        <v>0</v>
      </c>
      <c r="N20" s="3" t="s">
        <v>1711</v>
      </c>
      <c r="O20" s="3">
        <v>1</v>
      </c>
      <c r="P20" s="3">
        <v>1.26</v>
      </c>
      <c r="Q20" s="3">
        <v>0</v>
      </c>
      <c r="R20" s="3">
        <v>0</v>
      </c>
      <c r="S20" s="3">
        <v>2</v>
      </c>
      <c r="T20" s="3">
        <v>8</v>
      </c>
      <c r="U20" s="3">
        <v>12</v>
      </c>
      <c r="V20" s="3">
        <v>20</v>
      </c>
      <c r="W20" s="3"/>
      <c r="X20" s="3">
        <v>28.99</v>
      </c>
      <c r="Y20" s="3">
        <v>28.99</v>
      </c>
      <c r="Z20" s="3">
        <v>28</v>
      </c>
      <c r="AA20" s="3">
        <v>0</v>
      </c>
      <c r="AB20" s="3" t="s">
        <v>1713</v>
      </c>
      <c r="AC20" s="3">
        <v>29</v>
      </c>
      <c r="AD20" s="3">
        <v>28.99</v>
      </c>
      <c r="AE20" s="3">
        <v>0</v>
      </c>
      <c r="AF20" s="3">
        <v>0</v>
      </c>
      <c r="AG20" s="3">
        <v>0</v>
      </c>
      <c r="AH20" s="3">
        <v>0.930232558139534</v>
      </c>
      <c r="AI20" s="3" t="s">
        <v>1784</v>
      </c>
      <c r="AJ20" s="3" t="s">
        <v>1715</v>
      </c>
    </row>
    <row r="21" spans="1:36">
      <c r="A21" s="4">
        <v>43277</v>
      </c>
      <c r="B21" s="3" t="s">
        <v>1785</v>
      </c>
      <c r="C21" s="3" t="s">
        <v>1786</v>
      </c>
      <c r="D21" s="3" t="s">
        <v>1787</v>
      </c>
      <c r="E21" s="3" t="s">
        <v>1788</v>
      </c>
      <c r="F21" s="3" t="s">
        <v>1710</v>
      </c>
      <c r="G21" s="3">
        <v>18</v>
      </c>
      <c r="H21" s="3">
        <v>0</v>
      </c>
      <c r="I21" s="3">
        <v>18</v>
      </c>
      <c r="J21" s="3">
        <v>0</v>
      </c>
      <c r="K21" s="3">
        <v>0</v>
      </c>
      <c r="L21" s="3">
        <v>0</v>
      </c>
      <c r="M21" s="3">
        <v>0</v>
      </c>
      <c r="N21" s="3" t="s">
        <v>1711</v>
      </c>
      <c r="O21" s="3">
        <v>0</v>
      </c>
      <c r="P21" s="3">
        <v>0</v>
      </c>
      <c r="Q21" s="3">
        <v>0</v>
      </c>
      <c r="R21" s="3">
        <v>0</v>
      </c>
      <c r="S21" s="3">
        <v>5</v>
      </c>
      <c r="T21" s="3">
        <v>14</v>
      </c>
      <c r="U21" s="3">
        <v>20</v>
      </c>
      <c r="V21" s="3">
        <v>28</v>
      </c>
      <c r="W21" s="3"/>
      <c r="X21" s="3">
        <v>38</v>
      </c>
      <c r="Y21" s="3">
        <v>28.58</v>
      </c>
      <c r="Z21" s="3">
        <v>28.58</v>
      </c>
      <c r="AA21" s="3">
        <v>0</v>
      </c>
      <c r="AB21" s="3" t="s">
        <v>1713</v>
      </c>
      <c r="AC21" s="3">
        <v>23</v>
      </c>
      <c r="AD21" s="3">
        <v>28.58</v>
      </c>
      <c r="AE21" s="3">
        <v>0</v>
      </c>
      <c r="AF21" s="3">
        <v>0</v>
      </c>
      <c r="AG21" s="3">
        <v>0</v>
      </c>
      <c r="AH21" s="3">
        <v>1.49333333333333</v>
      </c>
      <c r="AI21" s="3" t="s">
        <v>1789</v>
      </c>
      <c r="AJ21" s="3" t="s">
        <v>1715</v>
      </c>
    </row>
    <row r="22" spans="1:36">
      <c r="A22" s="4">
        <v>43277</v>
      </c>
      <c r="B22" s="3" t="s">
        <v>1790</v>
      </c>
      <c r="C22" s="3" t="s">
        <v>1791</v>
      </c>
      <c r="D22" s="3" t="s">
        <v>1792</v>
      </c>
      <c r="E22" s="3" t="s">
        <v>1793</v>
      </c>
      <c r="F22" s="3" t="s">
        <v>1710</v>
      </c>
      <c r="G22" s="3">
        <v>21</v>
      </c>
      <c r="H22" s="3">
        <v>0</v>
      </c>
      <c r="I22" s="3">
        <v>21</v>
      </c>
      <c r="J22" s="3">
        <v>0</v>
      </c>
      <c r="K22" s="3">
        <v>0</v>
      </c>
      <c r="L22" s="3">
        <v>0</v>
      </c>
      <c r="M22" s="3">
        <v>0</v>
      </c>
      <c r="N22" s="3" t="s">
        <v>1711</v>
      </c>
      <c r="O22" s="3">
        <v>0</v>
      </c>
      <c r="P22" s="3">
        <v>0</v>
      </c>
      <c r="Q22" s="3">
        <v>0</v>
      </c>
      <c r="R22" s="3">
        <v>0</v>
      </c>
      <c r="S22" s="3">
        <v>1</v>
      </c>
      <c r="T22" s="3">
        <v>11</v>
      </c>
      <c r="U22" s="3">
        <v>24</v>
      </c>
      <c r="V22" s="3">
        <v>38</v>
      </c>
      <c r="W22" s="3"/>
      <c r="X22" s="3">
        <v>18.99</v>
      </c>
      <c r="Y22" s="3">
        <v>18.99</v>
      </c>
      <c r="Z22" s="3">
        <v>18</v>
      </c>
      <c r="AA22" s="3">
        <v>0</v>
      </c>
      <c r="AB22" s="3" t="s">
        <v>1713</v>
      </c>
      <c r="AC22" s="3">
        <v>19</v>
      </c>
      <c r="AD22" s="3">
        <v>18.99</v>
      </c>
      <c r="AE22" s="3">
        <v>0</v>
      </c>
      <c r="AF22" s="3">
        <v>0</v>
      </c>
      <c r="AG22" s="3">
        <v>0</v>
      </c>
      <c r="AH22" s="3">
        <v>1.65217391304347</v>
      </c>
      <c r="AI22" s="3" t="s">
        <v>1794</v>
      </c>
      <c r="AJ22" s="3" t="s">
        <v>1715</v>
      </c>
    </row>
    <row r="23" spans="1:36">
      <c r="A23" s="4">
        <v>43277</v>
      </c>
      <c r="B23" s="3" t="s">
        <v>1795</v>
      </c>
      <c r="C23" s="3" t="s">
        <v>1796</v>
      </c>
      <c r="D23" s="3" t="s">
        <v>1797</v>
      </c>
      <c r="E23" s="3" t="s">
        <v>1798</v>
      </c>
      <c r="F23" s="3" t="s">
        <v>1710</v>
      </c>
      <c r="G23" s="3">
        <v>29</v>
      </c>
      <c r="H23" s="3">
        <v>0</v>
      </c>
      <c r="I23" s="3">
        <v>29</v>
      </c>
      <c r="J23" s="3">
        <v>0</v>
      </c>
      <c r="K23" s="3">
        <v>0</v>
      </c>
      <c r="L23" s="3">
        <v>0</v>
      </c>
      <c r="M23" s="3">
        <v>0</v>
      </c>
      <c r="N23" s="3" t="s">
        <v>1711</v>
      </c>
      <c r="O23" s="3">
        <v>0</v>
      </c>
      <c r="P23" s="3">
        <v>0</v>
      </c>
      <c r="Q23" s="3">
        <v>0</v>
      </c>
      <c r="R23" s="3">
        <v>0</v>
      </c>
      <c r="S23" s="3">
        <v>2</v>
      </c>
      <c r="T23" s="3">
        <v>6</v>
      </c>
      <c r="U23" s="3">
        <v>7</v>
      </c>
      <c r="V23" s="3">
        <v>53</v>
      </c>
      <c r="W23" s="3"/>
      <c r="X23" s="3">
        <v>19.99</v>
      </c>
      <c r="Y23" s="3">
        <v>19.99</v>
      </c>
      <c r="Z23" s="3">
        <v>19.99</v>
      </c>
      <c r="AA23" s="3">
        <v>0</v>
      </c>
      <c r="AB23" s="3" t="s">
        <v>1713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2.78947368421052</v>
      </c>
      <c r="AI23" s="3" t="s">
        <v>1799</v>
      </c>
      <c r="AJ23" s="3" t="s">
        <v>1715</v>
      </c>
    </row>
    <row r="24" spans="1:36">
      <c r="A24" s="4">
        <v>43277</v>
      </c>
      <c r="B24" s="3" t="s">
        <v>1098</v>
      </c>
      <c r="C24" s="3" t="s">
        <v>1099</v>
      </c>
      <c r="D24" s="3" t="s">
        <v>1100</v>
      </c>
      <c r="E24" s="3" t="s">
        <v>1101</v>
      </c>
      <c r="F24" s="3" t="s">
        <v>1710</v>
      </c>
      <c r="G24" s="3">
        <v>31</v>
      </c>
      <c r="H24" s="3">
        <v>0</v>
      </c>
      <c r="I24" s="3">
        <v>31</v>
      </c>
      <c r="J24" s="3">
        <v>0</v>
      </c>
      <c r="K24" s="3">
        <v>0</v>
      </c>
      <c r="L24" s="3">
        <v>0</v>
      </c>
      <c r="M24" s="3">
        <v>0</v>
      </c>
      <c r="N24" s="3" t="s">
        <v>1711</v>
      </c>
      <c r="O24" s="3">
        <v>0</v>
      </c>
      <c r="P24" s="3">
        <v>0</v>
      </c>
      <c r="Q24" s="3">
        <v>0</v>
      </c>
      <c r="R24" s="3">
        <v>0</v>
      </c>
      <c r="S24" s="3">
        <v>2</v>
      </c>
      <c r="T24" s="3">
        <v>13</v>
      </c>
      <c r="U24" s="3">
        <v>26</v>
      </c>
      <c r="V24" s="3">
        <v>26</v>
      </c>
      <c r="W24" s="3"/>
      <c r="X24" s="3">
        <v>28.99</v>
      </c>
      <c r="Y24" s="3">
        <v>28.99</v>
      </c>
      <c r="Z24" s="3">
        <v>28.99</v>
      </c>
      <c r="AA24" s="3">
        <v>0</v>
      </c>
      <c r="AB24" s="3" t="s">
        <v>1713</v>
      </c>
      <c r="AC24" s="3">
        <v>33</v>
      </c>
      <c r="AD24" s="3">
        <v>28.99</v>
      </c>
      <c r="AE24" s="3">
        <v>0</v>
      </c>
      <c r="AF24" s="3">
        <v>0</v>
      </c>
      <c r="AG24" s="3">
        <v>0</v>
      </c>
      <c r="AH24" s="3">
        <v>1.06849315068493</v>
      </c>
      <c r="AI24" s="3" t="s">
        <v>1800</v>
      </c>
      <c r="AJ24" s="3" t="s">
        <v>1715</v>
      </c>
    </row>
    <row r="25" spans="1:36">
      <c r="A25" s="4">
        <v>43277</v>
      </c>
      <c r="B25" s="3" t="s">
        <v>383</v>
      </c>
      <c r="C25" s="3" t="s">
        <v>384</v>
      </c>
      <c r="D25" s="3" t="s">
        <v>385</v>
      </c>
      <c r="E25" s="3" t="s">
        <v>386</v>
      </c>
      <c r="F25" s="3" t="s">
        <v>1710</v>
      </c>
      <c r="G25" s="3">
        <v>59</v>
      </c>
      <c r="H25" s="3">
        <v>0</v>
      </c>
      <c r="I25" s="3">
        <v>59</v>
      </c>
      <c r="J25" s="3">
        <v>0</v>
      </c>
      <c r="K25" s="3">
        <v>0</v>
      </c>
      <c r="L25" s="3">
        <v>0</v>
      </c>
      <c r="M25" s="3">
        <v>0</v>
      </c>
      <c r="N25" s="3" t="s">
        <v>1711</v>
      </c>
      <c r="O25" s="3">
        <v>0</v>
      </c>
      <c r="P25" s="3">
        <v>0</v>
      </c>
      <c r="Q25" s="3">
        <v>0</v>
      </c>
      <c r="R25" s="3">
        <v>0</v>
      </c>
      <c r="S25" s="3">
        <v>11</v>
      </c>
      <c r="T25" s="3">
        <v>43</v>
      </c>
      <c r="U25" s="3">
        <v>59</v>
      </c>
      <c r="V25" s="3">
        <v>62</v>
      </c>
      <c r="W25" s="3"/>
      <c r="X25" s="3">
        <v>32.99</v>
      </c>
      <c r="Y25" s="3">
        <v>28.58</v>
      </c>
      <c r="Z25" s="3">
        <v>23.99</v>
      </c>
      <c r="AA25" s="3">
        <v>0</v>
      </c>
      <c r="AB25" s="3" t="s">
        <v>1713</v>
      </c>
      <c r="AC25" s="3">
        <v>10</v>
      </c>
      <c r="AD25" s="3">
        <v>28.58</v>
      </c>
      <c r="AE25" s="3">
        <v>0</v>
      </c>
      <c r="AF25" s="3">
        <v>0</v>
      </c>
      <c r="AG25" s="3">
        <v>0</v>
      </c>
      <c r="AH25" s="3">
        <v>2.4313725490196</v>
      </c>
      <c r="AI25" s="3" t="s">
        <v>1734</v>
      </c>
      <c r="AJ25" s="3" t="s">
        <v>1715</v>
      </c>
    </row>
    <row r="26" spans="1:36">
      <c r="A26" s="4">
        <v>43277</v>
      </c>
      <c r="B26" s="3" t="s">
        <v>567</v>
      </c>
      <c r="C26" s="3" t="s">
        <v>568</v>
      </c>
      <c r="D26" s="3" t="s">
        <v>569</v>
      </c>
      <c r="E26" s="3" t="s">
        <v>570</v>
      </c>
      <c r="F26" s="3" t="s">
        <v>1710</v>
      </c>
      <c r="G26" s="3">
        <v>166</v>
      </c>
      <c r="H26" s="3">
        <v>0</v>
      </c>
      <c r="I26" s="3">
        <v>166</v>
      </c>
      <c r="J26" s="3">
        <v>0</v>
      </c>
      <c r="K26" s="3">
        <v>0</v>
      </c>
      <c r="L26" s="3">
        <v>0</v>
      </c>
      <c r="M26" s="3">
        <v>0</v>
      </c>
      <c r="N26" s="3" t="s">
        <v>1711</v>
      </c>
      <c r="O26" s="3">
        <v>0</v>
      </c>
      <c r="P26" s="3">
        <v>0</v>
      </c>
      <c r="Q26" s="3">
        <v>0</v>
      </c>
      <c r="R26" s="3">
        <v>0</v>
      </c>
      <c r="S26" s="3">
        <v>13</v>
      </c>
      <c r="T26" s="3">
        <v>93</v>
      </c>
      <c r="U26" s="3">
        <v>137</v>
      </c>
      <c r="V26" s="3">
        <v>176</v>
      </c>
      <c r="W26" s="3"/>
      <c r="X26" s="3">
        <v>28.58</v>
      </c>
      <c r="Y26" s="3">
        <v>28.58</v>
      </c>
      <c r="Z26" s="3">
        <v>28</v>
      </c>
      <c r="AA26" s="3">
        <v>0</v>
      </c>
      <c r="AB26" s="3" t="s">
        <v>1713</v>
      </c>
      <c r="AC26" s="3">
        <v>143</v>
      </c>
      <c r="AD26" s="3">
        <v>28.58</v>
      </c>
      <c r="AE26" s="3">
        <v>0</v>
      </c>
      <c r="AF26" s="3">
        <v>0</v>
      </c>
      <c r="AG26" s="3">
        <v>0</v>
      </c>
      <c r="AH26" s="3">
        <v>2.2636655948553</v>
      </c>
      <c r="AI26" s="3" t="s">
        <v>1801</v>
      </c>
      <c r="AJ26" s="3" t="s">
        <v>1715</v>
      </c>
    </row>
    <row r="27" spans="1:36">
      <c r="A27" s="4">
        <v>43277</v>
      </c>
      <c r="B27" s="3" t="s">
        <v>1802</v>
      </c>
      <c r="C27" s="3" t="s">
        <v>1803</v>
      </c>
      <c r="D27" s="3" t="s">
        <v>1804</v>
      </c>
      <c r="E27" s="3" t="s">
        <v>1805</v>
      </c>
      <c r="F27" s="3" t="s">
        <v>1710</v>
      </c>
      <c r="G27" s="3">
        <v>2</v>
      </c>
      <c r="H27" s="3">
        <v>0</v>
      </c>
      <c r="I27" s="3">
        <v>0</v>
      </c>
      <c r="J27" s="3">
        <v>2</v>
      </c>
      <c r="K27" s="3">
        <v>0</v>
      </c>
      <c r="L27" s="3">
        <v>0</v>
      </c>
      <c r="M27" s="3">
        <v>0</v>
      </c>
      <c r="N27" s="3" t="s">
        <v>1711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1720</v>
      </c>
      <c r="X27" s="3">
        <v>17.99</v>
      </c>
      <c r="Y27" s="3">
        <v>17.99</v>
      </c>
      <c r="Z27" s="3">
        <v>17.99</v>
      </c>
      <c r="AA27" s="3">
        <v>0</v>
      </c>
      <c r="AB27" s="3" t="s">
        <v>1721</v>
      </c>
      <c r="AC27" s="3">
        <v>1</v>
      </c>
      <c r="AD27" s="3">
        <v>17.02</v>
      </c>
      <c r="AE27" s="3">
        <v>21</v>
      </c>
      <c r="AF27" s="3">
        <v>0</v>
      </c>
      <c r="AG27" s="3">
        <v>64.332176</v>
      </c>
      <c r="AH27" s="3">
        <v>0</v>
      </c>
      <c r="AI27" s="3" t="s">
        <v>1806</v>
      </c>
      <c r="AJ27" s="3" t="s">
        <v>1715</v>
      </c>
    </row>
    <row r="28" spans="1:36">
      <c r="A28" s="4">
        <v>43277</v>
      </c>
      <c r="B28" s="3" t="s">
        <v>1807</v>
      </c>
      <c r="C28" s="3" t="s">
        <v>1808</v>
      </c>
      <c r="D28" s="3" t="s">
        <v>1809</v>
      </c>
      <c r="E28" s="3" t="s">
        <v>1810</v>
      </c>
      <c r="F28" s="3" t="s">
        <v>1710</v>
      </c>
      <c r="G28" s="3">
        <v>4</v>
      </c>
      <c r="H28" s="3">
        <v>0</v>
      </c>
      <c r="I28" s="3">
        <v>1</v>
      </c>
      <c r="J28" s="3">
        <v>1</v>
      </c>
      <c r="K28" s="3">
        <v>2</v>
      </c>
      <c r="L28" s="3">
        <v>0</v>
      </c>
      <c r="M28" s="3">
        <v>0</v>
      </c>
      <c r="N28" s="3" t="s">
        <v>1711</v>
      </c>
      <c r="O28" s="3">
        <v>2</v>
      </c>
      <c r="P28" s="3">
        <v>2.67</v>
      </c>
      <c r="Q28" s="3">
        <v>0</v>
      </c>
      <c r="R28" s="3">
        <v>0</v>
      </c>
      <c r="S28" s="3">
        <v>0</v>
      </c>
      <c r="T28" s="3">
        <v>1</v>
      </c>
      <c r="U28" s="3">
        <v>1</v>
      </c>
      <c r="V28" s="3">
        <v>2</v>
      </c>
      <c r="W28" s="3" t="s">
        <v>1720</v>
      </c>
      <c r="X28" s="3">
        <v>15.99</v>
      </c>
      <c r="Y28" s="3">
        <v>15.99</v>
      </c>
      <c r="Z28" s="3">
        <v>15.99</v>
      </c>
      <c r="AA28" s="3">
        <v>0</v>
      </c>
      <c r="AB28" s="3" t="s">
        <v>1721</v>
      </c>
      <c r="AC28" s="3">
        <v>0</v>
      </c>
      <c r="AD28" s="3">
        <v>13.48</v>
      </c>
      <c r="AE28" s="3">
        <v>147</v>
      </c>
      <c r="AF28" s="3">
        <v>0</v>
      </c>
      <c r="AG28" s="3">
        <v>84.674154</v>
      </c>
      <c r="AH28" s="3">
        <v>0.444444444444444</v>
      </c>
      <c r="AI28" s="3" t="s">
        <v>1811</v>
      </c>
      <c r="AJ28" s="3" t="s">
        <v>1783</v>
      </c>
    </row>
    <row r="29" spans="1:36">
      <c r="A29" s="4">
        <v>43277</v>
      </c>
      <c r="B29" s="3" t="s">
        <v>1812</v>
      </c>
      <c r="C29" s="3" t="s">
        <v>1813</v>
      </c>
      <c r="D29" s="3" t="s">
        <v>1814</v>
      </c>
      <c r="E29" s="3" t="s">
        <v>1815</v>
      </c>
      <c r="F29" s="3" t="s">
        <v>1710</v>
      </c>
      <c r="G29" s="3">
        <v>3</v>
      </c>
      <c r="H29" s="3">
        <v>0</v>
      </c>
      <c r="I29" s="3">
        <v>0</v>
      </c>
      <c r="J29" s="3">
        <v>3</v>
      </c>
      <c r="K29" s="3">
        <v>0</v>
      </c>
      <c r="L29" s="3">
        <v>0</v>
      </c>
      <c r="M29" s="3">
        <v>0</v>
      </c>
      <c r="N29" s="3" t="s">
        <v>1711</v>
      </c>
      <c r="O29" s="3">
        <v>3</v>
      </c>
      <c r="P29" s="3">
        <v>3.39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1720</v>
      </c>
      <c r="X29" s="3">
        <v>15.99</v>
      </c>
      <c r="Y29" s="3">
        <v>15.99</v>
      </c>
      <c r="Z29" s="3">
        <v>15.99</v>
      </c>
      <c r="AA29" s="3">
        <v>0</v>
      </c>
      <c r="AB29" s="3" t="s">
        <v>1721</v>
      </c>
      <c r="AC29" s="3">
        <v>0</v>
      </c>
      <c r="AD29" s="3">
        <v>14.48</v>
      </c>
      <c r="AE29" s="3">
        <v>98</v>
      </c>
      <c r="AF29" s="3">
        <v>0</v>
      </c>
      <c r="AG29" s="3">
        <v>60.474798</v>
      </c>
      <c r="AH29" s="3">
        <v>0</v>
      </c>
      <c r="AI29" s="3" t="s">
        <v>1816</v>
      </c>
      <c r="AJ29" s="3" t="s">
        <v>1715</v>
      </c>
    </row>
    <row r="30" spans="1:36">
      <c r="A30" s="4">
        <v>43277</v>
      </c>
      <c r="B30" s="3" t="s">
        <v>1817</v>
      </c>
      <c r="C30" s="3" t="s">
        <v>1818</v>
      </c>
      <c r="D30" s="3" t="s">
        <v>1819</v>
      </c>
      <c r="E30" s="3" t="s">
        <v>1820</v>
      </c>
      <c r="F30" s="3" t="s">
        <v>1710</v>
      </c>
      <c r="G30" s="3">
        <v>10</v>
      </c>
      <c r="H30" s="3">
        <v>0</v>
      </c>
      <c r="I30" s="3">
        <v>10</v>
      </c>
      <c r="J30" s="3">
        <v>0</v>
      </c>
      <c r="K30" s="3">
        <v>0</v>
      </c>
      <c r="L30" s="3">
        <v>0</v>
      </c>
      <c r="M30" s="3">
        <v>0</v>
      </c>
      <c r="N30" s="3" t="s">
        <v>1711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1720</v>
      </c>
      <c r="X30" s="3">
        <v>19.99</v>
      </c>
      <c r="Y30" s="3">
        <v>19.99</v>
      </c>
      <c r="Z30" s="3">
        <v>19.99</v>
      </c>
      <c r="AA30" s="3">
        <v>0</v>
      </c>
      <c r="AB30" s="3" t="s">
        <v>1721</v>
      </c>
      <c r="AC30" s="3">
        <v>0</v>
      </c>
      <c r="AD30" s="3">
        <v>15.99</v>
      </c>
      <c r="AE30" s="3">
        <v>63</v>
      </c>
      <c r="AF30" s="3">
        <v>0</v>
      </c>
      <c r="AG30" s="3">
        <v>71.82189</v>
      </c>
      <c r="AH30" s="3">
        <v>0</v>
      </c>
      <c r="AI30" s="3" t="s">
        <v>1821</v>
      </c>
      <c r="AJ30" s="3" t="s">
        <v>1715</v>
      </c>
    </row>
    <row r="31" spans="1:36">
      <c r="A31" s="4">
        <v>43277</v>
      </c>
      <c r="B31" s="3" t="s">
        <v>491</v>
      </c>
      <c r="C31" s="3" t="s">
        <v>492</v>
      </c>
      <c r="D31" s="3" t="s">
        <v>493</v>
      </c>
      <c r="E31" s="3" t="s">
        <v>494</v>
      </c>
      <c r="F31" s="3" t="s">
        <v>1710</v>
      </c>
      <c r="G31" s="3">
        <v>47</v>
      </c>
      <c r="H31" s="3">
        <v>0</v>
      </c>
      <c r="I31" s="3">
        <v>47</v>
      </c>
      <c r="J31" s="3">
        <v>0</v>
      </c>
      <c r="K31" s="3">
        <v>0</v>
      </c>
      <c r="L31" s="3">
        <v>0</v>
      </c>
      <c r="M31" s="3">
        <v>0</v>
      </c>
      <c r="N31" s="3" t="s">
        <v>1711</v>
      </c>
      <c r="O31" s="3">
        <v>0</v>
      </c>
      <c r="P31" s="3">
        <v>0</v>
      </c>
      <c r="Q31" s="3">
        <v>0</v>
      </c>
      <c r="R31" s="3">
        <v>0</v>
      </c>
      <c r="S31" s="3">
        <v>9</v>
      </c>
      <c r="T31" s="3">
        <v>20</v>
      </c>
      <c r="U31" s="3">
        <v>38</v>
      </c>
      <c r="V31" s="3">
        <v>51</v>
      </c>
      <c r="W31" s="3"/>
      <c r="X31" s="3">
        <v>48.58</v>
      </c>
      <c r="Y31" s="3">
        <v>28.99</v>
      </c>
      <c r="Z31" s="3">
        <v>28</v>
      </c>
      <c r="AA31" s="3">
        <v>0</v>
      </c>
      <c r="AB31" s="3" t="s">
        <v>1713</v>
      </c>
      <c r="AC31" s="3">
        <v>51</v>
      </c>
      <c r="AD31" s="3">
        <v>28.99</v>
      </c>
      <c r="AE31" s="3">
        <v>0</v>
      </c>
      <c r="AF31" s="3">
        <v>0</v>
      </c>
      <c r="AG31" s="3">
        <v>0</v>
      </c>
      <c r="AH31" s="3">
        <v>1.632</v>
      </c>
      <c r="AI31" s="3" t="s">
        <v>1784</v>
      </c>
      <c r="AJ31" s="3" t="s">
        <v>1715</v>
      </c>
    </row>
    <row r="32" spans="1:36">
      <c r="A32" s="4">
        <v>43277</v>
      </c>
      <c r="B32" s="3" t="s">
        <v>1822</v>
      </c>
      <c r="C32" s="3" t="s">
        <v>1823</v>
      </c>
      <c r="D32" s="3" t="s">
        <v>1824</v>
      </c>
      <c r="E32" s="3" t="s">
        <v>1825</v>
      </c>
      <c r="F32" s="3" t="s">
        <v>1710</v>
      </c>
      <c r="G32" s="3">
        <v>2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2</v>
      </c>
      <c r="N32" s="3" t="s">
        <v>1711</v>
      </c>
      <c r="O32" s="3">
        <v>0</v>
      </c>
      <c r="P32" s="3">
        <v>0</v>
      </c>
      <c r="Q32" s="3">
        <v>2</v>
      </c>
      <c r="R32" s="3">
        <v>2.62</v>
      </c>
      <c r="S32" s="3">
        <v>0</v>
      </c>
      <c r="T32" s="3">
        <v>1</v>
      </c>
      <c r="U32" s="3">
        <v>1</v>
      </c>
      <c r="V32" s="3">
        <v>1</v>
      </c>
      <c r="W32" s="3" t="s">
        <v>1720</v>
      </c>
      <c r="X32" s="3">
        <v>8.88</v>
      </c>
      <c r="Y32" s="3">
        <v>8.88</v>
      </c>
      <c r="Z32" s="3">
        <v>8.88</v>
      </c>
      <c r="AA32" s="3">
        <v>0</v>
      </c>
      <c r="AB32" s="3" t="s">
        <v>1732</v>
      </c>
      <c r="AC32" s="3">
        <v>0</v>
      </c>
      <c r="AD32" s="3">
        <v>7.1</v>
      </c>
      <c r="AE32" s="3">
        <v>63</v>
      </c>
      <c r="AF32" s="3">
        <v>0</v>
      </c>
      <c r="AG32" s="3">
        <v>16.783774</v>
      </c>
      <c r="AH32" s="3">
        <v>0.363636363636363</v>
      </c>
      <c r="AI32" s="3" t="s">
        <v>1826</v>
      </c>
      <c r="AJ32" s="3" t="s">
        <v>1715</v>
      </c>
    </row>
    <row r="33" spans="1:36">
      <c r="A33" s="4">
        <v>43277</v>
      </c>
      <c r="B33" s="3" t="s">
        <v>1827</v>
      </c>
      <c r="C33" s="3" t="s">
        <v>1828</v>
      </c>
      <c r="D33" s="3" t="s">
        <v>1829</v>
      </c>
      <c r="E33" s="3" t="s">
        <v>1830</v>
      </c>
      <c r="F33" s="3" t="s">
        <v>1710</v>
      </c>
      <c r="G33" s="3">
        <v>11</v>
      </c>
      <c r="H33" s="3">
        <v>0</v>
      </c>
      <c r="I33" s="3">
        <v>0</v>
      </c>
      <c r="J33" s="3">
        <v>11</v>
      </c>
      <c r="K33" s="3">
        <v>0</v>
      </c>
      <c r="L33" s="3">
        <v>0</v>
      </c>
      <c r="M33" s="3">
        <v>0</v>
      </c>
      <c r="N33" s="3" t="s">
        <v>1711</v>
      </c>
      <c r="O33" s="3">
        <v>1</v>
      </c>
      <c r="P33" s="3">
        <v>3.63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1712</v>
      </c>
      <c r="X33" s="3">
        <v>27.99</v>
      </c>
      <c r="Y33" s="3">
        <v>27.99</v>
      </c>
      <c r="Z33" s="3">
        <v>25.99</v>
      </c>
      <c r="AA33" s="3">
        <v>0</v>
      </c>
      <c r="AB33" s="3" t="s">
        <v>1732</v>
      </c>
      <c r="AC33" s="3">
        <v>0</v>
      </c>
      <c r="AD33" s="3">
        <v>25.83</v>
      </c>
      <c r="AE33" s="3">
        <v>119</v>
      </c>
      <c r="AF33" s="3">
        <v>0</v>
      </c>
      <c r="AG33" s="3">
        <v>520.727055</v>
      </c>
      <c r="AH33" s="3">
        <v>0</v>
      </c>
      <c r="AI33" s="3" t="s">
        <v>1831</v>
      </c>
      <c r="AJ33" s="3" t="s">
        <v>1715</v>
      </c>
    </row>
    <row r="34" spans="1:36">
      <c r="A34" s="4">
        <v>43277</v>
      </c>
      <c r="B34" s="3" t="s">
        <v>1832</v>
      </c>
      <c r="C34" s="3" t="s">
        <v>1833</v>
      </c>
      <c r="D34" s="3" t="s">
        <v>1834</v>
      </c>
      <c r="E34" s="3" t="s">
        <v>1835</v>
      </c>
      <c r="F34" s="3" t="s">
        <v>1710</v>
      </c>
      <c r="G34" s="3">
        <v>16</v>
      </c>
      <c r="H34" s="3">
        <v>0</v>
      </c>
      <c r="I34" s="3">
        <v>16</v>
      </c>
      <c r="J34" s="3">
        <v>0</v>
      </c>
      <c r="K34" s="3">
        <v>0</v>
      </c>
      <c r="L34" s="3">
        <v>0</v>
      </c>
      <c r="M34" s="3">
        <v>0</v>
      </c>
      <c r="N34" s="3" t="s">
        <v>1711</v>
      </c>
      <c r="O34" s="3">
        <v>0</v>
      </c>
      <c r="P34" s="3">
        <v>0</v>
      </c>
      <c r="Q34" s="3">
        <v>0</v>
      </c>
      <c r="R34" s="3">
        <v>0</v>
      </c>
      <c r="S34" s="3">
        <v>3</v>
      </c>
      <c r="T34" s="3">
        <v>9</v>
      </c>
      <c r="U34" s="3">
        <v>17</v>
      </c>
      <c r="V34" s="3">
        <v>30</v>
      </c>
      <c r="W34" s="3"/>
      <c r="X34" s="3">
        <v>42.88</v>
      </c>
      <c r="Y34" s="3">
        <v>18.99</v>
      </c>
      <c r="Z34" s="3">
        <v>18.99</v>
      </c>
      <c r="AA34" s="3">
        <v>0</v>
      </c>
      <c r="AB34" s="3" t="s">
        <v>1713</v>
      </c>
      <c r="AC34" s="3">
        <v>16</v>
      </c>
      <c r="AD34" s="3">
        <v>18.99</v>
      </c>
      <c r="AE34" s="3">
        <v>0</v>
      </c>
      <c r="AF34" s="3">
        <v>0</v>
      </c>
      <c r="AG34" s="3">
        <v>0</v>
      </c>
      <c r="AH34" s="3">
        <v>1.34831460674157</v>
      </c>
      <c r="AI34" s="3" t="s">
        <v>1794</v>
      </c>
      <c r="AJ34" s="3" t="s">
        <v>1715</v>
      </c>
    </row>
    <row r="35" spans="1:36">
      <c r="A35" s="4">
        <v>43277</v>
      </c>
      <c r="B35" s="3" t="s">
        <v>1836</v>
      </c>
      <c r="C35" s="3" t="s">
        <v>1837</v>
      </c>
      <c r="D35" s="3" t="s">
        <v>1838</v>
      </c>
      <c r="E35" s="3" t="s">
        <v>1839</v>
      </c>
      <c r="F35" s="3" t="s">
        <v>1710</v>
      </c>
      <c r="G35" s="3">
        <v>6</v>
      </c>
      <c r="H35" s="3">
        <v>0</v>
      </c>
      <c r="I35" s="3">
        <v>0</v>
      </c>
      <c r="J35" s="3">
        <v>1</v>
      </c>
      <c r="K35" s="3">
        <v>0</v>
      </c>
      <c r="L35" s="3">
        <v>5</v>
      </c>
      <c r="M35" s="3">
        <v>0</v>
      </c>
      <c r="N35" s="3" t="s">
        <v>1711</v>
      </c>
      <c r="O35" s="3">
        <v>0</v>
      </c>
      <c r="P35" s="3">
        <v>0</v>
      </c>
      <c r="Q35" s="3">
        <v>5</v>
      </c>
      <c r="R35" s="3">
        <v>7.21</v>
      </c>
      <c r="S35" s="3">
        <v>0</v>
      </c>
      <c r="T35" s="3">
        <v>0</v>
      </c>
      <c r="U35" s="3">
        <v>0</v>
      </c>
      <c r="V35" s="3">
        <v>0</v>
      </c>
      <c r="W35" s="3" t="s">
        <v>1720</v>
      </c>
      <c r="X35" s="3">
        <v>14.99</v>
      </c>
      <c r="Y35" s="3">
        <v>14.99</v>
      </c>
      <c r="Z35" s="3">
        <v>14.99</v>
      </c>
      <c r="AA35" s="3">
        <v>0</v>
      </c>
      <c r="AB35" s="3" t="s">
        <v>1721</v>
      </c>
      <c r="AC35" s="3">
        <v>0</v>
      </c>
      <c r="AD35" s="3">
        <v>11.56</v>
      </c>
      <c r="AE35" s="3">
        <v>364</v>
      </c>
      <c r="AF35" s="3">
        <v>0</v>
      </c>
      <c r="AG35" s="3">
        <v>71.191022</v>
      </c>
      <c r="AH35" s="3">
        <v>0</v>
      </c>
      <c r="AI35" s="3" t="s">
        <v>1840</v>
      </c>
      <c r="AJ35" s="3" t="s">
        <v>1715</v>
      </c>
    </row>
    <row r="36" spans="1:36">
      <c r="A36" s="4">
        <v>43277</v>
      </c>
      <c r="B36" s="3" t="s">
        <v>1306</v>
      </c>
      <c r="C36" s="3" t="s">
        <v>1307</v>
      </c>
      <c r="D36" s="3" t="s">
        <v>1308</v>
      </c>
      <c r="E36" s="3" t="s">
        <v>1309</v>
      </c>
      <c r="F36" s="3" t="s">
        <v>1710</v>
      </c>
      <c r="G36" s="3">
        <v>2</v>
      </c>
      <c r="H36" s="3">
        <v>0</v>
      </c>
      <c r="I36" s="3">
        <v>2</v>
      </c>
      <c r="J36" s="3">
        <v>0</v>
      </c>
      <c r="K36" s="3">
        <v>0</v>
      </c>
      <c r="L36" s="3">
        <v>0</v>
      </c>
      <c r="M36" s="3">
        <v>0</v>
      </c>
      <c r="N36" s="3" t="s">
        <v>1711</v>
      </c>
      <c r="O36" s="3">
        <v>0</v>
      </c>
      <c r="P36" s="3">
        <v>0</v>
      </c>
      <c r="Q36" s="3">
        <v>0</v>
      </c>
      <c r="R36" s="3">
        <v>0</v>
      </c>
      <c r="S36" s="3">
        <v>18</v>
      </c>
      <c r="T36" s="3">
        <v>48</v>
      </c>
      <c r="U36" s="3">
        <v>63</v>
      </c>
      <c r="V36" s="3">
        <v>63</v>
      </c>
      <c r="W36" s="3"/>
      <c r="X36" s="3"/>
      <c r="Y36" s="3"/>
      <c r="Z36" s="3">
        <v>-1</v>
      </c>
      <c r="AA36" s="3">
        <v>-1</v>
      </c>
      <c r="AB36" s="3" t="s">
        <v>1776</v>
      </c>
      <c r="AC36" s="3">
        <v>18</v>
      </c>
      <c r="AD36" s="3">
        <v>22.99</v>
      </c>
      <c r="AE36" s="3">
        <v>0</v>
      </c>
      <c r="AF36" s="3">
        <v>0</v>
      </c>
      <c r="AG36" s="3">
        <v>0</v>
      </c>
      <c r="AH36" s="3">
        <v>37.8</v>
      </c>
      <c r="AI36" s="3" t="s">
        <v>1841</v>
      </c>
      <c r="AJ36" s="3" t="s">
        <v>1715</v>
      </c>
    </row>
    <row r="37" spans="1:36">
      <c r="A37" s="4">
        <v>43277</v>
      </c>
      <c r="B37" s="3" t="s">
        <v>883</v>
      </c>
      <c r="C37" s="3" t="s">
        <v>884</v>
      </c>
      <c r="D37" s="3" t="s">
        <v>885</v>
      </c>
      <c r="E37" s="3" t="s">
        <v>886</v>
      </c>
      <c r="F37" s="3" t="s">
        <v>1710</v>
      </c>
      <c r="G37" s="3">
        <v>15</v>
      </c>
      <c r="H37" s="3">
        <v>0</v>
      </c>
      <c r="I37" s="3">
        <v>15</v>
      </c>
      <c r="J37" s="3">
        <v>0</v>
      </c>
      <c r="K37" s="3">
        <v>0</v>
      </c>
      <c r="L37" s="3">
        <v>0</v>
      </c>
      <c r="M37" s="3">
        <v>0</v>
      </c>
      <c r="N37" s="3" t="s">
        <v>1711</v>
      </c>
      <c r="O37" s="3">
        <v>0</v>
      </c>
      <c r="P37" s="3">
        <v>0</v>
      </c>
      <c r="Q37" s="3">
        <v>0</v>
      </c>
      <c r="R37" s="3">
        <v>0</v>
      </c>
      <c r="S37" s="3">
        <v>8</v>
      </c>
      <c r="T37" s="3">
        <v>27</v>
      </c>
      <c r="U37" s="3">
        <v>39</v>
      </c>
      <c r="V37" s="3">
        <v>41</v>
      </c>
      <c r="W37" s="3"/>
      <c r="X37" s="3">
        <v>15.99</v>
      </c>
      <c r="Y37" s="3">
        <v>15.99</v>
      </c>
      <c r="Z37" s="3">
        <v>15.99</v>
      </c>
      <c r="AA37" s="3">
        <v>0</v>
      </c>
      <c r="AB37" s="3" t="s">
        <v>1713</v>
      </c>
      <c r="AC37" s="3">
        <v>3</v>
      </c>
      <c r="AD37" s="3">
        <v>15.99</v>
      </c>
      <c r="AE37" s="3">
        <v>0</v>
      </c>
      <c r="AF37" s="3">
        <v>0</v>
      </c>
      <c r="AG37" s="3">
        <v>0</v>
      </c>
      <c r="AH37" s="3">
        <v>3.32432432432432</v>
      </c>
      <c r="AI37" s="3" t="s">
        <v>1739</v>
      </c>
      <c r="AJ37" s="3" t="s">
        <v>1715</v>
      </c>
    </row>
    <row r="38" spans="1:36">
      <c r="A38" s="4">
        <v>43277</v>
      </c>
      <c r="B38" s="3" t="s">
        <v>1842</v>
      </c>
      <c r="C38" s="3" t="s">
        <v>1843</v>
      </c>
      <c r="D38" s="3" t="s">
        <v>1844</v>
      </c>
      <c r="E38" s="3" t="s">
        <v>1845</v>
      </c>
      <c r="F38" s="3" t="s">
        <v>1710</v>
      </c>
      <c r="G38" s="3">
        <v>1</v>
      </c>
      <c r="H38" s="3">
        <v>0</v>
      </c>
      <c r="I38" s="3">
        <v>0</v>
      </c>
      <c r="J38" s="3">
        <v>1</v>
      </c>
      <c r="K38" s="3">
        <v>0</v>
      </c>
      <c r="L38" s="3">
        <v>0</v>
      </c>
      <c r="M38" s="3">
        <v>0</v>
      </c>
      <c r="N38" s="3" t="s">
        <v>1711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1</v>
      </c>
      <c r="U38" s="3">
        <v>2</v>
      </c>
      <c r="V38" s="3">
        <v>3</v>
      </c>
      <c r="W38" s="3"/>
      <c r="X38" s="3">
        <v>17.99</v>
      </c>
      <c r="Y38" s="3">
        <v>17.99</v>
      </c>
      <c r="Z38" s="3">
        <v>17.99</v>
      </c>
      <c r="AA38" s="3">
        <v>0</v>
      </c>
      <c r="AB38" s="3" t="s">
        <v>1713</v>
      </c>
      <c r="AC38" s="3">
        <v>1</v>
      </c>
      <c r="AD38" s="3">
        <v>17.99</v>
      </c>
      <c r="AE38" s="3">
        <v>0</v>
      </c>
      <c r="AF38" s="3">
        <v>0</v>
      </c>
      <c r="AG38" s="3">
        <v>0</v>
      </c>
      <c r="AH38" s="3">
        <v>1.2</v>
      </c>
      <c r="AI38" s="3" t="s">
        <v>1846</v>
      </c>
      <c r="AJ38" s="3" t="s">
        <v>1783</v>
      </c>
    </row>
    <row r="39" spans="1:36">
      <c r="A39" s="4">
        <v>43277</v>
      </c>
      <c r="B39" s="3" t="s">
        <v>1847</v>
      </c>
      <c r="C39" s="3" t="s">
        <v>1848</v>
      </c>
      <c r="D39" s="3" t="s">
        <v>1849</v>
      </c>
      <c r="E39" s="3" t="s">
        <v>1850</v>
      </c>
      <c r="F39" s="3" t="s">
        <v>1710</v>
      </c>
      <c r="G39" s="3">
        <v>7</v>
      </c>
      <c r="H39" s="3">
        <v>0</v>
      </c>
      <c r="I39" s="3">
        <v>0</v>
      </c>
      <c r="J39" s="3">
        <v>0</v>
      </c>
      <c r="K39" s="3">
        <v>7</v>
      </c>
      <c r="L39" s="3">
        <v>0</v>
      </c>
      <c r="M39" s="3">
        <v>0</v>
      </c>
      <c r="N39" s="3" t="s">
        <v>1711</v>
      </c>
      <c r="O39" s="3">
        <v>7</v>
      </c>
      <c r="P39" s="3">
        <v>9.58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1720</v>
      </c>
      <c r="X39" s="3">
        <v>16.99</v>
      </c>
      <c r="Y39" s="3">
        <v>16.99</v>
      </c>
      <c r="Z39" s="3">
        <v>16.99</v>
      </c>
      <c r="AA39" s="3">
        <v>0</v>
      </c>
      <c r="AB39" s="3" t="s">
        <v>1732</v>
      </c>
      <c r="AC39" s="3">
        <v>0</v>
      </c>
      <c r="AD39" s="3">
        <v>12.91</v>
      </c>
      <c r="AE39" s="3">
        <v>364</v>
      </c>
      <c r="AF39" s="3">
        <v>0</v>
      </c>
      <c r="AG39" s="3">
        <v>129.964472</v>
      </c>
      <c r="AH39" s="3">
        <v>0</v>
      </c>
      <c r="AI39" s="3" t="s">
        <v>1851</v>
      </c>
      <c r="AJ39" s="3" t="s">
        <v>1715</v>
      </c>
    </row>
    <row r="40" spans="1:36">
      <c r="A40" s="4">
        <v>43277</v>
      </c>
      <c r="B40" s="3" t="s">
        <v>1852</v>
      </c>
      <c r="C40" s="3" t="s">
        <v>1853</v>
      </c>
      <c r="D40" s="3" t="s">
        <v>1854</v>
      </c>
      <c r="E40" s="3" t="s">
        <v>1855</v>
      </c>
      <c r="F40" s="3" t="s">
        <v>1710</v>
      </c>
      <c r="G40" s="3">
        <v>3</v>
      </c>
      <c r="H40" s="3">
        <v>0</v>
      </c>
      <c r="I40" s="3">
        <v>0</v>
      </c>
      <c r="J40" s="3">
        <v>0</v>
      </c>
      <c r="K40" s="3">
        <v>0</v>
      </c>
      <c r="L40" s="3">
        <v>3</v>
      </c>
      <c r="M40" s="3">
        <v>0</v>
      </c>
      <c r="N40" s="3" t="s">
        <v>1711</v>
      </c>
      <c r="O40" s="3">
        <v>3</v>
      </c>
      <c r="P40" s="3">
        <v>3.24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 t="s">
        <v>1720</v>
      </c>
      <c r="X40" s="3">
        <v>18.99</v>
      </c>
      <c r="Y40" s="3">
        <v>18.99</v>
      </c>
      <c r="Z40" s="3">
        <v>18.99</v>
      </c>
      <c r="AA40" s="3">
        <v>0</v>
      </c>
      <c r="AB40" s="3" t="s">
        <v>1732</v>
      </c>
      <c r="AC40" s="3">
        <v>0</v>
      </c>
      <c r="AD40" s="3">
        <v>17.39</v>
      </c>
      <c r="AE40" s="3">
        <v>70</v>
      </c>
      <c r="AF40" s="3">
        <v>0</v>
      </c>
      <c r="AG40" s="3">
        <v>66.447367</v>
      </c>
      <c r="AH40" s="3">
        <v>0</v>
      </c>
      <c r="AI40" s="3" t="s">
        <v>1856</v>
      </c>
      <c r="AJ40" s="3" t="s">
        <v>1715</v>
      </c>
    </row>
    <row r="41" spans="1:36">
      <c r="A41" s="4">
        <v>43277</v>
      </c>
      <c r="B41" s="3" t="s">
        <v>1435</v>
      </c>
      <c r="C41" s="3" t="s">
        <v>1436</v>
      </c>
      <c r="D41" s="3" t="s">
        <v>1437</v>
      </c>
      <c r="E41" s="3" t="s">
        <v>1430</v>
      </c>
      <c r="F41" s="3" t="s">
        <v>1710</v>
      </c>
      <c r="G41" s="3">
        <v>22</v>
      </c>
      <c r="H41" s="3">
        <v>0</v>
      </c>
      <c r="I41" s="3">
        <v>22</v>
      </c>
      <c r="J41" s="3">
        <v>0</v>
      </c>
      <c r="K41" s="3">
        <v>0</v>
      </c>
      <c r="L41" s="3">
        <v>0</v>
      </c>
      <c r="M41" s="3">
        <v>0</v>
      </c>
      <c r="N41" s="3" t="s">
        <v>1711</v>
      </c>
      <c r="O41" s="3">
        <v>0</v>
      </c>
      <c r="P41" s="3">
        <v>0</v>
      </c>
      <c r="Q41" s="3">
        <v>0</v>
      </c>
      <c r="R41" s="3">
        <v>0</v>
      </c>
      <c r="S41" s="3">
        <v>13</v>
      </c>
      <c r="T41" s="3">
        <v>58</v>
      </c>
      <c r="U41" s="3">
        <v>82</v>
      </c>
      <c r="V41" s="3">
        <v>119</v>
      </c>
      <c r="W41" s="3"/>
      <c r="X41" s="3">
        <v>38</v>
      </c>
      <c r="Y41" s="3">
        <v>25.58</v>
      </c>
      <c r="Z41" s="3">
        <v>25.58</v>
      </c>
      <c r="AA41" s="3">
        <v>0</v>
      </c>
      <c r="AB41" s="3" t="s">
        <v>1713</v>
      </c>
      <c r="AC41" s="3">
        <v>2</v>
      </c>
      <c r="AD41" s="3">
        <v>25.58</v>
      </c>
      <c r="AE41" s="3">
        <v>0</v>
      </c>
      <c r="AF41" s="3">
        <v>0</v>
      </c>
      <c r="AG41" s="3">
        <v>0</v>
      </c>
      <c r="AH41" s="3">
        <v>3.77777777777777</v>
      </c>
      <c r="AI41" s="3" t="s">
        <v>1857</v>
      </c>
      <c r="AJ41" s="3" t="s">
        <v>1715</v>
      </c>
    </row>
    <row r="42" spans="1:36">
      <c r="A42" s="4">
        <v>43277</v>
      </c>
      <c r="B42" s="3" t="s">
        <v>1858</v>
      </c>
      <c r="C42" s="3" t="s">
        <v>1859</v>
      </c>
      <c r="D42" s="3" t="s">
        <v>1860</v>
      </c>
      <c r="E42" s="3" t="s">
        <v>1861</v>
      </c>
      <c r="F42" s="3" t="s">
        <v>1710</v>
      </c>
      <c r="G42" s="3">
        <v>3</v>
      </c>
      <c r="H42" s="3">
        <v>0</v>
      </c>
      <c r="I42" s="3">
        <v>1</v>
      </c>
      <c r="J42" s="3">
        <v>2</v>
      </c>
      <c r="K42" s="3">
        <v>0</v>
      </c>
      <c r="L42" s="3">
        <v>0</v>
      </c>
      <c r="M42" s="3">
        <v>0</v>
      </c>
      <c r="N42" s="3" t="s">
        <v>1711</v>
      </c>
      <c r="O42" s="3">
        <v>2</v>
      </c>
      <c r="P42" s="3">
        <v>3.76</v>
      </c>
      <c r="Q42" s="3">
        <v>0</v>
      </c>
      <c r="R42" s="3">
        <v>0</v>
      </c>
      <c r="S42" s="3">
        <v>0</v>
      </c>
      <c r="T42" s="3">
        <v>1</v>
      </c>
      <c r="U42" s="3">
        <v>1</v>
      </c>
      <c r="V42" s="3">
        <v>6</v>
      </c>
      <c r="W42" s="3" t="s">
        <v>1720</v>
      </c>
      <c r="X42" s="3">
        <v>15.99</v>
      </c>
      <c r="Y42" s="3">
        <v>15.99</v>
      </c>
      <c r="Z42" s="3">
        <v>15.99</v>
      </c>
      <c r="AA42" s="3">
        <v>0</v>
      </c>
      <c r="AB42" s="3" t="s">
        <v>1721</v>
      </c>
      <c r="AC42" s="3">
        <v>3</v>
      </c>
      <c r="AD42" s="3">
        <v>15.99</v>
      </c>
      <c r="AE42" s="3">
        <v>0</v>
      </c>
      <c r="AF42" s="3">
        <v>0</v>
      </c>
      <c r="AG42" s="3">
        <v>0</v>
      </c>
      <c r="AH42" s="3">
        <v>1.33333333333333</v>
      </c>
      <c r="AI42" s="3" t="s">
        <v>1862</v>
      </c>
      <c r="AJ42" s="3" t="s">
        <v>1783</v>
      </c>
    </row>
    <row r="43" spans="1:36">
      <c r="A43" s="4">
        <v>43277</v>
      </c>
      <c r="B43" s="3" t="s">
        <v>1863</v>
      </c>
      <c r="C43" s="3" t="s">
        <v>1864</v>
      </c>
      <c r="D43" s="3" t="s">
        <v>1865</v>
      </c>
      <c r="E43" s="3" t="s">
        <v>1866</v>
      </c>
      <c r="F43" s="3" t="s">
        <v>1710</v>
      </c>
      <c r="G43" s="3">
        <v>5</v>
      </c>
      <c r="H43" s="3">
        <v>0</v>
      </c>
      <c r="I43" s="3">
        <v>0</v>
      </c>
      <c r="J43" s="3">
        <v>5</v>
      </c>
      <c r="K43" s="3">
        <v>0</v>
      </c>
      <c r="L43" s="3">
        <v>0</v>
      </c>
      <c r="M43" s="3">
        <v>0</v>
      </c>
      <c r="N43" s="3" t="s">
        <v>1711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1712</v>
      </c>
      <c r="X43" s="3">
        <v>19.99</v>
      </c>
      <c r="Y43" s="3">
        <v>19.99</v>
      </c>
      <c r="Z43" s="3">
        <v>19.99</v>
      </c>
      <c r="AA43" s="3">
        <v>0</v>
      </c>
      <c r="AB43" s="3" t="s">
        <v>1713</v>
      </c>
      <c r="AC43" s="3">
        <v>5</v>
      </c>
      <c r="AD43" s="3">
        <v>19.99</v>
      </c>
      <c r="AE43" s="3">
        <v>0</v>
      </c>
      <c r="AF43" s="3">
        <v>0</v>
      </c>
      <c r="AG43" s="3">
        <v>0</v>
      </c>
      <c r="AH43" s="3">
        <v>0</v>
      </c>
      <c r="AI43" s="3" t="s">
        <v>1867</v>
      </c>
      <c r="AJ43" s="3" t="s">
        <v>1715</v>
      </c>
    </row>
    <row r="44" spans="1:36">
      <c r="A44" s="4">
        <v>43277</v>
      </c>
      <c r="B44" s="3" t="s">
        <v>1868</v>
      </c>
      <c r="C44" s="3" t="s">
        <v>1869</v>
      </c>
      <c r="D44" s="3" t="s">
        <v>1870</v>
      </c>
      <c r="E44" s="3" t="s">
        <v>1871</v>
      </c>
      <c r="F44" s="3" t="s">
        <v>1710</v>
      </c>
      <c r="G44" s="3">
        <v>2</v>
      </c>
      <c r="H44" s="3">
        <v>0</v>
      </c>
      <c r="I44" s="3">
        <v>0</v>
      </c>
      <c r="J44" s="3">
        <v>0</v>
      </c>
      <c r="K44" s="3">
        <v>0</v>
      </c>
      <c r="L44" s="3">
        <v>2</v>
      </c>
      <c r="M44" s="3">
        <v>0</v>
      </c>
      <c r="N44" s="3" t="s">
        <v>1711</v>
      </c>
      <c r="O44" s="3">
        <v>0</v>
      </c>
      <c r="P44" s="3">
        <v>0</v>
      </c>
      <c r="Q44" s="3">
        <v>2</v>
      </c>
      <c r="R44" s="3">
        <v>2.88</v>
      </c>
      <c r="S44" s="3">
        <v>0</v>
      </c>
      <c r="T44" s="3">
        <v>1</v>
      </c>
      <c r="U44" s="3">
        <v>1</v>
      </c>
      <c r="V44" s="3">
        <v>2</v>
      </c>
      <c r="W44" s="3" t="s">
        <v>1720</v>
      </c>
      <c r="X44" s="3">
        <v>14.99</v>
      </c>
      <c r="Y44" s="3">
        <v>14.99</v>
      </c>
      <c r="Z44" s="3">
        <v>14.99</v>
      </c>
      <c r="AA44" s="3">
        <v>0</v>
      </c>
      <c r="AB44" s="3" t="s">
        <v>1721</v>
      </c>
      <c r="AC44" s="3">
        <v>2</v>
      </c>
      <c r="AD44" s="3">
        <v>14.99</v>
      </c>
      <c r="AE44" s="3">
        <v>0</v>
      </c>
      <c r="AF44" s="3">
        <v>0</v>
      </c>
      <c r="AG44" s="3">
        <v>0</v>
      </c>
      <c r="AH44" s="3">
        <v>0.666666666666666</v>
      </c>
      <c r="AI44" s="3" t="s">
        <v>1840</v>
      </c>
      <c r="AJ44" s="3" t="s">
        <v>1715</v>
      </c>
    </row>
    <row r="45" spans="1:36">
      <c r="A45" s="4">
        <v>43277</v>
      </c>
      <c r="B45" s="3" t="s">
        <v>252</v>
      </c>
      <c r="C45" s="3" t="s">
        <v>253</v>
      </c>
      <c r="D45" s="3" t="s">
        <v>254</v>
      </c>
      <c r="E45" s="3" t="s">
        <v>255</v>
      </c>
      <c r="F45" s="3" t="s">
        <v>1710</v>
      </c>
      <c r="G45" s="3">
        <v>3</v>
      </c>
      <c r="H45" s="3">
        <v>0</v>
      </c>
      <c r="I45" s="3">
        <v>0</v>
      </c>
      <c r="J45" s="3">
        <v>0</v>
      </c>
      <c r="K45" s="3">
        <v>3</v>
      </c>
      <c r="L45" s="3">
        <v>0</v>
      </c>
      <c r="M45" s="3">
        <v>0</v>
      </c>
      <c r="N45" s="3" t="s">
        <v>1711</v>
      </c>
      <c r="O45" s="3">
        <v>3</v>
      </c>
      <c r="P45" s="3">
        <v>18.42</v>
      </c>
      <c r="Q45" s="3">
        <v>0</v>
      </c>
      <c r="R45" s="3">
        <v>0</v>
      </c>
      <c r="S45" s="3">
        <v>0</v>
      </c>
      <c r="T45" s="3">
        <v>0</v>
      </c>
      <c r="U45" s="3">
        <v>1</v>
      </c>
      <c r="V45" s="3">
        <v>1</v>
      </c>
      <c r="W45" s="3" t="s">
        <v>1712</v>
      </c>
      <c r="X45" s="3">
        <v>29.99</v>
      </c>
      <c r="Y45" s="3">
        <v>29.99</v>
      </c>
      <c r="Z45" s="3">
        <v>28.99</v>
      </c>
      <c r="AA45" s="3">
        <v>0</v>
      </c>
      <c r="AB45" s="3" t="s">
        <v>1713</v>
      </c>
      <c r="AC45" s="3">
        <v>3</v>
      </c>
      <c r="AD45" s="3">
        <v>29.99</v>
      </c>
      <c r="AE45" s="3">
        <v>0</v>
      </c>
      <c r="AF45" s="3">
        <v>0</v>
      </c>
      <c r="AG45" s="3">
        <v>0</v>
      </c>
      <c r="AH45" s="3">
        <v>0.102564102564102</v>
      </c>
      <c r="AI45" s="3" t="s">
        <v>1872</v>
      </c>
      <c r="AJ45" s="3" t="s">
        <v>1715</v>
      </c>
    </row>
    <row r="46" spans="1:36">
      <c r="A46" s="4">
        <v>43277</v>
      </c>
      <c r="B46" s="3" t="s">
        <v>1873</v>
      </c>
      <c r="C46" s="3" t="s">
        <v>1874</v>
      </c>
      <c r="D46" s="3" t="s">
        <v>1875</v>
      </c>
      <c r="E46" s="3" t="s">
        <v>1876</v>
      </c>
      <c r="F46" s="3" t="s">
        <v>1710</v>
      </c>
      <c r="G46" s="3">
        <v>4</v>
      </c>
      <c r="H46" s="3">
        <v>0</v>
      </c>
      <c r="I46" s="3">
        <v>0</v>
      </c>
      <c r="J46" s="3">
        <v>4</v>
      </c>
      <c r="K46" s="3">
        <v>0</v>
      </c>
      <c r="L46" s="3">
        <v>0</v>
      </c>
      <c r="M46" s="3">
        <v>0</v>
      </c>
      <c r="N46" s="3" t="s">
        <v>1711</v>
      </c>
      <c r="O46" s="3">
        <v>4</v>
      </c>
      <c r="P46" s="3">
        <v>12.31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3</v>
      </c>
      <c r="W46" s="3" t="s">
        <v>1720</v>
      </c>
      <c r="X46" s="3">
        <v>21.99</v>
      </c>
      <c r="Y46" s="3">
        <v>21.99</v>
      </c>
      <c r="Z46" s="3">
        <v>21.99</v>
      </c>
      <c r="AA46" s="3">
        <v>0</v>
      </c>
      <c r="AB46" s="3" t="s">
        <v>1721</v>
      </c>
      <c r="AC46" s="3">
        <v>0</v>
      </c>
      <c r="AD46" s="3">
        <v>19.56</v>
      </c>
      <c r="AE46" s="3">
        <v>49</v>
      </c>
      <c r="AF46" s="3">
        <v>0</v>
      </c>
      <c r="AG46" s="3">
        <v>171.933052</v>
      </c>
      <c r="AH46" s="3">
        <v>0.6</v>
      </c>
      <c r="AI46" s="3" t="s">
        <v>1722</v>
      </c>
      <c r="AJ46" s="3" t="s">
        <v>1715</v>
      </c>
    </row>
    <row r="47" spans="1:36">
      <c r="A47" s="4">
        <v>43277</v>
      </c>
      <c r="B47" s="3" t="s">
        <v>1877</v>
      </c>
      <c r="C47" s="3" t="s">
        <v>1878</v>
      </c>
      <c r="D47" s="3" t="s">
        <v>1879</v>
      </c>
      <c r="E47" s="3" t="s">
        <v>1880</v>
      </c>
      <c r="F47" s="3" t="s">
        <v>1710</v>
      </c>
      <c r="G47" s="3">
        <v>4</v>
      </c>
      <c r="H47" s="3">
        <v>0</v>
      </c>
      <c r="I47" s="3">
        <v>4</v>
      </c>
      <c r="J47" s="3">
        <v>0</v>
      </c>
      <c r="K47" s="3">
        <v>0</v>
      </c>
      <c r="L47" s="3">
        <v>0</v>
      </c>
      <c r="M47" s="3">
        <v>0</v>
      </c>
      <c r="N47" s="3" t="s">
        <v>1711</v>
      </c>
      <c r="O47" s="3">
        <v>0</v>
      </c>
      <c r="P47" s="3">
        <v>0</v>
      </c>
      <c r="Q47" s="3">
        <v>0</v>
      </c>
      <c r="R47" s="3">
        <v>0</v>
      </c>
      <c r="S47" s="3">
        <v>4</v>
      </c>
      <c r="T47" s="3">
        <v>7</v>
      </c>
      <c r="U47" s="3">
        <v>17</v>
      </c>
      <c r="V47" s="3">
        <v>20</v>
      </c>
      <c r="W47" s="3" t="s">
        <v>1712</v>
      </c>
      <c r="X47" s="3">
        <v>15.99</v>
      </c>
      <c r="Y47" s="3">
        <v>15.99</v>
      </c>
      <c r="Z47" s="3">
        <v>15.99</v>
      </c>
      <c r="AA47" s="3">
        <v>0</v>
      </c>
      <c r="AB47" s="3" t="s">
        <v>1713</v>
      </c>
      <c r="AC47" s="3">
        <v>9</v>
      </c>
      <c r="AD47" s="3">
        <v>15.99</v>
      </c>
      <c r="AE47" s="3">
        <v>0</v>
      </c>
      <c r="AF47" s="3">
        <v>0</v>
      </c>
      <c r="AG47" s="3">
        <v>0</v>
      </c>
      <c r="AH47" s="3">
        <v>1.81818181818181</v>
      </c>
      <c r="AI47" s="3" t="s">
        <v>1881</v>
      </c>
      <c r="AJ47" s="3" t="s">
        <v>1715</v>
      </c>
    </row>
    <row r="48" spans="1:36">
      <c r="A48" s="4">
        <v>43277</v>
      </c>
      <c r="B48" s="3" t="s">
        <v>188</v>
      </c>
      <c r="C48" s="3" t="s">
        <v>189</v>
      </c>
      <c r="D48" s="3" t="s">
        <v>190</v>
      </c>
      <c r="E48" s="3" t="s">
        <v>191</v>
      </c>
      <c r="F48" s="3" t="s">
        <v>1710</v>
      </c>
      <c r="G48" s="3">
        <v>40</v>
      </c>
      <c r="H48" s="3">
        <v>0</v>
      </c>
      <c r="I48" s="3">
        <v>40</v>
      </c>
      <c r="J48" s="3">
        <v>0</v>
      </c>
      <c r="K48" s="3">
        <v>0</v>
      </c>
      <c r="L48" s="3">
        <v>0</v>
      </c>
      <c r="M48" s="3">
        <v>0</v>
      </c>
      <c r="N48" s="3" t="s">
        <v>1711</v>
      </c>
      <c r="O48" s="3">
        <v>0</v>
      </c>
      <c r="P48" s="3">
        <v>0</v>
      </c>
      <c r="Q48" s="3">
        <v>0</v>
      </c>
      <c r="R48" s="3">
        <v>0</v>
      </c>
      <c r="S48" s="3">
        <v>39</v>
      </c>
      <c r="T48" s="3">
        <v>144</v>
      </c>
      <c r="U48" s="3">
        <v>251</v>
      </c>
      <c r="V48" s="3">
        <v>382</v>
      </c>
      <c r="W48" s="3"/>
      <c r="X48" s="3">
        <v>28.99</v>
      </c>
      <c r="Y48" s="3">
        <v>14.99</v>
      </c>
      <c r="Z48" s="3">
        <v>14.99</v>
      </c>
      <c r="AA48" s="3">
        <v>0</v>
      </c>
      <c r="AB48" s="3" t="s">
        <v>1713</v>
      </c>
      <c r="AC48" s="3">
        <v>61</v>
      </c>
      <c r="AD48" s="3">
        <v>14.99</v>
      </c>
      <c r="AE48" s="3">
        <v>0</v>
      </c>
      <c r="AF48" s="3">
        <v>0</v>
      </c>
      <c r="AG48" s="3">
        <v>0</v>
      </c>
      <c r="AH48" s="3">
        <v>6.3402489626556</v>
      </c>
      <c r="AI48" s="3" t="s">
        <v>1882</v>
      </c>
      <c r="AJ48" s="3" t="s">
        <v>1715</v>
      </c>
    </row>
    <row r="49" spans="1:36">
      <c r="A49" s="4">
        <v>43277</v>
      </c>
      <c r="B49" s="3" t="s">
        <v>799</v>
      </c>
      <c r="C49" s="3" t="s">
        <v>800</v>
      </c>
      <c r="D49" s="3" t="s">
        <v>801</v>
      </c>
      <c r="E49" s="3" t="s">
        <v>802</v>
      </c>
      <c r="F49" s="3" t="s">
        <v>1710</v>
      </c>
      <c r="G49" s="3">
        <v>4</v>
      </c>
      <c r="H49" s="3">
        <v>0</v>
      </c>
      <c r="I49" s="3">
        <v>4</v>
      </c>
      <c r="J49" s="3">
        <v>0</v>
      </c>
      <c r="K49" s="3">
        <v>0</v>
      </c>
      <c r="L49" s="3">
        <v>0</v>
      </c>
      <c r="M49" s="3">
        <v>0</v>
      </c>
      <c r="N49" s="3" t="s">
        <v>1711</v>
      </c>
      <c r="O49" s="3">
        <v>0</v>
      </c>
      <c r="P49" s="3">
        <v>0</v>
      </c>
      <c r="Q49" s="3">
        <v>0</v>
      </c>
      <c r="R49" s="3">
        <v>0</v>
      </c>
      <c r="S49" s="3">
        <v>2</v>
      </c>
      <c r="T49" s="3">
        <v>38</v>
      </c>
      <c r="U49" s="3">
        <v>43</v>
      </c>
      <c r="V49" s="3">
        <v>43</v>
      </c>
      <c r="W49" s="3"/>
      <c r="X49" s="3">
        <v>28.58</v>
      </c>
      <c r="Y49" s="3">
        <v>28.58</v>
      </c>
      <c r="Z49" s="3">
        <v>28.58</v>
      </c>
      <c r="AA49" s="3">
        <v>0</v>
      </c>
      <c r="AB49" s="3" t="s">
        <v>1713</v>
      </c>
      <c r="AC49" s="3">
        <v>1</v>
      </c>
      <c r="AD49" s="3">
        <v>28.58</v>
      </c>
      <c r="AE49" s="3">
        <v>0</v>
      </c>
      <c r="AF49" s="3">
        <v>0</v>
      </c>
      <c r="AG49" s="3">
        <v>0</v>
      </c>
      <c r="AH49" s="3">
        <v>4.09523809523809</v>
      </c>
      <c r="AI49" s="3" t="s">
        <v>1883</v>
      </c>
      <c r="AJ49" s="3" t="s">
        <v>1715</v>
      </c>
    </row>
    <row r="50" spans="1:36">
      <c r="A50" s="4">
        <v>43277</v>
      </c>
      <c r="B50" s="3" t="s">
        <v>1884</v>
      </c>
      <c r="C50" s="3" t="s">
        <v>1885</v>
      </c>
      <c r="D50" s="3" t="s">
        <v>1886</v>
      </c>
      <c r="E50" s="3" t="s">
        <v>1820</v>
      </c>
      <c r="F50" s="3" t="s">
        <v>1710</v>
      </c>
      <c r="G50" s="3">
        <v>10</v>
      </c>
      <c r="H50" s="3">
        <v>0</v>
      </c>
      <c r="I50" s="3">
        <v>10</v>
      </c>
      <c r="J50" s="3">
        <v>0</v>
      </c>
      <c r="K50" s="3">
        <v>0</v>
      </c>
      <c r="L50" s="3">
        <v>0</v>
      </c>
      <c r="M50" s="3">
        <v>0</v>
      </c>
      <c r="N50" s="3" t="s">
        <v>1711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1720</v>
      </c>
      <c r="X50" s="3">
        <v>19.99</v>
      </c>
      <c r="Y50" s="3">
        <v>19.99</v>
      </c>
      <c r="Z50" s="3">
        <v>19.99</v>
      </c>
      <c r="AA50" s="3">
        <v>0</v>
      </c>
      <c r="AB50" s="3" t="s">
        <v>1721</v>
      </c>
      <c r="AC50" s="3">
        <v>0</v>
      </c>
      <c r="AD50" s="3">
        <v>15.99</v>
      </c>
      <c r="AE50" s="3">
        <v>63</v>
      </c>
      <c r="AF50" s="3">
        <v>0</v>
      </c>
      <c r="AG50" s="3">
        <v>71.82189</v>
      </c>
      <c r="AH50" s="3">
        <v>0</v>
      </c>
      <c r="AI50" s="3" t="s">
        <v>1821</v>
      </c>
      <c r="AJ50" s="3" t="s">
        <v>1715</v>
      </c>
    </row>
    <row r="51" spans="1:36">
      <c r="A51" s="4">
        <v>43277</v>
      </c>
      <c r="B51" s="3" t="s">
        <v>1244</v>
      </c>
      <c r="C51" s="3" t="s">
        <v>1245</v>
      </c>
      <c r="D51" s="3" t="s">
        <v>1246</v>
      </c>
      <c r="E51" s="3" t="s">
        <v>1247</v>
      </c>
      <c r="F51" s="3" t="s">
        <v>1710</v>
      </c>
      <c r="G51" s="3">
        <v>21</v>
      </c>
      <c r="H51" s="3">
        <v>0</v>
      </c>
      <c r="I51" s="3">
        <v>21</v>
      </c>
      <c r="J51" s="3">
        <v>0</v>
      </c>
      <c r="K51" s="3">
        <v>0</v>
      </c>
      <c r="L51" s="3">
        <v>0</v>
      </c>
      <c r="M51" s="3">
        <v>0</v>
      </c>
      <c r="N51" s="3" t="s">
        <v>1711</v>
      </c>
      <c r="O51" s="3">
        <v>0</v>
      </c>
      <c r="P51" s="3">
        <v>0</v>
      </c>
      <c r="Q51" s="3">
        <v>0</v>
      </c>
      <c r="R51" s="3">
        <v>0</v>
      </c>
      <c r="S51" s="3">
        <v>21</v>
      </c>
      <c r="T51" s="3">
        <v>47</v>
      </c>
      <c r="U51" s="3">
        <v>62</v>
      </c>
      <c r="V51" s="3">
        <v>62</v>
      </c>
      <c r="W51" s="3"/>
      <c r="X51" s="3">
        <v>25.99</v>
      </c>
      <c r="Y51" s="3">
        <v>25.99</v>
      </c>
      <c r="Z51" s="3">
        <v>25.99</v>
      </c>
      <c r="AA51" s="3">
        <v>0</v>
      </c>
      <c r="AB51" s="3" t="s">
        <v>1713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9.29999999999999</v>
      </c>
      <c r="AI51" s="3" t="s">
        <v>1777</v>
      </c>
      <c r="AJ51" s="3" t="s">
        <v>1715</v>
      </c>
    </row>
    <row r="52" spans="1:36">
      <c r="A52" s="4">
        <v>43277</v>
      </c>
      <c r="B52" s="3" t="s">
        <v>1887</v>
      </c>
      <c r="C52" s="3" t="s">
        <v>1888</v>
      </c>
      <c r="D52" s="3" t="s">
        <v>1889</v>
      </c>
      <c r="E52" s="3" t="s">
        <v>1136</v>
      </c>
      <c r="F52" s="3" t="s">
        <v>1710</v>
      </c>
      <c r="G52" s="3">
        <v>12</v>
      </c>
      <c r="H52" s="3">
        <v>0</v>
      </c>
      <c r="I52" s="3">
        <v>12</v>
      </c>
      <c r="J52" s="3">
        <v>0</v>
      </c>
      <c r="K52" s="3">
        <v>0</v>
      </c>
      <c r="L52" s="3">
        <v>0</v>
      </c>
      <c r="M52" s="3">
        <v>0</v>
      </c>
      <c r="N52" s="3" t="s">
        <v>1711</v>
      </c>
      <c r="O52" s="3">
        <v>0</v>
      </c>
      <c r="P52" s="3">
        <v>0</v>
      </c>
      <c r="Q52" s="3">
        <v>0</v>
      </c>
      <c r="R52" s="3">
        <v>0</v>
      </c>
      <c r="S52" s="3">
        <v>1</v>
      </c>
      <c r="T52" s="3">
        <v>5</v>
      </c>
      <c r="U52" s="3">
        <v>9</v>
      </c>
      <c r="V52" s="3">
        <v>9</v>
      </c>
      <c r="W52" s="3" t="s">
        <v>1712</v>
      </c>
      <c r="X52" s="3">
        <v>21.99</v>
      </c>
      <c r="Y52" s="3">
        <v>21.99</v>
      </c>
      <c r="Z52" s="3">
        <v>21.99</v>
      </c>
      <c r="AA52" s="3">
        <v>0</v>
      </c>
      <c r="AB52" s="3" t="s">
        <v>1713</v>
      </c>
      <c r="AC52" s="3">
        <v>12</v>
      </c>
      <c r="AD52" s="3">
        <v>21.99</v>
      </c>
      <c r="AE52" s="3">
        <v>0</v>
      </c>
      <c r="AF52" s="3">
        <v>0</v>
      </c>
      <c r="AG52" s="3">
        <v>0</v>
      </c>
      <c r="AH52" s="3">
        <v>0.964285714285714</v>
      </c>
      <c r="AI52" s="3" t="s">
        <v>1890</v>
      </c>
      <c r="AJ52" s="3" t="s">
        <v>1715</v>
      </c>
    </row>
    <row r="53" spans="1:36">
      <c r="A53" s="4">
        <v>43277</v>
      </c>
      <c r="B53" s="3" t="s">
        <v>707</v>
      </c>
      <c r="C53" s="3" t="s">
        <v>708</v>
      </c>
      <c r="D53" s="3" t="s">
        <v>709</v>
      </c>
      <c r="E53" s="3" t="s">
        <v>710</v>
      </c>
      <c r="F53" s="3" t="s">
        <v>1710</v>
      </c>
      <c r="G53" s="3">
        <v>5</v>
      </c>
      <c r="H53" s="3">
        <v>0</v>
      </c>
      <c r="I53" s="3">
        <v>2</v>
      </c>
      <c r="J53" s="3">
        <v>3</v>
      </c>
      <c r="K53" s="3">
        <v>0</v>
      </c>
      <c r="L53" s="3">
        <v>0</v>
      </c>
      <c r="M53" s="3">
        <v>0</v>
      </c>
      <c r="N53" s="3" t="s">
        <v>1711</v>
      </c>
      <c r="O53" s="3">
        <v>0</v>
      </c>
      <c r="P53" s="3">
        <v>0</v>
      </c>
      <c r="Q53" s="3">
        <v>0</v>
      </c>
      <c r="R53" s="3">
        <v>0</v>
      </c>
      <c r="S53" s="3">
        <v>3</v>
      </c>
      <c r="T53" s="3">
        <v>15</v>
      </c>
      <c r="U53" s="3">
        <v>17</v>
      </c>
      <c r="V53" s="3">
        <v>18</v>
      </c>
      <c r="W53" s="3"/>
      <c r="X53" s="3">
        <v>38.99</v>
      </c>
      <c r="Y53" s="3">
        <v>19.99</v>
      </c>
      <c r="Z53" s="3">
        <v>19.99</v>
      </c>
      <c r="AA53" s="3">
        <v>0</v>
      </c>
      <c r="AB53" s="3" t="s">
        <v>1713</v>
      </c>
      <c r="AC53" s="3">
        <v>8</v>
      </c>
      <c r="AD53" s="3">
        <v>19.99</v>
      </c>
      <c r="AE53" s="3">
        <v>0</v>
      </c>
      <c r="AF53" s="3">
        <v>0</v>
      </c>
      <c r="AG53" s="3">
        <v>0</v>
      </c>
      <c r="AH53" s="3">
        <v>1.22033898305084</v>
      </c>
      <c r="AI53" s="3" t="s">
        <v>1891</v>
      </c>
      <c r="AJ53" s="3" t="s">
        <v>1715</v>
      </c>
    </row>
    <row r="54" spans="1:36">
      <c r="A54" s="4">
        <v>43277</v>
      </c>
      <c r="B54" s="3" t="s">
        <v>1892</v>
      </c>
      <c r="C54" s="3" t="s">
        <v>1893</v>
      </c>
      <c r="D54" s="3" t="s">
        <v>1894</v>
      </c>
      <c r="E54" s="3" t="s">
        <v>1895</v>
      </c>
      <c r="F54" s="3" t="s">
        <v>1710</v>
      </c>
      <c r="G54" s="3">
        <v>1</v>
      </c>
      <c r="H54" s="3">
        <v>0</v>
      </c>
      <c r="I54" s="3">
        <v>0</v>
      </c>
      <c r="J54" s="3">
        <v>0</v>
      </c>
      <c r="K54" s="3">
        <v>0</v>
      </c>
      <c r="L54" s="3">
        <v>1</v>
      </c>
      <c r="M54" s="3">
        <v>0</v>
      </c>
      <c r="N54" s="3" t="s">
        <v>1711</v>
      </c>
      <c r="O54" s="3">
        <v>1</v>
      </c>
      <c r="P54" s="3">
        <v>1.3</v>
      </c>
      <c r="Q54" s="3">
        <v>0</v>
      </c>
      <c r="R54" s="3">
        <v>0</v>
      </c>
      <c r="S54" s="3">
        <v>0</v>
      </c>
      <c r="T54" s="3">
        <v>1</v>
      </c>
      <c r="U54" s="3">
        <v>1</v>
      </c>
      <c r="V54" s="3">
        <v>1</v>
      </c>
      <c r="W54" s="3" t="s">
        <v>1720</v>
      </c>
      <c r="X54" s="3">
        <v>15.99</v>
      </c>
      <c r="Y54" s="3">
        <v>15.99</v>
      </c>
      <c r="Z54" s="3">
        <v>15.99</v>
      </c>
      <c r="AA54" s="3">
        <v>0</v>
      </c>
      <c r="AB54" s="3" t="s">
        <v>1732</v>
      </c>
      <c r="AC54" s="3">
        <v>0</v>
      </c>
      <c r="AD54" s="3">
        <v>14.37</v>
      </c>
      <c r="AE54" s="3">
        <v>189</v>
      </c>
      <c r="AF54" s="3">
        <v>0</v>
      </c>
      <c r="AG54" s="3">
        <v>20.712384</v>
      </c>
      <c r="AH54" s="3">
        <v>0.571428571428571</v>
      </c>
      <c r="AI54" s="3" t="s">
        <v>1896</v>
      </c>
      <c r="AJ54" s="3" t="s">
        <v>1783</v>
      </c>
    </row>
    <row r="55" spans="1:36">
      <c r="A55" s="4">
        <v>43277</v>
      </c>
      <c r="B55" s="3" t="s">
        <v>1897</v>
      </c>
      <c r="C55" s="3" t="s">
        <v>1898</v>
      </c>
      <c r="D55" s="3" t="s">
        <v>1899</v>
      </c>
      <c r="E55" s="3" t="s">
        <v>1376</v>
      </c>
      <c r="F55" s="3" t="s">
        <v>1710</v>
      </c>
      <c r="G55" s="3">
        <v>3</v>
      </c>
      <c r="H55" s="3">
        <v>0</v>
      </c>
      <c r="I55" s="3">
        <v>3</v>
      </c>
      <c r="J55" s="3">
        <v>0</v>
      </c>
      <c r="K55" s="3">
        <v>0</v>
      </c>
      <c r="L55" s="3">
        <v>0</v>
      </c>
      <c r="M55" s="3">
        <v>0</v>
      </c>
      <c r="N55" s="3" t="s">
        <v>1711</v>
      </c>
      <c r="O55" s="3">
        <v>0</v>
      </c>
      <c r="P55" s="3">
        <v>0</v>
      </c>
      <c r="Q55" s="3">
        <v>0</v>
      </c>
      <c r="R55" s="3">
        <v>0</v>
      </c>
      <c r="S55" s="3">
        <v>1</v>
      </c>
      <c r="T55" s="3">
        <v>3</v>
      </c>
      <c r="U55" s="3">
        <v>6</v>
      </c>
      <c r="V55" s="3">
        <v>6</v>
      </c>
      <c r="W55" s="3"/>
      <c r="X55" s="3">
        <v>18.99</v>
      </c>
      <c r="Y55" s="3">
        <v>18.99</v>
      </c>
      <c r="Z55" s="3">
        <v>18.99</v>
      </c>
      <c r="AA55" s="3">
        <v>0</v>
      </c>
      <c r="AB55" s="3" t="s">
        <v>1713</v>
      </c>
      <c r="AC55" s="3">
        <v>3</v>
      </c>
      <c r="AD55" s="3">
        <v>18.99</v>
      </c>
      <c r="AE55" s="3">
        <v>0</v>
      </c>
      <c r="AF55" s="3">
        <v>0</v>
      </c>
      <c r="AG55" s="3">
        <v>0</v>
      </c>
      <c r="AH55" s="3">
        <v>1.2</v>
      </c>
      <c r="AI55" s="3" t="s">
        <v>1900</v>
      </c>
      <c r="AJ55" s="3" t="s">
        <v>1715</v>
      </c>
    </row>
    <row r="56" spans="1:36">
      <c r="A56" s="4">
        <v>43277</v>
      </c>
      <c r="B56" s="3" t="s">
        <v>1901</v>
      </c>
      <c r="C56" s="3" t="s">
        <v>1902</v>
      </c>
      <c r="D56" s="3" t="s">
        <v>1903</v>
      </c>
      <c r="E56" s="3" t="s">
        <v>1904</v>
      </c>
      <c r="F56" s="3" t="s">
        <v>1710</v>
      </c>
      <c r="G56" s="3">
        <v>2</v>
      </c>
      <c r="H56" s="3">
        <v>0</v>
      </c>
      <c r="I56" s="3">
        <v>2</v>
      </c>
      <c r="J56" s="3">
        <v>0</v>
      </c>
      <c r="K56" s="3">
        <v>0</v>
      </c>
      <c r="L56" s="3">
        <v>0</v>
      </c>
      <c r="M56" s="3">
        <v>0</v>
      </c>
      <c r="N56" s="3" t="s">
        <v>1711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1</v>
      </c>
      <c r="U56" s="3">
        <v>3</v>
      </c>
      <c r="V56" s="3">
        <v>3</v>
      </c>
      <c r="W56" s="3"/>
      <c r="X56" s="3">
        <v>13.99</v>
      </c>
      <c r="Y56" s="3">
        <v>13.99</v>
      </c>
      <c r="Z56" s="3">
        <v>13.99</v>
      </c>
      <c r="AA56" s="3">
        <v>0</v>
      </c>
      <c r="AB56" s="3" t="s">
        <v>1713</v>
      </c>
      <c r="AC56" s="3">
        <v>2</v>
      </c>
      <c r="AD56" s="3">
        <v>13.99</v>
      </c>
      <c r="AE56" s="3">
        <v>0</v>
      </c>
      <c r="AF56" s="3">
        <v>0</v>
      </c>
      <c r="AG56" s="3">
        <v>0</v>
      </c>
      <c r="AH56" s="3">
        <v>1.2</v>
      </c>
      <c r="AI56" s="3" t="s">
        <v>1905</v>
      </c>
      <c r="AJ56" s="3" t="s">
        <v>1715</v>
      </c>
    </row>
    <row r="57" spans="1:36">
      <c r="A57" s="4">
        <v>43277</v>
      </c>
      <c r="B57" s="3" t="s">
        <v>1906</v>
      </c>
      <c r="C57" s="3" t="s">
        <v>1907</v>
      </c>
      <c r="D57" s="3" t="s">
        <v>1908</v>
      </c>
      <c r="E57" s="3" t="s">
        <v>1909</v>
      </c>
      <c r="F57" s="3" t="s">
        <v>1710</v>
      </c>
      <c r="G57" s="3">
        <v>1</v>
      </c>
      <c r="H57" s="3">
        <v>0</v>
      </c>
      <c r="I57" s="3">
        <v>1</v>
      </c>
      <c r="J57" s="3">
        <v>0</v>
      </c>
      <c r="K57" s="3">
        <v>0</v>
      </c>
      <c r="L57" s="3">
        <v>0</v>
      </c>
      <c r="M57" s="3">
        <v>0</v>
      </c>
      <c r="N57" s="3" t="s">
        <v>1711</v>
      </c>
      <c r="O57" s="3">
        <v>0</v>
      </c>
      <c r="P57" s="3">
        <v>0</v>
      </c>
      <c r="Q57" s="3">
        <v>0</v>
      </c>
      <c r="R57" s="3">
        <v>0</v>
      </c>
      <c r="S57" s="3">
        <v>1</v>
      </c>
      <c r="T57" s="3">
        <v>1</v>
      </c>
      <c r="U57" s="3">
        <v>12</v>
      </c>
      <c r="V57" s="3">
        <v>16</v>
      </c>
      <c r="W57" s="3"/>
      <c r="X57" s="3">
        <v>12.58</v>
      </c>
      <c r="Y57" s="3">
        <v>12.58</v>
      </c>
      <c r="Z57" s="3">
        <v>12.58</v>
      </c>
      <c r="AA57" s="3">
        <v>0</v>
      </c>
      <c r="AB57" s="3" t="s">
        <v>1713</v>
      </c>
      <c r="AC57" s="3">
        <v>1</v>
      </c>
      <c r="AD57" s="3">
        <v>12.58</v>
      </c>
      <c r="AE57" s="3">
        <v>0</v>
      </c>
      <c r="AF57" s="3">
        <v>0</v>
      </c>
      <c r="AG57" s="3">
        <v>0</v>
      </c>
      <c r="AH57" s="3">
        <v>2.20689655172413</v>
      </c>
      <c r="AI57" s="3" t="s">
        <v>1801</v>
      </c>
      <c r="AJ57" s="3" t="s">
        <v>1715</v>
      </c>
    </row>
    <row r="58" spans="1:36">
      <c r="A58" s="4">
        <v>43277</v>
      </c>
      <c r="B58" s="3" t="s">
        <v>1910</v>
      </c>
      <c r="C58" s="3" t="s">
        <v>1911</v>
      </c>
      <c r="D58" s="3" t="s">
        <v>1912</v>
      </c>
      <c r="E58" s="3" t="s">
        <v>1913</v>
      </c>
      <c r="F58" s="3" t="s">
        <v>1710</v>
      </c>
      <c r="G58" s="3">
        <v>8</v>
      </c>
      <c r="H58" s="3">
        <v>0</v>
      </c>
      <c r="I58" s="3">
        <v>0</v>
      </c>
      <c r="J58" s="3">
        <v>8</v>
      </c>
      <c r="K58" s="3">
        <v>0</v>
      </c>
      <c r="L58" s="3">
        <v>0</v>
      </c>
      <c r="M58" s="3">
        <v>0</v>
      </c>
      <c r="N58" s="3" t="s">
        <v>1711</v>
      </c>
      <c r="O58" s="3">
        <v>7</v>
      </c>
      <c r="P58" s="3">
        <v>4.8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1</v>
      </c>
      <c r="W58" s="3" t="s">
        <v>1712</v>
      </c>
      <c r="X58" s="3">
        <v>20.99</v>
      </c>
      <c r="Y58" s="3">
        <v>20.99</v>
      </c>
      <c r="Z58" s="3">
        <v>20.99</v>
      </c>
      <c r="AA58" s="3">
        <v>0</v>
      </c>
      <c r="AB58" s="3" t="s">
        <v>1732</v>
      </c>
      <c r="AC58" s="3">
        <v>0</v>
      </c>
      <c r="AD58" s="3">
        <v>15.7</v>
      </c>
      <c r="AE58" s="3">
        <v>364</v>
      </c>
      <c r="AF58" s="3">
        <v>0</v>
      </c>
      <c r="AG58" s="3">
        <v>88.690482</v>
      </c>
      <c r="AH58" s="3">
        <v>0.121212121212121</v>
      </c>
      <c r="AI58" s="3" t="s">
        <v>1914</v>
      </c>
      <c r="AJ58" s="3" t="s">
        <v>1715</v>
      </c>
    </row>
    <row r="59" spans="1:36">
      <c r="A59" s="4">
        <v>43277</v>
      </c>
      <c r="B59" s="3" t="s">
        <v>1915</v>
      </c>
      <c r="C59" s="3" t="s">
        <v>1916</v>
      </c>
      <c r="D59" s="3" t="s">
        <v>1917</v>
      </c>
      <c r="E59" s="3" t="s">
        <v>1918</v>
      </c>
      <c r="F59" s="3" t="s">
        <v>1710</v>
      </c>
      <c r="G59" s="3">
        <v>10</v>
      </c>
      <c r="H59" s="3">
        <v>0</v>
      </c>
      <c r="I59" s="3">
        <v>10</v>
      </c>
      <c r="J59" s="3">
        <v>0</v>
      </c>
      <c r="K59" s="3">
        <v>0</v>
      </c>
      <c r="L59" s="3">
        <v>0</v>
      </c>
      <c r="M59" s="3">
        <v>0</v>
      </c>
      <c r="N59" s="3" t="s">
        <v>1711</v>
      </c>
      <c r="O59" s="3">
        <v>0</v>
      </c>
      <c r="P59" s="3">
        <v>0</v>
      </c>
      <c r="Q59" s="3">
        <v>0</v>
      </c>
      <c r="R59" s="3">
        <v>0</v>
      </c>
      <c r="S59" s="3">
        <v>1</v>
      </c>
      <c r="T59" s="3">
        <v>4</v>
      </c>
      <c r="U59" s="3">
        <v>5</v>
      </c>
      <c r="V59" s="3">
        <v>5</v>
      </c>
      <c r="W59" s="3"/>
      <c r="X59" s="3">
        <v>19.99</v>
      </c>
      <c r="Y59" s="3">
        <v>19.99</v>
      </c>
      <c r="Z59" s="3">
        <v>19.99</v>
      </c>
      <c r="AA59" s="3">
        <v>0</v>
      </c>
      <c r="AB59" s="3" t="s">
        <v>1713</v>
      </c>
      <c r="AC59" s="3">
        <v>11</v>
      </c>
      <c r="AD59" s="3">
        <v>19.99</v>
      </c>
      <c r="AE59" s="3">
        <v>0</v>
      </c>
      <c r="AF59" s="3">
        <v>0</v>
      </c>
      <c r="AG59" s="3">
        <v>0</v>
      </c>
      <c r="AH59" s="3">
        <v>0.416666666666666</v>
      </c>
      <c r="AI59" s="3" t="s">
        <v>1919</v>
      </c>
      <c r="AJ59" s="3" t="s">
        <v>1715</v>
      </c>
    </row>
    <row r="60" spans="1:36">
      <c r="A60" s="4">
        <v>43277</v>
      </c>
      <c r="B60" s="3" t="s">
        <v>1920</v>
      </c>
      <c r="C60" s="3" t="s">
        <v>1921</v>
      </c>
      <c r="D60" s="3" t="s">
        <v>1922</v>
      </c>
      <c r="E60" s="3" t="s">
        <v>1923</v>
      </c>
      <c r="F60" s="3" t="s">
        <v>1710</v>
      </c>
      <c r="G60" s="3">
        <v>111</v>
      </c>
      <c r="H60" s="3">
        <v>0</v>
      </c>
      <c r="I60" s="3">
        <v>7</v>
      </c>
      <c r="J60" s="3">
        <v>23</v>
      </c>
      <c r="K60" s="3">
        <v>81</v>
      </c>
      <c r="L60" s="3">
        <v>0</v>
      </c>
      <c r="M60" s="3">
        <v>0</v>
      </c>
      <c r="N60" s="3" t="s">
        <v>1711</v>
      </c>
      <c r="O60" s="3">
        <v>97</v>
      </c>
      <c r="P60" s="3">
        <v>58.05</v>
      </c>
      <c r="Q60" s="3">
        <v>0</v>
      </c>
      <c r="R60" s="3">
        <v>0</v>
      </c>
      <c r="S60" s="3">
        <v>0</v>
      </c>
      <c r="T60" s="3">
        <v>4</v>
      </c>
      <c r="U60" s="3">
        <v>11</v>
      </c>
      <c r="V60" s="3">
        <v>34</v>
      </c>
      <c r="W60" s="3"/>
      <c r="X60" s="3">
        <v>16.99</v>
      </c>
      <c r="Y60" s="3">
        <v>16.99</v>
      </c>
      <c r="Z60" s="3">
        <v>16</v>
      </c>
      <c r="AA60" s="3">
        <v>0</v>
      </c>
      <c r="AB60" s="3" t="s">
        <v>1732</v>
      </c>
      <c r="AC60" s="3">
        <v>16</v>
      </c>
      <c r="AD60" s="3">
        <v>15.08</v>
      </c>
      <c r="AE60" s="3">
        <v>189</v>
      </c>
      <c r="AF60" s="3">
        <v>0</v>
      </c>
      <c r="AG60" s="3">
        <v>1688.052857</v>
      </c>
      <c r="AH60" s="3">
        <v>0.0756395995550611</v>
      </c>
      <c r="AI60" s="3" t="s">
        <v>1905</v>
      </c>
      <c r="AJ60" s="3" t="s">
        <v>1715</v>
      </c>
    </row>
    <row r="61" spans="1:36">
      <c r="A61" s="4">
        <v>43277</v>
      </c>
      <c r="B61" s="3" t="s">
        <v>1924</v>
      </c>
      <c r="C61" s="3" t="s">
        <v>1925</v>
      </c>
      <c r="D61" s="3" t="s">
        <v>1926</v>
      </c>
      <c r="E61" s="3" t="s">
        <v>1927</v>
      </c>
      <c r="F61" s="3" t="s">
        <v>1710</v>
      </c>
      <c r="G61" s="3">
        <v>9</v>
      </c>
      <c r="H61" s="3">
        <v>0</v>
      </c>
      <c r="I61" s="3">
        <v>0</v>
      </c>
      <c r="J61" s="3">
        <v>0</v>
      </c>
      <c r="K61" s="3">
        <v>9</v>
      </c>
      <c r="L61" s="3">
        <v>0</v>
      </c>
      <c r="M61" s="3">
        <v>0</v>
      </c>
      <c r="N61" s="3" t="s">
        <v>1711</v>
      </c>
      <c r="O61" s="3">
        <v>9</v>
      </c>
      <c r="P61" s="3">
        <v>10.48</v>
      </c>
      <c r="Q61" s="3">
        <v>0</v>
      </c>
      <c r="R61" s="3">
        <v>0</v>
      </c>
      <c r="S61" s="3">
        <v>0</v>
      </c>
      <c r="T61" s="3">
        <v>1</v>
      </c>
      <c r="U61" s="3">
        <v>1</v>
      </c>
      <c r="V61" s="3">
        <v>2</v>
      </c>
      <c r="W61" s="3" t="s">
        <v>1720</v>
      </c>
      <c r="X61" s="3">
        <v>15.88</v>
      </c>
      <c r="Y61" s="3">
        <v>15.88</v>
      </c>
      <c r="Z61" s="3">
        <v>15.88</v>
      </c>
      <c r="AA61" s="3">
        <v>0</v>
      </c>
      <c r="AB61" s="3" t="s">
        <v>1721</v>
      </c>
      <c r="AC61" s="3">
        <v>0</v>
      </c>
      <c r="AD61" s="3">
        <v>14.43</v>
      </c>
      <c r="AE61" s="3">
        <v>105</v>
      </c>
      <c r="AF61" s="3">
        <v>0</v>
      </c>
      <c r="AG61" s="3">
        <v>193.51554</v>
      </c>
      <c r="AH61" s="3">
        <v>0.2</v>
      </c>
      <c r="AI61" s="3" t="s">
        <v>1928</v>
      </c>
      <c r="AJ61" s="3" t="s">
        <v>1783</v>
      </c>
    </row>
    <row r="62" spans="1:36">
      <c r="A62" s="4">
        <v>43277</v>
      </c>
      <c r="B62" s="3" t="s">
        <v>1929</v>
      </c>
      <c r="C62" s="3" t="s">
        <v>1930</v>
      </c>
      <c r="D62" s="3" t="s">
        <v>1931</v>
      </c>
      <c r="E62" s="3" t="s">
        <v>1932</v>
      </c>
      <c r="F62" s="3" t="s">
        <v>1710</v>
      </c>
      <c r="G62" s="3">
        <v>113</v>
      </c>
      <c r="H62" s="3">
        <v>0</v>
      </c>
      <c r="I62" s="3">
        <v>1</v>
      </c>
      <c r="J62" s="3">
        <v>4</v>
      </c>
      <c r="K62" s="3">
        <v>108</v>
      </c>
      <c r="L62" s="3">
        <v>0</v>
      </c>
      <c r="M62" s="3">
        <v>0</v>
      </c>
      <c r="N62" s="3" t="s">
        <v>1711</v>
      </c>
      <c r="O62" s="3">
        <v>111</v>
      </c>
      <c r="P62" s="3">
        <v>66.44</v>
      </c>
      <c r="Q62" s="3">
        <v>0</v>
      </c>
      <c r="R62" s="3">
        <v>0</v>
      </c>
      <c r="S62" s="3">
        <v>0</v>
      </c>
      <c r="T62" s="3">
        <v>1</v>
      </c>
      <c r="U62" s="3">
        <v>1</v>
      </c>
      <c r="V62" s="3">
        <v>7</v>
      </c>
      <c r="W62" s="3"/>
      <c r="X62" s="3">
        <v>16.99</v>
      </c>
      <c r="Y62" s="3">
        <v>16.99</v>
      </c>
      <c r="Z62" s="3">
        <v>16</v>
      </c>
      <c r="AA62" s="3">
        <v>0</v>
      </c>
      <c r="AB62" s="3" t="s">
        <v>1732</v>
      </c>
      <c r="AC62" s="3">
        <v>0</v>
      </c>
      <c r="AD62" s="3">
        <v>14.24</v>
      </c>
      <c r="AE62" s="3">
        <v>364</v>
      </c>
      <c r="AF62" s="3">
        <v>0</v>
      </c>
      <c r="AG62" s="3">
        <v>1576.658232</v>
      </c>
      <c r="AH62" s="3">
        <v>0.0423600605143721</v>
      </c>
      <c r="AI62" s="3" t="s">
        <v>1905</v>
      </c>
      <c r="AJ62" s="3" t="s">
        <v>1715</v>
      </c>
    </row>
    <row r="63" spans="1:36">
      <c r="A63" s="4">
        <v>43277</v>
      </c>
      <c r="B63" s="3" t="s">
        <v>1933</v>
      </c>
      <c r="C63" s="3" t="s">
        <v>1934</v>
      </c>
      <c r="D63" s="3" t="s">
        <v>1935</v>
      </c>
      <c r="E63" s="3" t="s">
        <v>1936</v>
      </c>
      <c r="F63" s="3" t="s">
        <v>1710</v>
      </c>
      <c r="G63" s="3">
        <v>2</v>
      </c>
      <c r="H63" s="3">
        <v>0</v>
      </c>
      <c r="I63" s="3">
        <v>2</v>
      </c>
      <c r="J63" s="3">
        <v>0</v>
      </c>
      <c r="K63" s="3">
        <v>0</v>
      </c>
      <c r="L63" s="3">
        <v>0</v>
      </c>
      <c r="M63" s="3">
        <v>0</v>
      </c>
      <c r="N63" s="3" t="s">
        <v>1711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1</v>
      </c>
      <c r="U63" s="3">
        <v>1</v>
      </c>
      <c r="V63" s="3">
        <v>5</v>
      </c>
      <c r="W63" s="3" t="s">
        <v>1720</v>
      </c>
      <c r="X63" s="3">
        <v>14.99</v>
      </c>
      <c r="Y63" s="3">
        <v>14.99</v>
      </c>
      <c r="Z63" s="3">
        <v>14.99</v>
      </c>
      <c r="AA63" s="3">
        <v>0</v>
      </c>
      <c r="AB63" s="3" t="s">
        <v>1721</v>
      </c>
      <c r="AC63" s="3">
        <v>0</v>
      </c>
      <c r="AD63" s="3">
        <v>12.06</v>
      </c>
      <c r="AE63" s="3">
        <v>63</v>
      </c>
      <c r="AF63" s="3">
        <v>0</v>
      </c>
      <c r="AG63" s="3">
        <v>10.72526</v>
      </c>
      <c r="AH63" s="3">
        <v>1.53846153846153</v>
      </c>
      <c r="AI63" s="3" t="s">
        <v>1840</v>
      </c>
      <c r="AJ63" s="3" t="s">
        <v>1715</v>
      </c>
    </row>
    <row r="64" spans="1:36">
      <c r="A64" s="4">
        <v>43277</v>
      </c>
      <c r="B64" s="3" t="s">
        <v>1937</v>
      </c>
      <c r="C64" s="3" t="s">
        <v>1938</v>
      </c>
      <c r="D64" s="3" t="s">
        <v>1939</v>
      </c>
      <c r="E64" s="3" t="s">
        <v>1940</v>
      </c>
      <c r="F64" s="3" t="s">
        <v>1710</v>
      </c>
      <c r="G64" s="3">
        <v>13</v>
      </c>
      <c r="H64" s="3">
        <v>0</v>
      </c>
      <c r="I64" s="3">
        <v>5</v>
      </c>
      <c r="J64" s="3">
        <v>0</v>
      </c>
      <c r="K64" s="3">
        <v>7</v>
      </c>
      <c r="L64" s="3">
        <v>1</v>
      </c>
      <c r="M64" s="3">
        <v>0</v>
      </c>
      <c r="N64" s="3" t="s">
        <v>1711</v>
      </c>
      <c r="O64" s="3">
        <v>8</v>
      </c>
      <c r="P64" s="3">
        <v>29.02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3</v>
      </c>
      <c r="W64" s="3" t="s">
        <v>1712</v>
      </c>
      <c r="X64" s="3">
        <v>27.99</v>
      </c>
      <c r="Y64" s="3">
        <v>27.99</v>
      </c>
      <c r="Z64" s="3">
        <v>25.99</v>
      </c>
      <c r="AA64" s="3">
        <v>0</v>
      </c>
      <c r="AB64" s="3" t="s">
        <v>1732</v>
      </c>
      <c r="AC64" s="3">
        <v>0</v>
      </c>
      <c r="AD64" s="3">
        <v>22.39</v>
      </c>
      <c r="AE64" s="3">
        <v>63</v>
      </c>
      <c r="AF64" s="3">
        <v>0</v>
      </c>
      <c r="AG64" s="3">
        <v>493.063716</v>
      </c>
      <c r="AH64" s="3">
        <v>0.266666666666666</v>
      </c>
      <c r="AI64" s="3" t="s">
        <v>1831</v>
      </c>
      <c r="AJ64" s="3" t="s">
        <v>1715</v>
      </c>
    </row>
    <row r="65" spans="1:36">
      <c r="A65" s="4">
        <v>43277</v>
      </c>
      <c r="B65" s="3" t="s">
        <v>1941</v>
      </c>
      <c r="C65" s="3" t="s">
        <v>1942</v>
      </c>
      <c r="D65" s="3" t="s">
        <v>1943</v>
      </c>
      <c r="E65" s="3" t="s">
        <v>1755</v>
      </c>
      <c r="F65" s="3" t="s">
        <v>1710</v>
      </c>
      <c r="G65" s="3">
        <v>10</v>
      </c>
      <c r="H65" s="3">
        <v>0</v>
      </c>
      <c r="I65" s="3">
        <v>10</v>
      </c>
      <c r="J65" s="3">
        <v>0</v>
      </c>
      <c r="K65" s="3">
        <v>0</v>
      </c>
      <c r="L65" s="3">
        <v>0</v>
      </c>
      <c r="M65" s="3">
        <v>0</v>
      </c>
      <c r="N65" s="3" t="s">
        <v>1711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1720</v>
      </c>
      <c r="X65" s="3">
        <v>13.99</v>
      </c>
      <c r="Y65" s="3">
        <v>13.99</v>
      </c>
      <c r="Z65" s="3">
        <v>13.99</v>
      </c>
      <c r="AA65" s="3">
        <v>0</v>
      </c>
      <c r="AB65" s="3" t="s">
        <v>1721</v>
      </c>
      <c r="AC65" s="3">
        <v>10</v>
      </c>
      <c r="AD65" s="3">
        <v>13.99</v>
      </c>
      <c r="AE65" s="3">
        <v>0</v>
      </c>
      <c r="AF65" s="3">
        <v>0</v>
      </c>
      <c r="AG65" s="3">
        <v>0</v>
      </c>
      <c r="AH65" s="3">
        <v>0</v>
      </c>
      <c r="AI65" s="3" t="s">
        <v>1756</v>
      </c>
      <c r="AJ65" s="3" t="s">
        <v>1715</v>
      </c>
    </row>
    <row r="66" spans="1:36">
      <c r="A66" s="4">
        <v>43277</v>
      </c>
      <c r="B66" s="3" t="s">
        <v>1944</v>
      </c>
      <c r="C66" s="3" t="s">
        <v>1945</v>
      </c>
      <c r="D66" s="3" t="s">
        <v>1946</v>
      </c>
      <c r="E66" s="3" t="s">
        <v>341</v>
      </c>
      <c r="F66" s="3" t="s">
        <v>1710</v>
      </c>
      <c r="G66" s="3">
        <v>13</v>
      </c>
      <c r="H66" s="3">
        <v>0</v>
      </c>
      <c r="I66" s="3">
        <v>1</v>
      </c>
      <c r="J66" s="3">
        <v>12</v>
      </c>
      <c r="K66" s="3">
        <v>0</v>
      </c>
      <c r="L66" s="3">
        <v>0</v>
      </c>
      <c r="M66" s="3">
        <v>0</v>
      </c>
      <c r="N66" s="3" t="s">
        <v>1711</v>
      </c>
      <c r="O66" s="3">
        <v>11</v>
      </c>
      <c r="P66" s="3">
        <v>7.88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3</v>
      </c>
      <c r="W66" s="3" t="s">
        <v>1712</v>
      </c>
      <c r="X66" s="3">
        <v>15.96</v>
      </c>
      <c r="Y66" s="3">
        <v>18.99</v>
      </c>
      <c r="Z66" s="3">
        <v>18.99</v>
      </c>
      <c r="AA66" s="3">
        <v>0</v>
      </c>
      <c r="AB66" s="3" t="s">
        <v>1732</v>
      </c>
      <c r="AC66" s="3">
        <v>0</v>
      </c>
      <c r="AD66" s="3">
        <v>17.7</v>
      </c>
      <c r="AE66" s="3">
        <v>161</v>
      </c>
      <c r="AF66" s="3">
        <v>0</v>
      </c>
      <c r="AG66" s="3">
        <v>238.553307</v>
      </c>
      <c r="AH66" s="3">
        <v>0.226415094339622</v>
      </c>
      <c r="AI66" s="3" t="s">
        <v>1947</v>
      </c>
      <c r="AJ66" s="3" t="s">
        <v>1783</v>
      </c>
    </row>
    <row r="67" spans="1:36">
      <c r="A67" s="4">
        <v>43277</v>
      </c>
      <c r="B67" s="3" t="s">
        <v>256</v>
      </c>
      <c r="C67" s="3" t="s">
        <v>257</v>
      </c>
      <c r="D67" s="3" t="s">
        <v>258</v>
      </c>
      <c r="E67" s="3" t="s">
        <v>259</v>
      </c>
      <c r="F67" s="3" t="s">
        <v>1710</v>
      </c>
      <c r="G67" s="3">
        <v>41</v>
      </c>
      <c r="H67" s="3">
        <v>0</v>
      </c>
      <c r="I67" s="3">
        <v>1</v>
      </c>
      <c r="J67" s="3">
        <v>2</v>
      </c>
      <c r="K67" s="3">
        <v>38</v>
      </c>
      <c r="L67" s="3">
        <v>0</v>
      </c>
      <c r="M67" s="3">
        <v>0</v>
      </c>
      <c r="N67" s="3" t="s">
        <v>1711</v>
      </c>
      <c r="O67" s="3">
        <v>40</v>
      </c>
      <c r="P67" s="3">
        <v>145.09</v>
      </c>
      <c r="Q67" s="3">
        <v>0</v>
      </c>
      <c r="R67" s="3">
        <v>0</v>
      </c>
      <c r="S67" s="3">
        <v>2</v>
      </c>
      <c r="T67" s="3">
        <v>4</v>
      </c>
      <c r="U67" s="3">
        <v>7</v>
      </c>
      <c r="V67" s="3">
        <v>14</v>
      </c>
      <c r="W67" s="3" t="s">
        <v>1712</v>
      </c>
      <c r="X67" s="3">
        <v>27.99</v>
      </c>
      <c r="Y67" s="3">
        <v>27.99</v>
      </c>
      <c r="Z67" s="3">
        <v>25.99</v>
      </c>
      <c r="AA67" s="3">
        <v>0</v>
      </c>
      <c r="AB67" s="3" t="s">
        <v>1732</v>
      </c>
      <c r="AC67" s="3">
        <v>11</v>
      </c>
      <c r="AD67" s="3">
        <v>18.19</v>
      </c>
      <c r="AE67" s="3">
        <v>63</v>
      </c>
      <c r="AF67" s="3">
        <v>0</v>
      </c>
      <c r="AG67" s="3">
        <v>110.292288</v>
      </c>
      <c r="AH67" s="3">
        <v>0.301075268817204</v>
      </c>
      <c r="AI67" s="3" t="s">
        <v>1831</v>
      </c>
      <c r="AJ67" s="3" t="s">
        <v>1715</v>
      </c>
    </row>
    <row r="68" spans="1:36">
      <c r="A68" s="4">
        <v>43277</v>
      </c>
      <c r="B68" s="3" t="s">
        <v>1948</v>
      </c>
      <c r="C68" s="3" t="s">
        <v>1949</v>
      </c>
      <c r="D68" s="3" t="s">
        <v>1950</v>
      </c>
      <c r="E68" s="3" t="s">
        <v>1951</v>
      </c>
      <c r="F68" s="3" t="s">
        <v>1710</v>
      </c>
      <c r="G68" s="3">
        <v>1</v>
      </c>
      <c r="H68" s="3">
        <v>0</v>
      </c>
      <c r="I68" s="3">
        <v>0</v>
      </c>
      <c r="J68" s="3">
        <v>0</v>
      </c>
      <c r="K68" s="3">
        <v>0</v>
      </c>
      <c r="L68" s="3">
        <v>1</v>
      </c>
      <c r="M68" s="3">
        <v>0</v>
      </c>
      <c r="N68" s="3" t="s">
        <v>1711</v>
      </c>
      <c r="O68" s="3">
        <v>1</v>
      </c>
      <c r="P68" s="3">
        <v>1.07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1720</v>
      </c>
      <c r="X68" s="3">
        <v>9.98</v>
      </c>
      <c r="Y68" s="3">
        <v>9.98</v>
      </c>
      <c r="Z68" s="3">
        <v>9.98</v>
      </c>
      <c r="AA68" s="3">
        <v>0</v>
      </c>
      <c r="AB68" s="3" t="s">
        <v>1732</v>
      </c>
      <c r="AC68" s="3">
        <v>0</v>
      </c>
      <c r="AD68" s="3">
        <v>9.16</v>
      </c>
      <c r="AE68" s="3">
        <v>49</v>
      </c>
      <c r="AF68" s="3">
        <v>0</v>
      </c>
      <c r="AG68" s="3">
        <v>15.661002</v>
      </c>
      <c r="AH68" s="3">
        <v>0</v>
      </c>
      <c r="AI68" s="3" t="s">
        <v>1952</v>
      </c>
      <c r="AJ68" s="3" t="s">
        <v>1715</v>
      </c>
    </row>
    <row r="69" spans="1:36">
      <c r="A69" s="4">
        <v>43277</v>
      </c>
      <c r="B69" s="3" t="s">
        <v>1953</v>
      </c>
      <c r="C69" s="3" t="s">
        <v>1954</v>
      </c>
      <c r="D69" s="3" t="s">
        <v>1955</v>
      </c>
      <c r="E69" s="3" t="s">
        <v>1956</v>
      </c>
      <c r="F69" s="3" t="s">
        <v>1710</v>
      </c>
      <c r="G69" s="3">
        <v>6</v>
      </c>
      <c r="H69" s="3">
        <v>0</v>
      </c>
      <c r="I69" s="3">
        <v>0</v>
      </c>
      <c r="J69" s="3">
        <v>6</v>
      </c>
      <c r="K69" s="3">
        <v>0</v>
      </c>
      <c r="L69" s="3">
        <v>0</v>
      </c>
      <c r="M69" s="3">
        <v>0</v>
      </c>
      <c r="N69" s="3" t="s">
        <v>1711</v>
      </c>
      <c r="O69" s="3">
        <v>6</v>
      </c>
      <c r="P69" s="3">
        <v>18.47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1720</v>
      </c>
      <c r="X69" s="3">
        <v>21.99</v>
      </c>
      <c r="Y69" s="3">
        <v>21.99</v>
      </c>
      <c r="Z69" s="3">
        <v>21.99</v>
      </c>
      <c r="AA69" s="3">
        <v>0</v>
      </c>
      <c r="AB69" s="3" t="s">
        <v>1721</v>
      </c>
      <c r="AC69" s="3">
        <v>1</v>
      </c>
      <c r="AD69" s="3">
        <v>18.57</v>
      </c>
      <c r="AE69" s="3">
        <v>49</v>
      </c>
      <c r="AF69" s="3">
        <v>0</v>
      </c>
      <c r="AG69" s="3">
        <v>268.08481</v>
      </c>
      <c r="AH69" s="3">
        <v>0</v>
      </c>
      <c r="AI69" s="3" t="s">
        <v>1722</v>
      </c>
      <c r="AJ69" s="3" t="s">
        <v>1715</v>
      </c>
    </row>
    <row r="70" spans="1:36">
      <c r="A70" s="4">
        <v>43277</v>
      </c>
      <c r="B70" s="3" t="s">
        <v>326</v>
      </c>
      <c r="C70" s="3" t="s">
        <v>327</v>
      </c>
      <c r="D70" s="3" t="s">
        <v>328</v>
      </c>
      <c r="E70" s="3" t="s">
        <v>329</v>
      </c>
      <c r="F70" s="3" t="s">
        <v>1710</v>
      </c>
      <c r="G70" s="3">
        <v>27</v>
      </c>
      <c r="H70" s="3">
        <v>0</v>
      </c>
      <c r="I70" s="3">
        <v>27</v>
      </c>
      <c r="J70" s="3">
        <v>0</v>
      </c>
      <c r="K70" s="3">
        <v>0</v>
      </c>
      <c r="L70" s="3">
        <v>0</v>
      </c>
      <c r="M70" s="3">
        <v>0</v>
      </c>
      <c r="N70" s="3" t="s">
        <v>1711</v>
      </c>
      <c r="O70" s="3">
        <v>0</v>
      </c>
      <c r="P70" s="3">
        <v>0</v>
      </c>
      <c r="Q70" s="3">
        <v>0</v>
      </c>
      <c r="R70" s="3">
        <v>0</v>
      </c>
      <c r="S70" s="3">
        <v>7</v>
      </c>
      <c r="T70" s="3">
        <v>32</v>
      </c>
      <c r="U70" s="3">
        <v>92</v>
      </c>
      <c r="V70" s="3">
        <v>176</v>
      </c>
      <c r="W70" s="3"/>
      <c r="X70" s="3">
        <v>28.99</v>
      </c>
      <c r="Y70" s="3">
        <v>19.99</v>
      </c>
      <c r="Z70" s="3">
        <v>19.99</v>
      </c>
      <c r="AA70" s="3">
        <v>0</v>
      </c>
      <c r="AB70" s="3" t="s">
        <v>1713</v>
      </c>
      <c r="AC70" s="3">
        <v>32</v>
      </c>
      <c r="AD70" s="3">
        <v>19.99</v>
      </c>
      <c r="AE70" s="3">
        <v>0</v>
      </c>
      <c r="AF70" s="3">
        <v>0</v>
      </c>
      <c r="AG70" s="3">
        <v>0</v>
      </c>
      <c r="AH70" s="3">
        <v>2.9090909090909</v>
      </c>
      <c r="AI70" s="3" t="s">
        <v>1957</v>
      </c>
      <c r="AJ70" s="3" t="s">
        <v>1783</v>
      </c>
    </row>
    <row r="71" spans="1:36">
      <c r="A71" s="4">
        <v>43277</v>
      </c>
      <c r="B71" s="3" t="s">
        <v>1958</v>
      </c>
      <c r="C71" s="3" t="s">
        <v>1959</v>
      </c>
      <c r="D71" s="3" t="s">
        <v>1960</v>
      </c>
      <c r="E71" s="3" t="s">
        <v>1961</v>
      </c>
      <c r="F71" s="3" t="s">
        <v>1710</v>
      </c>
      <c r="G71" s="3">
        <v>1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 t="s">
        <v>1711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10</v>
      </c>
      <c r="U71" s="3">
        <v>16</v>
      </c>
      <c r="V71" s="3">
        <v>22</v>
      </c>
      <c r="W71" s="3"/>
      <c r="X71" s="3">
        <v>19.99</v>
      </c>
      <c r="Y71" s="3">
        <v>15.99</v>
      </c>
      <c r="Z71" s="3">
        <v>15.99</v>
      </c>
      <c r="AA71" s="3">
        <v>0</v>
      </c>
      <c r="AB71" s="3" t="s">
        <v>1713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5.17647058823529</v>
      </c>
      <c r="AI71" s="3" t="s">
        <v>1962</v>
      </c>
      <c r="AJ71" s="3" t="s">
        <v>1715</v>
      </c>
    </row>
    <row r="72" spans="1:36">
      <c r="A72" s="4">
        <v>43277</v>
      </c>
      <c r="B72" s="3" t="s">
        <v>1963</v>
      </c>
      <c r="C72" s="3" t="s">
        <v>1964</v>
      </c>
      <c r="D72" s="3" t="s">
        <v>1965</v>
      </c>
      <c r="E72" s="3" t="s">
        <v>1966</v>
      </c>
      <c r="F72" s="3" t="s">
        <v>1710</v>
      </c>
      <c r="G72" s="3">
        <v>5</v>
      </c>
      <c r="H72" s="3">
        <v>0</v>
      </c>
      <c r="I72" s="3">
        <v>5</v>
      </c>
      <c r="J72" s="3">
        <v>0</v>
      </c>
      <c r="K72" s="3">
        <v>0</v>
      </c>
      <c r="L72" s="3">
        <v>0</v>
      </c>
      <c r="M72" s="3">
        <v>0</v>
      </c>
      <c r="N72" s="3" t="s">
        <v>1711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1712</v>
      </c>
      <c r="X72" s="3">
        <v>15.99</v>
      </c>
      <c r="Y72" s="3">
        <v>15.99</v>
      </c>
      <c r="Z72" s="3">
        <v>15.99</v>
      </c>
      <c r="AA72" s="3">
        <v>0</v>
      </c>
      <c r="AB72" s="3" t="s">
        <v>1713</v>
      </c>
      <c r="AC72" s="3">
        <v>5</v>
      </c>
      <c r="AD72" s="3">
        <v>15.99</v>
      </c>
      <c r="AE72" s="3">
        <v>0</v>
      </c>
      <c r="AF72" s="3">
        <v>0</v>
      </c>
      <c r="AG72" s="3">
        <v>0</v>
      </c>
      <c r="AH72" s="3">
        <v>0</v>
      </c>
      <c r="AI72" s="3" t="s">
        <v>1905</v>
      </c>
      <c r="AJ72" s="3" t="s">
        <v>1715</v>
      </c>
    </row>
    <row r="73" spans="1:36">
      <c r="A73" s="4">
        <v>43277</v>
      </c>
      <c r="B73" s="3" t="s">
        <v>1967</v>
      </c>
      <c r="C73" s="3" t="s">
        <v>1968</v>
      </c>
      <c r="D73" s="3" t="s">
        <v>1969</v>
      </c>
      <c r="E73" s="3" t="s">
        <v>1970</v>
      </c>
      <c r="F73" s="3" t="s">
        <v>1710</v>
      </c>
      <c r="G73" s="3">
        <v>5</v>
      </c>
      <c r="H73" s="3">
        <v>0</v>
      </c>
      <c r="I73" s="3">
        <v>0</v>
      </c>
      <c r="J73" s="3">
        <v>0</v>
      </c>
      <c r="K73" s="3">
        <v>5</v>
      </c>
      <c r="L73" s="3">
        <v>0</v>
      </c>
      <c r="M73" s="3">
        <v>0</v>
      </c>
      <c r="N73" s="3" t="s">
        <v>1711</v>
      </c>
      <c r="O73" s="3">
        <v>5</v>
      </c>
      <c r="P73" s="3">
        <v>6.84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1720</v>
      </c>
      <c r="X73" s="3">
        <v>16.99</v>
      </c>
      <c r="Y73" s="3">
        <v>16.99</v>
      </c>
      <c r="Z73" s="3">
        <v>16.99</v>
      </c>
      <c r="AA73" s="3">
        <v>0</v>
      </c>
      <c r="AB73" s="3" t="s">
        <v>1721</v>
      </c>
      <c r="AC73" s="3">
        <v>0</v>
      </c>
      <c r="AD73" s="3">
        <v>14.18</v>
      </c>
      <c r="AE73" s="3">
        <v>231</v>
      </c>
      <c r="AF73" s="3">
        <v>0</v>
      </c>
      <c r="AG73" s="3">
        <v>106.730061</v>
      </c>
      <c r="AH73" s="3">
        <v>0</v>
      </c>
      <c r="AI73" s="3" t="s">
        <v>1851</v>
      </c>
      <c r="AJ73" s="3" t="s">
        <v>1715</v>
      </c>
    </row>
    <row r="74" spans="1:36">
      <c r="A74" s="4">
        <v>43277</v>
      </c>
      <c r="B74" s="3" t="s">
        <v>471</v>
      </c>
      <c r="C74" s="3" t="s">
        <v>472</v>
      </c>
      <c r="D74" s="3" t="s">
        <v>473</v>
      </c>
      <c r="E74" s="3" t="s">
        <v>474</v>
      </c>
      <c r="F74" s="3" t="s">
        <v>1710</v>
      </c>
      <c r="G74" s="3">
        <v>75</v>
      </c>
      <c r="H74" s="3">
        <v>0</v>
      </c>
      <c r="I74" s="3">
        <v>75</v>
      </c>
      <c r="J74" s="3">
        <v>0</v>
      </c>
      <c r="K74" s="3">
        <v>0</v>
      </c>
      <c r="L74" s="3">
        <v>0</v>
      </c>
      <c r="M74" s="3">
        <v>0</v>
      </c>
      <c r="N74" s="3" t="s">
        <v>1711</v>
      </c>
      <c r="O74" s="3">
        <v>0</v>
      </c>
      <c r="P74" s="3">
        <v>0</v>
      </c>
      <c r="Q74" s="3">
        <v>0</v>
      </c>
      <c r="R74" s="3">
        <v>0</v>
      </c>
      <c r="S74" s="3">
        <v>7</v>
      </c>
      <c r="T74" s="3">
        <v>31</v>
      </c>
      <c r="U74" s="3">
        <v>65</v>
      </c>
      <c r="V74" s="3">
        <v>123</v>
      </c>
      <c r="W74" s="3"/>
      <c r="X74" s="3">
        <v>48.58</v>
      </c>
      <c r="Y74" s="3">
        <v>28.99</v>
      </c>
      <c r="Z74" s="3">
        <v>28</v>
      </c>
      <c r="AA74" s="3">
        <v>0</v>
      </c>
      <c r="AB74" s="3" t="s">
        <v>1713</v>
      </c>
      <c r="AC74" s="3">
        <v>52</v>
      </c>
      <c r="AD74" s="3">
        <v>28.99</v>
      </c>
      <c r="AE74" s="3">
        <v>0</v>
      </c>
      <c r="AF74" s="3">
        <v>0</v>
      </c>
      <c r="AG74" s="3">
        <v>0</v>
      </c>
      <c r="AH74" s="3">
        <v>1.7956204379562</v>
      </c>
      <c r="AI74" s="3" t="s">
        <v>1800</v>
      </c>
      <c r="AJ74" s="3" t="s">
        <v>1715</v>
      </c>
    </row>
    <row r="75" spans="1:36">
      <c r="A75" s="4">
        <v>43277</v>
      </c>
      <c r="B75" s="3" t="s">
        <v>1971</v>
      </c>
      <c r="C75" s="3" t="s">
        <v>1972</v>
      </c>
      <c r="D75" s="3" t="s">
        <v>1973</v>
      </c>
      <c r="E75" s="3" t="s">
        <v>1974</v>
      </c>
      <c r="F75" s="3" t="s">
        <v>1710</v>
      </c>
      <c r="G75" s="3">
        <v>1</v>
      </c>
      <c r="H75" s="3">
        <v>0</v>
      </c>
      <c r="I75" s="3">
        <v>0</v>
      </c>
      <c r="J75" s="3">
        <v>1</v>
      </c>
      <c r="K75" s="3">
        <v>0</v>
      </c>
      <c r="L75" s="3">
        <v>0</v>
      </c>
      <c r="M75" s="3">
        <v>0</v>
      </c>
      <c r="N75" s="3" t="s">
        <v>1711</v>
      </c>
      <c r="O75" s="3">
        <v>1</v>
      </c>
      <c r="P75" s="3">
        <v>0.01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1720</v>
      </c>
      <c r="X75" s="3">
        <v>19.99</v>
      </c>
      <c r="Y75" s="3">
        <v>19.99</v>
      </c>
      <c r="Z75" s="3">
        <v>19.99</v>
      </c>
      <c r="AA75" s="3">
        <v>0</v>
      </c>
      <c r="AB75" s="3" t="s">
        <v>1721</v>
      </c>
      <c r="AC75" s="3">
        <v>1</v>
      </c>
      <c r="AD75" s="3">
        <v>19.99</v>
      </c>
      <c r="AE75" s="3">
        <v>0</v>
      </c>
      <c r="AF75" s="3">
        <v>0</v>
      </c>
      <c r="AG75" s="3">
        <v>0</v>
      </c>
      <c r="AH75" s="3">
        <v>0</v>
      </c>
      <c r="AI75" s="3" t="s">
        <v>1782</v>
      </c>
      <c r="AJ75" s="3" t="s">
        <v>1783</v>
      </c>
    </row>
    <row r="76" spans="1:36">
      <c r="A76" s="4">
        <v>43277</v>
      </c>
      <c r="B76" s="3" t="s">
        <v>1975</v>
      </c>
      <c r="C76" s="3" t="s">
        <v>1976</v>
      </c>
      <c r="D76" s="3" t="s">
        <v>1977</v>
      </c>
      <c r="E76" s="3" t="s">
        <v>1978</v>
      </c>
      <c r="F76" s="3" t="s">
        <v>1710</v>
      </c>
      <c r="G76" s="3">
        <v>16</v>
      </c>
      <c r="H76" s="3">
        <v>0</v>
      </c>
      <c r="I76" s="3">
        <v>16</v>
      </c>
      <c r="J76" s="3">
        <v>0</v>
      </c>
      <c r="K76" s="3">
        <v>0</v>
      </c>
      <c r="L76" s="3">
        <v>0</v>
      </c>
      <c r="M76" s="3">
        <v>0</v>
      </c>
      <c r="N76" s="3" t="s">
        <v>1711</v>
      </c>
      <c r="O76" s="3">
        <v>0</v>
      </c>
      <c r="P76" s="3">
        <v>0</v>
      </c>
      <c r="Q76" s="3">
        <v>0</v>
      </c>
      <c r="R76" s="3">
        <v>0</v>
      </c>
      <c r="S76" s="3">
        <v>3</v>
      </c>
      <c r="T76" s="3">
        <v>13</v>
      </c>
      <c r="U76" s="3">
        <v>25</v>
      </c>
      <c r="V76" s="3">
        <v>30</v>
      </c>
      <c r="W76" s="3"/>
      <c r="X76" s="3">
        <v>18.99</v>
      </c>
      <c r="Y76" s="3">
        <v>18.99</v>
      </c>
      <c r="Z76" s="3">
        <v>18.99</v>
      </c>
      <c r="AA76" s="3">
        <v>0</v>
      </c>
      <c r="AB76" s="3" t="s">
        <v>1713</v>
      </c>
      <c r="AC76" s="3">
        <v>18</v>
      </c>
      <c r="AD76" s="3">
        <v>18.99</v>
      </c>
      <c r="AE76" s="3">
        <v>0</v>
      </c>
      <c r="AF76" s="3">
        <v>0</v>
      </c>
      <c r="AG76" s="3">
        <v>0</v>
      </c>
      <c r="AH76" s="3">
        <v>1.51898734177215</v>
      </c>
      <c r="AI76" s="3" t="s">
        <v>1794</v>
      </c>
      <c r="AJ76" s="3" t="s">
        <v>1715</v>
      </c>
    </row>
    <row r="77" spans="1:36">
      <c r="A77" s="4">
        <v>43277</v>
      </c>
      <c r="B77" s="3" t="s">
        <v>1979</v>
      </c>
      <c r="C77" s="3" t="s">
        <v>1980</v>
      </c>
      <c r="D77" s="3" t="s">
        <v>1981</v>
      </c>
      <c r="E77" s="3" t="s">
        <v>1820</v>
      </c>
      <c r="F77" s="3" t="s">
        <v>1710</v>
      </c>
      <c r="G77" s="3">
        <v>10</v>
      </c>
      <c r="H77" s="3">
        <v>0</v>
      </c>
      <c r="I77" s="3">
        <v>10</v>
      </c>
      <c r="J77" s="3">
        <v>0</v>
      </c>
      <c r="K77" s="3">
        <v>0</v>
      </c>
      <c r="L77" s="3">
        <v>0</v>
      </c>
      <c r="M77" s="3">
        <v>0</v>
      </c>
      <c r="N77" s="3" t="s">
        <v>1711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1720</v>
      </c>
      <c r="X77" s="3">
        <v>17.99</v>
      </c>
      <c r="Y77" s="3">
        <v>17.99</v>
      </c>
      <c r="Z77" s="3">
        <v>17.99</v>
      </c>
      <c r="AA77" s="3">
        <v>0</v>
      </c>
      <c r="AB77" s="3" t="s">
        <v>1721</v>
      </c>
      <c r="AC77" s="3">
        <v>0</v>
      </c>
      <c r="AD77" s="3">
        <v>14.39</v>
      </c>
      <c r="AE77" s="3">
        <v>63</v>
      </c>
      <c r="AF77" s="3">
        <v>0</v>
      </c>
      <c r="AG77" s="3">
        <v>71.35884</v>
      </c>
      <c r="AH77" s="3">
        <v>0</v>
      </c>
      <c r="AI77" s="3" t="s">
        <v>1821</v>
      </c>
      <c r="AJ77" s="3" t="s">
        <v>1715</v>
      </c>
    </row>
    <row r="78" spans="1:36">
      <c r="A78" s="4">
        <v>43277</v>
      </c>
      <c r="B78" s="3" t="s">
        <v>1982</v>
      </c>
      <c r="C78" s="3" t="s">
        <v>1983</v>
      </c>
      <c r="D78" s="3" t="s">
        <v>1984</v>
      </c>
      <c r="E78" s="3" t="s">
        <v>1985</v>
      </c>
      <c r="F78" s="3" t="s">
        <v>1710</v>
      </c>
      <c r="G78" s="3">
        <v>3</v>
      </c>
      <c r="H78" s="3">
        <v>0</v>
      </c>
      <c r="I78" s="3">
        <v>0</v>
      </c>
      <c r="J78" s="3">
        <v>0</v>
      </c>
      <c r="K78" s="3">
        <v>3</v>
      </c>
      <c r="L78" s="3">
        <v>0</v>
      </c>
      <c r="M78" s="3">
        <v>0</v>
      </c>
      <c r="N78" s="3" t="s">
        <v>1711</v>
      </c>
      <c r="O78" s="3">
        <v>3</v>
      </c>
      <c r="P78" s="3">
        <v>5.99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 t="s">
        <v>1720</v>
      </c>
      <c r="X78" s="3">
        <v>18.99</v>
      </c>
      <c r="Y78" s="3">
        <v>18.99</v>
      </c>
      <c r="Z78" s="3">
        <v>18.99</v>
      </c>
      <c r="AA78" s="3">
        <v>0</v>
      </c>
      <c r="AB78" s="3" t="s">
        <v>1721</v>
      </c>
      <c r="AC78" s="3">
        <v>0</v>
      </c>
      <c r="AD78" s="3">
        <v>16.7</v>
      </c>
      <c r="AE78" s="3">
        <v>49</v>
      </c>
      <c r="AF78" s="3">
        <v>0</v>
      </c>
      <c r="AG78" s="3">
        <v>94.567482</v>
      </c>
      <c r="AH78" s="3">
        <v>0</v>
      </c>
      <c r="AI78" s="3" t="s">
        <v>1986</v>
      </c>
      <c r="AJ78" s="3" t="s">
        <v>1783</v>
      </c>
    </row>
    <row r="79" spans="1:36">
      <c r="A79" s="4">
        <v>43277</v>
      </c>
      <c r="B79" s="3" t="s">
        <v>1987</v>
      </c>
      <c r="C79" s="3" t="s">
        <v>1988</v>
      </c>
      <c r="D79" s="3" t="s">
        <v>1989</v>
      </c>
      <c r="E79" s="3" t="s">
        <v>1990</v>
      </c>
      <c r="F79" s="3" t="s">
        <v>1710</v>
      </c>
      <c r="G79" s="3">
        <v>65</v>
      </c>
      <c r="H79" s="3">
        <v>0</v>
      </c>
      <c r="I79" s="3">
        <v>2</v>
      </c>
      <c r="J79" s="3">
        <v>18</v>
      </c>
      <c r="K79" s="3">
        <v>45</v>
      </c>
      <c r="L79" s="3">
        <v>0</v>
      </c>
      <c r="M79" s="3">
        <v>0</v>
      </c>
      <c r="N79" s="3" t="s">
        <v>1711</v>
      </c>
      <c r="O79" s="3">
        <v>63</v>
      </c>
      <c r="P79" s="3">
        <v>287.91</v>
      </c>
      <c r="Q79" s="3">
        <v>0</v>
      </c>
      <c r="R79" s="3">
        <v>0</v>
      </c>
      <c r="S79" s="3">
        <v>1</v>
      </c>
      <c r="T79" s="3">
        <v>3</v>
      </c>
      <c r="U79" s="3">
        <v>12</v>
      </c>
      <c r="V79" s="3">
        <v>28</v>
      </c>
      <c r="W79" s="3" t="s">
        <v>1712</v>
      </c>
      <c r="X79" s="3">
        <v>18.96</v>
      </c>
      <c r="Y79" s="3">
        <v>18.99</v>
      </c>
      <c r="Z79" s="3">
        <v>18.99</v>
      </c>
      <c r="AA79" s="3">
        <v>0</v>
      </c>
      <c r="AB79" s="3" t="s">
        <v>1732</v>
      </c>
      <c r="AC79" s="3">
        <v>21</v>
      </c>
      <c r="AD79" s="3">
        <v>15.19</v>
      </c>
      <c r="AE79" s="3">
        <v>210</v>
      </c>
      <c r="AF79" s="3">
        <v>0</v>
      </c>
      <c r="AG79" s="3">
        <v>318.662455</v>
      </c>
      <c r="AH79" s="3">
        <v>0.30188679245283</v>
      </c>
      <c r="AI79" s="3" t="s">
        <v>1991</v>
      </c>
      <c r="AJ79" s="3" t="s">
        <v>1783</v>
      </c>
    </row>
    <row r="80" spans="1:36">
      <c r="A80" s="4">
        <v>43277</v>
      </c>
      <c r="B80" s="3" t="s">
        <v>1992</v>
      </c>
      <c r="C80" s="3" t="s">
        <v>1993</v>
      </c>
      <c r="D80" s="3" t="s">
        <v>1994</v>
      </c>
      <c r="E80" s="3" t="s">
        <v>1995</v>
      </c>
      <c r="F80" s="3" t="s">
        <v>1710</v>
      </c>
      <c r="G80" s="3">
        <v>9</v>
      </c>
      <c r="H80" s="3">
        <v>0</v>
      </c>
      <c r="I80" s="3">
        <v>0</v>
      </c>
      <c r="J80" s="3">
        <v>0</v>
      </c>
      <c r="K80" s="3">
        <v>9</v>
      </c>
      <c r="L80" s="3">
        <v>0</v>
      </c>
      <c r="M80" s="3">
        <v>0</v>
      </c>
      <c r="N80" s="3" t="s">
        <v>1711</v>
      </c>
      <c r="O80" s="3">
        <v>9</v>
      </c>
      <c r="P80" s="3">
        <v>10.91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1720</v>
      </c>
      <c r="X80" s="3">
        <v>17.99</v>
      </c>
      <c r="Y80" s="3">
        <v>17.99</v>
      </c>
      <c r="Z80" s="3">
        <v>17.99</v>
      </c>
      <c r="AA80" s="3">
        <v>0</v>
      </c>
      <c r="AB80" s="3" t="s">
        <v>1732</v>
      </c>
      <c r="AC80" s="3">
        <v>1</v>
      </c>
      <c r="AD80" s="3">
        <v>16.78</v>
      </c>
      <c r="AE80" s="3">
        <v>49</v>
      </c>
      <c r="AF80" s="3">
        <v>0</v>
      </c>
      <c r="AG80" s="3">
        <v>214.889995</v>
      </c>
      <c r="AH80" s="3">
        <v>0</v>
      </c>
      <c r="AI80" s="3" t="s">
        <v>1996</v>
      </c>
      <c r="AJ80" s="3" t="s">
        <v>1715</v>
      </c>
    </row>
    <row r="81" spans="1:36">
      <c r="A81" s="4">
        <v>43277</v>
      </c>
      <c r="B81" s="3" t="s">
        <v>747</v>
      </c>
      <c r="C81" s="3" t="s">
        <v>748</v>
      </c>
      <c r="D81" s="3" t="s">
        <v>749</v>
      </c>
      <c r="E81" s="3" t="s">
        <v>750</v>
      </c>
      <c r="F81" s="3" t="s">
        <v>1710</v>
      </c>
      <c r="G81" s="3">
        <v>49</v>
      </c>
      <c r="H81" s="3">
        <v>0</v>
      </c>
      <c r="I81" s="3">
        <v>49</v>
      </c>
      <c r="J81" s="3">
        <v>0</v>
      </c>
      <c r="K81" s="3">
        <v>0</v>
      </c>
      <c r="L81" s="3">
        <v>0</v>
      </c>
      <c r="M81" s="3">
        <v>0</v>
      </c>
      <c r="N81" s="3" t="s">
        <v>1711</v>
      </c>
      <c r="O81" s="3">
        <v>0</v>
      </c>
      <c r="P81" s="3">
        <v>0</v>
      </c>
      <c r="Q81" s="3">
        <v>0</v>
      </c>
      <c r="R81" s="3">
        <v>0</v>
      </c>
      <c r="S81" s="3">
        <v>5</v>
      </c>
      <c r="T81" s="3">
        <v>17</v>
      </c>
      <c r="U81" s="3">
        <v>33</v>
      </c>
      <c r="V81" s="3">
        <v>51</v>
      </c>
      <c r="W81" s="3"/>
      <c r="X81" s="3">
        <v>38</v>
      </c>
      <c r="Y81" s="3">
        <v>28.58</v>
      </c>
      <c r="Z81" s="3">
        <v>28</v>
      </c>
      <c r="AA81" s="3">
        <v>0</v>
      </c>
      <c r="AB81" s="3" t="s">
        <v>1713</v>
      </c>
      <c r="AC81" s="3">
        <v>19</v>
      </c>
      <c r="AD81" s="3">
        <v>28.58</v>
      </c>
      <c r="AE81" s="3">
        <v>0</v>
      </c>
      <c r="AF81" s="3">
        <v>0</v>
      </c>
      <c r="AG81" s="3">
        <v>0</v>
      </c>
      <c r="AH81" s="3">
        <v>2</v>
      </c>
      <c r="AI81" s="3" t="s">
        <v>1997</v>
      </c>
      <c r="AJ81" s="3" t="s">
        <v>1715</v>
      </c>
    </row>
    <row r="82" spans="1:36">
      <c r="A82" s="4">
        <v>43277</v>
      </c>
      <c r="B82" s="3" t="s">
        <v>1998</v>
      </c>
      <c r="C82" s="3" t="s">
        <v>1999</v>
      </c>
      <c r="D82" s="3" t="s">
        <v>2000</v>
      </c>
      <c r="E82" s="3" t="s">
        <v>2001</v>
      </c>
      <c r="F82" s="3" t="s">
        <v>1710</v>
      </c>
      <c r="G82" s="3">
        <v>9</v>
      </c>
      <c r="H82" s="3">
        <v>0</v>
      </c>
      <c r="I82" s="3">
        <v>0</v>
      </c>
      <c r="J82" s="3">
        <v>0</v>
      </c>
      <c r="K82" s="3">
        <v>9</v>
      </c>
      <c r="L82" s="3">
        <v>0</v>
      </c>
      <c r="M82" s="3">
        <v>0</v>
      </c>
      <c r="N82" s="3" t="s">
        <v>1711</v>
      </c>
      <c r="O82" s="3">
        <v>9</v>
      </c>
      <c r="P82" s="3">
        <v>14.07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1720</v>
      </c>
      <c r="X82" s="3">
        <v>18.99</v>
      </c>
      <c r="Y82" s="3">
        <v>18.99</v>
      </c>
      <c r="Z82" s="3">
        <v>18.99</v>
      </c>
      <c r="AA82" s="3">
        <v>0</v>
      </c>
      <c r="AB82" s="3" t="s">
        <v>1732</v>
      </c>
      <c r="AC82" s="3">
        <v>1</v>
      </c>
      <c r="AD82" s="3">
        <v>17.48</v>
      </c>
      <c r="AE82" s="3">
        <v>49</v>
      </c>
      <c r="AF82" s="3">
        <v>0</v>
      </c>
      <c r="AG82" s="3">
        <v>255.859671</v>
      </c>
      <c r="AH82" s="3">
        <v>0</v>
      </c>
      <c r="AI82" s="3" t="s">
        <v>2002</v>
      </c>
      <c r="AJ82" s="3" t="s">
        <v>1715</v>
      </c>
    </row>
    <row r="83" spans="1:36">
      <c r="A83" s="4">
        <v>43277</v>
      </c>
      <c r="B83" s="3" t="s">
        <v>2003</v>
      </c>
      <c r="C83" s="3" t="s">
        <v>2004</v>
      </c>
      <c r="D83" s="3" t="s">
        <v>2005</v>
      </c>
      <c r="E83" s="3" t="s">
        <v>2006</v>
      </c>
      <c r="F83" s="3" t="s">
        <v>1710</v>
      </c>
      <c r="G83" s="3">
        <v>36</v>
      </c>
      <c r="H83" s="3">
        <v>0</v>
      </c>
      <c r="I83" s="3">
        <v>36</v>
      </c>
      <c r="J83" s="3">
        <v>0</v>
      </c>
      <c r="K83" s="3">
        <v>0</v>
      </c>
      <c r="L83" s="3">
        <v>0</v>
      </c>
      <c r="M83" s="3">
        <v>0</v>
      </c>
      <c r="N83" s="3" t="s">
        <v>1711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1</v>
      </c>
      <c r="W83" s="3"/>
      <c r="X83" s="3">
        <v>29.99</v>
      </c>
      <c r="Y83" s="3">
        <v>29.99</v>
      </c>
      <c r="Z83" s="3">
        <v>29.99</v>
      </c>
      <c r="AA83" s="3">
        <v>0</v>
      </c>
      <c r="AB83" s="3" t="s">
        <v>1713</v>
      </c>
      <c r="AC83" s="3">
        <v>15</v>
      </c>
      <c r="AD83" s="3">
        <v>29.99</v>
      </c>
      <c r="AE83" s="3">
        <v>0</v>
      </c>
      <c r="AF83" s="3">
        <v>0</v>
      </c>
      <c r="AG83" s="3">
        <v>0</v>
      </c>
      <c r="AH83" s="3">
        <v>0.0392156862745098</v>
      </c>
      <c r="AI83" s="3" t="s">
        <v>2007</v>
      </c>
      <c r="AJ83" s="3" t="s">
        <v>1715</v>
      </c>
    </row>
    <row r="84" spans="1:36">
      <c r="A84" s="4">
        <v>43277</v>
      </c>
      <c r="B84" s="3" t="s">
        <v>2008</v>
      </c>
      <c r="C84" s="3" t="s">
        <v>2009</v>
      </c>
      <c r="D84" s="3" t="s">
        <v>2010</v>
      </c>
      <c r="E84" s="3" t="s">
        <v>2011</v>
      </c>
      <c r="F84" s="3" t="s">
        <v>1710</v>
      </c>
      <c r="G84" s="3">
        <v>5</v>
      </c>
      <c r="H84" s="3">
        <v>0</v>
      </c>
      <c r="I84" s="3">
        <v>5</v>
      </c>
      <c r="J84" s="3">
        <v>0</v>
      </c>
      <c r="K84" s="3">
        <v>0</v>
      </c>
      <c r="L84" s="3">
        <v>0</v>
      </c>
      <c r="M84" s="3">
        <v>0</v>
      </c>
      <c r="N84" s="3" t="s">
        <v>1711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1712</v>
      </c>
      <c r="X84" s="3">
        <v>15.99</v>
      </c>
      <c r="Y84" s="3">
        <v>15.99</v>
      </c>
      <c r="Z84" s="3">
        <v>15.99</v>
      </c>
      <c r="AA84" s="3">
        <v>0</v>
      </c>
      <c r="AB84" s="3" t="s">
        <v>1713</v>
      </c>
      <c r="AC84" s="3">
        <v>5</v>
      </c>
      <c r="AD84" s="3">
        <v>15.99</v>
      </c>
      <c r="AE84" s="3">
        <v>0</v>
      </c>
      <c r="AF84" s="3">
        <v>0</v>
      </c>
      <c r="AG84" s="3">
        <v>0</v>
      </c>
      <c r="AH84" s="3">
        <v>0</v>
      </c>
      <c r="AI84" s="3" t="s">
        <v>1905</v>
      </c>
      <c r="AJ84" s="3" t="s">
        <v>1715</v>
      </c>
    </row>
    <row r="85" spans="1:36">
      <c r="A85" s="4">
        <v>43277</v>
      </c>
      <c r="B85" s="3" t="s">
        <v>2012</v>
      </c>
      <c r="C85" s="3" t="s">
        <v>2013</v>
      </c>
      <c r="D85" s="3" t="s">
        <v>2014</v>
      </c>
      <c r="E85" s="3" t="s">
        <v>2015</v>
      </c>
      <c r="F85" s="3" t="s">
        <v>1710</v>
      </c>
      <c r="G85" s="3">
        <v>18</v>
      </c>
      <c r="H85" s="3">
        <v>0</v>
      </c>
      <c r="I85" s="3">
        <v>18</v>
      </c>
      <c r="J85" s="3">
        <v>0</v>
      </c>
      <c r="K85" s="3">
        <v>0</v>
      </c>
      <c r="L85" s="3">
        <v>0</v>
      </c>
      <c r="M85" s="3">
        <v>0</v>
      </c>
      <c r="N85" s="3" t="s">
        <v>1711</v>
      </c>
      <c r="O85" s="3">
        <v>0</v>
      </c>
      <c r="P85" s="3">
        <v>0</v>
      </c>
      <c r="Q85" s="3">
        <v>0</v>
      </c>
      <c r="R85" s="3">
        <v>0</v>
      </c>
      <c r="S85" s="3">
        <v>1</v>
      </c>
      <c r="T85" s="3">
        <v>12</v>
      </c>
      <c r="U85" s="3">
        <v>15</v>
      </c>
      <c r="V85" s="3">
        <v>15</v>
      </c>
      <c r="W85" s="3"/>
      <c r="X85" s="3">
        <v>29.99</v>
      </c>
      <c r="Y85" s="3">
        <v>29.99</v>
      </c>
      <c r="Z85" s="3">
        <v>29.99</v>
      </c>
      <c r="AA85" s="3">
        <v>0</v>
      </c>
      <c r="AB85" s="3" t="s">
        <v>1713</v>
      </c>
      <c r="AC85" s="3">
        <v>2</v>
      </c>
      <c r="AD85" s="3">
        <v>29.99</v>
      </c>
      <c r="AE85" s="3">
        <v>0</v>
      </c>
      <c r="AF85" s="3">
        <v>0</v>
      </c>
      <c r="AG85" s="3">
        <v>0</v>
      </c>
      <c r="AH85" s="3">
        <v>0.967741935483871</v>
      </c>
      <c r="AI85" s="3" t="s">
        <v>2016</v>
      </c>
      <c r="AJ85" s="3" t="s">
        <v>1715</v>
      </c>
    </row>
    <row r="86" spans="1:36">
      <c r="A86" s="4">
        <v>43277</v>
      </c>
      <c r="B86" s="3" t="s">
        <v>56</v>
      </c>
      <c r="C86" s="3" t="s">
        <v>57</v>
      </c>
      <c r="D86" s="3" t="s">
        <v>58</v>
      </c>
      <c r="E86" s="3" t="s">
        <v>2017</v>
      </c>
      <c r="F86" s="3" t="s">
        <v>1710</v>
      </c>
      <c r="G86" s="3">
        <v>6</v>
      </c>
      <c r="H86" s="3">
        <v>0</v>
      </c>
      <c r="I86" s="3">
        <v>6</v>
      </c>
      <c r="J86" s="3">
        <v>0</v>
      </c>
      <c r="K86" s="3">
        <v>0</v>
      </c>
      <c r="L86" s="3">
        <v>0</v>
      </c>
      <c r="M86" s="3">
        <v>0</v>
      </c>
      <c r="N86" s="3" t="s">
        <v>1711</v>
      </c>
      <c r="O86" s="3">
        <v>0</v>
      </c>
      <c r="P86" s="3">
        <v>0</v>
      </c>
      <c r="Q86" s="3">
        <v>0</v>
      </c>
      <c r="R86" s="3">
        <v>0</v>
      </c>
      <c r="S86" s="3">
        <v>3</v>
      </c>
      <c r="T86" s="3">
        <v>10</v>
      </c>
      <c r="U86" s="3">
        <v>18</v>
      </c>
      <c r="V86" s="3">
        <v>24</v>
      </c>
      <c r="W86" s="3"/>
      <c r="X86" s="3">
        <v>28.99</v>
      </c>
      <c r="Y86" s="3">
        <v>15.99</v>
      </c>
      <c r="Z86" s="3">
        <v>15.55</v>
      </c>
      <c r="AA86" s="3">
        <v>0</v>
      </c>
      <c r="AB86" s="3" t="s">
        <v>1713</v>
      </c>
      <c r="AC86" s="3">
        <v>3</v>
      </c>
      <c r="AD86" s="3">
        <v>15.99</v>
      </c>
      <c r="AE86" s="3">
        <v>0</v>
      </c>
      <c r="AF86" s="3">
        <v>0</v>
      </c>
      <c r="AG86" s="3">
        <v>0</v>
      </c>
      <c r="AH86" s="3">
        <v>2.34146341463414</v>
      </c>
      <c r="AI86" s="3" t="s">
        <v>2018</v>
      </c>
      <c r="AJ86" s="3" t="s">
        <v>1715</v>
      </c>
    </row>
    <row r="87" spans="1:36">
      <c r="A87" s="4">
        <v>43277</v>
      </c>
      <c r="B87" s="3" t="s">
        <v>2019</v>
      </c>
      <c r="C87" s="3" t="s">
        <v>2020</v>
      </c>
      <c r="D87" s="3" t="s">
        <v>2021</v>
      </c>
      <c r="E87" s="3" t="s">
        <v>898</v>
      </c>
      <c r="F87" s="3" t="s">
        <v>1710</v>
      </c>
      <c r="G87" s="3">
        <v>10</v>
      </c>
      <c r="H87" s="3">
        <v>0</v>
      </c>
      <c r="I87" s="3">
        <v>10</v>
      </c>
      <c r="J87" s="3">
        <v>0</v>
      </c>
      <c r="K87" s="3">
        <v>0</v>
      </c>
      <c r="L87" s="3">
        <v>0</v>
      </c>
      <c r="M87" s="3">
        <v>0</v>
      </c>
      <c r="N87" s="3" t="s">
        <v>1711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1720</v>
      </c>
      <c r="X87" s="3">
        <v>15.99</v>
      </c>
      <c r="Y87" s="3">
        <v>15.99</v>
      </c>
      <c r="Z87" s="3">
        <v>15.99</v>
      </c>
      <c r="AA87" s="3">
        <v>0</v>
      </c>
      <c r="AB87" s="3" t="s">
        <v>1732</v>
      </c>
      <c r="AC87" s="3">
        <v>0</v>
      </c>
      <c r="AD87" s="3">
        <v>12.99</v>
      </c>
      <c r="AE87" s="3">
        <v>63</v>
      </c>
      <c r="AF87" s="3">
        <v>0</v>
      </c>
      <c r="AG87" s="3">
        <v>81.229254</v>
      </c>
      <c r="AH87" s="3">
        <v>0</v>
      </c>
      <c r="AI87" s="3" t="s">
        <v>2022</v>
      </c>
      <c r="AJ87" s="3" t="s">
        <v>1715</v>
      </c>
    </row>
    <row r="88" spans="1:36">
      <c r="A88" s="4">
        <v>43277</v>
      </c>
      <c r="B88" s="3" t="s">
        <v>2023</v>
      </c>
      <c r="C88" s="3" t="s">
        <v>2024</v>
      </c>
      <c r="D88" s="3" t="s">
        <v>2025</v>
      </c>
      <c r="E88" s="3" t="s">
        <v>2026</v>
      </c>
      <c r="F88" s="3" t="s">
        <v>1710</v>
      </c>
      <c r="G88" s="3">
        <v>29</v>
      </c>
      <c r="H88" s="3">
        <v>0</v>
      </c>
      <c r="I88" s="3">
        <v>29</v>
      </c>
      <c r="J88" s="3">
        <v>0</v>
      </c>
      <c r="K88" s="3">
        <v>0</v>
      </c>
      <c r="L88" s="3">
        <v>0</v>
      </c>
      <c r="M88" s="3">
        <v>0</v>
      </c>
      <c r="N88" s="3" t="s">
        <v>1711</v>
      </c>
      <c r="O88" s="3">
        <v>0</v>
      </c>
      <c r="P88" s="3">
        <v>0</v>
      </c>
      <c r="Q88" s="3">
        <v>0</v>
      </c>
      <c r="R88" s="3">
        <v>0</v>
      </c>
      <c r="S88" s="3">
        <v>1</v>
      </c>
      <c r="T88" s="3">
        <v>8</v>
      </c>
      <c r="U88" s="3">
        <v>9</v>
      </c>
      <c r="V88" s="3">
        <v>9</v>
      </c>
      <c r="W88" s="3"/>
      <c r="X88" s="3">
        <v>29.99</v>
      </c>
      <c r="Y88" s="3">
        <v>29.99</v>
      </c>
      <c r="Z88" s="3">
        <v>29.99</v>
      </c>
      <c r="AA88" s="3">
        <v>0</v>
      </c>
      <c r="AB88" s="3" t="s">
        <v>1713</v>
      </c>
      <c r="AC88" s="3">
        <v>8</v>
      </c>
      <c r="AD88" s="3">
        <v>29.99</v>
      </c>
      <c r="AE88" s="3">
        <v>0</v>
      </c>
      <c r="AF88" s="3">
        <v>0</v>
      </c>
      <c r="AG88" s="3">
        <v>0</v>
      </c>
      <c r="AH88" s="3">
        <v>0.41860465116279</v>
      </c>
      <c r="AI88" s="3" t="s">
        <v>2016</v>
      </c>
      <c r="AJ88" s="3" t="s">
        <v>1715</v>
      </c>
    </row>
    <row r="89" spans="1:36">
      <c r="A89" s="4">
        <v>43277</v>
      </c>
      <c r="B89" s="3" t="s">
        <v>2027</v>
      </c>
      <c r="C89" s="3" t="s">
        <v>2028</v>
      </c>
      <c r="D89" s="3" t="s">
        <v>2029</v>
      </c>
      <c r="E89" s="3" t="s">
        <v>2030</v>
      </c>
      <c r="F89" s="3" t="s">
        <v>1710</v>
      </c>
      <c r="G89" s="3">
        <v>1</v>
      </c>
      <c r="H89" s="3">
        <v>0</v>
      </c>
      <c r="I89" s="3">
        <v>0</v>
      </c>
      <c r="J89" s="3">
        <v>0</v>
      </c>
      <c r="K89" s="3">
        <v>1</v>
      </c>
      <c r="L89" s="3">
        <v>0</v>
      </c>
      <c r="M89" s="3">
        <v>0</v>
      </c>
      <c r="N89" s="3" t="s">
        <v>1711</v>
      </c>
      <c r="O89" s="3">
        <v>1</v>
      </c>
      <c r="P89" s="3">
        <v>0.23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1720</v>
      </c>
      <c r="X89" s="3">
        <v>14.99</v>
      </c>
      <c r="Y89" s="3">
        <v>14.99</v>
      </c>
      <c r="Z89" s="3">
        <v>14.99</v>
      </c>
      <c r="AA89" s="3">
        <v>0</v>
      </c>
      <c r="AB89" s="3" t="s">
        <v>1713</v>
      </c>
      <c r="AC89" s="3">
        <v>1</v>
      </c>
      <c r="AD89" s="3">
        <v>14.99</v>
      </c>
      <c r="AE89" s="3">
        <v>0</v>
      </c>
      <c r="AF89" s="3">
        <v>0</v>
      </c>
      <c r="AG89" s="3">
        <v>0</v>
      </c>
      <c r="AH89" s="3">
        <v>0</v>
      </c>
      <c r="AI89" s="3" t="s">
        <v>2031</v>
      </c>
      <c r="AJ89" s="3" t="s">
        <v>1715</v>
      </c>
    </row>
    <row r="90" spans="1:36">
      <c r="A90" s="4">
        <v>43277</v>
      </c>
      <c r="B90" s="3" t="s">
        <v>2032</v>
      </c>
      <c r="C90" s="3" t="s">
        <v>2033</v>
      </c>
      <c r="D90" s="3" t="s">
        <v>2034</v>
      </c>
      <c r="E90" s="3" t="s">
        <v>2035</v>
      </c>
      <c r="F90" s="3" t="s">
        <v>1710</v>
      </c>
      <c r="G90" s="3">
        <v>10</v>
      </c>
      <c r="H90" s="3">
        <v>0</v>
      </c>
      <c r="I90" s="3">
        <v>5</v>
      </c>
      <c r="J90" s="3">
        <v>2</v>
      </c>
      <c r="K90" s="3">
        <v>0</v>
      </c>
      <c r="L90" s="3">
        <v>0</v>
      </c>
      <c r="M90" s="3">
        <v>3</v>
      </c>
      <c r="N90" s="3" t="s">
        <v>1711</v>
      </c>
      <c r="O90" s="3">
        <v>1</v>
      </c>
      <c r="P90" s="3">
        <v>0.7</v>
      </c>
      <c r="Q90" s="3">
        <v>3</v>
      </c>
      <c r="R90" s="3">
        <v>4.22</v>
      </c>
      <c r="S90" s="3">
        <v>0</v>
      </c>
      <c r="T90" s="3">
        <v>2</v>
      </c>
      <c r="U90" s="3">
        <v>5</v>
      </c>
      <c r="V90" s="3">
        <v>7</v>
      </c>
      <c r="W90" s="3"/>
      <c r="X90" s="3">
        <v>15.99</v>
      </c>
      <c r="Y90" s="3">
        <v>15.99</v>
      </c>
      <c r="Z90" s="3">
        <v>15.55</v>
      </c>
      <c r="AA90" s="3">
        <v>0</v>
      </c>
      <c r="AB90" s="3" t="s">
        <v>1713</v>
      </c>
      <c r="AC90" s="3">
        <v>10</v>
      </c>
      <c r="AD90" s="3">
        <v>15.99</v>
      </c>
      <c r="AE90" s="3">
        <v>0</v>
      </c>
      <c r="AF90" s="3">
        <v>0</v>
      </c>
      <c r="AG90" s="3">
        <v>0</v>
      </c>
      <c r="AH90" s="3">
        <v>0.717948717948718</v>
      </c>
      <c r="AI90" s="3" t="s">
        <v>2036</v>
      </c>
      <c r="AJ90" s="3" t="s">
        <v>1715</v>
      </c>
    </row>
    <row r="91" spans="1:36">
      <c r="A91" s="4">
        <v>43277</v>
      </c>
      <c r="B91" s="3" t="s">
        <v>2037</v>
      </c>
      <c r="C91" s="3" t="s">
        <v>2038</v>
      </c>
      <c r="D91" s="3" t="s">
        <v>2039</v>
      </c>
      <c r="E91" s="3" t="s">
        <v>2040</v>
      </c>
      <c r="F91" s="3" t="s">
        <v>1710</v>
      </c>
      <c r="G91" s="3">
        <v>1</v>
      </c>
      <c r="H91" s="3">
        <v>0</v>
      </c>
      <c r="I91" s="3">
        <v>1</v>
      </c>
      <c r="J91" s="3">
        <v>0</v>
      </c>
      <c r="K91" s="3">
        <v>0</v>
      </c>
      <c r="L91" s="3">
        <v>0</v>
      </c>
      <c r="M91" s="3">
        <v>0</v>
      </c>
      <c r="N91" s="3" t="s">
        <v>1711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3</v>
      </c>
      <c r="V91" s="3">
        <v>3</v>
      </c>
      <c r="W91" s="3" t="s">
        <v>1712</v>
      </c>
      <c r="X91" s="3">
        <v>13.99</v>
      </c>
      <c r="Y91" s="3">
        <v>13.99</v>
      </c>
      <c r="Z91" s="3">
        <v>13.99</v>
      </c>
      <c r="AA91" s="3">
        <v>0</v>
      </c>
      <c r="AB91" s="3" t="s">
        <v>1713</v>
      </c>
      <c r="AC91" s="3">
        <v>1</v>
      </c>
      <c r="AD91" s="3">
        <v>13.99</v>
      </c>
      <c r="AE91" s="3">
        <v>0</v>
      </c>
      <c r="AF91" s="3">
        <v>0</v>
      </c>
      <c r="AG91" s="3">
        <v>0</v>
      </c>
      <c r="AH91" s="3">
        <v>9</v>
      </c>
      <c r="AI91" s="3" t="s">
        <v>1905</v>
      </c>
      <c r="AJ91" s="3" t="s">
        <v>1715</v>
      </c>
    </row>
    <row r="92" spans="1:36">
      <c r="A92" s="4">
        <v>43277</v>
      </c>
      <c r="B92" s="3" t="s">
        <v>2041</v>
      </c>
      <c r="C92" s="3" t="s">
        <v>2042</v>
      </c>
      <c r="D92" s="3" t="s">
        <v>2043</v>
      </c>
      <c r="E92" s="3" t="s">
        <v>2044</v>
      </c>
      <c r="F92" s="3" t="s">
        <v>1710</v>
      </c>
      <c r="G92" s="3">
        <v>10</v>
      </c>
      <c r="H92" s="3">
        <v>0</v>
      </c>
      <c r="I92" s="3">
        <v>0</v>
      </c>
      <c r="J92" s="3">
        <v>0</v>
      </c>
      <c r="K92" s="3">
        <v>10</v>
      </c>
      <c r="L92" s="3">
        <v>0</v>
      </c>
      <c r="M92" s="3">
        <v>0</v>
      </c>
      <c r="N92" s="3" t="s">
        <v>1711</v>
      </c>
      <c r="O92" s="3">
        <v>10</v>
      </c>
      <c r="P92" s="3">
        <v>15.63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1720</v>
      </c>
      <c r="X92" s="3">
        <v>18.99</v>
      </c>
      <c r="Y92" s="3">
        <v>18.99</v>
      </c>
      <c r="Z92" s="3">
        <v>18.99</v>
      </c>
      <c r="AA92" s="3">
        <v>0</v>
      </c>
      <c r="AB92" s="3" t="s">
        <v>1732</v>
      </c>
      <c r="AC92" s="3">
        <v>0</v>
      </c>
      <c r="AD92" s="3">
        <v>15.19</v>
      </c>
      <c r="AE92" s="3">
        <v>63</v>
      </c>
      <c r="AF92" s="3">
        <v>0</v>
      </c>
      <c r="AG92" s="3">
        <v>184.935405</v>
      </c>
      <c r="AH92" s="3">
        <v>0</v>
      </c>
      <c r="AI92" s="3" t="s">
        <v>2002</v>
      </c>
      <c r="AJ92" s="3" t="s">
        <v>1715</v>
      </c>
    </row>
    <row r="93" spans="1:36">
      <c r="A93" s="4">
        <v>43277</v>
      </c>
      <c r="B93" s="3" t="s">
        <v>2045</v>
      </c>
      <c r="C93" s="3" t="s">
        <v>2046</v>
      </c>
      <c r="D93" s="3" t="s">
        <v>2047</v>
      </c>
      <c r="E93" s="3" t="s">
        <v>2048</v>
      </c>
      <c r="F93" s="3" t="s">
        <v>1710</v>
      </c>
      <c r="G93" s="3">
        <v>3</v>
      </c>
      <c r="H93" s="3">
        <v>0</v>
      </c>
      <c r="I93" s="3">
        <v>0</v>
      </c>
      <c r="J93" s="3">
        <v>3</v>
      </c>
      <c r="K93" s="3">
        <v>0</v>
      </c>
      <c r="L93" s="3">
        <v>0</v>
      </c>
      <c r="M93" s="3">
        <v>0</v>
      </c>
      <c r="N93" s="3" t="s">
        <v>1711</v>
      </c>
      <c r="O93" s="3">
        <v>2</v>
      </c>
      <c r="P93" s="3">
        <v>2.71</v>
      </c>
      <c r="Q93" s="3">
        <v>0</v>
      </c>
      <c r="R93" s="3">
        <v>0</v>
      </c>
      <c r="S93" s="3">
        <v>0</v>
      </c>
      <c r="T93" s="3">
        <v>0</v>
      </c>
      <c r="U93" s="3">
        <v>1</v>
      </c>
      <c r="V93" s="3">
        <v>1</v>
      </c>
      <c r="W93" s="3" t="s">
        <v>1712</v>
      </c>
      <c r="X93" s="3">
        <v>16.96</v>
      </c>
      <c r="Y93" s="3">
        <v>16.99</v>
      </c>
      <c r="Z93" s="3">
        <v>16.99</v>
      </c>
      <c r="AA93" s="3">
        <v>0</v>
      </c>
      <c r="AB93" s="3" t="s">
        <v>1713</v>
      </c>
      <c r="AC93" s="3">
        <v>3</v>
      </c>
      <c r="AD93" s="3">
        <v>16.99</v>
      </c>
      <c r="AE93" s="3">
        <v>0</v>
      </c>
      <c r="AF93" s="3">
        <v>0</v>
      </c>
      <c r="AG93" s="3">
        <v>0</v>
      </c>
      <c r="AH93" s="3">
        <v>0.285714285714285</v>
      </c>
      <c r="AI93" s="3" t="s">
        <v>2049</v>
      </c>
      <c r="AJ93" s="3" t="s">
        <v>1783</v>
      </c>
    </row>
    <row r="94" spans="1:36">
      <c r="A94" s="4">
        <v>43277</v>
      </c>
      <c r="B94" s="3" t="s">
        <v>1577</v>
      </c>
      <c r="C94" s="3" t="s">
        <v>1578</v>
      </c>
      <c r="D94" s="3" t="s">
        <v>1579</v>
      </c>
      <c r="E94" s="3" t="s">
        <v>1580</v>
      </c>
      <c r="F94" s="3" t="s">
        <v>1710</v>
      </c>
      <c r="G94" s="3">
        <v>85</v>
      </c>
      <c r="H94" s="3">
        <v>0</v>
      </c>
      <c r="I94" s="3">
        <v>85</v>
      </c>
      <c r="J94" s="3">
        <v>0</v>
      </c>
      <c r="K94" s="3">
        <v>0</v>
      </c>
      <c r="L94" s="3">
        <v>0</v>
      </c>
      <c r="M94" s="3">
        <v>0</v>
      </c>
      <c r="N94" s="3" t="s">
        <v>1711</v>
      </c>
      <c r="O94" s="3">
        <v>0</v>
      </c>
      <c r="P94" s="3">
        <v>0</v>
      </c>
      <c r="Q94" s="3">
        <v>0</v>
      </c>
      <c r="R94" s="3">
        <v>0</v>
      </c>
      <c r="S94" s="3">
        <v>71</v>
      </c>
      <c r="T94" s="3">
        <v>370</v>
      </c>
      <c r="U94" s="3">
        <v>623</v>
      </c>
      <c r="V94" s="3">
        <v>837</v>
      </c>
      <c r="W94" s="3"/>
      <c r="X94" s="3">
        <v>40</v>
      </c>
      <c r="Y94" s="3">
        <v>29.99</v>
      </c>
      <c r="Z94" s="3">
        <v>28</v>
      </c>
      <c r="AA94" s="3">
        <v>0</v>
      </c>
      <c r="AB94" s="3" t="s">
        <v>1713</v>
      </c>
      <c r="AC94" s="3">
        <v>28</v>
      </c>
      <c r="AD94" s="3">
        <v>29.99</v>
      </c>
      <c r="AE94" s="3">
        <v>0</v>
      </c>
      <c r="AF94" s="3">
        <v>0</v>
      </c>
      <c r="AG94" s="3">
        <v>0</v>
      </c>
      <c r="AH94" s="3">
        <v>7.82242990654205</v>
      </c>
      <c r="AI94" s="3" t="s">
        <v>2050</v>
      </c>
      <c r="AJ94" s="3" t="s">
        <v>1715</v>
      </c>
    </row>
    <row r="95" spans="1:36">
      <c r="A95" s="4">
        <v>43277</v>
      </c>
      <c r="B95" s="3" t="s">
        <v>2051</v>
      </c>
      <c r="C95" s="3" t="s">
        <v>2052</v>
      </c>
      <c r="D95" s="3" t="s">
        <v>2053</v>
      </c>
      <c r="E95" s="3" t="s">
        <v>2054</v>
      </c>
      <c r="F95" s="3" t="s">
        <v>1710</v>
      </c>
      <c r="G95" s="3">
        <v>38</v>
      </c>
      <c r="H95" s="3">
        <v>0</v>
      </c>
      <c r="I95" s="3">
        <v>38</v>
      </c>
      <c r="J95" s="3">
        <v>0</v>
      </c>
      <c r="K95" s="3">
        <v>0</v>
      </c>
      <c r="L95" s="3">
        <v>0</v>
      </c>
      <c r="M95" s="3">
        <v>0</v>
      </c>
      <c r="N95" s="3" t="s">
        <v>1711</v>
      </c>
      <c r="O95" s="3">
        <v>0</v>
      </c>
      <c r="P95" s="3">
        <v>0</v>
      </c>
      <c r="Q95" s="3">
        <v>0</v>
      </c>
      <c r="R95" s="3">
        <v>0</v>
      </c>
      <c r="S95" s="3">
        <v>7</v>
      </c>
      <c r="T95" s="3">
        <v>27</v>
      </c>
      <c r="U95" s="3">
        <v>43</v>
      </c>
      <c r="V95" s="3">
        <v>61</v>
      </c>
      <c r="W95" s="3"/>
      <c r="X95" s="3">
        <v>38</v>
      </c>
      <c r="Y95" s="3">
        <v>28.58</v>
      </c>
      <c r="Z95" s="3">
        <v>28</v>
      </c>
      <c r="AA95" s="3">
        <v>0</v>
      </c>
      <c r="AB95" s="3" t="s">
        <v>1713</v>
      </c>
      <c r="AC95" s="3">
        <v>22</v>
      </c>
      <c r="AD95" s="3">
        <v>28.58</v>
      </c>
      <c r="AE95" s="3">
        <v>0</v>
      </c>
      <c r="AF95" s="3">
        <v>0</v>
      </c>
      <c r="AG95" s="3">
        <v>0</v>
      </c>
      <c r="AH95" s="3">
        <v>2.93975903614457</v>
      </c>
      <c r="AI95" s="3" t="s">
        <v>2055</v>
      </c>
      <c r="AJ95" s="3" t="s">
        <v>1715</v>
      </c>
    </row>
    <row r="96" spans="1:36">
      <c r="A96" s="4">
        <v>43277</v>
      </c>
      <c r="B96" s="3" t="s">
        <v>2056</v>
      </c>
      <c r="C96" s="3" t="s">
        <v>2057</v>
      </c>
      <c r="D96" s="3" t="s">
        <v>2058</v>
      </c>
      <c r="E96" s="3" t="s">
        <v>2059</v>
      </c>
      <c r="F96" s="3" t="s">
        <v>1710</v>
      </c>
      <c r="G96" s="3">
        <v>6</v>
      </c>
      <c r="H96" s="3">
        <v>0</v>
      </c>
      <c r="I96" s="3">
        <v>2</v>
      </c>
      <c r="J96" s="3">
        <v>0</v>
      </c>
      <c r="K96" s="3">
        <v>4</v>
      </c>
      <c r="L96" s="3">
        <v>0</v>
      </c>
      <c r="M96" s="3">
        <v>0</v>
      </c>
      <c r="N96" s="3" t="s">
        <v>1711</v>
      </c>
      <c r="O96" s="3">
        <v>4</v>
      </c>
      <c r="P96" s="3">
        <v>6.68</v>
      </c>
      <c r="Q96" s="3">
        <v>0</v>
      </c>
      <c r="R96" s="3">
        <v>0</v>
      </c>
      <c r="S96" s="3">
        <v>0</v>
      </c>
      <c r="T96" s="3">
        <v>0</v>
      </c>
      <c r="U96" s="3">
        <v>1</v>
      </c>
      <c r="V96" s="3">
        <v>5</v>
      </c>
      <c r="W96" s="3" t="s">
        <v>1720</v>
      </c>
      <c r="X96" s="3">
        <v>11.99</v>
      </c>
      <c r="Y96" s="3">
        <v>11.99</v>
      </c>
      <c r="Z96" s="3">
        <v>11.99</v>
      </c>
      <c r="AA96" s="3">
        <v>0</v>
      </c>
      <c r="AB96" s="3" t="s">
        <v>1721</v>
      </c>
      <c r="AC96" s="3">
        <v>0</v>
      </c>
      <c r="AD96" s="3">
        <v>10.14</v>
      </c>
      <c r="AE96" s="3">
        <v>154</v>
      </c>
      <c r="AF96" s="3">
        <v>0</v>
      </c>
      <c r="AG96" s="3">
        <v>121.296783</v>
      </c>
      <c r="AH96" s="3">
        <v>0.769230769230769</v>
      </c>
      <c r="AI96" s="3" t="s">
        <v>2060</v>
      </c>
      <c r="AJ96" s="3" t="s">
        <v>1783</v>
      </c>
    </row>
    <row r="97" spans="1:36">
      <c r="A97" s="4">
        <v>43277</v>
      </c>
      <c r="B97" s="3" t="s">
        <v>1126</v>
      </c>
      <c r="C97" s="3" t="s">
        <v>1127</v>
      </c>
      <c r="D97" s="3" t="s">
        <v>1128</v>
      </c>
      <c r="E97" s="3" t="s">
        <v>1121</v>
      </c>
      <c r="F97" s="3" t="s">
        <v>1710</v>
      </c>
      <c r="G97" s="3">
        <v>14</v>
      </c>
      <c r="H97" s="3">
        <v>0</v>
      </c>
      <c r="I97" s="3">
        <v>14</v>
      </c>
      <c r="J97" s="3">
        <v>0</v>
      </c>
      <c r="K97" s="3">
        <v>0</v>
      </c>
      <c r="L97" s="3">
        <v>0</v>
      </c>
      <c r="M97" s="3">
        <v>0</v>
      </c>
      <c r="N97" s="3" t="s">
        <v>1711</v>
      </c>
      <c r="O97" s="3">
        <v>0</v>
      </c>
      <c r="P97" s="3">
        <v>0</v>
      </c>
      <c r="Q97" s="3">
        <v>0</v>
      </c>
      <c r="R97" s="3">
        <v>0</v>
      </c>
      <c r="S97" s="3">
        <v>1</v>
      </c>
      <c r="T97" s="3">
        <v>12</v>
      </c>
      <c r="U97" s="3">
        <v>22</v>
      </c>
      <c r="V97" s="3">
        <v>22</v>
      </c>
      <c r="W97" s="3"/>
      <c r="X97" s="3">
        <v>21.99</v>
      </c>
      <c r="Y97" s="3">
        <v>21.99</v>
      </c>
      <c r="Z97" s="3">
        <v>21.99</v>
      </c>
      <c r="AA97" s="3">
        <v>0</v>
      </c>
      <c r="AB97" s="3" t="s">
        <v>1713</v>
      </c>
      <c r="AC97" s="3">
        <v>14</v>
      </c>
      <c r="AD97" s="3">
        <v>21.99</v>
      </c>
      <c r="AE97" s="3">
        <v>0</v>
      </c>
      <c r="AF97" s="3">
        <v>0</v>
      </c>
      <c r="AG97" s="3">
        <v>0</v>
      </c>
      <c r="AH97" s="3">
        <v>2.63999999999999</v>
      </c>
      <c r="AI97" s="3" t="s">
        <v>1890</v>
      </c>
      <c r="AJ97" s="3" t="s">
        <v>1715</v>
      </c>
    </row>
    <row r="98" spans="1:36">
      <c r="A98" s="4">
        <v>43277</v>
      </c>
      <c r="B98" s="3" t="s">
        <v>2061</v>
      </c>
      <c r="C98" s="3" t="s">
        <v>2062</v>
      </c>
      <c r="D98" s="3" t="s">
        <v>2063</v>
      </c>
      <c r="E98" s="3" t="s">
        <v>2064</v>
      </c>
      <c r="F98" s="3" t="s">
        <v>1710</v>
      </c>
      <c r="G98" s="3">
        <v>15</v>
      </c>
      <c r="H98" s="3">
        <v>0</v>
      </c>
      <c r="I98" s="3">
        <v>15</v>
      </c>
      <c r="J98" s="3">
        <v>0</v>
      </c>
      <c r="K98" s="3">
        <v>0</v>
      </c>
      <c r="L98" s="3">
        <v>0</v>
      </c>
      <c r="M98" s="3">
        <v>0</v>
      </c>
      <c r="N98" s="3" t="s">
        <v>1711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1712</v>
      </c>
      <c r="X98" s="3">
        <v>28.99</v>
      </c>
      <c r="Y98" s="3">
        <v>28.99</v>
      </c>
      <c r="Z98" s="3">
        <v>28.99</v>
      </c>
      <c r="AA98" s="3">
        <v>0</v>
      </c>
      <c r="AB98" s="3" t="s">
        <v>1713</v>
      </c>
      <c r="AC98" s="3">
        <v>15</v>
      </c>
      <c r="AD98" s="3">
        <v>28.99</v>
      </c>
      <c r="AE98" s="3">
        <v>0</v>
      </c>
      <c r="AF98" s="3">
        <v>0</v>
      </c>
      <c r="AG98" s="3">
        <v>0</v>
      </c>
      <c r="AH98" s="3">
        <v>0</v>
      </c>
      <c r="AI98" s="3" t="s">
        <v>2065</v>
      </c>
      <c r="AJ98" s="3" t="s">
        <v>1715</v>
      </c>
    </row>
    <row r="99" spans="1:36">
      <c r="A99" s="4">
        <v>43277</v>
      </c>
      <c r="B99" s="3" t="s">
        <v>2066</v>
      </c>
      <c r="C99" s="3" t="s">
        <v>2067</v>
      </c>
      <c r="D99" s="3" t="s">
        <v>2068</v>
      </c>
      <c r="E99" s="3" t="s">
        <v>2069</v>
      </c>
      <c r="F99" s="3" t="s">
        <v>1710</v>
      </c>
      <c r="G99" s="3">
        <v>9</v>
      </c>
      <c r="H99" s="3">
        <v>0</v>
      </c>
      <c r="I99" s="3">
        <v>0</v>
      </c>
      <c r="J99" s="3">
        <v>1</v>
      </c>
      <c r="K99" s="3">
        <v>8</v>
      </c>
      <c r="L99" s="3">
        <v>0</v>
      </c>
      <c r="M99" s="3">
        <v>0</v>
      </c>
      <c r="N99" s="3" t="s">
        <v>1711</v>
      </c>
      <c r="O99" s="3">
        <v>8</v>
      </c>
      <c r="P99" s="3">
        <v>24.63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2</v>
      </c>
      <c r="W99" s="3" t="s">
        <v>1720</v>
      </c>
      <c r="X99" s="3">
        <v>21.99</v>
      </c>
      <c r="Y99" s="3">
        <v>21.99</v>
      </c>
      <c r="Z99" s="3">
        <v>21.99</v>
      </c>
      <c r="AA99" s="3">
        <v>0</v>
      </c>
      <c r="AB99" s="3" t="s">
        <v>1721</v>
      </c>
      <c r="AC99" s="3">
        <v>1</v>
      </c>
      <c r="AD99" s="3">
        <v>18.96</v>
      </c>
      <c r="AE99" s="3">
        <v>63</v>
      </c>
      <c r="AF99" s="3">
        <v>0</v>
      </c>
      <c r="AG99" s="3">
        <v>401.65092</v>
      </c>
      <c r="AH99" s="3">
        <v>0.210526315789473</v>
      </c>
      <c r="AI99" s="3" t="s">
        <v>1722</v>
      </c>
      <c r="AJ99" s="3" t="s">
        <v>1715</v>
      </c>
    </row>
    <row r="100" spans="1:36">
      <c r="A100" s="4">
        <v>43277</v>
      </c>
      <c r="B100" s="3" t="s">
        <v>1161</v>
      </c>
      <c r="C100" s="3" t="s">
        <v>1162</v>
      </c>
      <c r="D100" s="3" t="s">
        <v>1163</v>
      </c>
      <c r="E100" s="3" t="s">
        <v>1121</v>
      </c>
      <c r="F100" s="3" t="s">
        <v>1710</v>
      </c>
      <c r="G100" s="3">
        <v>12</v>
      </c>
      <c r="H100" s="3">
        <v>0</v>
      </c>
      <c r="I100" s="3">
        <v>12</v>
      </c>
      <c r="J100" s="3">
        <v>0</v>
      </c>
      <c r="K100" s="3">
        <v>0</v>
      </c>
      <c r="L100" s="3">
        <v>0</v>
      </c>
      <c r="M100" s="3">
        <v>0</v>
      </c>
      <c r="N100" s="3" t="s">
        <v>1711</v>
      </c>
      <c r="O100" s="3">
        <v>0</v>
      </c>
      <c r="P100" s="3">
        <v>0</v>
      </c>
      <c r="Q100" s="3">
        <v>0</v>
      </c>
      <c r="R100" s="3">
        <v>0</v>
      </c>
      <c r="S100" s="3">
        <v>5</v>
      </c>
      <c r="T100" s="3">
        <v>12</v>
      </c>
      <c r="U100" s="3">
        <v>34</v>
      </c>
      <c r="V100" s="3">
        <v>34</v>
      </c>
      <c r="W100" s="3" t="s">
        <v>1712</v>
      </c>
      <c r="X100" s="3">
        <v>21.99</v>
      </c>
      <c r="Y100" s="3">
        <v>21.99</v>
      </c>
      <c r="Z100" s="3">
        <v>21.99</v>
      </c>
      <c r="AA100" s="3">
        <v>0</v>
      </c>
      <c r="AB100" s="3" t="s">
        <v>1713</v>
      </c>
      <c r="AC100" s="3">
        <v>11</v>
      </c>
      <c r="AD100" s="3">
        <v>21.99</v>
      </c>
      <c r="AE100" s="3">
        <v>0</v>
      </c>
      <c r="AF100" s="3">
        <v>0</v>
      </c>
      <c r="AG100" s="3">
        <v>0</v>
      </c>
      <c r="AH100" s="3">
        <v>7.28571428571428</v>
      </c>
      <c r="AI100" s="3" t="s">
        <v>2070</v>
      </c>
      <c r="AJ100" s="3" t="s">
        <v>1715</v>
      </c>
    </row>
    <row r="101" spans="1:36">
      <c r="A101" s="4">
        <v>43277</v>
      </c>
      <c r="B101" s="3" t="s">
        <v>1513</v>
      </c>
      <c r="C101" s="3" t="s">
        <v>1514</v>
      </c>
      <c r="D101" s="3" t="s">
        <v>1515</v>
      </c>
      <c r="E101" s="3" t="s">
        <v>1516</v>
      </c>
      <c r="F101" s="3" t="s">
        <v>1710</v>
      </c>
      <c r="G101" s="3">
        <v>18</v>
      </c>
      <c r="H101" s="3">
        <v>0</v>
      </c>
      <c r="I101" s="3">
        <v>18</v>
      </c>
      <c r="J101" s="3">
        <v>0</v>
      </c>
      <c r="K101" s="3">
        <v>0</v>
      </c>
      <c r="L101" s="3">
        <v>0</v>
      </c>
      <c r="M101" s="3">
        <v>0</v>
      </c>
      <c r="N101" s="3" t="s">
        <v>1711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16</v>
      </c>
      <c r="U101" s="3">
        <v>36</v>
      </c>
      <c r="V101" s="3">
        <v>58</v>
      </c>
      <c r="W101" s="3"/>
      <c r="X101" s="3">
        <v>38</v>
      </c>
      <c r="Y101" s="3">
        <v>26.99</v>
      </c>
      <c r="Z101" s="3">
        <v>26.99</v>
      </c>
      <c r="AA101" s="3">
        <v>0</v>
      </c>
      <c r="AB101" s="3" t="s">
        <v>1713</v>
      </c>
      <c r="AC101" s="3">
        <v>15</v>
      </c>
      <c r="AD101" s="3">
        <v>26.99</v>
      </c>
      <c r="AE101" s="3">
        <v>0</v>
      </c>
      <c r="AF101" s="3">
        <v>0</v>
      </c>
      <c r="AG101" s="3">
        <v>0</v>
      </c>
      <c r="AH101" s="3">
        <v>4.21818181818181</v>
      </c>
      <c r="AI101" s="3" t="s">
        <v>2071</v>
      </c>
      <c r="AJ101" s="3" t="s">
        <v>1715</v>
      </c>
    </row>
    <row r="102" spans="1:36">
      <c r="A102" s="4">
        <v>43277</v>
      </c>
      <c r="B102" s="3" t="s">
        <v>2072</v>
      </c>
      <c r="C102" s="3" t="s">
        <v>2073</v>
      </c>
      <c r="D102" s="3" t="s">
        <v>2074</v>
      </c>
      <c r="E102" s="3" t="s">
        <v>2075</v>
      </c>
      <c r="F102" s="3" t="s">
        <v>1710</v>
      </c>
      <c r="G102" s="3">
        <v>12</v>
      </c>
      <c r="H102" s="3">
        <v>0</v>
      </c>
      <c r="I102" s="3">
        <v>12</v>
      </c>
      <c r="J102" s="3">
        <v>0</v>
      </c>
      <c r="K102" s="3">
        <v>0</v>
      </c>
      <c r="L102" s="3">
        <v>0</v>
      </c>
      <c r="M102" s="3">
        <v>0</v>
      </c>
      <c r="N102" s="3" t="s">
        <v>1711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3</v>
      </c>
      <c r="U102" s="3">
        <v>3</v>
      </c>
      <c r="V102" s="3">
        <v>3</v>
      </c>
      <c r="W102" s="3"/>
      <c r="X102" s="3">
        <v>28.99</v>
      </c>
      <c r="Y102" s="3">
        <v>28.99</v>
      </c>
      <c r="Z102" s="3">
        <v>28.99</v>
      </c>
      <c r="AA102" s="3">
        <v>0</v>
      </c>
      <c r="AB102" s="3" t="s">
        <v>1713</v>
      </c>
      <c r="AC102" s="3">
        <v>12</v>
      </c>
      <c r="AD102" s="3">
        <v>28.99</v>
      </c>
      <c r="AE102" s="3">
        <v>0</v>
      </c>
      <c r="AF102" s="3">
        <v>0</v>
      </c>
      <c r="AG102" s="3">
        <v>0</v>
      </c>
      <c r="AH102" s="3">
        <v>0.25</v>
      </c>
      <c r="AI102" s="3" t="s">
        <v>2065</v>
      </c>
      <c r="AJ102" s="3" t="s">
        <v>1715</v>
      </c>
    </row>
    <row r="103" spans="1:36">
      <c r="A103" s="4">
        <v>43277</v>
      </c>
      <c r="B103" s="3" t="s">
        <v>288</v>
      </c>
      <c r="C103" s="3" t="s">
        <v>289</v>
      </c>
      <c r="D103" s="3" t="s">
        <v>290</v>
      </c>
      <c r="E103" s="3" t="s">
        <v>291</v>
      </c>
      <c r="F103" s="3" t="s">
        <v>1710</v>
      </c>
      <c r="G103" s="3">
        <v>17</v>
      </c>
      <c r="H103" s="3">
        <v>0</v>
      </c>
      <c r="I103" s="3">
        <v>17</v>
      </c>
      <c r="J103" s="3">
        <v>0</v>
      </c>
      <c r="K103" s="3">
        <v>0</v>
      </c>
      <c r="L103" s="3">
        <v>0</v>
      </c>
      <c r="M103" s="3">
        <v>0</v>
      </c>
      <c r="N103" s="3" t="s">
        <v>1711</v>
      </c>
      <c r="O103" s="3">
        <v>0</v>
      </c>
      <c r="P103" s="3">
        <v>0</v>
      </c>
      <c r="Q103" s="3">
        <v>0</v>
      </c>
      <c r="R103" s="3">
        <v>0</v>
      </c>
      <c r="S103" s="3">
        <v>8</v>
      </c>
      <c r="T103" s="3">
        <v>18</v>
      </c>
      <c r="U103" s="3">
        <v>61</v>
      </c>
      <c r="V103" s="3">
        <v>110</v>
      </c>
      <c r="W103" s="3"/>
      <c r="X103" s="3">
        <v>16.99</v>
      </c>
      <c r="Y103" s="3">
        <v>16.99</v>
      </c>
      <c r="Z103" s="3">
        <v>16.99</v>
      </c>
      <c r="AA103" s="3">
        <v>0</v>
      </c>
      <c r="AB103" s="3" t="s">
        <v>1713</v>
      </c>
      <c r="AC103" s="3">
        <v>19</v>
      </c>
      <c r="AD103" s="3">
        <v>16.99</v>
      </c>
      <c r="AE103" s="3">
        <v>0</v>
      </c>
      <c r="AF103" s="3">
        <v>0</v>
      </c>
      <c r="AG103" s="3">
        <v>0</v>
      </c>
      <c r="AH103" s="3">
        <v>1.38364779874213</v>
      </c>
      <c r="AI103" s="3" t="s">
        <v>2076</v>
      </c>
      <c r="AJ103" s="3" t="s">
        <v>1783</v>
      </c>
    </row>
    <row r="104" spans="1:36">
      <c r="A104" s="4">
        <v>43277</v>
      </c>
      <c r="B104" s="3" t="s">
        <v>1597</v>
      </c>
      <c r="C104" s="3" t="s">
        <v>1598</v>
      </c>
      <c r="D104" s="3" t="s">
        <v>1599</v>
      </c>
      <c r="E104" s="3" t="s">
        <v>1600</v>
      </c>
      <c r="F104" s="3" t="s">
        <v>1710</v>
      </c>
      <c r="G104" s="3">
        <v>49</v>
      </c>
      <c r="H104" s="3">
        <v>0</v>
      </c>
      <c r="I104" s="3">
        <v>49</v>
      </c>
      <c r="J104" s="3">
        <v>0</v>
      </c>
      <c r="K104" s="3">
        <v>0</v>
      </c>
      <c r="L104" s="3">
        <v>0</v>
      </c>
      <c r="M104" s="3">
        <v>0</v>
      </c>
      <c r="N104" s="3" t="s">
        <v>1711</v>
      </c>
      <c r="O104" s="3">
        <v>0</v>
      </c>
      <c r="P104" s="3">
        <v>0</v>
      </c>
      <c r="Q104" s="3">
        <v>0</v>
      </c>
      <c r="R104" s="3">
        <v>0</v>
      </c>
      <c r="S104" s="3">
        <v>9</v>
      </c>
      <c r="T104" s="3">
        <v>39</v>
      </c>
      <c r="U104" s="3">
        <v>59</v>
      </c>
      <c r="V104" s="3">
        <v>70</v>
      </c>
      <c r="W104" s="3"/>
      <c r="X104" s="3">
        <v>35.99</v>
      </c>
      <c r="Y104" s="3">
        <v>19.99</v>
      </c>
      <c r="Z104" s="3">
        <v>19.99</v>
      </c>
      <c r="AA104" s="3">
        <v>0</v>
      </c>
      <c r="AB104" s="3" t="s">
        <v>1713</v>
      </c>
      <c r="AC104" s="3">
        <v>10</v>
      </c>
      <c r="AD104" s="3">
        <v>19.99</v>
      </c>
      <c r="AE104" s="3">
        <v>0</v>
      </c>
      <c r="AF104" s="3">
        <v>0</v>
      </c>
      <c r="AG104" s="3">
        <v>0</v>
      </c>
      <c r="AH104" s="3">
        <v>6.36363636363636</v>
      </c>
      <c r="AI104" s="3" t="s">
        <v>1734</v>
      </c>
      <c r="AJ104" s="3" t="s">
        <v>1715</v>
      </c>
    </row>
    <row r="105" spans="1:36">
      <c r="A105" s="4">
        <v>43277</v>
      </c>
      <c r="B105" s="3" t="s">
        <v>2077</v>
      </c>
      <c r="C105" s="3" t="s">
        <v>2078</v>
      </c>
      <c r="D105" s="3" t="s">
        <v>2079</v>
      </c>
      <c r="E105" s="3" t="s">
        <v>2080</v>
      </c>
      <c r="F105" s="3" t="s">
        <v>1710</v>
      </c>
      <c r="G105" s="3">
        <v>4</v>
      </c>
      <c r="H105" s="3">
        <v>0</v>
      </c>
      <c r="I105" s="3">
        <v>4</v>
      </c>
      <c r="J105" s="3">
        <v>0</v>
      </c>
      <c r="K105" s="3">
        <v>0</v>
      </c>
      <c r="L105" s="3">
        <v>0</v>
      </c>
      <c r="M105" s="3">
        <v>0</v>
      </c>
      <c r="N105" s="3" t="s">
        <v>1711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1</v>
      </c>
      <c r="V105" s="3">
        <v>1</v>
      </c>
      <c r="W105" s="3" t="s">
        <v>1712</v>
      </c>
      <c r="X105" s="3">
        <v>15.99</v>
      </c>
      <c r="Y105" s="3">
        <v>15.99</v>
      </c>
      <c r="Z105" s="3">
        <v>15.99</v>
      </c>
      <c r="AA105" s="3">
        <v>0</v>
      </c>
      <c r="AB105" s="3" t="s">
        <v>1713</v>
      </c>
      <c r="AC105" s="3">
        <v>4</v>
      </c>
      <c r="AD105" s="3">
        <v>15.99</v>
      </c>
      <c r="AE105" s="3">
        <v>0</v>
      </c>
      <c r="AF105" s="3">
        <v>0</v>
      </c>
      <c r="AG105" s="3">
        <v>0</v>
      </c>
      <c r="AH105" s="3">
        <v>0.375</v>
      </c>
      <c r="AI105" s="3" t="s">
        <v>1905</v>
      </c>
      <c r="AJ105" s="3" t="s">
        <v>1715</v>
      </c>
    </row>
    <row r="106" spans="1:36">
      <c r="A106" s="4">
        <v>43277</v>
      </c>
      <c r="B106" s="3" t="s">
        <v>88</v>
      </c>
      <c r="C106" s="3" t="s">
        <v>89</v>
      </c>
      <c r="D106" s="3" t="s">
        <v>90</v>
      </c>
      <c r="E106" s="3" t="s">
        <v>2081</v>
      </c>
      <c r="F106" s="3" t="s">
        <v>1710</v>
      </c>
      <c r="G106" s="3">
        <v>18</v>
      </c>
      <c r="H106" s="3">
        <v>0</v>
      </c>
      <c r="I106" s="3">
        <v>18</v>
      </c>
      <c r="J106" s="3">
        <v>0</v>
      </c>
      <c r="K106" s="3">
        <v>0</v>
      </c>
      <c r="L106" s="3">
        <v>0</v>
      </c>
      <c r="M106" s="3">
        <v>0</v>
      </c>
      <c r="N106" s="3" t="s">
        <v>1711</v>
      </c>
      <c r="O106" s="3">
        <v>0</v>
      </c>
      <c r="P106" s="3">
        <v>0</v>
      </c>
      <c r="Q106" s="3">
        <v>0</v>
      </c>
      <c r="R106" s="3">
        <v>0</v>
      </c>
      <c r="S106" s="3">
        <v>1</v>
      </c>
      <c r="T106" s="3">
        <v>11</v>
      </c>
      <c r="U106" s="3">
        <v>18</v>
      </c>
      <c r="V106" s="3">
        <v>24</v>
      </c>
      <c r="W106" s="3"/>
      <c r="X106" s="3">
        <v>28.99</v>
      </c>
      <c r="Y106" s="3">
        <v>15.99</v>
      </c>
      <c r="Z106" s="3">
        <v>15.55</v>
      </c>
      <c r="AA106" s="3">
        <v>0</v>
      </c>
      <c r="AB106" s="3" t="s">
        <v>1713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3.55555555555555</v>
      </c>
      <c r="AI106" s="3" t="s">
        <v>2082</v>
      </c>
      <c r="AJ106" s="3" t="s">
        <v>1715</v>
      </c>
    </row>
    <row r="107" spans="1:36">
      <c r="A107" s="4">
        <v>43277</v>
      </c>
      <c r="B107" s="3" t="s">
        <v>2083</v>
      </c>
      <c r="C107" s="3" t="s">
        <v>2084</v>
      </c>
      <c r="D107" s="3" t="s">
        <v>2085</v>
      </c>
      <c r="E107" s="3" t="s">
        <v>2086</v>
      </c>
      <c r="F107" s="3" t="s">
        <v>1710</v>
      </c>
      <c r="G107" s="3">
        <v>14</v>
      </c>
      <c r="H107" s="3">
        <v>0</v>
      </c>
      <c r="I107" s="3">
        <v>14</v>
      </c>
      <c r="J107" s="3">
        <v>0</v>
      </c>
      <c r="K107" s="3">
        <v>0</v>
      </c>
      <c r="L107" s="3">
        <v>0</v>
      </c>
      <c r="M107" s="3">
        <v>0</v>
      </c>
      <c r="N107" s="3" t="s">
        <v>1711</v>
      </c>
      <c r="O107" s="3">
        <v>0</v>
      </c>
      <c r="P107" s="3">
        <v>0</v>
      </c>
      <c r="Q107" s="3">
        <v>0</v>
      </c>
      <c r="R107" s="3">
        <v>0</v>
      </c>
      <c r="S107" s="3">
        <v>1</v>
      </c>
      <c r="T107" s="3">
        <v>1</v>
      </c>
      <c r="U107" s="3">
        <v>1</v>
      </c>
      <c r="V107" s="3">
        <v>1</v>
      </c>
      <c r="W107" s="3"/>
      <c r="X107" s="3">
        <v>28.99</v>
      </c>
      <c r="Y107" s="3">
        <v>28.99</v>
      </c>
      <c r="Z107" s="3">
        <v>28.99</v>
      </c>
      <c r="AA107" s="3">
        <v>0</v>
      </c>
      <c r="AB107" s="3" t="s">
        <v>1713</v>
      </c>
      <c r="AC107" s="3">
        <v>15</v>
      </c>
      <c r="AD107" s="3">
        <v>28.99</v>
      </c>
      <c r="AE107" s="3">
        <v>0</v>
      </c>
      <c r="AF107" s="3">
        <v>0</v>
      </c>
      <c r="AG107" s="3">
        <v>0</v>
      </c>
      <c r="AH107" s="3">
        <v>0.0714285714285714</v>
      </c>
      <c r="AI107" s="3" t="s">
        <v>2065</v>
      </c>
      <c r="AJ107" s="3" t="s">
        <v>1715</v>
      </c>
    </row>
    <row r="108" spans="1:36">
      <c r="A108" s="4">
        <v>43277</v>
      </c>
      <c r="B108" s="3" t="s">
        <v>2087</v>
      </c>
      <c r="C108" s="3" t="s">
        <v>2088</v>
      </c>
      <c r="D108" s="3" t="s">
        <v>2089</v>
      </c>
      <c r="E108" s="3" t="s">
        <v>255</v>
      </c>
      <c r="F108" s="3" t="s">
        <v>1710</v>
      </c>
      <c r="G108" s="3">
        <v>3</v>
      </c>
      <c r="H108" s="3">
        <v>0</v>
      </c>
      <c r="I108" s="3">
        <v>0</v>
      </c>
      <c r="J108" s="3">
        <v>0</v>
      </c>
      <c r="K108" s="3">
        <v>3</v>
      </c>
      <c r="L108" s="3">
        <v>0</v>
      </c>
      <c r="M108" s="3">
        <v>0</v>
      </c>
      <c r="N108" s="3" t="s">
        <v>1711</v>
      </c>
      <c r="O108" s="3">
        <v>3</v>
      </c>
      <c r="P108" s="3">
        <v>10.88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1712</v>
      </c>
      <c r="X108" s="3">
        <v>29.99</v>
      </c>
      <c r="Y108" s="3">
        <v>29.99</v>
      </c>
      <c r="Z108" s="3">
        <v>28.99</v>
      </c>
      <c r="AA108" s="3">
        <v>0</v>
      </c>
      <c r="AB108" s="3" t="s">
        <v>1732</v>
      </c>
      <c r="AC108" s="3">
        <v>2</v>
      </c>
      <c r="AD108" s="3">
        <v>28.34</v>
      </c>
      <c r="AE108" s="3">
        <v>7</v>
      </c>
      <c r="AF108" s="3">
        <v>0</v>
      </c>
      <c r="AG108" s="3">
        <v>167.617931</v>
      </c>
      <c r="AH108" s="3">
        <v>0</v>
      </c>
      <c r="AI108" s="3" t="s">
        <v>1831</v>
      </c>
      <c r="AJ108" s="3" t="s">
        <v>1715</v>
      </c>
    </row>
    <row r="109" spans="1:36">
      <c r="A109" s="4">
        <v>43277</v>
      </c>
      <c r="B109" s="3" t="s">
        <v>2090</v>
      </c>
      <c r="C109" s="3" t="s">
        <v>2091</v>
      </c>
      <c r="D109" s="3" t="s">
        <v>2092</v>
      </c>
      <c r="E109" s="3" t="s">
        <v>2093</v>
      </c>
      <c r="F109" s="3" t="s">
        <v>1710</v>
      </c>
      <c r="G109" s="3">
        <v>12</v>
      </c>
      <c r="H109" s="3">
        <v>0</v>
      </c>
      <c r="I109" s="3">
        <v>12</v>
      </c>
      <c r="J109" s="3">
        <v>0</v>
      </c>
      <c r="K109" s="3">
        <v>0</v>
      </c>
      <c r="L109" s="3">
        <v>0</v>
      </c>
      <c r="M109" s="3">
        <v>0</v>
      </c>
      <c r="N109" s="3" t="s">
        <v>1711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1</v>
      </c>
      <c r="U109" s="3">
        <v>11</v>
      </c>
      <c r="V109" s="3">
        <v>23</v>
      </c>
      <c r="W109" s="3" t="s">
        <v>1712</v>
      </c>
      <c r="X109" s="3">
        <v>27.99</v>
      </c>
      <c r="Y109" s="3">
        <v>27.99</v>
      </c>
      <c r="Z109" s="3">
        <v>25.99</v>
      </c>
      <c r="AA109" s="3">
        <v>0</v>
      </c>
      <c r="AB109" s="3" t="s">
        <v>1713</v>
      </c>
      <c r="AC109" s="3">
        <v>12</v>
      </c>
      <c r="AD109" s="3">
        <v>27.99</v>
      </c>
      <c r="AE109" s="3">
        <v>0</v>
      </c>
      <c r="AF109" s="3">
        <v>0</v>
      </c>
      <c r="AG109" s="3">
        <v>0</v>
      </c>
      <c r="AH109" s="3">
        <v>1.87755102040816</v>
      </c>
      <c r="AI109" s="3" t="s">
        <v>2094</v>
      </c>
      <c r="AJ109" s="3" t="s">
        <v>1715</v>
      </c>
    </row>
    <row r="110" spans="1:36">
      <c r="A110" s="4">
        <v>43277</v>
      </c>
      <c r="B110" s="3" t="s">
        <v>2095</v>
      </c>
      <c r="C110" s="3" t="s">
        <v>2096</v>
      </c>
      <c r="D110" s="3" t="s">
        <v>2097</v>
      </c>
      <c r="E110" s="3" t="s">
        <v>2098</v>
      </c>
      <c r="F110" s="3" t="s">
        <v>1710</v>
      </c>
      <c r="G110" s="3">
        <v>6</v>
      </c>
      <c r="H110" s="3">
        <v>0</v>
      </c>
      <c r="I110" s="3">
        <v>0</v>
      </c>
      <c r="J110" s="3">
        <v>6</v>
      </c>
      <c r="K110" s="3">
        <v>0</v>
      </c>
      <c r="L110" s="3">
        <v>0</v>
      </c>
      <c r="M110" s="3">
        <v>0</v>
      </c>
      <c r="N110" s="3" t="s">
        <v>1711</v>
      </c>
      <c r="O110" s="3">
        <v>6</v>
      </c>
      <c r="P110" s="3">
        <v>28.44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2</v>
      </c>
      <c r="W110" s="3" t="s">
        <v>1720</v>
      </c>
      <c r="X110" s="3">
        <v>15.99</v>
      </c>
      <c r="Y110" s="3">
        <v>15.99</v>
      </c>
      <c r="Z110" s="3">
        <v>15.99</v>
      </c>
      <c r="AA110" s="3">
        <v>0</v>
      </c>
      <c r="AB110" s="3" t="s">
        <v>1721</v>
      </c>
      <c r="AC110" s="3">
        <v>0</v>
      </c>
      <c r="AD110" s="3">
        <v>13.3</v>
      </c>
      <c r="AE110" s="3">
        <v>49</v>
      </c>
      <c r="AF110" s="3">
        <v>0</v>
      </c>
      <c r="AG110" s="3">
        <v>365.083819</v>
      </c>
      <c r="AH110" s="3">
        <v>0.307692307692307</v>
      </c>
      <c r="AI110" s="3" t="s">
        <v>2099</v>
      </c>
      <c r="AJ110" s="3" t="s">
        <v>1783</v>
      </c>
    </row>
    <row r="111" spans="1:36">
      <c r="A111" s="4">
        <v>43277</v>
      </c>
      <c r="B111" s="3" t="s">
        <v>2100</v>
      </c>
      <c r="C111" s="3" t="s">
        <v>2101</v>
      </c>
      <c r="D111" s="3" t="s">
        <v>2102</v>
      </c>
      <c r="E111" s="3" t="s">
        <v>2103</v>
      </c>
      <c r="F111" s="3" t="s">
        <v>1710</v>
      </c>
      <c r="G111" s="3">
        <v>2</v>
      </c>
      <c r="H111" s="3">
        <v>0</v>
      </c>
      <c r="I111" s="3">
        <v>2</v>
      </c>
      <c r="J111" s="3">
        <v>0</v>
      </c>
      <c r="K111" s="3">
        <v>0</v>
      </c>
      <c r="L111" s="3">
        <v>0</v>
      </c>
      <c r="M111" s="3">
        <v>0</v>
      </c>
      <c r="N111" s="3" t="s">
        <v>1711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2</v>
      </c>
      <c r="V111" s="3">
        <v>4</v>
      </c>
      <c r="W111" s="3" t="s">
        <v>1712</v>
      </c>
      <c r="X111" s="3">
        <v>15.99</v>
      </c>
      <c r="Y111" s="3">
        <v>15.99</v>
      </c>
      <c r="Z111" s="3">
        <v>15.99</v>
      </c>
      <c r="AA111" s="3">
        <v>0</v>
      </c>
      <c r="AB111" s="3" t="s">
        <v>1713</v>
      </c>
      <c r="AC111" s="3">
        <v>3</v>
      </c>
      <c r="AD111" s="3">
        <v>15.99</v>
      </c>
      <c r="AE111" s="3">
        <v>0</v>
      </c>
      <c r="AF111" s="3">
        <v>0</v>
      </c>
      <c r="AG111" s="3">
        <v>0</v>
      </c>
      <c r="AH111" s="3">
        <v>2.28571428571428</v>
      </c>
      <c r="AI111" s="3" t="s">
        <v>2104</v>
      </c>
      <c r="AJ111" s="3" t="s">
        <v>1715</v>
      </c>
    </row>
    <row r="112" spans="1:36">
      <c r="A112" s="4">
        <v>43277</v>
      </c>
      <c r="B112" s="3" t="s">
        <v>2105</v>
      </c>
      <c r="C112" s="3" t="s">
        <v>2106</v>
      </c>
      <c r="D112" s="3" t="s">
        <v>2107</v>
      </c>
      <c r="E112" s="3" t="s">
        <v>2108</v>
      </c>
      <c r="F112" s="3" t="s">
        <v>1710</v>
      </c>
      <c r="G112" s="3">
        <v>7</v>
      </c>
      <c r="H112" s="3">
        <v>0</v>
      </c>
      <c r="I112" s="3">
        <v>0</v>
      </c>
      <c r="J112" s="3">
        <v>0</v>
      </c>
      <c r="K112" s="3">
        <v>7</v>
      </c>
      <c r="L112" s="3">
        <v>0</v>
      </c>
      <c r="M112" s="3">
        <v>0</v>
      </c>
      <c r="N112" s="3" t="s">
        <v>1711</v>
      </c>
      <c r="O112" s="3">
        <v>7</v>
      </c>
      <c r="P112" s="3">
        <v>18.81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1712</v>
      </c>
      <c r="X112" s="3">
        <v>15.99</v>
      </c>
      <c r="Y112" s="3">
        <v>15.99</v>
      </c>
      <c r="Z112" s="3">
        <v>15.99</v>
      </c>
      <c r="AA112" s="3">
        <v>0</v>
      </c>
      <c r="AB112" s="3" t="s">
        <v>1732</v>
      </c>
      <c r="AC112" s="3">
        <v>0</v>
      </c>
      <c r="AD112" s="3">
        <v>12.91</v>
      </c>
      <c r="AE112" s="3">
        <v>49</v>
      </c>
      <c r="AF112" s="3">
        <v>0</v>
      </c>
      <c r="AG112" s="3">
        <v>258.217959</v>
      </c>
      <c r="AH112" s="3">
        <v>0</v>
      </c>
      <c r="AI112" s="3" t="s">
        <v>2109</v>
      </c>
      <c r="AJ112" s="3" t="s">
        <v>1783</v>
      </c>
    </row>
    <row r="113" spans="1:36">
      <c r="A113" s="4">
        <v>43277</v>
      </c>
      <c r="B113" s="3" t="s">
        <v>503</v>
      </c>
      <c r="C113" s="3" t="s">
        <v>504</v>
      </c>
      <c r="D113" s="3" t="s">
        <v>505</v>
      </c>
      <c r="E113" s="3" t="s">
        <v>506</v>
      </c>
      <c r="F113" s="3" t="s">
        <v>1710</v>
      </c>
      <c r="G113" s="3">
        <v>24</v>
      </c>
      <c r="H113" s="3">
        <v>0</v>
      </c>
      <c r="I113" s="3">
        <v>24</v>
      </c>
      <c r="J113" s="3">
        <v>0</v>
      </c>
      <c r="K113" s="3">
        <v>0</v>
      </c>
      <c r="L113" s="3">
        <v>0</v>
      </c>
      <c r="M113" s="3">
        <v>0</v>
      </c>
      <c r="N113" s="3" t="s">
        <v>1711</v>
      </c>
      <c r="O113" s="3">
        <v>0</v>
      </c>
      <c r="P113" s="3">
        <v>0</v>
      </c>
      <c r="Q113" s="3">
        <v>0</v>
      </c>
      <c r="R113" s="3">
        <v>0</v>
      </c>
      <c r="S113" s="3">
        <v>5</v>
      </c>
      <c r="T113" s="3">
        <v>26</v>
      </c>
      <c r="U113" s="3">
        <v>42</v>
      </c>
      <c r="V113" s="3">
        <v>55</v>
      </c>
      <c r="W113" s="3"/>
      <c r="X113" s="3">
        <v>38</v>
      </c>
      <c r="Y113" s="3">
        <v>28.58</v>
      </c>
      <c r="Z113" s="3">
        <v>28</v>
      </c>
      <c r="AA113" s="3">
        <v>0</v>
      </c>
      <c r="AB113" s="3" t="s">
        <v>1713</v>
      </c>
      <c r="AC113" s="3">
        <v>23</v>
      </c>
      <c r="AD113" s="3">
        <v>28.58</v>
      </c>
      <c r="AE113" s="3">
        <v>0</v>
      </c>
      <c r="AF113" s="3">
        <v>0</v>
      </c>
      <c r="AG113" s="3">
        <v>0</v>
      </c>
      <c r="AH113" s="3">
        <v>1.98198198198198</v>
      </c>
      <c r="AI113" s="3" t="s">
        <v>2110</v>
      </c>
      <c r="AJ113" s="3" t="s">
        <v>1715</v>
      </c>
    </row>
    <row r="114" spans="1:36">
      <c r="A114" s="4">
        <v>43277</v>
      </c>
      <c r="B114" s="3" t="s">
        <v>2111</v>
      </c>
      <c r="C114" s="3" t="s">
        <v>2112</v>
      </c>
      <c r="D114" s="3" t="s">
        <v>2113</v>
      </c>
      <c r="E114" s="3" t="s">
        <v>2114</v>
      </c>
      <c r="F114" s="3" t="s">
        <v>1710</v>
      </c>
      <c r="G114" s="3">
        <v>4</v>
      </c>
      <c r="H114" s="3">
        <v>0</v>
      </c>
      <c r="I114" s="3">
        <v>0</v>
      </c>
      <c r="J114" s="3">
        <v>4</v>
      </c>
      <c r="K114" s="3">
        <v>0</v>
      </c>
      <c r="L114" s="3">
        <v>0</v>
      </c>
      <c r="M114" s="3">
        <v>0</v>
      </c>
      <c r="N114" s="3" t="s">
        <v>1711</v>
      </c>
      <c r="O114" s="3">
        <v>4</v>
      </c>
      <c r="P114" s="3">
        <v>12.31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1720</v>
      </c>
      <c r="X114" s="3">
        <v>21.99</v>
      </c>
      <c r="Y114" s="3">
        <v>21.99</v>
      </c>
      <c r="Z114" s="3">
        <v>21.99</v>
      </c>
      <c r="AA114" s="3">
        <v>0</v>
      </c>
      <c r="AB114" s="3" t="s">
        <v>1721</v>
      </c>
      <c r="AC114" s="3">
        <v>0</v>
      </c>
      <c r="AD114" s="3">
        <v>19.06</v>
      </c>
      <c r="AE114" s="3">
        <v>77</v>
      </c>
      <c r="AF114" s="3">
        <v>0</v>
      </c>
      <c r="AG114" s="3">
        <v>175.872326</v>
      </c>
      <c r="AH114" s="3">
        <v>0</v>
      </c>
      <c r="AI114" s="3" t="s">
        <v>1722</v>
      </c>
      <c r="AJ114" s="3" t="s">
        <v>1715</v>
      </c>
    </row>
    <row r="115" spans="1:36">
      <c r="A115" s="4">
        <v>43277</v>
      </c>
      <c r="B115" s="3" t="s">
        <v>2115</v>
      </c>
      <c r="C115" s="3" t="s">
        <v>2116</v>
      </c>
      <c r="D115" s="3" t="s">
        <v>2117</v>
      </c>
      <c r="E115" s="3" t="s">
        <v>2118</v>
      </c>
      <c r="F115" s="3" t="s">
        <v>1710</v>
      </c>
      <c r="G115" s="3">
        <v>4</v>
      </c>
      <c r="H115" s="3">
        <v>0</v>
      </c>
      <c r="I115" s="3">
        <v>0</v>
      </c>
      <c r="J115" s="3">
        <v>0</v>
      </c>
      <c r="K115" s="3">
        <v>4</v>
      </c>
      <c r="L115" s="3">
        <v>0</v>
      </c>
      <c r="M115" s="3">
        <v>0</v>
      </c>
      <c r="N115" s="3" t="s">
        <v>1711</v>
      </c>
      <c r="O115" s="3">
        <v>4</v>
      </c>
      <c r="P115" s="3">
        <v>0.03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1720</v>
      </c>
      <c r="X115" s="3">
        <v>19.99</v>
      </c>
      <c r="Y115" s="3">
        <v>19.99</v>
      </c>
      <c r="Z115" s="3">
        <v>19.99</v>
      </c>
      <c r="AA115" s="3">
        <v>0</v>
      </c>
      <c r="AB115" s="3" t="s">
        <v>1721</v>
      </c>
      <c r="AC115" s="3">
        <v>0</v>
      </c>
      <c r="AD115" s="3">
        <v>18.4</v>
      </c>
      <c r="AE115" s="3">
        <v>231</v>
      </c>
      <c r="AF115" s="3">
        <v>0</v>
      </c>
      <c r="AG115" s="3">
        <v>44.952688</v>
      </c>
      <c r="AH115" s="3">
        <v>0</v>
      </c>
      <c r="AI115" s="3" t="s">
        <v>1782</v>
      </c>
      <c r="AJ115" s="3" t="s">
        <v>1783</v>
      </c>
    </row>
    <row r="116" spans="1:36">
      <c r="A116" s="4">
        <v>43277</v>
      </c>
      <c r="B116" s="3" t="s">
        <v>379</v>
      </c>
      <c r="C116" s="3" t="s">
        <v>380</v>
      </c>
      <c r="D116" s="3" t="s">
        <v>381</v>
      </c>
      <c r="E116" s="3" t="s">
        <v>382</v>
      </c>
      <c r="F116" s="3" t="s">
        <v>1710</v>
      </c>
      <c r="G116" s="3">
        <v>112</v>
      </c>
      <c r="H116" s="3">
        <v>0</v>
      </c>
      <c r="I116" s="3">
        <v>112</v>
      </c>
      <c r="J116" s="3">
        <v>0</v>
      </c>
      <c r="K116" s="3">
        <v>0</v>
      </c>
      <c r="L116" s="3">
        <v>0</v>
      </c>
      <c r="M116" s="3">
        <v>0</v>
      </c>
      <c r="N116" s="3" t="s">
        <v>1711</v>
      </c>
      <c r="O116" s="3">
        <v>0</v>
      </c>
      <c r="P116" s="3">
        <v>0</v>
      </c>
      <c r="Q116" s="3">
        <v>0</v>
      </c>
      <c r="R116" s="3">
        <v>0</v>
      </c>
      <c r="S116" s="3">
        <v>25</v>
      </c>
      <c r="T116" s="3">
        <v>56</v>
      </c>
      <c r="U116" s="3">
        <v>99</v>
      </c>
      <c r="V116" s="3">
        <v>159</v>
      </c>
      <c r="W116" s="3"/>
      <c r="X116" s="3">
        <v>48.58</v>
      </c>
      <c r="Y116" s="3">
        <v>28.99</v>
      </c>
      <c r="Z116" s="3">
        <v>28.99</v>
      </c>
      <c r="AA116" s="3">
        <v>0</v>
      </c>
      <c r="AB116" s="3" t="s">
        <v>1713</v>
      </c>
      <c r="AC116" s="3">
        <v>102</v>
      </c>
      <c r="AD116" s="3">
        <v>28.99</v>
      </c>
      <c r="AE116" s="3">
        <v>0</v>
      </c>
      <c r="AF116" s="3">
        <v>0</v>
      </c>
      <c r="AG116" s="3">
        <v>0</v>
      </c>
      <c r="AH116" s="3">
        <v>1.77158774373259</v>
      </c>
      <c r="AI116" s="3" t="s">
        <v>1784</v>
      </c>
      <c r="AJ116" s="3" t="s">
        <v>1715</v>
      </c>
    </row>
    <row r="117" spans="1:36">
      <c r="A117" s="4">
        <v>43277</v>
      </c>
      <c r="B117" s="3" t="s">
        <v>2119</v>
      </c>
      <c r="C117" s="3" t="s">
        <v>2120</v>
      </c>
      <c r="D117" s="3" t="s">
        <v>2121</v>
      </c>
      <c r="E117" s="3" t="s">
        <v>1805</v>
      </c>
      <c r="F117" s="3" t="s">
        <v>1710</v>
      </c>
      <c r="G117" s="3">
        <v>1</v>
      </c>
      <c r="H117" s="3">
        <v>0</v>
      </c>
      <c r="I117" s="3">
        <v>1</v>
      </c>
      <c r="J117" s="3">
        <v>0</v>
      </c>
      <c r="K117" s="3">
        <v>0</v>
      </c>
      <c r="L117" s="3">
        <v>0</v>
      </c>
      <c r="M117" s="3">
        <v>0</v>
      </c>
      <c r="N117" s="3" t="s">
        <v>1711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2</v>
      </c>
      <c r="W117" s="3" t="s">
        <v>1720</v>
      </c>
      <c r="X117" s="3">
        <v>17.99</v>
      </c>
      <c r="Y117" s="3">
        <v>17.99</v>
      </c>
      <c r="Z117" s="3">
        <v>17.99</v>
      </c>
      <c r="AA117" s="3">
        <v>0</v>
      </c>
      <c r="AB117" s="3" t="s">
        <v>1721</v>
      </c>
      <c r="AC117" s="3">
        <v>0</v>
      </c>
      <c r="AD117" s="3">
        <v>16.92</v>
      </c>
      <c r="AE117" s="3">
        <v>42</v>
      </c>
      <c r="AF117" s="3">
        <v>0</v>
      </c>
      <c r="AG117" s="3">
        <v>30.745695</v>
      </c>
      <c r="AH117" s="3">
        <v>2</v>
      </c>
      <c r="AI117" s="3" t="s">
        <v>2122</v>
      </c>
      <c r="AJ117" s="3" t="s">
        <v>1715</v>
      </c>
    </row>
    <row r="118" spans="1:36">
      <c r="A118" s="4">
        <v>43277</v>
      </c>
      <c r="B118" s="3" t="s">
        <v>284</v>
      </c>
      <c r="C118" s="3" t="s">
        <v>285</v>
      </c>
      <c r="D118" s="3" t="s">
        <v>286</v>
      </c>
      <c r="E118" s="3" t="s">
        <v>287</v>
      </c>
      <c r="F118" s="3" t="s">
        <v>1710</v>
      </c>
      <c r="G118" s="3">
        <v>24</v>
      </c>
      <c r="H118" s="3">
        <v>0</v>
      </c>
      <c r="I118" s="3">
        <v>0</v>
      </c>
      <c r="J118" s="3">
        <v>2</v>
      </c>
      <c r="K118" s="3">
        <v>22</v>
      </c>
      <c r="L118" s="3">
        <v>0</v>
      </c>
      <c r="M118" s="3">
        <v>0</v>
      </c>
      <c r="N118" s="3" t="s">
        <v>1711</v>
      </c>
      <c r="O118" s="3">
        <v>24</v>
      </c>
      <c r="P118" s="3">
        <v>33.14</v>
      </c>
      <c r="Q118" s="3">
        <v>0</v>
      </c>
      <c r="R118" s="3">
        <v>0</v>
      </c>
      <c r="S118" s="3">
        <v>0</v>
      </c>
      <c r="T118" s="3">
        <v>1</v>
      </c>
      <c r="U118" s="3">
        <v>1</v>
      </c>
      <c r="V118" s="3">
        <v>1</v>
      </c>
      <c r="W118" s="3"/>
      <c r="X118" s="3">
        <v>16.99</v>
      </c>
      <c r="Y118" s="3">
        <v>16.99</v>
      </c>
      <c r="Z118" s="3">
        <v>16.99</v>
      </c>
      <c r="AA118" s="3">
        <v>0</v>
      </c>
      <c r="AB118" s="3" t="s">
        <v>1732</v>
      </c>
      <c r="AC118" s="3">
        <v>21</v>
      </c>
      <c r="AD118" s="3">
        <v>14.75</v>
      </c>
      <c r="AE118" s="3">
        <v>49</v>
      </c>
      <c r="AF118" s="3">
        <v>0</v>
      </c>
      <c r="AG118" s="3">
        <v>0.871409</v>
      </c>
      <c r="AH118" s="3">
        <v>0.0336134453781512</v>
      </c>
      <c r="AI118" s="3" t="s">
        <v>2123</v>
      </c>
      <c r="AJ118" s="3" t="s">
        <v>1715</v>
      </c>
    </row>
    <row r="119" spans="1:36">
      <c r="A119" s="4">
        <v>43277</v>
      </c>
      <c r="B119" s="3" t="s">
        <v>1655</v>
      </c>
      <c r="C119" s="3" t="s">
        <v>1656</v>
      </c>
      <c r="D119" s="3" t="s">
        <v>1657</v>
      </c>
      <c r="E119" s="3" t="s">
        <v>1658</v>
      </c>
      <c r="F119" s="3" t="s">
        <v>1710</v>
      </c>
      <c r="G119" s="3">
        <v>14</v>
      </c>
      <c r="H119" s="3">
        <v>0</v>
      </c>
      <c r="I119" s="3">
        <v>14</v>
      </c>
      <c r="J119" s="3">
        <v>0</v>
      </c>
      <c r="K119" s="3">
        <v>0</v>
      </c>
      <c r="L119" s="3">
        <v>0</v>
      </c>
      <c r="M119" s="3">
        <v>0</v>
      </c>
      <c r="N119" s="3" t="s">
        <v>1711</v>
      </c>
      <c r="O119" s="3">
        <v>0</v>
      </c>
      <c r="P119" s="3">
        <v>0</v>
      </c>
      <c r="Q119" s="3">
        <v>0</v>
      </c>
      <c r="R119" s="3">
        <v>0</v>
      </c>
      <c r="S119" s="3">
        <v>8</v>
      </c>
      <c r="T119" s="3">
        <v>15</v>
      </c>
      <c r="U119" s="3">
        <v>21</v>
      </c>
      <c r="V119" s="3">
        <v>25</v>
      </c>
      <c r="W119" s="3"/>
      <c r="X119" s="3">
        <v>35.99</v>
      </c>
      <c r="Y119" s="3">
        <v>22.99</v>
      </c>
      <c r="Z119" s="3">
        <v>22.99</v>
      </c>
      <c r="AA119" s="3">
        <v>0</v>
      </c>
      <c r="AB119" s="3" t="s">
        <v>1713</v>
      </c>
      <c r="AC119" s="3">
        <v>12</v>
      </c>
      <c r="AD119" s="3">
        <v>22.99</v>
      </c>
      <c r="AE119" s="3">
        <v>0</v>
      </c>
      <c r="AF119" s="3">
        <v>0</v>
      </c>
      <c r="AG119" s="3">
        <v>0</v>
      </c>
      <c r="AH119" s="3">
        <v>1.81818181818181</v>
      </c>
      <c r="AI119" s="3" t="s">
        <v>1734</v>
      </c>
      <c r="AJ119" s="3" t="s">
        <v>1715</v>
      </c>
    </row>
    <row r="120" spans="1:36">
      <c r="A120" s="4">
        <v>43277</v>
      </c>
      <c r="B120" s="3" t="s">
        <v>2124</v>
      </c>
      <c r="C120" s="3" t="s">
        <v>2125</v>
      </c>
      <c r="D120" s="3" t="s">
        <v>2126</v>
      </c>
      <c r="E120" s="3" t="s">
        <v>2127</v>
      </c>
      <c r="F120" s="3" t="s">
        <v>1710</v>
      </c>
      <c r="G120" s="3">
        <v>11</v>
      </c>
      <c r="H120" s="3">
        <v>0</v>
      </c>
      <c r="I120" s="3">
        <v>8</v>
      </c>
      <c r="J120" s="3">
        <v>3</v>
      </c>
      <c r="K120" s="3">
        <v>0</v>
      </c>
      <c r="L120" s="3">
        <v>0</v>
      </c>
      <c r="M120" s="3">
        <v>0</v>
      </c>
      <c r="N120" s="3" t="s">
        <v>1711</v>
      </c>
      <c r="O120" s="3">
        <v>0</v>
      </c>
      <c r="P120" s="3">
        <v>0</v>
      </c>
      <c r="Q120" s="3">
        <v>0</v>
      </c>
      <c r="R120" s="3">
        <v>0</v>
      </c>
      <c r="S120" s="3">
        <v>2</v>
      </c>
      <c r="T120" s="3">
        <v>6</v>
      </c>
      <c r="U120" s="3">
        <v>15</v>
      </c>
      <c r="V120" s="3">
        <v>17</v>
      </c>
      <c r="W120" s="3"/>
      <c r="X120" s="3">
        <v>38</v>
      </c>
      <c r="Y120" s="3">
        <v>28.58</v>
      </c>
      <c r="Z120" s="3">
        <v>28</v>
      </c>
      <c r="AA120" s="3">
        <v>0</v>
      </c>
      <c r="AB120" s="3" t="s">
        <v>1713</v>
      </c>
      <c r="AC120" s="3">
        <v>11</v>
      </c>
      <c r="AD120" s="3">
        <v>28.58</v>
      </c>
      <c r="AE120" s="3">
        <v>0</v>
      </c>
      <c r="AF120" s="3">
        <v>0</v>
      </c>
      <c r="AG120" s="3">
        <v>0</v>
      </c>
      <c r="AH120" s="3">
        <v>1.0625</v>
      </c>
      <c r="AI120" s="3" t="s">
        <v>2128</v>
      </c>
      <c r="AJ120" s="3" t="s">
        <v>1715</v>
      </c>
    </row>
    <row r="121" spans="1:36">
      <c r="A121" s="4">
        <v>43277</v>
      </c>
      <c r="B121" s="3" t="s">
        <v>2129</v>
      </c>
      <c r="C121" s="3" t="s">
        <v>2130</v>
      </c>
      <c r="D121" s="3" t="s">
        <v>2131</v>
      </c>
      <c r="E121" s="3" t="s">
        <v>2132</v>
      </c>
      <c r="F121" s="3" t="s">
        <v>1710</v>
      </c>
      <c r="G121" s="3">
        <v>2</v>
      </c>
      <c r="H121" s="3">
        <v>0</v>
      </c>
      <c r="I121" s="3">
        <v>2</v>
      </c>
      <c r="J121" s="3">
        <v>0</v>
      </c>
      <c r="K121" s="3">
        <v>0</v>
      </c>
      <c r="L121" s="3">
        <v>0</v>
      </c>
      <c r="M121" s="3">
        <v>0</v>
      </c>
      <c r="N121" s="3" t="s">
        <v>1711</v>
      </c>
      <c r="O121" s="3">
        <v>0</v>
      </c>
      <c r="P121" s="3">
        <v>0</v>
      </c>
      <c r="Q121" s="3">
        <v>0</v>
      </c>
      <c r="R121" s="3">
        <v>0</v>
      </c>
      <c r="S121" s="3">
        <v>8</v>
      </c>
      <c r="T121" s="3">
        <v>11</v>
      </c>
      <c r="U121" s="3">
        <v>11</v>
      </c>
      <c r="V121" s="3">
        <v>11</v>
      </c>
      <c r="W121" s="3"/>
      <c r="X121" s="3">
        <v>29.99</v>
      </c>
      <c r="Y121" s="3">
        <v>29.99</v>
      </c>
      <c r="Z121" s="3">
        <v>29.99</v>
      </c>
      <c r="AA121" s="3">
        <v>0</v>
      </c>
      <c r="AB121" s="3" t="s">
        <v>1713</v>
      </c>
      <c r="AC121" s="3">
        <v>8</v>
      </c>
      <c r="AD121" s="3">
        <v>29.99</v>
      </c>
      <c r="AE121" s="3">
        <v>0</v>
      </c>
      <c r="AF121" s="3">
        <v>0</v>
      </c>
      <c r="AG121" s="3">
        <v>0</v>
      </c>
      <c r="AH121" s="3">
        <v>1.22222222222222</v>
      </c>
      <c r="AI121" s="3" t="s">
        <v>2133</v>
      </c>
      <c r="AJ121" s="3" t="s">
        <v>1715</v>
      </c>
    </row>
    <row r="122" spans="1:36">
      <c r="A122" s="4">
        <v>43277</v>
      </c>
      <c r="B122" s="3" t="s">
        <v>2134</v>
      </c>
      <c r="C122" s="3" t="s">
        <v>2135</v>
      </c>
      <c r="D122" s="3" t="s">
        <v>2136</v>
      </c>
      <c r="E122" s="3" t="s">
        <v>2137</v>
      </c>
      <c r="F122" s="3" t="s">
        <v>1710</v>
      </c>
      <c r="G122" s="3">
        <v>5</v>
      </c>
      <c r="H122" s="3">
        <v>0</v>
      </c>
      <c r="I122" s="3">
        <v>0</v>
      </c>
      <c r="J122" s="3">
        <v>0</v>
      </c>
      <c r="K122" s="3">
        <v>0</v>
      </c>
      <c r="L122" s="3">
        <v>5</v>
      </c>
      <c r="M122" s="3">
        <v>0</v>
      </c>
      <c r="N122" s="3" t="s">
        <v>1711</v>
      </c>
      <c r="O122" s="3">
        <v>5</v>
      </c>
      <c r="P122" s="3">
        <v>0.03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1720</v>
      </c>
      <c r="X122" s="3">
        <v>15.88</v>
      </c>
      <c r="Y122" s="3">
        <v>15.88</v>
      </c>
      <c r="Z122" s="3">
        <v>15.88</v>
      </c>
      <c r="AA122" s="3">
        <v>0</v>
      </c>
      <c r="AB122" s="3" t="s">
        <v>1732</v>
      </c>
      <c r="AC122" s="3">
        <v>0</v>
      </c>
      <c r="AD122" s="3">
        <v>12.7</v>
      </c>
      <c r="AE122" s="3">
        <v>63</v>
      </c>
      <c r="AF122" s="3">
        <v>0</v>
      </c>
      <c r="AG122" s="3">
        <v>2.214202</v>
      </c>
      <c r="AH122" s="3">
        <v>0</v>
      </c>
      <c r="AI122" s="3" t="s">
        <v>1782</v>
      </c>
      <c r="AJ122" s="3" t="s">
        <v>1715</v>
      </c>
    </row>
    <row r="123" spans="1:36">
      <c r="A123" s="4">
        <v>43277</v>
      </c>
      <c r="B123" s="3" t="s">
        <v>2138</v>
      </c>
      <c r="C123" s="3" t="s">
        <v>2139</v>
      </c>
      <c r="D123" s="3" t="s">
        <v>2140</v>
      </c>
      <c r="E123" s="3" t="s">
        <v>2108</v>
      </c>
      <c r="F123" s="3" t="s">
        <v>1710</v>
      </c>
      <c r="G123" s="3">
        <v>6</v>
      </c>
      <c r="H123" s="3">
        <v>0</v>
      </c>
      <c r="I123" s="3">
        <v>0</v>
      </c>
      <c r="J123" s="3">
        <v>0</v>
      </c>
      <c r="K123" s="3">
        <v>6</v>
      </c>
      <c r="L123" s="3">
        <v>0</v>
      </c>
      <c r="M123" s="3">
        <v>0</v>
      </c>
      <c r="N123" s="3" t="s">
        <v>1711</v>
      </c>
      <c r="O123" s="3">
        <v>6</v>
      </c>
      <c r="P123" s="3">
        <v>16.13</v>
      </c>
      <c r="Q123" s="3">
        <v>0</v>
      </c>
      <c r="R123" s="3">
        <v>0</v>
      </c>
      <c r="S123" s="3">
        <v>0</v>
      </c>
      <c r="T123" s="3">
        <v>1</v>
      </c>
      <c r="U123" s="3">
        <v>1</v>
      </c>
      <c r="V123" s="3">
        <v>3</v>
      </c>
      <c r="W123" s="3"/>
      <c r="X123" s="3">
        <v>30</v>
      </c>
      <c r="Y123" s="3">
        <v>15.99</v>
      </c>
      <c r="Z123" s="3">
        <v>15.99</v>
      </c>
      <c r="AA123" s="3">
        <v>0</v>
      </c>
      <c r="AB123" s="3" t="s">
        <v>1732</v>
      </c>
      <c r="AC123" s="3">
        <v>0</v>
      </c>
      <c r="AD123" s="3">
        <v>13.44</v>
      </c>
      <c r="AE123" s="3">
        <v>119</v>
      </c>
      <c r="AF123" s="3">
        <v>0</v>
      </c>
      <c r="AG123" s="3">
        <v>196.640437</v>
      </c>
      <c r="AH123" s="3">
        <v>0.413793103448275</v>
      </c>
      <c r="AI123" s="3" t="s">
        <v>2109</v>
      </c>
      <c r="AJ123" s="3" t="s">
        <v>1783</v>
      </c>
    </row>
    <row r="124" spans="1:36">
      <c r="A124" s="4">
        <v>43277</v>
      </c>
      <c r="B124" s="3" t="s">
        <v>2141</v>
      </c>
      <c r="C124" s="3" t="s">
        <v>2142</v>
      </c>
      <c r="D124" s="3" t="s">
        <v>2143</v>
      </c>
      <c r="E124" s="3" t="s">
        <v>2144</v>
      </c>
      <c r="F124" s="3" t="s">
        <v>1710</v>
      </c>
      <c r="G124" s="3">
        <v>4</v>
      </c>
      <c r="H124" s="3">
        <v>0</v>
      </c>
      <c r="I124" s="3">
        <v>4</v>
      </c>
      <c r="J124" s="3">
        <v>0</v>
      </c>
      <c r="K124" s="3">
        <v>0</v>
      </c>
      <c r="L124" s="3">
        <v>0</v>
      </c>
      <c r="M124" s="3">
        <v>0</v>
      </c>
      <c r="N124" s="3" t="s">
        <v>1711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4</v>
      </c>
      <c r="U124" s="3">
        <v>5</v>
      </c>
      <c r="V124" s="3">
        <v>7</v>
      </c>
      <c r="W124" s="3"/>
      <c r="X124" s="3">
        <v>15.99</v>
      </c>
      <c r="Y124" s="3">
        <v>15.99</v>
      </c>
      <c r="Z124" s="3">
        <v>15.99</v>
      </c>
      <c r="AA124" s="3">
        <v>0</v>
      </c>
      <c r="AB124" s="3" t="s">
        <v>1713</v>
      </c>
      <c r="AC124" s="3">
        <v>4</v>
      </c>
      <c r="AD124" s="3">
        <v>15.99</v>
      </c>
      <c r="AE124" s="3">
        <v>0</v>
      </c>
      <c r="AF124" s="3">
        <v>0</v>
      </c>
      <c r="AG124" s="3">
        <v>0</v>
      </c>
      <c r="AH124" s="3">
        <v>1.33333333333333</v>
      </c>
      <c r="AI124" s="3" t="s">
        <v>1962</v>
      </c>
      <c r="AJ124" s="3" t="s">
        <v>1715</v>
      </c>
    </row>
    <row r="125" spans="1:36">
      <c r="A125" s="4">
        <v>43277</v>
      </c>
      <c r="B125" s="3" t="s">
        <v>2145</v>
      </c>
      <c r="C125" s="3" t="s">
        <v>2146</v>
      </c>
      <c r="D125" s="3" t="s">
        <v>2147</v>
      </c>
      <c r="E125" s="3" t="s">
        <v>2148</v>
      </c>
      <c r="F125" s="3" t="s">
        <v>1710</v>
      </c>
      <c r="G125" s="3">
        <v>1</v>
      </c>
      <c r="H125" s="3">
        <v>0</v>
      </c>
      <c r="I125" s="3">
        <v>0</v>
      </c>
      <c r="J125" s="3">
        <v>1</v>
      </c>
      <c r="K125" s="3">
        <v>0</v>
      </c>
      <c r="L125" s="3">
        <v>0</v>
      </c>
      <c r="M125" s="3">
        <v>0</v>
      </c>
      <c r="N125" s="3" t="s">
        <v>1711</v>
      </c>
      <c r="O125" s="3">
        <v>1</v>
      </c>
      <c r="P125" s="3">
        <v>1.79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2</v>
      </c>
      <c r="W125" s="3" t="s">
        <v>1720</v>
      </c>
      <c r="X125" s="3">
        <v>18.99</v>
      </c>
      <c r="Y125" s="3">
        <v>18.99</v>
      </c>
      <c r="Z125" s="3">
        <v>18.99</v>
      </c>
      <c r="AA125" s="3">
        <v>0</v>
      </c>
      <c r="AB125" s="3" t="s">
        <v>1721</v>
      </c>
      <c r="AC125" s="3">
        <v>1</v>
      </c>
      <c r="AD125" s="3">
        <v>18.99</v>
      </c>
      <c r="AE125" s="3">
        <v>0</v>
      </c>
      <c r="AF125" s="3">
        <v>0</v>
      </c>
      <c r="AG125" s="3">
        <v>0</v>
      </c>
      <c r="AH125" s="3">
        <v>1.33333333333333</v>
      </c>
      <c r="AI125" s="3" t="s">
        <v>2149</v>
      </c>
      <c r="AJ125" s="3" t="s">
        <v>1715</v>
      </c>
    </row>
    <row r="126" spans="1:36">
      <c r="A126" s="4">
        <v>43277</v>
      </c>
      <c r="B126" s="3" t="s">
        <v>527</v>
      </c>
      <c r="C126" s="3" t="s">
        <v>528</v>
      </c>
      <c r="D126" s="3" t="s">
        <v>529</v>
      </c>
      <c r="E126" s="3" t="s">
        <v>530</v>
      </c>
      <c r="F126" s="3" t="s">
        <v>1710</v>
      </c>
      <c r="G126" s="3">
        <v>20</v>
      </c>
      <c r="H126" s="3">
        <v>0</v>
      </c>
      <c r="I126" s="3">
        <v>20</v>
      </c>
      <c r="J126" s="3">
        <v>0</v>
      </c>
      <c r="K126" s="3">
        <v>0</v>
      </c>
      <c r="L126" s="3">
        <v>0</v>
      </c>
      <c r="M126" s="3">
        <v>0</v>
      </c>
      <c r="N126" s="3" t="s">
        <v>1711</v>
      </c>
      <c r="O126" s="3">
        <v>0</v>
      </c>
      <c r="P126" s="3">
        <v>0</v>
      </c>
      <c r="Q126" s="3">
        <v>0</v>
      </c>
      <c r="R126" s="3">
        <v>0</v>
      </c>
      <c r="S126" s="3">
        <v>5</v>
      </c>
      <c r="T126" s="3">
        <v>25</v>
      </c>
      <c r="U126" s="3">
        <v>42</v>
      </c>
      <c r="V126" s="3">
        <v>58</v>
      </c>
      <c r="W126" s="3"/>
      <c r="X126" s="3">
        <v>38</v>
      </c>
      <c r="Y126" s="3">
        <v>28.58</v>
      </c>
      <c r="Z126" s="3">
        <v>28</v>
      </c>
      <c r="AA126" s="3">
        <v>0</v>
      </c>
      <c r="AB126" s="3" t="s">
        <v>1713</v>
      </c>
      <c r="AC126" s="3">
        <v>14</v>
      </c>
      <c r="AD126" s="3">
        <v>28.58</v>
      </c>
      <c r="AE126" s="3">
        <v>0</v>
      </c>
      <c r="AF126" s="3">
        <v>0</v>
      </c>
      <c r="AG126" s="3">
        <v>0</v>
      </c>
      <c r="AH126" s="3">
        <v>3.31428571428571</v>
      </c>
      <c r="AI126" s="3" t="s">
        <v>2150</v>
      </c>
      <c r="AJ126" s="3" t="s">
        <v>1715</v>
      </c>
    </row>
    <row r="127" spans="1:36">
      <c r="A127" s="4">
        <v>43277</v>
      </c>
      <c r="B127" s="3" t="s">
        <v>2151</v>
      </c>
      <c r="C127" s="3" t="s">
        <v>2152</v>
      </c>
      <c r="D127" s="3" t="s">
        <v>2153</v>
      </c>
      <c r="E127" s="3" t="s">
        <v>2154</v>
      </c>
      <c r="F127" s="3" t="s">
        <v>1710</v>
      </c>
      <c r="G127" s="3">
        <v>5</v>
      </c>
      <c r="H127" s="3">
        <v>0</v>
      </c>
      <c r="I127" s="3">
        <v>5</v>
      </c>
      <c r="J127" s="3">
        <v>0</v>
      </c>
      <c r="K127" s="3">
        <v>0</v>
      </c>
      <c r="L127" s="3">
        <v>0</v>
      </c>
      <c r="M127" s="3">
        <v>0</v>
      </c>
      <c r="N127" s="3" t="s">
        <v>1711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4</v>
      </c>
      <c r="U127" s="3">
        <v>5</v>
      </c>
      <c r="V127" s="3">
        <v>5</v>
      </c>
      <c r="W127" s="3"/>
      <c r="X127" s="3">
        <v>19.99</v>
      </c>
      <c r="Y127" s="3">
        <v>19.99</v>
      </c>
      <c r="Z127" s="3">
        <v>19.99</v>
      </c>
      <c r="AA127" s="3">
        <v>0</v>
      </c>
      <c r="AB127" s="3" t="s">
        <v>1713</v>
      </c>
      <c r="AC127" s="3">
        <v>5</v>
      </c>
      <c r="AD127" s="3">
        <v>19.99</v>
      </c>
      <c r="AE127" s="3">
        <v>0</v>
      </c>
      <c r="AF127" s="3">
        <v>0</v>
      </c>
      <c r="AG127" s="3">
        <v>0</v>
      </c>
      <c r="AH127" s="3">
        <v>1</v>
      </c>
      <c r="AI127" s="3" t="s">
        <v>1775</v>
      </c>
      <c r="AJ127" s="3" t="s">
        <v>1715</v>
      </c>
    </row>
    <row r="128" spans="1:36">
      <c r="A128" s="4">
        <v>43277</v>
      </c>
      <c r="B128" s="3" t="s">
        <v>959</v>
      </c>
      <c r="C128" s="3" t="s">
        <v>960</v>
      </c>
      <c r="D128" s="3" t="s">
        <v>961</v>
      </c>
      <c r="E128" s="3" t="s">
        <v>962</v>
      </c>
      <c r="F128" s="3" t="s">
        <v>1710</v>
      </c>
      <c r="G128" s="3">
        <v>18</v>
      </c>
      <c r="H128" s="3">
        <v>0</v>
      </c>
      <c r="I128" s="3">
        <v>18</v>
      </c>
      <c r="J128" s="3">
        <v>0</v>
      </c>
      <c r="K128" s="3">
        <v>0</v>
      </c>
      <c r="L128" s="3">
        <v>0</v>
      </c>
      <c r="M128" s="3">
        <v>0</v>
      </c>
      <c r="N128" s="3" t="s">
        <v>1711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4</v>
      </c>
      <c r="U128" s="3">
        <v>6</v>
      </c>
      <c r="V128" s="3">
        <v>6</v>
      </c>
      <c r="W128" s="3" t="s">
        <v>1712</v>
      </c>
      <c r="X128" s="3">
        <v>15.99</v>
      </c>
      <c r="Y128" s="3">
        <v>15.99</v>
      </c>
      <c r="Z128" s="3">
        <v>15.99</v>
      </c>
      <c r="AA128" s="3">
        <v>0</v>
      </c>
      <c r="AB128" s="3" t="s">
        <v>1713</v>
      </c>
      <c r="AC128" s="3">
        <v>18</v>
      </c>
      <c r="AD128" s="3">
        <v>15.99</v>
      </c>
      <c r="AE128" s="3">
        <v>0</v>
      </c>
      <c r="AF128" s="3">
        <v>0</v>
      </c>
      <c r="AG128" s="3">
        <v>0</v>
      </c>
      <c r="AH128" s="3">
        <v>0.333333333333333</v>
      </c>
      <c r="AI128" s="3" t="s">
        <v>1739</v>
      </c>
      <c r="AJ128" s="3" t="s">
        <v>1715</v>
      </c>
    </row>
    <row r="129" spans="1:36">
      <c r="A129" s="4">
        <v>43277</v>
      </c>
      <c r="B129" s="3" t="s">
        <v>1141</v>
      </c>
      <c r="C129" s="3" t="s">
        <v>1142</v>
      </c>
      <c r="D129" s="3" t="s">
        <v>1143</v>
      </c>
      <c r="E129" s="3" t="s">
        <v>1136</v>
      </c>
      <c r="F129" s="3" t="s">
        <v>1710</v>
      </c>
      <c r="G129" s="3">
        <v>15</v>
      </c>
      <c r="H129" s="3">
        <v>0</v>
      </c>
      <c r="I129" s="3">
        <v>15</v>
      </c>
      <c r="J129" s="3">
        <v>0</v>
      </c>
      <c r="K129" s="3">
        <v>0</v>
      </c>
      <c r="L129" s="3">
        <v>0</v>
      </c>
      <c r="M129" s="3">
        <v>0</v>
      </c>
      <c r="N129" s="3" t="s">
        <v>1711</v>
      </c>
      <c r="O129" s="3">
        <v>0</v>
      </c>
      <c r="P129" s="3">
        <v>0</v>
      </c>
      <c r="Q129" s="3">
        <v>0</v>
      </c>
      <c r="R129" s="3">
        <v>0</v>
      </c>
      <c r="S129" s="3">
        <v>1</v>
      </c>
      <c r="T129" s="3">
        <v>5</v>
      </c>
      <c r="U129" s="3">
        <v>5</v>
      </c>
      <c r="V129" s="3">
        <v>5</v>
      </c>
      <c r="W129" s="3"/>
      <c r="X129" s="3">
        <v>21.99</v>
      </c>
      <c r="Y129" s="3">
        <v>21.99</v>
      </c>
      <c r="Z129" s="3">
        <v>21.99</v>
      </c>
      <c r="AA129" s="3">
        <v>0</v>
      </c>
      <c r="AB129" s="3" t="s">
        <v>1732</v>
      </c>
      <c r="AC129" s="3">
        <v>7</v>
      </c>
      <c r="AD129" s="3">
        <v>20.77</v>
      </c>
      <c r="AE129" s="3">
        <v>84</v>
      </c>
      <c r="AF129" s="3">
        <v>0</v>
      </c>
      <c r="AG129" s="3">
        <v>199.910226</v>
      </c>
      <c r="AH129" s="3">
        <v>0.333333333333333</v>
      </c>
      <c r="AI129" s="3" t="s">
        <v>2155</v>
      </c>
      <c r="AJ129" s="3" t="s">
        <v>1715</v>
      </c>
    </row>
    <row r="130" spans="1:36">
      <c r="A130" s="4">
        <v>43277</v>
      </c>
      <c r="B130" s="3" t="s">
        <v>2156</v>
      </c>
      <c r="C130" s="3" t="s">
        <v>2157</v>
      </c>
      <c r="D130" s="3" t="s">
        <v>2158</v>
      </c>
      <c r="E130" s="3" t="s">
        <v>2159</v>
      </c>
      <c r="F130" s="3" t="s">
        <v>1710</v>
      </c>
      <c r="G130" s="3">
        <v>5</v>
      </c>
      <c r="H130" s="3">
        <v>0</v>
      </c>
      <c r="I130" s="3">
        <v>5</v>
      </c>
      <c r="J130" s="3">
        <v>0</v>
      </c>
      <c r="K130" s="3">
        <v>0</v>
      </c>
      <c r="L130" s="3">
        <v>0</v>
      </c>
      <c r="M130" s="3">
        <v>0</v>
      </c>
      <c r="N130" s="3" t="s">
        <v>1711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1712</v>
      </c>
      <c r="X130" s="3">
        <v>15.99</v>
      </c>
      <c r="Y130" s="3">
        <v>15.99</v>
      </c>
      <c r="Z130" s="3">
        <v>15.99</v>
      </c>
      <c r="AA130" s="3">
        <v>0</v>
      </c>
      <c r="AB130" s="3" t="s">
        <v>1713</v>
      </c>
      <c r="AC130" s="3">
        <v>5</v>
      </c>
      <c r="AD130" s="3">
        <v>15.99</v>
      </c>
      <c r="AE130" s="3">
        <v>0</v>
      </c>
      <c r="AF130" s="3">
        <v>0</v>
      </c>
      <c r="AG130" s="3">
        <v>0</v>
      </c>
      <c r="AH130" s="3">
        <v>0</v>
      </c>
      <c r="AI130" s="3" t="s">
        <v>1905</v>
      </c>
      <c r="AJ130" s="3" t="s">
        <v>1715</v>
      </c>
    </row>
    <row r="131" spans="1:36">
      <c r="A131" s="4">
        <v>43277</v>
      </c>
      <c r="B131" s="3" t="s">
        <v>1662</v>
      </c>
      <c r="C131" s="3" t="s">
        <v>1663</v>
      </c>
      <c r="D131" s="3" t="s">
        <v>1664</v>
      </c>
      <c r="E131" s="3" t="s">
        <v>1665</v>
      </c>
      <c r="F131" s="3" t="s">
        <v>1710</v>
      </c>
      <c r="G131" s="3">
        <v>2</v>
      </c>
      <c r="H131" s="3">
        <v>0</v>
      </c>
      <c r="I131" s="3">
        <v>2</v>
      </c>
      <c r="J131" s="3">
        <v>0</v>
      </c>
      <c r="K131" s="3">
        <v>0</v>
      </c>
      <c r="L131" s="3">
        <v>0</v>
      </c>
      <c r="M131" s="3">
        <v>0</v>
      </c>
      <c r="N131" s="3" t="s">
        <v>1711</v>
      </c>
      <c r="O131" s="3">
        <v>0</v>
      </c>
      <c r="P131" s="3">
        <v>0</v>
      </c>
      <c r="Q131" s="3">
        <v>0</v>
      </c>
      <c r="R131" s="3">
        <v>0</v>
      </c>
      <c r="S131" s="3">
        <v>44</v>
      </c>
      <c r="T131" s="3">
        <v>306</v>
      </c>
      <c r="U131" s="3">
        <v>529</v>
      </c>
      <c r="V131" s="3">
        <v>729</v>
      </c>
      <c r="W131" s="3"/>
      <c r="X131" s="3">
        <v>40</v>
      </c>
      <c r="Y131" s="3">
        <v>29.99</v>
      </c>
      <c r="Z131" s="3">
        <v>29.99</v>
      </c>
      <c r="AA131" s="3">
        <v>0</v>
      </c>
      <c r="AB131" s="3" t="s">
        <v>1713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  <c r="AH131" s="3">
        <v>5.93890020366598</v>
      </c>
      <c r="AI131" s="3" t="s">
        <v>2160</v>
      </c>
      <c r="AJ131" s="3" t="s">
        <v>1715</v>
      </c>
    </row>
    <row r="132" spans="1:36">
      <c r="A132" s="4">
        <v>43277</v>
      </c>
      <c r="B132" s="3" t="s">
        <v>2161</v>
      </c>
      <c r="C132" s="3" t="s">
        <v>2162</v>
      </c>
      <c r="D132" s="3" t="s">
        <v>2163</v>
      </c>
      <c r="E132" s="3" t="s">
        <v>2164</v>
      </c>
      <c r="F132" s="3" t="s">
        <v>1710</v>
      </c>
      <c r="G132" s="3">
        <v>8</v>
      </c>
      <c r="H132" s="3">
        <v>0</v>
      </c>
      <c r="I132" s="3">
        <v>0</v>
      </c>
      <c r="J132" s="3">
        <v>2</v>
      </c>
      <c r="K132" s="3">
        <v>6</v>
      </c>
      <c r="L132" s="3">
        <v>0</v>
      </c>
      <c r="M132" s="3">
        <v>0</v>
      </c>
      <c r="N132" s="3" t="s">
        <v>1711</v>
      </c>
      <c r="O132" s="3">
        <v>7</v>
      </c>
      <c r="P132" s="3">
        <v>9.13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1720</v>
      </c>
      <c r="X132" s="3">
        <v>17.99</v>
      </c>
      <c r="Y132" s="3">
        <v>17.99</v>
      </c>
      <c r="Z132" s="3">
        <v>17.99</v>
      </c>
      <c r="AA132" s="3">
        <v>0</v>
      </c>
      <c r="AB132" s="3" t="s">
        <v>1721</v>
      </c>
      <c r="AC132" s="3">
        <v>0</v>
      </c>
      <c r="AD132" s="3">
        <v>16.16</v>
      </c>
      <c r="AE132" s="3">
        <v>119</v>
      </c>
      <c r="AF132" s="3">
        <v>0</v>
      </c>
      <c r="AG132" s="3">
        <v>186.741151</v>
      </c>
      <c r="AH132" s="3">
        <v>0</v>
      </c>
      <c r="AI132" s="3" t="s">
        <v>2165</v>
      </c>
      <c r="AJ132" s="3" t="s">
        <v>1715</v>
      </c>
    </row>
    <row r="133" spans="1:36">
      <c r="A133" s="4">
        <v>43277</v>
      </c>
      <c r="B133" s="3" t="s">
        <v>695</v>
      </c>
      <c r="C133" s="3" t="s">
        <v>696</v>
      </c>
      <c r="D133" s="3" t="s">
        <v>697</v>
      </c>
      <c r="E133" s="3" t="s">
        <v>698</v>
      </c>
      <c r="F133" s="3" t="s">
        <v>1710</v>
      </c>
      <c r="G133" s="3">
        <v>56</v>
      </c>
      <c r="H133" s="3">
        <v>0</v>
      </c>
      <c r="I133" s="3">
        <v>56</v>
      </c>
      <c r="J133" s="3">
        <v>0</v>
      </c>
      <c r="K133" s="3">
        <v>0</v>
      </c>
      <c r="L133" s="3">
        <v>0</v>
      </c>
      <c r="M133" s="3">
        <v>0</v>
      </c>
      <c r="N133" s="3" t="s">
        <v>1711</v>
      </c>
      <c r="O133" s="3">
        <v>0</v>
      </c>
      <c r="P133" s="3">
        <v>0</v>
      </c>
      <c r="Q133" s="3">
        <v>0</v>
      </c>
      <c r="R133" s="3">
        <v>0</v>
      </c>
      <c r="S133" s="3">
        <v>4</v>
      </c>
      <c r="T133" s="3">
        <v>26</v>
      </c>
      <c r="U133" s="3">
        <v>59</v>
      </c>
      <c r="V133" s="3">
        <v>77</v>
      </c>
      <c r="W133" s="3"/>
      <c r="X133" s="3">
        <v>38</v>
      </c>
      <c r="Y133" s="3">
        <v>28.58</v>
      </c>
      <c r="Z133" s="3">
        <v>28</v>
      </c>
      <c r="AA133" s="3">
        <v>0</v>
      </c>
      <c r="AB133" s="3" t="s">
        <v>1713</v>
      </c>
      <c r="AC133" s="3">
        <v>1</v>
      </c>
      <c r="AD133" s="3">
        <v>28.58</v>
      </c>
      <c r="AE133" s="3">
        <v>0</v>
      </c>
      <c r="AF133" s="3">
        <v>0</v>
      </c>
      <c r="AG133" s="3">
        <v>0</v>
      </c>
      <c r="AH133" s="3">
        <v>4.33802816901408</v>
      </c>
      <c r="AI133" s="3" t="s">
        <v>1751</v>
      </c>
      <c r="AJ133" s="3" t="s">
        <v>1715</v>
      </c>
    </row>
    <row r="134" spans="1:36">
      <c r="A134" s="4">
        <v>43277</v>
      </c>
      <c r="B134" s="3" t="s">
        <v>2166</v>
      </c>
      <c r="C134" s="3" t="s">
        <v>2167</v>
      </c>
      <c r="D134" s="3" t="s">
        <v>2168</v>
      </c>
      <c r="E134" s="3" t="s">
        <v>2169</v>
      </c>
      <c r="F134" s="3" t="s">
        <v>1710</v>
      </c>
      <c r="G134" s="3">
        <v>3</v>
      </c>
      <c r="H134" s="3">
        <v>0</v>
      </c>
      <c r="I134" s="3">
        <v>3</v>
      </c>
      <c r="J134" s="3">
        <v>0</v>
      </c>
      <c r="K134" s="3">
        <v>0</v>
      </c>
      <c r="L134" s="3">
        <v>0</v>
      </c>
      <c r="M134" s="3">
        <v>0</v>
      </c>
      <c r="N134" s="3" t="s">
        <v>1711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2</v>
      </c>
      <c r="V134" s="3">
        <v>2</v>
      </c>
      <c r="W134" s="3" t="s">
        <v>1712</v>
      </c>
      <c r="X134" s="3">
        <v>15.99</v>
      </c>
      <c r="Y134" s="3">
        <v>15.99</v>
      </c>
      <c r="Z134" s="3">
        <v>15.99</v>
      </c>
      <c r="AA134" s="3">
        <v>0</v>
      </c>
      <c r="AB134" s="3" t="s">
        <v>1713</v>
      </c>
      <c r="AC134" s="3">
        <v>3</v>
      </c>
      <c r="AD134" s="3">
        <v>15.99</v>
      </c>
      <c r="AE134" s="3">
        <v>0</v>
      </c>
      <c r="AF134" s="3">
        <v>0</v>
      </c>
      <c r="AG134" s="3">
        <v>0</v>
      </c>
      <c r="AH134" s="3">
        <v>1</v>
      </c>
      <c r="AI134" s="3" t="s">
        <v>1905</v>
      </c>
      <c r="AJ134" s="3" t="s">
        <v>1715</v>
      </c>
    </row>
    <row r="135" spans="1:36">
      <c r="A135" s="4">
        <v>43277</v>
      </c>
      <c r="B135" s="3" t="s">
        <v>2170</v>
      </c>
      <c r="C135" s="3" t="s">
        <v>2171</v>
      </c>
      <c r="D135" s="3" t="s">
        <v>2172</v>
      </c>
      <c r="E135" s="3" t="s">
        <v>2173</v>
      </c>
      <c r="F135" s="3" t="s">
        <v>1710</v>
      </c>
      <c r="G135" s="3">
        <v>5</v>
      </c>
      <c r="H135" s="3">
        <v>0</v>
      </c>
      <c r="I135" s="3">
        <v>0</v>
      </c>
      <c r="J135" s="3">
        <v>0</v>
      </c>
      <c r="K135" s="3">
        <v>5</v>
      </c>
      <c r="L135" s="3">
        <v>0</v>
      </c>
      <c r="M135" s="3">
        <v>0</v>
      </c>
      <c r="N135" s="3" t="s">
        <v>1711</v>
      </c>
      <c r="O135" s="3">
        <v>5</v>
      </c>
      <c r="P135" s="3">
        <v>9.99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1720</v>
      </c>
      <c r="X135" s="3">
        <v>15.99</v>
      </c>
      <c r="Y135" s="3">
        <v>15.99</v>
      </c>
      <c r="Z135" s="3">
        <v>15.99</v>
      </c>
      <c r="AA135" s="3">
        <v>0</v>
      </c>
      <c r="AB135" s="3" t="s">
        <v>1721</v>
      </c>
      <c r="AC135" s="3">
        <v>0</v>
      </c>
      <c r="AD135" s="3">
        <v>13.85</v>
      </c>
      <c r="AE135" s="3">
        <v>49</v>
      </c>
      <c r="AF135" s="3">
        <v>0</v>
      </c>
      <c r="AG135" s="3">
        <v>148.230226</v>
      </c>
      <c r="AH135" s="3">
        <v>0</v>
      </c>
      <c r="AI135" s="3" t="s">
        <v>1986</v>
      </c>
      <c r="AJ135" s="3" t="s">
        <v>1783</v>
      </c>
    </row>
    <row r="136" spans="1:36">
      <c r="A136" s="4">
        <v>43277</v>
      </c>
      <c r="B136" s="3" t="s">
        <v>72</v>
      </c>
      <c r="C136" s="3" t="s">
        <v>73</v>
      </c>
      <c r="D136" s="3" t="s">
        <v>74</v>
      </c>
      <c r="E136" s="3" t="s">
        <v>2174</v>
      </c>
      <c r="F136" s="3" t="s">
        <v>1710</v>
      </c>
      <c r="G136" s="3">
        <v>17</v>
      </c>
      <c r="H136" s="3">
        <v>0</v>
      </c>
      <c r="I136" s="3">
        <v>17</v>
      </c>
      <c r="J136" s="3">
        <v>0</v>
      </c>
      <c r="K136" s="3">
        <v>0</v>
      </c>
      <c r="L136" s="3">
        <v>0</v>
      </c>
      <c r="M136" s="3">
        <v>0</v>
      </c>
      <c r="N136" s="3" t="s">
        <v>1711</v>
      </c>
      <c r="O136" s="3">
        <v>0</v>
      </c>
      <c r="P136" s="3">
        <v>0</v>
      </c>
      <c r="Q136" s="3">
        <v>0</v>
      </c>
      <c r="R136" s="3">
        <v>0</v>
      </c>
      <c r="S136" s="3">
        <v>3</v>
      </c>
      <c r="T136" s="3">
        <v>11</v>
      </c>
      <c r="U136" s="3">
        <v>19</v>
      </c>
      <c r="V136" s="3">
        <v>26</v>
      </c>
      <c r="W136" s="3"/>
      <c r="X136" s="3">
        <v>28.99</v>
      </c>
      <c r="Y136" s="3">
        <v>15.99</v>
      </c>
      <c r="Z136" s="3">
        <v>15.55</v>
      </c>
      <c r="AA136" s="3">
        <v>0</v>
      </c>
      <c r="AB136" s="3" t="s">
        <v>1713</v>
      </c>
      <c r="AC136" s="3">
        <v>1</v>
      </c>
      <c r="AD136" s="3">
        <v>15.99</v>
      </c>
      <c r="AE136" s="3">
        <v>0</v>
      </c>
      <c r="AF136" s="3">
        <v>0</v>
      </c>
      <c r="AG136" s="3">
        <v>0</v>
      </c>
      <c r="AH136" s="3">
        <v>3.35483870967741</v>
      </c>
      <c r="AI136" s="3" t="s">
        <v>2082</v>
      </c>
      <c r="AJ136" s="3" t="s">
        <v>1715</v>
      </c>
    </row>
    <row r="137" spans="1:36">
      <c r="A137" s="4">
        <v>43277</v>
      </c>
      <c r="B137" s="3" t="s">
        <v>2175</v>
      </c>
      <c r="C137" s="3" t="s">
        <v>2176</v>
      </c>
      <c r="D137" s="3" t="s">
        <v>2177</v>
      </c>
      <c r="E137" s="3" t="s">
        <v>2178</v>
      </c>
      <c r="F137" s="3" t="s">
        <v>1710</v>
      </c>
      <c r="G137" s="3">
        <v>15</v>
      </c>
      <c r="H137" s="3">
        <v>0</v>
      </c>
      <c r="I137" s="3">
        <v>0</v>
      </c>
      <c r="J137" s="3">
        <v>15</v>
      </c>
      <c r="K137" s="3">
        <v>0</v>
      </c>
      <c r="L137" s="3">
        <v>0</v>
      </c>
      <c r="M137" s="3">
        <v>0</v>
      </c>
      <c r="N137" s="3" t="s">
        <v>1711</v>
      </c>
      <c r="O137" s="3">
        <v>14</v>
      </c>
      <c r="P137" s="3">
        <v>20.63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1720</v>
      </c>
      <c r="X137" s="3">
        <v>35</v>
      </c>
      <c r="Y137" s="3">
        <v>16.99</v>
      </c>
      <c r="Z137" s="3">
        <v>16.99</v>
      </c>
      <c r="AA137" s="3">
        <v>0</v>
      </c>
      <c r="AB137" s="3" t="s">
        <v>1732</v>
      </c>
      <c r="AC137" s="3">
        <v>1</v>
      </c>
      <c r="AD137" s="3">
        <v>15.18</v>
      </c>
      <c r="AE137" s="3">
        <v>175</v>
      </c>
      <c r="AF137" s="3">
        <v>0</v>
      </c>
      <c r="AG137" s="3">
        <v>362.098241</v>
      </c>
      <c r="AH137" s="3">
        <v>0</v>
      </c>
      <c r="AI137" s="3" t="s">
        <v>1770</v>
      </c>
      <c r="AJ137" s="3" t="s">
        <v>1715</v>
      </c>
    </row>
    <row r="138" spans="1:36">
      <c r="A138" s="4">
        <v>43277</v>
      </c>
      <c r="B138" s="3" t="s">
        <v>2179</v>
      </c>
      <c r="C138" s="3" t="s">
        <v>2180</v>
      </c>
      <c r="D138" s="3" t="s">
        <v>2181</v>
      </c>
      <c r="E138" s="3" t="s">
        <v>349</v>
      </c>
      <c r="F138" s="3" t="s">
        <v>1710</v>
      </c>
      <c r="G138" s="3">
        <v>9</v>
      </c>
      <c r="H138" s="3">
        <v>0</v>
      </c>
      <c r="I138" s="3">
        <v>1</v>
      </c>
      <c r="J138" s="3">
        <v>0</v>
      </c>
      <c r="K138" s="3">
        <v>8</v>
      </c>
      <c r="L138" s="3">
        <v>0</v>
      </c>
      <c r="M138" s="3">
        <v>0</v>
      </c>
      <c r="N138" s="3" t="s">
        <v>1711</v>
      </c>
      <c r="O138" s="3">
        <v>8</v>
      </c>
      <c r="P138" s="3">
        <v>34.95</v>
      </c>
      <c r="Q138" s="3">
        <v>0</v>
      </c>
      <c r="R138" s="3">
        <v>0</v>
      </c>
      <c r="S138" s="3">
        <v>1</v>
      </c>
      <c r="T138" s="3">
        <v>1</v>
      </c>
      <c r="U138" s="3">
        <v>3</v>
      </c>
      <c r="V138" s="3">
        <v>4</v>
      </c>
      <c r="W138" s="3" t="s">
        <v>1720</v>
      </c>
      <c r="X138" s="3">
        <v>12.99</v>
      </c>
      <c r="Y138" s="3">
        <v>12.99</v>
      </c>
      <c r="Z138" s="3">
        <v>12.99</v>
      </c>
      <c r="AA138" s="3">
        <v>0</v>
      </c>
      <c r="AB138" s="3" t="s">
        <v>1721</v>
      </c>
      <c r="AC138" s="3">
        <v>1</v>
      </c>
      <c r="AD138" s="3">
        <v>9.43</v>
      </c>
      <c r="AE138" s="3">
        <v>49</v>
      </c>
      <c r="AF138" s="3">
        <v>0</v>
      </c>
      <c r="AG138" s="3">
        <v>16.303371</v>
      </c>
      <c r="AH138" s="3">
        <v>0.38095238095238</v>
      </c>
      <c r="AI138" s="3" t="s">
        <v>2182</v>
      </c>
      <c r="AJ138" s="3" t="s">
        <v>1783</v>
      </c>
    </row>
    <row r="139" spans="1:36">
      <c r="A139" s="4">
        <v>43277</v>
      </c>
      <c r="B139" s="3" t="s">
        <v>2183</v>
      </c>
      <c r="C139" s="3" t="s">
        <v>2184</v>
      </c>
      <c r="D139" s="3" t="s">
        <v>2185</v>
      </c>
      <c r="E139" s="3" t="s">
        <v>2186</v>
      </c>
      <c r="F139" s="3" t="s">
        <v>1710</v>
      </c>
      <c r="G139" s="3">
        <v>4</v>
      </c>
      <c r="H139" s="3">
        <v>0</v>
      </c>
      <c r="I139" s="3">
        <v>2</v>
      </c>
      <c r="J139" s="3">
        <v>0</v>
      </c>
      <c r="K139" s="3">
        <v>0</v>
      </c>
      <c r="L139" s="3">
        <v>2</v>
      </c>
      <c r="M139" s="3">
        <v>0</v>
      </c>
      <c r="N139" s="3" t="s">
        <v>1711</v>
      </c>
      <c r="O139" s="3">
        <v>0</v>
      </c>
      <c r="P139" s="3">
        <v>0</v>
      </c>
      <c r="Q139" s="3">
        <v>2</v>
      </c>
      <c r="R139" s="3">
        <v>2.81</v>
      </c>
      <c r="S139" s="3">
        <v>0</v>
      </c>
      <c r="T139" s="3">
        <v>0</v>
      </c>
      <c r="U139" s="3">
        <v>1</v>
      </c>
      <c r="V139" s="3">
        <v>1</v>
      </c>
      <c r="W139" s="3" t="s">
        <v>1712</v>
      </c>
      <c r="X139" s="3">
        <v>28.99</v>
      </c>
      <c r="Y139" s="3">
        <v>15.99</v>
      </c>
      <c r="Z139" s="3">
        <v>15.55</v>
      </c>
      <c r="AA139" s="3">
        <v>0</v>
      </c>
      <c r="AB139" s="3" t="s">
        <v>1713</v>
      </c>
      <c r="AC139" s="3">
        <v>4</v>
      </c>
      <c r="AD139" s="3">
        <v>15.99</v>
      </c>
      <c r="AE139" s="3">
        <v>0</v>
      </c>
      <c r="AF139" s="3">
        <v>0</v>
      </c>
      <c r="AG139" s="3">
        <v>0</v>
      </c>
      <c r="AH139" s="3">
        <v>0.25</v>
      </c>
      <c r="AI139" s="3" t="s">
        <v>2036</v>
      </c>
      <c r="AJ139" s="3" t="s">
        <v>1715</v>
      </c>
    </row>
    <row r="140" spans="1:36">
      <c r="A140" s="4">
        <v>43277</v>
      </c>
      <c r="B140" s="3" t="s">
        <v>2187</v>
      </c>
      <c r="C140" s="3" t="s">
        <v>2188</v>
      </c>
      <c r="D140" s="3" t="s">
        <v>2189</v>
      </c>
      <c r="E140" s="3" t="s">
        <v>2190</v>
      </c>
      <c r="F140" s="3" t="s">
        <v>1710</v>
      </c>
      <c r="G140" s="3">
        <v>1</v>
      </c>
      <c r="H140" s="3">
        <v>0</v>
      </c>
      <c r="I140" s="3">
        <v>1</v>
      </c>
      <c r="J140" s="3">
        <v>0</v>
      </c>
      <c r="K140" s="3">
        <v>0</v>
      </c>
      <c r="L140" s="3">
        <v>0</v>
      </c>
      <c r="M140" s="3">
        <v>0</v>
      </c>
      <c r="N140" s="3" t="s">
        <v>1711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1712</v>
      </c>
      <c r="X140" s="3">
        <v>13.99</v>
      </c>
      <c r="Y140" s="3">
        <v>13.99</v>
      </c>
      <c r="Z140" s="3">
        <v>13.99</v>
      </c>
      <c r="AA140" s="3">
        <v>0</v>
      </c>
      <c r="AB140" s="3" t="s">
        <v>1732</v>
      </c>
      <c r="AC140" s="3">
        <v>0</v>
      </c>
      <c r="AD140" s="3">
        <v>11.19</v>
      </c>
      <c r="AE140" s="3">
        <v>63</v>
      </c>
      <c r="AF140" s="3">
        <v>0</v>
      </c>
      <c r="AG140" s="3">
        <v>0.38684</v>
      </c>
      <c r="AH140" s="3">
        <v>0</v>
      </c>
      <c r="AI140" s="3" t="s">
        <v>1782</v>
      </c>
      <c r="AJ140" s="3" t="s">
        <v>1715</v>
      </c>
    </row>
    <row r="141" spans="1:36">
      <c r="A141" s="4">
        <v>43277</v>
      </c>
      <c r="B141" s="3" t="s">
        <v>2191</v>
      </c>
      <c r="C141" s="3" t="s">
        <v>2192</v>
      </c>
      <c r="D141" s="3" t="s">
        <v>2193</v>
      </c>
      <c r="E141" s="3" t="s">
        <v>2194</v>
      </c>
      <c r="F141" s="3" t="s">
        <v>1710</v>
      </c>
      <c r="G141" s="3">
        <v>1</v>
      </c>
      <c r="H141" s="3">
        <v>0</v>
      </c>
      <c r="I141" s="3">
        <v>0</v>
      </c>
      <c r="J141" s="3">
        <v>1</v>
      </c>
      <c r="K141" s="3">
        <v>0</v>
      </c>
      <c r="L141" s="3">
        <v>0</v>
      </c>
      <c r="M141" s="3">
        <v>0</v>
      </c>
      <c r="N141" s="3" t="s">
        <v>1711</v>
      </c>
      <c r="O141" s="3">
        <v>1</v>
      </c>
      <c r="P141" s="3">
        <v>3.08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1</v>
      </c>
      <c r="W141" s="3" t="s">
        <v>1720</v>
      </c>
      <c r="X141" s="3">
        <v>21.99</v>
      </c>
      <c r="Y141" s="3">
        <v>21.99</v>
      </c>
      <c r="Z141" s="3">
        <v>21.99</v>
      </c>
      <c r="AA141" s="3">
        <v>0</v>
      </c>
      <c r="AB141" s="3" t="s">
        <v>1721</v>
      </c>
      <c r="AC141" s="3">
        <v>0</v>
      </c>
      <c r="AD141" s="3">
        <v>20.42</v>
      </c>
      <c r="AE141" s="3">
        <v>49</v>
      </c>
      <c r="AF141" s="3">
        <v>0</v>
      </c>
      <c r="AG141" s="3">
        <v>45.122784</v>
      </c>
      <c r="AH141" s="3">
        <v>0.8</v>
      </c>
      <c r="AI141" s="3" t="s">
        <v>1722</v>
      </c>
      <c r="AJ141" s="3" t="s">
        <v>1715</v>
      </c>
    </row>
    <row r="142" spans="1:36">
      <c r="A142" s="4">
        <v>43277</v>
      </c>
      <c r="B142" s="3" t="s">
        <v>2195</v>
      </c>
      <c r="C142" s="3" t="s">
        <v>2196</v>
      </c>
      <c r="D142" s="3" t="s">
        <v>2197</v>
      </c>
      <c r="E142" s="3" t="s">
        <v>2198</v>
      </c>
      <c r="F142" s="3" t="s">
        <v>1710</v>
      </c>
      <c r="G142" s="3">
        <v>9</v>
      </c>
      <c r="H142" s="3">
        <v>0</v>
      </c>
      <c r="I142" s="3">
        <v>2</v>
      </c>
      <c r="J142" s="3">
        <v>1</v>
      </c>
      <c r="K142" s="3">
        <v>6</v>
      </c>
      <c r="L142" s="3">
        <v>0</v>
      </c>
      <c r="M142" s="3">
        <v>0</v>
      </c>
      <c r="N142" s="3" t="s">
        <v>1711</v>
      </c>
      <c r="O142" s="3">
        <v>6</v>
      </c>
      <c r="P142" s="3">
        <v>8.21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1720</v>
      </c>
      <c r="X142" s="3">
        <v>16.99</v>
      </c>
      <c r="Y142" s="3">
        <v>16.99</v>
      </c>
      <c r="Z142" s="3">
        <v>16.99</v>
      </c>
      <c r="AA142" s="3">
        <v>0</v>
      </c>
      <c r="AB142" s="3" t="s">
        <v>1721</v>
      </c>
      <c r="AC142" s="3">
        <v>0</v>
      </c>
      <c r="AD142" s="3">
        <v>14.02</v>
      </c>
      <c r="AE142" s="3">
        <v>266</v>
      </c>
      <c r="AF142" s="3">
        <v>0</v>
      </c>
      <c r="AG142" s="3">
        <v>188.283905</v>
      </c>
      <c r="AH142" s="3">
        <v>0</v>
      </c>
      <c r="AI142" s="3" t="s">
        <v>1851</v>
      </c>
      <c r="AJ142" s="3" t="s">
        <v>1715</v>
      </c>
    </row>
    <row r="143" spans="1:36">
      <c r="A143" s="4">
        <v>43277</v>
      </c>
      <c r="B143" s="3" t="s">
        <v>2199</v>
      </c>
      <c r="C143" s="3" t="s">
        <v>2200</v>
      </c>
      <c r="D143" s="3" t="s">
        <v>2201</v>
      </c>
      <c r="E143" s="3" t="s">
        <v>2202</v>
      </c>
      <c r="F143" s="3" t="s">
        <v>1710</v>
      </c>
      <c r="G143" s="3">
        <v>18</v>
      </c>
      <c r="H143" s="3">
        <v>0</v>
      </c>
      <c r="I143" s="3">
        <v>18</v>
      </c>
      <c r="J143" s="3">
        <v>0</v>
      </c>
      <c r="K143" s="3">
        <v>0</v>
      </c>
      <c r="L143" s="3">
        <v>0</v>
      </c>
      <c r="M143" s="3">
        <v>0</v>
      </c>
      <c r="N143" s="3" t="s">
        <v>1711</v>
      </c>
      <c r="O143" s="3">
        <v>0</v>
      </c>
      <c r="P143" s="3">
        <v>0</v>
      </c>
      <c r="Q143" s="3">
        <v>0</v>
      </c>
      <c r="R143" s="3">
        <v>0</v>
      </c>
      <c r="S143" s="3">
        <v>1</v>
      </c>
      <c r="T143" s="3">
        <v>1</v>
      </c>
      <c r="U143" s="3">
        <v>2</v>
      </c>
      <c r="V143" s="3">
        <v>2</v>
      </c>
      <c r="W143" s="3"/>
      <c r="X143" s="3">
        <v>38</v>
      </c>
      <c r="Y143" s="3">
        <v>25.58</v>
      </c>
      <c r="Z143" s="3">
        <v>25.58</v>
      </c>
      <c r="AA143" s="3">
        <v>0</v>
      </c>
      <c r="AB143" s="3" t="s">
        <v>1713</v>
      </c>
      <c r="AC143" s="3">
        <v>19</v>
      </c>
      <c r="AD143" s="3">
        <v>25.58</v>
      </c>
      <c r="AE143" s="3">
        <v>0</v>
      </c>
      <c r="AF143" s="3">
        <v>0</v>
      </c>
      <c r="AG143" s="3">
        <v>0</v>
      </c>
      <c r="AH143" s="3">
        <v>0.162162162162162</v>
      </c>
      <c r="AI143" s="3" t="s">
        <v>2203</v>
      </c>
      <c r="AJ143" s="3" t="s">
        <v>1715</v>
      </c>
    </row>
    <row r="144" spans="1:36">
      <c r="A144" s="4">
        <v>43277</v>
      </c>
      <c r="B144" s="3" t="s">
        <v>1357</v>
      </c>
      <c r="C144" s="3" t="s">
        <v>1358</v>
      </c>
      <c r="D144" s="3" t="s">
        <v>1359</v>
      </c>
      <c r="E144" s="3" t="s">
        <v>1360</v>
      </c>
      <c r="F144" s="3" t="s">
        <v>1710</v>
      </c>
      <c r="G144" s="3">
        <v>19</v>
      </c>
      <c r="H144" s="3">
        <v>0</v>
      </c>
      <c r="I144" s="3">
        <v>19</v>
      </c>
      <c r="J144" s="3">
        <v>0</v>
      </c>
      <c r="K144" s="3">
        <v>0</v>
      </c>
      <c r="L144" s="3">
        <v>0</v>
      </c>
      <c r="M144" s="3">
        <v>0</v>
      </c>
      <c r="N144" s="3" t="s">
        <v>1711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1712</v>
      </c>
      <c r="X144" s="3">
        <v>20.99</v>
      </c>
      <c r="Y144" s="3">
        <v>20.99</v>
      </c>
      <c r="Z144" s="3">
        <v>20.99</v>
      </c>
      <c r="AA144" s="3">
        <v>0</v>
      </c>
      <c r="AB144" s="3" t="s">
        <v>1713</v>
      </c>
      <c r="AC144" s="3">
        <v>0</v>
      </c>
      <c r="AD144" s="3">
        <v>0</v>
      </c>
      <c r="AE144" s="3">
        <v>0</v>
      </c>
      <c r="AF144" s="3">
        <v>0</v>
      </c>
      <c r="AG144" s="3">
        <v>0</v>
      </c>
      <c r="AH144" s="3">
        <v>0</v>
      </c>
      <c r="AI144" s="3" t="s">
        <v>2204</v>
      </c>
      <c r="AJ144" s="3" t="s">
        <v>1715</v>
      </c>
    </row>
    <row r="145" spans="1:36">
      <c r="A145" s="4">
        <v>43277</v>
      </c>
      <c r="B145" s="3" t="s">
        <v>2205</v>
      </c>
      <c r="C145" s="3" t="s">
        <v>2206</v>
      </c>
      <c r="D145" s="3" t="s">
        <v>2207</v>
      </c>
      <c r="E145" s="3" t="s">
        <v>2208</v>
      </c>
      <c r="F145" s="3" t="s">
        <v>1710</v>
      </c>
      <c r="G145" s="3">
        <v>2</v>
      </c>
      <c r="H145" s="3">
        <v>0</v>
      </c>
      <c r="I145" s="3">
        <v>0</v>
      </c>
      <c r="J145" s="3">
        <v>2</v>
      </c>
      <c r="K145" s="3">
        <v>0</v>
      </c>
      <c r="L145" s="3">
        <v>0</v>
      </c>
      <c r="M145" s="3">
        <v>0</v>
      </c>
      <c r="N145" s="3" t="s">
        <v>1711</v>
      </c>
      <c r="O145" s="3">
        <v>1</v>
      </c>
      <c r="P145" s="3">
        <v>0.01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1720</v>
      </c>
      <c r="X145" s="3">
        <v>19.99</v>
      </c>
      <c r="Y145" s="3">
        <v>19.99</v>
      </c>
      <c r="Z145" s="3">
        <v>19.99</v>
      </c>
      <c r="AA145" s="3">
        <v>0</v>
      </c>
      <c r="AB145" s="3" t="s">
        <v>1721</v>
      </c>
      <c r="AC145" s="3">
        <v>1</v>
      </c>
      <c r="AD145" s="3">
        <v>18.93</v>
      </c>
      <c r="AE145" s="3">
        <v>42</v>
      </c>
      <c r="AF145" s="3">
        <v>0</v>
      </c>
      <c r="AG145" s="3">
        <v>24.146599</v>
      </c>
      <c r="AH145" s="3">
        <v>0</v>
      </c>
      <c r="AI145" s="3" t="s">
        <v>1782</v>
      </c>
      <c r="AJ145" s="3" t="s">
        <v>1783</v>
      </c>
    </row>
    <row r="146" spans="1:36">
      <c r="A146" s="4">
        <v>43277</v>
      </c>
      <c r="B146" s="3" t="s">
        <v>2209</v>
      </c>
      <c r="C146" s="3" t="s">
        <v>2210</v>
      </c>
      <c r="D146" s="3" t="s">
        <v>2211</v>
      </c>
      <c r="E146" s="3" t="s">
        <v>2212</v>
      </c>
      <c r="F146" s="3" t="s">
        <v>1710</v>
      </c>
      <c r="G146" s="3">
        <v>4</v>
      </c>
      <c r="H146" s="3">
        <v>0</v>
      </c>
      <c r="I146" s="3">
        <v>0</v>
      </c>
      <c r="J146" s="3">
        <v>4</v>
      </c>
      <c r="K146" s="3">
        <v>0</v>
      </c>
      <c r="L146" s="3">
        <v>0</v>
      </c>
      <c r="M146" s="3">
        <v>0</v>
      </c>
      <c r="N146" s="3" t="s">
        <v>1711</v>
      </c>
      <c r="O146" s="3">
        <v>3</v>
      </c>
      <c r="P146" s="3">
        <v>6.19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1720</v>
      </c>
      <c r="X146" s="3">
        <v>21.99</v>
      </c>
      <c r="Y146" s="3">
        <v>21.99</v>
      </c>
      <c r="Z146" s="3">
        <v>21.99</v>
      </c>
      <c r="AA146" s="3">
        <v>0</v>
      </c>
      <c r="AB146" s="3" t="s">
        <v>1721</v>
      </c>
      <c r="AC146" s="3">
        <v>1</v>
      </c>
      <c r="AD146" s="3">
        <v>19.71</v>
      </c>
      <c r="AE146" s="3">
        <v>49</v>
      </c>
      <c r="AF146" s="3">
        <v>0</v>
      </c>
      <c r="AG146" s="3">
        <v>124.913772</v>
      </c>
      <c r="AH146" s="3">
        <v>0</v>
      </c>
      <c r="AI146" s="3" t="s">
        <v>2213</v>
      </c>
      <c r="AJ146" s="3" t="s">
        <v>1715</v>
      </c>
    </row>
    <row r="147" spans="1:36">
      <c r="A147" s="4">
        <v>43277</v>
      </c>
      <c r="B147" s="3" t="s">
        <v>2214</v>
      </c>
      <c r="C147" s="3" t="s">
        <v>2215</v>
      </c>
      <c r="D147" s="3" t="s">
        <v>2216</v>
      </c>
      <c r="E147" s="3" t="s">
        <v>2217</v>
      </c>
      <c r="F147" s="3" t="s">
        <v>1710</v>
      </c>
      <c r="G147" s="3">
        <v>6</v>
      </c>
      <c r="H147" s="3">
        <v>0</v>
      </c>
      <c r="I147" s="3">
        <v>0</v>
      </c>
      <c r="J147" s="3">
        <v>1</v>
      </c>
      <c r="K147" s="3">
        <v>0</v>
      </c>
      <c r="L147" s="3">
        <v>0</v>
      </c>
      <c r="M147" s="3">
        <v>5</v>
      </c>
      <c r="N147" s="3" t="s">
        <v>1711</v>
      </c>
      <c r="O147" s="3">
        <v>0</v>
      </c>
      <c r="P147" s="3">
        <v>0</v>
      </c>
      <c r="Q147" s="3">
        <v>5</v>
      </c>
      <c r="R147" s="3">
        <v>7.03</v>
      </c>
      <c r="S147" s="3">
        <v>0</v>
      </c>
      <c r="T147" s="3">
        <v>1</v>
      </c>
      <c r="U147" s="3">
        <v>1</v>
      </c>
      <c r="V147" s="3">
        <v>1</v>
      </c>
      <c r="W147" s="3" t="s">
        <v>1712</v>
      </c>
      <c r="X147" s="3">
        <v>15.99</v>
      </c>
      <c r="Y147" s="3">
        <v>15.99</v>
      </c>
      <c r="Z147" s="3">
        <v>15.55</v>
      </c>
      <c r="AA147" s="3">
        <v>0</v>
      </c>
      <c r="AB147" s="3" t="s">
        <v>1732</v>
      </c>
      <c r="AC147" s="3">
        <v>0</v>
      </c>
      <c r="AD147" s="3">
        <v>13.31</v>
      </c>
      <c r="AE147" s="3">
        <v>336</v>
      </c>
      <c r="AF147" s="3">
        <v>0</v>
      </c>
      <c r="AG147" s="3">
        <v>79.808739</v>
      </c>
      <c r="AH147" s="3">
        <v>0.148148148148148</v>
      </c>
      <c r="AI147" s="3" t="s">
        <v>2036</v>
      </c>
      <c r="AJ147" s="3" t="s">
        <v>1715</v>
      </c>
    </row>
    <row r="148" spans="1:36">
      <c r="A148" s="4">
        <v>43277</v>
      </c>
      <c r="B148" s="3" t="s">
        <v>2218</v>
      </c>
      <c r="C148" s="3" t="s">
        <v>2219</v>
      </c>
      <c r="D148" s="3" t="s">
        <v>2220</v>
      </c>
      <c r="E148" s="3" t="s">
        <v>2221</v>
      </c>
      <c r="F148" s="3" t="s">
        <v>1710</v>
      </c>
      <c r="G148" s="3">
        <v>3</v>
      </c>
      <c r="H148" s="3">
        <v>0</v>
      </c>
      <c r="I148" s="3">
        <v>3</v>
      </c>
      <c r="J148" s="3">
        <v>0</v>
      </c>
      <c r="K148" s="3">
        <v>0</v>
      </c>
      <c r="L148" s="3">
        <v>0</v>
      </c>
      <c r="M148" s="3">
        <v>0</v>
      </c>
      <c r="N148" s="3" t="s">
        <v>1711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5</v>
      </c>
      <c r="U148" s="3">
        <v>7</v>
      </c>
      <c r="V148" s="3">
        <v>7</v>
      </c>
      <c r="W148" s="3"/>
      <c r="X148" s="3">
        <v>19.99</v>
      </c>
      <c r="Y148" s="3">
        <v>19.99</v>
      </c>
      <c r="Z148" s="3">
        <v>19.99</v>
      </c>
      <c r="AA148" s="3">
        <v>0</v>
      </c>
      <c r="AB148" s="3" t="s">
        <v>1713</v>
      </c>
      <c r="AC148" s="3">
        <v>3</v>
      </c>
      <c r="AD148" s="3">
        <v>19.99</v>
      </c>
      <c r="AE148" s="3">
        <v>0</v>
      </c>
      <c r="AF148" s="3">
        <v>0</v>
      </c>
      <c r="AG148" s="3">
        <v>0</v>
      </c>
      <c r="AH148" s="3">
        <v>1.9090909090909</v>
      </c>
      <c r="AI148" s="3" t="s">
        <v>1775</v>
      </c>
      <c r="AJ148" s="3" t="s">
        <v>1715</v>
      </c>
    </row>
    <row r="149" spans="1:36">
      <c r="A149" s="4">
        <v>43277</v>
      </c>
      <c r="B149" s="3" t="s">
        <v>2222</v>
      </c>
      <c r="C149" s="3" t="s">
        <v>2223</v>
      </c>
      <c r="D149" s="3" t="s">
        <v>2224</v>
      </c>
      <c r="E149" s="3" t="s">
        <v>2225</v>
      </c>
      <c r="F149" s="3" t="s">
        <v>1710</v>
      </c>
      <c r="G149" s="3">
        <v>7</v>
      </c>
      <c r="H149" s="3">
        <v>0</v>
      </c>
      <c r="I149" s="3">
        <v>3</v>
      </c>
      <c r="J149" s="3">
        <v>1</v>
      </c>
      <c r="K149" s="3">
        <v>0</v>
      </c>
      <c r="L149" s="3">
        <v>3</v>
      </c>
      <c r="M149" s="3">
        <v>0</v>
      </c>
      <c r="N149" s="3" t="s">
        <v>1711</v>
      </c>
      <c r="O149" s="3">
        <v>0</v>
      </c>
      <c r="P149" s="3">
        <v>0</v>
      </c>
      <c r="Q149" s="3">
        <v>3</v>
      </c>
      <c r="R149" s="3">
        <v>8.78</v>
      </c>
      <c r="S149" s="3">
        <v>0</v>
      </c>
      <c r="T149" s="3">
        <v>1</v>
      </c>
      <c r="U149" s="3">
        <v>2</v>
      </c>
      <c r="V149" s="3">
        <v>5</v>
      </c>
      <c r="W149" s="3"/>
      <c r="X149" s="3">
        <v>12.99</v>
      </c>
      <c r="Y149" s="3">
        <v>12.99</v>
      </c>
      <c r="Z149" s="3">
        <v>12.99</v>
      </c>
      <c r="AA149" s="3">
        <v>0</v>
      </c>
      <c r="AB149" s="3" t="s">
        <v>1713</v>
      </c>
      <c r="AC149" s="3">
        <v>7</v>
      </c>
      <c r="AD149" s="3">
        <v>12.99</v>
      </c>
      <c r="AE149" s="3">
        <v>0</v>
      </c>
      <c r="AF149" s="3">
        <v>0</v>
      </c>
      <c r="AG149" s="3">
        <v>0</v>
      </c>
      <c r="AH149" s="3">
        <v>0.606060606060606</v>
      </c>
      <c r="AI149" s="3" t="s">
        <v>2226</v>
      </c>
      <c r="AJ149" s="3" t="s">
        <v>1715</v>
      </c>
    </row>
    <row r="150" spans="1:36">
      <c r="A150" s="4">
        <v>43277</v>
      </c>
      <c r="B150" s="3" t="s">
        <v>2227</v>
      </c>
      <c r="C150" s="3" t="s">
        <v>2228</v>
      </c>
      <c r="D150" s="3" t="s">
        <v>2229</v>
      </c>
      <c r="E150" s="3" t="s">
        <v>2230</v>
      </c>
      <c r="F150" s="3" t="s">
        <v>1710</v>
      </c>
      <c r="G150" s="3">
        <v>3</v>
      </c>
      <c r="H150" s="3">
        <v>0</v>
      </c>
      <c r="I150" s="3">
        <v>3</v>
      </c>
      <c r="J150" s="3">
        <v>0</v>
      </c>
      <c r="K150" s="3">
        <v>0</v>
      </c>
      <c r="L150" s="3">
        <v>0</v>
      </c>
      <c r="M150" s="3">
        <v>0</v>
      </c>
      <c r="N150" s="3" t="s">
        <v>1711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2</v>
      </c>
      <c r="V150" s="3">
        <v>2</v>
      </c>
      <c r="W150" s="3" t="s">
        <v>1712</v>
      </c>
      <c r="X150" s="3">
        <v>13.99</v>
      </c>
      <c r="Y150" s="3">
        <v>13.99</v>
      </c>
      <c r="Z150" s="3">
        <v>13.99</v>
      </c>
      <c r="AA150" s="3">
        <v>0</v>
      </c>
      <c r="AB150" s="3" t="s">
        <v>1713</v>
      </c>
      <c r="AC150" s="3">
        <v>3</v>
      </c>
      <c r="AD150" s="3">
        <v>13.99</v>
      </c>
      <c r="AE150" s="3">
        <v>0</v>
      </c>
      <c r="AF150" s="3">
        <v>0</v>
      </c>
      <c r="AG150" s="3">
        <v>0</v>
      </c>
      <c r="AH150" s="3">
        <v>0.666666666666666</v>
      </c>
      <c r="AI150" s="3" t="s">
        <v>1905</v>
      </c>
      <c r="AJ150" s="3" t="s">
        <v>1715</v>
      </c>
    </row>
    <row r="151" spans="1:36">
      <c r="A151" s="4">
        <v>43277</v>
      </c>
      <c r="B151" s="3" t="s">
        <v>2231</v>
      </c>
      <c r="C151" s="3" t="s">
        <v>2232</v>
      </c>
      <c r="D151" s="3" t="s">
        <v>2233</v>
      </c>
      <c r="E151" s="3" t="s">
        <v>2234</v>
      </c>
      <c r="F151" s="3" t="s">
        <v>1710</v>
      </c>
      <c r="G151" s="3">
        <v>7</v>
      </c>
      <c r="H151" s="3">
        <v>0</v>
      </c>
      <c r="I151" s="3">
        <v>7</v>
      </c>
      <c r="J151" s="3">
        <v>0</v>
      </c>
      <c r="K151" s="3">
        <v>0</v>
      </c>
      <c r="L151" s="3">
        <v>0</v>
      </c>
      <c r="M151" s="3">
        <v>0</v>
      </c>
      <c r="N151" s="3" t="s">
        <v>1711</v>
      </c>
      <c r="O151" s="3">
        <v>0</v>
      </c>
      <c r="P151" s="3">
        <v>0</v>
      </c>
      <c r="Q151" s="3">
        <v>0</v>
      </c>
      <c r="R151" s="3">
        <v>0</v>
      </c>
      <c r="S151" s="3">
        <v>5</v>
      </c>
      <c r="T151" s="3">
        <v>15</v>
      </c>
      <c r="U151" s="3">
        <v>24</v>
      </c>
      <c r="V151" s="3">
        <v>30</v>
      </c>
      <c r="W151" s="3"/>
      <c r="X151" s="3">
        <v>23.99</v>
      </c>
      <c r="Y151" s="3">
        <v>23.99</v>
      </c>
      <c r="Z151" s="3">
        <v>23.99</v>
      </c>
      <c r="AA151" s="3">
        <v>0</v>
      </c>
      <c r="AB151" s="3" t="s">
        <v>1713</v>
      </c>
      <c r="AC151" s="3">
        <v>3</v>
      </c>
      <c r="AD151" s="3">
        <v>23.99</v>
      </c>
      <c r="AE151" s="3">
        <v>0</v>
      </c>
      <c r="AF151" s="3">
        <v>0</v>
      </c>
      <c r="AG151" s="3">
        <v>0</v>
      </c>
      <c r="AH151" s="3">
        <v>2.66666666666666</v>
      </c>
      <c r="AI151" s="3" t="s">
        <v>1761</v>
      </c>
      <c r="AJ151" s="3" t="s">
        <v>1715</v>
      </c>
    </row>
    <row r="152" spans="1:36">
      <c r="A152" s="4">
        <v>43277</v>
      </c>
      <c r="B152" s="3" t="s">
        <v>2235</v>
      </c>
      <c r="C152" s="3" t="s">
        <v>2236</v>
      </c>
      <c r="D152" s="3" t="s">
        <v>2237</v>
      </c>
      <c r="E152" s="3" t="s">
        <v>2238</v>
      </c>
      <c r="F152" s="3" t="s">
        <v>1710</v>
      </c>
      <c r="G152" s="3">
        <v>11</v>
      </c>
      <c r="H152" s="3">
        <v>0</v>
      </c>
      <c r="I152" s="3">
        <v>2</v>
      </c>
      <c r="J152" s="3">
        <v>9</v>
      </c>
      <c r="K152" s="3">
        <v>0</v>
      </c>
      <c r="L152" s="3">
        <v>0</v>
      </c>
      <c r="M152" s="3">
        <v>0</v>
      </c>
      <c r="N152" s="3" t="s">
        <v>1711</v>
      </c>
      <c r="O152" s="3">
        <v>0</v>
      </c>
      <c r="P152" s="3">
        <v>0</v>
      </c>
      <c r="Q152" s="3">
        <v>0</v>
      </c>
      <c r="R152" s="3">
        <v>0</v>
      </c>
      <c r="S152" s="3">
        <v>1</v>
      </c>
      <c r="T152" s="3">
        <v>3</v>
      </c>
      <c r="U152" s="3">
        <v>6</v>
      </c>
      <c r="V152" s="3">
        <v>11</v>
      </c>
      <c r="W152" s="3"/>
      <c r="X152" s="3">
        <v>25.58</v>
      </c>
      <c r="Y152" s="3">
        <v>25.58</v>
      </c>
      <c r="Z152" s="3">
        <v>25.58</v>
      </c>
      <c r="AA152" s="3">
        <v>0</v>
      </c>
      <c r="AB152" s="3" t="s">
        <v>1713</v>
      </c>
      <c r="AC152" s="3">
        <v>12</v>
      </c>
      <c r="AD152" s="3">
        <v>25.58</v>
      </c>
      <c r="AE152" s="3">
        <v>0</v>
      </c>
      <c r="AF152" s="3">
        <v>0</v>
      </c>
      <c r="AG152" s="3">
        <v>0</v>
      </c>
      <c r="AH152" s="3">
        <v>0.846153846153846</v>
      </c>
      <c r="AI152" s="3" t="s">
        <v>2239</v>
      </c>
      <c r="AJ152" s="3" t="s">
        <v>1715</v>
      </c>
    </row>
    <row r="153" spans="1:36">
      <c r="A153" s="4">
        <v>43277</v>
      </c>
      <c r="B153" s="3" t="s">
        <v>1441</v>
      </c>
      <c r="C153" s="3" t="s">
        <v>1442</v>
      </c>
      <c r="D153" s="3" t="s">
        <v>1443</v>
      </c>
      <c r="E153" s="3" t="s">
        <v>1444</v>
      </c>
      <c r="F153" s="3" t="s">
        <v>1710</v>
      </c>
      <c r="G153" s="3">
        <v>11</v>
      </c>
      <c r="H153" s="3">
        <v>0</v>
      </c>
      <c r="I153" s="3">
        <v>11</v>
      </c>
      <c r="J153" s="3">
        <v>0</v>
      </c>
      <c r="K153" s="3">
        <v>0</v>
      </c>
      <c r="L153" s="3">
        <v>0</v>
      </c>
      <c r="M153" s="3">
        <v>0</v>
      </c>
      <c r="N153" s="3" t="s">
        <v>1711</v>
      </c>
      <c r="O153" s="3">
        <v>0</v>
      </c>
      <c r="P153" s="3">
        <v>0</v>
      </c>
      <c r="Q153" s="3">
        <v>0</v>
      </c>
      <c r="R153" s="3">
        <v>0</v>
      </c>
      <c r="S153" s="3">
        <v>8</v>
      </c>
      <c r="T153" s="3">
        <v>33</v>
      </c>
      <c r="U153" s="3">
        <v>57</v>
      </c>
      <c r="V153" s="3">
        <v>75</v>
      </c>
      <c r="W153" s="3"/>
      <c r="X153" s="3">
        <v>38</v>
      </c>
      <c r="Y153" s="3">
        <v>25.58</v>
      </c>
      <c r="Z153" s="3">
        <v>25.58</v>
      </c>
      <c r="AA153" s="3">
        <v>0</v>
      </c>
      <c r="AB153" s="3" t="s">
        <v>1713</v>
      </c>
      <c r="AC153" s="3">
        <v>10</v>
      </c>
      <c r="AD153" s="3">
        <v>25.58</v>
      </c>
      <c r="AE153" s="3">
        <v>0</v>
      </c>
      <c r="AF153" s="3">
        <v>0</v>
      </c>
      <c r="AG153" s="3">
        <v>0</v>
      </c>
      <c r="AH153" s="3">
        <v>3.37078651685393</v>
      </c>
      <c r="AI153" s="3" t="s">
        <v>1857</v>
      </c>
      <c r="AJ153" s="3" t="s">
        <v>1715</v>
      </c>
    </row>
    <row r="154" spans="1:36">
      <c r="A154" s="4">
        <v>43277</v>
      </c>
      <c r="B154" s="3" t="s">
        <v>2240</v>
      </c>
      <c r="C154" s="3" t="s">
        <v>2241</v>
      </c>
      <c r="D154" s="3" t="s">
        <v>2242</v>
      </c>
      <c r="E154" s="3" t="s">
        <v>2243</v>
      </c>
      <c r="F154" s="3" t="s">
        <v>1710</v>
      </c>
      <c r="G154" s="3">
        <v>8</v>
      </c>
      <c r="H154" s="3">
        <v>0</v>
      </c>
      <c r="I154" s="3">
        <v>0</v>
      </c>
      <c r="J154" s="3">
        <v>0</v>
      </c>
      <c r="K154" s="3">
        <v>8</v>
      </c>
      <c r="L154" s="3">
        <v>0</v>
      </c>
      <c r="M154" s="3">
        <v>0</v>
      </c>
      <c r="N154" s="3" t="s">
        <v>1711</v>
      </c>
      <c r="O154" s="3">
        <v>8</v>
      </c>
      <c r="P154" s="3">
        <v>9.7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1720</v>
      </c>
      <c r="X154" s="3">
        <v>17.99</v>
      </c>
      <c r="Y154" s="3">
        <v>17.99</v>
      </c>
      <c r="Z154" s="3">
        <v>17.99</v>
      </c>
      <c r="AA154" s="3">
        <v>0</v>
      </c>
      <c r="AB154" s="3" t="s">
        <v>1732</v>
      </c>
      <c r="AC154" s="3">
        <v>0</v>
      </c>
      <c r="AD154" s="3">
        <v>15.81</v>
      </c>
      <c r="AE154" s="3">
        <v>217</v>
      </c>
      <c r="AF154" s="3">
        <v>0</v>
      </c>
      <c r="AG154" s="3">
        <v>171.313185</v>
      </c>
      <c r="AH154" s="3">
        <v>0</v>
      </c>
      <c r="AI154" s="3" t="s">
        <v>1996</v>
      </c>
      <c r="AJ154" s="3" t="s">
        <v>1715</v>
      </c>
    </row>
    <row r="155" spans="1:36">
      <c r="A155" s="4">
        <v>43277</v>
      </c>
      <c r="B155" s="3" t="s">
        <v>44</v>
      </c>
      <c r="C155" s="3" t="s">
        <v>45</v>
      </c>
      <c r="D155" s="3" t="s">
        <v>46</v>
      </c>
      <c r="E155" s="3" t="s">
        <v>2244</v>
      </c>
      <c r="F155" s="3" t="s">
        <v>1710</v>
      </c>
      <c r="G155" s="3">
        <v>10</v>
      </c>
      <c r="H155" s="3">
        <v>0</v>
      </c>
      <c r="I155" s="3">
        <v>10</v>
      </c>
      <c r="J155" s="3">
        <v>0</v>
      </c>
      <c r="K155" s="3">
        <v>0</v>
      </c>
      <c r="L155" s="3">
        <v>0</v>
      </c>
      <c r="M155" s="3">
        <v>0</v>
      </c>
      <c r="N155" s="3" t="s">
        <v>1711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3</v>
      </c>
      <c r="U155" s="3">
        <v>11</v>
      </c>
      <c r="V155" s="3">
        <v>11</v>
      </c>
      <c r="W155" s="3"/>
      <c r="X155" s="3"/>
      <c r="Y155" s="3"/>
      <c r="Z155" s="3">
        <v>-1</v>
      </c>
      <c r="AA155" s="3">
        <v>-1</v>
      </c>
      <c r="AB155" s="3" t="s">
        <v>1776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2.53846153846153</v>
      </c>
      <c r="AI155" s="3" t="s">
        <v>2082</v>
      </c>
      <c r="AJ155" s="3" t="s">
        <v>1715</v>
      </c>
    </row>
    <row r="156" spans="1:36">
      <c r="A156" s="4">
        <v>43277</v>
      </c>
      <c r="B156" s="3" t="s">
        <v>2245</v>
      </c>
      <c r="C156" s="3" t="s">
        <v>2246</v>
      </c>
      <c r="D156" s="3" t="s">
        <v>2247</v>
      </c>
      <c r="E156" s="3" t="s">
        <v>2248</v>
      </c>
      <c r="F156" s="3" t="s">
        <v>1710</v>
      </c>
      <c r="G156" s="3">
        <v>36</v>
      </c>
      <c r="H156" s="3">
        <v>0</v>
      </c>
      <c r="I156" s="3">
        <v>4</v>
      </c>
      <c r="J156" s="3">
        <v>7</v>
      </c>
      <c r="K156" s="3">
        <v>1</v>
      </c>
      <c r="L156" s="3">
        <v>24</v>
      </c>
      <c r="M156" s="3">
        <v>0</v>
      </c>
      <c r="N156" s="3" t="s">
        <v>1711</v>
      </c>
      <c r="O156" s="3">
        <v>31</v>
      </c>
      <c r="P156" s="3">
        <v>14.95</v>
      </c>
      <c r="Q156" s="3">
        <v>0</v>
      </c>
      <c r="R156" s="3">
        <v>0</v>
      </c>
      <c r="S156" s="3">
        <v>2</v>
      </c>
      <c r="T156" s="3">
        <v>3</v>
      </c>
      <c r="U156" s="3">
        <v>5</v>
      </c>
      <c r="V156" s="3">
        <v>13</v>
      </c>
      <c r="W156" s="3"/>
      <c r="X156" s="3">
        <v>16.99</v>
      </c>
      <c r="Y156" s="3">
        <v>16.99</v>
      </c>
      <c r="Z156" s="3">
        <v>16.99</v>
      </c>
      <c r="AA156" s="3">
        <v>0</v>
      </c>
      <c r="AB156" s="3" t="s">
        <v>1732</v>
      </c>
      <c r="AC156" s="3">
        <v>2</v>
      </c>
      <c r="AD156" s="3">
        <v>15.55</v>
      </c>
      <c r="AE156" s="3">
        <v>203</v>
      </c>
      <c r="AF156" s="3">
        <v>0</v>
      </c>
      <c r="AG156" s="3">
        <v>358.343937</v>
      </c>
      <c r="AH156" s="3">
        <v>0.0737588652482269</v>
      </c>
      <c r="AI156" s="3" t="s">
        <v>2249</v>
      </c>
      <c r="AJ156" s="3" t="s">
        <v>1715</v>
      </c>
    </row>
    <row r="157" spans="1:36">
      <c r="A157" s="4">
        <v>43277</v>
      </c>
      <c r="B157" s="3" t="s">
        <v>871</v>
      </c>
      <c r="C157" s="3" t="s">
        <v>872</v>
      </c>
      <c r="D157" s="3" t="s">
        <v>873</v>
      </c>
      <c r="E157" s="3" t="s">
        <v>874</v>
      </c>
      <c r="F157" s="3" t="s">
        <v>1710</v>
      </c>
      <c r="G157" s="3">
        <v>15</v>
      </c>
      <c r="H157" s="3">
        <v>0</v>
      </c>
      <c r="I157" s="3">
        <v>15</v>
      </c>
      <c r="J157" s="3">
        <v>0</v>
      </c>
      <c r="K157" s="3">
        <v>0</v>
      </c>
      <c r="L157" s="3">
        <v>0</v>
      </c>
      <c r="M157" s="3">
        <v>0</v>
      </c>
      <c r="N157" s="3" t="s">
        <v>1711</v>
      </c>
      <c r="O157" s="3">
        <v>0</v>
      </c>
      <c r="P157" s="3">
        <v>0</v>
      </c>
      <c r="Q157" s="3">
        <v>0</v>
      </c>
      <c r="R157" s="3">
        <v>0</v>
      </c>
      <c r="S157" s="3">
        <v>6</v>
      </c>
      <c r="T157" s="3">
        <v>17</v>
      </c>
      <c r="U157" s="3">
        <v>35</v>
      </c>
      <c r="V157" s="3">
        <v>45</v>
      </c>
      <c r="W157" s="3"/>
      <c r="X157" s="3">
        <v>15.99</v>
      </c>
      <c r="Y157" s="3">
        <v>15.99</v>
      </c>
      <c r="Z157" s="3">
        <v>15.99</v>
      </c>
      <c r="AA157" s="3">
        <v>0</v>
      </c>
      <c r="AB157" s="3" t="s">
        <v>1713</v>
      </c>
      <c r="AC157" s="3">
        <v>16</v>
      </c>
      <c r="AD157" s="3">
        <v>15.99</v>
      </c>
      <c r="AE157" s="3">
        <v>0</v>
      </c>
      <c r="AF157" s="3">
        <v>0</v>
      </c>
      <c r="AG157" s="3">
        <v>0</v>
      </c>
      <c r="AH157" s="3">
        <v>4.82142857142857</v>
      </c>
      <c r="AI157" s="3" t="s">
        <v>2250</v>
      </c>
      <c r="AJ157" s="3" t="s">
        <v>1715</v>
      </c>
    </row>
    <row r="158" spans="1:36">
      <c r="A158" s="4">
        <v>43277</v>
      </c>
      <c r="B158" s="3" t="s">
        <v>1240</v>
      </c>
      <c r="C158" s="3" t="s">
        <v>1241</v>
      </c>
      <c r="D158" s="3" t="s">
        <v>1242</v>
      </c>
      <c r="E158" s="3" t="s">
        <v>2251</v>
      </c>
      <c r="F158" s="3" t="s">
        <v>1710</v>
      </c>
      <c r="G158" s="3">
        <v>7</v>
      </c>
      <c r="H158" s="3">
        <v>0</v>
      </c>
      <c r="I158" s="3">
        <v>7</v>
      </c>
      <c r="J158" s="3">
        <v>0</v>
      </c>
      <c r="K158" s="3">
        <v>0</v>
      </c>
      <c r="L158" s="3">
        <v>0</v>
      </c>
      <c r="M158" s="3">
        <v>0</v>
      </c>
      <c r="N158" s="3" t="s">
        <v>1711</v>
      </c>
      <c r="O158" s="3">
        <v>0</v>
      </c>
      <c r="P158" s="3">
        <v>0</v>
      </c>
      <c r="Q158" s="3">
        <v>0</v>
      </c>
      <c r="R158" s="3">
        <v>0</v>
      </c>
      <c r="S158" s="3">
        <v>3</v>
      </c>
      <c r="T158" s="3">
        <v>7</v>
      </c>
      <c r="U158" s="3">
        <v>8</v>
      </c>
      <c r="V158" s="3">
        <v>8</v>
      </c>
      <c r="W158" s="3"/>
      <c r="X158" s="3">
        <v>19.99</v>
      </c>
      <c r="Y158" s="3">
        <v>19.99</v>
      </c>
      <c r="Z158" s="3">
        <v>19.99</v>
      </c>
      <c r="AA158" s="3">
        <v>0</v>
      </c>
      <c r="AB158" s="3" t="s">
        <v>1713</v>
      </c>
      <c r="AC158" s="3">
        <v>7</v>
      </c>
      <c r="AD158" s="3">
        <v>19.99</v>
      </c>
      <c r="AE158" s="3">
        <v>0</v>
      </c>
      <c r="AF158" s="3">
        <v>0</v>
      </c>
      <c r="AG158" s="3">
        <v>0</v>
      </c>
      <c r="AH158" s="3">
        <v>0.761904761904761</v>
      </c>
      <c r="AI158" s="3" t="s">
        <v>1919</v>
      </c>
      <c r="AJ158" s="3" t="s">
        <v>1715</v>
      </c>
    </row>
    <row r="159" spans="1:36">
      <c r="A159" s="4">
        <v>43277</v>
      </c>
      <c r="B159" s="3" t="s">
        <v>2252</v>
      </c>
      <c r="C159" s="3" t="s">
        <v>2253</v>
      </c>
      <c r="D159" s="3" t="s">
        <v>2254</v>
      </c>
      <c r="E159" s="3" t="s">
        <v>2255</v>
      </c>
      <c r="F159" s="3" t="s">
        <v>1710</v>
      </c>
      <c r="G159" s="3">
        <v>34</v>
      </c>
      <c r="H159" s="3">
        <v>0</v>
      </c>
      <c r="I159" s="3">
        <v>0</v>
      </c>
      <c r="J159" s="3">
        <v>3</v>
      </c>
      <c r="K159" s="3">
        <v>7</v>
      </c>
      <c r="L159" s="3">
        <v>24</v>
      </c>
      <c r="M159" s="3">
        <v>0</v>
      </c>
      <c r="N159" s="3" t="s">
        <v>1711</v>
      </c>
      <c r="O159" s="3">
        <v>34</v>
      </c>
      <c r="P159" s="3">
        <v>30.86</v>
      </c>
      <c r="Q159" s="3">
        <v>0</v>
      </c>
      <c r="R159" s="3">
        <v>0</v>
      </c>
      <c r="S159" s="3">
        <v>0</v>
      </c>
      <c r="T159" s="3">
        <v>2</v>
      </c>
      <c r="U159" s="3">
        <v>4</v>
      </c>
      <c r="V159" s="3">
        <v>9</v>
      </c>
      <c r="W159" s="3"/>
      <c r="X159" s="3">
        <v>32.99</v>
      </c>
      <c r="Y159" s="3">
        <v>16.99</v>
      </c>
      <c r="Z159" s="3">
        <v>16.99</v>
      </c>
      <c r="AA159" s="3">
        <v>0</v>
      </c>
      <c r="AB159" s="3" t="s">
        <v>1713</v>
      </c>
      <c r="AC159" s="3">
        <v>34</v>
      </c>
      <c r="AD159" s="3">
        <v>16.99</v>
      </c>
      <c r="AE159" s="3">
        <v>0</v>
      </c>
      <c r="AF159" s="3">
        <v>0</v>
      </c>
      <c r="AG159" s="3">
        <v>0</v>
      </c>
      <c r="AH159" s="3">
        <v>0.143426294820717</v>
      </c>
      <c r="AI159" s="3" t="s">
        <v>2256</v>
      </c>
      <c r="AJ159" s="3" t="s">
        <v>1715</v>
      </c>
    </row>
    <row r="160" spans="1:36">
      <c r="A160" s="4">
        <v>43277</v>
      </c>
      <c r="B160" s="3" t="s">
        <v>2257</v>
      </c>
      <c r="C160" s="3" t="s">
        <v>2258</v>
      </c>
      <c r="D160" s="3" t="s">
        <v>2259</v>
      </c>
      <c r="E160" s="3" t="s">
        <v>2260</v>
      </c>
      <c r="F160" s="3" t="s">
        <v>1710</v>
      </c>
      <c r="G160" s="3">
        <v>6</v>
      </c>
      <c r="H160" s="3">
        <v>0</v>
      </c>
      <c r="I160" s="3">
        <v>6</v>
      </c>
      <c r="J160" s="3">
        <v>0</v>
      </c>
      <c r="K160" s="3">
        <v>0</v>
      </c>
      <c r="L160" s="3">
        <v>0</v>
      </c>
      <c r="M160" s="3">
        <v>0</v>
      </c>
      <c r="N160" s="3" t="s">
        <v>1711</v>
      </c>
      <c r="O160" s="3">
        <v>0</v>
      </c>
      <c r="P160" s="3">
        <v>0</v>
      </c>
      <c r="Q160" s="3">
        <v>0</v>
      </c>
      <c r="R160" s="3">
        <v>0</v>
      </c>
      <c r="S160" s="3">
        <v>1</v>
      </c>
      <c r="T160" s="3">
        <v>2</v>
      </c>
      <c r="U160" s="3">
        <v>4</v>
      </c>
      <c r="V160" s="3">
        <v>4</v>
      </c>
      <c r="W160" s="3"/>
      <c r="X160" s="3">
        <v>19.99</v>
      </c>
      <c r="Y160" s="3">
        <v>19.99</v>
      </c>
      <c r="Z160" s="3">
        <v>19.99</v>
      </c>
      <c r="AA160" s="3">
        <v>0</v>
      </c>
      <c r="AB160" s="3" t="s">
        <v>1713</v>
      </c>
      <c r="AC160" s="3">
        <v>7</v>
      </c>
      <c r="AD160" s="3">
        <v>19.99</v>
      </c>
      <c r="AE160" s="3">
        <v>0</v>
      </c>
      <c r="AF160" s="3">
        <v>0</v>
      </c>
      <c r="AG160" s="3">
        <v>0</v>
      </c>
      <c r="AH160" s="3">
        <v>0.857142857142857</v>
      </c>
      <c r="AI160" s="3" t="s">
        <v>1775</v>
      </c>
      <c r="AJ160" s="3" t="s">
        <v>1715</v>
      </c>
    </row>
    <row r="161" spans="1:36">
      <c r="A161" s="4">
        <v>43277</v>
      </c>
      <c r="B161" s="3" t="s">
        <v>2261</v>
      </c>
      <c r="C161" s="3" t="s">
        <v>2262</v>
      </c>
      <c r="D161" s="3" t="s">
        <v>2263</v>
      </c>
      <c r="E161" s="3" t="s">
        <v>2264</v>
      </c>
      <c r="F161" s="3" t="s">
        <v>1710</v>
      </c>
      <c r="G161" s="3">
        <v>11</v>
      </c>
      <c r="H161" s="3">
        <v>0</v>
      </c>
      <c r="I161" s="3">
        <v>0</v>
      </c>
      <c r="J161" s="3">
        <v>0</v>
      </c>
      <c r="K161" s="3">
        <v>11</v>
      </c>
      <c r="L161" s="3">
        <v>0</v>
      </c>
      <c r="M161" s="3">
        <v>0</v>
      </c>
      <c r="N161" s="3" t="s">
        <v>1711</v>
      </c>
      <c r="O161" s="3">
        <v>11</v>
      </c>
      <c r="P161" s="3">
        <v>32.63</v>
      </c>
      <c r="Q161" s="3">
        <v>0</v>
      </c>
      <c r="R161" s="3">
        <v>0</v>
      </c>
      <c r="S161" s="3">
        <v>0</v>
      </c>
      <c r="T161" s="3">
        <v>1</v>
      </c>
      <c r="U161" s="3">
        <v>1</v>
      </c>
      <c r="V161" s="3">
        <v>1</v>
      </c>
      <c r="W161" s="3" t="s">
        <v>1720</v>
      </c>
      <c r="X161" s="3">
        <v>30</v>
      </c>
      <c r="Y161" s="3">
        <v>18.99</v>
      </c>
      <c r="Z161" s="3">
        <v>18.99</v>
      </c>
      <c r="AA161" s="3">
        <v>0</v>
      </c>
      <c r="AB161" s="3" t="s">
        <v>1732</v>
      </c>
      <c r="AC161" s="3">
        <v>8</v>
      </c>
      <c r="AD161" s="3">
        <v>17.64</v>
      </c>
      <c r="AE161" s="3">
        <v>49</v>
      </c>
      <c r="AF161" s="3">
        <v>0</v>
      </c>
      <c r="AG161" s="3">
        <v>0.410178</v>
      </c>
      <c r="AH161" s="3">
        <v>0.0851063829787234</v>
      </c>
      <c r="AI161" s="3" t="s">
        <v>2265</v>
      </c>
      <c r="AJ161" s="3" t="s">
        <v>1783</v>
      </c>
    </row>
    <row r="162" spans="1:36">
      <c r="A162" s="4">
        <v>43277</v>
      </c>
      <c r="B162" s="3" t="s">
        <v>2266</v>
      </c>
      <c r="C162" s="3" t="s">
        <v>2267</v>
      </c>
      <c r="D162" s="3" t="s">
        <v>2268</v>
      </c>
      <c r="E162" s="3" t="s">
        <v>2269</v>
      </c>
      <c r="F162" s="3" t="s">
        <v>1710</v>
      </c>
      <c r="G162" s="3">
        <v>3</v>
      </c>
      <c r="H162" s="3">
        <v>0</v>
      </c>
      <c r="I162" s="3">
        <v>3</v>
      </c>
      <c r="J162" s="3">
        <v>0</v>
      </c>
      <c r="K162" s="3">
        <v>0</v>
      </c>
      <c r="L162" s="3">
        <v>0</v>
      </c>
      <c r="M162" s="3">
        <v>0</v>
      </c>
      <c r="N162" s="3" t="s">
        <v>1711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9</v>
      </c>
      <c r="U162" s="3">
        <v>11</v>
      </c>
      <c r="V162" s="3">
        <v>12</v>
      </c>
      <c r="W162" s="3" t="s">
        <v>1712</v>
      </c>
      <c r="X162" s="3">
        <v>38.99</v>
      </c>
      <c r="Y162" s="3">
        <v>19.99</v>
      </c>
      <c r="Z162" s="3">
        <v>19.99</v>
      </c>
      <c r="AA162" s="3">
        <v>0</v>
      </c>
      <c r="AB162" s="3" t="s">
        <v>1713</v>
      </c>
      <c r="AC162" s="3">
        <v>4</v>
      </c>
      <c r="AD162" s="3">
        <v>19.99</v>
      </c>
      <c r="AE162" s="3">
        <v>0</v>
      </c>
      <c r="AF162" s="3">
        <v>0</v>
      </c>
      <c r="AG162" s="3">
        <v>0</v>
      </c>
      <c r="AH162" s="3">
        <v>1.37142857142857</v>
      </c>
      <c r="AI162" s="3" t="s">
        <v>1891</v>
      </c>
      <c r="AJ162" s="3" t="s">
        <v>1715</v>
      </c>
    </row>
    <row r="163" spans="1:36">
      <c r="A163" s="4">
        <v>43277</v>
      </c>
      <c r="B163" s="3" t="s">
        <v>831</v>
      </c>
      <c r="C163" s="3" t="s">
        <v>832</v>
      </c>
      <c r="D163" s="3" t="s">
        <v>833</v>
      </c>
      <c r="E163" s="3" t="s">
        <v>834</v>
      </c>
      <c r="F163" s="3" t="s">
        <v>1710</v>
      </c>
      <c r="G163" s="3">
        <v>25</v>
      </c>
      <c r="H163" s="3">
        <v>0</v>
      </c>
      <c r="I163" s="3">
        <v>25</v>
      </c>
      <c r="J163" s="3">
        <v>0</v>
      </c>
      <c r="K163" s="3">
        <v>0</v>
      </c>
      <c r="L163" s="3">
        <v>0</v>
      </c>
      <c r="M163" s="3">
        <v>0</v>
      </c>
      <c r="N163" s="3" t="s">
        <v>1711</v>
      </c>
      <c r="O163" s="3">
        <v>0</v>
      </c>
      <c r="P163" s="3">
        <v>0</v>
      </c>
      <c r="Q163" s="3">
        <v>0</v>
      </c>
      <c r="R163" s="3">
        <v>0</v>
      </c>
      <c r="S163" s="3">
        <v>5</v>
      </c>
      <c r="T163" s="3">
        <v>12</v>
      </c>
      <c r="U163" s="3">
        <v>22</v>
      </c>
      <c r="V163" s="3">
        <v>31</v>
      </c>
      <c r="W163" s="3"/>
      <c r="X163" s="3">
        <v>38</v>
      </c>
      <c r="Y163" s="3">
        <v>28.58</v>
      </c>
      <c r="Z163" s="3">
        <v>28.58</v>
      </c>
      <c r="AA163" s="3">
        <v>0</v>
      </c>
      <c r="AB163" s="3" t="s">
        <v>1713</v>
      </c>
      <c r="AC163" s="3">
        <v>18</v>
      </c>
      <c r="AD163" s="3">
        <v>28.58</v>
      </c>
      <c r="AE163" s="3">
        <v>0</v>
      </c>
      <c r="AF163" s="3">
        <v>0</v>
      </c>
      <c r="AG163" s="3">
        <v>0</v>
      </c>
      <c r="AH163" s="3">
        <v>2.13793103448275</v>
      </c>
      <c r="AI163" s="3" t="s">
        <v>2270</v>
      </c>
      <c r="AJ163" s="3" t="s">
        <v>1715</v>
      </c>
    </row>
    <row r="164" spans="1:36">
      <c r="A164" s="4">
        <v>43277</v>
      </c>
      <c r="B164" s="3" t="s">
        <v>2271</v>
      </c>
      <c r="C164" s="3" t="s">
        <v>2272</v>
      </c>
      <c r="D164" s="3" t="s">
        <v>2273</v>
      </c>
      <c r="E164" s="3" t="s">
        <v>2274</v>
      </c>
      <c r="F164" s="3" t="s">
        <v>1710</v>
      </c>
      <c r="G164" s="3">
        <v>5</v>
      </c>
      <c r="H164" s="3">
        <v>0</v>
      </c>
      <c r="I164" s="3">
        <v>0</v>
      </c>
      <c r="J164" s="3">
        <v>0</v>
      </c>
      <c r="K164" s="3">
        <v>5</v>
      </c>
      <c r="L164" s="3">
        <v>0</v>
      </c>
      <c r="M164" s="3">
        <v>0</v>
      </c>
      <c r="N164" s="3" t="s">
        <v>1711</v>
      </c>
      <c r="O164" s="3">
        <v>5</v>
      </c>
      <c r="P164" s="3">
        <v>1.82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1720</v>
      </c>
      <c r="X164" s="3">
        <v>15.99</v>
      </c>
      <c r="Y164" s="3">
        <v>15.99</v>
      </c>
      <c r="Z164" s="3">
        <v>15.99</v>
      </c>
      <c r="AA164" s="3">
        <v>0</v>
      </c>
      <c r="AB164" s="3" t="s">
        <v>1732</v>
      </c>
      <c r="AC164" s="3">
        <v>0</v>
      </c>
      <c r="AD164" s="3">
        <v>14.61</v>
      </c>
      <c r="AE164" s="3">
        <v>196</v>
      </c>
      <c r="AF164" s="3">
        <v>0</v>
      </c>
      <c r="AG164" s="3">
        <v>61.515767</v>
      </c>
      <c r="AH164" s="3">
        <v>0</v>
      </c>
      <c r="AI164" s="3" t="s">
        <v>2275</v>
      </c>
      <c r="AJ164" s="3" t="s">
        <v>1783</v>
      </c>
    </row>
    <row r="165" spans="1:36">
      <c r="A165" s="4">
        <v>43277</v>
      </c>
      <c r="B165" s="3" t="s">
        <v>2276</v>
      </c>
      <c r="C165" s="3" t="s">
        <v>2277</v>
      </c>
      <c r="D165" s="3" t="s">
        <v>2278</v>
      </c>
      <c r="E165" s="3" t="s">
        <v>1985</v>
      </c>
      <c r="F165" s="3" t="s">
        <v>1710</v>
      </c>
      <c r="G165" s="3">
        <v>2</v>
      </c>
      <c r="H165" s="3">
        <v>0</v>
      </c>
      <c r="I165" s="3">
        <v>0</v>
      </c>
      <c r="J165" s="3">
        <v>0</v>
      </c>
      <c r="K165" s="3">
        <v>0</v>
      </c>
      <c r="L165" s="3">
        <v>2</v>
      </c>
      <c r="M165" s="3">
        <v>0</v>
      </c>
      <c r="N165" s="3" t="s">
        <v>1711</v>
      </c>
      <c r="O165" s="3">
        <v>2</v>
      </c>
      <c r="P165" s="3">
        <v>4.23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1720</v>
      </c>
      <c r="X165" s="3">
        <v>18.99</v>
      </c>
      <c r="Y165" s="3">
        <v>18.99</v>
      </c>
      <c r="Z165" s="3">
        <v>18.99</v>
      </c>
      <c r="AA165" s="3">
        <v>0</v>
      </c>
      <c r="AB165" s="3" t="s">
        <v>1721</v>
      </c>
      <c r="AC165" s="3">
        <v>0</v>
      </c>
      <c r="AD165" s="3">
        <v>17.66</v>
      </c>
      <c r="AE165" s="3">
        <v>42</v>
      </c>
      <c r="AF165" s="3">
        <v>0</v>
      </c>
      <c r="AG165" s="3">
        <v>67.602906</v>
      </c>
      <c r="AH165" s="3">
        <v>0</v>
      </c>
      <c r="AI165" s="3" t="s">
        <v>2279</v>
      </c>
      <c r="AJ165" s="3" t="s">
        <v>1783</v>
      </c>
    </row>
    <row r="166" spans="1:36">
      <c r="A166" s="4">
        <v>43277</v>
      </c>
      <c r="B166" s="3" t="s">
        <v>2280</v>
      </c>
      <c r="C166" s="3" t="s">
        <v>2281</v>
      </c>
      <c r="D166" s="3" t="s">
        <v>2282</v>
      </c>
      <c r="E166" s="3" t="s">
        <v>2283</v>
      </c>
      <c r="F166" s="3" t="s">
        <v>1710</v>
      </c>
      <c r="G166" s="3">
        <v>9</v>
      </c>
      <c r="H166" s="3">
        <v>0</v>
      </c>
      <c r="I166" s="3">
        <v>0</v>
      </c>
      <c r="J166" s="3">
        <v>0</v>
      </c>
      <c r="K166" s="3">
        <v>9</v>
      </c>
      <c r="L166" s="3">
        <v>0</v>
      </c>
      <c r="M166" s="3">
        <v>0</v>
      </c>
      <c r="N166" s="3" t="s">
        <v>1711</v>
      </c>
      <c r="O166" s="3">
        <v>9</v>
      </c>
      <c r="P166" s="3">
        <v>12.31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1720</v>
      </c>
      <c r="X166" s="3">
        <v>16.99</v>
      </c>
      <c r="Y166" s="3">
        <v>16.99</v>
      </c>
      <c r="Z166" s="3">
        <v>16.99</v>
      </c>
      <c r="AA166" s="3">
        <v>0</v>
      </c>
      <c r="AB166" s="3" t="s">
        <v>1732</v>
      </c>
      <c r="AC166" s="3">
        <v>0</v>
      </c>
      <c r="AD166" s="3">
        <v>15.74</v>
      </c>
      <c r="AE166" s="3">
        <v>49</v>
      </c>
      <c r="AF166" s="3">
        <v>0</v>
      </c>
      <c r="AG166" s="3">
        <v>224.070136</v>
      </c>
      <c r="AH166" s="3">
        <v>0</v>
      </c>
      <c r="AI166" s="3" t="s">
        <v>1851</v>
      </c>
      <c r="AJ166" s="3" t="s">
        <v>1715</v>
      </c>
    </row>
    <row r="167" spans="1:36">
      <c r="A167" s="4">
        <v>43277</v>
      </c>
      <c r="B167" s="3" t="s">
        <v>2284</v>
      </c>
      <c r="C167" s="3" t="s">
        <v>2285</v>
      </c>
      <c r="D167" s="3" t="s">
        <v>2286</v>
      </c>
      <c r="E167" s="3" t="s">
        <v>2287</v>
      </c>
      <c r="F167" s="3" t="s">
        <v>1710</v>
      </c>
      <c r="G167" s="3">
        <v>5</v>
      </c>
      <c r="H167" s="3">
        <v>0</v>
      </c>
      <c r="I167" s="3">
        <v>5</v>
      </c>
      <c r="J167" s="3">
        <v>0</v>
      </c>
      <c r="K167" s="3">
        <v>0</v>
      </c>
      <c r="L167" s="3">
        <v>0</v>
      </c>
      <c r="M167" s="3">
        <v>0</v>
      </c>
      <c r="N167" s="3" t="s">
        <v>1711</v>
      </c>
      <c r="O167" s="3">
        <v>0</v>
      </c>
      <c r="P167" s="3">
        <v>0</v>
      </c>
      <c r="Q167" s="3">
        <v>0</v>
      </c>
      <c r="R167" s="3">
        <v>0</v>
      </c>
      <c r="S167" s="3">
        <v>1</v>
      </c>
      <c r="T167" s="3">
        <v>4</v>
      </c>
      <c r="U167" s="3">
        <v>10</v>
      </c>
      <c r="V167" s="3">
        <v>20</v>
      </c>
      <c r="W167" s="3"/>
      <c r="X167" s="3">
        <v>27.99</v>
      </c>
      <c r="Y167" s="3">
        <v>27.99</v>
      </c>
      <c r="Z167" s="3">
        <v>25.99</v>
      </c>
      <c r="AA167" s="3">
        <v>0</v>
      </c>
      <c r="AB167" s="3" t="s">
        <v>1713</v>
      </c>
      <c r="AC167" s="3">
        <v>6</v>
      </c>
      <c r="AD167" s="3">
        <v>27.99</v>
      </c>
      <c r="AE167" s="3">
        <v>0</v>
      </c>
      <c r="AF167" s="3">
        <v>0</v>
      </c>
      <c r="AG167" s="3">
        <v>0</v>
      </c>
      <c r="AH167" s="3">
        <v>2.66666666666666</v>
      </c>
      <c r="AI167" s="3" t="s">
        <v>1831</v>
      </c>
      <c r="AJ167" s="3" t="s">
        <v>1715</v>
      </c>
    </row>
    <row r="168" spans="1:36">
      <c r="A168" s="4">
        <v>43277</v>
      </c>
      <c r="B168" s="3" t="s">
        <v>2288</v>
      </c>
      <c r="C168" s="3" t="s">
        <v>2289</v>
      </c>
      <c r="D168" s="3" t="s">
        <v>2290</v>
      </c>
      <c r="E168" s="3" t="s">
        <v>2291</v>
      </c>
      <c r="F168" s="3" t="s">
        <v>1710</v>
      </c>
      <c r="G168" s="3">
        <v>7</v>
      </c>
      <c r="H168" s="3">
        <v>0</v>
      </c>
      <c r="I168" s="3">
        <v>3</v>
      </c>
      <c r="J168" s="3">
        <v>0</v>
      </c>
      <c r="K168" s="3">
        <v>0</v>
      </c>
      <c r="L168" s="3">
        <v>1</v>
      </c>
      <c r="M168" s="3">
        <v>3</v>
      </c>
      <c r="N168" s="3" t="s">
        <v>1711</v>
      </c>
      <c r="O168" s="3">
        <v>0</v>
      </c>
      <c r="P168" s="3">
        <v>0</v>
      </c>
      <c r="Q168" s="3">
        <v>4</v>
      </c>
      <c r="R168" s="3">
        <v>5.48</v>
      </c>
      <c r="S168" s="3">
        <v>0</v>
      </c>
      <c r="T168" s="3">
        <v>1</v>
      </c>
      <c r="U168" s="3">
        <v>1</v>
      </c>
      <c r="V168" s="3">
        <v>1</v>
      </c>
      <c r="W168" s="3"/>
      <c r="X168" s="3">
        <v>20.99</v>
      </c>
      <c r="Y168" s="3">
        <v>20.99</v>
      </c>
      <c r="Z168" s="3">
        <v>20.99</v>
      </c>
      <c r="AA168" s="3">
        <v>0</v>
      </c>
      <c r="AB168" s="3" t="s">
        <v>1732</v>
      </c>
      <c r="AC168" s="3">
        <v>0</v>
      </c>
      <c r="AD168" s="3">
        <v>16.79</v>
      </c>
      <c r="AE168" s="3">
        <v>63</v>
      </c>
      <c r="AF168" s="3">
        <v>0</v>
      </c>
      <c r="AG168" s="3">
        <v>64.596175</v>
      </c>
      <c r="AH168" s="3">
        <v>0.142857142857142</v>
      </c>
      <c r="AI168" s="3" t="s">
        <v>1914</v>
      </c>
      <c r="AJ168" s="3" t="s">
        <v>1715</v>
      </c>
    </row>
    <row r="169" spans="1:36">
      <c r="A169" s="4">
        <v>43277</v>
      </c>
      <c r="B169" s="3" t="s">
        <v>2292</v>
      </c>
      <c r="C169" s="3" t="s">
        <v>2293</v>
      </c>
      <c r="D169" s="3" t="s">
        <v>2294</v>
      </c>
      <c r="E169" s="3" t="s">
        <v>1426</v>
      </c>
      <c r="F169" s="3" t="s">
        <v>1710</v>
      </c>
      <c r="G169" s="3">
        <v>9</v>
      </c>
      <c r="H169" s="3">
        <v>0</v>
      </c>
      <c r="I169" s="3">
        <v>9</v>
      </c>
      <c r="J169" s="3">
        <v>0</v>
      </c>
      <c r="K169" s="3">
        <v>0</v>
      </c>
      <c r="L169" s="3">
        <v>0</v>
      </c>
      <c r="M169" s="3">
        <v>0</v>
      </c>
      <c r="N169" s="3" t="s">
        <v>1711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1</v>
      </c>
      <c r="V169" s="3">
        <v>1</v>
      </c>
      <c r="W169" s="3"/>
      <c r="X169" s="3">
        <v>19.99</v>
      </c>
      <c r="Y169" s="3">
        <v>19.99</v>
      </c>
      <c r="Z169" s="3">
        <v>19.99</v>
      </c>
      <c r="AA169" s="3">
        <v>0</v>
      </c>
      <c r="AB169" s="3" t="s">
        <v>1713</v>
      </c>
      <c r="AC169" s="3">
        <v>9</v>
      </c>
      <c r="AD169" s="3">
        <v>19.99</v>
      </c>
      <c r="AE169" s="3">
        <v>0</v>
      </c>
      <c r="AF169" s="3">
        <v>0</v>
      </c>
      <c r="AG169" s="3">
        <v>0</v>
      </c>
      <c r="AH169" s="3">
        <v>0.222222222222222</v>
      </c>
      <c r="AI169" s="3" t="s">
        <v>2295</v>
      </c>
      <c r="AJ169" s="3" t="s">
        <v>1715</v>
      </c>
    </row>
    <row r="170" spans="1:36">
      <c r="A170" s="4">
        <v>43277</v>
      </c>
      <c r="B170" s="3" t="s">
        <v>2296</v>
      </c>
      <c r="C170" s="3" t="s">
        <v>2297</v>
      </c>
      <c r="D170" s="3" t="s">
        <v>2298</v>
      </c>
      <c r="E170" s="3" t="s">
        <v>2299</v>
      </c>
      <c r="F170" s="3" t="s">
        <v>1710</v>
      </c>
      <c r="G170" s="3">
        <v>7</v>
      </c>
      <c r="H170" s="3">
        <v>0</v>
      </c>
      <c r="I170" s="3">
        <v>3</v>
      </c>
      <c r="J170" s="3">
        <v>0</v>
      </c>
      <c r="K170" s="3">
        <v>0</v>
      </c>
      <c r="L170" s="3">
        <v>1</v>
      </c>
      <c r="M170" s="3">
        <v>3</v>
      </c>
      <c r="N170" s="3" t="s">
        <v>1711</v>
      </c>
      <c r="O170" s="3">
        <v>1</v>
      </c>
      <c r="P170" s="3">
        <v>0.71</v>
      </c>
      <c r="Q170" s="3">
        <v>3</v>
      </c>
      <c r="R170" s="3">
        <v>4.28</v>
      </c>
      <c r="S170" s="3">
        <v>0</v>
      </c>
      <c r="T170" s="3">
        <v>0</v>
      </c>
      <c r="U170" s="3">
        <v>4</v>
      </c>
      <c r="V170" s="3">
        <v>4</v>
      </c>
      <c r="W170" s="3" t="s">
        <v>1712</v>
      </c>
      <c r="X170" s="3">
        <v>28.99</v>
      </c>
      <c r="Y170" s="3">
        <v>15.99</v>
      </c>
      <c r="Z170" s="3">
        <v>15.55</v>
      </c>
      <c r="AA170" s="3">
        <v>0</v>
      </c>
      <c r="AB170" s="3" t="s">
        <v>1713</v>
      </c>
      <c r="AC170" s="3">
        <v>7</v>
      </c>
      <c r="AD170" s="3">
        <v>15.99</v>
      </c>
      <c r="AE170" s="3">
        <v>0</v>
      </c>
      <c r="AF170" s="3">
        <v>0</v>
      </c>
      <c r="AG170" s="3">
        <v>0</v>
      </c>
      <c r="AH170" s="3">
        <v>0.533333333333333</v>
      </c>
      <c r="AI170" s="3" t="s">
        <v>2082</v>
      </c>
      <c r="AJ170" s="3" t="s">
        <v>1715</v>
      </c>
    </row>
    <row r="171" spans="1:36">
      <c r="A171" s="4">
        <v>43277</v>
      </c>
      <c r="B171" s="3" t="s">
        <v>679</v>
      </c>
      <c r="C171" s="3" t="s">
        <v>680</v>
      </c>
      <c r="D171" s="3" t="s">
        <v>681</v>
      </c>
      <c r="E171" s="3" t="s">
        <v>682</v>
      </c>
      <c r="F171" s="3" t="s">
        <v>1710</v>
      </c>
      <c r="G171" s="3">
        <v>66</v>
      </c>
      <c r="H171" s="3">
        <v>0</v>
      </c>
      <c r="I171" s="3">
        <v>66</v>
      </c>
      <c r="J171" s="3">
        <v>0</v>
      </c>
      <c r="K171" s="3">
        <v>0</v>
      </c>
      <c r="L171" s="3">
        <v>0</v>
      </c>
      <c r="M171" s="3">
        <v>0</v>
      </c>
      <c r="N171" s="3" t="s">
        <v>1711</v>
      </c>
      <c r="O171" s="3">
        <v>0</v>
      </c>
      <c r="P171" s="3">
        <v>0</v>
      </c>
      <c r="Q171" s="3">
        <v>0</v>
      </c>
      <c r="R171" s="3">
        <v>0</v>
      </c>
      <c r="S171" s="3">
        <v>3</v>
      </c>
      <c r="T171" s="3">
        <v>25</v>
      </c>
      <c r="U171" s="3">
        <v>40</v>
      </c>
      <c r="V171" s="3">
        <v>53</v>
      </c>
      <c r="W171" s="3"/>
      <c r="X171" s="3">
        <v>38</v>
      </c>
      <c r="Y171" s="3">
        <v>28.58</v>
      </c>
      <c r="Z171" s="3">
        <v>28</v>
      </c>
      <c r="AA171" s="3">
        <v>0</v>
      </c>
      <c r="AB171" s="3" t="s">
        <v>1713</v>
      </c>
      <c r="AC171" s="3">
        <v>20</v>
      </c>
      <c r="AD171" s="3">
        <v>28.58</v>
      </c>
      <c r="AE171" s="3">
        <v>0</v>
      </c>
      <c r="AF171" s="3">
        <v>0</v>
      </c>
      <c r="AG171" s="3">
        <v>0</v>
      </c>
      <c r="AH171" s="3">
        <v>1.38562091503267</v>
      </c>
      <c r="AI171" s="3" t="s">
        <v>2300</v>
      </c>
      <c r="AJ171" s="3" t="s">
        <v>1715</v>
      </c>
    </row>
    <row r="172" spans="1:36">
      <c r="A172" s="4">
        <v>43277</v>
      </c>
      <c r="B172" s="3" t="s">
        <v>2301</v>
      </c>
      <c r="C172" s="3" t="s">
        <v>2302</v>
      </c>
      <c r="D172" s="3" t="s">
        <v>2303</v>
      </c>
      <c r="E172" s="3" t="s">
        <v>1755</v>
      </c>
      <c r="F172" s="3" t="s">
        <v>1710</v>
      </c>
      <c r="G172" s="3">
        <v>10</v>
      </c>
      <c r="H172" s="3">
        <v>0</v>
      </c>
      <c r="I172" s="3">
        <v>10</v>
      </c>
      <c r="J172" s="3">
        <v>0</v>
      </c>
      <c r="K172" s="3">
        <v>0</v>
      </c>
      <c r="L172" s="3">
        <v>0</v>
      </c>
      <c r="M172" s="3">
        <v>0</v>
      </c>
      <c r="N172" s="3" t="s">
        <v>1711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1720</v>
      </c>
      <c r="X172" s="3">
        <v>15.99</v>
      </c>
      <c r="Y172" s="3">
        <v>15.99</v>
      </c>
      <c r="Z172" s="3">
        <v>15.99</v>
      </c>
      <c r="AA172" s="3">
        <v>0</v>
      </c>
      <c r="AB172" s="3" t="s">
        <v>1721</v>
      </c>
      <c r="AC172" s="3">
        <v>10</v>
      </c>
      <c r="AD172" s="3">
        <v>15.99</v>
      </c>
      <c r="AE172" s="3">
        <v>0</v>
      </c>
      <c r="AF172" s="3">
        <v>0</v>
      </c>
      <c r="AG172" s="3">
        <v>0</v>
      </c>
      <c r="AH172" s="3">
        <v>0</v>
      </c>
      <c r="AI172" s="3" t="s">
        <v>1756</v>
      </c>
      <c r="AJ172" s="3" t="s">
        <v>1715</v>
      </c>
    </row>
    <row r="173" spans="1:36">
      <c r="A173" s="4">
        <v>43277</v>
      </c>
      <c r="B173" s="3" t="s">
        <v>2304</v>
      </c>
      <c r="C173" s="3" t="s">
        <v>2305</v>
      </c>
      <c r="D173" s="3" t="s">
        <v>2306</v>
      </c>
      <c r="E173" s="3" t="s">
        <v>2307</v>
      </c>
      <c r="F173" s="3" t="s">
        <v>1710</v>
      </c>
      <c r="G173" s="3">
        <v>12</v>
      </c>
      <c r="H173" s="3">
        <v>0</v>
      </c>
      <c r="I173" s="3">
        <v>0</v>
      </c>
      <c r="J173" s="3">
        <v>0</v>
      </c>
      <c r="K173" s="3">
        <v>12</v>
      </c>
      <c r="L173" s="3">
        <v>0</v>
      </c>
      <c r="M173" s="3">
        <v>0</v>
      </c>
      <c r="N173" s="3" t="s">
        <v>1711</v>
      </c>
      <c r="O173" s="3">
        <v>12</v>
      </c>
      <c r="P173" s="3">
        <v>16.42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1720</v>
      </c>
      <c r="X173" s="3">
        <v>16.99</v>
      </c>
      <c r="Y173" s="3">
        <v>16.99</v>
      </c>
      <c r="Z173" s="3">
        <v>16.99</v>
      </c>
      <c r="AA173" s="3">
        <v>0</v>
      </c>
      <c r="AB173" s="3" t="s">
        <v>1732</v>
      </c>
      <c r="AC173" s="3">
        <v>0</v>
      </c>
      <c r="AD173" s="3">
        <v>14.63</v>
      </c>
      <c r="AE173" s="3">
        <v>231</v>
      </c>
      <c r="AF173" s="3">
        <v>0</v>
      </c>
      <c r="AG173" s="3">
        <v>265.798034</v>
      </c>
      <c r="AH173" s="3">
        <v>0</v>
      </c>
      <c r="AI173" s="3" t="s">
        <v>1851</v>
      </c>
      <c r="AJ173" s="3" t="s">
        <v>1715</v>
      </c>
    </row>
    <row r="174" spans="1:36">
      <c r="A174" s="4">
        <v>43277</v>
      </c>
      <c r="B174" s="3" t="s">
        <v>2308</v>
      </c>
      <c r="C174" s="3" t="s">
        <v>2309</v>
      </c>
      <c r="D174" s="3" t="s">
        <v>2310</v>
      </c>
      <c r="E174" s="3" t="s">
        <v>2311</v>
      </c>
      <c r="F174" s="3" t="s">
        <v>1710</v>
      </c>
      <c r="G174" s="3">
        <v>8</v>
      </c>
      <c r="H174" s="3">
        <v>0</v>
      </c>
      <c r="I174" s="3">
        <v>0</v>
      </c>
      <c r="J174" s="3">
        <v>0</v>
      </c>
      <c r="K174" s="3">
        <v>8</v>
      </c>
      <c r="L174" s="3">
        <v>0</v>
      </c>
      <c r="M174" s="3">
        <v>0</v>
      </c>
      <c r="N174" s="3" t="s">
        <v>1711</v>
      </c>
      <c r="O174" s="3">
        <v>8</v>
      </c>
      <c r="P174" s="3">
        <v>10.94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1720</v>
      </c>
      <c r="X174" s="3">
        <v>16.99</v>
      </c>
      <c r="Y174" s="3">
        <v>16.99</v>
      </c>
      <c r="Z174" s="3">
        <v>16.99</v>
      </c>
      <c r="AA174" s="3">
        <v>0</v>
      </c>
      <c r="AB174" s="3" t="s">
        <v>1721</v>
      </c>
      <c r="AC174" s="3">
        <v>0</v>
      </c>
      <c r="AD174" s="3">
        <v>15.08</v>
      </c>
      <c r="AE174" s="3">
        <v>175</v>
      </c>
      <c r="AF174" s="3">
        <v>0</v>
      </c>
      <c r="AG174" s="3">
        <v>182.807962</v>
      </c>
      <c r="AH174" s="3">
        <v>0</v>
      </c>
      <c r="AI174" s="3" t="s">
        <v>1851</v>
      </c>
      <c r="AJ174" s="3" t="s">
        <v>1715</v>
      </c>
    </row>
    <row r="175" spans="1:36">
      <c r="A175" s="4">
        <v>43277</v>
      </c>
      <c r="B175" s="3" t="s">
        <v>8</v>
      </c>
      <c r="C175" s="3" t="s">
        <v>9</v>
      </c>
      <c r="D175" s="3" t="s">
        <v>10</v>
      </c>
      <c r="E175" s="3" t="s">
        <v>2312</v>
      </c>
      <c r="F175" s="3" t="s">
        <v>1710</v>
      </c>
      <c r="G175" s="3">
        <v>2</v>
      </c>
      <c r="H175" s="3">
        <v>0</v>
      </c>
      <c r="I175" s="3">
        <v>0</v>
      </c>
      <c r="J175" s="3">
        <v>0</v>
      </c>
      <c r="K175" s="3">
        <v>0</v>
      </c>
      <c r="L175" s="3">
        <v>1</v>
      </c>
      <c r="M175" s="3">
        <v>1</v>
      </c>
      <c r="N175" s="3" t="s">
        <v>1711</v>
      </c>
      <c r="O175" s="3">
        <v>0</v>
      </c>
      <c r="P175" s="3">
        <v>0</v>
      </c>
      <c r="Q175" s="3">
        <v>2</v>
      </c>
      <c r="R175" s="3">
        <v>2.82</v>
      </c>
      <c r="S175" s="3">
        <v>0</v>
      </c>
      <c r="T175" s="3">
        <v>1</v>
      </c>
      <c r="U175" s="3">
        <v>4</v>
      </c>
      <c r="V175" s="3">
        <v>5</v>
      </c>
      <c r="W175" s="3" t="s">
        <v>1712</v>
      </c>
      <c r="X175" s="3">
        <v>15.99</v>
      </c>
      <c r="Y175" s="3">
        <v>15.99</v>
      </c>
      <c r="Z175" s="3">
        <v>15.55</v>
      </c>
      <c r="AA175" s="3">
        <v>0</v>
      </c>
      <c r="AB175" s="3" t="s">
        <v>1713</v>
      </c>
      <c r="AC175" s="3">
        <v>2</v>
      </c>
      <c r="AD175" s="3">
        <v>15.99</v>
      </c>
      <c r="AE175" s="3">
        <v>0</v>
      </c>
      <c r="AF175" s="3">
        <v>0</v>
      </c>
      <c r="AG175" s="3">
        <v>0</v>
      </c>
      <c r="AH175" s="3">
        <v>1.11111111111111</v>
      </c>
      <c r="AI175" s="3" t="s">
        <v>2036</v>
      </c>
      <c r="AJ175" s="3" t="s">
        <v>1715</v>
      </c>
    </row>
    <row r="176" spans="1:36">
      <c r="A176" s="4">
        <v>43277</v>
      </c>
      <c r="B176" s="3" t="s">
        <v>2313</v>
      </c>
      <c r="C176" s="3" t="s">
        <v>2314</v>
      </c>
      <c r="D176" s="3" t="s">
        <v>2315</v>
      </c>
      <c r="E176" s="3" t="s">
        <v>1855</v>
      </c>
      <c r="F176" s="3" t="s">
        <v>1710</v>
      </c>
      <c r="G176" s="3">
        <v>3</v>
      </c>
      <c r="H176" s="3">
        <v>0</v>
      </c>
      <c r="I176" s="3">
        <v>0</v>
      </c>
      <c r="J176" s="3">
        <v>0</v>
      </c>
      <c r="K176" s="3">
        <v>0</v>
      </c>
      <c r="L176" s="3">
        <v>3</v>
      </c>
      <c r="M176" s="3">
        <v>0</v>
      </c>
      <c r="N176" s="3" t="s">
        <v>1711</v>
      </c>
      <c r="O176" s="3">
        <v>3</v>
      </c>
      <c r="P176" s="3">
        <v>3.24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1720</v>
      </c>
      <c r="X176" s="3">
        <v>18.99</v>
      </c>
      <c r="Y176" s="3">
        <v>18.99</v>
      </c>
      <c r="Z176" s="3">
        <v>18.99</v>
      </c>
      <c r="AA176" s="3">
        <v>0</v>
      </c>
      <c r="AB176" s="3" t="s">
        <v>1732</v>
      </c>
      <c r="AC176" s="3">
        <v>0</v>
      </c>
      <c r="AD176" s="3">
        <v>15.14</v>
      </c>
      <c r="AE176" s="3">
        <v>364</v>
      </c>
      <c r="AF176" s="3">
        <v>0</v>
      </c>
      <c r="AG176" s="3">
        <v>51.285324</v>
      </c>
      <c r="AH176" s="3">
        <v>0</v>
      </c>
      <c r="AI176" s="3" t="s">
        <v>1856</v>
      </c>
      <c r="AJ176" s="3" t="s">
        <v>1715</v>
      </c>
    </row>
    <row r="177" spans="1:36">
      <c r="A177" s="4">
        <v>43277</v>
      </c>
      <c r="B177" s="3" t="s">
        <v>407</v>
      </c>
      <c r="C177" s="3" t="s">
        <v>408</v>
      </c>
      <c r="D177" s="3" t="s">
        <v>409</v>
      </c>
      <c r="E177" s="3" t="s">
        <v>410</v>
      </c>
      <c r="F177" s="3" t="s">
        <v>1710</v>
      </c>
      <c r="G177" s="3">
        <v>49</v>
      </c>
      <c r="H177" s="3">
        <v>0</v>
      </c>
      <c r="I177" s="3">
        <v>49</v>
      </c>
      <c r="J177" s="3">
        <v>0</v>
      </c>
      <c r="K177" s="3">
        <v>0</v>
      </c>
      <c r="L177" s="3">
        <v>0</v>
      </c>
      <c r="M177" s="3">
        <v>0</v>
      </c>
      <c r="N177" s="3" t="s">
        <v>1711</v>
      </c>
      <c r="O177" s="3">
        <v>0</v>
      </c>
      <c r="P177" s="3">
        <v>0</v>
      </c>
      <c r="Q177" s="3">
        <v>0</v>
      </c>
      <c r="R177" s="3">
        <v>0</v>
      </c>
      <c r="S177" s="3">
        <v>4</v>
      </c>
      <c r="T177" s="3">
        <v>16</v>
      </c>
      <c r="U177" s="3">
        <v>25</v>
      </c>
      <c r="V177" s="3">
        <v>40</v>
      </c>
      <c r="W177" s="3"/>
      <c r="X177" s="3">
        <v>28.99</v>
      </c>
      <c r="Y177" s="3">
        <v>28.99</v>
      </c>
      <c r="Z177" s="3">
        <v>28</v>
      </c>
      <c r="AA177" s="3">
        <v>0</v>
      </c>
      <c r="AB177" s="3" t="s">
        <v>1713</v>
      </c>
      <c r="AC177" s="3">
        <v>49</v>
      </c>
      <c r="AD177" s="3">
        <v>28.99</v>
      </c>
      <c r="AE177" s="3">
        <v>0</v>
      </c>
      <c r="AF177" s="3">
        <v>0</v>
      </c>
      <c r="AG177" s="3">
        <v>0</v>
      </c>
      <c r="AH177" s="3">
        <v>1.15942028985507</v>
      </c>
      <c r="AI177" s="3" t="s">
        <v>2316</v>
      </c>
      <c r="AJ177" s="3" t="s">
        <v>1715</v>
      </c>
    </row>
    <row r="178" spans="1:36">
      <c r="A178" s="4">
        <v>43277</v>
      </c>
      <c r="B178" s="3" t="s">
        <v>2317</v>
      </c>
      <c r="C178" s="3" t="s">
        <v>2318</v>
      </c>
      <c r="D178" s="3" t="s">
        <v>2319</v>
      </c>
      <c r="E178" s="3" t="s">
        <v>2320</v>
      </c>
      <c r="F178" s="3" t="s">
        <v>1710</v>
      </c>
      <c r="G178" s="3">
        <v>13</v>
      </c>
      <c r="H178" s="3">
        <v>0</v>
      </c>
      <c r="I178" s="3">
        <v>10</v>
      </c>
      <c r="J178" s="3">
        <v>3</v>
      </c>
      <c r="K178" s="3">
        <v>0</v>
      </c>
      <c r="L178" s="3">
        <v>0</v>
      </c>
      <c r="M178" s="3">
        <v>0</v>
      </c>
      <c r="N178" s="3" t="s">
        <v>1711</v>
      </c>
      <c r="O178" s="3">
        <v>3</v>
      </c>
      <c r="P178" s="3">
        <v>1.8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2</v>
      </c>
      <c r="W178" s="3" t="s">
        <v>1712</v>
      </c>
      <c r="X178" s="3">
        <v>16.99</v>
      </c>
      <c r="Y178" s="3">
        <v>16.99</v>
      </c>
      <c r="Z178" s="3">
        <v>16</v>
      </c>
      <c r="AA178" s="3">
        <v>0</v>
      </c>
      <c r="AB178" s="3" t="s">
        <v>1732</v>
      </c>
      <c r="AC178" s="3">
        <v>0</v>
      </c>
      <c r="AD178" s="3">
        <v>16.09</v>
      </c>
      <c r="AE178" s="3">
        <v>126</v>
      </c>
      <c r="AF178" s="3">
        <v>0</v>
      </c>
      <c r="AG178" s="3">
        <v>207.919593</v>
      </c>
      <c r="AH178" s="3">
        <v>0.205128205128205</v>
      </c>
      <c r="AI178" s="3" t="s">
        <v>1905</v>
      </c>
      <c r="AJ178" s="3" t="s">
        <v>1715</v>
      </c>
    </row>
    <row r="179" spans="1:36">
      <c r="A179" s="4">
        <v>43277</v>
      </c>
      <c r="B179" s="3" t="s">
        <v>2321</v>
      </c>
      <c r="C179" s="3" t="s">
        <v>2322</v>
      </c>
      <c r="D179" s="3" t="s">
        <v>2323</v>
      </c>
      <c r="E179" s="3" t="s">
        <v>2324</v>
      </c>
      <c r="F179" s="3" t="s">
        <v>1710</v>
      </c>
      <c r="G179" s="3">
        <v>13</v>
      </c>
      <c r="H179" s="3">
        <v>0</v>
      </c>
      <c r="I179" s="3">
        <v>5</v>
      </c>
      <c r="J179" s="3">
        <v>8</v>
      </c>
      <c r="K179" s="3">
        <v>0</v>
      </c>
      <c r="L179" s="3">
        <v>0</v>
      </c>
      <c r="M179" s="3">
        <v>0</v>
      </c>
      <c r="N179" s="3" t="s">
        <v>1711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5</v>
      </c>
      <c r="W179" s="3" t="s">
        <v>1712</v>
      </c>
      <c r="X179" s="3">
        <v>27.99</v>
      </c>
      <c r="Y179" s="3">
        <v>27.99</v>
      </c>
      <c r="Z179" s="3">
        <v>25.99</v>
      </c>
      <c r="AA179" s="3">
        <v>0</v>
      </c>
      <c r="AB179" s="3" t="s">
        <v>1732</v>
      </c>
      <c r="AC179" s="3">
        <v>0</v>
      </c>
      <c r="AD179" s="3">
        <v>22.13</v>
      </c>
      <c r="AE179" s="3">
        <v>231</v>
      </c>
      <c r="AF179" s="3">
        <v>0</v>
      </c>
      <c r="AG179" s="3">
        <v>525.732999</v>
      </c>
      <c r="AH179" s="3">
        <v>0.425531914893617</v>
      </c>
      <c r="AI179" s="3" t="s">
        <v>1831</v>
      </c>
      <c r="AJ179" s="3" t="s">
        <v>1715</v>
      </c>
    </row>
    <row r="180" spans="1:36">
      <c r="A180" s="4">
        <v>43277</v>
      </c>
      <c r="B180" s="3" t="s">
        <v>571</v>
      </c>
      <c r="C180" s="3" t="s">
        <v>572</v>
      </c>
      <c r="D180" s="3" t="s">
        <v>573</v>
      </c>
      <c r="E180" s="3" t="s">
        <v>574</v>
      </c>
      <c r="F180" s="3" t="s">
        <v>1710</v>
      </c>
      <c r="G180" s="3">
        <v>78</v>
      </c>
      <c r="H180" s="3">
        <v>0</v>
      </c>
      <c r="I180" s="3">
        <v>78</v>
      </c>
      <c r="J180" s="3">
        <v>0</v>
      </c>
      <c r="K180" s="3">
        <v>0</v>
      </c>
      <c r="L180" s="3">
        <v>0</v>
      </c>
      <c r="M180" s="3">
        <v>0</v>
      </c>
      <c r="N180" s="3" t="s">
        <v>1711</v>
      </c>
      <c r="O180" s="3">
        <v>0</v>
      </c>
      <c r="P180" s="3">
        <v>0</v>
      </c>
      <c r="Q180" s="3">
        <v>0</v>
      </c>
      <c r="R180" s="3">
        <v>0</v>
      </c>
      <c r="S180" s="3">
        <v>8</v>
      </c>
      <c r="T180" s="3">
        <v>37</v>
      </c>
      <c r="U180" s="3">
        <v>65</v>
      </c>
      <c r="V180" s="3">
        <v>80</v>
      </c>
      <c r="W180" s="3"/>
      <c r="X180" s="3">
        <v>38</v>
      </c>
      <c r="Y180" s="3">
        <v>28.58</v>
      </c>
      <c r="Z180" s="3">
        <v>28</v>
      </c>
      <c r="AA180" s="3">
        <v>0</v>
      </c>
      <c r="AB180" s="3" t="s">
        <v>1713</v>
      </c>
      <c r="AC180" s="3">
        <v>13</v>
      </c>
      <c r="AD180" s="3">
        <v>28.58</v>
      </c>
      <c r="AE180" s="3">
        <v>0</v>
      </c>
      <c r="AF180" s="3">
        <v>0</v>
      </c>
      <c r="AG180" s="3">
        <v>0</v>
      </c>
      <c r="AH180" s="3">
        <v>2.66666666666666</v>
      </c>
      <c r="AI180" s="3" t="s">
        <v>1801</v>
      </c>
      <c r="AJ180" s="3" t="s">
        <v>1715</v>
      </c>
    </row>
    <row r="181" spans="1:36">
      <c r="A181" s="4">
        <v>43277</v>
      </c>
      <c r="B181" s="3" t="s">
        <v>2325</v>
      </c>
      <c r="C181" s="3" t="s">
        <v>2326</v>
      </c>
      <c r="D181" s="3" t="s">
        <v>2327</v>
      </c>
      <c r="E181" s="3" t="s">
        <v>2328</v>
      </c>
      <c r="F181" s="3" t="s">
        <v>1710</v>
      </c>
      <c r="G181" s="3">
        <v>9</v>
      </c>
      <c r="H181" s="3">
        <v>0</v>
      </c>
      <c r="I181" s="3">
        <v>0</v>
      </c>
      <c r="J181" s="3">
        <v>0</v>
      </c>
      <c r="K181" s="3">
        <v>9</v>
      </c>
      <c r="L181" s="3">
        <v>0</v>
      </c>
      <c r="M181" s="3">
        <v>0</v>
      </c>
      <c r="N181" s="3" t="s">
        <v>1711</v>
      </c>
      <c r="O181" s="3">
        <v>9</v>
      </c>
      <c r="P181" s="3">
        <v>10.91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1720</v>
      </c>
      <c r="X181" s="3">
        <v>17.99</v>
      </c>
      <c r="Y181" s="3">
        <v>17.99</v>
      </c>
      <c r="Z181" s="3">
        <v>17.99</v>
      </c>
      <c r="AA181" s="3">
        <v>0</v>
      </c>
      <c r="AB181" s="3" t="s">
        <v>1732</v>
      </c>
      <c r="AC181" s="3">
        <v>0</v>
      </c>
      <c r="AD181" s="3">
        <v>15.41</v>
      </c>
      <c r="AE181" s="3">
        <v>231</v>
      </c>
      <c r="AF181" s="3">
        <v>0</v>
      </c>
      <c r="AG181" s="3">
        <v>188.887683</v>
      </c>
      <c r="AH181" s="3">
        <v>0</v>
      </c>
      <c r="AI181" s="3" t="s">
        <v>1996</v>
      </c>
      <c r="AJ181" s="3" t="s">
        <v>1715</v>
      </c>
    </row>
    <row r="182" spans="1:36">
      <c r="A182" s="4">
        <v>43277</v>
      </c>
      <c r="B182" s="3" t="s">
        <v>2329</v>
      </c>
      <c r="C182" s="3" t="s">
        <v>2330</v>
      </c>
      <c r="D182" s="3" t="s">
        <v>2331</v>
      </c>
      <c r="E182" s="3" t="s">
        <v>2332</v>
      </c>
      <c r="F182" s="3" t="s">
        <v>1710</v>
      </c>
      <c r="G182" s="3">
        <v>11</v>
      </c>
      <c r="H182" s="3">
        <v>0</v>
      </c>
      <c r="I182" s="3">
        <v>0</v>
      </c>
      <c r="J182" s="3">
        <v>1</v>
      </c>
      <c r="K182" s="3">
        <v>10</v>
      </c>
      <c r="L182" s="3">
        <v>0</v>
      </c>
      <c r="M182" s="3">
        <v>0</v>
      </c>
      <c r="N182" s="3" t="s">
        <v>1711</v>
      </c>
      <c r="O182" s="3">
        <v>10</v>
      </c>
      <c r="P182" s="3">
        <v>16.58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1</v>
      </c>
      <c r="W182" s="3" t="s">
        <v>1712</v>
      </c>
      <c r="X182" s="3">
        <v>16.99</v>
      </c>
      <c r="Y182" s="3">
        <v>16.99</v>
      </c>
      <c r="Z182" s="3">
        <v>16.99</v>
      </c>
      <c r="AA182" s="3">
        <v>0</v>
      </c>
      <c r="AB182" s="3" t="s">
        <v>1732</v>
      </c>
      <c r="AC182" s="3">
        <v>0</v>
      </c>
      <c r="AD182" s="3">
        <v>13.61</v>
      </c>
      <c r="AE182" s="3">
        <v>259</v>
      </c>
      <c r="AF182" s="3">
        <v>0</v>
      </c>
      <c r="AG182" s="3">
        <v>249.813318</v>
      </c>
      <c r="AH182" s="3">
        <v>0.0888888888888888</v>
      </c>
      <c r="AI182" s="3" t="s">
        <v>2333</v>
      </c>
      <c r="AJ182" s="3" t="s">
        <v>1783</v>
      </c>
    </row>
    <row r="183" spans="1:36">
      <c r="A183" s="4">
        <v>43277</v>
      </c>
      <c r="B183" s="3" t="s">
        <v>2334</v>
      </c>
      <c r="C183" s="3" t="s">
        <v>2335</v>
      </c>
      <c r="D183" s="3" t="s">
        <v>2336</v>
      </c>
      <c r="E183" s="3" t="s">
        <v>2337</v>
      </c>
      <c r="F183" s="3" t="s">
        <v>1710</v>
      </c>
      <c r="G183" s="3">
        <v>5</v>
      </c>
      <c r="H183" s="3">
        <v>0</v>
      </c>
      <c r="I183" s="3">
        <v>5</v>
      </c>
      <c r="J183" s="3">
        <v>0</v>
      </c>
      <c r="K183" s="3">
        <v>0</v>
      </c>
      <c r="L183" s="3">
        <v>0</v>
      </c>
      <c r="M183" s="3">
        <v>0</v>
      </c>
      <c r="N183" s="3" t="s">
        <v>1711</v>
      </c>
      <c r="O183" s="3">
        <v>0</v>
      </c>
      <c r="P183" s="3">
        <v>0</v>
      </c>
      <c r="Q183" s="3">
        <v>0</v>
      </c>
      <c r="R183" s="3">
        <v>0</v>
      </c>
      <c r="S183" s="3">
        <v>7</v>
      </c>
      <c r="T183" s="3">
        <v>10</v>
      </c>
      <c r="U183" s="3">
        <v>10</v>
      </c>
      <c r="V183" s="3">
        <v>10</v>
      </c>
      <c r="W183" s="3"/>
      <c r="X183" s="3">
        <v>29.99</v>
      </c>
      <c r="Y183" s="3">
        <v>29.99</v>
      </c>
      <c r="Z183" s="3">
        <v>29.99</v>
      </c>
      <c r="AA183" s="3">
        <v>0</v>
      </c>
      <c r="AB183" s="3" t="s">
        <v>1713</v>
      </c>
      <c r="AC183" s="3">
        <v>8</v>
      </c>
      <c r="AD183" s="3">
        <v>29.99</v>
      </c>
      <c r="AE183" s="3">
        <v>0</v>
      </c>
      <c r="AF183" s="3">
        <v>0</v>
      </c>
      <c r="AG183" s="3">
        <v>0</v>
      </c>
      <c r="AH183" s="3">
        <v>1</v>
      </c>
      <c r="AI183" s="3" t="s">
        <v>2016</v>
      </c>
      <c r="AJ183" s="3" t="s">
        <v>1715</v>
      </c>
    </row>
    <row r="184" spans="1:36">
      <c r="A184" s="4">
        <v>43277</v>
      </c>
      <c r="B184" s="3" t="s">
        <v>2338</v>
      </c>
      <c r="C184" s="3" t="s">
        <v>2339</v>
      </c>
      <c r="D184" s="3" t="s">
        <v>2340</v>
      </c>
      <c r="E184" s="3" t="s">
        <v>2341</v>
      </c>
      <c r="F184" s="3" t="s">
        <v>1710</v>
      </c>
      <c r="G184" s="3">
        <v>18</v>
      </c>
      <c r="H184" s="3">
        <v>0</v>
      </c>
      <c r="I184" s="3">
        <v>18</v>
      </c>
      <c r="J184" s="3">
        <v>0</v>
      </c>
      <c r="K184" s="3">
        <v>0</v>
      </c>
      <c r="L184" s="3">
        <v>0</v>
      </c>
      <c r="M184" s="3">
        <v>0</v>
      </c>
      <c r="N184" s="3" t="s">
        <v>1711</v>
      </c>
      <c r="O184" s="3">
        <v>0</v>
      </c>
      <c r="P184" s="3">
        <v>0</v>
      </c>
      <c r="Q184" s="3">
        <v>0</v>
      </c>
      <c r="R184" s="3">
        <v>0</v>
      </c>
      <c r="S184" s="3">
        <v>1</v>
      </c>
      <c r="T184" s="3">
        <v>13</v>
      </c>
      <c r="U184" s="3">
        <v>20</v>
      </c>
      <c r="V184" s="3">
        <v>30</v>
      </c>
      <c r="W184" s="3"/>
      <c r="X184" s="3">
        <v>18.58</v>
      </c>
      <c r="Y184" s="3">
        <v>18.58</v>
      </c>
      <c r="Z184" s="3">
        <v>18.58</v>
      </c>
      <c r="AA184" s="3">
        <v>0</v>
      </c>
      <c r="AB184" s="3" t="s">
        <v>1713</v>
      </c>
      <c r="AC184" s="3">
        <v>16</v>
      </c>
      <c r="AD184" s="3">
        <v>18.58</v>
      </c>
      <c r="AE184" s="3">
        <v>0</v>
      </c>
      <c r="AF184" s="3">
        <v>0</v>
      </c>
      <c r="AG184" s="3">
        <v>0</v>
      </c>
      <c r="AH184" s="3">
        <v>1.7391304347826</v>
      </c>
      <c r="AI184" s="3" t="s">
        <v>1801</v>
      </c>
      <c r="AJ184" s="3" t="s">
        <v>1715</v>
      </c>
    </row>
    <row r="185" spans="1:36">
      <c r="A185" s="4">
        <v>43277</v>
      </c>
      <c r="B185" s="3" t="s">
        <v>2342</v>
      </c>
      <c r="C185" s="3" t="s">
        <v>2343</v>
      </c>
      <c r="D185" s="3" t="s">
        <v>2344</v>
      </c>
      <c r="E185" s="3" t="s">
        <v>2345</v>
      </c>
      <c r="F185" s="3" t="s">
        <v>1710</v>
      </c>
      <c r="G185" s="3">
        <v>3</v>
      </c>
      <c r="H185" s="3">
        <v>0</v>
      </c>
      <c r="I185" s="3">
        <v>0</v>
      </c>
      <c r="J185" s="3">
        <v>3</v>
      </c>
      <c r="K185" s="3">
        <v>0</v>
      </c>
      <c r="L185" s="3">
        <v>0</v>
      </c>
      <c r="M185" s="3">
        <v>0</v>
      </c>
      <c r="N185" s="3" t="s">
        <v>1711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1712</v>
      </c>
      <c r="X185" s="3">
        <v>13.99</v>
      </c>
      <c r="Y185" s="3">
        <v>13.99</v>
      </c>
      <c r="Z185" s="3">
        <v>13.99</v>
      </c>
      <c r="AA185" s="3">
        <v>0</v>
      </c>
      <c r="AB185" s="3" t="s">
        <v>1713</v>
      </c>
      <c r="AC185" s="3">
        <v>4</v>
      </c>
      <c r="AD185" s="3">
        <v>13.99</v>
      </c>
      <c r="AE185" s="3">
        <v>0</v>
      </c>
      <c r="AF185" s="3">
        <v>0</v>
      </c>
      <c r="AG185" s="3">
        <v>0</v>
      </c>
      <c r="AH185" s="3">
        <v>0</v>
      </c>
      <c r="AI185" s="3" t="s">
        <v>2104</v>
      </c>
      <c r="AJ185" s="3" t="s">
        <v>1715</v>
      </c>
    </row>
    <row r="186" spans="1:36">
      <c r="A186" s="4">
        <v>43277</v>
      </c>
      <c r="B186" s="3" t="s">
        <v>627</v>
      </c>
      <c r="C186" s="3" t="s">
        <v>628</v>
      </c>
      <c r="D186" s="3" t="s">
        <v>629</v>
      </c>
      <c r="E186" s="3" t="s">
        <v>2346</v>
      </c>
      <c r="F186" s="3" t="s">
        <v>1710</v>
      </c>
      <c r="G186" s="3">
        <v>224</v>
      </c>
      <c r="H186" s="3">
        <v>0</v>
      </c>
      <c r="I186" s="3">
        <v>224</v>
      </c>
      <c r="J186" s="3">
        <v>0</v>
      </c>
      <c r="K186" s="3">
        <v>0</v>
      </c>
      <c r="L186" s="3">
        <v>0</v>
      </c>
      <c r="M186" s="3">
        <v>0</v>
      </c>
      <c r="N186" s="3" t="s">
        <v>1711</v>
      </c>
      <c r="O186" s="3">
        <v>0</v>
      </c>
      <c r="P186" s="3">
        <v>0</v>
      </c>
      <c r="Q186" s="3">
        <v>0</v>
      </c>
      <c r="R186" s="3">
        <v>0</v>
      </c>
      <c r="S186" s="3">
        <v>20</v>
      </c>
      <c r="T186" s="3">
        <v>103</v>
      </c>
      <c r="U186" s="3">
        <v>190</v>
      </c>
      <c r="V186" s="3">
        <v>240</v>
      </c>
      <c r="W186" s="3"/>
      <c r="X186" s="3">
        <v>38</v>
      </c>
      <c r="Y186" s="3">
        <v>28.58</v>
      </c>
      <c r="Z186" s="3">
        <v>28</v>
      </c>
      <c r="AA186" s="3">
        <v>0</v>
      </c>
      <c r="AB186" s="3" t="s">
        <v>1713</v>
      </c>
      <c r="AC186" s="3">
        <v>90</v>
      </c>
      <c r="AD186" s="3">
        <v>28.58</v>
      </c>
      <c r="AE186" s="3">
        <v>0</v>
      </c>
      <c r="AF186" s="3">
        <v>0</v>
      </c>
      <c r="AG186" s="3">
        <v>0</v>
      </c>
      <c r="AH186" s="3">
        <v>2.72727272727272</v>
      </c>
      <c r="AI186" s="3" t="s">
        <v>1801</v>
      </c>
      <c r="AJ186" s="3" t="s">
        <v>1715</v>
      </c>
    </row>
    <row r="187" spans="1:36">
      <c r="A187" s="4">
        <v>43277</v>
      </c>
      <c r="B187" s="3" t="s">
        <v>2347</v>
      </c>
      <c r="C187" s="3" t="s">
        <v>2348</v>
      </c>
      <c r="D187" s="3" t="s">
        <v>2349</v>
      </c>
      <c r="E187" s="3" t="s">
        <v>2350</v>
      </c>
      <c r="F187" s="3" t="s">
        <v>1710</v>
      </c>
      <c r="G187" s="3">
        <v>2</v>
      </c>
      <c r="H187" s="3">
        <v>0</v>
      </c>
      <c r="I187" s="3">
        <v>1</v>
      </c>
      <c r="J187" s="3">
        <v>1</v>
      </c>
      <c r="K187" s="3">
        <v>0</v>
      </c>
      <c r="L187" s="3">
        <v>0</v>
      </c>
      <c r="M187" s="3">
        <v>0</v>
      </c>
      <c r="N187" s="3" t="s">
        <v>1711</v>
      </c>
      <c r="O187" s="3">
        <v>1</v>
      </c>
      <c r="P187" s="3">
        <v>3.08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1</v>
      </c>
      <c r="W187" s="3" t="s">
        <v>1720</v>
      </c>
      <c r="X187" s="3">
        <v>21.99</v>
      </c>
      <c r="Y187" s="3">
        <v>21.99</v>
      </c>
      <c r="Z187" s="3">
        <v>21.99</v>
      </c>
      <c r="AA187" s="3">
        <v>0</v>
      </c>
      <c r="AB187" s="3" t="s">
        <v>1721</v>
      </c>
      <c r="AC187" s="3">
        <v>2</v>
      </c>
      <c r="AD187" s="3">
        <v>21.99</v>
      </c>
      <c r="AE187" s="3">
        <v>0</v>
      </c>
      <c r="AF187" s="3">
        <v>0</v>
      </c>
      <c r="AG187" s="3">
        <v>0</v>
      </c>
      <c r="AH187" s="3">
        <v>0.5</v>
      </c>
      <c r="AI187" s="3" t="s">
        <v>1722</v>
      </c>
      <c r="AJ187" s="3" t="s">
        <v>1715</v>
      </c>
    </row>
    <row r="188" spans="1:36">
      <c r="A188" s="4">
        <v>43277</v>
      </c>
      <c r="B188" s="3" t="s">
        <v>1062</v>
      </c>
      <c r="C188" s="3" t="s">
        <v>1063</v>
      </c>
      <c r="D188" s="3" t="s">
        <v>1064</v>
      </c>
      <c r="E188" s="3" t="s">
        <v>1065</v>
      </c>
      <c r="F188" s="3" t="s">
        <v>1710</v>
      </c>
      <c r="G188" s="3">
        <v>13</v>
      </c>
      <c r="H188" s="3">
        <v>0</v>
      </c>
      <c r="I188" s="3">
        <v>13</v>
      </c>
      <c r="J188" s="3">
        <v>0</v>
      </c>
      <c r="K188" s="3">
        <v>0</v>
      </c>
      <c r="L188" s="3">
        <v>0</v>
      </c>
      <c r="M188" s="3">
        <v>0</v>
      </c>
      <c r="N188" s="3" t="s">
        <v>1711</v>
      </c>
      <c r="O188" s="3">
        <v>0</v>
      </c>
      <c r="P188" s="3">
        <v>0</v>
      </c>
      <c r="Q188" s="3">
        <v>0</v>
      </c>
      <c r="R188" s="3">
        <v>0</v>
      </c>
      <c r="S188" s="3">
        <v>4</v>
      </c>
      <c r="T188" s="3">
        <v>22</v>
      </c>
      <c r="U188" s="3">
        <v>41</v>
      </c>
      <c r="V188" s="3">
        <v>41</v>
      </c>
      <c r="W188" s="3"/>
      <c r="X188" s="3">
        <v>48.58</v>
      </c>
      <c r="Y188" s="3">
        <v>28.99</v>
      </c>
      <c r="Z188" s="3">
        <v>28.99</v>
      </c>
      <c r="AA188" s="3">
        <v>0</v>
      </c>
      <c r="AB188" s="3" t="s">
        <v>1713</v>
      </c>
      <c r="AC188" s="3">
        <v>16</v>
      </c>
      <c r="AD188" s="3">
        <v>28.99</v>
      </c>
      <c r="AE188" s="3">
        <v>0</v>
      </c>
      <c r="AF188" s="3">
        <v>0</v>
      </c>
      <c r="AG188" s="3">
        <v>0</v>
      </c>
      <c r="AH188" s="3">
        <v>3.51428571428571</v>
      </c>
      <c r="AI188" s="3" t="s">
        <v>1800</v>
      </c>
      <c r="AJ188" s="3" t="s">
        <v>1715</v>
      </c>
    </row>
    <row r="189" spans="1:36">
      <c r="A189" s="4">
        <v>43277</v>
      </c>
      <c r="B189" s="3" t="s">
        <v>1405</v>
      </c>
      <c r="C189" s="3" t="s">
        <v>1406</v>
      </c>
      <c r="D189" s="3" t="s">
        <v>1407</v>
      </c>
      <c r="E189" s="3" t="s">
        <v>1380</v>
      </c>
      <c r="F189" s="3" t="s">
        <v>1710</v>
      </c>
      <c r="G189" s="3">
        <v>14</v>
      </c>
      <c r="H189" s="3">
        <v>0</v>
      </c>
      <c r="I189" s="3">
        <v>14</v>
      </c>
      <c r="J189" s="3">
        <v>0</v>
      </c>
      <c r="K189" s="3">
        <v>0</v>
      </c>
      <c r="L189" s="3">
        <v>0</v>
      </c>
      <c r="M189" s="3">
        <v>0</v>
      </c>
      <c r="N189" s="3" t="s">
        <v>1711</v>
      </c>
      <c r="O189" s="3">
        <v>0</v>
      </c>
      <c r="P189" s="3">
        <v>0</v>
      </c>
      <c r="Q189" s="3">
        <v>0</v>
      </c>
      <c r="R189" s="3">
        <v>0</v>
      </c>
      <c r="S189" s="3">
        <v>2</v>
      </c>
      <c r="T189" s="3">
        <v>17</v>
      </c>
      <c r="U189" s="3">
        <v>26</v>
      </c>
      <c r="V189" s="3">
        <v>35</v>
      </c>
      <c r="W189" s="3"/>
      <c r="X189" s="3">
        <v>49.99</v>
      </c>
      <c r="Y189" s="3">
        <v>25.99</v>
      </c>
      <c r="Z189" s="3">
        <v>25.99</v>
      </c>
      <c r="AA189" s="3">
        <v>0</v>
      </c>
      <c r="AB189" s="3" t="s">
        <v>1713</v>
      </c>
      <c r="AC189" s="3">
        <v>14</v>
      </c>
      <c r="AD189" s="3">
        <v>25.99</v>
      </c>
      <c r="AE189" s="3">
        <v>0</v>
      </c>
      <c r="AF189" s="3">
        <v>0</v>
      </c>
      <c r="AG189" s="3">
        <v>0</v>
      </c>
      <c r="AH189" s="3">
        <v>3.25581395348837</v>
      </c>
      <c r="AI189" s="3" t="s">
        <v>2351</v>
      </c>
      <c r="AJ189" s="3" t="s">
        <v>1715</v>
      </c>
    </row>
    <row r="190" spans="1:36">
      <c r="A190" s="4">
        <v>43277</v>
      </c>
      <c r="B190" s="3" t="s">
        <v>2352</v>
      </c>
      <c r="C190" s="3" t="s">
        <v>2353</v>
      </c>
      <c r="D190" s="3" t="s">
        <v>2354</v>
      </c>
      <c r="E190" s="3" t="s">
        <v>2355</v>
      </c>
      <c r="F190" s="3" t="s">
        <v>1710</v>
      </c>
      <c r="G190" s="3">
        <v>74</v>
      </c>
      <c r="H190" s="3">
        <v>0</v>
      </c>
      <c r="I190" s="3">
        <v>0</v>
      </c>
      <c r="J190" s="3">
        <v>4</v>
      </c>
      <c r="K190" s="3">
        <v>70</v>
      </c>
      <c r="L190" s="3">
        <v>0</v>
      </c>
      <c r="M190" s="3">
        <v>0</v>
      </c>
      <c r="N190" s="3" t="s">
        <v>1711</v>
      </c>
      <c r="O190" s="3">
        <v>72</v>
      </c>
      <c r="P190" s="3">
        <v>43.09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2</v>
      </c>
      <c r="W190" s="3" t="s">
        <v>1712</v>
      </c>
      <c r="X190" s="3">
        <v>16.99</v>
      </c>
      <c r="Y190" s="3">
        <v>16.99</v>
      </c>
      <c r="Z190" s="3">
        <v>16</v>
      </c>
      <c r="AA190" s="3">
        <v>0</v>
      </c>
      <c r="AB190" s="3" t="s">
        <v>1732</v>
      </c>
      <c r="AC190" s="3">
        <v>11</v>
      </c>
      <c r="AD190" s="3">
        <v>15.64</v>
      </c>
      <c r="AE190" s="3">
        <v>182</v>
      </c>
      <c r="AF190" s="3">
        <v>0</v>
      </c>
      <c r="AG190" s="3">
        <v>1176.741731</v>
      </c>
      <c r="AH190" s="3">
        <v>0.0201005025125628</v>
      </c>
      <c r="AI190" s="3" t="s">
        <v>1905</v>
      </c>
      <c r="AJ190" s="3" t="s">
        <v>1715</v>
      </c>
    </row>
    <row r="191" spans="1:36">
      <c r="A191" s="4">
        <v>43277</v>
      </c>
      <c r="B191" s="3" t="s">
        <v>2356</v>
      </c>
      <c r="C191" s="3" t="s">
        <v>2357</v>
      </c>
      <c r="D191" s="3" t="s">
        <v>2358</v>
      </c>
      <c r="E191" s="3" t="s">
        <v>2359</v>
      </c>
      <c r="F191" s="3" t="s">
        <v>1710</v>
      </c>
      <c r="G191" s="3">
        <v>32</v>
      </c>
      <c r="H191" s="3">
        <v>0</v>
      </c>
      <c r="I191" s="3">
        <v>1</v>
      </c>
      <c r="J191" s="3">
        <v>3</v>
      </c>
      <c r="K191" s="3">
        <v>2</v>
      </c>
      <c r="L191" s="3">
        <v>26</v>
      </c>
      <c r="M191" s="3">
        <v>0</v>
      </c>
      <c r="N191" s="3" t="s">
        <v>1711</v>
      </c>
      <c r="O191" s="3">
        <v>31</v>
      </c>
      <c r="P191" s="3">
        <v>69.37</v>
      </c>
      <c r="Q191" s="3">
        <v>0</v>
      </c>
      <c r="R191" s="3">
        <v>0</v>
      </c>
      <c r="S191" s="3">
        <v>0</v>
      </c>
      <c r="T191" s="3">
        <v>0</v>
      </c>
      <c r="U191" s="3">
        <v>3</v>
      </c>
      <c r="V191" s="3">
        <v>8</v>
      </c>
      <c r="W191" s="3" t="s">
        <v>1712</v>
      </c>
      <c r="X191" s="3">
        <v>15.99</v>
      </c>
      <c r="Y191" s="3">
        <v>15.99</v>
      </c>
      <c r="Z191" s="3">
        <v>15.99</v>
      </c>
      <c r="AA191" s="3">
        <v>0</v>
      </c>
      <c r="AB191" s="3" t="s">
        <v>1732</v>
      </c>
      <c r="AC191" s="3">
        <v>5</v>
      </c>
      <c r="AD191" s="3">
        <v>10.44</v>
      </c>
      <c r="AE191" s="3">
        <v>112</v>
      </c>
      <c r="AF191" s="3">
        <v>0</v>
      </c>
      <c r="AG191" s="3">
        <v>97.046993</v>
      </c>
      <c r="AH191" s="3">
        <v>0.216216216216216</v>
      </c>
      <c r="AI191" s="3" t="s">
        <v>2360</v>
      </c>
      <c r="AJ191" s="3" t="s">
        <v>1715</v>
      </c>
    </row>
    <row r="192" spans="1:36">
      <c r="A192" s="4">
        <v>43277</v>
      </c>
      <c r="B192" s="3" t="s">
        <v>2361</v>
      </c>
      <c r="C192" s="3" t="s">
        <v>2362</v>
      </c>
      <c r="D192" s="3" t="s">
        <v>2363</v>
      </c>
      <c r="E192" s="3" t="s">
        <v>2364</v>
      </c>
      <c r="F192" s="3" t="s">
        <v>1710</v>
      </c>
      <c r="G192" s="3">
        <v>4</v>
      </c>
      <c r="H192" s="3">
        <v>0</v>
      </c>
      <c r="I192" s="3">
        <v>0</v>
      </c>
      <c r="J192" s="3">
        <v>1</v>
      </c>
      <c r="K192" s="3">
        <v>2</v>
      </c>
      <c r="L192" s="3">
        <v>1</v>
      </c>
      <c r="M192" s="3">
        <v>0</v>
      </c>
      <c r="N192" s="3" t="s">
        <v>1711</v>
      </c>
      <c r="O192" s="3">
        <v>4</v>
      </c>
      <c r="P192" s="3">
        <v>2.26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1720</v>
      </c>
      <c r="X192" s="3">
        <v>19.99</v>
      </c>
      <c r="Y192" s="3">
        <v>19.99</v>
      </c>
      <c r="Z192" s="3">
        <v>19.99</v>
      </c>
      <c r="AA192" s="3">
        <v>0</v>
      </c>
      <c r="AB192" s="3" t="s">
        <v>1721</v>
      </c>
      <c r="AC192" s="3">
        <v>0</v>
      </c>
      <c r="AD192" s="3">
        <v>17.35</v>
      </c>
      <c r="AE192" s="3">
        <v>322</v>
      </c>
      <c r="AF192" s="3">
        <v>0</v>
      </c>
      <c r="AG192" s="3">
        <v>58.086567</v>
      </c>
      <c r="AH192" s="3">
        <v>0</v>
      </c>
      <c r="AI192" s="3" t="s">
        <v>2365</v>
      </c>
      <c r="AJ192" s="3" t="s">
        <v>1715</v>
      </c>
    </row>
    <row r="193" spans="1:36">
      <c r="A193" s="4">
        <v>43277</v>
      </c>
      <c r="B193" s="3" t="s">
        <v>2366</v>
      </c>
      <c r="C193" s="3" t="s">
        <v>2367</v>
      </c>
      <c r="D193" s="3" t="s">
        <v>2368</v>
      </c>
      <c r="E193" s="3" t="s">
        <v>1380</v>
      </c>
      <c r="F193" s="3" t="s">
        <v>1710</v>
      </c>
      <c r="G193" s="3">
        <v>12</v>
      </c>
      <c r="H193" s="3">
        <v>0</v>
      </c>
      <c r="I193" s="3">
        <v>6</v>
      </c>
      <c r="J193" s="3">
        <v>6</v>
      </c>
      <c r="K193" s="3">
        <v>0</v>
      </c>
      <c r="L193" s="3">
        <v>0</v>
      </c>
      <c r="M193" s="3">
        <v>0</v>
      </c>
      <c r="N193" s="3" t="s">
        <v>1711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2</v>
      </c>
      <c r="U193" s="3">
        <v>3</v>
      </c>
      <c r="V193" s="3">
        <v>4</v>
      </c>
      <c r="W193" s="3"/>
      <c r="X193" s="3">
        <v>23.99</v>
      </c>
      <c r="Y193" s="3">
        <v>23.99</v>
      </c>
      <c r="Z193" s="3">
        <v>23.99</v>
      </c>
      <c r="AA193" s="3">
        <v>0</v>
      </c>
      <c r="AB193" s="3" t="s">
        <v>1713</v>
      </c>
      <c r="AC193" s="3">
        <v>12</v>
      </c>
      <c r="AD193" s="3">
        <v>23.99</v>
      </c>
      <c r="AE193" s="3">
        <v>0</v>
      </c>
      <c r="AF193" s="3">
        <v>0</v>
      </c>
      <c r="AG193" s="3">
        <v>0</v>
      </c>
      <c r="AH193" s="3">
        <v>0.363636363636363</v>
      </c>
      <c r="AI193" s="3" t="s">
        <v>2369</v>
      </c>
      <c r="AJ193" s="3" t="s">
        <v>1715</v>
      </c>
    </row>
    <row r="194" spans="1:36">
      <c r="A194" s="4">
        <v>43277</v>
      </c>
      <c r="B194" s="3" t="s">
        <v>358</v>
      </c>
      <c r="C194" s="3" t="s">
        <v>359</v>
      </c>
      <c r="D194" s="3" t="s">
        <v>360</v>
      </c>
      <c r="E194" s="3" t="s">
        <v>349</v>
      </c>
      <c r="F194" s="3" t="s">
        <v>1710</v>
      </c>
      <c r="G194" s="3">
        <v>1</v>
      </c>
      <c r="H194" s="3">
        <v>0</v>
      </c>
      <c r="I194" s="3">
        <v>0</v>
      </c>
      <c r="J194" s="3">
        <v>1</v>
      </c>
      <c r="K194" s="3">
        <v>0</v>
      </c>
      <c r="L194" s="3">
        <v>0</v>
      </c>
      <c r="M194" s="3">
        <v>0</v>
      </c>
      <c r="N194" s="3" t="s">
        <v>1711</v>
      </c>
      <c r="O194" s="3">
        <v>1</v>
      </c>
      <c r="P194" s="3">
        <v>2.22</v>
      </c>
      <c r="Q194" s="3">
        <v>0</v>
      </c>
      <c r="R194" s="3">
        <v>0</v>
      </c>
      <c r="S194" s="3">
        <v>0</v>
      </c>
      <c r="T194" s="3">
        <v>0</v>
      </c>
      <c r="U194" s="3">
        <v>1</v>
      </c>
      <c r="V194" s="3">
        <v>1</v>
      </c>
      <c r="W194" s="3" t="s">
        <v>1720</v>
      </c>
      <c r="X194" s="3">
        <v>16.99</v>
      </c>
      <c r="Y194" s="3">
        <v>16.99</v>
      </c>
      <c r="Z194" s="3">
        <v>16.99</v>
      </c>
      <c r="AA194" s="3">
        <v>0</v>
      </c>
      <c r="AB194" s="3" t="s">
        <v>1721</v>
      </c>
      <c r="AC194" s="3">
        <v>1</v>
      </c>
      <c r="AD194" s="3">
        <v>16.99</v>
      </c>
      <c r="AE194" s="3">
        <v>0</v>
      </c>
      <c r="AF194" s="3">
        <v>0</v>
      </c>
      <c r="AG194" s="3">
        <v>0</v>
      </c>
      <c r="AH194" s="3">
        <v>0.666666666666666</v>
      </c>
      <c r="AI194" s="3" t="s">
        <v>2370</v>
      </c>
      <c r="AJ194" s="3" t="s">
        <v>1783</v>
      </c>
    </row>
    <row r="195" spans="1:36">
      <c r="A195" s="4">
        <v>43277</v>
      </c>
      <c r="B195" s="3" t="s">
        <v>2371</v>
      </c>
      <c r="C195" s="3" t="s">
        <v>2372</v>
      </c>
      <c r="D195" s="3" t="s">
        <v>2373</v>
      </c>
      <c r="E195" s="3" t="s">
        <v>2374</v>
      </c>
      <c r="F195" s="3" t="s">
        <v>1710</v>
      </c>
      <c r="G195" s="3">
        <v>6</v>
      </c>
      <c r="H195" s="3">
        <v>0</v>
      </c>
      <c r="I195" s="3">
        <v>0</v>
      </c>
      <c r="J195" s="3">
        <v>0</v>
      </c>
      <c r="K195" s="3">
        <v>6</v>
      </c>
      <c r="L195" s="3">
        <v>0</v>
      </c>
      <c r="M195" s="3">
        <v>0</v>
      </c>
      <c r="N195" s="3" t="s">
        <v>1711</v>
      </c>
      <c r="O195" s="3">
        <v>6</v>
      </c>
      <c r="P195" s="3">
        <v>8.21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 t="s">
        <v>1720</v>
      </c>
      <c r="X195" s="3">
        <v>39.99</v>
      </c>
      <c r="Y195" s="3">
        <v>16.99</v>
      </c>
      <c r="Z195" s="3">
        <v>16.99</v>
      </c>
      <c r="AA195" s="3">
        <v>0</v>
      </c>
      <c r="AB195" s="3" t="s">
        <v>1732</v>
      </c>
      <c r="AC195" s="3">
        <v>0</v>
      </c>
      <c r="AD195" s="3">
        <v>13.83</v>
      </c>
      <c r="AE195" s="3">
        <v>231</v>
      </c>
      <c r="AF195" s="3">
        <v>0</v>
      </c>
      <c r="AG195" s="3">
        <v>126.666107</v>
      </c>
      <c r="AH195" s="3">
        <v>0</v>
      </c>
      <c r="AI195" s="3" t="s">
        <v>1851</v>
      </c>
      <c r="AJ195" s="3" t="s">
        <v>1715</v>
      </c>
    </row>
    <row r="196" spans="1:36">
      <c r="A196" s="4">
        <v>43277</v>
      </c>
      <c r="B196" s="3" t="s">
        <v>2375</v>
      </c>
      <c r="C196" s="3" t="s">
        <v>2376</v>
      </c>
      <c r="D196" s="3" t="s">
        <v>2377</v>
      </c>
      <c r="E196" s="3" t="s">
        <v>1160</v>
      </c>
      <c r="F196" s="3" t="s">
        <v>1710</v>
      </c>
      <c r="G196" s="3">
        <v>15</v>
      </c>
      <c r="H196" s="3">
        <v>0</v>
      </c>
      <c r="I196" s="3">
        <v>15</v>
      </c>
      <c r="J196" s="3">
        <v>0</v>
      </c>
      <c r="K196" s="3">
        <v>0</v>
      </c>
      <c r="L196" s="3">
        <v>0</v>
      </c>
      <c r="M196" s="3">
        <v>0</v>
      </c>
      <c r="N196" s="3" t="s">
        <v>1711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8</v>
      </c>
      <c r="U196" s="3">
        <v>25</v>
      </c>
      <c r="V196" s="3">
        <v>25</v>
      </c>
      <c r="W196" s="3" t="s">
        <v>1712</v>
      </c>
      <c r="X196" s="3">
        <v>39.99</v>
      </c>
      <c r="Y196" s="3">
        <v>19.99</v>
      </c>
      <c r="Z196" s="3">
        <v>19.99</v>
      </c>
      <c r="AA196" s="3">
        <v>0</v>
      </c>
      <c r="AB196" s="3" t="s">
        <v>1713</v>
      </c>
      <c r="AC196" s="3">
        <v>16</v>
      </c>
      <c r="AD196" s="3">
        <v>19.99</v>
      </c>
      <c r="AE196" s="3">
        <v>0</v>
      </c>
      <c r="AF196" s="3">
        <v>0</v>
      </c>
      <c r="AG196" s="3">
        <v>0</v>
      </c>
      <c r="AH196" s="3">
        <v>3.94736842105263</v>
      </c>
      <c r="AI196" s="3" t="s">
        <v>1890</v>
      </c>
      <c r="AJ196" s="3" t="s">
        <v>1715</v>
      </c>
    </row>
    <row r="197" spans="1:36">
      <c r="A197" s="4">
        <v>43277</v>
      </c>
      <c r="B197" s="3" t="s">
        <v>2378</v>
      </c>
      <c r="C197" s="3" t="s">
        <v>2379</v>
      </c>
      <c r="D197" s="3" t="s">
        <v>2380</v>
      </c>
      <c r="E197" s="3" t="s">
        <v>2381</v>
      </c>
      <c r="F197" s="3" t="s">
        <v>1710</v>
      </c>
      <c r="G197" s="3">
        <v>8</v>
      </c>
      <c r="H197" s="3">
        <v>0</v>
      </c>
      <c r="I197" s="3">
        <v>0</v>
      </c>
      <c r="J197" s="3">
        <v>0</v>
      </c>
      <c r="K197" s="3">
        <v>8</v>
      </c>
      <c r="L197" s="3">
        <v>0</v>
      </c>
      <c r="M197" s="3">
        <v>0</v>
      </c>
      <c r="N197" s="3" t="s">
        <v>1711</v>
      </c>
      <c r="O197" s="3">
        <v>8</v>
      </c>
      <c r="P197" s="3">
        <v>10.94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1720</v>
      </c>
      <c r="X197" s="3">
        <v>16.99</v>
      </c>
      <c r="Y197" s="3">
        <v>16.99</v>
      </c>
      <c r="Z197" s="3">
        <v>16.99</v>
      </c>
      <c r="AA197" s="3">
        <v>0</v>
      </c>
      <c r="AB197" s="3" t="s">
        <v>1721</v>
      </c>
      <c r="AC197" s="3">
        <v>0</v>
      </c>
      <c r="AD197" s="3">
        <v>14.14</v>
      </c>
      <c r="AE197" s="3">
        <v>210</v>
      </c>
      <c r="AF197" s="3">
        <v>0</v>
      </c>
      <c r="AG197" s="3">
        <v>173.674684</v>
      </c>
      <c r="AH197" s="3">
        <v>0</v>
      </c>
      <c r="AI197" s="3" t="s">
        <v>1851</v>
      </c>
      <c r="AJ197" s="3" t="s">
        <v>1715</v>
      </c>
    </row>
    <row r="198" spans="1:36">
      <c r="A198" s="4">
        <v>43277</v>
      </c>
      <c r="B198" s="3" t="s">
        <v>2382</v>
      </c>
      <c r="C198" s="3" t="s">
        <v>2383</v>
      </c>
      <c r="D198" s="3" t="s">
        <v>2384</v>
      </c>
      <c r="E198" s="3" t="s">
        <v>2385</v>
      </c>
      <c r="F198" s="3" t="s">
        <v>1710</v>
      </c>
      <c r="G198" s="3">
        <v>32</v>
      </c>
      <c r="H198" s="3">
        <v>0</v>
      </c>
      <c r="I198" s="3">
        <v>0</v>
      </c>
      <c r="J198" s="3">
        <v>5</v>
      </c>
      <c r="K198" s="3">
        <v>27</v>
      </c>
      <c r="L198" s="3">
        <v>0</v>
      </c>
      <c r="M198" s="3">
        <v>0</v>
      </c>
      <c r="N198" s="3" t="s">
        <v>1711</v>
      </c>
      <c r="O198" s="3">
        <v>32</v>
      </c>
      <c r="P198" s="3">
        <v>54.67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 t="s">
        <v>1720</v>
      </c>
      <c r="X198" s="3">
        <v>18.99</v>
      </c>
      <c r="Y198" s="3">
        <v>18.99</v>
      </c>
      <c r="Z198" s="3">
        <v>18.99</v>
      </c>
      <c r="AA198" s="3">
        <v>0</v>
      </c>
      <c r="AB198" s="3" t="s">
        <v>1721</v>
      </c>
      <c r="AC198" s="3">
        <v>2</v>
      </c>
      <c r="AD198" s="3">
        <v>16.86</v>
      </c>
      <c r="AE198" s="3">
        <v>175</v>
      </c>
      <c r="AF198" s="3">
        <v>0</v>
      </c>
      <c r="AG198" s="3">
        <v>849.528303</v>
      </c>
      <c r="AH198" s="3">
        <v>0</v>
      </c>
      <c r="AI198" s="3" t="s">
        <v>1749</v>
      </c>
      <c r="AJ198" s="3" t="s">
        <v>1715</v>
      </c>
    </row>
    <row r="199" spans="1:36">
      <c r="A199" s="4">
        <v>43277</v>
      </c>
      <c r="B199" s="3" t="s">
        <v>2386</v>
      </c>
      <c r="C199" s="3" t="s">
        <v>2387</v>
      </c>
      <c r="D199" s="3" t="s">
        <v>2388</v>
      </c>
      <c r="E199" s="3" t="s">
        <v>2389</v>
      </c>
      <c r="F199" s="3" t="s">
        <v>1710</v>
      </c>
      <c r="G199" s="3">
        <v>3</v>
      </c>
      <c r="H199" s="3">
        <v>0</v>
      </c>
      <c r="I199" s="3">
        <v>1</v>
      </c>
      <c r="J199" s="3">
        <v>1</v>
      </c>
      <c r="K199" s="3">
        <v>0</v>
      </c>
      <c r="L199" s="3">
        <v>0</v>
      </c>
      <c r="M199" s="3">
        <v>1</v>
      </c>
      <c r="N199" s="3" t="s">
        <v>1711</v>
      </c>
      <c r="O199" s="3">
        <v>0</v>
      </c>
      <c r="P199" s="3">
        <v>0</v>
      </c>
      <c r="Q199" s="3">
        <v>1</v>
      </c>
      <c r="R199" s="3">
        <v>3.26</v>
      </c>
      <c r="S199" s="3">
        <v>0</v>
      </c>
      <c r="T199" s="3">
        <v>0</v>
      </c>
      <c r="U199" s="3">
        <v>0</v>
      </c>
      <c r="V199" s="3">
        <v>1</v>
      </c>
      <c r="W199" s="3" t="s">
        <v>1720</v>
      </c>
      <c r="X199" s="3">
        <v>39.99</v>
      </c>
      <c r="Y199" s="3">
        <v>22.99</v>
      </c>
      <c r="Z199" s="3">
        <v>22.99</v>
      </c>
      <c r="AA199" s="3">
        <v>0</v>
      </c>
      <c r="AB199" s="3" t="s">
        <v>1732</v>
      </c>
      <c r="AC199" s="3">
        <v>0</v>
      </c>
      <c r="AD199" s="3">
        <v>19.44</v>
      </c>
      <c r="AE199" s="3">
        <v>301</v>
      </c>
      <c r="AF199" s="3">
        <v>0</v>
      </c>
      <c r="AG199" s="3">
        <v>72.618622</v>
      </c>
      <c r="AH199" s="3">
        <v>0.333333333333333</v>
      </c>
      <c r="AI199" s="3" t="s">
        <v>2390</v>
      </c>
      <c r="AJ199" s="3" t="s">
        <v>1715</v>
      </c>
    </row>
    <row r="200" spans="1:36">
      <c r="A200" s="4">
        <v>43277</v>
      </c>
      <c r="B200" s="3" t="s">
        <v>2391</v>
      </c>
      <c r="C200" s="3" t="s">
        <v>2392</v>
      </c>
      <c r="D200" s="3" t="s">
        <v>2393</v>
      </c>
      <c r="E200" s="3" t="s">
        <v>1426</v>
      </c>
      <c r="F200" s="3" t="s">
        <v>1710</v>
      </c>
      <c r="G200" s="3">
        <v>9</v>
      </c>
      <c r="H200" s="3">
        <v>0</v>
      </c>
      <c r="I200" s="3">
        <v>9</v>
      </c>
      <c r="J200" s="3">
        <v>0</v>
      </c>
      <c r="K200" s="3">
        <v>0</v>
      </c>
      <c r="L200" s="3">
        <v>0</v>
      </c>
      <c r="M200" s="3">
        <v>0</v>
      </c>
      <c r="N200" s="3" t="s">
        <v>1711</v>
      </c>
      <c r="O200" s="3">
        <v>0</v>
      </c>
      <c r="P200" s="3">
        <v>0</v>
      </c>
      <c r="Q200" s="3">
        <v>0</v>
      </c>
      <c r="R200" s="3">
        <v>0</v>
      </c>
      <c r="S200" s="3">
        <v>1</v>
      </c>
      <c r="T200" s="3">
        <v>1</v>
      </c>
      <c r="U200" s="3">
        <v>1</v>
      </c>
      <c r="V200" s="3">
        <v>1</v>
      </c>
      <c r="W200" s="3"/>
      <c r="X200" s="3">
        <v>18.99</v>
      </c>
      <c r="Y200" s="3">
        <v>18.99</v>
      </c>
      <c r="Z200" s="3">
        <v>18.99</v>
      </c>
      <c r="AA200" s="3">
        <v>0</v>
      </c>
      <c r="AB200" s="3" t="s">
        <v>1713</v>
      </c>
      <c r="AC200" s="3">
        <v>9</v>
      </c>
      <c r="AD200" s="3">
        <v>18.99</v>
      </c>
      <c r="AE200" s="3">
        <v>0</v>
      </c>
      <c r="AF200" s="3">
        <v>0</v>
      </c>
      <c r="AG200" s="3">
        <v>0</v>
      </c>
      <c r="AH200" s="3">
        <v>0.222222222222222</v>
      </c>
      <c r="AI200" s="3" t="s">
        <v>2295</v>
      </c>
      <c r="AJ200" s="3" t="s">
        <v>1715</v>
      </c>
    </row>
    <row r="201" spans="1:36">
      <c r="A201" s="4">
        <v>43277</v>
      </c>
      <c r="B201" s="3" t="s">
        <v>2394</v>
      </c>
      <c r="C201" s="3" t="s">
        <v>2395</v>
      </c>
      <c r="D201" s="3" t="s">
        <v>2396</v>
      </c>
      <c r="E201" s="3" t="s">
        <v>2397</v>
      </c>
      <c r="F201" s="3" t="s">
        <v>1710</v>
      </c>
      <c r="G201" s="3">
        <v>6</v>
      </c>
      <c r="H201" s="3">
        <v>0</v>
      </c>
      <c r="I201" s="3">
        <v>0</v>
      </c>
      <c r="J201" s="3">
        <v>1</v>
      </c>
      <c r="K201" s="3">
        <v>5</v>
      </c>
      <c r="L201" s="3">
        <v>0</v>
      </c>
      <c r="M201" s="3">
        <v>0</v>
      </c>
      <c r="N201" s="3" t="s">
        <v>1711</v>
      </c>
      <c r="O201" s="3">
        <v>6</v>
      </c>
      <c r="P201" s="3">
        <v>7.94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1720</v>
      </c>
      <c r="X201" s="3">
        <v>18.99</v>
      </c>
      <c r="Y201" s="3">
        <v>18.99</v>
      </c>
      <c r="Z201" s="3">
        <v>18.99</v>
      </c>
      <c r="AA201" s="3">
        <v>0</v>
      </c>
      <c r="AB201" s="3" t="s">
        <v>1721</v>
      </c>
      <c r="AC201" s="3">
        <v>0</v>
      </c>
      <c r="AD201" s="3">
        <v>16.67</v>
      </c>
      <c r="AE201" s="3">
        <v>189</v>
      </c>
      <c r="AF201" s="3">
        <v>0</v>
      </c>
      <c r="AG201" s="3">
        <v>139.698601</v>
      </c>
      <c r="AH201" s="3">
        <v>0</v>
      </c>
      <c r="AI201" s="3" t="s">
        <v>2398</v>
      </c>
      <c r="AJ201" s="3" t="s">
        <v>1715</v>
      </c>
    </row>
    <row r="202" spans="1:36">
      <c r="A202" s="4">
        <v>43277</v>
      </c>
      <c r="B202" s="3" t="s">
        <v>2399</v>
      </c>
      <c r="C202" s="3" t="s">
        <v>2400</v>
      </c>
      <c r="D202" s="3" t="s">
        <v>2401</v>
      </c>
      <c r="E202" s="3" t="s">
        <v>2402</v>
      </c>
      <c r="F202" s="3" t="s">
        <v>1710</v>
      </c>
      <c r="G202" s="3">
        <v>4</v>
      </c>
      <c r="H202" s="3">
        <v>0</v>
      </c>
      <c r="I202" s="3">
        <v>0</v>
      </c>
      <c r="J202" s="3">
        <v>1</v>
      </c>
      <c r="K202" s="3">
        <v>3</v>
      </c>
      <c r="L202" s="3">
        <v>0</v>
      </c>
      <c r="M202" s="3">
        <v>0</v>
      </c>
      <c r="N202" s="3" t="s">
        <v>1711</v>
      </c>
      <c r="O202" s="3">
        <v>4</v>
      </c>
      <c r="P202" s="3">
        <v>19.52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1712</v>
      </c>
      <c r="X202" s="3">
        <v>29.99</v>
      </c>
      <c r="Y202" s="3">
        <v>29.99</v>
      </c>
      <c r="Z202" s="3">
        <v>28.99</v>
      </c>
      <c r="AA202" s="3">
        <v>0</v>
      </c>
      <c r="AB202" s="3" t="s">
        <v>1732</v>
      </c>
      <c r="AC202" s="3">
        <v>1</v>
      </c>
      <c r="AD202" s="3">
        <v>28.23</v>
      </c>
      <c r="AE202" s="3">
        <v>28</v>
      </c>
      <c r="AF202" s="3">
        <v>0</v>
      </c>
      <c r="AG202" s="3">
        <v>279.57844</v>
      </c>
      <c r="AH202" s="3">
        <v>0</v>
      </c>
      <c r="AI202" s="3" t="s">
        <v>2094</v>
      </c>
      <c r="AJ202" s="3" t="s">
        <v>1715</v>
      </c>
    </row>
    <row r="203" spans="1:36">
      <c r="A203" s="4">
        <v>43277</v>
      </c>
      <c r="B203" s="3" t="s">
        <v>2403</v>
      </c>
      <c r="C203" s="3" t="s">
        <v>2404</v>
      </c>
      <c r="D203" s="3" t="s">
        <v>2405</v>
      </c>
      <c r="E203" s="3" t="s">
        <v>2406</v>
      </c>
      <c r="F203" s="3" t="s">
        <v>1710</v>
      </c>
      <c r="G203" s="3">
        <v>10</v>
      </c>
      <c r="H203" s="3">
        <v>0</v>
      </c>
      <c r="I203" s="3">
        <v>10</v>
      </c>
      <c r="J203" s="3">
        <v>0</v>
      </c>
      <c r="K203" s="3">
        <v>0</v>
      </c>
      <c r="L203" s="3">
        <v>0</v>
      </c>
      <c r="M203" s="3">
        <v>0</v>
      </c>
      <c r="N203" s="3" t="s">
        <v>1711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2</v>
      </c>
      <c r="U203" s="3">
        <v>12</v>
      </c>
      <c r="V203" s="3">
        <v>12</v>
      </c>
      <c r="W203" s="3" t="s">
        <v>1712</v>
      </c>
      <c r="X203" s="3">
        <v>15.99</v>
      </c>
      <c r="Y203" s="3">
        <v>15.99</v>
      </c>
      <c r="Z203" s="3">
        <v>15.99</v>
      </c>
      <c r="AA203" s="3">
        <v>0</v>
      </c>
      <c r="AB203" s="3" t="s">
        <v>1713</v>
      </c>
      <c r="AC203" s="3">
        <v>0</v>
      </c>
      <c r="AD203" s="3">
        <v>0</v>
      </c>
      <c r="AE203" s="3">
        <v>0</v>
      </c>
      <c r="AF203" s="3">
        <v>0</v>
      </c>
      <c r="AG203" s="3">
        <v>0</v>
      </c>
      <c r="AH203" s="3">
        <v>3.59999999999999</v>
      </c>
      <c r="AI203" s="3" t="s">
        <v>2082</v>
      </c>
      <c r="AJ203" s="3" t="s">
        <v>1715</v>
      </c>
    </row>
    <row r="204" spans="1:36">
      <c r="A204" s="4">
        <v>43277</v>
      </c>
      <c r="B204" s="3" t="s">
        <v>2407</v>
      </c>
      <c r="C204" s="3" t="s">
        <v>2408</v>
      </c>
      <c r="D204" s="3" t="s">
        <v>2409</v>
      </c>
      <c r="E204" s="3" t="s">
        <v>2410</v>
      </c>
      <c r="F204" s="3" t="s">
        <v>1710</v>
      </c>
      <c r="G204" s="3">
        <v>138</v>
      </c>
      <c r="H204" s="3">
        <v>0</v>
      </c>
      <c r="I204" s="3">
        <v>7</v>
      </c>
      <c r="J204" s="3">
        <v>6</v>
      </c>
      <c r="K204" s="3">
        <v>125</v>
      </c>
      <c r="L204" s="3">
        <v>0</v>
      </c>
      <c r="M204" s="3">
        <v>0</v>
      </c>
      <c r="N204" s="3" t="s">
        <v>1711</v>
      </c>
      <c r="O204" s="3">
        <v>131</v>
      </c>
      <c r="P204" s="3">
        <v>78.4</v>
      </c>
      <c r="Q204" s="3">
        <v>0</v>
      </c>
      <c r="R204" s="3">
        <v>0</v>
      </c>
      <c r="S204" s="3">
        <v>0</v>
      </c>
      <c r="T204" s="3">
        <v>4</v>
      </c>
      <c r="U204" s="3">
        <v>4</v>
      </c>
      <c r="V204" s="3">
        <v>19</v>
      </c>
      <c r="W204" s="3"/>
      <c r="X204" s="3">
        <v>16.99</v>
      </c>
      <c r="Y204" s="3">
        <v>16.99</v>
      </c>
      <c r="Z204" s="3">
        <v>16</v>
      </c>
      <c r="AA204" s="3">
        <v>0</v>
      </c>
      <c r="AB204" s="3" t="s">
        <v>1713</v>
      </c>
      <c r="AC204" s="3">
        <v>139</v>
      </c>
      <c r="AD204" s="3">
        <v>16.99</v>
      </c>
      <c r="AE204" s="3">
        <v>0</v>
      </c>
      <c r="AF204" s="3">
        <v>0</v>
      </c>
      <c r="AG204" s="3">
        <v>0</v>
      </c>
      <c r="AH204" s="3">
        <v>0.131944444444444</v>
      </c>
      <c r="AI204" s="3" t="s">
        <v>1905</v>
      </c>
      <c r="AJ204" s="3" t="s">
        <v>1715</v>
      </c>
    </row>
    <row r="205" spans="1:36">
      <c r="A205" s="4">
        <v>43277</v>
      </c>
      <c r="B205" s="3" t="s">
        <v>2411</v>
      </c>
      <c r="C205" s="3" t="s">
        <v>2412</v>
      </c>
      <c r="D205" s="3" t="s">
        <v>2413</v>
      </c>
      <c r="E205" s="3" t="s">
        <v>2414</v>
      </c>
      <c r="F205" s="3" t="s">
        <v>1710</v>
      </c>
      <c r="G205" s="3">
        <v>1</v>
      </c>
      <c r="H205" s="3">
        <v>0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 t="s">
        <v>1711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3</v>
      </c>
      <c r="U205" s="3">
        <v>4</v>
      </c>
      <c r="V205" s="3">
        <v>10</v>
      </c>
      <c r="W205" s="3"/>
      <c r="X205" s="3">
        <v>19.99</v>
      </c>
      <c r="Y205" s="3">
        <v>19.99</v>
      </c>
      <c r="Z205" s="3">
        <v>19.99</v>
      </c>
      <c r="AA205" s="3">
        <v>0</v>
      </c>
      <c r="AB205" s="3" t="s">
        <v>1713</v>
      </c>
      <c r="AC205" s="3">
        <v>1</v>
      </c>
      <c r="AD205" s="3">
        <v>19.99</v>
      </c>
      <c r="AE205" s="3">
        <v>0</v>
      </c>
      <c r="AF205" s="3">
        <v>0</v>
      </c>
      <c r="AG205" s="3">
        <v>0</v>
      </c>
      <c r="AH205" s="3">
        <v>3.33333333333333</v>
      </c>
      <c r="AI205" s="3" t="s">
        <v>2415</v>
      </c>
      <c r="AJ205" s="3" t="s">
        <v>1715</v>
      </c>
    </row>
    <row r="206" spans="1:36">
      <c r="A206" s="4">
        <v>43277</v>
      </c>
      <c r="B206" s="3" t="s">
        <v>2416</v>
      </c>
      <c r="C206" s="3" t="s">
        <v>2417</v>
      </c>
      <c r="D206" s="3" t="s">
        <v>2418</v>
      </c>
      <c r="E206" s="3" t="s">
        <v>2419</v>
      </c>
      <c r="F206" s="3" t="s">
        <v>1710</v>
      </c>
      <c r="G206" s="3">
        <v>5</v>
      </c>
      <c r="H206" s="3">
        <v>0</v>
      </c>
      <c r="I206" s="3">
        <v>0</v>
      </c>
      <c r="J206" s="3">
        <v>0</v>
      </c>
      <c r="K206" s="3">
        <v>5</v>
      </c>
      <c r="L206" s="3">
        <v>0</v>
      </c>
      <c r="M206" s="3">
        <v>0</v>
      </c>
      <c r="N206" s="3" t="s">
        <v>1711</v>
      </c>
      <c r="O206" s="3">
        <v>5</v>
      </c>
      <c r="P206" s="3">
        <v>1.95</v>
      </c>
      <c r="Q206" s="3">
        <v>0</v>
      </c>
      <c r="R206" s="3">
        <v>0</v>
      </c>
      <c r="S206" s="3">
        <v>0</v>
      </c>
      <c r="T206" s="3">
        <v>1</v>
      </c>
      <c r="U206" s="3">
        <v>1</v>
      </c>
      <c r="V206" s="3">
        <v>2</v>
      </c>
      <c r="W206" s="3" t="s">
        <v>1720</v>
      </c>
      <c r="X206" s="3">
        <v>14.99</v>
      </c>
      <c r="Y206" s="3">
        <v>14.99</v>
      </c>
      <c r="Z206" s="3">
        <v>14.99</v>
      </c>
      <c r="AA206" s="3">
        <v>0</v>
      </c>
      <c r="AB206" s="3" t="s">
        <v>1721</v>
      </c>
      <c r="AC206" s="3">
        <v>5</v>
      </c>
      <c r="AD206" s="3">
        <v>14.99</v>
      </c>
      <c r="AE206" s="3">
        <v>0</v>
      </c>
      <c r="AF206" s="3">
        <v>0</v>
      </c>
      <c r="AG206" s="3">
        <v>0</v>
      </c>
      <c r="AH206" s="3">
        <v>0.333333333333333</v>
      </c>
      <c r="AI206" s="3" t="s">
        <v>2420</v>
      </c>
      <c r="AJ206" s="3" t="s">
        <v>1715</v>
      </c>
    </row>
    <row r="207" spans="1:36">
      <c r="A207" s="4">
        <v>43277</v>
      </c>
      <c r="B207" s="3" t="s">
        <v>2421</v>
      </c>
      <c r="C207" s="3" t="s">
        <v>2422</v>
      </c>
      <c r="D207" s="3" t="s">
        <v>2423</v>
      </c>
      <c r="E207" s="3" t="s">
        <v>1805</v>
      </c>
      <c r="F207" s="3" t="s">
        <v>1710</v>
      </c>
      <c r="G207" s="3">
        <v>2</v>
      </c>
      <c r="H207" s="3">
        <v>0</v>
      </c>
      <c r="I207" s="3">
        <v>0</v>
      </c>
      <c r="J207" s="3">
        <v>0</v>
      </c>
      <c r="K207" s="3">
        <v>2</v>
      </c>
      <c r="L207" s="3">
        <v>0</v>
      </c>
      <c r="M207" s="3">
        <v>0</v>
      </c>
      <c r="N207" s="3" t="s">
        <v>1711</v>
      </c>
      <c r="O207" s="3">
        <v>2</v>
      </c>
      <c r="P207" s="3">
        <v>3.99</v>
      </c>
      <c r="Q207" s="3">
        <v>0</v>
      </c>
      <c r="R207" s="3">
        <v>0</v>
      </c>
      <c r="S207" s="3">
        <v>0</v>
      </c>
      <c r="T207" s="3">
        <v>1</v>
      </c>
      <c r="U207" s="3">
        <v>1</v>
      </c>
      <c r="V207" s="3">
        <v>1</v>
      </c>
      <c r="W207" s="3" t="s">
        <v>1720</v>
      </c>
      <c r="X207" s="3">
        <v>17.99</v>
      </c>
      <c r="Y207" s="3">
        <v>17.99</v>
      </c>
      <c r="Z207" s="3">
        <v>17.99</v>
      </c>
      <c r="AA207" s="3">
        <v>0</v>
      </c>
      <c r="AB207" s="3" t="s">
        <v>1721</v>
      </c>
      <c r="AC207" s="3">
        <v>2</v>
      </c>
      <c r="AD207" s="3">
        <v>17.99</v>
      </c>
      <c r="AE207" s="3">
        <v>0</v>
      </c>
      <c r="AF207" s="3">
        <v>0</v>
      </c>
      <c r="AG207" s="3">
        <v>0</v>
      </c>
      <c r="AH207" s="3">
        <v>0.363636363636363</v>
      </c>
      <c r="AI207" s="3" t="s">
        <v>2424</v>
      </c>
      <c r="AJ207" s="3" t="s">
        <v>1715</v>
      </c>
    </row>
    <row r="208" spans="1:36">
      <c r="A208" s="4">
        <v>43277</v>
      </c>
      <c r="B208" s="3" t="s">
        <v>2425</v>
      </c>
      <c r="C208" s="3" t="s">
        <v>2426</v>
      </c>
      <c r="D208" s="3" t="s">
        <v>2427</v>
      </c>
      <c r="E208" s="3" t="s">
        <v>2428</v>
      </c>
      <c r="F208" s="3" t="s">
        <v>1710</v>
      </c>
      <c r="G208" s="3">
        <v>4</v>
      </c>
      <c r="H208" s="3">
        <v>0</v>
      </c>
      <c r="I208" s="3">
        <v>4</v>
      </c>
      <c r="J208" s="3">
        <v>0</v>
      </c>
      <c r="K208" s="3">
        <v>0</v>
      </c>
      <c r="L208" s="3">
        <v>0</v>
      </c>
      <c r="M208" s="3">
        <v>0</v>
      </c>
      <c r="N208" s="3" t="s">
        <v>1711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 t="s">
        <v>1720</v>
      </c>
      <c r="X208" s="3">
        <v>42.3</v>
      </c>
      <c r="Y208" s="3">
        <v>29.99</v>
      </c>
      <c r="Z208" s="3">
        <v>25</v>
      </c>
      <c r="AA208" s="3">
        <v>0</v>
      </c>
      <c r="AB208" s="3" t="s">
        <v>2429</v>
      </c>
      <c r="AC208" s="3">
        <v>4</v>
      </c>
      <c r="AD208" s="3">
        <v>29.99</v>
      </c>
      <c r="AE208" s="3">
        <v>0</v>
      </c>
      <c r="AF208" s="3">
        <v>0</v>
      </c>
      <c r="AG208" s="3">
        <v>0</v>
      </c>
      <c r="AH208" s="3">
        <v>0</v>
      </c>
      <c r="AI208" s="3" t="s">
        <v>2430</v>
      </c>
      <c r="AJ208" s="3" t="s">
        <v>1783</v>
      </c>
    </row>
    <row r="209" spans="1:36">
      <c r="A209" s="4">
        <v>43277</v>
      </c>
      <c r="B209" s="3" t="s">
        <v>2431</v>
      </c>
      <c r="C209" s="3" t="s">
        <v>2432</v>
      </c>
      <c r="D209" s="3" t="s">
        <v>2433</v>
      </c>
      <c r="E209" s="3" t="s">
        <v>2225</v>
      </c>
      <c r="F209" s="3" t="s">
        <v>1710</v>
      </c>
      <c r="G209" s="3">
        <v>1</v>
      </c>
      <c r="H209" s="3">
        <v>0</v>
      </c>
      <c r="I209" s="3">
        <v>1</v>
      </c>
      <c r="J209" s="3">
        <v>0</v>
      </c>
      <c r="K209" s="3">
        <v>0</v>
      </c>
      <c r="L209" s="3">
        <v>0</v>
      </c>
      <c r="M209" s="3">
        <v>0</v>
      </c>
      <c r="N209" s="3" t="s">
        <v>1711</v>
      </c>
      <c r="O209" s="3">
        <v>0</v>
      </c>
      <c r="P209" s="3">
        <v>0</v>
      </c>
      <c r="Q209" s="3">
        <v>0</v>
      </c>
      <c r="R209" s="3">
        <v>0</v>
      </c>
      <c r="S209" s="3">
        <v>3</v>
      </c>
      <c r="T209" s="3">
        <v>15</v>
      </c>
      <c r="U209" s="3">
        <v>31</v>
      </c>
      <c r="V209" s="3">
        <v>56</v>
      </c>
      <c r="W209" s="3"/>
      <c r="X209" s="3">
        <v>12.99</v>
      </c>
      <c r="Y209" s="3">
        <v>12.99</v>
      </c>
      <c r="Z209" s="3">
        <v>12.99</v>
      </c>
      <c r="AA209" s="3">
        <v>0</v>
      </c>
      <c r="AB209" s="3" t="s">
        <v>1713</v>
      </c>
      <c r="AC209" s="3">
        <v>1</v>
      </c>
      <c r="AD209" s="3">
        <v>12.99</v>
      </c>
      <c r="AE209" s="3">
        <v>0</v>
      </c>
      <c r="AF209" s="3">
        <v>0</v>
      </c>
      <c r="AG209" s="3">
        <v>0</v>
      </c>
      <c r="AH209" s="3">
        <v>2.43478260869565</v>
      </c>
      <c r="AI209" s="3" t="s">
        <v>2226</v>
      </c>
      <c r="AJ209" s="3" t="s">
        <v>1715</v>
      </c>
    </row>
    <row r="210" spans="1:36">
      <c r="A210" s="4">
        <v>43277</v>
      </c>
      <c r="B210" s="3" t="s">
        <v>2434</v>
      </c>
      <c r="C210" s="3" t="s">
        <v>2435</v>
      </c>
      <c r="D210" s="3" t="s">
        <v>2436</v>
      </c>
      <c r="E210" s="3" t="s">
        <v>2437</v>
      </c>
      <c r="F210" s="3" t="s">
        <v>1710</v>
      </c>
      <c r="G210" s="3">
        <v>4</v>
      </c>
      <c r="H210" s="3">
        <v>0</v>
      </c>
      <c r="I210" s="3">
        <v>2</v>
      </c>
      <c r="J210" s="3">
        <v>1</v>
      </c>
      <c r="K210" s="3">
        <v>1</v>
      </c>
      <c r="L210" s="3">
        <v>0</v>
      </c>
      <c r="M210" s="3">
        <v>0</v>
      </c>
      <c r="N210" s="3" t="s">
        <v>1711</v>
      </c>
      <c r="O210" s="3">
        <v>1</v>
      </c>
      <c r="P210" s="3">
        <v>0.72</v>
      </c>
      <c r="Q210" s="3">
        <v>0</v>
      </c>
      <c r="R210" s="3">
        <v>0</v>
      </c>
      <c r="S210" s="3">
        <v>0</v>
      </c>
      <c r="T210" s="3">
        <v>0</v>
      </c>
      <c r="U210" s="3">
        <v>2</v>
      </c>
      <c r="V210" s="3">
        <v>3</v>
      </c>
      <c r="W210" s="3" t="s">
        <v>1720</v>
      </c>
      <c r="X210" s="3">
        <v>14.99</v>
      </c>
      <c r="Y210" s="3">
        <v>14.99</v>
      </c>
      <c r="Z210" s="3">
        <v>14.99</v>
      </c>
      <c r="AA210" s="3">
        <v>0</v>
      </c>
      <c r="AB210" s="3" t="s">
        <v>1721</v>
      </c>
      <c r="AC210" s="3">
        <v>4</v>
      </c>
      <c r="AD210" s="3">
        <v>14.99</v>
      </c>
      <c r="AE210" s="3">
        <v>0</v>
      </c>
      <c r="AF210" s="3">
        <v>0</v>
      </c>
      <c r="AG210" s="3">
        <v>0</v>
      </c>
      <c r="AH210" s="3">
        <v>0.705882352941176</v>
      </c>
      <c r="AI210" s="3" t="s">
        <v>1840</v>
      </c>
      <c r="AJ210" s="3" t="s">
        <v>1715</v>
      </c>
    </row>
    <row r="211" spans="1:36">
      <c r="A211" s="4">
        <v>43277</v>
      </c>
      <c r="B211" s="3" t="s">
        <v>2438</v>
      </c>
      <c r="C211" s="3" t="s">
        <v>2439</v>
      </c>
      <c r="D211" s="3" t="s">
        <v>2440</v>
      </c>
      <c r="E211" s="3" t="s">
        <v>2441</v>
      </c>
      <c r="F211" s="3" t="s">
        <v>1710</v>
      </c>
      <c r="G211" s="3">
        <v>8</v>
      </c>
      <c r="H211" s="3">
        <v>0</v>
      </c>
      <c r="I211" s="3">
        <v>0</v>
      </c>
      <c r="J211" s="3">
        <v>0</v>
      </c>
      <c r="K211" s="3">
        <v>8</v>
      </c>
      <c r="L211" s="3">
        <v>0</v>
      </c>
      <c r="M211" s="3">
        <v>0</v>
      </c>
      <c r="N211" s="3" t="s">
        <v>1711</v>
      </c>
      <c r="O211" s="3">
        <v>8</v>
      </c>
      <c r="P211" s="3">
        <v>28.03</v>
      </c>
      <c r="Q211" s="3">
        <v>0</v>
      </c>
      <c r="R211" s="3">
        <v>0</v>
      </c>
      <c r="S211" s="3">
        <v>0</v>
      </c>
      <c r="T211" s="3">
        <v>1</v>
      </c>
      <c r="U211" s="3">
        <v>2</v>
      </c>
      <c r="V211" s="3">
        <v>2</v>
      </c>
      <c r="W211" s="3" t="s">
        <v>1720</v>
      </c>
      <c r="X211" s="3">
        <v>30</v>
      </c>
      <c r="Y211" s="3">
        <v>11.99</v>
      </c>
      <c r="Z211" s="3">
        <v>11.99</v>
      </c>
      <c r="AA211" s="3">
        <v>0</v>
      </c>
      <c r="AB211" s="3" t="s">
        <v>1732</v>
      </c>
      <c r="AC211" s="3">
        <v>0</v>
      </c>
      <c r="AD211" s="3">
        <v>9.26</v>
      </c>
      <c r="AE211" s="3">
        <v>224</v>
      </c>
      <c r="AF211" s="3">
        <v>0</v>
      </c>
      <c r="AG211" s="3">
        <v>328.303225</v>
      </c>
      <c r="AH211" s="3">
        <v>0.216216216216216</v>
      </c>
      <c r="AI211" s="3" t="s">
        <v>2442</v>
      </c>
      <c r="AJ211" s="3" t="s">
        <v>1783</v>
      </c>
    </row>
    <row r="212" spans="1:36">
      <c r="A212" s="4">
        <v>43277</v>
      </c>
      <c r="B212" s="3" t="s">
        <v>2443</v>
      </c>
      <c r="C212" s="3" t="s">
        <v>2444</v>
      </c>
      <c r="D212" s="3" t="s">
        <v>2445</v>
      </c>
      <c r="E212" s="3" t="s">
        <v>2446</v>
      </c>
      <c r="F212" s="3" t="s">
        <v>1710</v>
      </c>
      <c r="G212" s="3">
        <v>1</v>
      </c>
      <c r="H212" s="3">
        <v>0</v>
      </c>
      <c r="I212" s="3">
        <v>1</v>
      </c>
      <c r="J212" s="3">
        <v>0</v>
      </c>
      <c r="K212" s="3">
        <v>0</v>
      </c>
      <c r="L212" s="3">
        <v>0</v>
      </c>
      <c r="M212" s="3">
        <v>0</v>
      </c>
      <c r="N212" s="3" t="s">
        <v>1711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1</v>
      </c>
      <c r="W212" s="3" t="s">
        <v>1720</v>
      </c>
      <c r="X212" s="3">
        <v>17.99</v>
      </c>
      <c r="Y212" s="3">
        <v>17.99</v>
      </c>
      <c r="Z212" s="3">
        <v>17.99</v>
      </c>
      <c r="AA212" s="3">
        <v>0</v>
      </c>
      <c r="AB212" s="3" t="s">
        <v>1721</v>
      </c>
      <c r="AC212" s="3">
        <v>0</v>
      </c>
      <c r="AD212" s="3">
        <v>16.57</v>
      </c>
      <c r="AE212" s="3">
        <v>329</v>
      </c>
      <c r="AF212" s="3">
        <v>0</v>
      </c>
      <c r="AG212" s="3">
        <v>5.152634</v>
      </c>
      <c r="AH212" s="3">
        <v>1</v>
      </c>
      <c r="AI212" s="3" t="s">
        <v>1782</v>
      </c>
      <c r="AJ212" s="3" t="s">
        <v>1783</v>
      </c>
    </row>
    <row r="213" spans="1:36">
      <c r="A213" s="4">
        <v>43277</v>
      </c>
      <c r="B213" s="3" t="s">
        <v>2447</v>
      </c>
      <c r="C213" s="3" t="s">
        <v>2448</v>
      </c>
      <c r="D213" s="3" t="s">
        <v>2449</v>
      </c>
      <c r="E213" s="3" t="s">
        <v>2450</v>
      </c>
      <c r="F213" s="3" t="s">
        <v>1710</v>
      </c>
      <c r="G213" s="3">
        <v>10</v>
      </c>
      <c r="H213" s="3">
        <v>0</v>
      </c>
      <c r="I213" s="3">
        <v>10</v>
      </c>
      <c r="J213" s="3">
        <v>0</v>
      </c>
      <c r="K213" s="3">
        <v>0</v>
      </c>
      <c r="L213" s="3">
        <v>0</v>
      </c>
      <c r="M213" s="3">
        <v>0</v>
      </c>
      <c r="N213" s="3" t="s">
        <v>1711</v>
      </c>
      <c r="O213" s="3">
        <v>0</v>
      </c>
      <c r="P213" s="3">
        <v>0</v>
      </c>
      <c r="Q213" s="3">
        <v>0</v>
      </c>
      <c r="R213" s="3">
        <v>0</v>
      </c>
      <c r="S213" s="3">
        <v>2</v>
      </c>
      <c r="T213" s="3">
        <v>9</v>
      </c>
      <c r="U213" s="3">
        <v>20</v>
      </c>
      <c r="V213" s="3">
        <v>30</v>
      </c>
      <c r="W213" s="3"/>
      <c r="X213" s="3">
        <v>38</v>
      </c>
      <c r="Y213" s="3">
        <v>28.58</v>
      </c>
      <c r="Z213" s="3">
        <v>28</v>
      </c>
      <c r="AA213" s="3">
        <v>0</v>
      </c>
      <c r="AB213" s="3" t="s">
        <v>1713</v>
      </c>
      <c r="AC213" s="3">
        <v>12</v>
      </c>
      <c r="AD213" s="3">
        <v>28.58</v>
      </c>
      <c r="AE213" s="3">
        <v>0</v>
      </c>
      <c r="AF213" s="3">
        <v>0</v>
      </c>
      <c r="AG213" s="3">
        <v>0</v>
      </c>
      <c r="AH213" s="3">
        <v>2.92682926829268</v>
      </c>
      <c r="AI213" s="3" t="s">
        <v>2128</v>
      </c>
      <c r="AJ213" s="3" t="s">
        <v>1715</v>
      </c>
    </row>
    <row r="214" spans="1:36">
      <c r="A214" s="4">
        <v>43277</v>
      </c>
      <c r="B214" s="3" t="s">
        <v>2451</v>
      </c>
      <c r="C214" s="3" t="s">
        <v>2452</v>
      </c>
      <c r="D214" s="3" t="s">
        <v>2453</v>
      </c>
      <c r="E214" s="3" t="s">
        <v>2454</v>
      </c>
      <c r="F214" s="3" t="s">
        <v>1710</v>
      </c>
      <c r="G214" s="3">
        <v>11</v>
      </c>
      <c r="H214" s="3">
        <v>0</v>
      </c>
      <c r="I214" s="3">
        <v>11</v>
      </c>
      <c r="J214" s="3">
        <v>0</v>
      </c>
      <c r="K214" s="3">
        <v>0</v>
      </c>
      <c r="L214" s="3">
        <v>0</v>
      </c>
      <c r="M214" s="3">
        <v>0</v>
      </c>
      <c r="N214" s="3" t="s">
        <v>1711</v>
      </c>
      <c r="O214" s="3">
        <v>0</v>
      </c>
      <c r="P214" s="3">
        <v>0</v>
      </c>
      <c r="Q214" s="3">
        <v>0</v>
      </c>
      <c r="R214" s="3">
        <v>0</v>
      </c>
      <c r="S214" s="3">
        <v>1</v>
      </c>
      <c r="T214" s="3">
        <v>7</v>
      </c>
      <c r="U214" s="3">
        <v>13</v>
      </c>
      <c r="V214" s="3">
        <v>17</v>
      </c>
      <c r="W214" s="3"/>
      <c r="X214" s="3">
        <v>15.99</v>
      </c>
      <c r="Y214" s="3">
        <v>15.99</v>
      </c>
      <c r="Z214" s="3">
        <v>15.55</v>
      </c>
      <c r="AA214" s="3">
        <v>0</v>
      </c>
      <c r="AB214" s="3" t="s">
        <v>1713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2.61538461538461</v>
      </c>
      <c r="AI214" s="3" t="s">
        <v>2036</v>
      </c>
      <c r="AJ214" s="3" t="s">
        <v>1715</v>
      </c>
    </row>
    <row r="215" spans="1:36">
      <c r="A215" s="4">
        <v>43277</v>
      </c>
      <c r="B215" s="3" t="s">
        <v>2455</v>
      </c>
      <c r="C215" s="3" t="s">
        <v>2456</v>
      </c>
      <c r="D215" s="3" t="s">
        <v>2457</v>
      </c>
      <c r="E215" s="3" t="s">
        <v>2458</v>
      </c>
      <c r="F215" s="3" t="s">
        <v>1710</v>
      </c>
      <c r="G215" s="3">
        <v>10</v>
      </c>
      <c r="H215" s="3">
        <v>0</v>
      </c>
      <c r="I215" s="3">
        <v>0</v>
      </c>
      <c r="J215" s="3">
        <v>0</v>
      </c>
      <c r="K215" s="3">
        <v>10</v>
      </c>
      <c r="L215" s="3">
        <v>0</v>
      </c>
      <c r="M215" s="3">
        <v>0</v>
      </c>
      <c r="N215" s="3" t="s">
        <v>1711</v>
      </c>
      <c r="O215" s="3">
        <v>10</v>
      </c>
      <c r="P215" s="3">
        <v>15.63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1720</v>
      </c>
      <c r="X215" s="3">
        <v>18.99</v>
      </c>
      <c r="Y215" s="3">
        <v>18.99</v>
      </c>
      <c r="Z215" s="3">
        <v>18.99</v>
      </c>
      <c r="AA215" s="3">
        <v>0</v>
      </c>
      <c r="AB215" s="3" t="s">
        <v>1732</v>
      </c>
      <c r="AC215" s="3">
        <v>0</v>
      </c>
      <c r="AD215" s="3">
        <v>15.19</v>
      </c>
      <c r="AE215" s="3">
        <v>63</v>
      </c>
      <c r="AF215" s="3">
        <v>0</v>
      </c>
      <c r="AG215" s="3">
        <v>184.935405</v>
      </c>
      <c r="AH215" s="3">
        <v>0</v>
      </c>
      <c r="AI215" s="3" t="s">
        <v>2002</v>
      </c>
      <c r="AJ215" s="3" t="s">
        <v>1715</v>
      </c>
    </row>
    <row r="216" spans="1:36">
      <c r="A216" s="4">
        <v>43277</v>
      </c>
      <c r="B216" s="3" t="s">
        <v>2459</v>
      </c>
      <c r="C216" s="3" t="s">
        <v>2460</v>
      </c>
      <c r="D216" s="3" t="s">
        <v>2461</v>
      </c>
      <c r="E216" s="3" t="s">
        <v>2462</v>
      </c>
      <c r="F216" s="3" t="s">
        <v>1710</v>
      </c>
      <c r="G216" s="3">
        <v>10</v>
      </c>
      <c r="H216" s="3">
        <v>0</v>
      </c>
      <c r="I216" s="3">
        <v>10</v>
      </c>
      <c r="J216" s="3">
        <v>0</v>
      </c>
      <c r="K216" s="3">
        <v>0</v>
      </c>
      <c r="L216" s="3">
        <v>0</v>
      </c>
      <c r="M216" s="3">
        <v>0</v>
      </c>
      <c r="N216" s="3" t="s">
        <v>1711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8</v>
      </c>
      <c r="U216" s="3">
        <v>25</v>
      </c>
      <c r="V216" s="3">
        <v>25</v>
      </c>
      <c r="W216" s="3" t="s">
        <v>1712</v>
      </c>
      <c r="X216" s="3">
        <v>21.99</v>
      </c>
      <c r="Y216" s="3">
        <v>21.99</v>
      </c>
      <c r="Z216" s="3">
        <v>21.99</v>
      </c>
      <c r="AA216" s="3">
        <v>0</v>
      </c>
      <c r="AB216" s="3" t="s">
        <v>1713</v>
      </c>
      <c r="AC216" s="3">
        <v>10</v>
      </c>
      <c r="AD216" s="3">
        <v>21.99</v>
      </c>
      <c r="AE216" s="3">
        <v>0</v>
      </c>
      <c r="AF216" s="3">
        <v>0</v>
      </c>
      <c r="AG216" s="3">
        <v>0</v>
      </c>
      <c r="AH216" s="3">
        <v>4.41176470588235</v>
      </c>
      <c r="AI216" s="3" t="s">
        <v>1890</v>
      </c>
      <c r="AJ216" s="3" t="s">
        <v>1715</v>
      </c>
    </row>
    <row r="217" spans="1:36">
      <c r="A217" s="4">
        <v>43277</v>
      </c>
      <c r="B217" s="3" t="s">
        <v>2463</v>
      </c>
      <c r="C217" s="3" t="s">
        <v>2464</v>
      </c>
      <c r="D217" s="3" t="s">
        <v>2465</v>
      </c>
      <c r="E217" s="3" t="s">
        <v>119</v>
      </c>
      <c r="F217" s="3" t="s">
        <v>1710</v>
      </c>
      <c r="G217" s="3">
        <v>25</v>
      </c>
      <c r="H217" s="3">
        <v>0</v>
      </c>
      <c r="I217" s="3">
        <v>19</v>
      </c>
      <c r="J217" s="3">
        <v>6</v>
      </c>
      <c r="K217" s="3">
        <v>0</v>
      </c>
      <c r="L217" s="3">
        <v>0</v>
      </c>
      <c r="M217" s="3">
        <v>0</v>
      </c>
      <c r="N217" s="3" t="s">
        <v>1711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1</v>
      </c>
      <c r="U217" s="3">
        <v>5</v>
      </c>
      <c r="V217" s="3">
        <v>23</v>
      </c>
      <c r="W217" s="3"/>
      <c r="X217" s="3">
        <v>16.08</v>
      </c>
      <c r="Y217" s="3">
        <v>16.08</v>
      </c>
      <c r="Z217" s="3">
        <v>16.08</v>
      </c>
      <c r="AA217" s="3">
        <v>0</v>
      </c>
      <c r="AB217" s="3" t="s">
        <v>1732</v>
      </c>
      <c r="AC217" s="3">
        <v>0</v>
      </c>
      <c r="AD217" s="3">
        <v>15.13</v>
      </c>
      <c r="AE217" s="3">
        <v>77</v>
      </c>
      <c r="AF217" s="3">
        <v>0</v>
      </c>
      <c r="AG217" s="3">
        <v>404.532864</v>
      </c>
      <c r="AH217" s="3">
        <v>0.938775510204081</v>
      </c>
      <c r="AI217" s="3" t="s">
        <v>2466</v>
      </c>
      <c r="AJ217" s="3" t="s">
        <v>1715</v>
      </c>
    </row>
    <row r="218" spans="1:36">
      <c r="A218" s="4">
        <v>43277</v>
      </c>
      <c r="B218" s="3" t="s">
        <v>180</v>
      </c>
      <c r="C218" s="3" t="s">
        <v>181</v>
      </c>
      <c r="D218" s="3" t="s">
        <v>182</v>
      </c>
      <c r="E218" s="3" t="s">
        <v>183</v>
      </c>
      <c r="F218" s="3" t="s">
        <v>1710</v>
      </c>
      <c r="G218" s="3">
        <v>11</v>
      </c>
      <c r="H218" s="3">
        <v>0</v>
      </c>
      <c r="I218" s="3">
        <v>11</v>
      </c>
      <c r="J218" s="3">
        <v>0</v>
      </c>
      <c r="K218" s="3">
        <v>0</v>
      </c>
      <c r="L218" s="3">
        <v>0</v>
      </c>
      <c r="M218" s="3">
        <v>0</v>
      </c>
      <c r="N218" s="3" t="s">
        <v>1711</v>
      </c>
      <c r="O218" s="3">
        <v>0</v>
      </c>
      <c r="P218" s="3">
        <v>0</v>
      </c>
      <c r="Q218" s="3">
        <v>0</v>
      </c>
      <c r="R218" s="3">
        <v>0</v>
      </c>
      <c r="S218" s="3">
        <v>16</v>
      </c>
      <c r="T218" s="3">
        <v>44</v>
      </c>
      <c r="U218" s="3">
        <v>68</v>
      </c>
      <c r="V218" s="3">
        <v>88</v>
      </c>
      <c r="W218" s="3"/>
      <c r="X218" s="3">
        <v>28.99</v>
      </c>
      <c r="Y218" s="3">
        <v>14.99</v>
      </c>
      <c r="Z218" s="3">
        <v>14.99</v>
      </c>
      <c r="AA218" s="3">
        <v>0</v>
      </c>
      <c r="AB218" s="3" t="s">
        <v>1713</v>
      </c>
      <c r="AC218" s="3">
        <v>11</v>
      </c>
      <c r="AD218" s="3">
        <v>14.99</v>
      </c>
      <c r="AE218" s="3">
        <v>0</v>
      </c>
      <c r="AF218" s="3">
        <v>0</v>
      </c>
      <c r="AG218" s="3">
        <v>0</v>
      </c>
      <c r="AH218" s="3">
        <v>7.65217391304347</v>
      </c>
      <c r="AI218" s="3" t="s">
        <v>2467</v>
      </c>
      <c r="AJ218" s="3" t="s">
        <v>1715</v>
      </c>
    </row>
    <row r="219" spans="1:36">
      <c r="A219" s="4">
        <v>43277</v>
      </c>
      <c r="B219" s="3" t="s">
        <v>2468</v>
      </c>
      <c r="C219" s="3" t="s">
        <v>2469</v>
      </c>
      <c r="D219" s="3" t="s">
        <v>2470</v>
      </c>
      <c r="E219" s="3" t="s">
        <v>1936</v>
      </c>
      <c r="F219" s="3" t="s">
        <v>1710</v>
      </c>
      <c r="G219" s="3">
        <v>5</v>
      </c>
      <c r="H219" s="3">
        <v>0</v>
      </c>
      <c r="I219" s="3">
        <v>0</v>
      </c>
      <c r="J219" s="3">
        <v>0</v>
      </c>
      <c r="K219" s="3">
        <v>0</v>
      </c>
      <c r="L219" s="3">
        <v>5</v>
      </c>
      <c r="M219" s="3">
        <v>0</v>
      </c>
      <c r="N219" s="3" t="s">
        <v>1711</v>
      </c>
      <c r="O219" s="3">
        <v>0</v>
      </c>
      <c r="P219" s="3">
        <v>0</v>
      </c>
      <c r="Q219" s="3">
        <v>5</v>
      </c>
      <c r="R219" s="3">
        <v>7.21</v>
      </c>
      <c r="S219" s="3">
        <v>0</v>
      </c>
      <c r="T219" s="3">
        <v>0</v>
      </c>
      <c r="U219" s="3">
        <v>0</v>
      </c>
      <c r="V219" s="3">
        <v>0</v>
      </c>
      <c r="W219" s="3" t="s">
        <v>1720</v>
      </c>
      <c r="X219" s="3">
        <v>14.99</v>
      </c>
      <c r="Y219" s="3">
        <v>14.99</v>
      </c>
      <c r="Z219" s="3">
        <v>14.99</v>
      </c>
      <c r="AA219" s="3">
        <v>0</v>
      </c>
      <c r="AB219" s="3" t="s">
        <v>1721</v>
      </c>
      <c r="AC219" s="3">
        <v>0</v>
      </c>
      <c r="AD219" s="3">
        <v>13.32</v>
      </c>
      <c r="AE219" s="3">
        <v>77</v>
      </c>
      <c r="AF219" s="3">
        <v>0</v>
      </c>
      <c r="AG219" s="3">
        <v>78.194172</v>
      </c>
      <c r="AH219" s="3">
        <v>0</v>
      </c>
      <c r="AI219" s="3" t="s">
        <v>1840</v>
      </c>
      <c r="AJ219" s="3" t="s">
        <v>1715</v>
      </c>
    </row>
    <row r="220" spans="1:36">
      <c r="A220" s="4">
        <v>43277</v>
      </c>
      <c r="B220" s="3" t="s">
        <v>2471</v>
      </c>
      <c r="C220" s="3" t="s">
        <v>2472</v>
      </c>
      <c r="D220" s="3" t="s">
        <v>2473</v>
      </c>
      <c r="E220" s="3" t="s">
        <v>2474</v>
      </c>
      <c r="F220" s="3" t="s">
        <v>1710</v>
      </c>
      <c r="G220" s="3">
        <v>29</v>
      </c>
      <c r="H220" s="3">
        <v>0</v>
      </c>
      <c r="I220" s="3">
        <v>29</v>
      </c>
      <c r="J220" s="3">
        <v>0</v>
      </c>
      <c r="K220" s="3">
        <v>0</v>
      </c>
      <c r="L220" s="3">
        <v>0</v>
      </c>
      <c r="M220" s="3">
        <v>0</v>
      </c>
      <c r="N220" s="3" t="s">
        <v>1711</v>
      </c>
      <c r="O220" s="3">
        <v>0</v>
      </c>
      <c r="P220" s="3">
        <v>0</v>
      </c>
      <c r="Q220" s="3">
        <v>0</v>
      </c>
      <c r="R220" s="3">
        <v>0</v>
      </c>
      <c r="S220" s="3">
        <v>2</v>
      </c>
      <c r="T220" s="3">
        <v>10</v>
      </c>
      <c r="U220" s="3">
        <v>13</v>
      </c>
      <c r="V220" s="3">
        <v>16</v>
      </c>
      <c r="W220" s="3"/>
      <c r="X220" s="3">
        <v>28.99</v>
      </c>
      <c r="Y220" s="3">
        <v>15.99</v>
      </c>
      <c r="Z220" s="3">
        <v>15.55</v>
      </c>
      <c r="AA220" s="3">
        <v>0</v>
      </c>
      <c r="AB220" s="3" t="s">
        <v>1713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1.39130434782608</v>
      </c>
      <c r="AI220" s="3" t="s">
        <v>2082</v>
      </c>
      <c r="AJ220" s="3" t="s">
        <v>1715</v>
      </c>
    </row>
    <row r="221" spans="1:36">
      <c r="A221" s="4">
        <v>43277</v>
      </c>
      <c r="B221" s="3" t="s">
        <v>2475</v>
      </c>
      <c r="C221" s="3" t="s">
        <v>2476</v>
      </c>
      <c r="D221" s="3" t="s">
        <v>2477</v>
      </c>
      <c r="E221" s="3" t="s">
        <v>2478</v>
      </c>
      <c r="F221" s="3" t="s">
        <v>1710</v>
      </c>
      <c r="G221" s="3">
        <v>3</v>
      </c>
      <c r="H221" s="3">
        <v>0</v>
      </c>
      <c r="I221" s="3">
        <v>0</v>
      </c>
      <c r="J221" s="3">
        <v>0</v>
      </c>
      <c r="K221" s="3">
        <v>3</v>
      </c>
      <c r="L221" s="3">
        <v>0</v>
      </c>
      <c r="M221" s="3">
        <v>0</v>
      </c>
      <c r="N221" s="3" t="s">
        <v>1711</v>
      </c>
      <c r="O221" s="3">
        <v>3</v>
      </c>
      <c r="P221" s="3">
        <v>3.97</v>
      </c>
      <c r="Q221" s="3">
        <v>0</v>
      </c>
      <c r="R221" s="3">
        <v>0</v>
      </c>
      <c r="S221" s="3">
        <v>0</v>
      </c>
      <c r="T221" s="3">
        <v>1</v>
      </c>
      <c r="U221" s="3">
        <v>1</v>
      </c>
      <c r="V221" s="3">
        <v>1</v>
      </c>
      <c r="W221" s="3" t="s">
        <v>1720</v>
      </c>
      <c r="X221" s="3">
        <v>18.99</v>
      </c>
      <c r="Y221" s="3">
        <v>18.99</v>
      </c>
      <c r="Z221" s="3">
        <v>18.99</v>
      </c>
      <c r="AA221" s="3">
        <v>0</v>
      </c>
      <c r="AB221" s="3" t="s">
        <v>1721</v>
      </c>
      <c r="AC221" s="3">
        <v>0</v>
      </c>
      <c r="AD221" s="3">
        <v>17</v>
      </c>
      <c r="AE221" s="3">
        <v>140</v>
      </c>
      <c r="AF221" s="3">
        <v>0</v>
      </c>
      <c r="AG221" s="3">
        <v>71.026925</v>
      </c>
      <c r="AH221" s="3">
        <v>0.266666666666666</v>
      </c>
      <c r="AI221" s="3" t="s">
        <v>2398</v>
      </c>
      <c r="AJ221" s="3" t="s">
        <v>1715</v>
      </c>
    </row>
    <row r="222" spans="1:36">
      <c r="A222" s="4">
        <v>43277</v>
      </c>
      <c r="B222" s="3" t="s">
        <v>551</v>
      </c>
      <c r="C222" s="3" t="s">
        <v>552</v>
      </c>
      <c r="D222" s="3" t="s">
        <v>553</v>
      </c>
      <c r="E222" s="3" t="s">
        <v>554</v>
      </c>
      <c r="F222" s="3" t="s">
        <v>1710</v>
      </c>
      <c r="G222" s="3">
        <v>12</v>
      </c>
      <c r="H222" s="3">
        <v>0</v>
      </c>
      <c r="I222" s="3">
        <v>12</v>
      </c>
      <c r="J222" s="3">
        <v>0</v>
      </c>
      <c r="K222" s="3">
        <v>0</v>
      </c>
      <c r="L222" s="3">
        <v>0</v>
      </c>
      <c r="M222" s="3">
        <v>0</v>
      </c>
      <c r="N222" s="3" t="s">
        <v>1711</v>
      </c>
      <c r="O222" s="3">
        <v>0</v>
      </c>
      <c r="P222" s="3">
        <v>0</v>
      </c>
      <c r="Q222" s="3">
        <v>0</v>
      </c>
      <c r="R222" s="3">
        <v>0</v>
      </c>
      <c r="S222" s="3">
        <v>1</v>
      </c>
      <c r="T222" s="3">
        <v>6</v>
      </c>
      <c r="U222" s="3">
        <v>11</v>
      </c>
      <c r="V222" s="3">
        <v>20</v>
      </c>
      <c r="W222" s="3"/>
      <c r="X222" s="3">
        <v>38</v>
      </c>
      <c r="Y222" s="3">
        <v>10.58</v>
      </c>
      <c r="Z222" s="3">
        <v>10.58</v>
      </c>
      <c r="AA222" s="3">
        <v>0</v>
      </c>
      <c r="AB222" s="3" t="s">
        <v>1713</v>
      </c>
      <c r="AC222" s="3">
        <v>12</v>
      </c>
      <c r="AD222" s="3">
        <v>10.58</v>
      </c>
      <c r="AE222" s="3">
        <v>0</v>
      </c>
      <c r="AF222" s="3">
        <v>0</v>
      </c>
      <c r="AG222" s="3">
        <v>0</v>
      </c>
      <c r="AH222" s="3">
        <v>1.21212121212121</v>
      </c>
      <c r="AI222" s="3" t="s">
        <v>2479</v>
      </c>
      <c r="AJ222" s="3" t="s">
        <v>1715</v>
      </c>
    </row>
    <row r="223" spans="1:36">
      <c r="A223" s="4">
        <v>43277</v>
      </c>
      <c r="B223" s="3" t="s">
        <v>2480</v>
      </c>
      <c r="C223" s="3" t="s">
        <v>2481</v>
      </c>
      <c r="D223" s="3" t="s">
        <v>2482</v>
      </c>
      <c r="E223" s="3" t="s">
        <v>2483</v>
      </c>
      <c r="F223" s="3" t="s">
        <v>1710</v>
      </c>
      <c r="G223" s="3">
        <v>15</v>
      </c>
      <c r="H223" s="3">
        <v>0</v>
      </c>
      <c r="I223" s="3">
        <v>15</v>
      </c>
      <c r="J223" s="3">
        <v>0</v>
      </c>
      <c r="K223" s="3">
        <v>0</v>
      </c>
      <c r="L223" s="3">
        <v>0</v>
      </c>
      <c r="M223" s="3">
        <v>0</v>
      </c>
      <c r="N223" s="3" t="s">
        <v>1711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1712</v>
      </c>
      <c r="X223" s="3">
        <v>28.99</v>
      </c>
      <c r="Y223" s="3">
        <v>28.99</v>
      </c>
      <c r="Z223" s="3">
        <v>28.99</v>
      </c>
      <c r="AA223" s="3">
        <v>0</v>
      </c>
      <c r="AB223" s="3" t="s">
        <v>1713</v>
      </c>
      <c r="AC223" s="3">
        <v>15</v>
      </c>
      <c r="AD223" s="3">
        <v>28.99</v>
      </c>
      <c r="AE223" s="3">
        <v>0</v>
      </c>
      <c r="AF223" s="3">
        <v>0</v>
      </c>
      <c r="AG223" s="3">
        <v>0</v>
      </c>
      <c r="AH223" s="3">
        <v>0</v>
      </c>
      <c r="AI223" s="3" t="s">
        <v>2065</v>
      </c>
      <c r="AJ223" s="3" t="s">
        <v>1715</v>
      </c>
    </row>
    <row r="224" spans="1:36">
      <c r="A224" s="4">
        <v>43277</v>
      </c>
      <c r="B224" s="3" t="s">
        <v>2484</v>
      </c>
      <c r="C224" s="3" t="s">
        <v>2485</v>
      </c>
      <c r="D224" s="3" t="s">
        <v>2486</v>
      </c>
      <c r="E224" s="3" t="s">
        <v>2487</v>
      </c>
      <c r="F224" s="3" t="s">
        <v>1710</v>
      </c>
      <c r="G224" s="3">
        <v>6</v>
      </c>
      <c r="H224" s="3">
        <v>0</v>
      </c>
      <c r="I224" s="3">
        <v>5</v>
      </c>
      <c r="J224" s="3">
        <v>0</v>
      </c>
      <c r="K224" s="3">
        <v>1</v>
      </c>
      <c r="L224" s="3">
        <v>0</v>
      </c>
      <c r="M224" s="3">
        <v>0</v>
      </c>
      <c r="N224" s="3" t="s">
        <v>1711</v>
      </c>
      <c r="O224" s="3">
        <v>1</v>
      </c>
      <c r="P224" s="3">
        <v>4.88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1712</v>
      </c>
      <c r="X224" s="3">
        <v>29.99</v>
      </c>
      <c r="Y224" s="3">
        <v>29.99</v>
      </c>
      <c r="Z224" s="3">
        <v>28.99</v>
      </c>
      <c r="AA224" s="3">
        <v>0</v>
      </c>
      <c r="AB224" s="3" t="s">
        <v>1732</v>
      </c>
      <c r="AC224" s="3">
        <v>0</v>
      </c>
      <c r="AD224" s="3">
        <v>26.1</v>
      </c>
      <c r="AE224" s="3">
        <v>175</v>
      </c>
      <c r="AF224" s="3">
        <v>0</v>
      </c>
      <c r="AG224" s="3">
        <v>351.327669</v>
      </c>
      <c r="AH224" s="3">
        <v>0</v>
      </c>
      <c r="AI224" s="3" t="s">
        <v>2094</v>
      </c>
      <c r="AJ224" s="3" t="s">
        <v>1715</v>
      </c>
    </row>
    <row r="225" spans="1:36">
      <c r="A225" s="4">
        <v>43277</v>
      </c>
      <c r="B225" s="3" t="s">
        <v>1003</v>
      </c>
      <c r="C225" s="3" t="s">
        <v>1004</v>
      </c>
      <c r="D225" s="3" t="s">
        <v>1005</v>
      </c>
      <c r="E225" s="3" t="s">
        <v>898</v>
      </c>
      <c r="F225" s="3" t="s">
        <v>1710</v>
      </c>
      <c r="G225" s="3">
        <v>9</v>
      </c>
      <c r="H225" s="3">
        <v>0</v>
      </c>
      <c r="I225" s="3">
        <v>9</v>
      </c>
      <c r="J225" s="3">
        <v>0</v>
      </c>
      <c r="K225" s="3">
        <v>0</v>
      </c>
      <c r="L225" s="3">
        <v>0</v>
      </c>
      <c r="M225" s="3">
        <v>0</v>
      </c>
      <c r="N225" s="3" t="s">
        <v>1711</v>
      </c>
      <c r="O225" s="3">
        <v>0</v>
      </c>
      <c r="P225" s="3">
        <v>0</v>
      </c>
      <c r="Q225" s="3">
        <v>0</v>
      </c>
      <c r="R225" s="3">
        <v>0</v>
      </c>
      <c r="S225" s="3">
        <v>1</v>
      </c>
      <c r="T225" s="3">
        <v>1</v>
      </c>
      <c r="U225" s="3">
        <v>1</v>
      </c>
      <c r="V225" s="3">
        <v>1</v>
      </c>
      <c r="W225" s="3" t="s">
        <v>1720</v>
      </c>
      <c r="X225" s="3">
        <v>9.99</v>
      </c>
      <c r="Y225" s="3">
        <v>9.99</v>
      </c>
      <c r="Z225" s="3">
        <v>9.99</v>
      </c>
      <c r="AA225" s="3">
        <v>0</v>
      </c>
      <c r="AB225" s="3" t="s">
        <v>1721</v>
      </c>
      <c r="AC225" s="3">
        <v>0</v>
      </c>
      <c r="AD225" s="3">
        <v>9.99</v>
      </c>
      <c r="AE225" s="3">
        <v>63</v>
      </c>
      <c r="AF225" s="3">
        <v>0</v>
      </c>
      <c r="AG225" s="3">
        <v>81.229254</v>
      </c>
      <c r="AH225" s="3">
        <v>0.111111111111111</v>
      </c>
      <c r="AI225" s="3" t="s">
        <v>2022</v>
      </c>
      <c r="AJ225" s="3" t="s">
        <v>1715</v>
      </c>
    </row>
    <row r="226" spans="1:36">
      <c r="A226" s="4">
        <v>43277</v>
      </c>
      <c r="B226" s="3" t="s">
        <v>2488</v>
      </c>
      <c r="C226" s="3" t="s">
        <v>2489</v>
      </c>
      <c r="D226" s="3" t="s">
        <v>2490</v>
      </c>
      <c r="E226" s="3" t="s">
        <v>2491</v>
      </c>
      <c r="F226" s="3" t="s">
        <v>1710</v>
      </c>
      <c r="G226" s="3">
        <v>6</v>
      </c>
      <c r="H226" s="3">
        <v>0</v>
      </c>
      <c r="I226" s="3">
        <v>0</v>
      </c>
      <c r="J226" s="3">
        <v>6</v>
      </c>
      <c r="K226" s="3">
        <v>0</v>
      </c>
      <c r="L226" s="3">
        <v>0</v>
      </c>
      <c r="M226" s="3">
        <v>0</v>
      </c>
      <c r="N226" s="3" t="s">
        <v>1711</v>
      </c>
      <c r="O226" s="3">
        <v>6</v>
      </c>
      <c r="P226" s="3">
        <v>18.46</v>
      </c>
      <c r="Q226" s="3">
        <v>0</v>
      </c>
      <c r="R226" s="3">
        <v>0</v>
      </c>
      <c r="S226" s="3">
        <v>0</v>
      </c>
      <c r="T226" s="3">
        <v>0</v>
      </c>
      <c r="U226" s="3">
        <v>1</v>
      </c>
      <c r="V226" s="3">
        <v>1</v>
      </c>
      <c r="W226" s="3" t="s">
        <v>1720</v>
      </c>
      <c r="X226" s="3">
        <v>21.99</v>
      </c>
      <c r="Y226" s="3">
        <v>21.99</v>
      </c>
      <c r="Z226" s="3">
        <v>21.99</v>
      </c>
      <c r="AA226" s="3">
        <v>0</v>
      </c>
      <c r="AB226" s="3" t="s">
        <v>1721</v>
      </c>
      <c r="AC226" s="3">
        <v>6</v>
      </c>
      <c r="AD226" s="3">
        <v>21.99</v>
      </c>
      <c r="AE226" s="3">
        <v>0</v>
      </c>
      <c r="AF226" s="3">
        <v>0</v>
      </c>
      <c r="AG226" s="3">
        <v>0</v>
      </c>
      <c r="AH226" s="3">
        <v>0.153846153846153</v>
      </c>
      <c r="AI226" s="3" t="s">
        <v>1722</v>
      </c>
      <c r="AJ226" s="3" t="s">
        <v>1715</v>
      </c>
    </row>
    <row r="227" spans="1:36">
      <c r="A227" s="4">
        <v>43277</v>
      </c>
      <c r="B227" s="3" t="s">
        <v>2492</v>
      </c>
      <c r="C227" s="3" t="s">
        <v>2493</v>
      </c>
      <c r="D227" s="3" t="s">
        <v>2494</v>
      </c>
      <c r="E227" s="3" t="s">
        <v>2495</v>
      </c>
      <c r="F227" s="3" t="s">
        <v>1710</v>
      </c>
      <c r="G227" s="3">
        <v>15</v>
      </c>
      <c r="H227" s="3">
        <v>0</v>
      </c>
      <c r="I227" s="3">
        <v>15</v>
      </c>
      <c r="J227" s="3">
        <v>0</v>
      </c>
      <c r="K227" s="3">
        <v>0</v>
      </c>
      <c r="L227" s="3">
        <v>0</v>
      </c>
      <c r="M227" s="3">
        <v>0</v>
      </c>
      <c r="N227" s="3" t="s">
        <v>1711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1720</v>
      </c>
      <c r="X227" s="3">
        <v>15.99</v>
      </c>
      <c r="Y227" s="3">
        <v>15.99</v>
      </c>
      <c r="Z227" s="3">
        <v>15.99</v>
      </c>
      <c r="AA227" s="3">
        <v>0</v>
      </c>
      <c r="AB227" s="3" t="s">
        <v>1721</v>
      </c>
      <c r="AC227" s="3">
        <v>0</v>
      </c>
      <c r="AD227" s="3">
        <v>12.79</v>
      </c>
      <c r="AE227" s="3">
        <v>63</v>
      </c>
      <c r="AF227" s="3">
        <v>0</v>
      </c>
      <c r="AG227" s="3">
        <v>160.761652</v>
      </c>
      <c r="AH227" s="3">
        <v>0</v>
      </c>
      <c r="AI227" s="3" t="s">
        <v>2496</v>
      </c>
      <c r="AJ227" s="3" t="s">
        <v>1715</v>
      </c>
    </row>
    <row r="228" spans="1:36">
      <c r="A228" s="4">
        <v>43277</v>
      </c>
      <c r="B228" s="3" t="s">
        <v>579</v>
      </c>
      <c r="C228" s="3" t="s">
        <v>580</v>
      </c>
      <c r="D228" s="3" t="s">
        <v>581</v>
      </c>
      <c r="E228" s="3" t="s">
        <v>2497</v>
      </c>
      <c r="F228" s="3" t="s">
        <v>1710</v>
      </c>
      <c r="G228" s="3">
        <v>51</v>
      </c>
      <c r="H228" s="3">
        <v>0</v>
      </c>
      <c r="I228" s="3">
        <v>51</v>
      </c>
      <c r="J228" s="3">
        <v>0</v>
      </c>
      <c r="K228" s="3">
        <v>0</v>
      </c>
      <c r="L228" s="3">
        <v>0</v>
      </c>
      <c r="M228" s="3">
        <v>0</v>
      </c>
      <c r="N228" s="3" t="s">
        <v>1711</v>
      </c>
      <c r="O228" s="3">
        <v>0</v>
      </c>
      <c r="P228" s="3">
        <v>0</v>
      </c>
      <c r="Q228" s="3">
        <v>0</v>
      </c>
      <c r="R228" s="3">
        <v>0</v>
      </c>
      <c r="S228" s="3">
        <v>8</v>
      </c>
      <c r="T228" s="3">
        <v>33</v>
      </c>
      <c r="U228" s="3">
        <v>71</v>
      </c>
      <c r="V228" s="3">
        <v>87</v>
      </c>
      <c r="W228" s="3"/>
      <c r="X228" s="3">
        <v>38</v>
      </c>
      <c r="Y228" s="3">
        <v>28.58</v>
      </c>
      <c r="Z228" s="3">
        <v>28</v>
      </c>
      <c r="AA228" s="3">
        <v>0</v>
      </c>
      <c r="AB228" s="3" t="s">
        <v>1713</v>
      </c>
      <c r="AC228" s="3">
        <v>37</v>
      </c>
      <c r="AD228" s="3">
        <v>28.58</v>
      </c>
      <c r="AE228" s="3">
        <v>0</v>
      </c>
      <c r="AF228" s="3">
        <v>0</v>
      </c>
      <c r="AG228" s="3">
        <v>0</v>
      </c>
      <c r="AH228" s="3">
        <v>5.04347826086956</v>
      </c>
      <c r="AI228" s="3" t="s">
        <v>1801</v>
      </c>
      <c r="AJ228" s="3" t="s">
        <v>1715</v>
      </c>
    </row>
    <row r="229" spans="1:36">
      <c r="A229" s="4">
        <v>43277</v>
      </c>
      <c r="B229" s="3" t="s">
        <v>2498</v>
      </c>
      <c r="C229" s="3" t="s">
        <v>2499</v>
      </c>
      <c r="D229" s="3" t="s">
        <v>2500</v>
      </c>
      <c r="E229" s="3" t="s">
        <v>2501</v>
      </c>
      <c r="F229" s="3" t="s">
        <v>1710</v>
      </c>
      <c r="G229" s="3">
        <v>6</v>
      </c>
      <c r="H229" s="3">
        <v>0</v>
      </c>
      <c r="I229" s="3">
        <v>0</v>
      </c>
      <c r="J229" s="3">
        <v>0</v>
      </c>
      <c r="K229" s="3">
        <v>1</v>
      </c>
      <c r="L229" s="3">
        <v>5</v>
      </c>
      <c r="M229" s="3">
        <v>0</v>
      </c>
      <c r="N229" s="3" t="s">
        <v>1711</v>
      </c>
      <c r="O229" s="3">
        <v>2</v>
      </c>
      <c r="P229" s="3">
        <v>0.96</v>
      </c>
      <c r="Q229" s="3">
        <v>4</v>
      </c>
      <c r="R229" s="3">
        <v>3.84</v>
      </c>
      <c r="S229" s="3">
        <v>0</v>
      </c>
      <c r="T229" s="3">
        <v>0</v>
      </c>
      <c r="U229" s="3">
        <v>0</v>
      </c>
      <c r="V229" s="3">
        <v>1</v>
      </c>
      <c r="W229" s="3" t="s">
        <v>1720</v>
      </c>
      <c r="X229" s="3">
        <v>13.88</v>
      </c>
      <c r="Y229" s="3">
        <v>13.88</v>
      </c>
      <c r="Z229" s="3">
        <v>13.86</v>
      </c>
      <c r="AA229" s="3">
        <v>0</v>
      </c>
      <c r="AB229" s="3" t="s">
        <v>1721</v>
      </c>
      <c r="AC229" s="3">
        <v>2</v>
      </c>
      <c r="AD229" s="3">
        <v>13.19</v>
      </c>
      <c r="AE229" s="3">
        <v>28</v>
      </c>
      <c r="AF229" s="3">
        <v>0</v>
      </c>
      <c r="AG229" s="3">
        <v>78.642578</v>
      </c>
      <c r="AH229" s="3">
        <v>0.16</v>
      </c>
      <c r="AI229" s="3" t="s">
        <v>2502</v>
      </c>
      <c r="AJ229" s="3" t="s">
        <v>1715</v>
      </c>
    </row>
    <row r="230" spans="1:36">
      <c r="A230" s="4">
        <v>43277</v>
      </c>
      <c r="B230" s="3" t="s">
        <v>2503</v>
      </c>
      <c r="C230" s="3" t="s">
        <v>2504</v>
      </c>
      <c r="D230" s="3" t="s">
        <v>2505</v>
      </c>
      <c r="E230" s="3" t="s">
        <v>2506</v>
      </c>
      <c r="F230" s="3" t="s">
        <v>1710</v>
      </c>
      <c r="G230" s="3">
        <v>2</v>
      </c>
      <c r="H230" s="3">
        <v>0</v>
      </c>
      <c r="I230" s="3">
        <v>0</v>
      </c>
      <c r="J230" s="3">
        <v>0</v>
      </c>
      <c r="K230" s="3">
        <v>2</v>
      </c>
      <c r="L230" s="3">
        <v>0</v>
      </c>
      <c r="M230" s="3">
        <v>0</v>
      </c>
      <c r="N230" s="3" t="s">
        <v>1711</v>
      </c>
      <c r="O230" s="3">
        <v>2</v>
      </c>
      <c r="P230" s="3">
        <v>1.2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1</v>
      </c>
      <c r="W230" s="3" t="s">
        <v>1720</v>
      </c>
      <c r="X230" s="3">
        <v>17.99</v>
      </c>
      <c r="Y230" s="3">
        <v>17.99</v>
      </c>
      <c r="Z230" s="3">
        <v>17.99</v>
      </c>
      <c r="AA230" s="3">
        <v>0</v>
      </c>
      <c r="AB230" s="3" t="s">
        <v>1721</v>
      </c>
      <c r="AC230" s="3">
        <v>0</v>
      </c>
      <c r="AD230" s="3">
        <v>16.67</v>
      </c>
      <c r="AE230" s="3">
        <v>105</v>
      </c>
      <c r="AF230" s="3">
        <v>0</v>
      </c>
      <c r="AG230" s="3">
        <v>28.478557</v>
      </c>
      <c r="AH230" s="3">
        <v>0.444444444444444</v>
      </c>
      <c r="AI230" s="3" t="s">
        <v>1905</v>
      </c>
      <c r="AJ230" s="3" t="s">
        <v>1715</v>
      </c>
    </row>
    <row r="231" spans="1:36">
      <c r="A231" s="4">
        <v>43277</v>
      </c>
      <c r="B231" s="3" t="s">
        <v>2507</v>
      </c>
      <c r="C231" s="3" t="s">
        <v>2508</v>
      </c>
      <c r="D231" s="3" t="s">
        <v>2509</v>
      </c>
      <c r="E231" s="3" t="s">
        <v>2510</v>
      </c>
      <c r="F231" s="3" t="s">
        <v>1710</v>
      </c>
      <c r="G231" s="3">
        <v>2</v>
      </c>
      <c r="H231" s="3">
        <v>0</v>
      </c>
      <c r="I231" s="3">
        <v>0</v>
      </c>
      <c r="J231" s="3">
        <v>0</v>
      </c>
      <c r="K231" s="3">
        <v>1</v>
      </c>
      <c r="L231" s="3">
        <v>1</v>
      </c>
      <c r="M231" s="3">
        <v>0</v>
      </c>
      <c r="N231" s="3" t="s">
        <v>1711</v>
      </c>
      <c r="O231" s="3">
        <v>2</v>
      </c>
      <c r="P231" s="3">
        <v>0.02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1720</v>
      </c>
      <c r="X231" s="3">
        <v>18.99</v>
      </c>
      <c r="Y231" s="3">
        <v>18.99</v>
      </c>
      <c r="Z231" s="3">
        <v>18.99</v>
      </c>
      <c r="AA231" s="3">
        <v>0</v>
      </c>
      <c r="AB231" s="3" t="s">
        <v>1732</v>
      </c>
      <c r="AC231" s="3">
        <v>0</v>
      </c>
      <c r="AD231" s="3">
        <v>15.19</v>
      </c>
      <c r="AE231" s="3">
        <v>63</v>
      </c>
      <c r="AF231" s="3">
        <v>0</v>
      </c>
      <c r="AG231" s="3">
        <v>1.030492</v>
      </c>
      <c r="AH231" s="3">
        <v>0</v>
      </c>
      <c r="AI231" s="3" t="s">
        <v>1782</v>
      </c>
      <c r="AJ231" s="3" t="s">
        <v>1783</v>
      </c>
    </row>
    <row r="232" spans="1:36">
      <c r="A232" s="4">
        <v>43277</v>
      </c>
      <c r="B232" s="3" t="s">
        <v>2511</v>
      </c>
      <c r="C232" s="3" t="s">
        <v>2512</v>
      </c>
      <c r="D232" s="3" t="s">
        <v>2513</v>
      </c>
      <c r="E232" s="3" t="s">
        <v>2514</v>
      </c>
      <c r="F232" s="3" t="s">
        <v>1710</v>
      </c>
      <c r="G232" s="3">
        <v>2</v>
      </c>
      <c r="H232" s="3">
        <v>0</v>
      </c>
      <c r="I232" s="3">
        <v>1</v>
      </c>
      <c r="J232" s="3">
        <v>1</v>
      </c>
      <c r="K232" s="3">
        <v>0</v>
      </c>
      <c r="L232" s="3">
        <v>0</v>
      </c>
      <c r="M232" s="3">
        <v>0</v>
      </c>
      <c r="N232" s="3" t="s">
        <v>1711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1</v>
      </c>
      <c r="W232" s="3" t="s">
        <v>1712</v>
      </c>
      <c r="X232" s="3">
        <v>15.99</v>
      </c>
      <c r="Y232" s="3">
        <v>15.99</v>
      </c>
      <c r="Z232" s="3">
        <v>15.99</v>
      </c>
      <c r="AA232" s="3">
        <v>0</v>
      </c>
      <c r="AB232" s="3" t="s">
        <v>1713</v>
      </c>
      <c r="AC232" s="3">
        <v>2</v>
      </c>
      <c r="AD232" s="3">
        <v>15.99</v>
      </c>
      <c r="AE232" s="3">
        <v>0</v>
      </c>
      <c r="AF232" s="3">
        <v>0</v>
      </c>
      <c r="AG232" s="3">
        <v>0</v>
      </c>
      <c r="AH232" s="3">
        <v>0.666666666666666</v>
      </c>
      <c r="AI232" s="3" t="s">
        <v>2515</v>
      </c>
      <c r="AJ232" s="3" t="s">
        <v>1715</v>
      </c>
    </row>
    <row r="233" spans="1:36">
      <c r="A233" s="4">
        <v>43277</v>
      </c>
      <c r="B233" s="3" t="s">
        <v>2516</v>
      </c>
      <c r="C233" s="3" t="s">
        <v>2517</v>
      </c>
      <c r="D233" s="3" t="s">
        <v>2518</v>
      </c>
      <c r="E233" s="3" t="s">
        <v>2519</v>
      </c>
      <c r="F233" s="3" t="s">
        <v>1710</v>
      </c>
      <c r="G233" s="3">
        <v>1</v>
      </c>
      <c r="H233" s="3">
        <v>0</v>
      </c>
      <c r="I233" s="3">
        <v>0</v>
      </c>
      <c r="J233" s="3">
        <v>0</v>
      </c>
      <c r="K233" s="3">
        <v>0</v>
      </c>
      <c r="L233" s="3">
        <v>1</v>
      </c>
      <c r="M233" s="3">
        <v>0</v>
      </c>
      <c r="N233" s="3" t="s">
        <v>1711</v>
      </c>
      <c r="O233" s="3">
        <v>1</v>
      </c>
      <c r="P233" s="3">
        <v>0.01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 t="s">
        <v>1720</v>
      </c>
      <c r="X233" s="3">
        <v>18.99</v>
      </c>
      <c r="Y233" s="3">
        <v>18.99</v>
      </c>
      <c r="Z233" s="3">
        <v>18.99</v>
      </c>
      <c r="AA233" s="3">
        <v>0</v>
      </c>
      <c r="AB233" s="3" t="s">
        <v>1713</v>
      </c>
      <c r="AC233" s="3">
        <v>1</v>
      </c>
      <c r="AD233" s="3">
        <v>18.99</v>
      </c>
      <c r="AE233" s="3">
        <v>0</v>
      </c>
      <c r="AF233" s="3">
        <v>0</v>
      </c>
      <c r="AG233" s="3">
        <v>0</v>
      </c>
      <c r="AH233" s="3">
        <v>0</v>
      </c>
      <c r="AI233" s="3" t="s">
        <v>1782</v>
      </c>
      <c r="AJ233" s="3" t="s">
        <v>1783</v>
      </c>
    </row>
    <row r="234" spans="1:36">
      <c r="A234" s="4">
        <v>43277</v>
      </c>
      <c r="B234" s="3" t="s">
        <v>76</v>
      </c>
      <c r="C234" s="3" t="s">
        <v>77</v>
      </c>
      <c r="D234" s="3" t="s">
        <v>78</v>
      </c>
      <c r="E234" s="3" t="s">
        <v>79</v>
      </c>
      <c r="F234" s="3" t="s">
        <v>1710</v>
      </c>
      <c r="G234" s="3">
        <v>4</v>
      </c>
      <c r="H234" s="3">
        <v>0</v>
      </c>
      <c r="I234" s="3">
        <v>0</v>
      </c>
      <c r="J234" s="3">
        <v>4</v>
      </c>
      <c r="K234" s="3">
        <v>0</v>
      </c>
      <c r="L234" s="3">
        <v>0</v>
      </c>
      <c r="M234" s="3">
        <v>0</v>
      </c>
      <c r="N234" s="3" t="s">
        <v>1711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1712</v>
      </c>
      <c r="X234" s="3">
        <v>13.99</v>
      </c>
      <c r="Y234" s="3">
        <v>13.99</v>
      </c>
      <c r="Z234" s="3">
        <v>13.99</v>
      </c>
      <c r="AA234" s="3">
        <v>0</v>
      </c>
      <c r="AB234" s="3" t="s">
        <v>1713</v>
      </c>
      <c r="AC234" s="3">
        <v>4</v>
      </c>
      <c r="AD234" s="3">
        <v>13.99</v>
      </c>
      <c r="AE234" s="3">
        <v>0</v>
      </c>
      <c r="AF234" s="3">
        <v>0</v>
      </c>
      <c r="AG234" s="3">
        <v>0</v>
      </c>
      <c r="AH234" s="3">
        <v>0</v>
      </c>
      <c r="AI234" s="3" t="s">
        <v>2520</v>
      </c>
      <c r="AJ234" s="3" t="s">
        <v>1715</v>
      </c>
    </row>
    <row r="235" spans="1:36">
      <c r="A235" s="4">
        <v>43277</v>
      </c>
      <c r="B235" s="3" t="s">
        <v>2521</v>
      </c>
      <c r="C235" s="3" t="s">
        <v>2522</v>
      </c>
      <c r="D235" s="3" t="s">
        <v>2523</v>
      </c>
      <c r="E235" s="3" t="s">
        <v>2524</v>
      </c>
      <c r="F235" s="3" t="s">
        <v>1710</v>
      </c>
      <c r="G235" s="3">
        <v>8</v>
      </c>
      <c r="H235" s="3">
        <v>0</v>
      </c>
      <c r="I235" s="3">
        <v>0</v>
      </c>
      <c r="J235" s="3">
        <v>0</v>
      </c>
      <c r="K235" s="3">
        <v>8</v>
      </c>
      <c r="L235" s="3">
        <v>0</v>
      </c>
      <c r="M235" s="3">
        <v>0</v>
      </c>
      <c r="N235" s="3" t="s">
        <v>1711</v>
      </c>
      <c r="O235" s="3">
        <v>8</v>
      </c>
      <c r="P235" s="3">
        <v>9.7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1720</v>
      </c>
      <c r="X235" s="3">
        <v>17.99</v>
      </c>
      <c r="Y235" s="3">
        <v>17.99</v>
      </c>
      <c r="Z235" s="3">
        <v>17.99</v>
      </c>
      <c r="AA235" s="3">
        <v>0</v>
      </c>
      <c r="AB235" s="3" t="s">
        <v>1732</v>
      </c>
      <c r="AC235" s="3">
        <v>2</v>
      </c>
      <c r="AD235" s="3">
        <v>16.36</v>
      </c>
      <c r="AE235" s="3">
        <v>84</v>
      </c>
      <c r="AF235" s="3">
        <v>0</v>
      </c>
      <c r="AG235" s="3">
        <v>183.010822</v>
      </c>
      <c r="AH235" s="3">
        <v>0</v>
      </c>
      <c r="AI235" s="3" t="s">
        <v>1996</v>
      </c>
      <c r="AJ235" s="3" t="s">
        <v>1715</v>
      </c>
    </row>
    <row r="236" spans="1:36">
      <c r="A236" s="4">
        <v>43277</v>
      </c>
      <c r="B236" s="3" t="s">
        <v>2525</v>
      </c>
      <c r="C236" s="3" t="s">
        <v>2526</v>
      </c>
      <c r="D236" s="3" t="s">
        <v>2527</v>
      </c>
      <c r="E236" s="3" t="s">
        <v>2528</v>
      </c>
      <c r="F236" s="3" t="s">
        <v>1710</v>
      </c>
      <c r="G236" s="3">
        <v>3</v>
      </c>
      <c r="H236" s="3">
        <v>0</v>
      </c>
      <c r="I236" s="3">
        <v>0</v>
      </c>
      <c r="J236" s="3">
        <v>0</v>
      </c>
      <c r="K236" s="3">
        <v>0</v>
      </c>
      <c r="L236" s="3">
        <v>0</v>
      </c>
      <c r="M236" s="3">
        <v>3</v>
      </c>
      <c r="N236" s="3" t="s">
        <v>1711</v>
      </c>
      <c r="O236" s="3">
        <v>0</v>
      </c>
      <c r="P236" s="3">
        <v>0</v>
      </c>
      <c r="Q236" s="3">
        <v>3</v>
      </c>
      <c r="R236" s="3">
        <v>4.86</v>
      </c>
      <c r="S236" s="3">
        <v>0</v>
      </c>
      <c r="T236" s="3">
        <v>0</v>
      </c>
      <c r="U236" s="3">
        <v>1</v>
      </c>
      <c r="V236" s="3">
        <v>1</v>
      </c>
      <c r="W236" s="3" t="s">
        <v>1720</v>
      </c>
      <c r="X236" s="3">
        <v>39.9</v>
      </c>
      <c r="Y236" s="3">
        <v>11.99</v>
      </c>
      <c r="Z236" s="3">
        <v>11.99</v>
      </c>
      <c r="AA236" s="3">
        <v>0</v>
      </c>
      <c r="AB236" s="3" t="s">
        <v>1713</v>
      </c>
      <c r="AC236" s="3">
        <v>3</v>
      </c>
      <c r="AD236" s="3">
        <v>13.99</v>
      </c>
      <c r="AE236" s="3">
        <v>0</v>
      </c>
      <c r="AF236" s="3">
        <v>0</v>
      </c>
      <c r="AG236" s="3">
        <v>0</v>
      </c>
      <c r="AH236" s="3">
        <v>0.285714285714285</v>
      </c>
      <c r="AI236" s="3" t="s">
        <v>2529</v>
      </c>
      <c r="AJ236" s="3" t="s">
        <v>1715</v>
      </c>
    </row>
    <row r="237" spans="1:36">
      <c r="A237" s="4">
        <v>43277</v>
      </c>
      <c r="B237" s="3" t="s">
        <v>104</v>
      </c>
      <c r="C237" s="3" t="s">
        <v>105</v>
      </c>
      <c r="D237" s="3" t="s">
        <v>106</v>
      </c>
      <c r="E237" s="3" t="s">
        <v>107</v>
      </c>
      <c r="F237" s="3" t="s">
        <v>1710</v>
      </c>
      <c r="G237" s="3">
        <v>211</v>
      </c>
      <c r="H237" s="3">
        <v>0</v>
      </c>
      <c r="I237" s="3">
        <v>4</v>
      </c>
      <c r="J237" s="3">
        <v>24</v>
      </c>
      <c r="K237" s="3">
        <v>183</v>
      </c>
      <c r="L237" s="3">
        <v>0</v>
      </c>
      <c r="M237" s="3">
        <v>0</v>
      </c>
      <c r="N237" s="3" t="s">
        <v>1711</v>
      </c>
      <c r="O237" s="3">
        <v>199</v>
      </c>
      <c r="P237" s="3">
        <v>119.1</v>
      </c>
      <c r="Q237" s="3">
        <v>0</v>
      </c>
      <c r="R237" s="3">
        <v>0</v>
      </c>
      <c r="S237" s="3">
        <v>1</v>
      </c>
      <c r="T237" s="3">
        <v>2</v>
      </c>
      <c r="U237" s="3">
        <v>6</v>
      </c>
      <c r="V237" s="3">
        <v>34</v>
      </c>
      <c r="W237" s="3"/>
      <c r="X237" s="3">
        <v>16.99</v>
      </c>
      <c r="Y237" s="3">
        <v>16.99</v>
      </c>
      <c r="Z237" s="3">
        <v>16</v>
      </c>
      <c r="AA237" s="3">
        <v>0</v>
      </c>
      <c r="AB237" s="3" t="s">
        <v>1732</v>
      </c>
      <c r="AC237" s="3">
        <v>0</v>
      </c>
      <c r="AD237" s="3">
        <v>13.59</v>
      </c>
      <c r="AE237" s="3">
        <v>63</v>
      </c>
      <c r="AF237" s="3">
        <v>0</v>
      </c>
      <c r="AG237" s="3">
        <v>1517.682098</v>
      </c>
      <c r="AH237" s="3">
        <v>0.0471567267683772</v>
      </c>
      <c r="AI237" s="3" t="s">
        <v>1905</v>
      </c>
      <c r="AJ237" s="3" t="s">
        <v>1715</v>
      </c>
    </row>
    <row r="238" spans="1:36">
      <c r="A238" s="4">
        <v>43277</v>
      </c>
      <c r="B238" s="3" t="s">
        <v>2530</v>
      </c>
      <c r="C238" s="3" t="s">
        <v>2531</v>
      </c>
      <c r="D238" s="3" t="s">
        <v>2532</v>
      </c>
      <c r="E238" s="3" t="s">
        <v>2364</v>
      </c>
      <c r="F238" s="3" t="s">
        <v>1710</v>
      </c>
      <c r="G238" s="3">
        <v>1</v>
      </c>
      <c r="H238" s="3">
        <v>0</v>
      </c>
      <c r="I238" s="3">
        <v>1</v>
      </c>
      <c r="J238" s="3">
        <v>0</v>
      </c>
      <c r="K238" s="3">
        <v>0</v>
      </c>
      <c r="L238" s="3">
        <v>0</v>
      </c>
      <c r="M238" s="3">
        <v>0</v>
      </c>
      <c r="N238" s="3" t="s">
        <v>1711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1720</v>
      </c>
      <c r="X238" s="3">
        <v>19.99</v>
      </c>
      <c r="Y238" s="3">
        <v>19.99</v>
      </c>
      <c r="Z238" s="3">
        <v>19.99</v>
      </c>
      <c r="AA238" s="3">
        <v>0</v>
      </c>
      <c r="AB238" s="3" t="s">
        <v>1721</v>
      </c>
      <c r="AC238" s="3">
        <v>0</v>
      </c>
      <c r="AD238" s="3">
        <v>18.85</v>
      </c>
      <c r="AE238" s="3">
        <v>28</v>
      </c>
      <c r="AF238" s="3">
        <v>0</v>
      </c>
      <c r="AG238" s="3">
        <v>16.886024</v>
      </c>
      <c r="AH238" s="3">
        <v>0</v>
      </c>
      <c r="AI238" s="3" t="s">
        <v>2533</v>
      </c>
      <c r="AJ238" s="3" t="s">
        <v>1715</v>
      </c>
    </row>
    <row r="239" spans="1:36">
      <c r="A239" s="4">
        <v>43277</v>
      </c>
      <c r="B239" s="3" t="s">
        <v>2534</v>
      </c>
      <c r="C239" s="3" t="s">
        <v>2535</v>
      </c>
      <c r="D239" s="3" t="s">
        <v>2536</v>
      </c>
      <c r="E239" s="3" t="s">
        <v>1820</v>
      </c>
      <c r="F239" s="3" t="s">
        <v>1710</v>
      </c>
      <c r="G239" s="3">
        <v>10</v>
      </c>
      <c r="H239" s="3">
        <v>0</v>
      </c>
      <c r="I239" s="3">
        <v>10</v>
      </c>
      <c r="J239" s="3">
        <v>0</v>
      </c>
      <c r="K239" s="3">
        <v>0</v>
      </c>
      <c r="L239" s="3">
        <v>0</v>
      </c>
      <c r="M239" s="3">
        <v>0</v>
      </c>
      <c r="N239" s="3" t="s">
        <v>1711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 t="s">
        <v>1720</v>
      </c>
      <c r="X239" s="3">
        <v>19.99</v>
      </c>
      <c r="Y239" s="3">
        <v>19.99</v>
      </c>
      <c r="Z239" s="3">
        <v>19.99</v>
      </c>
      <c r="AA239" s="3">
        <v>0</v>
      </c>
      <c r="AB239" s="3" t="s">
        <v>1721</v>
      </c>
      <c r="AC239" s="3">
        <v>0</v>
      </c>
      <c r="AD239" s="3">
        <v>15.99</v>
      </c>
      <c r="AE239" s="3">
        <v>63</v>
      </c>
      <c r="AF239" s="3">
        <v>0</v>
      </c>
      <c r="AG239" s="3">
        <v>71.82189</v>
      </c>
      <c r="AH239" s="3">
        <v>0</v>
      </c>
      <c r="AI239" s="3" t="s">
        <v>1821</v>
      </c>
      <c r="AJ239" s="3" t="s">
        <v>1715</v>
      </c>
    </row>
    <row r="240" spans="1:36">
      <c r="A240" s="4">
        <v>43277</v>
      </c>
      <c r="B240" s="3" t="s">
        <v>212</v>
      </c>
      <c r="C240" s="3" t="s">
        <v>213</v>
      </c>
      <c r="D240" s="3" t="s">
        <v>214</v>
      </c>
      <c r="E240" s="3" t="s">
        <v>215</v>
      </c>
      <c r="F240" s="3" t="s">
        <v>1710</v>
      </c>
      <c r="G240" s="3">
        <v>6</v>
      </c>
      <c r="H240" s="3">
        <v>0</v>
      </c>
      <c r="I240" s="3">
        <v>6</v>
      </c>
      <c r="J240" s="3">
        <v>0</v>
      </c>
      <c r="K240" s="3">
        <v>0</v>
      </c>
      <c r="L240" s="3">
        <v>0</v>
      </c>
      <c r="M240" s="3">
        <v>0</v>
      </c>
      <c r="N240" s="3" t="s">
        <v>1711</v>
      </c>
      <c r="O240" s="3">
        <v>0</v>
      </c>
      <c r="P240" s="3">
        <v>0</v>
      </c>
      <c r="Q240" s="3">
        <v>0</v>
      </c>
      <c r="R240" s="3">
        <v>0</v>
      </c>
      <c r="S240" s="3">
        <v>1</v>
      </c>
      <c r="T240" s="3">
        <v>10</v>
      </c>
      <c r="U240" s="3">
        <v>43</v>
      </c>
      <c r="V240" s="3">
        <v>60</v>
      </c>
      <c r="W240" s="3"/>
      <c r="X240" s="3">
        <v>28.99</v>
      </c>
      <c r="Y240" s="3">
        <v>14.99</v>
      </c>
      <c r="Z240" s="3">
        <v>14.99</v>
      </c>
      <c r="AA240" s="3">
        <v>0</v>
      </c>
      <c r="AB240" s="3" t="s">
        <v>1713</v>
      </c>
      <c r="AC240" s="3">
        <v>1</v>
      </c>
      <c r="AD240" s="3">
        <v>14.99</v>
      </c>
      <c r="AE240" s="3">
        <v>0</v>
      </c>
      <c r="AF240" s="3">
        <v>0</v>
      </c>
      <c r="AG240" s="3">
        <v>0</v>
      </c>
      <c r="AH240" s="3">
        <v>4.28571428571428</v>
      </c>
      <c r="AI240" s="3" t="s">
        <v>2467</v>
      </c>
      <c r="AJ240" s="3" t="s">
        <v>1715</v>
      </c>
    </row>
    <row r="241" spans="1:36">
      <c r="A241" s="4">
        <v>43277</v>
      </c>
      <c r="B241" s="3" t="s">
        <v>1525</v>
      </c>
      <c r="C241" s="3" t="s">
        <v>1526</v>
      </c>
      <c r="D241" s="3" t="s">
        <v>1527</v>
      </c>
      <c r="E241" s="3" t="s">
        <v>1528</v>
      </c>
      <c r="F241" s="3" t="s">
        <v>1710</v>
      </c>
      <c r="G241" s="3">
        <v>52</v>
      </c>
      <c r="H241" s="3">
        <v>0</v>
      </c>
      <c r="I241" s="3">
        <v>52</v>
      </c>
      <c r="J241" s="3">
        <v>0</v>
      </c>
      <c r="K241" s="3">
        <v>0</v>
      </c>
      <c r="L241" s="3">
        <v>0</v>
      </c>
      <c r="M241" s="3">
        <v>0</v>
      </c>
      <c r="N241" s="3" t="s">
        <v>1711</v>
      </c>
      <c r="O241" s="3">
        <v>0</v>
      </c>
      <c r="P241" s="3">
        <v>0</v>
      </c>
      <c r="Q241" s="3">
        <v>0</v>
      </c>
      <c r="R241" s="3">
        <v>0</v>
      </c>
      <c r="S241" s="3">
        <v>9</v>
      </c>
      <c r="T241" s="3">
        <v>43</v>
      </c>
      <c r="U241" s="3">
        <v>92</v>
      </c>
      <c r="V241" s="3">
        <v>162</v>
      </c>
      <c r="W241" s="3"/>
      <c r="X241" s="3">
        <v>19.99</v>
      </c>
      <c r="Y241" s="3">
        <v>19.99</v>
      </c>
      <c r="Z241" s="3">
        <v>19.99</v>
      </c>
      <c r="AA241" s="3">
        <v>0</v>
      </c>
      <c r="AB241" s="3" t="s">
        <v>1713</v>
      </c>
      <c r="AC241" s="3">
        <v>56</v>
      </c>
      <c r="AD241" s="3">
        <v>19.99</v>
      </c>
      <c r="AE241" s="3">
        <v>0</v>
      </c>
      <c r="AF241" s="3">
        <v>0</v>
      </c>
      <c r="AG241" s="3">
        <v>0</v>
      </c>
      <c r="AH241" s="3">
        <v>3.74566473988439</v>
      </c>
      <c r="AI241" s="3" t="s">
        <v>2537</v>
      </c>
      <c r="AJ241" s="3" t="s">
        <v>1715</v>
      </c>
    </row>
    <row r="242" spans="1:36">
      <c r="A242" s="4">
        <v>43277</v>
      </c>
      <c r="B242" s="3" t="s">
        <v>2538</v>
      </c>
      <c r="C242" s="3" t="s">
        <v>2539</v>
      </c>
      <c r="D242" s="3" t="s">
        <v>2540</v>
      </c>
      <c r="E242" s="3" t="s">
        <v>2541</v>
      </c>
      <c r="F242" s="3" t="s">
        <v>1710</v>
      </c>
      <c r="G242" s="3">
        <v>7</v>
      </c>
      <c r="H242" s="3">
        <v>0</v>
      </c>
      <c r="I242" s="3">
        <v>7</v>
      </c>
      <c r="J242" s="3">
        <v>0</v>
      </c>
      <c r="K242" s="3">
        <v>0</v>
      </c>
      <c r="L242" s="3">
        <v>0</v>
      </c>
      <c r="M242" s="3">
        <v>0</v>
      </c>
      <c r="N242" s="3" t="s">
        <v>1711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1</v>
      </c>
      <c r="U242" s="3">
        <v>1</v>
      </c>
      <c r="V242" s="3">
        <v>2</v>
      </c>
      <c r="W242" s="3" t="s">
        <v>1712</v>
      </c>
      <c r="X242" s="3">
        <v>15.99</v>
      </c>
      <c r="Y242" s="3">
        <v>15.99</v>
      </c>
      <c r="Z242" s="3">
        <v>15.99</v>
      </c>
      <c r="AA242" s="3">
        <v>0</v>
      </c>
      <c r="AB242" s="3" t="s">
        <v>1713</v>
      </c>
      <c r="AC242" s="3">
        <v>7</v>
      </c>
      <c r="AD242" s="3">
        <v>15.99</v>
      </c>
      <c r="AE242" s="3">
        <v>0</v>
      </c>
      <c r="AF242" s="3">
        <v>0</v>
      </c>
      <c r="AG242" s="3">
        <v>0</v>
      </c>
      <c r="AH242" s="3">
        <v>0.444444444444444</v>
      </c>
      <c r="AI242" s="3" t="s">
        <v>2542</v>
      </c>
      <c r="AJ242" s="3" t="s">
        <v>1715</v>
      </c>
    </row>
    <row r="243" spans="1:36">
      <c r="A243" s="4">
        <v>43277</v>
      </c>
      <c r="B243" s="3" t="s">
        <v>2543</v>
      </c>
      <c r="C243" s="3" t="s">
        <v>2544</v>
      </c>
      <c r="D243" s="3" t="s">
        <v>2545</v>
      </c>
      <c r="E243" s="3" t="s">
        <v>2546</v>
      </c>
      <c r="F243" s="3" t="s">
        <v>1710</v>
      </c>
      <c r="G243" s="3">
        <v>5</v>
      </c>
      <c r="H243" s="3">
        <v>0</v>
      </c>
      <c r="I243" s="3">
        <v>0</v>
      </c>
      <c r="J243" s="3">
        <v>0</v>
      </c>
      <c r="K243" s="3">
        <v>0</v>
      </c>
      <c r="L243" s="3">
        <v>0</v>
      </c>
      <c r="M243" s="3">
        <v>5</v>
      </c>
      <c r="N243" s="3" t="s">
        <v>1711</v>
      </c>
      <c r="O243" s="3">
        <v>0</v>
      </c>
      <c r="P243" s="3">
        <v>0</v>
      </c>
      <c r="Q243" s="3">
        <v>5</v>
      </c>
      <c r="R243" s="3">
        <v>8.1</v>
      </c>
      <c r="S243" s="3">
        <v>0</v>
      </c>
      <c r="T243" s="3">
        <v>2</v>
      </c>
      <c r="U243" s="3">
        <v>3</v>
      </c>
      <c r="V243" s="3">
        <v>3</v>
      </c>
      <c r="W243" s="3" t="s">
        <v>1720</v>
      </c>
      <c r="X243" s="3">
        <v>11.99</v>
      </c>
      <c r="Y243" s="3">
        <v>11.99</v>
      </c>
      <c r="Z243" s="3">
        <v>11.99</v>
      </c>
      <c r="AA243" s="3">
        <v>0</v>
      </c>
      <c r="AB243" s="3" t="s">
        <v>1713</v>
      </c>
      <c r="AC243" s="3">
        <v>5</v>
      </c>
      <c r="AD243" s="3">
        <v>11.99</v>
      </c>
      <c r="AE243" s="3">
        <v>0</v>
      </c>
      <c r="AF243" s="3">
        <v>0</v>
      </c>
      <c r="AG243" s="3">
        <v>0</v>
      </c>
      <c r="AH243" s="3">
        <v>0.4</v>
      </c>
      <c r="AI243" s="3" t="s">
        <v>2529</v>
      </c>
      <c r="AJ243" s="3" t="s">
        <v>1715</v>
      </c>
    </row>
    <row r="244" spans="1:36">
      <c r="A244" s="4">
        <v>43277</v>
      </c>
      <c r="B244" s="3" t="s">
        <v>2547</v>
      </c>
      <c r="C244" s="3" t="s">
        <v>2548</v>
      </c>
      <c r="D244" s="3" t="s">
        <v>2549</v>
      </c>
      <c r="E244" s="3" t="s">
        <v>1181</v>
      </c>
      <c r="F244" s="3" t="s">
        <v>1710</v>
      </c>
      <c r="G244" s="3">
        <v>14</v>
      </c>
      <c r="H244" s="3">
        <v>0</v>
      </c>
      <c r="I244" s="3">
        <v>14</v>
      </c>
      <c r="J244" s="3">
        <v>0</v>
      </c>
      <c r="K244" s="3">
        <v>0</v>
      </c>
      <c r="L244" s="3">
        <v>0</v>
      </c>
      <c r="M244" s="3">
        <v>0</v>
      </c>
      <c r="N244" s="3" t="s">
        <v>1711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1</v>
      </c>
      <c r="U244" s="3">
        <v>1</v>
      </c>
      <c r="V244" s="3">
        <v>1</v>
      </c>
      <c r="W244" s="3"/>
      <c r="X244" s="3">
        <v>19.99</v>
      </c>
      <c r="Y244" s="3">
        <v>19.99</v>
      </c>
      <c r="Z244" s="3">
        <v>19.99</v>
      </c>
      <c r="AA244" s="3">
        <v>0</v>
      </c>
      <c r="AB244" s="3" t="s">
        <v>1713</v>
      </c>
      <c r="AC244" s="3">
        <v>14</v>
      </c>
      <c r="AD244" s="3">
        <v>19.99</v>
      </c>
      <c r="AE244" s="3">
        <v>0</v>
      </c>
      <c r="AF244" s="3">
        <v>0</v>
      </c>
      <c r="AG244" s="3">
        <v>0</v>
      </c>
      <c r="AH244" s="3">
        <v>0.103448275862068</v>
      </c>
      <c r="AI244" s="3" t="s">
        <v>2550</v>
      </c>
      <c r="AJ244" s="3" t="s">
        <v>1715</v>
      </c>
    </row>
    <row r="245" spans="1:36">
      <c r="A245" s="4">
        <v>43277</v>
      </c>
      <c r="B245" s="3" t="s">
        <v>2551</v>
      </c>
      <c r="C245" s="3" t="s">
        <v>2552</v>
      </c>
      <c r="D245" s="3" t="s">
        <v>2553</v>
      </c>
      <c r="E245" s="3" t="s">
        <v>1136</v>
      </c>
      <c r="F245" s="3" t="s">
        <v>1710</v>
      </c>
      <c r="G245" s="3">
        <v>3</v>
      </c>
      <c r="H245" s="3">
        <v>0</v>
      </c>
      <c r="I245" s="3">
        <v>3</v>
      </c>
      <c r="J245" s="3">
        <v>0</v>
      </c>
      <c r="K245" s="3">
        <v>0</v>
      </c>
      <c r="L245" s="3">
        <v>0</v>
      </c>
      <c r="M245" s="3">
        <v>0</v>
      </c>
      <c r="N245" s="3" t="s">
        <v>1711</v>
      </c>
      <c r="O245" s="3">
        <v>0</v>
      </c>
      <c r="P245" s="3">
        <v>0</v>
      </c>
      <c r="Q245" s="3">
        <v>0</v>
      </c>
      <c r="R245" s="3">
        <v>0</v>
      </c>
      <c r="S245" s="3">
        <v>2</v>
      </c>
      <c r="T245" s="3">
        <v>18</v>
      </c>
      <c r="U245" s="3">
        <v>29</v>
      </c>
      <c r="V245" s="3">
        <v>29</v>
      </c>
      <c r="W245" s="3"/>
      <c r="X245" s="3">
        <v>21.99</v>
      </c>
      <c r="Y245" s="3">
        <v>21.99</v>
      </c>
      <c r="Z245" s="3">
        <v>21.99</v>
      </c>
      <c r="AA245" s="3">
        <v>0</v>
      </c>
      <c r="AB245" s="3" t="s">
        <v>1713</v>
      </c>
      <c r="AC245" s="3">
        <v>4</v>
      </c>
      <c r="AD245" s="3">
        <v>21.99</v>
      </c>
      <c r="AE245" s="3">
        <v>0</v>
      </c>
      <c r="AF245" s="3">
        <v>0</v>
      </c>
      <c r="AG245" s="3">
        <v>0</v>
      </c>
      <c r="AH245" s="3">
        <v>6.69230769230769</v>
      </c>
      <c r="AI245" s="3" t="s">
        <v>1890</v>
      </c>
      <c r="AJ245" s="3" t="s">
        <v>1715</v>
      </c>
    </row>
    <row r="246" spans="1:36">
      <c r="A246" s="4">
        <v>43277</v>
      </c>
      <c r="B246" s="3" t="s">
        <v>2554</v>
      </c>
      <c r="C246" s="3" t="s">
        <v>2555</v>
      </c>
      <c r="D246" s="3" t="s">
        <v>2556</v>
      </c>
      <c r="E246" s="3" t="s">
        <v>1936</v>
      </c>
      <c r="F246" s="3" t="s">
        <v>1710</v>
      </c>
      <c r="G246" s="3">
        <v>3</v>
      </c>
      <c r="H246" s="3">
        <v>0</v>
      </c>
      <c r="I246" s="3">
        <v>0</v>
      </c>
      <c r="J246" s="3">
        <v>0</v>
      </c>
      <c r="K246" s="3">
        <v>1</v>
      </c>
      <c r="L246" s="3">
        <v>0</v>
      </c>
      <c r="M246" s="3">
        <v>2</v>
      </c>
      <c r="N246" s="3" t="s">
        <v>1711</v>
      </c>
      <c r="O246" s="3">
        <v>1</v>
      </c>
      <c r="P246" s="3">
        <v>0.72</v>
      </c>
      <c r="Q246" s="3">
        <v>2</v>
      </c>
      <c r="R246" s="3">
        <v>2.88</v>
      </c>
      <c r="S246" s="3">
        <v>0</v>
      </c>
      <c r="T246" s="3">
        <v>0</v>
      </c>
      <c r="U246" s="3">
        <v>1</v>
      </c>
      <c r="V246" s="3">
        <v>1</v>
      </c>
      <c r="W246" s="3" t="s">
        <v>1720</v>
      </c>
      <c r="X246" s="3">
        <v>14.99</v>
      </c>
      <c r="Y246" s="3">
        <v>14.99</v>
      </c>
      <c r="Z246" s="3">
        <v>14.99</v>
      </c>
      <c r="AA246" s="3">
        <v>0</v>
      </c>
      <c r="AB246" s="3" t="s">
        <v>1713</v>
      </c>
      <c r="AC246" s="3">
        <v>3</v>
      </c>
      <c r="AD246" s="3">
        <v>14.99</v>
      </c>
      <c r="AE246" s="3">
        <v>0</v>
      </c>
      <c r="AF246" s="3">
        <v>0</v>
      </c>
      <c r="AG246" s="3">
        <v>0</v>
      </c>
      <c r="AH246" s="3">
        <v>0.285714285714285</v>
      </c>
      <c r="AI246" s="3" t="s">
        <v>1840</v>
      </c>
      <c r="AJ246" s="3" t="s">
        <v>1715</v>
      </c>
    </row>
    <row r="247" spans="1:36">
      <c r="A247" s="4">
        <v>43277</v>
      </c>
      <c r="B247" s="3" t="s">
        <v>2557</v>
      </c>
      <c r="C247" s="3" t="s">
        <v>2558</v>
      </c>
      <c r="D247" s="3" t="s">
        <v>2559</v>
      </c>
      <c r="E247" s="3" t="s">
        <v>2320</v>
      </c>
      <c r="F247" s="3" t="s">
        <v>1710</v>
      </c>
      <c r="G247" s="3">
        <v>78</v>
      </c>
      <c r="H247" s="3">
        <v>0</v>
      </c>
      <c r="I247" s="3">
        <v>1</v>
      </c>
      <c r="J247" s="3">
        <v>1</v>
      </c>
      <c r="K247" s="3">
        <v>76</v>
      </c>
      <c r="L247" s="3">
        <v>0</v>
      </c>
      <c r="M247" s="3">
        <v>0</v>
      </c>
      <c r="N247" s="3" t="s">
        <v>1711</v>
      </c>
      <c r="O247" s="3">
        <v>77</v>
      </c>
      <c r="P247" s="3">
        <v>46.62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1712</v>
      </c>
      <c r="X247" s="3">
        <v>16.99</v>
      </c>
      <c r="Y247" s="3">
        <v>16.99</v>
      </c>
      <c r="Z247" s="3">
        <v>16.99</v>
      </c>
      <c r="AA247" s="3">
        <v>0</v>
      </c>
      <c r="AB247" s="3" t="s">
        <v>1732</v>
      </c>
      <c r="AC247" s="3">
        <v>0</v>
      </c>
      <c r="AD247" s="3">
        <v>10.5</v>
      </c>
      <c r="AE247" s="3">
        <v>364</v>
      </c>
      <c r="AF247" s="3">
        <v>0</v>
      </c>
      <c r="AG247" s="3">
        <v>688.8245</v>
      </c>
      <c r="AH247" s="3">
        <v>0</v>
      </c>
      <c r="AI247" s="3" t="s">
        <v>2560</v>
      </c>
      <c r="AJ247" s="3" t="s">
        <v>1715</v>
      </c>
    </row>
    <row r="248" spans="1:36">
      <c r="A248" s="4">
        <v>43277</v>
      </c>
      <c r="B248" s="3" t="s">
        <v>2561</v>
      </c>
      <c r="C248" s="3" t="s">
        <v>2562</v>
      </c>
      <c r="D248" s="3" t="s">
        <v>2563</v>
      </c>
      <c r="E248" s="3" t="s">
        <v>2564</v>
      </c>
      <c r="F248" s="3" t="s">
        <v>1710</v>
      </c>
      <c r="G248" s="3">
        <v>2</v>
      </c>
      <c r="H248" s="3">
        <v>0</v>
      </c>
      <c r="I248" s="3">
        <v>2</v>
      </c>
      <c r="J248" s="3">
        <v>0</v>
      </c>
      <c r="K248" s="3">
        <v>0</v>
      </c>
      <c r="L248" s="3">
        <v>0</v>
      </c>
      <c r="M248" s="3">
        <v>0</v>
      </c>
      <c r="N248" s="3" t="s">
        <v>1711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1712</v>
      </c>
      <c r="X248" s="3">
        <v>19.99</v>
      </c>
      <c r="Y248" s="3">
        <v>19.99</v>
      </c>
      <c r="Z248" s="3">
        <v>19.99</v>
      </c>
      <c r="AA248" s="3">
        <v>0</v>
      </c>
      <c r="AB248" s="3" t="s">
        <v>1732</v>
      </c>
      <c r="AC248" s="3">
        <v>0</v>
      </c>
      <c r="AD248" s="3">
        <v>15.99</v>
      </c>
      <c r="AE248" s="3">
        <v>63</v>
      </c>
      <c r="AF248" s="3">
        <v>0</v>
      </c>
      <c r="AG248" s="3">
        <v>28.204907</v>
      </c>
      <c r="AH248" s="3">
        <v>0</v>
      </c>
      <c r="AI248" s="3" t="s">
        <v>2565</v>
      </c>
      <c r="AJ248" s="3" t="s">
        <v>1715</v>
      </c>
    </row>
    <row r="249" spans="1:36">
      <c r="A249" s="4">
        <v>43277</v>
      </c>
      <c r="B249" s="3" t="s">
        <v>2566</v>
      </c>
      <c r="C249" s="3" t="s">
        <v>2567</v>
      </c>
      <c r="D249" s="3" t="s">
        <v>2568</v>
      </c>
      <c r="E249" s="3" t="s">
        <v>1861</v>
      </c>
      <c r="F249" s="3" t="s">
        <v>1710</v>
      </c>
      <c r="G249" s="3">
        <v>17</v>
      </c>
      <c r="H249" s="3">
        <v>0</v>
      </c>
      <c r="I249" s="3">
        <v>0</v>
      </c>
      <c r="J249" s="3">
        <v>0</v>
      </c>
      <c r="K249" s="3">
        <v>17</v>
      </c>
      <c r="L249" s="3">
        <v>0</v>
      </c>
      <c r="M249" s="3">
        <v>0</v>
      </c>
      <c r="N249" s="3" t="s">
        <v>1711</v>
      </c>
      <c r="O249" s="3">
        <v>17</v>
      </c>
      <c r="P249" s="3">
        <v>49.07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1</v>
      </c>
      <c r="W249" s="3" t="s">
        <v>1720</v>
      </c>
      <c r="X249" s="3">
        <v>15.99</v>
      </c>
      <c r="Y249" s="3">
        <v>15.99</v>
      </c>
      <c r="Z249" s="3">
        <v>10.75</v>
      </c>
      <c r="AA249" s="3">
        <v>0</v>
      </c>
      <c r="AB249" s="3" t="s">
        <v>1721</v>
      </c>
      <c r="AC249" s="3">
        <v>0</v>
      </c>
      <c r="AD249" s="3">
        <v>11.64</v>
      </c>
      <c r="AE249" s="3">
        <v>280</v>
      </c>
      <c r="AF249" s="3">
        <v>0</v>
      </c>
      <c r="AG249" s="3">
        <v>607.56871</v>
      </c>
      <c r="AH249" s="3">
        <v>0.0579710144927536</v>
      </c>
      <c r="AI249" s="3" t="s">
        <v>2569</v>
      </c>
      <c r="AJ249" s="3" t="s">
        <v>1783</v>
      </c>
    </row>
    <row r="250" spans="1:36">
      <c r="A250" s="4">
        <v>43277</v>
      </c>
      <c r="B250" s="3" t="s">
        <v>136</v>
      </c>
      <c r="C250" s="3" t="s">
        <v>137</v>
      </c>
      <c r="D250" s="3" t="s">
        <v>138</v>
      </c>
      <c r="E250" s="3" t="s">
        <v>139</v>
      </c>
      <c r="F250" s="3" t="s">
        <v>1710</v>
      </c>
      <c r="G250" s="3">
        <v>21</v>
      </c>
      <c r="H250" s="3">
        <v>0</v>
      </c>
      <c r="I250" s="3">
        <v>21</v>
      </c>
      <c r="J250" s="3">
        <v>0</v>
      </c>
      <c r="K250" s="3">
        <v>0</v>
      </c>
      <c r="L250" s="3">
        <v>0</v>
      </c>
      <c r="M250" s="3">
        <v>0</v>
      </c>
      <c r="N250" s="3" t="s">
        <v>1711</v>
      </c>
      <c r="O250" s="3">
        <v>0</v>
      </c>
      <c r="P250" s="3">
        <v>0</v>
      </c>
      <c r="Q250" s="3">
        <v>0</v>
      </c>
      <c r="R250" s="3">
        <v>0</v>
      </c>
      <c r="S250" s="3">
        <v>3</v>
      </c>
      <c r="T250" s="3">
        <v>25</v>
      </c>
      <c r="U250" s="3">
        <v>37</v>
      </c>
      <c r="V250" s="3">
        <v>51</v>
      </c>
      <c r="W250" s="3"/>
      <c r="X250" s="3">
        <v>14.99</v>
      </c>
      <c r="Y250" s="3">
        <v>14.99</v>
      </c>
      <c r="Z250" s="3">
        <v>14.99</v>
      </c>
      <c r="AA250" s="3">
        <v>0</v>
      </c>
      <c r="AB250" s="3" t="s">
        <v>1713</v>
      </c>
      <c r="AC250" s="3">
        <v>10</v>
      </c>
      <c r="AD250" s="3">
        <v>14.99</v>
      </c>
      <c r="AE250" s="3">
        <v>0</v>
      </c>
      <c r="AF250" s="3">
        <v>0</v>
      </c>
      <c r="AG250" s="3">
        <v>0</v>
      </c>
      <c r="AH250" s="3">
        <v>2.95652173913043</v>
      </c>
      <c r="AI250" s="3" t="s">
        <v>2467</v>
      </c>
      <c r="AJ250" s="3" t="s">
        <v>1715</v>
      </c>
    </row>
    <row r="251" spans="1:36">
      <c r="A251" s="4">
        <v>43277</v>
      </c>
      <c r="B251" s="3" t="s">
        <v>451</v>
      </c>
      <c r="C251" s="3" t="s">
        <v>452</v>
      </c>
      <c r="D251" s="3" t="s">
        <v>453</v>
      </c>
      <c r="E251" s="3" t="s">
        <v>454</v>
      </c>
      <c r="F251" s="3" t="s">
        <v>1710</v>
      </c>
      <c r="G251" s="3">
        <v>130</v>
      </c>
      <c r="H251" s="3">
        <v>0</v>
      </c>
      <c r="I251" s="3">
        <v>130</v>
      </c>
      <c r="J251" s="3">
        <v>0</v>
      </c>
      <c r="K251" s="3">
        <v>0</v>
      </c>
      <c r="L251" s="3">
        <v>0</v>
      </c>
      <c r="M251" s="3">
        <v>0</v>
      </c>
      <c r="N251" s="3" t="s">
        <v>1711</v>
      </c>
      <c r="O251" s="3">
        <v>0</v>
      </c>
      <c r="P251" s="3">
        <v>0</v>
      </c>
      <c r="Q251" s="3">
        <v>0</v>
      </c>
      <c r="R251" s="3">
        <v>0</v>
      </c>
      <c r="S251" s="3">
        <v>12</v>
      </c>
      <c r="T251" s="3">
        <v>42</v>
      </c>
      <c r="U251" s="3">
        <v>88</v>
      </c>
      <c r="V251" s="3">
        <v>116</v>
      </c>
      <c r="W251" s="3"/>
      <c r="X251" s="3">
        <v>48.58</v>
      </c>
      <c r="Y251" s="3">
        <v>28.99</v>
      </c>
      <c r="Z251" s="3">
        <v>28</v>
      </c>
      <c r="AA251" s="3">
        <v>0</v>
      </c>
      <c r="AB251" s="3" t="s">
        <v>1713</v>
      </c>
      <c r="AC251" s="3">
        <v>95</v>
      </c>
      <c r="AD251" s="3">
        <v>28.99</v>
      </c>
      <c r="AE251" s="3">
        <v>0</v>
      </c>
      <c r="AF251" s="3">
        <v>0</v>
      </c>
      <c r="AG251" s="3">
        <v>0</v>
      </c>
      <c r="AH251" s="3">
        <v>1.62807017543859</v>
      </c>
      <c r="AI251" s="3" t="s">
        <v>1784</v>
      </c>
      <c r="AJ251" s="3" t="s">
        <v>1715</v>
      </c>
    </row>
    <row r="252" spans="1:36">
      <c r="A252" s="4">
        <v>43277</v>
      </c>
      <c r="B252" s="3" t="s">
        <v>2570</v>
      </c>
      <c r="C252" s="3" t="s">
        <v>2571</v>
      </c>
      <c r="D252" s="3" t="s">
        <v>2572</v>
      </c>
      <c r="E252" s="3" t="s">
        <v>2462</v>
      </c>
      <c r="F252" s="3" t="s">
        <v>1710</v>
      </c>
      <c r="G252" s="3">
        <v>5</v>
      </c>
      <c r="H252" s="3">
        <v>0</v>
      </c>
      <c r="I252" s="3">
        <v>5</v>
      </c>
      <c r="J252" s="3">
        <v>0</v>
      </c>
      <c r="K252" s="3">
        <v>0</v>
      </c>
      <c r="L252" s="3">
        <v>0</v>
      </c>
      <c r="M252" s="3">
        <v>0</v>
      </c>
      <c r="N252" s="3" t="s">
        <v>1711</v>
      </c>
      <c r="O252" s="3">
        <v>0</v>
      </c>
      <c r="P252" s="3">
        <v>0</v>
      </c>
      <c r="Q252" s="3">
        <v>0</v>
      </c>
      <c r="R252" s="3">
        <v>0</v>
      </c>
      <c r="S252" s="3">
        <v>2</v>
      </c>
      <c r="T252" s="3">
        <v>11</v>
      </c>
      <c r="U252" s="3">
        <v>11</v>
      </c>
      <c r="V252" s="3">
        <v>11</v>
      </c>
      <c r="W252" s="3"/>
      <c r="X252" s="3">
        <v>21.99</v>
      </c>
      <c r="Y252" s="3">
        <v>21.99</v>
      </c>
      <c r="Z252" s="3">
        <v>21.99</v>
      </c>
      <c r="AA252" s="3">
        <v>0</v>
      </c>
      <c r="AB252" s="3" t="s">
        <v>1713</v>
      </c>
      <c r="AC252" s="3">
        <v>5</v>
      </c>
      <c r="AD252" s="3">
        <v>21.99</v>
      </c>
      <c r="AE252" s="3">
        <v>0</v>
      </c>
      <c r="AF252" s="3">
        <v>0</v>
      </c>
      <c r="AG252" s="3">
        <v>0</v>
      </c>
      <c r="AH252" s="3">
        <v>4.4</v>
      </c>
      <c r="AI252" s="3" t="s">
        <v>2573</v>
      </c>
      <c r="AJ252" s="3" t="s">
        <v>1715</v>
      </c>
    </row>
    <row r="253" spans="1:36">
      <c r="A253" s="4">
        <v>43277</v>
      </c>
      <c r="B253" s="3" t="s">
        <v>2574</v>
      </c>
      <c r="C253" s="3" t="s">
        <v>2575</v>
      </c>
      <c r="D253" s="3" t="s">
        <v>2576</v>
      </c>
      <c r="E253" s="3" t="s">
        <v>2577</v>
      </c>
      <c r="F253" s="3" t="s">
        <v>1710</v>
      </c>
      <c r="G253" s="3">
        <v>11</v>
      </c>
      <c r="H253" s="3">
        <v>0</v>
      </c>
      <c r="I253" s="3">
        <v>0</v>
      </c>
      <c r="J253" s="3">
        <v>0</v>
      </c>
      <c r="K253" s="3">
        <v>1</v>
      </c>
      <c r="L253" s="3">
        <v>10</v>
      </c>
      <c r="M253" s="3">
        <v>0</v>
      </c>
      <c r="N253" s="3" t="s">
        <v>1711</v>
      </c>
      <c r="O253" s="3">
        <v>11</v>
      </c>
      <c r="P253" s="3">
        <v>1.93</v>
      </c>
      <c r="Q253" s="3">
        <v>0</v>
      </c>
      <c r="R253" s="3">
        <v>0</v>
      </c>
      <c r="S253" s="3">
        <v>0</v>
      </c>
      <c r="T253" s="3">
        <v>0</v>
      </c>
      <c r="U253" s="3">
        <v>1</v>
      </c>
      <c r="V253" s="3">
        <v>2</v>
      </c>
      <c r="W253" s="3" t="s">
        <v>1720</v>
      </c>
      <c r="X253" s="3">
        <v>17.99</v>
      </c>
      <c r="Y253" s="3">
        <v>17.99</v>
      </c>
      <c r="Z253" s="3">
        <v>17.99</v>
      </c>
      <c r="AA253" s="3">
        <v>0</v>
      </c>
      <c r="AB253" s="3" t="s">
        <v>1721</v>
      </c>
      <c r="AC253" s="3">
        <v>0</v>
      </c>
      <c r="AD253" s="3">
        <v>16.34</v>
      </c>
      <c r="AE253" s="3">
        <v>287</v>
      </c>
      <c r="AF253" s="3">
        <v>0</v>
      </c>
      <c r="AG253" s="3">
        <v>110.552357</v>
      </c>
      <c r="AH253" s="3">
        <v>0.170212765957446</v>
      </c>
      <c r="AI253" s="3" t="s">
        <v>2578</v>
      </c>
      <c r="AJ253" s="3" t="s">
        <v>1783</v>
      </c>
    </row>
    <row r="254" spans="1:36">
      <c r="A254" s="4">
        <v>43277</v>
      </c>
      <c r="B254" s="3" t="s">
        <v>1191</v>
      </c>
      <c r="C254" s="3" t="s">
        <v>1192</v>
      </c>
      <c r="D254" s="3" t="s">
        <v>1193</v>
      </c>
      <c r="E254" s="3" t="s">
        <v>1194</v>
      </c>
      <c r="F254" s="3" t="s">
        <v>1710</v>
      </c>
      <c r="G254" s="3">
        <v>6</v>
      </c>
      <c r="H254" s="3">
        <v>0</v>
      </c>
      <c r="I254" s="3">
        <v>6</v>
      </c>
      <c r="J254" s="3">
        <v>0</v>
      </c>
      <c r="K254" s="3">
        <v>0</v>
      </c>
      <c r="L254" s="3">
        <v>0</v>
      </c>
      <c r="M254" s="3">
        <v>0</v>
      </c>
      <c r="N254" s="3" t="s">
        <v>1711</v>
      </c>
      <c r="O254" s="3">
        <v>0</v>
      </c>
      <c r="P254" s="3">
        <v>0</v>
      </c>
      <c r="Q254" s="3">
        <v>0</v>
      </c>
      <c r="R254" s="3">
        <v>0</v>
      </c>
      <c r="S254" s="3">
        <v>9</v>
      </c>
      <c r="T254" s="3">
        <v>46</v>
      </c>
      <c r="U254" s="3">
        <v>56</v>
      </c>
      <c r="V254" s="3">
        <v>58</v>
      </c>
      <c r="W254" s="3"/>
      <c r="X254" s="3">
        <v>48.58</v>
      </c>
      <c r="Y254" s="3">
        <v>28.99</v>
      </c>
      <c r="Z254" s="3">
        <v>28.99</v>
      </c>
      <c r="AA254" s="3">
        <v>0</v>
      </c>
      <c r="AB254" s="3" t="s">
        <v>1713</v>
      </c>
      <c r="AC254" s="3">
        <v>9</v>
      </c>
      <c r="AD254" s="3">
        <v>28.99</v>
      </c>
      <c r="AE254" s="3">
        <v>0</v>
      </c>
      <c r="AF254" s="3">
        <v>0</v>
      </c>
      <c r="AG254" s="3">
        <v>0</v>
      </c>
      <c r="AH254" s="3">
        <v>14.5</v>
      </c>
      <c r="AI254" s="3" t="s">
        <v>1800</v>
      </c>
      <c r="AJ254" s="3" t="s">
        <v>1715</v>
      </c>
    </row>
    <row r="255" spans="1:36">
      <c r="A255" s="4">
        <v>43277</v>
      </c>
      <c r="B255" s="3" t="s">
        <v>2579</v>
      </c>
      <c r="C255" s="3" t="s">
        <v>2580</v>
      </c>
      <c r="D255" s="3" t="s">
        <v>2581</v>
      </c>
      <c r="E255" s="3" t="s">
        <v>2582</v>
      </c>
      <c r="F255" s="3" t="s">
        <v>1710</v>
      </c>
      <c r="G255" s="3">
        <v>14</v>
      </c>
      <c r="H255" s="3">
        <v>0</v>
      </c>
      <c r="I255" s="3">
        <v>14</v>
      </c>
      <c r="J255" s="3">
        <v>0</v>
      </c>
      <c r="K255" s="3">
        <v>0</v>
      </c>
      <c r="L255" s="3">
        <v>0</v>
      </c>
      <c r="M255" s="3">
        <v>0</v>
      </c>
      <c r="N255" s="3" t="s">
        <v>1711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2</v>
      </c>
      <c r="U255" s="3">
        <v>2</v>
      </c>
      <c r="V255" s="3">
        <v>2</v>
      </c>
      <c r="W255" s="3"/>
      <c r="X255" s="3">
        <v>19.99</v>
      </c>
      <c r="Y255" s="3">
        <v>19.99</v>
      </c>
      <c r="Z255" s="3">
        <v>19.99</v>
      </c>
      <c r="AA255" s="3">
        <v>0</v>
      </c>
      <c r="AB255" s="3" t="s">
        <v>1713</v>
      </c>
      <c r="AC255" s="3">
        <v>13</v>
      </c>
      <c r="AD255" s="3">
        <v>19.99</v>
      </c>
      <c r="AE255" s="3">
        <v>0</v>
      </c>
      <c r="AF255" s="3">
        <v>0</v>
      </c>
      <c r="AG255" s="3">
        <v>0</v>
      </c>
      <c r="AH255" s="3">
        <v>0.137931034482758</v>
      </c>
      <c r="AI255" s="3" t="s">
        <v>1919</v>
      </c>
      <c r="AJ255" s="3" t="s">
        <v>1715</v>
      </c>
    </row>
    <row r="256" spans="1:36">
      <c r="A256" s="4">
        <v>43277</v>
      </c>
      <c r="B256" s="3" t="s">
        <v>2583</v>
      </c>
      <c r="C256" s="3" t="s">
        <v>2584</v>
      </c>
      <c r="D256" s="3" t="s">
        <v>2585</v>
      </c>
      <c r="E256" s="3" t="s">
        <v>2586</v>
      </c>
      <c r="F256" s="3" t="s">
        <v>1710</v>
      </c>
      <c r="G256" s="3">
        <v>10</v>
      </c>
      <c r="H256" s="3">
        <v>0</v>
      </c>
      <c r="I256" s="3">
        <v>10</v>
      </c>
      <c r="J256" s="3">
        <v>0</v>
      </c>
      <c r="K256" s="3">
        <v>0</v>
      </c>
      <c r="L256" s="3">
        <v>0</v>
      </c>
      <c r="M256" s="3">
        <v>0</v>
      </c>
      <c r="N256" s="3" t="s">
        <v>1711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6</v>
      </c>
      <c r="U256" s="3">
        <v>25</v>
      </c>
      <c r="V256" s="3">
        <v>38</v>
      </c>
      <c r="W256" s="3"/>
      <c r="X256" s="3">
        <v>28.99</v>
      </c>
      <c r="Y256" s="3">
        <v>15.99</v>
      </c>
      <c r="Z256" s="3">
        <v>15.55</v>
      </c>
      <c r="AA256" s="3">
        <v>0</v>
      </c>
      <c r="AB256" s="3" t="s">
        <v>1713</v>
      </c>
      <c r="AC256" s="3">
        <v>0</v>
      </c>
      <c r="AD256" s="3">
        <v>0</v>
      </c>
      <c r="AE256" s="3">
        <v>0</v>
      </c>
      <c r="AF256" s="3">
        <v>0</v>
      </c>
      <c r="AG256" s="3">
        <v>0</v>
      </c>
      <c r="AH256" s="3">
        <v>3.89743589743589</v>
      </c>
      <c r="AI256" s="3" t="s">
        <v>2082</v>
      </c>
      <c r="AJ256" s="3" t="s">
        <v>1715</v>
      </c>
    </row>
    <row r="257" spans="1:36">
      <c r="A257" s="4">
        <v>43277</v>
      </c>
      <c r="B257" s="3" t="s">
        <v>963</v>
      </c>
      <c r="C257" s="3" t="s">
        <v>964</v>
      </c>
      <c r="D257" s="3" t="s">
        <v>965</v>
      </c>
      <c r="E257" s="3" t="s">
        <v>966</v>
      </c>
      <c r="F257" s="3" t="s">
        <v>1710</v>
      </c>
      <c r="G257" s="3">
        <v>9</v>
      </c>
      <c r="H257" s="3">
        <v>0</v>
      </c>
      <c r="I257" s="3">
        <v>9</v>
      </c>
      <c r="J257" s="3">
        <v>0</v>
      </c>
      <c r="K257" s="3">
        <v>0</v>
      </c>
      <c r="L257" s="3">
        <v>0</v>
      </c>
      <c r="M257" s="3">
        <v>0</v>
      </c>
      <c r="N257" s="3" t="s">
        <v>1711</v>
      </c>
      <c r="O257" s="3">
        <v>0</v>
      </c>
      <c r="P257" s="3">
        <v>0</v>
      </c>
      <c r="Q257" s="3">
        <v>0</v>
      </c>
      <c r="R257" s="3">
        <v>0</v>
      </c>
      <c r="S257" s="3">
        <v>5</v>
      </c>
      <c r="T257" s="3">
        <v>11</v>
      </c>
      <c r="U257" s="3">
        <v>11</v>
      </c>
      <c r="V257" s="3">
        <v>11</v>
      </c>
      <c r="W257" s="3"/>
      <c r="X257" s="3">
        <v>15.99</v>
      </c>
      <c r="Y257" s="3">
        <v>15.99</v>
      </c>
      <c r="Z257" s="3">
        <v>15.99</v>
      </c>
      <c r="AA257" s="3">
        <v>0</v>
      </c>
      <c r="AB257" s="3" t="s">
        <v>1713</v>
      </c>
      <c r="AC257" s="3">
        <v>11</v>
      </c>
      <c r="AD257" s="3">
        <v>15.99</v>
      </c>
      <c r="AE257" s="3">
        <v>0</v>
      </c>
      <c r="AF257" s="3">
        <v>0</v>
      </c>
      <c r="AG257" s="3">
        <v>0</v>
      </c>
      <c r="AH257" s="3">
        <v>0.733333333333333</v>
      </c>
      <c r="AI257" s="3" t="s">
        <v>1881</v>
      </c>
      <c r="AJ257" s="3" t="s">
        <v>1715</v>
      </c>
    </row>
    <row r="258" spans="1:36">
      <c r="A258" s="4">
        <v>43277</v>
      </c>
      <c r="B258" s="3" t="s">
        <v>2587</v>
      </c>
      <c r="C258" s="3" t="s">
        <v>2588</v>
      </c>
      <c r="D258" s="3" t="s">
        <v>2589</v>
      </c>
      <c r="E258" s="3" t="s">
        <v>2590</v>
      </c>
      <c r="F258" s="3" t="s">
        <v>1710</v>
      </c>
      <c r="G258" s="3">
        <v>4</v>
      </c>
      <c r="H258" s="3">
        <v>0</v>
      </c>
      <c r="I258" s="3">
        <v>4</v>
      </c>
      <c r="J258" s="3">
        <v>0</v>
      </c>
      <c r="K258" s="3">
        <v>0</v>
      </c>
      <c r="L258" s="3">
        <v>0</v>
      </c>
      <c r="M258" s="3">
        <v>0</v>
      </c>
      <c r="N258" s="3" t="s">
        <v>1711</v>
      </c>
      <c r="O258" s="3">
        <v>0</v>
      </c>
      <c r="P258" s="3">
        <v>0</v>
      </c>
      <c r="Q258" s="3">
        <v>0</v>
      </c>
      <c r="R258" s="3">
        <v>0</v>
      </c>
      <c r="S258" s="3">
        <v>1</v>
      </c>
      <c r="T258" s="3">
        <v>3</v>
      </c>
      <c r="U258" s="3">
        <v>6</v>
      </c>
      <c r="V258" s="3">
        <v>6</v>
      </c>
      <c r="W258" s="3"/>
      <c r="X258" s="3">
        <v>19.99</v>
      </c>
      <c r="Y258" s="3">
        <v>19.99</v>
      </c>
      <c r="Z258" s="3">
        <v>19.99</v>
      </c>
      <c r="AA258" s="3">
        <v>0</v>
      </c>
      <c r="AB258" s="3" t="s">
        <v>1713</v>
      </c>
      <c r="AC258" s="3">
        <v>4</v>
      </c>
      <c r="AD258" s="3">
        <v>19.99</v>
      </c>
      <c r="AE258" s="3">
        <v>0</v>
      </c>
      <c r="AF258" s="3">
        <v>0</v>
      </c>
      <c r="AG258" s="3">
        <v>0</v>
      </c>
      <c r="AH258" s="3">
        <v>1.5</v>
      </c>
      <c r="AI258" s="3" t="s">
        <v>1775</v>
      </c>
      <c r="AJ258" s="3" t="s">
        <v>1715</v>
      </c>
    </row>
    <row r="259" spans="1:36">
      <c r="A259" s="4">
        <v>43277</v>
      </c>
      <c r="B259" s="3" t="s">
        <v>2591</v>
      </c>
      <c r="C259" s="3" t="s">
        <v>2592</v>
      </c>
      <c r="D259" s="3" t="s">
        <v>2593</v>
      </c>
      <c r="E259" s="3" t="s">
        <v>259</v>
      </c>
      <c r="F259" s="3" t="s">
        <v>1710</v>
      </c>
      <c r="G259" s="3">
        <v>28</v>
      </c>
      <c r="H259" s="3">
        <v>0</v>
      </c>
      <c r="I259" s="3">
        <v>3</v>
      </c>
      <c r="J259" s="3">
        <v>25</v>
      </c>
      <c r="K259" s="3">
        <v>0</v>
      </c>
      <c r="L259" s="3">
        <v>0</v>
      </c>
      <c r="M259" s="3">
        <v>0</v>
      </c>
      <c r="N259" s="3" t="s">
        <v>1711</v>
      </c>
      <c r="O259" s="3">
        <v>0</v>
      </c>
      <c r="P259" s="3">
        <v>0</v>
      </c>
      <c r="Q259" s="3">
        <v>0</v>
      </c>
      <c r="R259" s="3">
        <v>0</v>
      </c>
      <c r="S259" s="3">
        <v>1</v>
      </c>
      <c r="T259" s="3">
        <v>2</v>
      </c>
      <c r="U259" s="3">
        <v>8</v>
      </c>
      <c r="V259" s="3">
        <v>15</v>
      </c>
      <c r="W259" s="3"/>
      <c r="X259" s="3">
        <v>27.99</v>
      </c>
      <c r="Y259" s="3">
        <v>27.99</v>
      </c>
      <c r="Z259" s="3">
        <v>25.99</v>
      </c>
      <c r="AA259" s="3">
        <v>0</v>
      </c>
      <c r="AB259" s="3" t="s">
        <v>1732</v>
      </c>
      <c r="AC259" s="3">
        <v>13</v>
      </c>
      <c r="AD259" s="3">
        <v>22.39</v>
      </c>
      <c r="AE259" s="3">
        <v>224</v>
      </c>
      <c r="AF259" s="3">
        <v>0</v>
      </c>
      <c r="AG259" s="3">
        <v>46.947137</v>
      </c>
      <c r="AH259" s="3">
        <v>0.458015267175572</v>
      </c>
      <c r="AI259" s="3" t="s">
        <v>1831</v>
      </c>
      <c r="AJ259" s="3" t="s">
        <v>1715</v>
      </c>
    </row>
    <row r="260" spans="1:36">
      <c r="A260" s="4">
        <v>43277</v>
      </c>
      <c r="B260" s="3" t="s">
        <v>2594</v>
      </c>
      <c r="C260" s="3" t="s">
        <v>2595</v>
      </c>
      <c r="D260" s="3" t="s">
        <v>2596</v>
      </c>
      <c r="E260" s="3" t="s">
        <v>2597</v>
      </c>
      <c r="F260" s="3" t="s">
        <v>1710</v>
      </c>
      <c r="G260" s="3">
        <v>8</v>
      </c>
      <c r="H260" s="3">
        <v>0</v>
      </c>
      <c r="I260" s="3">
        <v>8</v>
      </c>
      <c r="J260" s="3">
        <v>0</v>
      </c>
      <c r="K260" s="3">
        <v>0</v>
      </c>
      <c r="L260" s="3">
        <v>0</v>
      </c>
      <c r="M260" s="3">
        <v>0</v>
      </c>
      <c r="N260" s="3" t="s">
        <v>1711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2</v>
      </c>
      <c r="V260" s="3">
        <v>2</v>
      </c>
      <c r="W260" s="3" t="s">
        <v>1712</v>
      </c>
      <c r="X260" s="3">
        <v>19.99</v>
      </c>
      <c r="Y260" s="3">
        <v>19.99</v>
      </c>
      <c r="Z260" s="3">
        <v>19.99</v>
      </c>
      <c r="AA260" s="3">
        <v>0</v>
      </c>
      <c r="AB260" s="3" t="s">
        <v>1713</v>
      </c>
      <c r="AC260" s="3">
        <v>8</v>
      </c>
      <c r="AD260" s="3">
        <v>19.99</v>
      </c>
      <c r="AE260" s="3">
        <v>0</v>
      </c>
      <c r="AF260" s="3">
        <v>0</v>
      </c>
      <c r="AG260" s="3">
        <v>0</v>
      </c>
      <c r="AH260" s="3">
        <v>0.352941176470588</v>
      </c>
      <c r="AI260" s="3" t="s">
        <v>1775</v>
      </c>
      <c r="AJ260" s="3" t="s">
        <v>1715</v>
      </c>
    </row>
    <row r="261" spans="1:36">
      <c r="A261" s="4">
        <v>43277</v>
      </c>
      <c r="B261" s="3" t="s">
        <v>2598</v>
      </c>
      <c r="C261" s="3" t="s">
        <v>2599</v>
      </c>
      <c r="D261" s="3" t="s">
        <v>2600</v>
      </c>
      <c r="E261" s="3" t="s">
        <v>2601</v>
      </c>
      <c r="F261" s="3" t="s">
        <v>1710</v>
      </c>
      <c r="G261" s="3">
        <v>15</v>
      </c>
      <c r="H261" s="3">
        <v>0</v>
      </c>
      <c r="I261" s="3">
        <v>15</v>
      </c>
      <c r="J261" s="3">
        <v>0</v>
      </c>
      <c r="K261" s="3">
        <v>0</v>
      </c>
      <c r="L261" s="3">
        <v>0</v>
      </c>
      <c r="M261" s="3">
        <v>0</v>
      </c>
      <c r="N261" s="3" t="s">
        <v>1711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1712</v>
      </c>
      <c r="X261" s="3">
        <v>28.99</v>
      </c>
      <c r="Y261" s="3">
        <v>28.99</v>
      </c>
      <c r="Z261" s="3">
        <v>28.99</v>
      </c>
      <c r="AA261" s="3">
        <v>0</v>
      </c>
      <c r="AB261" s="3" t="s">
        <v>1713</v>
      </c>
      <c r="AC261" s="3">
        <v>15</v>
      </c>
      <c r="AD261" s="3">
        <v>28.99</v>
      </c>
      <c r="AE261" s="3">
        <v>0</v>
      </c>
      <c r="AF261" s="3">
        <v>0</v>
      </c>
      <c r="AG261" s="3">
        <v>0</v>
      </c>
      <c r="AH261" s="3">
        <v>0</v>
      </c>
      <c r="AI261" s="3" t="s">
        <v>2065</v>
      </c>
      <c r="AJ261" s="3" t="s">
        <v>1715</v>
      </c>
    </row>
    <row r="262" spans="1:36">
      <c r="A262" s="4">
        <v>43277</v>
      </c>
      <c r="B262" s="3" t="s">
        <v>2602</v>
      </c>
      <c r="C262" s="3" t="s">
        <v>2603</v>
      </c>
      <c r="D262" s="3" t="s">
        <v>2604</v>
      </c>
      <c r="E262" s="3" t="s">
        <v>2605</v>
      </c>
      <c r="F262" s="3" t="s">
        <v>1710</v>
      </c>
      <c r="G262" s="3">
        <v>7</v>
      </c>
      <c r="H262" s="3">
        <v>0</v>
      </c>
      <c r="I262" s="3">
        <v>1</v>
      </c>
      <c r="J262" s="3">
        <v>6</v>
      </c>
      <c r="K262" s="3">
        <v>0</v>
      </c>
      <c r="L262" s="3">
        <v>0</v>
      </c>
      <c r="M262" s="3">
        <v>0</v>
      </c>
      <c r="N262" s="3" t="s">
        <v>1711</v>
      </c>
      <c r="O262" s="3">
        <v>0</v>
      </c>
      <c r="P262" s="3">
        <v>0</v>
      </c>
      <c r="Q262" s="3">
        <v>0</v>
      </c>
      <c r="R262" s="3">
        <v>0</v>
      </c>
      <c r="S262" s="3">
        <v>1</v>
      </c>
      <c r="T262" s="3">
        <v>2</v>
      </c>
      <c r="U262" s="3">
        <v>4</v>
      </c>
      <c r="V262" s="3">
        <v>10</v>
      </c>
      <c r="W262" s="3"/>
      <c r="X262" s="3">
        <v>27.99</v>
      </c>
      <c r="Y262" s="3">
        <v>27.99</v>
      </c>
      <c r="Z262" s="3">
        <v>25.99</v>
      </c>
      <c r="AA262" s="3">
        <v>0</v>
      </c>
      <c r="AB262" s="3" t="s">
        <v>1732</v>
      </c>
      <c r="AC262" s="3">
        <v>0</v>
      </c>
      <c r="AD262" s="3">
        <v>21.08</v>
      </c>
      <c r="AE262" s="3">
        <v>98</v>
      </c>
      <c r="AF262" s="3">
        <v>0</v>
      </c>
      <c r="AG262" s="3">
        <v>174.833763</v>
      </c>
      <c r="AH262" s="3">
        <v>0.952380952380952</v>
      </c>
      <c r="AI262" s="3" t="s">
        <v>1831</v>
      </c>
      <c r="AJ262" s="3" t="s">
        <v>1715</v>
      </c>
    </row>
    <row r="263" spans="1:36">
      <c r="A263" s="4">
        <v>43277</v>
      </c>
      <c r="B263" s="3" t="s">
        <v>523</v>
      </c>
      <c r="C263" s="3" t="s">
        <v>524</v>
      </c>
      <c r="D263" s="3" t="s">
        <v>525</v>
      </c>
      <c r="E263" s="3" t="s">
        <v>2606</v>
      </c>
      <c r="F263" s="3" t="s">
        <v>1710</v>
      </c>
      <c r="G263" s="3">
        <v>118</v>
      </c>
      <c r="H263" s="3">
        <v>0</v>
      </c>
      <c r="I263" s="3">
        <v>118</v>
      </c>
      <c r="J263" s="3">
        <v>0</v>
      </c>
      <c r="K263" s="3">
        <v>0</v>
      </c>
      <c r="L263" s="3">
        <v>0</v>
      </c>
      <c r="M263" s="3">
        <v>0</v>
      </c>
      <c r="N263" s="3" t="s">
        <v>1711</v>
      </c>
      <c r="O263" s="3">
        <v>0</v>
      </c>
      <c r="P263" s="3">
        <v>0</v>
      </c>
      <c r="Q263" s="3">
        <v>0</v>
      </c>
      <c r="R263" s="3">
        <v>0</v>
      </c>
      <c r="S263" s="3">
        <v>34</v>
      </c>
      <c r="T263" s="3">
        <v>143</v>
      </c>
      <c r="U263" s="3">
        <v>238</v>
      </c>
      <c r="V263" s="3">
        <v>311</v>
      </c>
      <c r="W263" s="3"/>
      <c r="X263" s="3">
        <v>38</v>
      </c>
      <c r="Y263" s="3">
        <v>28.58</v>
      </c>
      <c r="Z263" s="3">
        <v>28</v>
      </c>
      <c r="AA263" s="3">
        <v>0</v>
      </c>
      <c r="AB263" s="3" t="s">
        <v>1713</v>
      </c>
      <c r="AC263" s="3">
        <v>77</v>
      </c>
      <c r="AD263" s="3">
        <v>28.58</v>
      </c>
      <c r="AE263" s="3">
        <v>0</v>
      </c>
      <c r="AF263" s="3">
        <v>0</v>
      </c>
      <c r="AG263" s="3">
        <v>0</v>
      </c>
      <c r="AH263" s="3">
        <v>5.03643724696356</v>
      </c>
      <c r="AI263" s="3" t="s">
        <v>1801</v>
      </c>
      <c r="AJ263" s="3" t="s">
        <v>1715</v>
      </c>
    </row>
    <row r="264" spans="1:36">
      <c r="A264" s="4">
        <v>43277</v>
      </c>
      <c r="B264" s="3" t="s">
        <v>2607</v>
      </c>
      <c r="C264" s="3" t="s">
        <v>2608</v>
      </c>
      <c r="D264" s="3" t="s">
        <v>2609</v>
      </c>
      <c r="E264" s="3" t="s">
        <v>2610</v>
      </c>
      <c r="F264" s="3" t="s">
        <v>1710</v>
      </c>
      <c r="G264" s="3">
        <v>8</v>
      </c>
      <c r="H264" s="3">
        <v>0</v>
      </c>
      <c r="I264" s="3">
        <v>0</v>
      </c>
      <c r="J264" s="3">
        <v>0</v>
      </c>
      <c r="K264" s="3">
        <v>8</v>
      </c>
      <c r="L264" s="3">
        <v>0</v>
      </c>
      <c r="M264" s="3">
        <v>0</v>
      </c>
      <c r="N264" s="3" t="s">
        <v>1711</v>
      </c>
      <c r="O264" s="3">
        <v>8</v>
      </c>
      <c r="P264" s="3">
        <v>10.94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1720</v>
      </c>
      <c r="X264" s="3">
        <v>16.99</v>
      </c>
      <c r="Y264" s="3">
        <v>16.99</v>
      </c>
      <c r="Z264" s="3">
        <v>16.99</v>
      </c>
      <c r="AA264" s="3">
        <v>0</v>
      </c>
      <c r="AB264" s="3" t="s">
        <v>1721</v>
      </c>
      <c r="AC264" s="3">
        <v>0</v>
      </c>
      <c r="AD264" s="3">
        <v>14.31</v>
      </c>
      <c r="AE264" s="3">
        <v>231</v>
      </c>
      <c r="AF264" s="3">
        <v>0</v>
      </c>
      <c r="AG264" s="3">
        <v>173.708924</v>
      </c>
      <c r="AH264" s="3">
        <v>0</v>
      </c>
      <c r="AI264" s="3" t="s">
        <v>1851</v>
      </c>
      <c r="AJ264" s="3" t="s">
        <v>1715</v>
      </c>
    </row>
    <row r="265" spans="1:36">
      <c r="A265" s="4">
        <v>43277</v>
      </c>
      <c r="B265" s="3" t="s">
        <v>1106</v>
      </c>
      <c r="C265" s="3" t="s">
        <v>1107</v>
      </c>
      <c r="D265" s="3" t="s">
        <v>1108</v>
      </c>
      <c r="E265" s="3" t="s">
        <v>1109</v>
      </c>
      <c r="F265" s="3" t="s">
        <v>1710</v>
      </c>
      <c r="G265" s="3">
        <v>8</v>
      </c>
      <c r="H265" s="3">
        <v>0</v>
      </c>
      <c r="I265" s="3">
        <v>8</v>
      </c>
      <c r="J265" s="3">
        <v>0</v>
      </c>
      <c r="K265" s="3">
        <v>0</v>
      </c>
      <c r="L265" s="3">
        <v>0</v>
      </c>
      <c r="M265" s="3">
        <v>0</v>
      </c>
      <c r="N265" s="3" t="s">
        <v>1711</v>
      </c>
      <c r="O265" s="3">
        <v>0</v>
      </c>
      <c r="P265" s="3">
        <v>0</v>
      </c>
      <c r="Q265" s="3">
        <v>0</v>
      </c>
      <c r="R265" s="3">
        <v>0</v>
      </c>
      <c r="S265" s="3">
        <v>5</v>
      </c>
      <c r="T265" s="3">
        <v>7</v>
      </c>
      <c r="U265" s="3">
        <v>7</v>
      </c>
      <c r="V265" s="3">
        <v>7</v>
      </c>
      <c r="W265" s="3"/>
      <c r="X265" s="3">
        <v>28.99</v>
      </c>
      <c r="Y265" s="3">
        <v>28.99</v>
      </c>
      <c r="Z265" s="3">
        <v>28.99</v>
      </c>
      <c r="AA265" s="3">
        <v>0</v>
      </c>
      <c r="AB265" s="3" t="s">
        <v>1732</v>
      </c>
      <c r="AC265" s="3">
        <v>2</v>
      </c>
      <c r="AD265" s="3">
        <v>26.87</v>
      </c>
      <c r="AE265" s="3">
        <v>126</v>
      </c>
      <c r="AF265" s="3">
        <v>0</v>
      </c>
      <c r="AG265" s="3">
        <v>291.059082</v>
      </c>
      <c r="AH265" s="3">
        <v>0.875</v>
      </c>
      <c r="AI265" s="3" t="s">
        <v>2065</v>
      </c>
      <c r="AJ265" s="3" t="s">
        <v>1715</v>
      </c>
    </row>
    <row r="266" spans="1:36">
      <c r="A266" s="4">
        <v>43277</v>
      </c>
      <c r="B266" s="3" t="s">
        <v>2611</v>
      </c>
      <c r="C266" s="3" t="s">
        <v>2612</v>
      </c>
      <c r="D266" s="3" t="s">
        <v>2613</v>
      </c>
      <c r="E266" s="3" t="s">
        <v>2614</v>
      </c>
      <c r="F266" s="3" t="s">
        <v>1710</v>
      </c>
      <c r="G266" s="3">
        <v>1</v>
      </c>
      <c r="H266" s="3">
        <v>0</v>
      </c>
      <c r="I266" s="3">
        <v>1</v>
      </c>
      <c r="J266" s="3">
        <v>0</v>
      </c>
      <c r="K266" s="3">
        <v>0</v>
      </c>
      <c r="L266" s="3">
        <v>0</v>
      </c>
      <c r="M266" s="3">
        <v>0</v>
      </c>
      <c r="N266" s="3" t="s">
        <v>1711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3</v>
      </c>
      <c r="V266" s="3">
        <v>13</v>
      </c>
      <c r="W266" s="3"/>
      <c r="X266" s="3"/>
      <c r="Y266" s="3"/>
      <c r="Z266" s="3">
        <v>-1</v>
      </c>
      <c r="AA266" s="3">
        <v>-1</v>
      </c>
      <c r="AB266" s="3" t="s">
        <v>1776</v>
      </c>
      <c r="AC266" s="3">
        <v>0</v>
      </c>
      <c r="AD266" s="3">
        <v>0</v>
      </c>
      <c r="AE266" s="3">
        <v>0</v>
      </c>
      <c r="AF266" s="3">
        <v>0</v>
      </c>
      <c r="AG266" s="3">
        <v>0</v>
      </c>
      <c r="AH266" s="3">
        <v>4</v>
      </c>
      <c r="AI266" s="3" t="s">
        <v>2615</v>
      </c>
      <c r="AJ266" s="3" t="s">
        <v>2616</v>
      </c>
    </row>
    <row r="267" spans="1:36">
      <c r="A267" s="4">
        <v>43277</v>
      </c>
      <c r="B267" s="3" t="s">
        <v>1521</v>
      </c>
      <c r="C267" s="3" t="s">
        <v>1522</v>
      </c>
      <c r="D267" s="3" t="s">
        <v>1523</v>
      </c>
      <c r="E267" s="3" t="s">
        <v>1524</v>
      </c>
      <c r="F267" s="3" t="s">
        <v>1710</v>
      </c>
      <c r="G267" s="3">
        <v>15</v>
      </c>
      <c r="H267" s="3">
        <v>0</v>
      </c>
      <c r="I267" s="3">
        <v>15</v>
      </c>
      <c r="J267" s="3">
        <v>0</v>
      </c>
      <c r="K267" s="3">
        <v>0</v>
      </c>
      <c r="L267" s="3">
        <v>0</v>
      </c>
      <c r="M267" s="3">
        <v>0</v>
      </c>
      <c r="N267" s="3" t="s">
        <v>1711</v>
      </c>
      <c r="O267" s="3">
        <v>0</v>
      </c>
      <c r="P267" s="3">
        <v>0</v>
      </c>
      <c r="Q267" s="3">
        <v>0</v>
      </c>
      <c r="R267" s="3">
        <v>0</v>
      </c>
      <c r="S267" s="3">
        <v>5</v>
      </c>
      <c r="T267" s="3">
        <v>34</v>
      </c>
      <c r="U267" s="3">
        <v>75</v>
      </c>
      <c r="V267" s="3">
        <v>95</v>
      </c>
      <c r="W267" s="3"/>
      <c r="X267" s="3">
        <v>38</v>
      </c>
      <c r="Y267" s="3">
        <v>26.99</v>
      </c>
      <c r="Z267" s="3">
        <v>26.99</v>
      </c>
      <c r="AA267" s="3">
        <v>0</v>
      </c>
      <c r="AB267" s="3" t="s">
        <v>1713</v>
      </c>
      <c r="AC267" s="3">
        <v>19</v>
      </c>
      <c r="AD267" s="3">
        <v>26.99</v>
      </c>
      <c r="AE267" s="3">
        <v>0</v>
      </c>
      <c r="AF267" s="3">
        <v>0</v>
      </c>
      <c r="AG267" s="3">
        <v>0</v>
      </c>
      <c r="AH267" s="3">
        <v>5</v>
      </c>
      <c r="AI267" s="3" t="s">
        <v>2071</v>
      </c>
      <c r="AJ267" s="3" t="s">
        <v>1715</v>
      </c>
    </row>
    <row r="268" spans="1:36">
      <c r="A268" s="4">
        <v>43277</v>
      </c>
      <c r="B268" s="3" t="s">
        <v>2617</v>
      </c>
      <c r="C268" s="3" t="s">
        <v>2618</v>
      </c>
      <c r="D268" s="3" t="s">
        <v>2619</v>
      </c>
      <c r="E268" s="3" t="s">
        <v>2620</v>
      </c>
      <c r="F268" s="3" t="s">
        <v>1710</v>
      </c>
      <c r="G268" s="3">
        <v>85</v>
      </c>
      <c r="H268" s="3">
        <v>0</v>
      </c>
      <c r="I268" s="3">
        <v>1</v>
      </c>
      <c r="J268" s="3">
        <v>5</v>
      </c>
      <c r="K268" s="3">
        <v>79</v>
      </c>
      <c r="L268" s="3">
        <v>0</v>
      </c>
      <c r="M268" s="3">
        <v>0</v>
      </c>
      <c r="N268" s="3" t="s">
        <v>1711</v>
      </c>
      <c r="O268" s="3">
        <v>82</v>
      </c>
      <c r="P268" s="3">
        <v>49.08</v>
      </c>
      <c r="Q268" s="3">
        <v>0</v>
      </c>
      <c r="R268" s="3">
        <v>0</v>
      </c>
      <c r="S268" s="3">
        <v>0</v>
      </c>
      <c r="T268" s="3">
        <v>0</v>
      </c>
      <c r="U268" s="3">
        <v>4</v>
      </c>
      <c r="V268" s="3">
        <v>7</v>
      </c>
      <c r="W268" s="3" t="s">
        <v>1712</v>
      </c>
      <c r="X268" s="3">
        <v>16.99</v>
      </c>
      <c r="Y268" s="3">
        <v>16.99</v>
      </c>
      <c r="Z268" s="3">
        <v>16</v>
      </c>
      <c r="AA268" s="3">
        <v>0</v>
      </c>
      <c r="AB268" s="3" t="s">
        <v>1732</v>
      </c>
      <c r="AC268" s="3">
        <v>65</v>
      </c>
      <c r="AD268" s="3">
        <v>15.44</v>
      </c>
      <c r="AE268" s="3">
        <v>161</v>
      </c>
      <c r="AF268" s="3">
        <v>0</v>
      </c>
      <c r="AG268" s="3">
        <v>3.435861</v>
      </c>
      <c r="AH268" s="3">
        <v>0.0561122244488977</v>
      </c>
      <c r="AI268" s="3" t="s">
        <v>1905</v>
      </c>
      <c r="AJ268" s="3" t="s">
        <v>1715</v>
      </c>
    </row>
    <row r="269" spans="1:36">
      <c r="A269" s="4">
        <v>43277</v>
      </c>
      <c r="B269" s="3" t="s">
        <v>2621</v>
      </c>
      <c r="C269" s="3" t="s">
        <v>2622</v>
      </c>
      <c r="D269" s="3" t="s">
        <v>2623</v>
      </c>
      <c r="E269" s="3" t="s">
        <v>2624</v>
      </c>
      <c r="F269" s="3" t="s">
        <v>1710</v>
      </c>
      <c r="G269" s="3">
        <v>1</v>
      </c>
      <c r="H269" s="3">
        <v>0</v>
      </c>
      <c r="I269" s="3">
        <v>1</v>
      </c>
      <c r="J269" s="3">
        <v>0</v>
      </c>
      <c r="K269" s="3">
        <v>0</v>
      </c>
      <c r="L269" s="3">
        <v>0</v>
      </c>
      <c r="M269" s="3">
        <v>0</v>
      </c>
      <c r="N269" s="3" t="s">
        <v>1711</v>
      </c>
      <c r="O269" s="3">
        <v>0</v>
      </c>
      <c r="P269" s="3">
        <v>0</v>
      </c>
      <c r="Q269" s="3">
        <v>0</v>
      </c>
      <c r="R269" s="3">
        <v>0</v>
      </c>
      <c r="S269" s="3">
        <v>1</v>
      </c>
      <c r="T269" s="3">
        <v>2</v>
      </c>
      <c r="U269" s="3">
        <v>2</v>
      </c>
      <c r="V269" s="3">
        <v>2</v>
      </c>
      <c r="W269" s="3" t="s">
        <v>1720</v>
      </c>
      <c r="X269" s="3">
        <v>29.99</v>
      </c>
      <c r="Y269" s="3">
        <v>29.99</v>
      </c>
      <c r="Z269" s="3">
        <v>25</v>
      </c>
      <c r="AA269" s="3">
        <v>0</v>
      </c>
      <c r="AB269" s="3" t="s">
        <v>1721</v>
      </c>
      <c r="AC269" s="3">
        <v>1</v>
      </c>
      <c r="AD269" s="3">
        <v>29.99</v>
      </c>
      <c r="AE269" s="3">
        <v>0</v>
      </c>
      <c r="AF269" s="3">
        <v>0</v>
      </c>
      <c r="AG269" s="3">
        <v>0</v>
      </c>
      <c r="AH269" s="3">
        <v>1.6</v>
      </c>
      <c r="AI269" s="3" t="s">
        <v>2625</v>
      </c>
      <c r="AJ269" s="3" t="s">
        <v>1783</v>
      </c>
    </row>
    <row r="270" spans="1:36">
      <c r="A270" s="4">
        <v>43277</v>
      </c>
      <c r="B270" s="3" t="s">
        <v>2626</v>
      </c>
      <c r="C270" s="3" t="s">
        <v>2627</v>
      </c>
      <c r="D270" s="3" t="s">
        <v>2628</v>
      </c>
      <c r="E270" s="3" t="s">
        <v>2629</v>
      </c>
      <c r="F270" s="3" t="s">
        <v>1710</v>
      </c>
      <c r="G270" s="3">
        <v>23</v>
      </c>
      <c r="H270" s="3">
        <v>0</v>
      </c>
      <c r="I270" s="3">
        <v>23</v>
      </c>
      <c r="J270" s="3">
        <v>0</v>
      </c>
      <c r="K270" s="3">
        <v>0</v>
      </c>
      <c r="L270" s="3">
        <v>0</v>
      </c>
      <c r="M270" s="3">
        <v>0</v>
      </c>
      <c r="N270" s="3" t="s">
        <v>1711</v>
      </c>
      <c r="O270" s="3">
        <v>0</v>
      </c>
      <c r="P270" s="3">
        <v>0</v>
      </c>
      <c r="Q270" s="3">
        <v>0</v>
      </c>
      <c r="R270" s="3">
        <v>0</v>
      </c>
      <c r="S270" s="3">
        <v>1</v>
      </c>
      <c r="T270" s="3">
        <v>10</v>
      </c>
      <c r="U270" s="3">
        <v>34</v>
      </c>
      <c r="V270" s="3">
        <v>45</v>
      </c>
      <c r="W270" s="3"/>
      <c r="X270" s="3">
        <v>19.99</v>
      </c>
      <c r="Y270" s="3">
        <v>19.99</v>
      </c>
      <c r="Z270" s="3">
        <v>19.99</v>
      </c>
      <c r="AA270" s="3">
        <v>0</v>
      </c>
      <c r="AB270" s="3" t="s">
        <v>1713</v>
      </c>
      <c r="AC270" s="3">
        <v>23</v>
      </c>
      <c r="AD270" s="3">
        <v>19.99</v>
      </c>
      <c r="AE270" s="3">
        <v>0</v>
      </c>
      <c r="AF270" s="3">
        <v>0</v>
      </c>
      <c r="AG270" s="3">
        <v>0</v>
      </c>
      <c r="AH270" s="3">
        <v>2.43243243243243</v>
      </c>
      <c r="AI270" s="3" t="s">
        <v>2630</v>
      </c>
      <c r="AJ270" s="3" t="s">
        <v>1715</v>
      </c>
    </row>
    <row r="271" spans="1:36">
      <c r="A271" s="4">
        <v>43277</v>
      </c>
      <c r="B271" s="3" t="s">
        <v>2631</v>
      </c>
      <c r="C271" s="3" t="s">
        <v>2632</v>
      </c>
      <c r="D271" s="3" t="s">
        <v>2633</v>
      </c>
      <c r="E271" s="3" t="s">
        <v>2487</v>
      </c>
      <c r="F271" s="3" t="s">
        <v>1710</v>
      </c>
      <c r="G271" s="3">
        <v>5</v>
      </c>
      <c r="H271" s="3">
        <v>0</v>
      </c>
      <c r="I271" s="3">
        <v>0</v>
      </c>
      <c r="J271" s="3">
        <v>0</v>
      </c>
      <c r="K271" s="3">
        <v>5</v>
      </c>
      <c r="L271" s="3">
        <v>0</v>
      </c>
      <c r="M271" s="3">
        <v>0</v>
      </c>
      <c r="N271" s="3" t="s">
        <v>1711</v>
      </c>
      <c r="O271" s="3">
        <v>5</v>
      </c>
      <c r="P271" s="3">
        <v>24.41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1712</v>
      </c>
      <c r="X271" s="3">
        <v>29.99</v>
      </c>
      <c r="Y271" s="3">
        <v>29.99</v>
      </c>
      <c r="Z271" s="3">
        <v>28.99</v>
      </c>
      <c r="AA271" s="3">
        <v>0</v>
      </c>
      <c r="AB271" s="3" t="s">
        <v>1732</v>
      </c>
      <c r="AC271" s="3">
        <v>0</v>
      </c>
      <c r="AD271" s="3">
        <v>25.1</v>
      </c>
      <c r="AE271" s="3">
        <v>49</v>
      </c>
      <c r="AF271" s="3">
        <v>0</v>
      </c>
      <c r="AG271" s="3">
        <v>335.331828</v>
      </c>
      <c r="AH271" s="3">
        <v>0</v>
      </c>
      <c r="AI271" s="3" t="s">
        <v>2094</v>
      </c>
      <c r="AJ271" s="3" t="s">
        <v>1715</v>
      </c>
    </row>
    <row r="272" spans="1:36">
      <c r="A272" s="4">
        <v>43277</v>
      </c>
      <c r="B272" s="3" t="s">
        <v>2634</v>
      </c>
      <c r="C272" s="3" t="s">
        <v>2635</v>
      </c>
      <c r="D272" s="3" t="s">
        <v>2636</v>
      </c>
      <c r="E272" s="3" t="s">
        <v>2637</v>
      </c>
      <c r="F272" s="3" t="s">
        <v>1710</v>
      </c>
      <c r="G272" s="3">
        <v>13</v>
      </c>
      <c r="H272" s="3">
        <v>0</v>
      </c>
      <c r="I272" s="3">
        <v>12</v>
      </c>
      <c r="J272" s="3">
        <v>1</v>
      </c>
      <c r="K272" s="3">
        <v>0</v>
      </c>
      <c r="L272" s="3">
        <v>0</v>
      </c>
      <c r="M272" s="3">
        <v>0</v>
      </c>
      <c r="N272" s="3" t="s">
        <v>1711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5</v>
      </c>
      <c r="V272" s="3">
        <v>6</v>
      </c>
      <c r="W272" s="3" t="s">
        <v>1712</v>
      </c>
      <c r="X272" s="3">
        <v>27.99</v>
      </c>
      <c r="Y272" s="3">
        <v>27.99</v>
      </c>
      <c r="Z272" s="3">
        <v>25.99</v>
      </c>
      <c r="AA272" s="3">
        <v>0</v>
      </c>
      <c r="AB272" s="3" t="s">
        <v>1732</v>
      </c>
      <c r="AC272" s="3">
        <v>0</v>
      </c>
      <c r="AD272" s="3">
        <v>22.39</v>
      </c>
      <c r="AE272" s="3">
        <v>273</v>
      </c>
      <c r="AF272" s="3">
        <v>0</v>
      </c>
      <c r="AG272" s="3">
        <v>401.956031</v>
      </c>
      <c r="AH272" s="3">
        <v>0.615384615384615</v>
      </c>
      <c r="AI272" s="3" t="s">
        <v>1831</v>
      </c>
      <c r="AJ272" s="3" t="s">
        <v>1715</v>
      </c>
    </row>
    <row r="273" spans="1:36">
      <c r="A273" s="4">
        <v>43277</v>
      </c>
      <c r="B273" s="3" t="s">
        <v>1449</v>
      </c>
      <c r="C273" s="3" t="s">
        <v>1450</v>
      </c>
      <c r="D273" s="3" t="s">
        <v>1451</v>
      </c>
      <c r="E273" s="3" t="s">
        <v>1452</v>
      </c>
      <c r="F273" s="3" t="s">
        <v>1710</v>
      </c>
      <c r="G273" s="3">
        <v>7</v>
      </c>
      <c r="H273" s="3">
        <v>0</v>
      </c>
      <c r="I273" s="3">
        <v>7</v>
      </c>
      <c r="J273" s="3">
        <v>0</v>
      </c>
      <c r="K273" s="3">
        <v>0</v>
      </c>
      <c r="L273" s="3">
        <v>0</v>
      </c>
      <c r="M273" s="3">
        <v>0</v>
      </c>
      <c r="N273" s="3" t="s">
        <v>1711</v>
      </c>
      <c r="O273" s="3">
        <v>0</v>
      </c>
      <c r="P273" s="3">
        <v>0</v>
      </c>
      <c r="Q273" s="3">
        <v>0</v>
      </c>
      <c r="R273" s="3">
        <v>0</v>
      </c>
      <c r="S273" s="3">
        <v>6</v>
      </c>
      <c r="T273" s="3">
        <v>16</v>
      </c>
      <c r="U273" s="3">
        <v>34</v>
      </c>
      <c r="V273" s="3">
        <v>51</v>
      </c>
      <c r="W273" s="3"/>
      <c r="X273" s="3">
        <v>25.58</v>
      </c>
      <c r="Y273" s="3">
        <v>25.58</v>
      </c>
      <c r="Z273" s="3">
        <v>25.58</v>
      </c>
      <c r="AA273" s="3">
        <v>0</v>
      </c>
      <c r="AB273" s="3" t="s">
        <v>1713</v>
      </c>
      <c r="AC273" s="3">
        <v>5</v>
      </c>
      <c r="AD273" s="3">
        <v>25.58</v>
      </c>
      <c r="AE273" s="3">
        <v>0</v>
      </c>
      <c r="AF273" s="3">
        <v>0</v>
      </c>
      <c r="AG273" s="3">
        <v>0</v>
      </c>
      <c r="AH273" s="3">
        <v>7.28571428571428</v>
      </c>
      <c r="AI273" s="3" t="s">
        <v>1857</v>
      </c>
      <c r="AJ273" s="3" t="s">
        <v>1715</v>
      </c>
    </row>
    <row r="274" spans="1:36">
      <c r="A274" s="4">
        <v>43277</v>
      </c>
      <c r="B274" s="3" t="s">
        <v>783</v>
      </c>
      <c r="C274" s="3" t="s">
        <v>784</v>
      </c>
      <c r="D274" s="3" t="s">
        <v>785</v>
      </c>
      <c r="E274" s="3" t="s">
        <v>786</v>
      </c>
      <c r="F274" s="3" t="s">
        <v>1710</v>
      </c>
      <c r="G274" s="3">
        <v>13</v>
      </c>
      <c r="H274" s="3">
        <v>0</v>
      </c>
      <c r="I274" s="3">
        <v>13</v>
      </c>
      <c r="J274" s="3">
        <v>0</v>
      </c>
      <c r="K274" s="3">
        <v>0</v>
      </c>
      <c r="L274" s="3">
        <v>0</v>
      </c>
      <c r="M274" s="3">
        <v>0</v>
      </c>
      <c r="N274" s="3" t="s">
        <v>1711</v>
      </c>
      <c r="O274" s="3">
        <v>0</v>
      </c>
      <c r="P274" s="3">
        <v>0</v>
      </c>
      <c r="Q274" s="3">
        <v>0</v>
      </c>
      <c r="R274" s="3">
        <v>0</v>
      </c>
      <c r="S274" s="3">
        <v>8</v>
      </c>
      <c r="T274" s="3">
        <v>23</v>
      </c>
      <c r="U274" s="3">
        <v>32</v>
      </c>
      <c r="V274" s="3">
        <v>69</v>
      </c>
      <c r="W274" s="3"/>
      <c r="X274" s="3">
        <v>38</v>
      </c>
      <c r="Y274" s="3">
        <v>28.58</v>
      </c>
      <c r="Z274" s="3">
        <v>28.58</v>
      </c>
      <c r="AA274" s="3">
        <v>0</v>
      </c>
      <c r="AB274" s="3" t="s">
        <v>1713</v>
      </c>
      <c r="AC274" s="3">
        <v>1</v>
      </c>
      <c r="AD274" s="3">
        <v>28.58</v>
      </c>
      <c r="AE274" s="3">
        <v>0</v>
      </c>
      <c r="AF274" s="3">
        <v>0</v>
      </c>
      <c r="AG274" s="3">
        <v>0</v>
      </c>
      <c r="AH274" s="3">
        <v>6.9</v>
      </c>
      <c r="AI274" s="3" t="s">
        <v>2638</v>
      </c>
      <c r="AJ274" s="3" t="s">
        <v>1715</v>
      </c>
    </row>
    <row r="275" spans="1:36">
      <c r="A275" s="4">
        <v>43277</v>
      </c>
      <c r="B275" s="3" t="s">
        <v>1438</v>
      </c>
      <c r="C275" s="3" t="s">
        <v>1439</v>
      </c>
      <c r="D275" s="3" t="s">
        <v>1440</v>
      </c>
      <c r="E275" s="3" t="s">
        <v>1430</v>
      </c>
      <c r="F275" s="3" t="s">
        <v>1710</v>
      </c>
      <c r="G275" s="3">
        <v>4</v>
      </c>
      <c r="H275" s="3">
        <v>0</v>
      </c>
      <c r="I275" s="3">
        <v>4</v>
      </c>
      <c r="J275" s="3">
        <v>0</v>
      </c>
      <c r="K275" s="3">
        <v>0</v>
      </c>
      <c r="L275" s="3">
        <v>0</v>
      </c>
      <c r="M275" s="3">
        <v>0</v>
      </c>
      <c r="N275" s="3" t="s">
        <v>1711</v>
      </c>
      <c r="O275" s="3">
        <v>0</v>
      </c>
      <c r="P275" s="3">
        <v>0</v>
      </c>
      <c r="Q275" s="3">
        <v>0</v>
      </c>
      <c r="R275" s="3">
        <v>0</v>
      </c>
      <c r="S275" s="3">
        <v>13</v>
      </c>
      <c r="T275" s="3">
        <v>38</v>
      </c>
      <c r="U275" s="3">
        <v>58</v>
      </c>
      <c r="V275" s="3">
        <v>83</v>
      </c>
      <c r="W275" s="3"/>
      <c r="X275" s="3">
        <v>38</v>
      </c>
      <c r="Y275" s="3">
        <v>25.58</v>
      </c>
      <c r="Z275" s="3">
        <v>25.58</v>
      </c>
      <c r="AA275" s="3">
        <v>0</v>
      </c>
      <c r="AB275" s="3" t="s">
        <v>1713</v>
      </c>
      <c r="AC275" s="3">
        <v>9</v>
      </c>
      <c r="AD275" s="3">
        <v>25.58</v>
      </c>
      <c r="AE275" s="3">
        <v>0</v>
      </c>
      <c r="AF275" s="3">
        <v>0</v>
      </c>
      <c r="AG275" s="3">
        <v>0</v>
      </c>
      <c r="AH275" s="3">
        <v>7.21739130434782</v>
      </c>
      <c r="AI275" s="3" t="s">
        <v>1857</v>
      </c>
      <c r="AJ275" s="3" t="s">
        <v>1715</v>
      </c>
    </row>
    <row r="276" spans="1:36">
      <c r="A276" s="4">
        <v>43277</v>
      </c>
      <c r="B276" s="3" t="s">
        <v>2639</v>
      </c>
      <c r="C276" s="3" t="s">
        <v>2640</v>
      </c>
      <c r="D276" s="3" t="s">
        <v>2641</v>
      </c>
      <c r="E276" s="3" t="s">
        <v>1540</v>
      </c>
      <c r="F276" s="3" t="s">
        <v>1710</v>
      </c>
      <c r="G276" s="3">
        <v>20</v>
      </c>
      <c r="H276" s="3">
        <v>0</v>
      </c>
      <c r="I276" s="3">
        <v>20</v>
      </c>
      <c r="J276" s="3">
        <v>0</v>
      </c>
      <c r="K276" s="3">
        <v>0</v>
      </c>
      <c r="L276" s="3">
        <v>0</v>
      </c>
      <c r="M276" s="3">
        <v>0</v>
      </c>
      <c r="N276" s="3" t="s">
        <v>1711</v>
      </c>
      <c r="O276" s="3">
        <v>0</v>
      </c>
      <c r="P276" s="3">
        <v>0</v>
      </c>
      <c r="Q276" s="3">
        <v>0</v>
      </c>
      <c r="R276" s="3">
        <v>0</v>
      </c>
      <c r="S276" s="3">
        <v>1</v>
      </c>
      <c r="T276" s="3">
        <v>9</v>
      </c>
      <c r="U276" s="3">
        <v>13</v>
      </c>
      <c r="V276" s="3">
        <v>22</v>
      </c>
      <c r="W276" s="3"/>
      <c r="X276" s="3">
        <v>40</v>
      </c>
      <c r="Y276" s="3">
        <v>29.99</v>
      </c>
      <c r="Z276" s="3">
        <v>28</v>
      </c>
      <c r="AA276" s="3">
        <v>0</v>
      </c>
      <c r="AB276" s="3" t="s">
        <v>1713</v>
      </c>
      <c r="AC276" s="3">
        <v>9</v>
      </c>
      <c r="AD276" s="3">
        <v>29.99</v>
      </c>
      <c r="AE276" s="3">
        <v>0</v>
      </c>
      <c r="AF276" s="3">
        <v>0</v>
      </c>
      <c r="AG276" s="3">
        <v>0</v>
      </c>
      <c r="AH276" s="3">
        <v>1.76</v>
      </c>
      <c r="AI276" s="3" t="s">
        <v>2642</v>
      </c>
      <c r="AJ276" s="3" t="s">
        <v>2616</v>
      </c>
    </row>
    <row r="277" spans="1:36">
      <c r="A277" s="4">
        <v>43277</v>
      </c>
      <c r="B277" s="3" t="s">
        <v>124</v>
      </c>
      <c r="C277" s="3" t="s">
        <v>125</v>
      </c>
      <c r="D277" s="3" t="s">
        <v>126</v>
      </c>
      <c r="E277" s="3" t="s">
        <v>127</v>
      </c>
      <c r="F277" s="3" t="s">
        <v>1710</v>
      </c>
      <c r="G277" s="3">
        <v>3</v>
      </c>
      <c r="H277" s="3">
        <v>0</v>
      </c>
      <c r="I277" s="3">
        <v>3</v>
      </c>
      <c r="J277" s="3">
        <v>0</v>
      </c>
      <c r="K277" s="3">
        <v>0</v>
      </c>
      <c r="L277" s="3">
        <v>0</v>
      </c>
      <c r="M277" s="3">
        <v>0</v>
      </c>
      <c r="N277" s="3" t="s">
        <v>1711</v>
      </c>
      <c r="O277" s="3">
        <v>0</v>
      </c>
      <c r="P277" s="3">
        <v>0</v>
      </c>
      <c r="Q277" s="3">
        <v>0</v>
      </c>
      <c r="R277" s="3">
        <v>0</v>
      </c>
      <c r="S277" s="3">
        <v>2</v>
      </c>
      <c r="T277" s="3">
        <v>5</v>
      </c>
      <c r="U277" s="3">
        <v>17</v>
      </c>
      <c r="V277" s="3">
        <v>28</v>
      </c>
      <c r="W277" s="3"/>
      <c r="X277" s="3">
        <v>16.99</v>
      </c>
      <c r="Y277" s="3">
        <v>16.99</v>
      </c>
      <c r="Z277" s="3">
        <v>16.99</v>
      </c>
      <c r="AA277" s="3">
        <v>0</v>
      </c>
      <c r="AB277" s="3" t="s">
        <v>1713</v>
      </c>
      <c r="AC277" s="3">
        <v>2</v>
      </c>
      <c r="AD277" s="3">
        <v>16.99</v>
      </c>
      <c r="AE277" s="3">
        <v>0</v>
      </c>
      <c r="AF277" s="3">
        <v>0</v>
      </c>
      <c r="AG277" s="3">
        <v>0</v>
      </c>
      <c r="AH277" s="3">
        <v>4.14814814814814</v>
      </c>
      <c r="AI277" s="3" t="s">
        <v>2643</v>
      </c>
      <c r="AJ277" s="3" t="s">
        <v>1715</v>
      </c>
    </row>
    <row r="278" spans="1:36">
      <c r="A278" s="4">
        <v>43277</v>
      </c>
      <c r="B278" s="3" t="s">
        <v>2644</v>
      </c>
      <c r="C278" s="3" t="s">
        <v>2645</v>
      </c>
      <c r="D278" s="3" t="s">
        <v>2646</v>
      </c>
      <c r="E278" s="3" t="s">
        <v>2647</v>
      </c>
      <c r="F278" s="3" t="s">
        <v>1710</v>
      </c>
      <c r="G278" s="3">
        <v>1</v>
      </c>
      <c r="H278" s="3">
        <v>0</v>
      </c>
      <c r="I278" s="3">
        <v>1</v>
      </c>
      <c r="J278" s="3">
        <v>0</v>
      </c>
      <c r="K278" s="3">
        <v>0</v>
      </c>
      <c r="L278" s="3">
        <v>0</v>
      </c>
      <c r="M278" s="3">
        <v>0</v>
      </c>
      <c r="N278" s="3" t="s">
        <v>1711</v>
      </c>
      <c r="O278" s="3">
        <v>0</v>
      </c>
      <c r="P278" s="3">
        <v>0</v>
      </c>
      <c r="Q278" s="3">
        <v>0</v>
      </c>
      <c r="R278" s="3">
        <v>0</v>
      </c>
      <c r="S278" s="3">
        <v>1</v>
      </c>
      <c r="T278" s="3">
        <v>1</v>
      </c>
      <c r="U278" s="3">
        <v>1</v>
      </c>
      <c r="V278" s="3">
        <v>1</v>
      </c>
      <c r="W278" s="3" t="s">
        <v>1712</v>
      </c>
      <c r="X278" s="3">
        <v>19.99</v>
      </c>
      <c r="Y278" s="3">
        <v>19.99</v>
      </c>
      <c r="Z278" s="3">
        <v>19.99</v>
      </c>
      <c r="AA278" s="3">
        <v>0</v>
      </c>
      <c r="AB278" s="3" t="s">
        <v>1732</v>
      </c>
      <c r="AC278" s="3">
        <v>0</v>
      </c>
      <c r="AD278" s="3">
        <v>15.99</v>
      </c>
      <c r="AE278" s="3">
        <v>63</v>
      </c>
      <c r="AF278" s="3">
        <v>0</v>
      </c>
      <c r="AG278" s="3">
        <v>28.204907</v>
      </c>
      <c r="AH278" s="3">
        <v>1</v>
      </c>
      <c r="AI278" s="3" t="s">
        <v>2565</v>
      </c>
      <c r="AJ278" s="3" t="s">
        <v>1715</v>
      </c>
    </row>
    <row r="279" spans="1:36">
      <c r="A279" s="4">
        <v>43277</v>
      </c>
      <c r="B279" s="3" t="s">
        <v>2648</v>
      </c>
      <c r="C279" s="3" t="s">
        <v>2649</v>
      </c>
      <c r="D279" s="3" t="s">
        <v>2650</v>
      </c>
      <c r="E279" s="3" t="s">
        <v>2651</v>
      </c>
      <c r="F279" s="3" t="s">
        <v>1710</v>
      </c>
      <c r="G279" s="3">
        <v>10</v>
      </c>
      <c r="H279" s="3">
        <v>0</v>
      </c>
      <c r="I279" s="3">
        <v>10</v>
      </c>
      <c r="J279" s="3">
        <v>0</v>
      </c>
      <c r="K279" s="3">
        <v>0</v>
      </c>
      <c r="L279" s="3">
        <v>0</v>
      </c>
      <c r="M279" s="3">
        <v>0</v>
      </c>
      <c r="N279" s="3" t="s">
        <v>1711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1712</v>
      </c>
      <c r="X279" s="3">
        <v>19.99</v>
      </c>
      <c r="Y279" s="3">
        <v>19.99</v>
      </c>
      <c r="Z279" s="3">
        <v>19.99</v>
      </c>
      <c r="AA279" s="3">
        <v>0</v>
      </c>
      <c r="AB279" s="3" t="s">
        <v>1713</v>
      </c>
      <c r="AC279" s="3">
        <v>10</v>
      </c>
      <c r="AD279" s="3">
        <v>19.99</v>
      </c>
      <c r="AE279" s="3">
        <v>0</v>
      </c>
      <c r="AF279" s="3">
        <v>0</v>
      </c>
      <c r="AG279" s="3">
        <v>0</v>
      </c>
      <c r="AH279" s="3">
        <v>0</v>
      </c>
      <c r="AI279" s="3" t="s">
        <v>1775</v>
      </c>
      <c r="AJ279" s="3" t="s">
        <v>1715</v>
      </c>
    </row>
    <row r="280" spans="1:36">
      <c r="A280" s="4">
        <v>43277</v>
      </c>
      <c r="B280" s="3" t="s">
        <v>2652</v>
      </c>
      <c r="C280" s="3" t="s">
        <v>2653</v>
      </c>
      <c r="D280" s="3" t="s">
        <v>2654</v>
      </c>
      <c r="E280" s="3" t="s">
        <v>2655</v>
      </c>
      <c r="F280" s="3" t="s">
        <v>1710</v>
      </c>
      <c r="G280" s="3">
        <v>2</v>
      </c>
      <c r="H280" s="3">
        <v>0</v>
      </c>
      <c r="I280" s="3">
        <v>2</v>
      </c>
      <c r="J280" s="3">
        <v>0</v>
      </c>
      <c r="K280" s="3">
        <v>0</v>
      </c>
      <c r="L280" s="3">
        <v>0</v>
      </c>
      <c r="M280" s="3">
        <v>0</v>
      </c>
      <c r="N280" s="3" t="s">
        <v>1711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1</v>
      </c>
      <c r="U280" s="3">
        <v>3</v>
      </c>
      <c r="V280" s="3">
        <v>3</v>
      </c>
      <c r="W280" s="3"/>
      <c r="X280" s="3">
        <v>15.99</v>
      </c>
      <c r="Y280" s="3">
        <v>15.99</v>
      </c>
      <c r="Z280" s="3">
        <v>15.99</v>
      </c>
      <c r="AA280" s="3">
        <v>0</v>
      </c>
      <c r="AB280" s="3" t="s">
        <v>1713</v>
      </c>
      <c r="AC280" s="3">
        <v>2</v>
      </c>
      <c r="AD280" s="3">
        <v>15.99</v>
      </c>
      <c r="AE280" s="3">
        <v>0</v>
      </c>
      <c r="AF280" s="3">
        <v>0</v>
      </c>
      <c r="AG280" s="3">
        <v>0</v>
      </c>
      <c r="AH280" s="3">
        <v>1.79999999999999</v>
      </c>
      <c r="AI280" s="3" t="s">
        <v>1905</v>
      </c>
      <c r="AJ280" s="3" t="s">
        <v>1715</v>
      </c>
    </row>
    <row r="281" spans="1:36">
      <c r="A281" s="4">
        <v>43277</v>
      </c>
      <c r="B281" s="3" t="s">
        <v>2656</v>
      </c>
      <c r="C281" s="3" t="s">
        <v>2657</v>
      </c>
      <c r="D281" s="3" t="s">
        <v>2658</v>
      </c>
      <c r="E281" s="3" t="s">
        <v>263</v>
      </c>
      <c r="F281" s="3" t="s">
        <v>1710</v>
      </c>
      <c r="G281" s="3">
        <v>38</v>
      </c>
      <c r="H281" s="3">
        <v>0</v>
      </c>
      <c r="I281" s="3">
        <v>15</v>
      </c>
      <c r="J281" s="3">
        <v>23</v>
      </c>
      <c r="K281" s="3">
        <v>0</v>
      </c>
      <c r="L281" s="3">
        <v>0</v>
      </c>
      <c r="M281" s="3">
        <v>0</v>
      </c>
      <c r="N281" s="3" t="s">
        <v>1711</v>
      </c>
      <c r="O281" s="3">
        <v>0</v>
      </c>
      <c r="P281" s="3">
        <v>0</v>
      </c>
      <c r="Q281" s="3">
        <v>0</v>
      </c>
      <c r="R281" s="3">
        <v>0</v>
      </c>
      <c r="S281" s="3">
        <v>1</v>
      </c>
      <c r="T281" s="3">
        <v>5</v>
      </c>
      <c r="U281" s="3">
        <v>7</v>
      </c>
      <c r="V281" s="3">
        <v>27</v>
      </c>
      <c r="W281" s="3"/>
      <c r="X281" s="3">
        <v>59.99</v>
      </c>
      <c r="Y281" s="3">
        <v>27.99</v>
      </c>
      <c r="Z281" s="3">
        <v>25.99</v>
      </c>
      <c r="AA281" s="3">
        <v>0</v>
      </c>
      <c r="AB281" s="3" t="s">
        <v>1732</v>
      </c>
      <c r="AC281" s="3">
        <v>0</v>
      </c>
      <c r="AD281" s="3">
        <v>20.57</v>
      </c>
      <c r="AE281" s="3">
        <v>175</v>
      </c>
      <c r="AF281" s="3">
        <v>0</v>
      </c>
      <c r="AG281" s="3">
        <v>1659.500448</v>
      </c>
      <c r="AH281" s="3">
        <v>0.642857142857142</v>
      </c>
      <c r="AI281" s="3" t="s">
        <v>2094</v>
      </c>
      <c r="AJ281" s="3" t="s">
        <v>1715</v>
      </c>
    </row>
    <row r="282" spans="1:36">
      <c r="A282" s="4">
        <v>43277</v>
      </c>
      <c r="B282" s="3" t="s">
        <v>2659</v>
      </c>
      <c r="C282" s="3" t="s">
        <v>2660</v>
      </c>
      <c r="D282" s="3" t="s">
        <v>2661</v>
      </c>
      <c r="E282" s="3" t="s">
        <v>2662</v>
      </c>
      <c r="F282" s="3" t="s">
        <v>1710</v>
      </c>
      <c r="G282" s="3">
        <v>10</v>
      </c>
      <c r="H282" s="3">
        <v>0</v>
      </c>
      <c r="I282" s="3">
        <v>10</v>
      </c>
      <c r="J282" s="3">
        <v>0</v>
      </c>
      <c r="K282" s="3">
        <v>0</v>
      </c>
      <c r="L282" s="3">
        <v>0</v>
      </c>
      <c r="M282" s="3">
        <v>0</v>
      </c>
      <c r="N282" s="3" t="s">
        <v>1711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2</v>
      </c>
      <c r="U282" s="3">
        <v>12</v>
      </c>
      <c r="V282" s="3">
        <v>12</v>
      </c>
      <c r="W282" s="3" t="s">
        <v>1712</v>
      </c>
      <c r="X282" s="3">
        <v>15.99</v>
      </c>
      <c r="Y282" s="3">
        <v>15.99</v>
      </c>
      <c r="Z282" s="3">
        <v>15.99</v>
      </c>
      <c r="AA282" s="3">
        <v>0</v>
      </c>
      <c r="AB282" s="3" t="s">
        <v>1713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3.27272727272727</v>
      </c>
      <c r="AI282" s="3" t="s">
        <v>2082</v>
      </c>
      <c r="AJ282" s="3" t="s">
        <v>1715</v>
      </c>
    </row>
    <row r="283" spans="1:36">
      <c r="A283" s="4">
        <v>43277</v>
      </c>
      <c r="B283" s="3" t="s">
        <v>2663</v>
      </c>
      <c r="C283" s="3" t="s">
        <v>2664</v>
      </c>
      <c r="D283" s="3" t="s">
        <v>2665</v>
      </c>
      <c r="E283" s="3" t="s">
        <v>654</v>
      </c>
      <c r="F283" s="3" t="s">
        <v>1710</v>
      </c>
      <c r="G283" s="3">
        <v>6</v>
      </c>
      <c r="H283" s="3">
        <v>0</v>
      </c>
      <c r="I283" s="3">
        <v>0</v>
      </c>
      <c r="J283" s="3">
        <v>0</v>
      </c>
      <c r="K283" s="3">
        <v>0</v>
      </c>
      <c r="L283" s="3">
        <v>6</v>
      </c>
      <c r="M283" s="3">
        <v>0</v>
      </c>
      <c r="N283" s="3" t="s">
        <v>1711</v>
      </c>
      <c r="O283" s="3">
        <v>1</v>
      </c>
      <c r="P283" s="3">
        <v>1.7</v>
      </c>
      <c r="Q283" s="3">
        <v>5</v>
      </c>
      <c r="R283" s="3">
        <v>17.03</v>
      </c>
      <c r="S283" s="3">
        <v>0</v>
      </c>
      <c r="T283" s="3">
        <v>1</v>
      </c>
      <c r="U283" s="3">
        <v>2</v>
      </c>
      <c r="V283" s="3">
        <v>3</v>
      </c>
      <c r="W283" s="3" t="s">
        <v>1720</v>
      </c>
      <c r="X283" s="3">
        <v>18.99</v>
      </c>
      <c r="Y283" s="3">
        <v>18.99</v>
      </c>
      <c r="Z283" s="3">
        <v>18.99</v>
      </c>
      <c r="AA283" s="3">
        <v>0</v>
      </c>
      <c r="AB283" s="3" t="s">
        <v>1721</v>
      </c>
      <c r="AC283" s="3">
        <v>0</v>
      </c>
      <c r="AD283" s="3">
        <v>17.58</v>
      </c>
      <c r="AE283" s="3">
        <v>49</v>
      </c>
      <c r="AF283" s="3">
        <v>0</v>
      </c>
      <c r="AG283" s="3">
        <v>178.360411</v>
      </c>
      <c r="AH283" s="3">
        <v>0.387096774193548</v>
      </c>
      <c r="AI283" s="3" t="s">
        <v>2666</v>
      </c>
      <c r="AJ283" s="3" t="s">
        <v>1715</v>
      </c>
    </row>
    <row r="284" spans="1:36">
      <c r="A284" s="4">
        <v>43277</v>
      </c>
      <c r="B284" s="3" t="s">
        <v>867</v>
      </c>
      <c r="C284" s="3" t="s">
        <v>868</v>
      </c>
      <c r="D284" s="3" t="s">
        <v>869</v>
      </c>
      <c r="E284" s="3" t="s">
        <v>870</v>
      </c>
      <c r="F284" s="3" t="s">
        <v>1710</v>
      </c>
      <c r="G284" s="3">
        <v>12</v>
      </c>
      <c r="H284" s="3">
        <v>0</v>
      </c>
      <c r="I284" s="3">
        <v>12</v>
      </c>
      <c r="J284" s="3">
        <v>0</v>
      </c>
      <c r="K284" s="3">
        <v>0</v>
      </c>
      <c r="L284" s="3">
        <v>0</v>
      </c>
      <c r="M284" s="3">
        <v>0</v>
      </c>
      <c r="N284" s="3" t="s">
        <v>1711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8</v>
      </c>
      <c r="U284" s="3">
        <v>8</v>
      </c>
      <c r="V284" s="3">
        <v>8</v>
      </c>
      <c r="W284" s="3"/>
      <c r="X284" s="3">
        <v>15.99</v>
      </c>
      <c r="Y284" s="3">
        <v>15.99</v>
      </c>
      <c r="Z284" s="3">
        <v>15.99</v>
      </c>
      <c r="AA284" s="3">
        <v>0</v>
      </c>
      <c r="AB284" s="3" t="s">
        <v>1713</v>
      </c>
      <c r="AC284" s="3">
        <v>12</v>
      </c>
      <c r="AD284" s="3">
        <v>15.99</v>
      </c>
      <c r="AE284" s="3">
        <v>0</v>
      </c>
      <c r="AF284" s="3">
        <v>0</v>
      </c>
      <c r="AG284" s="3">
        <v>0</v>
      </c>
      <c r="AH284" s="3">
        <v>0.592592592592592</v>
      </c>
      <c r="AI284" s="3" t="s">
        <v>1881</v>
      </c>
      <c r="AJ284" s="3" t="s">
        <v>1715</v>
      </c>
    </row>
    <row r="285" spans="1:36">
      <c r="A285" s="4">
        <v>43277</v>
      </c>
      <c r="B285" s="3" t="s">
        <v>539</v>
      </c>
      <c r="C285" s="3" t="s">
        <v>540</v>
      </c>
      <c r="D285" s="3" t="s">
        <v>541</v>
      </c>
      <c r="E285" s="3" t="s">
        <v>542</v>
      </c>
      <c r="F285" s="3" t="s">
        <v>1710</v>
      </c>
      <c r="G285" s="3">
        <v>75</v>
      </c>
      <c r="H285" s="3">
        <v>0</v>
      </c>
      <c r="I285" s="3">
        <v>75</v>
      </c>
      <c r="J285" s="3">
        <v>0</v>
      </c>
      <c r="K285" s="3">
        <v>0</v>
      </c>
      <c r="L285" s="3">
        <v>0</v>
      </c>
      <c r="M285" s="3">
        <v>0</v>
      </c>
      <c r="N285" s="3" t="s">
        <v>1711</v>
      </c>
      <c r="O285" s="3">
        <v>0</v>
      </c>
      <c r="P285" s="3">
        <v>0</v>
      </c>
      <c r="Q285" s="3">
        <v>0</v>
      </c>
      <c r="R285" s="3">
        <v>0</v>
      </c>
      <c r="S285" s="3">
        <v>7</v>
      </c>
      <c r="T285" s="3">
        <v>31</v>
      </c>
      <c r="U285" s="3">
        <v>54</v>
      </c>
      <c r="V285" s="3">
        <v>75</v>
      </c>
      <c r="W285" s="3"/>
      <c r="X285" s="3">
        <v>38</v>
      </c>
      <c r="Y285" s="3">
        <v>28.58</v>
      </c>
      <c r="Z285" s="3">
        <v>28</v>
      </c>
      <c r="AA285" s="3">
        <v>0</v>
      </c>
      <c r="AB285" s="3" t="s">
        <v>1713</v>
      </c>
      <c r="AC285" s="3">
        <v>0</v>
      </c>
      <c r="AD285" s="3">
        <v>0</v>
      </c>
      <c r="AE285" s="3">
        <v>0</v>
      </c>
      <c r="AF285" s="3">
        <v>0</v>
      </c>
      <c r="AG285" s="3">
        <v>0</v>
      </c>
      <c r="AH285" s="3">
        <v>2.56410256410256</v>
      </c>
      <c r="AI285" s="3" t="s">
        <v>1801</v>
      </c>
      <c r="AJ285" s="3" t="s">
        <v>1715</v>
      </c>
    </row>
    <row r="286" spans="1:36">
      <c r="A286" s="4">
        <v>43277</v>
      </c>
      <c r="B286" s="3" t="s">
        <v>2667</v>
      </c>
      <c r="C286" s="3" t="s">
        <v>2668</v>
      </c>
      <c r="D286" s="3" t="s">
        <v>2669</v>
      </c>
      <c r="E286" s="3" t="s">
        <v>2670</v>
      </c>
      <c r="F286" s="3" t="s">
        <v>1710</v>
      </c>
      <c r="G286" s="3">
        <v>78</v>
      </c>
      <c r="H286" s="3">
        <v>0</v>
      </c>
      <c r="I286" s="3">
        <v>6</v>
      </c>
      <c r="J286" s="3">
        <v>16</v>
      </c>
      <c r="K286" s="3">
        <v>56</v>
      </c>
      <c r="L286" s="3">
        <v>0</v>
      </c>
      <c r="M286" s="3">
        <v>0</v>
      </c>
      <c r="N286" s="3" t="s">
        <v>1711</v>
      </c>
      <c r="O286" s="3">
        <v>67</v>
      </c>
      <c r="P286" s="3">
        <v>40.1</v>
      </c>
      <c r="Q286" s="3">
        <v>0</v>
      </c>
      <c r="R286" s="3">
        <v>0</v>
      </c>
      <c r="S286" s="3">
        <v>0</v>
      </c>
      <c r="T286" s="3">
        <v>0</v>
      </c>
      <c r="U286" s="3">
        <v>3</v>
      </c>
      <c r="V286" s="3">
        <v>9</v>
      </c>
      <c r="W286" s="3" t="s">
        <v>1712</v>
      </c>
      <c r="X286" s="3">
        <v>16.99</v>
      </c>
      <c r="Y286" s="3">
        <v>16.99</v>
      </c>
      <c r="Z286" s="3">
        <v>16</v>
      </c>
      <c r="AA286" s="3">
        <v>0</v>
      </c>
      <c r="AB286" s="3" t="s">
        <v>1732</v>
      </c>
      <c r="AC286" s="3">
        <v>12</v>
      </c>
      <c r="AD286" s="3">
        <v>15.9</v>
      </c>
      <c r="AE286" s="3">
        <v>91</v>
      </c>
      <c r="AF286" s="3">
        <v>0</v>
      </c>
      <c r="AG286" s="3">
        <v>1281.356014</v>
      </c>
      <c r="AH286" s="3">
        <v>0.0471204188481675</v>
      </c>
      <c r="AI286" s="3" t="s">
        <v>1905</v>
      </c>
      <c r="AJ286" s="3" t="s">
        <v>1715</v>
      </c>
    </row>
    <row r="287" spans="1:36">
      <c r="A287" s="4">
        <v>43277</v>
      </c>
      <c r="B287" s="3" t="s">
        <v>2671</v>
      </c>
      <c r="C287" s="3" t="s">
        <v>2672</v>
      </c>
      <c r="D287" s="3" t="s">
        <v>2673</v>
      </c>
      <c r="E287" s="3" t="s">
        <v>1755</v>
      </c>
      <c r="F287" s="3" t="s">
        <v>1710</v>
      </c>
      <c r="G287" s="3">
        <v>10</v>
      </c>
      <c r="H287" s="3">
        <v>0</v>
      </c>
      <c r="I287" s="3">
        <v>10</v>
      </c>
      <c r="J287" s="3">
        <v>0</v>
      </c>
      <c r="K287" s="3">
        <v>0</v>
      </c>
      <c r="L287" s="3">
        <v>0</v>
      </c>
      <c r="M287" s="3">
        <v>0</v>
      </c>
      <c r="N287" s="3" t="s">
        <v>1711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1720</v>
      </c>
      <c r="X287" s="3">
        <v>15.99</v>
      </c>
      <c r="Y287" s="3">
        <v>15.99</v>
      </c>
      <c r="Z287" s="3">
        <v>15.99</v>
      </c>
      <c r="AA287" s="3">
        <v>0</v>
      </c>
      <c r="AB287" s="3" t="s">
        <v>1721</v>
      </c>
      <c r="AC287" s="3">
        <v>10</v>
      </c>
      <c r="AD287" s="3">
        <v>15.99</v>
      </c>
      <c r="AE287" s="3">
        <v>0</v>
      </c>
      <c r="AF287" s="3">
        <v>0</v>
      </c>
      <c r="AG287" s="3">
        <v>0</v>
      </c>
      <c r="AH287" s="3">
        <v>0</v>
      </c>
      <c r="AI287" s="3" t="s">
        <v>1756</v>
      </c>
      <c r="AJ287" s="3" t="s">
        <v>1715</v>
      </c>
    </row>
    <row r="288" spans="1:36">
      <c r="A288" s="4">
        <v>43277</v>
      </c>
      <c r="B288" s="3" t="s">
        <v>2674</v>
      </c>
      <c r="C288" s="3" t="s">
        <v>2675</v>
      </c>
      <c r="D288" s="3" t="s">
        <v>2676</v>
      </c>
      <c r="E288" s="3" t="s">
        <v>2677</v>
      </c>
      <c r="F288" s="3" t="s">
        <v>1710</v>
      </c>
      <c r="G288" s="3">
        <v>11</v>
      </c>
      <c r="H288" s="3">
        <v>0</v>
      </c>
      <c r="I288" s="3">
        <v>5</v>
      </c>
      <c r="J288" s="3">
        <v>6</v>
      </c>
      <c r="K288" s="3">
        <v>0</v>
      </c>
      <c r="L288" s="3">
        <v>0</v>
      </c>
      <c r="M288" s="3">
        <v>0</v>
      </c>
      <c r="N288" s="3" t="s">
        <v>1711</v>
      </c>
      <c r="O288" s="3">
        <v>1</v>
      </c>
      <c r="P288" s="3">
        <v>0.2</v>
      </c>
      <c r="Q288" s="3">
        <v>0</v>
      </c>
      <c r="R288" s="3">
        <v>0</v>
      </c>
      <c r="S288" s="3">
        <v>2</v>
      </c>
      <c r="T288" s="3">
        <v>10</v>
      </c>
      <c r="U288" s="3">
        <v>15</v>
      </c>
      <c r="V288" s="3">
        <v>19</v>
      </c>
      <c r="W288" s="3"/>
      <c r="X288" s="3">
        <v>28.99</v>
      </c>
      <c r="Y288" s="3">
        <v>14.99</v>
      </c>
      <c r="Z288" s="3">
        <v>14.99</v>
      </c>
      <c r="AA288" s="3">
        <v>0</v>
      </c>
      <c r="AB288" s="3" t="s">
        <v>1713</v>
      </c>
      <c r="AC288" s="3">
        <v>12</v>
      </c>
      <c r="AD288" s="3">
        <v>14.99</v>
      </c>
      <c r="AE288" s="3">
        <v>0</v>
      </c>
      <c r="AF288" s="3">
        <v>0</v>
      </c>
      <c r="AG288" s="3">
        <v>0</v>
      </c>
      <c r="AH288" s="3">
        <v>0.938271604938271</v>
      </c>
      <c r="AI288" s="3" t="s">
        <v>2467</v>
      </c>
      <c r="AJ288" s="3" t="s">
        <v>1715</v>
      </c>
    </row>
    <row r="289" spans="1:36">
      <c r="A289" s="4">
        <v>43277</v>
      </c>
      <c r="B289" s="3" t="s">
        <v>2678</v>
      </c>
      <c r="C289" s="3" t="s">
        <v>2679</v>
      </c>
      <c r="D289" s="3" t="s">
        <v>2680</v>
      </c>
      <c r="E289" s="3" t="s">
        <v>2681</v>
      </c>
      <c r="F289" s="3" t="s">
        <v>1710</v>
      </c>
      <c r="G289" s="3">
        <v>9</v>
      </c>
      <c r="H289" s="3">
        <v>0</v>
      </c>
      <c r="I289" s="3">
        <v>0</v>
      </c>
      <c r="J289" s="3">
        <v>0</v>
      </c>
      <c r="K289" s="3">
        <v>9</v>
      </c>
      <c r="L289" s="3">
        <v>0</v>
      </c>
      <c r="M289" s="3">
        <v>0</v>
      </c>
      <c r="N289" s="3" t="s">
        <v>1711</v>
      </c>
      <c r="O289" s="3">
        <v>9</v>
      </c>
      <c r="P289" s="3">
        <v>14.07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1720</v>
      </c>
      <c r="X289" s="3">
        <v>18.99</v>
      </c>
      <c r="Y289" s="3">
        <v>18.99</v>
      </c>
      <c r="Z289" s="3">
        <v>18.99</v>
      </c>
      <c r="AA289" s="3">
        <v>0</v>
      </c>
      <c r="AB289" s="3" t="s">
        <v>1732</v>
      </c>
      <c r="AC289" s="3">
        <v>0</v>
      </c>
      <c r="AD289" s="3">
        <v>17.58</v>
      </c>
      <c r="AE289" s="3">
        <v>49</v>
      </c>
      <c r="AF289" s="3">
        <v>0</v>
      </c>
      <c r="AG289" s="3">
        <v>257.317812</v>
      </c>
      <c r="AH289" s="3">
        <v>0</v>
      </c>
      <c r="AI289" s="3" t="s">
        <v>2002</v>
      </c>
      <c r="AJ289" s="3" t="s">
        <v>1715</v>
      </c>
    </row>
    <row r="290" spans="1:36">
      <c r="A290" s="4">
        <v>43277</v>
      </c>
      <c r="B290" s="3" t="s">
        <v>2682</v>
      </c>
      <c r="C290" s="3" t="s">
        <v>2683</v>
      </c>
      <c r="D290" s="3" t="s">
        <v>2684</v>
      </c>
      <c r="E290" s="3" t="s">
        <v>2685</v>
      </c>
      <c r="F290" s="3" t="s">
        <v>1710</v>
      </c>
      <c r="G290" s="3">
        <v>21</v>
      </c>
      <c r="H290" s="3">
        <v>0</v>
      </c>
      <c r="I290" s="3">
        <v>21</v>
      </c>
      <c r="J290" s="3">
        <v>0</v>
      </c>
      <c r="K290" s="3">
        <v>0</v>
      </c>
      <c r="L290" s="3">
        <v>0</v>
      </c>
      <c r="M290" s="3">
        <v>0</v>
      </c>
      <c r="N290" s="3" t="s">
        <v>1711</v>
      </c>
      <c r="O290" s="3">
        <v>0</v>
      </c>
      <c r="P290" s="3">
        <v>0</v>
      </c>
      <c r="Q290" s="3">
        <v>0</v>
      </c>
      <c r="R290" s="3">
        <v>0</v>
      </c>
      <c r="S290" s="3">
        <v>2</v>
      </c>
      <c r="T290" s="3">
        <v>3</v>
      </c>
      <c r="U290" s="3">
        <v>4</v>
      </c>
      <c r="V290" s="3">
        <v>4</v>
      </c>
      <c r="W290" s="3" t="s">
        <v>1712</v>
      </c>
      <c r="X290" s="3">
        <v>15.99</v>
      </c>
      <c r="Y290" s="3">
        <v>15.99</v>
      </c>
      <c r="Z290" s="3">
        <v>15.99</v>
      </c>
      <c r="AA290" s="3">
        <v>0</v>
      </c>
      <c r="AB290" s="3" t="s">
        <v>1713</v>
      </c>
      <c r="AC290" s="3">
        <v>22</v>
      </c>
      <c r="AD290" s="3">
        <v>15.99</v>
      </c>
      <c r="AE290" s="3">
        <v>0</v>
      </c>
      <c r="AF290" s="3">
        <v>0</v>
      </c>
      <c r="AG290" s="3">
        <v>0</v>
      </c>
      <c r="AH290" s="3">
        <v>0.2</v>
      </c>
      <c r="AI290" s="3" t="s">
        <v>1739</v>
      </c>
      <c r="AJ290" s="3" t="s">
        <v>1715</v>
      </c>
    </row>
    <row r="291" spans="1:36">
      <c r="A291" s="4">
        <v>43277</v>
      </c>
      <c r="B291" s="3" t="s">
        <v>2686</v>
      </c>
      <c r="C291" s="3" t="s">
        <v>2687</v>
      </c>
      <c r="D291" s="3" t="s">
        <v>2688</v>
      </c>
      <c r="E291" s="3" t="s">
        <v>2689</v>
      </c>
      <c r="F291" s="3" t="s">
        <v>1710</v>
      </c>
      <c r="G291" s="3">
        <v>16</v>
      </c>
      <c r="H291" s="3">
        <v>0</v>
      </c>
      <c r="I291" s="3">
        <v>1</v>
      </c>
      <c r="J291" s="3">
        <v>15</v>
      </c>
      <c r="K291" s="3">
        <v>0</v>
      </c>
      <c r="L291" s="3">
        <v>0</v>
      </c>
      <c r="M291" s="3">
        <v>0</v>
      </c>
      <c r="N291" s="3" t="s">
        <v>1711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1</v>
      </c>
      <c r="U291" s="3">
        <v>2</v>
      </c>
      <c r="V291" s="3">
        <v>3</v>
      </c>
      <c r="W291" s="3"/>
      <c r="X291" s="3">
        <v>38</v>
      </c>
      <c r="Y291" s="3">
        <v>28.58</v>
      </c>
      <c r="Z291" s="3">
        <v>28</v>
      </c>
      <c r="AA291" s="3">
        <v>0</v>
      </c>
      <c r="AB291" s="3" t="s">
        <v>1732</v>
      </c>
      <c r="AC291" s="3">
        <v>0</v>
      </c>
      <c r="AD291" s="3">
        <v>24.97</v>
      </c>
      <c r="AE291" s="3">
        <v>287</v>
      </c>
      <c r="AF291" s="3">
        <v>0</v>
      </c>
      <c r="AG291" s="3">
        <v>312.690621</v>
      </c>
      <c r="AH291" s="3">
        <v>0.206896551724137</v>
      </c>
      <c r="AI291" s="3" t="s">
        <v>2128</v>
      </c>
      <c r="AJ291" s="3" t="s">
        <v>1715</v>
      </c>
    </row>
    <row r="292" spans="1:36">
      <c r="A292" s="4">
        <v>43277</v>
      </c>
      <c r="B292" s="3" t="s">
        <v>2690</v>
      </c>
      <c r="C292" s="3" t="s">
        <v>2691</v>
      </c>
      <c r="D292" s="3" t="s">
        <v>2692</v>
      </c>
      <c r="E292" s="3" t="s">
        <v>2693</v>
      </c>
      <c r="F292" s="3" t="s">
        <v>1710</v>
      </c>
      <c r="G292" s="3">
        <v>6</v>
      </c>
      <c r="H292" s="3">
        <v>0</v>
      </c>
      <c r="I292" s="3">
        <v>3</v>
      </c>
      <c r="J292" s="3">
        <v>2</v>
      </c>
      <c r="K292" s="3">
        <v>0</v>
      </c>
      <c r="L292" s="3">
        <v>0</v>
      </c>
      <c r="M292" s="3">
        <v>1</v>
      </c>
      <c r="N292" s="3" t="s">
        <v>1711</v>
      </c>
      <c r="O292" s="3">
        <v>0</v>
      </c>
      <c r="P292" s="3">
        <v>0</v>
      </c>
      <c r="Q292" s="3">
        <v>1</v>
      </c>
      <c r="R292" s="3">
        <v>1.37</v>
      </c>
      <c r="S292" s="3">
        <v>0</v>
      </c>
      <c r="T292" s="3">
        <v>0</v>
      </c>
      <c r="U292" s="3">
        <v>0</v>
      </c>
      <c r="V292" s="3">
        <v>0</v>
      </c>
      <c r="W292" s="3" t="s">
        <v>1712</v>
      </c>
      <c r="X292" s="3">
        <v>20.99</v>
      </c>
      <c r="Y292" s="3">
        <v>20.99</v>
      </c>
      <c r="Z292" s="3">
        <v>20.99</v>
      </c>
      <c r="AA292" s="3">
        <v>0</v>
      </c>
      <c r="AB292" s="3" t="s">
        <v>1713</v>
      </c>
      <c r="AC292" s="3">
        <v>6</v>
      </c>
      <c r="AD292" s="3">
        <v>20.99</v>
      </c>
      <c r="AE292" s="3">
        <v>0</v>
      </c>
      <c r="AF292" s="3">
        <v>0</v>
      </c>
      <c r="AG292" s="3">
        <v>0</v>
      </c>
      <c r="AH292" s="3">
        <v>0</v>
      </c>
      <c r="AI292" s="3" t="s">
        <v>1914</v>
      </c>
      <c r="AJ292" s="3" t="s">
        <v>1715</v>
      </c>
    </row>
    <row r="293" spans="1:36">
      <c r="A293" s="4">
        <v>43277</v>
      </c>
      <c r="B293" s="3" t="s">
        <v>823</v>
      </c>
      <c r="C293" s="3" t="s">
        <v>824</v>
      </c>
      <c r="D293" s="3" t="s">
        <v>825</v>
      </c>
      <c r="E293" s="3" t="s">
        <v>826</v>
      </c>
      <c r="F293" s="3" t="s">
        <v>1710</v>
      </c>
      <c r="G293" s="3">
        <v>22</v>
      </c>
      <c r="H293" s="3">
        <v>0</v>
      </c>
      <c r="I293" s="3">
        <v>22</v>
      </c>
      <c r="J293" s="3">
        <v>0</v>
      </c>
      <c r="K293" s="3">
        <v>0</v>
      </c>
      <c r="L293" s="3">
        <v>0</v>
      </c>
      <c r="M293" s="3">
        <v>0</v>
      </c>
      <c r="N293" s="3" t="s">
        <v>1711</v>
      </c>
      <c r="O293" s="3">
        <v>0</v>
      </c>
      <c r="P293" s="3">
        <v>0</v>
      </c>
      <c r="Q293" s="3">
        <v>0</v>
      </c>
      <c r="R293" s="3">
        <v>0</v>
      </c>
      <c r="S293" s="3">
        <v>4</v>
      </c>
      <c r="T293" s="3">
        <v>15</v>
      </c>
      <c r="U293" s="3">
        <v>33</v>
      </c>
      <c r="V293" s="3">
        <v>45</v>
      </c>
      <c r="W293" s="3"/>
      <c r="X293" s="3">
        <v>28.58</v>
      </c>
      <c r="Y293" s="3">
        <v>28.58</v>
      </c>
      <c r="Z293" s="3">
        <v>28.58</v>
      </c>
      <c r="AA293" s="3">
        <v>0</v>
      </c>
      <c r="AB293" s="3" t="s">
        <v>1713</v>
      </c>
      <c r="AC293" s="3">
        <v>21</v>
      </c>
      <c r="AD293" s="3">
        <v>28.58</v>
      </c>
      <c r="AE293" s="3">
        <v>0</v>
      </c>
      <c r="AF293" s="3">
        <v>0</v>
      </c>
      <c r="AG293" s="3">
        <v>0</v>
      </c>
      <c r="AH293" s="3">
        <v>3.52941176470588</v>
      </c>
      <c r="AI293" s="3" t="s">
        <v>2694</v>
      </c>
      <c r="AJ293" s="3" t="s">
        <v>1715</v>
      </c>
    </row>
    <row r="294" spans="1:36">
      <c r="A294" s="4">
        <v>43277</v>
      </c>
      <c r="B294" s="3" t="s">
        <v>1581</v>
      </c>
      <c r="C294" s="3" t="s">
        <v>1582</v>
      </c>
      <c r="D294" s="3" t="s">
        <v>1583</v>
      </c>
      <c r="E294" s="3" t="s">
        <v>1584</v>
      </c>
      <c r="F294" s="3" t="s">
        <v>1710</v>
      </c>
      <c r="G294" s="3">
        <v>25</v>
      </c>
      <c r="H294" s="3">
        <v>0</v>
      </c>
      <c r="I294" s="3">
        <v>25</v>
      </c>
      <c r="J294" s="3">
        <v>0</v>
      </c>
      <c r="K294" s="3">
        <v>0</v>
      </c>
      <c r="L294" s="3">
        <v>0</v>
      </c>
      <c r="M294" s="3">
        <v>0</v>
      </c>
      <c r="N294" s="3" t="s">
        <v>1711</v>
      </c>
      <c r="O294" s="3">
        <v>0</v>
      </c>
      <c r="P294" s="3">
        <v>0</v>
      </c>
      <c r="Q294" s="3">
        <v>0</v>
      </c>
      <c r="R294" s="3">
        <v>0</v>
      </c>
      <c r="S294" s="3">
        <v>18</v>
      </c>
      <c r="T294" s="3">
        <v>47</v>
      </c>
      <c r="U294" s="3">
        <v>108</v>
      </c>
      <c r="V294" s="3">
        <v>135</v>
      </c>
      <c r="W294" s="3"/>
      <c r="X294" s="3">
        <v>40</v>
      </c>
      <c r="Y294" s="3">
        <v>29.99</v>
      </c>
      <c r="Z294" s="3">
        <v>29.99</v>
      </c>
      <c r="AA294" s="3">
        <v>0</v>
      </c>
      <c r="AB294" s="3" t="s">
        <v>1713</v>
      </c>
      <c r="AC294" s="3">
        <v>20</v>
      </c>
      <c r="AD294" s="3">
        <v>29.99</v>
      </c>
      <c r="AE294" s="3">
        <v>0</v>
      </c>
      <c r="AF294" s="3">
        <v>0</v>
      </c>
      <c r="AG294" s="3">
        <v>0</v>
      </c>
      <c r="AH294" s="3">
        <v>3.35403726708074</v>
      </c>
      <c r="AI294" s="3" t="s">
        <v>2695</v>
      </c>
      <c r="AJ294" s="3" t="s">
        <v>1715</v>
      </c>
    </row>
    <row r="295" spans="1:36">
      <c r="A295" s="4">
        <v>43277</v>
      </c>
      <c r="B295" s="3" t="s">
        <v>2696</v>
      </c>
      <c r="C295" s="3" t="s">
        <v>2697</v>
      </c>
      <c r="D295" s="3" t="s">
        <v>2698</v>
      </c>
      <c r="E295" s="3" t="s">
        <v>318</v>
      </c>
      <c r="F295" s="3" t="s">
        <v>1710</v>
      </c>
      <c r="G295" s="3">
        <v>7</v>
      </c>
      <c r="H295" s="3">
        <v>0</v>
      </c>
      <c r="I295" s="3">
        <v>0</v>
      </c>
      <c r="J295" s="3">
        <v>4</v>
      </c>
      <c r="K295" s="3">
        <v>1</v>
      </c>
      <c r="L295" s="3">
        <v>2</v>
      </c>
      <c r="M295" s="3">
        <v>0</v>
      </c>
      <c r="N295" s="3" t="s">
        <v>1711</v>
      </c>
      <c r="O295" s="3">
        <v>4</v>
      </c>
      <c r="P295" s="3">
        <v>5.33</v>
      </c>
      <c r="Q295" s="3">
        <v>0</v>
      </c>
      <c r="R295" s="3">
        <v>0</v>
      </c>
      <c r="S295" s="3">
        <v>1</v>
      </c>
      <c r="T295" s="3">
        <v>3</v>
      </c>
      <c r="U295" s="3">
        <v>7</v>
      </c>
      <c r="V295" s="3">
        <v>11</v>
      </c>
      <c r="W295" s="3" t="s">
        <v>1720</v>
      </c>
      <c r="X295" s="3">
        <v>15.99</v>
      </c>
      <c r="Y295" s="3">
        <v>15.99</v>
      </c>
      <c r="Z295" s="3">
        <v>15.99</v>
      </c>
      <c r="AA295" s="3">
        <v>0</v>
      </c>
      <c r="AB295" s="3" t="s">
        <v>1721</v>
      </c>
      <c r="AC295" s="3">
        <v>8</v>
      </c>
      <c r="AD295" s="3">
        <v>15.99</v>
      </c>
      <c r="AE295" s="3">
        <v>0</v>
      </c>
      <c r="AF295" s="3">
        <v>0</v>
      </c>
      <c r="AG295" s="3">
        <v>0</v>
      </c>
      <c r="AH295" s="3">
        <v>0.745762711864406</v>
      </c>
      <c r="AI295" s="3" t="s">
        <v>2699</v>
      </c>
      <c r="AJ295" s="3" t="s">
        <v>1783</v>
      </c>
    </row>
    <row r="296" spans="1:36">
      <c r="A296" s="4">
        <v>43277</v>
      </c>
      <c r="B296" s="3" t="s">
        <v>2700</v>
      </c>
      <c r="C296" s="3" t="s">
        <v>2701</v>
      </c>
      <c r="D296" s="3" t="s">
        <v>2702</v>
      </c>
      <c r="E296" s="3" t="s">
        <v>2703</v>
      </c>
      <c r="F296" s="3" t="s">
        <v>1710</v>
      </c>
      <c r="G296" s="3">
        <v>24</v>
      </c>
      <c r="H296" s="3">
        <v>0</v>
      </c>
      <c r="I296" s="3">
        <v>0</v>
      </c>
      <c r="J296" s="3">
        <v>24</v>
      </c>
      <c r="K296" s="3">
        <v>0</v>
      </c>
      <c r="L296" s="3">
        <v>0</v>
      </c>
      <c r="M296" s="3">
        <v>0</v>
      </c>
      <c r="N296" s="3" t="s">
        <v>1711</v>
      </c>
      <c r="O296" s="3">
        <v>24</v>
      </c>
      <c r="P296" s="3">
        <v>35.37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1720</v>
      </c>
      <c r="X296" s="3">
        <v>35</v>
      </c>
      <c r="Y296" s="3">
        <v>16.99</v>
      </c>
      <c r="Z296" s="3">
        <v>16.99</v>
      </c>
      <c r="AA296" s="3">
        <v>0</v>
      </c>
      <c r="AB296" s="3" t="s">
        <v>1732</v>
      </c>
      <c r="AC296" s="3">
        <v>3</v>
      </c>
      <c r="AD296" s="3">
        <v>15.59</v>
      </c>
      <c r="AE296" s="3">
        <v>49</v>
      </c>
      <c r="AF296" s="3">
        <v>0</v>
      </c>
      <c r="AG296" s="3">
        <v>623.406287</v>
      </c>
      <c r="AH296" s="3">
        <v>0</v>
      </c>
      <c r="AI296" s="3" t="s">
        <v>1770</v>
      </c>
      <c r="AJ296" s="3" t="s">
        <v>1715</v>
      </c>
    </row>
    <row r="297" spans="1:36">
      <c r="A297" s="4">
        <v>43277</v>
      </c>
      <c r="B297" s="3" t="s">
        <v>2704</v>
      </c>
      <c r="C297" s="3" t="s">
        <v>2705</v>
      </c>
      <c r="D297" s="3" t="s">
        <v>2706</v>
      </c>
      <c r="E297" s="3" t="s">
        <v>2707</v>
      </c>
      <c r="F297" s="3" t="s">
        <v>1710</v>
      </c>
      <c r="G297" s="3">
        <v>8</v>
      </c>
      <c r="H297" s="3">
        <v>0</v>
      </c>
      <c r="I297" s="3">
        <v>1</v>
      </c>
      <c r="J297" s="3">
        <v>2</v>
      </c>
      <c r="K297" s="3">
        <v>1</v>
      </c>
      <c r="L297" s="3">
        <v>4</v>
      </c>
      <c r="M297" s="3">
        <v>0</v>
      </c>
      <c r="N297" s="3" t="s">
        <v>1711</v>
      </c>
      <c r="O297" s="3">
        <v>7</v>
      </c>
      <c r="P297" s="3">
        <v>22.31</v>
      </c>
      <c r="Q297" s="3">
        <v>0</v>
      </c>
      <c r="R297" s="3">
        <v>0</v>
      </c>
      <c r="S297" s="3">
        <v>0</v>
      </c>
      <c r="T297" s="3">
        <v>0</v>
      </c>
      <c r="U297" s="3">
        <v>1</v>
      </c>
      <c r="V297" s="3">
        <v>1</v>
      </c>
      <c r="W297" s="3" t="s">
        <v>1712</v>
      </c>
      <c r="X297" s="3">
        <v>19.99</v>
      </c>
      <c r="Y297" s="3">
        <v>19.99</v>
      </c>
      <c r="Z297" s="3">
        <v>19.99</v>
      </c>
      <c r="AA297" s="3">
        <v>0</v>
      </c>
      <c r="AB297" s="3" t="s">
        <v>1732</v>
      </c>
      <c r="AC297" s="3">
        <v>0</v>
      </c>
      <c r="AD297" s="3">
        <v>18.32</v>
      </c>
      <c r="AE297" s="3">
        <v>56</v>
      </c>
      <c r="AF297" s="3">
        <v>0</v>
      </c>
      <c r="AG297" s="3">
        <v>377.9069</v>
      </c>
      <c r="AH297" s="3">
        <v>0.0754716981132075</v>
      </c>
      <c r="AI297" s="3" t="s">
        <v>2708</v>
      </c>
      <c r="AJ297" s="3" t="s">
        <v>1715</v>
      </c>
    </row>
    <row r="298" spans="1:36">
      <c r="A298" s="4">
        <v>43277</v>
      </c>
      <c r="B298" s="3" t="s">
        <v>2709</v>
      </c>
      <c r="C298" s="3" t="s">
        <v>2710</v>
      </c>
      <c r="D298" s="3" t="s">
        <v>2711</v>
      </c>
      <c r="E298" s="3" t="s">
        <v>1936</v>
      </c>
      <c r="F298" s="3" t="s">
        <v>1710</v>
      </c>
      <c r="G298" s="3">
        <v>2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2</v>
      </c>
      <c r="N298" s="3" t="s">
        <v>1711</v>
      </c>
      <c r="O298" s="3">
        <v>0</v>
      </c>
      <c r="P298" s="3">
        <v>0</v>
      </c>
      <c r="Q298" s="3">
        <v>2</v>
      </c>
      <c r="R298" s="3">
        <v>2.88</v>
      </c>
      <c r="S298" s="3">
        <v>0</v>
      </c>
      <c r="T298" s="3">
        <v>0</v>
      </c>
      <c r="U298" s="3">
        <v>0</v>
      </c>
      <c r="V298" s="3">
        <v>0</v>
      </c>
      <c r="W298" s="3" t="s">
        <v>1720</v>
      </c>
      <c r="X298" s="3">
        <v>14.99</v>
      </c>
      <c r="Y298" s="3">
        <v>14.99</v>
      </c>
      <c r="Z298" s="3">
        <v>14.99</v>
      </c>
      <c r="AA298" s="3">
        <v>0</v>
      </c>
      <c r="AB298" s="3" t="s">
        <v>1713</v>
      </c>
      <c r="AC298" s="3">
        <v>2</v>
      </c>
      <c r="AD298" s="3">
        <v>14.99</v>
      </c>
      <c r="AE298" s="3">
        <v>0</v>
      </c>
      <c r="AF298" s="3">
        <v>0</v>
      </c>
      <c r="AG298" s="3">
        <v>0</v>
      </c>
      <c r="AH298" s="3">
        <v>0</v>
      </c>
      <c r="AI298" s="3" t="s">
        <v>1840</v>
      </c>
      <c r="AJ298" s="3" t="s">
        <v>1715</v>
      </c>
    </row>
    <row r="299" spans="1:36">
      <c r="A299" s="4">
        <v>43277</v>
      </c>
      <c r="B299" s="3" t="s">
        <v>2712</v>
      </c>
      <c r="C299" s="3" t="s">
        <v>2713</v>
      </c>
      <c r="D299" s="3" t="s">
        <v>2714</v>
      </c>
      <c r="E299" s="3" t="s">
        <v>2715</v>
      </c>
      <c r="F299" s="3" t="s">
        <v>1710</v>
      </c>
      <c r="G299" s="3">
        <v>5</v>
      </c>
      <c r="H299" s="3">
        <v>0</v>
      </c>
      <c r="I299" s="3">
        <v>5</v>
      </c>
      <c r="J299" s="3">
        <v>0</v>
      </c>
      <c r="K299" s="3">
        <v>0</v>
      </c>
      <c r="L299" s="3">
        <v>0</v>
      </c>
      <c r="M299" s="3">
        <v>0</v>
      </c>
      <c r="N299" s="3" t="s">
        <v>1711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7</v>
      </c>
      <c r="U299" s="3">
        <v>10</v>
      </c>
      <c r="V299" s="3">
        <v>16</v>
      </c>
      <c r="W299" s="3"/>
      <c r="X299" s="3">
        <v>15.99</v>
      </c>
      <c r="Y299" s="3">
        <v>15.99</v>
      </c>
      <c r="Z299" s="3">
        <v>15.99</v>
      </c>
      <c r="AA299" s="3">
        <v>0</v>
      </c>
      <c r="AB299" s="3" t="s">
        <v>1713</v>
      </c>
      <c r="AC299" s="3">
        <v>3</v>
      </c>
      <c r="AD299" s="3">
        <v>15.99</v>
      </c>
      <c r="AE299" s="3">
        <v>0</v>
      </c>
      <c r="AF299" s="3">
        <v>0</v>
      </c>
      <c r="AG299" s="3">
        <v>0</v>
      </c>
      <c r="AH299" s="3">
        <v>2.78260869565217</v>
      </c>
      <c r="AI299" s="3" t="s">
        <v>1962</v>
      </c>
      <c r="AJ299" s="3" t="s">
        <v>1715</v>
      </c>
    </row>
    <row r="300" spans="1:36">
      <c r="A300" s="4">
        <v>43277</v>
      </c>
      <c r="B300" s="3" t="s">
        <v>2716</v>
      </c>
      <c r="C300" s="3" t="s">
        <v>2717</v>
      </c>
      <c r="D300" s="3" t="s">
        <v>2718</v>
      </c>
      <c r="E300" s="3" t="s">
        <v>2719</v>
      </c>
      <c r="F300" s="3" t="s">
        <v>1710</v>
      </c>
      <c r="G300" s="3">
        <v>4</v>
      </c>
      <c r="H300" s="3">
        <v>0</v>
      </c>
      <c r="I300" s="3">
        <v>4</v>
      </c>
      <c r="J300" s="3">
        <v>0</v>
      </c>
      <c r="K300" s="3">
        <v>0</v>
      </c>
      <c r="L300" s="3">
        <v>0</v>
      </c>
      <c r="M300" s="3">
        <v>0</v>
      </c>
      <c r="N300" s="3" t="s">
        <v>1711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1712</v>
      </c>
      <c r="X300" s="3">
        <v>13.99</v>
      </c>
      <c r="Y300" s="3">
        <v>13.99</v>
      </c>
      <c r="Z300" s="3">
        <v>13.99</v>
      </c>
      <c r="AA300" s="3">
        <v>0</v>
      </c>
      <c r="AB300" s="3" t="s">
        <v>1713</v>
      </c>
      <c r="AC300" s="3">
        <v>4</v>
      </c>
      <c r="AD300" s="3">
        <v>13.99</v>
      </c>
      <c r="AE300" s="3">
        <v>0</v>
      </c>
      <c r="AF300" s="3">
        <v>0</v>
      </c>
      <c r="AG300" s="3">
        <v>0</v>
      </c>
      <c r="AH300" s="3">
        <v>0</v>
      </c>
      <c r="AI300" s="3" t="s">
        <v>2542</v>
      </c>
      <c r="AJ300" s="3" t="s">
        <v>1715</v>
      </c>
    </row>
    <row r="301" spans="1:36">
      <c r="A301" s="4">
        <v>43277</v>
      </c>
      <c r="B301" s="3" t="s">
        <v>739</v>
      </c>
      <c r="C301" s="3" t="s">
        <v>740</v>
      </c>
      <c r="D301" s="3" t="s">
        <v>741</v>
      </c>
      <c r="E301" s="3" t="s">
        <v>742</v>
      </c>
      <c r="F301" s="3" t="s">
        <v>1710</v>
      </c>
      <c r="G301" s="3">
        <v>4</v>
      </c>
      <c r="H301" s="3">
        <v>0</v>
      </c>
      <c r="I301" s="3">
        <v>4</v>
      </c>
      <c r="J301" s="3">
        <v>0</v>
      </c>
      <c r="K301" s="3">
        <v>0</v>
      </c>
      <c r="L301" s="3">
        <v>0</v>
      </c>
      <c r="M301" s="3">
        <v>0</v>
      </c>
      <c r="N301" s="3" t="s">
        <v>1711</v>
      </c>
      <c r="O301" s="3">
        <v>0</v>
      </c>
      <c r="P301" s="3">
        <v>0</v>
      </c>
      <c r="Q301" s="3">
        <v>0</v>
      </c>
      <c r="R301" s="3">
        <v>0</v>
      </c>
      <c r="S301" s="3">
        <v>8</v>
      </c>
      <c r="T301" s="3">
        <v>39</v>
      </c>
      <c r="U301" s="3">
        <v>53</v>
      </c>
      <c r="V301" s="3">
        <v>83</v>
      </c>
      <c r="W301" s="3"/>
      <c r="X301" s="3">
        <v>38</v>
      </c>
      <c r="Y301" s="3">
        <v>19.58</v>
      </c>
      <c r="Z301" s="3">
        <v>19.58</v>
      </c>
      <c r="AA301" s="3">
        <v>0</v>
      </c>
      <c r="AB301" s="3" t="s">
        <v>1713</v>
      </c>
      <c r="AC301" s="3">
        <v>6</v>
      </c>
      <c r="AD301" s="3">
        <v>19.58</v>
      </c>
      <c r="AE301" s="3">
        <v>0</v>
      </c>
      <c r="AF301" s="3">
        <v>0</v>
      </c>
      <c r="AG301" s="3">
        <v>0</v>
      </c>
      <c r="AH301" s="3">
        <v>10.7096774193548</v>
      </c>
      <c r="AI301" s="3" t="s">
        <v>2720</v>
      </c>
      <c r="AJ301" s="3" t="s">
        <v>1715</v>
      </c>
    </row>
    <row r="302" spans="1:36">
      <c r="A302" s="4">
        <v>43277</v>
      </c>
      <c r="B302" s="3" t="s">
        <v>975</v>
      </c>
      <c r="C302" s="3" t="s">
        <v>976</v>
      </c>
      <c r="D302" s="3" t="s">
        <v>977</v>
      </c>
      <c r="E302" s="3" t="s">
        <v>978</v>
      </c>
      <c r="F302" s="3" t="s">
        <v>1710</v>
      </c>
      <c r="G302" s="3">
        <v>12</v>
      </c>
      <c r="H302" s="3">
        <v>0</v>
      </c>
      <c r="I302" s="3">
        <v>12</v>
      </c>
      <c r="J302" s="3">
        <v>0</v>
      </c>
      <c r="K302" s="3">
        <v>0</v>
      </c>
      <c r="L302" s="3">
        <v>0</v>
      </c>
      <c r="M302" s="3">
        <v>0</v>
      </c>
      <c r="N302" s="3" t="s">
        <v>1711</v>
      </c>
      <c r="O302" s="3">
        <v>0</v>
      </c>
      <c r="P302" s="3">
        <v>0</v>
      </c>
      <c r="Q302" s="3">
        <v>0</v>
      </c>
      <c r="R302" s="3">
        <v>0</v>
      </c>
      <c r="S302" s="3">
        <v>14</v>
      </c>
      <c r="T302" s="3">
        <v>45</v>
      </c>
      <c r="U302" s="3">
        <v>62</v>
      </c>
      <c r="V302" s="3">
        <v>76</v>
      </c>
      <c r="W302" s="3"/>
      <c r="X302" s="3">
        <v>15.99</v>
      </c>
      <c r="Y302" s="3">
        <v>15.99</v>
      </c>
      <c r="Z302" s="3">
        <v>15.99</v>
      </c>
      <c r="AA302" s="3">
        <v>0</v>
      </c>
      <c r="AB302" s="3" t="s">
        <v>1713</v>
      </c>
      <c r="AC302" s="3">
        <v>4</v>
      </c>
      <c r="AD302" s="3">
        <v>15.99</v>
      </c>
      <c r="AE302" s="3">
        <v>0</v>
      </c>
      <c r="AF302" s="3">
        <v>0</v>
      </c>
      <c r="AG302" s="3">
        <v>0</v>
      </c>
      <c r="AH302" s="3">
        <v>13.4117647058823</v>
      </c>
      <c r="AI302" s="3" t="s">
        <v>1881</v>
      </c>
      <c r="AJ302" s="3" t="s">
        <v>1715</v>
      </c>
    </row>
    <row r="303" spans="1:36">
      <c r="A303" s="4">
        <v>43277</v>
      </c>
      <c r="B303" s="3" t="s">
        <v>2721</v>
      </c>
      <c r="C303" s="3" t="s">
        <v>2722</v>
      </c>
      <c r="D303" s="3" t="s">
        <v>2723</v>
      </c>
      <c r="E303" s="3" t="s">
        <v>2724</v>
      </c>
      <c r="F303" s="3" t="s">
        <v>1710</v>
      </c>
      <c r="G303" s="3">
        <v>1</v>
      </c>
      <c r="H303" s="3">
        <v>0</v>
      </c>
      <c r="I303" s="3">
        <v>1</v>
      </c>
      <c r="J303" s="3">
        <v>0</v>
      </c>
      <c r="K303" s="3">
        <v>0</v>
      </c>
      <c r="L303" s="3">
        <v>0</v>
      </c>
      <c r="M303" s="3">
        <v>0</v>
      </c>
      <c r="N303" s="3" t="s">
        <v>1711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 t="s">
        <v>1720</v>
      </c>
      <c r="X303" s="3">
        <v>18.99</v>
      </c>
      <c r="Y303" s="3">
        <v>18.99</v>
      </c>
      <c r="Z303" s="3">
        <v>18.99</v>
      </c>
      <c r="AA303" s="3">
        <v>0</v>
      </c>
      <c r="AB303" s="3" t="s">
        <v>1721</v>
      </c>
      <c r="AC303" s="3">
        <v>0</v>
      </c>
      <c r="AD303" s="3">
        <v>17.69</v>
      </c>
      <c r="AE303" s="3">
        <v>98</v>
      </c>
      <c r="AF303" s="3">
        <v>0</v>
      </c>
      <c r="AG303" s="3">
        <v>19.76042</v>
      </c>
      <c r="AH303" s="3">
        <v>0</v>
      </c>
      <c r="AI303" s="3" t="s">
        <v>1856</v>
      </c>
      <c r="AJ303" s="3" t="s">
        <v>1715</v>
      </c>
    </row>
    <row r="304" spans="1:36">
      <c r="A304" s="4">
        <v>43277</v>
      </c>
      <c r="B304" s="3" t="s">
        <v>2725</v>
      </c>
      <c r="C304" s="3" t="s">
        <v>2726</v>
      </c>
      <c r="D304" s="3" t="s">
        <v>2727</v>
      </c>
      <c r="E304" s="3" t="s">
        <v>2728</v>
      </c>
      <c r="F304" s="3" t="s">
        <v>1710</v>
      </c>
      <c r="G304" s="3">
        <v>1</v>
      </c>
      <c r="H304" s="3">
        <v>0</v>
      </c>
      <c r="I304" s="3">
        <v>1</v>
      </c>
      <c r="J304" s="3">
        <v>0</v>
      </c>
      <c r="K304" s="3">
        <v>0</v>
      </c>
      <c r="L304" s="3">
        <v>0</v>
      </c>
      <c r="M304" s="3">
        <v>0</v>
      </c>
      <c r="N304" s="3" t="s">
        <v>1711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5</v>
      </c>
      <c r="V304" s="3">
        <v>5</v>
      </c>
      <c r="W304" s="3" t="s">
        <v>1712</v>
      </c>
      <c r="X304" s="3">
        <v>15.99</v>
      </c>
      <c r="Y304" s="3">
        <v>15.99</v>
      </c>
      <c r="Z304" s="3">
        <v>15.99</v>
      </c>
      <c r="AA304" s="3">
        <v>0</v>
      </c>
      <c r="AB304" s="3" t="s">
        <v>1713</v>
      </c>
      <c r="AC304" s="3">
        <v>0</v>
      </c>
      <c r="AD304" s="3">
        <v>0</v>
      </c>
      <c r="AE304" s="3">
        <v>0</v>
      </c>
      <c r="AF304" s="3">
        <v>0</v>
      </c>
      <c r="AG304" s="3">
        <v>0</v>
      </c>
      <c r="AH304" s="3">
        <v>20</v>
      </c>
      <c r="AI304" s="3" t="s">
        <v>2542</v>
      </c>
      <c r="AJ304" s="3" t="s">
        <v>1715</v>
      </c>
    </row>
    <row r="305" spans="1:36">
      <c r="A305" s="4">
        <v>43277</v>
      </c>
      <c r="B305" s="3" t="s">
        <v>511</v>
      </c>
      <c r="C305" s="3" t="s">
        <v>512</v>
      </c>
      <c r="D305" s="3" t="s">
        <v>513</v>
      </c>
      <c r="E305" s="3" t="s">
        <v>2729</v>
      </c>
      <c r="F305" s="3" t="s">
        <v>1710</v>
      </c>
      <c r="G305" s="3">
        <v>94</v>
      </c>
      <c r="H305" s="3">
        <v>0</v>
      </c>
      <c r="I305" s="3">
        <v>94</v>
      </c>
      <c r="J305" s="3">
        <v>0</v>
      </c>
      <c r="K305" s="3">
        <v>0</v>
      </c>
      <c r="L305" s="3">
        <v>0</v>
      </c>
      <c r="M305" s="3">
        <v>0</v>
      </c>
      <c r="N305" s="3" t="s">
        <v>1711</v>
      </c>
      <c r="O305" s="3">
        <v>0</v>
      </c>
      <c r="P305" s="3">
        <v>0</v>
      </c>
      <c r="Q305" s="3">
        <v>0</v>
      </c>
      <c r="R305" s="3">
        <v>0</v>
      </c>
      <c r="S305" s="3">
        <v>11</v>
      </c>
      <c r="T305" s="3">
        <v>44</v>
      </c>
      <c r="U305" s="3">
        <v>88</v>
      </c>
      <c r="V305" s="3">
        <v>124</v>
      </c>
      <c r="W305" s="3"/>
      <c r="X305" s="3">
        <v>38</v>
      </c>
      <c r="Y305" s="3">
        <v>28.58</v>
      </c>
      <c r="Z305" s="3">
        <v>28</v>
      </c>
      <c r="AA305" s="3">
        <v>0</v>
      </c>
      <c r="AB305" s="3" t="s">
        <v>1713</v>
      </c>
      <c r="AC305" s="3">
        <v>83</v>
      </c>
      <c r="AD305" s="3">
        <v>28.58</v>
      </c>
      <c r="AE305" s="3">
        <v>0</v>
      </c>
      <c r="AF305" s="3">
        <v>0</v>
      </c>
      <c r="AG305" s="3">
        <v>0</v>
      </c>
      <c r="AH305" s="3">
        <v>2.78651685393258</v>
      </c>
      <c r="AI305" s="3" t="s">
        <v>1801</v>
      </c>
      <c r="AJ305" s="3" t="s">
        <v>1715</v>
      </c>
    </row>
    <row r="306" spans="1:36">
      <c r="A306" s="4">
        <v>43277</v>
      </c>
      <c r="B306" s="3" t="s">
        <v>2730</v>
      </c>
      <c r="C306" s="3" t="s">
        <v>2731</v>
      </c>
      <c r="D306" s="3" t="s">
        <v>2732</v>
      </c>
      <c r="E306" s="3" t="s">
        <v>1985</v>
      </c>
      <c r="F306" s="3" t="s">
        <v>1710</v>
      </c>
      <c r="G306" s="3">
        <v>3</v>
      </c>
      <c r="H306" s="3">
        <v>0</v>
      </c>
      <c r="I306" s="3">
        <v>0</v>
      </c>
      <c r="J306" s="3">
        <v>0</v>
      </c>
      <c r="K306" s="3">
        <v>3</v>
      </c>
      <c r="L306" s="3">
        <v>0</v>
      </c>
      <c r="M306" s="3">
        <v>0</v>
      </c>
      <c r="N306" s="3" t="s">
        <v>1711</v>
      </c>
      <c r="O306" s="3">
        <v>3</v>
      </c>
      <c r="P306" s="3">
        <v>5.27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1720</v>
      </c>
      <c r="X306" s="3">
        <v>18.99</v>
      </c>
      <c r="Y306" s="3">
        <v>18.99</v>
      </c>
      <c r="Z306" s="3">
        <v>18.99</v>
      </c>
      <c r="AA306" s="3">
        <v>0</v>
      </c>
      <c r="AB306" s="3" t="s">
        <v>1721</v>
      </c>
      <c r="AC306" s="3">
        <v>0</v>
      </c>
      <c r="AD306" s="3">
        <v>16.88</v>
      </c>
      <c r="AE306" s="3">
        <v>119</v>
      </c>
      <c r="AF306" s="3">
        <v>0</v>
      </c>
      <c r="AG306" s="3">
        <v>87.614768</v>
      </c>
      <c r="AH306" s="3">
        <v>0</v>
      </c>
      <c r="AI306" s="3" t="s">
        <v>2733</v>
      </c>
      <c r="AJ306" s="3" t="s">
        <v>1783</v>
      </c>
    </row>
    <row r="307" spans="1:36">
      <c r="A307" s="4">
        <v>43277</v>
      </c>
      <c r="B307" s="3" t="s">
        <v>2734</v>
      </c>
      <c r="C307" s="3" t="s">
        <v>2735</v>
      </c>
      <c r="D307" s="3" t="s">
        <v>2736</v>
      </c>
      <c r="E307" s="3" t="s">
        <v>1181</v>
      </c>
      <c r="F307" s="3" t="s">
        <v>1710</v>
      </c>
      <c r="G307" s="3">
        <v>10</v>
      </c>
      <c r="H307" s="3">
        <v>0</v>
      </c>
      <c r="I307" s="3">
        <v>10</v>
      </c>
      <c r="J307" s="3">
        <v>0</v>
      </c>
      <c r="K307" s="3">
        <v>0</v>
      </c>
      <c r="L307" s="3">
        <v>0</v>
      </c>
      <c r="M307" s="3">
        <v>0</v>
      </c>
      <c r="N307" s="3" t="s">
        <v>1711</v>
      </c>
      <c r="O307" s="3">
        <v>0</v>
      </c>
      <c r="P307" s="3">
        <v>0</v>
      </c>
      <c r="Q307" s="3">
        <v>0</v>
      </c>
      <c r="R307" s="3">
        <v>0</v>
      </c>
      <c r="S307" s="3">
        <v>1</v>
      </c>
      <c r="T307" s="3">
        <v>11</v>
      </c>
      <c r="U307" s="3">
        <v>16</v>
      </c>
      <c r="V307" s="3">
        <v>16</v>
      </c>
      <c r="W307" s="3"/>
      <c r="X307" s="3">
        <v>39.99</v>
      </c>
      <c r="Y307" s="3">
        <v>17.99</v>
      </c>
      <c r="Z307" s="3">
        <v>17.99</v>
      </c>
      <c r="AA307" s="3">
        <v>0</v>
      </c>
      <c r="AB307" s="3" t="s">
        <v>1713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2.18181818181818</v>
      </c>
      <c r="AI307" s="3" t="s">
        <v>2550</v>
      </c>
      <c r="AJ307" s="3" t="s">
        <v>1715</v>
      </c>
    </row>
    <row r="308" spans="1:36">
      <c r="A308" s="4">
        <v>43277</v>
      </c>
      <c r="B308" s="3" t="s">
        <v>2737</v>
      </c>
      <c r="C308" s="3" t="s">
        <v>2738</v>
      </c>
      <c r="D308" s="3" t="s">
        <v>2739</v>
      </c>
      <c r="E308" s="3" t="s">
        <v>2740</v>
      </c>
      <c r="F308" s="3" t="s">
        <v>1710</v>
      </c>
      <c r="G308" s="3">
        <v>5</v>
      </c>
      <c r="H308" s="3">
        <v>0</v>
      </c>
      <c r="I308" s="3">
        <v>5</v>
      </c>
      <c r="J308" s="3">
        <v>0</v>
      </c>
      <c r="K308" s="3">
        <v>0</v>
      </c>
      <c r="L308" s="3">
        <v>0</v>
      </c>
      <c r="M308" s="3">
        <v>0</v>
      </c>
      <c r="N308" s="3" t="s">
        <v>1711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1712</v>
      </c>
      <c r="X308" s="3">
        <v>15.99</v>
      </c>
      <c r="Y308" s="3">
        <v>15.99</v>
      </c>
      <c r="Z308" s="3">
        <v>15.99</v>
      </c>
      <c r="AA308" s="3">
        <v>0</v>
      </c>
      <c r="AB308" s="3" t="s">
        <v>1713</v>
      </c>
      <c r="AC308" s="3">
        <v>5</v>
      </c>
      <c r="AD308" s="3">
        <v>15.99</v>
      </c>
      <c r="AE308" s="3">
        <v>0</v>
      </c>
      <c r="AF308" s="3">
        <v>0</v>
      </c>
      <c r="AG308" s="3">
        <v>0</v>
      </c>
      <c r="AH308" s="3">
        <v>0</v>
      </c>
      <c r="AI308" s="3" t="s">
        <v>1905</v>
      </c>
      <c r="AJ308" s="3" t="s">
        <v>1715</v>
      </c>
    </row>
    <row r="309" spans="1:36">
      <c r="A309" s="4">
        <v>43277</v>
      </c>
      <c r="B309" s="3" t="s">
        <v>2741</v>
      </c>
      <c r="C309" s="3" t="s">
        <v>2742</v>
      </c>
      <c r="D309" s="3" t="s">
        <v>2743</v>
      </c>
      <c r="E309" s="3" t="s">
        <v>1140</v>
      </c>
      <c r="F309" s="3" t="s">
        <v>1710</v>
      </c>
      <c r="G309" s="3">
        <v>8</v>
      </c>
      <c r="H309" s="3">
        <v>0</v>
      </c>
      <c r="I309" s="3">
        <v>8</v>
      </c>
      <c r="J309" s="3">
        <v>0</v>
      </c>
      <c r="K309" s="3">
        <v>0</v>
      </c>
      <c r="L309" s="3">
        <v>0</v>
      </c>
      <c r="M309" s="3">
        <v>0</v>
      </c>
      <c r="N309" s="3" t="s">
        <v>1711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12</v>
      </c>
      <c r="U309" s="3">
        <v>12</v>
      </c>
      <c r="V309" s="3">
        <v>12</v>
      </c>
      <c r="W309" s="3" t="s">
        <v>1712</v>
      </c>
      <c r="X309" s="3">
        <v>21.99</v>
      </c>
      <c r="Y309" s="3">
        <v>21.99</v>
      </c>
      <c r="Z309" s="3">
        <v>21.99</v>
      </c>
      <c r="AA309" s="3">
        <v>0</v>
      </c>
      <c r="AB309" s="3" t="s">
        <v>1713</v>
      </c>
      <c r="AC309" s="3">
        <v>8</v>
      </c>
      <c r="AD309" s="3">
        <v>21.99</v>
      </c>
      <c r="AE309" s="3">
        <v>0</v>
      </c>
      <c r="AF309" s="3">
        <v>0</v>
      </c>
      <c r="AG309" s="3">
        <v>0</v>
      </c>
      <c r="AH309" s="3">
        <v>2.66666666666666</v>
      </c>
      <c r="AI309" s="3" t="s">
        <v>2573</v>
      </c>
      <c r="AJ309" s="3" t="s">
        <v>1715</v>
      </c>
    </row>
    <row r="310" spans="1:36">
      <c r="A310" s="4">
        <v>43277</v>
      </c>
      <c r="B310" s="3" t="s">
        <v>2744</v>
      </c>
      <c r="C310" s="3" t="s">
        <v>2745</v>
      </c>
      <c r="D310" s="3" t="s">
        <v>2746</v>
      </c>
      <c r="E310" s="3" t="s">
        <v>2747</v>
      </c>
      <c r="F310" s="3" t="s">
        <v>1710</v>
      </c>
      <c r="G310" s="3">
        <v>77</v>
      </c>
      <c r="H310" s="3">
        <v>0</v>
      </c>
      <c r="I310" s="3">
        <v>2</v>
      </c>
      <c r="J310" s="3">
        <v>7</v>
      </c>
      <c r="K310" s="3">
        <v>68</v>
      </c>
      <c r="L310" s="3">
        <v>0</v>
      </c>
      <c r="M310" s="3">
        <v>0</v>
      </c>
      <c r="N310" s="3" t="s">
        <v>1711</v>
      </c>
      <c r="O310" s="3">
        <v>72</v>
      </c>
      <c r="P310" s="3">
        <v>59.48</v>
      </c>
      <c r="Q310" s="3">
        <v>0</v>
      </c>
      <c r="R310" s="3">
        <v>0</v>
      </c>
      <c r="S310" s="3">
        <v>0</v>
      </c>
      <c r="T310" s="3">
        <v>0</v>
      </c>
      <c r="U310" s="3">
        <v>2</v>
      </c>
      <c r="V310" s="3">
        <v>5</v>
      </c>
      <c r="W310" s="3" t="s">
        <v>1712</v>
      </c>
      <c r="X310" s="3">
        <v>16.99</v>
      </c>
      <c r="Y310" s="3">
        <v>16.99</v>
      </c>
      <c r="Z310" s="3">
        <v>16</v>
      </c>
      <c r="AA310" s="3">
        <v>0</v>
      </c>
      <c r="AB310" s="3" t="s">
        <v>1732</v>
      </c>
      <c r="AC310" s="3">
        <v>26</v>
      </c>
      <c r="AD310" s="3">
        <v>13.59</v>
      </c>
      <c r="AE310" s="3">
        <v>364</v>
      </c>
      <c r="AF310" s="3">
        <v>0</v>
      </c>
      <c r="AG310" s="3">
        <v>206.123654</v>
      </c>
      <c r="AH310" s="3">
        <v>0.0554016620498614</v>
      </c>
      <c r="AI310" s="3" t="s">
        <v>2748</v>
      </c>
      <c r="AJ310" s="3" t="s">
        <v>1715</v>
      </c>
    </row>
    <row r="311" spans="1:36">
      <c r="A311" s="4">
        <v>43277</v>
      </c>
      <c r="B311" s="3" t="s">
        <v>2749</v>
      </c>
      <c r="C311" s="3" t="s">
        <v>2750</v>
      </c>
      <c r="D311" s="3" t="s">
        <v>2751</v>
      </c>
      <c r="E311" s="3" t="s">
        <v>2752</v>
      </c>
      <c r="F311" s="3" t="s">
        <v>1710</v>
      </c>
      <c r="G311" s="3">
        <v>8</v>
      </c>
      <c r="H311" s="3">
        <v>0</v>
      </c>
      <c r="I311" s="3">
        <v>0</v>
      </c>
      <c r="J311" s="3">
        <v>0</v>
      </c>
      <c r="K311" s="3">
        <v>1</v>
      </c>
      <c r="L311" s="3">
        <v>7</v>
      </c>
      <c r="M311" s="3">
        <v>0</v>
      </c>
      <c r="N311" s="3" t="s">
        <v>1711</v>
      </c>
      <c r="O311" s="3">
        <v>8</v>
      </c>
      <c r="P311" s="3">
        <v>9.81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1</v>
      </c>
      <c r="W311" s="3" t="s">
        <v>1720</v>
      </c>
      <c r="X311" s="3">
        <v>15.99</v>
      </c>
      <c r="Y311" s="3">
        <v>15.99</v>
      </c>
      <c r="Z311" s="3">
        <v>15.99</v>
      </c>
      <c r="AA311" s="3">
        <v>0</v>
      </c>
      <c r="AB311" s="3" t="s">
        <v>1732</v>
      </c>
      <c r="AC311" s="3">
        <v>0</v>
      </c>
      <c r="AD311" s="3">
        <v>11.75</v>
      </c>
      <c r="AE311" s="3">
        <v>364</v>
      </c>
      <c r="AF311" s="3">
        <v>0</v>
      </c>
      <c r="AG311" s="3">
        <v>116.267942</v>
      </c>
      <c r="AH311" s="3">
        <v>0.121212121212121</v>
      </c>
      <c r="AI311" s="3" t="s">
        <v>2753</v>
      </c>
      <c r="AJ311" s="3" t="s">
        <v>1783</v>
      </c>
    </row>
    <row r="312" spans="1:36">
      <c r="A312" s="4">
        <v>43277</v>
      </c>
      <c r="B312" s="3" t="s">
        <v>116</v>
      </c>
      <c r="C312" s="3" t="s">
        <v>117</v>
      </c>
      <c r="D312" s="3" t="s">
        <v>118</v>
      </c>
      <c r="E312" s="3" t="s">
        <v>119</v>
      </c>
      <c r="F312" s="3" t="s">
        <v>1710</v>
      </c>
      <c r="G312" s="3">
        <v>30</v>
      </c>
      <c r="H312" s="3">
        <v>0</v>
      </c>
      <c r="I312" s="3">
        <v>25</v>
      </c>
      <c r="J312" s="3">
        <v>5</v>
      </c>
      <c r="K312" s="3">
        <v>0</v>
      </c>
      <c r="L312" s="3">
        <v>0</v>
      </c>
      <c r="M312" s="3">
        <v>0</v>
      </c>
      <c r="N312" s="3" t="s">
        <v>1711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6</v>
      </c>
      <c r="V312" s="3">
        <v>17</v>
      </c>
      <c r="W312" s="3" t="s">
        <v>1712</v>
      </c>
      <c r="X312" s="3">
        <v>16.08</v>
      </c>
      <c r="Y312" s="3">
        <v>16.08</v>
      </c>
      <c r="Z312" s="3">
        <v>16.08</v>
      </c>
      <c r="AA312" s="3">
        <v>0</v>
      </c>
      <c r="AB312" s="3" t="s">
        <v>1713</v>
      </c>
      <c r="AC312" s="3">
        <v>30</v>
      </c>
      <c r="AD312" s="3">
        <v>16.08</v>
      </c>
      <c r="AE312" s="3">
        <v>0</v>
      </c>
      <c r="AF312" s="3">
        <v>0</v>
      </c>
      <c r="AG312" s="3">
        <v>0</v>
      </c>
      <c r="AH312" s="3">
        <v>0.591304347826087</v>
      </c>
      <c r="AI312" s="3" t="s">
        <v>2754</v>
      </c>
      <c r="AJ312" s="3" t="s">
        <v>1715</v>
      </c>
    </row>
    <row r="313" spans="1:36">
      <c r="A313" s="4">
        <v>43277</v>
      </c>
      <c r="B313" s="3" t="s">
        <v>1094</v>
      </c>
      <c r="C313" s="3" t="s">
        <v>1095</v>
      </c>
      <c r="D313" s="3" t="s">
        <v>1096</v>
      </c>
      <c r="E313" s="3" t="s">
        <v>1097</v>
      </c>
      <c r="F313" s="3" t="s">
        <v>1710</v>
      </c>
      <c r="G313" s="3">
        <v>19</v>
      </c>
      <c r="H313" s="3">
        <v>0</v>
      </c>
      <c r="I313" s="3">
        <v>19</v>
      </c>
      <c r="J313" s="3">
        <v>0</v>
      </c>
      <c r="K313" s="3">
        <v>0</v>
      </c>
      <c r="L313" s="3">
        <v>0</v>
      </c>
      <c r="M313" s="3">
        <v>0</v>
      </c>
      <c r="N313" s="3" t="s">
        <v>1711</v>
      </c>
      <c r="O313" s="3">
        <v>0</v>
      </c>
      <c r="P313" s="3">
        <v>0</v>
      </c>
      <c r="Q313" s="3">
        <v>0</v>
      </c>
      <c r="R313" s="3">
        <v>0</v>
      </c>
      <c r="S313" s="3">
        <v>1</v>
      </c>
      <c r="T313" s="3">
        <v>11</v>
      </c>
      <c r="U313" s="3">
        <v>30</v>
      </c>
      <c r="V313" s="3">
        <v>30</v>
      </c>
      <c r="W313" s="3"/>
      <c r="X313" s="3">
        <v>28.99</v>
      </c>
      <c r="Y313" s="3">
        <v>28.99</v>
      </c>
      <c r="Z313" s="3">
        <v>28.99</v>
      </c>
      <c r="AA313" s="3">
        <v>0</v>
      </c>
      <c r="AB313" s="3" t="s">
        <v>1713</v>
      </c>
      <c r="AC313" s="3">
        <v>20</v>
      </c>
      <c r="AD313" s="3">
        <v>28.99</v>
      </c>
      <c r="AE313" s="3">
        <v>0</v>
      </c>
      <c r="AF313" s="3">
        <v>0</v>
      </c>
      <c r="AG313" s="3">
        <v>0</v>
      </c>
      <c r="AH313" s="3">
        <v>2.64705882352941</v>
      </c>
      <c r="AI313" s="3" t="s">
        <v>1800</v>
      </c>
      <c r="AJ313" s="3" t="s">
        <v>1715</v>
      </c>
    </row>
    <row r="314" spans="1:36">
      <c r="A314" s="4">
        <v>43277</v>
      </c>
      <c r="B314" s="3" t="s">
        <v>2755</v>
      </c>
      <c r="C314" s="3" t="s">
        <v>2756</v>
      </c>
      <c r="D314" s="3" t="s">
        <v>2757</v>
      </c>
      <c r="E314" s="3" t="s">
        <v>2495</v>
      </c>
      <c r="F314" s="3" t="s">
        <v>1710</v>
      </c>
      <c r="G314" s="3">
        <v>15</v>
      </c>
      <c r="H314" s="3">
        <v>0</v>
      </c>
      <c r="I314" s="3">
        <v>15</v>
      </c>
      <c r="J314" s="3">
        <v>0</v>
      </c>
      <c r="K314" s="3">
        <v>0</v>
      </c>
      <c r="L314" s="3">
        <v>0</v>
      </c>
      <c r="M314" s="3">
        <v>0</v>
      </c>
      <c r="N314" s="3" t="s">
        <v>1711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 t="s">
        <v>1720</v>
      </c>
      <c r="X314" s="3">
        <v>15.99</v>
      </c>
      <c r="Y314" s="3">
        <v>15.99</v>
      </c>
      <c r="Z314" s="3">
        <v>15.99</v>
      </c>
      <c r="AA314" s="3">
        <v>0</v>
      </c>
      <c r="AB314" s="3" t="s">
        <v>1721</v>
      </c>
      <c r="AC314" s="3">
        <v>0</v>
      </c>
      <c r="AD314" s="3">
        <v>12.79</v>
      </c>
      <c r="AE314" s="3">
        <v>63</v>
      </c>
      <c r="AF314" s="3">
        <v>0</v>
      </c>
      <c r="AG314" s="3">
        <v>160.761652</v>
      </c>
      <c r="AH314" s="3">
        <v>0</v>
      </c>
      <c r="AI314" s="3" t="s">
        <v>2758</v>
      </c>
      <c r="AJ314" s="3" t="s">
        <v>1715</v>
      </c>
    </row>
    <row r="315" spans="1:36">
      <c r="A315" s="4">
        <v>43277</v>
      </c>
      <c r="B315" s="3" t="s">
        <v>2759</v>
      </c>
      <c r="C315" s="3" t="s">
        <v>2760</v>
      </c>
      <c r="D315" s="3" t="s">
        <v>2761</v>
      </c>
      <c r="E315" s="3" t="s">
        <v>1820</v>
      </c>
      <c r="F315" s="3" t="s">
        <v>1710</v>
      </c>
      <c r="G315" s="3">
        <v>10</v>
      </c>
      <c r="H315" s="3">
        <v>0</v>
      </c>
      <c r="I315" s="3">
        <v>10</v>
      </c>
      <c r="J315" s="3">
        <v>0</v>
      </c>
      <c r="K315" s="3">
        <v>0</v>
      </c>
      <c r="L315" s="3">
        <v>0</v>
      </c>
      <c r="M315" s="3">
        <v>0</v>
      </c>
      <c r="N315" s="3" t="s">
        <v>1711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1720</v>
      </c>
      <c r="X315" s="3">
        <v>19.99</v>
      </c>
      <c r="Y315" s="3">
        <v>19.99</v>
      </c>
      <c r="Z315" s="3">
        <v>19.99</v>
      </c>
      <c r="AA315" s="3">
        <v>0</v>
      </c>
      <c r="AB315" s="3" t="s">
        <v>1721</v>
      </c>
      <c r="AC315" s="3">
        <v>0</v>
      </c>
      <c r="AD315" s="3">
        <v>15.99</v>
      </c>
      <c r="AE315" s="3">
        <v>63</v>
      </c>
      <c r="AF315" s="3">
        <v>0</v>
      </c>
      <c r="AG315" s="3">
        <v>71.82189</v>
      </c>
      <c r="AH315" s="3">
        <v>0</v>
      </c>
      <c r="AI315" s="3" t="s">
        <v>1821</v>
      </c>
      <c r="AJ315" s="3" t="s">
        <v>1715</v>
      </c>
    </row>
    <row r="316" spans="1:36">
      <c r="A316" s="4">
        <v>43277</v>
      </c>
      <c r="B316" s="3" t="s">
        <v>2762</v>
      </c>
      <c r="C316" s="3" t="s">
        <v>2763</v>
      </c>
      <c r="D316" s="3" t="s">
        <v>2764</v>
      </c>
      <c r="E316" s="3" t="s">
        <v>1540</v>
      </c>
      <c r="F316" s="3" t="s">
        <v>1710</v>
      </c>
      <c r="G316" s="3">
        <v>24</v>
      </c>
      <c r="H316" s="3">
        <v>0</v>
      </c>
      <c r="I316" s="3">
        <v>24</v>
      </c>
      <c r="J316" s="3">
        <v>0</v>
      </c>
      <c r="K316" s="3">
        <v>0</v>
      </c>
      <c r="L316" s="3">
        <v>0</v>
      </c>
      <c r="M316" s="3">
        <v>0</v>
      </c>
      <c r="N316" s="3" t="s">
        <v>1711</v>
      </c>
      <c r="O316" s="3">
        <v>0</v>
      </c>
      <c r="P316" s="3">
        <v>0</v>
      </c>
      <c r="Q316" s="3">
        <v>0</v>
      </c>
      <c r="R316" s="3">
        <v>0</v>
      </c>
      <c r="S316" s="3">
        <v>5</v>
      </c>
      <c r="T316" s="3">
        <v>22</v>
      </c>
      <c r="U316" s="3">
        <v>38</v>
      </c>
      <c r="V316" s="3">
        <v>52</v>
      </c>
      <c r="W316" s="3"/>
      <c r="X316" s="3">
        <v>40</v>
      </c>
      <c r="Y316" s="3">
        <v>29.99</v>
      </c>
      <c r="Z316" s="3">
        <v>29.99</v>
      </c>
      <c r="AA316" s="3">
        <v>0</v>
      </c>
      <c r="AB316" s="3" t="s">
        <v>1713</v>
      </c>
      <c r="AC316" s="3">
        <v>24</v>
      </c>
      <c r="AD316" s="3">
        <v>29.99</v>
      </c>
      <c r="AE316" s="3">
        <v>0</v>
      </c>
      <c r="AF316" s="3">
        <v>0</v>
      </c>
      <c r="AG316" s="3">
        <v>0</v>
      </c>
      <c r="AH316" s="3">
        <v>3.58620689655172</v>
      </c>
      <c r="AI316" s="3" t="s">
        <v>2642</v>
      </c>
      <c r="AJ316" s="3" t="s">
        <v>2616</v>
      </c>
    </row>
    <row r="317" spans="1:36">
      <c r="A317" s="4">
        <v>43277</v>
      </c>
      <c r="B317" s="3" t="s">
        <v>2765</v>
      </c>
      <c r="C317" s="3" t="s">
        <v>2766</v>
      </c>
      <c r="D317" s="3" t="s">
        <v>2767</v>
      </c>
      <c r="E317" s="3" t="s">
        <v>2495</v>
      </c>
      <c r="F317" s="3" t="s">
        <v>1710</v>
      </c>
      <c r="G317" s="3">
        <v>15</v>
      </c>
      <c r="H317" s="3">
        <v>0</v>
      </c>
      <c r="I317" s="3">
        <v>15</v>
      </c>
      <c r="J317" s="3">
        <v>0</v>
      </c>
      <c r="K317" s="3">
        <v>0</v>
      </c>
      <c r="L317" s="3">
        <v>0</v>
      </c>
      <c r="M317" s="3">
        <v>0</v>
      </c>
      <c r="N317" s="3" t="s">
        <v>1711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 t="s">
        <v>1720</v>
      </c>
      <c r="X317" s="3">
        <v>15.99</v>
      </c>
      <c r="Y317" s="3">
        <v>15.99</v>
      </c>
      <c r="Z317" s="3">
        <v>15.99</v>
      </c>
      <c r="AA317" s="3">
        <v>0</v>
      </c>
      <c r="AB317" s="3" t="s">
        <v>1721</v>
      </c>
      <c r="AC317" s="3">
        <v>0</v>
      </c>
      <c r="AD317" s="3">
        <v>12.79</v>
      </c>
      <c r="AE317" s="3">
        <v>63</v>
      </c>
      <c r="AF317" s="3">
        <v>0</v>
      </c>
      <c r="AG317" s="3">
        <v>160.761652</v>
      </c>
      <c r="AH317" s="3">
        <v>0</v>
      </c>
      <c r="AI317" s="3" t="s">
        <v>2496</v>
      </c>
      <c r="AJ317" s="3" t="s">
        <v>1715</v>
      </c>
    </row>
    <row r="318" spans="1:36">
      <c r="A318" s="4">
        <v>43277</v>
      </c>
      <c r="B318" s="3" t="s">
        <v>631</v>
      </c>
      <c r="C318" s="3" t="s">
        <v>632</v>
      </c>
      <c r="D318" s="3" t="s">
        <v>633</v>
      </c>
      <c r="E318" s="3" t="s">
        <v>2768</v>
      </c>
      <c r="F318" s="3" t="s">
        <v>1710</v>
      </c>
      <c r="G318" s="3">
        <v>148</v>
      </c>
      <c r="H318" s="3">
        <v>0</v>
      </c>
      <c r="I318" s="3">
        <v>148</v>
      </c>
      <c r="J318" s="3">
        <v>0</v>
      </c>
      <c r="K318" s="3">
        <v>0</v>
      </c>
      <c r="L318" s="3">
        <v>0</v>
      </c>
      <c r="M318" s="3">
        <v>0</v>
      </c>
      <c r="N318" s="3" t="s">
        <v>1711</v>
      </c>
      <c r="O318" s="3">
        <v>0</v>
      </c>
      <c r="P318" s="3">
        <v>0</v>
      </c>
      <c r="Q318" s="3">
        <v>0</v>
      </c>
      <c r="R318" s="3">
        <v>0</v>
      </c>
      <c r="S318" s="3">
        <v>20</v>
      </c>
      <c r="T318" s="3">
        <v>114</v>
      </c>
      <c r="U318" s="3">
        <v>199</v>
      </c>
      <c r="V318" s="3">
        <v>246</v>
      </c>
      <c r="W318" s="3"/>
      <c r="X318" s="3">
        <v>38</v>
      </c>
      <c r="Y318" s="3">
        <v>28.58</v>
      </c>
      <c r="Z318" s="3">
        <v>28</v>
      </c>
      <c r="AA318" s="3">
        <v>0</v>
      </c>
      <c r="AB318" s="3" t="s">
        <v>1713</v>
      </c>
      <c r="AC318" s="3">
        <v>157</v>
      </c>
      <c r="AD318" s="3">
        <v>28.58</v>
      </c>
      <c r="AE318" s="3">
        <v>0</v>
      </c>
      <c r="AF318" s="3">
        <v>0</v>
      </c>
      <c r="AG318" s="3">
        <v>0</v>
      </c>
      <c r="AH318" s="3">
        <v>3.23684210526315</v>
      </c>
      <c r="AI318" s="3" t="s">
        <v>2769</v>
      </c>
      <c r="AJ318" s="3" t="s">
        <v>1715</v>
      </c>
    </row>
    <row r="319" spans="1:36">
      <c r="A319" s="4">
        <v>43277</v>
      </c>
      <c r="B319" s="3" t="s">
        <v>2770</v>
      </c>
      <c r="C319" s="3" t="s">
        <v>2771</v>
      </c>
      <c r="D319" s="3" t="s">
        <v>2772</v>
      </c>
      <c r="E319" s="3" t="s">
        <v>1820</v>
      </c>
      <c r="F319" s="3" t="s">
        <v>1710</v>
      </c>
      <c r="G319" s="3">
        <v>9</v>
      </c>
      <c r="H319" s="3">
        <v>0</v>
      </c>
      <c r="I319" s="3">
        <v>9</v>
      </c>
      <c r="J319" s="3">
        <v>0</v>
      </c>
      <c r="K319" s="3">
        <v>0</v>
      </c>
      <c r="L319" s="3">
        <v>0</v>
      </c>
      <c r="M319" s="3">
        <v>0</v>
      </c>
      <c r="N319" s="3" t="s">
        <v>1711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1</v>
      </c>
      <c r="U319" s="3">
        <v>1</v>
      </c>
      <c r="V319" s="3">
        <v>1</v>
      </c>
      <c r="W319" s="3" t="s">
        <v>1720</v>
      </c>
      <c r="X319" s="3">
        <v>18.99</v>
      </c>
      <c r="Y319" s="3">
        <v>18.99</v>
      </c>
      <c r="Z319" s="3">
        <v>18.99</v>
      </c>
      <c r="AA319" s="3">
        <v>0</v>
      </c>
      <c r="AB319" s="3" t="s">
        <v>1721</v>
      </c>
      <c r="AC319" s="3">
        <v>0</v>
      </c>
      <c r="AD319" s="3">
        <v>15.19</v>
      </c>
      <c r="AE319" s="3">
        <v>63</v>
      </c>
      <c r="AF319" s="3">
        <v>0</v>
      </c>
      <c r="AG319" s="3">
        <v>64.431329</v>
      </c>
      <c r="AH319" s="3">
        <v>0.222222222222222</v>
      </c>
      <c r="AI319" s="3" t="s">
        <v>1821</v>
      </c>
      <c r="AJ319" s="3" t="s">
        <v>1715</v>
      </c>
    </row>
    <row r="320" spans="1:36">
      <c r="A320" s="4">
        <v>43277</v>
      </c>
      <c r="B320" s="3" t="s">
        <v>2773</v>
      </c>
      <c r="C320" s="3" t="s">
        <v>2774</v>
      </c>
      <c r="D320" s="3" t="s">
        <v>2775</v>
      </c>
      <c r="E320" s="3" t="s">
        <v>353</v>
      </c>
      <c r="F320" s="3" t="s">
        <v>1710</v>
      </c>
      <c r="G320" s="3">
        <v>7</v>
      </c>
      <c r="H320" s="3">
        <v>0</v>
      </c>
      <c r="I320" s="3">
        <v>3</v>
      </c>
      <c r="J320" s="3">
        <v>4</v>
      </c>
      <c r="K320" s="3">
        <v>0</v>
      </c>
      <c r="L320" s="3">
        <v>0</v>
      </c>
      <c r="M320" s="3">
        <v>0</v>
      </c>
      <c r="N320" s="3" t="s">
        <v>1711</v>
      </c>
      <c r="O320" s="3">
        <v>2</v>
      </c>
      <c r="P320" s="3">
        <v>4.12</v>
      </c>
      <c r="Q320" s="3">
        <v>0</v>
      </c>
      <c r="R320" s="3">
        <v>0</v>
      </c>
      <c r="S320" s="3">
        <v>1</v>
      </c>
      <c r="T320" s="3">
        <v>2</v>
      </c>
      <c r="U320" s="3">
        <v>3</v>
      </c>
      <c r="V320" s="3">
        <v>4</v>
      </c>
      <c r="W320" s="3"/>
      <c r="X320" s="3">
        <v>25.58</v>
      </c>
      <c r="Y320" s="3">
        <v>25.58</v>
      </c>
      <c r="Z320" s="3">
        <v>25.58</v>
      </c>
      <c r="AA320" s="3">
        <v>0</v>
      </c>
      <c r="AB320" s="3" t="s">
        <v>1732</v>
      </c>
      <c r="AC320" s="3">
        <v>0</v>
      </c>
      <c r="AD320" s="3">
        <v>20.46</v>
      </c>
      <c r="AE320" s="3">
        <v>294</v>
      </c>
      <c r="AF320" s="3">
        <v>0</v>
      </c>
      <c r="AG320" s="3">
        <v>128.53053</v>
      </c>
      <c r="AH320" s="3">
        <v>0.457142857142857</v>
      </c>
      <c r="AI320" s="3" t="s">
        <v>2776</v>
      </c>
      <c r="AJ320" s="3" t="s">
        <v>1715</v>
      </c>
    </row>
    <row r="321" spans="1:36">
      <c r="A321" s="4">
        <v>43277</v>
      </c>
      <c r="B321" s="3" t="s">
        <v>2777</v>
      </c>
      <c r="C321" s="3" t="s">
        <v>2778</v>
      </c>
      <c r="D321" s="3" t="s">
        <v>2779</v>
      </c>
      <c r="E321" s="3" t="s">
        <v>2030</v>
      </c>
      <c r="F321" s="3" t="s">
        <v>1710</v>
      </c>
      <c r="G321" s="3">
        <v>1</v>
      </c>
      <c r="H321" s="3">
        <v>0</v>
      </c>
      <c r="I321" s="3">
        <v>0</v>
      </c>
      <c r="J321" s="3">
        <v>0</v>
      </c>
      <c r="K321" s="3">
        <v>1</v>
      </c>
      <c r="L321" s="3">
        <v>0</v>
      </c>
      <c r="M321" s="3">
        <v>0</v>
      </c>
      <c r="N321" s="3" t="s">
        <v>1711</v>
      </c>
      <c r="O321" s="3">
        <v>1</v>
      </c>
      <c r="P321" s="3">
        <v>0.23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1720</v>
      </c>
      <c r="X321" s="3">
        <v>16.99</v>
      </c>
      <c r="Y321" s="3">
        <v>16.99</v>
      </c>
      <c r="Z321" s="3">
        <v>16.99</v>
      </c>
      <c r="AA321" s="3">
        <v>0</v>
      </c>
      <c r="AB321" s="3" t="s">
        <v>1713</v>
      </c>
      <c r="AC321" s="3">
        <v>1</v>
      </c>
      <c r="AD321" s="3">
        <v>16.99</v>
      </c>
      <c r="AE321" s="3">
        <v>0</v>
      </c>
      <c r="AF321" s="3">
        <v>0</v>
      </c>
      <c r="AG321" s="3">
        <v>0</v>
      </c>
      <c r="AH321" s="3">
        <v>0</v>
      </c>
      <c r="AI321" s="3" t="s">
        <v>2031</v>
      </c>
      <c r="AJ321" s="3" t="s">
        <v>1715</v>
      </c>
    </row>
    <row r="322" spans="1:36">
      <c r="A322" s="4">
        <v>43277</v>
      </c>
      <c r="B322" s="3" t="s">
        <v>2780</v>
      </c>
      <c r="C322" s="3" t="s">
        <v>2781</v>
      </c>
      <c r="D322" s="3" t="s">
        <v>2782</v>
      </c>
      <c r="E322" s="3" t="s">
        <v>2783</v>
      </c>
      <c r="F322" s="3" t="s">
        <v>1710</v>
      </c>
      <c r="G322" s="3">
        <v>1</v>
      </c>
      <c r="H322" s="3">
        <v>0</v>
      </c>
      <c r="I322" s="3">
        <v>0</v>
      </c>
      <c r="J322" s="3">
        <v>1</v>
      </c>
      <c r="K322" s="3">
        <v>0</v>
      </c>
      <c r="L322" s="3">
        <v>0</v>
      </c>
      <c r="M322" s="3">
        <v>0</v>
      </c>
      <c r="N322" s="3" t="s">
        <v>1711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1</v>
      </c>
      <c r="U322" s="3">
        <v>2</v>
      </c>
      <c r="V322" s="3">
        <v>3</v>
      </c>
      <c r="W322" s="3" t="s">
        <v>1712</v>
      </c>
      <c r="X322" s="3">
        <v>13.99</v>
      </c>
      <c r="Y322" s="3">
        <v>13.99</v>
      </c>
      <c r="Z322" s="3">
        <v>13.99</v>
      </c>
      <c r="AA322" s="3">
        <v>0</v>
      </c>
      <c r="AB322" s="3" t="s">
        <v>1713</v>
      </c>
      <c r="AC322" s="3">
        <v>1</v>
      </c>
      <c r="AD322" s="3">
        <v>13.99</v>
      </c>
      <c r="AE322" s="3">
        <v>0</v>
      </c>
      <c r="AF322" s="3">
        <v>0</v>
      </c>
      <c r="AG322" s="3">
        <v>0</v>
      </c>
      <c r="AH322" s="3">
        <v>1.2</v>
      </c>
      <c r="AI322" s="3" t="s">
        <v>2784</v>
      </c>
      <c r="AJ322" s="3" t="s">
        <v>1715</v>
      </c>
    </row>
    <row r="323" spans="1:36">
      <c r="A323" s="4">
        <v>43277</v>
      </c>
      <c r="B323" s="3" t="s">
        <v>2785</v>
      </c>
      <c r="C323" s="3" t="s">
        <v>2786</v>
      </c>
      <c r="D323" s="3" t="s">
        <v>2787</v>
      </c>
      <c r="E323" s="3" t="s">
        <v>2788</v>
      </c>
      <c r="F323" s="3" t="s">
        <v>1710</v>
      </c>
      <c r="G323" s="3">
        <v>1</v>
      </c>
      <c r="H323" s="3">
        <v>0</v>
      </c>
      <c r="I323" s="3">
        <v>1</v>
      </c>
      <c r="J323" s="3">
        <v>0</v>
      </c>
      <c r="K323" s="3">
        <v>0</v>
      </c>
      <c r="L323" s="3">
        <v>0</v>
      </c>
      <c r="M323" s="3">
        <v>0</v>
      </c>
      <c r="N323" s="3" t="s">
        <v>1711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1</v>
      </c>
      <c r="U323" s="3">
        <v>2</v>
      </c>
      <c r="V323" s="3">
        <v>6</v>
      </c>
      <c r="W323" s="3"/>
      <c r="X323" s="3">
        <v>19.99</v>
      </c>
      <c r="Y323" s="3">
        <v>19.99</v>
      </c>
      <c r="Z323" s="3">
        <v>19.99</v>
      </c>
      <c r="AA323" s="3">
        <v>0</v>
      </c>
      <c r="AB323" s="3" t="s">
        <v>1713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2.4</v>
      </c>
      <c r="AI323" s="3" t="s">
        <v>2789</v>
      </c>
      <c r="AJ323" s="3" t="s">
        <v>1715</v>
      </c>
    </row>
    <row r="324" spans="1:36">
      <c r="A324" s="4">
        <v>43277</v>
      </c>
      <c r="B324" s="3" t="s">
        <v>623</v>
      </c>
      <c r="C324" s="3" t="s">
        <v>624</v>
      </c>
      <c r="D324" s="3" t="s">
        <v>625</v>
      </c>
      <c r="E324" s="3" t="s">
        <v>626</v>
      </c>
      <c r="F324" s="3" t="s">
        <v>1710</v>
      </c>
      <c r="G324" s="3">
        <v>8</v>
      </c>
      <c r="H324" s="3">
        <v>0</v>
      </c>
      <c r="I324" s="3">
        <v>8</v>
      </c>
      <c r="J324" s="3">
        <v>0</v>
      </c>
      <c r="K324" s="3">
        <v>0</v>
      </c>
      <c r="L324" s="3">
        <v>0</v>
      </c>
      <c r="M324" s="3">
        <v>0</v>
      </c>
      <c r="N324" s="3" t="s">
        <v>1711</v>
      </c>
      <c r="O324" s="3">
        <v>0</v>
      </c>
      <c r="P324" s="3">
        <v>0</v>
      </c>
      <c r="Q324" s="3">
        <v>0</v>
      </c>
      <c r="R324" s="3">
        <v>0</v>
      </c>
      <c r="S324" s="3">
        <v>3</v>
      </c>
      <c r="T324" s="3">
        <v>8</v>
      </c>
      <c r="U324" s="3">
        <v>15</v>
      </c>
      <c r="V324" s="3">
        <v>23</v>
      </c>
      <c r="W324" s="3"/>
      <c r="X324" s="3">
        <v>28.58</v>
      </c>
      <c r="Y324" s="3">
        <v>28.58</v>
      </c>
      <c r="Z324" s="3">
        <v>28</v>
      </c>
      <c r="AA324" s="3">
        <v>0</v>
      </c>
      <c r="AB324" s="3" t="s">
        <v>1713</v>
      </c>
      <c r="AC324" s="3">
        <v>9</v>
      </c>
      <c r="AD324" s="3">
        <v>28.58</v>
      </c>
      <c r="AE324" s="3">
        <v>0</v>
      </c>
      <c r="AF324" s="3">
        <v>0</v>
      </c>
      <c r="AG324" s="3">
        <v>0</v>
      </c>
      <c r="AH324" s="3">
        <v>1.7037037037037</v>
      </c>
      <c r="AI324" s="3" t="s">
        <v>2790</v>
      </c>
      <c r="AJ324" s="3" t="s">
        <v>1715</v>
      </c>
    </row>
    <row r="325" spans="1:36">
      <c r="A325" s="4">
        <v>43277</v>
      </c>
      <c r="B325" s="3" t="s">
        <v>519</v>
      </c>
      <c r="C325" s="3" t="s">
        <v>520</v>
      </c>
      <c r="D325" s="3" t="s">
        <v>521</v>
      </c>
      <c r="E325" s="3" t="s">
        <v>522</v>
      </c>
      <c r="F325" s="3" t="s">
        <v>1710</v>
      </c>
      <c r="G325" s="3">
        <v>107</v>
      </c>
      <c r="H325" s="3">
        <v>0</v>
      </c>
      <c r="I325" s="3">
        <v>107</v>
      </c>
      <c r="J325" s="3">
        <v>0</v>
      </c>
      <c r="K325" s="3">
        <v>0</v>
      </c>
      <c r="L325" s="3">
        <v>0</v>
      </c>
      <c r="M325" s="3">
        <v>0</v>
      </c>
      <c r="N325" s="3" t="s">
        <v>1711</v>
      </c>
      <c r="O325" s="3">
        <v>0</v>
      </c>
      <c r="P325" s="3">
        <v>0</v>
      </c>
      <c r="Q325" s="3">
        <v>0</v>
      </c>
      <c r="R325" s="3">
        <v>0</v>
      </c>
      <c r="S325" s="3">
        <v>11</v>
      </c>
      <c r="T325" s="3">
        <v>65</v>
      </c>
      <c r="U325" s="3">
        <v>103</v>
      </c>
      <c r="V325" s="3">
        <v>127</v>
      </c>
      <c r="W325" s="3"/>
      <c r="X325" s="3">
        <v>28.58</v>
      </c>
      <c r="Y325" s="3">
        <v>28.58</v>
      </c>
      <c r="Z325" s="3">
        <v>28</v>
      </c>
      <c r="AA325" s="3">
        <v>0</v>
      </c>
      <c r="AB325" s="3" t="s">
        <v>1713</v>
      </c>
      <c r="AC325" s="3">
        <v>109</v>
      </c>
      <c r="AD325" s="3">
        <v>28.58</v>
      </c>
      <c r="AE325" s="3">
        <v>0</v>
      </c>
      <c r="AF325" s="3">
        <v>0</v>
      </c>
      <c r="AG325" s="3">
        <v>0</v>
      </c>
      <c r="AH325" s="3">
        <v>2.56565656565656</v>
      </c>
      <c r="AI325" s="3" t="s">
        <v>1801</v>
      </c>
      <c r="AJ325" s="3" t="s">
        <v>1715</v>
      </c>
    </row>
    <row r="326" spans="1:36">
      <c r="A326" s="4">
        <v>43277</v>
      </c>
      <c r="B326" s="3" t="s">
        <v>1561</v>
      </c>
      <c r="C326" s="3" t="s">
        <v>1562</v>
      </c>
      <c r="D326" s="3" t="s">
        <v>1563</v>
      </c>
      <c r="E326" s="3" t="s">
        <v>1564</v>
      </c>
      <c r="F326" s="3" t="s">
        <v>1710</v>
      </c>
      <c r="G326" s="3">
        <v>9</v>
      </c>
      <c r="H326" s="3">
        <v>0</v>
      </c>
      <c r="I326" s="3">
        <v>9</v>
      </c>
      <c r="J326" s="3">
        <v>0</v>
      </c>
      <c r="K326" s="3">
        <v>0</v>
      </c>
      <c r="L326" s="3">
        <v>0</v>
      </c>
      <c r="M326" s="3">
        <v>0</v>
      </c>
      <c r="N326" s="3" t="s">
        <v>1711</v>
      </c>
      <c r="O326" s="3">
        <v>0</v>
      </c>
      <c r="P326" s="3">
        <v>0</v>
      </c>
      <c r="Q326" s="3">
        <v>0</v>
      </c>
      <c r="R326" s="3">
        <v>0</v>
      </c>
      <c r="S326" s="3">
        <v>10</v>
      </c>
      <c r="T326" s="3">
        <v>23</v>
      </c>
      <c r="U326" s="3">
        <v>39</v>
      </c>
      <c r="V326" s="3">
        <v>53</v>
      </c>
      <c r="W326" s="3"/>
      <c r="X326" s="3">
        <v>35.99</v>
      </c>
      <c r="Y326" s="3">
        <v>28.99</v>
      </c>
      <c r="Z326" s="3">
        <v>28.99</v>
      </c>
      <c r="AA326" s="3">
        <v>0</v>
      </c>
      <c r="AB326" s="3" t="s">
        <v>1713</v>
      </c>
      <c r="AC326" s="3">
        <v>4</v>
      </c>
      <c r="AD326" s="3">
        <v>28.99</v>
      </c>
      <c r="AE326" s="3">
        <v>0</v>
      </c>
      <c r="AF326" s="3">
        <v>0</v>
      </c>
      <c r="AG326" s="3">
        <v>0</v>
      </c>
      <c r="AH326" s="3">
        <v>7.3103448275862</v>
      </c>
      <c r="AI326" s="3" t="s">
        <v>1734</v>
      </c>
      <c r="AJ326" s="3" t="s">
        <v>1715</v>
      </c>
    </row>
    <row r="327" spans="1:36">
      <c r="A327" s="4">
        <v>43277</v>
      </c>
      <c r="B327" s="3" t="s">
        <v>2791</v>
      </c>
      <c r="C327" s="3" t="s">
        <v>2792</v>
      </c>
      <c r="D327" s="3" t="s">
        <v>2793</v>
      </c>
      <c r="E327" s="3" t="s">
        <v>2794</v>
      </c>
      <c r="F327" s="3" t="s">
        <v>1710</v>
      </c>
      <c r="G327" s="3">
        <v>4</v>
      </c>
      <c r="H327" s="3">
        <v>0</v>
      </c>
      <c r="I327" s="3">
        <v>4</v>
      </c>
      <c r="J327" s="3">
        <v>0</v>
      </c>
      <c r="K327" s="3">
        <v>0</v>
      </c>
      <c r="L327" s="3">
        <v>0</v>
      </c>
      <c r="M327" s="3">
        <v>0</v>
      </c>
      <c r="N327" s="3" t="s">
        <v>1711</v>
      </c>
      <c r="O327" s="3">
        <v>0</v>
      </c>
      <c r="P327" s="3">
        <v>0</v>
      </c>
      <c r="Q327" s="3">
        <v>0</v>
      </c>
      <c r="R327" s="3">
        <v>0</v>
      </c>
      <c r="S327" s="3">
        <v>1</v>
      </c>
      <c r="T327" s="3">
        <v>11</v>
      </c>
      <c r="U327" s="3">
        <v>19</v>
      </c>
      <c r="V327" s="3">
        <v>19</v>
      </c>
      <c r="W327" s="3"/>
      <c r="X327" s="3">
        <v>48.58</v>
      </c>
      <c r="Y327" s="3">
        <v>28.99</v>
      </c>
      <c r="Z327" s="3">
        <v>28.99</v>
      </c>
      <c r="AA327" s="3">
        <v>0</v>
      </c>
      <c r="AB327" s="3" t="s">
        <v>1713</v>
      </c>
      <c r="AC327" s="3">
        <v>6</v>
      </c>
      <c r="AD327" s="3">
        <v>28.99</v>
      </c>
      <c r="AE327" s="3">
        <v>0</v>
      </c>
      <c r="AF327" s="3">
        <v>0</v>
      </c>
      <c r="AG327" s="3">
        <v>0</v>
      </c>
      <c r="AH327" s="3">
        <v>3.35294117647058</v>
      </c>
      <c r="AI327" s="3" t="s">
        <v>1800</v>
      </c>
      <c r="AJ327" s="3" t="s">
        <v>1715</v>
      </c>
    </row>
    <row r="328" spans="1:36">
      <c r="A328" s="4">
        <v>43277</v>
      </c>
      <c r="B328" s="3" t="s">
        <v>2795</v>
      </c>
      <c r="C328" s="3" t="s">
        <v>2796</v>
      </c>
      <c r="D328" s="3" t="s">
        <v>2797</v>
      </c>
      <c r="E328" s="3" t="s">
        <v>2798</v>
      </c>
      <c r="F328" s="3" t="s">
        <v>1710</v>
      </c>
      <c r="G328" s="3">
        <v>9</v>
      </c>
      <c r="H328" s="3">
        <v>0</v>
      </c>
      <c r="I328" s="3">
        <v>0</v>
      </c>
      <c r="J328" s="3">
        <v>0</v>
      </c>
      <c r="K328" s="3">
        <v>9</v>
      </c>
      <c r="L328" s="3">
        <v>0</v>
      </c>
      <c r="M328" s="3">
        <v>0</v>
      </c>
      <c r="N328" s="3" t="s">
        <v>1711</v>
      </c>
      <c r="O328" s="3">
        <v>9</v>
      </c>
      <c r="P328" s="3">
        <v>14.84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1</v>
      </c>
      <c r="W328" s="3" t="s">
        <v>1712</v>
      </c>
      <c r="X328" s="3">
        <v>15.99</v>
      </c>
      <c r="Y328" s="3">
        <v>15.99</v>
      </c>
      <c r="Z328" s="3">
        <v>15.99</v>
      </c>
      <c r="AA328" s="3">
        <v>0</v>
      </c>
      <c r="AB328" s="3" t="s">
        <v>1732</v>
      </c>
      <c r="AC328" s="3">
        <v>0</v>
      </c>
      <c r="AD328" s="3">
        <v>12.84</v>
      </c>
      <c r="AE328" s="3">
        <v>231</v>
      </c>
      <c r="AF328" s="3">
        <v>0</v>
      </c>
      <c r="AG328" s="3">
        <v>204.070372</v>
      </c>
      <c r="AH328" s="3">
        <v>0.108108108108108</v>
      </c>
      <c r="AI328" s="3" t="s">
        <v>2799</v>
      </c>
      <c r="AJ328" s="3" t="s">
        <v>1783</v>
      </c>
    </row>
    <row r="329" spans="1:36">
      <c r="A329" s="4">
        <v>43277</v>
      </c>
      <c r="B329" s="3" t="s">
        <v>807</v>
      </c>
      <c r="C329" s="3" t="s">
        <v>808</v>
      </c>
      <c r="D329" s="3" t="s">
        <v>809</v>
      </c>
      <c r="E329" s="3" t="s">
        <v>810</v>
      </c>
      <c r="F329" s="3" t="s">
        <v>1710</v>
      </c>
      <c r="G329" s="3">
        <v>17</v>
      </c>
      <c r="H329" s="3">
        <v>0</v>
      </c>
      <c r="I329" s="3">
        <v>17</v>
      </c>
      <c r="J329" s="3">
        <v>0</v>
      </c>
      <c r="K329" s="3">
        <v>0</v>
      </c>
      <c r="L329" s="3">
        <v>0</v>
      </c>
      <c r="M329" s="3">
        <v>0</v>
      </c>
      <c r="N329" s="3" t="s">
        <v>1711</v>
      </c>
      <c r="O329" s="3">
        <v>0</v>
      </c>
      <c r="P329" s="3">
        <v>0</v>
      </c>
      <c r="Q329" s="3">
        <v>0</v>
      </c>
      <c r="R329" s="3">
        <v>0</v>
      </c>
      <c r="S329" s="3">
        <v>9</v>
      </c>
      <c r="T329" s="3">
        <v>55</v>
      </c>
      <c r="U329" s="3">
        <v>81</v>
      </c>
      <c r="V329" s="3">
        <v>107</v>
      </c>
      <c r="W329" s="3"/>
      <c r="X329" s="3">
        <v>38</v>
      </c>
      <c r="Y329" s="3">
        <v>28.58</v>
      </c>
      <c r="Z329" s="3">
        <v>28.58</v>
      </c>
      <c r="AA329" s="3">
        <v>0</v>
      </c>
      <c r="AB329" s="3" t="s">
        <v>1713</v>
      </c>
      <c r="AC329" s="3">
        <v>21</v>
      </c>
      <c r="AD329" s="3">
        <v>28.58</v>
      </c>
      <c r="AE329" s="3">
        <v>0</v>
      </c>
      <c r="AF329" s="3">
        <v>0</v>
      </c>
      <c r="AG329" s="3">
        <v>0</v>
      </c>
      <c r="AH329" s="3">
        <v>6.29411764705882</v>
      </c>
      <c r="AI329" s="3" t="s">
        <v>2270</v>
      </c>
      <c r="AJ329" s="3" t="s">
        <v>1715</v>
      </c>
    </row>
    <row r="330" spans="1:36">
      <c r="A330" s="4">
        <v>43277</v>
      </c>
      <c r="B330" s="3" t="s">
        <v>1389</v>
      </c>
      <c r="C330" s="3" t="s">
        <v>1390</v>
      </c>
      <c r="D330" s="3" t="s">
        <v>1391</v>
      </c>
      <c r="E330" s="3" t="s">
        <v>1392</v>
      </c>
      <c r="F330" s="3" t="s">
        <v>1710</v>
      </c>
      <c r="G330" s="3">
        <v>4</v>
      </c>
      <c r="H330" s="3">
        <v>0</v>
      </c>
      <c r="I330" s="3">
        <v>4</v>
      </c>
      <c r="J330" s="3">
        <v>0</v>
      </c>
      <c r="K330" s="3">
        <v>0</v>
      </c>
      <c r="L330" s="3">
        <v>0</v>
      </c>
      <c r="M330" s="3">
        <v>0</v>
      </c>
      <c r="N330" s="3" t="s">
        <v>1711</v>
      </c>
      <c r="O330" s="3">
        <v>0</v>
      </c>
      <c r="P330" s="3">
        <v>0</v>
      </c>
      <c r="Q330" s="3">
        <v>0</v>
      </c>
      <c r="R330" s="3">
        <v>0</v>
      </c>
      <c r="S330" s="3">
        <v>11</v>
      </c>
      <c r="T330" s="3">
        <v>18</v>
      </c>
      <c r="U330" s="3">
        <v>34</v>
      </c>
      <c r="V330" s="3">
        <v>34</v>
      </c>
      <c r="W330" s="3"/>
      <c r="X330" s="3">
        <v>22.99</v>
      </c>
      <c r="Y330" s="3">
        <v>22.99</v>
      </c>
      <c r="Z330" s="3">
        <v>22.99</v>
      </c>
      <c r="AA330" s="3">
        <v>0</v>
      </c>
      <c r="AB330" s="3" t="s">
        <v>1713</v>
      </c>
      <c r="AC330" s="3">
        <v>18</v>
      </c>
      <c r="AD330" s="3">
        <v>22.99</v>
      </c>
      <c r="AE330" s="3">
        <v>0</v>
      </c>
      <c r="AF330" s="3">
        <v>0</v>
      </c>
      <c r="AG330" s="3">
        <v>0</v>
      </c>
      <c r="AH330" s="3">
        <v>9.27272727272727</v>
      </c>
      <c r="AI330" s="3" t="s">
        <v>1841</v>
      </c>
      <c r="AJ330" s="3" t="s">
        <v>1715</v>
      </c>
    </row>
    <row r="331" spans="1:36">
      <c r="A331" s="4">
        <v>43277</v>
      </c>
      <c r="B331" s="3" t="s">
        <v>2800</v>
      </c>
      <c r="C331" s="3" t="s">
        <v>2801</v>
      </c>
      <c r="D331" s="3" t="s">
        <v>2802</v>
      </c>
      <c r="E331" s="3" t="s">
        <v>2803</v>
      </c>
      <c r="F331" s="3" t="s">
        <v>1710</v>
      </c>
      <c r="G331" s="3">
        <v>125</v>
      </c>
      <c r="H331" s="3">
        <v>0</v>
      </c>
      <c r="I331" s="3">
        <v>6</v>
      </c>
      <c r="J331" s="3">
        <v>29</v>
      </c>
      <c r="K331" s="3">
        <v>90</v>
      </c>
      <c r="L331" s="3">
        <v>0</v>
      </c>
      <c r="M331" s="3">
        <v>0</v>
      </c>
      <c r="N331" s="3" t="s">
        <v>1711</v>
      </c>
      <c r="O331" s="3">
        <v>111</v>
      </c>
      <c r="P331" s="3">
        <v>69.69</v>
      </c>
      <c r="Q331" s="3">
        <v>0</v>
      </c>
      <c r="R331" s="3">
        <v>0</v>
      </c>
      <c r="S331" s="3">
        <v>0</v>
      </c>
      <c r="T331" s="3">
        <v>0</v>
      </c>
      <c r="U331" s="3">
        <v>2</v>
      </c>
      <c r="V331" s="3">
        <v>9</v>
      </c>
      <c r="W331" s="3" t="s">
        <v>1712</v>
      </c>
      <c r="X331" s="3">
        <v>16.99</v>
      </c>
      <c r="Y331" s="3">
        <v>16.99</v>
      </c>
      <c r="Z331" s="3">
        <v>16</v>
      </c>
      <c r="AA331" s="3">
        <v>0</v>
      </c>
      <c r="AB331" s="3" t="s">
        <v>1732</v>
      </c>
      <c r="AC331" s="3">
        <v>20</v>
      </c>
      <c r="AD331" s="3">
        <v>15.07</v>
      </c>
      <c r="AE331" s="3">
        <v>161</v>
      </c>
      <c r="AF331" s="3">
        <v>0</v>
      </c>
      <c r="AG331" s="3">
        <v>1472.227543</v>
      </c>
      <c r="AH331" s="3">
        <v>0.0309278350515463</v>
      </c>
      <c r="AI331" s="3" t="s">
        <v>2804</v>
      </c>
      <c r="AJ331" s="3" t="s">
        <v>1715</v>
      </c>
    </row>
    <row r="332" spans="1:36">
      <c r="A332" s="4">
        <v>43277</v>
      </c>
      <c r="B332" s="3" t="s">
        <v>2805</v>
      </c>
      <c r="C332" s="3" t="s">
        <v>2806</v>
      </c>
      <c r="D332" s="3" t="s">
        <v>2807</v>
      </c>
      <c r="E332" s="3" t="s">
        <v>2808</v>
      </c>
      <c r="F332" s="3" t="s">
        <v>1710</v>
      </c>
      <c r="G332" s="3">
        <v>13</v>
      </c>
      <c r="H332" s="3">
        <v>0</v>
      </c>
      <c r="I332" s="3">
        <v>6</v>
      </c>
      <c r="J332" s="3">
        <v>7</v>
      </c>
      <c r="K332" s="3">
        <v>0</v>
      </c>
      <c r="L332" s="3">
        <v>0</v>
      </c>
      <c r="M332" s="3">
        <v>0</v>
      </c>
      <c r="N332" s="3" t="s">
        <v>1711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2</v>
      </c>
      <c r="U332" s="3">
        <v>4</v>
      </c>
      <c r="V332" s="3">
        <v>6</v>
      </c>
      <c r="W332" s="3"/>
      <c r="X332" s="3">
        <v>28.58</v>
      </c>
      <c r="Y332" s="3">
        <v>28.58</v>
      </c>
      <c r="Z332" s="3">
        <v>28</v>
      </c>
      <c r="AA332" s="3">
        <v>0</v>
      </c>
      <c r="AB332" s="3" t="s">
        <v>1713</v>
      </c>
      <c r="AC332" s="3">
        <v>13</v>
      </c>
      <c r="AD332" s="3">
        <v>28.58</v>
      </c>
      <c r="AE332" s="3">
        <v>0</v>
      </c>
      <c r="AF332" s="3">
        <v>0</v>
      </c>
      <c r="AG332" s="3">
        <v>0</v>
      </c>
      <c r="AH332" s="3">
        <v>0.6</v>
      </c>
      <c r="AI332" s="3" t="s">
        <v>2790</v>
      </c>
      <c r="AJ332" s="3" t="s">
        <v>1715</v>
      </c>
    </row>
    <row r="333" spans="1:36">
      <c r="A333" s="4">
        <v>43277</v>
      </c>
      <c r="B333" s="3" t="s">
        <v>2809</v>
      </c>
      <c r="C333" s="3" t="s">
        <v>2810</v>
      </c>
      <c r="D333" s="3" t="s">
        <v>2811</v>
      </c>
      <c r="E333" s="3" t="s">
        <v>2812</v>
      </c>
      <c r="F333" s="3" t="s">
        <v>1710</v>
      </c>
      <c r="G333" s="3">
        <v>2</v>
      </c>
      <c r="H333" s="3">
        <v>0</v>
      </c>
      <c r="I333" s="3">
        <v>0</v>
      </c>
      <c r="J333" s="3">
        <v>2</v>
      </c>
      <c r="K333" s="3">
        <v>0</v>
      </c>
      <c r="L333" s="3">
        <v>0</v>
      </c>
      <c r="M333" s="3">
        <v>0</v>
      </c>
      <c r="N333" s="3" t="s">
        <v>1711</v>
      </c>
      <c r="O333" s="3">
        <v>2</v>
      </c>
      <c r="P333" s="3">
        <v>3.42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1720</v>
      </c>
      <c r="X333" s="3">
        <v>18.99</v>
      </c>
      <c r="Y333" s="3">
        <v>18.99</v>
      </c>
      <c r="Z333" s="3">
        <v>18.99</v>
      </c>
      <c r="AA333" s="3">
        <v>0</v>
      </c>
      <c r="AB333" s="3" t="s">
        <v>1721</v>
      </c>
      <c r="AC333" s="3">
        <v>2</v>
      </c>
      <c r="AD333" s="3">
        <v>18.99</v>
      </c>
      <c r="AE333" s="3">
        <v>0</v>
      </c>
      <c r="AF333" s="3">
        <v>0</v>
      </c>
      <c r="AG333" s="3">
        <v>0</v>
      </c>
      <c r="AH333" s="3">
        <v>0</v>
      </c>
      <c r="AI333" s="3" t="s">
        <v>1749</v>
      </c>
      <c r="AJ333" s="3" t="s">
        <v>1715</v>
      </c>
    </row>
    <row r="334" spans="1:36">
      <c r="A334" s="4">
        <v>43277</v>
      </c>
      <c r="B334" s="3" t="s">
        <v>2813</v>
      </c>
      <c r="C334" s="3" t="s">
        <v>2814</v>
      </c>
      <c r="D334" s="3" t="s">
        <v>2815</v>
      </c>
      <c r="E334" s="3" t="s">
        <v>2816</v>
      </c>
      <c r="F334" s="3" t="s">
        <v>1710</v>
      </c>
      <c r="G334" s="3">
        <v>30</v>
      </c>
      <c r="H334" s="3">
        <v>0</v>
      </c>
      <c r="I334" s="3">
        <v>0</v>
      </c>
      <c r="J334" s="3">
        <v>30</v>
      </c>
      <c r="K334" s="3">
        <v>0</v>
      </c>
      <c r="L334" s="3">
        <v>0</v>
      </c>
      <c r="M334" s="3">
        <v>0</v>
      </c>
      <c r="N334" s="3" t="s">
        <v>1711</v>
      </c>
      <c r="O334" s="3">
        <v>30</v>
      </c>
      <c r="P334" s="3">
        <v>44.21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 t="s">
        <v>1720</v>
      </c>
      <c r="X334" s="3">
        <v>35</v>
      </c>
      <c r="Y334" s="3">
        <v>14.99</v>
      </c>
      <c r="Z334" s="3">
        <v>14.99</v>
      </c>
      <c r="AA334" s="3">
        <v>0</v>
      </c>
      <c r="AB334" s="3" t="s">
        <v>1732</v>
      </c>
      <c r="AC334" s="3">
        <v>0</v>
      </c>
      <c r="AD334" s="3">
        <v>11.99</v>
      </c>
      <c r="AE334" s="3">
        <v>63</v>
      </c>
      <c r="AF334" s="3">
        <v>0</v>
      </c>
      <c r="AG334" s="3">
        <v>522.045607</v>
      </c>
      <c r="AH334" s="3">
        <v>0</v>
      </c>
      <c r="AI334" s="3" t="s">
        <v>1770</v>
      </c>
      <c r="AJ334" s="3" t="s">
        <v>1715</v>
      </c>
    </row>
    <row r="335" spans="1:36">
      <c r="A335" s="4">
        <v>43277</v>
      </c>
      <c r="B335" s="3" t="s">
        <v>2817</v>
      </c>
      <c r="C335" s="3" t="s">
        <v>2818</v>
      </c>
      <c r="D335" s="3" t="s">
        <v>2819</v>
      </c>
      <c r="E335" s="3" t="s">
        <v>2820</v>
      </c>
      <c r="F335" s="3" t="s">
        <v>1710</v>
      </c>
      <c r="G335" s="3">
        <v>5</v>
      </c>
      <c r="H335" s="3">
        <v>0</v>
      </c>
      <c r="I335" s="3">
        <v>0</v>
      </c>
      <c r="J335" s="3">
        <v>1</v>
      </c>
      <c r="K335" s="3">
        <v>4</v>
      </c>
      <c r="L335" s="3">
        <v>0</v>
      </c>
      <c r="M335" s="3">
        <v>0</v>
      </c>
      <c r="N335" s="3" t="s">
        <v>1711</v>
      </c>
      <c r="O335" s="3">
        <v>5</v>
      </c>
      <c r="P335" s="3">
        <v>4.85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 t="s">
        <v>1712</v>
      </c>
      <c r="X335" s="3">
        <v>15.99</v>
      </c>
      <c r="Y335" s="3">
        <v>15.99</v>
      </c>
      <c r="Z335" s="3">
        <v>15.99</v>
      </c>
      <c r="AA335" s="3">
        <v>0</v>
      </c>
      <c r="AB335" s="3" t="s">
        <v>1732</v>
      </c>
      <c r="AC335" s="3">
        <v>1</v>
      </c>
      <c r="AD335" s="3">
        <v>14.71</v>
      </c>
      <c r="AE335" s="3">
        <v>49</v>
      </c>
      <c r="AF335" s="3">
        <v>0</v>
      </c>
      <c r="AG335" s="3">
        <v>92.503873</v>
      </c>
      <c r="AH335" s="3">
        <v>0</v>
      </c>
      <c r="AI335" s="3" t="s">
        <v>2821</v>
      </c>
      <c r="AJ335" s="3" t="s">
        <v>1783</v>
      </c>
    </row>
    <row r="336" spans="1:36">
      <c r="A336" s="4">
        <v>43277</v>
      </c>
      <c r="B336" s="3" t="s">
        <v>547</v>
      </c>
      <c r="C336" s="3" t="s">
        <v>548</v>
      </c>
      <c r="D336" s="3" t="s">
        <v>549</v>
      </c>
      <c r="E336" s="3" t="s">
        <v>550</v>
      </c>
      <c r="F336" s="3" t="s">
        <v>1710</v>
      </c>
      <c r="G336" s="3">
        <v>71</v>
      </c>
      <c r="H336" s="3">
        <v>0</v>
      </c>
      <c r="I336" s="3">
        <v>71</v>
      </c>
      <c r="J336" s="3">
        <v>0</v>
      </c>
      <c r="K336" s="3">
        <v>0</v>
      </c>
      <c r="L336" s="3">
        <v>0</v>
      </c>
      <c r="M336" s="3">
        <v>0</v>
      </c>
      <c r="N336" s="3" t="s">
        <v>1711</v>
      </c>
      <c r="O336" s="3">
        <v>0</v>
      </c>
      <c r="P336" s="3">
        <v>0</v>
      </c>
      <c r="Q336" s="3">
        <v>0</v>
      </c>
      <c r="R336" s="3">
        <v>0</v>
      </c>
      <c r="S336" s="3">
        <v>5</v>
      </c>
      <c r="T336" s="3">
        <v>44</v>
      </c>
      <c r="U336" s="3">
        <v>60</v>
      </c>
      <c r="V336" s="3">
        <v>68</v>
      </c>
      <c r="W336" s="3"/>
      <c r="X336" s="3">
        <v>38</v>
      </c>
      <c r="Y336" s="3">
        <v>28.58</v>
      </c>
      <c r="Z336" s="3">
        <v>28</v>
      </c>
      <c r="AA336" s="3">
        <v>0</v>
      </c>
      <c r="AB336" s="3" t="s">
        <v>1713</v>
      </c>
      <c r="AC336" s="3">
        <v>10</v>
      </c>
      <c r="AD336" s="3">
        <v>28.58</v>
      </c>
      <c r="AE336" s="3">
        <v>0</v>
      </c>
      <c r="AF336" s="3">
        <v>0</v>
      </c>
      <c r="AG336" s="3">
        <v>0</v>
      </c>
      <c r="AH336" s="3">
        <v>2.49541284403669</v>
      </c>
      <c r="AI336" s="3" t="s">
        <v>1801</v>
      </c>
      <c r="AJ336" s="3" t="s">
        <v>1715</v>
      </c>
    </row>
    <row r="337" spans="1:36">
      <c r="A337" s="4">
        <v>43277</v>
      </c>
      <c r="B337" s="3" t="s">
        <v>200</v>
      </c>
      <c r="C337" s="3" t="s">
        <v>201</v>
      </c>
      <c r="D337" s="3" t="s">
        <v>202</v>
      </c>
      <c r="E337" s="3" t="s">
        <v>203</v>
      </c>
      <c r="F337" s="3" t="s">
        <v>1710</v>
      </c>
      <c r="G337" s="3">
        <v>25</v>
      </c>
      <c r="H337" s="3">
        <v>0</v>
      </c>
      <c r="I337" s="3">
        <v>25</v>
      </c>
      <c r="J337" s="3">
        <v>0</v>
      </c>
      <c r="K337" s="3">
        <v>0</v>
      </c>
      <c r="L337" s="3">
        <v>0</v>
      </c>
      <c r="M337" s="3">
        <v>0</v>
      </c>
      <c r="N337" s="3" t="s">
        <v>1711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6</v>
      </c>
      <c r="U337" s="3">
        <v>6</v>
      </c>
      <c r="V337" s="3">
        <v>6</v>
      </c>
      <c r="W337" s="3"/>
      <c r="X337" s="3">
        <v>14.99</v>
      </c>
      <c r="Y337" s="3">
        <v>14.99</v>
      </c>
      <c r="Z337" s="3">
        <v>14.99</v>
      </c>
      <c r="AA337" s="3">
        <v>0</v>
      </c>
      <c r="AB337" s="3" t="s">
        <v>1732</v>
      </c>
      <c r="AC337" s="3">
        <v>0</v>
      </c>
      <c r="AD337" s="3">
        <v>13.6</v>
      </c>
      <c r="AE337" s="3">
        <v>336</v>
      </c>
      <c r="AF337" s="3">
        <v>0</v>
      </c>
      <c r="AG337" s="3">
        <v>229.178872</v>
      </c>
      <c r="AH337" s="3">
        <v>0.24</v>
      </c>
      <c r="AI337" s="3" t="s">
        <v>2467</v>
      </c>
      <c r="AJ337" s="3" t="s">
        <v>1715</v>
      </c>
    </row>
    <row r="338" spans="1:36">
      <c r="A338" s="4">
        <v>43277</v>
      </c>
      <c r="B338" s="3" t="s">
        <v>943</v>
      </c>
      <c r="C338" s="3" t="s">
        <v>944</v>
      </c>
      <c r="D338" s="3" t="s">
        <v>945</v>
      </c>
      <c r="E338" s="3" t="s">
        <v>946</v>
      </c>
      <c r="F338" s="3" t="s">
        <v>1710</v>
      </c>
      <c r="G338" s="3">
        <v>14</v>
      </c>
      <c r="H338" s="3">
        <v>0</v>
      </c>
      <c r="I338" s="3">
        <v>14</v>
      </c>
      <c r="J338" s="3">
        <v>0</v>
      </c>
      <c r="K338" s="3">
        <v>0</v>
      </c>
      <c r="L338" s="3">
        <v>0</v>
      </c>
      <c r="M338" s="3">
        <v>0</v>
      </c>
      <c r="N338" s="3" t="s">
        <v>1711</v>
      </c>
      <c r="O338" s="3">
        <v>0</v>
      </c>
      <c r="P338" s="3">
        <v>0</v>
      </c>
      <c r="Q338" s="3">
        <v>0</v>
      </c>
      <c r="R338" s="3">
        <v>0</v>
      </c>
      <c r="S338" s="3">
        <v>3</v>
      </c>
      <c r="T338" s="3">
        <v>5</v>
      </c>
      <c r="U338" s="3">
        <v>10</v>
      </c>
      <c r="V338" s="3">
        <v>11</v>
      </c>
      <c r="W338" s="3"/>
      <c r="X338" s="3">
        <v>15.99</v>
      </c>
      <c r="Y338" s="3">
        <v>15.99</v>
      </c>
      <c r="Z338" s="3">
        <v>15.99</v>
      </c>
      <c r="AA338" s="3">
        <v>0</v>
      </c>
      <c r="AB338" s="3" t="s">
        <v>1713</v>
      </c>
      <c r="AC338" s="3">
        <v>15</v>
      </c>
      <c r="AD338" s="3">
        <v>15.99</v>
      </c>
      <c r="AE338" s="3">
        <v>0</v>
      </c>
      <c r="AF338" s="3">
        <v>0</v>
      </c>
      <c r="AG338" s="3">
        <v>0</v>
      </c>
      <c r="AH338" s="3">
        <v>0.702127659574468</v>
      </c>
      <c r="AI338" s="3" t="s">
        <v>1881</v>
      </c>
      <c r="AJ338" s="3" t="s">
        <v>1715</v>
      </c>
    </row>
    <row r="339" spans="1:36">
      <c r="A339" s="4">
        <v>43277</v>
      </c>
      <c r="B339" s="3" t="s">
        <v>2822</v>
      </c>
      <c r="C339" s="3" t="s">
        <v>2823</v>
      </c>
      <c r="D339" s="3" t="s">
        <v>2824</v>
      </c>
      <c r="E339" s="3" t="s">
        <v>2825</v>
      </c>
      <c r="F339" s="3" t="s">
        <v>1710</v>
      </c>
      <c r="G339" s="3">
        <v>35</v>
      </c>
      <c r="H339" s="3">
        <v>0</v>
      </c>
      <c r="I339" s="3">
        <v>35</v>
      </c>
      <c r="J339" s="3">
        <v>0</v>
      </c>
      <c r="K339" s="3">
        <v>0</v>
      </c>
      <c r="L339" s="3">
        <v>0</v>
      </c>
      <c r="M339" s="3">
        <v>0</v>
      </c>
      <c r="N339" s="3" t="s">
        <v>1711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6</v>
      </c>
      <c r="U339" s="3">
        <v>16</v>
      </c>
      <c r="V339" s="3">
        <v>36</v>
      </c>
      <c r="W339" s="3"/>
      <c r="X339" s="3">
        <v>18.99</v>
      </c>
      <c r="Y339" s="3">
        <v>18.99</v>
      </c>
      <c r="Z339" s="3">
        <v>18</v>
      </c>
      <c r="AA339" s="3">
        <v>0</v>
      </c>
      <c r="AB339" s="3" t="s">
        <v>1713</v>
      </c>
      <c r="AC339" s="3">
        <v>34</v>
      </c>
      <c r="AD339" s="3">
        <v>18.99</v>
      </c>
      <c r="AE339" s="3">
        <v>0</v>
      </c>
      <c r="AF339" s="3">
        <v>0</v>
      </c>
      <c r="AG339" s="3">
        <v>0</v>
      </c>
      <c r="AH339" s="3">
        <v>1.09090909090909</v>
      </c>
      <c r="AI339" s="3" t="s">
        <v>1794</v>
      </c>
      <c r="AJ339" s="3" t="s">
        <v>1715</v>
      </c>
    </row>
    <row r="340" spans="1:36">
      <c r="A340" s="4">
        <v>43277</v>
      </c>
      <c r="B340" s="3" t="s">
        <v>2826</v>
      </c>
      <c r="C340" s="3" t="s">
        <v>2827</v>
      </c>
      <c r="D340" s="3" t="s">
        <v>2828</v>
      </c>
      <c r="E340" s="3" t="s">
        <v>2829</v>
      </c>
      <c r="F340" s="3" t="s">
        <v>1710</v>
      </c>
      <c r="G340" s="3">
        <v>10</v>
      </c>
      <c r="H340" s="3">
        <v>0</v>
      </c>
      <c r="I340" s="3">
        <v>0</v>
      </c>
      <c r="J340" s="3">
        <v>0</v>
      </c>
      <c r="K340" s="3">
        <v>10</v>
      </c>
      <c r="L340" s="3">
        <v>0</v>
      </c>
      <c r="M340" s="3">
        <v>0</v>
      </c>
      <c r="N340" s="3" t="s">
        <v>1711</v>
      </c>
      <c r="O340" s="3">
        <v>10</v>
      </c>
      <c r="P340" s="3">
        <v>0.07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 t="s">
        <v>1720</v>
      </c>
      <c r="X340" s="3">
        <v>18.99</v>
      </c>
      <c r="Y340" s="3">
        <v>18.99</v>
      </c>
      <c r="Z340" s="3">
        <v>18.99</v>
      </c>
      <c r="AA340" s="3">
        <v>0</v>
      </c>
      <c r="AB340" s="3" t="s">
        <v>1732</v>
      </c>
      <c r="AC340" s="3">
        <v>0</v>
      </c>
      <c r="AD340" s="3">
        <v>15.19</v>
      </c>
      <c r="AE340" s="3">
        <v>63</v>
      </c>
      <c r="AF340" s="3">
        <v>0</v>
      </c>
      <c r="AG340" s="3">
        <v>5.148446</v>
      </c>
      <c r="AH340" s="3">
        <v>0</v>
      </c>
      <c r="AI340" s="3" t="s">
        <v>1782</v>
      </c>
      <c r="AJ340" s="3" t="s">
        <v>1715</v>
      </c>
    </row>
    <row r="341" spans="1:36">
      <c r="A341" s="4">
        <v>43277</v>
      </c>
      <c r="B341" s="3" t="s">
        <v>2830</v>
      </c>
      <c r="C341" s="3" t="s">
        <v>2831</v>
      </c>
      <c r="D341" s="3" t="s">
        <v>2832</v>
      </c>
      <c r="E341" s="3" t="s">
        <v>2833</v>
      </c>
      <c r="F341" s="3" t="s">
        <v>1710</v>
      </c>
      <c r="G341" s="3">
        <v>1</v>
      </c>
      <c r="H341" s="3">
        <v>0</v>
      </c>
      <c r="I341" s="3">
        <v>0</v>
      </c>
      <c r="J341" s="3">
        <v>0</v>
      </c>
      <c r="K341" s="3">
        <v>1</v>
      </c>
      <c r="L341" s="3">
        <v>0</v>
      </c>
      <c r="M341" s="3">
        <v>0</v>
      </c>
      <c r="N341" s="3" t="s">
        <v>1711</v>
      </c>
      <c r="O341" s="3">
        <v>1</v>
      </c>
      <c r="P341" s="3">
        <v>3.74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1720</v>
      </c>
      <c r="X341" s="3">
        <v>25.99</v>
      </c>
      <c r="Y341" s="3">
        <v>25.99</v>
      </c>
      <c r="Z341" s="3">
        <v>25.99</v>
      </c>
      <c r="AA341" s="3">
        <v>0</v>
      </c>
      <c r="AB341" s="3" t="s">
        <v>1713</v>
      </c>
      <c r="AC341" s="3">
        <v>1</v>
      </c>
      <c r="AD341" s="3">
        <v>25.99</v>
      </c>
      <c r="AE341" s="3">
        <v>0</v>
      </c>
      <c r="AF341" s="3">
        <v>0</v>
      </c>
      <c r="AG341" s="3">
        <v>0</v>
      </c>
      <c r="AH341" s="3">
        <v>0</v>
      </c>
      <c r="AI341" s="3" t="s">
        <v>2834</v>
      </c>
      <c r="AJ341" s="3" t="s">
        <v>1715</v>
      </c>
    </row>
    <row r="342" spans="1:36">
      <c r="A342" s="4">
        <v>43277</v>
      </c>
      <c r="B342" s="3" t="s">
        <v>691</v>
      </c>
      <c r="C342" s="3" t="s">
        <v>692</v>
      </c>
      <c r="D342" s="3" t="s">
        <v>693</v>
      </c>
      <c r="E342" s="3" t="s">
        <v>694</v>
      </c>
      <c r="F342" s="3" t="s">
        <v>1710</v>
      </c>
      <c r="G342" s="3">
        <v>6</v>
      </c>
      <c r="H342" s="3">
        <v>0</v>
      </c>
      <c r="I342" s="3">
        <v>6</v>
      </c>
      <c r="J342" s="3">
        <v>0</v>
      </c>
      <c r="K342" s="3">
        <v>0</v>
      </c>
      <c r="L342" s="3">
        <v>0</v>
      </c>
      <c r="M342" s="3">
        <v>0</v>
      </c>
      <c r="N342" s="3" t="s">
        <v>1711</v>
      </c>
      <c r="O342" s="3">
        <v>0</v>
      </c>
      <c r="P342" s="3">
        <v>0</v>
      </c>
      <c r="Q342" s="3">
        <v>0</v>
      </c>
      <c r="R342" s="3">
        <v>0</v>
      </c>
      <c r="S342" s="3">
        <v>1</v>
      </c>
      <c r="T342" s="3">
        <v>8</v>
      </c>
      <c r="U342" s="3">
        <v>13</v>
      </c>
      <c r="V342" s="3">
        <v>18</v>
      </c>
      <c r="W342" s="3" t="s">
        <v>1712</v>
      </c>
      <c r="X342" s="3">
        <v>38.99</v>
      </c>
      <c r="Y342" s="3">
        <v>19.99</v>
      </c>
      <c r="Z342" s="3">
        <v>19.99</v>
      </c>
      <c r="AA342" s="3">
        <v>0</v>
      </c>
      <c r="AB342" s="3" t="s">
        <v>1713</v>
      </c>
      <c r="AC342" s="3">
        <v>3</v>
      </c>
      <c r="AD342" s="3">
        <v>19.99</v>
      </c>
      <c r="AE342" s="3">
        <v>0</v>
      </c>
      <c r="AF342" s="3">
        <v>0</v>
      </c>
      <c r="AG342" s="3">
        <v>0</v>
      </c>
      <c r="AH342" s="3">
        <v>2.05714285714285</v>
      </c>
      <c r="AI342" s="3" t="s">
        <v>1891</v>
      </c>
      <c r="AJ342" s="3" t="s">
        <v>1715</v>
      </c>
    </row>
    <row r="343" spans="1:36">
      <c r="A343" s="4">
        <v>43277</v>
      </c>
      <c r="B343" s="3" t="s">
        <v>779</v>
      </c>
      <c r="C343" s="3" t="s">
        <v>780</v>
      </c>
      <c r="D343" s="3" t="s">
        <v>781</v>
      </c>
      <c r="E343" s="3" t="s">
        <v>782</v>
      </c>
      <c r="F343" s="3" t="s">
        <v>1710</v>
      </c>
      <c r="G343" s="3">
        <v>51</v>
      </c>
      <c r="H343" s="3">
        <v>0</v>
      </c>
      <c r="I343" s="3">
        <v>51</v>
      </c>
      <c r="J343" s="3">
        <v>0</v>
      </c>
      <c r="K343" s="3">
        <v>0</v>
      </c>
      <c r="L343" s="3">
        <v>0</v>
      </c>
      <c r="M343" s="3">
        <v>0</v>
      </c>
      <c r="N343" s="3" t="s">
        <v>1711</v>
      </c>
      <c r="O343" s="3">
        <v>0</v>
      </c>
      <c r="P343" s="3">
        <v>0</v>
      </c>
      <c r="Q343" s="3">
        <v>0</v>
      </c>
      <c r="R343" s="3">
        <v>0</v>
      </c>
      <c r="S343" s="3">
        <v>12</v>
      </c>
      <c r="T343" s="3">
        <v>33</v>
      </c>
      <c r="U343" s="3">
        <v>67</v>
      </c>
      <c r="V343" s="3">
        <v>84</v>
      </c>
      <c r="W343" s="3"/>
      <c r="X343" s="3">
        <v>38</v>
      </c>
      <c r="Y343" s="3">
        <v>28.58</v>
      </c>
      <c r="Z343" s="3">
        <v>28.58</v>
      </c>
      <c r="AA343" s="3">
        <v>0</v>
      </c>
      <c r="AB343" s="3" t="s">
        <v>1713</v>
      </c>
      <c r="AC343" s="3">
        <v>32</v>
      </c>
      <c r="AD343" s="3">
        <v>28.58</v>
      </c>
      <c r="AE343" s="3">
        <v>0</v>
      </c>
      <c r="AF343" s="3">
        <v>0</v>
      </c>
      <c r="AG343" s="3">
        <v>0</v>
      </c>
      <c r="AH343" s="3">
        <v>3.46391752577319</v>
      </c>
      <c r="AI343" s="3" t="s">
        <v>2270</v>
      </c>
      <c r="AJ343" s="3" t="s">
        <v>1715</v>
      </c>
    </row>
    <row r="344" spans="1:36">
      <c r="A344" s="4">
        <v>43277</v>
      </c>
      <c r="B344" s="3" t="s">
        <v>1210</v>
      </c>
      <c r="C344" s="3" t="s">
        <v>1211</v>
      </c>
      <c r="D344" s="3" t="s">
        <v>1212</v>
      </c>
      <c r="E344" s="3" t="s">
        <v>1213</v>
      </c>
      <c r="F344" s="3" t="s">
        <v>1710</v>
      </c>
      <c r="G344" s="3">
        <v>4</v>
      </c>
      <c r="H344" s="3">
        <v>0</v>
      </c>
      <c r="I344" s="3">
        <v>4</v>
      </c>
      <c r="J344" s="3">
        <v>0</v>
      </c>
      <c r="K344" s="3">
        <v>0</v>
      </c>
      <c r="L344" s="3">
        <v>0</v>
      </c>
      <c r="M344" s="3">
        <v>0</v>
      </c>
      <c r="N344" s="3" t="s">
        <v>1711</v>
      </c>
      <c r="O344" s="3">
        <v>0</v>
      </c>
      <c r="P344" s="3">
        <v>0</v>
      </c>
      <c r="Q344" s="3">
        <v>0</v>
      </c>
      <c r="R344" s="3">
        <v>0</v>
      </c>
      <c r="S344" s="3">
        <v>1</v>
      </c>
      <c r="T344" s="3">
        <v>7</v>
      </c>
      <c r="U344" s="3">
        <v>11</v>
      </c>
      <c r="V344" s="3">
        <v>11</v>
      </c>
      <c r="W344" s="3" t="s">
        <v>1720</v>
      </c>
      <c r="X344" s="3">
        <v>16.99</v>
      </c>
      <c r="Y344" s="3">
        <v>16.99</v>
      </c>
      <c r="Z344" s="3">
        <v>16.99</v>
      </c>
      <c r="AA344" s="3">
        <v>0</v>
      </c>
      <c r="AB344" s="3" t="s">
        <v>1721</v>
      </c>
      <c r="AC344" s="3">
        <v>4</v>
      </c>
      <c r="AD344" s="3">
        <v>16.99</v>
      </c>
      <c r="AE344" s="3">
        <v>0</v>
      </c>
      <c r="AF344" s="3">
        <v>0</v>
      </c>
      <c r="AG344" s="3">
        <v>0</v>
      </c>
      <c r="AH344" s="3">
        <v>2.2</v>
      </c>
      <c r="AI344" s="3" t="s">
        <v>1881</v>
      </c>
      <c r="AJ344" s="3" t="s">
        <v>1715</v>
      </c>
    </row>
    <row r="345" spans="1:36">
      <c r="A345" s="4">
        <v>43277</v>
      </c>
      <c r="B345" s="3" t="s">
        <v>2835</v>
      </c>
      <c r="C345" s="3" t="s">
        <v>2836</v>
      </c>
      <c r="D345" s="3" t="s">
        <v>2837</v>
      </c>
      <c r="E345" s="3" t="s">
        <v>1380</v>
      </c>
      <c r="F345" s="3" t="s">
        <v>1710</v>
      </c>
      <c r="G345" s="3">
        <v>9</v>
      </c>
      <c r="H345" s="3">
        <v>0</v>
      </c>
      <c r="I345" s="3">
        <v>9</v>
      </c>
      <c r="J345" s="3">
        <v>0</v>
      </c>
      <c r="K345" s="3">
        <v>0</v>
      </c>
      <c r="L345" s="3">
        <v>0</v>
      </c>
      <c r="M345" s="3">
        <v>0</v>
      </c>
      <c r="N345" s="3" t="s">
        <v>1711</v>
      </c>
      <c r="O345" s="3">
        <v>0</v>
      </c>
      <c r="P345" s="3">
        <v>0</v>
      </c>
      <c r="Q345" s="3">
        <v>0</v>
      </c>
      <c r="R345" s="3">
        <v>0</v>
      </c>
      <c r="S345" s="3">
        <v>1</v>
      </c>
      <c r="T345" s="3">
        <v>3</v>
      </c>
      <c r="U345" s="3">
        <v>5</v>
      </c>
      <c r="V345" s="3">
        <v>6</v>
      </c>
      <c r="W345" s="3"/>
      <c r="X345" s="3">
        <v>23.99</v>
      </c>
      <c r="Y345" s="3">
        <v>23.99</v>
      </c>
      <c r="Z345" s="3">
        <v>23.99</v>
      </c>
      <c r="AA345" s="3">
        <v>0</v>
      </c>
      <c r="AB345" s="3" t="s">
        <v>1713</v>
      </c>
      <c r="AC345" s="3">
        <v>9</v>
      </c>
      <c r="AD345" s="3">
        <v>23.99</v>
      </c>
      <c r="AE345" s="3">
        <v>0</v>
      </c>
      <c r="AF345" s="3">
        <v>0</v>
      </c>
      <c r="AG345" s="3">
        <v>0</v>
      </c>
      <c r="AH345" s="3">
        <v>0.648648648648648</v>
      </c>
      <c r="AI345" s="3" t="s">
        <v>2351</v>
      </c>
      <c r="AJ345" s="3" t="s">
        <v>1715</v>
      </c>
    </row>
    <row r="346" spans="1:36">
      <c r="A346" s="4">
        <v>43277</v>
      </c>
      <c r="B346" s="3" t="s">
        <v>671</v>
      </c>
      <c r="C346" s="3" t="s">
        <v>672</v>
      </c>
      <c r="D346" s="3" t="s">
        <v>673</v>
      </c>
      <c r="E346" s="3" t="s">
        <v>674</v>
      </c>
      <c r="F346" s="3" t="s">
        <v>1710</v>
      </c>
      <c r="G346" s="3">
        <v>14</v>
      </c>
      <c r="H346" s="3">
        <v>0</v>
      </c>
      <c r="I346" s="3">
        <v>13</v>
      </c>
      <c r="J346" s="3">
        <v>1</v>
      </c>
      <c r="K346" s="3">
        <v>0</v>
      </c>
      <c r="L346" s="3">
        <v>0</v>
      </c>
      <c r="M346" s="3">
        <v>0</v>
      </c>
      <c r="N346" s="3" t="s">
        <v>1711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6</v>
      </c>
      <c r="U346" s="3">
        <v>10</v>
      </c>
      <c r="V346" s="3">
        <v>11</v>
      </c>
      <c r="W346" s="3" t="s">
        <v>1712</v>
      </c>
      <c r="X346" s="3">
        <v>28.58</v>
      </c>
      <c r="Y346" s="3">
        <v>28.58</v>
      </c>
      <c r="Z346" s="3">
        <v>28</v>
      </c>
      <c r="AA346" s="3">
        <v>0</v>
      </c>
      <c r="AB346" s="3" t="s">
        <v>1713</v>
      </c>
      <c r="AC346" s="3">
        <v>13</v>
      </c>
      <c r="AD346" s="3">
        <v>28.58</v>
      </c>
      <c r="AE346" s="3">
        <v>0</v>
      </c>
      <c r="AF346" s="3">
        <v>0</v>
      </c>
      <c r="AG346" s="3">
        <v>0</v>
      </c>
      <c r="AH346" s="3">
        <v>1.1</v>
      </c>
      <c r="AI346" s="3" t="s">
        <v>2838</v>
      </c>
      <c r="AJ346" s="3" t="s">
        <v>1715</v>
      </c>
    </row>
    <row r="347" spans="1:36">
      <c r="A347" s="4">
        <v>43277</v>
      </c>
      <c r="B347" s="3" t="s">
        <v>2839</v>
      </c>
      <c r="C347" s="3" t="s">
        <v>2840</v>
      </c>
      <c r="D347" s="3" t="s">
        <v>2841</v>
      </c>
      <c r="E347" s="3" t="s">
        <v>2842</v>
      </c>
      <c r="F347" s="3" t="s">
        <v>1710</v>
      </c>
      <c r="G347" s="3">
        <v>38</v>
      </c>
      <c r="H347" s="3">
        <v>0</v>
      </c>
      <c r="I347" s="3">
        <v>0</v>
      </c>
      <c r="J347" s="3">
        <v>0</v>
      </c>
      <c r="K347" s="3">
        <v>38</v>
      </c>
      <c r="L347" s="3">
        <v>0</v>
      </c>
      <c r="M347" s="3">
        <v>0</v>
      </c>
      <c r="N347" s="3" t="s">
        <v>1711</v>
      </c>
      <c r="O347" s="3">
        <v>38</v>
      </c>
      <c r="P347" s="3">
        <v>137.83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1712</v>
      </c>
      <c r="X347" s="3">
        <v>27.99</v>
      </c>
      <c r="Y347" s="3">
        <v>27.99</v>
      </c>
      <c r="Z347" s="3">
        <v>25.99</v>
      </c>
      <c r="AA347" s="3">
        <v>0</v>
      </c>
      <c r="AB347" s="3" t="s">
        <v>1732</v>
      </c>
      <c r="AC347" s="3">
        <v>0</v>
      </c>
      <c r="AD347" s="3">
        <v>24.07</v>
      </c>
      <c r="AE347" s="3">
        <v>154</v>
      </c>
      <c r="AF347" s="3">
        <v>0</v>
      </c>
      <c r="AG347" s="3">
        <v>1895.921065</v>
      </c>
      <c r="AH347" s="3">
        <v>0</v>
      </c>
      <c r="AI347" s="3" t="s">
        <v>1831</v>
      </c>
      <c r="AJ347" s="3" t="s">
        <v>1715</v>
      </c>
    </row>
    <row r="348" spans="1:36">
      <c r="A348" s="4">
        <v>43277</v>
      </c>
      <c r="B348" s="3" t="s">
        <v>1345</v>
      </c>
      <c r="C348" s="3" t="s">
        <v>1346</v>
      </c>
      <c r="D348" s="3" t="s">
        <v>1347</v>
      </c>
      <c r="E348" s="3" t="s">
        <v>1348</v>
      </c>
      <c r="F348" s="3" t="s">
        <v>1710</v>
      </c>
      <c r="G348" s="3">
        <v>31</v>
      </c>
      <c r="H348" s="3">
        <v>0</v>
      </c>
      <c r="I348" s="3">
        <v>31</v>
      </c>
      <c r="J348" s="3">
        <v>0</v>
      </c>
      <c r="K348" s="3">
        <v>0</v>
      </c>
      <c r="L348" s="3">
        <v>0</v>
      </c>
      <c r="M348" s="3">
        <v>0</v>
      </c>
      <c r="N348" s="3" t="s">
        <v>1711</v>
      </c>
      <c r="O348" s="3">
        <v>0</v>
      </c>
      <c r="P348" s="3">
        <v>0</v>
      </c>
      <c r="Q348" s="3">
        <v>0</v>
      </c>
      <c r="R348" s="3">
        <v>0</v>
      </c>
      <c r="S348" s="3">
        <v>4</v>
      </c>
      <c r="T348" s="3">
        <v>16</v>
      </c>
      <c r="U348" s="3">
        <v>31</v>
      </c>
      <c r="V348" s="3">
        <v>31</v>
      </c>
      <c r="W348" s="3" t="s">
        <v>1712</v>
      </c>
      <c r="X348" s="3">
        <v>25.99</v>
      </c>
      <c r="Y348" s="3">
        <v>25.99</v>
      </c>
      <c r="Z348" s="3">
        <v>25.99</v>
      </c>
      <c r="AA348" s="3">
        <v>0</v>
      </c>
      <c r="AB348" s="3" t="s">
        <v>1713</v>
      </c>
      <c r="AC348" s="3">
        <v>31</v>
      </c>
      <c r="AD348" s="3">
        <v>25.99</v>
      </c>
      <c r="AE348" s="3">
        <v>0</v>
      </c>
      <c r="AF348" s="3">
        <v>0</v>
      </c>
      <c r="AG348" s="3">
        <v>0</v>
      </c>
      <c r="AH348" s="3">
        <v>2.90625</v>
      </c>
      <c r="AI348" s="3" t="s">
        <v>1777</v>
      </c>
      <c r="AJ348" s="3" t="s">
        <v>1715</v>
      </c>
    </row>
    <row r="349" spans="1:36">
      <c r="A349" s="4">
        <v>43277</v>
      </c>
      <c r="B349" s="3" t="s">
        <v>2843</v>
      </c>
      <c r="C349" s="3" t="s">
        <v>2844</v>
      </c>
      <c r="D349" s="3" t="s">
        <v>2845</v>
      </c>
      <c r="E349" s="3" t="s">
        <v>2030</v>
      </c>
      <c r="F349" s="3" t="s">
        <v>1710</v>
      </c>
      <c r="G349" s="3">
        <v>2</v>
      </c>
      <c r="H349" s="3">
        <v>0</v>
      </c>
      <c r="I349" s="3">
        <v>0</v>
      </c>
      <c r="J349" s="3">
        <v>0</v>
      </c>
      <c r="K349" s="3">
        <v>2</v>
      </c>
      <c r="L349" s="3">
        <v>0</v>
      </c>
      <c r="M349" s="3">
        <v>0</v>
      </c>
      <c r="N349" s="3" t="s">
        <v>1711</v>
      </c>
      <c r="O349" s="3">
        <v>2</v>
      </c>
      <c r="P349" s="3">
        <v>0.46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1720</v>
      </c>
      <c r="X349" s="3">
        <v>15.99</v>
      </c>
      <c r="Y349" s="3">
        <v>15.99</v>
      </c>
      <c r="Z349" s="3">
        <v>15.99</v>
      </c>
      <c r="AA349" s="3">
        <v>0</v>
      </c>
      <c r="AB349" s="3" t="s">
        <v>1732</v>
      </c>
      <c r="AC349" s="3">
        <v>0</v>
      </c>
      <c r="AD349" s="3">
        <v>12.79</v>
      </c>
      <c r="AE349" s="3">
        <v>63</v>
      </c>
      <c r="AF349" s="3">
        <v>0</v>
      </c>
      <c r="AG349" s="3">
        <v>6.111187</v>
      </c>
      <c r="AH349" s="3">
        <v>0</v>
      </c>
      <c r="AI349" s="3" t="s">
        <v>2031</v>
      </c>
      <c r="AJ349" s="3" t="s">
        <v>1715</v>
      </c>
    </row>
    <row r="350" spans="1:36">
      <c r="A350" s="4">
        <v>43277</v>
      </c>
      <c r="B350" s="3" t="s">
        <v>2846</v>
      </c>
      <c r="C350" s="3" t="s">
        <v>2847</v>
      </c>
      <c r="D350" s="3" t="s">
        <v>2848</v>
      </c>
      <c r="E350" s="3" t="s">
        <v>2849</v>
      </c>
      <c r="F350" s="3" t="s">
        <v>1710</v>
      </c>
      <c r="G350" s="3">
        <v>7</v>
      </c>
      <c r="H350" s="3">
        <v>0</v>
      </c>
      <c r="I350" s="3">
        <v>3</v>
      </c>
      <c r="J350" s="3">
        <v>4</v>
      </c>
      <c r="K350" s="3">
        <v>0</v>
      </c>
      <c r="L350" s="3">
        <v>0</v>
      </c>
      <c r="M350" s="3">
        <v>0</v>
      </c>
      <c r="N350" s="3" t="s">
        <v>1711</v>
      </c>
      <c r="O350" s="3">
        <v>4</v>
      </c>
      <c r="P350" s="3">
        <v>6.64</v>
      </c>
      <c r="Q350" s="3">
        <v>0</v>
      </c>
      <c r="R350" s="3">
        <v>0</v>
      </c>
      <c r="S350" s="3">
        <v>0</v>
      </c>
      <c r="T350" s="3">
        <v>2</v>
      </c>
      <c r="U350" s="3">
        <v>5</v>
      </c>
      <c r="V350" s="3">
        <v>6</v>
      </c>
      <c r="W350" s="3" t="s">
        <v>1720</v>
      </c>
      <c r="X350" s="3">
        <v>30</v>
      </c>
      <c r="Y350" s="3">
        <v>17.99</v>
      </c>
      <c r="Z350" s="3">
        <v>17.99</v>
      </c>
      <c r="AA350" s="3">
        <v>0</v>
      </c>
      <c r="AB350" s="3" t="s">
        <v>1732</v>
      </c>
      <c r="AC350" s="3">
        <v>0</v>
      </c>
      <c r="AD350" s="3">
        <v>14.39</v>
      </c>
      <c r="AE350" s="3">
        <v>217</v>
      </c>
      <c r="AF350" s="3">
        <v>0</v>
      </c>
      <c r="AG350" s="3">
        <v>82.11285</v>
      </c>
      <c r="AH350" s="3">
        <v>0.631578947368421</v>
      </c>
      <c r="AI350" s="3" t="s">
        <v>2850</v>
      </c>
      <c r="AJ350" s="3" t="s">
        <v>1783</v>
      </c>
    </row>
    <row r="351" spans="1:36">
      <c r="A351" s="4">
        <v>43277</v>
      </c>
      <c r="B351" s="3" t="s">
        <v>2851</v>
      </c>
      <c r="C351" s="3" t="s">
        <v>2852</v>
      </c>
      <c r="D351" s="3" t="s">
        <v>2853</v>
      </c>
      <c r="E351" s="3" t="s">
        <v>2854</v>
      </c>
      <c r="F351" s="3" t="s">
        <v>1710</v>
      </c>
      <c r="G351" s="3">
        <v>9</v>
      </c>
      <c r="H351" s="3">
        <v>0</v>
      </c>
      <c r="I351" s="3">
        <v>3</v>
      </c>
      <c r="J351" s="3">
        <v>2</v>
      </c>
      <c r="K351" s="3">
        <v>0</v>
      </c>
      <c r="L351" s="3">
        <v>0</v>
      </c>
      <c r="M351" s="3">
        <v>4</v>
      </c>
      <c r="N351" s="3" t="s">
        <v>1711</v>
      </c>
      <c r="O351" s="3">
        <v>0</v>
      </c>
      <c r="P351" s="3">
        <v>0</v>
      </c>
      <c r="Q351" s="3">
        <v>4</v>
      </c>
      <c r="R351" s="3">
        <v>5.48</v>
      </c>
      <c r="S351" s="3">
        <v>0</v>
      </c>
      <c r="T351" s="3">
        <v>0</v>
      </c>
      <c r="U351" s="3">
        <v>0</v>
      </c>
      <c r="V351" s="3">
        <v>0</v>
      </c>
      <c r="W351" s="3" t="s">
        <v>1712</v>
      </c>
      <c r="X351" s="3">
        <v>20.99</v>
      </c>
      <c r="Y351" s="3">
        <v>20.99</v>
      </c>
      <c r="Z351" s="3">
        <v>20.99</v>
      </c>
      <c r="AA351" s="3">
        <v>0</v>
      </c>
      <c r="AB351" s="3" t="s">
        <v>1713</v>
      </c>
      <c r="AC351" s="3">
        <v>9</v>
      </c>
      <c r="AD351" s="3">
        <v>20.99</v>
      </c>
      <c r="AE351" s="3">
        <v>0</v>
      </c>
      <c r="AF351" s="3">
        <v>0</v>
      </c>
      <c r="AG351" s="3">
        <v>0</v>
      </c>
      <c r="AH351" s="3">
        <v>0</v>
      </c>
      <c r="AI351" s="3" t="s">
        <v>1914</v>
      </c>
      <c r="AJ351" s="3" t="s">
        <v>1715</v>
      </c>
    </row>
    <row r="352" spans="1:36">
      <c r="A352" s="4">
        <v>43277</v>
      </c>
      <c r="B352" s="3" t="s">
        <v>1619</v>
      </c>
      <c r="C352" s="3" t="s">
        <v>1620</v>
      </c>
      <c r="D352" s="3" t="s">
        <v>1621</v>
      </c>
      <c r="E352" s="3" t="s">
        <v>1622</v>
      </c>
      <c r="F352" s="3" t="s">
        <v>1710</v>
      </c>
      <c r="G352" s="3">
        <v>175</v>
      </c>
      <c r="H352" s="3">
        <v>0</v>
      </c>
      <c r="I352" s="3">
        <v>175</v>
      </c>
      <c r="J352" s="3">
        <v>0</v>
      </c>
      <c r="K352" s="3">
        <v>0</v>
      </c>
      <c r="L352" s="3">
        <v>0</v>
      </c>
      <c r="M352" s="3">
        <v>0</v>
      </c>
      <c r="N352" s="3" t="s">
        <v>1711</v>
      </c>
      <c r="O352" s="3">
        <v>0</v>
      </c>
      <c r="P352" s="3">
        <v>0</v>
      </c>
      <c r="Q352" s="3">
        <v>0</v>
      </c>
      <c r="R352" s="3">
        <v>0</v>
      </c>
      <c r="S352" s="3">
        <v>126</v>
      </c>
      <c r="T352" s="3">
        <v>471</v>
      </c>
      <c r="U352" s="3">
        <v>836</v>
      </c>
      <c r="V352" s="3">
        <v>1134</v>
      </c>
      <c r="W352" s="3"/>
      <c r="X352" s="3">
        <v>40</v>
      </c>
      <c r="Y352" s="3">
        <v>29.99</v>
      </c>
      <c r="Z352" s="3">
        <v>28</v>
      </c>
      <c r="AA352" s="3">
        <v>0</v>
      </c>
      <c r="AB352" s="3" t="s">
        <v>1713</v>
      </c>
      <c r="AC352" s="3">
        <v>180</v>
      </c>
      <c r="AD352" s="3">
        <v>29.99</v>
      </c>
      <c r="AE352" s="3">
        <v>0</v>
      </c>
      <c r="AF352" s="3">
        <v>0</v>
      </c>
      <c r="AG352" s="3">
        <v>0</v>
      </c>
      <c r="AH352" s="3">
        <v>7.88869565217391</v>
      </c>
      <c r="AI352" s="3" t="s">
        <v>2855</v>
      </c>
      <c r="AJ352" s="3" t="s">
        <v>1715</v>
      </c>
    </row>
    <row r="353" spans="1:36">
      <c r="A353" s="4">
        <v>43277</v>
      </c>
      <c r="B353" s="3" t="s">
        <v>2856</v>
      </c>
      <c r="C353" s="3" t="s">
        <v>2857</v>
      </c>
      <c r="D353" s="3" t="s">
        <v>2858</v>
      </c>
      <c r="E353" s="3" t="s">
        <v>2859</v>
      </c>
      <c r="F353" s="3" t="s">
        <v>1710</v>
      </c>
      <c r="G353" s="3">
        <v>1</v>
      </c>
      <c r="H353" s="3">
        <v>0</v>
      </c>
      <c r="I353" s="3">
        <v>1</v>
      </c>
      <c r="J353" s="3">
        <v>0</v>
      </c>
      <c r="K353" s="3">
        <v>0</v>
      </c>
      <c r="L353" s="3">
        <v>0</v>
      </c>
      <c r="M353" s="3">
        <v>0</v>
      </c>
      <c r="N353" s="3" t="s">
        <v>1711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1</v>
      </c>
      <c r="U353" s="3">
        <v>4</v>
      </c>
      <c r="V353" s="3">
        <v>5</v>
      </c>
      <c r="W353" s="3" t="s">
        <v>1712</v>
      </c>
      <c r="X353" s="3">
        <v>15.99</v>
      </c>
      <c r="Y353" s="3">
        <v>15.99</v>
      </c>
      <c r="Z353" s="3">
        <v>15.55</v>
      </c>
      <c r="AA353" s="3">
        <v>0</v>
      </c>
      <c r="AB353" s="3" t="s">
        <v>1713</v>
      </c>
      <c r="AC353" s="3">
        <v>3</v>
      </c>
      <c r="AD353" s="3">
        <v>15.99</v>
      </c>
      <c r="AE353" s="3">
        <v>0</v>
      </c>
      <c r="AF353" s="3">
        <v>0</v>
      </c>
      <c r="AG353" s="3">
        <v>0</v>
      </c>
      <c r="AH353" s="3">
        <v>2.22222222222222</v>
      </c>
      <c r="AI353" s="3" t="s">
        <v>2036</v>
      </c>
      <c r="AJ353" s="3" t="s">
        <v>1715</v>
      </c>
    </row>
    <row r="354" spans="1:36">
      <c r="A354" s="4">
        <v>43277</v>
      </c>
      <c r="B354" s="3" t="s">
        <v>587</v>
      </c>
      <c r="C354" s="3" t="s">
        <v>588</v>
      </c>
      <c r="D354" s="3" t="s">
        <v>589</v>
      </c>
      <c r="E354" s="3" t="s">
        <v>590</v>
      </c>
      <c r="F354" s="3" t="s">
        <v>1710</v>
      </c>
      <c r="G354" s="3">
        <v>29</v>
      </c>
      <c r="H354" s="3">
        <v>0</v>
      </c>
      <c r="I354" s="3">
        <v>29</v>
      </c>
      <c r="J354" s="3">
        <v>0</v>
      </c>
      <c r="K354" s="3">
        <v>0</v>
      </c>
      <c r="L354" s="3">
        <v>0</v>
      </c>
      <c r="M354" s="3">
        <v>0</v>
      </c>
      <c r="N354" s="3" t="s">
        <v>1711</v>
      </c>
      <c r="O354" s="3">
        <v>0</v>
      </c>
      <c r="P354" s="3">
        <v>0</v>
      </c>
      <c r="Q354" s="3">
        <v>0</v>
      </c>
      <c r="R354" s="3">
        <v>0</v>
      </c>
      <c r="S354" s="3">
        <v>1</v>
      </c>
      <c r="T354" s="3">
        <v>10</v>
      </c>
      <c r="U354" s="3">
        <v>13</v>
      </c>
      <c r="V354" s="3">
        <v>16</v>
      </c>
      <c r="W354" s="3"/>
      <c r="X354" s="3">
        <v>28.58</v>
      </c>
      <c r="Y354" s="3">
        <v>28.58</v>
      </c>
      <c r="Z354" s="3">
        <v>28</v>
      </c>
      <c r="AA354" s="3">
        <v>0</v>
      </c>
      <c r="AB354" s="3" t="s">
        <v>1713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1.08474576271186</v>
      </c>
      <c r="AI354" s="3" t="s">
        <v>1801</v>
      </c>
      <c r="AJ354" s="3" t="s">
        <v>1715</v>
      </c>
    </row>
    <row r="355" spans="1:36">
      <c r="A355" s="4">
        <v>43277</v>
      </c>
      <c r="B355" s="3" t="s">
        <v>2860</v>
      </c>
      <c r="C355" s="3" t="s">
        <v>2861</v>
      </c>
      <c r="D355" s="3" t="s">
        <v>2862</v>
      </c>
      <c r="E355" s="3" t="s">
        <v>2863</v>
      </c>
      <c r="F355" s="3" t="s">
        <v>1710</v>
      </c>
      <c r="G355" s="3">
        <v>11</v>
      </c>
      <c r="H355" s="3">
        <v>0</v>
      </c>
      <c r="I355" s="3">
        <v>10</v>
      </c>
      <c r="J355" s="3">
        <v>1</v>
      </c>
      <c r="K355" s="3">
        <v>0</v>
      </c>
      <c r="L355" s="3">
        <v>0</v>
      </c>
      <c r="M355" s="3">
        <v>0</v>
      </c>
      <c r="N355" s="3" t="s">
        <v>1711</v>
      </c>
      <c r="O355" s="3">
        <v>0</v>
      </c>
      <c r="P355" s="3">
        <v>0</v>
      </c>
      <c r="Q355" s="3">
        <v>0</v>
      </c>
      <c r="R355" s="3">
        <v>0</v>
      </c>
      <c r="S355" s="3">
        <v>0</v>
      </c>
      <c r="T355" s="3">
        <v>1</v>
      </c>
      <c r="U355" s="3">
        <v>4</v>
      </c>
      <c r="V355" s="3">
        <v>6</v>
      </c>
      <c r="W355" s="3"/>
      <c r="X355" s="3">
        <v>18.99</v>
      </c>
      <c r="Y355" s="3">
        <v>18.99</v>
      </c>
      <c r="Z355" s="3">
        <v>18</v>
      </c>
      <c r="AA355" s="3">
        <v>0</v>
      </c>
      <c r="AB355" s="3" t="s">
        <v>1732</v>
      </c>
      <c r="AC355" s="3">
        <v>4</v>
      </c>
      <c r="AD355" s="3">
        <v>13.87</v>
      </c>
      <c r="AE355" s="3">
        <v>98</v>
      </c>
      <c r="AF355" s="3">
        <v>0</v>
      </c>
      <c r="AG355" s="3">
        <v>8.691454</v>
      </c>
      <c r="AH355" s="3">
        <v>0.685714285714285</v>
      </c>
      <c r="AI355" s="3" t="s">
        <v>2864</v>
      </c>
      <c r="AJ355" s="3" t="s">
        <v>1715</v>
      </c>
    </row>
    <row r="356" spans="1:36">
      <c r="A356" s="4">
        <v>43277</v>
      </c>
      <c r="B356" s="3" t="s">
        <v>2865</v>
      </c>
      <c r="C356" s="3" t="s">
        <v>2866</v>
      </c>
      <c r="D356" s="3" t="s">
        <v>2867</v>
      </c>
      <c r="E356" s="3" t="s">
        <v>2868</v>
      </c>
      <c r="F356" s="3" t="s">
        <v>1710</v>
      </c>
      <c r="G356" s="3">
        <v>1</v>
      </c>
      <c r="H356" s="3">
        <v>0</v>
      </c>
      <c r="I356" s="3">
        <v>1</v>
      </c>
      <c r="J356" s="3">
        <v>0</v>
      </c>
      <c r="K356" s="3">
        <v>0</v>
      </c>
      <c r="L356" s="3">
        <v>0</v>
      </c>
      <c r="M356" s="3">
        <v>0</v>
      </c>
      <c r="N356" s="3" t="s">
        <v>1711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1</v>
      </c>
      <c r="V356" s="3">
        <v>6</v>
      </c>
      <c r="W356" s="3"/>
      <c r="X356" s="3"/>
      <c r="Y356" s="3"/>
      <c r="Z356" s="3">
        <v>-1</v>
      </c>
      <c r="AA356" s="3">
        <v>-1</v>
      </c>
      <c r="AB356" s="3" t="s">
        <v>1776</v>
      </c>
      <c r="AC356" s="3">
        <v>0</v>
      </c>
      <c r="AD356" s="3">
        <v>0</v>
      </c>
      <c r="AE356" s="3">
        <v>0</v>
      </c>
      <c r="AF356" s="3">
        <v>0</v>
      </c>
      <c r="AG356" s="3">
        <v>0</v>
      </c>
      <c r="AH356" s="3">
        <v>4.8</v>
      </c>
      <c r="AI356" s="3" t="s">
        <v>2615</v>
      </c>
      <c r="AJ356" s="3" t="s">
        <v>2616</v>
      </c>
    </row>
    <row r="357" spans="1:36">
      <c r="A357" s="4">
        <v>43277</v>
      </c>
      <c r="B357" s="3" t="s">
        <v>731</v>
      </c>
      <c r="C357" s="3" t="s">
        <v>732</v>
      </c>
      <c r="D357" s="3" t="s">
        <v>733</v>
      </c>
      <c r="E357" s="3" t="s">
        <v>734</v>
      </c>
      <c r="F357" s="3" t="s">
        <v>1710</v>
      </c>
      <c r="G357" s="3">
        <v>26</v>
      </c>
      <c r="H357" s="3">
        <v>0</v>
      </c>
      <c r="I357" s="3">
        <v>11</v>
      </c>
      <c r="J357" s="3">
        <v>12</v>
      </c>
      <c r="K357" s="3">
        <v>3</v>
      </c>
      <c r="L357" s="3">
        <v>0</v>
      </c>
      <c r="M357" s="3">
        <v>0</v>
      </c>
      <c r="N357" s="3" t="s">
        <v>1711</v>
      </c>
      <c r="O357" s="3">
        <v>9</v>
      </c>
      <c r="P357" s="3">
        <v>1.34</v>
      </c>
      <c r="Q357" s="3">
        <v>0</v>
      </c>
      <c r="R357" s="3">
        <v>0</v>
      </c>
      <c r="S357" s="3">
        <v>1</v>
      </c>
      <c r="T357" s="3">
        <v>14</v>
      </c>
      <c r="U357" s="3">
        <v>29</v>
      </c>
      <c r="V357" s="3">
        <v>40</v>
      </c>
      <c r="W357" s="3"/>
      <c r="X357" s="3">
        <v>18.99</v>
      </c>
      <c r="Y357" s="3">
        <v>18.99</v>
      </c>
      <c r="Z357" s="3">
        <v>18.99</v>
      </c>
      <c r="AA357" s="3">
        <v>0</v>
      </c>
      <c r="AB357" s="3" t="s">
        <v>1713</v>
      </c>
      <c r="AC357" s="3">
        <v>26</v>
      </c>
      <c r="AD357" s="3">
        <v>18.99</v>
      </c>
      <c r="AE357" s="3">
        <v>0</v>
      </c>
      <c r="AF357" s="3">
        <v>0</v>
      </c>
      <c r="AG357" s="3">
        <v>0</v>
      </c>
      <c r="AH357" s="3">
        <v>0.930232558139534</v>
      </c>
      <c r="AI357" s="3" t="s">
        <v>1794</v>
      </c>
      <c r="AJ357" s="3" t="s">
        <v>1715</v>
      </c>
    </row>
    <row r="358" spans="1:36">
      <c r="A358" s="4">
        <v>43277</v>
      </c>
      <c r="B358" s="3" t="s">
        <v>2869</v>
      </c>
      <c r="C358" s="3" t="s">
        <v>2870</v>
      </c>
      <c r="D358" s="3" t="s">
        <v>2871</v>
      </c>
      <c r="E358" s="3" t="s">
        <v>2872</v>
      </c>
      <c r="F358" s="3" t="s">
        <v>1710</v>
      </c>
      <c r="G358" s="3">
        <v>15</v>
      </c>
      <c r="H358" s="3">
        <v>0</v>
      </c>
      <c r="I358" s="3">
        <v>0</v>
      </c>
      <c r="J358" s="3">
        <v>8</v>
      </c>
      <c r="K358" s="3">
        <v>7</v>
      </c>
      <c r="L358" s="3">
        <v>0</v>
      </c>
      <c r="M358" s="3">
        <v>0</v>
      </c>
      <c r="N358" s="3" t="s">
        <v>1711</v>
      </c>
      <c r="O358" s="3">
        <v>12</v>
      </c>
      <c r="P358" s="3">
        <v>41.09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2</v>
      </c>
      <c r="W358" s="3" t="s">
        <v>1712</v>
      </c>
      <c r="X358" s="3">
        <v>19.96</v>
      </c>
      <c r="Y358" s="3">
        <v>21.99</v>
      </c>
      <c r="Z358" s="3">
        <v>19.99</v>
      </c>
      <c r="AA358" s="3">
        <v>0</v>
      </c>
      <c r="AB358" s="3" t="s">
        <v>1732</v>
      </c>
      <c r="AC358" s="3">
        <v>0</v>
      </c>
      <c r="AD358" s="3">
        <v>18.85</v>
      </c>
      <c r="AE358" s="3">
        <v>161</v>
      </c>
      <c r="AF358" s="3">
        <v>0</v>
      </c>
      <c r="AG358" s="3">
        <v>708.149018</v>
      </c>
      <c r="AH358" s="3">
        <v>0.129032258064516</v>
      </c>
      <c r="AI358" s="3" t="s">
        <v>2873</v>
      </c>
      <c r="AJ358" s="3" t="s">
        <v>1783</v>
      </c>
    </row>
    <row r="359" spans="1:36">
      <c r="A359" s="4">
        <v>43277</v>
      </c>
      <c r="B359" s="3" t="s">
        <v>2874</v>
      </c>
      <c r="C359" s="3" t="s">
        <v>2875</v>
      </c>
      <c r="D359" s="3" t="s">
        <v>2876</v>
      </c>
      <c r="E359" s="3" t="s">
        <v>2877</v>
      </c>
      <c r="F359" s="3" t="s">
        <v>1710</v>
      </c>
      <c r="G359" s="3">
        <v>91</v>
      </c>
      <c r="H359" s="3">
        <v>0</v>
      </c>
      <c r="I359" s="3">
        <v>2</v>
      </c>
      <c r="J359" s="3">
        <v>6</v>
      </c>
      <c r="K359" s="3">
        <v>83</v>
      </c>
      <c r="L359" s="3">
        <v>0</v>
      </c>
      <c r="M359" s="3">
        <v>0</v>
      </c>
      <c r="N359" s="3" t="s">
        <v>1711</v>
      </c>
      <c r="O359" s="3">
        <v>89</v>
      </c>
      <c r="P359" s="3">
        <v>90.65</v>
      </c>
      <c r="Q359" s="3">
        <v>0</v>
      </c>
      <c r="R359" s="3">
        <v>0</v>
      </c>
      <c r="S359" s="3">
        <v>0</v>
      </c>
      <c r="T359" s="3">
        <v>0</v>
      </c>
      <c r="U359" s="3">
        <v>1</v>
      </c>
      <c r="V359" s="3">
        <v>1</v>
      </c>
      <c r="W359" s="3" t="s">
        <v>1712</v>
      </c>
      <c r="X359" s="3">
        <v>16.99</v>
      </c>
      <c r="Y359" s="3">
        <v>16.99</v>
      </c>
      <c r="Z359" s="3">
        <v>16</v>
      </c>
      <c r="AA359" s="3">
        <v>0</v>
      </c>
      <c r="AB359" s="3" t="s">
        <v>1732</v>
      </c>
      <c r="AC359" s="3">
        <v>4</v>
      </c>
      <c r="AD359" s="3">
        <v>15.23</v>
      </c>
      <c r="AE359" s="3">
        <v>133</v>
      </c>
      <c r="AF359" s="3">
        <v>0</v>
      </c>
      <c r="AG359" s="3">
        <v>1787.664464</v>
      </c>
      <c r="AH359" s="3">
        <v>0.00863930885529157</v>
      </c>
      <c r="AI359" s="3" t="s">
        <v>2878</v>
      </c>
      <c r="AJ359" s="3" t="s">
        <v>1715</v>
      </c>
    </row>
    <row r="360" spans="1:36">
      <c r="A360" s="4">
        <v>43277</v>
      </c>
      <c r="B360" s="3" t="s">
        <v>2879</v>
      </c>
      <c r="C360" s="3" t="s">
        <v>2880</v>
      </c>
      <c r="D360" s="3" t="s">
        <v>2881</v>
      </c>
      <c r="E360" s="3" t="s">
        <v>1815</v>
      </c>
      <c r="F360" s="3" t="s">
        <v>1710</v>
      </c>
      <c r="G360" s="3">
        <v>2</v>
      </c>
      <c r="H360" s="3">
        <v>0</v>
      </c>
      <c r="I360" s="3">
        <v>0</v>
      </c>
      <c r="J360" s="3">
        <v>1</v>
      </c>
      <c r="K360" s="3">
        <v>1</v>
      </c>
      <c r="L360" s="3">
        <v>0</v>
      </c>
      <c r="M360" s="3">
        <v>0</v>
      </c>
      <c r="N360" s="3" t="s">
        <v>1711</v>
      </c>
      <c r="O360" s="3">
        <v>2</v>
      </c>
      <c r="P360" s="3">
        <v>1.78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1720</v>
      </c>
      <c r="X360" s="3">
        <v>15.99</v>
      </c>
      <c r="Y360" s="3">
        <v>15.99</v>
      </c>
      <c r="Z360" s="3">
        <v>15.99</v>
      </c>
      <c r="AA360" s="3">
        <v>0</v>
      </c>
      <c r="AB360" s="3" t="s">
        <v>1721</v>
      </c>
      <c r="AC360" s="3">
        <v>0</v>
      </c>
      <c r="AD360" s="3">
        <v>14.26</v>
      </c>
      <c r="AE360" s="3">
        <v>189</v>
      </c>
      <c r="AF360" s="3">
        <v>0</v>
      </c>
      <c r="AG360" s="3">
        <v>32.628635</v>
      </c>
      <c r="AH360" s="3">
        <v>0</v>
      </c>
      <c r="AI360" s="3" t="s">
        <v>2882</v>
      </c>
      <c r="AJ360" s="3" t="s">
        <v>1715</v>
      </c>
    </row>
    <row r="361" spans="1:36">
      <c r="A361" s="4">
        <v>43277</v>
      </c>
      <c r="B361" s="3" t="s">
        <v>1164</v>
      </c>
      <c r="C361" s="3" t="s">
        <v>1165</v>
      </c>
      <c r="D361" s="3" t="s">
        <v>1166</v>
      </c>
      <c r="E361" s="3" t="s">
        <v>1121</v>
      </c>
      <c r="F361" s="3" t="s">
        <v>1710</v>
      </c>
      <c r="G361" s="3">
        <v>13</v>
      </c>
      <c r="H361" s="3">
        <v>0</v>
      </c>
      <c r="I361" s="3">
        <v>13</v>
      </c>
      <c r="J361" s="3">
        <v>0</v>
      </c>
      <c r="K361" s="3">
        <v>0</v>
      </c>
      <c r="L361" s="3">
        <v>0</v>
      </c>
      <c r="M361" s="3">
        <v>0</v>
      </c>
      <c r="N361" s="3" t="s">
        <v>1711</v>
      </c>
      <c r="O361" s="3">
        <v>0</v>
      </c>
      <c r="P361" s="3">
        <v>0</v>
      </c>
      <c r="Q361" s="3">
        <v>0</v>
      </c>
      <c r="R361" s="3">
        <v>0</v>
      </c>
      <c r="S361" s="3">
        <v>8</v>
      </c>
      <c r="T361" s="3">
        <v>23</v>
      </c>
      <c r="U361" s="3">
        <v>44</v>
      </c>
      <c r="V361" s="3">
        <v>44</v>
      </c>
      <c r="W361" s="3" t="s">
        <v>1712</v>
      </c>
      <c r="X361" s="3">
        <v>21.99</v>
      </c>
      <c r="Y361" s="3">
        <v>21.99</v>
      </c>
      <c r="Z361" s="3">
        <v>21.99</v>
      </c>
      <c r="AA361" s="3">
        <v>0</v>
      </c>
      <c r="AB361" s="3" t="s">
        <v>1713</v>
      </c>
      <c r="AC361" s="3">
        <v>16</v>
      </c>
      <c r="AD361" s="3">
        <v>21.99</v>
      </c>
      <c r="AE361" s="3">
        <v>0</v>
      </c>
      <c r="AF361" s="3">
        <v>0</v>
      </c>
      <c r="AG361" s="3">
        <v>0</v>
      </c>
      <c r="AH361" s="3">
        <v>7.76470588235294</v>
      </c>
      <c r="AI361" s="3" t="s">
        <v>1890</v>
      </c>
      <c r="AJ361" s="3" t="s">
        <v>1715</v>
      </c>
    </row>
    <row r="362" spans="1:36">
      <c r="A362" s="4">
        <v>43277</v>
      </c>
      <c r="B362" s="3" t="s">
        <v>903</v>
      </c>
      <c r="C362" s="3" t="s">
        <v>904</v>
      </c>
      <c r="D362" s="3" t="s">
        <v>905</v>
      </c>
      <c r="E362" s="3" t="s">
        <v>906</v>
      </c>
      <c r="F362" s="3" t="s">
        <v>1710</v>
      </c>
      <c r="G362" s="3">
        <v>15</v>
      </c>
      <c r="H362" s="3">
        <v>0</v>
      </c>
      <c r="I362" s="3">
        <v>15</v>
      </c>
      <c r="J362" s="3">
        <v>0</v>
      </c>
      <c r="K362" s="3">
        <v>0</v>
      </c>
      <c r="L362" s="3">
        <v>0</v>
      </c>
      <c r="M362" s="3">
        <v>0</v>
      </c>
      <c r="N362" s="3" t="s">
        <v>1711</v>
      </c>
      <c r="O362" s="3">
        <v>0</v>
      </c>
      <c r="P362" s="3">
        <v>0</v>
      </c>
      <c r="Q362" s="3">
        <v>0</v>
      </c>
      <c r="R362" s="3">
        <v>0</v>
      </c>
      <c r="S362" s="3">
        <v>6</v>
      </c>
      <c r="T362" s="3">
        <v>29</v>
      </c>
      <c r="U362" s="3">
        <v>38</v>
      </c>
      <c r="V362" s="3">
        <v>41</v>
      </c>
      <c r="W362" s="3"/>
      <c r="X362" s="3">
        <v>15.99</v>
      </c>
      <c r="Y362" s="3">
        <v>15.99</v>
      </c>
      <c r="Z362" s="3">
        <v>15.99</v>
      </c>
      <c r="AA362" s="3">
        <v>0</v>
      </c>
      <c r="AB362" s="3" t="s">
        <v>1713</v>
      </c>
      <c r="AC362" s="3">
        <v>3</v>
      </c>
      <c r="AD362" s="3">
        <v>15.99</v>
      </c>
      <c r="AE362" s="3">
        <v>0</v>
      </c>
      <c r="AF362" s="3">
        <v>0</v>
      </c>
      <c r="AG362" s="3">
        <v>0</v>
      </c>
      <c r="AH362" s="3">
        <v>2.86046511627906</v>
      </c>
      <c r="AI362" s="3" t="s">
        <v>2883</v>
      </c>
      <c r="AJ362" s="3" t="s">
        <v>1715</v>
      </c>
    </row>
    <row r="363" spans="1:36">
      <c r="A363" s="4">
        <v>43277</v>
      </c>
      <c r="B363" s="3" t="s">
        <v>330</v>
      </c>
      <c r="C363" s="3" t="s">
        <v>331</v>
      </c>
      <c r="D363" s="3" t="s">
        <v>332</v>
      </c>
      <c r="E363" s="3" t="s">
        <v>333</v>
      </c>
      <c r="F363" s="3" t="s">
        <v>1710</v>
      </c>
      <c r="G363" s="3">
        <v>3</v>
      </c>
      <c r="H363" s="3">
        <v>0</v>
      </c>
      <c r="I363" s="3">
        <v>0</v>
      </c>
      <c r="J363" s="3">
        <v>3</v>
      </c>
      <c r="K363" s="3">
        <v>0</v>
      </c>
      <c r="L363" s="3">
        <v>0</v>
      </c>
      <c r="M363" s="3">
        <v>0</v>
      </c>
      <c r="N363" s="3" t="s">
        <v>1711</v>
      </c>
      <c r="O363" s="3">
        <v>2</v>
      </c>
      <c r="P363" s="3">
        <v>2.38</v>
      </c>
      <c r="Q363" s="3">
        <v>0</v>
      </c>
      <c r="R363" s="3">
        <v>0</v>
      </c>
      <c r="S363" s="3">
        <v>0</v>
      </c>
      <c r="T363" s="3">
        <v>2</v>
      </c>
      <c r="U363" s="3">
        <v>4</v>
      </c>
      <c r="V363" s="3">
        <v>7</v>
      </c>
      <c r="W363" s="3" t="s">
        <v>1720</v>
      </c>
      <c r="X363" s="3">
        <v>14.99</v>
      </c>
      <c r="Y363" s="3">
        <v>14.99</v>
      </c>
      <c r="Z363" s="3">
        <v>14.99</v>
      </c>
      <c r="AA363" s="3">
        <v>0</v>
      </c>
      <c r="AB363" s="3" t="s">
        <v>1721</v>
      </c>
      <c r="AC363" s="3">
        <v>0</v>
      </c>
      <c r="AD363" s="3">
        <v>5.89</v>
      </c>
      <c r="AE363" s="3">
        <v>21</v>
      </c>
      <c r="AF363" s="3">
        <v>0</v>
      </c>
      <c r="AG363" s="3">
        <v>15.173432</v>
      </c>
      <c r="AH363" s="3">
        <v>1.12</v>
      </c>
      <c r="AI363" s="3" t="s">
        <v>2884</v>
      </c>
      <c r="AJ363" s="3" t="s">
        <v>1783</v>
      </c>
    </row>
    <row r="364" spans="1:36">
      <c r="A364" s="4">
        <v>43277</v>
      </c>
      <c r="B364" s="3" t="s">
        <v>2885</v>
      </c>
      <c r="C364" s="3" t="s">
        <v>2886</v>
      </c>
      <c r="D364" s="3" t="s">
        <v>2887</v>
      </c>
      <c r="E364" s="3" t="s">
        <v>2888</v>
      </c>
      <c r="F364" s="3" t="s">
        <v>1710</v>
      </c>
      <c r="G364" s="3">
        <v>1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1</v>
      </c>
      <c r="N364" s="3" t="s">
        <v>1711</v>
      </c>
      <c r="O364" s="3">
        <v>0</v>
      </c>
      <c r="P364" s="3">
        <v>0</v>
      </c>
      <c r="Q364" s="3">
        <v>1</v>
      </c>
      <c r="R364" s="3">
        <v>1.62</v>
      </c>
      <c r="S364" s="3">
        <v>0</v>
      </c>
      <c r="T364" s="3">
        <v>1</v>
      </c>
      <c r="U364" s="3">
        <v>1</v>
      </c>
      <c r="V364" s="3">
        <v>1</v>
      </c>
      <c r="W364" s="3" t="s">
        <v>1720</v>
      </c>
      <c r="X364" s="3">
        <v>11.99</v>
      </c>
      <c r="Y364" s="3">
        <v>11.99</v>
      </c>
      <c r="Z364" s="3">
        <v>11.99</v>
      </c>
      <c r="AA364" s="3">
        <v>0</v>
      </c>
      <c r="AB364" s="3" t="s">
        <v>1713</v>
      </c>
      <c r="AC364" s="3">
        <v>1</v>
      </c>
      <c r="AD364" s="3">
        <v>11.99</v>
      </c>
      <c r="AE364" s="3">
        <v>0</v>
      </c>
      <c r="AF364" s="3">
        <v>0</v>
      </c>
      <c r="AG364" s="3">
        <v>0</v>
      </c>
      <c r="AH364" s="3">
        <v>0.571428571428571</v>
      </c>
      <c r="AI364" s="3" t="s">
        <v>2529</v>
      </c>
      <c r="AJ364" s="3" t="s">
        <v>1715</v>
      </c>
    </row>
    <row r="365" spans="1:36">
      <c r="A365" s="4">
        <v>43277</v>
      </c>
      <c r="B365" s="3" t="s">
        <v>2889</v>
      </c>
      <c r="C365" s="3" t="s">
        <v>2890</v>
      </c>
      <c r="D365" s="3" t="s">
        <v>2891</v>
      </c>
      <c r="E365" s="3" t="s">
        <v>2892</v>
      </c>
      <c r="F365" s="3" t="s">
        <v>1710</v>
      </c>
      <c r="G365" s="3">
        <v>3</v>
      </c>
      <c r="H365" s="3">
        <v>0</v>
      </c>
      <c r="I365" s="3">
        <v>3</v>
      </c>
      <c r="J365" s="3">
        <v>0</v>
      </c>
      <c r="K365" s="3">
        <v>0</v>
      </c>
      <c r="L365" s="3">
        <v>0</v>
      </c>
      <c r="M365" s="3">
        <v>0</v>
      </c>
      <c r="N365" s="3" t="s">
        <v>1711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3</v>
      </c>
      <c r="W365" s="3" t="s">
        <v>1712</v>
      </c>
      <c r="X365" s="3">
        <v>15.99</v>
      </c>
      <c r="Y365" s="3">
        <v>15.99</v>
      </c>
      <c r="Z365" s="3">
        <v>15.99</v>
      </c>
      <c r="AA365" s="3">
        <v>0</v>
      </c>
      <c r="AB365" s="3" t="s">
        <v>1713</v>
      </c>
      <c r="AC365" s="3">
        <v>3</v>
      </c>
      <c r="AD365" s="3">
        <v>15.99</v>
      </c>
      <c r="AE365" s="3">
        <v>0</v>
      </c>
      <c r="AF365" s="3">
        <v>0</v>
      </c>
      <c r="AG365" s="3">
        <v>0</v>
      </c>
      <c r="AH365" s="3">
        <v>2</v>
      </c>
      <c r="AI365" s="3" t="s">
        <v>2104</v>
      </c>
      <c r="AJ365" s="3" t="s">
        <v>1715</v>
      </c>
    </row>
    <row r="366" spans="1:36">
      <c r="A366" s="4">
        <v>43277</v>
      </c>
      <c r="B366" s="3" t="s">
        <v>2893</v>
      </c>
      <c r="C366" s="3" t="s">
        <v>2894</v>
      </c>
      <c r="D366" s="3" t="s">
        <v>2895</v>
      </c>
      <c r="E366" s="3" t="s">
        <v>2462</v>
      </c>
      <c r="F366" s="3" t="s">
        <v>1710</v>
      </c>
      <c r="G366" s="3">
        <v>5</v>
      </c>
      <c r="H366" s="3">
        <v>0</v>
      </c>
      <c r="I366" s="3">
        <v>5</v>
      </c>
      <c r="J366" s="3">
        <v>0</v>
      </c>
      <c r="K366" s="3">
        <v>0</v>
      </c>
      <c r="L366" s="3">
        <v>0</v>
      </c>
      <c r="M366" s="3">
        <v>0</v>
      </c>
      <c r="N366" s="3" t="s">
        <v>1711</v>
      </c>
      <c r="O366" s="3">
        <v>0</v>
      </c>
      <c r="P366" s="3">
        <v>0</v>
      </c>
      <c r="Q366" s="3">
        <v>0</v>
      </c>
      <c r="R366" s="3">
        <v>0</v>
      </c>
      <c r="S366" s="3">
        <v>3</v>
      </c>
      <c r="T366" s="3">
        <v>14</v>
      </c>
      <c r="U366" s="3">
        <v>28</v>
      </c>
      <c r="V366" s="3">
        <v>28</v>
      </c>
      <c r="W366" s="3" t="s">
        <v>1712</v>
      </c>
      <c r="X366" s="3">
        <v>39.99</v>
      </c>
      <c r="Y366" s="3">
        <v>21.99</v>
      </c>
      <c r="Z366" s="3">
        <v>21.99</v>
      </c>
      <c r="AA366" s="3">
        <v>0</v>
      </c>
      <c r="AB366" s="3" t="s">
        <v>1713</v>
      </c>
      <c r="AC366" s="3">
        <v>5</v>
      </c>
      <c r="AD366" s="3">
        <v>21.99</v>
      </c>
      <c r="AE366" s="3">
        <v>0</v>
      </c>
      <c r="AF366" s="3">
        <v>0</v>
      </c>
      <c r="AG366" s="3">
        <v>0</v>
      </c>
      <c r="AH366" s="3">
        <v>6</v>
      </c>
      <c r="AI366" s="3" t="s">
        <v>1890</v>
      </c>
      <c r="AJ366" s="3" t="s">
        <v>1715</v>
      </c>
    </row>
    <row r="367" spans="1:36">
      <c r="A367" s="4">
        <v>43277</v>
      </c>
      <c r="B367" s="3" t="s">
        <v>2896</v>
      </c>
      <c r="C367" s="3" t="s">
        <v>2897</v>
      </c>
      <c r="D367" s="3" t="s">
        <v>2898</v>
      </c>
      <c r="E367" s="3" t="s">
        <v>2899</v>
      </c>
      <c r="F367" s="3" t="s">
        <v>1710</v>
      </c>
      <c r="G367" s="3">
        <v>20</v>
      </c>
      <c r="H367" s="3">
        <v>0</v>
      </c>
      <c r="I367" s="3">
        <v>20</v>
      </c>
      <c r="J367" s="3">
        <v>0</v>
      </c>
      <c r="K367" s="3">
        <v>0</v>
      </c>
      <c r="L367" s="3">
        <v>0</v>
      </c>
      <c r="M367" s="3">
        <v>0</v>
      </c>
      <c r="N367" s="3" t="s">
        <v>1711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2</v>
      </c>
      <c r="U367" s="3">
        <v>2</v>
      </c>
      <c r="V367" s="3">
        <v>2</v>
      </c>
      <c r="W367" s="3" t="s">
        <v>1712</v>
      </c>
      <c r="X367" s="3">
        <v>15.99</v>
      </c>
      <c r="Y367" s="3">
        <v>15.99</v>
      </c>
      <c r="Z367" s="3">
        <v>15.99</v>
      </c>
      <c r="AA367" s="3">
        <v>0</v>
      </c>
      <c r="AB367" s="3" t="s">
        <v>1713</v>
      </c>
      <c r="AC367" s="3">
        <v>20</v>
      </c>
      <c r="AD367" s="3">
        <v>15.99</v>
      </c>
      <c r="AE367" s="3">
        <v>0</v>
      </c>
      <c r="AF367" s="3">
        <v>0</v>
      </c>
      <c r="AG367" s="3">
        <v>0</v>
      </c>
      <c r="AH367" s="3">
        <v>0.105263157894736</v>
      </c>
      <c r="AI367" s="3" t="s">
        <v>1739</v>
      </c>
      <c r="AJ367" s="3" t="s">
        <v>1715</v>
      </c>
    </row>
    <row r="368" spans="1:36">
      <c r="A368" s="4">
        <v>43277</v>
      </c>
      <c r="B368" s="3" t="s">
        <v>2900</v>
      </c>
      <c r="C368" s="3" t="s">
        <v>2901</v>
      </c>
      <c r="D368" s="3" t="s">
        <v>2902</v>
      </c>
      <c r="E368" s="3" t="s">
        <v>2903</v>
      </c>
      <c r="F368" s="3" t="s">
        <v>1710</v>
      </c>
      <c r="G368" s="3">
        <v>12</v>
      </c>
      <c r="H368" s="3">
        <v>0</v>
      </c>
      <c r="I368" s="3">
        <v>12</v>
      </c>
      <c r="J368" s="3">
        <v>0</v>
      </c>
      <c r="K368" s="3">
        <v>0</v>
      </c>
      <c r="L368" s="3">
        <v>0</v>
      </c>
      <c r="M368" s="3">
        <v>0</v>
      </c>
      <c r="N368" s="3" t="s">
        <v>1711</v>
      </c>
      <c r="O368" s="3">
        <v>0</v>
      </c>
      <c r="P368" s="3">
        <v>0</v>
      </c>
      <c r="Q368" s="3">
        <v>0</v>
      </c>
      <c r="R368" s="3">
        <v>0</v>
      </c>
      <c r="S368" s="3">
        <v>2</v>
      </c>
      <c r="T368" s="3">
        <v>11</v>
      </c>
      <c r="U368" s="3">
        <v>17</v>
      </c>
      <c r="V368" s="3">
        <v>25</v>
      </c>
      <c r="W368" s="3"/>
      <c r="X368" s="3">
        <v>28.58</v>
      </c>
      <c r="Y368" s="3">
        <v>28.58</v>
      </c>
      <c r="Z368" s="3">
        <v>28</v>
      </c>
      <c r="AA368" s="3">
        <v>0</v>
      </c>
      <c r="AB368" s="3" t="s">
        <v>1713</v>
      </c>
      <c r="AC368" s="3">
        <v>12</v>
      </c>
      <c r="AD368" s="3">
        <v>28.58</v>
      </c>
      <c r="AE368" s="3">
        <v>0</v>
      </c>
      <c r="AF368" s="3">
        <v>0</v>
      </c>
      <c r="AG368" s="3">
        <v>0</v>
      </c>
      <c r="AH368" s="3">
        <v>1.58730158730158</v>
      </c>
      <c r="AI368" s="3" t="s">
        <v>1801</v>
      </c>
      <c r="AJ368" s="3" t="s">
        <v>1715</v>
      </c>
    </row>
    <row r="369" spans="1:36">
      <c r="A369" s="4">
        <v>43277</v>
      </c>
      <c r="B369" s="3" t="s">
        <v>2904</v>
      </c>
      <c r="C369" s="3" t="s">
        <v>2905</v>
      </c>
      <c r="D369" s="3" t="s">
        <v>2906</v>
      </c>
      <c r="E369" s="3" t="s">
        <v>2907</v>
      </c>
      <c r="F369" s="3" t="s">
        <v>1710</v>
      </c>
      <c r="G369" s="3">
        <v>49</v>
      </c>
      <c r="H369" s="3">
        <v>0</v>
      </c>
      <c r="I369" s="3">
        <v>0</v>
      </c>
      <c r="J369" s="3">
        <v>8</v>
      </c>
      <c r="K369" s="3">
        <v>41</v>
      </c>
      <c r="L369" s="3">
        <v>0</v>
      </c>
      <c r="M369" s="3">
        <v>0</v>
      </c>
      <c r="N369" s="3" t="s">
        <v>1711</v>
      </c>
      <c r="O369" s="3">
        <v>46</v>
      </c>
      <c r="P369" s="3">
        <v>27.53</v>
      </c>
      <c r="Q369" s="3">
        <v>0</v>
      </c>
      <c r="R369" s="3">
        <v>0</v>
      </c>
      <c r="S369" s="3">
        <v>0</v>
      </c>
      <c r="T369" s="3">
        <v>1</v>
      </c>
      <c r="U369" s="3">
        <v>4</v>
      </c>
      <c r="V369" s="3">
        <v>6</v>
      </c>
      <c r="W369" s="3"/>
      <c r="X369" s="3">
        <v>16.99</v>
      </c>
      <c r="Y369" s="3">
        <v>16.99</v>
      </c>
      <c r="Z369" s="3">
        <v>16</v>
      </c>
      <c r="AA369" s="3">
        <v>0</v>
      </c>
      <c r="AB369" s="3" t="s">
        <v>1713</v>
      </c>
      <c r="AC369" s="3">
        <v>49</v>
      </c>
      <c r="AD369" s="3">
        <v>16.99</v>
      </c>
      <c r="AE369" s="3">
        <v>0</v>
      </c>
      <c r="AF369" s="3">
        <v>0</v>
      </c>
      <c r="AG369" s="3">
        <v>0</v>
      </c>
      <c r="AH369" s="3">
        <v>0.10126582278481</v>
      </c>
      <c r="AI369" s="3" t="s">
        <v>1905</v>
      </c>
      <c r="AJ369" s="3" t="s">
        <v>1715</v>
      </c>
    </row>
    <row r="370" spans="1:36">
      <c r="A370" s="4">
        <v>43277</v>
      </c>
      <c r="B370" s="3" t="s">
        <v>2908</v>
      </c>
      <c r="C370" s="3" t="s">
        <v>2909</v>
      </c>
      <c r="D370" s="3" t="s">
        <v>2910</v>
      </c>
      <c r="E370" s="3" t="s">
        <v>2911</v>
      </c>
      <c r="F370" s="3" t="s">
        <v>1710</v>
      </c>
      <c r="G370" s="3">
        <v>45</v>
      </c>
      <c r="H370" s="3">
        <v>0</v>
      </c>
      <c r="I370" s="3">
        <v>1</v>
      </c>
      <c r="J370" s="3">
        <v>25</v>
      </c>
      <c r="K370" s="3">
        <v>19</v>
      </c>
      <c r="L370" s="3">
        <v>0</v>
      </c>
      <c r="M370" s="3">
        <v>0</v>
      </c>
      <c r="N370" s="3" t="s">
        <v>1711</v>
      </c>
      <c r="O370" s="3">
        <v>44</v>
      </c>
      <c r="P370" s="3">
        <v>81.13</v>
      </c>
      <c r="Q370" s="3">
        <v>0</v>
      </c>
      <c r="R370" s="3">
        <v>0</v>
      </c>
      <c r="S370" s="3">
        <v>0</v>
      </c>
      <c r="T370" s="3">
        <v>3</v>
      </c>
      <c r="U370" s="3">
        <v>4</v>
      </c>
      <c r="V370" s="3">
        <v>4</v>
      </c>
      <c r="W370" s="3"/>
      <c r="X370" s="3">
        <v>19.99</v>
      </c>
      <c r="Y370" s="3">
        <v>19.99</v>
      </c>
      <c r="Z370" s="3">
        <v>19.99</v>
      </c>
      <c r="AA370" s="3">
        <v>0</v>
      </c>
      <c r="AB370" s="3" t="s">
        <v>1732</v>
      </c>
      <c r="AC370" s="3">
        <v>0</v>
      </c>
      <c r="AD370" s="3">
        <v>17.59</v>
      </c>
      <c r="AE370" s="3">
        <v>70</v>
      </c>
      <c r="AF370" s="3">
        <v>0</v>
      </c>
      <c r="AG370" s="3">
        <v>1409.122129</v>
      </c>
      <c r="AH370" s="3">
        <v>0.0681431005110732</v>
      </c>
      <c r="AI370" s="3" t="s">
        <v>2912</v>
      </c>
      <c r="AJ370" s="3" t="s">
        <v>1715</v>
      </c>
    </row>
    <row r="371" spans="1:36">
      <c r="A371" s="4">
        <v>43277</v>
      </c>
      <c r="B371" s="3" t="s">
        <v>1086</v>
      </c>
      <c r="C371" s="3" t="s">
        <v>1087</v>
      </c>
      <c r="D371" s="3" t="s">
        <v>1088</v>
      </c>
      <c r="E371" s="3" t="s">
        <v>1089</v>
      </c>
      <c r="F371" s="3" t="s">
        <v>1710</v>
      </c>
      <c r="G371" s="3">
        <v>25</v>
      </c>
      <c r="H371" s="3">
        <v>0</v>
      </c>
      <c r="I371" s="3">
        <v>25</v>
      </c>
      <c r="J371" s="3">
        <v>0</v>
      </c>
      <c r="K371" s="3">
        <v>0</v>
      </c>
      <c r="L371" s="3">
        <v>0</v>
      </c>
      <c r="M371" s="3">
        <v>0</v>
      </c>
      <c r="N371" s="3" t="s">
        <v>1711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12</v>
      </c>
      <c r="U371" s="3">
        <v>16</v>
      </c>
      <c r="V371" s="3">
        <v>16</v>
      </c>
      <c r="W371" s="3"/>
      <c r="X371" s="3">
        <v>29.99</v>
      </c>
      <c r="Y371" s="3">
        <v>29.99</v>
      </c>
      <c r="Z371" s="3">
        <v>29.99</v>
      </c>
      <c r="AA371" s="3">
        <v>0</v>
      </c>
      <c r="AB371" s="3" t="s">
        <v>1713</v>
      </c>
      <c r="AC371" s="3">
        <v>2</v>
      </c>
      <c r="AD371" s="3">
        <v>29.99</v>
      </c>
      <c r="AE371" s="3">
        <v>0</v>
      </c>
      <c r="AF371" s="3">
        <v>0</v>
      </c>
      <c r="AG371" s="3">
        <v>0</v>
      </c>
      <c r="AH371" s="3">
        <v>0.864864864864864</v>
      </c>
      <c r="AI371" s="3" t="s">
        <v>2016</v>
      </c>
      <c r="AJ371" s="3" t="s">
        <v>1715</v>
      </c>
    </row>
    <row r="372" spans="1:36">
      <c r="A372" s="4">
        <v>43277</v>
      </c>
      <c r="B372" s="3" t="s">
        <v>2913</v>
      </c>
      <c r="C372" s="3" t="s">
        <v>2914</v>
      </c>
      <c r="D372" s="3" t="s">
        <v>2915</v>
      </c>
      <c r="E372" s="3" t="s">
        <v>1861</v>
      </c>
      <c r="F372" s="3" t="s">
        <v>1710</v>
      </c>
      <c r="G372" s="3">
        <v>2</v>
      </c>
      <c r="H372" s="3">
        <v>0</v>
      </c>
      <c r="I372" s="3">
        <v>0</v>
      </c>
      <c r="J372" s="3">
        <v>2</v>
      </c>
      <c r="K372" s="3">
        <v>0</v>
      </c>
      <c r="L372" s="3">
        <v>0</v>
      </c>
      <c r="M372" s="3">
        <v>0</v>
      </c>
      <c r="N372" s="3" t="s">
        <v>1711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1</v>
      </c>
      <c r="U372" s="3">
        <v>1</v>
      </c>
      <c r="V372" s="3">
        <v>4</v>
      </c>
      <c r="W372" s="3" t="s">
        <v>1720</v>
      </c>
      <c r="X372" s="3">
        <v>15.99</v>
      </c>
      <c r="Y372" s="3">
        <v>15.99</v>
      </c>
      <c r="Z372" s="3">
        <v>15.99</v>
      </c>
      <c r="AA372" s="3">
        <v>0</v>
      </c>
      <c r="AB372" s="3" t="s">
        <v>1721</v>
      </c>
      <c r="AC372" s="3">
        <v>2</v>
      </c>
      <c r="AD372" s="3">
        <v>15.99</v>
      </c>
      <c r="AE372" s="3">
        <v>0</v>
      </c>
      <c r="AF372" s="3">
        <v>0</v>
      </c>
      <c r="AG372" s="3">
        <v>0</v>
      </c>
      <c r="AH372" s="3">
        <v>1.14285714285714</v>
      </c>
      <c r="AI372" s="3" t="s">
        <v>2916</v>
      </c>
      <c r="AJ372" s="3" t="s">
        <v>1783</v>
      </c>
    </row>
    <row r="373" spans="1:36">
      <c r="A373" s="4">
        <v>43277</v>
      </c>
      <c r="B373" s="3" t="s">
        <v>2917</v>
      </c>
      <c r="C373" s="3" t="s">
        <v>2918</v>
      </c>
      <c r="D373" s="3" t="s">
        <v>2919</v>
      </c>
      <c r="E373" s="3" t="s">
        <v>2920</v>
      </c>
      <c r="F373" s="3" t="s">
        <v>1710</v>
      </c>
      <c r="G373" s="3">
        <v>66</v>
      </c>
      <c r="H373" s="3">
        <v>0</v>
      </c>
      <c r="I373" s="3">
        <v>10</v>
      </c>
      <c r="J373" s="3">
        <v>30</v>
      </c>
      <c r="K373" s="3">
        <v>26</v>
      </c>
      <c r="L373" s="3">
        <v>0</v>
      </c>
      <c r="M373" s="3">
        <v>0</v>
      </c>
      <c r="N373" s="3" t="s">
        <v>1711</v>
      </c>
      <c r="O373" s="3">
        <v>46</v>
      </c>
      <c r="P373" s="3">
        <v>27.54</v>
      </c>
      <c r="Q373" s="3">
        <v>0</v>
      </c>
      <c r="R373" s="3">
        <v>0</v>
      </c>
      <c r="S373" s="3">
        <v>0</v>
      </c>
      <c r="T373" s="3">
        <v>1</v>
      </c>
      <c r="U373" s="3">
        <v>3</v>
      </c>
      <c r="V373" s="3">
        <v>19</v>
      </c>
      <c r="W373" s="3"/>
      <c r="X373" s="3">
        <v>16.99</v>
      </c>
      <c r="Y373" s="3">
        <v>16.99</v>
      </c>
      <c r="Z373" s="3">
        <v>16</v>
      </c>
      <c r="AA373" s="3">
        <v>0</v>
      </c>
      <c r="AB373" s="3" t="s">
        <v>1732</v>
      </c>
      <c r="AC373" s="3">
        <v>11</v>
      </c>
      <c r="AD373" s="3">
        <v>15.65</v>
      </c>
      <c r="AE373" s="3">
        <v>119</v>
      </c>
      <c r="AF373" s="3">
        <v>0</v>
      </c>
      <c r="AG373" s="3">
        <v>1058.264824</v>
      </c>
      <c r="AH373" s="3">
        <v>0.102981029810298</v>
      </c>
      <c r="AI373" s="3" t="s">
        <v>1905</v>
      </c>
      <c r="AJ373" s="3" t="s">
        <v>1715</v>
      </c>
    </row>
    <row r="374" spans="1:36">
      <c r="A374" s="4">
        <v>43277</v>
      </c>
      <c r="B374" s="3" t="s">
        <v>411</v>
      </c>
      <c r="C374" s="3" t="s">
        <v>412</v>
      </c>
      <c r="D374" s="3" t="s">
        <v>413</v>
      </c>
      <c r="E374" s="3" t="s">
        <v>414</v>
      </c>
      <c r="F374" s="3" t="s">
        <v>1710</v>
      </c>
      <c r="G374" s="3">
        <v>16</v>
      </c>
      <c r="H374" s="3">
        <v>0</v>
      </c>
      <c r="I374" s="3">
        <v>16</v>
      </c>
      <c r="J374" s="3">
        <v>0</v>
      </c>
      <c r="K374" s="3">
        <v>0</v>
      </c>
      <c r="L374" s="3">
        <v>0</v>
      </c>
      <c r="M374" s="3">
        <v>0</v>
      </c>
      <c r="N374" s="3" t="s">
        <v>1711</v>
      </c>
      <c r="O374" s="3">
        <v>0</v>
      </c>
      <c r="P374" s="3">
        <v>0</v>
      </c>
      <c r="Q374" s="3">
        <v>0</v>
      </c>
      <c r="R374" s="3">
        <v>0</v>
      </c>
      <c r="S374" s="3">
        <v>6</v>
      </c>
      <c r="T374" s="3">
        <v>12</v>
      </c>
      <c r="U374" s="3">
        <v>20</v>
      </c>
      <c r="V374" s="3">
        <v>24</v>
      </c>
      <c r="W374" s="3"/>
      <c r="X374" s="3">
        <v>32.99</v>
      </c>
      <c r="Y374" s="3">
        <v>28.58</v>
      </c>
      <c r="Z374" s="3">
        <v>25.98</v>
      </c>
      <c r="AA374" s="3">
        <v>0</v>
      </c>
      <c r="AB374" s="3" t="s">
        <v>1713</v>
      </c>
      <c r="AC374" s="3">
        <v>11</v>
      </c>
      <c r="AD374" s="3">
        <v>28.58</v>
      </c>
      <c r="AE374" s="3">
        <v>0</v>
      </c>
      <c r="AF374" s="3">
        <v>0</v>
      </c>
      <c r="AG374" s="3">
        <v>0</v>
      </c>
      <c r="AH374" s="3">
        <v>1.84615384615384</v>
      </c>
      <c r="AI374" s="3" t="s">
        <v>1734</v>
      </c>
      <c r="AJ374" s="3" t="s">
        <v>1715</v>
      </c>
    </row>
    <row r="375" spans="1:36">
      <c r="A375" s="4">
        <v>43277</v>
      </c>
      <c r="B375" s="3" t="s">
        <v>2921</v>
      </c>
      <c r="C375" s="3" t="s">
        <v>2922</v>
      </c>
      <c r="D375" s="3" t="s">
        <v>2923</v>
      </c>
      <c r="E375" s="3" t="s">
        <v>2924</v>
      </c>
      <c r="F375" s="3" t="s">
        <v>1710</v>
      </c>
      <c r="G375" s="3">
        <v>7</v>
      </c>
      <c r="H375" s="3">
        <v>0</v>
      </c>
      <c r="I375" s="3">
        <v>0</v>
      </c>
      <c r="J375" s="3">
        <v>0</v>
      </c>
      <c r="K375" s="3">
        <v>0</v>
      </c>
      <c r="L375" s="3">
        <v>0</v>
      </c>
      <c r="M375" s="3">
        <v>7</v>
      </c>
      <c r="N375" s="3" t="s">
        <v>1711</v>
      </c>
      <c r="O375" s="3">
        <v>0</v>
      </c>
      <c r="P375" s="3">
        <v>0</v>
      </c>
      <c r="Q375" s="3">
        <v>7</v>
      </c>
      <c r="R375" s="3">
        <v>9.84</v>
      </c>
      <c r="S375" s="3">
        <v>1</v>
      </c>
      <c r="T375" s="3">
        <v>3</v>
      </c>
      <c r="U375" s="3">
        <v>3</v>
      </c>
      <c r="V375" s="3">
        <v>3</v>
      </c>
      <c r="W375" s="3"/>
      <c r="X375" s="3">
        <v>15.99</v>
      </c>
      <c r="Y375" s="3">
        <v>15.99</v>
      </c>
      <c r="Z375" s="3">
        <v>15.55</v>
      </c>
      <c r="AA375" s="3">
        <v>0</v>
      </c>
      <c r="AB375" s="3" t="s">
        <v>1713</v>
      </c>
      <c r="AC375" s="3">
        <v>7</v>
      </c>
      <c r="AD375" s="3">
        <v>15.99</v>
      </c>
      <c r="AE375" s="3">
        <v>0</v>
      </c>
      <c r="AF375" s="3">
        <v>0</v>
      </c>
      <c r="AG375" s="3">
        <v>0</v>
      </c>
      <c r="AH375" s="3">
        <v>0.333333333333333</v>
      </c>
      <c r="AI375" s="3" t="s">
        <v>2036</v>
      </c>
      <c r="AJ375" s="3" t="s">
        <v>1715</v>
      </c>
    </row>
    <row r="376" spans="1:36">
      <c r="A376" s="4">
        <v>43277</v>
      </c>
      <c r="B376" s="3" t="s">
        <v>2925</v>
      </c>
      <c r="C376" s="3" t="s">
        <v>2926</v>
      </c>
      <c r="D376" s="3" t="s">
        <v>2927</v>
      </c>
      <c r="E376" s="3" t="s">
        <v>2637</v>
      </c>
      <c r="F376" s="3" t="s">
        <v>1710</v>
      </c>
      <c r="G376" s="3">
        <v>15</v>
      </c>
      <c r="H376" s="3">
        <v>0</v>
      </c>
      <c r="I376" s="3">
        <v>15</v>
      </c>
      <c r="J376" s="3">
        <v>0</v>
      </c>
      <c r="K376" s="3">
        <v>0</v>
      </c>
      <c r="L376" s="3">
        <v>0</v>
      </c>
      <c r="M376" s="3">
        <v>0</v>
      </c>
      <c r="N376" s="3" t="s">
        <v>1711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4</v>
      </c>
      <c r="W376" s="3" t="s">
        <v>1712</v>
      </c>
      <c r="X376" s="3">
        <v>27.99</v>
      </c>
      <c r="Y376" s="3">
        <v>27.99</v>
      </c>
      <c r="Z376" s="3">
        <v>25.99</v>
      </c>
      <c r="AA376" s="3">
        <v>0</v>
      </c>
      <c r="AB376" s="3" t="s">
        <v>1732</v>
      </c>
      <c r="AC376" s="3">
        <v>0</v>
      </c>
      <c r="AD376" s="3">
        <v>22.31</v>
      </c>
      <c r="AE376" s="3">
        <v>280</v>
      </c>
      <c r="AF376" s="3">
        <v>0</v>
      </c>
      <c r="AG376" s="3">
        <v>625.546186</v>
      </c>
      <c r="AH376" s="3">
        <v>0.307692307692307</v>
      </c>
      <c r="AI376" s="3" t="s">
        <v>1831</v>
      </c>
      <c r="AJ376" s="3" t="s">
        <v>1715</v>
      </c>
    </row>
    <row r="377" spans="1:36">
      <c r="A377" s="4">
        <v>43277</v>
      </c>
      <c r="B377" s="3" t="s">
        <v>2928</v>
      </c>
      <c r="C377" s="3" t="s">
        <v>2929</v>
      </c>
      <c r="D377" s="3" t="s">
        <v>2930</v>
      </c>
      <c r="E377" s="3" t="s">
        <v>2931</v>
      </c>
      <c r="F377" s="3" t="s">
        <v>1710</v>
      </c>
      <c r="G377" s="3">
        <v>62</v>
      </c>
      <c r="H377" s="3">
        <v>0</v>
      </c>
      <c r="I377" s="3">
        <v>62</v>
      </c>
      <c r="J377" s="3">
        <v>0</v>
      </c>
      <c r="K377" s="3">
        <v>0</v>
      </c>
      <c r="L377" s="3">
        <v>0</v>
      </c>
      <c r="M377" s="3">
        <v>0</v>
      </c>
      <c r="N377" s="3" t="s">
        <v>1711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4</v>
      </c>
      <c r="U377" s="3">
        <v>30</v>
      </c>
      <c r="V377" s="3">
        <v>53</v>
      </c>
      <c r="W377" s="3"/>
      <c r="X377" s="3">
        <v>16.08</v>
      </c>
      <c r="Y377" s="3">
        <v>16.08</v>
      </c>
      <c r="Z377" s="3">
        <v>16.08</v>
      </c>
      <c r="AA377" s="3">
        <v>0</v>
      </c>
      <c r="AB377" s="3" t="s">
        <v>1713</v>
      </c>
      <c r="AC377" s="3">
        <v>61</v>
      </c>
      <c r="AD377" s="3">
        <v>16.08</v>
      </c>
      <c r="AE377" s="3">
        <v>0</v>
      </c>
      <c r="AF377" s="3">
        <v>0</v>
      </c>
      <c r="AG377" s="3">
        <v>0</v>
      </c>
      <c r="AH377" s="3">
        <v>1.08163265306122</v>
      </c>
      <c r="AI377" s="3" t="s">
        <v>2932</v>
      </c>
      <c r="AJ377" s="3" t="s">
        <v>1715</v>
      </c>
    </row>
    <row r="378" spans="1:36">
      <c r="A378" s="4">
        <v>43277</v>
      </c>
      <c r="B378" s="3" t="s">
        <v>2933</v>
      </c>
      <c r="C378" s="3" t="s">
        <v>2934</v>
      </c>
      <c r="D378" s="3" t="s">
        <v>2935</v>
      </c>
      <c r="E378" s="3" t="s">
        <v>2936</v>
      </c>
      <c r="F378" s="3" t="s">
        <v>1710</v>
      </c>
      <c r="G378" s="3">
        <v>1</v>
      </c>
      <c r="H378" s="3">
        <v>0</v>
      </c>
      <c r="I378" s="3">
        <v>1</v>
      </c>
      <c r="J378" s="3">
        <v>0</v>
      </c>
      <c r="K378" s="3">
        <v>0</v>
      </c>
      <c r="L378" s="3">
        <v>0</v>
      </c>
      <c r="M378" s="3">
        <v>0</v>
      </c>
      <c r="N378" s="3" t="s">
        <v>1711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1</v>
      </c>
      <c r="V378" s="3">
        <v>6</v>
      </c>
      <c r="W378" s="3"/>
      <c r="X378" s="3"/>
      <c r="Y378" s="3"/>
      <c r="Z378" s="3">
        <v>-1</v>
      </c>
      <c r="AA378" s="3">
        <v>-1</v>
      </c>
      <c r="AB378" s="3" t="s">
        <v>1776</v>
      </c>
      <c r="AC378" s="3">
        <v>0</v>
      </c>
      <c r="AD378" s="3">
        <v>0</v>
      </c>
      <c r="AE378" s="3">
        <v>0</v>
      </c>
      <c r="AF378" s="3">
        <v>0</v>
      </c>
      <c r="AG378" s="3">
        <v>0</v>
      </c>
      <c r="AH378" s="3">
        <v>2.66666666666666</v>
      </c>
      <c r="AI378" s="3" t="s">
        <v>2937</v>
      </c>
      <c r="AJ378" s="3" t="s">
        <v>1715</v>
      </c>
    </row>
    <row r="379" spans="1:36">
      <c r="A379" s="4">
        <v>43277</v>
      </c>
      <c r="B379" s="3" t="s">
        <v>2938</v>
      </c>
      <c r="C379" s="3" t="s">
        <v>2939</v>
      </c>
      <c r="D379" s="3" t="s">
        <v>2940</v>
      </c>
      <c r="E379" s="3" t="s">
        <v>2332</v>
      </c>
      <c r="F379" s="3" t="s">
        <v>1710</v>
      </c>
      <c r="G379" s="3">
        <v>9</v>
      </c>
      <c r="H379" s="3">
        <v>0</v>
      </c>
      <c r="I379" s="3">
        <v>1</v>
      </c>
      <c r="J379" s="3">
        <v>2</v>
      </c>
      <c r="K379" s="3">
        <v>6</v>
      </c>
      <c r="L379" s="3">
        <v>0</v>
      </c>
      <c r="M379" s="3">
        <v>0</v>
      </c>
      <c r="N379" s="3" t="s">
        <v>1711</v>
      </c>
      <c r="O379" s="3">
        <v>8</v>
      </c>
      <c r="P379" s="3">
        <v>12.64</v>
      </c>
      <c r="Q379" s="3">
        <v>0</v>
      </c>
      <c r="R379" s="3">
        <v>0</v>
      </c>
      <c r="S379" s="3">
        <v>0</v>
      </c>
      <c r="T379" s="3">
        <v>1</v>
      </c>
      <c r="U379" s="3">
        <v>3</v>
      </c>
      <c r="V379" s="3">
        <v>4</v>
      </c>
      <c r="W379" s="3"/>
      <c r="X379" s="3">
        <v>15.99</v>
      </c>
      <c r="Y379" s="3">
        <v>15.99</v>
      </c>
      <c r="Z379" s="3">
        <v>15.99</v>
      </c>
      <c r="AA379" s="3">
        <v>0</v>
      </c>
      <c r="AB379" s="3" t="s">
        <v>1713</v>
      </c>
      <c r="AC379" s="3">
        <v>9</v>
      </c>
      <c r="AD379" s="3">
        <v>15.99</v>
      </c>
      <c r="AE379" s="3">
        <v>0</v>
      </c>
      <c r="AF379" s="3">
        <v>0</v>
      </c>
      <c r="AG379" s="3">
        <v>0</v>
      </c>
      <c r="AH379" s="3">
        <v>0.372093023255813</v>
      </c>
      <c r="AI379" s="3" t="s">
        <v>2941</v>
      </c>
      <c r="AJ379" s="3" t="s">
        <v>1783</v>
      </c>
    </row>
    <row r="380" spans="1:36">
      <c r="A380" s="4">
        <v>43277</v>
      </c>
      <c r="B380" s="3" t="s">
        <v>2942</v>
      </c>
      <c r="C380" s="3" t="s">
        <v>2943</v>
      </c>
      <c r="D380" s="3" t="s">
        <v>2944</v>
      </c>
      <c r="E380" s="3" t="s">
        <v>2945</v>
      </c>
      <c r="F380" s="3" t="s">
        <v>1710</v>
      </c>
      <c r="G380" s="3">
        <v>14</v>
      </c>
      <c r="H380" s="3">
        <v>0</v>
      </c>
      <c r="I380" s="3">
        <v>14</v>
      </c>
      <c r="J380" s="3">
        <v>0</v>
      </c>
      <c r="K380" s="3">
        <v>0</v>
      </c>
      <c r="L380" s="3">
        <v>0</v>
      </c>
      <c r="M380" s="3">
        <v>0</v>
      </c>
      <c r="N380" s="3" t="s">
        <v>1711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1</v>
      </c>
      <c r="U380" s="3">
        <v>1</v>
      </c>
      <c r="V380" s="3">
        <v>1</v>
      </c>
      <c r="W380" s="3"/>
      <c r="X380" s="3">
        <v>28.99</v>
      </c>
      <c r="Y380" s="3">
        <v>28.99</v>
      </c>
      <c r="Z380" s="3">
        <v>28.99</v>
      </c>
      <c r="AA380" s="3">
        <v>0</v>
      </c>
      <c r="AB380" s="3" t="s">
        <v>1713</v>
      </c>
      <c r="AC380" s="3">
        <v>14</v>
      </c>
      <c r="AD380" s="3">
        <v>28.99</v>
      </c>
      <c r="AE380" s="3">
        <v>0</v>
      </c>
      <c r="AF380" s="3">
        <v>0</v>
      </c>
      <c r="AG380" s="3">
        <v>0</v>
      </c>
      <c r="AH380" s="3">
        <v>0.0714285714285714</v>
      </c>
      <c r="AI380" s="3" t="s">
        <v>2065</v>
      </c>
      <c r="AJ380" s="3" t="s">
        <v>1715</v>
      </c>
    </row>
    <row r="381" spans="1:36">
      <c r="A381" s="4">
        <v>43277</v>
      </c>
      <c r="B381" s="3" t="s">
        <v>2946</v>
      </c>
      <c r="C381" s="3" t="s">
        <v>2947</v>
      </c>
      <c r="D381" s="3" t="s">
        <v>2948</v>
      </c>
      <c r="E381" s="3" t="s">
        <v>2519</v>
      </c>
      <c r="F381" s="3" t="s">
        <v>1710</v>
      </c>
      <c r="G381" s="3">
        <v>2</v>
      </c>
      <c r="H381" s="3">
        <v>0</v>
      </c>
      <c r="I381" s="3">
        <v>0</v>
      </c>
      <c r="J381" s="3">
        <v>0</v>
      </c>
      <c r="K381" s="3">
        <v>0</v>
      </c>
      <c r="L381" s="3">
        <v>2</v>
      </c>
      <c r="M381" s="3">
        <v>0</v>
      </c>
      <c r="N381" s="3" t="s">
        <v>1711</v>
      </c>
      <c r="O381" s="3">
        <v>2</v>
      </c>
      <c r="P381" s="3">
        <v>4.54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1720</v>
      </c>
      <c r="X381" s="3">
        <v>18.99</v>
      </c>
      <c r="Y381" s="3">
        <v>18.99</v>
      </c>
      <c r="Z381" s="3">
        <v>18.99</v>
      </c>
      <c r="AA381" s="3">
        <v>0</v>
      </c>
      <c r="AB381" s="3" t="s">
        <v>1732</v>
      </c>
      <c r="AC381" s="3">
        <v>0</v>
      </c>
      <c r="AD381" s="3">
        <v>15.19</v>
      </c>
      <c r="AE381" s="3">
        <v>63</v>
      </c>
      <c r="AF381" s="3">
        <v>0</v>
      </c>
      <c r="AG381" s="3">
        <v>53.302886</v>
      </c>
      <c r="AH381" s="3">
        <v>0</v>
      </c>
      <c r="AI381" s="3" t="s">
        <v>2949</v>
      </c>
      <c r="AJ381" s="3" t="s">
        <v>1783</v>
      </c>
    </row>
    <row r="382" spans="1:36">
      <c r="A382" s="4">
        <v>43277</v>
      </c>
      <c r="B382" s="3" t="s">
        <v>2950</v>
      </c>
      <c r="C382" s="3" t="s">
        <v>2951</v>
      </c>
      <c r="D382" s="3" t="s">
        <v>2952</v>
      </c>
      <c r="E382" s="3" t="s">
        <v>2953</v>
      </c>
      <c r="F382" s="3" t="s">
        <v>1710</v>
      </c>
      <c r="G382" s="3">
        <v>9</v>
      </c>
      <c r="H382" s="3">
        <v>0</v>
      </c>
      <c r="I382" s="3">
        <v>0</v>
      </c>
      <c r="J382" s="3">
        <v>0</v>
      </c>
      <c r="K382" s="3">
        <v>9</v>
      </c>
      <c r="L382" s="3">
        <v>0</v>
      </c>
      <c r="M382" s="3">
        <v>0</v>
      </c>
      <c r="N382" s="3" t="s">
        <v>1711</v>
      </c>
      <c r="O382" s="3">
        <v>9</v>
      </c>
      <c r="P382" s="3">
        <v>10.91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1720</v>
      </c>
      <c r="X382" s="3">
        <v>17.99</v>
      </c>
      <c r="Y382" s="3">
        <v>17.99</v>
      </c>
      <c r="Z382" s="3">
        <v>17.99</v>
      </c>
      <c r="AA382" s="3">
        <v>0</v>
      </c>
      <c r="AB382" s="3" t="s">
        <v>1732</v>
      </c>
      <c r="AC382" s="3">
        <v>1</v>
      </c>
      <c r="AD382" s="3">
        <v>16.76</v>
      </c>
      <c r="AE382" s="3">
        <v>49</v>
      </c>
      <c r="AF382" s="3">
        <v>0</v>
      </c>
      <c r="AG382" s="3">
        <v>214.712828</v>
      </c>
      <c r="AH382" s="3">
        <v>0</v>
      </c>
      <c r="AI382" s="3" t="s">
        <v>1996</v>
      </c>
      <c r="AJ382" s="3" t="s">
        <v>1715</v>
      </c>
    </row>
    <row r="383" spans="1:36">
      <c r="A383" s="4">
        <v>43277</v>
      </c>
      <c r="B383" s="3" t="s">
        <v>2954</v>
      </c>
      <c r="C383" s="3" t="s">
        <v>2955</v>
      </c>
      <c r="D383" s="3" t="s">
        <v>2956</v>
      </c>
      <c r="E383" s="3" t="s">
        <v>2957</v>
      </c>
      <c r="F383" s="3" t="s">
        <v>1710</v>
      </c>
      <c r="G383" s="3">
        <v>17</v>
      </c>
      <c r="H383" s="3">
        <v>0</v>
      </c>
      <c r="I383" s="3">
        <v>17</v>
      </c>
      <c r="J383" s="3">
        <v>0</v>
      </c>
      <c r="K383" s="3">
        <v>0</v>
      </c>
      <c r="L383" s="3">
        <v>0</v>
      </c>
      <c r="M383" s="3">
        <v>0</v>
      </c>
      <c r="N383" s="3" t="s">
        <v>1711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3</v>
      </c>
      <c r="U383" s="3">
        <v>8</v>
      </c>
      <c r="V383" s="3">
        <v>8</v>
      </c>
      <c r="W383" s="3"/>
      <c r="X383" s="3">
        <v>15.99</v>
      </c>
      <c r="Y383" s="3">
        <v>15.99</v>
      </c>
      <c r="Z383" s="3">
        <v>15.99</v>
      </c>
      <c r="AA383" s="3">
        <v>0</v>
      </c>
      <c r="AB383" s="3" t="s">
        <v>1713</v>
      </c>
      <c r="AC383" s="3">
        <v>17</v>
      </c>
      <c r="AD383" s="3">
        <v>15.99</v>
      </c>
      <c r="AE383" s="3">
        <v>0</v>
      </c>
      <c r="AF383" s="3">
        <v>0</v>
      </c>
      <c r="AG383" s="3">
        <v>0</v>
      </c>
      <c r="AH383" s="3">
        <v>0.461538461538461</v>
      </c>
      <c r="AI383" s="3" t="s">
        <v>1881</v>
      </c>
      <c r="AJ383" s="3" t="s">
        <v>1715</v>
      </c>
    </row>
    <row r="384" spans="1:36">
      <c r="A384" s="4">
        <v>43277</v>
      </c>
      <c r="B384" s="3" t="s">
        <v>2958</v>
      </c>
      <c r="C384" s="3" t="s">
        <v>2959</v>
      </c>
      <c r="D384" s="3" t="s">
        <v>2960</v>
      </c>
      <c r="E384" s="3" t="s">
        <v>2961</v>
      </c>
      <c r="F384" s="3" t="s">
        <v>1710</v>
      </c>
      <c r="G384" s="3">
        <v>5</v>
      </c>
      <c r="H384" s="3">
        <v>0</v>
      </c>
      <c r="I384" s="3">
        <v>5</v>
      </c>
      <c r="J384" s="3">
        <v>0</v>
      </c>
      <c r="K384" s="3">
        <v>0</v>
      </c>
      <c r="L384" s="3">
        <v>0</v>
      </c>
      <c r="M384" s="3">
        <v>0</v>
      </c>
      <c r="N384" s="3" t="s">
        <v>1711</v>
      </c>
      <c r="O384" s="3">
        <v>0</v>
      </c>
      <c r="P384" s="3">
        <v>0</v>
      </c>
      <c r="Q384" s="3">
        <v>0</v>
      </c>
      <c r="R384" s="3">
        <v>0</v>
      </c>
      <c r="S384" s="3">
        <v>0</v>
      </c>
      <c r="T384" s="3">
        <v>0</v>
      </c>
      <c r="U384" s="3">
        <v>0</v>
      </c>
      <c r="V384" s="3">
        <v>0</v>
      </c>
      <c r="W384" s="3" t="s">
        <v>1712</v>
      </c>
      <c r="X384" s="3">
        <v>13.99</v>
      </c>
      <c r="Y384" s="3">
        <v>13.99</v>
      </c>
      <c r="Z384" s="3">
        <v>13.99</v>
      </c>
      <c r="AA384" s="3">
        <v>0</v>
      </c>
      <c r="AB384" s="3" t="s">
        <v>1713</v>
      </c>
      <c r="AC384" s="3">
        <v>5</v>
      </c>
      <c r="AD384" s="3">
        <v>13.99</v>
      </c>
      <c r="AE384" s="3">
        <v>0</v>
      </c>
      <c r="AF384" s="3">
        <v>0</v>
      </c>
      <c r="AG384" s="3">
        <v>0</v>
      </c>
      <c r="AH384" s="3">
        <v>0</v>
      </c>
      <c r="AI384" s="3" t="s">
        <v>1905</v>
      </c>
      <c r="AJ384" s="3" t="s">
        <v>1715</v>
      </c>
    </row>
    <row r="385" spans="1:36">
      <c r="A385" s="4">
        <v>43277</v>
      </c>
      <c r="B385" s="3" t="s">
        <v>911</v>
      </c>
      <c r="C385" s="3" t="s">
        <v>912</v>
      </c>
      <c r="D385" s="3" t="s">
        <v>913</v>
      </c>
      <c r="E385" s="3" t="s">
        <v>914</v>
      </c>
      <c r="F385" s="3" t="s">
        <v>1710</v>
      </c>
      <c r="G385" s="3">
        <v>10</v>
      </c>
      <c r="H385" s="3">
        <v>0</v>
      </c>
      <c r="I385" s="3">
        <v>10</v>
      </c>
      <c r="J385" s="3">
        <v>0</v>
      </c>
      <c r="K385" s="3">
        <v>0</v>
      </c>
      <c r="L385" s="3">
        <v>0</v>
      </c>
      <c r="M385" s="3">
        <v>0</v>
      </c>
      <c r="N385" s="3" t="s">
        <v>1711</v>
      </c>
      <c r="O385" s="3">
        <v>0</v>
      </c>
      <c r="P385" s="3">
        <v>0</v>
      </c>
      <c r="Q385" s="3">
        <v>0</v>
      </c>
      <c r="R385" s="3">
        <v>0</v>
      </c>
      <c r="S385" s="3">
        <v>7</v>
      </c>
      <c r="T385" s="3">
        <v>24</v>
      </c>
      <c r="U385" s="3">
        <v>28</v>
      </c>
      <c r="V385" s="3">
        <v>28</v>
      </c>
      <c r="W385" s="3"/>
      <c r="X385" s="3">
        <v>15.99</v>
      </c>
      <c r="Y385" s="3">
        <v>15.99</v>
      </c>
      <c r="Z385" s="3">
        <v>15.99</v>
      </c>
      <c r="AA385" s="3">
        <v>0</v>
      </c>
      <c r="AB385" s="3" t="s">
        <v>1713</v>
      </c>
      <c r="AC385" s="3">
        <v>0</v>
      </c>
      <c r="AD385" s="3">
        <v>0</v>
      </c>
      <c r="AE385" s="3">
        <v>0</v>
      </c>
      <c r="AF385" s="3">
        <v>0</v>
      </c>
      <c r="AG385" s="3">
        <v>0</v>
      </c>
      <c r="AH385" s="3">
        <v>2.07407407407407</v>
      </c>
      <c r="AI385" s="3" t="s">
        <v>1881</v>
      </c>
      <c r="AJ385" s="3" t="s">
        <v>1715</v>
      </c>
    </row>
    <row r="386" spans="1:36">
      <c r="A386" s="4">
        <v>43277</v>
      </c>
      <c r="B386" s="3" t="s">
        <v>2962</v>
      </c>
      <c r="C386" s="3" t="s">
        <v>2963</v>
      </c>
      <c r="D386" s="3" t="s">
        <v>2964</v>
      </c>
      <c r="E386" s="3" t="s">
        <v>2965</v>
      </c>
      <c r="F386" s="3" t="s">
        <v>1710</v>
      </c>
      <c r="G386" s="3">
        <v>11</v>
      </c>
      <c r="H386" s="3">
        <v>0</v>
      </c>
      <c r="I386" s="3">
        <v>0</v>
      </c>
      <c r="J386" s="3">
        <v>8</v>
      </c>
      <c r="K386" s="3">
        <v>0</v>
      </c>
      <c r="L386" s="3">
        <v>1</v>
      </c>
      <c r="M386" s="3">
        <v>2</v>
      </c>
      <c r="N386" s="3" t="s">
        <v>1711</v>
      </c>
      <c r="O386" s="3">
        <v>0</v>
      </c>
      <c r="P386" s="3">
        <v>0</v>
      </c>
      <c r="Q386" s="3">
        <v>3</v>
      </c>
      <c r="R386" s="3">
        <v>5.02</v>
      </c>
      <c r="S386" s="3">
        <v>1</v>
      </c>
      <c r="T386" s="3">
        <v>1</v>
      </c>
      <c r="U386" s="3">
        <v>3</v>
      </c>
      <c r="V386" s="3">
        <v>4</v>
      </c>
      <c r="W386" s="3"/>
      <c r="X386" s="3">
        <v>38</v>
      </c>
      <c r="Y386" s="3">
        <v>25.58</v>
      </c>
      <c r="Z386" s="3">
        <v>25.58</v>
      </c>
      <c r="AA386" s="3">
        <v>0</v>
      </c>
      <c r="AB386" s="3" t="s">
        <v>1732</v>
      </c>
      <c r="AC386" s="3">
        <v>5</v>
      </c>
      <c r="AD386" s="3">
        <v>23.46</v>
      </c>
      <c r="AE386" s="3">
        <v>84</v>
      </c>
      <c r="AF386" s="3">
        <v>0</v>
      </c>
      <c r="AG386" s="3">
        <v>2.886085</v>
      </c>
      <c r="AH386" s="3">
        <v>0.347826086956521</v>
      </c>
      <c r="AI386" s="3" t="s">
        <v>2128</v>
      </c>
      <c r="AJ386" s="3" t="s">
        <v>1715</v>
      </c>
    </row>
    <row r="387" spans="1:36">
      <c r="A387" s="4">
        <v>43277</v>
      </c>
      <c r="B387" s="3" t="s">
        <v>2966</v>
      </c>
      <c r="C387" s="3" t="s">
        <v>2967</v>
      </c>
      <c r="D387" s="3" t="s">
        <v>2968</v>
      </c>
      <c r="E387" s="3" t="s">
        <v>2969</v>
      </c>
      <c r="F387" s="3" t="s">
        <v>1710</v>
      </c>
      <c r="G387" s="3">
        <v>4</v>
      </c>
      <c r="H387" s="3">
        <v>0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 s="3" t="s">
        <v>1711</v>
      </c>
      <c r="O387" s="3">
        <v>0</v>
      </c>
      <c r="P387" s="3">
        <v>0</v>
      </c>
      <c r="Q387" s="3">
        <v>4</v>
      </c>
      <c r="R387" s="3">
        <v>9.47</v>
      </c>
      <c r="S387" s="3">
        <v>0</v>
      </c>
      <c r="T387" s="3">
        <v>0</v>
      </c>
      <c r="U387" s="3">
        <v>1</v>
      </c>
      <c r="V387" s="3">
        <v>1</v>
      </c>
      <c r="W387" s="3" t="s">
        <v>1720</v>
      </c>
      <c r="X387" s="3">
        <v>25.68</v>
      </c>
      <c r="Y387" s="3">
        <v>14.99</v>
      </c>
      <c r="Z387" s="3">
        <v>14.99</v>
      </c>
      <c r="AA387" s="3">
        <v>0</v>
      </c>
      <c r="AB387" s="3" t="s">
        <v>1713</v>
      </c>
      <c r="AC387" s="3">
        <v>4</v>
      </c>
      <c r="AD387" s="3">
        <v>14.99</v>
      </c>
      <c r="AE387" s="3">
        <v>0</v>
      </c>
      <c r="AF387" s="3">
        <v>0</v>
      </c>
      <c r="AG387" s="3">
        <v>0</v>
      </c>
      <c r="AH387" s="3">
        <v>0.222222222222222</v>
      </c>
      <c r="AI387" s="3" t="s">
        <v>2970</v>
      </c>
      <c r="AJ387" s="3" t="s">
        <v>1715</v>
      </c>
    </row>
    <row r="388" spans="1:36">
      <c r="A388" s="4">
        <v>43277</v>
      </c>
      <c r="B388" s="3" t="s">
        <v>2971</v>
      </c>
      <c r="C388" s="3" t="s">
        <v>2972</v>
      </c>
      <c r="D388" s="3" t="s">
        <v>2973</v>
      </c>
      <c r="E388" s="3" t="s">
        <v>2974</v>
      </c>
      <c r="F388" s="3" t="s">
        <v>1710</v>
      </c>
      <c r="G388" s="3">
        <v>28</v>
      </c>
      <c r="H388" s="3">
        <v>0</v>
      </c>
      <c r="I388" s="3">
        <v>28</v>
      </c>
      <c r="J388" s="3">
        <v>0</v>
      </c>
      <c r="K388" s="3">
        <v>0</v>
      </c>
      <c r="L388" s="3">
        <v>0</v>
      </c>
      <c r="M388" s="3">
        <v>0</v>
      </c>
      <c r="N388" s="3" t="s">
        <v>1711</v>
      </c>
      <c r="O388" s="3">
        <v>0</v>
      </c>
      <c r="P388" s="3">
        <v>0</v>
      </c>
      <c r="Q388" s="3">
        <v>0</v>
      </c>
      <c r="R388" s="3">
        <v>0</v>
      </c>
      <c r="S388" s="3">
        <v>6</v>
      </c>
      <c r="T388" s="3">
        <v>21</v>
      </c>
      <c r="U388" s="3">
        <v>28</v>
      </c>
      <c r="V388" s="3">
        <v>51</v>
      </c>
      <c r="W388" s="3"/>
      <c r="X388" s="3">
        <v>38</v>
      </c>
      <c r="Y388" s="3">
        <v>28.58</v>
      </c>
      <c r="Z388" s="3">
        <v>28</v>
      </c>
      <c r="AA388" s="3">
        <v>0</v>
      </c>
      <c r="AB388" s="3" t="s">
        <v>1713</v>
      </c>
      <c r="AC388" s="3">
        <v>28</v>
      </c>
      <c r="AD388" s="3">
        <v>28.58</v>
      </c>
      <c r="AE388" s="3">
        <v>0</v>
      </c>
      <c r="AF388" s="3">
        <v>0</v>
      </c>
      <c r="AG388" s="3">
        <v>0</v>
      </c>
      <c r="AH388" s="3">
        <v>1.74789915966386</v>
      </c>
      <c r="AI388" s="3" t="s">
        <v>2128</v>
      </c>
      <c r="AJ388" s="3" t="s">
        <v>1715</v>
      </c>
    </row>
    <row r="389" spans="1:36">
      <c r="A389" s="4">
        <v>43277</v>
      </c>
      <c r="B389" s="3" t="s">
        <v>2975</v>
      </c>
      <c r="C389" s="3" t="s">
        <v>2976</v>
      </c>
      <c r="D389" s="3" t="s">
        <v>2977</v>
      </c>
      <c r="E389" s="3" t="s">
        <v>1805</v>
      </c>
      <c r="F389" s="3" t="s">
        <v>1710</v>
      </c>
      <c r="G389" s="3">
        <v>2</v>
      </c>
      <c r="H389" s="3">
        <v>0</v>
      </c>
      <c r="I389" s="3">
        <v>0</v>
      </c>
      <c r="J389" s="3">
        <v>1</v>
      </c>
      <c r="K389" s="3">
        <v>1</v>
      </c>
      <c r="L389" s="3">
        <v>0</v>
      </c>
      <c r="M389" s="3">
        <v>0</v>
      </c>
      <c r="N389" s="3" t="s">
        <v>1711</v>
      </c>
      <c r="O389" s="3">
        <v>1</v>
      </c>
      <c r="P389" s="3">
        <v>1.95</v>
      </c>
      <c r="Q389" s="3">
        <v>0</v>
      </c>
      <c r="R389" s="3">
        <v>0</v>
      </c>
      <c r="S389" s="3">
        <v>0</v>
      </c>
      <c r="T389" s="3">
        <v>0</v>
      </c>
      <c r="U389" s="3">
        <v>1</v>
      </c>
      <c r="V389" s="3">
        <v>2</v>
      </c>
      <c r="W389" s="3" t="s">
        <v>1720</v>
      </c>
      <c r="X389" s="3">
        <v>17.99</v>
      </c>
      <c r="Y389" s="3">
        <v>17.99</v>
      </c>
      <c r="Z389" s="3">
        <v>17.99</v>
      </c>
      <c r="AA389" s="3">
        <v>0</v>
      </c>
      <c r="AB389" s="3" t="s">
        <v>1721</v>
      </c>
      <c r="AC389" s="3">
        <v>1</v>
      </c>
      <c r="AD389" s="3">
        <v>16.8</v>
      </c>
      <c r="AE389" s="3">
        <v>7</v>
      </c>
      <c r="AF389" s="3">
        <v>0</v>
      </c>
      <c r="AG389" s="3">
        <v>43.699773</v>
      </c>
      <c r="AH389" s="3">
        <v>0.727272727272727</v>
      </c>
      <c r="AI389" s="3" t="s">
        <v>2978</v>
      </c>
      <c r="AJ389" s="3" t="s">
        <v>1715</v>
      </c>
    </row>
    <row r="390" spans="1:36">
      <c r="A390" s="4">
        <v>43277</v>
      </c>
      <c r="B390" s="3" t="s">
        <v>184</v>
      </c>
      <c r="C390" s="3" t="s">
        <v>185</v>
      </c>
      <c r="D390" s="3" t="s">
        <v>186</v>
      </c>
      <c r="E390" s="3" t="s">
        <v>187</v>
      </c>
      <c r="F390" s="3" t="s">
        <v>1710</v>
      </c>
      <c r="G390" s="3">
        <v>31</v>
      </c>
      <c r="H390" s="3">
        <v>0</v>
      </c>
      <c r="I390" s="3">
        <v>31</v>
      </c>
      <c r="J390" s="3">
        <v>0</v>
      </c>
      <c r="K390" s="3">
        <v>0</v>
      </c>
      <c r="L390" s="3">
        <v>0</v>
      </c>
      <c r="M390" s="3">
        <v>0</v>
      </c>
      <c r="N390" s="3" t="s">
        <v>1711</v>
      </c>
      <c r="O390" s="3">
        <v>0</v>
      </c>
      <c r="P390" s="3">
        <v>0</v>
      </c>
      <c r="Q390" s="3">
        <v>0</v>
      </c>
      <c r="R390" s="3">
        <v>0</v>
      </c>
      <c r="S390" s="3">
        <v>20</v>
      </c>
      <c r="T390" s="3">
        <v>91</v>
      </c>
      <c r="U390" s="3">
        <v>161</v>
      </c>
      <c r="V390" s="3">
        <v>230</v>
      </c>
      <c r="W390" s="3"/>
      <c r="X390" s="3">
        <v>28.99</v>
      </c>
      <c r="Y390" s="3">
        <v>14.99</v>
      </c>
      <c r="Z390" s="3">
        <v>14.99</v>
      </c>
      <c r="AA390" s="3">
        <v>0</v>
      </c>
      <c r="AB390" s="3" t="s">
        <v>1713</v>
      </c>
      <c r="AC390" s="3">
        <v>43</v>
      </c>
      <c r="AD390" s="3">
        <v>14.99</v>
      </c>
      <c r="AE390" s="3">
        <v>0</v>
      </c>
      <c r="AF390" s="3">
        <v>0</v>
      </c>
      <c r="AG390" s="3">
        <v>0</v>
      </c>
      <c r="AH390" s="3">
        <v>1.63410301953818</v>
      </c>
      <c r="AI390" s="3" t="s">
        <v>2467</v>
      </c>
      <c r="AJ390" s="3" t="s">
        <v>1715</v>
      </c>
    </row>
    <row r="391" spans="1:36">
      <c r="A391" s="4">
        <v>43277</v>
      </c>
      <c r="B391" s="3" t="s">
        <v>2979</v>
      </c>
      <c r="C391" s="3" t="s">
        <v>2980</v>
      </c>
      <c r="D391" s="3" t="s">
        <v>2981</v>
      </c>
      <c r="E391" s="3" t="s">
        <v>2982</v>
      </c>
      <c r="F391" s="3" t="s">
        <v>1710</v>
      </c>
      <c r="G391" s="3">
        <v>4</v>
      </c>
      <c r="H391" s="3">
        <v>0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 s="3" t="s">
        <v>1711</v>
      </c>
      <c r="O391" s="3">
        <v>0</v>
      </c>
      <c r="P391" s="3">
        <v>0</v>
      </c>
      <c r="Q391" s="3">
        <v>4</v>
      </c>
      <c r="R391" s="3">
        <v>6.75</v>
      </c>
      <c r="S391" s="3">
        <v>0</v>
      </c>
      <c r="T391" s="3">
        <v>0</v>
      </c>
      <c r="U391" s="3">
        <v>1</v>
      </c>
      <c r="V391" s="3">
        <v>1</v>
      </c>
      <c r="W391" s="3" t="s">
        <v>1712</v>
      </c>
      <c r="X391" s="3">
        <v>26.99</v>
      </c>
      <c r="Y391" s="3">
        <v>20.99</v>
      </c>
      <c r="Z391" s="3">
        <v>20.99</v>
      </c>
      <c r="AA391" s="3">
        <v>0</v>
      </c>
      <c r="AB391" s="3" t="s">
        <v>1713</v>
      </c>
      <c r="AC391" s="3">
        <v>4</v>
      </c>
      <c r="AD391" s="3">
        <v>20.99</v>
      </c>
      <c r="AE391" s="3">
        <v>0</v>
      </c>
      <c r="AF391" s="3">
        <v>0</v>
      </c>
      <c r="AG391" s="3">
        <v>0</v>
      </c>
      <c r="AH391" s="3">
        <v>0.222222222222222</v>
      </c>
      <c r="AI391" s="3" t="s">
        <v>2983</v>
      </c>
      <c r="AJ391" s="3" t="s">
        <v>1715</v>
      </c>
    </row>
    <row r="392" spans="1:36">
      <c r="A392" s="4">
        <v>43277</v>
      </c>
      <c r="B392" s="3" t="s">
        <v>2984</v>
      </c>
      <c r="C392" s="3" t="s">
        <v>2985</v>
      </c>
      <c r="D392" s="3" t="s">
        <v>2986</v>
      </c>
      <c r="E392" s="3" t="s">
        <v>2987</v>
      </c>
      <c r="F392" s="3" t="s">
        <v>1710</v>
      </c>
      <c r="G392" s="3">
        <v>11</v>
      </c>
      <c r="H392" s="3">
        <v>0</v>
      </c>
      <c r="I392" s="3">
        <v>5</v>
      </c>
      <c r="J392" s="3">
        <v>6</v>
      </c>
      <c r="K392" s="3">
        <v>0</v>
      </c>
      <c r="L392" s="3">
        <v>0</v>
      </c>
      <c r="M392" s="3">
        <v>0</v>
      </c>
      <c r="N392" s="3" t="s">
        <v>1711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6</v>
      </c>
      <c r="U392" s="3">
        <v>9</v>
      </c>
      <c r="V392" s="3">
        <v>12</v>
      </c>
      <c r="W392" s="3"/>
      <c r="X392" s="3">
        <v>38</v>
      </c>
      <c r="Y392" s="3">
        <v>25.58</v>
      </c>
      <c r="Z392" s="3">
        <v>25.58</v>
      </c>
      <c r="AA392" s="3">
        <v>0</v>
      </c>
      <c r="AB392" s="3" t="s">
        <v>1713</v>
      </c>
      <c r="AC392" s="3">
        <v>10</v>
      </c>
      <c r="AD392" s="3">
        <v>25.58</v>
      </c>
      <c r="AE392" s="3">
        <v>0</v>
      </c>
      <c r="AF392" s="3">
        <v>0</v>
      </c>
      <c r="AG392" s="3">
        <v>0</v>
      </c>
      <c r="AH392" s="3">
        <v>0.96</v>
      </c>
      <c r="AI392" s="3" t="s">
        <v>2128</v>
      </c>
      <c r="AJ392" s="3" t="s">
        <v>1715</v>
      </c>
    </row>
    <row r="393" spans="1:36">
      <c r="A393" s="4">
        <v>43277</v>
      </c>
      <c r="B393" s="3" t="s">
        <v>276</v>
      </c>
      <c r="C393" s="3" t="s">
        <v>277</v>
      </c>
      <c r="D393" s="3" t="s">
        <v>278</v>
      </c>
      <c r="E393" s="3" t="s">
        <v>279</v>
      </c>
      <c r="F393" s="3" t="s">
        <v>1710</v>
      </c>
      <c r="G393" s="3">
        <v>34</v>
      </c>
      <c r="H393" s="3">
        <v>0</v>
      </c>
      <c r="I393" s="3">
        <v>13</v>
      </c>
      <c r="J393" s="3">
        <v>21</v>
      </c>
      <c r="K393" s="3">
        <v>0</v>
      </c>
      <c r="L393" s="3">
        <v>0</v>
      </c>
      <c r="M393" s="3">
        <v>0</v>
      </c>
      <c r="N393" s="3" t="s">
        <v>1711</v>
      </c>
      <c r="O393" s="3">
        <v>5</v>
      </c>
      <c r="P393" s="3">
        <v>3.15</v>
      </c>
      <c r="Q393" s="3">
        <v>0</v>
      </c>
      <c r="R393" s="3">
        <v>0</v>
      </c>
      <c r="S393" s="3">
        <v>2</v>
      </c>
      <c r="T393" s="3">
        <v>21</v>
      </c>
      <c r="U393" s="3">
        <v>77</v>
      </c>
      <c r="V393" s="3">
        <v>144</v>
      </c>
      <c r="W393" s="3"/>
      <c r="X393" s="3">
        <v>19.99</v>
      </c>
      <c r="Y393" s="3">
        <v>19.99</v>
      </c>
      <c r="Z393" s="3">
        <v>19.99</v>
      </c>
      <c r="AA393" s="3">
        <v>0</v>
      </c>
      <c r="AB393" s="3" t="s">
        <v>1713</v>
      </c>
      <c r="AC393" s="3">
        <v>35</v>
      </c>
      <c r="AD393" s="3">
        <v>19.99</v>
      </c>
      <c r="AE393" s="3">
        <v>0</v>
      </c>
      <c r="AF393" s="3">
        <v>0</v>
      </c>
      <c r="AG393" s="3">
        <v>0</v>
      </c>
      <c r="AH393" s="3">
        <v>0.942716857610474</v>
      </c>
      <c r="AI393" s="3" t="s">
        <v>2988</v>
      </c>
      <c r="AJ393" s="3" t="s">
        <v>1715</v>
      </c>
    </row>
    <row r="394" spans="1:36">
      <c r="A394" s="4">
        <v>43277</v>
      </c>
      <c r="B394" s="3" t="s">
        <v>2989</v>
      </c>
      <c r="C394" s="3" t="s">
        <v>2990</v>
      </c>
      <c r="D394" s="3" t="s">
        <v>2991</v>
      </c>
      <c r="E394" s="3" t="s">
        <v>2992</v>
      </c>
      <c r="F394" s="3" t="s">
        <v>1710</v>
      </c>
      <c r="G394" s="3">
        <v>11</v>
      </c>
      <c r="H394" s="3">
        <v>0</v>
      </c>
      <c r="I394" s="3">
        <v>11</v>
      </c>
      <c r="J394" s="3">
        <v>0</v>
      </c>
      <c r="K394" s="3">
        <v>0</v>
      </c>
      <c r="L394" s="3">
        <v>0</v>
      </c>
      <c r="M394" s="3">
        <v>0</v>
      </c>
      <c r="N394" s="3" t="s">
        <v>1711</v>
      </c>
      <c r="O394" s="3">
        <v>0</v>
      </c>
      <c r="P394" s="3">
        <v>0</v>
      </c>
      <c r="Q394" s="3">
        <v>0</v>
      </c>
      <c r="R394" s="3">
        <v>0</v>
      </c>
      <c r="S394" s="3">
        <v>3</v>
      </c>
      <c r="T394" s="3">
        <v>5</v>
      </c>
      <c r="U394" s="3">
        <v>5</v>
      </c>
      <c r="V394" s="3">
        <v>5</v>
      </c>
      <c r="W394" s="3"/>
      <c r="X394" s="3">
        <v>19.99</v>
      </c>
      <c r="Y394" s="3">
        <v>19.99</v>
      </c>
      <c r="Z394" s="3">
        <v>19.99</v>
      </c>
      <c r="AA394" s="3">
        <v>0</v>
      </c>
      <c r="AB394" s="3" t="s">
        <v>1713</v>
      </c>
      <c r="AC394" s="3">
        <v>12</v>
      </c>
      <c r="AD394" s="3">
        <v>19.99</v>
      </c>
      <c r="AE394" s="3">
        <v>0</v>
      </c>
      <c r="AF394" s="3">
        <v>0</v>
      </c>
      <c r="AG394" s="3">
        <v>0</v>
      </c>
      <c r="AH394" s="3">
        <v>0.37037037037037</v>
      </c>
      <c r="AI394" s="3" t="s">
        <v>1919</v>
      </c>
      <c r="AJ394" s="3" t="s">
        <v>1715</v>
      </c>
    </row>
    <row r="395" spans="1:36">
      <c r="A395" s="4">
        <v>43277</v>
      </c>
      <c r="B395" s="3" t="s">
        <v>399</v>
      </c>
      <c r="C395" s="3" t="s">
        <v>400</v>
      </c>
      <c r="D395" s="3" t="s">
        <v>401</v>
      </c>
      <c r="E395" s="3" t="s">
        <v>402</v>
      </c>
      <c r="F395" s="3" t="s">
        <v>1710</v>
      </c>
      <c r="G395" s="3">
        <v>138</v>
      </c>
      <c r="H395" s="3">
        <v>0</v>
      </c>
      <c r="I395" s="3">
        <v>138</v>
      </c>
      <c r="J395" s="3">
        <v>0</v>
      </c>
      <c r="K395" s="3">
        <v>0</v>
      </c>
      <c r="L395" s="3">
        <v>0</v>
      </c>
      <c r="M395" s="3">
        <v>0</v>
      </c>
      <c r="N395" s="3" t="s">
        <v>1711</v>
      </c>
      <c r="O395" s="3">
        <v>0</v>
      </c>
      <c r="P395" s="3">
        <v>0</v>
      </c>
      <c r="Q395" s="3">
        <v>0</v>
      </c>
      <c r="R395" s="3">
        <v>0</v>
      </c>
      <c r="S395" s="3">
        <v>4</v>
      </c>
      <c r="T395" s="3">
        <v>21</v>
      </c>
      <c r="U395" s="3">
        <v>46</v>
      </c>
      <c r="V395" s="3">
        <v>80</v>
      </c>
      <c r="W395" s="3"/>
      <c r="X395" s="3">
        <v>48.58</v>
      </c>
      <c r="Y395" s="3">
        <v>28.99</v>
      </c>
      <c r="Z395" s="3">
        <v>28</v>
      </c>
      <c r="AA395" s="3">
        <v>0</v>
      </c>
      <c r="AB395" s="3" t="s">
        <v>1713</v>
      </c>
      <c r="AC395" s="3">
        <v>140</v>
      </c>
      <c r="AD395" s="3">
        <v>28.99</v>
      </c>
      <c r="AE395" s="3">
        <v>0</v>
      </c>
      <c r="AF395" s="3">
        <v>0</v>
      </c>
      <c r="AG395" s="3">
        <v>0</v>
      </c>
      <c r="AH395" s="3">
        <v>1.80790960451977</v>
      </c>
      <c r="AI395" s="3" t="s">
        <v>1800</v>
      </c>
      <c r="AJ395" s="3" t="s">
        <v>1715</v>
      </c>
    </row>
    <row r="396" spans="1:36">
      <c r="A396" s="4">
        <v>43277</v>
      </c>
      <c r="B396" s="3" t="s">
        <v>2993</v>
      </c>
      <c r="C396" s="3" t="s">
        <v>2994</v>
      </c>
      <c r="D396" s="3" t="s">
        <v>2995</v>
      </c>
      <c r="E396" s="3" t="s">
        <v>251</v>
      </c>
      <c r="F396" s="3" t="s">
        <v>1710</v>
      </c>
      <c r="G396" s="3">
        <v>16</v>
      </c>
      <c r="H396" s="3">
        <v>0</v>
      </c>
      <c r="I396" s="3">
        <v>3</v>
      </c>
      <c r="J396" s="3">
        <v>13</v>
      </c>
      <c r="K396" s="3">
        <v>0</v>
      </c>
      <c r="L396" s="3">
        <v>0</v>
      </c>
      <c r="M396" s="3">
        <v>0</v>
      </c>
      <c r="N396" s="3" t="s">
        <v>1711</v>
      </c>
      <c r="O396" s="3">
        <v>0</v>
      </c>
      <c r="P396" s="3">
        <v>0</v>
      </c>
      <c r="Q396" s="3">
        <v>0</v>
      </c>
      <c r="R396" s="3">
        <v>0</v>
      </c>
      <c r="S396" s="3">
        <v>0</v>
      </c>
      <c r="T396" s="3">
        <v>0</v>
      </c>
      <c r="U396" s="3">
        <v>4</v>
      </c>
      <c r="V396" s="3">
        <v>10</v>
      </c>
      <c r="W396" s="3" t="s">
        <v>1712</v>
      </c>
      <c r="X396" s="3">
        <v>27.99</v>
      </c>
      <c r="Y396" s="3">
        <v>27.99</v>
      </c>
      <c r="Z396" s="3">
        <v>25.99</v>
      </c>
      <c r="AA396" s="3">
        <v>0</v>
      </c>
      <c r="AB396" s="3" t="s">
        <v>1732</v>
      </c>
      <c r="AC396" s="3">
        <v>0</v>
      </c>
      <c r="AD396" s="3">
        <v>16.01</v>
      </c>
      <c r="AE396" s="3">
        <v>112</v>
      </c>
      <c r="AF396" s="3">
        <v>0</v>
      </c>
      <c r="AG396" s="3">
        <v>631.791987</v>
      </c>
      <c r="AH396" s="3">
        <v>0.597014925373134</v>
      </c>
      <c r="AI396" s="3" t="s">
        <v>2094</v>
      </c>
      <c r="AJ396" s="3" t="s">
        <v>1715</v>
      </c>
    </row>
    <row r="397" spans="1:36">
      <c r="A397" s="4">
        <v>43277</v>
      </c>
      <c r="B397" s="3" t="s">
        <v>2996</v>
      </c>
      <c r="C397" s="3" t="s">
        <v>2997</v>
      </c>
      <c r="D397" s="3" t="s">
        <v>2998</v>
      </c>
      <c r="E397" s="3" t="s">
        <v>2999</v>
      </c>
      <c r="F397" s="3" t="s">
        <v>1710</v>
      </c>
      <c r="G397" s="3">
        <v>12</v>
      </c>
      <c r="H397" s="3">
        <v>0</v>
      </c>
      <c r="I397" s="3">
        <v>0</v>
      </c>
      <c r="J397" s="3">
        <v>0</v>
      </c>
      <c r="K397" s="3">
        <v>12</v>
      </c>
      <c r="L397" s="3">
        <v>0</v>
      </c>
      <c r="M397" s="3">
        <v>0</v>
      </c>
      <c r="N397" s="3" t="s">
        <v>1711</v>
      </c>
      <c r="O397" s="3">
        <v>12</v>
      </c>
      <c r="P397" s="3">
        <v>16.42</v>
      </c>
      <c r="Q397" s="3">
        <v>0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 t="s">
        <v>1720</v>
      </c>
      <c r="X397" s="3">
        <v>16.99</v>
      </c>
      <c r="Y397" s="3">
        <v>16.99</v>
      </c>
      <c r="Z397" s="3">
        <v>16.99</v>
      </c>
      <c r="AA397" s="3">
        <v>0</v>
      </c>
      <c r="AB397" s="3" t="s">
        <v>1721</v>
      </c>
      <c r="AC397" s="3">
        <v>0</v>
      </c>
      <c r="AD397" s="3">
        <v>14.77</v>
      </c>
      <c r="AE397" s="3">
        <v>217</v>
      </c>
      <c r="AF397" s="3">
        <v>0</v>
      </c>
      <c r="AG397" s="3">
        <v>268.494562</v>
      </c>
      <c r="AH397" s="3">
        <v>0</v>
      </c>
      <c r="AI397" s="3" t="s">
        <v>1851</v>
      </c>
      <c r="AJ397" s="3" t="s">
        <v>1715</v>
      </c>
    </row>
    <row r="398" spans="1:36">
      <c r="A398" s="4">
        <v>43277</v>
      </c>
      <c r="B398" s="3" t="s">
        <v>3000</v>
      </c>
      <c r="C398" s="3" t="s">
        <v>3001</v>
      </c>
      <c r="D398" s="3" t="s">
        <v>3002</v>
      </c>
      <c r="E398" s="3" t="s">
        <v>3003</v>
      </c>
      <c r="F398" s="3" t="s">
        <v>1710</v>
      </c>
      <c r="G398" s="3">
        <v>8</v>
      </c>
      <c r="H398" s="3">
        <v>0</v>
      </c>
      <c r="I398" s="3">
        <v>8</v>
      </c>
      <c r="J398" s="3">
        <v>0</v>
      </c>
      <c r="K398" s="3">
        <v>0</v>
      </c>
      <c r="L398" s="3">
        <v>0</v>
      </c>
      <c r="M398" s="3">
        <v>0</v>
      </c>
      <c r="N398" s="3" t="s">
        <v>1711</v>
      </c>
      <c r="O398" s="3">
        <v>0</v>
      </c>
      <c r="P398" s="3">
        <v>0</v>
      </c>
      <c r="Q398" s="3">
        <v>0</v>
      </c>
      <c r="R398" s="3">
        <v>0</v>
      </c>
      <c r="S398" s="3">
        <v>17</v>
      </c>
      <c r="T398" s="3">
        <v>27</v>
      </c>
      <c r="U398" s="3">
        <v>27</v>
      </c>
      <c r="V398" s="3">
        <v>27</v>
      </c>
      <c r="W398" s="3" t="s">
        <v>1712</v>
      </c>
      <c r="X398" s="3">
        <v>25.99</v>
      </c>
      <c r="Y398" s="3">
        <v>25.99</v>
      </c>
      <c r="Z398" s="3">
        <v>25.99</v>
      </c>
      <c r="AA398" s="3">
        <v>0</v>
      </c>
      <c r="AB398" s="3" t="s">
        <v>1713</v>
      </c>
      <c r="AC398" s="3">
        <v>20</v>
      </c>
      <c r="AD398" s="3">
        <v>25.99</v>
      </c>
      <c r="AE398" s="3">
        <v>0</v>
      </c>
      <c r="AF398" s="3">
        <v>0</v>
      </c>
      <c r="AG398" s="3">
        <v>0</v>
      </c>
      <c r="AH398" s="3">
        <v>2.7</v>
      </c>
      <c r="AI398" s="3" t="s">
        <v>3004</v>
      </c>
      <c r="AJ398" s="3" t="s">
        <v>1715</v>
      </c>
    </row>
    <row r="399" spans="1:36">
      <c r="A399" s="4">
        <v>43277</v>
      </c>
      <c r="B399" s="3" t="s">
        <v>3005</v>
      </c>
      <c r="C399" s="3" t="s">
        <v>3006</v>
      </c>
      <c r="D399" s="3" t="s">
        <v>3007</v>
      </c>
      <c r="E399" s="3" t="s">
        <v>3008</v>
      </c>
      <c r="F399" s="3" t="s">
        <v>1710</v>
      </c>
      <c r="G399" s="3">
        <v>1</v>
      </c>
      <c r="H399" s="3">
        <v>0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 t="s">
        <v>1711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0</v>
      </c>
      <c r="U399" s="3">
        <v>1</v>
      </c>
      <c r="V399" s="3">
        <v>2</v>
      </c>
      <c r="W399" s="3" t="s">
        <v>1712</v>
      </c>
      <c r="X399" s="3">
        <v>15.96</v>
      </c>
      <c r="Y399" s="3">
        <v>18.99</v>
      </c>
      <c r="Z399" s="3">
        <v>18.99</v>
      </c>
      <c r="AA399" s="3">
        <v>0</v>
      </c>
      <c r="AB399" s="3" t="s">
        <v>1713</v>
      </c>
      <c r="AC399" s="3">
        <v>1</v>
      </c>
      <c r="AD399" s="3">
        <v>18.99</v>
      </c>
      <c r="AE399" s="3">
        <v>0</v>
      </c>
      <c r="AF399" s="3">
        <v>0</v>
      </c>
      <c r="AG399" s="3">
        <v>0</v>
      </c>
      <c r="AH399" s="3">
        <v>1.6</v>
      </c>
      <c r="AI399" s="3" t="s">
        <v>3009</v>
      </c>
      <c r="AJ399" s="3" t="s">
        <v>1783</v>
      </c>
    </row>
    <row r="400" spans="1:36">
      <c r="A400" s="4">
        <v>43277</v>
      </c>
      <c r="B400" s="3" t="s">
        <v>3010</v>
      </c>
      <c r="C400" s="3" t="s">
        <v>3011</v>
      </c>
      <c r="D400" s="3" t="s">
        <v>3012</v>
      </c>
      <c r="E400" s="3" t="s">
        <v>3013</v>
      </c>
      <c r="F400" s="3" t="s">
        <v>1710</v>
      </c>
      <c r="G400" s="3">
        <v>11</v>
      </c>
      <c r="H400" s="3">
        <v>0</v>
      </c>
      <c r="I400" s="3">
        <v>11</v>
      </c>
      <c r="J400" s="3">
        <v>0</v>
      </c>
      <c r="K400" s="3">
        <v>0</v>
      </c>
      <c r="L400" s="3">
        <v>0</v>
      </c>
      <c r="M400" s="3">
        <v>0</v>
      </c>
      <c r="N400" s="3" t="s">
        <v>1711</v>
      </c>
      <c r="O400" s="3">
        <v>0</v>
      </c>
      <c r="P400" s="3">
        <v>0</v>
      </c>
      <c r="Q400" s="3">
        <v>0</v>
      </c>
      <c r="R400" s="3">
        <v>0</v>
      </c>
      <c r="S400" s="3">
        <v>7</v>
      </c>
      <c r="T400" s="3">
        <v>18</v>
      </c>
      <c r="U400" s="3">
        <v>34</v>
      </c>
      <c r="V400" s="3">
        <v>34</v>
      </c>
      <c r="W400" s="3"/>
      <c r="X400" s="3">
        <v>22.99</v>
      </c>
      <c r="Y400" s="3">
        <v>22.99</v>
      </c>
      <c r="Z400" s="3">
        <v>22.99</v>
      </c>
      <c r="AA400" s="3">
        <v>0</v>
      </c>
      <c r="AB400" s="3" t="s">
        <v>1713</v>
      </c>
      <c r="AC400" s="3">
        <v>18</v>
      </c>
      <c r="AD400" s="3">
        <v>22.99</v>
      </c>
      <c r="AE400" s="3">
        <v>0</v>
      </c>
      <c r="AF400" s="3">
        <v>0</v>
      </c>
      <c r="AG400" s="3">
        <v>0</v>
      </c>
      <c r="AH400" s="3">
        <v>7.84615384615384</v>
      </c>
      <c r="AI400" s="3" t="s">
        <v>1841</v>
      </c>
      <c r="AJ400" s="3" t="s">
        <v>1715</v>
      </c>
    </row>
    <row r="401" spans="1:36">
      <c r="A401" s="4">
        <v>43277</v>
      </c>
      <c r="B401" s="3" t="s">
        <v>3014</v>
      </c>
      <c r="C401" s="3" t="s">
        <v>3015</v>
      </c>
      <c r="D401" s="3" t="s">
        <v>3016</v>
      </c>
      <c r="E401" s="3" t="s">
        <v>3017</v>
      </c>
      <c r="F401" s="3" t="s">
        <v>1710</v>
      </c>
      <c r="G401" s="3">
        <v>3</v>
      </c>
      <c r="H401" s="3">
        <v>0</v>
      </c>
      <c r="I401" s="3">
        <v>1</v>
      </c>
      <c r="J401" s="3">
        <v>2</v>
      </c>
      <c r="K401" s="3">
        <v>0</v>
      </c>
      <c r="L401" s="3">
        <v>0</v>
      </c>
      <c r="M401" s="3">
        <v>0</v>
      </c>
      <c r="N401" s="3" t="s">
        <v>1711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1</v>
      </c>
      <c r="V401" s="3">
        <v>1</v>
      </c>
      <c r="W401" s="3" t="s">
        <v>1712</v>
      </c>
      <c r="X401" s="3">
        <v>15.99</v>
      </c>
      <c r="Y401" s="3">
        <v>15.99</v>
      </c>
      <c r="Z401" s="3">
        <v>15.99</v>
      </c>
      <c r="AA401" s="3">
        <v>0</v>
      </c>
      <c r="AB401" s="3" t="s">
        <v>1713</v>
      </c>
      <c r="AC401" s="3">
        <v>2</v>
      </c>
      <c r="AD401" s="3">
        <v>15.99</v>
      </c>
      <c r="AE401" s="3">
        <v>0</v>
      </c>
      <c r="AF401" s="3">
        <v>0</v>
      </c>
      <c r="AG401" s="3">
        <v>0</v>
      </c>
      <c r="AH401" s="3">
        <v>0.4</v>
      </c>
      <c r="AI401" s="3" t="s">
        <v>2104</v>
      </c>
      <c r="AJ401" s="3" t="s">
        <v>1715</v>
      </c>
    </row>
    <row r="402" spans="1:36">
      <c r="A402" s="4">
        <v>43277</v>
      </c>
      <c r="B402" s="3" t="s">
        <v>3018</v>
      </c>
      <c r="C402" s="3" t="s">
        <v>3019</v>
      </c>
      <c r="D402" s="3" t="s">
        <v>3020</v>
      </c>
      <c r="E402" s="3" t="s">
        <v>3021</v>
      </c>
      <c r="F402" s="3" t="s">
        <v>1710</v>
      </c>
      <c r="G402" s="3">
        <v>7</v>
      </c>
      <c r="H402" s="3">
        <v>0</v>
      </c>
      <c r="I402" s="3">
        <v>7</v>
      </c>
      <c r="J402" s="3">
        <v>0</v>
      </c>
      <c r="K402" s="3">
        <v>0</v>
      </c>
      <c r="L402" s="3">
        <v>0</v>
      </c>
      <c r="M402" s="3">
        <v>0</v>
      </c>
      <c r="N402" s="3" t="s">
        <v>1711</v>
      </c>
      <c r="O402" s="3">
        <v>0</v>
      </c>
      <c r="P402" s="3">
        <v>0</v>
      </c>
      <c r="Q402" s="3">
        <v>0</v>
      </c>
      <c r="R402" s="3">
        <v>0</v>
      </c>
      <c r="S402" s="3">
        <v>1</v>
      </c>
      <c r="T402" s="3">
        <v>6</v>
      </c>
      <c r="U402" s="3">
        <v>20</v>
      </c>
      <c r="V402" s="3">
        <v>31</v>
      </c>
      <c r="W402" s="3"/>
      <c r="X402" s="3">
        <v>19.99</v>
      </c>
      <c r="Y402" s="3">
        <v>19.99</v>
      </c>
      <c r="Z402" s="3">
        <v>19.99</v>
      </c>
      <c r="AA402" s="3">
        <v>0</v>
      </c>
      <c r="AB402" s="3" t="s">
        <v>1713</v>
      </c>
      <c r="AC402" s="3">
        <v>7</v>
      </c>
      <c r="AD402" s="3">
        <v>19.99</v>
      </c>
      <c r="AE402" s="3">
        <v>0</v>
      </c>
      <c r="AF402" s="3">
        <v>0</v>
      </c>
      <c r="AG402" s="3">
        <v>0</v>
      </c>
      <c r="AH402" s="3">
        <v>3.44444444444444</v>
      </c>
      <c r="AI402" s="3" t="s">
        <v>3022</v>
      </c>
      <c r="AJ402" s="3" t="s">
        <v>1715</v>
      </c>
    </row>
    <row r="403" spans="1:36">
      <c r="A403" s="4">
        <v>43277</v>
      </c>
      <c r="B403" s="3" t="s">
        <v>3023</v>
      </c>
      <c r="C403" s="3" t="s">
        <v>3024</v>
      </c>
      <c r="D403" s="3" t="s">
        <v>3025</v>
      </c>
      <c r="E403" s="3" t="s">
        <v>3026</v>
      </c>
      <c r="F403" s="3" t="s">
        <v>1710</v>
      </c>
      <c r="G403" s="3">
        <v>63</v>
      </c>
      <c r="H403" s="3">
        <v>0</v>
      </c>
      <c r="I403" s="3">
        <v>5</v>
      </c>
      <c r="J403" s="3">
        <v>29</v>
      </c>
      <c r="K403" s="3">
        <v>29</v>
      </c>
      <c r="L403" s="3">
        <v>0</v>
      </c>
      <c r="M403" s="3">
        <v>0</v>
      </c>
      <c r="N403" s="3" t="s">
        <v>1711</v>
      </c>
      <c r="O403" s="3">
        <v>48</v>
      </c>
      <c r="P403" s="3">
        <v>28.73</v>
      </c>
      <c r="Q403" s="3">
        <v>0</v>
      </c>
      <c r="R403" s="3">
        <v>0</v>
      </c>
      <c r="S403" s="3">
        <v>1</v>
      </c>
      <c r="T403" s="3">
        <v>2</v>
      </c>
      <c r="U403" s="3">
        <v>4</v>
      </c>
      <c r="V403" s="3">
        <v>12</v>
      </c>
      <c r="W403" s="3"/>
      <c r="X403" s="3">
        <v>16.99</v>
      </c>
      <c r="Y403" s="3">
        <v>16.99</v>
      </c>
      <c r="Z403" s="3">
        <v>16</v>
      </c>
      <c r="AA403" s="3">
        <v>0</v>
      </c>
      <c r="AB403" s="3" t="s">
        <v>1732</v>
      </c>
      <c r="AC403" s="3">
        <v>9</v>
      </c>
      <c r="AD403" s="3">
        <v>15.66</v>
      </c>
      <c r="AE403" s="3">
        <v>91</v>
      </c>
      <c r="AF403" s="3">
        <v>0</v>
      </c>
      <c r="AG403" s="3">
        <v>1024.894257</v>
      </c>
      <c r="AH403" s="3">
        <v>0.0723981900452488</v>
      </c>
      <c r="AI403" s="3" t="s">
        <v>1905</v>
      </c>
      <c r="AJ403" s="3" t="s">
        <v>1715</v>
      </c>
    </row>
    <row r="404" spans="1:36">
      <c r="A404" s="4">
        <v>43277</v>
      </c>
      <c r="B404" s="3" t="s">
        <v>3027</v>
      </c>
      <c r="C404" s="3" t="s">
        <v>3028</v>
      </c>
      <c r="D404" s="3" t="s">
        <v>3029</v>
      </c>
      <c r="E404" s="3" t="s">
        <v>3030</v>
      </c>
      <c r="F404" s="3" t="s">
        <v>1710</v>
      </c>
      <c r="G404" s="3">
        <v>51</v>
      </c>
      <c r="H404" s="3">
        <v>0</v>
      </c>
      <c r="I404" s="3">
        <v>1</v>
      </c>
      <c r="J404" s="3">
        <v>6</v>
      </c>
      <c r="K404" s="3">
        <v>44</v>
      </c>
      <c r="L404" s="3">
        <v>0</v>
      </c>
      <c r="M404" s="3">
        <v>0</v>
      </c>
      <c r="N404" s="3" t="s">
        <v>1711</v>
      </c>
      <c r="O404" s="3">
        <v>49</v>
      </c>
      <c r="P404" s="3">
        <v>29.34</v>
      </c>
      <c r="Q404" s="3">
        <v>0</v>
      </c>
      <c r="R404" s="3">
        <v>0</v>
      </c>
      <c r="S404" s="3">
        <v>0</v>
      </c>
      <c r="T404" s="3">
        <v>1</v>
      </c>
      <c r="U404" s="3">
        <v>1</v>
      </c>
      <c r="V404" s="3">
        <v>4</v>
      </c>
      <c r="W404" s="3"/>
      <c r="X404" s="3">
        <v>16.99</v>
      </c>
      <c r="Y404" s="3">
        <v>16.99</v>
      </c>
      <c r="Z404" s="3">
        <v>16</v>
      </c>
      <c r="AA404" s="3">
        <v>0</v>
      </c>
      <c r="AB404" s="3" t="s">
        <v>1732</v>
      </c>
      <c r="AC404" s="3">
        <v>4</v>
      </c>
      <c r="AD404" s="3">
        <v>15.16</v>
      </c>
      <c r="AE404" s="3">
        <v>231</v>
      </c>
      <c r="AF404" s="3">
        <v>0</v>
      </c>
      <c r="AG404" s="3">
        <v>775.228997</v>
      </c>
      <c r="AH404" s="3">
        <v>0.059040590405904</v>
      </c>
      <c r="AI404" s="3" t="s">
        <v>1905</v>
      </c>
      <c r="AJ404" s="3" t="s">
        <v>1715</v>
      </c>
    </row>
    <row r="405" spans="1:36">
      <c r="A405" s="4">
        <v>43277</v>
      </c>
      <c r="B405" s="3" t="s">
        <v>3031</v>
      </c>
      <c r="C405" s="3" t="s">
        <v>3032</v>
      </c>
      <c r="D405" s="3" t="s">
        <v>3033</v>
      </c>
      <c r="E405" s="3" t="s">
        <v>3034</v>
      </c>
      <c r="F405" s="3" t="s">
        <v>1710</v>
      </c>
      <c r="G405" s="3">
        <v>4</v>
      </c>
      <c r="H405" s="3">
        <v>0</v>
      </c>
      <c r="I405" s="3">
        <v>0</v>
      </c>
      <c r="J405" s="3">
        <v>0</v>
      </c>
      <c r="K405" s="3">
        <v>4</v>
      </c>
      <c r="L405" s="3">
        <v>0</v>
      </c>
      <c r="M405" s="3">
        <v>0</v>
      </c>
      <c r="N405" s="3" t="s">
        <v>1711</v>
      </c>
      <c r="O405" s="3">
        <v>4</v>
      </c>
      <c r="P405" s="3">
        <v>3.93</v>
      </c>
      <c r="Q405" s="3">
        <v>0</v>
      </c>
      <c r="R405" s="3">
        <v>0</v>
      </c>
      <c r="S405" s="3">
        <v>0</v>
      </c>
      <c r="T405" s="3">
        <v>0</v>
      </c>
      <c r="U405" s="3">
        <v>2</v>
      </c>
      <c r="V405" s="3">
        <v>2</v>
      </c>
      <c r="W405" s="3" t="s">
        <v>1720</v>
      </c>
      <c r="X405" s="3">
        <v>16.99</v>
      </c>
      <c r="Y405" s="3">
        <v>16.99</v>
      </c>
      <c r="Z405" s="3">
        <v>16.99</v>
      </c>
      <c r="AA405" s="3">
        <v>0</v>
      </c>
      <c r="AB405" s="3" t="s">
        <v>1721</v>
      </c>
      <c r="AC405" s="3">
        <v>0</v>
      </c>
      <c r="AD405" s="3">
        <v>13.57</v>
      </c>
      <c r="AE405" s="3">
        <v>224</v>
      </c>
      <c r="AF405" s="3">
        <v>0</v>
      </c>
      <c r="AG405" s="3">
        <v>29.0144</v>
      </c>
      <c r="AH405" s="3">
        <v>0.4</v>
      </c>
      <c r="AI405" s="3" t="s">
        <v>3035</v>
      </c>
      <c r="AJ405" s="3" t="s">
        <v>1783</v>
      </c>
    </row>
    <row r="406" spans="1:36">
      <c r="A406" s="4">
        <v>43277</v>
      </c>
      <c r="B406" s="3" t="s">
        <v>3036</v>
      </c>
      <c r="C406" s="3" t="s">
        <v>3037</v>
      </c>
      <c r="D406" s="3" t="s">
        <v>3038</v>
      </c>
      <c r="E406" s="3" t="s">
        <v>3039</v>
      </c>
      <c r="F406" s="3" t="s">
        <v>1710</v>
      </c>
      <c r="G406" s="3">
        <v>3</v>
      </c>
      <c r="H406" s="3">
        <v>0</v>
      </c>
      <c r="I406" s="3">
        <v>0</v>
      </c>
      <c r="J406" s="3">
        <v>3</v>
      </c>
      <c r="K406" s="3">
        <v>0</v>
      </c>
      <c r="L406" s="3">
        <v>0</v>
      </c>
      <c r="M406" s="3">
        <v>0</v>
      </c>
      <c r="N406" s="3" t="s">
        <v>1711</v>
      </c>
      <c r="O406" s="3">
        <v>3</v>
      </c>
      <c r="P406" s="3">
        <v>9.24</v>
      </c>
      <c r="Q406" s="3">
        <v>0</v>
      </c>
      <c r="R406" s="3">
        <v>0</v>
      </c>
      <c r="S406" s="3">
        <v>0</v>
      </c>
      <c r="T406" s="3">
        <v>1</v>
      </c>
      <c r="U406" s="3">
        <v>1</v>
      </c>
      <c r="V406" s="3">
        <v>1</v>
      </c>
      <c r="W406" s="3" t="s">
        <v>1720</v>
      </c>
      <c r="X406" s="3">
        <v>21.99</v>
      </c>
      <c r="Y406" s="3">
        <v>21.99</v>
      </c>
      <c r="Z406" s="3">
        <v>21.99</v>
      </c>
      <c r="AA406" s="3">
        <v>0</v>
      </c>
      <c r="AB406" s="3" t="s">
        <v>1721</v>
      </c>
      <c r="AC406" s="3">
        <v>3</v>
      </c>
      <c r="AD406" s="3">
        <v>21.99</v>
      </c>
      <c r="AE406" s="3">
        <v>0</v>
      </c>
      <c r="AF406" s="3">
        <v>0</v>
      </c>
      <c r="AG406" s="3">
        <v>0</v>
      </c>
      <c r="AH406" s="3">
        <v>0.25</v>
      </c>
      <c r="AI406" s="3" t="s">
        <v>1722</v>
      </c>
      <c r="AJ406" s="3" t="s">
        <v>1715</v>
      </c>
    </row>
    <row r="407" spans="1:36">
      <c r="A407" s="4">
        <v>43277</v>
      </c>
      <c r="B407" s="3" t="s">
        <v>3040</v>
      </c>
      <c r="C407" s="3" t="s">
        <v>3041</v>
      </c>
      <c r="D407" s="3" t="s">
        <v>3042</v>
      </c>
      <c r="E407" s="3" t="s">
        <v>3043</v>
      </c>
      <c r="F407" s="3" t="s">
        <v>1710</v>
      </c>
      <c r="G407" s="3">
        <v>25</v>
      </c>
      <c r="H407" s="3">
        <v>0</v>
      </c>
      <c r="I407" s="3">
        <v>25</v>
      </c>
      <c r="J407" s="3">
        <v>0</v>
      </c>
      <c r="K407" s="3">
        <v>0</v>
      </c>
      <c r="L407" s="3">
        <v>0</v>
      </c>
      <c r="M407" s="3">
        <v>0</v>
      </c>
      <c r="N407" s="3" t="s">
        <v>1711</v>
      </c>
      <c r="O407" s="3">
        <v>0</v>
      </c>
      <c r="P407" s="3">
        <v>0</v>
      </c>
      <c r="Q407" s="3">
        <v>0</v>
      </c>
      <c r="R407" s="3">
        <v>0</v>
      </c>
      <c r="S407" s="3">
        <v>1</v>
      </c>
      <c r="T407" s="3">
        <v>1</v>
      </c>
      <c r="U407" s="3">
        <v>1</v>
      </c>
      <c r="V407" s="3">
        <v>1</v>
      </c>
      <c r="W407" s="3"/>
      <c r="X407" s="3">
        <v>14.99</v>
      </c>
      <c r="Y407" s="3">
        <v>14.99</v>
      </c>
      <c r="Z407" s="3">
        <v>14.99</v>
      </c>
      <c r="AA407" s="3">
        <v>0</v>
      </c>
      <c r="AB407" s="3" t="s">
        <v>1732</v>
      </c>
      <c r="AC407" s="3">
        <v>0</v>
      </c>
      <c r="AD407" s="3">
        <v>11.99</v>
      </c>
      <c r="AE407" s="3">
        <v>63</v>
      </c>
      <c r="AF407" s="3">
        <v>0</v>
      </c>
      <c r="AG407" s="3">
        <v>60.960958</v>
      </c>
      <c r="AH407" s="3">
        <v>0.0384615384615384</v>
      </c>
      <c r="AI407" s="3" t="s">
        <v>2467</v>
      </c>
      <c r="AJ407" s="3" t="s">
        <v>1715</v>
      </c>
    </row>
    <row r="408" spans="1:36">
      <c r="A408" s="4">
        <v>43277</v>
      </c>
      <c r="B408" s="3" t="s">
        <v>3044</v>
      </c>
      <c r="C408" s="3" t="s">
        <v>3045</v>
      </c>
      <c r="D408" s="3" t="s">
        <v>3046</v>
      </c>
      <c r="E408" s="3" t="s">
        <v>3047</v>
      </c>
      <c r="F408" s="3" t="s">
        <v>1710</v>
      </c>
      <c r="G408" s="3">
        <v>1</v>
      </c>
      <c r="H408" s="3">
        <v>0</v>
      </c>
      <c r="I408" s="3">
        <v>1</v>
      </c>
      <c r="J408" s="3">
        <v>0</v>
      </c>
      <c r="K408" s="3">
        <v>0</v>
      </c>
      <c r="L408" s="3">
        <v>0</v>
      </c>
      <c r="M408" s="3">
        <v>0</v>
      </c>
      <c r="N408" s="3" t="s">
        <v>1711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4</v>
      </c>
      <c r="V408" s="3">
        <v>7</v>
      </c>
      <c r="W408" s="3" t="s">
        <v>1712</v>
      </c>
      <c r="X408" s="3">
        <v>15.99</v>
      </c>
      <c r="Y408" s="3">
        <v>15.99</v>
      </c>
      <c r="Z408" s="3">
        <v>15.99</v>
      </c>
      <c r="AA408" s="3">
        <v>0</v>
      </c>
      <c r="AB408" s="3" t="s">
        <v>1713</v>
      </c>
      <c r="AC408" s="3">
        <v>1</v>
      </c>
      <c r="AD408" s="3">
        <v>15.99</v>
      </c>
      <c r="AE408" s="3">
        <v>0</v>
      </c>
      <c r="AF408" s="3">
        <v>0</v>
      </c>
      <c r="AG408" s="3">
        <v>0</v>
      </c>
      <c r="AH408" s="3">
        <v>5.6</v>
      </c>
      <c r="AI408" s="3" t="s">
        <v>2542</v>
      </c>
      <c r="AJ408" s="3" t="s">
        <v>1715</v>
      </c>
    </row>
    <row r="409" spans="1:36">
      <c r="A409" s="4">
        <v>43277</v>
      </c>
      <c r="B409" s="3" t="s">
        <v>3048</v>
      </c>
      <c r="C409" s="3" t="s">
        <v>3049</v>
      </c>
      <c r="D409" s="3" t="s">
        <v>3050</v>
      </c>
      <c r="E409" s="3" t="s">
        <v>2637</v>
      </c>
      <c r="F409" s="3" t="s">
        <v>1710</v>
      </c>
      <c r="G409" s="3">
        <v>2</v>
      </c>
      <c r="H409" s="3">
        <v>0</v>
      </c>
      <c r="I409" s="3">
        <v>2</v>
      </c>
      <c r="J409" s="3">
        <v>0</v>
      </c>
      <c r="K409" s="3">
        <v>0</v>
      </c>
      <c r="L409" s="3">
        <v>0</v>
      </c>
      <c r="M409" s="3">
        <v>0</v>
      </c>
      <c r="N409" s="3" t="s">
        <v>1711</v>
      </c>
      <c r="O409" s="3">
        <v>0</v>
      </c>
      <c r="P409" s="3">
        <v>0</v>
      </c>
      <c r="Q409" s="3">
        <v>0</v>
      </c>
      <c r="R409" s="3">
        <v>0</v>
      </c>
      <c r="S409" s="3">
        <v>1</v>
      </c>
      <c r="T409" s="3">
        <v>1</v>
      </c>
      <c r="U409" s="3">
        <v>1</v>
      </c>
      <c r="V409" s="3">
        <v>6</v>
      </c>
      <c r="W409" s="3"/>
      <c r="X409" s="3">
        <v>27.99</v>
      </c>
      <c r="Y409" s="3">
        <v>27.99</v>
      </c>
      <c r="Z409" s="3">
        <v>25.99</v>
      </c>
      <c r="AA409" s="3">
        <v>0</v>
      </c>
      <c r="AB409" s="3" t="s">
        <v>1732</v>
      </c>
      <c r="AC409" s="3">
        <v>0</v>
      </c>
      <c r="AD409" s="3">
        <v>25.79</v>
      </c>
      <c r="AE409" s="3">
        <v>98</v>
      </c>
      <c r="AF409" s="3">
        <v>0</v>
      </c>
      <c r="AG409" s="3">
        <v>138.805706</v>
      </c>
      <c r="AH409" s="3">
        <v>2.18181818181818</v>
      </c>
      <c r="AI409" s="3" t="s">
        <v>1831</v>
      </c>
      <c r="AJ409" s="3" t="s">
        <v>1715</v>
      </c>
    </row>
    <row r="410" spans="1:36">
      <c r="A410" s="4">
        <v>43277</v>
      </c>
      <c r="B410" s="3" t="s">
        <v>3051</v>
      </c>
      <c r="C410" s="3" t="s">
        <v>3052</v>
      </c>
      <c r="D410" s="3" t="s">
        <v>3053</v>
      </c>
      <c r="E410" s="3" t="s">
        <v>3054</v>
      </c>
      <c r="F410" s="3" t="s">
        <v>1710</v>
      </c>
      <c r="G410" s="3">
        <v>15</v>
      </c>
      <c r="H410" s="3">
        <v>0</v>
      </c>
      <c r="I410" s="3">
        <v>15</v>
      </c>
      <c r="J410" s="3">
        <v>0</v>
      </c>
      <c r="K410" s="3">
        <v>0</v>
      </c>
      <c r="L410" s="3">
        <v>0</v>
      </c>
      <c r="M410" s="3">
        <v>0</v>
      </c>
      <c r="N410" s="3" t="s">
        <v>1711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 t="s">
        <v>1712</v>
      </c>
      <c r="X410" s="3">
        <v>28.99</v>
      </c>
      <c r="Y410" s="3">
        <v>28.99</v>
      </c>
      <c r="Z410" s="3">
        <v>28.99</v>
      </c>
      <c r="AA410" s="3">
        <v>0</v>
      </c>
      <c r="AB410" s="3" t="s">
        <v>1713</v>
      </c>
      <c r="AC410" s="3">
        <v>15</v>
      </c>
      <c r="AD410" s="3">
        <v>28.99</v>
      </c>
      <c r="AE410" s="3">
        <v>0</v>
      </c>
      <c r="AF410" s="3">
        <v>0</v>
      </c>
      <c r="AG410" s="3">
        <v>0</v>
      </c>
      <c r="AH410" s="3">
        <v>0</v>
      </c>
      <c r="AI410" s="3" t="s">
        <v>2065</v>
      </c>
      <c r="AJ410" s="3" t="s">
        <v>1715</v>
      </c>
    </row>
    <row r="411" spans="1:36">
      <c r="A411" s="4">
        <v>43277</v>
      </c>
      <c r="B411" s="3" t="s">
        <v>3055</v>
      </c>
      <c r="C411" s="3" t="s">
        <v>3056</v>
      </c>
      <c r="D411" s="3" t="s">
        <v>3057</v>
      </c>
      <c r="E411" s="3" t="s">
        <v>3058</v>
      </c>
      <c r="F411" s="3" t="s">
        <v>1710</v>
      </c>
      <c r="G411" s="3">
        <v>23</v>
      </c>
      <c r="H411" s="3">
        <v>0</v>
      </c>
      <c r="I411" s="3">
        <v>0</v>
      </c>
      <c r="J411" s="3">
        <v>1</v>
      </c>
      <c r="K411" s="3">
        <v>22</v>
      </c>
      <c r="L411" s="3">
        <v>0</v>
      </c>
      <c r="M411" s="3">
        <v>0</v>
      </c>
      <c r="N411" s="3" t="s">
        <v>1711</v>
      </c>
      <c r="O411" s="3">
        <v>23</v>
      </c>
      <c r="P411" s="3">
        <v>73.31</v>
      </c>
      <c r="Q411" s="3">
        <v>0</v>
      </c>
      <c r="R411" s="3">
        <v>0</v>
      </c>
      <c r="S411" s="3">
        <v>0</v>
      </c>
      <c r="T411" s="3">
        <v>0</v>
      </c>
      <c r="U411" s="3">
        <v>1</v>
      </c>
      <c r="V411" s="3">
        <v>2</v>
      </c>
      <c r="W411" s="3" t="s">
        <v>1712</v>
      </c>
      <c r="X411" s="3">
        <v>17.99</v>
      </c>
      <c r="Y411" s="3">
        <v>17.99</v>
      </c>
      <c r="Z411" s="3">
        <v>17.99</v>
      </c>
      <c r="AA411" s="3">
        <v>0</v>
      </c>
      <c r="AB411" s="3" t="s">
        <v>1732</v>
      </c>
      <c r="AC411" s="3">
        <v>0</v>
      </c>
      <c r="AD411" s="3">
        <v>15.38</v>
      </c>
      <c r="AE411" s="3">
        <v>84</v>
      </c>
      <c r="AF411" s="3">
        <v>0</v>
      </c>
      <c r="AG411" s="3">
        <v>1006.108211</v>
      </c>
      <c r="AH411" s="3">
        <v>0.0833333333333333</v>
      </c>
      <c r="AI411" s="3" t="s">
        <v>2708</v>
      </c>
      <c r="AJ411" s="3" t="s">
        <v>1715</v>
      </c>
    </row>
    <row r="412" spans="1:36">
      <c r="A412" s="4">
        <v>43277</v>
      </c>
      <c r="B412" s="3" t="s">
        <v>3059</v>
      </c>
      <c r="C412" s="3" t="s">
        <v>3060</v>
      </c>
      <c r="D412" s="3" t="s">
        <v>3061</v>
      </c>
      <c r="E412" s="3" t="s">
        <v>1805</v>
      </c>
      <c r="F412" s="3" t="s">
        <v>1710</v>
      </c>
      <c r="G412" s="3">
        <v>7</v>
      </c>
      <c r="H412" s="3">
        <v>0</v>
      </c>
      <c r="I412" s="3">
        <v>1</v>
      </c>
      <c r="J412" s="3">
        <v>0</v>
      </c>
      <c r="K412" s="3">
        <v>6</v>
      </c>
      <c r="L412" s="3">
        <v>0</v>
      </c>
      <c r="M412" s="3">
        <v>0</v>
      </c>
      <c r="N412" s="3" t="s">
        <v>1711</v>
      </c>
      <c r="O412" s="3">
        <v>6</v>
      </c>
      <c r="P412" s="3">
        <v>11.71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 t="s">
        <v>1720</v>
      </c>
      <c r="X412" s="3">
        <v>15.99</v>
      </c>
      <c r="Y412" s="3">
        <v>15.99</v>
      </c>
      <c r="Z412" s="3">
        <v>15.99</v>
      </c>
      <c r="AA412" s="3">
        <v>0</v>
      </c>
      <c r="AB412" s="3" t="s">
        <v>1721</v>
      </c>
      <c r="AC412" s="3">
        <v>0</v>
      </c>
      <c r="AD412" s="3">
        <v>14.46</v>
      </c>
      <c r="AE412" s="3">
        <v>49</v>
      </c>
      <c r="AF412" s="3">
        <v>0</v>
      </c>
      <c r="AG412" s="3">
        <v>211.243195</v>
      </c>
      <c r="AH412" s="3">
        <v>0</v>
      </c>
      <c r="AI412" s="3" t="s">
        <v>2978</v>
      </c>
      <c r="AJ412" s="3" t="s">
        <v>1715</v>
      </c>
    </row>
    <row r="413" spans="1:36">
      <c r="A413" s="4">
        <v>43277</v>
      </c>
      <c r="B413" s="3" t="s">
        <v>3062</v>
      </c>
      <c r="C413" s="3" t="s">
        <v>3063</v>
      </c>
      <c r="D413" s="3" t="s">
        <v>3064</v>
      </c>
      <c r="E413" s="3" t="s">
        <v>1755</v>
      </c>
      <c r="F413" s="3" t="s">
        <v>1710</v>
      </c>
      <c r="G413" s="3">
        <v>10</v>
      </c>
      <c r="H413" s="3">
        <v>0</v>
      </c>
      <c r="I413" s="3">
        <v>10</v>
      </c>
      <c r="J413" s="3">
        <v>0</v>
      </c>
      <c r="K413" s="3">
        <v>0</v>
      </c>
      <c r="L413" s="3">
        <v>0</v>
      </c>
      <c r="M413" s="3">
        <v>0</v>
      </c>
      <c r="N413" s="3" t="s">
        <v>1711</v>
      </c>
      <c r="O413" s="3">
        <v>0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1720</v>
      </c>
      <c r="X413" s="3">
        <v>15.99</v>
      </c>
      <c r="Y413" s="3">
        <v>15.99</v>
      </c>
      <c r="Z413" s="3">
        <v>15.99</v>
      </c>
      <c r="AA413" s="3">
        <v>0</v>
      </c>
      <c r="AB413" s="3" t="s">
        <v>1721</v>
      </c>
      <c r="AC413" s="3">
        <v>10</v>
      </c>
      <c r="AD413" s="3">
        <v>15.99</v>
      </c>
      <c r="AE413" s="3">
        <v>0</v>
      </c>
      <c r="AF413" s="3">
        <v>0</v>
      </c>
      <c r="AG413" s="3">
        <v>0</v>
      </c>
      <c r="AH413" s="3">
        <v>0</v>
      </c>
      <c r="AI413" s="3" t="s">
        <v>1756</v>
      </c>
      <c r="AJ413" s="3" t="s">
        <v>1715</v>
      </c>
    </row>
    <row r="414" spans="1:36">
      <c r="A414" s="4">
        <v>43277</v>
      </c>
      <c r="B414" s="3" t="s">
        <v>463</v>
      </c>
      <c r="C414" s="3" t="s">
        <v>464</v>
      </c>
      <c r="D414" s="3" t="s">
        <v>465</v>
      </c>
      <c r="E414" s="3" t="s">
        <v>466</v>
      </c>
      <c r="F414" s="3" t="s">
        <v>1710</v>
      </c>
      <c r="G414" s="3">
        <v>14</v>
      </c>
      <c r="H414" s="3">
        <v>0</v>
      </c>
      <c r="I414" s="3">
        <v>14</v>
      </c>
      <c r="J414" s="3">
        <v>0</v>
      </c>
      <c r="K414" s="3">
        <v>0</v>
      </c>
      <c r="L414" s="3">
        <v>0</v>
      </c>
      <c r="M414" s="3">
        <v>0</v>
      </c>
      <c r="N414" s="3" t="s">
        <v>1711</v>
      </c>
      <c r="O414" s="3">
        <v>0</v>
      </c>
      <c r="P414" s="3">
        <v>0</v>
      </c>
      <c r="Q414" s="3">
        <v>0</v>
      </c>
      <c r="R414" s="3">
        <v>0</v>
      </c>
      <c r="S414" s="3">
        <v>4</v>
      </c>
      <c r="T414" s="3">
        <v>10</v>
      </c>
      <c r="U414" s="3">
        <v>15</v>
      </c>
      <c r="V414" s="3">
        <v>21</v>
      </c>
      <c r="W414" s="3"/>
      <c r="X414" s="3">
        <v>20.99</v>
      </c>
      <c r="Y414" s="3">
        <v>20.99</v>
      </c>
      <c r="Z414" s="3">
        <v>20.99</v>
      </c>
      <c r="AA414" s="3">
        <v>0</v>
      </c>
      <c r="AB414" s="3" t="s">
        <v>1713</v>
      </c>
      <c r="AC414" s="3">
        <v>15</v>
      </c>
      <c r="AD414" s="3">
        <v>20.99</v>
      </c>
      <c r="AE414" s="3">
        <v>0</v>
      </c>
      <c r="AF414" s="3">
        <v>0</v>
      </c>
      <c r="AG414" s="3">
        <v>0</v>
      </c>
      <c r="AH414" s="3">
        <v>1.35483870967741</v>
      </c>
      <c r="AI414" s="3" t="s">
        <v>2983</v>
      </c>
      <c r="AJ414" s="3" t="s">
        <v>1715</v>
      </c>
    </row>
    <row r="415" spans="1:36">
      <c r="A415" s="4">
        <v>43277</v>
      </c>
      <c r="B415" s="3" t="s">
        <v>3065</v>
      </c>
      <c r="C415" s="3" t="s">
        <v>3066</v>
      </c>
      <c r="D415" s="3" t="s">
        <v>3067</v>
      </c>
      <c r="E415" s="3" t="s">
        <v>3068</v>
      </c>
      <c r="F415" s="3" t="s">
        <v>1710</v>
      </c>
      <c r="G415" s="3">
        <v>16</v>
      </c>
      <c r="H415" s="3">
        <v>0</v>
      </c>
      <c r="I415" s="3">
        <v>16</v>
      </c>
      <c r="J415" s="3">
        <v>0</v>
      </c>
      <c r="K415" s="3">
        <v>0</v>
      </c>
      <c r="L415" s="3">
        <v>0</v>
      </c>
      <c r="M415" s="3">
        <v>0</v>
      </c>
      <c r="N415" s="3" t="s">
        <v>1711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4</v>
      </c>
      <c r="U415" s="3">
        <v>4</v>
      </c>
      <c r="V415" s="3">
        <v>4</v>
      </c>
      <c r="W415" s="3"/>
      <c r="X415" s="3">
        <v>15.99</v>
      </c>
      <c r="Y415" s="3">
        <v>15.99</v>
      </c>
      <c r="Z415" s="3">
        <v>15.99</v>
      </c>
      <c r="AA415" s="3">
        <v>0</v>
      </c>
      <c r="AB415" s="3" t="s">
        <v>1713</v>
      </c>
      <c r="AC415" s="3">
        <v>16</v>
      </c>
      <c r="AD415" s="3">
        <v>15.99</v>
      </c>
      <c r="AE415" s="3">
        <v>0</v>
      </c>
      <c r="AF415" s="3">
        <v>0</v>
      </c>
      <c r="AG415" s="3">
        <v>0</v>
      </c>
      <c r="AH415" s="3">
        <v>0.222222222222222</v>
      </c>
      <c r="AI415" s="3" t="s">
        <v>1881</v>
      </c>
      <c r="AJ415" s="3" t="s">
        <v>1715</v>
      </c>
    </row>
    <row r="416" spans="1:36">
      <c r="A416" s="4">
        <v>43277</v>
      </c>
      <c r="B416" s="3" t="s">
        <v>3069</v>
      </c>
      <c r="C416" s="3" t="s">
        <v>3070</v>
      </c>
      <c r="D416" s="3" t="s">
        <v>3071</v>
      </c>
      <c r="E416" s="3" t="s">
        <v>3072</v>
      </c>
      <c r="F416" s="3" t="s">
        <v>1710</v>
      </c>
      <c r="G416" s="3">
        <v>7</v>
      </c>
      <c r="H416" s="3">
        <v>0</v>
      </c>
      <c r="I416" s="3">
        <v>7</v>
      </c>
      <c r="J416" s="3">
        <v>0</v>
      </c>
      <c r="K416" s="3">
        <v>0</v>
      </c>
      <c r="L416" s="3">
        <v>0</v>
      </c>
      <c r="M416" s="3">
        <v>0</v>
      </c>
      <c r="N416" s="3" t="s">
        <v>1711</v>
      </c>
      <c r="O416" s="3">
        <v>0</v>
      </c>
      <c r="P416" s="3">
        <v>0</v>
      </c>
      <c r="Q416" s="3">
        <v>0</v>
      </c>
      <c r="R416" s="3">
        <v>0</v>
      </c>
      <c r="S416" s="3">
        <v>2</v>
      </c>
      <c r="T416" s="3">
        <v>7</v>
      </c>
      <c r="U416" s="3">
        <v>16</v>
      </c>
      <c r="V416" s="3">
        <v>21</v>
      </c>
      <c r="W416" s="3"/>
      <c r="X416" s="3">
        <v>28.99</v>
      </c>
      <c r="Y416" s="3">
        <v>14.99</v>
      </c>
      <c r="Z416" s="3">
        <v>14.99</v>
      </c>
      <c r="AA416" s="3">
        <v>0</v>
      </c>
      <c r="AB416" s="3" t="s">
        <v>1713</v>
      </c>
      <c r="AC416" s="3">
        <v>8</v>
      </c>
      <c r="AD416" s="3">
        <v>14.99</v>
      </c>
      <c r="AE416" s="3">
        <v>0</v>
      </c>
      <c r="AF416" s="3">
        <v>0</v>
      </c>
      <c r="AG416" s="3">
        <v>0</v>
      </c>
      <c r="AH416" s="3">
        <v>1.64705882352941</v>
      </c>
      <c r="AI416" s="3" t="s">
        <v>2467</v>
      </c>
      <c r="AJ416" s="3" t="s">
        <v>1715</v>
      </c>
    </row>
    <row r="417" spans="1:36">
      <c r="A417" s="4">
        <v>43277</v>
      </c>
      <c r="B417" s="3" t="s">
        <v>80</v>
      </c>
      <c r="C417" s="3" t="s">
        <v>81</v>
      </c>
      <c r="D417" s="3" t="s">
        <v>82</v>
      </c>
      <c r="E417" s="3" t="s">
        <v>3073</v>
      </c>
      <c r="F417" s="3" t="s">
        <v>1710</v>
      </c>
      <c r="G417" s="3">
        <v>18</v>
      </c>
      <c r="H417" s="3">
        <v>0</v>
      </c>
      <c r="I417" s="3">
        <v>18</v>
      </c>
      <c r="J417" s="3">
        <v>0</v>
      </c>
      <c r="K417" s="3">
        <v>0</v>
      </c>
      <c r="L417" s="3">
        <v>0</v>
      </c>
      <c r="M417" s="3">
        <v>0</v>
      </c>
      <c r="N417" s="3" t="s">
        <v>1711</v>
      </c>
      <c r="O417" s="3">
        <v>0</v>
      </c>
      <c r="P417" s="3">
        <v>0</v>
      </c>
      <c r="Q417" s="3">
        <v>0</v>
      </c>
      <c r="R417" s="3">
        <v>0</v>
      </c>
      <c r="S417" s="3">
        <v>9</v>
      </c>
      <c r="T417" s="3">
        <v>19</v>
      </c>
      <c r="U417" s="3">
        <v>36</v>
      </c>
      <c r="V417" s="3">
        <v>49</v>
      </c>
      <c r="W417" s="3"/>
      <c r="X417" s="3">
        <v>28.99</v>
      </c>
      <c r="Y417" s="3">
        <v>15.99</v>
      </c>
      <c r="Z417" s="3">
        <v>15.55</v>
      </c>
      <c r="AA417" s="3">
        <v>0</v>
      </c>
      <c r="AB417" s="3" t="s">
        <v>1713</v>
      </c>
      <c r="AC417" s="3">
        <v>0</v>
      </c>
      <c r="AD417" s="3">
        <v>0</v>
      </c>
      <c r="AE417" s="3">
        <v>0</v>
      </c>
      <c r="AF417" s="3">
        <v>0</v>
      </c>
      <c r="AG417" s="3">
        <v>0</v>
      </c>
      <c r="AH417" s="3">
        <v>4.55813953488372</v>
      </c>
      <c r="AI417" s="3" t="s">
        <v>2082</v>
      </c>
      <c r="AJ417" s="3" t="s">
        <v>1715</v>
      </c>
    </row>
    <row r="418" spans="1:36">
      <c r="A418" s="4">
        <v>43277</v>
      </c>
      <c r="B418" s="3" t="s">
        <v>1517</v>
      </c>
      <c r="C418" s="3" t="s">
        <v>1518</v>
      </c>
      <c r="D418" s="3" t="s">
        <v>1519</v>
      </c>
      <c r="E418" s="3" t="s">
        <v>1520</v>
      </c>
      <c r="F418" s="3" t="s">
        <v>1710</v>
      </c>
      <c r="G418" s="3">
        <v>21</v>
      </c>
      <c r="H418" s="3">
        <v>0</v>
      </c>
      <c r="I418" s="3">
        <v>21</v>
      </c>
      <c r="J418" s="3">
        <v>0</v>
      </c>
      <c r="K418" s="3">
        <v>0</v>
      </c>
      <c r="L418" s="3">
        <v>0</v>
      </c>
      <c r="M418" s="3">
        <v>0</v>
      </c>
      <c r="N418" s="3" t="s">
        <v>1711</v>
      </c>
      <c r="O418" s="3">
        <v>0</v>
      </c>
      <c r="P418" s="3">
        <v>0</v>
      </c>
      <c r="Q418" s="3">
        <v>0</v>
      </c>
      <c r="R418" s="3">
        <v>0</v>
      </c>
      <c r="S418" s="3">
        <v>6</v>
      </c>
      <c r="T418" s="3">
        <v>15</v>
      </c>
      <c r="U418" s="3">
        <v>53</v>
      </c>
      <c r="V418" s="3">
        <v>86</v>
      </c>
      <c r="W418" s="3"/>
      <c r="X418" s="3">
        <v>19.99</v>
      </c>
      <c r="Y418" s="3">
        <v>19.99</v>
      </c>
      <c r="Z418" s="3">
        <v>19.99</v>
      </c>
      <c r="AA418" s="3">
        <v>0</v>
      </c>
      <c r="AB418" s="3" t="s">
        <v>1713</v>
      </c>
      <c r="AC418" s="3">
        <v>0</v>
      </c>
      <c r="AD418" s="3">
        <v>0</v>
      </c>
      <c r="AE418" s="3">
        <v>0</v>
      </c>
      <c r="AF418" s="3">
        <v>0</v>
      </c>
      <c r="AG418" s="3">
        <v>0</v>
      </c>
      <c r="AH418" s="3">
        <v>6.88</v>
      </c>
      <c r="AI418" s="3" t="s">
        <v>3074</v>
      </c>
      <c r="AJ418" s="3" t="s">
        <v>1715</v>
      </c>
    </row>
    <row r="419" spans="1:36">
      <c r="A419" s="4">
        <v>43277</v>
      </c>
      <c r="B419" s="3" t="s">
        <v>1018</v>
      </c>
      <c r="C419" s="3" t="s">
        <v>1019</v>
      </c>
      <c r="D419" s="3" t="s">
        <v>1020</v>
      </c>
      <c r="E419" s="3" t="s">
        <v>1021</v>
      </c>
      <c r="F419" s="3" t="s">
        <v>1710</v>
      </c>
      <c r="G419" s="3">
        <v>42</v>
      </c>
      <c r="H419" s="3">
        <v>0</v>
      </c>
      <c r="I419" s="3">
        <v>42</v>
      </c>
      <c r="J419" s="3">
        <v>0</v>
      </c>
      <c r="K419" s="3">
        <v>0</v>
      </c>
      <c r="L419" s="3">
        <v>0</v>
      </c>
      <c r="M419" s="3">
        <v>0</v>
      </c>
      <c r="N419" s="3" t="s">
        <v>1711</v>
      </c>
      <c r="O419" s="3">
        <v>0</v>
      </c>
      <c r="P419" s="3">
        <v>0</v>
      </c>
      <c r="Q419" s="3">
        <v>0</v>
      </c>
      <c r="R419" s="3">
        <v>0</v>
      </c>
      <c r="S419" s="3">
        <v>7</v>
      </c>
      <c r="T419" s="3">
        <v>36</v>
      </c>
      <c r="U419" s="3">
        <v>53</v>
      </c>
      <c r="V419" s="3">
        <v>53</v>
      </c>
      <c r="W419" s="3"/>
      <c r="X419" s="3">
        <v>48.58</v>
      </c>
      <c r="Y419" s="3">
        <v>28.99</v>
      </c>
      <c r="Z419" s="3">
        <v>28.99</v>
      </c>
      <c r="AA419" s="3">
        <v>0</v>
      </c>
      <c r="AB419" s="3" t="s">
        <v>1713</v>
      </c>
      <c r="AC419" s="3">
        <v>47</v>
      </c>
      <c r="AD419" s="3">
        <v>28.99</v>
      </c>
      <c r="AE419" s="3">
        <v>0</v>
      </c>
      <c r="AF419" s="3">
        <v>0</v>
      </c>
      <c r="AG419" s="3">
        <v>0</v>
      </c>
      <c r="AH419" s="3">
        <v>1.98749999999999</v>
      </c>
      <c r="AI419" s="3" t="s">
        <v>1800</v>
      </c>
      <c r="AJ419" s="3" t="s">
        <v>1715</v>
      </c>
    </row>
    <row r="420" spans="1:36">
      <c r="A420" s="4">
        <v>43277</v>
      </c>
      <c r="B420" s="3" t="s">
        <v>3075</v>
      </c>
      <c r="C420" s="3" t="s">
        <v>3076</v>
      </c>
      <c r="D420" s="3" t="s">
        <v>3077</v>
      </c>
      <c r="E420" s="3" t="s">
        <v>3078</v>
      </c>
      <c r="F420" s="3" t="s">
        <v>1710</v>
      </c>
      <c r="G420" s="3">
        <v>4</v>
      </c>
      <c r="H420" s="3">
        <v>0</v>
      </c>
      <c r="I420" s="3">
        <v>1</v>
      </c>
      <c r="J420" s="3">
        <v>3</v>
      </c>
      <c r="K420" s="3">
        <v>0</v>
      </c>
      <c r="L420" s="3">
        <v>0</v>
      </c>
      <c r="M420" s="3">
        <v>0</v>
      </c>
      <c r="N420" s="3" t="s">
        <v>1711</v>
      </c>
      <c r="O420" s="3">
        <v>3</v>
      </c>
      <c r="P420" s="3">
        <v>9.23</v>
      </c>
      <c r="Q420" s="3">
        <v>0</v>
      </c>
      <c r="R420" s="3">
        <v>0</v>
      </c>
      <c r="S420" s="3">
        <v>0</v>
      </c>
      <c r="T420" s="3">
        <v>1</v>
      </c>
      <c r="U420" s="3">
        <v>2</v>
      </c>
      <c r="V420" s="3">
        <v>3</v>
      </c>
      <c r="W420" s="3" t="s">
        <v>1720</v>
      </c>
      <c r="X420" s="3">
        <v>21.99</v>
      </c>
      <c r="Y420" s="3">
        <v>21.99</v>
      </c>
      <c r="Z420" s="3">
        <v>21.99</v>
      </c>
      <c r="AA420" s="3">
        <v>0</v>
      </c>
      <c r="AB420" s="3" t="s">
        <v>1721</v>
      </c>
      <c r="AC420" s="3">
        <v>4</v>
      </c>
      <c r="AD420" s="3">
        <v>21.99</v>
      </c>
      <c r="AE420" s="3">
        <v>0</v>
      </c>
      <c r="AF420" s="3">
        <v>0</v>
      </c>
      <c r="AG420" s="3">
        <v>0</v>
      </c>
      <c r="AH420" s="3">
        <v>0.571428571428571</v>
      </c>
      <c r="AI420" s="3" t="s">
        <v>1722</v>
      </c>
      <c r="AJ420" s="3" t="s">
        <v>1715</v>
      </c>
    </row>
    <row r="421" spans="1:36">
      <c r="A421" s="4">
        <v>43277</v>
      </c>
      <c r="B421" s="3" t="s">
        <v>3079</v>
      </c>
      <c r="C421" s="3" t="s">
        <v>3080</v>
      </c>
      <c r="D421" s="3" t="s">
        <v>3081</v>
      </c>
      <c r="E421" s="3" t="s">
        <v>1895</v>
      </c>
      <c r="F421" s="3" t="s">
        <v>1710</v>
      </c>
      <c r="G421" s="3">
        <v>1</v>
      </c>
      <c r="H421" s="3">
        <v>0</v>
      </c>
      <c r="I421" s="3">
        <v>0</v>
      </c>
      <c r="J421" s="3">
        <v>1</v>
      </c>
      <c r="K421" s="3">
        <v>0</v>
      </c>
      <c r="L421" s="3">
        <v>0</v>
      </c>
      <c r="M421" s="3">
        <v>0</v>
      </c>
      <c r="N421" s="3" t="s">
        <v>1711</v>
      </c>
      <c r="O421" s="3">
        <v>1</v>
      </c>
      <c r="P421" s="3">
        <v>1.48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 t="s">
        <v>1720</v>
      </c>
      <c r="X421" s="3">
        <v>16.99</v>
      </c>
      <c r="Y421" s="3">
        <v>16.99</v>
      </c>
      <c r="Z421" s="3">
        <v>16.99</v>
      </c>
      <c r="AA421" s="3">
        <v>0</v>
      </c>
      <c r="AB421" s="3" t="s">
        <v>1721</v>
      </c>
      <c r="AC421" s="3">
        <v>0</v>
      </c>
      <c r="AD421" s="3">
        <v>13.59</v>
      </c>
      <c r="AE421" s="3">
        <v>63</v>
      </c>
      <c r="AF421" s="3">
        <v>0</v>
      </c>
      <c r="AG421" s="3">
        <v>17.428836</v>
      </c>
      <c r="AH421" s="3">
        <v>0</v>
      </c>
      <c r="AI421" s="3" t="s">
        <v>3082</v>
      </c>
      <c r="AJ421" s="3" t="s">
        <v>1783</v>
      </c>
    </row>
    <row r="422" spans="1:36">
      <c r="A422" s="4">
        <v>43277</v>
      </c>
      <c r="B422" s="3" t="s">
        <v>3083</v>
      </c>
      <c r="C422" s="3" t="s">
        <v>3084</v>
      </c>
      <c r="D422" s="3" t="s">
        <v>3085</v>
      </c>
      <c r="E422" s="3" t="s">
        <v>1820</v>
      </c>
      <c r="F422" s="3" t="s">
        <v>1710</v>
      </c>
      <c r="G422" s="3">
        <v>10</v>
      </c>
      <c r="H422" s="3">
        <v>0</v>
      </c>
      <c r="I422" s="3">
        <v>10</v>
      </c>
      <c r="J422" s="3">
        <v>0</v>
      </c>
      <c r="K422" s="3">
        <v>0</v>
      </c>
      <c r="L422" s="3">
        <v>0</v>
      </c>
      <c r="M422" s="3">
        <v>0</v>
      </c>
      <c r="N422" s="3" t="s">
        <v>1711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1720</v>
      </c>
      <c r="X422" s="3">
        <v>19.99</v>
      </c>
      <c r="Y422" s="3">
        <v>19.99</v>
      </c>
      <c r="Z422" s="3">
        <v>19.99</v>
      </c>
      <c r="AA422" s="3">
        <v>0</v>
      </c>
      <c r="AB422" s="3" t="s">
        <v>1721</v>
      </c>
      <c r="AC422" s="3">
        <v>0</v>
      </c>
      <c r="AD422" s="3">
        <v>15.99</v>
      </c>
      <c r="AE422" s="3">
        <v>63</v>
      </c>
      <c r="AF422" s="3">
        <v>0</v>
      </c>
      <c r="AG422" s="3">
        <v>71.82189</v>
      </c>
      <c r="AH422" s="3">
        <v>0</v>
      </c>
      <c r="AI422" s="3" t="s">
        <v>3086</v>
      </c>
      <c r="AJ422" s="3" t="s">
        <v>1715</v>
      </c>
    </row>
    <row r="423" spans="1:36">
      <c r="A423" s="4">
        <v>43277</v>
      </c>
      <c r="B423" s="3" t="s">
        <v>3087</v>
      </c>
      <c r="C423" s="3" t="s">
        <v>3088</v>
      </c>
      <c r="D423" s="3" t="s">
        <v>3089</v>
      </c>
      <c r="E423" s="3" t="s">
        <v>2495</v>
      </c>
      <c r="F423" s="3" t="s">
        <v>1710</v>
      </c>
      <c r="G423" s="3">
        <v>15</v>
      </c>
      <c r="H423" s="3">
        <v>0</v>
      </c>
      <c r="I423" s="3">
        <v>15</v>
      </c>
      <c r="J423" s="3">
        <v>0</v>
      </c>
      <c r="K423" s="3">
        <v>0</v>
      </c>
      <c r="L423" s="3">
        <v>0</v>
      </c>
      <c r="M423" s="3">
        <v>0</v>
      </c>
      <c r="N423" s="3" t="s">
        <v>1711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 t="s">
        <v>1720</v>
      </c>
      <c r="X423" s="3">
        <v>15.99</v>
      </c>
      <c r="Y423" s="3">
        <v>15.99</v>
      </c>
      <c r="Z423" s="3">
        <v>15.99</v>
      </c>
      <c r="AA423" s="3">
        <v>0</v>
      </c>
      <c r="AB423" s="3" t="s">
        <v>1721</v>
      </c>
      <c r="AC423" s="3">
        <v>0</v>
      </c>
      <c r="AD423" s="3">
        <v>12.79</v>
      </c>
      <c r="AE423" s="3">
        <v>63</v>
      </c>
      <c r="AF423" s="3">
        <v>0</v>
      </c>
      <c r="AG423" s="3">
        <v>160.761652</v>
      </c>
      <c r="AH423" s="3">
        <v>0</v>
      </c>
      <c r="AI423" s="3" t="s">
        <v>2758</v>
      </c>
      <c r="AJ423" s="3" t="s">
        <v>1715</v>
      </c>
    </row>
    <row r="424" spans="1:36">
      <c r="A424" s="4">
        <v>43277</v>
      </c>
      <c r="B424" s="3" t="s">
        <v>3090</v>
      </c>
      <c r="C424" s="3" t="s">
        <v>3091</v>
      </c>
      <c r="D424" s="3" t="s">
        <v>3092</v>
      </c>
      <c r="E424" s="3" t="s">
        <v>3093</v>
      </c>
      <c r="F424" s="3" t="s">
        <v>1710</v>
      </c>
      <c r="G424" s="3">
        <v>14</v>
      </c>
      <c r="H424" s="3">
        <v>0</v>
      </c>
      <c r="I424" s="3">
        <v>14</v>
      </c>
      <c r="J424" s="3">
        <v>0</v>
      </c>
      <c r="K424" s="3">
        <v>0</v>
      </c>
      <c r="L424" s="3">
        <v>0</v>
      </c>
      <c r="M424" s="3">
        <v>0</v>
      </c>
      <c r="N424" s="3" t="s">
        <v>1711</v>
      </c>
      <c r="O424" s="3">
        <v>0</v>
      </c>
      <c r="P424" s="3">
        <v>0</v>
      </c>
      <c r="Q424" s="3">
        <v>0</v>
      </c>
      <c r="R424" s="3">
        <v>0</v>
      </c>
      <c r="S424" s="3">
        <v>5</v>
      </c>
      <c r="T424" s="3">
        <v>14</v>
      </c>
      <c r="U424" s="3">
        <v>20</v>
      </c>
      <c r="V424" s="3">
        <v>30</v>
      </c>
      <c r="W424" s="3"/>
      <c r="X424" s="3">
        <v>38</v>
      </c>
      <c r="Y424" s="3">
        <v>28.58</v>
      </c>
      <c r="Z424" s="3">
        <v>28</v>
      </c>
      <c r="AA424" s="3">
        <v>0</v>
      </c>
      <c r="AB424" s="3" t="s">
        <v>1713</v>
      </c>
      <c r="AC424" s="3">
        <v>17</v>
      </c>
      <c r="AD424" s="3">
        <v>28.58</v>
      </c>
      <c r="AE424" s="3">
        <v>0</v>
      </c>
      <c r="AF424" s="3">
        <v>0</v>
      </c>
      <c r="AG424" s="3">
        <v>0</v>
      </c>
      <c r="AH424" s="3">
        <v>2.14285714285714</v>
      </c>
      <c r="AI424" s="3" t="s">
        <v>2128</v>
      </c>
      <c r="AJ424" s="3" t="s">
        <v>1715</v>
      </c>
    </row>
    <row r="425" spans="1:36">
      <c r="A425" s="4">
        <v>43277</v>
      </c>
      <c r="B425" s="3" t="s">
        <v>3094</v>
      </c>
      <c r="C425" s="3" t="s">
        <v>3095</v>
      </c>
      <c r="D425" s="3" t="s">
        <v>3096</v>
      </c>
      <c r="E425" s="3" t="s">
        <v>1820</v>
      </c>
      <c r="F425" s="3" t="s">
        <v>1710</v>
      </c>
      <c r="G425" s="3">
        <v>10</v>
      </c>
      <c r="H425" s="3">
        <v>0</v>
      </c>
      <c r="I425" s="3">
        <v>10</v>
      </c>
      <c r="J425" s="3">
        <v>0</v>
      </c>
      <c r="K425" s="3">
        <v>0</v>
      </c>
      <c r="L425" s="3">
        <v>0</v>
      </c>
      <c r="M425" s="3">
        <v>0</v>
      </c>
      <c r="N425" s="3" t="s">
        <v>1711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 t="s">
        <v>1720</v>
      </c>
      <c r="X425" s="3">
        <v>19.99</v>
      </c>
      <c r="Y425" s="3">
        <v>19.99</v>
      </c>
      <c r="Z425" s="3">
        <v>19.99</v>
      </c>
      <c r="AA425" s="3">
        <v>0</v>
      </c>
      <c r="AB425" s="3" t="s">
        <v>1721</v>
      </c>
      <c r="AC425" s="3">
        <v>0</v>
      </c>
      <c r="AD425" s="3">
        <v>15.99</v>
      </c>
      <c r="AE425" s="3">
        <v>63</v>
      </c>
      <c r="AF425" s="3">
        <v>0</v>
      </c>
      <c r="AG425" s="3">
        <v>71.82189</v>
      </c>
      <c r="AH425" s="3">
        <v>0</v>
      </c>
      <c r="AI425" s="3" t="s">
        <v>1821</v>
      </c>
      <c r="AJ425" s="3" t="s">
        <v>1715</v>
      </c>
    </row>
    <row r="426" spans="1:36">
      <c r="A426" s="4">
        <v>43277</v>
      </c>
      <c r="B426" s="3" t="s">
        <v>100</v>
      </c>
      <c r="C426" s="3" t="s">
        <v>101</v>
      </c>
      <c r="D426" s="3" t="s">
        <v>102</v>
      </c>
      <c r="E426" s="3" t="s">
        <v>103</v>
      </c>
      <c r="F426" s="3" t="s">
        <v>1710</v>
      </c>
      <c r="G426" s="3">
        <v>104</v>
      </c>
      <c r="H426" s="3">
        <v>0</v>
      </c>
      <c r="I426" s="3">
        <v>8</v>
      </c>
      <c r="J426" s="3">
        <v>43</v>
      </c>
      <c r="K426" s="3">
        <v>53</v>
      </c>
      <c r="L426" s="3">
        <v>0</v>
      </c>
      <c r="M426" s="3">
        <v>0</v>
      </c>
      <c r="N426" s="3" t="s">
        <v>1711</v>
      </c>
      <c r="O426" s="3">
        <v>82</v>
      </c>
      <c r="P426" s="3">
        <v>87.04</v>
      </c>
      <c r="Q426" s="3">
        <v>0</v>
      </c>
      <c r="R426" s="3">
        <v>0</v>
      </c>
      <c r="S426" s="3">
        <v>0</v>
      </c>
      <c r="T426" s="3">
        <v>5</v>
      </c>
      <c r="U426" s="3">
        <v>12</v>
      </c>
      <c r="V426" s="3">
        <v>32</v>
      </c>
      <c r="W426" s="3"/>
      <c r="X426" s="3">
        <v>16.99</v>
      </c>
      <c r="Y426" s="3">
        <v>16.99</v>
      </c>
      <c r="Z426" s="3">
        <v>16</v>
      </c>
      <c r="AA426" s="3">
        <v>0</v>
      </c>
      <c r="AB426" s="3" t="s">
        <v>1732</v>
      </c>
      <c r="AC426" s="3">
        <v>0</v>
      </c>
      <c r="AD426" s="3">
        <v>13.59</v>
      </c>
      <c r="AE426" s="3">
        <v>364</v>
      </c>
      <c r="AF426" s="3">
        <v>0</v>
      </c>
      <c r="AG426" s="3">
        <v>1220.755531</v>
      </c>
      <c r="AH426" s="3">
        <v>0.12018779342723</v>
      </c>
      <c r="AI426" s="3" t="s">
        <v>3097</v>
      </c>
      <c r="AJ426" s="3" t="s">
        <v>1715</v>
      </c>
    </row>
    <row r="427" spans="1:36">
      <c r="A427" s="4">
        <v>43277</v>
      </c>
      <c r="B427" s="3" t="s">
        <v>875</v>
      </c>
      <c r="C427" s="3" t="s">
        <v>876</v>
      </c>
      <c r="D427" s="3" t="s">
        <v>877</v>
      </c>
      <c r="E427" s="3" t="s">
        <v>878</v>
      </c>
      <c r="F427" s="3" t="s">
        <v>1710</v>
      </c>
      <c r="G427" s="3">
        <v>7</v>
      </c>
      <c r="H427" s="3">
        <v>0</v>
      </c>
      <c r="I427" s="3">
        <v>7</v>
      </c>
      <c r="J427" s="3">
        <v>0</v>
      </c>
      <c r="K427" s="3">
        <v>0</v>
      </c>
      <c r="L427" s="3">
        <v>0</v>
      </c>
      <c r="M427" s="3">
        <v>0</v>
      </c>
      <c r="N427" s="3" t="s">
        <v>1711</v>
      </c>
      <c r="O427" s="3">
        <v>0</v>
      </c>
      <c r="P427" s="3">
        <v>0</v>
      </c>
      <c r="Q427" s="3">
        <v>0</v>
      </c>
      <c r="R427" s="3">
        <v>0</v>
      </c>
      <c r="S427" s="3">
        <v>7</v>
      </c>
      <c r="T427" s="3">
        <v>18</v>
      </c>
      <c r="U427" s="3">
        <v>37</v>
      </c>
      <c r="V427" s="3">
        <v>43</v>
      </c>
      <c r="W427" s="3"/>
      <c r="X427" s="3">
        <v>15.99</v>
      </c>
      <c r="Y427" s="3">
        <v>15.99</v>
      </c>
      <c r="Z427" s="3">
        <v>15.99</v>
      </c>
      <c r="AA427" s="3">
        <v>0</v>
      </c>
      <c r="AB427" s="3" t="s">
        <v>1713</v>
      </c>
      <c r="AC427" s="3">
        <v>11</v>
      </c>
      <c r="AD427" s="3">
        <v>15.99</v>
      </c>
      <c r="AE427" s="3">
        <v>0</v>
      </c>
      <c r="AF427" s="3">
        <v>0</v>
      </c>
      <c r="AG427" s="3">
        <v>0</v>
      </c>
      <c r="AH427" s="3">
        <v>3.07142857142857</v>
      </c>
      <c r="AI427" s="3" t="s">
        <v>1881</v>
      </c>
      <c r="AJ427" s="3" t="s">
        <v>1715</v>
      </c>
    </row>
    <row r="428" spans="1:36">
      <c r="A428" s="4">
        <v>43277</v>
      </c>
      <c r="B428" s="3" t="s">
        <v>1505</v>
      </c>
      <c r="C428" s="3" t="s">
        <v>1506</v>
      </c>
      <c r="D428" s="3" t="s">
        <v>1507</v>
      </c>
      <c r="E428" s="3" t="s">
        <v>1508</v>
      </c>
      <c r="F428" s="3" t="s">
        <v>1710</v>
      </c>
      <c r="G428" s="3">
        <v>12</v>
      </c>
      <c r="H428" s="3">
        <v>0</v>
      </c>
      <c r="I428" s="3">
        <v>12</v>
      </c>
      <c r="J428" s="3">
        <v>0</v>
      </c>
      <c r="K428" s="3">
        <v>0</v>
      </c>
      <c r="L428" s="3">
        <v>0</v>
      </c>
      <c r="M428" s="3">
        <v>0</v>
      </c>
      <c r="N428" s="3" t="s">
        <v>1711</v>
      </c>
      <c r="O428" s="3">
        <v>0</v>
      </c>
      <c r="P428" s="3">
        <v>0</v>
      </c>
      <c r="Q428" s="3">
        <v>0</v>
      </c>
      <c r="R428" s="3">
        <v>0</v>
      </c>
      <c r="S428" s="3">
        <v>1</v>
      </c>
      <c r="T428" s="3">
        <v>11</v>
      </c>
      <c r="U428" s="3">
        <v>16</v>
      </c>
      <c r="V428" s="3">
        <v>27</v>
      </c>
      <c r="W428" s="3"/>
      <c r="X428" s="3">
        <v>23.99</v>
      </c>
      <c r="Y428" s="3">
        <v>23.99</v>
      </c>
      <c r="Z428" s="3">
        <v>23.99</v>
      </c>
      <c r="AA428" s="3">
        <v>0</v>
      </c>
      <c r="AB428" s="3" t="s">
        <v>1713</v>
      </c>
      <c r="AC428" s="3">
        <v>12</v>
      </c>
      <c r="AD428" s="3">
        <v>23.99</v>
      </c>
      <c r="AE428" s="3">
        <v>0</v>
      </c>
      <c r="AF428" s="3">
        <v>0</v>
      </c>
      <c r="AG428" s="3">
        <v>0</v>
      </c>
      <c r="AH428" s="3">
        <v>1.45945945945945</v>
      </c>
      <c r="AI428" s="3" t="s">
        <v>3098</v>
      </c>
      <c r="AJ428" s="3" t="s">
        <v>1715</v>
      </c>
    </row>
    <row r="429" spans="1:36">
      <c r="A429" s="4">
        <v>43277</v>
      </c>
      <c r="B429" s="3" t="s">
        <v>3099</v>
      </c>
      <c r="C429" s="3" t="s">
        <v>3100</v>
      </c>
      <c r="D429" s="3" t="s">
        <v>3101</v>
      </c>
      <c r="E429" s="3" t="s">
        <v>3102</v>
      </c>
      <c r="F429" s="3" t="s">
        <v>1710</v>
      </c>
      <c r="G429" s="3">
        <v>1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1</v>
      </c>
      <c r="N429" s="3" t="s">
        <v>1711</v>
      </c>
      <c r="O429" s="3">
        <v>0</v>
      </c>
      <c r="P429" s="3">
        <v>0</v>
      </c>
      <c r="Q429" s="3">
        <v>1</v>
      </c>
      <c r="R429" s="3">
        <v>3.8</v>
      </c>
      <c r="S429" s="3">
        <v>0</v>
      </c>
      <c r="T429" s="3">
        <v>0</v>
      </c>
      <c r="U429" s="3">
        <v>0</v>
      </c>
      <c r="V429" s="3">
        <v>0</v>
      </c>
      <c r="W429" s="3" t="s">
        <v>1720</v>
      </c>
      <c r="X429" s="3">
        <v>16.99</v>
      </c>
      <c r="Y429" s="3">
        <v>16.99</v>
      </c>
      <c r="Z429" s="3">
        <v>16.99</v>
      </c>
      <c r="AA429" s="3">
        <v>0</v>
      </c>
      <c r="AB429" s="3" t="s">
        <v>1713</v>
      </c>
      <c r="AC429" s="3">
        <v>1</v>
      </c>
      <c r="AD429" s="3">
        <v>16.99</v>
      </c>
      <c r="AE429" s="3">
        <v>0</v>
      </c>
      <c r="AF429" s="3">
        <v>0</v>
      </c>
      <c r="AG429" s="3">
        <v>0</v>
      </c>
      <c r="AH429" s="3">
        <v>0</v>
      </c>
      <c r="AI429" s="3" t="s">
        <v>3103</v>
      </c>
      <c r="AJ429" s="3" t="s">
        <v>1715</v>
      </c>
    </row>
    <row r="430" spans="1:36">
      <c r="A430" s="4">
        <v>43277</v>
      </c>
      <c r="B430" s="3" t="s">
        <v>192</v>
      </c>
      <c r="C430" s="3" t="s">
        <v>193</v>
      </c>
      <c r="D430" s="3" t="s">
        <v>194</v>
      </c>
      <c r="E430" s="3" t="s">
        <v>195</v>
      </c>
      <c r="F430" s="3" t="s">
        <v>1710</v>
      </c>
      <c r="G430" s="3">
        <v>11</v>
      </c>
      <c r="H430" s="3">
        <v>0</v>
      </c>
      <c r="I430" s="3">
        <v>9</v>
      </c>
      <c r="J430" s="3">
        <v>2</v>
      </c>
      <c r="K430" s="3">
        <v>0</v>
      </c>
      <c r="L430" s="3">
        <v>0</v>
      </c>
      <c r="M430" s="3">
        <v>0</v>
      </c>
      <c r="N430" s="3" t="s">
        <v>1711</v>
      </c>
      <c r="O430" s="3">
        <v>0</v>
      </c>
      <c r="P430" s="3">
        <v>0</v>
      </c>
      <c r="Q430" s="3">
        <v>0</v>
      </c>
      <c r="R430" s="3">
        <v>0</v>
      </c>
      <c r="S430" s="3">
        <v>4</v>
      </c>
      <c r="T430" s="3">
        <v>18</v>
      </c>
      <c r="U430" s="3">
        <v>36</v>
      </c>
      <c r="V430" s="3">
        <v>51</v>
      </c>
      <c r="W430" s="3"/>
      <c r="X430" s="3">
        <v>28.99</v>
      </c>
      <c r="Y430" s="3">
        <v>14.99</v>
      </c>
      <c r="Z430" s="3">
        <v>14.99</v>
      </c>
      <c r="AA430" s="3">
        <v>0</v>
      </c>
      <c r="AB430" s="3" t="s">
        <v>1713</v>
      </c>
      <c r="AC430" s="3">
        <v>15</v>
      </c>
      <c r="AD430" s="3">
        <v>14.99</v>
      </c>
      <c r="AE430" s="3">
        <v>0</v>
      </c>
      <c r="AF430" s="3">
        <v>0</v>
      </c>
      <c r="AG430" s="3">
        <v>0</v>
      </c>
      <c r="AH430" s="3">
        <v>1.52238805970149</v>
      </c>
      <c r="AI430" s="3" t="s">
        <v>3104</v>
      </c>
      <c r="AJ430" s="3" t="s">
        <v>1715</v>
      </c>
    </row>
    <row r="431" spans="1:36">
      <c r="A431" s="4">
        <v>43277</v>
      </c>
      <c r="B431" s="3" t="s">
        <v>3105</v>
      </c>
      <c r="C431" s="3" t="s">
        <v>3106</v>
      </c>
      <c r="D431" s="3" t="s">
        <v>3107</v>
      </c>
      <c r="E431" s="3" t="s">
        <v>2519</v>
      </c>
      <c r="F431" s="3" t="s">
        <v>1710</v>
      </c>
      <c r="G431" s="3">
        <v>1</v>
      </c>
      <c r="H431" s="3">
        <v>0</v>
      </c>
      <c r="I431" s="3">
        <v>0</v>
      </c>
      <c r="J431" s="3">
        <v>0</v>
      </c>
      <c r="K431" s="3">
        <v>0</v>
      </c>
      <c r="L431" s="3">
        <v>1</v>
      </c>
      <c r="M431" s="3">
        <v>0</v>
      </c>
      <c r="N431" s="3" t="s">
        <v>1711</v>
      </c>
      <c r="O431" s="3">
        <v>1</v>
      </c>
      <c r="P431" s="3">
        <v>0.01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1720</v>
      </c>
      <c r="X431" s="3">
        <v>18.99</v>
      </c>
      <c r="Y431" s="3">
        <v>18.99</v>
      </c>
      <c r="Z431" s="3">
        <v>18.99</v>
      </c>
      <c r="AA431" s="3">
        <v>0</v>
      </c>
      <c r="AB431" s="3" t="s">
        <v>1713</v>
      </c>
      <c r="AC431" s="3">
        <v>1</v>
      </c>
      <c r="AD431" s="3">
        <v>18.99</v>
      </c>
      <c r="AE431" s="3">
        <v>0</v>
      </c>
      <c r="AF431" s="3">
        <v>0</v>
      </c>
      <c r="AG431" s="3">
        <v>0</v>
      </c>
      <c r="AH431" s="3">
        <v>0</v>
      </c>
      <c r="AI431" s="3" t="s">
        <v>1782</v>
      </c>
      <c r="AJ431" s="3" t="s">
        <v>1783</v>
      </c>
    </row>
    <row r="432" spans="1:36">
      <c r="A432" s="4">
        <v>43277</v>
      </c>
      <c r="B432" s="3" t="s">
        <v>3108</v>
      </c>
      <c r="C432" s="3" t="s">
        <v>3109</v>
      </c>
      <c r="D432" s="3" t="s">
        <v>3110</v>
      </c>
      <c r="E432" s="3" t="s">
        <v>3111</v>
      </c>
      <c r="F432" s="3" t="s">
        <v>1710</v>
      </c>
      <c r="G432" s="3">
        <v>2</v>
      </c>
      <c r="H432" s="3">
        <v>0</v>
      </c>
      <c r="I432" s="3">
        <v>0</v>
      </c>
      <c r="J432" s="3">
        <v>2</v>
      </c>
      <c r="K432" s="3">
        <v>0</v>
      </c>
      <c r="L432" s="3">
        <v>0</v>
      </c>
      <c r="M432" s="3">
        <v>0</v>
      </c>
      <c r="N432" s="3" t="s">
        <v>1711</v>
      </c>
      <c r="O432" s="3">
        <v>2</v>
      </c>
      <c r="P432" s="3">
        <v>1.84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1720</v>
      </c>
      <c r="X432" s="3">
        <v>21.99</v>
      </c>
      <c r="Y432" s="3">
        <v>21.99</v>
      </c>
      <c r="Z432" s="3">
        <v>21.99</v>
      </c>
      <c r="AA432" s="3">
        <v>0</v>
      </c>
      <c r="AB432" s="3" t="s">
        <v>1721</v>
      </c>
      <c r="AC432" s="3">
        <v>0</v>
      </c>
      <c r="AD432" s="3">
        <v>17.59</v>
      </c>
      <c r="AE432" s="3">
        <v>63</v>
      </c>
      <c r="AF432" s="3">
        <v>0</v>
      </c>
      <c r="AG432" s="3">
        <v>24.357354</v>
      </c>
      <c r="AH432" s="3">
        <v>0</v>
      </c>
      <c r="AI432" s="3" t="s">
        <v>3112</v>
      </c>
      <c r="AJ432" s="3" t="s">
        <v>1715</v>
      </c>
    </row>
    <row r="433" spans="1:36">
      <c r="A433" s="4">
        <v>43277</v>
      </c>
      <c r="B433" s="3" t="s">
        <v>322</v>
      </c>
      <c r="C433" s="3" t="s">
        <v>323</v>
      </c>
      <c r="D433" s="3" t="s">
        <v>324</v>
      </c>
      <c r="E433" s="3" t="s">
        <v>325</v>
      </c>
      <c r="F433" s="3" t="s">
        <v>1710</v>
      </c>
      <c r="G433" s="3">
        <v>41</v>
      </c>
      <c r="H433" s="3">
        <v>0</v>
      </c>
      <c r="I433" s="3">
        <v>41</v>
      </c>
      <c r="J433" s="3">
        <v>0</v>
      </c>
      <c r="K433" s="3">
        <v>0</v>
      </c>
      <c r="L433" s="3">
        <v>0</v>
      </c>
      <c r="M433" s="3">
        <v>0</v>
      </c>
      <c r="N433" s="3" t="s">
        <v>1711</v>
      </c>
      <c r="O433" s="3">
        <v>0</v>
      </c>
      <c r="P433" s="3">
        <v>0</v>
      </c>
      <c r="Q433" s="3">
        <v>0</v>
      </c>
      <c r="R433" s="3">
        <v>0</v>
      </c>
      <c r="S433" s="3">
        <v>4</v>
      </c>
      <c r="T433" s="3">
        <v>27</v>
      </c>
      <c r="U433" s="3">
        <v>77</v>
      </c>
      <c r="V433" s="3">
        <v>118</v>
      </c>
      <c r="W433" s="3"/>
      <c r="X433" s="3">
        <v>28.99</v>
      </c>
      <c r="Y433" s="3">
        <v>19.99</v>
      </c>
      <c r="Z433" s="3">
        <v>19.99</v>
      </c>
      <c r="AA433" s="3">
        <v>0</v>
      </c>
      <c r="AB433" s="3" t="s">
        <v>1713</v>
      </c>
      <c r="AC433" s="3">
        <v>41</v>
      </c>
      <c r="AD433" s="3">
        <v>19.99</v>
      </c>
      <c r="AE433" s="3">
        <v>0</v>
      </c>
      <c r="AF433" s="3">
        <v>0</v>
      </c>
      <c r="AG433" s="3">
        <v>0</v>
      </c>
      <c r="AH433" s="3">
        <v>2.44559585492227</v>
      </c>
      <c r="AI433" s="3" t="s">
        <v>3113</v>
      </c>
      <c r="AJ433" s="3" t="s">
        <v>1783</v>
      </c>
    </row>
    <row r="434" spans="1:36">
      <c r="A434" s="4">
        <v>43277</v>
      </c>
      <c r="B434" s="3" t="s">
        <v>3114</v>
      </c>
      <c r="C434" s="3" t="s">
        <v>3115</v>
      </c>
      <c r="D434" s="3" t="s">
        <v>3116</v>
      </c>
      <c r="E434" s="3" t="s">
        <v>349</v>
      </c>
      <c r="F434" s="3" t="s">
        <v>1710</v>
      </c>
      <c r="G434" s="3">
        <v>9</v>
      </c>
      <c r="H434" s="3">
        <v>0</v>
      </c>
      <c r="I434" s="3">
        <v>0</v>
      </c>
      <c r="J434" s="3">
        <v>0</v>
      </c>
      <c r="K434" s="3">
        <v>9</v>
      </c>
      <c r="L434" s="3">
        <v>0</v>
      </c>
      <c r="M434" s="3">
        <v>0</v>
      </c>
      <c r="N434" s="3" t="s">
        <v>1711</v>
      </c>
      <c r="O434" s="3">
        <v>9</v>
      </c>
      <c r="P434" s="3">
        <v>8.74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1720</v>
      </c>
      <c r="X434" s="3">
        <v>30</v>
      </c>
      <c r="Y434" s="3">
        <v>15.99</v>
      </c>
      <c r="Z434" s="3">
        <v>15.99</v>
      </c>
      <c r="AA434" s="3">
        <v>0</v>
      </c>
      <c r="AB434" s="3" t="s">
        <v>1732</v>
      </c>
      <c r="AC434" s="3">
        <v>0</v>
      </c>
      <c r="AD434" s="3">
        <v>12.96</v>
      </c>
      <c r="AE434" s="3">
        <v>308</v>
      </c>
      <c r="AF434" s="3">
        <v>0</v>
      </c>
      <c r="AG434" s="3">
        <v>165.794666</v>
      </c>
      <c r="AH434" s="3">
        <v>0</v>
      </c>
      <c r="AI434" s="3" t="s">
        <v>3117</v>
      </c>
      <c r="AJ434" s="3" t="s">
        <v>1783</v>
      </c>
    </row>
    <row r="435" spans="1:36">
      <c r="A435" s="4">
        <v>43277</v>
      </c>
      <c r="B435" s="3" t="s">
        <v>455</v>
      </c>
      <c r="C435" s="3" t="s">
        <v>456</v>
      </c>
      <c r="D435" s="3" t="s">
        <v>457</v>
      </c>
      <c r="E435" s="3" t="s">
        <v>458</v>
      </c>
      <c r="F435" s="3" t="s">
        <v>1710</v>
      </c>
      <c r="G435" s="3">
        <v>60</v>
      </c>
      <c r="H435" s="3">
        <v>0</v>
      </c>
      <c r="I435" s="3">
        <v>60</v>
      </c>
      <c r="J435" s="3">
        <v>0</v>
      </c>
      <c r="K435" s="3">
        <v>0</v>
      </c>
      <c r="L435" s="3">
        <v>0</v>
      </c>
      <c r="M435" s="3">
        <v>0</v>
      </c>
      <c r="N435" s="3" t="s">
        <v>1711</v>
      </c>
      <c r="O435" s="3">
        <v>0</v>
      </c>
      <c r="P435" s="3">
        <v>0</v>
      </c>
      <c r="Q435" s="3">
        <v>0</v>
      </c>
      <c r="R435" s="3">
        <v>0</v>
      </c>
      <c r="S435" s="3">
        <v>22</v>
      </c>
      <c r="T435" s="3">
        <v>69</v>
      </c>
      <c r="U435" s="3">
        <v>132</v>
      </c>
      <c r="V435" s="3">
        <v>204</v>
      </c>
      <c r="W435" s="3"/>
      <c r="X435" s="3">
        <v>48.58</v>
      </c>
      <c r="Y435" s="3">
        <v>28.99</v>
      </c>
      <c r="Z435" s="3">
        <v>28</v>
      </c>
      <c r="AA435" s="3">
        <v>0</v>
      </c>
      <c r="AB435" s="3" t="s">
        <v>1713</v>
      </c>
      <c r="AC435" s="3">
        <v>71</v>
      </c>
      <c r="AD435" s="3">
        <v>28.99</v>
      </c>
      <c r="AE435" s="3">
        <v>0</v>
      </c>
      <c r="AF435" s="3">
        <v>0</v>
      </c>
      <c r="AG435" s="3">
        <v>0</v>
      </c>
      <c r="AH435" s="3">
        <v>2.97810218978102</v>
      </c>
      <c r="AI435" s="3" t="s">
        <v>1784</v>
      </c>
      <c r="AJ435" s="3" t="s">
        <v>1715</v>
      </c>
    </row>
    <row r="436" spans="1:36">
      <c r="A436" s="4">
        <v>43277</v>
      </c>
      <c r="B436" s="3" t="s">
        <v>3118</v>
      </c>
      <c r="C436" s="3" t="s">
        <v>3119</v>
      </c>
      <c r="D436" s="3" t="s">
        <v>3120</v>
      </c>
      <c r="E436" s="3" t="s">
        <v>3121</v>
      </c>
      <c r="F436" s="3" t="s">
        <v>1710</v>
      </c>
      <c r="G436" s="3">
        <v>1</v>
      </c>
      <c r="H436" s="3">
        <v>0</v>
      </c>
      <c r="I436" s="3">
        <v>1</v>
      </c>
      <c r="J436" s="3">
        <v>0</v>
      </c>
      <c r="K436" s="3">
        <v>0</v>
      </c>
      <c r="L436" s="3">
        <v>0</v>
      </c>
      <c r="M436" s="3">
        <v>0</v>
      </c>
      <c r="N436" s="3" t="s">
        <v>1711</v>
      </c>
      <c r="O436" s="3">
        <v>0</v>
      </c>
      <c r="P436" s="3">
        <v>0</v>
      </c>
      <c r="Q436" s="3">
        <v>0</v>
      </c>
      <c r="R436" s="3">
        <v>0</v>
      </c>
      <c r="S436" s="3">
        <v>1</v>
      </c>
      <c r="T436" s="3">
        <v>1</v>
      </c>
      <c r="U436" s="3">
        <v>1</v>
      </c>
      <c r="V436" s="3">
        <v>1</v>
      </c>
      <c r="W436" s="3"/>
      <c r="X436" s="3">
        <v>19.99</v>
      </c>
      <c r="Y436" s="3">
        <v>19.99</v>
      </c>
      <c r="Z436" s="3">
        <v>19.99</v>
      </c>
      <c r="AA436" s="3">
        <v>0</v>
      </c>
      <c r="AB436" s="3" t="s">
        <v>1732</v>
      </c>
      <c r="AC436" s="3">
        <v>0</v>
      </c>
      <c r="AD436" s="3">
        <v>15.99</v>
      </c>
      <c r="AE436" s="3">
        <v>63</v>
      </c>
      <c r="AF436" s="3">
        <v>0</v>
      </c>
      <c r="AG436" s="3">
        <v>7.616159</v>
      </c>
      <c r="AH436" s="3">
        <v>1</v>
      </c>
      <c r="AI436" s="3" t="s">
        <v>1962</v>
      </c>
      <c r="AJ436" s="3" t="s">
        <v>1715</v>
      </c>
    </row>
    <row r="437" spans="1:36">
      <c r="A437" s="4">
        <v>43277</v>
      </c>
      <c r="B437" s="3" t="s">
        <v>1651</v>
      </c>
      <c r="C437" s="3" t="s">
        <v>1652</v>
      </c>
      <c r="D437" s="3" t="s">
        <v>1653</v>
      </c>
      <c r="E437" s="3" t="s">
        <v>1654</v>
      </c>
      <c r="F437" s="3" t="s">
        <v>1710</v>
      </c>
      <c r="G437" s="3">
        <v>112</v>
      </c>
      <c r="H437" s="3">
        <v>0</v>
      </c>
      <c r="I437" s="3">
        <v>112</v>
      </c>
      <c r="J437" s="3">
        <v>0</v>
      </c>
      <c r="K437" s="3">
        <v>0</v>
      </c>
      <c r="L437" s="3">
        <v>0</v>
      </c>
      <c r="M437" s="3">
        <v>0</v>
      </c>
      <c r="N437" s="3" t="s">
        <v>1711</v>
      </c>
      <c r="O437" s="3">
        <v>0</v>
      </c>
      <c r="P437" s="3">
        <v>0</v>
      </c>
      <c r="Q437" s="3">
        <v>0</v>
      </c>
      <c r="R437" s="3">
        <v>0</v>
      </c>
      <c r="S437" s="3">
        <v>65</v>
      </c>
      <c r="T437" s="3">
        <v>210</v>
      </c>
      <c r="U437" s="3">
        <v>426</v>
      </c>
      <c r="V437" s="3">
        <v>570</v>
      </c>
      <c r="W437" s="3"/>
      <c r="X437" s="3">
        <v>40</v>
      </c>
      <c r="Y437" s="3">
        <v>29.99</v>
      </c>
      <c r="Z437" s="3">
        <v>28</v>
      </c>
      <c r="AA437" s="3">
        <v>0</v>
      </c>
      <c r="AB437" s="3" t="s">
        <v>1713</v>
      </c>
      <c r="AC437" s="3">
        <v>110</v>
      </c>
      <c r="AD437" s="3">
        <v>29.99</v>
      </c>
      <c r="AE437" s="3">
        <v>0</v>
      </c>
      <c r="AF437" s="3">
        <v>0</v>
      </c>
      <c r="AG437" s="3">
        <v>0</v>
      </c>
      <c r="AH437" s="3">
        <v>8.17204301075268</v>
      </c>
      <c r="AI437" s="3" t="s">
        <v>3122</v>
      </c>
      <c r="AJ437" s="3" t="s">
        <v>1715</v>
      </c>
    </row>
    <row r="438" spans="1:36">
      <c r="A438" s="4">
        <v>43277</v>
      </c>
      <c r="B438" s="3" t="s">
        <v>1489</v>
      </c>
      <c r="C438" s="3" t="s">
        <v>1490</v>
      </c>
      <c r="D438" s="3" t="s">
        <v>1491</v>
      </c>
      <c r="E438" s="3" t="s">
        <v>1492</v>
      </c>
      <c r="F438" s="3" t="s">
        <v>1710</v>
      </c>
      <c r="G438" s="3">
        <v>14</v>
      </c>
      <c r="H438" s="3">
        <v>0</v>
      </c>
      <c r="I438" s="3">
        <v>14</v>
      </c>
      <c r="J438" s="3">
        <v>0</v>
      </c>
      <c r="K438" s="3">
        <v>0</v>
      </c>
      <c r="L438" s="3">
        <v>0</v>
      </c>
      <c r="M438" s="3">
        <v>0</v>
      </c>
      <c r="N438" s="3" t="s">
        <v>1711</v>
      </c>
      <c r="O438" s="3">
        <v>0</v>
      </c>
      <c r="P438" s="3">
        <v>0</v>
      </c>
      <c r="Q438" s="3">
        <v>0</v>
      </c>
      <c r="R438" s="3">
        <v>0</v>
      </c>
      <c r="S438" s="3">
        <v>4</v>
      </c>
      <c r="T438" s="3">
        <v>18</v>
      </c>
      <c r="U438" s="3">
        <v>33</v>
      </c>
      <c r="V438" s="3">
        <v>47</v>
      </c>
      <c r="W438" s="3"/>
      <c r="X438" s="3">
        <v>38</v>
      </c>
      <c r="Y438" s="3">
        <v>23.99</v>
      </c>
      <c r="Z438" s="3">
        <v>23.99</v>
      </c>
      <c r="AA438" s="3">
        <v>0</v>
      </c>
      <c r="AB438" s="3" t="s">
        <v>1713</v>
      </c>
      <c r="AC438" s="3">
        <v>11</v>
      </c>
      <c r="AD438" s="3">
        <v>23.99</v>
      </c>
      <c r="AE438" s="3">
        <v>0</v>
      </c>
      <c r="AF438" s="3">
        <v>0</v>
      </c>
      <c r="AG438" s="3">
        <v>0</v>
      </c>
      <c r="AH438" s="3">
        <v>2.84848484848484</v>
      </c>
      <c r="AI438" s="3" t="s">
        <v>2071</v>
      </c>
      <c r="AJ438" s="3" t="s">
        <v>1715</v>
      </c>
    </row>
    <row r="439" spans="1:36">
      <c r="A439" s="4">
        <v>43277</v>
      </c>
      <c r="B439" s="3" t="s">
        <v>204</v>
      </c>
      <c r="C439" s="3" t="s">
        <v>205</v>
      </c>
      <c r="D439" s="3" t="s">
        <v>206</v>
      </c>
      <c r="E439" s="3" t="s">
        <v>207</v>
      </c>
      <c r="F439" s="3" t="s">
        <v>1710</v>
      </c>
      <c r="G439" s="3">
        <v>25</v>
      </c>
      <c r="H439" s="3">
        <v>0</v>
      </c>
      <c r="I439" s="3">
        <v>25</v>
      </c>
      <c r="J439" s="3">
        <v>0</v>
      </c>
      <c r="K439" s="3">
        <v>0</v>
      </c>
      <c r="L439" s="3">
        <v>0</v>
      </c>
      <c r="M439" s="3">
        <v>0</v>
      </c>
      <c r="N439" s="3" t="s">
        <v>1711</v>
      </c>
      <c r="O439" s="3">
        <v>0</v>
      </c>
      <c r="P439" s="3">
        <v>0</v>
      </c>
      <c r="Q439" s="3">
        <v>0</v>
      </c>
      <c r="R439" s="3">
        <v>0</v>
      </c>
      <c r="S439" s="3">
        <v>4</v>
      </c>
      <c r="T439" s="3">
        <v>14</v>
      </c>
      <c r="U439" s="3">
        <v>34</v>
      </c>
      <c r="V439" s="3">
        <v>51</v>
      </c>
      <c r="W439" s="3"/>
      <c r="X439" s="3">
        <v>28.99</v>
      </c>
      <c r="Y439" s="3">
        <v>14.99</v>
      </c>
      <c r="Z439" s="3">
        <v>14.99</v>
      </c>
      <c r="AA439" s="3">
        <v>0</v>
      </c>
      <c r="AB439" s="3" t="s">
        <v>1713</v>
      </c>
      <c r="AC439" s="3">
        <v>27</v>
      </c>
      <c r="AD439" s="3">
        <v>14.99</v>
      </c>
      <c r="AE439" s="3">
        <v>0</v>
      </c>
      <c r="AF439" s="3">
        <v>0</v>
      </c>
      <c r="AG439" s="3">
        <v>0</v>
      </c>
      <c r="AH439" s="3">
        <v>2.61538461538461</v>
      </c>
      <c r="AI439" s="3" t="s">
        <v>2467</v>
      </c>
      <c r="AJ439" s="3" t="s">
        <v>1715</v>
      </c>
    </row>
    <row r="440" spans="1:36">
      <c r="A440" s="4">
        <v>43277</v>
      </c>
      <c r="B440" s="3" t="s">
        <v>879</v>
      </c>
      <c r="C440" s="3" t="s">
        <v>880</v>
      </c>
      <c r="D440" s="3" t="s">
        <v>881</v>
      </c>
      <c r="E440" s="3" t="s">
        <v>882</v>
      </c>
      <c r="F440" s="3" t="s">
        <v>1710</v>
      </c>
      <c r="G440" s="3">
        <v>17</v>
      </c>
      <c r="H440" s="3">
        <v>0</v>
      </c>
      <c r="I440" s="3">
        <v>17</v>
      </c>
      <c r="J440" s="3">
        <v>0</v>
      </c>
      <c r="K440" s="3">
        <v>0</v>
      </c>
      <c r="L440" s="3">
        <v>0</v>
      </c>
      <c r="M440" s="3">
        <v>0</v>
      </c>
      <c r="N440" s="3" t="s">
        <v>1711</v>
      </c>
      <c r="O440" s="3">
        <v>0</v>
      </c>
      <c r="P440" s="3">
        <v>0</v>
      </c>
      <c r="Q440" s="3">
        <v>0</v>
      </c>
      <c r="R440" s="3">
        <v>0</v>
      </c>
      <c r="S440" s="3">
        <v>2</v>
      </c>
      <c r="T440" s="3">
        <v>5</v>
      </c>
      <c r="U440" s="3">
        <v>5</v>
      </c>
      <c r="V440" s="3">
        <v>5</v>
      </c>
      <c r="W440" s="3"/>
      <c r="X440" s="3">
        <v>15.99</v>
      </c>
      <c r="Y440" s="3">
        <v>15.99</v>
      </c>
      <c r="Z440" s="3">
        <v>15.99</v>
      </c>
      <c r="AA440" s="3">
        <v>0</v>
      </c>
      <c r="AB440" s="3" t="s">
        <v>1713</v>
      </c>
      <c r="AC440" s="3">
        <v>17</v>
      </c>
      <c r="AD440" s="3">
        <v>15.99</v>
      </c>
      <c r="AE440" s="3">
        <v>0</v>
      </c>
      <c r="AF440" s="3">
        <v>0</v>
      </c>
      <c r="AG440" s="3">
        <v>0</v>
      </c>
      <c r="AH440" s="3">
        <v>0.277777777777777</v>
      </c>
      <c r="AI440" s="3" t="s">
        <v>1739</v>
      </c>
      <c r="AJ440" s="3" t="s">
        <v>1715</v>
      </c>
    </row>
    <row r="441" spans="1:36">
      <c r="A441" s="4">
        <v>43277</v>
      </c>
      <c r="B441" s="3" t="s">
        <v>3123</v>
      </c>
      <c r="C441" s="3" t="s">
        <v>3124</v>
      </c>
      <c r="D441" s="3" t="s">
        <v>3125</v>
      </c>
      <c r="E441" s="3" t="s">
        <v>3126</v>
      </c>
      <c r="F441" s="3" t="s">
        <v>1710</v>
      </c>
      <c r="G441" s="3">
        <v>3</v>
      </c>
      <c r="H441" s="3">
        <v>0</v>
      </c>
      <c r="I441" s="3">
        <v>0</v>
      </c>
      <c r="J441" s="3">
        <v>3</v>
      </c>
      <c r="K441" s="3">
        <v>0</v>
      </c>
      <c r="L441" s="3">
        <v>0</v>
      </c>
      <c r="M441" s="3">
        <v>0</v>
      </c>
      <c r="N441" s="3" t="s">
        <v>1711</v>
      </c>
      <c r="O441" s="3">
        <v>0</v>
      </c>
      <c r="P441" s="3">
        <v>0</v>
      </c>
      <c r="Q441" s="3">
        <v>0</v>
      </c>
      <c r="R441" s="3">
        <v>0</v>
      </c>
      <c r="S441" s="3">
        <v>0</v>
      </c>
      <c r="T441" s="3">
        <v>1</v>
      </c>
      <c r="U441" s="3">
        <v>2</v>
      </c>
      <c r="V441" s="3">
        <v>3</v>
      </c>
      <c r="W441" s="3"/>
      <c r="X441" s="3">
        <v>20.99</v>
      </c>
      <c r="Y441" s="3">
        <v>20.99</v>
      </c>
      <c r="Z441" s="3">
        <v>20.99</v>
      </c>
      <c r="AA441" s="3">
        <v>0</v>
      </c>
      <c r="AB441" s="3" t="s">
        <v>1732</v>
      </c>
      <c r="AC441" s="3">
        <v>1</v>
      </c>
      <c r="AD441" s="3">
        <v>16.79</v>
      </c>
      <c r="AE441" s="3">
        <v>154</v>
      </c>
      <c r="AF441" s="3">
        <v>0</v>
      </c>
      <c r="AG441" s="3">
        <v>4.996641</v>
      </c>
      <c r="AH441" s="3">
        <v>0.6</v>
      </c>
      <c r="AI441" s="3" t="s">
        <v>1914</v>
      </c>
      <c r="AJ441" s="3" t="s">
        <v>1715</v>
      </c>
    </row>
    <row r="442" spans="1:36">
      <c r="A442" s="4">
        <v>43277</v>
      </c>
      <c r="B442" s="3" t="s">
        <v>3127</v>
      </c>
      <c r="C442" s="3" t="s">
        <v>3128</v>
      </c>
      <c r="D442" s="3" t="s">
        <v>3129</v>
      </c>
      <c r="E442" s="3" t="s">
        <v>3130</v>
      </c>
      <c r="F442" s="3" t="s">
        <v>1710</v>
      </c>
      <c r="G442" s="3">
        <v>5</v>
      </c>
      <c r="H442" s="3">
        <v>0</v>
      </c>
      <c r="I442" s="3">
        <v>5</v>
      </c>
      <c r="J442" s="3">
        <v>0</v>
      </c>
      <c r="K442" s="3">
        <v>0</v>
      </c>
      <c r="L442" s="3">
        <v>0</v>
      </c>
      <c r="M442" s="3">
        <v>0</v>
      </c>
      <c r="N442" s="3" t="s">
        <v>1711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0</v>
      </c>
      <c r="U442" s="3">
        <v>1</v>
      </c>
      <c r="V442" s="3">
        <v>3</v>
      </c>
      <c r="W442" s="3" t="s">
        <v>1712</v>
      </c>
      <c r="X442" s="3">
        <v>15.99</v>
      </c>
      <c r="Y442" s="3">
        <v>15.99</v>
      </c>
      <c r="Z442" s="3">
        <v>15.99</v>
      </c>
      <c r="AA442" s="3">
        <v>0</v>
      </c>
      <c r="AB442" s="3" t="s">
        <v>1713</v>
      </c>
      <c r="AC442" s="3">
        <v>5</v>
      </c>
      <c r="AD442" s="3">
        <v>15.99</v>
      </c>
      <c r="AE442" s="3">
        <v>0</v>
      </c>
      <c r="AF442" s="3">
        <v>0</v>
      </c>
      <c r="AG442" s="3">
        <v>0</v>
      </c>
      <c r="AH442" s="3">
        <v>0.857142857142857</v>
      </c>
      <c r="AI442" s="3" t="s">
        <v>2542</v>
      </c>
      <c r="AJ442" s="3" t="s">
        <v>1715</v>
      </c>
    </row>
    <row r="443" spans="1:36">
      <c r="A443" s="4">
        <v>43277</v>
      </c>
      <c r="B443" s="3" t="s">
        <v>3131</v>
      </c>
      <c r="C443" s="3" t="s">
        <v>3132</v>
      </c>
      <c r="D443" s="3" t="s">
        <v>3133</v>
      </c>
      <c r="E443" s="3" t="s">
        <v>3134</v>
      </c>
      <c r="F443" s="3" t="s">
        <v>1710</v>
      </c>
      <c r="G443" s="3">
        <v>2</v>
      </c>
      <c r="H443" s="3">
        <v>0</v>
      </c>
      <c r="I443" s="3">
        <v>0</v>
      </c>
      <c r="J443" s="3">
        <v>1</v>
      </c>
      <c r="K443" s="3">
        <v>1</v>
      </c>
      <c r="L443" s="3">
        <v>0</v>
      </c>
      <c r="M443" s="3">
        <v>0</v>
      </c>
      <c r="N443" s="3" t="s">
        <v>1711</v>
      </c>
      <c r="O443" s="3">
        <v>2</v>
      </c>
      <c r="P443" s="3">
        <v>2.74</v>
      </c>
      <c r="Q443" s="3">
        <v>0</v>
      </c>
      <c r="R443" s="3">
        <v>0</v>
      </c>
      <c r="S443" s="3">
        <v>0</v>
      </c>
      <c r="T443" s="3">
        <v>0</v>
      </c>
      <c r="U443" s="3">
        <v>0</v>
      </c>
      <c r="V443" s="3">
        <v>0</v>
      </c>
      <c r="W443" s="3" t="s">
        <v>1720</v>
      </c>
      <c r="X443" s="3">
        <v>16.99</v>
      </c>
      <c r="Y443" s="3">
        <v>16.99</v>
      </c>
      <c r="Z443" s="3">
        <v>16.99</v>
      </c>
      <c r="AA443" s="3">
        <v>0</v>
      </c>
      <c r="AB443" s="3" t="s">
        <v>1721</v>
      </c>
      <c r="AC443" s="3">
        <v>0</v>
      </c>
      <c r="AD443" s="3">
        <v>15.3</v>
      </c>
      <c r="AE443" s="3">
        <v>49</v>
      </c>
      <c r="AF443" s="3">
        <v>0</v>
      </c>
      <c r="AG443" s="3">
        <v>47.841405</v>
      </c>
      <c r="AH443" s="3">
        <v>0</v>
      </c>
      <c r="AI443" s="3" t="s">
        <v>1851</v>
      </c>
      <c r="AJ443" s="3" t="s">
        <v>1715</v>
      </c>
    </row>
    <row r="444" spans="1:36">
      <c r="A444" s="4">
        <v>43277</v>
      </c>
      <c r="B444" s="3" t="s">
        <v>3135</v>
      </c>
      <c r="C444" s="3" t="s">
        <v>3136</v>
      </c>
      <c r="D444" s="3" t="s">
        <v>3137</v>
      </c>
      <c r="E444" s="3" t="s">
        <v>1830</v>
      </c>
      <c r="F444" s="3" t="s">
        <v>1710</v>
      </c>
      <c r="G444" s="3">
        <v>12</v>
      </c>
      <c r="H444" s="3">
        <v>0</v>
      </c>
      <c r="I444" s="3">
        <v>5</v>
      </c>
      <c r="J444" s="3">
        <v>3</v>
      </c>
      <c r="K444" s="3">
        <v>4</v>
      </c>
      <c r="L444" s="3">
        <v>0</v>
      </c>
      <c r="M444" s="3">
        <v>0</v>
      </c>
      <c r="N444" s="3" t="s">
        <v>1711</v>
      </c>
      <c r="O444" s="3">
        <v>4</v>
      </c>
      <c r="P444" s="3">
        <v>14.51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3</v>
      </c>
      <c r="W444" s="3" t="s">
        <v>1712</v>
      </c>
      <c r="X444" s="3">
        <v>27.99</v>
      </c>
      <c r="Y444" s="3">
        <v>27.99</v>
      </c>
      <c r="Z444" s="3">
        <v>25.99</v>
      </c>
      <c r="AA444" s="3">
        <v>0</v>
      </c>
      <c r="AB444" s="3" t="s">
        <v>1732</v>
      </c>
      <c r="AC444" s="3">
        <v>0</v>
      </c>
      <c r="AD444" s="3">
        <v>22.82</v>
      </c>
      <c r="AE444" s="3">
        <v>231</v>
      </c>
      <c r="AF444" s="3">
        <v>0</v>
      </c>
      <c r="AG444" s="3">
        <v>538.205476</v>
      </c>
      <c r="AH444" s="3">
        <v>0.292682926829268</v>
      </c>
      <c r="AI444" s="3" t="s">
        <v>1831</v>
      </c>
      <c r="AJ444" s="3" t="s">
        <v>1715</v>
      </c>
    </row>
    <row r="445" spans="1:36">
      <c r="A445" s="4">
        <v>43277</v>
      </c>
      <c r="B445" s="3" t="s">
        <v>3138</v>
      </c>
      <c r="C445" s="3" t="s">
        <v>3139</v>
      </c>
      <c r="D445" s="3" t="s">
        <v>3140</v>
      </c>
      <c r="E445" s="3" t="s">
        <v>2274</v>
      </c>
      <c r="F445" s="3" t="s">
        <v>1710</v>
      </c>
      <c r="G445" s="3">
        <v>1</v>
      </c>
      <c r="H445" s="3">
        <v>0</v>
      </c>
      <c r="I445" s="3">
        <v>0</v>
      </c>
      <c r="J445" s="3">
        <v>0</v>
      </c>
      <c r="K445" s="3">
        <v>1</v>
      </c>
      <c r="L445" s="3">
        <v>0</v>
      </c>
      <c r="M445" s="3">
        <v>0</v>
      </c>
      <c r="N445" s="3" t="s">
        <v>1711</v>
      </c>
      <c r="O445" s="3">
        <v>1</v>
      </c>
      <c r="P445" s="3">
        <v>0.75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1720</v>
      </c>
      <c r="X445" s="3">
        <v>15.99</v>
      </c>
      <c r="Y445" s="3">
        <v>15.99</v>
      </c>
      <c r="Z445" s="3">
        <v>15.99</v>
      </c>
      <c r="AA445" s="3">
        <v>0</v>
      </c>
      <c r="AB445" s="3" t="s">
        <v>1721</v>
      </c>
      <c r="AC445" s="3">
        <v>0</v>
      </c>
      <c r="AD445" s="3">
        <v>14.74</v>
      </c>
      <c r="AE445" s="3">
        <v>84</v>
      </c>
      <c r="AF445" s="3">
        <v>0</v>
      </c>
      <c r="AG445" s="3">
        <v>16.276709</v>
      </c>
      <c r="AH445" s="3">
        <v>0</v>
      </c>
      <c r="AI445" s="3" t="s">
        <v>3141</v>
      </c>
      <c r="AJ445" s="3" t="s">
        <v>1783</v>
      </c>
    </row>
    <row r="446" spans="1:36">
      <c r="A446" s="4">
        <v>43277</v>
      </c>
      <c r="B446" s="3" t="s">
        <v>3142</v>
      </c>
      <c r="C446" s="3" t="s">
        <v>3143</v>
      </c>
      <c r="D446" s="3" t="s">
        <v>3144</v>
      </c>
      <c r="E446" s="3" t="s">
        <v>3145</v>
      </c>
      <c r="F446" s="3" t="s">
        <v>1710</v>
      </c>
      <c r="G446" s="3">
        <v>3</v>
      </c>
      <c r="H446" s="3">
        <v>0</v>
      </c>
      <c r="I446" s="3">
        <v>3</v>
      </c>
      <c r="J446" s="3">
        <v>0</v>
      </c>
      <c r="K446" s="3">
        <v>0</v>
      </c>
      <c r="L446" s="3">
        <v>0</v>
      </c>
      <c r="M446" s="3">
        <v>0</v>
      </c>
      <c r="N446" s="3" t="s">
        <v>1711</v>
      </c>
      <c r="O446" s="3">
        <v>0</v>
      </c>
      <c r="P446" s="3">
        <v>0</v>
      </c>
      <c r="Q446" s="3">
        <v>0</v>
      </c>
      <c r="R446" s="3">
        <v>0</v>
      </c>
      <c r="S446" s="3">
        <v>1</v>
      </c>
      <c r="T446" s="3">
        <v>4</v>
      </c>
      <c r="U446" s="3">
        <v>6</v>
      </c>
      <c r="V446" s="3">
        <v>7</v>
      </c>
      <c r="W446" s="3" t="s">
        <v>1712</v>
      </c>
      <c r="X446" s="3">
        <v>15.99</v>
      </c>
      <c r="Y446" s="3">
        <v>15.99</v>
      </c>
      <c r="Z446" s="3">
        <v>15.55</v>
      </c>
      <c r="AA446" s="3">
        <v>0</v>
      </c>
      <c r="AB446" s="3" t="s">
        <v>1732</v>
      </c>
      <c r="AC446" s="3">
        <v>1</v>
      </c>
      <c r="AD446" s="3">
        <v>14.59</v>
      </c>
      <c r="AE446" s="3">
        <v>70</v>
      </c>
      <c r="AF446" s="3">
        <v>0</v>
      </c>
      <c r="AG446" s="3">
        <v>0.707156</v>
      </c>
      <c r="AH446" s="3">
        <v>1.27272727272727</v>
      </c>
      <c r="AI446" s="3" t="s">
        <v>2036</v>
      </c>
      <c r="AJ446" s="3" t="s">
        <v>1715</v>
      </c>
    </row>
    <row r="447" spans="1:36">
      <c r="A447" s="4">
        <v>43277</v>
      </c>
      <c r="B447" s="3" t="s">
        <v>3146</v>
      </c>
      <c r="C447" s="3" t="s">
        <v>3147</v>
      </c>
      <c r="D447" s="3" t="s">
        <v>3148</v>
      </c>
      <c r="E447" s="3" t="s">
        <v>1985</v>
      </c>
      <c r="F447" s="3" t="s">
        <v>1710</v>
      </c>
      <c r="G447" s="3">
        <v>5</v>
      </c>
      <c r="H447" s="3">
        <v>0</v>
      </c>
      <c r="I447" s="3">
        <v>1</v>
      </c>
      <c r="J447" s="3">
        <v>1</v>
      </c>
      <c r="K447" s="3">
        <v>3</v>
      </c>
      <c r="L447" s="3">
        <v>0</v>
      </c>
      <c r="M447" s="3">
        <v>0</v>
      </c>
      <c r="N447" s="3" t="s">
        <v>1711</v>
      </c>
      <c r="O447" s="3">
        <v>4</v>
      </c>
      <c r="P447" s="3">
        <v>8.47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1720</v>
      </c>
      <c r="X447" s="3">
        <v>18.99</v>
      </c>
      <c r="Y447" s="3">
        <v>18.99</v>
      </c>
      <c r="Z447" s="3">
        <v>18.99</v>
      </c>
      <c r="AA447" s="3">
        <v>0</v>
      </c>
      <c r="AB447" s="3" t="s">
        <v>1721</v>
      </c>
      <c r="AC447" s="3">
        <v>0</v>
      </c>
      <c r="AD447" s="3">
        <v>16.41</v>
      </c>
      <c r="AE447" s="3">
        <v>175</v>
      </c>
      <c r="AF447" s="3">
        <v>0</v>
      </c>
      <c r="AG447" s="3">
        <v>152.229543</v>
      </c>
      <c r="AH447" s="3">
        <v>0</v>
      </c>
      <c r="AI447" s="3" t="s">
        <v>2279</v>
      </c>
      <c r="AJ447" s="3" t="s">
        <v>1783</v>
      </c>
    </row>
    <row r="448" spans="1:36">
      <c r="A448" s="4">
        <v>43277</v>
      </c>
      <c r="B448" s="3" t="s">
        <v>3149</v>
      </c>
      <c r="C448" s="3" t="s">
        <v>3150</v>
      </c>
      <c r="D448" s="3" t="s">
        <v>3151</v>
      </c>
      <c r="E448" s="3" t="s">
        <v>3152</v>
      </c>
      <c r="F448" s="3" t="s">
        <v>1710</v>
      </c>
      <c r="G448" s="3">
        <v>19</v>
      </c>
      <c r="H448" s="3">
        <v>0</v>
      </c>
      <c r="I448" s="3">
        <v>10</v>
      </c>
      <c r="J448" s="3">
        <v>9</v>
      </c>
      <c r="K448" s="3">
        <v>0</v>
      </c>
      <c r="L448" s="3">
        <v>0</v>
      </c>
      <c r="M448" s="3">
        <v>0</v>
      </c>
      <c r="N448" s="3" t="s">
        <v>1711</v>
      </c>
      <c r="O448" s="3">
        <v>0</v>
      </c>
      <c r="P448" s="3">
        <v>0</v>
      </c>
      <c r="Q448" s="3">
        <v>0</v>
      </c>
      <c r="R448" s="3">
        <v>0</v>
      </c>
      <c r="S448" s="3">
        <v>2</v>
      </c>
      <c r="T448" s="3">
        <v>2</v>
      </c>
      <c r="U448" s="3">
        <v>3</v>
      </c>
      <c r="V448" s="3">
        <v>13</v>
      </c>
      <c r="W448" s="3"/>
      <c r="X448" s="3">
        <v>59.99</v>
      </c>
      <c r="Y448" s="3">
        <v>27.99</v>
      </c>
      <c r="Z448" s="3">
        <v>25.99</v>
      </c>
      <c r="AA448" s="3">
        <v>0</v>
      </c>
      <c r="AB448" s="3" t="s">
        <v>1732</v>
      </c>
      <c r="AC448" s="3">
        <v>0</v>
      </c>
      <c r="AD448" s="3">
        <v>22.39</v>
      </c>
      <c r="AE448" s="3">
        <v>63</v>
      </c>
      <c r="AF448" s="3">
        <v>0</v>
      </c>
      <c r="AG448" s="3">
        <v>1013.298402</v>
      </c>
      <c r="AH448" s="3">
        <v>0.702702702702702</v>
      </c>
      <c r="AI448" s="3" t="s">
        <v>2094</v>
      </c>
      <c r="AJ448" s="3" t="s">
        <v>1715</v>
      </c>
    </row>
    <row r="449" spans="1:36">
      <c r="A449" s="4">
        <v>43277</v>
      </c>
      <c r="B449" s="3" t="s">
        <v>3153</v>
      </c>
      <c r="C449" s="3" t="s">
        <v>3154</v>
      </c>
      <c r="D449" s="3" t="s">
        <v>3155</v>
      </c>
      <c r="E449" s="3" t="s">
        <v>2225</v>
      </c>
      <c r="F449" s="3" t="s">
        <v>1710</v>
      </c>
      <c r="G449" s="3">
        <v>23</v>
      </c>
      <c r="H449" s="3">
        <v>0</v>
      </c>
      <c r="I449" s="3">
        <v>2</v>
      </c>
      <c r="J449" s="3">
        <v>19</v>
      </c>
      <c r="K449" s="3">
        <v>0</v>
      </c>
      <c r="L449" s="3">
        <v>2</v>
      </c>
      <c r="M449" s="3">
        <v>0</v>
      </c>
      <c r="N449" s="3" t="s">
        <v>1711</v>
      </c>
      <c r="O449" s="3">
        <v>6</v>
      </c>
      <c r="P449" s="3">
        <v>8.78</v>
      </c>
      <c r="Q449" s="3">
        <v>2</v>
      </c>
      <c r="R449" s="3">
        <v>5.85</v>
      </c>
      <c r="S449" s="3">
        <v>1</v>
      </c>
      <c r="T449" s="3">
        <v>2</v>
      </c>
      <c r="U449" s="3">
        <v>4</v>
      </c>
      <c r="V449" s="3">
        <v>4</v>
      </c>
      <c r="W449" s="3"/>
      <c r="X449" s="3">
        <v>12.99</v>
      </c>
      <c r="Y449" s="3">
        <v>12.99</v>
      </c>
      <c r="Z449" s="3">
        <v>12.99</v>
      </c>
      <c r="AA449" s="3">
        <v>0</v>
      </c>
      <c r="AB449" s="3" t="s">
        <v>1732</v>
      </c>
      <c r="AC449" s="3">
        <v>9</v>
      </c>
      <c r="AD449" s="3">
        <v>10.39</v>
      </c>
      <c r="AE449" s="3">
        <v>126</v>
      </c>
      <c r="AF449" s="3">
        <v>0</v>
      </c>
      <c r="AG449" s="3">
        <v>41.084896</v>
      </c>
      <c r="AH449" s="3">
        <v>0.16</v>
      </c>
      <c r="AI449" s="3" t="s">
        <v>2226</v>
      </c>
      <c r="AJ449" s="3" t="s">
        <v>1715</v>
      </c>
    </row>
    <row r="450" spans="1:36">
      <c r="A450" s="4">
        <v>43277</v>
      </c>
      <c r="B450" s="3" t="s">
        <v>3156</v>
      </c>
      <c r="C450" s="3" t="s">
        <v>3157</v>
      </c>
      <c r="D450" s="3" t="s">
        <v>3158</v>
      </c>
      <c r="E450" s="3" t="s">
        <v>3159</v>
      </c>
      <c r="F450" s="3" t="s">
        <v>1710</v>
      </c>
      <c r="G450" s="3">
        <v>6</v>
      </c>
      <c r="H450" s="3">
        <v>0</v>
      </c>
      <c r="I450" s="3">
        <v>2</v>
      </c>
      <c r="J450" s="3">
        <v>4</v>
      </c>
      <c r="K450" s="3">
        <v>0</v>
      </c>
      <c r="L450" s="3">
        <v>0</v>
      </c>
      <c r="M450" s="3">
        <v>0</v>
      </c>
      <c r="N450" s="3" t="s">
        <v>1711</v>
      </c>
      <c r="O450" s="3">
        <v>3</v>
      </c>
      <c r="P450" s="3">
        <v>9.24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1</v>
      </c>
      <c r="W450" s="3" t="s">
        <v>1720</v>
      </c>
      <c r="X450" s="3">
        <v>21.99</v>
      </c>
      <c r="Y450" s="3">
        <v>21.99</v>
      </c>
      <c r="Z450" s="3">
        <v>21.99</v>
      </c>
      <c r="AA450" s="3">
        <v>0</v>
      </c>
      <c r="AB450" s="3" t="s">
        <v>1721</v>
      </c>
      <c r="AC450" s="3">
        <v>3</v>
      </c>
      <c r="AD450" s="3">
        <v>18.96</v>
      </c>
      <c r="AE450" s="3">
        <v>14</v>
      </c>
      <c r="AF450" s="3">
        <v>0</v>
      </c>
      <c r="AG450" s="3">
        <v>261.618594</v>
      </c>
      <c r="AH450" s="3">
        <v>0.17391304347826</v>
      </c>
      <c r="AI450" s="3" t="s">
        <v>1722</v>
      </c>
      <c r="AJ450" s="3" t="s">
        <v>1715</v>
      </c>
    </row>
    <row r="451" spans="1:36">
      <c r="A451" s="4">
        <v>43277</v>
      </c>
      <c r="B451" s="3" t="s">
        <v>3160</v>
      </c>
      <c r="C451" s="3" t="s">
        <v>3161</v>
      </c>
      <c r="D451" s="3" t="s">
        <v>3162</v>
      </c>
      <c r="E451" s="3" t="s">
        <v>3163</v>
      </c>
      <c r="F451" s="3" t="s">
        <v>1710</v>
      </c>
      <c r="G451" s="3">
        <v>94</v>
      </c>
      <c r="H451" s="3">
        <v>0</v>
      </c>
      <c r="I451" s="3">
        <v>6</v>
      </c>
      <c r="J451" s="3">
        <v>21</v>
      </c>
      <c r="K451" s="3">
        <v>67</v>
      </c>
      <c r="L451" s="3">
        <v>0</v>
      </c>
      <c r="M451" s="3">
        <v>0</v>
      </c>
      <c r="N451" s="3" t="s">
        <v>1711</v>
      </c>
      <c r="O451" s="3">
        <v>82</v>
      </c>
      <c r="P451" s="3">
        <v>61.41</v>
      </c>
      <c r="Q451" s="3">
        <v>0</v>
      </c>
      <c r="R451" s="3">
        <v>0</v>
      </c>
      <c r="S451" s="3">
        <v>0</v>
      </c>
      <c r="T451" s="3">
        <v>1</v>
      </c>
      <c r="U451" s="3">
        <v>4</v>
      </c>
      <c r="V451" s="3">
        <v>26</v>
      </c>
      <c r="W451" s="3"/>
      <c r="X451" s="3">
        <v>16.99</v>
      </c>
      <c r="Y451" s="3">
        <v>16.99</v>
      </c>
      <c r="Z451" s="3">
        <v>16</v>
      </c>
      <c r="AA451" s="3">
        <v>0</v>
      </c>
      <c r="AB451" s="3" t="s">
        <v>1732</v>
      </c>
      <c r="AC451" s="3">
        <v>0</v>
      </c>
      <c r="AD451" s="3">
        <v>11.5</v>
      </c>
      <c r="AE451" s="3">
        <v>364</v>
      </c>
      <c r="AF451" s="3">
        <v>0</v>
      </c>
      <c r="AG451" s="3">
        <v>820.690384</v>
      </c>
      <c r="AH451" s="3">
        <v>0.0554075652637187</v>
      </c>
      <c r="AI451" s="3" t="s">
        <v>3164</v>
      </c>
      <c r="AJ451" s="3" t="s">
        <v>1715</v>
      </c>
    </row>
    <row r="452" spans="1:36">
      <c r="A452" s="4">
        <v>43277</v>
      </c>
      <c r="B452" s="3" t="s">
        <v>987</v>
      </c>
      <c r="C452" s="3" t="s">
        <v>988</v>
      </c>
      <c r="D452" s="3" t="s">
        <v>989</v>
      </c>
      <c r="E452" s="3" t="s">
        <v>990</v>
      </c>
      <c r="F452" s="3" t="s">
        <v>1710</v>
      </c>
      <c r="G452" s="3">
        <v>20</v>
      </c>
      <c r="H452" s="3">
        <v>0</v>
      </c>
      <c r="I452" s="3">
        <v>20</v>
      </c>
      <c r="J452" s="3">
        <v>0</v>
      </c>
      <c r="K452" s="3">
        <v>0</v>
      </c>
      <c r="L452" s="3">
        <v>0</v>
      </c>
      <c r="M452" s="3">
        <v>0</v>
      </c>
      <c r="N452" s="3" t="s">
        <v>1711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 t="s">
        <v>1712</v>
      </c>
      <c r="X452" s="3">
        <v>28.58</v>
      </c>
      <c r="Y452" s="3">
        <v>28.58</v>
      </c>
      <c r="Z452" s="3">
        <v>28.58</v>
      </c>
      <c r="AA452" s="3">
        <v>0</v>
      </c>
      <c r="AB452" s="3" t="s">
        <v>1713</v>
      </c>
      <c r="AC452" s="3">
        <v>0</v>
      </c>
      <c r="AD452" s="3">
        <v>0</v>
      </c>
      <c r="AE452" s="3">
        <v>0</v>
      </c>
      <c r="AF452" s="3">
        <v>0</v>
      </c>
      <c r="AG452" s="3">
        <v>0</v>
      </c>
      <c r="AH452" s="3">
        <v>0</v>
      </c>
      <c r="AI452" s="3" t="s">
        <v>1751</v>
      </c>
      <c r="AJ452" s="3" t="s">
        <v>1715</v>
      </c>
    </row>
    <row r="453" spans="1:36">
      <c r="A453" s="4">
        <v>43277</v>
      </c>
      <c r="B453" s="3" t="s">
        <v>3165</v>
      </c>
      <c r="C453" s="3" t="s">
        <v>3166</v>
      </c>
      <c r="D453" s="3" t="s">
        <v>3167</v>
      </c>
      <c r="E453" s="3" t="s">
        <v>3168</v>
      </c>
      <c r="F453" s="3" t="s">
        <v>1710</v>
      </c>
      <c r="G453" s="3">
        <v>3</v>
      </c>
      <c r="H453" s="3">
        <v>0</v>
      </c>
      <c r="I453" s="3">
        <v>0</v>
      </c>
      <c r="J453" s="3">
        <v>1</v>
      </c>
      <c r="K453" s="3">
        <v>0</v>
      </c>
      <c r="L453" s="3">
        <v>2</v>
      </c>
      <c r="M453" s="3">
        <v>0</v>
      </c>
      <c r="N453" s="3" t="s">
        <v>1711</v>
      </c>
      <c r="O453" s="3">
        <v>3</v>
      </c>
      <c r="P453" s="3">
        <v>2.97</v>
      </c>
      <c r="Q453" s="3">
        <v>0</v>
      </c>
      <c r="R453" s="3">
        <v>0</v>
      </c>
      <c r="S453" s="3">
        <v>0</v>
      </c>
      <c r="T453" s="3">
        <v>1</v>
      </c>
      <c r="U453" s="3">
        <v>4</v>
      </c>
      <c r="V453" s="3">
        <v>4</v>
      </c>
      <c r="W453" s="3" t="s">
        <v>1720</v>
      </c>
      <c r="X453" s="3">
        <v>15.99</v>
      </c>
      <c r="Y453" s="3">
        <v>15.99</v>
      </c>
      <c r="Z453" s="3">
        <v>14.99</v>
      </c>
      <c r="AA453" s="3">
        <v>0</v>
      </c>
      <c r="AB453" s="3" t="s">
        <v>1721</v>
      </c>
      <c r="AC453" s="3">
        <v>0</v>
      </c>
      <c r="AD453" s="3">
        <v>13.77</v>
      </c>
      <c r="AE453" s="3">
        <v>63</v>
      </c>
      <c r="AF453" s="3">
        <v>0</v>
      </c>
      <c r="AG453" s="3">
        <v>8.874799</v>
      </c>
      <c r="AH453" s="3">
        <v>0.761904761904761</v>
      </c>
      <c r="AI453" s="3" t="s">
        <v>3169</v>
      </c>
      <c r="AJ453" s="3" t="s">
        <v>1715</v>
      </c>
    </row>
    <row r="454" spans="1:36">
      <c r="A454" s="4">
        <v>43277</v>
      </c>
      <c r="B454" s="3" t="s">
        <v>3170</v>
      </c>
      <c r="C454" s="3" t="s">
        <v>3171</v>
      </c>
      <c r="D454" s="3" t="s">
        <v>3172</v>
      </c>
      <c r="E454" s="3" t="s">
        <v>3173</v>
      </c>
      <c r="F454" s="3" t="s">
        <v>1710</v>
      </c>
      <c r="G454" s="3">
        <v>12</v>
      </c>
      <c r="H454" s="3">
        <v>0</v>
      </c>
      <c r="I454" s="3">
        <v>12</v>
      </c>
      <c r="J454" s="3">
        <v>0</v>
      </c>
      <c r="K454" s="3">
        <v>0</v>
      </c>
      <c r="L454" s="3">
        <v>0</v>
      </c>
      <c r="M454" s="3">
        <v>0</v>
      </c>
      <c r="N454" s="3" t="s">
        <v>1711</v>
      </c>
      <c r="O454" s="3">
        <v>0</v>
      </c>
      <c r="P454" s="3">
        <v>0</v>
      </c>
      <c r="Q454" s="3">
        <v>0</v>
      </c>
      <c r="R454" s="3">
        <v>0</v>
      </c>
      <c r="S454" s="3">
        <v>1</v>
      </c>
      <c r="T454" s="3">
        <v>6</v>
      </c>
      <c r="U454" s="3">
        <v>12</v>
      </c>
      <c r="V454" s="3">
        <v>13</v>
      </c>
      <c r="W454" s="3" t="s">
        <v>1712</v>
      </c>
      <c r="X454" s="3">
        <v>15.99</v>
      </c>
      <c r="Y454" s="3">
        <v>15.99</v>
      </c>
      <c r="Z454" s="3">
        <v>15.99</v>
      </c>
      <c r="AA454" s="3">
        <v>0</v>
      </c>
      <c r="AB454" s="3" t="s">
        <v>1713</v>
      </c>
      <c r="AC454" s="3">
        <v>14</v>
      </c>
      <c r="AD454" s="3">
        <v>15.99</v>
      </c>
      <c r="AE454" s="3">
        <v>0</v>
      </c>
      <c r="AF454" s="3">
        <v>0</v>
      </c>
      <c r="AG454" s="3">
        <v>0</v>
      </c>
      <c r="AH454" s="3">
        <v>0.847826086956521</v>
      </c>
      <c r="AI454" s="3" t="s">
        <v>3174</v>
      </c>
      <c r="AJ454" s="3" t="s">
        <v>1715</v>
      </c>
    </row>
    <row r="455" spans="1:36">
      <c r="A455" s="4">
        <v>43277</v>
      </c>
      <c r="B455" s="3" t="s">
        <v>3175</v>
      </c>
      <c r="C455" s="3" t="s">
        <v>3176</v>
      </c>
      <c r="D455" s="3" t="s">
        <v>3177</v>
      </c>
      <c r="E455" s="3" t="s">
        <v>3178</v>
      </c>
      <c r="F455" s="3" t="s">
        <v>1710</v>
      </c>
      <c r="G455" s="3">
        <v>1</v>
      </c>
      <c r="H455" s="3">
        <v>0</v>
      </c>
      <c r="I455" s="3">
        <v>0</v>
      </c>
      <c r="J455" s="3">
        <v>0</v>
      </c>
      <c r="K455" s="3">
        <v>1</v>
      </c>
      <c r="L455" s="3">
        <v>0</v>
      </c>
      <c r="M455" s="3">
        <v>0</v>
      </c>
      <c r="N455" s="3" t="s">
        <v>1711</v>
      </c>
      <c r="O455" s="3">
        <v>1</v>
      </c>
      <c r="P455" s="3">
        <v>0.01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1720</v>
      </c>
      <c r="X455" s="3">
        <v>17.99</v>
      </c>
      <c r="Y455" s="3">
        <v>17.99</v>
      </c>
      <c r="Z455" s="3">
        <v>17.99</v>
      </c>
      <c r="AA455" s="3">
        <v>0</v>
      </c>
      <c r="AB455" s="3" t="s">
        <v>1721</v>
      </c>
      <c r="AC455" s="3">
        <v>0</v>
      </c>
      <c r="AD455" s="3">
        <v>17.05</v>
      </c>
      <c r="AE455" s="3">
        <v>14</v>
      </c>
      <c r="AF455" s="3">
        <v>0</v>
      </c>
      <c r="AG455" s="3">
        <v>10.613612</v>
      </c>
      <c r="AH455" s="3">
        <v>0</v>
      </c>
      <c r="AI455" s="3" t="s">
        <v>1782</v>
      </c>
      <c r="AJ455" s="3" t="s">
        <v>1783</v>
      </c>
    </row>
    <row r="456" spans="1:36">
      <c r="A456" s="4">
        <v>43277</v>
      </c>
      <c r="B456" s="3" t="s">
        <v>3179</v>
      </c>
      <c r="C456" s="3" t="s">
        <v>3180</v>
      </c>
      <c r="D456" s="3" t="s">
        <v>3181</v>
      </c>
      <c r="E456" s="3" t="s">
        <v>3182</v>
      </c>
      <c r="F456" s="3" t="s">
        <v>1710</v>
      </c>
      <c r="G456" s="3">
        <v>1</v>
      </c>
      <c r="H456" s="3">
        <v>0</v>
      </c>
      <c r="I456" s="3">
        <v>1</v>
      </c>
      <c r="J456" s="3">
        <v>0</v>
      </c>
      <c r="K456" s="3">
        <v>0</v>
      </c>
      <c r="L456" s="3">
        <v>0</v>
      </c>
      <c r="M456" s="3">
        <v>0</v>
      </c>
      <c r="N456" s="3" t="s">
        <v>1711</v>
      </c>
      <c r="O456" s="3">
        <v>0</v>
      </c>
      <c r="P456" s="3">
        <v>0</v>
      </c>
      <c r="Q456" s="3">
        <v>0</v>
      </c>
      <c r="R456" s="3">
        <v>0</v>
      </c>
      <c r="S456" s="3">
        <v>4</v>
      </c>
      <c r="T456" s="3">
        <v>15</v>
      </c>
      <c r="U456" s="3">
        <v>15</v>
      </c>
      <c r="V456" s="3">
        <v>15</v>
      </c>
      <c r="W456" s="3"/>
      <c r="X456" s="3">
        <v>29.99</v>
      </c>
      <c r="Y456" s="3">
        <v>29.99</v>
      </c>
      <c r="Z456" s="3">
        <v>29.99</v>
      </c>
      <c r="AA456" s="3">
        <v>0</v>
      </c>
      <c r="AB456" s="3" t="s">
        <v>1713</v>
      </c>
      <c r="AC456" s="3">
        <v>0</v>
      </c>
      <c r="AD456" s="3">
        <v>0</v>
      </c>
      <c r="AE456" s="3">
        <v>0</v>
      </c>
      <c r="AF456" s="3">
        <v>0</v>
      </c>
      <c r="AG456" s="3">
        <v>0</v>
      </c>
      <c r="AH456" s="3">
        <v>1.76470588235294</v>
      </c>
      <c r="AI456" s="3" t="s">
        <v>3183</v>
      </c>
      <c r="AJ456" s="3" t="s">
        <v>1715</v>
      </c>
    </row>
    <row r="457" spans="1:36">
      <c r="A457" s="4">
        <v>43277</v>
      </c>
      <c r="B457" s="3" t="s">
        <v>667</v>
      </c>
      <c r="C457" s="3" t="s">
        <v>668</v>
      </c>
      <c r="D457" s="3" t="s">
        <v>669</v>
      </c>
      <c r="E457" s="3" t="s">
        <v>670</v>
      </c>
      <c r="F457" s="3" t="s">
        <v>1710</v>
      </c>
      <c r="G457" s="3">
        <v>15</v>
      </c>
      <c r="H457" s="3">
        <v>0</v>
      </c>
      <c r="I457" s="3">
        <v>15</v>
      </c>
      <c r="J457" s="3">
        <v>0</v>
      </c>
      <c r="K457" s="3">
        <v>0</v>
      </c>
      <c r="L457" s="3">
        <v>0</v>
      </c>
      <c r="M457" s="3">
        <v>0</v>
      </c>
      <c r="N457" s="3" t="s">
        <v>1711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5</v>
      </c>
      <c r="U457" s="3">
        <v>12</v>
      </c>
      <c r="V457" s="3">
        <v>15</v>
      </c>
      <c r="W457" s="3"/>
      <c r="X457" s="3">
        <v>28.58</v>
      </c>
      <c r="Y457" s="3">
        <v>28.58</v>
      </c>
      <c r="Z457" s="3">
        <v>28</v>
      </c>
      <c r="AA457" s="3">
        <v>0</v>
      </c>
      <c r="AB457" s="3" t="s">
        <v>1713</v>
      </c>
      <c r="AC457" s="3">
        <v>13</v>
      </c>
      <c r="AD457" s="3">
        <v>28.58</v>
      </c>
      <c r="AE457" s="3">
        <v>0</v>
      </c>
      <c r="AF457" s="3">
        <v>0</v>
      </c>
      <c r="AG457" s="3">
        <v>0</v>
      </c>
      <c r="AH457" s="3">
        <v>1.46341463414634</v>
      </c>
      <c r="AI457" s="3" t="s">
        <v>1751</v>
      </c>
      <c r="AJ457" s="3" t="s">
        <v>1715</v>
      </c>
    </row>
    <row r="458" spans="1:36">
      <c r="A458" s="4">
        <v>43277</v>
      </c>
      <c r="B458" s="3" t="s">
        <v>3184</v>
      </c>
      <c r="C458" s="3" t="s">
        <v>3185</v>
      </c>
      <c r="D458" s="3" t="s">
        <v>3186</v>
      </c>
      <c r="E458" s="3" t="s">
        <v>3187</v>
      </c>
      <c r="F458" s="3" t="s">
        <v>1710</v>
      </c>
      <c r="G458" s="3">
        <v>1</v>
      </c>
      <c r="H458" s="3">
        <v>0</v>
      </c>
      <c r="I458" s="3">
        <v>1</v>
      </c>
      <c r="J458" s="3">
        <v>0</v>
      </c>
      <c r="K458" s="3">
        <v>0</v>
      </c>
      <c r="L458" s="3">
        <v>0</v>
      </c>
      <c r="M458" s="3">
        <v>0</v>
      </c>
      <c r="N458" s="3" t="s">
        <v>1711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1</v>
      </c>
      <c r="U458" s="3">
        <v>5</v>
      </c>
      <c r="V458" s="3">
        <v>5</v>
      </c>
      <c r="W458" s="3"/>
      <c r="X458" s="3">
        <v>13.99</v>
      </c>
      <c r="Y458" s="3">
        <v>13.99</v>
      </c>
      <c r="Z458" s="3">
        <v>13.99</v>
      </c>
      <c r="AA458" s="3">
        <v>0</v>
      </c>
      <c r="AB458" s="3" t="s">
        <v>1713</v>
      </c>
      <c r="AC458" s="3">
        <v>1</v>
      </c>
      <c r="AD458" s="3">
        <v>13.99</v>
      </c>
      <c r="AE458" s="3">
        <v>0</v>
      </c>
      <c r="AF458" s="3">
        <v>0</v>
      </c>
      <c r="AG458" s="3">
        <v>0</v>
      </c>
      <c r="AH458" s="3">
        <v>5</v>
      </c>
      <c r="AI458" s="3" t="s">
        <v>1905</v>
      </c>
      <c r="AJ458" s="3" t="s">
        <v>1715</v>
      </c>
    </row>
    <row r="459" spans="1:36">
      <c r="A459" s="4">
        <v>43277</v>
      </c>
      <c r="B459" s="3" t="s">
        <v>350</v>
      </c>
      <c r="C459" s="3" t="s">
        <v>351</v>
      </c>
      <c r="D459" s="3" t="s">
        <v>352</v>
      </c>
      <c r="E459" s="3" t="s">
        <v>353</v>
      </c>
      <c r="F459" s="3" t="s">
        <v>1710</v>
      </c>
      <c r="G459" s="3">
        <v>8</v>
      </c>
      <c r="H459" s="3">
        <v>0</v>
      </c>
      <c r="I459" s="3">
        <v>2</v>
      </c>
      <c r="J459" s="3">
        <v>6</v>
      </c>
      <c r="K459" s="3">
        <v>0</v>
      </c>
      <c r="L459" s="3">
        <v>0</v>
      </c>
      <c r="M459" s="3">
        <v>0</v>
      </c>
      <c r="N459" s="3" t="s">
        <v>1711</v>
      </c>
      <c r="O459" s="3">
        <v>0</v>
      </c>
      <c r="P459" s="3">
        <v>0</v>
      </c>
      <c r="Q459" s="3">
        <v>0</v>
      </c>
      <c r="R459" s="3">
        <v>0</v>
      </c>
      <c r="S459" s="3">
        <v>2</v>
      </c>
      <c r="T459" s="3">
        <v>4</v>
      </c>
      <c r="U459" s="3">
        <v>5</v>
      </c>
      <c r="V459" s="3">
        <v>8</v>
      </c>
      <c r="W459" s="3"/>
      <c r="X459" s="3">
        <v>25.58</v>
      </c>
      <c r="Y459" s="3">
        <v>25.58</v>
      </c>
      <c r="Z459" s="3">
        <v>25.58</v>
      </c>
      <c r="AA459" s="3">
        <v>0</v>
      </c>
      <c r="AB459" s="3" t="s">
        <v>1713</v>
      </c>
      <c r="AC459" s="3">
        <v>8</v>
      </c>
      <c r="AD459" s="3">
        <v>25.58</v>
      </c>
      <c r="AE459" s="3">
        <v>0</v>
      </c>
      <c r="AF459" s="3">
        <v>0</v>
      </c>
      <c r="AG459" s="3">
        <v>0</v>
      </c>
      <c r="AH459" s="3">
        <v>0.842105263157894</v>
      </c>
      <c r="AI459" s="3" t="s">
        <v>2776</v>
      </c>
      <c r="AJ459" s="3" t="s">
        <v>1715</v>
      </c>
    </row>
    <row r="460" spans="1:36">
      <c r="A460" s="4">
        <v>43277</v>
      </c>
      <c r="B460" s="3" t="s">
        <v>3188</v>
      </c>
      <c r="C460" s="3" t="s">
        <v>3189</v>
      </c>
      <c r="D460" s="3" t="s">
        <v>3190</v>
      </c>
      <c r="E460" s="3" t="s">
        <v>2225</v>
      </c>
      <c r="F460" s="3" t="s">
        <v>1710</v>
      </c>
      <c r="G460" s="3">
        <v>11</v>
      </c>
      <c r="H460" s="3">
        <v>0</v>
      </c>
      <c r="I460" s="3">
        <v>3</v>
      </c>
      <c r="J460" s="3">
        <v>8</v>
      </c>
      <c r="K460" s="3">
        <v>0</v>
      </c>
      <c r="L460" s="3">
        <v>0</v>
      </c>
      <c r="M460" s="3">
        <v>0</v>
      </c>
      <c r="N460" s="3" t="s">
        <v>1711</v>
      </c>
      <c r="O460" s="3">
        <v>1</v>
      </c>
      <c r="P460" s="3">
        <v>1.46</v>
      </c>
      <c r="Q460" s="3">
        <v>0</v>
      </c>
      <c r="R460" s="3">
        <v>0</v>
      </c>
      <c r="S460" s="3">
        <v>0</v>
      </c>
      <c r="T460" s="3">
        <v>0</v>
      </c>
      <c r="U460" s="3">
        <v>1</v>
      </c>
      <c r="V460" s="3">
        <v>3</v>
      </c>
      <c r="W460" s="3" t="s">
        <v>1712</v>
      </c>
      <c r="X460" s="3">
        <v>12.99</v>
      </c>
      <c r="Y460" s="3">
        <v>12.99</v>
      </c>
      <c r="Z460" s="3">
        <v>12.99</v>
      </c>
      <c r="AA460" s="3">
        <v>0</v>
      </c>
      <c r="AB460" s="3" t="s">
        <v>1732</v>
      </c>
      <c r="AC460" s="3">
        <v>0</v>
      </c>
      <c r="AD460" s="3">
        <v>9.02</v>
      </c>
      <c r="AE460" s="3">
        <v>154</v>
      </c>
      <c r="AF460" s="3">
        <v>0</v>
      </c>
      <c r="AG460" s="3">
        <v>133.546466</v>
      </c>
      <c r="AH460" s="3">
        <v>0.31578947368421</v>
      </c>
      <c r="AI460" s="3" t="s">
        <v>2226</v>
      </c>
      <c r="AJ460" s="3" t="s">
        <v>1715</v>
      </c>
    </row>
    <row r="461" spans="1:36">
      <c r="A461" s="4">
        <v>43277</v>
      </c>
      <c r="B461" s="3" t="s">
        <v>3191</v>
      </c>
      <c r="C461" s="3" t="s">
        <v>3192</v>
      </c>
      <c r="D461" s="3" t="s">
        <v>3193</v>
      </c>
      <c r="E461" s="3" t="s">
        <v>3194</v>
      </c>
      <c r="F461" s="3" t="s">
        <v>1710</v>
      </c>
      <c r="G461" s="3">
        <v>3</v>
      </c>
      <c r="H461" s="3">
        <v>0</v>
      </c>
      <c r="I461" s="3">
        <v>3</v>
      </c>
      <c r="J461" s="3">
        <v>0</v>
      </c>
      <c r="K461" s="3">
        <v>0</v>
      </c>
      <c r="L461" s="3">
        <v>0</v>
      </c>
      <c r="M461" s="3">
        <v>0</v>
      </c>
      <c r="N461" s="3" t="s">
        <v>1711</v>
      </c>
      <c r="O461" s="3">
        <v>0</v>
      </c>
      <c r="P461" s="3">
        <v>0</v>
      </c>
      <c r="Q461" s="3">
        <v>0</v>
      </c>
      <c r="R461" s="3">
        <v>0</v>
      </c>
      <c r="S461" s="3">
        <v>0</v>
      </c>
      <c r="T461" s="3">
        <v>1</v>
      </c>
      <c r="U461" s="3">
        <v>2</v>
      </c>
      <c r="V461" s="3">
        <v>2</v>
      </c>
      <c r="W461" s="3"/>
      <c r="X461" s="3">
        <v>19.99</v>
      </c>
      <c r="Y461" s="3">
        <v>19.99</v>
      </c>
      <c r="Z461" s="3">
        <v>19.99</v>
      </c>
      <c r="AA461" s="3">
        <v>0</v>
      </c>
      <c r="AB461" s="3" t="s">
        <v>1713</v>
      </c>
      <c r="AC461" s="3">
        <v>3</v>
      </c>
      <c r="AD461" s="3">
        <v>19.99</v>
      </c>
      <c r="AE461" s="3">
        <v>0</v>
      </c>
      <c r="AF461" s="3">
        <v>0</v>
      </c>
      <c r="AG461" s="3">
        <v>0</v>
      </c>
      <c r="AH461" s="3">
        <v>0.857142857142857</v>
      </c>
      <c r="AI461" s="3" t="s">
        <v>1962</v>
      </c>
      <c r="AJ461" s="3" t="s">
        <v>1715</v>
      </c>
    </row>
    <row r="462" spans="1:36">
      <c r="A462" s="4">
        <v>43277</v>
      </c>
      <c r="B462" s="3" t="s">
        <v>3195</v>
      </c>
      <c r="C462" s="3" t="s">
        <v>3196</v>
      </c>
      <c r="D462" s="3" t="s">
        <v>3197</v>
      </c>
      <c r="E462" s="3" t="s">
        <v>3198</v>
      </c>
      <c r="F462" s="3" t="s">
        <v>1710</v>
      </c>
      <c r="G462" s="3">
        <v>7</v>
      </c>
      <c r="H462" s="3">
        <v>0</v>
      </c>
      <c r="I462" s="3">
        <v>7</v>
      </c>
      <c r="J462" s="3">
        <v>0</v>
      </c>
      <c r="K462" s="3">
        <v>0</v>
      </c>
      <c r="L462" s="3">
        <v>0</v>
      </c>
      <c r="M462" s="3">
        <v>0</v>
      </c>
      <c r="N462" s="3" t="s">
        <v>1711</v>
      </c>
      <c r="O462" s="3">
        <v>0</v>
      </c>
      <c r="P462" s="3">
        <v>0</v>
      </c>
      <c r="Q462" s="3">
        <v>0</v>
      </c>
      <c r="R462" s="3">
        <v>0</v>
      </c>
      <c r="S462" s="3">
        <v>3</v>
      </c>
      <c r="T462" s="3">
        <v>8</v>
      </c>
      <c r="U462" s="3">
        <v>8</v>
      </c>
      <c r="V462" s="3">
        <v>8</v>
      </c>
      <c r="W462" s="3"/>
      <c r="X462" s="3">
        <v>28.99</v>
      </c>
      <c r="Y462" s="3">
        <v>28.99</v>
      </c>
      <c r="Z462" s="3">
        <v>28.99</v>
      </c>
      <c r="AA462" s="3">
        <v>0</v>
      </c>
      <c r="AB462" s="3" t="s">
        <v>1713</v>
      </c>
      <c r="AC462" s="3">
        <v>9</v>
      </c>
      <c r="AD462" s="3">
        <v>28.99</v>
      </c>
      <c r="AE462" s="3">
        <v>0</v>
      </c>
      <c r="AF462" s="3">
        <v>0</v>
      </c>
      <c r="AG462" s="3">
        <v>0</v>
      </c>
      <c r="AH462" s="3">
        <v>1.14285714285714</v>
      </c>
      <c r="AI462" s="3" t="s">
        <v>2065</v>
      </c>
      <c r="AJ462" s="3" t="s">
        <v>1715</v>
      </c>
    </row>
    <row r="463" spans="1:36">
      <c r="A463" s="4">
        <v>43277</v>
      </c>
      <c r="B463" s="3" t="s">
        <v>387</v>
      </c>
      <c r="C463" s="3" t="s">
        <v>388</v>
      </c>
      <c r="D463" s="3" t="s">
        <v>389</v>
      </c>
      <c r="E463" s="3" t="s">
        <v>390</v>
      </c>
      <c r="F463" s="3" t="s">
        <v>1710</v>
      </c>
      <c r="G463" s="3">
        <v>24</v>
      </c>
      <c r="H463" s="3">
        <v>0</v>
      </c>
      <c r="I463" s="3">
        <v>24</v>
      </c>
      <c r="J463" s="3">
        <v>0</v>
      </c>
      <c r="K463" s="3">
        <v>0</v>
      </c>
      <c r="L463" s="3">
        <v>0</v>
      </c>
      <c r="M463" s="3">
        <v>0</v>
      </c>
      <c r="N463" s="3" t="s">
        <v>1711</v>
      </c>
      <c r="O463" s="3">
        <v>0</v>
      </c>
      <c r="P463" s="3">
        <v>0</v>
      </c>
      <c r="Q463" s="3">
        <v>0</v>
      </c>
      <c r="R463" s="3">
        <v>0</v>
      </c>
      <c r="S463" s="3">
        <v>2</v>
      </c>
      <c r="T463" s="3">
        <v>5</v>
      </c>
      <c r="U463" s="3">
        <v>15</v>
      </c>
      <c r="V463" s="3">
        <v>26</v>
      </c>
      <c r="W463" s="3"/>
      <c r="X463" s="3">
        <v>32.99</v>
      </c>
      <c r="Y463" s="3">
        <v>28.58</v>
      </c>
      <c r="Z463" s="3">
        <v>28.58</v>
      </c>
      <c r="AA463" s="3">
        <v>0</v>
      </c>
      <c r="AB463" s="3" t="s">
        <v>1713</v>
      </c>
      <c r="AC463" s="3">
        <v>14</v>
      </c>
      <c r="AD463" s="3">
        <v>28.58</v>
      </c>
      <c r="AE463" s="3">
        <v>0</v>
      </c>
      <c r="AF463" s="3">
        <v>0</v>
      </c>
      <c r="AG463" s="3">
        <v>0</v>
      </c>
      <c r="AH463" s="3">
        <v>2.53658536585365</v>
      </c>
      <c r="AI463" s="3" t="s">
        <v>1734</v>
      </c>
      <c r="AJ463" s="3" t="s">
        <v>1715</v>
      </c>
    </row>
    <row r="464" spans="1:36">
      <c r="A464" s="4">
        <v>43277</v>
      </c>
      <c r="B464" s="3" t="s">
        <v>3199</v>
      </c>
      <c r="C464" s="3" t="s">
        <v>3200</v>
      </c>
      <c r="D464" s="3" t="s">
        <v>3201</v>
      </c>
      <c r="E464" s="3" t="s">
        <v>3202</v>
      </c>
      <c r="F464" s="3" t="s">
        <v>1710</v>
      </c>
      <c r="G464" s="3">
        <v>2</v>
      </c>
      <c r="H464" s="3">
        <v>0</v>
      </c>
      <c r="I464" s="3">
        <v>0</v>
      </c>
      <c r="J464" s="3">
        <v>1</v>
      </c>
      <c r="K464" s="3">
        <v>1</v>
      </c>
      <c r="L464" s="3">
        <v>0</v>
      </c>
      <c r="M464" s="3">
        <v>0</v>
      </c>
      <c r="N464" s="3" t="s">
        <v>1711</v>
      </c>
      <c r="O464" s="3">
        <v>2</v>
      </c>
      <c r="P464" s="3">
        <v>2.13</v>
      </c>
      <c r="Q464" s="3">
        <v>0</v>
      </c>
      <c r="R464" s="3">
        <v>0</v>
      </c>
      <c r="S464" s="3">
        <v>0</v>
      </c>
      <c r="T464" s="3">
        <v>0</v>
      </c>
      <c r="U464" s="3">
        <v>1</v>
      </c>
      <c r="V464" s="3">
        <v>1</v>
      </c>
      <c r="W464" s="3" t="s">
        <v>1720</v>
      </c>
      <c r="X464" s="3">
        <v>15.99</v>
      </c>
      <c r="Y464" s="3">
        <v>15.99</v>
      </c>
      <c r="Z464" s="3">
        <v>15.99</v>
      </c>
      <c r="AA464" s="3">
        <v>0</v>
      </c>
      <c r="AB464" s="3" t="s">
        <v>1721</v>
      </c>
      <c r="AC464" s="3">
        <v>2</v>
      </c>
      <c r="AD464" s="3">
        <v>15.99</v>
      </c>
      <c r="AE464" s="3">
        <v>0</v>
      </c>
      <c r="AF464" s="3">
        <v>0</v>
      </c>
      <c r="AG464" s="3">
        <v>0</v>
      </c>
      <c r="AH464" s="3">
        <v>0.4</v>
      </c>
      <c r="AI464" s="3" t="s">
        <v>3203</v>
      </c>
      <c r="AJ464" s="3" t="s">
        <v>1783</v>
      </c>
    </row>
    <row r="465" spans="1:36">
      <c r="A465" s="4">
        <v>43277</v>
      </c>
      <c r="B465" s="3" t="s">
        <v>1054</v>
      </c>
      <c r="C465" s="3" t="s">
        <v>1055</v>
      </c>
      <c r="D465" s="3" t="s">
        <v>1056</v>
      </c>
      <c r="E465" s="3" t="s">
        <v>1057</v>
      </c>
      <c r="F465" s="3" t="s">
        <v>1710</v>
      </c>
      <c r="G465" s="3">
        <v>22</v>
      </c>
      <c r="H465" s="3">
        <v>0</v>
      </c>
      <c r="I465" s="3">
        <v>22</v>
      </c>
      <c r="J465" s="3">
        <v>0</v>
      </c>
      <c r="K465" s="3">
        <v>0</v>
      </c>
      <c r="L465" s="3">
        <v>0</v>
      </c>
      <c r="M465" s="3">
        <v>0</v>
      </c>
      <c r="N465" s="3" t="s">
        <v>1711</v>
      </c>
      <c r="O465" s="3">
        <v>0</v>
      </c>
      <c r="P465" s="3">
        <v>0</v>
      </c>
      <c r="Q465" s="3">
        <v>0</v>
      </c>
      <c r="R465" s="3">
        <v>0</v>
      </c>
      <c r="S465" s="3">
        <v>11</v>
      </c>
      <c r="T465" s="3">
        <v>39</v>
      </c>
      <c r="U465" s="3">
        <v>67</v>
      </c>
      <c r="V465" s="3">
        <v>98</v>
      </c>
      <c r="W465" s="3"/>
      <c r="X465" s="3">
        <v>28.99</v>
      </c>
      <c r="Y465" s="3">
        <v>28.99</v>
      </c>
      <c r="Z465" s="3">
        <v>28.99</v>
      </c>
      <c r="AA465" s="3">
        <v>0</v>
      </c>
      <c r="AB465" s="3" t="s">
        <v>1713</v>
      </c>
      <c r="AC465" s="3">
        <v>28</v>
      </c>
      <c r="AD465" s="3">
        <v>28.99</v>
      </c>
      <c r="AE465" s="3">
        <v>0</v>
      </c>
      <c r="AF465" s="3">
        <v>0</v>
      </c>
      <c r="AG465" s="3">
        <v>0</v>
      </c>
      <c r="AH465" s="3">
        <v>4.78048780487804</v>
      </c>
      <c r="AI465" s="3" t="s">
        <v>1784</v>
      </c>
      <c r="AJ465" s="3" t="s">
        <v>1715</v>
      </c>
    </row>
    <row r="466" spans="1:36">
      <c r="A466" s="4">
        <v>43277</v>
      </c>
      <c r="B466" s="3" t="s">
        <v>3204</v>
      </c>
      <c r="C466" s="3" t="s">
        <v>3205</v>
      </c>
      <c r="D466" s="3" t="s">
        <v>3206</v>
      </c>
      <c r="E466" s="3" t="s">
        <v>3207</v>
      </c>
      <c r="F466" s="3" t="s">
        <v>1710</v>
      </c>
      <c r="G466" s="3">
        <v>1</v>
      </c>
      <c r="H466" s="3">
        <v>0</v>
      </c>
      <c r="I466" s="3">
        <v>1</v>
      </c>
      <c r="J466" s="3">
        <v>0</v>
      </c>
      <c r="K466" s="3">
        <v>0</v>
      </c>
      <c r="L466" s="3">
        <v>0</v>
      </c>
      <c r="M466" s="3">
        <v>0</v>
      </c>
      <c r="N466" s="3" t="s">
        <v>1711</v>
      </c>
      <c r="O466" s="3">
        <v>0</v>
      </c>
      <c r="P466" s="3">
        <v>0</v>
      </c>
      <c r="Q466" s="3">
        <v>0</v>
      </c>
      <c r="R466" s="3">
        <v>0</v>
      </c>
      <c r="S466" s="3">
        <v>3</v>
      </c>
      <c r="T466" s="3">
        <v>7</v>
      </c>
      <c r="U466" s="3">
        <v>10</v>
      </c>
      <c r="V466" s="3">
        <v>25</v>
      </c>
      <c r="W466" s="3"/>
      <c r="X466" s="3">
        <v>19.99</v>
      </c>
      <c r="Y466" s="3">
        <v>19.99</v>
      </c>
      <c r="Z466" s="3">
        <v>19.99</v>
      </c>
      <c r="AA466" s="3">
        <v>0</v>
      </c>
      <c r="AB466" s="3" t="s">
        <v>1713</v>
      </c>
      <c r="AC466" s="3">
        <v>3</v>
      </c>
      <c r="AD466" s="3">
        <v>19.99</v>
      </c>
      <c r="AE466" s="3">
        <v>0</v>
      </c>
      <c r="AF466" s="3">
        <v>0</v>
      </c>
      <c r="AG466" s="3">
        <v>0</v>
      </c>
      <c r="AH466" s="3">
        <v>10</v>
      </c>
      <c r="AI466" s="3" t="s">
        <v>3208</v>
      </c>
      <c r="AJ466" s="3" t="s">
        <v>1715</v>
      </c>
    </row>
    <row r="467" spans="1:36">
      <c r="A467" s="4">
        <v>43277</v>
      </c>
      <c r="B467" s="3" t="s">
        <v>3209</v>
      </c>
      <c r="C467" s="3" t="s">
        <v>3210</v>
      </c>
      <c r="D467" s="3" t="s">
        <v>3211</v>
      </c>
      <c r="E467" s="3" t="s">
        <v>2030</v>
      </c>
      <c r="F467" s="3" t="s">
        <v>1710</v>
      </c>
      <c r="G467" s="3">
        <v>1</v>
      </c>
      <c r="H467" s="3">
        <v>0</v>
      </c>
      <c r="I467" s="3">
        <v>1</v>
      </c>
      <c r="J467" s="3">
        <v>0</v>
      </c>
      <c r="K467" s="3">
        <v>0</v>
      </c>
      <c r="L467" s="3">
        <v>0</v>
      </c>
      <c r="M467" s="3">
        <v>0</v>
      </c>
      <c r="N467" s="3" t="s">
        <v>1711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1</v>
      </c>
      <c r="U467" s="3">
        <v>1</v>
      </c>
      <c r="V467" s="3">
        <v>1</v>
      </c>
      <c r="W467" s="3" t="s">
        <v>1720</v>
      </c>
      <c r="X467" s="3">
        <v>17.99</v>
      </c>
      <c r="Y467" s="3">
        <v>17.99</v>
      </c>
      <c r="Z467" s="3">
        <v>17.99</v>
      </c>
      <c r="AA467" s="3">
        <v>0</v>
      </c>
      <c r="AB467" s="3" t="s">
        <v>1721</v>
      </c>
      <c r="AC467" s="3">
        <v>0</v>
      </c>
      <c r="AD467" s="3">
        <v>0</v>
      </c>
      <c r="AE467" s="3">
        <v>0</v>
      </c>
      <c r="AF467" s="3">
        <v>0</v>
      </c>
      <c r="AG467" s="3">
        <v>0</v>
      </c>
      <c r="AH467" s="3">
        <v>1</v>
      </c>
      <c r="AI467" s="3" t="s">
        <v>2031</v>
      </c>
      <c r="AJ467" s="3" t="s">
        <v>1715</v>
      </c>
    </row>
    <row r="468" spans="1:36">
      <c r="A468" s="4">
        <v>43277</v>
      </c>
      <c r="B468" s="3" t="s">
        <v>3212</v>
      </c>
      <c r="C468" s="3" t="s">
        <v>3213</v>
      </c>
      <c r="D468" s="3" t="s">
        <v>3214</v>
      </c>
      <c r="E468" s="3" t="s">
        <v>2324</v>
      </c>
      <c r="F468" s="3" t="s">
        <v>1710</v>
      </c>
      <c r="G468" s="3">
        <v>10</v>
      </c>
      <c r="H468" s="3">
        <v>0</v>
      </c>
      <c r="I468" s="3">
        <v>5</v>
      </c>
      <c r="J468" s="3">
        <v>5</v>
      </c>
      <c r="K468" s="3">
        <v>0</v>
      </c>
      <c r="L468" s="3">
        <v>0</v>
      </c>
      <c r="M468" s="3">
        <v>0</v>
      </c>
      <c r="N468" s="3" t="s">
        <v>1711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1</v>
      </c>
      <c r="U468" s="3">
        <v>2</v>
      </c>
      <c r="V468" s="3">
        <v>7</v>
      </c>
      <c r="W468" s="3"/>
      <c r="X468" s="3">
        <v>27.99</v>
      </c>
      <c r="Y468" s="3">
        <v>27.99</v>
      </c>
      <c r="Z468" s="3">
        <v>25.99</v>
      </c>
      <c r="AA468" s="3">
        <v>0</v>
      </c>
      <c r="AB468" s="3" t="s">
        <v>1713</v>
      </c>
      <c r="AC468" s="3">
        <v>10</v>
      </c>
      <c r="AD468" s="3">
        <v>27.99</v>
      </c>
      <c r="AE468" s="3">
        <v>0</v>
      </c>
      <c r="AF468" s="3">
        <v>0</v>
      </c>
      <c r="AG468" s="3">
        <v>0</v>
      </c>
      <c r="AH468" s="3">
        <v>0.7</v>
      </c>
      <c r="AI468" s="3" t="s">
        <v>1831</v>
      </c>
      <c r="AJ468" s="3" t="s">
        <v>1715</v>
      </c>
    </row>
    <row r="469" spans="1:36">
      <c r="A469" s="4">
        <v>43277</v>
      </c>
      <c r="B469" s="3" t="s">
        <v>3215</v>
      </c>
      <c r="C469" s="3" t="s">
        <v>3216</v>
      </c>
      <c r="D469" s="3" t="s">
        <v>3217</v>
      </c>
      <c r="E469" s="3" t="s">
        <v>2364</v>
      </c>
      <c r="F469" s="3" t="s">
        <v>1710</v>
      </c>
      <c r="G469" s="3">
        <v>3</v>
      </c>
      <c r="H469" s="3">
        <v>0</v>
      </c>
      <c r="I469" s="3">
        <v>0</v>
      </c>
      <c r="J469" s="3">
        <v>1</v>
      </c>
      <c r="K469" s="3">
        <v>2</v>
      </c>
      <c r="L469" s="3">
        <v>0</v>
      </c>
      <c r="M469" s="3">
        <v>0</v>
      </c>
      <c r="N469" s="3" t="s">
        <v>1711</v>
      </c>
      <c r="O469" s="3">
        <v>2</v>
      </c>
      <c r="P469" s="3">
        <v>1.12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1720</v>
      </c>
      <c r="X469" s="3">
        <v>19.99</v>
      </c>
      <c r="Y469" s="3">
        <v>19.99</v>
      </c>
      <c r="Z469" s="3">
        <v>19.99</v>
      </c>
      <c r="AA469" s="3">
        <v>0</v>
      </c>
      <c r="AB469" s="3" t="s">
        <v>1721</v>
      </c>
      <c r="AC469" s="3">
        <v>0</v>
      </c>
      <c r="AD469" s="3">
        <v>17.88</v>
      </c>
      <c r="AE469" s="3">
        <v>203</v>
      </c>
      <c r="AF469" s="3">
        <v>0</v>
      </c>
      <c r="AG469" s="3">
        <v>46.601175</v>
      </c>
      <c r="AH469" s="3">
        <v>0</v>
      </c>
      <c r="AI469" s="3" t="s">
        <v>2365</v>
      </c>
      <c r="AJ469" s="3" t="s">
        <v>1715</v>
      </c>
    </row>
    <row r="470" spans="1:36">
      <c r="A470" s="4">
        <v>43277</v>
      </c>
      <c r="B470" s="3" t="s">
        <v>3218</v>
      </c>
      <c r="C470" s="3" t="s">
        <v>3219</v>
      </c>
      <c r="D470" s="3" t="s">
        <v>3220</v>
      </c>
      <c r="E470" s="3" t="s">
        <v>3221</v>
      </c>
      <c r="F470" s="3" t="s">
        <v>1710</v>
      </c>
      <c r="G470" s="3">
        <v>7</v>
      </c>
      <c r="H470" s="3">
        <v>0</v>
      </c>
      <c r="I470" s="3">
        <v>0</v>
      </c>
      <c r="J470" s="3">
        <v>0</v>
      </c>
      <c r="K470" s="3">
        <v>7</v>
      </c>
      <c r="L470" s="3">
        <v>0</v>
      </c>
      <c r="M470" s="3">
        <v>0</v>
      </c>
      <c r="N470" s="3" t="s">
        <v>1711</v>
      </c>
      <c r="O470" s="3">
        <v>7</v>
      </c>
      <c r="P470" s="3">
        <v>6.78</v>
      </c>
      <c r="Q470" s="3">
        <v>0</v>
      </c>
      <c r="R470" s="3">
        <v>0</v>
      </c>
      <c r="S470" s="3">
        <v>0</v>
      </c>
      <c r="T470" s="3">
        <v>1</v>
      </c>
      <c r="U470" s="3">
        <v>1</v>
      </c>
      <c r="V470" s="3">
        <v>2</v>
      </c>
      <c r="W470" s="3" t="s">
        <v>1712</v>
      </c>
      <c r="X470" s="3">
        <v>12.99</v>
      </c>
      <c r="Y470" s="3">
        <v>12.99</v>
      </c>
      <c r="Z470" s="3">
        <v>12.99</v>
      </c>
      <c r="AA470" s="3">
        <v>0</v>
      </c>
      <c r="AB470" s="3" t="s">
        <v>1732</v>
      </c>
      <c r="AC470" s="3">
        <v>0</v>
      </c>
      <c r="AD470" s="3">
        <v>11.07</v>
      </c>
      <c r="AE470" s="3">
        <v>231</v>
      </c>
      <c r="AF470" s="3">
        <v>0</v>
      </c>
      <c r="AG470" s="3">
        <v>100.324767</v>
      </c>
      <c r="AH470" s="3">
        <v>0.25</v>
      </c>
      <c r="AI470" s="3" t="s">
        <v>2821</v>
      </c>
      <c r="AJ470" s="3" t="s">
        <v>1783</v>
      </c>
    </row>
    <row r="471" spans="1:36">
      <c r="A471" s="4">
        <v>43277</v>
      </c>
      <c r="B471" s="3" t="s">
        <v>3222</v>
      </c>
      <c r="C471" s="3" t="s">
        <v>3223</v>
      </c>
      <c r="D471" s="3" t="s">
        <v>3224</v>
      </c>
      <c r="E471" s="3" t="s">
        <v>3225</v>
      </c>
      <c r="F471" s="3" t="s">
        <v>1710</v>
      </c>
      <c r="G471" s="3">
        <v>8</v>
      </c>
      <c r="H471" s="3">
        <v>0</v>
      </c>
      <c r="I471" s="3">
        <v>1</v>
      </c>
      <c r="J471" s="3">
        <v>0</v>
      </c>
      <c r="K471" s="3">
        <v>0</v>
      </c>
      <c r="L471" s="3">
        <v>7</v>
      </c>
      <c r="M471" s="3">
        <v>0</v>
      </c>
      <c r="N471" s="3" t="s">
        <v>1711</v>
      </c>
      <c r="O471" s="3">
        <v>1</v>
      </c>
      <c r="P471" s="3">
        <v>0.5</v>
      </c>
      <c r="Q471" s="3">
        <v>6</v>
      </c>
      <c r="R471" s="3">
        <v>6.02</v>
      </c>
      <c r="S471" s="3">
        <v>0</v>
      </c>
      <c r="T471" s="3">
        <v>1</v>
      </c>
      <c r="U471" s="3">
        <v>2</v>
      </c>
      <c r="V471" s="3">
        <v>2</v>
      </c>
      <c r="W471" s="3" t="s">
        <v>1720</v>
      </c>
      <c r="X471" s="3">
        <v>13.88</v>
      </c>
      <c r="Y471" s="3">
        <v>13.88</v>
      </c>
      <c r="Z471" s="3">
        <v>13.86</v>
      </c>
      <c r="AA471" s="3">
        <v>0</v>
      </c>
      <c r="AB471" s="3" t="s">
        <v>1721</v>
      </c>
      <c r="AC471" s="3">
        <v>9</v>
      </c>
      <c r="AD471" s="3">
        <v>13.88</v>
      </c>
      <c r="AE471" s="3">
        <v>0</v>
      </c>
      <c r="AF471" s="3">
        <v>0</v>
      </c>
      <c r="AG471" s="3">
        <v>0</v>
      </c>
      <c r="AH471" s="3">
        <v>0.205128205128205</v>
      </c>
      <c r="AI471" s="3" t="s">
        <v>3226</v>
      </c>
      <c r="AJ471" s="3" t="s">
        <v>1715</v>
      </c>
    </row>
    <row r="472" spans="1:36">
      <c r="A472" s="4">
        <v>43277</v>
      </c>
      <c r="B472" s="3" t="s">
        <v>687</v>
      </c>
      <c r="C472" s="3" t="s">
        <v>688</v>
      </c>
      <c r="D472" s="3" t="s">
        <v>689</v>
      </c>
      <c r="E472" s="3" t="s">
        <v>690</v>
      </c>
      <c r="F472" s="3" t="s">
        <v>1710</v>
      </c>
      <c r="G472" s="3">
        <v>23</v>
      </c>
      <c r="H472" s="3">
        <v>0</v>
      </c>
      <c r="I472" s="3">
        <v>23</v>
      </c>
      <c r="J472" s="3">
        <v>0</v>
      </c>
      <c r="K472" s="3">
        <v>0</v>
      </c>
      <c r="L472" s="3">
        <v>0</v>
      </c>
      <c r="M472" s="3">
        <v>0</v>
      </c>
      <c r="N472" s="3" t="s">
        <v>1711</v>
      </c>
      <c r="O472" s="3">
        <v>0</v>
      </c>
      <c r="P472" s="3">
        <v>0</v>
      </c>
      <c r="Q472" s="3">
        <v>0</v>
      </c>
      <c r="R472" s="3">
        <v>0</v>
      </c>
      <c r="S472" s="3">
        <v>7</v>
      </c>
      <c r="T472" s="3">
        <v>22</v>
      </c>
      <c r="U472" s="3">
        <v>36</v>
      </c>
      <c r="V472" s="3">
        <v>50</v>
      </c>
      <c r="W472" s="3"/>
      <c r="X472" s="3">
        <v>28.58</v>
      </c>
      <c r="Y472" s="3">
        <v>28.58</v>
      </c>
      <c r="Z472" s="3">
        <v>28</v>
      </c>
      <c r="AA472" s="3">
        <v>0</v>
      </c>
      <c r="AB472" s="3" t="s">
        <v>1713</v>
      </c>
      <c r="AC472" s="3">
        <v>23</v>
      </c>
      <c r="AD472" s="3">
        <v>28.58</v>
      </c>
      <c r="AE472" s="3">
        <v>0</v>
      </c>
      <c r="AF472" s="3">
        <v>0</v>
      </c>
      <c r="AG472" s="3">
        <v>0</v>
      </c>
      <c r="AH472" s="3">
        <v>2.98507462686567</v>
      </c>
      <c r="AI472" s="3" t="s">
        <v>3227</v>
      </c>
      <c r="AJ472" s="3" t="s">
        <v>1715</v>
      </c>
    </row>
    <row r="473" spans="1:36">
      <c r="A473" s="4">
        <v>43277</v>
      </c>
      <c r="B473" s="3" t="s">
        <v>775</v>
      </c>
      <c r="C473" s="3" t="s">
        <v>776</v>
      </c>
      <c r="D473" s="3" t="s">
        <v>777</v>
      </c>
      <c r="E473" s="3" t="s">
        <v>778</v>
      </c>
      <c r="F473" s="3" t="s">
        <v>1710</v>
      </c>
      <c r="G473" s="3">
        <v>77</v>
      </c>
      <c r="H473" s="3">
        <v>0</v>
      </c>
      <c r="I473" s="3">
        <v>77</v>
      </c>
      <c r="J473" s="3">
        <v>0</v>
      </c>
      <c r="K473" s="3">
        <v>0</v>
      </c>
      <c r="L473" s="3">
        <v>0</v>
      </c>
      <c r="M473" s="3">
        <v>0</v>
      </c>
      <c r="N473" s="3" t="s">
        <v>1711</v>
      </c>
      <c r="O473" s="3">
        <v>0</v>
      </c>
      <c r="P473" s="3">
        <v>0</v>
      </c>
      <c r="Q473" s="3">
        <v>0</v>
      </c>
      <c r="R473" s="3">
        <v>0</v>
      </c>
      <c r="S473" s="3">
        <v>9</v>
      </c>
      <c r="T473" s="3">
        <v>35</v>
      </c>
      <c r="U473" s="3">
        <v>91</v>
      </c>
      <c r="V473" s="3">
        <v>162</v>
      </c>
      <c r="W473" s="3"/>
      <c r="X473" s="3">
        <v>42.88</v>
      </c>
      <c r="Y473" s="3">
        <v>18.99</v>
      </c>
      <c r="Z473" s="3">
        <v>16</v>
      </c>
      <c r="AA473" s="3">
        <v>0</v>
      </c>
      <c r="AB473" s="3" t="s">
        <v>1713</v>
      </c>
      <c r="AC473" s="3">
        <v>76</v>
      </c>
      <c r="AD473" s="3">
        <v>18.99</v>
      </c>
      <c r="AE473" s="3">
        <v>0</v>
      </c>
      <c r="AF473" s="3">
        <v>0</v>
      </c>
      <c r="AG473" s="3">
        <v>0</v>
      </c>
      <c r="AH473" s="3">
        <v>2.09032258064516</v>
      </c>
      <c r="AI473" s="3" t="s">
        <v>1794</v>
      </c>
      <c r="AJ473" s="3" t="s">
        <v>1715</v>
      </c>
    </row>
    <row r="474" spans="1:36">
      <c r="A474" s="4">
        <v>43277</v>
      </c>
      <c r="B474" s="3" t="s">
        <v>663</v>
      </c>
      <c r="C474" s="3" t="s">
        <v>664</v>
      </c>
      <c r="D474" s="3" t="s">
        <v>665</v>
      </c>
      <c r="E474" s="3" t="s">
        <v>666</v>
      </c>
      <c r="F474" s="3" t="s">
        <v>1710</v>
      </c>
      <c r="G474" s="3">
        <v>36</v>
      </c>
      <c r="H474" s="3">
        <v>0</v>
      </c>
      <c r="I474" s="3">
        <v>36</v>
      </c>
      <c r="J474" s="3">
        <v>0</v>
      </c>
      <c r="K474" s="3">
        <v>0</v>
      </c>
      <c r="L474" s="3">
        <v>0</v>
      </c>
      <c r="M474" s="3">
        <v>0</v>
      </c>
      <c r="N474" s="3" t="s">
        <v>1711</v>
      </c>
      <c r="O474" s="3">
        <v>0</v>
      </c>
      <c r="P474" s="3">
        <v>0</v>
      </c>
      <c r="Q474" s="3">
        <v>0</v>
      </c>
      <c r="R474" s="3">
        <v>0</v>
      </c>
      <c r="S474" s="3">
        <v>5</v>
      </c>
      <c r="T474" s="3">
        <v>14</v>
      </c>
      <c r="U474" s="3">
        <v>17</v>
      </c>
      <c r="V474" s="3">
        <v>31</v>
      </c>
      <c r="W474" s="3"/>
      <c r="X474" s="3">
        <v>38</v>
      </c>
      <c r="Y474" s="3">
        <v>28.58</v>
      </c>
      <c r="Z474" s="3">
        <v>28</v>
      </c>
      <c r="AA474" s="3">
        <v>0</v>
      </c>
      <c r="AB474" s="3" t="s">
        <v>1713</v>
      </c>
      <c r="AC474" s="3">
        <v>18</v>
      </c>
      <c r="AD474" s="3">
        <v>28.58</v>
      </c>
      <c r="AE474" s="3">
        <v>0</v>
      </c>
      <c r="AF474" s="3">
        <v>0</v>
      </c>
      <c r="AG474" s="3">
        <v>0</v>
      </c>
      <c r="AH474" s="3">
        <v>2.81818181818181</v>
      </c>
      <c r="AI474" s="3" t="s">
        <v>1751</v>
      </c>
      <c r="AJ474" s="3" t="s">
        <v>1715</v>
      </c>
    </row>
    <row r="475" spans="1:36">
      <c r="A475" s="4">
        <v>43277</v>
      </c>
      <c r="B475" s="3" t="s">
        <v>3228</v>
      </c>
      <c r="C475" s="3" t="s">
        <v>3229</v>
      </c>
      <c r="D475" s="3" t="s">
        <v>3230</v>
      </c>
      <c r="E475" s="3" t="s">
        <v>1121</v>
      </c>
      <c r="F475" s="3" t="s">
        <v>1710</v>
      </c>
      <c r="G475" s="3">
        <v>14</v>
      </c>
      <c r="H475" s="3">
        <v>0</v>
      </c>
      <c r="I475" s="3">
        <v>14</v>
      </c>
      <c r="J475" s="3">
        <v>0</v>
      </c>
      <c r="K475" s="3">
        <v>0</v>
      </c>
      <c r="L475" s="3">
        <v>0</v>
      </c>
      <c r="M475" s="3">
        <v>0</v>
      </c>
      <c r="N475" s="3" t="s">
        <v>1711</v>
      </c>
      <c r="O475" s="3">
        <v>0</v>
      </c>
      <c r="P475" s="3">
        <v>0</v>
      </c>
      <c r="Q475" s="3">
        <v>0</v>
      </c>
      <c r="R475" s="3">
        <v>0</v>
      </c>
      <c r="S475" s="3">
        <v>4</v>
      </c>
      <c r="T475" s="3">
        <v>21</v>
      </c>
      <c r="U475" s="3">
        <v>35</v>
      </c>
      <c r="V475" s="3">
        <v>35</v>
      </c>
      <c r="W475" s="3"/>
      <c r="X475" s="3">
        <v>39.99</v>
      </c>
      <c r="Y475" s="3">
        <v>21.99</v>
      </c>
      <c r="Z475" s="3">
        <v>21.99</v>
      </c>
      <c r="AA475" s="3">
        <v>0</v>
      </c>
      <c r="AB475" s="3" t="s">
        <v>1713</v>
      </c>
      <c r="AC475" s="3">
        <v>4</v>
      </c>
      <c r="AD475" s="3">
        <v>21.99</v>
      </c>
      <c r="AE475" s="3">
        <v>0</v>
      </c>
      <c r="AF475" s="3">
        <v>0</v>
      </c>
      <c r="AG475" s="3">
        <v>0</v>
      </c>
      <c r="AH475" s="3">
        <v>4.56521739130434</v>
      </c>
      <c r="AI475" s="3" t="s">
        <v>1890</v>
      </c>
      <c r="AJ475" s="3" t="s">
        <v>1715</v>
      </c>
    </row>
    <row r="476" spans="1:36">
      <c r="A476" s="4">
        <v>43277</v>
      </c>
      <c r="B476" s="3" t="s">
        <v>3231</v>
      </c>
      <c r="C476" s="3" t="s">
        <v>3232</v>
      </c>
      <c r="D476" s="3" t="s">
        <v>3233</v>
      </c>
      <c r="E476" s="3" t="s">
        <v>3234</v>
      </c>
      <c r="F476" s="3" t="s">
        <v>1710</v>
      </c>
      <c r="G476" s="3">
        <v>5</v>
      </c>
      <c r="H476" s="3">
        <v>0</v>
      </c>
      <c r="I476" s="3">
        <v>0</v>
      </c>
      <c r="J476" s="3">
        <v>5</v>
      </c>
      <c r="K476" s="3">
        <v>0</v>
      </c>
      <c r="L476" s="3">
        <v>0</v>
      </c>
      <c r="M476" s="3">
        <v>0</v>
      </c>
      <c r="N476" s="3" t="s">
        <v>1711</v>
      </c>
      <c r="O476" s="3">
        <v>3</v>
      </c>
      <c r="P476" s="3">
        <v>9.23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 t="s">
        <v>1720</v>
      </c>
      <c r="X476" s="3">
        <v>21.99</v>
      </c>
      <c r="Y476" s="3">
        <v>21.99</v>
      </c>
      <c r="Z476" s="3">
        <v>21.99</v>
      </c>
      <c r="AA476" s="3">
        <v>0</v>
      </c>
      <c r="AB476" s="3" t="s">
        <v>1721</v>
      </c>
      <c r="AC476" s="3">
        <v>5</v>
      </c>
      <c r="AD476" s="3">
        <v>21.99</v>
      </c>
      <c r="AE476" s="3">
        <v>0</v>
      </c>
      <c r="AF476" s="3">
        <v>0</v>
      </c>
      <c r="AG476" s="3">
        <v>0</v>
      </c>
      <c r="AH476" s="3">
        <v>0</v>
      </c>
      <c r="AI476" s="3" t="s">
        <v>1722</v>
      </c>
      <c r="AJ476" s="3" t="s">
        <v>1715</v>
      </c>
    </row>
    <row r="477" spans="1:36">
      <c r="A477" s="4">
        <v>43277</v>
      </c>
      <c r="B477" s="3" t="s">
        <v>3235</v>
      </c>
      <c r="C477" s="3" t="s">
        <v>3236</v>
      </c>
      <c r="D477" s="3" t="s">
        <v>3237</v>
      </c>
      <c r="E477" s="3" t="s">
        <v>3238</v>
      </c>
      <c r="F477" s="3" t="s">
        <v>1710</v>
      </c>
      <c r="G477" s="3">
        <v>3</v>
      </c>
      <c r="H477" s="3">
        <v>0</v>
      </c>
      <c r="I477" s="3">
        <v>3</v>
      </c>
      <c r="J477" s="3">
        <v>0</v>
      </c>
      <c r="K477" s="3">
        <v>0</v>
      </c>
      <c r="L477" s="3">
        <v>0</v>
      </c>
      <c r="M477" s="3">
        <v>0</v>
      </c>
      <c r="N477" s="3" t="s">
        <v>1711</v>
      </c>
      <c r="O477" s="3">
        <v>0</v>
      </c>
      <c r="P477" s="3">
        <v>0</v>
      </c>
      <c r="Q477" s="3">
        <v>0</v>
      </c>
      <c r="R477" s="3">
        <v>0</v>
      </c>
      <c r="S477" s="3">
        <v>4</v>
      </c>
      <c r="T477" s="3">
        <v>17</v>
      </c>
      <c r="U477" s="3">
        <v>17</v>
      </c>
      <c r="V477" s="3">
        <v>17</v>
      </c>
      <c r="W477" s="3"/>
      <c r="X477" s="3">
        <v>19.99</v>
      </c>
      <c r="Y477" s="3">
        <v>19.99</v>
      </c>
      <c r="Z477" s="3">
        <v>19.99</v>
      </c>
      <c r="AA477" s="3">
        <v>0</v>
      </c>
      <c r="AB477" s="3" t="s">
        <v>1713</v>
      </c>
      <c r="AC477" s="3">
        <v>6</v>
      </c>
      <c r="AD477" s="3">
        <v>19.99</v>
      </c>
      <c r="AE477" s="3">
        <v>0</v>
      </c>
      <c r="AF477" s="3">
        <v>0</v>
      </c>
      <c r="AG477" s="3">
        <v>0</v>
      </c>
      <c r="AH477" s="3">
        <v>1.78947368421052</v>
      </c>
      <c r="AI477" s="3" t="s">
        <v>1919</v>
      </c>
      <c r="AJ477" s="3" t="s">
        <v>1715</v>
      </c>
    </row>
    <row r="478" spans="1:36">
      <c r="A478" s="4">
        <v>43277</v>
      </c>
      <c r="B478" s="3" t="s">
        <v>3239</v>
      </c>
      <c r="C478" s="3" t="s">
        <v>3240</v>
      </c>
      <c r="D478" s="3" t="s">
        <v>3241</v>
      </c>
      <c r="E478" s="3" t="s">
        <v>3242</v>
      </c>
      <c r="F478" s="3" t="s">
        <v>1710</v>
      </c>
      <c r="G478" s="3">
        <v>1</v>
      </c>
      <c r="H478" s="3">
        <v>0</v>
      </c>
      <c r="I478" s="3">
        <v>1</v>
      </c>
      <c r="J478" s="3">
        <v>0</v>
      </c>
      <c r="K478" s="3">
        <v>0</v>
      </c>
      <c r="L478" s="3">
        <v>0</v>
      </c>
      <c r="M478" s="3">
        <v>0</v>
      </c>
      <c r="N478" s="3" t="s">
        <v>1711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1</v>
      </c>
      <c r="U478" s="3">
        <v>6</v>
      </c>
      <c r="V478" s="3">
        <v>7</v>
      </c>
      <c r="W478" s="3"/>
      <c r="X478" s="3">
        <v>15.99</v>
      </c>
      <c r="Y478" s="3">
        <v>15.99</v>
      </c>
      <c r="Z478" s="3">
        <v>15.99</v>
      </c>
      <c r="AA478" s="3">
        <v>0</v>
      </c>
      <c r="AB478" s="3" t="s">
        <v>1713</v>
      </c>
      <c r="AC478" s="3">
        <v>1</v>
      </c>
      <c r="AD478" s="3">
        <v>15.99</v>
      </c>
      <c r="AE478" s="3">
        <v>0</v>
      </c>
      <c r="AF478" s="3">
        <v>0</v>
      </c>
      <c r="AG478" s="3">
        <v>0</v>
      </c>
      <c r="AH478" s="3">
        <v>3.11111111111111</v>
      </c>
      <c r="AI478" s="3" t="s">
        <v>2542</v>
      </c>
      <c r="AJ478" s="3" t="s">
        <v>1715</v>
      </c>
    </row>
    <row r="479" spans="1:36">
      <c r="A479" s="4">
        <v>43277</v>
      </c>
      <c r="B479" s="3" t="s">
        <v>3243</v>
      </c>
      <c r="C479" s="3" t="s">
        <v>3244</v>
      </c>
      <c r="D479" s="3" t="s">
        <v>3245</v>
      </c>
      <c r="E479" s="3" t="s">
        <v>1755</v>
      </c>
      <c r="F479" s="3" t="s">
        <v>1710</v>
      </c>
      <c r="G479" s="3">
        <v>10</v>
      </c>
      <c r="H479" s="3">
        <v>0</v>
      </c>
      <c r="I479" s="3">
        <v>10</v>
      </c>
      <c r="J479" s="3">
        <v>0</v>
      </c>
      <c r="K479" s="3">
        <v>0</v>
      </c>
      <c r="L479" s="3">
        <v>0</v>
      </c>
      <c r="M479" s="3">
        <v>0</v>
      </c>
      <c r="N479" s="3" t="s">
        <v>1711</v>
      </c>
      <c r="O479" s="3">
        <v>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 t="s">
        <v>1720</v>
      </c>
      <c r="X479" s="3">
        <v>15.99</v>
      </c>
      <c r="Y479" s="3">
        <v>15.99</v>
      </c>
      <c r="Z479" s="3">
        <v>15.99</v>
      </c>
      <c r="AA479" s="3">
        <v>0</v>
      </c>
      <c r="AB479" s="3" t="s">
        <v>1721</v>
      </c>
      <c r="AC479" s="3">
        <v>10</v>
      </c>
      <c r="AD479" s="3">
        <v>15.99</v>
      </c>
      <c r="AE479" s="3">
        <v>0</v>
      </c>
      <c r="AF479" s="3">
        <v>0</v>
      </c>
      <c r="AG479" s="3">
        <v>0</v>
      </c>
      <c r="AH479" s="3">
        <v>0</v>
      </c>
      <c r="AI479" s="3" t="s">
        <v>1756</v>
      </c>
      <c r="AJ479" s="3" t="s">
        <v>1715</v>
      </c>
    </row>
    <row r="480" spans="1:36">
      <c r="A480" s="4">
        <v>43277</v>
      </c>
      <c r="B480" s="3" t="s">
        <v>3246</v>
      </c>
      <c r="C480" s="3" t="s">
        <v>3247</v>
      </c>
      <c r="D480" s="3" t="s">
        <v>3248</v>
      </c>
      <c r="E480" s="3" t="s">
        <v>3249</v>
      </c>
      <c r="F480" s="3" t="s">
        <v>1710</v>
      </c>
      <c r="G480" s="3">
        <v>12</v>
      </c>
      <c r="H480" s="3">
        <v>0</v>
      </c>
      <c r="I480" s="3">
        <v>12</v>
      </c>
      <c r="J480" s="3">
        <v>0</v>
      </c>
      <c r="K480" s="3">
        <v>0</v>
      </c>
      <c r="L480" s="3">
        <v>0</v>
      </c>
      <c r="M480" s="3">
        <v>0</v>
      </c>
      <c r="N480" s="3" t="s">
        <v>1711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5</v>
      </c>
      <c r="U480" s="3">
        <v>15</v>
      </c>
      <c r="V480" s="3">
        <v>35</v>
      </c>
      <c r="W480" s="3" t="s">
        <v>1712</v>
      </c>
      <c r="X480" s="3">
        <v>27.99</v>
      </c>
      <c r="Y480" s="3">
        <v>27.99</v>
      </c>
      <c r="Z480" s="3">
        <v>25.99</v>
      </c>
      <c r="AA480" s="3">
        <v>0</v>
      </c>
      <c r="AB480" s="3" t="s">
        <v>1713</v>
      </c>
      <c r="AC480" s="3">
        <v>11</v>
      </c>
      <c r="AD480" s="3">
        <v>27.99</v>
      </c>
      <c r="AE480" s="3">
        <v>0</v>
      </c>
      <c r="AF480" s="3">
        <v>0</v>
      </c>
      <c r="AG480" s="3">
        <v>0</v>
      </c>
      <c r="AH480" s="3">
        <v>2.02898550724637</v>
      </c>
      <c r="AI480" s="3" t="s">
        <v>1831</v>
      </c>
      <c r="AJ480" s="3" t="s">
        <v>1715</v>
      </c>
    </row>
    <row r="481" spans="1:36">
      <c r="A481" s="4">
        <v>43277</v>
      </c>
      <c r="B481" s="3" t="s">
        <v>3250</v>
      </c>
      <c r="C481" s="3" t="s">
        <v>3251</v>
      </c>
      <c r="D481" s="3" t="s">
        <v>3252</v>
      </c>
      <c r="E481" s="3" t="s">
        <v>3253</v>
      </c>
      <c r="F481" s="3" t="s">
        <v>1710</v>
      </c>
      <c r="G481" s="3">
        <v>14</v>
      </c>
      <c r="H481" s="3">
        <v>0</v>
      </c>
      <c r="I481" s="3">
        <v>14</v>
      </c>
      <c r="J481" s="3">
        <v>0</v>
      </c>
      <c r="K481" s="3">
        <v>0</v>
      </c>
      <c r="L481" s="3">
        <v>0</v>
      </c>
      <c r="M481" s="3">
        <v>0</v>
      </c>
      <c r="N481" s="3" t="s">
        <v>1711</v>
      </c>
      <c r="O481" s="3">
        <v>0</v>
      </c>
      <c r="P481" s="3">
        <v>0</v>
      </c>
      <c r="Q481" s="3">
        <v>0</v>
      </c>
      <c r="R481" s="3">
        <v>0</v>
      </c>
      <c r="S481" s="3">
        <v>6</v>
      </c>
      <c r="T481" s="3">
        <v>22</v>
      </c>
      <c r="U481" s="3">
        <v>34</v>
      </c>
      <c r="V481" s="3">
        <v>43</v>
      </c>
      <c r="W481" s="3"/>
      <c r="X481" s="3">
        <v>48.58</v>
      </c>
      <c r="Y481" s="3">
        <v>28.99</v>
      </c>
      <c r="Z481" s="3">
        <v>28.99</v>
      </c>
      <c r="AA481" s="3">
        <v>0</v>
      </c>
      <c r="AB481" s="3" t="s">
        <v>1713</v>
      </c>
      <c r="AC481" s="3">
        <v>16</v>
      </c>
      <c r="AD481" s="3">
        <v>28.99</v>
      </c>
      <c r="AE481" s="3">
        <v>0</v>
      </c>
      <c r="AF481" s="3">
        <v>0</v>
      </c>
      <c r="AG481" s="3">
        <v>0</v>
      </c>
      <c r="AH481" s="3">
        <v>6.61538461538461</v>
      </c>
      <c r="AI481" s="3" t="s">
        <v>1784</v>
      </c>
      <c r="AJ481" s="3" t="s">
        <v>1715</v>
      </c>
    </row>
    <row r="482" spans="1:36">
      <c r="A482" s="4">
        <v>43277</v>
      </c>
      <c r="B482" s="3" t="s">
        <v>1465</v>
      </c>
      <c r="C482" s="3" t="s">
        <v>1466</v>
      </c>
      <c r="D482" s="3" t="s">
        <v>1467</v>
      </c>
      <c r="E482" s="3" t="s">
        <v>1468</v>
      </c>
      <c r="F482" s="3" t="s">
        <v>1710</v>
      </c>
      <c r="G482" s="3">
        <v>42</v>
      </c>
      <c r="H482" s="3">
        <v>0</v>
      </c>
      <c r="I482" s="3">
        <v>42</v>
      </c>
      <c r="J482" s="3">
        <v>0</v>
      </c>
      <c r="K482" s="3">
        <v>0</v>
      </c>
      <c r="L482" s="3">
        <v>0</v>
      </c>
      <c r="M482" s="3">
        <v>0</v>
      </c>
      <c r="N482" s="3" t="s">
        <v>1711</v>
      </c>
      <c r="O482" s="3">
        <v>0</v>
      </c>
      <c r="P482" s="3">
        <v>0</v>
      </c>
      <c r="Q482" s="3">
        <v>0</v>
      </c>
      <c r="R482" s="3">
        <v>0</v>
      </c>
      <c r="S482" s="3">
        <v>8</v>
      </c>
      <c r="T482" s="3">
        <v>75</v>
      </c>
      <c r="U482" s="3">
        <v>140</v>
      </c>
      <c r="V482" s="3">
        <v>189</v>
      </c>
      <c r="W482" s="3"/>
      <c r="X482" s="3">
        <v>38</v>
      </c>
      <c r="Y482" s="3">
        <v>25.58</v>
      </c>
      <c r="Z482" s="3">
        <v>25.58</v>
      </c>
      <c r="AA482" s="3">
        <v>0</v>
      </c>
      <c r="AB482" s="3" t="s">
        <v>1713</v>
      </c>
      <c r="AC482" s="3">
        <v>0</v>
      </c>
      <c r="AD482" s="3">
        <v>0</v>
      </c>
      <c r="AE482" s="3">
        <v>0</v>
      </c>
      <c r="AF482" s="3">
        <v>0</v>
      </c>
      <c r="AG482" s="3">
        <v>0</v>
      </c>
      <c r="AH482" s="3">
        <v>6.63157894736842</v>
      </c>
      <c r="AI482" s="3" t="s">
        <v>3254</v>
      </c>
      <c r="AJ482" s="3" t="s">
        <v>1715</v>
      </c>
    </row>
    <row r="483" spans="1:36">
      <c r="A483" s="4">
        <v>43277</v>
      </c>
      <c r="B483" s="3" t="s">
        <v>3255</v>
      </c>
      <c r="C483" s="3" t="s">
        <v>3256</v>
      </c>
      <c r="D483" s="3" t="s">
        <v>3257</v>
      </c>
      <c r="E483" s="3" t="s">
        <v>3258</v>
      </c>
      <c r="F483" s="3" t="s">
        <v>1710</v>
      </c>
      <c r="G483" s="3">
        <v>10</v>
      </c>
      <c r="H483" s="3">
        <v>0</v>
      </c>
      <c r="I483" s="3">
        <v>0</v>
      </c>
      <c r="J483" s="3">
        <v>1</v>
      </c>
      <c r="K483" s="3">
        <v>1</v>
      </c>
      <c r="L483" s="3">
        <v>4</v>
      </c>
      <c r="M483" s="3">
        <v>4</v>
      </c>
      <c r="N483" s="3" t="s">
        <v>1711</v>
      </c>
      <c r="O483" s="3">
        <v>3</v>
      </c>
      <c r="P483" s="3">
        <v>1.44</v>
      </c>
      <c r="Q483" s="3">
        <v>6</v>
      </c>
      <c r="R483" s="3">
        <v>5.75</v>
      </c>
      <c r="S483" s="3">
        <v>0</v>
      </c>
      <c r="T483" s="3">
        <v>1</v>
      </c>
      <c r="U483" s="3">
        <v>3</v>
      </c>
      <c r="V483" s="3">
        <v>4</v>
      </c>
      <c r="W483" s="3" t="s">
        <v>1720</v>
      </c>
      <c r="X483" s="3">
        <v>13.88</v>
      </c>
      <c r="Y483" s="3">
        <v>13.88</v>
      </c>
      <c r="Z483" s="3">
        <v>13.86</v>
      </c>
      <c r="AA483" s="3">
        <v>0</v>
      </c>
      <c r="AB483" s="3" t="s">
        <v>1721</v>
      </c>
      <c r="AC483" s="3">
        <v>10</v>
      </c>
      <c r="AD483" s="3">
        <v>13.88</v>
      </c>
      <c r="AE483" s="3">
        <v>0</v>
      </c>
      <c r="AF483" s="3">
        <v>0</v>
      </c>
      <c r="AG483" s="3">
        <v>0</v>
      </c>
      <c r="AH483" s="3">
        <v>0.333333333333333</v>
      </c>
      <c r="AI483" s="3" t="s">
        <v>2502</v>
      </c>
      <c r="AJ483" s="3" t="s">
        <v>1715</v>
      </c>
    </row>
    <row r="484" spans="1:36">
      <c r="A484" s="4">
        <v>43277</v>
      </c>
      <c r="B484" s="3" t="s">
        <v>3259</v>
      </c>
      <c r="C484" s="3" t="s">
        <v>3260</v>
      </c>
      <c r="D484" s="3" t="s">
        <v>3261</v>
      </c>
      <c r="E484" s="3" t="s">
        <v>3262</v>
      </c>
      <c r="F484" s="3" t="s">
        <v>1710</v>
      </c>
      <c r="G484" s="3">
        <v>10</v>
      </c>
      <c r="H484" s="3">
        <v>0</v>
      </c>
      <c r="I484" s="3">
        <v>10</v>
      </c>
      <c r="J484" s="3">
        <v>0</v>
      </c>
      <c r="K484" s="3">
        <v>0</v>
      </c>
      <c r="L484" s="3">
        <v>0</v>
      </c>
      <c r="M484" s="3">
        <v>0</v>
      </c>
      <c r="N484" s="3" t="s">
        <v>1711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1</v>
      </c>
      <c r="V484" s="3">
        <v>1</v>
      </c>
      <c r="W484" s="3" t="s">
        <v>1712</v>
      </c>
      <c r="X484" s="3">
        <v>19.99</v>
      </c>
      <c r="Y484" s="3">
        <v>19.99</v>
      </c>
      <c r="Z484" s="3">
        <v>19.99</v>
      </c>
      <c r="AA484" s="3">
        <v>0</v>
      </c>
      <c r="AB484" s="3" t="s">
        <v>1713</v>
      </c>
      <c r="AC484" s="3">
        <v>10</v>
      </c>
      <c r="AD484" s="3">
        <v>19.99</v>
      </c>
      <c r="AE484" s="3">
        <v>0</v>
      </c>
      <c r="AF484" s="3">
        <v>0</v>
      </c>
      <c r="AG484" s="3">
        <v>0</v>
      </c>
      <c r="AH484" s="3">
        <v>0.157894736842105</v>
      </c>
      <c r="AI484" s="3" t="s">
        <v>1775</v>
      </c>
      <c r="AJ484" s="3" t="s">
        <v>1715</v>
      </c>
    </row>
    <row r="485" spans="1:36">
      <c r="A485" s="4">
        <v>43277</v>
      </c>
      <c r="B485" s="3" t="s">
        <v>3263</v>
      </c>
      <c r="C485" s="3" t="s">
        <v>3264</v>
      </c>
      <c r="D485" s="3" t="s">
        <v>3265</v>
      </c>
      <c r="E485" s="3" t="s">
        <v>3266</v>
      </c>
      <c r="F485" s="3" t="s">
        <v>1710</v>
      </c>
      <c r="G485" s="3">
        <v>3</v>
      </c>
      <c r="H485" s="3">
        <v>0</v>
      </c>
      <c r="I485" s="3">
        <v>0</v>
      </c>
      <c r="J485" s="3">
        <v>3</v>
      </c>
      <c r="K485" s="3">
        <v>0</v>
      </c>
      <c r="L485" s="3">
        <v>0</v>
      </c>
      <c r="M485" s="3">
        <v>0</v>
      </c>
      <c r="N485" s="3" t="s">
        <v>1711</v>
      </c>
      <c r="O485" s="3">
        <v>3</v>
      </c>
      <c r="P485" s="3">
        <v>5.13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0</v>
      </c>
      <c r="W485" s="3" t="s">
        <v>1720</v>
      </c>
      <c r="X485" s="3">
        <v>18.99</v>
      </c>
      <c r="Y485" s="3">
        <v>18.99</v>
      </c>
      <c r="Z485" s="3">
        <v>18.99</v>
      </c>
      <c r="AA485" s="3">
        <v>0</v>
      </c>
      <c r="AB485" s="3" t="s">
        <v>1721</v>
      </c>
      <c r="AC485" s="3">
        <v>0</v>
      </c>
      <c r="AD485" s="3">
        <v>17.58</v>
      </c>
      <c r="AE485" s="3">
        <v>35</v>
      </c>
      <c r="AF485" s="3">
        <v>0</v>
      </c>
      <c r="AG485" s="3">
        <v>85.73083</v>
      </c>
      <c r="AH485" s="3">
        <v>0</v>
      </c>
      <c r="AI485" s="3" t="s">
        <v>1749</v>
      </c>
      <c r="AJ485" s="3" t="s">
        <v>1715</v>
      </c>
    </row>
    <row r="486" spans="1:36">
      <c r="A486" s="4">
        <v>43277</v>
      </c>
      <c r="B486" s="3" t="s">
        <v>1082</v>
      </c>
      <c r="C486" s="3" t="s">
        <v>1083</v>
      </c>
      <c r="D486" s="3" t="s">
        <v>1084</v>
      </c>
      <c r="E486" s="3" t="s">
        <v>1085</v>
      </c>
      <c r="F486" s="3" t="s">
        <v>1710</v>
      </c>
      <c r="G486" s="3">
        <v>74</v>
      </c>
      <c r="H486" s="3">
        <v>0</v>
      </c>
      <c r="I486" s="3">
        <v>74</v>
      </c>
      <c r="J486" s="3">
        <v>0</v>
      </c>
      <c r="K486" s="3">
        <v>0</v>
      </c>
      <c r="L486" s="3">
        <v>0</v>
      </c>
      <c r="M486" s="3">
        <v>0</v>
      </c>
      <c r="N486" s="3" t="s">
        <v>1711</v>
      </c>
      <c r="O486" s="3">
        <v>0</v>
      </c>
      <c r="P486" s="3">
        <v>0</v>
      </c>
      <c r="Q486" s="3">
        <v>0</v>
      </c>
      <c r="R486" s="3">
        <v>0</v>
      </c>
      <c r="S486" s="3">
        <v>6</v>
      </c>
      <c r="T486" s="3">
        <v>33</v>
      </c>
      <c r="U486" s="3">
        <v>46</v>
      </c>
      <c r="V486" s="3">
        <v>67</v>
      </c>
      <c r="W486" s="3"/>
      <c r="X486" s="3">
        <v>48.58</v>
      </c>
      <c r="Y486" s="3">
        <v>28.99</v>
      </c>
      <c r="Z486" s="3">
        <v>28.99</v>
      </c>
      <c r="AA486" s="3">
        <v>0</v>
      </c>
      <c r="AB486" s="3" t="s">
        <v>1713</v>
      </c>
      <c r="AC486" s="3">
        <v>0</v>
      </c>
      <c r="AD486" s="3">
        <v>0</v>
      </c>
      <c r="AE486" s="3">
        <v>0</v>
      </c>
      <c r="AF486" s="3">
        <v>0</v>
      </c>
      <c r="AG486" s="3">
        <v>0</v>
      </c>
      <c r="AH486" s="3">
        <v>2.43636363636363</v>
      </c>
      <c r="AI486" s="3" t="s">
        <v>1800</v>
      </c>
      <c r="AJ486" s="3" t="s">
        <v>1715</v>
      </c>
    </row>
    <row r="487" spans="1:36">
      <c r="A487" s="4">
        <v>43277</v>
      </c>
      <c r="B487" s="3" t="s">
        <v>3267</v>
      </c>
      <c r="C487" s="3" t="s">
        <v>3268</v>
      </c>
      <c r="D487" s="3" t="s">
        <v>3269</v>
      </c>
      <c r="E487" s="3" t="s">
        <v>3270</v>
      </c>
      <c r="F487" s="3" t="s">
        <v>1710</v>
      </c>
      <c r="G487" s="3">
        <v>7</v>
      </c>
      <c r="H487" s="3">
        <v>0</v>
      </c>
      <c r="I487" s="3">
        <v>7</v>
      </c>
      <c r="J487" s="3">
        <v>0</v>
      </c>
      <c r="K487" s="3">
        <v>0</v>
      </c>
      <c r="L487" s="3">
        <v>0</v>
      </c>
      <c r="M487" s="3">
        <v>0</v>
      </c>
      <c r="N487" s="3" t="s">
        <v>1711</v>
      </c>
      <c r="O487" s="3">
        <v>0</v>
      </c>
      <c r="P487" s="3">
        <v>0</v>
      </c>
      <c r="Q487" s="3">
        <v>0</v>
      </c>
      <c r="R487" s="3">
        <v>0</v>
      </c>
      <c r="S487" s="3">
        <v>1</v>
      </c>
      <c r="T487" s="3">
        <v>1</v>
      </c>
      <c r="U487" s="3">
        <v>4</v>
      </c>
      <c r="V487" s="3">
        <v>4</v>
      </c>
      <c r="W487" s="3"/>
      <c r="X487" s="3">
        <v>19.99</v>
      </c>
      <c r="Y487" s="3">
        <v>19.99</v>
      </c>
      <c r="Z487" s="3">
        <v>19.99</v>
      </c>
      <c r="AA487" s="3">
        <v>0</v>
      </c>
      <c r="AB487" s="3" t="s">
        <v>1713</v>
      </c>
      <c r="AC487" s="3">
        <v>8</v>
      </c>
      <c r="AD487" s="3">
        <v>19.99</v>
      </c>
      <c r="AE487" s="3">
        <v>0</v>
      </c>
      <c r="AF487" s="3">
        <v>0</v>
      </c>
      <c r="AG487" s="3">
        <v>0</v>
      </c>
      <c r="AH487" s="3">
        <v>0.8</v>
      </c>
      <c r="AI487" s="3" t="s">
        <v>1775</v>
      </c>
      <c r="AJ487" s="3" t="s">
        <v>1715</v>
      </c>
    </row>
    <row r="488" spans="1:36">
      <c r="A488" s="4">
        <v>43277</v>
      </c>
      <c r="B488" s="3" t="s">
        <v>699</v>
      </c>
      <c r="C488" s="3" t="s">
        <v>700</v>
      </c>
      <c r="D488" s="3" t="s">
        <v>701</v>
      </c>
      <c r="E488" s="3" t="s">
        <v>702</v>
      </c>
      <c r="F488" s="3" t="s">
        <v>1710</v>
      </c>
      <c r="G488" s="3">
        <v>40</v>
      </c>
      <c r="H488" s="3">
        <v>0</v>
      </c>
      <c r="I488" s="3">
        <v>40</v>
      </c>
      <c r="J488" s="3">
        <v>0</v>
      </c>
      <c r="K488" s="3">
        <v>0</v>
      </c>
      <c r="L488" s="3">
        <v>0</v>
      </c>
      <c r="M488" s="3">
        <v>0</v>
      </c>
      <c r="N488" s="3" t="s">
        <v>1711</v>
      </c>
      <c r="O488" s="3">
        <v>0</v>
      </c>
      <c r="P488" s="3">
        <v>0</v>
      </c>
      <c r="Q488" s="3">
        <v>0</v>
      </c>
      <c r="R488" s="3">
        <v>0</v>
      </c>
      <c r="S488" s="3">
        <v>7</v>
      </c>
      <c r="T488" s="3">
        <v>28</v>
      </c>
      <c r="U488" s="3">
        <v>47</v>
      </c>
      <c r="V488" s="3">
        <v>64</v>
      </c>
      <c r="W488" s="3"/>
      <c r="X488" s="3">
        <v>38</v>
      </c>
      <c r="Y488" s="3">
        <v>28.58</v>
      </c>
      <c r="Z488" s="3">
        <v>28.58</v>
      </c>
      <c r="AA488" s="3">
        <v>0</v>
      </c>
      <c r="AB488" s="3" t="s">
        <v>1713</v>
      </c>
      <c r="AC488" s="3">
        <v>4</v>
      </c>
      <c r="AD488" s="3">
        <v>28.58</v>
      </c>
      <c r="AE488" s="3">
        <v>0</v>
      </c>
      <c r="AF488" s="3">
        <v>0</v>
      </c>
      <c r="AG488" s="3">
        <v>0</v>
      </c>
      <c r="AH488" s="3">
        <v>3.01176470588235</v>
      </c>
      <c r="AI488" s="3" t="s">
        <v>3271</v>
      </c>
      <c r="AJ488" s="3" t="s">
        <v>1715</v>
      </c>
    </row>
    <row r="489" spans="1:36">
      <c r="A489" s="4">
        <v>43277</v>
      </c>
      <c r="B489" s="3" t="s">
        <v>3272</v>
      </c>
      <c r="C489" s="3" t="s">
        <v>3273</v>
      </c>
      <c r="D489" s="3" t="s">
        <v>3274</v>
      </c>
      <c r="E489" s="3" t="s">
        <v>2255</v>
      </c>
      <c r="F489" s="3" t="s">
        <v>1710</v>
      </c>
      <c r="G489" s="3">
        <v>8</v>
      </c>
      <c r="H489" s="3">
        <v>0</v>
      </c>
      <c r="I489" s="3">
        <v>0</v>
      </c>
      <c r="J489" s="3">
        <v>1</v>
      </c>
      <c r="K489" s="3">
        <v>0</v>
      </c>
      <c r="L489" s="3">
        <v>7</v>
      </c>
      <c r="M489" s="3">
        <v>0</v>
      </c>
      <c r="N489" s="3" t="s">
        <v>1711</v>
      </c>
      <c r="O489" s="3">
        <v>8</v>
      </c>
      <c r="P489" s="3">
        <v>10.41</v>
      </c>
      <c r="Q489" s="3">
        <v>0</v>
      </c>
      <c r="R489" s="3">
        <v>0</v>
      </c>
      <c r="S489" s="3">
        <v>0</v>
      </c>
      <c r="T489" s="3">
        <v>1</v>
      </c>
      <c r="U489" s="3">
        <v>3</v>
      </c>
      <c r="V489" s="3">
        <v>5</v>
      </c>
      <c r="W489" s="3"/>
      <c r="X489" s="3">
        <v>16.99</v>
      </c>
      <c r="Y489" s="3">
        <v>16.99</v>
      </c>
      <c r="Z489" s="3">
        <v>16.99</v>
      </c>
      <c r="AA489" s="3">
        <v>0</v>
      </c>
      <c r="AB489" s="3" t="s">
        <v>1732</v>
      </c>
      <c r="AC489" s="3">
        <v>2</v>
      </c>
      <c r="AD489" s="3">
        <v>15.22</v>
      </c>
      <c r="AE489" s="3">
        <v>49</v>
      </c>
      <c r="AF489" s="3">
        <v>0</v>
      </c>
      <c r="AG489" s="3">
        <v>176.050611</v>
      </c>
      <c r="AH489" s="3">
        <v>0.392156862745098</v>
      </c>
      <c r="AI489" s="3" t="s">
        <v>3275</v>
      </c>
      <c r="AJ489" s="3" t="s">
        <v>1715</v>
      </c>
    </row>
    <row r="490" spans="1:36">
      <c r="A490" s="4">
        <v>43277</v>
      </c>
      <c r="B490" s="3" t="s">
        <v>3276</v>
      </c>
      <c r="C490" s="3" t="s">
        <v>3277</v>
      </c>
      <c r="D490" s="3" t="s">
        <v>3278</v>
      </c>
      <c r="E490" s="3" t="s">
        <v>2364</v>
      </c>
      <c r="F490" s="3" t="s">
        <v>1710</v>
      </c>
      <c r="G490" s="3">
        <v>2</v>
      </c>
      <c r="H490" s="3">
        <v>0</v>
      </c>
      <c r="I490" s="3">
        <v>2</v>
      </c>
      <c r="J490" s="3">
        <v>0</v>
      </c>
      <c r="K490" s="3">
        <v>0</v>
      </c>
      <c r="L490" s="3">
        <v>0</v>
      </c>
      <c r="M490" s="3">
        <v>0</v>
      </c>
      <c r="N490" s="3" t="s">
        <v>1711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0</v>
      </c>
      <c r="U490" s="3">
        <v>0</v>
      </c>
      <c r="V490" s="3">
        <v>0</v>
      </c>
      <c r="W490" s="3" t="s">
        <v>1720</v>
      </c>
      <c r="X490" s="3">
        <v>19.99</v>
      </c>
      <c r="Y490" s="3">
        <v>19.99</v>
      </c>
      <c r="Z490" s="3">
        <v>19.99</v>
      </c>
      <c r="AA490" s="3">
        <v>0</v>
      </c>
      <c r="AB490" s="3" t="s">
        <v>1721</v>
      </c>
      <c r="AC490" s="3">
        <v>0</v>
      </c>
      <c r="AD490" s="3">
        <v>18.32</v>
      </c>
      <c r="AE490" s="3">
        <v>168</v>
      </c>
      <c r="AF490" s="3">
        <v>0</v>
      </c>
      <c r="AG490" s="3">
        <v>31.484774</v>
      </c>
      <c r="AH490" s="3">
        <v>0</v>
      </c>
      <c r="AI490" s="3" t="s">
        <v>3279</v>
      </c>
      <c r="AJ490" s="3" t="s">
        <v>1715</v>
      </c>
    </row>
    <row r="491" spans="1:36">
      <c r="A491" s="4">
        <v>43277</v>
      </c>
      <c r="B491" s="3" t="s">
        <v>3280</v>
      </c>
      <c r="C491" s="3" t="s">
        <v>3281</v>
      </c>
      <c r="D491" s="3" t="s">
        <v>3282</v>
      </c>
      <c r="E491" s="3" t="s">
        <v>1805</v>
      </c>
      <c r="F491" s="3" t="s">
        <v>1710</v>
      </c>
      <c r="G491" s="3">
        <v>8</v>
      </c>
      <c r="H491" s="3">
        <v>0</v>
      </c>
      <c r="I491" s="3">
        <v>2</v>
      </c>
      <c r="J491" s="3">
        <v>0</v>
      </c>
      <c r="K491" s="3">
        <v>6</v>
      </c>
      <c r="L491" s="3">
        <v>0</v>
      </c>
      <c r="M491" s="3">
        <v>0</v>
      </c>
      <c r="N491" s="3" t="s">
        <v>1711</v>
      </c>
      <c r="O491" s="3">
        <v>6</v>
      </c>
      <c r="P491" s="3">
        <v>19.78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 t="s">
        <v>1720</v>
      </c>
      <c r="X491" s="3">
        <v>17.99</v>
      </c>
      <c r="Y491" s="3">
        <v>17.99</v>
      </c>
      <c r="Z491" s="3">
        <v>17.99</v>
      </c>
      <c r="AA491" s="3">
        <v>0</v>
      </c>
      <c r="AB491" s="3" t="s">
        <v>1721</v>
      </c>
      <c r="AC491" s="3">
        <v>0</v>
      </c>
      <c r="AD491" s="3">
        <v>16.25</v>
      </c>
      <c r="AE491" s="3">
        <v>70</v>
      </c>
      <c r="AF491" s="3">
        <v>0</v>
      </c>
      <c r="AG491" s="3">
        <v>365.953245</v>
      </c>
      <c r="AH491" s="3">
        <v>0</v>
      </c>
      <c r="AI491" s="3" t="s">
        <v>3283</v>
      </c>
      <c r="AJ491" s="3" t="s">
        <v>1715</v>
      </c>
    </row>
    <row r="492" spans="1:36">
      <c r="A492" s="4">
        <v>43277</v>
      </c>
      <c r="B492" s="3" t="s">
        <v>3284</v>
      </c>
      <c r="C492" s="3" t="s">
        <v>3285</v>
      </c>
      <c r="D492" s="3" t="s">
        <v>3286</v>
      </c>
      <c r="E492" s="3" t="s">
        <v>2510</v>
      </c>
      <c r="F492" s="3" t="s">
        <v>1710</v>
      </c>
      <c r="G492" s="3">
        <v>2</v>
      </c>
      <c r="H492" s="3">
        <v>0</v>
      </c>
      <c r="I492" s="3">
        <v>0</v>
      </c>
      <c r="J492" s="3">
        <v>0</v>
      </c>
      <c r="K492" s="3">
        <v>0</v>
      </c>
      <c r="L492" s="3">
        <v>2</v>
      </c>
      <c r="M492" s="3">
        <v>0</v>
      </c>
      <c r="N492" s="3" t="s">
        <v>1711</v>
      </c>
      <c r="O492" s="3">
        <v>2</v>
      </c>
      <c r="P492" s="3">
        <v>0.01</v>
      </c>
      <c r="Q492" s="3">
        <v>0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 t="s">
        <v>1720</v>
      </c>
      <c r="X492" s="3">
        <v>18.99</v>
      </c>
      <c r="Y492" s="3">
        <v>18.99</v>
      </c>
      <c r="Z492" s="3">
        <v>18.99</v>
      </c>
      <c r="AA492" s="3">
        <v>0</v>
      </c>
      <c r="AB492" s="3" t="s">
        <v>1732</v>
      </c>
      <c r="AC492" s="3">
        <v>0</v>
      </c>
      <c r="AD492" s="3">
        <v>15.19</v>
      </c>
      <c r="AE492" s="3">
        <v>63</v>
      </c>
      <c r="AF492" s="3">
        <v>0</v>
      </c>
      <c r="AG492" s="3">
        <v>1.029689</v>
      </c>
      <c r="AH492" s="3">
        <v>0</v>
      </c>
      <c r="AI492" s="3" t="s">
        <v>1782</v>
      </c>
      <c r="AJ492" s="3" t="s">
        <v>1783</v>
      </c>
    </row>
    <row r="493" spans="1:36">
      <c r="A493" s="4">
        <v>43277</v>
      </c>
      <c r="B493" s="3" t="s">
        <v>3287</v>
      </c>
      <c r="C493" s="3" t="s">
        <v>3288</v>
      </c>
      <c r="D493" s="3" t="s">
        <v>3289</v>
      </c>
      <c r="E493" s="3" t="s">
        <v>3290</v>
      </c>
      <c r="F493" s="3" t="s">
        <v>1710</v>
      </c>
      <c r="G493" s="3">
        <v>9</v>
      </c>
      <c r="H493" s="3">
        <v>0</v>
      </c>
      <c r="I493" s="3">
        <v>1</v>
      </c>
      <c r="J493" s="3">
        <v>1</v>
      </c>
      <c r="K493" s="3">
        <v>0</v>
      </c>
      <c r="L493" s="3">
        <v>4</v>
      </c>
      <c r="M493" s="3">
        <v>3</v>
      </c>
      <c r="N493" s="3" t="s">
        <v>1711</v>
      </c>
      <c r="O493" s="3">
        <v>0</v>
      </c>
      <c r="P493" s="3">
        <v>0</v>
      </c>
      <c r="Q493" s="3">
        <v>7</v>
      </c>
      <c r="R493" s="3">
        <v>9.6</v>
      </c>
      <c r="S493" s="3">
        <v>0</v>
      </c>
      <c r="T493" s="3">
        <v>2</v>
      </c>
      <c r="U493" s="3">
        <v>3</v>
      </c>
      <c r="V493" s="3">
        <v>4</v>
      </c>
      <c r="W493" s="3"/>
      <c r="X493" s="3">
        <v>16.99</v>
      </c>
      <c r="Y493" s="3">
        <v>16.99</v>
      </c>
      <c r="Z493" s="3">
        <v>16.99</v>
      </c>
      <c r="AA493" s="3">
        <v>0</v>
      </c>
      <c r="AB493" s="3" t="s">
        <v>1713</v>
      </c>
      <c r="AC493" s="3">
        <v>9</v>
      </c>
      <c r="AD493" s="3">
        <v>16.99</v>
      </c>
      <c r="AE493" s="3">
        <v>0</v>
      </c>
      <c r="AF493" s="3">
        <v>0</v>
      </c>
      <c r="AG493" s="3">
        <v>0</v>
      </c>
      <c r="AH493" s="3">
        <v>0.372093023255813</v>
      </c>
      <c r="AI493" s="3" t="s">
        <v>3291</v>
      </c>
      <c r="AJ493" s="3" t="s">
        <v>1715</v>
      </c>
    </row>
    <row r="494" spans="1:36">
      <c r="A494" s="4">
        <v>43277</v>
      </c>
      <c r="B494" s="3" t="s">
        <v>507</v>
      </c>
      <c r="C494" s="3" t="s">
        <v>508</v>
      </c>
      <c r="D494" s="3" t="s">
        <v>509</v>
      </c>
      <c r="E494" s="3" t="s">
        <v>510</v>
      </c>
      <c r="F494" s="3" t="s">
        <v>1710</v>
      </c>
      <c r="G494" s="3">
        <v>47</v>
      </c>
      <c r="H494" s="3">
        <v>0</v>
      </c>
      <c r="I494" s="3">
        <v>47</v>
      </c>
      <c r="J494" s="3">
        <v>0</v>
      </c>
      <c r="K494" s="3">
        <v>0</v>
      </c>
      <c r="L494" s="3">
        <v>0</v>
      </c>
      <c r="M494" s="3">
        <v>0</v>
      </c>
      <c r="N494" s="3" t="s">
        <v>1711</v>
      </c>
      <c r="O494" s="3">
        <v>0</v>
      </c>
      <c r="P494" s="3">
        <v>0</v>
      </c>
      <c r="Q494" s="3">
        <v>0</v>
      </c>
      <c r="R494" s="3">
        <v>0</v>
      </c>
      <c r="S494" s="3">
        <v>1</v>
      </c>
      <c r="T494" s="3">
        <v>10</v>
      </c>
      <c r="U494" s="3">
        <v>25</v>
      </c>
      <c r="V494" s="3">
        <v>30</v>
      </c>
      <c r="W494" s="3"/>
      <c r="X494" s="3">
        <v>12.58</v>
      </c>
      <c r="Y494" s="3">
        <v>12.58</v>
      </c>
      <c r="Z494" s="3">
        <v>12.58</v>
      </c>
      <c r="AA494" s="3">
        <v>0</v>
      </c>
      <c r="AB494" s="3" t="s">
        <v>3292</v>
      </c>
      <c r="AC494" s="3">
        <v>37</v>
      </c>
      <c r="AD494" s="3">
        <v>12.58</v>
      </c>
      <c r="AE494" s="3">
        <v>0</v>
      </c>
      <c r="AF494" s="3">
        <v>10</v>
      </c>
      <c r="AG494" s="3">
        <v>2.390013</v>
      </c>
      <c r="AH494" s="3">
        <v>1.7910447761194</v>
      </c>
      <c r="AI494" s="3" t="s">
        <v>3293</v>
      </c>
      <c r="AJ494" s="3" t="s">
        <v>1715</v>
      </c>
    </row>
    <row r="495" spans="1:36">
      <c r="A495" s="4">
        <v>43277</v>
      </c>
      <c r="B495" s="3" t="s">
        <v>3294</v>
      </c>
      <c r="C495" s="3" t="s">
        <v>3295</v>
      </c>
      <c r="D495" s="3" t="s">
        <v>3296</v>
      </c>
      <c r="E495" s="3" t="s">
        <v>3297</v>
      </c>
      <c r="F495" s="3" t="s">
        <v>1710</v>
      </c>
      <c r="G495" s="3">
        <v>6</v>
      </c>
      <c r="H495" s="3">
        <v>0</v>
      </c>
      <c r="I495" s="3">
        <v>1</v>
      </c>
      <c r="J495" s="3">
        <v>0</v>
      </c>
      <c r="K495" s="3">
        <v>0</v>
      </c>
      <c r="L495" s="3">
        <v>5</v>
      </c>
      <c r="M495" s="3">
        <v>0</v>
      </c>
      <c r="N495" s="3" t="s">
        <v>1711</v>
      </c>
      <c r="O495" s="3">
        <v>0</v>
      </c>
      <c r="P495" s="3">
        <v>0</v>
      </c>
      <c r="Q495" s="3">
        <v>5</v>
      </c>
      <c r="R495" s="3">
        <v>7.21</v>
      </c>
      <c r="S495" s="3">
        <v>1</v>
      </c>
      <c r="T495" s="3">
        <v>2</v>
      </c>
      <c r="U495" s="3">
        <v>3</v>
      </c>
      <c r="V495" s="3">
        <v>3</v>
      </c>
      <c r="W495" s="3" t="s">
        <v>1720</v>
      </c>
      <c r="X495" s="3">
        <v>14.99</v>
      </c>
      <c r="Y495" s="3">
        <v>14.99</v>
      </c>
      <c r="Z495" s="3">
        <v>14.99</v>
      </c>
      <c r="AA495" s="3">
        <v>0</v>
      </c>
      <c r="AB495" s="3" t="s">
        <v>1721</v>
      </c>
      <c r="AC495" s="3">
        <v>2</v>
      </c>
      <c r="AD495" s="3">
        <v>13.17</v>
      </c>
      <c r="AE495" s="3">
        <v>126</v>
      </c>
      <c r="AF495" s="3">
        <v>0</v>
      </c>
      <c r="AG495" s="3">
        <v>5.08983</v>
      </c>
      <c r="AH495" s="3">
        <v>0.4</v>
      </c>
      <c r="AI495" s="3" t="s">
        <v>1840</v>
      </c>
      <c r="AJ495" s="3" t="s">
        <v>1715</v>
      </c>
    </row>
    <row r="496" spans="1:36">
      <c r="A496" s="4">
        <v>43277</v>
      </c>
      <c r="B496" s="3" t="s">
        <v>3298</v>
      </c>
      <c r="C496" s="3" t="s">
        <v>3299</v>
      </c>
      <c r="D496" s="3" t="s">
        <v>3300</v>
      </c>
      <c r="E496" s="3" t="s">
        <v>3301</v>
      </c>
      <c r="F496" s="3" t="s">
        <v>1710</v>
      </c>
      <c r="G496" s="3">
        <v>2</v>
      </c>
      <c r="H496" s="3">
        <v>0</v>
      </c>
      <c r="I496" s="3">
        <v>0</v>
      </c>
      <c r="J496" s="3">
        <v>2</v>
      </c>
      <c r="K496" s="3">
        <v>0</v>
      </c>
      <c r="L496" s="3">
        <v>0</v>
      </c>
      <c r="M496" s="3">
        <v>0</v>
      </c>
      <c r="N496" s="3" t="s">
        <v>1711</v>
      </c>
      <c r="O496" s="3">
        <v>2</v>
      </c>
      <c r="P496" s="3">
        <v>1.84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0</v>
      </c>
      <c r="W496" s="3" t="s">
        <v>1720</v>
      </c>
      <c r="X496" s="3">
        <v>21.99</v>
      </c>
      <c r="Y496" s="3">
        <v>21.99</v>
      </c>
      <c r="Z496" s="3">
        <v>21.99</v>
      </c>
      <c r="AA496" s="3">
        <v>0</v>
      </c>
      <c r="AB496" s="3" t="s">
        <v>1721</v>
      </c>
      <c r="AC496" s="3">
        <v>0</v>
      </c>
      <c r="AD496" s="3">
        <v>17.59</v>
      </c>
      <c r="AE496" s="3">
        <v>63</v>
      </c>
      <c r="AF496" s="3">
        <v>0</v>
      </c>
      <c r="AG496" s="3">
        <v>24.357354</v>
      </c>
      <c r="AH496" s="3">
        <v>0</v>
      </c>
      <c r="AI496" s="3" t="s">
        <v>1744</v>
      </c>
      <c r="AJ496" s="3" t="s">
        <v>1715</v>
      </c>
    </row>
    <row r="497" spans="1:36">
      <c r="A497" s="4">
        <v>43277</v>
      </c>
      <c r="B497" s="3" t="s">
        <v>3302</v>
      </c>
      <c r="C497" s="3" t="s">
        <v>3303</v>
      </c>
      <c r="D497" s="3" t="s">
        <v>3304</v>
      </c>
      <c r="E497" s="3" t="s">
        <v>3305</v>
      </c>
      <c r="F497" s="3" t="s">
        <v>1710</v>
      </c>
      <c r="G497" s="3">
        <v>6</v>
      </c>
      <c r="H497" s="3">
        <v>0</v>
      </c>
      <c r="I497" s="3">
        <v>0</v>
      </c>
      <c r="J497" s="3">
        <v>1</v>
      </c>
      <c r="K497" s="3">
        <v>5</v>
      </c>
      <c r="L497" s="3">
        <v>0</v>
      </c>
      <c r="M497" s="3">
        <v>0</v>
      </c>
      <c r="N497" s="3" t="s">
        <v>1711</v>
      </c>
      <c r="O497" s="3">
        <v>5</v>
      </c>
      <c r="P497" s="3">
        <v>2.99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 t="s">
        <v>1720</v>
      </c>
      <c r="X497" s="3">
        <v>17.99</v>
      </c>
      <c r="Y497" s="3">
        <v>17.99</v>
      </c>
      <c r="Z497" s="3">
        <v>17.99</v>
      </c>
      <c r="AA497" s="3">
        <v>0</v>
      </c>
      <c r="AB497" s="3" t="s">
        <v>1721</v>
      </c>
      <c r="AC497" s="3">
        <v>0</v>
      </c>
      <c r="AD497" s="3">
        <v>16.68</v>
      </c>
      <c r="AE497" s="3">
        <v>77</v>
      </c>
      <c r="AF497" s="3">
        <v>0</v>
      </c>
      <c r="AG497" s="3">
        <v>102.963692</v>
      </c>
      <c r="AH497" s="3">
        <v>0</v>
      </c>
      <c r="AI497" s="3" t="s">
        <v>1905</v>
      </c>
      <c r="AJ497" s="3" t="s">
        <v>1715</v>
      </c>
    </row>
    <row r="498" spans="1:36">
      <c r="A498" s="4">
        <v>43277</v>
      </c>
      <c r="B498" s="3" t="s">
        <v>479</v>
      </c>
      <c r="C498" s="3" t="s">
        <v>480</v>
      </c>
      <c r="D498" s="3" t="s">
        <v>481</v>
      </c>
      <c r="E498" s="3" t="s">
        <v>482</v>
      </c>
      <c r="F498" s="3" t="s">
        <v>1710</v>
      </c>
      <c r="G498" s="3">
        <v>80</v>
      </c>
      <c r="H498" s="3">
        <v>0</v>
      </c>
      <c r="I498" s="3">
        <v>80</v>
      </c>
      <c r="J498" s="3">
        <v>0</v>
      </c>
      <c r="K498" s="3">
        <v>0</v>
      </c>
      <c r="L498" s="3">
        <v>0</v>
      </c>
      <c r="M498" s="3">
        <v>0</v>
      </c>
      <c r="N498" s="3" t="s">
        <v>1711</v>
      </c>
      <c r="O498" s="3">
        <v>0</v>
      </c>
      <c r="P498" s="3">
        <v>0</v>
      </c>
      <c r="Q498" s="3">
        <v>0</v>
      </c>
      <c r="R498" s="3">
        <v>0</v>
      </c>
      <c r="S498" s="3">
        <v>7</v>
      </c>
      <c r="T498" s="3">
        <v>39</v>
      </c>
      <c r="U498" s="3">
        <v>62</v>
      </c>
      <c r="V498" s="3">
        <v>85</v>
      </c>
      <c r="W498" s="3"/>
      <c r="X498" s="3">
        <v>48.58</v>
      </c>
      <c r="Y498" s="3">
        <v>28.99</v>
      </c>
      <c r="Z498" s="3">
        <v>28.99</v>
      </c>
      <c r="AA498" s="3">
        <v>0</v>
      </c>
      <c r="AB498" s="3" t="s">
        <v>1713</v>
      </c>
      <c r="AC498" s="3">
        <v>31</v>
      </c>
      <c r="AD498" s="3">
        <v>28.99</v>
      </c>
      <c r="AE498" s="3">
        <v>0</v>
      </c>
      <c r="AF498" s="3">
        <v>0</v>
      </c>
      <c r="AG498" s="3">
        <v>0</v>
      </c>
      <c r="AH498" s="3">
        <v>1.61904761904761</v>
      </c>
      <c r="AI498" s="3" t="s">
        <v>1784</v>
      </c>
      <c r="AJ498" s="3" t="s">
        <v>1715</v>
      </c>
    </row>
    <row r="499" spans="1:36">
      <c r="A499" s="4">
        <v>43277</v>
      </c>
      <c r="B499" s="3" t="s">
        <v>3306</v>
      </c>
      <c r="C499" s="3" t="s">
        <v>3307</v>
      </c>
      <c r="D499" s="3" t="s">
        <v>3308</v>
      </c>
      <c r="E499" s="3" t="s">
        <v>2030</v>
      </c>
      <c r="F499" s="3" t="s">
        <v>1710</v>
      </c>
      <c r="G499" s="3">
        <v>5</v>
      </c>
      <c r="H499" s="3">
        <v>0</v>
      </c>
      <c r="I499" s="3">
        <v>0</v>
      </c>
      <c r="J499" s="3">
        <v>0</v>
      </c>
      <c r="K499" s="3">
        <v>5</v>
      </c>
      <c r="L499" s="3">
        <v>0</v>
      </c>
      <c r="M499" s="3">
        <v>0</v>
      </c>
      <c r="N499" s="3" t="s">
        <v>1711</v>
      </c>
      <c r="O499" s="3">
        <v>5</v>
      </c>
      <c r="P499" s="3">
        <v>1.15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1720</v>
      </c>
      <c r="X499" s="3">
        <v>16.99</v>
      </c>
      <c r="Y499" s="3">
        <v>16.99</v>
      </c>
      <c r="Z499" s="3">
        <v>16.99</v>
      </c>
      <c r="AA499" s="3">
        <v>0</v>
      </c>
      <c r="AB499" s="3" t="s">
        <v>1732</v>
      </c>
      <c r="AC499" s="3">
        <v>0</v>
      </c>
      <c r="AD499" s="3">
        <v>15.26</v>
      </c>
      <c r="AE499" s="3">
        <v>231</v>
      </c>
      <c r="AF499" s="3">
        <v>0</v>
      </c>
      <c r="AG499" s="3">
        <v>56.571154</v>
      </c>
      <c r="AH499" s="3">
        <v>0</v>
      </c>
      <c r="AI499" s="3" t="s">
        <v>3309</v>
      </c>
      <c r="AJ499" s="3" t="s">
        <v>1715</v>
      </c>
    </row>
    <row r="500" spans="1:36">
      <c r="A500" s="4">
        <v>43277</v>
      </c>
      <c r="B500" s="3" t="s">
        <v>3310</v>
      </c>
      <c r="C500" s="3" t="s">
        <v>3311</v>
      </c>
      <c r="D500" s="3" t="s">
        <v>3312</v>
      </c>
      <c r="E500" s="3" t="s">
        <v>3313</v>
      </c>
      <c r="F500" s="3" t="s">
        <v>1710</v>
      </c>
      <c r="G500" s="3">
        <v>4</v>
      </c>
      <c r="H500" s="3">
        <v>0</v>
      </c>
      <c r="I500" s="3">
        <v>0</v>
      </c>
      <c r="J500" s="3">
        <v>0</v>
      </c>
      <c r="K500" s="3">
        <v>0</v>
      </c>
      <c r="L500" s="3">
        <v>4</v>
      </c>
      <c r="M500" s="3">
        <v>0</v>
      </c>
      <c r="N500" s="3" t="s">
        <v>1711</v>
      </c>
      <c r="O500" s="3">
        <v>1</v>
      </c>
      <c r="P500" s="3">
        <v>1.18</v>
      </c>
      <c r="Q500" s="3">
        <v>3</v>
      </c>
      <c r="R500" s="3">
        <v>7.06</v>
      </c>
      <c r="S500" s="3">
        <v>0</v>
      </c>
      <c r="T500" s="3">
        <v>0</v>
      </c>
      <c r="U500" s="3">
        <v>0</v>
      </c>
      <c r="V500" s="3">
        <v>0</v>
      </c>
      <c r="W500" s="3" t="s">
        <v>1720</v>
      </c>
      <c r="X500" s="3">
        <v>19.99</v>
      </c>
      <c r="Y500" s="3">
        <v>19.99</v>
      </c>
      <c r="Z500" s="3">
        <v>19.99</v>
      </c>
      <c r="AA500" s="3">
        <v>0</v>
      </c>
      <c r="AB500" s="3" t="s">
        <v>1721</v>
      </c>
      <c r="AC500" s="3">
        <v>0</v>
      </c>
      <c r="AD500" s="3">
        <v>17.9</v>
      </c>
      <c r="AE500" s="3">
        <v>112</v>
      </c>
      <c r="AF500" s="3">
        <v>0</v>
      </c>
      <c r="AG500" s="3">
        <v>94.814582</v>
      </c>
      <c r="AH500" s="3">
        <v>0</v>
      </c>
      <c r="AI500" s="3" t="s">
        <v>3314</v>
      </c>
      <c r="AJ500" s="3" t="s">
        <v>1715</v>
      </c>
    </row>
    <row r="501" spans="1:36">
      <c r="A501" s="4">
        <v>43277</v>
      </c>
      <c r="B501" s="3" t="s">
        <v>3315</v>
      </c>
      <c r="C501" s="3" t="s">
        <v>3316</v>
      </c>
      <c r="D501" s="3" t="s">
        <v>3317</v>
      </c>
      <c r="E501" s="3" t="s">
        <v>2577</v>
      </c>
      <c r="F501" s="3" t="s">
        <v>1710</v>
      </c>
      <c r="G501" s="3">
        <v>18</v>
      </c>
      <c r="H501" s="3">
        <v>0</v>
      </c>
      <c r="I501" s="3">
        <v>0</v>
      </c>
      <c r="J501" s="3">
        <v>18</v>
      </c>
      <c r="K501" s="3">
        <v>0</v>
      </c>
      <c r="L501" s="3">
        <v>0</v>
      </c>
      <c r="M501" s="3">
        <v>0</v>
      </c>
      <c r="N501" s="3" t="s">
        <v>1711</v>
      </c>
      <c r="O501" s="3">
        <v>18</v>
      </c>
      <c r="P501" s="3">
        <v>29.9</v>
      </c>
      <c r="Q501" s="3">
        <v>0</v>
      </c>
      <c r="R501" s="3">
        <v>0</v>
      </c>
      <c r="S501" s="3">
        <v>0</v>
      </c>
      <c r="T501" s="3">
        <v>1</v>
      </c>
      <c r="U501" s="3">
        <v>2</v>
      </c>
      <c r="V501" s="3">
        <v>3</v>
      </c>
      <c r="W501" s="3" t="s">
        <v>1720</v>
      </c>
      <c r="X501" s="3">
        <v>17.99</v>
      </c>
      <c r="Y501" s="3">
        <v>17.99</v>
      </c>
      <c r="Z501" s="3">
        <v>17.99</v>
      </c>
      <c r="AA501" s="3">
        <v>0</v>
      </c>
      <c r="AB501" s="3" t="s">
        <v>1721</v>
      </c>
      <c r="AC501" s="3">
        <v>18</v>
      </c>
      <c r="AD501" s="3">
        <v>17.99</v>
      </c>
      <c r="AE501" s="3">
        <v>0</v>
      </c>
      <c r="AF501" s="3">
        <v>0</v>
      </c>
      <c r="AG501" s="3">
        <v>0</v>
      </c>
      <c r="AH501" s="3">
        <v>0.153846153846153</v>
      </c>
      <c r="AI501" s="3" t="s">
        <v>2850</v>
      </c>
      <c r="AJ501" s="3" t="s">
        <v>1783</v>
      </c>
    </row>
    <row r="502" spans="1:36">
      <c r="A502" s="4">
        <v>43277</v>
      </c>
      <c r="B502" s="3" t="s">
        <v>3318</v>
      </c>
      <c r="C502" s="3" t="s">
        <v>3319</v>
      </c>
      <c r="D502" s="3" t="s">
        <v>3320</v>
      </c>
      <c r="E502" s="3" t="s">
        <v>2364</v>
      </c>
      <c r="F502" s="3" t="s">
        <v>1710</v>
      </c>
      <c r="G502" s="3">
        <v>1</v>
      </c>
      <c r="H502" s="3">
        <v>0</v>
      </c>
      <c r="I502" s="3">
        <v>1</v>
      </c>
      <c r="J502" s="3">
        <v>0</v>
      </c>
      <c r="K502" s="3">
        <v>0</v>
      </c>
      <c r="L502" s="3">
        <v>0</v>
      </c>
      <c r="M502" s="3">
        <v>0</v>
      </c>
      <c r="N502" s="3" t="s">
        <v>1711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0</v>
      </c>
      <c r="W502" s="3" t="s">
        <v>1720</v>
      </c>
      <c r="X502" s="3">
        <v>19.99</v>
      </c>
      <c r="Y502" s="3">
        <v>19.99</v>
      </c>
      <c r="Z502" s="3">
        <v>19.99</v>
      </c>
      <c r="AA502" s="3">
        <v>0</v>
      </c>
      <c r="AB502" s="3" t="s">
        <v>1721</v>
      </c>
      <c r="AC502" s="3">
        <v>0</v>
      </c>
      <c r="AD502" s="3">
        <v>18.8</v>
      </c>
      <c r="AE502" s="3">
        <v>49</v>
      </c>
      <c r="AF502" s="3">
        <v>0</v>
      </c>
      <c r="AG502" s="3">
        <v>16.41318</v>
      </c>
      <c r="AH502" s="3">
        <v>0</v>
      </c>
      <c r="AI502" s="3" t="s">
        <v>3279</v>
      </c>
      <c r="AJ502" s="3" t="s">
        <v>1715</v>
      </c>
    </row>
    <row r="503" spans="1:36">
      <c r="A503" s="4">
        <v>43277</v>
      </c>
      <c r="B503" s="3" t="s">
        <v>3321</v>
      </c>
      <c r="C503" s="3" t="s">
        <v>3322</v>
      </c>
      <c r="D503" s="3" t="s">
        <v>3323</v>
      </c>
      <c r="E503" s="3" t="s">
        <v>3324</v>
      </c>
      <c r="F503" s="3" t="s">
        <v>1710</v>
      </c>
      <c r="G503" s="3">
        <v>8</v>
      </c>
      <c r="H503" s="3">
        <v>0</v>
      </c>
      <c r="I503" s="3">
        <v>8</v>
      </c>
      <c r="J503" s="3">
        <v>0</v>
      </c>
      <c r="K503" s="3">
        <v>0</v>
      </c>
      <c r="L503" s="3">
        <v>0</v>
      </c>
      <c r="M503" s="3">
        <v>0</v>
      </c>
      <c r="N503" s="3" t="s">
        <v>1711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2</v>
      </c>
      <c r="V503" s="3">
        <v>2</v>
      </c>
      <c r="W503" s="3" t="s">
        <v>1712</v>
      </c>
      <c r="X503" s="3">
        <v>19.99</v>
      </c>
      <c r="Y503" s="3">
        <v>19.99</v>
      </c>
      <c r="Z503" s="3">
        <v>19.99</v>
      </c>
      <c r="AA503" s="3">
        <v>0</v>
      </c>
      <c r="AB503" s="3" t="s">
        <v>1713</v>
      </c>
      <c r="AC503" s="3">
        <v>8</v>
      </c>
      <c r="AD503" s="3">
        <v>19.99</v>
      </c>
      <c r="AE503" s="3">
        <v>0</v>
      </c>
      <c r="AF503" s="3">
        <v>0</v>
      </c>
      <c r="AG503" s="3">
        <v>0</v>
      </c>
      <c r="AH503" s="3">
        <v>0.375</v>
      </c>
      <c r="AI503" s="3" t="s">
        <v>1775</v>
      </c>
      <c r="AJ503" s="3" t="s">
        <v>1715</v>
      </c>
    </row>
    <row r="504" spans="1:36">
      <c r="A504" s="4">
        <v>43277</v>
      </c>
      <c r="B504" s="3" t="s">
        <v>3325</v>
      </c>
      <c r="C504" s="3" t="s">
        <v>3326</v>
      </c>
      <c r="D504" s="3" t="s">
        <v>3327</v>
      </c>
      <c r="E504" s="3" t="s">
        <v>3328</v>
      </c>
      <c r="F504" s="3" t="s">
        <v>1710</v>
      </c>
      <c r="G504" s="3">
        <v>35</v>
      </c>
      <c r="H504" s="3">
        <v>0</v>
      </c>
      <c r="I504" s="3">
        <v>35</v>
      </c>
      <c r="J504" s="3">
        <v>0</v>
      </c>
      <c r="K504" s="3">
        <v>0</v>
      </c>
      <c r="L504" s="3">
        <v>0</v>
      </c>
      <c r="M504" s="3">
        <v>0</v>
      </c>
      <c r="N504" s="3" t="s">
        <v>1711</v>
      </c>
      <c r="O504" s="3">
        <v>0</v>
      </c>
      <c r="P504" s="3">
        <v>0</v>
      </c>
      <c r="Q504" s="3">
        <v>0</v>
      </c>
      <c r="R504" s="3">
        <v>0</v>
      </c>
      <c r="S504" s="3">
        <v>1</v>
      </c>
      <c r="T504" s="3">
        <v>2</v>
      </c>
      <c r="U504" s="3">
        <v>17</v>
      </c>
      <c r="V504" s="3">
        <v>26</v>
      </c>
      <c r="W504" s="3"/>
      <c r="X504" s="3">
        <v>19.99</v>
      </c>
      <c r="Y504" s="3">
        <v>19.99</v>
      </c>
      <c r="Z504" s="3">
        <v>19.99</v>
      </c>
      <c r="AA504" s="3">
        <v>0</v>
      </c>
      <c r="AB504" s="3" t="s">
        <v>1713</v>
      </c>
      <c r="AC504" s="3">
        <v>35</v>
      </c>
      <c r="AD504" s="3">
        <v>19.99</v>
      </c>
      <c r="AE504" s="3">
        <v>0</v>
      </c>
      <c r="AF504" s="3">
        <v>0</v>
      </c>
      <c r="AG504" s="3">
        <v>0</v>
      </c>
      <c r="AH504" s="3">
        <v>0.962962962962962</v>
      </c>
      <c r="AI504" s="3" t="s">
        <v>3074</v>
      </c>
      <c r="AJ504" s="3" t="s">
        <v>1715</v>
      </c>
    </row>
    <row r="505" spans="1:36">
      <c r="A505" s="4">
        <v>43277</v>
      </c>
      <c r="B505" s="3" t="s">
        <v>3329</v>
      </c>
      <c r="C505" s="3" t="s">
        <v>3330</v>
      </c>
      <c r="D505" s="3" t="s">
        <v>3331</v>
      </c>
      <c r="E505" s="3" t="s">
        <v>3332</v>
      </c>
      <c r="F505" s="3" t="s">
        <v>1710</v>
      </c>
      <c r="G505" s="3">
        <v>1</v>
      </c>
      <c r="H505" s="3">
        <v>0</v>
      </c>
      <c r="I505" s="3">
        <v>0</v>
      </c>
      <c r="J505" s="3">
        <v>1</v>
      </c>
      <c r="K505" s="3">
        <v>0</v>
      </c>
      <c r="L505" s="3">
        <v>0</v>
      </c>
      <c r="M505" s="3">
        <v>0</v>
      </c>
      <c r="N505" s="3" t="s">
        <v>1711</v>
      </c>
      <c r="O505" s="3">
        <v>1</v>
      </c>
      <c r="P505" s="3">
        <v>3.74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0</v>
      </c>
      <c r="W505" s="3" t="s">
        <v>1720</v>
      </c>
      <c r="X505" s="3">
        <v>25.99</v>
      </c>
      <c r="Y505" s="3">
        <v>25.99</v>
      </c>
      <c r="Z505" s="3">
        <v>25.99</v>
      </c>
      <c r="AA505" s="3">
        <v>0</v>
      </c>
      <c r="AB505" s="3" t="s">
        <v>1721</v>
      </c>
      <c r="AC505" s="3">
        <v>0</v>
      </c>
      <c r="AD505" s="3">
        <v>23.74</v>
      </c>
      <c r="AE505" s="3">
        <v>49</v>
      </c>
      <c r="AF505" s="3">
        <v>0</v>
      </c>
      <c r="AG505" s="3">
        <v>52.906184</v>
      </c>
      <c r="AH505" s="3">
        <v>0</v>
      </c>
      <c r="AI505" s="3" t="s">
        <v>2834</v>
      </c>
      <c r="AJ505" s="3" t="s">
        <v>1715</v>
      </c>
    </row>
    <row r="506" spans="1:36">
      <c r="A506" s="4">
        <v>43277</v>
      </c>
      <c r="B506" s="3" t="s">
        <v>3333</v>
      </c>
      <c r="C506" s="3" t="s">
        <v>3334</v>
      </c>
      <c r="D506" s="3" t="s">
        <v>3335</v>
      </c>
      <c r="E506" s="3" t="s">
        <v>2487</v>
      </c>
      <c r="F506" s="3" t="s">
        <v>1710</v>
      </c>
      <c r="G506" s="3">
        <v>2</v>
      </c>
      <c r="H506" s="3">
        <v>0</v>
      </c>
      <c r="I506" s="3">
        <v>2</v>
      </c>
      <c r="J506" s="3">
        <v>0</v>
      </c>
      <c r="K506" s="3">
        <v>0</v>
      </c>
      <c r="L506" s="3">
        <v>0</v>
      </c>
      <c r="M506" s="3">
        <v>0</v>
      </c>
      <c r="N506" s="3" t="s">
        <v>1711</v>
      </c>
      <c r="O506" s="3">
        <v>0</v>
      </c>
      <c r="P506" s="3">
        <v>0</v>
      </c>
      <c r="Q506" s="3">
        <v>0</v>
      </c>
      <c r="R506" s="3">
        <v>0</v>
      </c>
      <c r="S506" s="3">
        <v>0</v>
      </c>
      <c r="T506" s="3">
        <v>0</v>
      </c>
      <c r="U506" s="3">
        <v>1</v>
      </c>
      <c r="V506" s="3">
        <v>1</v>
      </c>
      <c r="W506" s="3" t="s">
        <v>1712</v>
      </c>
      <c r="X506" s="3">
        <v>29.99</v>
      </c>
      <c r="Y506" s="3">
        <v>29.99</v>
      </c>
      <c r="Z506" s="3">
        <v>28.99</v>
      </c>
      <c r="AA506" s="3">
        <v>0</v>
      </c>
      <c r="AB506" s="3" t="s">
        <v>1732</v>
      </c>
      <c r="AC506" s="3">
        <v>1</v>
      </c>
      <c r="AD506" s="3">
        <v>28.43</v>
      </c>
      <c r="AE506" s="3">
        <v>7</v>
      </c>
      <c r="AF506" s="3">
        <v>0</v>
      </c>
      <c r="AG506" s="3">
        <v>121.67692</v>
      </c>
      <c r="AH506" s="3">
        <v>0.117647058823529</v>
      </c>
      <c r="AI506" s="3" t="s">
        <v>2094</v>
      </c>
      <c r="AJ506" s="3" t="s">
        <v>1715</v>
      </c>
    </row>
    <row r="507" spans="1:36">
      <c r="A507" s="4">
        <v>43277</v>
      </c>
      <c r="B507" s="3" t="s">
        <v>3336</v>
      </c>
      <c r="C507" s="3" t="s">
        <v>3337</v>
      </c>
      <c r="D507" s="3" t="s">
        <v>3338</v>
      </c>
      <c r="E507" s="3" t="s">
        <v>3339</v>
      </c>
      <c r="F507" s="3" t="s">
        <v>1710</v>
      </c>
      <c r="G507" s="3">
        <v>147</v>
      </c>
      <c r="H507" s="3">
        <v>0</v>
      </c>
      <c r="I507" s="3">
        <v>3</v>
      </c>
      <c r="J507" s="3">
        <v>15</v>
      </c>
      <c r="K507" s="3">
        <v>129</v>
      </c>
      <c r="L507" s="3">
        <v>0</v>
      </c>
      <c r="M507" s="3">
        <v>0</v>
      </c>
      <c r="N507" s="3" t="s">
        <v>1711</v>
      </c>
      <c r="O507" s="3">
        <v>140</v>
      </c>
      <c r="P507" s="3">
        <v>83.79</v>
      </c>
      <c r="Q507" s="3">
        <v>0</v>
      </c>
      <c r="R507" s="3">
        <v>0</v>
      </c>
      <c r="S507" s="3">
        <v>0</v>
      </c>
      <c r="T507" s="3">
        <v>0</v>
      </c>
      <c r="U507" s="3">
        <v>2</v>
      </c>
      <c r="V507" s="3">
        <v>15</v>
      </c>
      <c r="W507" s="3" t="s">
        <v>1712</v>
      </c>
      <c r="X507" s="3">
        <v>16.99</v>
      </c>
      <c r="Y507" s="3">
        <v>16.99</v>
      </c>
      <c r="Z507" s="3">
        <v>16</v>
      </c>
      <c r="AA507" s="3">
        <v>0</v>
      </c>
      <c r="AB507" s="3" t="s">
        <v>1732</v>
      </c>
      <c r="AC507" s="3">
        <v>1</v>
      </c>
      <c r="AD507" s="3">
        <v>11.84</v>
      </c>
      <c r="AE507" s="3">
        <v>364</v>
      </c>
      <c r="AF507" s="3">
        <v>0</v>
      </c>
      <c r="AG507" s="3">
        <v>1042.882636</v>
      </c>
      <c r="AH507" s="3">
        <v>0.0996677740863787</v>
      </c>
      <c r="AI507" s="3" t="s">
        <v>1905</v>
      </c>
      <c r="AJ507" s="3" t="s">
        <v>1715</v>
      </c>
    </row>
    <row r="508" spans="1:36">
      <c r="A508" s="4">
        <v>43277</v>
      </c>
      <c r="B508" s="3" t="s">
        <v>3340</v>
      </c>
      <c r="C508" s="3" t="s">
        <v>3341</v>
      </c>
      <c r="D508" s="3" t="s">
        <v>3342</v>
      </c>
      <c r="E508" s="3" t="s">
        <v>1861</v>
      </c>
      <c r="F508" s="3" t="s">
        <v>1710</v>
      </c>
      <c r="G508" s="3">
        <v>9</v>
      </c>
      <c r="H508" s="3">
        <v>0</v>
      </c>
      <c r="I508" s="3">
        <v>0</v>
      </c>
      <c r="J508" s="3">
        <v>0</v>
      </c>
      <c r="K508" s="3">
        <v>9</v>
      </c>
      <c r="L508" s="3">
        <v>0</v>
      </c>
      <c r="M508" s="3">
        <v>0</v>
      </c>
      <c r="N508" s="3" t="s">
        <v>1711</v>
      </c>
      <c r="O508" s="3">
        <v>9</v>
      </c>
      <c r="P508" s="3">
        <v>25.98</v>
      </c>
      <c r="Q508" s="3">
        <v>0</v>
      </c>
      <c r="R508" s="3">
        <v>0</v>
      </c>
      <c r="S508" s="3">
        <v>0</v>
      </c>
      <c r="T508" s="3">
        <v>0</v>
      </c>
      <c r="U508" s="3">
        <v>0</v>
      </c>
      <c r="V508" s="3">
        <v>0</v>
      </c>
      <c r="W508" s="3" t="s">
        <v>1720</v>
      </c>
      <c r="X508" s="3">
        <v>15.99</v>
      </c>
      <c r="Y508" s="3">
        <v>15.99</v>
      </c>
      <c r="Z508" s="3">
        <v>15.05</v>
      </c>
      <c r="AA508" s="3">
        <v>0</v>
      </c>
      <c r="AB508" s="3" t="s">
        <v>1732</v>
      </c>
      <c r="AC508" s="3">
        <v>0</v>
      </c>
      <c r="AD508" s="3">
        <v>14.49</v>
      </c>
      <c r="AE508" s="3">
        <v>49</v>
      </c>
      <c r="AF508" s="3">
        <v>0</v>
      </c>
      <c r="AG508" s="3">
        <v>378.758655</v>
      </c>
      <c r="AH508" s="3">
        <v>0</v>
      </c>
      <c r="AI508" s="3" t="s">
        <v>2569</v>
      </c>
      <c r="AJ508" s="3" t="s">
        <v>1783</v>
      </c>
    </row>
    <row r="509" spans="1:36">
      <c r="A509" s="4">
        <v>43277</v>
      </c>
      <c r="B509" s="3" t="s">
        <v>3343</v>
      </c>
      <c r="C509" s="3" t="s">
        <v>3344</v>
      </c>
      <c r="D509" s="3" t="s">
        <v>3345</v>
      </c>
      <c r="E509" s="3" t="s">
        <v>3346</v>
      </c>
      <c r="F509" s="3" t="s">
        <v>1710</v>
      </c>
      <c r="G509" s="3">
        <v>1</v>
      </c>
      <c r="H509" s="3">
        <v>0</v>
      </c>
      <c r="I509" s="3">
        <v>0</v>
      </c>
      <c r="J509" s="3">
        <v>0</v>
      </c>
      <c r="K509" s="3">
        <v>0</v>
      </c>
      <c r="L509" s="3">
        <v>1</v>
      </c>
      <c r="M509" s="3">
        <v>0</v>
      </c>
      <c r="N509" s="3" t="s">
        <v>1711</v>
      </c>
      <c r="O509" s="3">
        <v>0</v>
      </c>
      <c r="P509" s="3">
        <v>0</v>
      </c>
      <c r="Q509" s="3">
        <v>1</v>
      </c>
      <c r="R509" s="3">
        <v>3.8</v>
      </c>
      <c r="S509" s="3">
        <v>0</v>
      </c>
      <c r="T509" s="3">
        <v>0</v>
      </c>
      <c r="U509" s="3">
        <v>0</v>
      </c>
      <c r="V509" s="3">
        <v>0</v>
      </c>
      <c r="W509" s="3" t="s">
        <v>1720</v>
      </c>
      <c r="X509" s="3">
        <v>16.99</v>
      </c>
      <c r="Y509" s="3">
        <v>16.99</v>
      </c>
      <c r="Z509" s="3">
        <v>16.99</v>
      </c>
      <c r="AA509" s="3">
        <v>0</v>
      </c>
      <c r="AB509" s="3" t="s">
        <v>1732</v>
      </c>
      <c r="AC509" s="3">
        <v>0</v>
      </c>
      <c r="AD509" s="3">
        <v>14.97</v>
      </c>
      <c r="AE509" s="3">
        <v>49</v>
      </c>
      <c r="AF509" s="3">
        <v>0</v>
      </c>
      <c r="AG509" s="3">
        <v>30.474811</v>
      </c>
      <c r="AH509" s="3">
        <v>0</v>
      </c>
      <c r="AI509" s="3" t="s">
        <v>3103</v>
      </c>
      <c r="AJ509" s="3" t="s">
        <v>1715</v>
      </c>
    </row>
    <row r="510" spans="1:36">
      <c r="A510" s="4">
        <v>43277</v>
      </c>
      <c r="B510" s="3" t="s">
        <v>3347</v>
      </c>
      <c r="C510" s="3" t="s">
        <v>3348</v>
      </c>
      <c r="D510" s="3" t="s">
        <v>3349</v>
      </c>
      <c r="E510" s="3" t="s">
        <v>1755</v>
      </c>
      <c r="F510" s="3" t="s">
        <v>1710</v>
      </c>
      <c r="G510" s="3">
        <v>10</v>
      </c>
      <c r="H510" s="3">
        <v>0</v>
      </c>
      <c r="I510" s="3">
        <v>10</v>
      </c>
      <c r="J510" s="3">
        <v>0</v>
      </c>
      <c r="K510" s="3">
        <v>0</v>
      </c>
      <c r="L510" s="3">
        <v>0</v>
      </c>
      <c r="M510" s="3">
        <v>0</v>
      </c>
      <c r="N510" s="3" t="s">
        <v>1711</v>
      </c>
      <c r="O510" s="3">
        <v>0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1720</v>
      </c>
      <c r="X510" s="3">
        <v>15.99</v>
      </c>
      <c r="Y510" s="3">
        <v>15.99</v>
      </c>
      <c r="Z510" s="3">
        <v>15.99</v>
      </c>
      <c r="AA510" s="3">
        <v>0</v>
      </c>
      <c r="AB510" s="3" t="s">
        <v>1721</v>
      </c>
      <c r="AC510" s="3">
        <v>10</v>
      </c>
      <c r="AD510" s="3">
        <v>15.99</v>
      </c>
      <c r="AE510" s="3">
        <v>0</v>
      </c>
      <c r="AF510" s="3">
        <v>0</v>
      </c>
      <c r="AG510" s="3">
        <v>0</v>
      </c>
      <c r="AH510" s="3">
        <v>0</v>
      </c>
      <c r="AI510" s="3" t="s">
        <v>1756</v>
      </c>
      <c r="AJ510" s="3" t="s">
        <v>1715</v>
      </c>
    </row>
    <row r="511" spans="1:36">
      <c r="A511" s="4">
        <v>43277</v>
      </c>
      <c r="B511" s="3" t="s">
        <v>1157</v>
      </c>
      <c r="C511" s="3" t="s">
        <v>1158</v>
      </c>
      <c r="D511" s="3" t="s">
        <v>1159</v>
      </c>
      <c r="E511" s="3" t="s">
        <v>1160</v>
      </c>
      <c r="F511" s="3" t="s">
        <v>1710</v>
      </c>
      <c r="G511" s="3">
        <v>14</v>
      </c>
      <c r="H511" s="3">
        <v>0</v>
      </c>
      <c r="I511" s="3">
        <v>14</v>
      </c>
      <c r="J511" s="3">
        <v>0</v>
      </c>
      <c r="K511" s="3">
        <v>0</v>
      </c>
      <c r="L511" s="3">
        <v>0</v>
      </c>
      <c r="M511" s="3">
        <v>0</v>
      </c>
      <c r="N511" s="3" t="s">
        <v>1711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9</v>
      </c>
      <c r="U511" s="3">
        <v>21</v>
      </c>
      <c r="V511" s="3">
        <v>21</v>
      </c>
      <c r="W511" s="3"/>
      <c r="X511" s="3">
        <v>21.99</v>
      </c>
      <c r="Y511" s="3">
        <v>21.99</v>
      </c>
      <c r="Z511" s="3">
        <v>21.99</v>
      </c>
      <c r="AA511" s="3">
        <v>0</v>
      </c>
      <c r="AB511" s="3" t="s">
        <v>1713</v>
      </c>
      <c r="AC511" s="3">
        <v>12</v>
      </c>
      <c r="AD511" s="3">
        <v>21.99</v>
      </c>
      <c r="AE511" s="3">
        <v>0</v>
      </c>
      <c r="AF511" s="3">
        <v>0</v>
      </c>
      <c r="AG511" s="3">
        <v>0</v>
      </c>
      <c r="AH511" s="3">
        <v>3</v>
      </c>
      <c r="AI511" s="3" t="s">
        <v>2070</v>
      </c>
      <c r="AJ511" s="3" t="s">
        <v>1715</v>
      </c>
    </row>
    <row r="512" spans="1:36">
      <c r="A512" s="4">
        <v>43277</v>
      </c>
      <c r="B512" s="3" t="s">
        <v>3350</v>
      </c>
      <c r="C512" s="3" t="s">
        <v>3351</v>
      </c>
      <c r="D512" s="3" t="s">
        <v>3352</v>
      </c>
      <c r="E512" s="3" t="s">
        <v>3353</v>
      </c>
      <c r="F512" s="3" t="s">
        <v>1710</v>
      </c>
      <c r="G512" s="3">
        <v>8</v>
      </c>
      <c r="H512" s="3">
        <v>0</v>
      </c>
      <c r="I512" s="3">
        <v>8</v>
      </c>
      <c r="J512" s="3">
        <v>0</v>
      </c>
      <c r="K512" s="3">
        <v>0</v>
      </c>
      <c r="L512" s="3">
        <v>0</v>
      </c>
      <c r="M512" s="3">
        <v>0</v>
      </c>
      <c r="N512" s="3" t="s">
        <v>1711</v>
      </c>
      <c r="O512" s="3">
        <v>0</v>
      </c>
      <c r="P512" s="3">
        <v>0</v>
      </c>
      <c r="Q512" s="3">
        <v>0</v>
      </c>
      <c r="R512" s="3">
        <v>0</v>
      </c>
      <c r="S512" s="3">
        <v>2</v>
      </c>
      <c r="T512" s="3">
        <v>8</v>
      </c>
      <c r="U512" s="3">
        <v>12</v>
      </c>
      <c r="V512" s="3">
        <v>13</v>
      </c>
      <c r="W512" s="3"/>
      <c r="X512" s="3">
        <v>28.99</v>
      </c>
      <c r="Y512" s="3">
        <v>15.99</v>
      </c>
      <c r="Z512" s="3">
        <v>15.55</v>
      </c>
      <c r="AA512" s="3">
        <v>0</v>
      </c>
      <c r="AB512" s="3" t="s">
        <v>1713</v>
      </c>
      <c r="AC512" s="3">
        <v>3</v>
      </c>
      <c r="AD512" s="3">
        <v>15.99</v>
      </c>
      <c r="AE512" s="3">
        <v>0</v>
      </c>
      <c r="AF512" s="3">
        <v>0</v>
      </c>
      <c r="AG512" s="3">
        <v>0</v>
      </c>
      <c r="AH512" s="3">
        <v>2.36363636363636</v>
      </c>
      <c r="AI512" s="3" t="s">
        <v>2036</v>
      </c>
      <c r="AJ512" s="3" t="s">
        <v>1715</v>
      </c>
    </row>
    <row r="513" spans="1:36">
      <c r="A513" s="4">
        <v>43277</v>
      </c>
      <c r="B513" s="3" t="s">
        <v>1373</v>
      </c>
      <c r="C513" s="3" t="s">
        <v>1374</v>
      </c>
      <c r="D513" s="3" t="s">
        <v>1375</v>
      </c>
      <c r="E513" s="3" t="s">
        <v>1376</v>
      </c>
      <c r="F513" s="3" t="s">
        <v>1710</v>
      </c>
      <c r="G513" s="3">
        <v>5</v>
      </c>
      <c r="H513" s="3">
        <v>0</v>
      </c>
      <c r="I513" s="3">
        <v>1</v>
      </c>
      <c r="J513" s="3">
        <v>1</v>
      </c>
      <c r="K513" s="3">
        <v>0</v>
      </c>
      <c r="L513" s="3">
        <v>3</v>
      </c>
      <c r="M513" s="3">
        <v>0</v>
      </c>
      <c r="N513" s="3" t="s">
        <v>1711</v>
      </c>
      <c r="O513" s="3">
        <v>0</v>
      </c>
      <c r="P513" s="3">
        <v>0</v>
      </c>
      <c r="Q513" s="3">
        <v>3</v>
      </c>
      <c r="R513" s="3">
        <v>2.66</v>
      </c>
      <c r="S513" s="3">
        <v>0</v>
      </c>
      <c r="T513" s="3">
        <v>3</v>
      </c>
      <c r="U513" s="3">
        <v>6</v>
      </c>
      <c r="V513" s="3">
        <v>6</v>
      </c>
      <c r="W513" s="3"/>
      <c r="X513" s="3">
        <v>18.99</v>
      </c>
      <c r="Y513" s="3">
        <v>18.99</v>
      </c>
      <c r="Z513" s="3">
        <v>18.99</v>
      </c>
      <c r="AA513" s="3">
        <v>0</v>
      </c>
      <c r="AB513" s="3" t="s">
        <v>1732</v>
      </c>
      <c r="AC513" s="3">
        <v>0</v>
      </c>
      <c r="AD513" s="3">
        <v>16.11</v>
      </c>
      <c r="AE513" s="3">
        <v>70</v>
      </c>
      <c r="AF513" s="3">
        <v>0</v>
      </c>
      <c r="AG513" s="3">
        <v>14.744416</v>
      </c>
      <c r="AH513" s="3">
        <v>0.727272727272727</v>
      </c>
      <c r="AI513" s="3" t="s">
        <v>3354</v>
      </c>
      <c r="AJ513" s="3" t="s">
        <v>1715</v>
      </c>
    </row>
    <row r="514" spans="1:36">
      <c r="A514" s="4">
        <v>43277</v>
      </c>
      <c r="B514" s="3" t="s">
        <v>3355</v>
      </c>
      <c r="C514" s="3" t="s">
        <v>3356</v>
      </c>
      <c r="D514" s="3" t="s">
        <v>3357</v>
      </c>
      <c r="E514" s="3" t="s">
        <v>3358</v>
      </c>
      <c r="F514" s="3" t="s">
        <v>1710</v>
      </c>
      <c r="G514" s="3">
        <v>33</v>
      </c>
      <c r="H514" s="3">
        <v>0</v>
      </c>
      <c r="I514" s="3">
        <v>1</v>
      </c>
      <c r="J514" s="3">
        <v>32</v>
      </c>
      <c r="K514" s="3">
        <v>0</v>
      </c>
      <c r="L514" s="3">
        <v>0</v>
      </c>
      <c r="M514" s="3">
        <v>0</v>
      </c>
      <c r="N514" s="3" t="s">
        <v>1711</v>
      </c>
      <c r="O514" s="3">
        <v>32</v>
      </c>
      <c r="P514" s="3">
        <v>47.16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 t="s">
        <v>1720</v>
      </c>
      <c r="X514" s="3">
        <v>35</v>
      </c>
      <c r="Y514" s="3">
        <v>15.99</v>
      </c>
      <c r="Z514" s="3">
        <v>15.99</v>
      </c>
      <c r="AA514" s="3">
        <v>0</v>
      </c>
      <c r="AB514" s="3" t="s">
        <v>1732</v>
      </c>
      <c r="AC514" s="3">
        <v>0</v>
      </c>
      <c r="AD514" s="3">
        <v>12.01</v>
      </c>
      <c r="AE514" s="3">
        <v>364</v>
      </c>
      <c r="AF514" s="3">
        <v>0</v>
      </c>
      <c r="AG514" s="3">
        <v>630.218666</v>
      </c>
      <c r="AH514" s="3">
        <v>0</v>
      </c>
      <c r="AI514" s="3" t="s">
        <v>1770</v>
      </c>
      <c r="AJ514" s="3" t="s">
        <v>1715</v>
      </c>
    </row>
    <row r="515" spans="1:36">
      <c r="A515" s="4">
        <v>43277</v>
      </c>
      <c r="B515" s="3" t="s">
        <v>3359</v>
      </c>
      <c r="C515" s="3" t="s">
        <v>3360</v>
      </c>
      <c r="D515" s="3" t="s">
        <v>3361</v>
      </c>
      <c r="E515" s="3" t="s">
        <v>3362</v>
      </c>
      <c r="F515" s="3" t="s">
        <v>1710</v>
      </c>
      <c r="G515" s="3">
        <v>30</v>
      </c>
      <c r="H515" s="3">
        <v>0</v>
      </c>
      <c r="I515" s="3">
        <v>30</v>
      </c>
      <c r="J515" s="3">
        <v>0</v>
      </c>
      <c r="K515" s="3">
        <v>0</v>
      </c>
      <c r="L515" s="3">
        <v>0</v>
      </c>
      <c r="M515" s="3">
        <v>0</v>
      </c>
      <c r="N515" s="3" t="s">
        <v>1711</v>
      </c>
      <c r="O515" s="3">
        <v>0</v>
      </c>
      <c r="P515" s="3">
        <v>0</v>
      </c>
      <c r="Q515" s="3">
        <v>0</v>
      </c>
      <c r="R515" s="3">
        <v>0</v>
      </c>
      <c r="S515" s="3">
        <v>7</v>
      </c>
      <c r="T515" s="3">
        <v>11</v>
      </c>
      <c r="U515" s="3">
        <v>24</v>
      </c>
      <c r="V515" s="3">
        <v>33</v>
      </c>
      <c r="W515" s="3"/>
      <c r="X515" s="3">
        <v>38</v>
      </c>
      <c r="Y515" s="3">
        <v>24.58</v>
      </c>
      <c r="Z515" s="3">
        <v>24.58</v>
      </c>
      <c r="AA515" s="3">
        <v>0</v>
      </c>
      <c r="AB515" s="3" t="s">
        <v>1713</v>
      </c>
      <c r="AC515" s="3">
        <v>17</v>
      </c>
      <c r="AD515" s="3">
        <v>24.58</v>
      </c>
      <c r="AE515" s="3">
        <v>0</v>
      </c>
      <c r="AF515" s="3">
        <v>0</v>
      </c>
      <c r="AG515" s="3">
        <v>0</v>
      </c>
      <c r="AH515" s="3">
        <v>1.43478260869565</v>
      </c>
      <c r="AI515" s="3" t="s">
        <v>1801</v>
      </c>
      <c r="AJ515" s="3" t="s">
        <v>1715</v>
      </c>
    </row>
    <row r="516" spans="1:36">
      <c r="A516" s="4">
        <v>43277</v>
      </c>
      <c r="B516" s="3" t="s">
        <v>1074</v>
      </c>
      <c r="C516" s="3" t="s">
        <v>1075</v>
      </c>
      <c r="D516" s="3" t="s">
        <v>1076</v>
      </c>
      <c r="E516" s="3" t="s">
        <v>1077</v>
      </c>
      <c r="F516" s="3" t="s">
        <v>1710</v>
      </c>
      <c r="G516" s="3">
        <v>12</v>
      </c>
      <c r="H516" s="3">
        <v>0</v>
      </c>
      <c r="I516" s="3">
        <v>12</v>
      </c>
      <c r="J516" s="3">
        <v>0</v>
      </c>
      <c r="K516" s="3">
        <v>0</v>
      </c>
      <c r="L516" s="3">
        <v>0</v>
      </c>
      <c r="M516" s="3">
        <v>0</v>
      </c>
      <c r="N516" s="3" t="s">
        <v>1711</v>
      </c>
      <c r="O516" s="3">
        <v>0</v>
      </c>
      <c r="P516" s="3">
        <v>0</v>
      </c>
      <c r="Q516" s="3">
        <v>0</v>
      </c>
      <c r="R516" s="3">
        <v>0</v>
      </c>
      <c r="S516" s="3">
        <v>5</v>
      </c>
      <c r="T516" s="3">
        <v>5</v>
      </c>
      <c r="U516" s="3">
        <v>5</v>
      </c>
      <c r="V516" s="3">
        <v>5</v>
      </c>
      <c r="W516" s="3"/>
      <c r="X516" s="3">
        <v>28.99</v>
      </c>
      <c r="Y516" s="3">
        <v>28.99</v>
      </c>
      <c r="Z516" s="3">
        <v>28.99</v>
      </c>
      <c r="AA516" s="3">
        <v>0</v>
      </c>
      <c r="AB516" s="3" t="s">
        <v>1713</v>
      </c>
      <c r="AC516" s="3">
        <v>0</v>
      </c>
      <c r="AD516" s="3">
        <v>0</v>
      </c>
      <c r="AE516" s="3">
        <v>0</v>
      </c>
      <c r="AF516" s="3">
        <v>0</v>
      </c>
      <c r="AG516" s="3">
        <v>0</v>
      </c>
      <c r="AH516" s="3">
        <v>0.333333333333333</v>
      </c>
      <c r="AI516" s="3" t="s">
        <v>1800</v>
      </c>
      <c r="AJ516" s="3" t="s">
        <v>1715</v>
      </c>
    </row>
    <row r="517" spans="1:36">
      <c r="A517" s="4">
        <v>43277</v>
      </c>
      <c r="B517" s="3" t="s">
        <v>3363</v>
      </c>
      <c r="C517" s="3" t="s">
        <v>3364</v>
      </c>
      <c r="D517" s="3" t="s">
        <v>3365</v>
      </c>
      <c r="E517" s="3" t="s">
        <v>1140</v>
      </c>
      <c r="F517" s="3" t="s">
        <v>1710</v>
      </c>
      <c r="G517" s="3">
        <v>7</v>
      </c>
      <c r="H517" s="3">
        <v>0</v>
      </c>
      <c r="I517" s="3">
        <v>7</v>
      </c>
      <c r="J517" s="3">
        <v>0</v>
      </c>
      <c r="K517" s="3">
        <v>0</v>
      </c>
      <c r="L517" s="3">
        <v>0</v>
      </c>
      <c r="M517" s="3">
        <v>0</v>
      </c>
      <c r="N517" s="3" t="s">
        <v>1711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4</v>
      </c>
      <c r="U517" s="3">
        <v>4</v>
      </c>
      <c r="V517" s="3">
        <v>4</v>
      </c>
      <c r="W517" s="3"/>
      <c r="X517" s="3">
        <v>21.99</v>
      </c>
      <c r="Y517" s="3">
        <v>21.99</v>
      </c>
      <c r="Z517" s="3">
        <v>21.99</v>
      </c>
      <c r="AA517" s="3">
        <v>0</v>
      </c>
      <c r="AB517" s="3" t="s">
        <v>1713</v>
      </c>
      <c r="AC517" s="3">
        <v>7</v>
      </c>
      <c r="AD517" s="3">
        <v>21.99</v>
      </c>
      <c r="AE517" s="3">
        <v>0</v>
      </c>
      <c r="AF517" s="3">
        <v>0</v>
      </c>
      <c r="AG517" s="3">
        <v>0</v>
      </c>
      <c r="AH517" s="3">
        <v>1</v>
      </c>
      <c r="AI517" s="3" t="s">
        <v>2295</v>
      </c>
      <c r="AJ517" s="3" t="s">
        <v>1715</v>
      </c>
    </row>
    <row r="518" spans="1:36">
      <c r="A518" s="4">
        <v>43277</v>
      </c>
      <c r="B518" s="3" t="s">
        <v>3366</v>
      </c>
      <c r="C518" s="3" t="s">
        <v>3367</v>
      </c>
      <c r="D518" s="3" t="s">
        <v>3368</v>
      </c>
      <c r="E518" s="3" t="s">
        <v>3369</v>
      </c>
      <c r="F518" s="3" t="s">
        <v>1710</v>
      </c>
      <c r="G518" s="3">
        <v>1</v>
      </c>
      <c r="H518" s="3">
        <v>0</v>
      </c>
      <c r="I518" s="3">
        <v>1</v>
      </c>
      <c r="J518" s="3">
        <v>0</v>
      </c>
      <c r="K518" s="3">
        <v>0</v>
      </c>
      <c r="L518" s="3">
        <v>0</v>
      </c>
      <c r="M518" s="3">
        <v>0</v>
      </c>
      <c r="N518" s="3" t="s">
        <v>1711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3</v>
      </c>
      <c r="V518" s="3">
        <v>3</v>
      </c>
      <c r="W518" s="3" t="s">
        <v>1720</v>
      </c>
      <c r="X518" s="3">
        <v>8.88</v>
      </c>
      <c r="Y518" s="3">
        <v>8.88</v>
      </c>
      <c r="Z518" s="3">
        <v>8.88</v>
      </c>
      <c r="AA518" s="3">
        <v>0</v>
      </c>
      <c r="AB518" s="3" t="s">
        <v>1721</v>
      </c>
      <c r="AC518" s="3">
        <v>1</v>
      </c>
      <c r="AD518" s="3">
        <v>8.88</v>
      </c>
      <c r="AE518" s="3">
        <v>0</v>
      </c>
      <c r="AF518" s="3">
        <v>0</v>
      </c>
      <c r="AG518" s="3">
        <v>0</v>
      </c>
      <c r="AH518" s="3">
        <v>1.33333333333333</v>
      </c>
      <c r="AI518" s="3" t="s">
        <v>1826</v>
      </c>
      <c r="AJ518" s="3" t="s">
        <v>1715</v>
      </c>
    </row>
    <row r="519" spans="1:36">
      <c r="A519" s="4">
        <v>43277</v>
      </c>
      <c r="B519" s="3" t="s">
        <v>3370</v>
      </c>
      <c r="C519" s="3" t="s">
        <v>3371</v>
      </c>
      <c r="D519" s="3" t="s">
        <v>3372</v>
      </c>
      <c r="E519" s="3" t="s">
        <v>3373</v>
      </c>
      <c r="F519" s="3" t="s">
        <v>1710</v>
      </c>
      <c r="G519" s="3">
        <v>40</v>
      </c>
      <c r="H519" s="3">
        <v>0</v>
      </c>
      <c r="I519" s="3">
        <v>0</v>
      </c>
      <c r="J519" s="3">
        <v>40</v>
      </c>
      <c r="K519" s="3">
        <v>0</v>
      </c>
      <c r="L519" s="3">
        <v>0</v>
      </c>
      <c r="M519" s="3">
        <v>0</v>
      </c>
      <c r="N519" s="3" t="s">
        <v>1711</v>
      </c>
      <c r="O519" s="3">
        <v>40</v>
      </c>
      <c r="P519" s="3">
        <v>58.96</v>
      </c>
      <c r="Q519" s="3">
        <v>0</v>
      </c>
      <c r="R519" s="3">
        <v>0</v>
      </c>
      <c r="S519" s="3">
        <v>0</v>
      </c>
      <c r="T519" s="3">
        <v>0</v>
      </c>
      <c r="U519" s="3">
        <v>0</v>
      </c>
      <c r="V519" s="3">
        <v>0</v>
      </c>
      <c r="W519" s="3" t="s">
        <v>1720</v>
      </c>
      <c r="X519" s="3">
        <v>35</v>
      </c>
      <c r="Y519" s="3">
        <v>13.99</v>
      </c>
      <c r="Z519" s="3">
        <v>13.99</v>
      </c>
      <c r="AA519" s="3">
        <v>0</v>
      </c>
      <c r="AB519" s="3" t="s">
        <v>1732</v>
      </c>
      <c r="AC519" s="3">
        <v>0</v>
      </c>
      <c r="AD519" s="3">
        <v>11.19</v>
      </c>
      <c r="AE519" s="3">
        <v>63</v>
      </c>
      <c r="AF519" s="3">
        <v>0</v>
      </c>
      <c r="AG519" s="3">
        <v>695.13471</v>
      </c>
      <c r="AH519" s="3">
        <v>0</v>
      </c>
      <c r="AI519" s="3" t="s">
        <v>1770</v>
      </c>
      <c r="AJ519" s="3" t="s">
        <v>1715</v>
      </c>
    </row>
    <row r="520" spans="1:36">
      <c r="A520" s="4">
        <v>43277</v>
      </c>
      <c r="B520" s="3" t="s">
        <v>3374</v>
      </c>
      <c r="C520" s="3" t="s">
        <v>3375</v>
      </c>
      <c r="D520" s="3" t="s">
        <v>3376</v>
      </c>
      <c r="E520" s="3" t="s">
        <v>3377</v>
      </c>
      <c r="F520" s="3" t="s">
        <v>1710</v>
      </c>
      <c r="G520" s="3">
        <v>13</v>
      </c>
      <c r="H520" s="3">
        <v>0</v>
      </c>
      <c r="I520" s="3">
        <v>13</v>
      </c>
      <c r="J520" s="3">
        <v>0</v>
      </c>
      <c r="K520" s="3">
        <v>0</v>
      </c>
      <c r="L520" s="3">
        <v>0</v>
      </c>
      <c r="M520" s="3">
        <v>0</v>
      </c>
      <c r="N520" s="3" t="s">
        <v>1711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2</v>
      </c>
      <c r="U520" s="3">
        <v>2</v>
      </c>
      <c r="V520" s="3">
        <v>2</v>
      </c>
      <c r="W520" s="3"/>
      <c r="X520" s="3">
        <v>19.99</v>
      </c>
      <c r="Y520" s="3">
        <v>19.99</v>
      </c>
      <c r="Z520" s="3">
        <v>19.99</v>
      </c>
      <c r="AA520" s="3">
        <v>0</v>
      </c>
      <c r="AB520" s="3" t="s">
        <v>1713</v>
      </c>
      <c r="AC520" s="3">
        <v>13</v>
      </c>
      <c r="AD520" s="3">
        <v>19.99</v>
      </c>
      <c r="AE520" s="3">
        <v>0</v>
      </c>
      <c r="AF520" s="3">
        <v>0</v>
      </c>
      <c r="AG520" s="3">
        <v>0</v>
      </c>
      <c r="AH520" s="3">
        <v>0.142857142857142</v>
      </c>
      <c r="AI520" s="3" t="s">
        <v>1919</v>
      </c>
      <c r="AJ520" s="3" t="s">
        <v>1715</v>
      </c>
    </row>
    <row r="521" spans="1:36">
      <c r="A521" s="4">
        <v>43277</v>
      </c>
      <c r="B521" s="3" t="s">
        <v>1133</v>
      </c>
      <c r="C521" s="3" t="s">
        <v>1134</v>
      </c>
      <c r="D521" s="3" t="s">
        <v>1135</v>
      </c>
      <c r="E521" s="3" t="s">
        <v>1136</v>
      </c>
      <c r="F521" s="3" t="s">
        <v>1710</v>
      </c>
      <c r="G521" s="3">
        <v>11</v>
      </c>
      <c r="H521" s="3">
        <v>0</v>
      </c>
      <c r="I521" s="3">
        <v>11</v>
      </c>
      <c r="J521" s="3">
        <v>0</v>
      </c>
      <c r="K521" s="3">
        <v>0</v>
      </c>
      <c r="L521" s="3">
        <v>0</v>
      </c>
      <c r="M521" s="3">
        <v>0</v>
      </c>
      <c r="N521" s="3" t="s">
        <v>1711</v>
      </c>
      <c r="O521" s="3">
        <v>0</v>
      </c>
      <c r="P521" s="3">
        <v>0</v>
      </c>
      <c r="Q521" s="3">
        <v>0</v>
      </c>
      <c r="R521" s="3">
        <v>0</v>
      </c>
      <c r="S521" s="3">
        <v>5</v>
      </c>
      <c r="T521" s="3">
        <v>9</v>
      </c>
      <c r="U521" s="3">
        <v>9</v>
      </c>
      <c r="V521" s="3">
        <v>9</v>
      </c>
      <c r="W521" s="3"/>
      <c r="X521" s="3">
        <v>39.99</v>
      </c>
      <c r="Y521" s="3">
        <v>21.99</v>
      </c>
      <c r="Z521" s="3">
        <v>21.99</v>
      </c>
      <c r="AA521" s="3">
        <v>0</v>
      </c>
      <c r="AB521" s="3" t="s">
        <v>1732</v>
      </c>
      <c r="AC521" s="3">
        <v>8</v>
      </c>
      <c r="AD521" s="3">
        <v>20.76</v>
      </c>
      <c r="AE521" s="3">
        <v>63</v>
      </c>
      <c r="AF521" s="3">
        <v>0</v>
      </c>
      <c r="AG521" s="3">
        <v>159.135504</v>
      </c>
      <c r="AH521" s="3">
        <v>0.9</v>
      </c>
      <c r="AI521" s="3" t="s">
        <v>3378</v>
      </c>
      <c r="AJ521" s="3" t="s">
        <v>1715</v>
      </c>
    </row>
    <row r="522" spans="1:36">
      <c r="A522" s="4">
        <v>43277</v>
      </c>
      <c r="B522" s="3" t="s">
        <v>3379</v>
      </c>
      <c r="C522" s="3" t="s">
        <v>3380</v>
      </c>
      <c r="D522" s="3" t="s">
        <v>3381</v>
      </c>
      <c r="E522" s="3" t="s">
        <v>3297</v>
      </c>
      <c r="F522" s="3" t="s">
        <v>1710</v>
      </c>
      <c r="G522" s="3">
        <v>7</v>
      </c>
      <c r="H522" s="3">
        <v>0</v>
      </c>
      <c r="I522" s="3">
        <v>0</v>
      </c>
      <c r="J522" s="3">
        <v>0</v>
      </c>
      <c r="K522" s="3">
        <v>0</v>
      </c>
      <c r="L522" s="3">
        <v>5</v>
      </c>
      <c r="M522" s="3">
        <v>2</v>
      </c>
      <c r="N522" s="3" t="s">
        <v>1711</v>
      </c>
      <c r="O522" s="3">
        <v>0</v>
      </c>
      <c r="P522" s="3">
        <v>0</v>
      </c>
      <c r="Q522" s="3">
        <v>7</v>
      </c>
      <c r="R522" s="3">
        <v>10.08</v>
      </c>
      <c r="S522" s="3">
        <v>0</v>
      </c>
      <c r="T522" s="3">
        <v>0</v>
      </c>
      <c r="U522" s="3">
        <v>0</v>
      </c>
      <c r="V522" s="3">
        <v>0</v>
      </c>
      <c r="W522" s="3" t="s">
        <v>1720</v>
      </c>
      <c r="X522" s="3">
        <v>14.99</v>
      </c>
      <c r="Y522" s="3">
        <v>14.99</v>
      </c>
      <c r="Z522" s="3">
        <v>14.99</v>
      </c>
      <c r="AA522" s="3">
        <v>0</v>
      </c>
      <c r="AB522" s="3" t="s">
        <v>1732</v>
      </c>
      <c r="AC522" s="3">
        <v>1</v>
      </c>
      <c r="AD522" s="3">
        <v>13.73</v>
      </c>
      <c r="AE522" s="3">
        <v>28</v>
      </c>
      <c r="AF522" s="3">
        <v>0</v>
      </c>
      <c r="AG522" s="3">
        <v>116.192088</v>
      </c>
      <c r="AH522" s="3">
        <v>0</v>
      </c>
      <c r="AI522" s="3" t="s">
        <v>1840</v>
      </c>
      <c r="AJ522" s="3" t="s">
        <v>1715</v>
      </c>
    </row>
    <row r="523" spans="1:36">
      <c r="A523" s="4">
        <v>43277</v>
      </c>
      <c r="B523" s="3" t="s">
        <v>3382</v>
      </c>
      <c r="C523" s="3" t="s">
        <v>3383</v>
      </c>
      <c r="D523" s="3" t="s">
        <v>3384</v>
      </c>
      <c r="E523" s="3" t="s">
        <v>3385</v>
      </c>
      <c r="F523" s="3" t="s">
        <v>1710</v>
      </c>
      <c r="G523" s="3">
        <v>23</v>
      </c>
      <c r="H523" s="3">
        <v>0</v>
      </c>
      <c r="I523" s="3">
        <v>8</v>
      </c>
      <c r="J523" s="3">
        <v>15</v>
      </c>
      <c r="K523" s="3">
        <v>0</v>
      </c>
      <c r="L523" s="3">
        <v>0</v>
      </c>
      <c r="M523" s="3">
        <v>0</v>
      </c>
      <c r="N523" s="3" t="s">
        <v>1711</v>
      </c>
      <c r="O523" s="3">
        <v>0</v>
      </c>
      <c r="P523" s="3">
        <v>0</v>
      </c>
      <c r="Q523" s="3">
        <v>0</v>
      </c>
      <c r="R523" s="3">
        <v>0</v>
      </c>
      <c r="S523" s="3">
        <v>1</v>
      </c>
      <c r="T523" s="3">
        <v>1</v>
      </c>
      <c r="U523" s="3">
        <v>10</v>
      </c>
      <c r="V523" s="3">
        <v>16</v>
      </c>
      <c r="W523" s="3"/>
      <c r="X523" s="3">
        <v>16.08</v>
      </c>
      <c r="Y523" s="3">
        <v>16.08</v>
      </c>
      <c r="Z523" s="3">
        <v>16.08</v>
      </c>
      <c r="AA523" s="3">
        <v>0</v>
      </c>
      <c r="AB523" s="3" t="s">
        <v>1732</v>
      </c>
      <c r="AC523" s="3">
        <v>3</v>
      </c>
      <c r="AD523" s="3">
        <v>10.7</v>
      </c>
      <c r="AE523" s="3">
        <v>56</v>
      </c>
      <c r="AF523" s="3">
        <v>0</v>
      </c>
      <c r="AG523" s="3">
        <v>156.1028</v>
      </c>
      <c r="AH523" s="3">
        <v>0.587155963302752</v>
      </c>
      <c r="AI523" s="3" t="s">
        <v>3386</v>
      </c>
      <c r="AJ523" s="3" t="s">
        <v>1715</v>
      </c>
    </row>
    <row r="524" spans="1:36">
      <c r="A524" s="4">
        <v>43277</v>
      </c>
      <c r="B524" s="3" t="s">
        <v>160</v>
      </c>
      <c r="C524" s="3" t="s">
        <v>161</v>
      </c>
      <c r="D524" s="3" t="s">
        <v>162</v>
      </c>
      <c r="E524" s="3" t="s">
        <v>163</v>
      </c>
      <c r="F524" s="3" t="s">
        <v>1710</v>
      </c>
      <c r="G524" s="3">
        <v>5</v>
      </c>
      <c r="H524" s="3">
        <v>0</v>
      </c>
      <c r="I524" s="3">
        <v>5</v>
      </c>
      <c r="J524" s="3">
        <v>0</v>
      </c>
      <c r="K524" s="3">
        <v>0</v>
      </c>
      <c r="L524" s="3">
        <v>0</v>
      </c>
      <c r="M524" s="3">
        <v>0</v>
      </c>
      <c r="N524" s="3" t="s">
        <v>1711</v>
      </c>
      <c r="O524" s="3">
        <v>0</v>
      </c>
      <c r="P524" s="3">
        <v>0</v>
      </c>
      <c r="Q524" s="3">
        <v>0</v>
      </c>
      <c r="R524" s="3">
        <v>0</v>
      </c>
      <c r="S524" s="3">
        <v>5</v>
      </c>
      <c r="T524" s="3">
        <v>10</v>
      </c>
      <c r="U524" s="3">
        <v>32</v>
      </c>
      <c r="V524" s="3">
        <v>43</v>
      </c>
      <c r="W524" s="3"/>
      <c r="X524" s="3">
        <v>14.99</v>
      </c>
      <c r="Y524" s="3">
        <v>14.99</v>
      </c>
      <c r="Z524" s="3">
        <v>14.99</v>
      </c>
      <c r="AA524" s="3">
        <v>0</v>
      </c>
      <c r="AB524" s="3" t="s">
        <v>1713</v>
      </c>
      <c r="AC524" s="3">
        <v>6</v>
      </c>
      <c r="AD524" s="3">
        <v>14.99</v>
      </c>
      <c r="AE524" s="3">
        <v>0</v>
      </c>
      <c r="AF524" s="3">
        <v>0</v>
      </c>
      <c r="AG524" s="3">
        <v>0</v>
      </c>
      <c r="AH524" s="3">
        <v>2.09756097560975</v>
      </c>
      <c r="AI524" s="3" t="s">
        <v>2467</v>
      </c>
      <c r="AJ524" s="3" t="s">
        <v>1715</v>
      </c>
    </row>
    <row r="525" spans="1:36">
      <c r="A525" s="4">
        <v>43277</v>
      </c>
      <c r="B525" s="3" t="s">
        <v>3387</v>
      </c>
      <c r="C525" s="3" t="s">
        <v>3388</v>
      </c>
      <c r="D525" s="3" t="s">
        <v>3389</v>
      </c>
      <c r="E525" s="3" t="s">
        <v>3390</v>
      </c>
      <c r="F525" s="3" t="s">
        <v>1710</v>
      </c>
      <c r="G525" s="3">
        <v>1</v>
      </c>
      <c r="H525" s="3">
        <v>0</v>
      </c>
      <c r="I525" s="3">
        <v>0</v>
      </c>
      <c r="J525" s="3">
        <v>0</v>
      </c>
      <c r="K525" s="3">
        <v>1</v>
      </c>
      <c r="L525" s="3">
        <v>0</v>
      </c>
      <c r="M525" s="3">
        <v>0</v>
      </c>
      <c r="N525" s="3" t="s">
        <v>1711</v>
      </c>
      <c r="O525" s="3">
        <v>1</v>
      </c>
      <c r="P525" s="3">
        <v>1.32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1</v>
      </c>
      <c r="W525" s="3" t="s">
        <v>1720</v>
      </c>
      <c r="X525" s="3">
        <v>13.99</v>
      </c>
      <c r="Y525" s="3">
        <v>13.99</v>
      </c>
      <c r="Z525" s="3">
        <v>13.99</v>
      </c>
      <c r="AA525" s="3">
        <v>0</v>
      </c>
      <c r="AB525" s="3" t="s">
        <v>1721</v>
      </c>
      <c r="AC525" s="3">
        <v>0</v>
      </c>
      <c r="AD525" s="3">
        <v>13.15</v>
      </c>
      <c r="AE525" s="3">
        <v>28</v>
      </c>
      <c r="AF525" s="3">
        <v>0</v>
      </c>
      <c r="AG525" s="3">
        <v>21.822658</v>
      </c>
      <c r="AH525" s="3">
        <v>0.8</v>
      </c>
      <c r="AI525" s="3" t="s">
        <v>2398</v>
      </c>
      <c r="AJ525" s="3" t="s">
        <v>1715</v>
      </c>
    </row>
    <row r="526" spans="1:36">
      <c r="A526" s="4">
        <v>43277</v>
      </c>
      <c r="B526" s="3" t="s">
        <v>3391</v>
      </c>
      <c r="C526" s="3" t="s">
        <v>3392</v>
      </c>
      <c r="D526" s="3" t="s">
        <v>3393</v>
      </c>
      <c r="E526" s="3" t="s">
        <v>3394</v>
      </c>
      <c r="F526" s="3" t="s">
        <v>1710</v>
      </c>
      <c r="G526" s="3">
        <v>9</v>
      </c>
      <c r="H526" s="3">
        <v>0</v>
      </c>
      <c r="I526" s="3">
        <v>0</v>
      </c>
      <c r="J526" s="3">
        <v>0</v>
      </c>
      <c r="K526" s="3">
        <v>9</v>
      </c>
      <c r="L526" s="3">
        <v>0</v>
      </c>
      <c r="M526" s="3">
        <v>0</v>
      </c>
      <c r="N526" s="3" t="s">
        <v>1711</v>
      </c>
      <c r="O526" s="3">
        <v>9</v>
      </c>
      <c r="P526" s="3">
        <v>11.92</v>
      </c>
      <c r="Q526" s="3">
        <v>0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 t="s">
        <v>1720</v>
      </c>
      <c r="X526" s="3">
        <v>18.99</v>
      </c>
      <c r="Y526" s="3">
        <v>18.99</v>
      </c>
      <c r="Z526" s="3">
        <v>18.99</v>
      </c>
      <c r="AA526" s="3">
        <v>0</v>
      </c>
      <c r="AB526" s="3" t="s">
        <v>1713</v>
      </c>
      <c r="AC526" s="3">
        <v>9</v>
      </c>
      <c r="AD526" s="3">
        <v>18.99</v>
      </c>
      <c r="AE526" s="3">
        <v>0</v>
      </c>
      <c r="AF526" s="3">
        <v>0</v>
      </c>
      <c r="AG526" s="3">
        <v>0</v>
      </c>
      <c r="AH526" s="3">
        <v>0</v>
      </c>
      <c r="AI526" s="3" t="s">
        <v>2398</v>
      </c>
      <c r="AJ526" s="3" t="s">
        <v>1715</v>
      </c>
    </row>
    <row r="527" spans="1:36">
      <c r="A527" s="4">
        <v>43277</v>
      </c>
      <c r="B527" s="3" t="s">
        <v>3395</v>
      </c>
      <c r="C527" s="3" t="s">
        <v>3396</v>
      </c>
      <c r="D527" s="3" t="s">
        <v>3397</v>
      </c>
      <c r="E527" s="3" t="s">
        <v>3398</v>
      </c>
      <c r="F527" s="3" t="s">
        <v>1710</v>
      </c>
      <c r="G527" s="3">
        <v>9</v>
      </c>
      <c r="H527" s="3">
        <v>0</v>
      </c>
      <c r="I527" s="3">
        <v>0</v>
      </c>
      <c r="J527" s="3">
        <v>0</v>
      </c>
      <c r="K527" s="3">
        <v>9</v>
      </c>
      <c r="L527" s="3">
        <v>0</v>
      </c>
      <c r="M527" s="3">
        <v>0</v>
      </c>
      <c r="N527" s="3" t="s">
        <v>1711</v>
      </c>
      <c r="O527" s="3">
        <v>9</v>
      </c>
      <c r="P527" s="3">
        <v>14.07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1720</v>
      </c>
      <c r="X527" s="3">
        <v>18.99</v>
      </c>
      <c r="Y527" s="3">
        <v>18.99</v>
      </c>
      <c r="Z527" s="3">
        <v>18.99</v>
      </c>
      <c r="AA527" s="3">
        <v>0</v>
      </c>
      <c r="AB527" s="3" t="s">
        <v>1732</v>
      </c>
      <c r="AC527" s="3">
        <v>0</v>
      </c>
      <c r="AD527" s="3">
        <v>17.57</v>
      </c>
      <c r="AE527" s="3">
        <v>49</v>
      </c>
      <c r="AF527" s="3">
        <v>0</v>
      </c>
      <c r="AG527" s="3">
        <v>257.103877</v>
      </c>
      <c r="AH527" s="3">
        <v>0</v>
      </c>
      <c r="AI527" s="3" t="s">
        <v>2002</v>
      </c>
      <c r="AJ527" s="3" t="s">
        <v>1715</v>
      </c>
    </row>
    <row r="528" spans="1:36">
      <c r="A528" s="4">
        <v>43277</v>
      </c>
      <c r="B528" s="3" t="s">
        <v>3399</v>
      </c>
      <c r="C528" s="3" t="s">
        <v>3400</v>
      </c>
      <c r="D528" s="3" t="s">
        <v>3401</v>
      </c>
      <c r="E528" s="3" t="s">
        <v>3402</v>
      </c>
      <c r="F528" s="3" t="s">
        <v>1710</v>
      </c>
      <c r="G528" s="3">
        <v>2</v>
      </c>
      <c r="H528" s="3">
        <v>0</v>
      </c>
      <c r="I528" s="3">
        <v>0</v>
      </c>
      <c r="J528" s="3">
        <v>1</v>
      </c>
      <c r="K528" s="3">
        <v>1</v>
      </c>
      <c r="L528" s="3">
        <v>0</v>
      </c>
      <c r="M528" s="3">
        <v>0</v>
      </c>
      <c r="N528" s="3" t="s">
        <v>1711</v>
      </c>
      <c r="O528" s="3">
        <v>2</v>
      </c>
      <c r="P528" s="3">
        <v>9.76</v>
      </c>
      <c r="Q528" s="3">
        <v>0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 t="s">
        <v>1712</v>
      </c>
      <c r="X528" s="3">
        <v>29.99</v>
      </c>
      <c r="Y528" s="3">
        <v>29.99</v>
      </c>
      <c r="Z528" s="3">
        <v>28.99</v>
      </c>
      <c r="AA528" s="3">
        <v>0</v>
      </c>
      <c r="AB528" s="3" t="s">
        <v>1732</v>
      </c>
      <c r="AC528" s="3">
        <v>0</v>
      </c>
      <c r="AD528" s="3">
        <v>25.79</v>
      </c>
      <c r="AE528" s="3">
        <v>140</v>
      </c>
      <c r="AF528" s="3">
        <v>0</v>
      </c>
      <c r="AG528" s="3">
        <v>125.005311</v>
      </c>
      <c r="AH528" s="3">
        <v>0</v>
      </c>
      <c r="AI528" s="3" t="s">
        <v>2094</v>
      </c>
      <c r="AJ528" s="3" t="s">
        <v>1715</v>
      </c>
    </row>
    <row r="529" spans="1:36">
      <c r="A529" s="4">
        <v>43277</v>
      </c>
      <c r="B529" s="3" t="s">
        <v>3403</v>
      </c>
      <c r="C529" s="3" t="s">
        <v>3404</v>
      </c>
      <c r="D529" s="3" t="s">
        <v>3405</v>
      </c>
      <c r="E529" s="3" t="s">
        <v>3406</v>
      </c>
      <c r="F529" s="3" t="s">
        <v>1710</v>
      </c>
      <c r="G529" s="3">
        <v>7</v>
      </c>
      <c r="H529" s="3">
        <v>0</v>
      </c>
      <c r="I529" s="3">
        <v>0</v>
      </c>
      <c r="J529" s="3">
        <v>0</v>
      </c>
      <c r="K529" s="3">
        <v>7</v>
      </c>
      <c r="L529" s="3">
        <v>0</v>
      </c>
      <c r="M529" s="3">
        <v>0</v>
      </c>
      <c r="N529" s="3" t="s">
        <v>1711</v>
      </c>
      <c r="O529" s="3">
        <v>7</v>
      </c>
      <c r="P529" s="3">
        <v>9.58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1720</v>
      </c>
      <c r="X529" s="3">
        <v>16.99</v>
      </c>
      <c r="Y529" s="3">
        <v>16.99</v>
      </c>
      <c r="Z529" s="3">
        <v>16.99</v>
      </c>
      <c r="AA529" s="3">
        <v>0</v>
      </c>
      <c r="AB529" s="3" t="s">
        <v>1732</v>
      </c>
      <c r="AC529" s="3">
        <v>1</v>
      </c>
      <c r="AD529" s="3">
        <v>15.41</v>
      </c>
      <c r="AE529" s="3">
        <v>112</v>
      </c>
      <c r="AF529" s="3">
        <v>0</v>
      </c>
      <c r="AG529" s="3">
        <v>165.387813</v>
      </c>
      <c r="AH529" s="3">
        <v>0</v>
      </c>
      <c r="AI529" s="3" t="s">
        <v>1851</v>
      </c>
      <c r="AJ529" s="3" t="s">
        <v>1715</v>
      </c>
    </row>
    <row r="530" spans="1:36">
      <c r="A530" s="4">
        <v>43277</v>
      </c>
      <c r="B530" s="3" t="s">
        <v>3407</v>
      </c>
      <c r="C530" s="3" t="s">
        <v>3408</v>
      </c>
      <c r="D530" s="3" t="s">
        <v>3409</v>
      </c>
      <c r="E530" s="3" t="s">
        <v>3410</v>
      </c>
      <c r="F530" s="3" t="s">
        <v>1710</v>
      </c>
      <c r="G530" s="3">
        <v>92</v>
      </c>
      <c r="H530" s="3">
        <v>0</v>
      </c>
      <c r="I530" s="3">
        <v>1</v>
      </c>
      <c r="J530" s="3">
        <v>9</v>
      </c>
      <c r="K530" s="3">
        <v>82</v>
      </c>
      <c r="L530" s="3">
        <v>0</v>
      </c>
      <c r="M530" s="3">
        <v>0</v>
      </c>
      <c r="N530" s="3" t="s">
        <v>1711</v>
      </c>
      <c r="O530" s="3">
        <v>90</v>
      </c>
      <c r="P530" s="3">
        <v>53.87</v>
      </c>
      <c r="Q530" s="3">
        <v>0</v>
      </c>
      <c r="R530" s="3">
        <v>0</v>
      </c>
      <c r="S530" s="3">
        <v>0</v>
      </c>
      <c r="T530" s="3">
        <v>1</v>
      </c>
      <c r="U530" s="3">
        <v>2</v>
      </c>
      <c r="V530" s="3">
        <v>7</v>
      </c>
      <c r="W530" s="3"/>
      <c r="X530" s="3">
        <v>16.99</v>
      </c>
      <c r="Y530" s="3">
        <v>16.99</v>
      </c>
      <c r="Z530" s="3">
        <v>16</v>
      </c>
      <c r="AA530" s="3">
        <v>0</v>
      </c>
      <c r="AB530" s="3" t="s">
        <v>1732</v>
      </c>
      <c r="AC530" s="3">
        <v>6</v>
      </c>
      <c r="AD530" s="3">
        <v>14.93</v>
      </c>
      <c r="AE530" s="3">
        <v>273</v>
      </c>
      <c r="AF530" s="3">
        <v>0</v>
      </c>
      <c r="AG530" s="3">
        <v>1369.947994</v>
      </c>
      <c r="AH530" s="3">
        <v>0.0353982300884955</v>
      </c>
      <c r="AI530" s="3" t="s">
        <v>1905</v>
      </c>
      <c r="AJ530" s="3" t="s">
        <v>1715</v>
      </c>
    </row>
    <row r="531" spans="1:36">
      <c r="A531" s="4">
        <v>43277</v>
      </c>
      <c r="B531" s="3" t="s">
        <v>3411</v>
      </c>
      <c r="C531" s="3" t="s">
        <v>3412</v>
      </c>
      <c r="D531" s="3" t="s">
        <v>3413</v>
      </c>
      <c r="E531" s="3" t="s">
        <v>3414</v>
      </c>
      <c r="F531" s="3" t="s">
        <v>1710</v>
      </c>
      <c r="G531" s="3">
        <v>23</v>
      </c>
      <c r="H531" s="3">
        <v>0</v>
      </c>
      <c r="I531" s="3">
        <v>23</v>
      </c>
      <c r="J531" s="3">
        <v>0</v>
      </c>
      <c r="K531" s="3">
        <v>0</v>
      </c>
      <c r="L531" s="3">
        <v>0</v>
      </c>
      <c r="M531" s="3">
        <v>0</v>
      </c>
      <c r="N531" s="3" t="s">
        <v>1711</v>
      </c>
      <c r="O531" s="3">
        <v>0</v>
      </c>
      <c r="P531" s="3">
        <v>0</v>
      </c>
      <c r="Q531" s="3">
        <v>0</v>
      </c>
      <c r="R531" s="3">
        <v>0</v>
      </c>
      <c r="S531" s="3">
        <v>13</v>
      </c>
      <c r="T531" s="3">
        <v>37</v>
      </c>
      <c r="U531" s="3">
        <v>46</v>
      </c>
      <c r="V531" s="3">
        <v>46</v>
      </c>
      <c r="W531" s="3"/>
      <c r="X531" s="3">
        <v>15.99</v>
      </c>
      <c r="Y531" s="3">
        <v>15.99</v>
      </c>
      <c r="Z531" s="3">
        <v>15.99</v>
      </c>
      <c r="AA531" s="3">
        <v>0</v>
      </c>
      <c r="AB531" s="3" t="s">
        <v>1713</v>
      </c>
      <c r="AC531" s="3">
        <v>2</v>
      </c>
      <c r="AD531" s="3">
        <v>15.99</v>
      </c>
      <c r="AE531" s="3">
        <v>0</v>
      </c>
      <c r="AF531" s="3">
        <v>0</v>
      </c>
      <c r="AG531" s="3">
        <v>0</v>
      </c>
      <c r="AH531" s="3">
        <v>2.42105263157894</v>
      </c>
      <c r="AI531" s="3" t="s">
        <v>1881</v>
      </c>
      <c r="AJ531" s="3" t="s">
        <v>1715</v>
      </c>
    </row>
    <row r="532" spans="1:36">
      <c r="A532" s="4">
        <v>43277</v>
      </c>
      <c r="B532" s="3" t="s">
        <v>3415</v>
      </c>
      <c r="C532" s="3" t="s">
        <v>3416</v>
      </c>
      <c r="D532" s="3" t="s">
        <v>3417</v>
      </c>
      <c r="E532" s="3" t="s">
        <v>3418</v>
      </c>
      <c r="F532" s="3" t="s">
        <v>1710</v>
      </c>
      <c r="G532" s="3">
        <v>1</v>
      </c>
      <c r="H532" s="3">
        <v>0</v>
      </c>
      <c r="I532" s="3">
        <v>0</v>
      </c>
      <c r="J532" s="3">
        <v>0</v>
      </c>
      <c r="K532" s="3">
        <v>0</v>
      </c>
      <c r="L532" s="3">
        <v>0</v>
      </c>
      <c r="M532" s="3">
        <v>1</v>
      </c>
      <c r="N532" s="3" t="s">
        <v>1711</v>
      </c>
      <c r="O532" s="3">
        <v>0</v>
      </c>
      <c r="P532" s="3">
        <v>0</v>
      </c>
      <c r="Q532" s="3">
        <v>1</v>
      </c>
      <c r="R532" s="3">
        <v>1.62</v>
      </c>
      <c r="S532" s="3">
        <v>0</v>
      </c>
      <c r="T532" s="3">
        <v>2</v>
      </c>
      <c r="U532" s="3">
        <v>2</v>
      </c>
      <c r="V532" s="3">
        <v>2</v>
      </c>
      <c r="W532" s="3" t="s">
        <v>1720</v>
      </c>
      <c r="X532" s="3">
        <v>39.9</v>
      </c>
      <c r="Y532" s="3">
        <v>12.99</v>
      </c>
      <c r="Z532" s="3">
        <v>12.99</v>
      </c>
      <c r="AA532" s="3">
        <v>0</v>
      </c>
      <c r="AB532" s="3" t="s">
        <v>1713</v>
      </c>
      <c r="AC532" s="3">
        <v>1</v>
      </c>
      <c r="AD532" s="3">
        <v>12.99</v>
      </c>
      <c r="AE532" s="3">
        <v>0</v>
      </c>
      <c r="AF532" s="3">
        <v>0</v>
      </c>
      <c r="AG532" s="3">
        <v>0</v>
      </c>
      <c r="AH532" s="3">
        <v>0.8</v>
      </c>
      <c r="AI532" s="3" t="s">
        <v>2529</v>
      </c>
      <c r="AJ532" s="3" t="s">
        <v>1715</v>
      </c>
    </row>
    <row r="533" spans="1:36">
      <c r="A533" s="4">
        <v>43277</v>
      </c>
      <c r="B533" s="3" t="s">
        <v>3419</v>
      </c>
      <c r="C533" s="3" t="s">
        <v>3420</v>
      </c>
      <c r="D533" s="3" t="s">
        <v>3421</v>
      </c>
      <c r="E533" s="3" t="s">
        <v>3422</v>
      </c>
      <c r="F533" s="3" t="s">
        <v>1710</v>
      </c>
      <c r="G533" s="3">
        <v>3</v>
      </c>
      <c r="H533" s="3">
        <v>0</v>
      </c>
      <c r="I533" s="3">
        <v>3</v>
      </c>
      <c r="J533" s="3">
        <v>0</v>
      </c>
      <c r="K533" s="3">
        <v>0</v>
      </c>
      <c r="L533" s="3">
        <v>0</v>
      </c>
      <c r="M533" s="3">
        <v>0</v>
      </c>
      <c r="N533" s="3" t="s">
        <v>1711</v>
      </c>
      <c r="O533" s="3">
        <v>0</v>
      </c>
      <c r="P533" s="3">
        <v>0</v>
      </c>
      <c r="Q533" s="3">
        <v>0</v>
      </c>
      <c r="R533" s="3">
        <v>0</v>
      </c>
      <c r="S533" s="3">
        <v>1</v>
      </c>
      <c r="T533" s="3">
        <v>2</v>
      </c>
      <c r="U533" s="3">
        <v>2</v>
      </c>
      <c r="V533" s="3">
        <v>2</v>
      </c>
      <c r="W533" s="3"/>
      <c r="X533" s="3">
        <v>19.99</v>
      </c>
      <c r="Y533" s="3">
        <v>19.99</v>
      </c>
      <c r="Z533" s="3">
        <v>19.99</v>
      </c>
      <c r="AA533" s="3">
        <v>0</v>
      </c>
      <c r="AB533" s="3" t="s">
        <v>1713</v>
      </c>
      <c r="AC533" s="3">
        <v>4</v>
      </c>
      <c r="AD533" s="3">
        <v>19.99</v>
      </c>
      <c r="AE533" s="3">
        <v>0</v>
      </c>
      <c r="AF533" s="3">
        <v>0</v>
      </c>
      <c r="AG533" s="3">
        <v>0</v>
      </c>
      <c r="AH533" s="3">
        <v>0.75</v>
      </c>
      <c r="AI533" s="3" t="s">
        <v>1962</v>
      </c>
      <c r="AJ533" s="3" t="s">
        <v>1715</v>
      </c>
    </row>
    <row r="534" spans="1:36">
      <c r="A534" s="4">
        <v>43277</v>
      </c>
      <c r="B534" s="3" t="s">
        <v>24</v>
      </c>
      <c r="C534" s="3" t="s">
        <v>25</v>
      </c>
      <c r="D534" s="3" t="s">
        <v>26</v>
      </c>
      <c r="E534" s="3" t="s">
        <v>3423</v>
      </c>
      <c r="F534" s="3" t="s">
        <v>1710</v>
      </c>
      <c r="G534" s="3">
        <v>20</v>
      </c>
      <c r="H534" s="3">
        <v>0</v>
      </c>
      <c r="I534" s="3">
        <v>20</v>
      </c>
      <c r="J534" s="3">
        <v>0</v>
      </c>
      <c r="K534" s="3">
        <v>0</v>
      </c>
      <c r="L534" s="3">
        <v>0</v>
      </c>
      <c r="M534" s="3">
        <v>0</v>
      </c>
      <c r="N534" s="3" t="s">
        <v>1711</v>
      </c>
      <c r="O534" s="3">
        <v>0</v>
      </c>
      <c r="P534" s="3">
        <v>0</v>
      </c>
      <c r="Q534" s="3">
        <v>0</v>
      </c>
      <c r="R534" s="3">
        <v>0</v>
      </c>
      <c r="S534" s="3">
        <v>3</v>
      </c>
      <c r="T534" s="3">
        <v>12</v>
      </c>
      <c r="U534" s="3">
        <v>15</v>
      </c>
      <c r="V534" s="3">
        <v>16</v>
      </c>
      <c r="W534" s="3"/>
      <c r="X534" s="3">
        <v>28.99</v>
      </c>
      <c r="Y534" s="3">
        <v>15.99</v>
      </c>
      <c r="Z534" s="3">
        <v>15.55</v>
      </c>
      <c r="AA534" s="3">
        <v>0</v>
      </c>
      <c r="AB534" s="3" t="s">
        <v>1713</v>
      </c>
      <c r="AC534" s="3">
        <v>11</v>
      </c>
      <c r="AD534" s="3">
        <v>15.99</v>
      </c>
      <c r="AE534" s="3">
        <v>0</v>
      </c>
      <c r="AF534" s="3">
        <v>0</v>
      </c>
      <c r="AG534" s="3">
        <v>0</v>
      </c>
      <c r="AH534" s="3">
        <v>1.42222222222222</v>
      </c>
      <c r="AI534" s="3" t="s">
        <v>3424</v>
      </c>
      <c r="AJ534" s="3" t="s">
        <v>1715</v>
      </c>
    </row>
    <row r="535" spans="1:36">
      <c r="A535" s="4">
        <v>43277</v>
      </c>
      <c r="B535" s="3" t="s">
        <v>3425</v>
      </c>
      <c r="C535" s="3" t="s">
        <v>3426</v>
      </c>
      <c r="D535" s="3" t="s">
        <v>3427</v>
      </c>
      <c r="E535" s="3" t="s">
        <v>3402</v>
      </c>
      <c r="F535" s="3" t="s">
        <v>1710</v>
      </c>
      <c r="G535" s="3">
        <v>4</v>
      </c>
      <c r="H535" s="3">
        <v>0</v>
      </c>
      <c r="I535" s="3">
        <v>0</v>
      </c>
      <c r="J535" s="3">
        <v>1</v>
      </c>
      <c r="K535" s="3">
        <v>3</v>
      </c>
      <c r="L535" s="3">
        <v>0</v>
      </c>
      <c r="M535" s="3">
        <v>0</v>
      </c>
      <c r="N535" s="3" t="s">
        <v>1711</v>
      </c>
      <c r="O535" s="3">
        <v>4</v>
      </c>
      <c r="P535" s="3">
        <v>14.51</v>
      </c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 t="s">
        <v>1712</v>
      </c>
      <c r="X535" s="3">
        <v>29.99</v>
      </c>
      <c r="Y535" s="3">
        <v>29.99</v>
      </c>
      <c r="Z535" s="3">
        <v>28.99</v>
      </c>
      <c r="AA535" s="3">
        <v>0</v>
      </c>
      <c r="AB535" s="3" t="s">
        <v>1732</v>
      </c>
      <c r="AC535" s="3">
        <v>0</v>
      </c>
      <c r="AD535" s="3">
        <v>27</v>
      </c>
      <c r="AE535" s="3">
        <v>49</v>
      </c>
      <c r="AF535" s="3">
        <v>0</v>
      </c>
      <c r="AG535" s="3">
        <v>215.151971</v>
      </c>
      <c r="AH535" s="3">
        <v>0</v>
      </c>
      <c r="AI535" s="3" t="s">
        <v>1831</v>
      </c>
      <c r="AJ535" s="3" t="s">
        <v>1715</v>
      </c>
    </row>
    <row r="536" spans="1:36">
      <c r="A536" s="4">
        <v>43277</v>
      </c>
      <c r="B536" s="3" t="s">
        <v>3428</v>
      </c>
      <c r="C536" s="3" t="s">
        <v>3429</v>
      </c>
      <c r="D536" s="3" t="s">
        <v>3430</v>
      </c>
      <c r="E536" s="3" t="s">
        <v>3431</v>
      </c>
      <c r="F536" s="3" t="s">
        <v>1710</v>
      </c>
      <c r="G536" s="3">
        <v>105</v>
      </c>
      <c r="H536" s="3">
        <v>0</v>
      </c>
      <c r="I536" s="3">
        <v>3</v>
      </c>
      <c r="J536" s="3">
        <v>18</v>
      </c>
      <c r="K536" s="3">
        <v>84</v>
      </c>
      <c r="L536" s="3">
        <v>0</v>
      </c>
      <c r="M536" s="3">
        <v>0</v>
      </c>
      <c r="N536" s="3" t="s">
        <v>1711</v>
      </c>
      <c r="O536" s="3">
        <v>93</v>
      </c>
      <c r="P536" s="3">
        <v>55.67</v>
      </c>
      <c r="Q536" s="3">
        <v>0</v>
      </c>
      <c r="R536" s="3">
        <v>0</v>
      </c>
      <c r="S536" s="3">
        <v>0</v>
      </c>
      <c r="T536" s="3">
        <v>0</v>
      </c>
      <c r="U536" s="3">
        <v>3</v>
      </c>
      <c r="V536" s="3">
        <v>5</v>
      </c>
      <c r="W536" s="3" t="s">
        <v>1712</v>
      </c>
      <c r="X536" s="3">
        <v>16.99</v>
      </c>
      <c r="Y536" s="3">
        <v>16.99</v>
      </c>
      <c r="Z536" s="3">
        <v>16</v>
      </c>
      <c r="AA536" s="3">
        <v>0</v>
      </c>
      <c r="AB536" s="3" t="s">
        <v>1732</v>
      </c>
      <c r="AC536" s="3">
        <v>89</v>
      </c>
      <c r="AD536" s="3">
        <v>15.55</v>
      </c>
      <c r="AE536" s="3">
        <v>112</v>
      </c>
      <c r="AF536" s="3">
        <v>0</v>
      </c>
      <c r="AG536" s="3">
        <v>2.691979</v>
      </c>
      <c r="AH536" s="3">
        <v>0.0279329608938547</v>
      </c>
      <c r="AI536" s="3" t="s">
        <v>1905</v>
      </c>
      <c r="AJ536" s="3" t="s">
        <v>1715</v>
      </c>
    </row>
    <row r="537" spans="1:36">
      <c r="A537" s="4">
        <v>43277</v>
      </c>
      <c r="B537" s="3" t="s">
        <v>3432</v>
      </c>
      <c r="C537" s="3" t="s">
        <v>3433</v>
      </c>
      <c r="D537" s="3" t="s">
        <v>3434</v>
      </c>
      <c r="E537" s="3" t="s">
        <v>349</v>
      </c>
      <c r="F537" s="3" t="s">
        <v>1710</v>
      </c>
      <c r="G537" s="3">
        <v>3</v>
      </c>
      <c r="H537" s="3">
        <v>0</v>
      </c>
      <c r="I537" s="3">
        <v>0</v>
      </c>
      <c r="J537" s="3">
        <v>1</v>
      </c>
      <c r="K537" s="3">
        <v>2</v>
      </c>
      <c r="L537" s="3">
        <v>0</v>
      </c>
      <c r="M537" s="3">
        <v>0</v>
      </c>
      <c r="N537" s="3" t="s">
        <v>1711</v>
      </c>
      <c r="O537" s="3">
        <v>2</v>
      </c>
      <c r="P537" s="3">
        <v>8.74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1</v>
      </c>
      <c r="W537" s="3" t="s">
        <v>1720</v>
      </c>
      <c r="X537" s="3">
        <v>18.99</v>
      </c>
      <c r="Y537" s="3">
        <v>18.99</v>
      </c>
      <c r="Z537" s="3">
        <v>18.99</v>
      </c>
      <c r="AA537" s="3">
        <v>0</v>
      </c>
      <c r="AB537" s="3" t="s">
        <v>1721</v>
      </c>
      <c r="AC537" s="3">
        <v>0</v>
      </c>
      <c r="AD537" s="3">
        <v>16.49</v>
      </c>
      <c r="AE537" s="3">
        <v>84</v>
      </c>
      <c r="AF537" s="3">
        <v>0</v>
      </c>
      <c r="AG537" s="3">
        <v>170.792333</v>
      </c>
      <c r="AH537" s="3">
        <v>0.307692307692307</v>
      </c>
      <c r="AI537" s="3" t="s">
        <v>2182</v>
      </c>
      <c r="AJ537" s="3" t="s">
        <v>1783</v>
      </c>
    </row>
    <row r="538" spans="1:36">
      <c r="A538" s="4">
        <v>43277</v>
      </c>
      <c r="B538" s="3" t="s">
        <v>3435</v>
      </c>
      <c r="C538" s="3" t="s">
        <v>3436</v>
      </c>
      <c r="D538" s="3" t="s">
        <v>3437</v>
      </c>
      <c r="E538" s="3" t="s">
        <v>3438</v>
      </c>
      <c r="F538" s="3" t="s">
        <v>1710</v>
      </c>
      <c r="G538" s="3">
        <v>27</v>
      </c>
      <c r="H538" s="3">
        <v>0</v>
      </c>
      <c r="I538" s="3">
        <v>11</v>
      </c>
      <c r="J538" s="3">
        <v>4</v>
      </c>
      <c r="K538" s="3">
        <v>1</v>
      </c>
      <c r="L538" s="3">
        <v>11</v>
      </c>
      <c r="M538" s="3">
        <v>0</v>
      </c>
      <c r="N538" s="3" t="s">
        <v>1711</v>
      </c>
      <c r="O538" s="3">
        <v>4</v>
      </c>
      <c r="P538" s="3">
        <v>1.18</v>
      </c>
      <c r="Q538" s="3">
        <v>9</v>
      </c>
      <c r="R538" s="3">
        <v>5.3</v>
      </c>
      <c r="S538" s="3">
        <v>5</v>
      </c>
      <c r="T538" s="3">
        <v>22</v>
      </c>
      <c r="U538" s="3">
        <v>35</v>
      </c>
      <c r="V538" s="3">
        <v>47</v>
      </c>
      <c r="W538" s="3"/>
      <c r="X538" s="3">
        <v>40</v>
      </c>
      <c r="Y538" s="3">
        <v>29.99</v>
      </c>
      <c r="Z538" s="3">
        <v>28</v>
      </c>
      <c r="AA538" s="3">
        <v>0</v>
      </c>
      <c r="AB538" s="3" t="s">
        <v>1713</v>
      </c>
      <c r="AC538" s="3">
        <v>30</v>
      </c>
      <c r="AD538" s="3">
        <v>29.99</v>
      </c>
      <c r="AE538" s="3">
        <v>0</v>
      </c>
      <c r="AF538" s="3">
        <v>0</v>
      </c>
      <c r="AG538" s="3">
        <v>0</v>
      </c>
      <c r="AH538" s="3">
        <v>1.03296703296703</v>
      </c>
      <c r="AI538" s="3" t="s">
        <v>3439</v>
      </c>
      <c r="AJ538" s="3" t="s">
        <v>1715</v>
      </c>
    </row>
    <row r="539" spans="1:36">
      <c r="A539" s="4">
        <v>43277</v>
      </c>
      <c r="B539" s="3" t="s">
        <v>3440</v>
      </c>
      <c r="C539" s="3" t="s">
        <v>3441</v>
      </c>
      <c r="D539" s="3" t="s">
        <v>3442</v>
      </c>
      <c r="E539" s="3" t="s">
        <v>3443</v>
      </c>
      <c r="F539" s="3" t="s">
        <v>1710</v>
      </c>
      <c r="G539" s="3">
        <v>4</v>
      </c>
      <c r="H539" s="3">
        <v>0</v>
      </c>
      <c r="I539" s="3">
        <v>0</v>
      </c>
      <c r="J539" s="3">
        <v>4</v>
      </c>
      <c r="K539" s="3">
        <v>0</v>
      </c>
      <c r="L539" s="3">
        <v>0</v>
      </c>
      <c r="M539" s="3">
        <v>0</v>
      </c>
      <c r="N539" s="3" t="s">
        <v>1711</v>
      </c>
      <c r="O539" s="3">
        <v>4</v>
      </c>
      <c r="P539" s="3">
        <v>6.34</v>
      </c>
      <c r="Q539" s="3">
        <v>0</v>
      </c>
      <c r="R539" s="3">
        <v>0</v>
      </c>
      <c r="S539" s="3">
        <v>0</v>
      </c>
      <c r="T539" s="3">
        <v>1</v>
      </c>
      <c r="U539" s="3">
        <v>1</v>
      </c>
      <c r="V539" s="3">
        <v>1</v>
      </c>
      <c r="W539" s="3" t="s">
        <v>1720</v>
      </c>
      <c r="X539" s="3">
        <v>18.99</v>
      </c>
      <c r="Y539" s="3">
        <v>18.99</v>
      </c>
      <c r="Z539" s="3">
        <v>18.99</v>
      </c>
      <c r="AA539" s="3">
        <v>0</v>
      </c>
      <c r="AB539" s="3" t="s">
        <v>1721</v>
      </c>
      <c r="AC539" s="3">
        <v>0</v>
      </c>
      <c r="AD539" s="3">
        <v>17.29</v>
      </c>
      <c r="AE539" s="3">
        <v>28</v>
      </c>
      <c r="AF539" s="3">
        <v>0</v>
      </c>
      <c r="AG539" s="3">
        <v>118.106586</v>
      </c>
      <c r="AH539" s="3">
        <v>0.210526315789473</v>
      </c>
      <c r="AI539" s="3" t="s">
        <v>3444</v>
      </c>
      <c r="AJ539" s="3" t="s">
        <v>1783</v>
      </c>
    </row>
    <row r="540" spans="1:36">
      <c r="A540" s="4">
        <v>43277</v>
      </c>
      <c r="B540" s="3" t="s">
        <v>3445</v>
      </c>
      <c r="C540" s="3" t="s">
        <v>3446</v>
      </c>
      <c r="D540" s="3" t="s">
        <v>3447</v>
      </c>
      <c r="E540" s="3" t="s">
        <v>3448</v>
      </c>
      <c r="F540" s="3" t="s">
        <v>1710</v>
      </c>
      <c r="G540" s="3">
        <v>2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2</v>
      </c>
      <c r="N540" s="3" t="s">
        <v>1711</v>
      </c>
      <c r="O540" s="3">
        <v>0</v>
      </c>
      <c r="P540" s="3">
        <v>0</v>
      </c>
      <c r="Q540" s="3">
        <v>2</v>
      </c>
      <c r="R540" s="3">
        <v>3.24</v>
      </c>
      <c r="S540" s="3">
        <v>0</v>
      </c>
      <c r="T540" s="3">
        <v>2</v>
      </c>
      <c r="U540" s="3">
        <v>2</v>
      </c>
      <c r="V540" s="3">
        <v>2</v>
      </c>
      <c r="W540" s="3" t="s">
        <v>1720</v>
      </c>
      <c r="X540" s="3">
        <v>12.99</v>
      </c>
      <c r="Y540" s="3">
        <v>12.99</v>
      </c>
      <c r="Z540" s="3">
        <v>12.99</v>
      </c>
      <c r="AA540" s="3">
        <v>0</v>
      </c>
      <c r="AB540" s="3" t="s">
        <v>1713</v>
      </c>
      <c r="AC540" s="3">
        <v>2</v>
      </c>
      <c r="AD540" s="3">
        <v>12.99</v>
      </c>
      <c r="AE540" s="3">
        <v>0</v>
      </c>
      <c r="AF540" s="3">
        <v>0</v>
      </c>
      <c r="AG540" s="3">
        <v>0</v>
      </c>
      <c r="AH540" s="3">
        <v>0.571428571428571</v>
      </c>
      <c r="AI540" s="3" t="s">
        <v>2529</v>
      </c>
      <c r="AJ540" s="3" t="s">
        <v>1715</v>
      </c>
    </row>
    <row r="541" spans="1:36">
      <c r="A541" s="4">
        <v>43277</v>
      </c>
      <c r="B541" s="3" t="s">
        <v>3449</v>
      </c>
      <c r="C541" s="3" t="s">
        <v>3450</v>
      </c>
      <c r="D541" s="3" t="s">
        <v>3451</v>
      </c>
      <c r="E541" s="3" t="s">
        <v>3452</v>
      </c>
      <c r="F541" s="3" t="s">
        <v>1710</v>
      </c>
      <c r="G541" s="3">
        <v>2</v>
      </c>
      <c r="H541" s="3">
        <v>0</v>
      </c>
      <c r="I541" s="3">
        <v>0</v>
      </c>
      <c r="J541" s="3">
        <v>0</v>
      </c>
      <c r="K541" s="3">
        <v>2</v>
      </c>
      <c r="L541" s="3">
        <v>0</v>
      </c>
      <c r="M541" s="3">
        <v>0</v>
      </c>
      <c r="N541" s="3" t="s">
        <v>1711</v>
      </c>
      <c r="O541" s="3">
        <v>2</v>
      </c>
      <c r="P541" s="3">
        <v>1.93</v>
      </c>
      <c r="Q541" s="3">
        <v>0</v>
      </c>
      <c r="R541" s="3">
        <v>0</v>
      </c>
      <c r="S541" s="3">
        <v>1</v>
      </c>
      <c r="T541" s="3">
        <v>1</v>
      </c>
      <c r="U541" s="3">
        <v>2</v>
      </c>
      <c r="V541" s="3">
        <v>3</v>
      </c>
      <c r="W541" s="3" t="s">
        <v>1720</v>
      </c>
      <c r="X541" s="3">
        <v>16.99</v>
      </c>
      <c r="Y541" s="3">
        <v>16.99</v>
      </c>
      <c r="Z541" s="3">
        <v>16.99</v>
      </c>
      <c r="AA541" s="3">
        <v>0</v>
      </c>
      <c r="AB541" s="3" t="s">
        <v>1721</v>
      </c>
      <c r="AC541" s="3">
        <v>0</v>
      </c>
      <c r="AD541" s="3">
        <v>13.38</v>
      </c>
      <c r="AE541" s="3">
        <v>147</v>
      </c>
      <c r="AF541" s="3">
        <v>0</v>
      </c>
      <c r="AG541" s="3">
        <v>17.640551</v>
      </c>
      <c r="AH541" s="3">
        <v>0.857142857142857</v>
      </c>
      <c r="AI541" s="3" t="s">
        <v>3453</v>
      </c>
      <c r="AJ541" s="3" t="s">
        <v>1783</v>
      </c>
    </row>
    <row r="542" spans="1:36">
      <c r="A542" s="4">
        <v>43277</v>
      </c>
      <c r="B542" s="3" t="s">
        <v>3454</v>
      </c>
      <c r="C542" s="3" t="s">
        <v>3455</v>
      </c>
      <c r="D542" s="3" t="s">
        <v>3456</v>
      </c>
      <c r="E542" s="3" t="s">
        <v>3457</v>
      </c>
      <c r="F542" s="3" t="s">
        <v>1710</v>
      </c>
      <c r="G542" s="3">
        <v>79</v>
      </c>
      <c r="H542" s="3">
        <v>0</v>
      </c>
      <c r="I542" s="3">
        <v>11</v>
      </c>
      <c r="J542" s="3">
        <v>43</v>
      </c>
      <c r="K542" s="3">
        <v>25</v>
      </c>
      <c r="L542" s="3">
        <v>0</v>
      </c>
      <c r="M542" s="3">
        <v>0</v>
      </c>
      <c r="N542" s="3" t="s">
        <v>1711</v>
      </c>
      <c r="O542" s="3">
        <v>62</v>
      </c>
      <c r="P542" s="3">
        <v>37.11</v>
      </c>
      <c r="Q542" s="3">
        <v>0</v>
      </c>
      <c r="R542" s="3">
        <v>0</v>
      </c>
      <c r="S542" s="3">
        <v>0</v>
      </c>
      <c r="T542" s="3">
        <v>2</v>
      </c>
      <c r="U542" s="3">
        <v>6</v>
      </c>
      <c r="V542" s="3">
        <v>20</v>
      </c>
      <c r="W542" s="3"/>
      <c r="X542" s="3">
        <v>16.99</v>
      </c>
      <c r="Y542" s="3">
        <v>16.99</v>
      </c>
      <c r="Z542" s="3">
        <v>16</v>
      </c>
      <c r="AA542" s="3">
        <v>0</v>
      </c>
      <c r="AB542" s="3" t="s">
        <v>1732</v>
      </c>
      <c r="AC542" s="3">
        <v>2</v>
      </c>
      <c r="AD542" s="3">
        <v>13.59</v>
      </c>
      <c r="AE542" s="3">
        <v>364</v>
      </c>
      <c r="AF542" s="3">
        <v>0</v>
      </c>
      <c r="AG542" s="3">
        <v>504.248581</v>
      </c>
      <c r="AH542" s="3">
        <v>0.127388535031847</v>
      </c>
      <c r="AI542" s="3" t="s">
        <v>1905</v>
      </c>
      <c r="AJ542" s="3" t="s">
        <v>1715</v>
      </c>
    </row>
    <row r="543" spans="1:36">
      <c r="A543" s="4">
        <v>43277</v>
      </c>
      <c r="B543" s="3" t="s">
        <v>3458</v>
      </c>
      <c r="C543" s="3" t="s">
        <v>3459</v>
      </c>
      <c r="D543" s="3" t="s">
        <v>3460</v>
      </c>
      <c r="E543" s="3" t="s">
        <v>1426</v>
      </c>
      <c r="F543" s="3" t="s">
        <v>1710</v>
      </c>
      <c r="G543" s="3">
        <v>10</v>
      </c>
      <c r="H543" s="3">
        <v>0</v>
      </c>
      <c r="I543" s="3">
        <v>10</v>
      </c>
      <c r="J543" s="3">
        <v>0</v>
      </c>
      <c r="K543" s="3">
        <v>0</v>
      </c>
      <c r="L543" s="3">
        <v>0</v>
      </c>
      <c r="M543" s="3">
        <v>0</v>
      </c>
      <c r="N543" s="3" t="s">
        <v>1711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0</v>
      </c>
      <c r="V543" s="3">
        <v>0</v>
      </c>
      <c r="W543" s="3" t="s">
        <v>1712</v>
      </c>
      <c r="X543" s="3">
        <v>19.99</v>
      </c>
      <c r="Y543" s="3">
        <v>19.99</v>
      </c>
      <c r="Z543" s="3">
        <v>19.99</v>
      </c>
      <c r="AA543" s="3">
        <v>0</v>
      </c>
      <c r="AB543" s="3" t="s">
        <v>1713</v>
      </c>
      <c r="AC543" s="3">
        <v>10</v>
      </c>
      <c r="AD543" s="3">
        <v>19.99</v>
      </c>
      <c r="AE543" s="3">
        <v>0</v>
      </c>
      <c r="AF543" s="3">
        <v>0</v>
      </c>
      <c r="AG543" s="3">
        <v>0</v>
      </c>
      <c r="AH543" s="3">
        <v>0</v>
      </c>
      <c r="AI543" s="3" t="s">
        <v>2295</v>
      </c>
      <c r="AJ543" s="3" t="s">
        <v>1715</v>
      </c>
    </row>
    <row r="544" spans="1:36">
      <c r="A544" s="4">
        <v>43277</v>
      </c>
      <c r="B544" s="3" t="s">
        <v>3461</v>
      </c>
      <c r="C544" s="3" t="s">
        <v>3462</v>
      </c>
      <c r="D544" s="3" t="s">
        <v>3463</v>
      </c>
      <c r="E544" s="3" t="s">
        <v>3464</v>
      </c>
      <c r="F544" s="3" t="s">
        <v>1710</v>
      </c>
      <c r="G544" s="3">
        <v>4</v>
      </c>
      <c r="H544" s="3">
        <v>0</v>
      </c>
      <c r="I544" s="3">
        <v>0</v>
      </c>
      <c r="J544" s="3">
        <v>0</v>
      </c>
      <c r="K544" s="3">
        <v>0</v>
      </c>
      <c r="L544" s="3">
        <v>4</v>
      </c>
      <c r="M544" s="3">
        <v>0</v>
      </c>
      <c r="N544" s="3" t="s">
        <v>1711</v>
      </c>
      <c r="O544" s="3">
        <v>4</v>
      </c>
      <c r="P544" s="3">
        <v>6.49</v>
      </c>
      <c r="Q544" s="3">
        <v>0</v>
      </c>
      <c r="R544" s="3">
        <v>0</v>
      </c>
      <c r="S544" s="3">
        <v>0</v>
      </c>
      <c r="T544" s="3">
        <v>0</v>
      </c>
      <c r="U544" s="3">
        <v>0</v>
      </c>
      <c r="V544" s="3">
        <v>0</v>
      </c>
      <c r="W544" s="3" t="s">
        <v>1720</v>
      </c>
      <c r="X544" s="3">
        <v>18.99</v>
      </c>
      <c r="Y544" s="3">
        <v>18.99</v>
      </c>
      <c r="Z544" s="3">
        <v>18.99</v>
      </c>
      <c r="AA544" s="3">
        <v>0</v>
      </c>
      <c r="AB544" s="3" t="s">
        <v>1721</v>
      </c>
      <c r="AC544" s="3">
        <v>0</v>
      </c>
      <c r="AD544" s="3">
        <v>15.93</v>
      </c>
      <c r="AE544" s="3">
        <v>231</v>
      </c>
      <c r="AF544" s="3">
        <v>0</v>
      </c>
      <c r="AG544" s="3">
        <v>103.160213</v>
      </c>
      <c r="AH544" s="3">
        <v>0</v>
      </c>
      <c r="AI544" s="3" t="s">
        <v>3465</v>
      </c>
      <c r="AJ544" s="3" t="s">
        <v>1783</v>
      </c>
    </row>
    <row r="545" spans="1:36">
      <c r="A545" s="4">
        <v>43277</v>
      </c>
      <c r="B545" s="3" t="s">
        <v>3466</v>
      </c>
      <c r="C545" s="3" t="s">
        <v>3467</v>
      </c>
      <c r="D545" s="3" t="s">
        <v>3468</v>
      </c>
      <c r="E545" s="3" t="s">
        <v>3469</v>
      </c>
      <c r="F545" s="3" t="s">
        <v>1710</v>
      </c>
      <c r="G545" s="3">
        <v>17</v>
      </c>
      <c r="H545" s="3">
        <v>0</v>
      </c>
      <c r="I545" s="3">
        <v>17</v>
      </c>
      <c r="J545" s="3">
        <v>0</v>
      </c>
      <c r="K545" s="3">
        <v>0</v>
      </c>
      <c r="L545" s="3">
        <v>0</v>
      </c>
      <c r="M545" s="3">
        <v>0</v>
      </c>
      <c r="N545" s="3" t="s">
        <v>1711</v>
      </c>
      <c r="O545" s="3">
        <v>0</v>
      </c>
      <c r="P545" s="3">
        <v>0</v>
      </c>
      <c r="Q545" s="3">
        <v>0</v>
      </c>
      <c r="R545" s="3">
        <v>0</v>
      </c>
      <c r="S545" s="3">
        <v>8</v>
      </c>
      <c r="T545" s="3">
        <v>26</v>
      </c>
      <c r="U545" s="3">
        <v>48</v>
      </c>
      <c r="V545" s="3">
        <v>69</v>
      </c>
      <c r="W545" s="3"/>
      <c r="X545" s="3">
        <v>38</v>
      </c>
      <c r="Y545" s="3">
        <v>28.58</v>
      </c>
      <c r="Z545" s="3">
        <v>28</v>
      </c>
      <c r="AA545" s="3">
        <v>0</v>
      </c>
      <c r="AB545" s="3" t="s">
        <v>1713</v>
      </c>
      <c r="AC545" s="3">
        <v>20</v>
      </c>
      <c r="AD545" s="3">
        <v>28.58</v>
      </c>
      <c r="AE545" s="3">
        <v>0</v>
      </c>
      <c r="AF545" s="3">
        <v>0</v>
      </c>
      <c r="AG545" s="3">
        <v>0</v>
      </c>
      <c r="AH545" s="3">
        <v>3.58441558441558</v>
      </c>
      <c r="AI545" s="3" t="s">
        <v>2128</v>
      </c>
      <c r="AJ545" s="3" t="s">
        <v>1715</v>
      </c>
    </row>
    <row r="546" spans="1:36">
      <c r="A546" s="4">
        <v>43277</v>
      </c>
      <c r="B546" s="3" t="s">
        <v>3470</v>
      </c>
      <c r="C546" s="3" t="s">
        <v>3471</v>
      </c>
      <c r="D546" s="3" t="s">
        <v>3472</v>
      </c>
      <c r="E546" s="3" t="s">
        <v>3473</v>
      </c>
      <c r="F546" s="3" t="s">
        <v>1710</v>
      </c>
      <c r="G546" s="3">
        <v>26</v>
      </c>
      <c r="H546" s="3">
        <v>0</v>
      </c>
      <c r="I546" s="3">
        <v>0</v>
      </c>
      <c r="J546" s="3">
        <v>26</v>
      </c>
      <c r="K546" s="3">
        <v>0</v>
      </c>
      <c r="L546" s="3">
        <v>0</v>
      </c>
      <c r="M546" s="3">
        <v>0</v>
      </c>
      <c r="N546" s="3" t="s">
        <v>1711</v>
      </c>
      <c r="O546" s="3">
        <v>26</v>
      </c>
      <c r="P546" s="3">
        <v>38.31</v>
      </c>
      <c r="Q546" s="3">
        <v>0</v>
      </c>
      <c r="R546" s="3">
        <v>0</v>
      </c>
      <c r="S546" s="3">
        <v>0</v>
      </c>
      <c r="T546" s="3">
        <v>0</v>
      </c>
      <c r="U546" s="3">
        <v>0</v>
      </c>
      <c r="V546" s="3">
        <v>0</v>
      </c>
      <c r="W546" s="3" t="s">
        <v>1720</v>
      </c>
      <c r="X546" s="3">
        <v>35</v>
      </c>
      <c r="Y546" s="3">
        <v>13.99</v>
      </c>
      <c r="Z546" s="3">
        <v>13.99</v>
      </c>
      <c r="AA546" s="3">
        <v>0</v>
      </c>
      <c r="AB546" s="3" t="s">
        <v>1732</v>
      </c>
      <c r="AC546" s="3">
        <v>0</v>
      </c>
      <c r="AD546" s="3">
        <v>11.19</v>
      </c>
      <c r="AE546" s="3">
        <v>63</v>
      </c>
      <c r="AF546" s="3">
        <v>0</v>
      </c>
      <c r="AG546" s="3">
        <v>451.837561</v>
      </c>
      <c r="AH546" s="3">
        <v>0</v>
      </c>
      <c r="AI546" s="3" t="s">
        <v>1770</v>
      </c>
      <c r="AJ546" s="3" t="s">
        <v>1715</v>
      </c>
    </row>
    <row r="547" spans="1:36">
      <c r="A547" s="4">
        <v>43277</v>
      </c>
      <c r="B547" s="3" t="s">
        <v>3474</v>
      </c>
      <c r="C547" s="3" t="s">
        <v>3475</v>
      </c>
      <c r="D547" s="3" t="s">
        <v>3476</v>
      </c>
      <c r="E547" s="3" t="s">
        <v>3477</v>
      </c>
      <c r="F547" s="3" t="s">
        <v>1710</v>
      </c>
      <c r="G547" s="3">
        <v>101</v>
      </c>
      <c r="H547" s="3">
        <v>0</v>
      </c>
      <c r="I547" s="3">
        <v>9</v>
      </c>
      <c r="J547" s="3">
        <v>28</v>
      </c>
      <c r="K547" s="3">
        <v>64</v>
      </c>
      <c r="L547" s="3">
        <v>0</v>
      </c>
      <c r="M547" s="3">
        <v>0</v>
      </c>
      <c r="N547" s="3" t="s">
        <v>1711</v>
      </c>
      <c r="O547" s="3">
        <v>85</v>
      </c>
      <c r="P547" s="3">
        <v>50.88</v>
      </c>
      <c r="Q547" s="3">
        <v>0</v>
      </c>
      <c r="R547" s="3">
        <v>0</v>
      </c>
      <c r="S547" s="3">
        <v>1</v>
      </c>
      <c r="T547" s="3">
        <v>5</v>
      </c>
      <c r="U547" s="3">
        <v>7</v>
      </c>
      <c r="V547" s="3">
        <v>17</v>
      </c>
      <c r="W547" s="3"/>
      <c r="X547" s="3">
        <v>16.99</v>
      </c>
      <c r="Y547" s="3">
        <v>16.99</v>
      </c>
      <c r="Z547" s="3">
        <v>16.99</v>
      </c>
      <c r="AA547" s="3">
        <v>0</v>
      </c>
      <c r="AB547" s="3" t="s">
        <v>1732</v>
      </c>
      <c r="AC547" s="3">
        <v>34</v>
      </c>
      <c r="AD547" s="3">
        <v>13.59</v>
      </c>
      <c r="AE547" s="3">
        <v>364</v>
      </c>
      <c r="AF547" s="3">
        <v>0</v>
      </c>
      <c r="AG547" s="3">
        <v>239.474364</v>
      </c>
      <c r="AH547" s="3">
        <v>0.100890207715133</v>
      </c>
      <c r="AI547" s="3" t="s">
        <v>1905</v>
      </c>
      <c r="AJ547" s="3" t="s">
        <v>1715</v>
      </c>
    </row>
    <row r="548" spans="1:36">
      <c r="A548" s="4">
        <v>43277</v>
      </c>
      <c r="B548" s="3" t="s">
        <v>887</v>
      </c>
      <c r="C548" s="3" t="s">
        <v>888</v>
      </c>
      <c r="D548" s="3" t="s">
        <v>889</v>
      </c>
      <c r="E548" s="3" t="s">
        <v>890</v>
      </c>
      <c r="F548" s="3" t="s">
        <v>1710</v>
      </c>
      <c r="G548" s="3">
        <v>14</v>
      </c>
      <c r="H548" s="3">
        <v>0</v>
      </c>
      <c r="I548" s="3">
        <v>14</v>
      </c>
      <c r="J548" s="3">
        <v>0</v>
      </c>
      <c r="K548" s="3">
        <v>0</v>
      </c>
      <c r="L548" s="3">
        <v>0</v>
      </c>
      <c r="M548" s="3">
        <v>0</v>
      </c>
      <c r="N548" s="3" t="s">
        <v>1711</v>
      </c>
      <c r="O548" s="3">
        <v>0</v>
      </c>
      <c r="P548" s="3">
        <v>0</v>
      </c>
      <c r="Q548" s="3">
        <v>0</v>
      </c>
      <c r="R548" s="3">
        <v>0</v>
      </c>
      <c r="S548" s="3">
        <v>4</v>
      </c>
      <c r="T548" s="3">
        <v>23</v>
      </c>
      <c r="U548" s="3">
        <v>37</v>
      </c>
      <c r="V548" s="3">
        <v>37</v>
      </c>
      <c r="W548" s="3"/>
      <c r="X548" s="3">
        <v>15.99</v>
      </c>
      <c r="Y548" s="3">
        <v>15.99</v>
      </c>
      <c r="Z548" s="3">
        <v>15.99</v>
      </c>
      <c r="AA548" s="3">
        <v>0</v>
      </c>
      <c r="AB548" s="3" t="s">
        <v>1713</v>
      </c>
      <c r="AC548" s="3">
        <v>7</v>
      </c>
      <c r="AD548" s="3">
        <v>15.99</v>
      </c>
      <c r="AE548" s="3">
        <v>0</v>
      </c>
      <c r="AF548" s="3">
        <v>0</v>
      </c>
      <c r="AG548" s="3">
        <v>0</v>
      </c>
      <c r="AH548" s="3">
        <v>2.5813953488372</v>
      </c>
      <c r="AI548" s="3" t="s">
        <v>1739</v>
      </c>
      <c r="AJ548" s="3" t="s">
        <v>1715</v>
      </c>
    </row>
    <row r="549" spans="1:36">
      <c r="A549" s="4">
        <v>43277</v>
      </c>
      <c r="B549" s="3" t="s">
        <v>3478</v>
      </c>
      <c r="C549" s="3" t="s">
        <v>3479</v>
      </c>
      <c r="D549" s="3" t="s">
        <v>3480</v>
      </c>
      <c r="E549" s="3" t="s">
        <v>3481</v>
      </c>
      <c r="F549" s="3" t="s">
        <v>1710</v>
      </c>
      <c r="G549" s="3">
        <v>8</v>
      </c>
      <c r="H549" s="3">
        <v>0</v>
      </c>
      <c r="I549" s="3">
        <v>0</v>
      </c>
      <c r="J549" s="3">
        <v>8</v>
      </c>
      <c r="K549" s="3">
        <v>0</v>
      </c>
      <c r="L549" s="3">
        <v>0</v>
      </c>
      <c r="M549" s="3">
        <v>0</v>
      </c>
      <c r="N549" s="3" t="s">
        <v>1711</v>
      </c>
      <c r="O549" s="3">
        <v>8</v>
      </c>
      <c r="P549" s="3">
        <v>24.63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1720</v>
      </c>
      <c r="X549" s="3">
        <v>21.99</v>
      </c>
      <c r="Y549" s="3">
        <v>21.99</v>
      </c>
      <c r="Z549" s="3">
        <v>21.99</v>
      </c>
      <c r="AA549" s="3">
        <v>0</v>
      </c>
      <c r="AB549" s="3" t="s">
        <v>1721</v>
      </c>
      <c r="AC549" s="3">
        <v>0</v>
      </c>
      <c r="AD549" s="3">
        <v>19</v>
      </c>
      <c r="AE549" s="3">
        <v>133</v>
      </c>
      <c r="AF549" s="3">
        <v>0</v>
      </c>
      <c r="AG549" s="3">
        <v>344.968283</v>
      </c>
      <c r="AH549" s="3">
        <v>0</v>
      </c>
      <c r="AI549" s="3" t="s">
        <v>1722</v>
      </c>
      <c r="AJ549" s="3" t="s">
        <v>1715</v>
      </c>
    </row>
    <row r="550" spans="1:36">
      <c r="A550" s="4">
        <v>43277</v>
      </c>
      <c r="B550" s="3" t="s">
        <v>3482</v>
      </c>
      <c r="C550" s="3" t="s">
        <v>3483</v>
      </c>
      <c r="D550" s="3" t="s">
        <v>3484</v>
      </c>
      <c r="E550" s="3" t="s">
        <v>3485</v>
      </c>
      <c r="F550" s="3" t="s">
        <v>1710</v>
      </c>
      <c r="G550" s="3">
        <v>39</v>
      </c>
      <c r="H550" s="3">
        <v>0</v>
      </c>
      <c r="I550" s="3">
        <v>8</v>
      </c>
      <c r="J550" s="3">
        <v>31</v>
      </c>
      <c r="K550" s="3">
        <v>0</v>
      </c>
      <c r="L550" s="3">
        <v>0</v>
      </c>
      <c r="M550" s="3">
        <v>0</v>
      </c>
      <c r="N550" s="3" t="s">
        <v>1711</v>
      </c>
      <c r="O550" s="3">
        <v>16</v>
      </c>
      <c r="P550" s="3">
        <v>8.96</v>
      </c>
      <c r="Q550" s="3">
        <v>0</v>
      </c>
      <c r="R550" s="3">
        <v>0</v>
      </c>
      <c r="S550" s="3">
        <v>0</v>
      </c>
      <c r="T550" s="3">
        <v>0</v>
      </c>
      <c r="U550" s="3">
        <v>2</v>
      </c>
      <c r="V550" s="3">
        <v>13</v>
      </c>
      <c r="W550" s="3" t="s">
        <v>1712</v>
      </c>
      <c r="X550" s="3">
        <v>16.99</v>
      </c>
      <c r="Y550" s="3">
        <v>16.99</v>
      </c>
      <c r="Z550" s="3">
        <v>16</v>
      </c>
      <c r="AA550" s="3">
        <v>0</v>
      </c>
      <c r="AB550" s="3" t="s">
        <v>1732</v>
      </c>
      <c r="AC550" s="3">
        <v>26</v>
      </c>
      <c r="AD550" s="3">
        <v>16.06</v>
      </c>
      <c r="AE550" s="3">
        <v>21</v>
      </c>
      <c r="AF550" s="3">
        <v>0</v>
      </c>
      <c r="AG550" s="3">
        <v>609.20329</v>
      </c>
      <c r="AH550" s="3">
        <v>0.322981366459627</v>
      </c>
      <c r="AI550" s="3" t="s">
        <v>3486</v>
      </c>
      <c r="AJ550" s="3" t="s">
        <v>1715</v>
      </c>
    </row>
    <row r="551" spans="1:36">
      <c r="A551" s="4">
        <v>43277</v>
      </c>
      <c r="B551" s="3" t="s">
        <v>3487</v>
      </c>
      <c r="C551" s="3" t="s">
        <v>3488</v>
      </c>
      <c r="D551" s="3" t="s">
        <v>3489</v>
      </c>
      <c r="E551" s="3" t="s">
        <v>3490</v>
      </c>
      <c r="F551" s="3" t="s">
        <v>1710</v>
      </c>
      <c r="G551" s="3">
        <v>1</v>
      </c>
      <c r="H551" s="3">
        <v>0</v>
      </c>
      <c r="I551" s="3">
        <v>1</v>
      </c>
      <c r="J551" s="3">
        <v>0</v>
      </c>
      <c r="K551" s="3">
        <v>0</v>
      </c>
      <c r="L551" s="3">
        <v>0</v>
      </c>
      <c r="M551" s="3">
        <v>0</v>
      </c>
      <c r="N551" s="3" t="s">
        <v>1711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0</v>
      </c>
      <c r="U551" s="3">
        <v>1</v>
      </c>
      <c r="V551" s="3">
        <v>2</v>
      </c>
      <c r="W551" s="3" t="s">
        <v>1720</v>
      </c>
      <c r="X551" s="3">
        <v>15.99</v>
      </c>
      <c r="Y551" s="3">
        <v>15.99</v>
      </c>
      <c r="Z551" s="3">
        <v>15.99</v>
      </c>
      <c r="AA551" s="3">
        <v>0</v>
      </c>
      <c r="AB551" s="3" t="s">
        <v>1721</v>
      </c>
      <c r="AC551" s="3">
        <v>0</v>
      </c>
      <c r="AD551" s="3">
        <v>14.65</v>
      </c>
      <c r="AE551" s="3">
        <v>224</v>
      </c>
      <c r="AF551" s="3">
        <v>0</v>
      </c>
      <c r="AG551" s="3">
        <v>10.849456</v>
      </c>
      <c r="AH551" s="3">
        <v>1.33333333333333</v>
      </c>
      <c r="AI551" s="3" t="s">
        <v>3491</v>
      </c>
      <c r="AJ551" s="3" t="s">
        <v>1783</v>
      </c>
    </row>
    <row r="552" spans="1:36">
      <c r="A552" s="4">
        <v>43277</v>
      </c>
      <c r="B552" s="3" t="s">
        <v>3492</v>
      </c>
      <c r="C552" s="3" t="s">
        <v>3493</v>
      </c>
      <c r="D552" s="3" t="s">
        <v>3494</v>
      </c>
      <c r="E552" s="3" t="s">
        <v>3495</v>
      </c>
      <c r="F552" s="3" t="s">
        <v>1710</v>
      </c>
      <c r="G552" s="3">
        <v>7</v>
      </c>
      <c r="H552" s="3">
        <v>0</v>
      </c>
      <c r="I552" s="3">
        <v>0</v>
      </c>
      <c r="J552" s="3">
        <v>7</v>
      </c>
      <c r="K552" s="3">
        <v>0</v>
      </c>
      <c r="L552" s="3">
        <v>0</v>
      </c>
      <c r="M552" s="3">
        <v>0</v>
      </c>
      <c r="N552" s="3" t="s">
        <v>1711</v>
      </c>
      <c r="O552" s="3">
        <v>0</v>
      </c>
      <c r="P552" s="3">
        <v>0</v>
      </c>
      <c r="Q552" s="3">
        <v>0</v>
      </c>
      <c r="R552" s="3">
        <v>0</v>
      </c>
      <c r="S552" s="3">
        <v>0</v>
      </c>
      <c r="T552" s="3">
        <v>0</v>
      </c>
      <c r="U552" s="3">
        <v>2</v>
      </c>
      <c r="V552" s="3">
        <v>6</v>
      </c>
      <c r="W552" s="3" t="s">
        <v>1712</v>
      </c>
      <c r="X552" s="3">
        <v>22.99</v>
      </c>
      <c r="Y552" s="3">
        <v>22.99</v>
      </c>
      <c r="Z552" s="3">
        <v>22.99</v>
      </c>
      <c r="AA552" s="3">
        <v>0</v>
      </c>
      <c r="AB552" s="3" t="s">
        <v>1732</v>
      </c>
      <c r="AC552" s="3">
        <v>2</v>
      </c>
      <c r="AD552" s="3">
        <v>11.2</v>
      </c>
      <c r="AE552" s="3">
        <v>35</v>
      </c>
      <c r="AF552" s="3">
        <v>0</v>
      </c>
      <c r="AG552" s="3">
        <v>38.536468</v>
      </c>
      <c r="AH552" s="3">
        <v>0.75</v>
      </c>
      <c r="AI552" s="3" t="s">
        <v>1734</v>
      </c>
      <c r="AJ552" s="3" t="s">
        <v>1715</v>
      </c>
    </row>
    <row r="553" spans="1:36">
      <c r="A553" s="4">
        <v>43277</v>
      </c>
      <c r="B553" s="3" t="s">
        <v>3496</v>
      </c>
      <c r="C553" s="3" t="s">
        <v>3497</v>
      </c>
      <c r="D553" s="3" t="s">
        <v>3498</v>
      </c>
      <c r="E553" s="3" t="s">
        <v>3499</v>
      </c>
      <c r="F553" s="3" t="s">
        <v>1710</v>
      </c>
      <c r="G553" s="3">
        <v>12</v>
      </c>
      <c r="H553" s="3">
        <v>0</v>
      </c>
      <c r="I553" s="3">
        <v>12</v>
      </c>
      <c r="J553" s="3">
        <v>0</v>
      </c>
      <c r="K553" s="3">
        <v>0</v>
      </c>
      <c r="L553" s="3">
        <v>0</v>
      </c>
      <c r="M553" s="3">
        <v>0</v>
      </c>
      <c r="N553" s="3" t="s">
        <v>1711</v>
      </c>
      <c r="O553" s="3">
        <v>0</v>
      </c>
      <c r="P553" s="3">
        <v>0</v>
      </c>
      <c r="Q553" s="3">
        <v>0</v>
      </c>
      <c r="R553" s="3">
        <v>0</v>
      </c>
      <c r="S553" s="3">
        <v>1</v>
      </c>
      <c r="T553" s="3">
        <v>4</v>
      </c>
      <c r="U553" s="3">
        <v>4</v>
      </c>
      <c r="V553" s="3">
        <v>4</v>
      </c>
      <c r="W553" s="3"/>
      <c r="X553" s="3">
        <v>28.99</v>
      </c>
      <c r="Y553" s="3">
        <v>28.99</v>
      </c>
      <c r="Z553" s="3">
        <v>28.99</v>
      </c>
      <c r="AA553" s="3">
        <v>0</v>
      </c>
      <c r="AB553" s="3" t="s">
        <v>1713</v>
      </c>
      <c r="AC553" s="3">
        <v>11</v>
      </c>
      <c r="AD553" s="3">
        <v>28.99</v>
      </c>
      <c r="AE553" s="3">
        <v>0</v>
      </c>
      <c r="AF553" s="3">
        <v>0</v>
      </c>
      <c r="AG553" s="3">
        <v>0</v>
      </c>
      <c r="AH553" s="3">
        <v>0.333333333333333</v>
      </c>
      <c r="AI553" s="3" t="s">
        <v>2065</v>
      </c>
      <c r="AJ553" s="3" t="s">
        <v>1715</v>
      </c>
    </row>
    <row r="554" spans="1:36">
      <c r="A554" s="4">
        <v>43277</v>
      </c>
      <c r="B554" s="3" t="s">
        <v>3500</v>
      </c>
      <c r="C554" s="3" t="s">
        <v>3501</v>
      </c>
      <c r="D554" s="3" t="s">
        <v>3502</v>
      </c>
      <c r="E554" s="3" t="s">
        <v>3503</v>
      </c>
      <c r="F554" s="3" t="s">
        <v>1710</v>
      </c>
      <c r="G554" s="3">
        <v>9</v>
      </c>
      <c r="H554" s="3">
        <v>0</v>
      </c>
      <c r="I554" s="3">
        <v>2</v>
      </c>
      <c r="J554" s="3">
        <v>0</v>
      </c>
      <c r="K554" s="3">
        <v>0</v>
      </c>
      <c r="L554" s="3">
        <v>0</v>
      </c>
      <c r="M554" s="3">
        <v>7</v>
      </c>
      <c r="N554" s="3" t="s">
        <v>1711</v>
      </c>
      <c r="O554" s="3">
        <v>0</v>
      </c>
      <c r="P554" s="3">
        <v>0</v>
      </c>
      <c r="Q554" s="3">
        <v>7</v>
      </c>
      <c r="R554" s="3">
        <v>9.84</v>
      </c>
      <c r="S554" s="3">
        <v>0</v>
      </c>
      <c r="T554" s="3">
        <v>1</v>
      </c>
      <c r="U554" s="3">
        <v>1</v>
      </c>
      <c r="V554" s="3">
        <v>1</v>
      </c>
      <c r="W554" s="3"/>
      <c r="X554" s="3">
        <v>28.99</v>
      </c>
      <c r="Y554" s="3">
        <v>15.99</v>
      </c>
      <c r="Z554" s="3">
        <v>15.55</v>
      </c>
      <c r="AA554" s="3">
        <v>0</v>
      </c>
      <c r="AB554" s="3" t="s">
        <v>1713</v>
      </c>
      <c r="AC554" s="3">
        <v>9</v>
      </c>
      <c r="AD554" s="3">
        <v>15.99</v>
      </c>
      <c r="AE554" s="3">
        <v>0</v>
      </c>
      <c r="AF554" s="3">
        <v>0</v>
      </c>
      <c r="AG554" s="3">
        <v>0</v>
      </c>
      <c r="AH554" s="3">
        <v>0.108108108108108</v>
      </c>
      <c r="AI554" s="3" t="s">
        <v>2036</v>
      </c>
      <c r="AJ554" s="3" t="s">
        <v>1715</v>
      </c>
    </row>
    <row r="555" spans="1:36">
      <c r="A555" s="4">
        <v>43277</v>
      </c>
      <c r="B555" s="3" t="s">
        <v>3504</v>
      </c>
      <c r="C555" s="3" t="s">
        <v>3505</v>
      </c>
      <c r="D555" s="3" t="s">
        <v>3506</v>
      </c>
      <c r="E555" s="3" t="s">
        <v>3507</v>
      </c>
      <c r="F555" s="3" t="s">
        <v>1710</v>
      </c>
      <c r="G555" s="3">
        <v>2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2</v>
      </c>
      <c r="N555" s="3" t="s">
        <v>1711</v>
      </c>
      <c r="O555" s="3">
        <v>0</v>
      </c>
      <c r="P555" s="3">
        <v>0</v>
      </c>
      <c r="Q555" s="3">
        <v>2</v>
      </c>
      <c r="R555" s="3">
        <v>2.99</v>
      </c>
      <c r="S555" s="3">
        <v>0</v>
      </c>
      <c r="T555" s="3">
        <v>0</v>
      </c>
      <c r="U555" s="3">
        <v>0</v>
      </c>
      <c r="V555" s="3">
        <v>0</v>
      </c>
      <c r="W555" s="3" t="s">
        <v>1720</v>
      </c>
      <c r="X555" s="3">
        <v>15.99</v>
      </c>
      <c r="Y555" s="3">
        <v>15.99</v>
      </c>
      <c r="Z555" s="3">
        <v>15.99</v>
      </c>
      <c r="AA555" s="3">
        <v>0</v>
      </c>
      <c r="AB555" s="3" t="s">
        <v>1732</v>
      </c>
      <c r="AC555" s="3">
        <v>0</v>
      </c>
      <c r="AD555" s="3">
        <v>14.37</v>
      </c>
      <c r="AE555" s="3">
        <v>105</v>
      </c>
      <c r="AF555" s="3">
        <v>0</v>
      </c>
      <c r="AG555" s="3">
        <v>31.862487</v>
      </c>
      <c r="AH555" s="3">
        <v>0</v>
      </c>
      <c r="AI555" s="3" t="s">
        <v>3508</v>
      </c>
      <c r="AJ555" s="3" t="s">
        <v>1715</v>
      </c>
    </row>
    <row r="556" spans="1:36">
      <c r="A556" s="4">
        <v>43277</v>
      </c>
      <c r="B556" s="3" t="s">
        <v>899</v>
      </c>
      <c r="C556" s="3" t="s">
        <v>900</v>
      </c>
      <c r="D556" s="3" t="s">
        <v>901</v>
      </c>
      <c r="E556" s="3" t="s">
        <v>902</v>
      </c>
      <c r="F556" s="3" t="s">
        <v>1710</v>
      </c>
      <c r="G556" s="3">
        <v>12</v>
      </c>
      <c r="H556" s="3">
        <v>0</v>
      </c>
      <c r="I556" s="3">
        <v>12</v>
      </c>
      <c r="J556" s="3">
        <v>0</v>
      </c>
      <c r="K556" s="3">
        <v>0</v>
      </c>
      <c r="L556" s="3">
        <v>0</v>
      </c>
      <c r="M556" s="3">
        <v>0</v>
      </c>
      <c r="N556" s="3" t="s">
        <v>1711</v>
      </c>
      <c r="O556" s="3">
        <v>0</v>
      </c>
      <c r="P556" s="3">
        <v>0</v>
      </c>
      <c r="Q556" s="3">
        <v>0</v>
      </c>
      <c r="R556" s="3">
        <v>0</v>
      </c>
      <c r="S556" s="3">
        <v>5</v>
      </c>
      <c r="T556" s="3">
        <v>24</v>
      </c>
      <c r="U556" s="3">
        <v>48</v>
      </c>
      <c r="V556" s="3">
        <v>49</v>
      </c>
      <c r="W556" s="3"/>
      <c r="X556" s="3">
        <v>15.99</v>
      </c>
      <c r="Y556" s="3">
        <v>15.99</v>
      </c>
      <c r="Z556" s="3">
        <v>15.99</v>
      </c>
      <c r="AA556" s="3">
        <v>0</v>
      </c>
      <c r="AB556" s="3" t="s">
        <v>1713</v>
      </c>
      <c r="AC556" s="3">
        <v>3</v>
      </c>
      <c r="AD556" s="3">
        <v>15.99</v>
      </c>
      <c r="AE556" s="3">
        <v>0</v>
      </c>
      <c r="AF556" s="3">
        <v>0</v>
      </c>
      <c r="AG556" s="3">
        <v>0</v>
      </c>
      <c r="AH556" s="3">
        <v>4.59375</v>
      </c>
      <c r="AI556" s="3" t="s">
        <v>1739</v>
      </c>
      <c r="AJ556" s="3" t="s">
        <v>1715</v>
      </c>
    </row>
    <row r="557" spans="1:36">
      <c r="A557" s="4">
        <v>43277</v>
      </c>
      <c r="B557" s="3" t="s">
        <v>983</v>
      </c>
      <c r="C557" s="3" t="s">
        <v>984</v>
      </c>
      <c r="D557" s="3" t="s">
        <v>985</v>
      </c>
      <c r="E557" s="3" t="s">
        <v>986</v>
      </c>
      <c r="F557" s="3" t="s">
        <v>1710</v>
      </c>
      <c r="G557" s="3">
        <v>7</v>
      </c>
      <c r="H557" s="3">
        <v>0</v>
      </c>
      <c r="I557" s="3">
        <v>7</v>
      </c>
      <c r="J557" s="3">
        <v>0</v>
      </c>
      <c r="K557" s="3">
        <v>0</v>
      </c>
      <c r="L557" s="3">
        <v>0</v>
      </c>
      <c r="M557" s="3">
        <v>0</v>
      </c>
      <c r="N557" s="3" t="s">
        <v>1711</v>
      </c>
      <c r="O557" s="3">
        <v>0</v>
      </c>
      <c r="P557" s="3">
        <v>0</v>
      </c>
      <c r="Q557" s="3">
        <v>0</v>
      </c>
      <c r="R557" s="3">
        <v>0</v>
      </c>
      <c r="S557" s="3">
        <v>1</v>
      </c>
      <c r="T557" s="3">
        <v>11</v>
      </c>
      <c r="U557" s="3">
        <v>18</v>
      </c>
      <c r="V557" s="3">
        <v>19</v>
      </c>
      <c r="W557" s="3"/>
      <c r="X557" s="3">
        <v>15.99</v>
      </c>
      <c r="Y557" s="3">
        <v>15.99</v>
      </c>
      <c r="Z557" s="3">
        <v>15.99</v>
      </c>
      <c r="AA557" s="3">
        <v>0</v>
      </c>
      <c r="AB557" s="3" t="s">
        <v>1713</v>
      </c>
      <c r="AC557" s="3">
        <v>8</v>
      </c>
      <c r="AD557" s="3">
        <v>15.99</v>
      </c>
      <c r="AE557" s="3">
        <v>0</v>
      </c>
      <c r="AF557" s="3">
        <v>0</v>
      </c>
      <c r="AG557" s="3">
        <v>0</v>
      </c>
      <c r="AH557" s="3">
        <v>1.46153846153846</v>
      </c>
      <c r="AI557" s="3" t="s">
        <v>1739</v>
      </c>
      <c r="AJ557" s="3" t="s">
        <v>1715</v>
      </c>
    </row>
    <row r="558" spans="1:36">
      <c r="A558" s="4">
        <v>43277</v>
      </c>
      <c r="B558" s="3" t="s">
        <v>3509</v>
      </c>
      <c r="C558" s="3" t="s">
        <v>3510</v>
      </c>
      <c r="D558" s="3" t="s">
        <v>3511</v>
      </c>
      <c r="E558" s="3" t="s">
        <v>3512</v>
      </c>
      <c r="F558" s="3" t="s">
        <v>1710</v>
      </c>
      <c r="G558" s="3">
        <v>79</v>
      </c>
      <c r="H558" s="3">
        <v>0</v>
      </c>
      <c r="I558" s="3">
        <v>0</v>
      </c>
      <c r="J558" s="3">
        <v>79</v>
      </c>
      <c r="K558" s="3">
        <v>0</v>
      </c>
      <c r="L558" s="3">
        <v>0</v>
      </c>
      <c r="M558" s="3">
        <v>0</v>
      </c>
      <c r="N558" s="3" t="s">
        <v>1711</v>
      </c>
      <c r="O558" s="3">
        <v>78</v>
      </c>
      <c r="P558" s="3">
        <v>114.96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1720</v>
      </c>
      <c r="X558" s="3">
        <v>35</v>
      </c>
      <c r="Y558" s="3">
        <v>13.99</v>
      </c>
      <c r="Z558" s="3">
        <v>13.99</v>
      </c>
      <c r="AA558" s="3">
        <v>0</v>
      </c>
      <c r="AB558" s="3" t="s">
        <v>1732</v>
      </c>
      <c r="AC558" s="3">
        <v>0</v>
      </c>
      <c r="AD558" s="3">
        <v>11.19</v>
      </c>
      <c r="AE558" s="3">
        <v>63</v>
      </c>
      <c r="AF558" s="3">
        <v>0</v>
      </c>
      <c r="AG558" s="3">
        <v>1373.073164</v>
      </c>
      <c r="AH558" s="3">
        <v>0</v>
      </c>
      <c r="AI558" s="3" t="s">
        <v>1770</v>
      </c>
      <c r="AJ558" s="3" t="s">
        <v>1715</v>
      </c>
    </row>
    <row r="559" spans="1:36">
      <c r="A559" s="4">
        <v>43277</v>
      </c>
      <c r="B559" s="3" t="s">
        <v>176</v>
      </c>
      <c r="C559" s="3" t="s">
        <v>177</v>
      </c>
      <c r="D559" s="3" t="s">
        <v>178</v>
      </c>
      <c r="E559" s="3" t="s">
        <v>179</v>
      </c>
      <c r="F559" s="3" t="s">
        <v>1710</v>
      </c>
      <c r="G559" s="3">
        <v>96</v>
      </c>
      <c r="H559" s="3">
        <v>0</v>
      </c>
      <c r="I559" s="3">
        <v>96</v>
      </c>
      <c r="J559" s="3">
        <v>0</v>
      </c>
      <c r="K559" s="3">
        <v>0</v>
      </c>
      <c r="L559" s="3">
        <v>0</v>
      </c>
      <c r="M559" s="3">
        <v>0</v>
      </c>
      <c r="N559" s="3" t="s">
        <v>1711</v>
      </c>
      <c r="O559" s="3">
        <v>0</v>
      </c>
      <c r="P559" s="3">
        <v>0</v>
      </c>
      <c r="Q559" s="3">
        <v>0</v>
      </c>
      <c r="R559" s="3">
        <v>0</v>
      </c>
      <c r="S559" s="3">
        <v>32</v>
      </c>
      <c r="T559" s="3">
        <v>116</v>
      </c>
      <c r="U559" s="3">
        <v>233</v>
      </c>
      <c r="V559" s="3">
        <v>351</v>
      </c>
      <c r="W559" s="3"/>
      <c r="X559" s="3">
        <v>28.99</v>
      </c>
      <c r="Y559" s="3">
        <v>14.99</v>
      </c>
      <c r="Z559" s="3">
        <v>14.99</v>
      </c>
      <c r="AA559" s="3">
        <v>0</v>
      </c>
      <c r="AB559" s="3" t="s">
        <v>1713</v>
      </c>
      <c r="AC559" s="3">
        <v>111</v>
      </c>
      <c r="AD559" s="3">
        <v>14.99</v>
      </c>
      <c r="AE559" s="3">
        <v>0</v>
      </c>
      <c r="AF559" s="3">
        <v>0</v>
      </c>
      <c r="AG559" s="3">
        <v>0</v>
      </c>
      <c r="AH559" s="3">
        <v>4.05780346820809</v>
      </c>
      <c r="AI559" s="3" t="s">
        <v>2467</v>
      </c>
      <c r="AJ559" s="3" t="s">
        <v>1715</v>
      </c>
    </row>
    <row r="560" spans="1:36">
      <c r="A560" s="4">
        <v>43277</v>
      </c>
      <c r="B560" s="3" t="s">
        <v>1537</v>
      </c>
      <c r="C560" s="3" t="s">
        <v>1538</v>
      </c>
      <c r="D560" s="3" t="s">
        <v>1539</v>
      </c>
      <c r="E560" s="3" t="s">
        <v>1540</v>
      </c>
      <c r="F560" s="3" t="s">
        <v>1710</v>
      </c>
      <c r="G560" s="3">
        <v>23</v>
      </c>
      <c r="H560" s="3">
        <v>0</v>
      </c>
      <c r="I560" s="3">
        <v>23</v>
      </c>
      <c r="J560" s="3">
        <v>0</v>
      </c>
      <c r="K560" s="3">
        <v>0</v>
      </c>
      <c r="L560" s="3">
        <v>0</v>
      </c>
      <c r="M560" s="3">
        <v>0</v>
      </c>
      <c r="N560" s="3" t="s">
        <v>1711</v>
      </c>
      <c r="O560" s="3">
        <v>0</v>
      </c>
      <c r="P560" s="3">
        <v>0</v>
      </c>
      <c r="Q560" s="3">
        <v>0</v>
      </c>
      <c r="R560" s="3">
        <v>0</v>
      </c>
      <c r="S560" s="3">
        <v>16</v>
      </c>
      <c r="T560" s="3">
        <v>57</v>
      </c>
      <c r="U560" s="3">
        <v>94</v>
      </c>
      <c r="V560" s="3">
        <v>116</v>
      </c>
      <c r="W560" s="3"/>
      <c r="X560" s="3">
        <v>40</v>
      </c>
      <c r="Y560" s="3">
        <v>29.99</v>
      </c>
      <c r="Z560" s="3">
        <v>28</v>
      </c>
      <c r="AA560" s="3">
        <v>0</v>
      </c>
      <c r="AB560" s="3" t="s">
        <v>1713</v>
      </c>
      <c r="AC560" s="3">
        <v>19</v>
      </c>
      <c r="AD560" s="3">
        <v>29.99</v>
      </c>
      <c r="AE560" s="3">
        <v>0</v>
      </c>
      <c r="AF560" s="3">
        <v>0</v>
      </c>
      <c r="AG560" s="3">
        <v>0</v>
      </c>
      <c r="AH560" s="3">
        <v>6.27027027027027</v>
      </c>
      <c r="AI560" s="3" t="s">
        <v>2642</v>
      </c>
      <c r="AJ560" s="3" t="s">
        <v>2616</v>
      </c>
    </row>
    <row r="561" spans="1:36">
      <c r="A561" s="4">
        <v>43277</v>
      </c>
      <c r="B561" s="3" t="s">
        <v>3513</v>
      </c>
      <c r="C561" s="3" t="s">
        <v>3514</v>
      </c>
      <c r="D561" s="3" t="s">
        <v>3515</v>
      </c>
      <c r="E561" s="3" t="s">
        <v>3516</v>
      </c>
      <c r="F561" s="3" t="s">
        <v>1710</v>
      </c>
      <c r="G561" s="3">
        <v>7</v>
      </c>
      <c r="H561" s="3">
        <v>0</v>
      </c>
      <c r="I561" s="3">
        <v>7</v>
      </c>
      <c r="J561" s="3">
        <v>0</v>
      </c>
      <c r="K561" s="3">
        <v>0</v>
      </c>
      <c r="L561" s="3">
        <v>0</v>
      </c>
      <c r="M561" s="3">
        <v>0</v>
      </c>
      <c r="N561" s="3" t="s">
        <v>1711</v>
      </c>
      <c r="O561" s="3">
        <v>0</v>
      </c>
      <c r="P561" s="3">
        <v>0</v>
      </c>
      <c r="Q561" s="3">
        <v>0</v>
      </c>
      <c r="R561" s="3">
        <v>0</v>
      </c>
      <c r="S561" s="3">
        <v>2</v>
      </c>
      <c r="T561" s="3">
        <v>7</v>
      </c>
      <c r="U561" s="3">
        <v>7</v>
      </c>
      <c r="V561" s="3">
        <v>7</v>
      </c>
      <c r="W561" s="3"/>
      <c r="X561" s="3">
        <v>19.99</v>
      </c>
      <c r="Y561" s="3">
        <v>19.99</v>
      </c>
      <c r="Z561" s="3">
        <v>19.99</v>
      </c>
      <c r="AA561" s="3">
        <v>0</v>
      </c>
      <c r="AB561" s="3" t="s">
        <v>1713</v>
      </c>
      <c r="AC561" s="3">
        <v>9</v>
      </c>
      <c r="AD561" s="3">
        <v>19.99</v>
      </c>
      <c r="AE561" s="3">
        <v>0</v>
      </c>
      <c r="AF561" s="3">
        <v>0</v>
      </c>
      <c r="AG561" s="3">
        <v>0</v>
      </c>
      <c r="AH561" s="3">
        <v>0.608695652173913</v>
      </c>
      <c r="AI561" s="3" t="s">
        <v>1919</v>
      </c>
      <c r="AJ561" s="3" t="s">
        <v>1715</v>
      </c>
    </row>
    <row r="562" spans="1:36">
      <c r="A562" s="4">
        <v>43277</v>
      </c>
      <c r="B562" s="3" t="s">
        <v>3517</v>
      </c>
      <c r="C562" s="3" t="s">
        <v>3518</v>
      </c>
      <c r="D562" s="3" t="s">
        <v>3519</v>
      </c>
      <c r="E562" s="3" t="s">
        <v>2859</v>
      </c>
      <c r="F562" s="3" t="s">
        <v>1710</v>
      </c>
      <c r="G562" s="3">
        <v>1</v>
      </c>
      <c r="H562" s="3">
        <v>0</v>
      </c>
      <c r="I562" s="3">
        <v>0</v>
      </c>
      <c r="J562" s="3">
        <v>0</v>
      </c>
      <c r="K562" s="3">
        <v>0</v>
      </c>
      <c r="L562" s="3">
        <v>1</v>
      </c>
      <c r="M562" s="3">
        <v>0</v>
      </c>
      <c r="N562" s="3" t="s">
        <v>1711</v>
      </c>
      <c r="O562" s="3">
        <v>0</v>
      </c>
      <c r="P562" s="3">
        <v>0</v>
      </c>
      <c r="Q562" s="3">
        <v>1</v>
      </c>
      <c r="R562" s="3">
        <v>1.41</v>
      </c>
      <c r="S562" s="3">
        <v>0</v>
      </c>
      <c r="T562" s="3">
        <v>3</v>
      </c>
      <c r="U562" s="3">
        <v>3</v>
      </c>
      <c r="V562" s="3">
        <v>3</v>
      </c>
      <c r="W562" s="3"/>
      <c r="X562" s="3">
        <v>15.99</v>
      </c>
      <c r="Y562" s="3">
        <v>15.99</v>
      </c>
      <c r="Z562" s="3">
        <v>15.55</v>
      </c>
      <c r="AA562" s="3">
        <v>0</v>
      </c>
      <c r="AB562" s="3" t="s">
        <v>1713</v>
      </c>
      <c r="AC562" s="3">
        <v>1</v>
      </c>
      <c r="AD562" s="3">
        <v>15.99</v>
      </c>
      <c r="AE562" s="3">
        <v>0</v>
      </c>
      <c r="AF562" s="3">
        <v>0</v>
      </c>
      <c r="AG562" s="3">
        <v>0</v>
      </c>
      <c r="AH562" s="3">
        <v>0.923076923076923</v>
      </c>
      <c r="AI562" s="3" t="s">
        <v>2036</v>
      </c>
      <c r="AJ562" s="3" t="s">
        <v>1715</v>
      </c>
    </row>
    <row r="563" spans="1:36">
      <c r="A563" s="4">
        <v>43277</v>
      </c>
      <c r="B563" s="3" t="s">
        <v>459</v>
      </c>
      <c r="C563" s="3" t="s">
        <v>460</v>
      </c>
      <c r="D563" s="3" t="s">
        <v>461</v>
      </c>
      <c r="E563" s="3" t="s">
        <v>462</v>
      </c>
      <c r="F563" s="3" t="s">
        <v>1710</v>
      </c>
      <c r="G563" s="3">
        <v>10</v>
      </c>
      <c r="H563" s="3">
        <v>0</v>
      </c>
      <c r="I563" s="3">
        <v>10</v>
      </c>
      <c r="J563" s="3">
        <v>0</v>
      </c>
      <c r="K563" s="3">
        <v>0</v>
      </c>
      <c r="L563" s="3">
        <v>0</v>
      </c>
      <c r="M563" s="3">
        <v>0</v>
      </c>
      <c r="N563" s="3" t="s">
        <v>1711</v>
      </c>
      <c r="O563" s="3">
        <v>0</v>
      </c>
      <c r="P563" s="3">
        <v>0</v>
      </c>
      <c r="Q563" s="3">
        <v>0</v>
      </c>
      <c r="R563" s="3">
        <v>0</v>
      </c>
      <c r="S563" s="3">
        <v>8</v>
      </c>
      <c r="T563" s="3">
        <v>28</v>
      </c>
      <c r="U563" s="3">
        <v>38</v>
      </c>
      <c r="V563" s="3">
        <v>52</v>
      </c>
      <c r="W563" s="3"/>
      <c r="X563" s="3">
        <v>32.99</v>
      </c>
      <c r="Y563" s="3">
        <v>28.58</v>
      </c>
      <c r="Z563" s="3">
        <v>28.58</v>
      </c>
      <c r="AA563" s="3">
        <v>0</v>
      </c>
      <c r="AB563" s="3" t="s">
        <v>1713</v>
      </c>
      <c r="AC563" s="3">
        <v>11</v>
      </c>
      <c r="AD563" s="3">
        <v>28.58</v>
      </c>
      <c r="AE563" s="3">
        <v>0</v>
      </c>
      <c r="AF563" s="3">
        <v>0</v>
      </c>
      <c r="AG563" s="3">
        <v>0</v>
      </c>
      <c r="AH563" s="3">
        <v>7.42857142857142</v>
      </c>
      <c r="AI563" s="3" t="s">
        <v>1734</v>
      </c>
      <c r="AJ563" s="3" t="s">
        <v>1715</v>
      </c>
    </row>
    <row r="564" spans="1:36">
      <c r="A564" s="4">
        <v>43277</v>
      </c>
      <c r="B564" s="3" t="s">
        <v>3520</v>
      </c>
      <c r="C564" s="3" t="s">
        <v>3521</v>
      </c>
      <c r="D564" s="3" t="s">
        <v>3522</v>
      </c>
      <c r="E564" s="3" t="s">
        <v>3523</v>
      </c>
      <c r="F564" s="3" t="s">
        <v>1710</v>
      </c>
      <c r="G564" s="3">
        <v>1</v>
      </c>
      <c r="H564" s="3">
        <v>0</v>
      </c>
      <c r="I564" s="3">
        <v>0</v>
      </c>
      <c r="J564" s="3">
        <v>1</v>
      </c>
      <c r="K564" s="3">
        <v>0</v>
      </c>
      <c r="L564" s="3">
        <v>0</v>
      </c>
      <c r="M564" s="3">
        <v>0</v>
      </c>
      <c r="N564" s="3" t="s">
        <v>1711</v>
      </c>
      <c r="O564" s="3">
        <v>1</v>
      </c>
      <c r="P564" s="3">
        <v>1.32</v>
      </c>
      <c r="Q564" s="3">
        <v>0</v>
      </c>
      <c r="R564" s="3">
        <v>0</v>
      </c>
      <c r="S564" s="3">
        <v>0</v>
      </c>
      <c r="T564" s="3">
        <v>1</v>
      </c>
      <c r="U564" s="3">
        <v>2</v>
      </c>
      <c r="V564" s="3">
        <v>2</v>
      </c>
      <c r="W564" s="3" t="s">
        <v>1720</v>
      </c>
      <c r="X564" s="3">
        <v>18.99</v>
      </c>
      <c r="Y564" s="3">
        <v>18.99</v>
      </c>
      <c r="Z564" s="3">
        <v>18.99</v>
      </c>
      <c r="AA564" s="3">
        <v>0</v>
      </c>
      <c r="AB564" s="3" t="s">
        <v>1721</v>
      </c>
      <c r="AC564" s="3">
        <v>0</v>
      </c>
      <c r="AD564" s="3">
        <v>17.9</v>
      </c>
      <c r="AE564" s="3">
        <v>42</v>
      </c>
      <c r="AF564" s="3">
        <v>0</v>
      </c>
      <c r="AG564" s="3">
        <v>17.248579</v>
      </c>
      <c r="AH564" s="3">
        <v>0.888888888888888</v>
      </c>
      <c r="AI564" s="3" t="s">
        <v>2398</v>
      </c>
      <c r="AJ564" s="3" t="s">
        <v>1715</v>
      </c>
    </row>
    <row r="565" spans="1:36">
      <c r="A565" s="4">
        <v>43277</v>
      </c>
      <c r="B565" s="3" t="s">
        <v>3524</v>
      </c>
      <c r="C565" s="3" t="s">
        <v>3525</v>
      </c>
      <c r="D565" s="3" t="s">
        <v>3526</v>
      </c>
      <c r="E565" s="3" t="s">
        <v>3527</v>
      </c>
      <c r="F565" s="3" t="s">
        <v>1710</v>
      </c>
      <c r="G565" s="3">
        <v>9</v>
      </c>
      <c r="H565" s="3">
        <v>0</v>
      </c>
      <c r="I565" s="3">
        <v>0</v>
      </c>
      <c r="J565" s="3">
        <v>0</v>
      </c>
      <c r="K565" s="3">
        <v>0</v>
      </c>
      <c r="L565" s="3">
        <v>0</v>
      </c>
      <c r="M565" s="3">
        <v>9</v>
      </c>
      <c r="N565" s="3" t="s">
        <v>1711</v>
      </c>
      <c r="O565" s="3">
        <v>0</v>
      </c>
      <c r="P565" s="3">
        <v>0</v>
      </c>
      <c r="Q565" s="3">
        <v>9</v>
      </c>
      <c r="R565" s="3">
        <v>19.72</v>
      </c>
      <c r="S565" s="3">
        <v>0</v>
      </c>
      <c r="T565" s="3">
        <v>0</v>
      </c>
      <c r="U565" s="3">
        <v>0</v>
      </c>
      <c r="V565" s="3">
        <v>0</v>
      </c>
      <c r="W565" s="3" t="s">
        <v>1720</v>
      </c>
      <c r="X565" s="3">
        <v>12.99</v>
      </c>
      <c r="Y565" s="3">
        <v>12.99</v>
      </c>
      <c r="Z565" s="3">
        <v>12.99</v>
      </c>
      <c r="AA565" s="3">
        <v>0</v>
      </c>
      <c r="AB565" s="3" t="s">
        <v>1732</v>
      </c>
      <c r="AC565" s="3">
        <v>0</v>
      </c>
      <c r="AD565" s="3">
        <v>11.96</v>
      </c>
      <c r="AE565" s="3">
        <v>49</v>
      </c>
      <c r="AF565" s="3">
        <v>0</v>
      </c>
      <c r="AG565" s="3">
        <v>179.388088</v>
      </c>
      <c r="AH565" s="3">
        <v>0</v>
      </c>
      <c r="AI565" s="3" t="s">
        <v>3528</v>
      </c>
      <c r="AJ565" s="3" t="s">
        <v>1715</v>
      </c>
    </row>
    <row r="566" spans="1:36">
      <c r="A566" s="4">
        <v>43277</v>
      </c>
      <c r="B566" s="3" t="s">
        <v>3529</v>
      </c>
      <c r="C566" s="3" t="s">
        <v>3530</v>
      </c>
      <c r="D566" s="3" t="s">
        <v>3531</v>
      </c>
      <c r="E566" s="3" t="s">
        <v>3532</v>
      </c>
      <c r="F566" s="3" t="s">
        <v>1710</v>
      </c>
      <c r="G566" s="3">
        <v>16</v>
      </c>
      <c r="H566" s="3">
        <v>0</v>
      </c>
      <c r="I566" s="3">
        <v>16</v>
      </c>
      <c r="J566" s="3">
        <v>0</v>
      </c>
      <c r="K566" s="3">
        <v>0</v>
      </c>
      <c r="L566" s="3">
        <v>0</v>
      </c>
      <c r="M566" s="3">
        <v>0</v>
      </c>
      <c r="N566" s="3" t="s">
        <v>1711</v>
      </c>
      <c r="O566" s="3">
        <v>0</v>
      </c>
      <c r="P566" s="3">
        <v>0</v>
      </c>
      <c r="Q566" s="3">
        <v>0</v>
      </c>
      <c r="R566" s="3">
        <v>0</v>
      </c>
      <c r="S566" s="3">
        <v>3</v>
      </c>
      <c r="T566" s="3">
        <v>7</v>
      </c>
      <c r="U566" s="3">
        <v>7</v>
      </c>
      <c r="V566" s="3">
        <v>7</v>
      </c>
      <c r="W566" s="3"/>
      <c r="X566" s="3">
        <v>15.99</v>
      </c>
      <c r="Y566" s="3">
        <v>15.99</v>
      </c>
      <c r="Z566" s="3">
        <v>15.99</v>
      </c>
      <c r="AA566" s="3">
        <v>0</v>
      </c>
      <c r="AB566" s="3" t="s">
        <v>1713</v>
      </c>
      <c r="AC566" s="3">
        <v>19</v>
      </c>
      <c r="AD566" s="3">
        <v>15.99</v>
      </c>
      <c r="AE566" s="3">
        <v>0</v>
      </c>
      <c r="AF566" s="3">
        <v>0</v>
      </c>
      <c r="AG566" s="3">
        <v>0</v>
      </c>
      <c r="AH566" s="3">
        <v>0.381818181818181</v>
      </c>
      <c r="AI566" s="3" t="s">
        <v>1739</v>
      </c>
      <c r="AJ566" s="3" t="s">
        <v>1715</v>
      </c>
    </row>
    <row r="567" spans="1:36">
      <c r="A567" s="4">
        <v>43277</v>
      </c>
      <c r="B567" s="3" t="s">
        <v>3533</v>
      </c>
      <c r="C567" s="3" t="s">
        <v>3534</v>
      </c>
      <c r="D567" s="3" t="s">
        <v>3535</v>
      </c>
      <c r="E567" s="3" t="s">
        <v>3536</v>
      </c>
      <c r="F567" s="3" t="s">
        <v>1710</v>
      </c>
      <c r="G567" s="3">
        <v>1</v>
      </c>
      <c r="H567" s="3">
        <v>0</v>
      </c>
      <c r="I567" s="3">
        <v>0</v>
      </c>
      <c r="J567" s="3">
        <v>1</v>
      </c>
      <c r="K567" s="3">
        <v>0</v>
      </c>
      <c r="L567" s="3">
        <v>0</v>
      </c>
      <c r="M567" s="3">
        <v>0</v>
      </c>
      <c r="N567" s="3" t="s">
        <v>1711</v>
      </c>
      <c r="O567" s="3">
        <v>1</v>
      </c>
      <c r="P567" s="3">
        <v>1.29</v>
      </c>
      <c r="Q567" s="3">
        <v>0</v>
      </c>
      <c r="R567" s="3">
        <v>0</v>
      </c>
      <c r="S567" s="3">
        <v>0</v>
      </c>
      <c r="T567" s="3">
        <v>0</v>
      </c>
      <c r="U567" s="3">
        <v>0</v>
      </c>
      <c r="V567" s="3">
        <v>0</v>
      </c>
      <c r="W567" s="3" t="s">
        <v>1720</v>
      </c>
      <c r="X567" s="3">
        <v>9.99</v>
      </c>
      <c r="Y567" s="3">
        <v>9.99</v>
      </c>
      <c r="Z567" s="3">
        <v>9.99</v>
      </c>
      <c r="AA567" s="3">
        <v>0</v>
      </c>
      <c r="AB567" s="3" t="s">
        <v>1721</v>
      </c>
      <c r="AC567" s="3">
        <v>1</v>
      </c>
      <c r="AD567" s="3">
        <v>9.99</v>
      </c>
      <c r="AE567" s="3">
        <v>0</v>
      </c>
      <c r="AF567" s="3">
        <v>0</v>
      </c>
      <c r="AG567" s="3">
        <v>0</v>
      </c>
      <c r="AH567" s="3">
        <v>0</v>
      </c>
      <c r="AI567" s="3" t="s">
        <v>3537</v>
      </c>
      <c r="AJ567" s="3" t="s">
        <v>1715</v>
      </c>
    </row>
    <row r="568" spans="1:36">
      <c r="A568" s="4">
        <v>43277</v>
      </c>
      <c r="B568" s="3" t="s">
        <v>3538</v>
      </c>
      <c r="C568" s="3" t="s">
        <v>3539</v>
      </c>
      <c r="D568" s="3" t="s">
        <v>3540</v>
      </c>
      <c r="E568" s="3" t="s">
        <v>3541</v>
      </c>
      <c r="F568" s="3" t="s">
        <v>1710</v>
      </c>
      <c r="G568" s="3">
        <v>10</v>
      </c>
      <c r="H568" s="3">
        <v>0</v>
      </c>
      <c r="I568" s="3">
        <v>10</v>
      </c>
      <c r="J568" s="3">
        <v>0</v>
      </c>
      <c r="K568" s="3">
        <v>0</v>
      </c>
      <c r="L568" s="3">
        <v>0</v>
      </c>
      <c r="M568" s="3">
        <v>0</v>
      </c>
      <c r="N568" s="3" t="s">
        <v>1711</v>
      </c>
      <c r="O568" s="3">
        <v>0</v>
      </c>
      <c r="P568" s="3">
        <v>0</v>
      </c>
      <c r="Q568" s="3">
        <v>0</v>
      </c>
      <c r="R568" s="3">
        <v>0</v>
      </c>
      <c r="S568" s="3">
        <v>2</v>
      </c>
      <c r="T568" s="3">
        <v>11</v>
      </c>
      <c r="U568" s="3">
        <v>16</v>
      </c>
      <c r="V568" s="3">
        <v>22</v>
      </c>
      <c r="W568" s="3"/>
      <c r="X568" s="3">
        <v>26.99</v>
      </c>
      <c r="Y568" s="3">
        <v>20.99</v>
      </c>
      <c r="Z568" s="3">
        <v>20.99</v>
      </c>
      <c r="AA568" s="3">
        <v>0</v>
      </c>
      <c r="AB568" s="3" t="s">
        <v>1713</v>
      </c>
      <c r="AC568" s="3">
        <v>12</v>
      </c>
      <c r="AD568" s="3">
        <v>20.99</v>
      </c>
      <c r="AE568" s="3">
        <v>0</v>
      </c>
      <c r="AF568" s="3">
        <v>0</v>
      </c>
      <c r="AG568" s="3">
        <v>0</v>
      </c>
      <c r="AH568" s="3">
        <v>1.79591836734693</v>
      </c>
      <c r="AI568" s="3" t="s">
        <v>2983</v>
      </c>
      <c r="AJ568" s="3" t="s">
        <v>1715</v>
      </c>
    </row>
    <row r="569" spans="1:36">
      <c r="A569" s="4">
        <v>43277</v>
      </c>
      <c r="B569" s="3" t="s">
        <v>3542</v>
      </c>
      <c r="C569" s="3" t="s">
        <v>3543</v>
      </c>
      <c r="D569" s="3" t="s">
        <v>3544</v>
      </c>
      <c r="E569" s="3" t="s">
        <v>3545</v>
      </c>
      <c r="F569" s="3" t="s">
        <v>1710</v>
      </c>
      <c r="G569" s="3">
        <v>6</v>
      </c>
      <c r="H569" s="3">
        <v>0</v>
      </c>
      <c r="I569" s="3">
        <v>2</v>
      </c>
      <c r="J569" s="3">
        <v>0</v>
      </c>
      <c r="K569" s="3">
        <v>4</v>
      </c>
      <c r="L569" s="3">
        <v>0</v>
      </c>
      <c r="M569" s="3">
        <v>0</v>
      </c>
      <c r="N569" s="3" t="s">
        <v>1711</v>
      </c>
      <c r="O569" s="3">
        <v>4</v>
      </c>
      <c r="P569" s="3">
        <v>3.76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1720</v>
      </c>
      <c r="X569" s="3">
        <v>18.99</v>
      </c>
      <c r="Y569" s="3">
        <v>18.99</v>
      </c>
      <c r="Z569" s="3">
        <v>18.99</v>
      </c>
      <c r="AA569" s="3">
        <v>0</v>
      </c>
      <c r="AB569" s="3" t="s">
        <v>1721</v>
      </c>
      <c r="AC569" s="3">
        <v>0</v>
      </c>
      <c r="AD569" s="3">
        <v>16.43</v>
      </c>
      <c r="AE569" s="3">
        <v>105</v>
      </c>
      <c r="AF569" s="3">
        <v>0</v>
      </c>
      <c r="AG569" s="3">
        <v>120.111478</v>
      </c>
      <c r="AH569" s="3">
        <v>0</v>
      </c>
      <c r="AI569" s="3" t="s">
        <v>3546</v>
      </c>
      <c r="AJ569" s="3" t="s">
        <v>1715</v>
      </c>
    </row>
    <row r="570" spans="1:36">
      <c r="A570" s="4">
        <v>43277</v>
      </c>
      <c r="B570" s="3" t="s">
        <v>3547</v>
      </c>
      <c r="C570" s="3" t="s">
        <v>3548</v>
      </c>
      <c r="D570" s="3" t="s">
        <v>3549</v>
      </c>
      <c r="E570" s="3" t="s">
        <v>3550</v>
      </c>
      <c r="F570" s="3" t="s">
        <v>1710</v>
      </c>
      <c r="G570" s="3">
        <v>6</v>
      </c>
      <c r="H570" s="3">
        <v>0</v>
      </c>
      <c r="I570" s="3">
        <v>6</v>
      </c>
      <c r="J570" s="3">
        <v>0</v>
      </c>
      <c r="K570" s="3">
        <v>0</v>
      </c>
      <c r="L570" s="3">
        <v>0</v>
      </c>
      <c r="M570" s="3">
        <v>0</v>
      </c>
      <c r="N570" s="3" t="s">
        <v>1711</v>
      </c>
      <c r="O570" s="3">
        <v>0</v>
      </c>
      <c r="P570" s="3">
        <v>0</v>
      </c>
      <c r="Q570" s="3">
        <v>0</v>
      </c>
      <c r="R570" s="3">
        <v>0</v>
      </c>
      <c r="S570" s="3">
        <v>5</v>
      </c>
      <c r="T570" s="3">
        <v>9</v>
      </c>
      <c r="U570" s="3">
        <v>9</v>
      </c>
      <c r="V570" s="3">
        <v>9</v>
      </c>
      <c r="W570" s="3"/>
      <c r="X570" s="3">
        <v>28.99</v>
      </c>
      <c r="Y570" s="3">
        <v>28.99</v>
      </c>
      <c r="Z570" s="3">
        <v>28.99</v>
      </c>
      <c r="AA570" s="3">
        <v>0</v>
      </c>
      <c r="AB570" s="3" t="s">
        <v>1713</v>
      </c>
      <c r="AC570" s="3">
        <v>10</v>
      </c>
      <c r="AD570" s="3">
        <v>28.99</v>
      </c>
      <c r="AE570" s="3">
        <v>0</v>
      </c>
      <c r="AF570" s="3">
        <v>0</v>
      </c>
      <c r="AG570" s="3">
        <v>0</v>
      </c>
      <c r="AH570" s="3">
        <v>1.8</v>
      </c>
      <c r="AI570" s="3" t="s">
        <v>2065</v>
      </c>
      <c r="AJ570" s="3" t="s">
        <v>1715</v>
      </c>
    </row>
    <row r="571" spans="1:36">
      <c r="A571" s="4">
        <v>43277</v>
      </c>
      <c r="B571" s="3" t="s">
        <v>3551</v>
      </c>
      <c r="C571" s="3" t="s">
        <v>3552</v>
      </c>
      <c r="D571" s="3" t="s">
        <v>3553</v>
      </c>
      <c r="E571" s="3" t="s">
        <v>2495</v>
      </c>
      <c r="F571" s="3" t="s">
        <v>1710</v>
      </c>
      <c r="G571" s="3">
        <v>15</v>
      </c>
      <c r="H571" s="3">
        <v>0</v>
      </c>
      <c r="I571" s="3">
        <v>15</v>
      </c>
      <c r="J571" s="3">
        <v>0</v>
      </c>
      <c r="K571" s="3">
        <v>0</v>
      </c>
      <c r="L571" s="3">
        <v>0</v>
      </c>
      <c r="M571" s="3">
        <v>0</v>
      </c>
      <c r="N571" s="3" t="s">
        <v>1711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0</v>
      </c>
      <c r="U571" s="3">
        <v>0</v>
      </c>
      <c r="V571" s="3">
        <v>0</v>
      </c>
      <c r="W571" s="3" t="s">
        <v>1720</v>
      </c>
      <c r="X571" s="3">
        <v>15.99</v>
      </c>
      <c r="Y571" s="3">
        <v>15.99</v>
      </c>
      <c r="Z571" s="3">
        <v>15.99</v>
      </c>
      <c r="AA571" s="3">
        <v>0</v>
      </c>
      <c r="AB571" s="3" t="s">
        <v>1721</v>
      </c>
      <c r="AC571" s="3">
        <v>0</v>
      </c>
      <c r="AD571" s="3">
        <v>12.79</v>
      </c>
      <c r="AE571" s="3">
        <v>63</v>
      </c>
      <c r="AF571" s="3">
        <v>0</v>
      </c>
      <c r="AG571" s="3">
        <v>160.761652</v>
      </c>
      <c r="AH571" s="3">
        <v>0</v>
      </c>
      <c r="AI571" s="3" t="s">
        <v>2758</v>
      </c>
      <c r="AJ571" s="3" t="s">
        <v>1715</v>
      </c>
    </row>
    <row r="572" spans="1:36">
      <c r="A572" s="4">
        <v>43277</v>
      </c>
      <c r="B572" s="3" t="s">
        <v>3554</v>
      </c>
      <c r="C572" s="3" t="s">
        <v>3555</v>
      </c>
      <c r="D572" s="3" t="s">
        <v>3556</v>
      </c>
      <c r="E572" s="3" t="s">
        <v>3557</v>
      </c>
      <c r="F572" s="3" t="s">
        <v>1710</v>
      </c>
      <c r="G572" s="3">
        <v>8</v>
      </c>
      <c r="H572" s="3">
        <v>0</v>
      </c>
      <c r="I572" s="3">
        <v>3</v>
      </c>
      <c r="J572" s="3">
        <v>0</v>
      </c>
      <c r="K572" s="3">
        <v>0</v>
      </c>
      <c r="L572" s="3">
        <v>0</v>
      </c>
      <c r="M572" s="3">
        <v>5</v>
      </c>
      <c r="N572" s="3" t="s">
        <v>1711</v>
      </c>
      <c r="O572" s="3">
        <v>0</v>
      </c>
      <c r="P572" s="3">
        <v>0</v>
      </c>
      <c r="Q572" s="3">
        <v>5</v>
      </c>
      <c r="R572" s="3">
        <v>7.03</v>
      </c>
      <c r="S572" s="3">
        <v>0</v>
      </c>
      <c r="T572" s="3">
        <v>0</v>
      </c>
      <c r="U572" s="3">
        <v>4</v>
      </c>
      <c r="V572" s="3">
        <v>5</v>
      </c>
      <c r="W572" s="3" t="s">
        <v>1712</v>
      </c>
      <c r="X572" s="3">
        <v>28.99</v>
      </c>
      <c r="Y572" s="3">
        <v>15.99</v>
      </c>
      <c r="Z572" s="3">
        <v>15.55</v>
      </c>
      <c r="AA572" s="3">
        <v>0</v>
      </c>
      <c r="AB572" s="3" t="s">
        <v>1713</v>
      </c>
      <c r="AC572" s="3">
        <v>8</v>
      </c>
      <c r="AD572" s="3">
        <v>15.99</v>
      </c>
      <c r="AE572" s="3">
        <v>0</v>
      </c>
      <c r="AF572" s="3">
        <v>0</v>
      </c>
      <c r="AG572" s="3">
        <v>0</v>
      </c>
      <c r="AH572" s="3">
        <v>0.54054054054054</v>
      </c>
      <c r="AI572" s="3" t="s">
        <v>2036</v>
      </c>
      <c r="AJ572" s="3" t="s">
        <v>1715</v>
      </c>
    </row>
    <row r="573" spans="1:36">
      <c r="A573" s="4">
        <v>43277</v>
      </c>
      <c r="B573" s="3" t="s">
        <v>3558</v>
      </c>
      <c r="C573" s="3" t="s">
        <v>3559</v>
      </c>
      <c r="D573" s="3" t="s">
        <v>3560</v>
      </c>
      <c r="E573" s="3" t="s">
        <v>2312</v>
      </c>
      <c r="F573" s="3" t="s">
        <v>1710</v>
      </c>
      <c r="G573" s="3">
        <v>3</v>
      </c>
      <c r="H573" s="3">
        <v>0</v>
      </c>
      <c r="I573" s="3">
        <v>0</v>
      </c>
      <c r="J573" s="3">
        <v>0</v>
      </c>
      <c r="K573" s="3">
        <v>0</v>
      </c>
      <c r="L573" s="3">
        <v>0</v>
      </c>
      <c r="M573" s="3">
        <v>3</v>
      </c>
      <c r="N573" s="3" t="s">
        <v>1711</v>
      </c>
      <c r="O573" s="3">
        <v>0</v>
      </c>
      <c r="P573" s="3">
        <v>0</v>
      </c>
      <c r="Q573" s="3">
        <v>3</v>
      </c>
      <c r="R573" s="3">
        <v>4.22</v>
      </c>
      <c r="S573" s="3">
        <v>0</v>
      </c>
      <c r="T573" s="3">
        <v>0</v>
      </c>
      <c r="U573" s="3">
        <v>0</v>
      </c>
      <c r="V573" s="3">
        <v>1</v>
      </c>
      <c r="W573" s="3" t="s">
        <v>1712</v>
      </c>
      <c r="X573" s="3">
        <v>15.99</v>
      </c>
      <c r="Y573" s="3">
        <v>15.99</v>
      </c>
      <c r="Z573" s="3">
        <v>15.55</v>
      </c>
      <c r="AA573" s="3">
        <v>0</v>
      </c>
      <c r="AB573" s="3" t="s">
        <v>1732</v>
      </c>
      <c r="AC573" s="3">
        <v>0</v>
      </c>
      <c r="AD573" s="3">
        <v>12.24</v>
      </c>
      <c r="AE573" s="3">
        <v>189</v>
      </c>
      <c r="AF573" s="3">
        <v>0</v>
      </c>
      <c r="AG573" s="3">
        <v>16.012484</v>
      </c>
      <c r="AH573" s="3">
        <v>0.307692307692307</v>
      </c>
      <c r="AI573" s="3" t="s">
        <v>2036</v>
      </c>
      <c r="AJ573" s="3" t="s">
        <v>1715</v>
      </c>
    </row>
    <row r="574" spans="1:36">
      <c r="A574" s="4">
        <v>43277</v>
      </c>
      <c r="B574" s="3" t="s">
        <v>3561</v>
      </c>
      <c r="C574" s="3" t="s">
        <v>3562</v>
      </c>
      <c r="D574" s="3" t="s">
        <v>3563</v>
      </c>
      <c r="E574" s="3" t="s">
        <v>1805</v>
      </c>
      <c r="F574" s="3" t="s">
        <v>1710</v>
      </c>
      <c r="G574" s="3">
        <v>3</v>
      </c>
      <c r="H574" s="3">
        <v>0</v>
      </c>
      <c r="I574" s="3">
        <v>1</v>
      </c>
      <c r="J574" s="3">
        <v>1</v>
      </c>
      <c r="K574" s="3">
        <v>1</v>
      </c>
      <c r="L574" s="3">
        <v>0</v>
      </c>
      <c r="M574" s="3">
        <v>0</v>
      </c>
      <c r="N574" s="3" t="s">
        <v>1711</v>
      </c>
      <c r="O574" s="3">
        <v>1</v>
      </c>
      <c r="P574" s="3">
        <v>2.09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2</v>
      </c>
      <c r="W574" s="3" t="s">
        <v>1720</v>
      </c>
      <c r="X574" s="3">
        <v>17.99</v>
      </c>
      <c r="Y574" s="3">
        <v>17.99</v>
      </c>
      <c r="Z574" s="3">
        <v>17.99</v>
      </c>
      <c r="AA574" s="3">
        <v>0</v>
      </c>
      <c r="AB574" s="3" t="s">
        <v>1721</v>
      </c>
      <c r="AC574" s="3">
        <v>0</v>
      </c>
      <c r="AD574" s="3">
        <v>15.74</v>
      </c>
      <c r="AE574" s="3">
        <v>49</v>
      </c>
      <c r="AF574" s="3">
        <v>0</v>
      </c>
      <c r="AG574" s="3">
        <v>91.79838</v>
      </c>
      <c r="AH574" s="3">
        <v>0.615384615384615</v>
      </c>
      <c r="AI574" s="3" t="s">
        <v>3564</v>
      </c>
      <c r="AJ574" s="3" t="s">
        <v>1715</v>
      </c>
    </row>
    <row r="575" spans="1:36">
      <c r="A575" s="4">
        <v>43277</v>
      </c>
      <c r="B575" s="3" t="s">
        <v>3565</v>
      </c>
      <c r="C575" s="3" t="s">
        <v>3566</v>
      </c>
      <c r="D575" s="3" t="s">
        <v>3567</v>
      </c>
      <c r="E575" s="3" t="s">
        <v>3568</v>
      </c>
      <c r="F575" s="3" t="s">
        <v>1710</v>
      </c>
      <c r="G575" s="3">
        <v>1</v>
      </c>
      <c r="H575" s="3">
        <v>0</v>
      </c>
      <c r="I575" s="3">
        <v>1</v>
      </c>
      <c r="J575" s="3">
        <v>0</v>
      </c>
      <c r="K575" s="3">
        <v>0</v>
      </c>
      <c r="L575" s="3">
        <v>0</v>
      </c>
      <c r="M575" s="3">
        <v>0</v>
      </c>
      <c r="N575" s="3" t="s">
        <v>1711</v>
      </c>
      <c r="O575" s="3">
        <v>0</v>
      </c>
      <c r="P575" s="3">
        <v>0</v>
      </c>
      <c r="Q575" s="3">
        <v>0</v>
      </c>
      <c r="R575" s="3">
        <v>0</v>
      </c>
      <c r="S575" s="3">
        <v>0</v>
      </c>
      <c r="T575" s="3">
        <v>0</v>
      </c>
      <c r="U575" s="3">
        <v>9</v>
      </c>
      <c r="V575" s="3">
        <v>11</v>
      </c>
      <c r="W575" s="3" t="s">
        <v>1712</v>
      </c>
      <c r="X575" s="3">
        <v>19.99</v>
      </c>
      <c r="Y575" s="3">
        <v>15.99</v>
      </c>
      <c r="Z575" s="3">
        <v>15.99</v>
      </c>
      <c r="AA575" s="3">
        <v>0</v>
      </c>
      <c r="AB575" s="3" t="s">
        <v>1713</v>
      </c>
      <c r="AC575" s="3">
        <v>0</v>
      </c>
      <c r="AD575" s="3">
        <v>0</v>
      </c>
      <c r="AE575" s="3">
        <v>0</v>
      </c>
      <c r="AF575" s="3">
        <v>0</v>
      </c>
      <c r="AG575" s="3">
        <v>0</v>
      </c>
      <c r="AH575" s="3">
        <v>8.8</v>
      </c>
      <c r="AI575" s="3" t="s">
        <v>1962</v>
      </c>
      <c r="AJ575" s="3" t="s">
        <v>1715</v>
      </c>
    </row>
    <row r="576" spans="1:36">
      <c r="A576" s="4">
        <v>43277</v>
      </c>
      <c r="B576" s="3" t="s">
        <v>1509</v>
      </c>
      <c r="C576" s="3" t="s">
        <v>1510</v>
      </c>
      <c r="D576" s="3" t="s">
        <v>1511</v>
      </c>
      <c r="E576" s="3" t="s">
        <v>1512</v>
      </c>
      <c r="F576" s="3" t="s">
        <v>1710</v>
      </c>
      <c r="G576" s="3">
        <v>31</v>
      </c>
      <c r="H576" s="3">
        <v>0</v>
      </c>
      <c r="I576" s="3">
        <v>31</v>
      </c>
      <c r="J576" s="3">
        <v>0</v>
      </c>
      <c r="K576" s="3">
        <v>0</v>
      </c>
      <c r="L576" s="3">
        <v>0</v>
      </c>
      <c r="M576" s="3">
        <v>0</v>
      </c>
      <c r="N576" s="3" t="s">
        <v>1711</v>
      </c>
      <c r="O576" s="3">
        <v>0</v>
      </c>
      <c r="P576" s="3">
        <v>0</v>
      </c>
      <c r="Q576" s="3">
        <v>0</v>
      </c>
      <c r="R576" s="3">
        <v>0</v>
      </c>
      <c r="S576" s="3">
        <v>7</v>
      </c>
      <c r="T576" s="3">
        <v>27</v>
      </c>
      <c r="U576" s="3">
        <v>70</v>
      </c>
      <c r="V576" s="3">
        <v>130</v>
      </c>
      <c r="W576" s="3"/>
      <c r="X576" s="3">
        <v>19.99</v>
      </c>
      <c r="Y576" s="3">
        <v>19.99</v>
      </c>
      <c r="Z576" s="3">
        <v>19.99</v>
      </c>
      <c r="AA576" s="3">
        <v>0</v>
      </c>
      <c r="AB576" s="3" t="s">
        <v>1713</v>
      </c>
      <c r="AC576" s="3">
        <v>33</v>
      </c>
      <c r="AD576" s="3">
        <v>19.99</v>
      </c>
      <c r="AE576" s="3">
        <v>0</v>
      </c>
      <c r="AF576" s="3">
        <v>0</v>
      </c>
      <c r="AG576" s="3">
        <v>0</v>
      </c>
      <c r="AH576" s="3">
        <v>4.72727272727272</v>
      </c>
      <c r="AI576" s="3" t="s">
        <v>3569</v>
      </c>
      <c r="AJ576" s="3" t="s">
        <v>1715</v>
      </c>
    </row>
    <row r="577" spans="1:36">
      <c r="A577" s="4">
        <v>43277</v>
      </c>
      <c r="B577" s="3" t="s">
        <v>3570</v>
      </c>
      <c r="C577" s="3" t="s">
        <v>3571</v>
      </c>
      <c r="D577" s="3" t="s">
        <v>3572</v>
      </c>
      <c r="E577" s="3" t="s">
        <v>3573</v>
      </c>
      <c r="F577" s="3" t="s">
        <v>1710</v>
      </c>
      <c r="G577" s="3">
        <v>2</v>
      </c>
      <c r="H577" s="3">
        <v>0</v>
      </c>
      <c r="I577" s="3">
        <v>0</v>
      </c>
      <c r="J577" s="3">
        <v>2</v>
      </c>
      <c r="K577" s="3">
        <v>0</v>
      </c>
      <c r="L577" s="3">
        <v>0</v>
      </c>
      <c r="M577" s="3">
        <v>0</v>
      </c>
      <c r="N577" s="3" t="s">
        <v>1711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0</v>
      </c>
      <c r="U577" s="3">
        <v>0</v>
      </c>
      <c r="V577" s="3">
        <v>1</v>
      </c>
      <c r="W577" s="3" t="s">
        <v>1712</v>
      </c>
      <c r="X577" s="3">
        <v>18.99</v>
      </c>
      <c r="Y577" s="3">
        <v>18.99</v>
      </c>
      <c r="Z577" s="3">
        <v>18.99</v>
      </c>
      <c r="AA577" s="3">
        <v>0</v>
      </c>
      <c r="AB577" s="3" t="s">
        <v>1732</v>
      </c>
      <c r="AC577" s="3">
        <v>0</v>
      </c>
      <c r="AD577" s="3">
        <v>17.71</v>
      </c>
      <c r="AE577" s="3">
        <v>49</v>
      </c>
      <c r="AF577" s="3">
        <v>0</v>
      </c>
      <c r="AG577" s="3">
        <v>82.840567</v>
      </c>
      <c r="AH577" s="3">
        <v>0.444444444444444</v>
      </c>
      <c r="AI577" s="3" t="s">
        <v>2708</v>
      </c>
      <c r="AJ577" s="3" t="s">
        <v>1715</v>
      </c>
    </row>
    <row r="578" spans="1:36">
      <c r="A578" s="4">
        <v>43277</v>
      </c>
      <c r="B578" s="3" t="s">
        <v>3574</v>
      </c>
      <c r="C578" s="3" t="s">
        <v>3575</v>
      </c>
      <c r="D578" s="3" t="s">
        <v>3576</v>
      </c>
      <c r="E578" s="3" t="s">
        <v>3577</v>
      </c>
      <c r="F578" s="3" t="s">
        <v>1710</v>
      </c>
      <c r="G578" s="3">
        <v>3</v>
      </c>
      <c r="H578" s="3">
        <v>0</v>
      </c>
      <c r="I578" s="3">
        <v>0</v>
      </c>
      <c r="J578" s="3">
        <v>3</v>
      </c>
      <c r="K578" s="3">
        <v>0</v>
      </c>
      <c r="L578" s="3">
        <v>0</v>
      </c>
      <c r="M578" s="3">
        <v>0</v>
      </c>
      <c r="N578" s="3" t="s">
        <v>1711</v>
      </c>
      <c r="O578" s="3">
        <v>3</v>
      </c>
      <c r="P578" s="3">
        <v>9.24</v>
      </c>
      <c r="Q578" s="3">
        <v>0</v>
      </c>
      <c r="R578" s="3">
        <v>0</v>
      </c>
      <c r="S578" s="3">
        <v>0</v>
      </c>
      <c r="T578" s="3">
        <v>0</v>
      </c>
      <c r="U578" s="3">
        <v>1</v>
      </c>
      <c r="V578" s="3">
        <v>1</v>
      </c>
      <c r="W578" s="3" t="s">
        <v>1720</v>
      </c>
      <c r="X578" s="3">
        <v>21.99</v>
      </c>
      <c r="Y578" s="3">
        <v>21.99</v>
      </c>
      <c r="Z578" s="3">
        <v>21.99</v>
      </c>
      <c r="AA578" s="3">
        <v>0</v>
      </c>
      <c r="AB578" s="3" t="s">
        <v>1721</v>
      </c>
      <c r="AC578" s="3">
        <v>3</v>
      </c>
      <c r="AD578" s="3">
        <v>21.99</v>
      </c>
      <c r="AE578" s="3">
        <v>0</v>
      </c>
      <c r="AF578" s="3">
        <v>0</v>
      </c>
      <c r="AG578" s="3">
        <v>0</v>
      </c>
      <c r="AH578" s="3">
        <v>0.285714285714285</v>
      </c>
      <c r="AI578" s="3" t="s">
        <v>1722</v>
      </c>
      <c r="AJ578" s="3" t="s">
        <v>1715</v>
      </c>
    </row>
    <row r="579" spans="1:36">
      <c r="A579" s="4">
        <v>43277</v>
      </c>
      <c r="B579" s="3" t="s">
        <v>3578</v>
      </c>
      <c r="C579" s="3" t="s">
        <v>3579</v>
      </c>
      <c r="D579" s="3" t="s">
        <v>3580</v>
      </c>
      <c r="E579" s="3" t="s">
        <v>3581</v>
      </c>
      <c r="F579" s="3" t="s">
        <v>1710</v>
      </c>
      <c r="G579" s="3">
        <v>2</v>
      </c>
      <c r="H579" s="3">
        <v>0</v>
      </c>
      <c r="I579" s="3">
        <v>0</v>
      </c>
      <c r="J579" s="3">
        <v>0</v>
      </c>
      <c r="K579" s="3">
        <v>0</v>
      </c>
      <c r="L579" s="3">
        <v>0</v>
      </c>
      <c r="M579" s="3">
        <v>2</v>
      </c>
      <c r="N579" s="3" t="s">
        <v>1711</v>
      </c>
      <c r="O579" s="3">
        <v>0</v>
      </c>
      <c r="P579" s="3">
        <v>0</v>
      </c>
      <c r="Q579" s="3">
        <v>2</v>
      </c>
      <c r="R579" s="3">
        <v>2.62</v>
      </c>
      <c r="S579" s="3">
        <v>0</v>
      </c>
      <c r="T579" s="3">
        <v>0</v>
      </c>
      <c r="U579" s="3">
        <v>1</v>
      </c>
      <c r="V579" s="3">
        <v>1</v>
      </c>
      <c r="W579" s="3" t="s">
        <v>1720</v>
      </c>
      <c r="X579" s="3">
        <v>8.88</v>
      </c>
      <c r="Y579" s="3">
        <v>8.88</v>
      </c>
      <c r="Z579" s="3">
        <v>8.88</v>
      </c>
      <c r="AA579" s="3">
        <v>0</v>
      </c>
      <c r="AB579" s="3" t="s">
        <v>1713</v>
      </c>
      <c r="AC579" s="3">
        <v>2</v>
      </c>
      <c r="AD579" s="3">
        <v>8.88</v>
      </c>
      <c r="AE579" s="3">
        <v>0</v>
      </c>
      <c r="AF579" s="3">
        <v>0</v>
      </c>
      <c r="AG579" s="3">
        <v>0</v>
      </c>
      <c r="AH579" s="3">
        <v>0.4</v>
      </c>
      <c r="AI579" s="3" t="s">
        <v>1826</v>
      </c>
      <c r="AJ579" s="3" t="s">
        <v>1715</v>
      </c>
    </row>
    <row r="580" spans="1:36">
      <c r="A580" s="4">
        <v>43277</v>
      </c>
      <c r="B580" s="3" t="s">
        <v>3582</v>
      </c>
      <c r="C580" s="3" t="s">
        <v>3583</v>
      </c>
      <c r="D580" s="3" t="s">
        <v>3584</v>
      </c>
      <c r="E580" s="3" t="s">
        <v>3585</v>
      </c>
      <c r="F580" s="3" t="s">
        <v>1710</v>
      </c>
      <c r="G580" s="3">
        <v>2</v>
      </c>
      <c r="H580" s="3">
        <v>0</v>
      </c>
      <c r="I580" s="3">
        <v>1</v>
      </c>
      <c r="J580" s="3">
        <v>1</v>
      </c>
      <c r="K580" s="3">
        <v>0</v>
      </c>
      <c r="L580" s="3">
        <v>0</v>
      </c>
      <c r="M580" s="3">
        <v>0</v>
      </c>
      <c r="N580" s="3" t="s">
        <v>1711</v>
      </c>
      <c r="O580" s="3">
        <v>0</v>
      </c>
      <c r="P580" s="3">
        <v>0</v>
      </c>
      <c r="Q580" s="3">
        <v>0</v>
      </c>
      <c r="R580" s="3">
        <v>0</v>
      </c>
      <c r="S580" s="3">
        <v>0</v>
      </c>
      <c r="T580" s="3">
        <v>2</v>
      </c>
      <c r="U580" s="3">
        <v>3</v>
      </c>
      <c r="V580" s="3">
        <v>5</v>
      </c>
      <c r="W580" s="3" t="s">
        <v>1720</v>
      </c>
      <c r="X580" s="3">
        <v>11.99</v>
      </c>
      <c r="Y580" s="3">
        <v>11.99</v>
      </c>
      <c r="Z580" s="3">
        <v>11.99</v>
      </c>
      <c r="AA580" s="3">
        <v>0</v>
      </c>
      <c r="AB580" s="3" t="s">
        <v>1721</v>
      </c>
      <c r="AC580" s="3">
        <v>0</v>
      </c>
      <c r="AD580" s="3">
        <v>9.15</v>
      </c>
      <c r="AE580" s="3">
        <v>56</v>
      </c>
      <c r="AF580" s="3">
        <v>0</v>
      </c>
      <c r="AG580" s="3">
        <v>13.006992</v>
      </c>
      <c r="AH580" s="3">
        <v>1.17647058823529</v>
      </c>
      <c r="AI580" s="3" t="s">
        <v>3586</v>
      </c>
      <c r="AJ580" s="3" t="s">
        <v>1783</v>
      </c>
    </row>
    <row r="581" spans="1:36">
      <c r="A581" s="4">
        <v>43277</v>
      </c>
      <c r="B581" s="3" t="s">
        <v>3587</v>
      </c>
      <c r="C581" s="3" t="s">
        <v>3588</v>
      </c>
      <c r="D581" s="3" t="s">
        <v>3589</v>
      </c>
      <c r="E581" s="3" t="s">
        <v>3590</v>
      </c>
      <c r="F581" s="3" t="s">
        <v>1710</v>
      </c>
      <c r="G581" s="3">
        <v>13</v>
      </c>
      <c r="H581" s="3">
        <v>0</v>
      </c>
      <c r="I581" s="3">
        <v>13</v>
      </c>
      <c r="J581" s="3">
        <v>0</v>
      </c>
      <c r="K581" s="3">
        <v>0</v>
      </c>
      <c r="L581" s="3">
        <v>0</v>
      </c>
      <c r="M581" s="3">
        <v>0</v>
      </c>
      <c r="N581" s="3" t="s">
        <v>1711</v>
      </c>
      <c r="O581" s="3">
        <v>0</v>
      </c>
      <c r="P581" s="3">
        <v>0</v>
      </c>
      <c r="Q581" s="3">
        <v>0</v>
      </c>
      <c r="R581" s="3">
        <v>0</v>
      </c>
      <c r="S581" s="3">
        <v>4</v>
      </c>
      <c r="T581" s="3">
        <v>24</v>
      </c>
      <c r="U581" s="3">
        <v>29</v>
      </c>
      <c r="V581" s="3">
        <v>29</v>
      </c>
      <c r="W581" s="3"/>
      <c r="X581" s="3">
        <v>28.58</v>
      </c>
      <c r="Y581" s="3">
        <v>28.58</v>
      </c>
      <c r="Z581" s="3">
        <v>28.58</v>
      </c>
      <c r="AA581" s="3">
        <v>0</v>
      </c>
      <c r="AB581" s="3" t="s">
        <v>1713</v>
      </c>
      <c r="AC581" s="3">
        <v>14</v>
      </c>
      <c r="AD581" s="3">
        <v>28.58</v>
      </c>
      <c r="AE581" s="3">
        <v>0</v>
      </c>
      <c r="AF581" s="3">
        <v>0</v>
      </c>
      <c r="AG581" s="3">
        <v>0</v>
      </c>
      <c r="AH581" s="3">
        <v>1.93333333333333</v>
      </c>
      <c r="AI581" s="3" t="s">
        <v>1883</v>
      </c>
      <c r="AJ581" s="3" t="s">
        <v>1715</v>
      </c>
    </row>
    <row r="582" spans="1:36">
      <c r="A582" s="4">
        <v>43277</v>
      </c>
      <c r="B582" s="3" t="s">
        <v>3591</v>
      </c>
      <c r="C582" s="3" t="s">
        <v>3592</v>
      </c>
      <c r="D582" s="3" t="s">
        <v>3593</v>
      </c>
      <c r="E582" s="3" t="s">
        <v>3178</v>
      </c>
      <c r="F582" s="3" t="s">
        <v>1710</v>
      </c>
      <c r="G582" s="3">
        <v>2</v>
      </c>
      <c r="H582" s="3">
        <v>0</v>
      </c>
      <c r="I582" s="3">
        <v>0</v>
      </c>
      <c r="J582" s="3">
        <v>2</v>
      </c>
      <c r="K582" s="3">
        <v>0</v>
      </c>
      <c r="L582" s="3">
        <v>0</v>
      </c>
      <c r="M582" s="3">
        <v>0</v>
      </c>
      <c r="N582" s="3" t="s">
        <v>1711</v>
      </c>
      <c r="O582" s="3">
        <v>2</v>
      </c>
      <c r="P582" s="3">
        <v>0.02</v>
      </c>
      <c r="Q582" s="3">
        <v>0</v>
      </c>
      <c r="R582" s="3">
        <v>0</v>
      </c>
      <c r="S582" s="3">
        <v>0</v>
      </c>
      <c r="T582" s="3">
        <v>0</v>
      </c>
      <c r="U582" s="3">
        <v>0</v>
      </c>
      <c r="V582" s="3">
        <v>0</v>
      </c>
      <c r="W582" s="3" t="s">
        <v>1720</v>
      </c>
      <c r="X582" s="3">
        <v>17.99</v>
      </c>
      <c r="Y582" s="3">
        <v>17.99</v>
      </c>
      <c r="Z582" s="3">
        <v>17.99</v>
      </c>
      <c r="AA582" s="3">
        <v>0</v>
      </c>
      <c r="AB582" s="3" t="s">
        <v>1721</v>
      </c>
      <c r="AC582" s="3">
        <v>1</v>
      </c>
      <c r="AD582" s="3">
        <v>16.94</v>
      </c>
      <c r="AE582" s="3">
        <v>56</v>
      </c>
      <c r="AF582" s="3">
        <v>0</v>
      </c>
      <c r="AG582" s="3">
        <v>20.975462</v>
      </c>
      <c r="AH582" s="3">
        <v>0</v>
      </c>
      <c r="AI582" s="3" t="s">
        <v>1782</v>
      </c>
      <c r="AJ582" s="3" t="s">
        <v>1783</v>
      </c>
    </row>
    <row r="583" spans="1:36">
      <c r="A583" s="4">
        <v>43277</v>
      </c>
      <c r="B583" s="3" t="s">
        <v>979</v>
      </c>
      <c r="C583" s="3" t="s">
        <v>980</v>
      </c>
      <c r="D583" s="3" t="s">
        <v>981</v>
      </c>
      <c r="E583" s="3" t="s">
        <v>982</v>
      </c>
      <c r="F583" s="3" t="s">
        <v>1710</v>
      </c>
      <c r="G583" s="3">
        <v>5</v>
      </c>
      <c r="H583" s="3">
        <v>0</v>
      </c>
      <c r="I583" s="3">
        <v>5</v>
      </c>
      <c r="J583" s="3">
        <v>0</v>
      </c>
      <c r="K583" s="3">
        <v>0</v>
      </c>
      <c r="L583" s="3">
        <v>0</v>
      </c>
      <c r="M583" s="3">
        <v>0</v>
      </c>
      <c r="N583" s="3" t="s">
        <v>1711</v>
      </c>
      <c r="O583" s="3">
        <v>0</v>
      </c>
      <c r="P583" s="3">
        <v>0</v>
      </c>
      <c r="Q583" s="3">
        <v>0</v>
      </c>
      <c r="R583" s="3">
        <v>0</v>
      </c>
      <c r="S583" s="3">
        <v>3</v>
      </c>
      <c r="T583" s="3">
        <v>14</v>
      </c>
      <c r="U583" s="3">
        <v>19</v>
      </c>
      <c r="V583" s="3">
        <v>20</v>
      </c>
      <c r="W583" s="3"/>
      <c r="X583" s="3">
        <v>15.99</v>
      </c>
      <c r="Y583" s="3">
        <v>15.99</v>
      </c>
      <c r="Z583" s="3">
        <v>15.99</v>
      </c>
      <c r="AA583" s="3">
        <v>0</v>
      </c>
      <c r="AB583" s="3" t="s">
        <v>1713</v>
      </c>
      <c r="AC583" s="3">
        <v>5</v>
      </c>
      <c r="AD583" s="3">
        <v>15.99</v>
      </c>
      <c r="AE583" s="3">
        <v>0</v>
      </c>
      <c r="AF583" s="3">
        <v>0</v>
      </c>
      <c r="AG583" s="3">
        <v>0</v>
      </c>
      <c r="AH583" s="3">
        <v>1.57894736842105</v>
      </c>
      <c r="AI583" s="3" t="s">
        <v>1739</v>
      </c>
      <c r="AJ583" s="3" t="s">
        <v>1715</v>
      </c>
    </row>
    <row r="584" spans="1:36">
      <c r="A584" s="4">
        <v>43277</v>
      </c>
      <c r="B584" s="3" t="s">
        <v>3594</v>
      </c>
      <c r="C584" s="3" t="s">
        <v>3595</v>
      </c>
      <c r="D584" s="3" t="s">
        <v>3596</v>
      </c>
      <c r="E584" s="3" t="s">
        <v>3597</v>
      </c>
      <c r="F584" s="3" t="s">
        <v>1710</v>
      </c>
      <c r="G584" s="3">
        <v>6</v>
      </c>
      <c r="H584" s="3">
        <v>0</v>
      </c>
      <c r="I584" s="3">
        <v>6</v>
      </c>
      <c r="J584" s="3">
        <v>0</v>
      </c>
      <c r="K584" s="3">
        <v>0</v>
      </c>
      <c r="L584" s="3">
        <v>0</v>
      </c>
      <c r="M584" s="3">
        <v>0</v>
      </c>
      <c r="N584" s="3" t="s">
        <v>1711</v>
      </c>
      <c r="O584" s="3">
        <v>0</v>
      </c>
      <c r="P584" s="3">
        <v>0</v>
      </c>
      <c r="Q584" s="3">
        <v>0</v>
      </c>
      <c r="R584" s="3">
        <v>0</v>
      </c>
      <c r="S584" s="3">
        <v>3</v>
      </c>
      <c r="T584" s="3">
        <v>8</v>
      </c>
      <c r="U584" s="3">
        <v>8</v>
      </c>
      <c r="V584" s="3">
        <v>8</v>
      </c>
      <c r="W584" s="3"/>
      <c r="X584" s="3">
        <v>19.99</v>
      </c>
      <c r="Y584" s="3">
        <v>19.99</v>
      </c>
      <c r="Z584" s="3">
        <v>19.99</v>
      </c>
      <c r="AA584" s="3">
        <v>0</v>
      </c>
      <c r="AB584" s="3" t="s">
        <v>1713</v>
      </c>
      <c r="AC584" s="3">
        <v>7</v>
      </c>
      <c r="AD584" s="3">
        <v>19.99</v>
      </c>
      <c r="AE584" s="3">
        <v>0</v>
      </c>
      <c r="AF584" s="3">
        <v>0</v>
      </c>
      <c r="AG584" s="3">
        <v>0</v>
      </c>
      <c r="AH584" s="3">
        <v>0.727272727272727</v>
      </c>
      <c r="AI584" s="3" t="s">
        <v>1919</v>
      </c>
      <c r="AJ584" s="3" t="s">
        <v>1715</v>
      </c>
    </row>
    <row r="585" spans="1:36">
      <c r="A585" s="4">
        <v>43277</v>
      </c>
      <c r="B585" s="3" t="s">
        <v>3598</v>
      </c>
      <c r="C585" s="3" t="s">
        <v>3599</v>
      </c>
      <c r="D585" s="3" t="s">
        <v>3600</v>
      </c>
      <c r="E585" s="3" t="s">
        <v>3601</v>
      </c>
      <c r="F585" s="3" t="s">
        <v>1710</v>
      </c>
      <c r="G585" s="3">
        <v>1</v>
      </c>
      <c r="H585" s="3">
        <v>0</v>
      </c>
      <c r="I585" s="3">
        <v>0</v>
      </c>
      <c r="J585" s="3">
        <v>0</v>
      </c>
      <c r="K585" s="3">
        <v>1</v>
      </c>
      <c r="L585" s="3">
        <v>0</v>
      </c>
      <c r="M585" s="3">
        <v>0</v>
      </c>
      <c r="N585" s="3" t="s">
        <v>1711</v>
      </c>
      <c r="O585" s="3">
        <v>1</v>
      </c>
      <c r="P585" s="3">
        <v>1.4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1720</v>
      </c>
      <c r="X585" s="3">
        <v>16.99</v>
      </c>
      <c r="Y585" s="3">
        <v>16.99</v>
      </c>
      <c r="Z585" s="3">
        <v>16.99</v>
      </c>
      <c r="AA585" s="3">
        <v>0</v>
      </c>
      <c r="AB585" s="3" t="s">
        <v>1732</v>
      </c>
      <c r="AC585" s="3">
        <v>0</v>
      </c>
      <c r="AD585" s="3">
        <v>16.02</v>
      </c>
      <c r="AE585" s="3">
        <v>7</v>
      </c>
      <c r="AF585" s="3">
        <v>0</v>
      </c>
      <c r="AG585" s="3">
        <v>25.136235</v>
      </c>
      <c r="AH585" s="3">
        <v>0</v>
      </c>
      <c r="AI585" s="3" t="s">
        <v>3602</v>
      </c>
      <c r="AJ585" s="3" t="s">
        <v>1715</v>
      </c>
    </row>
    <row r="586" spans="1:36">
      <c r="A586" s="4">
        <v>43277</v>
      </c>
      <c r="B586" s="3" t="s">
        <v>1431</v>
      </c>
      <c r="C586" s="3" t="s">
        <v>1432</v>
      </c>
      <c r="D586" s="3" t="s">
        <v>1433</v>
      </c>
      <c r="E586" s="3" t="s">
        <v>1434</v>
      </c>
      <c r="F586" s="3" t="s">
        <v>1710</v>
      </c>
      <c r="G586" s="3">
        <v>7</v>
      </c>
      <c r="H586" s="3">
        <v>0</v>
      </c>
      <c r="I586" s="3">
        <v>7</v>
      </c>
      <c r="J586" s="3">
        <v>0</v>
      </c>
      <c r="K586" s="3">
        <v>0</v>
      </c>
      <c r="L586" s="3">
        <v>0</v>
      </c>
      <c r="M586" s="3">
        <v>0</v>
      </c>
      <c r="N586" s="3" t="s">
        <v>1711</v>
      </c>
      <c r="O586" s="3">
        <v>0</v>
      </c>
      <c r="P586" s="3">
        <v>0</v>
      </c>
      <c r="Q586" s="3">
        <v>0</v>
      </c>
      <c r="R586" s="3">
        <v>0</v>
      </c>
      <c r="S586" s="3">
        <v>1</v>
      </c>
      <c r="T586" s="3">
        <v>11</v>
      </c>
      <c r="U586" s="3">
        <v>17</v>
      </c>
      <c r="V586" s="3">
        <v>26</v>
      </c>
      <c r="W586" s="3"/>
      <c r="X586" s="3">
        <v>25.58</v>
      </c>
      <c r="Y586" s="3">
        <v>25.58</v>
      </c>
      <c r="Z586" s="3">
        <v>25.58</v>
      </c>
      <c r="AA586" s="3">
        <v>0</v>
      </c>
      <c r="AB586" s="3" t="s">
        <v>1713</v>
      </c>
      <c r="AC586" s="3">
        <v>8</v>
      </c>
      <c r="AD586" s="3">
        <v>25.58</v>
      </c>
      <c r="AE586" s="3">
        <v>0</v>
      </c>
      <c r="AF586" s="3">
        <v>0</v>
      </c>
      <c r="AG586" s="3">
        <v>0</v>
      </c>
      <c r="AH586" s="3">
        <v>2.12244897959183</v>
      </c>
      <c r="AI586" s="3" t="s">
        <v>1857</v>
      </c>
      <c r="AJ586" s="3" t="s">
        <v>1715</v>
      </c>
    </row>
    <row r="587" spans="1:36">
      <c r="A587" s="4">
        <v>43277</v>
      </c>
      <c r="B587" s="3" t="s">
        <v>3603</v>
      </c>
      <c r="C587" s="3" t="s">
        <v>3604</v>
      </c>
      <c r="D587" s="3" t="s">
        <v>3605</v>
      </c>
      <c r="E587" s="3" t="s">
        <v>1810</v>
      </c>
      <c r="F587" s="3" t="s">
        <v>1710</v>
      </c>
      <c r="G587" s="3">
        <v>3</v>
      </c>
      <c r="H587" s="3">
        <v>0</v>
      </c>
      <c r="I587" s="3">
        <v>0</v>
      </c>
      <c r="J587" s="3">
        <v>0</v>
      </c>
      <c r="K587" s="3">
        <v>3</v>
      </c>
      <c r="L587" s="3">
        <v>0</v>
      </c>
      <c r="M587" s="3">
        <v>0</v>
      </c>
      <c r="N587" s="3" t="s">
        <v>1711</v>
      </c>
      <c r="O587" s="3">
        <v>3</v>
      </c>
      <c r="P587" s="3">
        <v>5.81</v>
      </c>
      <c r="Q587" s="3">
        <v>0</v>
      </c>
      <c r="R587" s="3">
        <v>0</v>
      </c>
      <c r="S587" s="3">
        <v>0</v>
      </c>
      <c r="T587" s="3">
        <v>0</v>
      </c>
      <c r="U587" s="3">
        <v>0</v>
      </c>
      <c r="V587" s="3">
        <v>0</v>
      </c>
      <c r="W587" s="3" t="s">
        <v>1720</v>
      </c>
      <c r="X587" s="3">
        <v>15.99</v>
      </c>
      <c r="Y587" s="3">
        <v>15.99</v>
      </c>
      <c r="Z587" s="3">
        <v>15.99</v>
      </c>
      <c r="AA587" s="3">
        <v>0</v>
      </c>
      <c r="AB587" s="3" t="s">
        <v>1721</v>
      </c>
      <c r="AC587" s="3">
        <v>0</v>
      </c>
      <c r="AD587" s="3">
        <v>14.05</v>
      </c>
      <c r="AE587" s="3">
        <v>84</v>
      </c>
      <c r="AF587" s="3">
        <v>0</v>
      </c>
      <c r="AG587" s="3">
        <v>82.738403</v>
      </c>
      <c r="AH587" s="3">
        <v>0</v>
      </c>
      <c r="AI587" s="3" t="s">
        <v>3606</v>
      </c>
      <c r="AJ587" s="3" t="s">
        <v>1783</v>
      </c>
    </row>
    <row r="588" spans="1:36">
      <c r="A588" s="4">
        <v>43277</v>
      </c>
      <c r="B588" s="3" t="s">
        <v>3607</v>
      </c>
      <c r="C588" s="3" t="s">
        <v>3608</v>
      </c>
      <c r="D588" s="3" t="s">
        <v>3609</v>
      </c>
      <c r="E588" s="3" t="s">
        <v>1209</v>
      </c>
      <c r="F588" s="3" t="s">
        <v>1710</v>
      </c>
      <c r="G588" s="3">
        <v>4</v>
      </c>
      <c r="H588" s="3">
        <v>0</v>
      </c>
      <c r="I588" s="3">
        <v>4</v>
      </c>
      <c r="J588" s="3">
        <v>0</v>
      </c>
      <c r="K588" s="3">
        <v>0</v>
      </c>
      <c r="L588" s="3">
        <v>0</v>
      </c>
      <c r="M588" s="3">
        <v>0</v>
      </c>
      <c r="N588" s="3" t="s">
        <v>1711</v>
      </c>
      <c r="O588" s="3">
        <v>0</v>
      </c>
      <c r="P588" s="3">
        <v>0</v>
      </c>
      <c r="Q588" s="3">
        <v>0</v>
      </c>
      <c r="R588" s="3">
        <v>0</v>
      </c>
      <c r="S588" s="3">
        <v>12</v>
      </c>
      <c r="T588" s="3">
        <v>21</v>
      </c>
      <c r="U588" s="3">
        <v>21</v>
      </c>
      <c r="V588" s="3">
        <v>21</v>
      </c>
      <c r="W588" s="3"/>
      <c r="X588" s="3">
        <v>39.99</v>
      </c>
      <c r="Y588" s="3">
        <v>17.99</v>
      </c>
      <c r="Z588" s="3">
        <v>17.99</v>
      </c>
      <c r="AA588" s="3">
        <v>0</v>
      </c>
      <c r="AB588" s="3" t="s">
        <v>1713</v>
      </c>
      <c r="AC588" s="3">
        <v>13</v>
      </c>
      <c r="AD588" s="3">
        <v>17.99</v>
      </c>
      <c r="AE588" s="3">
        <v>0</v>
      </c>
      <c r="AF588" s="3">
        <v>0</v>
      </c>
      <c r="AG588" s="3">
        <v>0</v>
      </c>
      <c r="AH588" s="3">
        <v>8.4</v>
      </c>
      <c r="AI588" s="3" t="s">
        <v>1714</v>
      </c>
      <c r="AJ588" s="3" t="s">
        <v>1715</v>
      </c>
    </row>
    <row r="589" spans="1:36">
      <c r="A589" s="4">
        <v>43277</v>
      </c>
      <c r="B589" s="3" t="s">
        <v>1639</v>
      </c>
      <c r="C589" s="3" t="s">
        <v>1640</v>
      </c>
      <c r="D589" s="3" t="s">
        <v>1641</v>
      </c>
      <c r="E589" s="3" t="s">
        <v>1642</v>
      </c>
      <c r="F589" s="3" t="s">
        <v>1710</v>
      </c>
      <c r="G589" s="3">
        <v>46</v>
      </c>
      <c r="H589" s="3">
        <v>0</v>
      </c>
      <c r="I589" s="3">
        <v>46</v>
      </c>
      <c r="J589" s="3">
        <v>0</v>
      </c>
      <c r="K589" s="3">
        <v>0</v>
      </c>
      <c r="L589" s="3">
        <v>0</v>
      </c>
      <c r="M589" s="3">
        <v>0</v>
      </c>
      <c r="N589" s="3" t="s">
        <v>1711</v>
      </c>
      <c r="O589" s="3">
        <v>0</v>
      </c>
      <c r="P589" s="3">
        <v>0</v>
      </c>
      <c r="Q589" s="3">
        <v>0</v>
      </c>
      <c r="R589" s="3">
        <v>0</v>
      </c>
      <c r="S589" s="3">
        <v>14</v>
      </c>
      <c r="T589" s="3">
        <v>37</v>
      </c>
      <c r="U589" s="3">
        <v>87</v>
      </c>
      <c r="V589" s="3">
        <v>99</v>
      </c>
      <c r="W589" s="3"/>
      <c r="X589" s="3">
        <v>40</v>
      </c>
      <c r="Y589" s="3">
        <v>29.99</v>
      </c>
      <c r="Z589" s="3">
        <v>28</v>
      </c>
      <c r="AA589" s="3">
        <v>0</v>
      </c>
      <c r="AB589" s="3" t="s">
        <v>1713</v>
      </c>
      <c r="AC589" s="3">
        <v>0</v>
      </c>
      <c r="AD589" s="3">
        <v>0</v>
      </c>
      <c r="AE589" s="3">
        <v>0</v>
      </c>
      <c r="AF589" s="3">
        <v>0</v>
      </c>
      <c r="AG589" s="3">
        <v>0</v>
      </c>
      <c r="AH589" s="3">
        <v>4.55172413793103</v>
      </c>
      <c r="AI589" s="3" t="s">
        <v>2642</v>
      </c>
      <c r="AJ589" s="3" t="s">
        <v>2616</v>
      </c>
    </row>
    <row r="590" spans="1:36">
      <c r="A590" s="4">
        <v>43277</v>
      </c>
      <c r="B590" s="3" t="s">
        <v>3610</v>
      </c>
      <c r="C590" s="3" t="s">
        <v>3611</v>
      </c>
      <c r="D590" s="3" t="s">
        <v>3612</v>
      </c>
      <c r="E590" s="3" t="s">
        <v>3613</v>
      </c>
      <c r="F590" s="3" t="s">
        <v>1710</v>
      </c>
      <c r="G590" s="3">
        <v>26</v>
      </c>
      <c r="H590" s="3">
        <v>0</v>
      </c>
      <c r="I590" s="3">
        <v>1</v>
      </c>
      <c r="J590" s="3">
        <v>5</v>
      </c>
      <c r="K590" s="3">
        <v>4</v>
      </c>
      <c r="L590" s="3">
        <v>16</v>
      </c>
      <c r="M590" s="3">
        <v>0</v>
      </c>
      <c r="N590" s="3" t="s">
        <v>1711</v>
      </c>
      <c r="O590" s="3">
        <v>25</v>
      </c>
      <c r="P590" s="3">
        <v>32.54</v>
      </c>
      <c r="Q590" s="3">
        <v>0</v>
      </c>
      <c r="R590" s="3">
        <v>0</v>
      </c>
      <c r="S590" s="3">
        <v>0</v>
      </c>
      <c r="T590" s="3">
        <v>0</v>
      </c>
      <c r="U590" s="3">
        <v>5</v>
      </c>
      <c r="V590" s="3">
        <v>6</v>
      </c>
      <c r="W590" s="3" t="s">
        <v>1712</v>
      </c>
      <c r="X590" s="3">
        <v>16.99</v>
      </c>
      <c r="Y590" s="3">
        <v>16.99</v>
      </c>
      <c r="Z590" s="3">
        <v>16.99</v>
      </c>
      <c r="AA590" s="3">
        <v>0</v>
      </c>
      <c r="AB590" s="3" t="s">
        <v>1732</v>
      </c>
      <c r="AC590" s="3">
        <v>22</v>
      </c>
      <c r="AD590" s="3">
        <v>13.59</v>
      </c>
      <c r="AE590" s="3">
        <v>63</v>
      </c>
      <c r="AF590" s="3">
        <v>0</v>
      </c>
      <c r="AG590" s="3">
        <v>1.179896</v>
      </c>
      <c r="AH590" s="3">
        <v>0.130434782608695</v>
      </c>
      <c r="AI590" s="3" t="s">
        <v>3275</v>
      </c>
      <c r="AJ590" s="3" t="s">
        <v>1715</v>
      </c>
    </row>
    <row r="591" spans="1:36">
      <c r="A591" s="4">
        <v>43277</v>
      </c>
      <c r="B591" s="3" t="s">
        <v>3614</v>
      </c>
      <c r="C591" s="3" t="s">
        <v>3615</v>
      </c>
      <c r="D591" s="3" t="s">
        <v>3616</v>
      </c>
      <c r="E591" s="3" t="s">
        <v>3617</v>
      </c>
      <c r="F591" s="3" t="s">
        <v>1710</v>
      </c>
      <c r="G591" s="3">
        <v>55</v>
      </c>
      <c r="H591" s="3">
        <v>0</v>
      </c>
      <c r="I591" s="3">
        <v>5</v>
      </c>
      <c r="J591" s="3">
        <v>11</v>
      </c>
      <c r="K591" s="3">
        <v>39</v>
      </c>
      <c r="L591" s="3">
        <v>0</v>
      </c>
      <c r="M591" s="3">
        <v>0</v>
      </c>
      <c r="N591" s="3" t="s">
        <v>1711</v>
      </c>
      <c r="O591" s="3">
        <v>47</v>
      </c>
      <c r="P591" s="3">
        <v>28.13</v>
      </c>
      <c r="Q591" s="3">
        <v>0</v>
      </c>
      <c r="R591" s="3">
        <v>0</v>
      </c>
      <c r="S591" s="3">
        <v>0</v>
      </c>
      <c r="T591" s="3">
        <v>2</v>
      </c>
      <c r="U591" s="3">
        <v>7</v>
      </c>
      <c r="V591" s="3">
        <v>16</v>
      </c>
      <c r="W591" s="3"/>
      <c r="X591" s="3">
        <v>16.99</v>
      </c>
      <c r="Y591" s="3">
        <v>16.99</v>
      </c>
      <c r="Z591" s="3">
        <v>16</v>
      </c>
      <c r="AA591" s="3">
        <v>0</v>
      </c>
      <c r="AB591" s="3" t="s">
        <v>1732</v>
      </c>
      <c r="AC591" s="3">
        <v>0</v>
      </c>
      <c r="AD591" s="3">
        <v>11.06</v>
      </c>
      <c r="AE591" s="3">
        <v>364</v>
      </c>
      <c r="AF591" s="3">
        <v>0</v>
      </c>
      <c r="AG591" s="3">
        <v>385.498386</v>
      </c>
      <c r="AH591" s="3">
        <v>0.076463560334528</v>
      </c>
      <c r="AI591" s="3" t="s">
        <v>1905</v>
      </c>
      <c r="AJ591" s="3" t="s">
        <v>1715</v>
      </c>
    </row>
    <row r="592" spans="1:36">
      <c r="A592" s="4">
        <v>43277</v>
      </c>
      <c r="B592" s="3" t="s">
        <v>3618</v>
      </c>
      <c r="C592" s="3" t="s">
        <v>3619</v>
      </c>
      <c r="D592" s="3" t="s">
        <v>3620</v>
      </c>
      <c r="E592" s="3" t="s">
        <v>3621</v>
      </c>
      <c r="F592" s="3" t="s">
        <v>1710</v>
      </c>
      <c r="G592" s="3">
        <v>8</v>
      </c>
      <c r="H592" s="3">
        <v>0</v>
      </c>
      <c r="I592" s="3">
        <v>8</v>
      </c>
      <c r="J592" s="3">
        <v>0</v>
      </c>
      <c r="K592" s="3">
        <v>0</v>
      </c>
      <c r="L592" s="3">
        <v>0</v>
      </c>
      <c r="M592" s="3">
        <v>0</v>
      </c>
      <c r="N592" s="3" t="s">
        <v>1711</v>
      </c>
      <c r="O592" s="3">
        <v>0</v>
      </c>
      <c r="P592" s="3">
        <v>0</v>
      </c>
      <c r="Q592" s="3">
        <v>0</v>
      </c>
      <c r="R592" s="3">
        <v>0</v>
      </c>
      <c r="S592" s="3">
        <v>1</v>
      </c>
      <c r="T592" s="3">
        <v>1</v>
      </c>
      <c r="U592" s="3">
        <v>1</v>
      </c>
      <c r="V592" s="3">
        <v>5</v>
      </c>
      <c r="W592" s="3"/>
      <c r="X592" s="3">
        <v>27.99</v>
      </c>
      <c r="Y592" s="3">
        <v>27.99</v>
      </c>
      <c r="Z592" s="3">
        <v>25.99</v>
      </c>
      <c r="AA592" s="3">
        <v>0</v>
      </c>
      <c r="AB592" s="3" t="s">
        <v>1732</v>
      </c>
      <c r="AC592" s="3">
        <v>0</v>
      </c>
      <c r="AD592" s="3">
        <v>24.37</v>
      </c>
      <c r="AE592" s="3">
        <v>203</v>
      </c>
      <c r="AF592" s="3">
        <v>0</v>
      </c>
      <c r="AG592" s="3">
        <v>354.580861</v>
      </c>
      <c r="AH592" s="3">
        <v>0.64516129032258</v>
      </c>
      <c r="AI592" s="3" t="s">
        <v>1831</v>
      </c>
      <c r="AJ592" s="3" t="s">
        <v>1715</v>
      </c>
    </row>
    <row r="593" spans="1:36">
      <c r="A593" s="4">
        <v>43277</v>
      </c>
      <c r="B593" s="3" t="s">
        <v>583</v>
      </c>
      <c r="C593" s="3" t="s">
        <v>584</v>
      </c>
      <c r="D593" s="3" t="s">
        <v>585</v>
      </c>
      <c r="E593" s="3" t="s">
        <v>586</v>
      </c>
      <c r="F593" s="3" t="s">
        <v>1710</v>
      </c>
      <c r="G593" s="3">
        <v>48</v>
      </c>
      <c r="H593" s="3">
        <v>0</v>
      </c>
      <c r="I593" s="3">
        <v>48</v>
      </c>
      <c r="J593" s="3">
        <v>0</v>
      </c>
      <c r="K593" s="3">
        <v>0</v>
      </c>
      <c r="L593" s="3">
        <v>0</v>
      </c>
      <c r="M593" s="3">
        <v>0</v>
      </c>
      <c r="N593" s="3" t="s">
        <v>1711</v>
      </c>
      <c r="O593" s="3">
        <v>0</v>
      </c>
      <c r="P593" s="3">
        <v>0</v>
      </c>
      <c r="Q593" s="3">
        <v>0</v>
      </c>
      <c r="R593" s="3">
        <v>0</v>
      </c>
      <c r="S593" s="3">
        <v>4</v>
      </c>
      <c r="T593" s="3">
        <v>14</v>
      </c>
      <c r="U593" s="3">
        <v>28</v>
      </c>
      <c r="V593" s="3">
        <v>35</v>
      </c>
      <c r="W593" s="3"/>
      <c r="X593" s="3">
        <v>38</v>
      </c>
      <c r="Y593" s="3">
        <v>25.58</v>
      </c>
      <c r="Z593" s="3">
        <v>25.58</v>
      </c>
      <c r="AA593" s="3">
        <v>0</v>
      </c>
      <c r="AB593" s="3" t="s">
        <v>1713</v>
      </c>
      <c r="AC593" s="3">
        <v>49</v>
      </c>
      <c r="AD593" s="3">
        <v>25.58</v>
      </c>
      <c r="AE593" s="3">
        <v>0</v>
      </c>
      <c r="AF593" s="3">
        <v>0</v>
      </c>
      <c r="AG593" s="3">
        <v>0</v>
      </c>
      <c r="AH593" s="3">
        <v>1.35922330097087</v>
      </c>
      <c r="AI593" s="3" t="s">
        <v>3622</v>
      </c>
      <c r="AJ593" s="3" t="s">
        <v>1715</v>
      </c>
    </row>
    <row r="594" spans="1:36">
      <c r="A594" s="4">
        <v>43277</v>
      </c>
      <c r="B594" s="3" t="s">
        <v>1010</v>
      </c>
      <c r="C594" s="3" t="s">
        <v>1011</v>
      </c>
      <c r="D594" s="3" t="s">
        <v>1012</v>
      </c>
      <c r="E594" s="3" t="s">
        <v>1013</v>
      </c>
      <c r="F594" s="3" t="s">
        <v>1710</v>
      </c>
      <c r="G594" s="3">
        <v>16</v>
      </c>
      <c r="H594" s="3">
        <v>0</v>
      </c>
      <c r="I594" s="3">
        <v>16</v>
      </c>
      <c r="J594" s="3">
        <v>0</v>
      </c>
      <c r="K594" s="3">
        <v>0</v>
      </c>
      <c r="L594" s="3">
        <v>0</v>
      </c>
      <c r="M594" s="3">
        <v>0</v>
      </c>
      <c r="N594" s="3" t="s">
        <v>1711</v>
      </c>
      <c r="O594" s="3">
        <v>0</v>
      </c>
      <c r="P594" s="3">
        <v>0</v>
      </c>
      <c r="Q594" s="3">
        <v>0</v>
      </c>
      <c r="R594" s="3">
        <v>0</v>
      </c>
      <c r="S594" s="3">
        <v>12</v>
      </c>
      <c r="T594" s="3">
        <v>43</v>
      </c>
      <c r="U594" s="3">
        <v>58</v>
      </c>
      <c r="V594" s="3">
        <v>73</v>
      </c>
      <c r="W594" s="3"/>
      <c r="X594" s="3">
        <v>15.99</v>
      </c>
      <c r="Y594" s="3">
        <v>15.99</v>
      </c>
      <c r="Z594" s="3">
        <v>15.99</v>
      </c>
      <c r="AA594" s="3">
        <v>0</v>
      </c>
      <c r="AB594" s="3" t="s">
        <v>1713</v>
      </c>
      <c r="AC594" s="3">
        <v>3</v>
      </c>
      <c r="AD594" s="3">
        <v>15.99</v>
      </c>
      <c r="AE594" s="3">
        <v>0</v>
      </c>
      <c r="AF594" s="3">
        <v>0</v>
      </c>
      <c r="AG594" s="3">
        <v>0</v>
      </c>
      <c r="AH594" s="3">
        <v>8.42307692307692</v>
      </c>
      <c r="AI594" s="3" t="s">
        <v>1881</v>
      </c>
      <c r="AJ594" s="3" t="s">
        <v>1715</v>
      </c>
    </row>
    <row r="595" spans="1:36">
      <c r="A595" s="4">
        <v>43277</v>
      </c>
      <c r="B595" s="3" t="s">
        <v>3623</v>
      </c>
      <c r="C595" s="3" t="s">
        <v>3624</v>
      </c>
      <c r="D595" s="3" t="s">
        <v>3625</v>
      </c>
      <c r="E595" s="3" t="s">
        <v>3402</v>
      </c>
      <c r="F595" s="3" t="s">
        <v>1710</v>
      </c>
      <c r="G595" s="3">
        <v>5</v>
      </c>
      <c r="H595" s="3">
        <v>0</v>
      </c>
      <c r="I595" s="3">
        <v>0</v>
      </c>
      <c r="J595" s="3">
        <v>1</v>
      </c>
      <c r="K595" s="3">
        <v>4</v>
      </c>
      <c r="L595" s="3">
        <v>0</v>
      </c>
      <c r="M595" s="3">
        <v>0</v>
      </c>
      <c r="N595" s="3" t="s">
        <v>1711</v>
      </c>
      <c r="O595" s="3">
        <v>5</v>
      </c>
      <c r="P595" s="3">
        <v>18.13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1712</v>
      </c>
      <c r="X595" s="3">
        <v>29.99</v>
      </c>
      <c r="Y595" s="3">
        <v>29.99</v>
      </c>
      <c r="Z595" s="3">
        <v>28.99</v>
      </c>
      <c r="AA595" s="3">
        <v>0</v>
      </c>
      <c r="AB595" s="3" t="s">
        <v>1732</v>
      </c>
      <c r="AC595" s="3">
        <v>0</v>
      </c>
      <c r="AD595" s="3">
        <v>27.74</v>
      </c>
      <c r="AE595" s="3">
        <v>49</v>
      </c>
      <c r="AF595" s="3">
        <v>0</v>
      </c>
      <c r="AG595" s="3">
        <v>273.67919</v>
      </c>
      <c r="AH595" s="3">
        <v>0</v>
      </c>
      <c r="AI595" s="3" t="s">
        <v>1831</v>
      </c>
      <c r="AJ595" s="3" t="s">
        <v>1715</v>
      </c>
    </row>
    <row r="596" spans="1:36">
      <c r="A596" s="4">
        <v>43277</v>
      </c>
      <c r="B596" s="3" t="s">
        <v>3626</v>
      </c>
      <c r="C596" s="3" t="s">
        <v>3627</v>
      </c>
      <c r="D596" s="3" t="s">
        <v>3628</v>
      </c>
      <c r="E596" s="3" t="s">
        <v>3629</v>
      </c>
      <c r="F596" s="3" t="s">
        <v>1710</v>
      </c>
      <c r="G596" s="3">
        <v>5</v>
      </c>
      <c r="H596" s="3">
        <v>0</v>
      </c>
      <c r="I596" s="3">
        <v>5</v>
      </c>
      <c r="J596" s="3">
        <v>0</v>
      </c>
      <c r="K596" s="3">
        <v>0</v>
      </c>
      <c r="L596" s="3">
        <v>0</v>
      </c>
      <c r="M596" s="3">
        <v>0</v>
      </c>
      <c r="N596" s="3" t="s">
        <v>1711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s="3">
        <v>0</v>
      </c>
      <c r="W596" s="3" t="s">
        <v>1712</v>
      </c>
      <c r="X596" s="3">
        <v>15.99</v>
      </c>
      <c r="Y596" s="3">
        <v>15.99</v>
      </c>
      <c r="Z596" s="3">
        <v>15.99</v>
      </c>
      <c r="AA596" s="3">
        <v>0</v>
      </c>
      <c r="AB596" s="3" t="s">
        <v>1713</v>
      </c>
      <c r="AC596" s="3">
        <v>5</v>
      </c>
      <c r="AD596" s="3">
        <v>15.99</v>
      </c>
      <c r="AE596" s="3">
        <v>0</v>
      </c>
      <c r="AF596" s="3">
        <v>0</v>
      </c>
      <c r="AG596" s="3">
        <v>0</v>
      </c>
      <c r="AH596" s="3">
        <v>0</v>
      </c>
      <c r="AI596" s="3" t="s">
        <v>1905</v>
      </c>
      <c r="AJ596" s="3" t="s">
        <v>1715</v>
      </c>
    </row>
    <row r="597" spans="1:36">
      <c r="A597" s="4">
        <v>43277</v>
      </c>
      <c r="B597" s="3" t="s">
        <v>3630</v>
      </c>
      <c r="C597" s="3" t="s">
        <v>3631</v>
      </c>
      <c r="D597" s="3" t="s">
        <v>3632</v>
      </c>
      <c r="E597" s="3" t="s">
        <v>3633</v>
      </c>
      <c r="F597" s="3" t="s">
        <v>1710</v>
      </c>
      <c r="G597" s="3">
        <v>23</v>
      </c>
      <c r="H597" s="3">
        <v>0</v>
      </c>
      <c r="I597" s="3">
        <v>23</v>
      </c>
      <c r="J597" s="3">
        <v>0</v>
      </c>
      <c r="K597" s="3">
        <v>0</v>
      </c>
      <c r="L597" s="3">
        <v>0</v>
      </c>
      <c r="M597" s="3">
        <v>0</v>
      </c>
      <c r="N597" s="3" t="s">
        <v>1711</v>
      </c>
      <c r="O597" s="3">
        <v>0</v>
      </c>
      <c r="P597" s="3">
        <v>0</v>
      </c>
      <c r="Q597" s="3">
        <v>0</v>
      </c>
      <c r="R597" s="3">
        <v>0</v>
      </c>
      <c r="S597" s="3">
        <v>2</v>
      </c>
      <c r="T597" s="3">
        <v>5</v>
      </c>
      <c r="U597" s="3">
        <v>12</v>
      </c>
      <c r="V597" s="3">
        <v>23</v>
      </c>
      <c r="W597" s="3"/>
      <c r="X597" s="3">
        <v>19.99</v>
      </c>
      <c r="Y597" s="3">
        <v>19.99</v>
      </c>
      <c r="Z597" s="3">
        <v>19.99</v>
      </c>
      <c r="AA597" s="3">
        <v>0</v>
      </c>
      <c r="AB597" s="3" t="s">
        <v>1713</v>
      </c>
      <c r="AC597" s="3">
        <v>23</v>
      </c>
      <c r="AD597" s="3">
        <v>19.99</v>
      </c>
      <c r="AE597" s="3">
        <v>0</v>
      </c>
      <c r="AF597" s="3">
        <v>0</v>
      </c>
      <c r="AG597" s="3">
        <v>0</v>
      </c>
      <c r="AH597" s="3">
        <v>1.61403508771929</v>
      </c>
      <c r="AI597" s="3" t="s">
        <v>3074</v>
      </c>
      <c r="AJ597" s="3" t="s">
        <v>1715</v>
      </c>
    </row>
    <row r="598" spans="1:36">
      <c r="A598" s="4">
        <v>43277</v>
      </c>
      <c r="B598" s="3" t="s">
        <v>3634</v>
      </c>
      <c r="C598" s="3" t="s">
        <v>3635</v>
      </c>
      <c r="D598" s="3" t="s">
        <v>3636</v>
      </c>
      <c r="E598" s="3" t="s">
        <v>2724</v>
      </c>
      <c r="F598" s="3" t="s">
        <v>1710</v>
      </c>
      <c r="G598" s="3">
        <v>3</v>
      </c>
      <c r="H598" s="3">
        <v>0</v>
      </c>
      <c r="I598" s="3">
        <v>0</v>
      </c>
      <c r="J598" s="3">
        <v>0</v>
      </c>
      <c r="K598" s="3">
        <v>2</v>
      </c>
      <c r="L598" s="3">
        <v>1</v>
      </c>
      <c r="M598" s="3">
        <v>0</v>
      </c>
      <c r="N598" s="3" t="s">
        <v>1711</v>
      </c>
      <c r="O598" s="3">
        <v>3</v>
      </c>
      <c r="P598" s="3">
        <v>3.24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1720</v>
      </c>
      <c r="X598" s="3">
        <v>18.99</v>
      </c>
      <c r="Y598" s="3">
        <v>18.99</v>
      </c>
      <c r="Z598" s="3">
        <v>18.99</v>
      </c>
      <c r="AA598" s="3">
        <v>0</v>
      </c>
      <c r="AB598" s="3" t="s">
        <v>1721</v>
      </c>
      <c r="AC598" s="3">
        <v>0</v>
      </c>
      <c r="AD598" s="3">
        <v>16.2</v>
      </c>
      <c r="AE598" s="3">
        <v>231</v>
      </c>
      <c r="AF598" s="3">
        <v>0</v>
      </c>
      <c r="AG598" s="3">
        <v>58.42618</v>
      </c>
      <c r="AH598" s="3">
        <v>0</v>
      </c>
      <c r="AI598" s="3" t="s">
        <v>1856</v>
      </c>
      <c r="AJ598" s="3" t="s">
        <v>1715</v>
      </c>
    </row>
    <row r="599" spans="1:36">
      <c r="A599" s="4">
        <v>43277</v>
      </c>
      <c r="B599" s="3" t="s">
        <v>3637</v>
      </c>
      <c r="C599" s="3" t="s">
        <v>3638</v>
      </c>
      <c r="D599" s="3" t="s">
        <v>3639</v>
      </c>
      <c r="E599" s="3" t="s">
        <v>3640</v>
      </c>
      <c r="F599" s="3" t="s">
        <v>1710</v>
      </c>
      <c r="G599" s="3">
        <v>12</v>
      </c>
      <c r="H599" s="3">
        <v>0</v>
      </c>
      <c r="I599" s="3">
        <v>0</v>
      </c>
      <c r="J599" s="3">
        <v>0</v>
      </c>
      <c r="K599" s="3">
        <v>12</v>
      </c>
      <c r="L599" s="3">
        <v>0</v>
      </c>
      <c r="M599" s="3">
        <v>0</v>
      </c>
      <c r="N599" s="3" t="s">
        <v>1711</v>
      </c>
      <c r="O599" s="3">
        <v>12</v>
      </c>
      <c r="P599" s="3">
        <v>16.42</v>
      </c>
      <c r="Q599" s="3">
        <v>0</v>
      </c>
      <c r="R599" s="3">
        <v>0</v>
      </c>
      <c r="S599" s="3">
        <v>0</v>
      </c>
      <c r="T599" s="3">
        <v>0</v>
      </c>
      <c r="U599" s="3">
        <v>1</v>
      </c>
      <c r="V599" s="3">
        <v>1</v>
      </c>
      <c r="W599" s="3" t="s">
        <v>1720</v>
      </c>
      <c r="X599" s="3">
        <v>16.99</v>
      </c>
      <c r="Y599" s="3">
        <v>16.99</v>
      </c>
      <c r="Z599" s="3">
        <v>16.99</v>
      </c>
      <c r="AA599" s="3">
        <v>0</v>
      </c>
      <c r="AB599" s="3" t="s">
        <v>1732</v>
      </c>
      <c r="AC599" s="3">
        <v>0</v>
      </c>
      <c r="AD599" s="3">
        <v>12.67</v>
      </c>
      <c r="AE599" s="3">
        <v>364</v>
      </c>
      <c r="AF599" s="3">
        <v>0</v>
      </c>
      <c r="AG599" s="3">
        <v>195.100237</v>
      </c>
      <c r="AH599" s="3">
        <v>0.08</v>
      </c>
      <c r="AI599" s="3" t="s">
        <v>1851</v>
      </c>
      <c r="AJ599" s="3" t="s">
        <v>1715</v>
      </c>
    </row>
    <row r="600" spans="1:36">
      <c r="A600" s="4">
        <v>43277</v>
      </c>
      <c r="B600" s="3" t="s">
        <v>3641</v>
      </c>
      <c r="C600" s="3" t="s">
        <v>3642</v>
      </c>
      <c r="D600" s="3" t="s">
        <v>3643</v>
      </c>
      <c r="E600" s="3" t="s">
        <v>318</v>
      </c>
      <c r="F600" s="3" t="s">
        <v>1710</v>
      </c>
      <c r="G600" s="3">
        <v>4</v>
      </c>
      <c r="H600" s="3">
        <v>0</v>
      </c>
      <c r="I600" s="3">
        <v>1</v>
      </c>
      <c r="J600" s="3">
        <v>2</v>
      </c>
      <c r="K600" s="3">
        <v>1</v>
      </c>
      <c r="L600" s="3">
        <v>0</v>
      </c>
      <c r="M600" s="3">
        <v>0</v>
      </c>
      <c r="N600" s="3" t="s">
        <v>1711</v>
      </c>
      <c r="O600" s="3">
        <v>3</v>
      </c>
      <c r="P600" s="3">
        <v>4.2</v>
      </c>
      <c r="Q600" s="3">
        <v>0</v>
      </c>
      <c r="R600" s="3">
        <v>0</v>
      </c>
      <c r="S600" s="3">
        <v>0</v>
      </c>
      <c r="T600" s="3">
        <v>1</v>
      </c>
      <c r="U600" s="3">
        <v>2</v>
      </c>
      <c r="V600" s="3">
        <v>4</v>
      </c>
      <c r="W600" s="3" t="s">
        <v>1720</v>
      </c>
      <c r="X600" s="3">
        <v>13.99</v>
      </c>
      <c r="Y600" s="3">
        <v>13.99</v>
      </c>
      <c r="Z600" s="3">
        <v>13.99</v>
      </c>
      <c r="AA600" s="3">
        <v>0</v>
      </c>
      <c r="AB600" s="3" t="s">
        <v>1721</v>
      </c>
      <c r="AC600" s="3">
        <v>2</v>
      </c>
      <c r="AD600" s="3">
        <v>13.06</v>
      </c>
      <c r="AE600" s="3">
        <v>14</v>
      </c>
      <c r="AF600" s="3">
        <v>0</v>
      </c>
      <c r="AG600" s="3">
        <v>80.96948</v>
      </c>
      <c r="AH600" s="3">
        <v>0.275862068965517</v>
      </c>
      <c r="AI600" s="3" t="s">
        <v>3644</v>
      </c>
      <c r="AJ600" s="3" t="s">
        <v>1783</v>
      </c>
    </row>
    <row r="601" spans="1:36">
      <c r="A601" s="4">
        <v>43277</v>
      </c>
      <c r="B601" s="3" t="s">
        <v>3645</v>
      </c>
      <c r="C601" s="3" t="s">
        <v>3646</v>
      </c>
      <c r="D601" s="3" t="s">
        <v>3647</v>
      </c>
      <c r="E601" s="3" t="s">
        <v>311</v>
      </c>
      <c r="F601" s="3" t="s">
        <v>1710</v>
      </c>
      <c r="G601" s="3">
        <v>2</v>
      </c>
      <c r="H601" s="3">
        <v>0</v>
      </c>
      <c r="I601" s="3">
        <v>0</v>
      </c>
      <c r="J601" s="3">
        <v>0</v>
      </c>
      <c r="K601" s="3">
        <v>1</v>
      </c>
      <c r="L601" s="3">
        <v>0</v>
      </c>
      <c r="M601" s="3">
        <v>1</v>
      </c>
      <c r="N601" s="3" t="s">
        <v>1711</v>
      </c>
      <c r="O601" s="3">
        <v>1</v>
      </c>
      <c r="P601" s="3">
        <v>0.35</v>
      </c>
      <c r="Q601" s="3">
        <v>1</v>
      </c>
      <c r="R601" s="3">
        <v>0.7</v>
      </c>
      <c r="S601" s="3">
        <v>0</v>
      </c>
      <c r="T601" s="3">
        <v>0</v>
      </c>
      <c r="U601" s="3">
        <v>0</v>
      </c>
      <c r="V601" s="3">
        <v>0</v>
      </c>
      <c r="W601" s="3" t="s">
        <v>1712</v>
      </c>
      <c r="X601" s="3">
        <v>15.99</v>
      </c>
      <c r="Y601" s="3">
        <v>15.99</v>
      </c>
      <c r="Z601" s="3">
        <v>15.99</v>
      </c>
      <c r="AA601" s="3">
        <v>0</v>
      </c>
      <c r="AB601" s="3" t="s">
        <v>1713</v>
      </c>
      <c r="AC601" s="3">
        <v>2</v>
      </c>
      <c r="AD601" s="3">
        <v>15.99</v>
      </c>
      <c r="AE601" s="3">
        <v>0</v>
      </c>
      <c r="AF601" s="3">
        <v>0</v>
      </c>
      <c r="AG601" s="3">
        <v>0</v>
      </c>
      <c r="AH601" s="3">
        <v>0</v>
      </c>
      <c r="AI601" s="3" t="s">
        <v>3648</v>
      </c>
      <c r="AJ601" s="3" t="s">
        <v>1715</v>
      </c>
    </row>
    <row r="602" spans="1:36">
      <c r="A602" s="4">
        <v>43277</v>
      </c>
      <c r="B602" s="3" t="s">
        <v>3649</v>
      </c>
      <c r="C602" s="3" t="s">
        <v>3650</v>
      </c>
      <c r="D602" s="3" t="s">
        <v>3651</v>
      </c>
      <c r="E602" s="3" t="s">
        <v>311</v>
      </c>
      <c r="F602" s="3" t="s">
        <v>1710</v>
      </c>
      <c r="G602" s="3">
        <v>2</v>
      </c>
      <c r="H602" s="3">
        <v>0</v>
      </c>
      <c r="I602" s="3">
        <v>0</v>
      </c>
      <c r="J602" s="3">
        <v>0</v>
      </c>
      <c r="K602" s="3">
        <v>0</v>
      </c>
      <c r="L602" s="3">
        <v>0</v>
      </c>
      <c r="M602" s="3">
        <v>2</v>
      </c>
      <c r="N602" s="3" t="s">
        <v>1711</v>
      </c>
      <c r="O602" s="3">
        <v>0</v>
      </c>
      <c r="P602" s="3">
        <v>0</v>
      </c>
      <c r="Q602" s="3">
        <v>2</v>
      </c>
      <c r="R602" s="3">
        <v>1.4</v>
      </c>
      <c r="S602" s="3">
        <v>0</v>
      </c>
      <c r="T602" s="3">
        <v>0</v>
      </c>
      <c r="U602" s="3">
        <v>0</v>
      </c>
      <c r="V602" s="3">
        <v>0</v>
      </c>
      <c r="W602" s="3" t="s">
        <v>1712</v>
      </c>
      <c r="X602" s="3">
        <v>15.99</v>
      </c>
      <c r="Y602" s="3">
        <v>15.99</v>
      </c>
      <c r="Z602" s="3">
        <v>15.99</v>
      </c>
      <c r="AA602" s="3">
        <v>0</v>
      </c>
      <c r="AB602" s="3" t="s">
        <v>1732</v>
      </c>
      <c r="AC602" s="3">
        <v>0</v>
      </c>
      <c r="AD602" s="3">
        <v>14.44</v>
      </c>
      <c r="AE602" s="3">
        <v>210</v>
      </c>
      <c r="AF602" s="3">
        <v>0</v>
      </c>
      <c r="AG602" s="3">
        <v>22.533463</v>
      </c>
      <c r="AH602" s="3">
        <v>0</v>
      </c>
      <c r="AI602" s="3" t="s">
        <v>3648</v>
      </c>
      <c r="AJ602" s="3" t="s">
        <v>1715</v>
      </c>
    </row>
    <row r="603" spans="1:36">
      <c r="A603" s="4">
        <v>43277</v>
      </c>
      <c r="B603" s="3" t="s">
        <v>3652</v>
      </c>
      <c r="C603" s="3" t="s">
        <v>3653</v>
      </c>
      <c r="D603" s="3" t="s">
        <v>3654</v>
      </c>
      <c r="E603" s="3" t="s">
        <v>3655</v>
      </c>
      <c r="F603" s="3" t="s">
        <v>1710</v>
      </c>
      <c r="G603" s="3">
        <v>1</v>
      </c>
      <c r="H603" s="3">
        <v>0</v>
      </c>
      <c r="I603" s="3">
        <v>0</v>
      </c>
      <c r="J603" s="3">
        <v>0</v>
      </c>
      <c r="K603" s="3">
        <v>0</v>
      </c>
      <c r="L603" s="3">
        <v>1</v>
      </c>
      <c r="M603" s="3">
        <v>0</v>
      </c>
      <c r="N603" s="3" t="s">
        <v>1711</v>
      </c>
      <c r="O603" s="3">
        <v>1</v>
      </c>
      <c r="P603" s="3">
        <v>0.01</v>
      </c>
      <c r="Q603" s="3">
        <v>0</v>
      </c>
      <c r="R603" s="3">
        <v>0</v>
      </c>
      <c r="S603" s="3">
        <v>0</v>
      </c>
      <c r="T603" s="3">
        <v>0</v>
      </c>
      <c r="U603" s="3">
        <v>0</v>
      </c>
      <c r="V603" s="3">
        <v>0</v>
      </c>
      <c r="W603" s="3" t="s">
        <v>1720</v>
      </c>
      <c r="X603" s="3">
        <v>15.99</v>
      </c>
      <c r="Y603" s="3">
        <v>15.99</v>
      </c>
      <c r="Z603" s="3">
        <v>15.99</v>
      </c>
      <c r="AA603" s="3">
        <v>0</v>
      </c>
      <c r="AB603" s="3" t="s">
        <v>1713</v>
      </c>
      <c r="AC603" s="3">
        <v>1</v>
      </c>
      <c r="AD603" s="3">
        <v>15.99</v>
      </c>
      <c r="AE603" s="3">
        <v>0</v>
      </c>
      <c r="AF603" s="3">
        <v>0</v>
      </c>
      <c r="AG603" s="3">
        <v>0</v>
      </c>
      <c r="AH603" s="3">
        <v>0</v>
      </c>
      <c r="AI603" s="3" t="s">
        <v>1782</v>
      </c>
      <c r="AJ603" s="3" t="s">
        <v>1783</v>
      </c>
    </row>
    <row r="604" spans="1:36">
      <c r="A604" s="4">
        <v>43277</v>
      </c>
      <c r="B604" s="3" t="s">
        <v>3656</v>
      </c>
      <c r="C604" s="3" t="s">
        <v>3657</v>
      </c>
      <c r="D604" s="3" t="s">
        <v>3658</v>
      </c>
      <c r="E604" s="3" t="s">
        <v>3659</v>
      </c>
      <c r="F604" s="3" t="s">
        <v>1710</v>
      </c>
      <c r="G604" s="3">
        <v>4</v>
      </c>
      <c r="H604" s="3">
        <v>0</v>
      </c>
      <c r="I604" s="3">
        <v>0</v>
      </c>
      <c r="J604" s="3">
        <v>1</v>
      </c>
      <c r="K604" s="3">
        <v>0</v>
      </c>
      <c r="L604" s="3">
        <v>0</v>
      </c>
      <c r="M604" s="3">
        <v>3</v>
      </c>
      <c r="N604" s="3" t="s">
        <v>1711</v>
      </c>
      <c r="O604" s="3">
        <v>1</v>
      </c>
      <c r="P604" s="3">
        <v>1.39</v>
      </c>
      <c r="Q604" s="3">
        <v>3</v>
      </c>
      <c r="R604" s="3">
        <v>8.36</v>
      </c>
      <c r="S604" s="3">
        <v>0</v>
      </c>
      <c r="T604" s="3">
        <v>1</v>
      </c>
      <c r="U604" s="3">
        <v>2</v>
      </c>
      <c r="V604" s="3">
        <v>4</v>
      </c>
      <c r="W604" s="3" t="s">
        <v>1720</v>
      </c>
      <c r="X604" s="3">
        <v>15.99</v>
      </c>
      <c r="Y604" s="3">
        <v>15.99</v>
      </c>
      <c r="Z604" s="3">
        <v>15.99</v>
      </c>
      <c r="AA604" s="3">
        <v>0</v>
      </c>
      <c r="AB604" s="3" t="s">
        <v>1721</v>
      </c>
      <c r="AC604" s="3">
        <v>4</v>
      </c>
      <c r="AD604" s="3">
        <v>15.99</v>
      </c>
      <c r="AE604" s="3">
        <v>0</v>
      </c>
      <c r="AF604" s="3">
        <v>0</v>
      </c>
      <c r="AG604" s="3">
        <v>0</v>
      </c>
      <c r="AH604" s="3">
        <v>0.695652173913043</v>
      </c>
      <c r="AI604" s="3" t="s">
        <v>3660</v>
      </c>
      <c r="AJ604" s="3" t="s">
        <v>1783</v>
      </c>
    </row>
    <row r="605" spans="1:36">
      <c r="A605" s="4">
        <v>43277</v>
      </c>
      <c r="B605" s="3" t="s">
        <v>3661</v>
      </c>
      <c r="C605" s="3" t="s">
        <v>3662</v>
      </c>
      <c r="D605" s="3" t="s">
        <v>3663</v>
      </c>
      <c r="E605" s="3" t="s">
        <v>3664</v>
      </c>
      <c r="F605" s="3" t="s">
        <v>1710</v>
      </c>
      <c r="G605" s="3">
        <v>2</v>
      </c>
      <c r="H605" s="3">
        <v>0</v>
      </c>
      <c r="I605" s="3">
        <v>1</v>
      </c>
      <c r="J605" s="3">
        <v>1</v>
      </c>
      <c r="K605" s="3">
        <v>0</v>
      </c>
      <c r="L605" s="3">
        <v>0</v>
      </c>
      <c r="M605" s="3">
        <v>0</v>
      </c>
      <c r="N605" s="3" t="s">
        <v>1711</v>
      </c>
      <c r="O605" s="3">
        <v>0</v>
      </c>
      <c r="P605" s="3">
        <v>0</v>
      </c>
      <c r="Q605" s="3">
        <v>0</v>
      </c>
      <c r="R605" s="3">
        <v>0</v>
      </c>
      <c r="S605" s="3">
        <v>0</v>
      </c>
      <c r="T605" s="3">
        <v>1</v>
      </c>
      <c r="U605" s="3">
        <v>3</v>
      </c>
      <c r="V605" s="3">
        <v>4</v>
      </c>
      <c r="W605" s="3" t="s">
        <v>1712</v>
      </c>
      <c r="X605" s="3">
        <v>19.99</v>
      </c>
      <c r="Y605" s="3">
        <v>19.99</v>
      </c>
      <c r="Z605" s="3">
        <v>19.99</v>
      </c>
      <c r="AA605" s="3">
        <v>0</v>
      </c>
      <c r="AB605" s="3" t="s">
        <v>1713</v>
      </c>
      <c r="AC605" s="3">
        <v>2</v>
      </c>
      <c r="AD605" s="3">
        <v>19.99</v>
      </c>
      <c r="AE605" s="3">
        <v>0</v>
      </c>
      <c r="AF605" s="3">
        <v>0</v>
      </c>
      <c r="AG605" s="3">
        <v>0</v>
      </c>
      <c r="AH605" s="3">
        <v>1</v>
      </c>
      <c r="AI605" s="3" t="s">
        <v>2789</v>
      </c>
      <c r="AJ605" s="3" t="s">
        <v>1715</v>
      </c>
    </row>
    <row r="606" spans="1:36">
      <c r="A606" s="4">
        <v>43277</v>
      </c>
      <c r="B606" s="3" t="s">
        <v>3665</v>
      </c>
      <c r="C606" s="3" t="s">
        <v>3666</v>
      </c>
      <c r="D606" s="3" t="s">
        <v>3667</v>
      </c>
      <c r="E606" s="3" t="s">
        <v>3668</v>
      </c>
      <c r="F606" s="3" t="s">
        <v>1710</v>
      </c>
      <c r="G606" s="3">
        <v>1</v>
      </c>
      <c r="H606" s="3">
        <v>0</v>
      </c>
      <c r="I606" s="3">
        <v>0</v>
      </c>
      <c r="J606" s="3">
        <v>0</v>
      </c>
      <c r="K606" s="3">
        <v>1</v>
      </c>
      <c r="L606" s="3">
        <v>0</v>
      </c>
      <c r="M606" s="3">
        <v>0</v>
      </c>
      <c r="N606" s="3" t="s">
        <v>1711</v>
      </c>
      <c r="O606" s="3">
        <v>1</v>
      </c>
      <c r="P606" s="3">
        <v>4.74</v>
      </c>
      <c r="Q606" s="3">
        <v>0</v>
      </c>
      <c r="R606" s="3">
        <v>0</v>
      </c>
      <c r="S606" s="3">
        <v>0</v>
      </c>
      <c r="T606" s="3">
        <v>0</v>
      </c>
      <c r="U606" s="3">
        <v>0</v>
      </c>
      <c r="V606" s="3">
        <v>0</v>
      </c>
      <c r="W606" s="3" t="s">
        <v>1720</v>
      </c>
      <c r="X606" s="3">
        <v>22.99</v>
      </c>
      <c r="Y606" s="3">
        <v>22.99</v>
      </c>
      <c r="Z606" s="3">
        <v>22.99</v>
      </c>
      <c r="AA606" s="3">
        <v>0</v>
      </c>
      <c r="AB606" s="3" t="s">
        <v>1721</v>
      </c>
      <c r="AC606" s="3">
        <v>0</v>
      </c>
      <c r="AD606" s="3">
        <v>21.73</v>
      </c>
      <c r="AE606" s="3">
        <v>14</v>
      </c>
      <c r="AF606" s="3">
        <v>0</v>
      </c>
      <c r="AG606" s="3">
        <v>64.05066</v>
      </c>
      <c r="AH606" s="3">
        <v>0</v>
      </c>
      <c r="AI606" s="3" t="s">
        <v>3669</v>
      </c>
      <c r="AJ606" s="3" t="s">
        <v>1783</v>
      </c>
    </row>
    <row r="607" spans="1:36">
      <c r="A607" s="4">
        <v>43277</v>
      </c>
      <c r="B607" s="3" t="s">
        <v>3670</v>
      </c>
      <c r="C607" s="3" t="s">
        <v>3671</v>
      </c>
      <c r="D607" s="3" t="s">
        <v>3672</v>
      </c>
      <c r="E607" s="3" t="s">
        <v>3121</v>
      </c>
      <c r="F607" s="3" t="s">
        <v>1710</v>
      </c>
      <c r="G607" s="3">
        <v>1</v>
      </c>
      <c r="H607" s="3">
        <v>0</v>
      </c>
      <c r="I607" s="3">
        <v>1</v>
      </c>
      <c r="J607" s="3">
        <v>0</v>
      </c>
      <c r="K607" s="3">
        <v>0</v>
      </c>
      <c r="L607" s="3">
        <v>0</v>
      </c>
      <c r="M607" s="3">
        <v>0</v>
      </c>
      <c r="N607" s="3" t="s">
        <v>1711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4</v>
      </c>
      <c r="U607" s="3">
        <v>7</v>
      </c>
      <c r="V607" s="3">
        <v>9</v>
      </c>
      <c r="W607" s="3"/>
      <c r="X607" s="3">
        <v>15.99</v>
      </c>
      <c r="Y607" s="3">
        <v>15.99</v>
      </c>
      <c r="Z607" s="3">
        <v>15.99</v>
      </c>
      <c r="AA607" s="3">
        <v>0</v>
      </c>
      <c r="AB607" s="3" t="s">
        <v>1713</v>
      </c>
      <c r="AC607" s="3">
        <v>1</v>
      </c>
      <c r="AD607" s="3">
        <v>15.99</v>
      </c>
      <c r="AE607" s="3">
        <v>0</v>
      </c>
      <c r="AF607" s="3">
        <v>0</v>
      </c>
      <c r="AG607" s="3">
        <v>0</v>
      </c>
      <c r="AH607" s="3">
        <v>2.76923076923076</v>
      </c>
      <c r="AI607" s="3" t="s">
        <v>1962</v>
      </c>
      <c r="AJ607" s="3" t="s">
        <v>1715</v>
      </c>
    </row>
    <row r="608" spans="1:36">
      <c r="A608" s="4">
        <v>43277</v>
      </c>
      <c r="B608" s="3" t="s">
        <v>3673</v>
      </c>
      <c r="C608" s="3" t="s">
        <v>3674</v>
      </c>
      <c r="D608" s="3" t="s">
        <v>3675</v>
      </c>
      <c r="E608" s="3" t="s">
        <v>3676</v>
      </c>
      <c r="F608" s="3" t="s">
        <v>1710</v>
      </c>
      <c r="G608" s="3">
        <v>1</v>
      </c>
      <c r="H608" s="3">
        <v>0</v>
      </c>
      <c r="I608" s="3">
        <v>1</v>
      </c>
      <c r="J608" s="3">
        <v>0</v>
      </c>
      <c r="K608" s="3">
        <v>0</v>
      </c>
      <c r="L608" s="3">
        <v>0</v>
      </c>
      <c r="M608" s="3">
        <v>0</v>
      </c>
      <c r="N608" s="3" t="s">
        <v>1711</v>
      </c>
      <c r="O608" s="3">
        <v>0</v>
      </c>
      <c r="P608" s="3">
        <v>0</v>
      </c>
      <c r="Q608" s="3">
        <v>0</v>
      </c>
      <c r="R608" s="3">
        <v>0</v>
      </c>
      <c r="S608" s="3">
        <v>0</v>
      </c>
      <c r="T608" s="3">
        <v>0</v>
      </c>
      <c r="U608" s="3">
        <v>1</v>
      </c>
      <c r="V608" s="3">
        <v>1</v>
      </c>
      <c r="W608" s="3" t="s">
        <v>1712</v>
      </c>
      <c r="X608" s="3">
        <v>18.99</v>
      </c>
      <c r="Y608" s="3">
        <v>18.99</v>
      </c>
      <c r="Z608" s="3">
        <v>18.99</v>
      </c>
      <c r="AA608" s="3">
        <v>0</v>
      </c>
      <c r="AB608" s="3" t="s">
        <v>1713</v>
      </c>
      <c r="AC608" s="3">
        <v>1</v>
      </c>
      <c r="AD608" s="3">
        <v>18.99</v>
      </c>
      <c r="AE608" s="3">
        <v>0</v>
      </c>
      <c r="AF608" s="3">
        <v>0</v>
      </c>
      <c r="AG608" s="3">
        <v>0</v>
      </c>
      <c r="AH608" s="3">
        <v>1.33333333333333</v>
      </c>
      <c r="AI608" s="3" t="s">
        <v>3677</v>
      </c>
      <c r="AJ608" s="3" t="s">
        <v>1715</v>
      </c>
    </row>
    <row r="609" spans="1:36">
      <c r="A609" s="4">
        <v>43277</v>
      </c>
      <c r="B609" s="3" t="s">
        <v>3678</v>
      </c>
      <c r="C609" s="3" t="s">
        <v>3679</v>
      </c>
      <c r="D609" s="3" t="s">
        <v>3680</v>
      </c>
      <c r="E609" s="3" t="s">
        <v>3681</v>
      </c>
      <c r="F609" s="3" t="s">
        <v>1710</v>
      </c>
      <c r="G609" s="3">
        <v>73</v>
      </c>
      <c r="H609" s="3">
        <v>0</v>
      </c>
      <c r="I609" s="3">
        <v>8</v>
      </c>
      <c r="J609" s="3">
        <v>65</v>
      </c>
      <c r="K609" s="3">
        <v>0</v>
      </c>
      <c r="L609" s="3">
        <v>0</v>
      </c>
      <c r="M609" s="3">
        <v>0</v>
      </c>
      <c r="N609" s="3" t="s">
        <v>1711</v>
      </c>
      <c r="O609" s="3">
        <v>60</v>
      </c>
      <c r="P609" s="3">
        <v>19.22</v>
      </c>
      <c r="Q609" s="3">
        <v>0</v>
      </c>
      <c r="R609" s="3">
        <v>0</v>
      </c>
      <c r="S609" s="3">
        <v>0</v>
      </c>
      <c r="T609" s="3">
        <v>4</v>
      </c>
      <c r="U609" s="3">
        <v>11</v>
      </c>
      <c r="V609" s="3">
        <v>36</v>
      </c>
      <c r="W609" s="3"/>
      <c r="X609" s="3">
        <v>16.99</v>
      </c>
      <c r="Y609" s="3">
        <v>16.99</v>
      </c>
      <c r="Z609" s="3">
        <v>16</v>
      </c>
      <c r="AA609" s="3">
        <v>0</v>
      </c>
      <c r="AB609" s="3" t="s">
        <v>1732</v>
      </c>
      <c r="AC609" s="3">
        <v>37</v>
      </c>
      <c r="AD609" s="3">
        <v>15.95</v>
      </c>
      <c r="AE609" s="3">
        <v>56</v>
      </c>
      <c r="AF609" s="3">
        <v>0</v>
      </c>
      <c r="AG609" s="3">
        <v>993.333794</v>
      </c>
      <c r="AH609" s="3">
        <v>0.104803493449781</v>
      </c>
      <c r="AI609" s="3" t="s">
        <v>3682</v>
      </c>
      <c r="AJ609" s="3" t="s">
        <v>1715</v>
      </c>
    </row>
    <row r="610" spans="1:36">
      <c r="A610" s="4">
        <v>43277</v>
      </c>
      <c r="B610" s="3" t="s">
        <v>3683</v>
      </c>
      <c r="C610" s="3" t="s">
        <v>3684</v>
      </c>
      <c r="D610" s="3" t="s">
        <v>3685</v>
      </c>
      <c r="E610" s="3" t="s">
        <v>3686</v>
      </c>
      <c r="F610" s="3" t="s">
        <v>1710</v>
      </c>
      <c r="G610" s="3">
        <v>16</v>
      </c>
      <c r="H610" s="3">
        <v>0</v>
      </c>
      <c r="I610" s="3">
        <v>16</v>
      </c>
      <c r="J610" s="3">
        <v>0</v>
      </c>
      <c r="K610" s="3">
        <v>0</v>
      </c>
      <c r="L610" s="3">
        <v>0</v>
      </c>
      <c r="M610" s="3">
        <v>0</v>
      </c>
      <c r="N610" s="3" t="s">
        <v>1711</v>
      </c>
      <c r="O610" s="3">
        <v>0</v>
      </c>
      <c r="P610" s="3">
        <v>0</v>
      </c>
      <c r="Q610" s="3">
        <v>0</v>
      </c>
      <c r="R610" s="3">
        <v>0</v>
      </c>
      <c r="S610" s="3">
        <v>2</v>
      </c>
      <c r="T610" s="3">
        <v>13</v>
      </c>
      <c r="U610" s="3">
        <v>22</v>
      </c>
      <c r="V610" s="3">
        <v>30</v>
      </c>
      <c r="W610" s="3"/>
      <c r="X610" s="3">
        <v>38</v>
      </c>
      <c r="Y610" s="3">
        <v>28.58</v>
      </c>
      <c r="Z610" s="3">
        <v>28</v>
      </c>
      <c r="AA610" s="3">
        <v>0</v>
      </c>
      <c r="AB610" s="3" t="s">
        <v>1713</v>
      </c>
      <c r="AC610" s="3">
        <v>17</v>
      </c>
      <c r="AD610" s="3">
        <v>28.58</v>
      </c>
      <c r="AE610" s="3">
        <v>0</v>
      </c>
      <c r="AF610" s="3">
        <v>0</v>
      </c>
      <c r="AG610" s="3">
        <v>0</v>
      </c>
      <c r="AH610" s="3">
        <v>1.64383561643835</v>
      </c>
      <c r="AI610" s="3" t="s">
        <v>2055</v>
      </c>
      <c r="AJ610" s="3" t="s">
        <v>1715</v>
      </c>
    </row>
    <row r="611" spans="1:36">
      <c r="A611" s="4">
        <v>43277</v>
      </c>
      <c r="B611" s="3" t="s">
        <v>3687</v>
      </c>
      <c r="C611" s="3" t="s">
        <v>3688</v>
      </c>
      <c r="D611" s="3" t="s">
        <v>3689</v>
      </c>
      <c r="E611" s="3" t="s">
        <v>3690</v>
      </c>
      <c r="F611" s="3" t="s">
        <v>1710</v>
      </c>
      <c r="G611" s="3">
        <v>6</v>
      </c>
      <c r="H611" s="3">
        <v>0</v>
      </c>
      <c r="I611" s="3">
        <v>0</v>
      </c>
      <c r="J611" s="3">
        <v>2</v>
      </c>
      <c r="K611" s="3">
        <v>1</v>
      </c>
      <c r="L611" s="3">
        <v>3</v>
      </c>
      <c r="M611" s="3">
        <v>0</v>
      </c>
      <c r="N611" s="3" t="s">
        <v>1711</v>
      </c>
      <c r="O611" s="3">
        <v>5</v>
      </c>
      <c r="P611" s="3">
        <v>16.66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0</v>
      </c>
      <c r="W611" s="3" t="s">
        <v>1720</v>
      </c>
      <c r="X611" s="3">
        <v>16.99</v>
      </c>
      <c r="Y611" s="3">
        <v>16.99</v>
      </c>
      <c r="Z611" s="3">
        <v>16.99</v>
      </c>
      <c r="AA611" s="3">
        <v>0</v>
      </c>
      <c r="AB611" s="3" t="s">
        <v>1721</v>
      </c>
      <c r="AC611" s="3">
        <v>0</v>
      </c>
      <c r="AD611" s="3">
        <v>15.25</v>
      </c>
      <c r="AE611" s="3">
        <v>49</v>
      </c>
      <c r="AF611" s="3">
        <v>0</v>
      </c>
      <c r="AG611" s="3">
        <v>268.87215</v>
      </c>
      <c r="AH611" s="3">
        <v>0</v>
      </c>
      <c r="AI611" s="3" t="s">
        <v>3691</v>
      </c>
      <c r="AJ611" s="3" t="s">
        <v>1783</v>
      </c>
    </row>
    <row r="612" spans="1:36">
      <c r="A612" s="4">
        <v>43277</v>
      </c>
      <c r="B612" s="3" t="s">
        <v>3692</v>
      </c>
      <c r="C612" s="3" t="s">
        <v>3693</v>
      </c>
      <c r="D612" s="3" t="s">
        <v>3694</v>
      </c>
      <c r="E612" s="3" t="s">
        <v>3695</v>
      </c>
      <c r="F612" s="3" t="s">
        <v>1710</v>
      </c>
      <c r="G612" s="3">
        <v>4</v>
      </c>
      <c r="H612" s="3">
        <v>0</v>
      </c>
      <c r="I612" s="3">
        <v>4</v>
      </c>
      <c r="J612" s="3">
        <v>0</v>
      </c>
      <c r="K612" s="3">
        <v>0</v>
      </c>
      <c r="L612" s="3">
        <v>0</v>
      </c>
      <c r="M612" s="3">
        <v>0</v>
      </c>
      <c r="N612" s="3" t="s">
        <v>1711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1</v>
      </c>
      <c r="V612" s="3">
        <v>1</v>
      </c>
      <c r="W612" s="3" t="s">
        <v>1712</v>
      </c>
      <c r="X612" s="3">
        <v>13.99</v>
      </c>
      <c r="Y612" s="3">
        <v>13.99</v>
      </c>
      <c r="Z612" s="3">
        <v>13.99</v>
      </c>
      <c r="AA612" s="3">
        <v>0</v>
      </c>
      <c r="AB612" s="3" t="s">
        <v>1713</v>
      </c>
      <c r="AC612" s="3">
        <v>4</v>
      </c>
      <c r="AD612" s="3">
        <v>13.99</v>
      </c>
      <c r="AE612" s="3">
        <v>0</v>
      </c>
      <c r="AF612" s="3">
        <v>0</v>
      </c>
      <c r="AG612" s="3">
        <v>0</v>
      </c>
      <c r="AH612" s="3">
        <v>0.25</v>
      </c>
      <c r="AI612" s="3" t="s">
        <v>1905</v>
      </c>
      <c r="AJ612" s="3" t="s">
        <v>1715</v>
      </c>
    </row>
    <row r="613" spans="1:36">
      <c r="A613" s="4">
        <v>43277</v>
      </c>
      <c r="B613" s="3" t="s">
        <v>1174</v>
      </c>
      <c r="C613" s="3" t="s">
        <v>1175</v>
      </c>
      <c r="D613" s="3" t="s">
        <v>1176</v>
      </c>
      <c r="E613" s="3" t="s">
        <v>1177</v>
      </c>
      <c r="F613" s="3" t="s">
        <v>1710</v>
      </c>
      <c r="G613" s="3">
        <v>1</v>
      </c>
      <c r="H613" s="3">
        <v>0</v>
      </c>
      <c r="I613" s="3">
        <v>1</v>
      </c>
      <c r="J613" s="3">
        <v>0</v>
      </c>
      <c r="K613" s="3">
        <v>0</v>
      </c>
      <c r="L613" s="3">
        <v>0</v>
      </c>
      <c r="M613" s="3">
        <v>0</v>
      </c>
      <c r="N613" s="3" t="s">
        <v>1711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20</v>
      </c>
      <c r="U613" s="3">
        <v>30</v>
      </c>
      <c r="V613" s="3">
        <v>30</v>
      </c>
      <c r="W613" s="3"/>
      <c r="X613" s="3">
        <v>39.99</v>
      </c>
      <c r="Y613" s="3">
        <v>19.99</v>
      </c>
      <c r="Z613" s="3">
        <v>19.99</v>
      </c>
      <c r="AA613" s="3">
        <v>0</v>
      </c>
      <c r="AB613" s="3" t="s">
        <v>1713</v>
      </c>
      <c r="AC613" s="3">
        <v>0</v>
      </c>
      <c r="AD613" s="3">
        <v>0</v>
      </c>
      <c r="AE613" s="3">
        <v>0</v>
      </c>
      <c r="AF613" s="3">
        <v>0</v>
      </c>
      <c r="AG613" s="3">
        <v>0</v>
      </c>
      <c r="AH613" s="3">
        <v>18</v>
      </c>
      <c r="AI613" s="3" t="s">
        <v>3696</v>
      </c>
      <c r="AJ613" s="3" t="s">
        <v>1715</v>
      </c>
    </row>
    <row r="614" spans="1:36">
      <c r="A614" s="4">
        <v>43277</v>
      </c>
      <c r="B614" s="3" t="s">
        <v>3697</v>
      </c>
      <c r="C614" s="3" t="s">
        <v>3698</v>
      </c>
      <c r="D614" s="3" t="s">
        <v>3699</v>
      </c>
      <c r="E614" s="3" t="s">
        <v>3700</v>
      </c>
      <c r="F614" s="3" t="s">
        <v>1710</v>
      </c>
      <c r="G614" s="3">
        <v>36</v>
      </c>
      <c r="H614" s="3">
        <v>0</v>
      </c>
      <c r="I614" s="3">
        <v>2</v>
      </c>
      <c r="J614" s="3">
        <v>5</v>
      </c>
      <c r="K614" s="3">
        <v>29</v>
      </c>
      <c r="L614" s="3">
        <v>0</v>
      </c>
      <c r="M614" s="3">
        <v>0</v>
      </c>
      <c r="N614" s="3" t="s">
        <v>1711</v>
      </c>
      <c r="O614" s="3">
        <v>32</v>
      </c>
      <c r="P614" s="3">
        <v>116.07</v>
      </c>
      <c r="Q614" s="3">
        <v>0</v>
      </c>
      <c r="R614" s="3">
        <v>0</v>
      </c>
      <c r="S614" s="3">
        <v>2</v>
      </c>
      <c r="T614" s="3">
        <v>3</v>
      </c>
      <c r="U614" s="3">
        <v>8</v>
      </c>
      <c r="V614" s="3">
        <v>14</v>
      </c>
      <c r="W614" s="3" t="s">
        <v>1712</v>
      </c>
      <c r="X614" s="3">
        <v>59.99</v>
      </c>
      <c r="Y614" s="3">
        <v>27.99</v>
      </c>
      <c r="Z614" s="3">
        <v>25.99</v>
      </c>
      <c r="AA614" s="3">
        <v>0</v>
      </c>
      <c r="AB614" s="3" t="s">
        <v>1732</v>
      </c>
      <c r="AC614" s="3">
        <v>9</v>
      </c>
      <c r="AD614" s="3">
        <v>22.39</v>
      </c>
      <c r="AE614" s="3">
        <v>196</v>
      </c>
      <c r="AF614" s="3">
        <v>0</v>
      </c>
      <c r="AG614" s="3">
        <v>141.012834</v>
      </c>
      <c r="AH614" s="3">
        <v>0.335329341317365</v>
      </c>
      <c r="AI614" s="3" t="s">
        <v>1831</v>
      </c>
      <c r="AJ614" s="3" t="s">
        <v>1715</v>
      </c>
    </row>
    <row r="615" spans="1:36">
      <c r="A615" s="4">
        <v>43277</v>
      </c>
      <c r="B615" s="3" t="s">
        <v>3701</v>
      </c>
      <c r="C615" s="3" t="s">
        <v>3702</v>
      </c>
      <c r="D615" s="3" t="s">
        <v>3703</v>
      </c>
      <c r="E615" s="3" t="s">
        <v>3704</v>
      </c>
      <c r="F615" s="3" t="s">
        <v>1710</v>
      </c>
      <c r="G615" s="3">
        <v>27</v>
      </c>
      <c r="H615" s="3">
        <v>0</v>
      </c>
      <c r="I615" s="3">
        <v>27</v>
      </c>
      <c r="J615" s="3">
        <v>0</v>
      </c>
      <c r="K615" s="3">
        <v>0</v>
      </c>
      <c r="L615" s="3">
        <v>0</v>
      </c>
      <c r="M615" s="3">
        <v>0</v>
      </c>
      <c r="N615" s="3" t="s">
        <v>1711</v>
      </c>
      <c r="O615" s="3">
        <v>0</v>
      </c>
      <c r="P615" s="3">
        <v>0</v>
      </c>
      <c r="Q615" s="3">
        <v>0</v>
      </c>
      <c r="R615" s="3">
        <v>0</v>
      </c>
      <c r="S615" s="3">
        <v>0</v>
      </c>
      <c r="T615" s="3">
        <v>3</v>
      </c>
      <c r="U615" s="3">
        <v>6</v>
      </c>
      <c r="V615" s="3">
        <v>17</v>
      </c>
      <c r="W615" s="3"/>
      <c r="X615" s="3">
        <v>28.99</v>
      </c>
      <c r="Y615" s="3">
        <v>28.99</v>
      </c>
      <c r="Z615" s="3">
        <v>28.99</v>
      </c>
      <c r="AA615" s="3">
        <v>0</v>
      </c>
      <c r="AB615" s="3" t="s">
        <v>1713</v>
      </c>
      <c r="AC615" s="3">
        <v>25</v>
      </c>
      <c r="AD615" s="3">
        <v>28.99</v>
      </c>
      <c r="AE615" s="3">
        <v>0</v>
      </c>
      <c r="AF615" s="3">
        <v>0</v>
      </c>
      <c r="AG615" s="3">
        <v>0</v>
      </c>
      <c r="AH615" s="3">
        <v>0.772727272727272</v>
      </c>
      <c r="AI615" s="3" t="s">
        <v>1800</v>
      </c>
      <c r="AJ615" s="3" t="s">
        <v>1715</v>
      </c>
    </row>
    <row r="616" spans="1:36">
      <c r="A616" s="4">
        <v>43277</v>
      </c>
      <c r="B616" s="3" t="s">
        <v>483</v>
      </c>
      <c r="C616" s="3" t="s">
        <v>484</v>
      </c>
      <c r="D616" s="3" t="s">
        <v>485</v>
      </c>
      <c r="E616" s="3" t="s">
        <v>486</v>
      </c>
      <c r="F616" s="3" t="s">
        <v>1710</v>
      </c>
      <c r="G616" s="3">
        <v>114</v>
      </c>
      <c r="H616" s="3">
        <v>0</v>
      </c>
      <c r="I616" s="3">
        <v>114</v>
      </c>
      <c r="J616" s="3">
        <v>0</v>
      </c>
      <c r="K616" s="3">
        <v>0</v>
      </c>
      <c r="L616" s="3">
        <v>0</v>
      </c>
      <c r="M616" s="3">
        <v>0</v>
      </c>
      <c r="N616" s="3" t="s">
        <v>1711</v>
      </c>
      <c r="O616" s="3">
        <v>0</v>
      </c>
      <c r="P616" s="3">
        <v>0</v>
      </c>
      <c r="Q616" s="3">
        <v>0</v>
      </c>
      <c r="R616" s="3">
        <v>0</v>
      </c>
      <c r="S616" s="3">
        <v>18</v>
      </c>
      <c r="T616" s="3">
        <v>63</v>
      </c>
      <c r="U616" s="3">
        <v>126</v>
      </c>
      <c r="V616" s="3">
        <v>198</v>
      </c>
      <c r="W616" s="3"/>
      <c r="X616" s="3">
        <v>48.58</v>
      </c>
      <c r="Y616" s="3">
        <v>28.99</v>
      </c>
      <c r="Z616" s="3">
        <v>28.99</v>
      </c>
      <c r="AA616" s="3">
        <v>0</v>
      </c>
      <c r="AB616" s="3" t="s">
        <v>1713</v>
      </c>
      <c r="AC616" s="3">
        <v>129</v>
      </c>
      <c r="AD616" s="3">
        <v>28.99</v>
      </c>
      <c r="AE616" s="3">
        <v>0</v>
      </c>
      <c r="AF616" s="3">
        <v>0</v>
      </c>
      <c r="AG616" s="3">
        <v>0</v>
      </c>
      <c r="AH616" s="3">
        <v>2.10079575596816</v>
      </c>
      <c r="AI616" s="3" t="s">
        <v>1800</v>
      </c>
      <c r="AJ616" s="3" t="s">
        <v>1715</v>
      </c>
    </row>
    <row r="617" spans="1:36">
      <c r="A617" s="4">
        <v>43277</v>
      </c>
      <c r="B617" s="3" t="s">
        <v>3705</v>
      </c>
      <c r="C617" s="3" t="s">
        <v>3706</v>
      </c>
      <c r="D617" s="3" t="s">
        <v>3707</v>
      </c>
      <c r="E617" s="3" t="s">
        <v>3708</v>
      </c>
      <c r="F617" s="3" t="s">
        <v>1710</v>
      </c>
      <c r="G617" s="3">
        <v>1</v>
      </c>
      <c r="H617" s="3">
        <v>0</v>
      </c>
      <c r="I617" s="3">
        <v>0</v>
      </c>
      <c r="J617" s="3">
        <v>1</v>
      </c>
      <c r="K617" s="3">
        <v>0</v>
      </c>
      <c r="L617" s="3">
        <v>0</v>
      </c>
      <c r="M617" s="3">
        <v>0</v>
      </c>
      <c r="N617" s="3" t="s">
        <v>1711</v>
      </c>
      <c r="O617" s="3">
        <v>1</v>
      </c>
      <c r="P617" s="3">
        <v>0.92</v>
      </c>
      <c r="Q617" s="3">
        <v>0</v>
      </c>
      <c r="R617" s="3">
        <v>0</v>
      </c>
      <c r="S617" s="3">
        <v>0</v>
      </c>
      <c r="T617" s="3">
        <v>0</v>
      </c>
      <c r="U617" s="3">
        <v>1</v>
      </c>
      <c r="V617" s="3">
        <v>1</v>
      </c>
      <c r="W617" s="3" t="s">
        <v>1720</v>
      </c>
      <c r="X617" s="3">
        <v>21.99</v>
      </c>
      <c r="Y617" s="3">
        <v>21.99</v>
      </c>
      <c r="Z617" s="3">
        <v>21.99</v>
      </c>
      <c r="AA617" s="3">
        <v>0</v>
      </c>
      <c r="AB617" s="3" t="s">
        <v>1721</v>
      </c>
      <c r="AC617" s="3">
        <v>1</v>
      </c>
      <c r="AD617" s="3">
        <v>21.99</v>
      </c>
      <c r="AE617" s="3">
        <v>0</v>
      </c>
      <c r="AF617" s="3">
        <v>0</v>
      </c>
      <c r="AG617" s="3">
        <v>0</v>
      </c>
      <c r="AH617" s="3">
        <v>0.666666666666666</v>
      </c>
      <c r="AI617" s="3" t="s">
        <v>3112</v>
      </c>
      <c r="AJ617" s="3" t="s">
        <v>1715</v>
      </c>
    </row>
    <row r="618" spans="1:36">
      <c r="A618" s="4">
        <v>43277</v>
      </c>
      <c r="B618" s="3" t="s">
        <v>1453</v>
      </c>
      <c r="C618" s="3" t="s">
        <v>1454</v>
      </c>
      <c r="D618" s="3" t="s">
        <v>1455</v>
      </c>
      <c r="E618" s="3" t="s">
        <v>1456</v>
      </c>
      <c r="F618" s="3" t="s">
        <v>1710</v>
      </c>
      <c r="G618" s="3">
        <v>8</v>
      </c>
      <c r="H618" s="3">
        <v>0</v>
      </c>
      <c r="I618" s="3">
        <v>8</v>
      </c>
      <c r="J618" s="3">
        <v>0</v>
      </c>
      <c r="K618" s="3">
        <v>0</v>
      </c>
      <c r="L618" s="3">
        <v>0</v>
      </c>
      <c r="M618" s="3">
        <v>0</v>
      </c>
      <c r="N618" s="3" t="s">
        <v>1711</v>
      </c>
      <c r="O618" s="3">
        <v>0</v>
      </c>
      <c r="P618" s="3">
        <v>0</v>
      </c>
      <c r="Q618" s="3">
        <v>0</v>
      </c>
      <c r="R618" s="3">
        <v>0</v>
      </c>
      <c r="S618" s="3">
        <v>2</v>
      </c>
      <c r="T618" s="3">
        <v>7</v>
      </c>
      <c r="U618" s="3">
        <v>12</v>
      </c>
      <c r="V618" s="3">
        <v>22</v>
      </c>
      <c r="W618" s="3" t="s">
        <v>1712</v>
      </c>
      <c r="X618" s="3">
        <v>25.58</v>
      </c>
      <c r="Y618" s="3">
        <v>25.58</v>
      </c>
      <c r="Z618" s="3">
        <v>25.58</v>
      </c>
      <c r="AA618" s="3">
        <v>0</v>
      </c>
      <c r="AB618" s="3" t="s">
        <v>1713</v>
      </c>
      <c r="AC618" s="3">
        <v>10</v>
      </c>
      <c r="AD618" s="3">
        <v>25.58</v>
      </c>
      <c r="AE618" s="3">
        <v>0</v>
      </c>
      <c r="AF618" s="3">
        <v>0</v>
      </c>
      <c r="AG618" s="3">
        <v>0</v>
      </c>
      <c r="AH618" s="3">
        <v>1.83333333333333</v>
      </c>
      <c r="AI618" s="3" t="s">
        <v>1857</v>
      </c>
      <c r="AJ618" s="3" t="s">
        <v>1715</v>
      </c>
    </row>
    <row r="619" spans="1:36">
      <c r="A619" s="4">
        <v>43277</v>
      </c>
      <c r="B619" s="3" t="s">
        <v>3709</v>
      </c>
      <c r="C619" s="3" t="s">
        <v>3710</v>
      </c>
      <c r="D619" s="3" t="s">
        <v>3711</v>
      </c>
      <c r="E619" s="3" t="s">
        <v>1820</v>
      </c>
      <c r="F619" s="3" t="s">
        <v>1710</v>
      </c>
      <c r="G619" s="3">
        <v>9</v>
      </c>
      <c r="H619" s="3">
        <v>0</v>
      </c>
      <c r="I619" s="3">
        <v>9</v>
      </c>
      <c r="J619" s="3">
        <v>0</v>
      </c>
      <c r="K619" s="3">
        <v>0</v>
      </c>
      <c r="L619" s="3">
        <v>0</v>
      </c>
      <c r="M619" s="3">
        <v>0</v>
      </c>
      <c r="N619" s="3" t="s">
        <v>1711</v>
      </c>
      <c r="O619" s="3">
        <v>0</v>
      </c>
      <c r="P619" s="3">
        <v>0</v>
      </c>
      <c r="Q619" s="3">
        <v>0</v>
      </c>
      <c r="R619" s="3">
        <v>0</v>
      </c>
      <c r="S619" s="3">
        <v>1</v>
      </c>
      <c r="T619" s="3">
        <v>1</v>
      </c>
      <c r="U619" s="3">
        <v>1</v>
      </c>
      <c r="V619" s="3">
        <v>1</v>
      </c>
      <c r="W619" s="3" t="s">
        <v>1720</v>
      </c>
      <c r="X619" s="3">
        <v>19.99</v>
      </c>
      <c r="Y619" s="3">
        <v>19.99</v>
      </c>
      <c r="Z619" s="3">
        <v>19.99</v>
      </c>
      <c r="AA619" s="3">
        <v>0</v>
      </c>
      <c r="AB619" s="3" t="s">
        <v>1721</v>
      </c>
      <c r="AC619" s="3">
        <v>0</v>
      </c>
      <c r="AD619" s="3">
        <v>15.99</v>
      </c>
      <c r="AE619" s="3">
        <v>63</v>
      </c>
      <c r="AF619" s="3">
        <v>0</v>
      </c>
      <c r="AG619" s="3">
        <v>71.82189</v>
      </c>
      <c r="AH619" s="3">
        <v>0.222222222222222</v>
      </c>
      <c r="AI619" s="3" t="s">
        <v>1821</v>
      </c>
      <c r="AJ619" s="3" t="s">
        <v>1715</v>
      </c>
    </row>
    <row r="620" spans="1:36">
      <c r="A620" s="4">
        <v>43277</v>
      </c>
      <c r="B620" s="3" t="s">
        <v>3712</v>
      </c>
      <c r="C620" s="3" t="s">
        <v>3713</v>
      </c>
      <c r="D620" s="3" t="s">
        <v>3714</v>
      </c>
      <c r="E620" s="3" t="s">
        <v>3715</v>
      </c>
      <c r="F620" s="3" t="s">
        <v>1710</v>
      </c>
      <c r="G620" s="3">
        <v>1</v>
      </c>
      <c r="H620" s="3">
        <v>0</v>
      </c>
      <c r="I620" s="3">
        <v>1</v>
      </c>
      <c r="J620" s="3">
        <v>0</v>
      </c>
      <c r="K620" s="3">
        <v>0</v>
      </c>
      <c r="L620" s="3">
        <v>0</v>
      </c>
      <c r="M620" s="3">
        <v>0</v>
      </c>
      <c r="N620" s="3" t="s">
        <v>1711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2</v>
      </c>
      <c r="W620" s="3" t="s">
        <v>1712</v>
      </c>
      <c r="X620" s="3">
        <v>16.99</v>
      </c>
      <c r="Y620" s="3">
        <v>16.99</v>
      </c>
      <c r="Z620" s="3">
        <v>16.99</v>
      </c>
      <c r="AA620" s="3">
        <v>0</v>
      </c>
      <c r="AB620" s="3" t="s">
        <v>1732</v>
      </c>
      <c r="AC620" s="3">
        <v>0</v>
      </c>
      <c r="AD620" s="3">
        <v>15.67</v>
      </c>
      <c r="AE620" s="3">
        <v>140</v>
      </c>
      <c r="AF620" s="3">
        <v>0</v>
      </c>
      <c r="AG620" s="3">
        <v>14.206662</v>
      </c>
      <c r="AH620" s="3">
        <v>1.6</v>
      </c>
      <c r="AI620" s="3" t="s">
        <v>3291</v>
      </c>
      <c r="AJ620" s="3" t="s">
        <v>1715</v>
      </c>
    </row>
    <row r="621" spans="1:36">
      <c r="A621" s="4">
        <v>43277</v>
      </c>
      <c r="B621" s="3" t="s">
        <v>92</v>
      </c>
      <c r="C621" s="3" t="s">
        <v>93</v>
      </c>
      <c r="D621" s="3" t="s">
        <v>94</v>
      </c>
      <c r="E621" s="3" t="s">
        <v>95</v>
      </c>
      <c r="F621" s="3" t="s">
        <v>1710</v>
      </c>
      <c r="G621" s="3">
        <v>3</v>
      </c>
      <c r="H621" s="3">
        <v>0</v>
      </c>
      <c r="I621" s="3">
        <v>0</v>
      </c>
      <c r="J621" s="3">
        <v>3</v>
      </c>
      <c r="K621" s="3">
        <v>0</v>
      </c>
      <c r="L621" s="3">
        <v>0</v>
      </c>
      <c r="M621" s="3">
        <v>0</v>
      </c>
      <c r="N621" s="3" t="s">
        <v>1711</v>
      </c>
      <c r="O621" s="3">
        <v>3</v>
      </c>
      <c r="P621" s="3">
        <v>3.97</v>
      </c>
      <c r="Q621" s="3">
        <v>0</v>
      </c>
      <c r="R621" s="3">
        <v>0</v>
      </c>
      <c r="S621" s="3">
        <v>0</v>
      </c>
      <c r="T621" s="3">
        <v>0</v>
      </c>
      <c r="U621" s="3">
        <v>0</v>
      </c>
      <c r="V621" s="3">
        <v>1</v>
      </c>
      <c r="W621" s="3" t="s">
        <v>1720</v>
      </c>
      <c r="X621" s="3">
        <v>18.99</v>
      </c>
      <c r="Y621" s="3">
        <v>18.99</v>
      </c>
      <c r="Z621" s="3">
        <v>18.99</v>
      </c>
      <c r="AA621" s="3">
        <v>0</v>
      </c>
      <c r="AB621" s="3" t="s">
        <v>1721</v>
      </c>
      <c r="AC621" s="3">
        <v>0</v>
      </c>
      <c r="AD621" s="3">
        <v>17.15</v>
      </c>
      <c r="AE621" s="3">
        <v>105</v>
      </c>
      <c r="AF621" s="3">
        <v>0</v>
      </c>
      <c r="AG621" s="3">
        <v>72.534341</v>
      </c>
      <c r="AH621" s="3">
        <v>0.307692307692307</v>
      </c>
      <c r="AI621" s="3" t="s">
        <v>2398</v>
      </c>
      <c r="AJ621" s="3" t="s">
        <v>1715</v>
      </c>
    </row>
    <row r="622" spans="1:36">
      <c r="A622" s="4">
        <v>43277</v>
      </c>
      <c r="B622" s="3" t="s">
        <v>431</v>
      </c>
      <c r="C622" s="3" t="s">
        <v>432</v>
      </c>
      <c r="D622" s="3" t="s">
        <v>433</v>
      </c>
      <c r="E622" s="3" t="s">
        <v>434</v>
      </c>
      <c r="F622" s="3" t="s">
        <v>1710</v>
      </c>
      <c r="G622" s="3">
        <v>31</v>
      </c>
      <c r="H622" s="3">
        <v>0</v>
      </c>
      <c r="I622" s="3">
        <v>31</v>
      </c>
      <c r="J622" s="3">
        <v>0</v>
      </c>
      <c r="K622" s="3">
        <v>0</v>
      </c>
      <c r="L622" s="3">
        <v>0</v>
      </c>
      <c r="M622" s="3">
        <v>0</v>
      </c>
      <c r="N622" s="3" t="s">
        <v>1711</v>
      </c>
      <c r="O622" s="3">
        <v>0</v>
      </c>
      <c r="P622" s="3">
        <v>0</v>
      </c>
      <c r="Q622" s="3">
        <v>0</v>
      </c>
      <c r="R622" s="3">
        <v>0</v>
      </c>
      <c r="S622" s="3">
        <v>12</v>
      </c>
      <c r="T622" s="3">
        <v>25</v>
      </c>
      <c r="U622" s="3">
        <v>36</v>
      </c>
      <c r="V622" s="3">
        <v>71</v>
      </c>
      <c r="W622" s="3"/>
      <c r="X622" s="3">
        <v>48.58</v>
      </c>
      <c r="Y622" s="3">
        <v>28.99</v>
      </c>
      <c r="Z622" s="3">
        <v>28.99</v>
      </c>
      <c r="AA622" s="3">
        <v>0</v>
      </c>
      <c r="AB622" s="3" t="s">
        <v>1713</v>
      </c>
      <c r="AC622" s="3">
        <v>35</v>
      </c>
      <c r="AD622" s="3">
        <v>28.99</v>
      </c>
      <c r="AE622" s="3">
        <v>0</v>
      </c>
      <c r="AF622" s="3">
        <v>0</v>
      </c>
      <c r="AG622" s="3">
        <v>0</v>
      </c>
      <c r="AH622" s="3">
        <v>4.89655172413793</v>
      </c>
      <c r="AI622" s="3" t="s">
        <v>1800</v>
      </c>
      <c r="AJ622" s="3" t="s">
        <v>1715</v>
      </c>
    </row>
    <row r="623" spans="1:36">
      <c r="A623" s="4">
        <v>43277</v>
      </c>
      <c r="B623" s="3" t="s">
        <v>3716</v>
      </c>
      <c r="C623" s="3" t="s">
        <v>3717</v>
      </c>
      <c r="D623" s="3" t="s">
        <v>3718</v>
      </c>
      <c r="E623" s="3" t="s">
        <v>1820</v>
      </c>
      <c r="F623" s="3" t="s">
        <v>1710</v>
      </c>
      <c r="G623" s="3">
        <v>10</v>
      </c>
      <c r="H623" s="3">
        <v>0</v>
      </c>
      <c r="I623" s="3">
        <v>10</v>
      </c>
      <c r="J623" s="3">
        <v>0</v>
      </c>
      <c r="K623" s="3">
        <v>0</v>
      </c>
      <c r="L623" s="3">
        <v>0</v>
      </c>
      <c r="M623" s="3">
        <v>0</v>
      </c>
      <c r="N623" s="3" t="s">
        <v>1711</v>
      </c>
      <c r="O623" s="3">
        <v>0</v>
      </c>
      <c r="P623" s="3">
        <v>0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1720</v>
      </c>
      <c r="X623" s="3">
        <v>18.99</v>
      </c>
      <c r="Y623" s="3">
        <v>18.99</v>
      </c>
      <c r="Z623" s="3">
        <v>18.99</v>
      </c>
      <c r="AA623" s="3">
        <v>0</v>
      </c>
      <c r="AB623" s="3" t="s">
        <v>1721</v>
      </c>
      <c r="AC623" s="3">
        <v>0</v>
      </c>
      <c r="AD623" s="3">
        <v>15.19</v>
      </c>
      <c r="AE623" s="3">
        <v>63</v>
      </c>
      <c r="AF623" s="3">
        <v>0</v>
      </c>
      <c r="AG623" s="3">
        <v>71.590365</v>
      </c>
      <c r="AH623" s="3">
        <v>0</v>
      </c>
      <c r="AI623" s="3" t="s">
        <v>1821</v>
      </c>
      <c r="AJ623" s="3" t="s">
        <v>1715</v>
      </c>
    </row>
    <row r="624" spans="1:36">
      <c r="A624" s="4">
        <v>43277</v>
      </c>
      <c r="B624" s="3" t="s">
        <v>3719</v>
      </c>
      <c r="C624" s="3" t="s">
        <v>3720</v>
      </c>
      <c r="D624" s="3" t="s">
        <v>3721</v>
      </c>
      <c r="E624" s="3" t="s">
        <v>3722</v>
      </c>
      <c r="F624" s="3" t="s">
        <v>1710</v>
      </c>
      <c r="G624" s="3">
        <v>1</v>
      </c>
      <c r="H624" s="3">
        <v>0</v>
      </c>
      <c r="I624" s="3">
        <v>1</v>
      </c>
      <c r="J624" s="3">
        <v>0</v>
      </c>
      <c r="K624" s="3">
        <v>0</v>
      </c>
      <c r="L624" s="3">
        <v>0</v>
      </c>
      <c r="M624" s="3">
        <v>0</v>
      </c>
      <c r="N624" s="3" t="s">
        <v>1711</v>
      </c>
      <c r="O624" s="3">
        <v>0</v>
      </c>
      <c r="P624" s="3">
        <v>0</v>
      </c>
      <c r="Q624" s="3">
        <v>0</v>
      </c>
      <c r="R624" s="3">
        <v>0</v>
      </c>
      <c r="S624" s="3">
        <v>0</v>
      </c>
      <c r="T624" s="3">
        <v>0</v>
      </c>
      <c r="U624" s="3">
        <v>0</v>
      </c>
      <c r="V624" s="3">
        <v>1</v>
      </c>
      <c r="W624" s="3" t="s">
        <v>1720</v>
      </c>
      <c r="X624" s="3">
        <v>19.99</v>
      </c>
      <c r="Y624" s="3">
        <v>19.99</v>
      </c>
      <c r="Z624" s="3">
        <v>19.99</v>
      </c>
      <c r="AA624" s="3">
        <v>0</v>
      </c>
      <c r="AB624" s="3" t="s">
        <v>1721</v>
      </c>
      <c r="AC624" s="3">
        <v>0</v>
      </c>
      <c r="AD624" s="3">
        <v>18.09</v>
      </c>
      <c r="AE624" s="3">
        <v>182</v>
      </c>
      <c r="AF624" s="3">
        <v>0</v>
      </c>
      <c r="AG624" s="3">
        <v>26.174404</v>
      </c>
      <c r="AH624" s="3">
        <v>1.33333333333333</v>
      </c>
      <c r="AI624" s="3" t="s">
        <v>2573</v>
      </c>
      <c r="AJ624" s="3" t="s">
        <v>1715</v>
      </c>
    </row>
    <row r="625" spans="1:36">
      <c r="A625" s="4">
        <v>43277</v>
      </c>
      <c r="B625" s="3" t="s">
        <v>3723</v>
      </c>
      <c r="C625" s="3" t="s">
        <v>3724</v>
      </c>
      <c r="D625" s="3" t="s">
        <v>3725</v>
      </c>
      <c r="E625" s="3" t="s">
        <v>3726</v>
      </c>
      <c r="F625" s="3" t="s">
        <v>1710</v>
      </c>
      <c r="G625" s="3">
        <v>5</v>
      </c>
      <c r="H625" s="3">
        <v>0</v>
      </c>
      <c r="I625" s="3">
        <v>0</v>
      </c>
      <c r="J625" s="3">
        <v>0</v>
      </c>
      <c r="K625" s="3">
        <v>1</v>
      </c>
      <c r="L625" s="3">
        <v>0</v>
      </c>
      <c r="M625" s="3">
        <v>4</v>
      </c>
      <c r="N625" s="3" t="s">
        <v>1711</v>
      </c>
      <c r="O625" s="3">
        <v>1</v>
      </c>
      <c r="P625" s="3">
        <v>0.54</v>
      </c>
      <c r="Q625" s="3">
        <v>4</v>
      </c>
      <c r="R625" s="3">
        <v>4.28</v>
      </c>
      <c r="S625" s="3">
        <v>0</v>
      </c>
      <c r="T625" s="3">
        <v>0</v>
      </c>
      <c r="U625" s="3">
        <v>0</v>
      </c>
      <c r="V625" s="3">
        <v>0</v>
      </c>
      <c r="W625" s="3" t="s">
        <v>1720</v>
      </c>
      <c r="X625" s="3">
        <v>12.99</v>
      </c>
      <c r="Y625" s="3">
        <v>12.99</v>
      </c>
      <c r="Z625" s="3">
        <v>12.99</v>
      </c>
      <c r="AA625" s="3">
        <v>0</v>
      </c>
      <c r="AB625" s="3" t="s">
        <v>1732</v>
      </c>
      <c r="AC625" s="3">
        <v>0</v>
      </c>
      <c r="AD625" s="3">
        <v>12.27</v>
      </c>
      <c r="AE625" s="3">
        <v>42</v>
      </c>
      <c r="AF625" s="3">
        <v>0</v>
      </c>
      <c r="AG625" s="3">
        <v>65.803214</v>
      </c>
      <c r="AH625" s="3">
        <v>0</v>
      </c>
      <c r="AI625" s="3" t="s">
        <v>3727</v>
      </c>
      <c r="AJ625" s="3" t="s">
        <v>1715</v>
      </c>
    </row>
    <row r="626" spans="1:36">
      <c r="A626" s="4">
        <v>43277</v>
      </c>
      <c r="B626" s="3" t="s">
        <v>3728</v>
      </c>
      <c r="C626" s="3" t="s">
        <v>3729</v>
      </c>
      <c r="D626" s="3" t="s">
        <v>3730</v>
      </c>
      <c r="E626" s="3" t="s">
        <v>2364</v>
      </c>
      <c r="F626" s="3" t="s">
        <v>1710</v>
      </c>
      <c r="G626" s="3">
        <v>2</v>
      </c>
      <c r="H626" s="3">
        <v>0</v>
      </c>
      <c r="I626" s="3">
        <v>2</v>
      </c>
      <c r="J626" s="3">
        <v>0</v>
      </c>
      <c r="K626" s="3">
        <v>0</v>
      </c>
      <c r="L626" s="3">
        <v>0</v>
      </c>
      <c r="M626" s="3">
        <v>0</v>
      </c>
      <c r="N626" s="3" t="s">
        <v>1711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0</v>
      </c>
      <c r="U626" s="3">
        <v>1</v>
      </c>
      <c r="V626" s="3">
        <v>3</v>
      </c>
      <c r="W626" s="3" t="s">
        <v>1720</v>
      </c>
      <c r="X626" s="3">
        <v>19.99</v>
      </c>
      <c r="Y626" s="3">
        <v>19.99</v>
      </c>
      <c r="Z626" s="3">
        <v>19.99</v>
      </c>
      <c r="AA626" s="3">
        <v>0</v>
      </c>
      <c r="AB626" s="3" t="s">
        <v>1721</v>
      </c>
      <c r="AC626" s="3">
        <v>1</v>
      </c>
      <c r="AD626" s="3">
        <v>14.82</v>
      </c>
      <c r="AE626" s="3">
        <v>49</v>
      </c>
      <c r="AF626" s="3">
        <v>0</v>
      </c>
      <c r="AG626" s="3">
        <v>1.536827</v>
      </c>
      <c r="AH626" s="3">
        <v>2.4</v>
      </c>
      <c r="AI626" s="3" t="s">
        <v>2533</v>
      </c>
      <c r="AJ626" s="3" t="s">
        <v>1715</v>
      </c>
    </row>
    <row r="627" spans="1:36">
      <c r="A627" s="4">
        <v>43277</v>
      </c>
      <c r="B627" s="3" t="s">
        <v>3731</v>
      </c>
      <c r="C627" s="3" t="s">
        <v>3732</v>
      </c>
      <c r="D627" s="3" t="s">
        <v>3733</v>
      </c>
      <c r="E627" s="3" t="s">
        <v>3734</v>
      </c>
      <c r="F627" s="3" t="s">
        <v>1710</v>
      </c>
      <c r="G627" s="3">
        <v>3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3</v>
      </c>
      <c r="N627" s="3" t="s">
        <v>1711</v>
      </c>
      <c r="O627" s="3">
        <v>0</v>
      </c>
      <c r="P627" s="3">
        <v>0</v>
      </c>
      <c r="Q627" s="3">
        <v>3</v>
      </c>
      <c r="R627" s="3">
        <v>7.11</v>
      </c>
      <c r="S627" s="3">
        <v>0</v>
      </c>
      <c r="T627" s="3">
        <v>0</v>
      </c>
      <c r="U627" s="3">
        <v>0</v>
      </c>
      <c r="V627" s="3">
        <v>0</v>
      </c>
      <c r="W627" s="3" t="s">
        <v>1720</v>
      </c>
      <c r="X627" s="3">
        <v>15.18</v>
      </c>
      <c r="Y627" s="3">
        <v>15.18</v>
      </c>
      <c r="Z627" s="3">
        <v>15.18</v>
      </c>
      <c r="AA627" s="3">
        <v>0</v>
      </c>
      <c r="AB627" s="3" t="s">
        <v>1732</v>
      </c>
      <c r="AC627" s="3">
        <v>0</v>
      </c>
      <c r="AD627" s="3">
        <v>12.14</v>
      </c>
      <c r="AE627" s="3">
        <v>63</v>
      </c>
      <c r="AF627" s="3">
        <v>0</v>
      </c>
      <c r="AG627" s="3">
        <v>45.554212</v>
      </c>
      <c r="AH627" s="3">
        <v>0</v>
      </c>
      <c r="AI627" s="3" t="s">
        <v>2970</v>
      </c>
      <c r="AJ627" s="3" t="s">
        <v>1715</v>
      </c>
    </row>
    <row r="628" spans="1:36">
      <c r="A628" s="4">
        <v>43277</v>
      </c>
      <c r="B628" s="3" t="s">
        <v>3735</v>
      </c>
      <c r="C628" s="3" t="s">
        <v>3736</v>
      </c>
      <c r="D628" s="3" t="s">
        <v>3737</v>
      </c>
      <c r="E628" s="3" t="s">
        <v>3738</v>
      </c>
      <c r="F628" s="3" t="s">
        <v>1710</v>
      </c>
      <c r="G628" s="3">
        <v>3</v>
      </c>
      <c r="H628" s="3">
        <v>0</v>
      </c>
      <c r="I628" s="3">
        <v>0</v>
      </c>
      <c r="J628" s="3">
        <v>0</v>
      </c>
      <c r="K628" s="3">
        <v>0</v>
      </c>
      <c r="L628" s="3">
        <v>3</v>
      </c>
      <c r="M628" s="3">
        <v>0</v>
      </c>
      <c r="N628" s="3" t="s">
        <v>1711</v>
      </c>
      <c r="O628" s="3">
        <v>1</v>
      </c>
      <c r="P628" s="3">
        <v>0.7</v>
      </c>
      <c r="Q628" s="3">
        <v>2</v>
      </c>
      <c r="R628" s="3">
        <v>2.81</v>
      </c>
      <c r="S628" s="3">
        <v>0</v>
      </c>
      <c r="T628" s="3">
        <v>0</v>
      </c>
      <c r="U628" s="3">
        <v>1</v>
      </c>
      <c r="V628" s="3">
        <v>2</v>
      </c>
      <c r="W628" s="3" t="s">
        <v>1712</v>
      </c>
      <c r="X628" s="3">
        <v>15.99</v>
      </c>
      <c r="Y628" s="3">
        <v>15.99</v>
      </c>
      <c r="Z628" s="3">
        <v>15.55</v>
      </c>
      <c r="AA628" s="3">
        <v>0</v>
      </c>
      <c r="AB628" s="3" t="s">
        <v>1732</v>
      </c>
      <c r="AC628" s="3">
        <v>1</v>
      </c>
      <c r="AD628" s="3">
        <v>12.79</v>
      </c>
      <c r="AE628" s="3">
        <v>56</v>
      </c>
      <c r="AF628" s="3">
        <v>0</v>
      </c>
      <c r="AG628" s="3">
        <v>3.312877</v>
      </c>
      <c r="AH628" s="3">
        <v>0.533333333333333</v>
      </c>
      <c r="AI628" s="3" t="s">
        <v>2036</v>
      </c>
      <c r="AJ628" s="3" t="s">
        <v>1715</v>
      </c>
    </row>
    <row r="629" spans="1:36">
      <c r="A629" s="4">
        <v>43277</v>
      </c>
      <c r="B629" s="3" t="s">
        <v>40</v>
      </c>
      <c r="C629" s="3" t="s">
        <v>41</v>
      </c>
      <c r="D629" s="3" t="s">
        <v>42</v>
      </c>
      <c r="E629" s="3" t="s">
        <v>3739</v>
      </c>
      <c r="F629" s="3" t="s">
        <v>1710</v>
      </c>
      <c r="G629" s="3">
        <v>5</v>
      </c>
      <c r="H629" s="3">
        <v>0</v>
      </c>
      <c r="I629" s="3">
        <v>5</v>
      </c>
      <c r="J629" s="3">
        <v>0</v>
      </c>
      <c r="K629" s="3">
        <v>0</v>
      </c>
      <c r="L629" s="3">
        <v>0</v>
      </c>
      <c r="M629" s="3">
        <v>0</v>
      </c>
      <c r="N629" s="3" t="s">
        <v>1711</v>
      </c>
      <c r="O629" s="3">
        <v>0</v>
      </c>
      <c r="P629" s="3">
        <v>0</v>
      </c>
      <c r="Q629" s="3">
        <v>0</v>
      </c>
      <c r="R629" s="3">
        <v>0</v>
      </c>
      <c r="S629" s="3">
        <v>8</v>
      </c>
      <c r="T629" s="3">
        <v>13</v>
      </c>
      <c r="U629" s="3">
        <v>22</v>
      </c>
      <c r="V629" s="3">
        <v>28</v>
      </c>
      <c r="W629" s="3"/>
      <c r="X629" s="3">
        <v>28.99</v>
      </c>
      <c r="Y629" s="3">
        <v>15.99</v>
      </c>
      <c r="Z629" s="3">
        <v>15.55</v>
      </c>
      <c r="AA629" s="3">
        <v>0</v>
      </c>
      <c r="AB629" s="3" t="s">
        <v>1713</v>
      </c>
      <c r="AC629" s="3">
        <v>1</v>
      </c>
      <c r="AD629" s="3">
        <v>15.99</v>
      </c>
      <c r="AE629" s="3">
        <v>0</v>
      </c>
      <c r="AF629" s="3">
        <v>0</v>
      </c>
      <c r="AG629" s="3">
        <v>0</v>
      </c>
      <c r="AH629" s="3">
        <v>4.48</v>
      </c>
      <c r="AI629" s="3" t="s">
        <v>2082</v>
      </c>
      <c r="AJ629" s="3" t="s">
        <v>1715</v>
      </c>
    </row>
    <row r="630" spans="1:36">
      <c r="A630" s="4">
        <v>43277</v>
      </c>
      <c r="B630" s="3" t="s">
        <v>3740</v>
      </c>
      <c r="C630" s="3" t="s">
        <v>3741</v>
      </c>
      <c r="D630" s="3" t="s">
        <v>3742</v>
      </c>
      <c r="E630" s="3" t="s">
        <v>3743</v>
      </c>
      <c r="F630" s="3" t="s">
        <v>1710</v>
      </c>
      <c r="G630" s="3">
        <v>9</v>
      </c>
      <c r="H630" s="3">
        <v>0</v>
      </c>
      <c r="I630" s="3">
        <v>0</v>
      </c>
      <c r="J630" s="3">
        <v>0</v>
      </c>
      <c r="K630" s="3">
        <v>9</v>
      </c>
      <c r="L630" s="3">
        <v>0</v>
      </c>
      <c r="M630" s="3">
        <v>0</v>
      </c>
      <c r="N630" s="3" t="s">
        <v>1711</v>
      </c>
      <c r="O630" s="3">
        <v>9</v>
      </c>
      <c r="P630" s="3">
        <v>0.06</v>
      </c>
      <c r="Q630" s="3">
        <v>0</v>
      </c>
      <c r="R630" s="3">
        <v>0</v>
      </c>
      <c r="S630" s="3">
        <v>0</v>
      </c>
      <c r="T630" s="3">
        <v>0</v>
      </c>
      <c r="U630" s="3">
        <v>0</v>
      </c>
      <c r="V630" s="3">
        <v>0</v>
      </c>
      <c r="W630" s="3" t="s">
        <v>1720</v>
      </c>
      <c r="X630" s="3">
        <v>16.99</v>
      </c>
      <c r="Y630" s="3">
        <v>16.99</v>
      </c>
      <c r="Z630" s="3">
        <v>16.99</v>
      </c>
      <c r="AA630" s="3">
        <v>0</v>
      </c>
      <c r="AB630" s="3" t="s">
        <v>1713</v>
      </c>
      <c r="AC630" s="3">
        <v>9</v>
      </c>
      <c r="AD630" s="3">
        <v>16.99</v>
      </c>
      <c r="AE630" s="3">
        <v>0</v>
      </c>
      <c r="AF630" s="3">
        <v>0</v>
      </c>
      <c r="AG630" s="3">
        <v>0</v>
      </c>
      <c r="AH630" s="3">
        <v>0</v>
      </c>
      <c r="AI630" s="3" t="s">
        <v>1782</v>
      </c>
      <c r="AJ630" s="3" t="s">
        <v>1715</v>
      </c>
    </row>
    <row r="631" spans="1:36">
      <c r="A631" s="4">
        <v>43277</v>
      </c>
      <c r="B631" s="3" t="s">
        <v>3744</v>
      </c>
      <c r="C631" s="3" t="s">
        <v>3745</v>
      </c>
      <c r="D631" s="3" t="s">
        <v>3746</v>
      </c>
      <c r="E631" s="3" t="s">
        <v>3747</v>
      </c>
      <c r="F631" s="3" t="s">
        <v>1710</v>
      </c>
      <c r="G631" s="3">
        <v>7</v>
      </c>
      <c r="H631" s="3">
        <v>0</v>
      </c>
      <c r="I631" s="3">
        <v>0</v>
      </c>
      <c r="J631" s="3">
        <v>0</v>
      </c>
      <c r="K631" s="3">
        <v>0</v>
      </c>
      <c r="L631" s="3">
        <v>7</v>
      </c>
      <c r="M631" s="3">
        <v>0</v>
      </c>
      <c r="N631" s="3" t="s">
        <v>1711</v>
      </c>
      <c r="O631" s="3">
        <v>7</v>
      </c>
      <c r="P631" s="3">
        <v>9.62</v>
      </c>
      <c r="Q631" s="3">
        <v>0</v>
      </c>
      <c r="R631" s="3">
        <v>0</v>
      </c>
      <c r="S631" s="3">
        <v>0</v>
      </c>
      <c r="T631" s="3">
        <v>0</v>
      </c>
      <c r="U631" s="3">
        <v>0</v>
      </c>
      <c r="V631" s="3">
        <v>0</v>
      </c>
      <c r="W631" s="3" t="s">
        <v>1720</v>
      </c>
      <c r="X631" s="3">
        <v>15.99</v>
      </c>
      <c r="Y631" s="3">
        <v>15.99</v>
      </c>
      <c r="Z631" s="3">
        <v>15.99</v>
      </c>
      <c r="AA631" s="3">
        <v>0</v>
      </c>
      <c r="AB631" s="3" t="s">
        <v>1732</v>
      </c>
      <c r="AC631" s="3">
        <v>0</v>
      </c>
      <c r="AD631" s="3">
        <v>14.62</v>
      </c>
      <c r="AE631" s="3">
        <v>49</v>
      </c>
      <c r="AF631" s="3">
        <v>0</v>
      </c>
      <c r="AG631" s="3">
        <v>173.720541</v>
      </c>
      <c r="AH631" s="3">
        <v>0</v>
      </c>
      <c r="AI631" s="3" t="s">
        <v>3748</v>
      </c>
      <c r="AJ631" s="3" t="s">
        <v>1783</v>
      </c>
    </row>
    <row r="632" spans="1:36">
      <c r="A632" s="4">
        <v>43277</v>
      </c>
      <c r="B632" s="3" t="s">
        <v>3749</v>
      </c>
      <c r="C632" s="3" t="s">
        <v>3750</v>
      </c>
      <c r="D632" s="3" t="s">
        <v>3751</v>
      </c>
      <c r="E632" s="3" t="s">
        <v>3752</v>
      </c>
      <c r="F632" s="3" t="s">
        <v>1710</v>
      </c>
      <c r="G632" s="3">
        <v>15</v>
      </c>
      <c r="H632" s="3">
        <v>0</v>
      </c>
      <c r="I632" s="3">
        <v>15</v>
      </c>
      <c r="J632" s="3">
        <v>0</v>
      </c>
      <c r="K632" s="3">
        <v>0</v>
      </c>
      <c r="L632" s="3">
        <v>0</v>
      </c>
      <c r="M632" s="3">
        <v>0</v>
      </c>
      <c r="N632" s="3" t="s">
        <v>1711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4</v>
      </c>
      <c r="U632" s="3">
        <v>10</v>
      </c>
      <c r="V632" s="3">
        <v>12</v>
      </c>
      <c r="W632" s="3"/>
      <c r="X632" s="3">
        <v>20.99</v>
      </c>
      <c r="Y632" s="3">
        <v>20.99</v>
      </c>
      <c r="Z632" s="3">
        <v>20.99</v>
      </c>
      <c r="AA632" s="3">
        <v>0</v>
      </c>
      <c r="AB632" s="3" t="s">
        <v>1713</v>
      </c>
      <c r="AC632" s="3">
        <v>14</v>
      </c>
      <c r="AD632" s="3">
        <v>20.99</v>
      </c>
      <c r="AE632" s="3">
        <v>0</v>
      </c>
      <c r="AF632" s="3">
        <v>0</v>
      </c>
      <c r="AG632" s="3">
        <v>0</v>
      </c>
      <c r="AH632" s="3">
        <v>1.17073170731707</v>
      </c>
      <c r="AI632" s="3" t="s">
        <v>3291</v>
      </c>
      <c r="AJ632" s="3" t="s">
        <v>1715</v>
      </c>
    </row>
    <row r="633" spans="1:36">
      <c r="A633" s="4">
        <v>43277</v>
      </c>
      <c r="B633" s="3" t="s">
        <v>3753</v>
      </c>
      <c r="C633" s="3" t="s">
        <v>3754</v>
      </c>
      <c r="D633" s="3" t="s">
        <v>3755</v>
      </c>
      <c r="E633" s="3" t="s">
        <v>2287</v>
      </c>
      <c r="F633" s="3" t="s">
        <v>1710</v>
      </c>
      <c r="G633" s="3">
        <v>21</v>
      </c>
      <c r="H633" s="3">
        <v>0</v>
      </c>
      <c r="I633" s="3">
        <v>2</v>
      </c>
      <c r="J633" s="3">
        <v>1</v>
      </c>
      <c r="K633" s="3">
        <v>18</v>
      </c>
      <c r="L633" s="3">
        <v>0</v>
      </c>
      <c r="M633" s="3">
        <v>0</v>
      </c>
      <c r="N633" s="3" t="s">
        <v>1711</v>
      </c>
      <c r="O633" s="3">
        <v>19</v>
      </c>
      <c r="P633" s="3">
        <v>68.92</v>
      </c>
      <c r="Q633" s="3">
        <v>0</v>
      </c>
      <c r="R633" s="3">
        <v>0</v>
      </c>
      <c r="S633" s="3">
        <v>0</v>
      </c>
      <c r="T633" s="3">
        <v>0</v>
      </c>
      <c r="U633" s="3">
        <v>1</v>
      </c>
      <c r="V633" s="3">
        <v>2</v>
      </c>
      <c r="W633" s="3" t="s">
        <v>1712</v>
      </c>
      <c r="X633" s="3">
        <v>27.99</v>
      </c>
      <c r="Y633" s="3">
        <v>27.99</v>
      </c>
      <c r="Z633" s="3">
        <v>25.99</v>
      </c>
      <c r="AA633" s="3">
        <v>0</v>
      </c>
      <c r="AB633" s="3" t="s">
        <v>1732</v>
      </c>
      <c r="AC633" s="3">
        <v>1</v>
      </c>
      <c r="AD633" s="3">
        <v>21.88</v>
      </c>
      <c r="AE633" s="3">
        <v>91</v>
      </c>
      <c r="AF633" s="3">
        <v>0</v>
      </c>
      <c r="AG633" s="3">
        <v>1035.079161</v>
      </c>
      <c r="AH633" s="3">
        <v>0.0941176470588235</v>
      </c>
      <c r="AI633" s="3" t="s">
        <v>1831</v>
      </c>
      <c r="AJ633" s="3" t="s">
        <v>1715</v>
      </c>
    </row>
    <row r="634" spans="1:36">
      <c r="A634" s="4">
        <v>43277</v>
      </c>
      <c r="B634" s="3" t="s">
        <v>575</v>
      </c>
      <c r="C634" s="3" t="s">
        <v>576</v>
      </c>
      <c r="D634" s="3" t="s">
        <v>577</v>
      </c>
      <c r="E634" s="3" t="s">
        <v>578</v>
      </c>
      <c r="F634" s="3" t="s">
        <v>1710</v>
      </c>
      <c r="G634" s="3">
        <v>82</v>
      </c>
      <c r="H634" s="3">
        <v>0</v>
      </c>
      <c r="I634" s="3">
        <v>82</v>
      </c>
      <c r="J634" s="3">
        <v>0</v>
      </c>
      <c r="K634" s="3">
        <v>0</v>
      </c>
      <c r="L634" s="3">
        <v>0</v>
      </c>
      <c r="M634" s="3">
        <v>0</v>
      </c>
      <c r="N634" s="3" t="s">
        <v>1711</v>
      </c>
      <c r="O634" s="3">
        <v>0</v>
      </c>
      <c r="P634" s="3">
        <v>0</v>
      </c>
      <c r="Q634" s="3">
        <v>0</v>
      </c>
      <c r="R634" s="3">
        <v>0</v>
      </c>
      <c r="S634" s="3">
        <v>24</v>
      </c>
      <c r="T634" s="3">
        <v>82</v>
      </c>
      <c r="U634" s="3">
        <v>131</v>
      </c>
      <c r="V634" s="3">
        <v>171</v>
      </c>
      <c r="W634" s="3"/>
      <c r="X634" s="3">
        <v>38</v>
      </c>
      <c r="Y634" s="3">
        <v>28.58</v>
      </c>
      <c r="Z634" s="3">
        <v>28</v>
      </c>
      <c r="AA634" s="3">
        <v>0</v>
      </c>
      <c r="AB634" s="3" t="s">
        <v>1713</v>
      </c>
      <c r="AC634" s="3">
        <v>76</v>
      </c>
      <c r="AD634" s="3">
        <v>28.58</v>
      </c>
      <c r="AE634" s="3">
        <v>0</v>
      </c>
      <c r="AF634" s="3">
        <v>0</v>
      </c>
      <c r="AG634" s="3">
        <v>0</v>
      </c>
      <c r="AH634" s="3">
        <v>4.1963190184049</v>
      </c>
      <c r="AI634" s="3" t="s">
        <v>1801</v>
      </c>
      <c r="AJ634" s="3" t="s">
        <v>1715</v>
      </c>
    </row>
    <row r="635" spans="1:36">
      <c r="A635" s="4">
        <v>43277</v>
      </c>
      <c r="B635" s="3" t="s">
        <v>763</v>
      </c>
      <c r="C635" s="3" t="s">
        <v>764</v>
      </c>
      <c r="D635" s="3" t="s">
        <v>765</v>
      </c>
      <c r="E635" s="3" t="s">
        <v>766</v>
      </c>
      <c r="F635" s="3" t="s">
        <v>1710</v>
      </c>
      <c r="G635" s="3">
        <v>36</v>
      </c>
      <c r="H635" s="3">
        <v>0</v>
      </c>
      <c r="I635" s="3">
        <v>36</v>
      </c>
      <c r="J635" s="3">
        <v>0</v>
      </c>
      <c r="K635" s="3">
        <v>0</v>
      </c>
      <c r="L635" s="3">
        <v>0</v>
      </c>
      <c r="M635" s="3">
        <v>0</v>
      </c>
      <c r="N635" s="3" t="s">
        <v>1711</v>
      </c>
      <c r="O635" s="3">
        <v>0</v>
      </c>
      <c r="P635" s="3">
        <v>0</v>
      </c>
      <c r="Q635" s="3">
        <v>0</v>
      </c>
      <c r="R635" s="3">
        <v>0</v>
      </c>
      <c r="S635" s="3">
        <v>9</v>
      </c>
      <c r="T635" s="3">
        <v>18</v>
      </c>
      <c r="U635" s="3">
        <v>41</v>
      </c>
      <c r="V635" s="3">
        <v>47</v>
      </c>
      <c r="W635" s="3"/>
      <c r="X635" s="3">
        <v>38</v>
      </c>
      <c r="Y635" s="3">
        <v>28.58</v>
      </c>
      <c r="Z635" s="3">
        <v>28</v>
      </c>
      <c r="AA635" s="3">
        <v>0</v>
      </c>
      <c r="AB635" s="3" t="s">
        <v>1713</v>
      </c>
      <c r="AC635" s="3">
        <v>8</v>
      </c>
      <c r="AD635" s="3">
        <v>28.58</v>
      </c>
      <c r="AE635" s="3">
        <v>0</v>
      </c>
      <c r="AF635" s="3">
        <v>0</v>
      </c>
      <c r="AG635" s="3">
        <v>0</v>
      </c>
      <c r="AH635" s="3">
        <v>2.47368421052631</v>
      </c>
      <c r="AI635" s="3" t="s">
        <v>3756</v>
      </c>
      <c r="AJ635" s="3" t="s">
        <v>1715</v>
      </c>
    </row>
    <row r="636" spans="1:36">
      <c r="A636" s="4">
        <v>43277</v>
      </c>
      <c r="B636" s="3" t="s">
        <v>1616</v>
      </c>
      <c r="C636" s="3" t="s">
        <v>1617</v>
      </c>
      <c r="D636" s="3" t="s">
        <v>1618</v>
      </c>
      <c r="E636" s="3" t="s">
        <v>1540</v>
      </c>
      <c r="F636" s="3" t="s">
        <v>1710</v>
      </c>
      <c r="G636" s="3">
        <v>19</v>
      </c>
      <c r="H636" s="3">
        <v>0</v>
      </c>
      <c r="I636" s="3">
        <v>19</v>
      </c>
      <c r="J636" s="3">
        <v>0</v>
      </c>
      <c r="K636" s="3">
        <v>0</v>
      </c>
      <c r="L636" s="3">
        <v>0</v>
      </c>
      <c r="M636" s="3">
        <v>0</v>
      </c>
      <c r="N636" s="3" t="s">
        <v>1711</v>
      </c>
      <c r="O636" s="3">
        <v>0</v>
      </c>
      <c r="P636" s="3">
        <v>0</v>
      </c>
      <c r="Q636" s="3">
        <v>0</v>
      </c>
      <c r="R636" s="3">
        <v>0</v>
      </c>
      <c r="S636" s="3">
        <v>14</v>
      </c>
      <c r="T636" s="3">
        <v>37</v>
      </c>
      <c r="U636" s="3">
        <v>54</v>
      </c>
      <c r="V636" s="3">
        <v>97</v>
      </c>
      <c r="W636" s="3"/>
      <c r="X636" s="3">
        <v>29.99</v>
      </c>
      <c r="Y636" s="3">
        <v>29.99</v>
      </c>
      <c r="Z636" s="3">
        <v>29.99</v>
      </c>
      <c r="AA636" s="3">
        <v>0</v>
      </c>
      <c r="AB636" s="3" t="s">
        <v>1713</v>
      </c>
      <c r="AC636" s="3">
        <v>7</v>
      </c>
      <c r="AD636" s="3">
        <v>29.99</v>
      </c>
      <c r="AE636" s="3">
        <v>0</v>
      </c>
      <c r="AF636" s="3">
        <v>0</v>
      </c>
      <c r="AG636" s="3">
        <v>0</v>
      </c>
      <c r="AH636" s="3">
        <v>6.15873015873015</v>
      </c>
      <c r="AI636" s="3" t="s">
        <v>2642</v>
      </c>
      <c r="AJ636" s="3" t="s">
        <v>1715</v>
      </c>
    </row>
    <row r="637" spans="1:36">
      <c r="A637" s="4">
        <v>43277</v>
      </c>
      <c r="B637" s="3" t="s">
        <v>3757</v>
      </c>
      <c r="C637" s="3" t="s">
        <v>3758</v>
      </c>
      <c r="D637" s="3" t="s">
        <v>3759</v>
      </c>
      <c r="E637" s="3" t="s">
        <v>3760</v>
      </c>
      <c r="F637" s="3" t="s">
        <v>1710</v>
      </c>
      <c r="G637" s="3">
        <v>3</v>
      </c>
      <c r="H637" s="3">
        <v>0</v>
      </c>
      <c r="I637" s="3">
        <v>0</v>
      </c>
      <c r="J637" s="3">
        <v>3</v>
      </c>
      <c r="K637" s="3">
        <v>0</v>
      </c>
      <c r="L637" s="3">
        <v>0</v>
      </c>
      <c r="M637" s="3">
        <v>0</v>
      </c>
      <c r="N637" s="3" t="s">
        <v>1711</v>
      </c>
      <c r="O637" s="3">
        <v>3</v>
      </c>
      <c r="P637" s="3">
        <v>4.41</v>
      </c>
      <c r="Q637" s="3">
        <v>0</v>
      </c>
      <c r="R637" s="3">
        <v>0</v>
      </c>
      <c r="S637" s="3">
        <v>0</v>
      </c>
      <c r="T637" s="3">
        <v>0</v>
      </c>
      <c r="U637" s="3">
        <v>0</v>
      </c>
      <c r="V637" s="3">
        <v>0</v>
      </c>
      <c r="W637" s="3" t="s">
        <v>1720</v>
      </c>
      <c r="X637" s="3">
        <v>15.99</v>
      </c>
      <c r="Y637" s="3">
        <v>15.99</v>
      </c>
      <c r="Z637" s="3">
        <v>15.99</v>
      </c>
      <c r="AA637" s="3">
        <v>0</v>
      </c>
      <c r="AB637" s="3" t="s">
        <v>1721</v>
      </c>
      <c r="AC637" s="3">
        <v>3</v>
      </c>
      <c r="AD637" s="3">
        <v>15.99</v>
      </c>
      <c r="AE637" s="3">
        <v>0</v>
      </c>
      <c r="AF637" s="3">
        <v>0</v>
      </c>
      <c r="AG637" s="3">
        <v>0</v>
      </c>
      <c r="AH637" s="3">
        <v>0</v>
      </c>
      <c r="AI637" s="3" t="s">
        <v>1770</v>
      </c>
      <c r="AJ637" s="3" t="s">
        <v>1715</v>
      </c>
    </row>
    <row r="638" spans="1:36">
      <c r="A638" s="4">
        <v>43277</v>
      </c>
      <c r="B638" s="3" t="s">
        <v>3761</v>
      </c>
      <c r="C638" s="3" t="s">
        <v>3762</v>
      </c>
      <c r="D638" s="3" t="s">
        <v>3763</v>
      </c>
      <c r="E638" s="3" t="s">
        <v>3764</v>
      </c>
      <c r="F638" s="3" t="s">
        <v>1710</v>
      </c>
      <c r="G638" s="3">
        <v>2</v>
      </c>
      <c r="H638" s="3">
        <v>0</v>
      </c>
      <c r="I638" s="3">
        <v>2</v>
      </c>
      <c r="J638" s="3">
        <v>0</v>
      </c>
      <c r="K638" s="3">
        <v>0</v>
      </c>
      <c r="L638" s="3">
        <v>0</v>
      </c>
      <c r="M638" s="3">
        <v>0</v>
      </c>
      <c r="N638" s="3" t="s">
        <v>1711</v>
      </c>
      <c r="O638" s="3">
        <v>0</v>
      </c>
      <c r="P638" s="3">
        <v>0</v>
      </c>
      <c r="Q638" s="3">
        <v>0</v>
      </c>
      <c r="R638" s="3">
        <v>0</v>
      </c>
      <c r="S638" s="3">
        <v>0</v>
      </c>
      <c r="T638" s="3">
        <v>0</v>
      </c>
      <c r="U638" s="3">
        <v>4</v>
      </c>
      <c r="V638" s="3">
        <v>4</v>
      </c>
      <c r="W638" s="3" t="s">
        <v>1712</v>
      </c>
      <c r="X638" s="3">
        <v>15.99</v>
      </c>
      <c r="Y638" s="3">
        <v>15.99</v>
      </c>
      <c r="Z638" s="3">
        <v>15.99</v>
      </c>
      <c r="AA638" s="3">
        <v>0</v>
      </c>
      <c r="AB638" s="3" t="s">
        <v>1713</v>
      </c>
      <c r="AC638" s="3">
        <v>1</v>
      </c>
      <c r="AD638" s="3">
        <v>15.99</v>
      </c>
      <c r="AE638" s="3">
        <v>0</v>
      </c>
      <c r="AF638" s="3">
        <v>0</v>
      </c>
      <c r="AG638" s="3">
        <v>0</v>
      </c>
      <c r="AH638" s="3">
        <v>4</v>
      </c>
      <c r="AI638" s="3" t="s">
        <v>1905</v>
      </c>
      <c r="AJ638" s="3" t="s">
        <v>1715</v>
      </c>
    </row>
    <row r="639" spans="1:36">
      <c r="A639" s="4">
        <v>43277</v>
      </c>
      <c r="B639" s="3" t="s">
        <v>268</v>
      </c>
      <c r="C639" s="3" t="s">
        <v>269</v>
      </c>
      <c r="D639" s="3" t="s">
        <v>270</v>
      </c>
      <c r="E639" s="3" t="s">
        <v>271</v>
      </c>
      <c r="F639" s="3" t="s">
        <v>1710</v>
      </c>
      <c r="G639" s="3">
        <v>32</v>
      </c>
      <c r="H639" s="3">
        <v>0</v>
      </c>
      <c r="I639" s="3">
        <v>1</v>
      </c>
      <c r="J639" s="3">
        <v>9</v>
      </c>
      <c r="K639" s="3">
        <v>7</v>
      </c>
      <c r="L639" s="3">
        <v>15</v>
      </c>
      <c r="M639" s="3">
        <v>0</v>
      </c>
      <c r="N639" s="3" t="s">
        <v>1711</v>
      </c>
      <c r="O639" s="3">
        <v>28</v>
      </c>
      <c r="P639" s="3">
        <v>63.73</v>
      </c>
      <c r="Q639" s="3">
        <v>0</v>
      </c>
      <c r="R639" s="3">
        <v>0</v>
      </c>
      <c r="S639" s="3">
        <v>1</v>
      </c>
      <c r="T639" s="3">
        <v>2</v>
      </c>
      <c r="U639" s="3">
        <v>12</v>
      </c>
      <c r="V639" s="3">
        <v>27</v>
      </c>
      <c r="W639" s="3"/>
      <c r="X639" s="3">
        <v>15.99</v>
      </c>
      <c r="Y639" s="3">
        <v>15.99</v>
      </c>
      <c r="Z639" s="3">
        <v>15.99</v>
      </c>
      <c r="AA639" s="3">
        <v>0</v>
      </c>
      <c r="AB639" s="3" t="s">
        <v>1732</v>
      </c>
      <c r="AC639" s="3">
        <v>15</v>
      </c>
      <c r="AD639" s="3">
        <v>13.01</v>
      </c>
      <c r="AE639" s="3">
        <v>49</v>
      </c>
      <c r="AF639" s="3">
        <v>0</v>
      </c>
      <c r="AG639" s="3">
        <v>15.90408</v>
      </c>
      <c r="AH639" s="3">
        <v>0.493150684931506</v>
      </c>
      <c r="AI639" s="3" t="s">
        <v>3765</v>
      </c>
      <c r="AJ639" s="3" t="s">
        <v>1715</v>
      </c>
    </row>
    <row r="640" spans="1:36">
      <c r="A640" s="4">
        <v>43277</v>
      </c>
      <c r="B640" s="3" t="s">
        <v>3766</v>
      </c>
      <c r="C640" s="3" t="s">
        <v>3767</v>
      </c>
      <c r="D640" s="3" t="s">
        <v>3768</v>
      </c>
      <c r="E640" s="3" t="s">
        <v>3769</v>
      </c>
      <c r="F640" s="3" t="s">
        <v>1710</v>
      </c>
      <c r="G640" s="3">
        <v>48</v>
      </c>
      <c r="H640" s="3">
        <v>0</v>
      </c>
      <c r="I640" s="3">
        <v>0</v>
      </c>
      <c r="J640" s="3">
        <v>8</v>
      </c>
      <c r="K640" s="3">
        <v>40</v>
      </c>
      <c r="L640" s="3">
        <v>0</v>
      </c>
      <c r="M640" s="3">
        <v>0</v>
      </c>
      <c r="N640" s="3" t="s">
        <v>1711</v>
      </c>
      <c r="O640" s="3">
        <v>47</v>
      </c>
      <c r="P640" s="3">
        <v>80.3</v>
      </c>
      <c r="Q640" s="3">
        <v>0</v>
      </c>
      <c r="R640" s="3">
        <v>0</v>
      </c>
      <c r="S640" s="3">
        <v>0</v>
      </c>
      <c r="T640" s="3">
        <v>0</v>
      </c>
      <c r="U640" s="3">
        <v>1</v>
      </c>
      <c r="V640" s="3">
        <v>1</v>
      </c>
      <c r="W640" s="3" t="s">
        <v>1720</v>
      </c>
      <c r="X640" s="3">
        <v>18.99</v>
      </c>
      <c r="Y640" s="3">
        <v>18.99</v>
      </c>
      <c r="Z640" s="3">
        <v>18.99</v>
      </c>
      <c r="AA640" s="3">
        <v>0</v>
      </c>
      <c r="AB640" s="3" t="s">
        <v>1721</v>
      </c>
      <c r="AC640" s="3">
        <v>9</v>
      </c>
      <c r="AD640" s="3">
        <v>15.19</v>
      </c>
      <c r="AE640" s="3">
        <v>364</v>
      </c>
      <c r="AF640" s="3">
        <v>0</v>
      </c>
      <c r="AG640" s="3">
        <v>157.556055</v>
      </c>
      <c r="AH640" s="3">
        <v>0.0206185567010309</v>
      </c>
      <c r="AI640" s="3" t="s">
        <v>1749</v>
      </c>
      <c r="AJ640" s="3" t="s">
        <v>1715</v>
      </c>
    </row>
    <row r="641" spans="1:36">
      <c r="A641" s="4">
        <v>43277</v>
      </c>
      <c r="B641" s="3" t="s">
        <v>3770</v>
      </c>
      <c r="C641" s="3" t="s">
        <v>3771</v>
      </c>
      <c r="D641" s="3" t="s">
        <v>3772</v>
      </c>
      <c r="E641" s="3" t="s">
        <v>3773</v>
      </c>
      <c r="F641" s="3" t="s">
        <v>1710</v>
      </c>
      <c r="G641" s="3">
        <v>1</v>
      </c>
      <c r="H641" s="3">
        <v>0</v>
      </c>
      <c r="I641" s="3">
        <v>0</v>
      </c>
      <c r="J641" s="3">
        <v>0</v>
      </c>
      <c r="K641" s="3">
        <v>0</v>
      </c>
      <c r="L641" s="3">
        <v>0</v>
      </c>
      <c r="M641" s="3">
        <v>1</v>
      </c>
      <c r="N641" s="3" t="s">
        <v>1711</v>
      </c>
      <c r="O641" s="3">
        <v>0</v>
      </c>
      <c r="P641" s="3">
        <v>0</v>
      </c>
      <c r="Q641" s="3">
        <v>1</v>
      </c>
      <c r="R641" s="3">
        <v>2.19</v>
      </c>
      <c r="S641" s="3">
        <v>0</v>
      </c>
      <c r="T641" s="3">
        <v>0</v>
      </c>
      <c r="U641" s="3">
        <v>0</v>
      </c>
      <c r="V641" s="3">
        <v>0</v>
      </c>
      <c r="W641" s="3" t="s">
        <v>1720</v>
      </c>
      <c r="X641" s="3">
        <v>12.99</v>
      </c>
      <c r="Y641" s="3">
        <v>12.99</v>
      </c>
      <c r="Z641" s="3">
        <v>12.99</v>
      </c>
      <c r="AA641" s="3">
        <v>0</v>
      </c>
      <c r="AB641" s="3" t="s">
        <v>1713</v>
      </c>
      <c r="AC641" s="3">
        <v>1</v>
      </c>
      <c r="AD641" s="3">
        <v>12.99</v>
      </c>
      <c r="AE641" s="3">
        <v>0</v>
      </c>
      <c r="AF641" s="3">
        <v>0</v>
      </c>
      <c r="AG641" s="3">
        <v>0</v>
      </c>
      <c r="AH641" s="3">
        <v>0</v>
      </c>
      <c r="AI641" s="3" t="s">
        <v>3528</v>
      </c>
      <c r="AJ641" s="3" t="s">
        <v>1715</v>
      </c>
    </row>
    <row r="642" spans="1:36">
      <c r="A642" s="4">
        <v>43277</v>
      </c>
      <c r="B642" s="3" t="s">
        <v>1050</v>
      </c>
      <c r="C642" s="3" t="s">
        <v>1051</v>
      </c>
      <c r="D642" s="3" t="s">
        <v>1052</v>
      </c>
      <c r="E642" s="3" t="s">
        <v>1053</v>
      </c>
      <c r="F642" s="3" t="s">
        <v>1710</v>
      </c>
      <c r="G642" s="3">
        <v>2</v>
      </c>
      <c r="H642" s="3">
        <v>0</v>
      </c>
      <c r="I642" s="3">
        <v>2</v>
      </c>
      <c r="J642" s="3">
        <v>0</v>
      </c>
      <c r="K642" s="3">
        <v>0</v>
      </c>
      <c r="L642" s="3">
        <v>0</v>
      </c>
      <c r="M642" s="3">
        <v>0</v>
      </c>
      <c r="N642" s="3" t="s">
        <v>1711</v>
      </c>
      <c r="O642" s="3">
        <v>0</v>
      </c>
      <c r="P642" s="3">
        <v>0</v>
      </c>
      <c r="Q642" s="3">
        <v>0</v>
      </c>
      <c r="R642" s="3">
        <v>0</v>
      </c>
      <c r="S642" s="3">
        <v>23</v>
      </c>
      <c r="T642" s="3">
        <v>121</v>
      </c>
      <c r="U642" s="3">
        <v>187</v>
      </c>
      <c r="V642" s="3">
        <v>249</v>
      </c>
      <c r="W642" s="3"/>
      <c r="X642" s="3">
        <v>48.58</v>
      </c>
      <c r="Y642" s="3">
        <v>28.99</v>
      </c>
      <c r="Z642" s="3">
        <v>28.99</v>
      </c>
      <c r="AA642" s="3">
        <v>0</v>
      </c>
      <c r="AB642" s="3" t="s">
        <v>1713</v>
      </c>
      <c r="AC642" s="3">
        <v>7</v>
      </c>
      <c r="AD642" s="3">
        <v>28.99</v>
      </c>
      <c r="AE642" s="3">
        <v>0</v>
      </c>
      <c r="AF642" s="3">
        <v>0</v>
      </c>
      <c r="AG642" s="3">
        <v>0</v>
      </c>
      <c r="AH642" s="3">
        <v>8.58620689655172</v>
      </c>
      <c r="AI642" s="3" t="s">
        <v>1800</v>
      </c>
      <c r="AJ642" s="3" t="s">
        <v>1715</v>
      </c>
    </row>
    <row r="643" spans="1:36">
      <c r="A643" s="4">
        <v>43277</v>
      </c>
      <c r="B643" s="3" t="s">
        <v>3774</v>
      </c>
      <c r="C643" s="3" t="s">
        <v>3775</v>
      </c>
      <c r="D643" s="3" t="s">
        <v>3776</v>
      </c>
      <c r="E643" s="3" t="s">
        <v>3668</v>
      </c>
      <c r="F643" s="3" t="s">
        <v>1710</v>
      </c>
      <c r="G643" s="3">
        <v>1</v>
      </c>
      <c r="H643" s="3">
        <v>0</v>
      </c>
      <c r="I643" s="3">
        <v>0</v>
      </c>
      <c r="J643" s="3">
        <v>1</v>
      </c>
      <c r="K643" s="3">
        <v>0</v>
      </c>
      <c r="L643" s="3">
        <v>0</v>
      </c>
      <c r="M643" s="3">
        <v>0</v>
      </c>
      <c r="N643" s="3" t="s">
        <v>1711</v>
      </c>
      <c r="O643" s="3">
        <v>0</v>
      </c>
      <c r="P643" s="3">
        <v>0</v>
      </c>
      <c r="Q643" s="3">
        <v>0</v>
      </c>
      <c r="R643" s="3">
        <v>0</v>
      </c>
      <c r="S643" s="3">
        <v>0</v>
      </c>
      <c r="T643" s="3">
        <v>0</v>
      </c>
      <c r="U643" s="3">
        <v>0</v>
      </c>
      <c r="V643" s="3">
        <v>0</v>
      </c>
      <c r="W643" s="3" t="s">
        <v>1720</v>
      </c>
      <c r="X643" s="3">
        <v>22.99</v>
      </c>
      <c r="Y643" s="3">
        <v>22.99</v>
      </c>
      <c r="Z643" s="3">
        <v>22.99</v>
      </c>
      <c r="AA643" s="3">
        <v>0</v>
      </c>
      <c r="AB643" s="3" t="s">
        <v>1721</v>
      </c>
      <c r="AC643" s="3">
        <v>1</v>
      </c>
      <c r="AD643" s="3">
        <v>22.99</v>
      </c>
      <c r="AE643" s="3">
        <v>0</v>
      </c>
      <c r="AF643" s="3">
        <v>0</v>
      </c>
      <c r="AG643" s="3">
        <v>0</v>
      </c>
      <c r="AH643" s="3">
        <v>0</v>
      </c>
      <c r="AI643" s="3" t="s">
        <v>3777</v>
      </c>
      <c r="AJ643" s="3" t="s">
        <v>1783</v>
      </c>
    </row>
    <row r="644" spans="1:36">
      <c r="A644" s="4">
        <v>43277</v>
      </c>
      <c r="B644" s="3" t="s">
        <v>3778</v>
      </c>
      <c r="C644" s="3" t="s">
        <v>3779</v>
      </c>
      <c r="D644" s="3" t="s">
        <v>3780</v>
      </c>
      <c r="E644" s="3" t="s">
        <v>3781</v>
      </c>
      <c r="F644" s="3" t="s">
        <v>1710</v>
      </c>
      <c r="G644" s="3">
        <v>1</v>
      </c>
      <c r="H644" s="3">
        <v>0</v>
      </c>
      <c r="I644" s="3">
        <v>0</v>
      </c>
      <c r="J644" s="3">
        <v>1</v>
      </c>
      <c r="K644" s="3">
        <v>0</v>
      </c>
      <c r="L644" s="3">
        <v>0</v>
      </c>
      <c r="M644" s="3">
        <v>0</v>
      </c>
      <c r="N644" s="3" t="s">
        <v>1711</v>
      </c>
      <c r="O644" s="3">
        <v>1</v>
      </c>
      <c r="P644" s="3">
        <v>1.48</v>
      </c>
      <c r="Q644" s="3">
        <v>0</v>
      </c>
      <c r="R644" s="3">
        <v>0</v>
      </c>
      <c r="S644" s="3">
        <v>0</v>
      </c>
      <c r="T644" s="3">
        <v>1</v>
      </c>
      <c r="U644" s="3">
        <v>1</v>
      </c>
      <c r="V644" s="3">
        <v>1</v>
      </c>
      <c r="W644" s="3"/>
      <c r="X644" s="3">
        <v>15.99</v>
      </c>
      <c r="Y644" s="3">
        <v>15.99</v>
      </c>
      <c r="Z644" s="3">
        <v>15.99</v>
      </c>
      <c r="AA644" s="3">
        <v>0</v>
      </c>
      <c r="AB644" s="3" t="s">
        <v>1713</v>
      </c>
      <c r="AC644" s="3">
        <v>1</v>
      </c>
      <c r="AD644" s="3">
        <v>15.99</v>
      </c>
      <c r="AE644" s="3">
        <v>0</v>
      </c>
      <c r="AF644" s="3">
        <v>0</v>
      </c>
      <c r="AG644" s="3">
        <v>0</v>
      </c>
      <c r="AH644" s="3">
        <v>0.571428571428571</v>
      </c>
      <c r="AI644" s="3" t="s">
        <v>3782</v>
      </c>
      <c r="AJ644" s="3" t="s">
        <v>1715</v>
      </c>
    </row>
    <row r="645" spans="1:36">
      <c r="A645" s="4">
        <v>43277</v>
      </c>
      <c r="B645" s="3" t="s">
        <v>3783</v>
      </c>
      <c r="C645" s="3" t="s">
        <v>3784</v>
      </c>
      <c r="D645" s="3" t="s">
        <v>3785</v>
      </c>
      <c r="E645" s="3" t="s">
        <v>3786</v>
      </c>
      <c r="F645" s="3" t="s">
        <v>1710</v>
      </c>
      <c r="G645" s="3">
        <v>14</v>
      </c>
      <c r="H645" s="3">
        <v>0</v>
      </c>
      <c r="I645" s="3">
        <v>14</v>
      </c>
      <c r="J645" s="3">
        <v>0</v>
      </c>
      <c r="K645" s="3">
        <v>0</v>
      </c>
      <c r="L645" s="3">
        <v>0</v>
      </c>
      <c r="M645" s="3">
        <v>0</v>
      </c>
      <c r="N645" s="3" t="s">
        <v>1711</v>
      </c>
      <c r="O645" s="3">
        <v>0</v>
      </c>
      <c r="P645" s="3">
        <v>0</v>
      </c>
      <c r="Q645" s="3">
        <v>0</v>
      </c>
      <c r="R645" s="3">
        <v>0</v>
      </c>
      <c r="S645" s="3">
        <v>0</v>
      </c>
      <c r="T645" s="3">
        <v>1</v>
      </c>
      <c r="U645" s="3">
        <v>1</v>
      </c>
      <c r="V645" s="3">
        <v>1</v>
      </c>
      <c r="W645" s="3"/>
      <c r="X645" s="3">
        <v>28.99</v>
      </c>
      <c r="Y645" s="3">
        <v>28.99</v>
      </c>
      <c r="Z645" s="3">
        <v>28.99</v>
      </c>
      <c r="AA645" s="3">
        <v>0</v>
      </c>
      <c r="AB645" s="3" t="s">
        <v>1713</v>
      </c>
      <c r="AC645" s="3">
        <v>14</v>
      </c>
      <c r="AD645" s="3">
        <v>28.99</v>
      </c>
      <c r="AE645" s="3">
        <v>0</v>
      </c>
      <c r="AF645" s="3">
        <v>0</v>
      </c>
      <c r="AG645" s="3">
        <v>0</v>
      </c>
      <c r="AH645" s="3">
        <v>0.0714285714285714</v>
      </c>
      <c r="AI645" s="3" t="s">
        <v>2065</v>
      </c>
      <c r="AJ645" s="3" t="s">
        <v>1715</v>
      </c>
    </row>
    <row r="646" spans="1:36">
      <c r="A646" s="4">
        <v>43277</v>
      </c>
      <c r="B646" s="3" t="s">
        <v>1321</v>
      </c>
      <c r="C646" s="3" t="s">
        <v>1322</v>
      </c>
      <c r="D646" s="3" t="s">
        <v>1323</v>
      </c>
      <c r="E646" s="3" t="s">
        <v>1324</v>
      </c>
      <c r="F646" s="3" t="s">
        <v>1710</v>
      </c>
      <c r="G646" s="3">
        <v>25</v>
      </c>
      <c r="H646" s="3">
        <v>0</v>
      </c>
      <c r="I646" s="3">
        <v>25</v>
      </c>
      <c r="J646" s="3">
        <v>0</v>
      </c>
      <c r="K646" s="3">
        <v>0</v>
      </c>
      <c r="L646" s="3">
        <v>0</v>
      </c>
      <c r="M646" s="3">
        <v>0</v>
      </c>
      <c r="N646" s="3" t="s">
        <v>1711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1712</v>
      </c>
      <c r="X646" s="3">
        <v>31.99</v>
      </c>
      <c r="Y646" s="3">
        <v>21.99</v>
      </c>
      <c r="Z646" s="3">
        <v>21.99</v>
      </c>
      <c r="AA646" s="3">
        <v>0</v>
      </c>
      <c r="AB646" s="3" t="s">
        <v>1713</v>
      </c>
      <c r="AC646" s="3">
        <v>0</v>
      </c>
      <c r="AD646" s="3">
        <v>0</v>
      </c>
      <c r="AE646" s="3">
        <v>0</v>
      </c>
      <c r="AF646" s="3">
        <v>0</v>
      </c>
      <c r="AG646" s="3">
        <v>0</v>
      </c>
      <c r="AH646" s="3">
        <v>0</v>
      </c>
      <c r="AI646" s="3" t="s">
        <v>1881</v>
      </c>
      <c r="AJ646" s="3" t="s">
        <v>1715</v>
      </c>
    </row>
    <row r="647" spans="1:36">
      <c r="A647" s="4">
        <v>43277</v>
      </c>
      <c r="B647" s="3" t="s">
        <v>3787</v>
      </c>
      <c r="C647" s="3" t="s">
        <v>3788</v>
      </c>
      <c r="D647" s="3" t="s">
        <v>3789</v>
      </c>
      <c r="E647" s="3" t="s">
        <v>3790</v>
      </c>
      <c r="F647" s="3" t="s">
        <v>1710</v>
      </c>
      <c r="G647" s="3">
        <v>5</v>
      </c>
      <c r="H647" s="3">
        <v>0</v>
      </c>
      <c r="I647" s="3">
        <v>0</v>
      </c>
      <c r="J647" s="3">
        <v>0</v>
      </c>
      <c r="K647" s="3">
        <v>0</v>
      </c>
      <c r="L647" s="3">
        <v>0</v>
      </c>
      <c r="M647" s="3">
        <v>5</v>
      </c>
      <c r="N647" s="3" t="s">
        <v>1711</v>
      </c>
      <c r="O647" s="3">
        <v>0</v>
      </c>
      <c r="P647" s="3">
        <v>0</v>
      </c>
      <c r="Q647" s="3">
        <v>5</v>
      </c>
      <c r="R647" s="3">
        <v>11.84</v>
      </c>
      <c r="S647" s="3">
        <v>0</v>
      </c>
      <c r="T647" s="3">
        <v>1</v>
      </c>
      <c r="U647" s="3">
        <v>1</v>
      </c>
      <c r="V647" s="3">
        <v>1</v>
      </c>
      <c r="W647" s="3" t="s">
        <v>1720</v>
      </c>
      <c r="X647" s="3">
        <v>14.18</v>
      </c>
      <c r="Y647" s="3">
        <v>14.18</v>
      </c>
      <c r="Z647" s="3">
        <v>14.18</v>
      </c>
      <c r="AA647" s="3">
        <v>0</v>
      </c>
      <c r="AB647" s="3" t="s">
        <v>1732</v>
      </c>
      <c r="AC647" s="3">
        <v>0</v>
      </c>
      <c r="AD647" s="3">
        <v>11.34</v>
      </c>
      <c r="AE647" s="3">
        <v>63</v>
      </c>
      <c r="AF647" s="3">
        <v>0</v>
      </c>
      <c r="AG647" s="3">
        <v>75.807923</v>
      </c>
      <c r="AH647" s="3">
        <v>0.17391304347826</v>
      </c>
      <c r="AI647" s="3" t="s">
        <v>2970</v>
      </c>
      <c r="AJ647" s="3" t="s">
        <v>1715</v>
      </c>
    </row>
    <row r="648" spans="1:36">
      <c r="A648" s="4">
        <v>43277</v>
      </c>
      <c r="B648" s="3" t="s">
        <v>300</v>
      </c>
      <c r="C648" s="3" t="s">
        <v>301</v>
      </c>
      <c r="D648" s="3" t="s">
        <v>302</v>
      </c>
      <c r="E648" s="3" t="s">
        <v>303</v>
      </c>
      <c r="F648" s="3" t="s">
        <v>1710</v>
      </c>
      <c r="G648" s="3">
        <v>15</v>
      </c>
      <c r="H648" s="3">
        <v>0</v>
      </c>
      <c r="I648" s="3">
        <v>2</v>
      </c>
      <c r="J648" s="3">
        <v>13</v>
      </c>
      <c r="K648" s="3">
        <v>0</v>
      </c>
      <c r="L648" s="3">
        <v>0</v>
      </c>
      <c r="M648" s="3">
        <v>0</v>
      </c>
      <c r="N648" s="3" t="s">
        <v>1711</v>
      </c>
      <c r="O648" s="3">
        <v>11</v>
      </c>
      <c r="P648" s="3">
        <v>15.19</v>
      </c>
      <c r="Q648" s="3">
        <v>0</v>
      </c>
      <c r="R648" s="3">
        <v>0</v>
      </c>
      <c r="S648" s="3">
        <v>8</v>
      </c>
      <c r="T648" s="3">
        <v>22</v>
      </c>
      <c r="U648" s="3">
        <v>49</v>
      </c>
      <c r="V648" s="3">
        <v>79</v>
      </c>
      <c r="W648" s="3"/>
      <c r="X648" s="3">
        <v>32.99</v>
      </c>
      <c r="Y648" s="3">
        <v>16.99</v>
      </c>
      <c r="Z648" s="3">
        <v>16.99</v>
      </c>
      <c r="AA648" s="3">
        <v>0</v>
      </c>
      <c r="AB648" s="3" t="s">
        <v>1713</v>
      </c>
      <c r="AC648" s="3">
        <v>19</v>
      </c>
      <c r="AD648" s="3">
        <v>16.99</v>
      </c>
      <c r="AE648" s="3">
        <v>0</v>
      </c>
      <c r="AF648" s="3">
        <v>0</v>
      </c>
      <c r="AG648" s="3">
        <v>0</v>
      </c>
      <c r="AH648" s="3">
        <v>1.35622317596566</v>
      </c>
      <c r="AI648" s="3" t="s">
        <v>2123</v>
      </c>
      <c r="AJ648" s="3" t="s">
        <v>1715</v>
      </c>
    </row>
    <row r="649" spans="1:36">
      <c r="A649" s="4">
        <v>43277</v>
      </c>
      <c r="B649" s="3" t="s">
        <v>1549</v>
      </c>
      <c r="C649" s="3" t="s">
        <v>1550</v>
      </c>
      <c r="D649" s="3" t="s">
        <v>1551</v>
      </c>
      <c r="E649" s="3" t="s">
        <v>1552</v>
      </c>
      <c r="F649" s="3" t="s">
        <v>1710</v>
      </c>
      <c r="G649" s="3">
        <v>8</v>
      </c>
      <c r="H649" s="3">
        <v>0</v>
      </c>
      <c r="I649" s="3">
        <v>8</v>
      </c>
      <c r="J649" s="3">
        <v>0</v>
      </c>
      <c r="K649" s="3">
        <v>0</v>
      </c>
      <c r="L649" s="3">
        <v>0</v>
      </c>
      <c r="M649" s="3">
        <v>0</v>
      </c>
      <c r="N649" s="3" t="s">
        <v>1711</v>
      </c>
      <c r="O649" s="3">
        <v>0</v>
      </c>
      <c r="P649" s="3">
        <v>0</v>
      </c>
      <c r="Q649" s="3">
        <v>0</v>
      </c>
      <c r="R649" s="3">
        <v>0</v>
      </c>
      <c r="S649" s="3">
        <v>12</v>
      </c>
      <c r="T649" s="3">
        <v>31</v>
      </c>
      <c r="U649" s="3">
        <v>51</v>
      </c>
      <c r="V649" s="3">
        <v>53</v>
      </c>
      <c r="W649" s="3"/>
      <c r="X649" s="3">
        <v>29.99</v>
      </c>
      <c r="Y649" s="3">
        <v>29.99</v>
      </c>
      <c r="Z649" s="3">
        <v>28</v>
      </c>
      <c r="AA649" s="3">
        <v>0</v>
      </c>
      <c r="AB649" s="3" t="s">
        <v>1713</v>
      </c>
      <c r="AC649" s="3">
        <v>5</v>
      </c>
      <c r="AD649" s="3">
        <v>29.99</v>
      </c>
      <c r="AE649" s="3">
        <v>0</v>
      </c>
      <c r="AF649" s="3">
        <v>0</v>
      </c>
      <c r="AG649" s="3">
        <v>0</v>
      </c>
      <c r="AH649" s="3">
        <v>11.7777777777777</v>
      </c>
      <c r="AI649" s="3" t="s">
        <v>3791</v>
      </c>
      <c r="AJ649" s="3" t="s">
        <v>1715</v>
      </c>
    </row>
    <row r="650" spans="1:36">
      <c r="A650" s="4">
        <v>43277</v>
      </c>
      <c r="B650" s="3" t="s">
        <v>3792</v>
      </c>
      <c r="C650" s="3" t="s">
        <v>3793</v>
      </c>
      <c r="D650" s="3" t="s">
        <v>3794</v>
      </c>
      <c r="E650" s="3" t="s">
        <v>3795</v>
      </c>
      <c r="F650" s="3" t="s">
        <v>1710</v>
      </c>
      <c r="G650" s="3">
        <v>15</v>
      </c>
      <c r="H650" s="3">
        <v>0</v>
      </c>
      <c r="I650" s="3">
        <v>15</v>
      </c>
      <c r="J650" s="3">
        <v>0</v>
      </c>
      <c r="K650" s="3">
        <v>0</v>
      </c>
      <c r="L650" s="3">
        <v>0</v>
      </c>
      <c r="M650" s="3">
        <v>0</v>
      </c>
      <c r="N650" s="3" t="s">
        <v>1711</v>
      </c>
      <c r="O650" s="3">
        <v>0</v>
      </c>
      <c r="P650" s="3">
        <v>0</v>
      </c>
      <c r="Q650" s="3">
        <v>0</v>
      </c>
      <c r="R650" s="3">
        <v>0</v>
      </c>
      <c r="S650" s="3">
        <v>0</v>
      </c>
      <c r="T650" s="3">
        <v>0</v>
      </c>
      <c r="U650" s="3">
        <v>0</v>
      </c>
      <c r="V650" s="3">
        <v>0</v>
      </c>
      <c r="W650" s="3" t="s">
        <v>1712</v>
      </c>
      <c r="X650" s="3">
        <v>19.99</v>
      </c>
      <c r="Y650" s="3">
        <v>19.99</v>
      </c>
      <c r="Z650" s="3">
        <v>19.99</v>
      </c>
      <c r="AA650" s="3">
        <v>0</v>
      </c>
      <c r="AB650" s="3" t="s">
        <v>1713</v>
      </c>
      <c r="AC650" s="3">
        <v>15</v>
      </c>
      <c r="AD650" s="3">
        <v>19.99</v>
      </c>
      <c r="AE650" s="3">
        <v>0</v>
      </c>
      <c r="AF650" s="3">
        <v>0</v>
      </c>
      <c r="AG650" s="3">
        <v>0</v>
      </c>
      <c r="AH650" s="3">
        <v>0</v>
      </c>
      <c r="AI650" s="3" t="s">
        <v>1919</v>
      </c>
      <c r="AJ650" s="3" t="s">
        <v>1715</v>
      </c>
    </row>
    <row r="651" spans="1:36">
      <c r="A651" s="4">
        <v>43277</v>
      </c>
      <c r="B651" s="3" t="s">
        <v>3796</v>
      </c>
      <c r="C651" s="3" t="s">
        <v>3797</v>
      </c>
      <c r="D651" s="3" t="s">
        <v>3798</v>
      </c>
      <c r="E651" s="3" t="s">
        <v>3152</v>
      </c>
      <c r="F651" s="3" t="s">
        <v>1710</v>
      </c>
      <c r="G651" s="3">
        <v>57</v>
      </c>
      <c r="H651" s="3">
        <v>0</v>
      </c>
      <c r="I651" s="3">
        <v>4</v>
      </c>
      <c r="J651" s="3">
        <v>0</v>
      </c>
      <c r="K651" s="3">
        <v>53</v>
      </c>
      <c r="L651" s="3">
        <v>0</v>
      </c>
      <c r="M651" s="3">
        <v>0</v>
      </c>
      <c r="N651" s="3" t="s">
        <v>1711</v>
      </c>
      <c r="O651" s="3">
        <v>53</v>
      </c>
      <c r="P651" s="3">
        <v>258.75</v>
      </c>
      <c r="Q651" s="3">
        <v>0</v>
      </c>
      <c r="R651" s="3">
        <v>0</v>
      </c>
      <c r="S651" s="3">
        <v>1</v>
      </c>
      <c r="T651" s="3">
        <v>1</v>
      </c>
      <c r="U651" s="3">
        <v>9</v>
      </c>
      <c r="V651" s="3">
        <v>22</v>
      </c>
      <c r="W651" s="3" t="s">
        <v>1712</v>
      </c>
      <c r="X651" s="3">
        <v>27.99</v>
      </c>
      <c r="Y651" s="3">
        <v>27.99</v>
      </c>
      <c r="Z651" s="3">
        <v>25.99</v>
      </c>
      <c r="AA651" s="3">
        <v>0</v>
      </c>
      <c r="AB651" s="3" t="s">
        <v>1732</v>
      </c>
      <c r="AC651" s="3">
        <v>10</v>
      </c>
      <c r="AD651" s="3">
        <v>22.39</v>
      </c>
      <c r="AE651" s="3">
        <v>161</v>
      </c>
      <c r="AF651" s="3">
        <v>0</v>
      </c>
      <c r="AG651" s="3">
        <v>327.037458</v>
      </c>
      <c r="AH651" s="3">
        <v>0.346456692913385</v>
      </c>
      <c r="AI651" s="3" t="s">
        <v>2094</v>
      </c>
      <c r="AJ651" s="3" t="s">
        <v>1715</v>
      </c>
    </row>
    <row r="652" spans="1:36">
      <c r="A652" s="4">
        <v>43277</v>
      </c>
      <c r="B652" s="3" t="s">
        <v>3799</v>
      </c>
      <c r="C652" s="3" t="s">
        <v>3800</v>
      </c>
      <c r="D652" s="3" t="s">
        <v>3801</v>
      </c>
      <c r="E652" s="3" t="s">
        <v>2108</v>
      </c>
      <c r="F652" s="3" t="s">
        <v>1710</v>
      </c>
      <c r="G652" s="3">
        <v>6</v>
      </c>
      <c r="H652" s="3">
        <v>0</v>
      </c>
      <c r="I652" s="3">
        <v>0</v>
      </c>
      <c r="J652" s="3">
        <v>0</v>
      </c>
      <c r="K652" s="3">
        <v>6</v>
      </c>
      <c r="L652" s="3">
        <v>0</v>
      </c>
      <c r="M652" s="3">
        <v>0</v>
      </c>
      <c r="N652" s="3" t="s">
        <v>1711</v>
      </c>
      <c r="O652" s="3">
        <v>6</v>
      </c>
      <c r="P652" s="3">
        <v>0.04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1712</v>
      </c>
      <c r="X652" s="3">
        <v>15.99</v>
      </c>
      <c r="Y652" s="3">
        <v>15.99</v>
      </c>
      <c r="Z652" s="3">
        <v>15.99</v>
      </c>
      <c r="AA652" s="3">
        <v>0</v>
      </c>
      <c r="AB652" s="3" t="s">
        <v>1732</v>
      </c>
      <c r="AC652" s="3">
        <v>0</v>
      </c>
      <c r="AD652" s="3">
        <v>14.37</v>
      </c>
      <c r="AE652" s="3">
        <v>308</v>
      </c>
      <c r="AF652" s="3">
        <v>0</v>
      </c>
      <c r="AG652" s="3">
        <v>48.515015</v>
      </c>
      <c r="AH652" s="3">
        <v>0</v>
      </c>
      <c r="AI652" s="3" t="s">
        <v>1782</v>
      </c>
      <c r="AJ652" s="3" t="s">
        <v>1783</v>
      </c>
    </row>
    <row r="653" spans="1:36">
      <c r="A653" s="4">
        <v>43277</v>
      </c>
      <c r="B653" s="3" t="s">
        <v>3802</v>
      </c>
      <c r="C653" s="3" t="s">
        <v>3803</v>
      </c>
      <c r="D653" s="3" t="s">
        <v>3804</v>
      </c>
      <c r="E653" s="3" t="s">
        <v>3601</v>
      </c>
      <c r="F653" s="3" t="s">
        <v>1710</v>
      </c>
      <c r="G653" s="3">
        <v>11</v>
      </c>
      <c r="H653" s="3">
        <v>0</v>
      </c>
      <c r="I653" s="3">
        <v>0</v>
      </c>
      <c r="J653" s="3">
        <v>10</v>
      </c>
      <c r="K653" s="3">
        <v>1</v>
      </c>
      <c r="L653" s="3">
        <v>0</v>
      </c>
      <c r="M653" s="3">
        <v>0</v>
      </c>
      <c r="N653" s="3" t="s">
        <v>1711</v>
      </c>
      <c r="O653" s="3">
        <v>11</v>
      </c>
      <c r="P653" s="3">
        <v>15.41</v>
      </c>
      <c r="Q653" s="3">
        <v>0</v>
      </c>
      <c r="R653" s="3">
        <v>0</v>
      </c>
      <c r="S653" s="3">
        <v>0</v>
      </c>
      <c r="T653" s="3">
        <v>0</v>
      </c>
      <c r="U653" s="3">
        <v>0</v>
      </c>
      <c r="V653" s="3">
        <v>0</v>
      </c>
      <c r="W653" s="3" t="s">
        <v>1720</v>
      </c>
      <c r="X653" s="3">
        <v>16.99</v>
      </c>
      <c r="Y653" s="3">
        <v>16.99</v>
      </c>
      <c r="Z653" s="3">
        <v>16.99</v>
      </c>
      <c r="AA653" s="3">
        <v>0</v>
      </c>
      <c r="AB653" s="3" t="s">
        <v>1732</v>
      </c>
      <c r="AC653" s="3">
        <v>0</v>
      </c>
      <c r="AD653" s="3">
        <v>12.84</v>
      </c>
      <c r="AE653" s="3">
        <v>364</v>
      </c>
      <c r="AF653" s="3">
        <v>0</v>
      </c>
      <c r="AG653" s="3">
        <v>205.186596</v>
      </c>
      <c r="AH653" s="3">
        <v>0</v>
      </c>
      <c r="AI653" s="3" t="s">
        <v>3602</v>
      </c>
      <c r="AJ653" s="3" t="s">
        <v>1715</v>
      </c>
    </row>
    <row r="654" spans="1:36">
      <c r="A654" s="4">
        <v>43277</v>
      </c>
      <c r="B654" s="3" t="s">
        <v>3805</v>
      </c>
      <c r="C654" s="3" t="s">
        <v>3806</v>
      </c>
      <c r="D654" s="3" t="s">
        <v>3807</v>
      </c>
      <c r="E654" s="3" t="s">
        <v>3808</v>
      </c>
      <c r="F654" s="3" t="s">
        <v>1710</v>
      </c>
      <c r="G654" s="3">
        <v>8</v>
      </c>
      <c r="H654" s="3">
        <v>0</v>
      </c>
      <c r="I654" s="3">
        <v>8</v>
      </c>
      <c r="J654" s="3">
        <v>0</v>
      </c>
      <c r="K654" s="3">
        <v>0</v>
      </c>
      <c r="L654" s="3">
        <v>0</v>
      </c>
      <c r="M654" s="3">
        <v>0</v>
      </c>
      <c r="N654" s="3" t="s">
        <v>1711</v>
      </c>
      <c r="O654" s="3">
        <v>0</v>
      </c>
      <c r="P654" s="3">
        <v>0</v>
      </c>
      <c r="Q654" s="3">
        <v>0</v>
      </c>
      <c r="R654" s="3">
        <v>0</v>
      </c>
      <c r="S654" s="3">
        <v>4</v>
      </c>
      <c r="T654" s="3">
        <v>19</v>
      </c>
      <c r="U654" s="3">
        <v>37</v>
      </c>
      <c r="V654" s="3">
        <v>52</v>
      </c>
      <c r="W654" s="3"/>
      <c r="X654" s="3">
        <v>14.99</v>
      </c>
      <c r="Y654" s="3">
        <v>14.99</v>
      </c>
      <c r="Z654" s="3">
        <v>14.99</v>
      </c>
      <c r="AA654" s="3">
        <v>0</v>
      </c>
      <c r="AB654" s="3" t="s">
        <v>1713</v>
      </c>
      <c r="AC654" s="3">
        <v>11</v>
      </c>
      <c r="AD654" s="3">
        <v>14.99</v>
      </c>
      <c r="AE654" s="3">
        <v>0</v>
      </c>
      <c r="AF654" s="3">
        <v>0</v>
      </c>
      <c r="AG654" s="3">
        <v>0</v>
      </c>
      <c r="AH654" s="3">
        <v>2.7012987012987</v>
      </c>
      <c r="AI654" s="3" t="s">
        <v>2467</v>
      </c>
      <c r="AJ654" s="3" t="s">
        <v>1715</v>
      </c>
    </row>
    <row r="655" spans="1:36">
      <c r="A655" s="4">
        <v>43277</v>
      </c>
      <c r="B655" s="3" t="s">
        <v>835</v>
      </c>
      <c r="C655" s="3" t="s">
        <v>836</v>
      </c>
      <c r="D655" s="3" t="s">
        <v>837</v>
      </c>
      <c r="E655" s="3" t="s">
        <v>838</v>
      </c>
      <c r="F655" s="3" t="s">
        <v>1710</v>
      </c>
      <c r="G655" s="3">
        <v>29</v>
      </c>
      <c r="H655" s="3">
        <v>0</v>
      </c>
      <c r="I655" s="3">
        <v>29</v>
      </c>
      <c r="J655" s="3">
        <v>0</v>
      </c>
      <c r="K655" s="3">
        <v>0</v>
      </c>
      <c r="L655" s="3">
        <v>0</v>
      </c>
      <c r="M655" s="3">
        <v>0</v>
      </c>
      <c r="N655" s="3" t="s">
        <v>1711</v>
      </c>
      <c r="O655" s="3">
        <v>0</v>
      </c>
      <c r="P655" s="3">
        <v>0</v>
      </c>
      <c r="Q655" s="3">
        <v>0</v>
      </c>
      <c r="R655" s="3">
        <v>0</v>
      </c>
      <c r="S655" s="3">
        <v>6</v>
      </c>
      <c r="T655" s="3">
        <v>26</v>
      </c>
      <c r="U655" s="3">
        <v>46</v>
      </c>
      <c r="V655" s="3">
        <v>61</v>
      </c>
      <c r="W655" s="3"/>
      <c r="X655" s="3">
        <v>38</v>
      </c>
      <c r="Y655" s="3">
        <v>28.58</v>
      </c>
      <c r="Z655" s="3">
        <v>28.58</v>
      </c>
      <c r="AA655" s="3">
        <v>0</v>
      </c>
      <c r="AB655" s="3" t="s">
        <v>1713</v>
      </c>
      <c r="AC655" s="3">
        <v>31</v>
      </c>
      <c r="AD655" s="3">
        <v>28.58</v>
      </c>
      <c r="AE655" s="3">
        <v>0</v>
      </c>
      <c r="AF655" s="3">
        <v>0</v>
      </c>
      <c r="AG655" s="3">
        <v>0</v>
      </c>
      <c r="AH655" s="3">
        <v>3.34246575342465</v>
      </c>
      <c r="AI655" s="3" t="s">
        <v>2638</v>
      </c>
      <c r="AJ655" s="3" t="s">
        <v>1715</v>
      </c>
    </row>
    <row r="656" spans="1:36">
      <c r="A656" s="4">
        <v>43277</v>
      </c>
      <c r="B656" s="3" t="s">
        <v>3809</v>
      </c>
      <c r="C656" s="3" t="s">
        <v>3810</v>
      </c>
      <c r="D656" s="3" t="s">
        <v>3811</v>
      </c>
      <c r="E656" s="3" t="s">
        <v>2462</v>
      </c>
      <c r="F656" s="3" t="s">
        <v>1710</v>
      </c>
      <c r="G656" s="3">
        <v>6</v>
      </c>
      <c r="H656" s="3">
        <v>0</v>
      </c>
      <c r="I656" s="3">
        <v>6</v>
      </c>
      <c r="J656" s="3">
        <v>0</v>
      </c>
      <c r="K656" s="3">
        <v>0</v>
      </c>
      <c r="L656" s="3">
        <v>0</v>
      </c>
      <c r="M656" s="3">
        <v>0</v>
      </c>
      <c r="N656" s="3" t="s">
        <v>1711</v>
      </c>
      <c r="O656" s="3">
        <v>0</v>
      </c>
      <c r="P656" s="3">
        <v>0</v>
      </c>
      <c r="Q656" s="3">
        <v>0</v>
      </c>
      <c r="R656" s="3">
        <v>0</v>
      </c>
      <c r="S656" s="3">
        <v>2</v>
      </c>
      <c r="T656" s="3">
        <v>5</v>
      </c>
      <c r="U656" s="3">
        <v>5</v>
      </c>
      <c r="V656" s="3">
        <v>5</v>
      </c>
      <c r="W656" s="3"/>
      <c r="X656" s="3">
        <v>21.99</v>
      </c>
      <c r="Y656" s="3">
        <v>21.99</v>
      </c>
      <c r="Z656" s="3">
        <v>21.99</v>
      </c>
      <c r="AA656" s="3">
        <v>0</v>
      </c>
      <c r="AB656" s="3" t="s">
        <v>1713</v>
      </c>
      <c r="AC656" s="3">
        <v>6</v>
      </c>
      <c r="AD656" s="3">
        <v>21.99</v>
      </c>
      <c r="AE656" s="3">
        <v>0</v>
      </c>
      <c r="AF656" s="3">
        <v>0</v>
      </c>
      <c r="AG656" s="3">
        <v>0</v>
      </c>
      <c r="AH656" s="3">
        <v>1.66666666666666</v>
      </c>
      <c r="AI656" s="3" t="s">
        <v>2295</v>
      </c>
      <c r="AJ656" s="3" t="s">
        <v>1715</v>
      </c>
    </row>
    <row r="657" spans="1:36">
      <c r="A657" s="4">
        <v>43277</v>
      </c>
      <c r="B657" s="3" t="s">
        <v>1419</v>
      </c>
      <c r="C657" s="3" t="s">
        <v>1420</v>
      </c>
      <c r="D657" s="3" t="s">
        <v>1421</v>
      </c>
      <c r="E657" s="3" t="s">
        <v>1422</v>
      </c>
      <c r="F657" s="3" t="s">
        <v>1710</v>
      </c>
      <c r="G657" s="3">
        <v>31</v>
      </c>
      <c r="H657" s="3">
        <v>0</v>
      </c>
      <c r="I657" s="3">
        <v>31</v>
      </c>
      <c r="J657" s="3">
        <v>0</v>
      </c>
      <c r="K657" s="3">
        <v>0</v>
      </c>
      <c r="L657" s="3">
        <v>0</v>
      </c>
      <c r="M657" s="3">
        <v>0</v>
      </c>
      <c r="N657" s="3" t="s">
        <v>1711</v>
      </c>
      <c r="O657" s="3">
        <v>0</v>
      </c>
      <c r="P657" s="3">
        <v>0</v>
      </c>
      <c r="Q657" s="3">
        <v>0</v>
      </c>
      <c r="R657" s="3">
        <v>0</v>
      </c>
      <c r="S657" s="3">
        <v>15</v>
      </c>
      <c r="T657" s="3">
        <v>23</v>
      </c>
      <c r="U657" s="3">
        <v>39</v>
      </c>
      <c r="V657" s="3">
        <v>39</v>
      </c>
      <c r="W657" s="3"/>
      <c r="X657" s="3">
        <v>22.99</v>
      </c>
      <c r="Y657" s="3">
        <v>22.99</v>
      </c>
      <c r="Z657" s="3">
        <v>22.99</v>
      </c>
      <c r="AA657" s="3">
        <v>0</v>
      </c>
      <c r="AB657" s="3" t="s">
        <v>1713</v>
      </c>
      <c r="AC657" s="3">
        <v>6</v>
      </c>
      <c r="AD657" s="3">
        <v>22.99</v>
      </c>
      <c r="AE657" s="3">
        <v>0</v>
      </c>
      <c r="AF657" s="3">
        <v>0</v>
      </c>
      <c r="AG657" s="3">
        <v>0</v>
      </c>
      <c r="AH657" s="3">
        <v>3</v>
      </c>
      <c r="AI657" s="3" t="s">
        <v>1841</v>
      </c>
      <c r="AJ657" s="3" t="s">
        <v>1715</v>
      </c>
    </row>
    <row r="658" spans="1:36">
      <c r="A658" s="4">
        <v>43277</v>
      </c>
      <c r="B658" s="3" t="s">
        <v>3812</v>
      </c>
      <c r="C658" s="3" t="s">
        <v>3813</v>
      </c>
      <c r="D658" s="3" t="s">
        <v>3814</v>
      </c>
      <c r="E658" s="3" t="s">
        <v>3815</v>
      </c>
      <c r="F658" s="3" t="s">
        <v>1710</v>
      </c>
      <c r="G658" s="3">
        <v>2</v>
      </c>
      <c r="H658" s="3">
        <v>0</v>
      </c>
      <c r="I658" s="3">
        <v>0</v>
      </c>
      <c r="J658" s="3">
        <v>2</v>
      </c>
      <c r="K658" s="3">
        <v>0</v>
      </c>
      <c r="L658" s="3">
        <v>0</v>
      </c>
      <c r="M658" s="3">
        <v>0</v>
      </c>
      <c r="N658" s="3" t="s">
        <v>1711</v>
      </c>
      <c r="O658" s="3">
        <v>0</v>
      </c>
      <c r="P658" s="3">
        <v>0</v>
      </c>
      <c r="Q658" s="3">
        <v>0</v>
      </c>
      <c r="R658" s="3">
        <v>0</v>
      </c>
      <c r="S658" s="3">
        <v>2</v>
      </c>
      <c r="T658" s="3">
        <v>3</v>
      </c>
      <c r="U658" s="3">
        <v>3</v>
      </c>
      <c r="V658" s="3">
        <v>3</v>
      </c>
      <c r="W658" s="3"/>
      <c r="X658" s="3">
        <v>19.99</v>
      </c>
      <c r="Y658" s="3">
        <v>19.99</v>
      </c>
      <c r="Z658" s="3">
        <v>19.99</v>
      </c>
      <c r="AA658" s="3">
        <v>0</v>
      </c>
      <c r="AB658" s="3" t="s">
        <v>1713</v>
      </c>
      <c r="AC658" s="3">
        <v>2</v>
      </c>
      <c r="AD658" s="3">
        <v>19.99</v>
      </c>
      <c r="AE658" s="3">
        <v>0</v>
      </c>
      <c r="AF658" s="3">
        <v>0</v>
      </c>
      <c r="AG658" s="3">
        <v>0</v>
      </c>
      <c r="AH658" s="3">
        <v>0.705882352941176</v>
      </c>
      <c r="AI658" s="3" t="s">
        <v>1867</v>
      </c>
      <c r="AJ658" s="3" t="s">
        <v>1715</v>
      </c>
    </row>
    <row r="659" spans="1:36">
      <c r="A659" s="4">
        <v>43277</v>
      </c>
      <c r="B659" s="3" t="s">
        <v>3816</v>
      </c>
      <c r="C659" s="3" t="s">
        <v>3817</v>
      </c>
      <c r="D659" s="3" t="s">
        <v>3818</v>
      </c>
      <c r="E659" s="3" t="s">
        <v>3819</v>
      </c>
      <c r="F659" s="3" t="s">
        <v>1710</v>
      </c>
      <c r="G659" s="3">
        <v>13</v>
      </c>
      <c r="H659" s="3">
        <v>0</v>
      </c>
      <c r="I659" s="3">
        <v>0</v>
      </c>
      <c r="J659" s="3">
        <v>0</v>
      </c>
      <c r="K659" s="3">
        <v>13</v>
      </c>
      <c r="L659" s="3">
        <v>0</v>
      </c>
      <c r="M659" s="3">
        <v>0</v>
      </c>
      <c r="N659" s="3" t="s">
        <v>1711</v>
      </c>
      <c r="O659" s="3">
        <v>13</v>
      </c>
      <c r="P659" s="3">
        <v>17.79</v>
      </c>
      <c r="Q659" s="3">
        <v>0</v>
      </c>
      <c r="R659" s="3">
        <v>0</v>
      </c>
      <c r="S659" s="3">
        <v>0</v>
      </c>
      <c r="T659" s="3">
        <v>0</v>
      </c>
      <c r="U659" s="3">
        <v>0</v>
      </c>
      <c r="V659" s="3">
        <v>0</v>
      </c>
      <c r="W659" s="3" t="s">
        <v>1720</v>
      </c>
      <c r="X659" s="3">
        <v>16.99</v>
      </c>
      <c r="Y659" s="3">
        <v>16.99</v>
      </c>
      <c r="Z659" s="3">
        <v>16.99</v>
      </c>
      <c r="AA659" s="3">
        <v>0</v>
      </c>
      <c r="AB659" s="3" t="s">
        <v>1721</v>
      </c>
      <c r="AC659" s="3">
        <v>0</v>
      </c>
      <c r="AD659" s="3">
        <v>14.57</v>
      </c>
      <c r="AE659" s="3">
        <v>224</v>
      </c>
      <c r="AF659" s="3">
        <v>0</v>
      </c>
      <c r="AG659" s="3">
        <v>288.124128</v>
      </c>
      <c r="AH659" s="3">
        <v>0</v>
      </c>
      <c r="AI659" s="3" t="s">
        <v>1851</v>
      </c>
      <c r="AJ659" s="3" t="s">
        <v>1715</v>
      </c>
    </row>
    <row r="660" spans="1:36">
      <c r="A660" s="4">
        <v>43277</v>
      </c>
      <c r="B660" s="3" t="s">
        <v>248</v>
      </c>
      <c r="C660" s="3" t="s">
        <v>249</v>
      </c>
      <c r="D660" s="3" t="s">
        <v>250</v>
      </c>
      <c r="E660" s="3" t="s">
        <v>251</v>
      </c>
      <c r="F660" s="3" t="s">
        <v>1710</v>
      </c>
      <c r="G660" s="3">
        <v>38</v>
      </c>
      <c r="H660" s="3">
        <v>0</v>
      </c>
      <c r="I660" s="3">
        <v>38</v>
      </c>
      <c r="J660" s="3">
        <v>0</v>
      </c>
      <c r="K660" s="3">
        <v>0</v>
      </c>
      <c r="L660" s="3">
        <v>0</v>
      </c>
      <c r="M660" s="3">
        <v>0</v>
      </c>
      <c r="N660" s="3" t="s">
        <v>1711</v>
      </c>
      <c r="O660" s="3">
        <v>0</v>
      </c>
      <c r="P660" s="3">
        <v>0</v>
      </c>
      <c r="Q660" s="3">
        <v>0</v>
      </c>
      <c r="R660" s="3">
        <v>0</v>
      </c>
      <c r="S660" s="3">
        <v>0</v>
      </c>
      <c r="T660" s="3">
        <v>3</v>
      </c>
      <c r="U660" s="3">
        <v>6</v>
      </c>
      <c r="V660" s="3">
        <v>13</v>
      </c>
      <c r="W660" s="3"/>
      <c r="X660" s="3">
        <v>27.99</v>
      </c>
      <c r="Y660" s="3">
        <v>27.99</v>
      </c>
      <c r="Z660" s="3">
        <v>25.99</v>
      </c>
      <c r="AA660" s="3">
        <v>0</v>
      </c>
      <c r="AB660" s="3" t="s">
        <v>1713</v>
      </c>
      <c r="AC660" s="3">
        <v>38</v>
      </c>
      <c r="AD660" s="3">
        <v>27.99</v>
      </c>
      <c r="AE660" s="3">
        <v>0</v>
      </c>
      <c r="AF660" s="3">
        <v>0</v>
      </c>
      <c r="AG660" s="3">
        <v>0</v>
      </c>
      <c r="AH660" s="3">
        <v>0.390977443609022</v>
      </c>
      <c r="AI660" s="3" t="s">
        <v>2094</v>
      </c>
      <c r="AJ660" s="3" t="s">
        <v>1715</v>
      </c>
    </row>
    <row r="661" spans="1:36">
      <c r="A661" s="4">
        <v>43277</v>
      </c>
      <c r="B661" s="3" t="s">
        <v>907</v>
      </c>
      <c r="C661" s="3" t="s">
        <v>908</v>
      </c>
      <c r="D661" s="3" t="s">
        <v>909</v>
      </c>
      <c r="E661" s="3" t="s">
        <v>910</v>
      </c>
      <c r="F661" s="3" t="s">
        <v>1710</v>
      </c>
      <c r="G661" s="3">
        <v>8</v>
      </c>
      <c r="H661" s="3">
        <v>0</v>
      </c>
      <c r="I661" s="3">
        <v>8</v>
      </c>
      <c r="J661" s="3">
        <v>0</v>
      </c>
      <c r="K661" s="3">
        <v>0</v>
      </c>
      <c r="L661" s="3">
        <v>0</v>
      </c>
      <c r="M661" s="3">
        <v>0</v>
      </c>
      <c r="N661" s="3" t="s">
        <v>1711</v>
      </c>
      <c r="O661" s="3">
        <v>0</v>
      </c>
      <c r="P661" s="3">
        <v>0</v>
      </c>
      <c r="Q661" s="3">
        <v>0</v>
      </c>
      <c r="R661" s="3">
        <v>0</v>
      </c>
      <c r="S661" s="3">
        <v>8</v>
      </c>
      <c r="T661" s="3">
        <v>18</v>
      </c>
      <c r="U661" s="3">
        <v>43</v>
      </c>
      <c r="V661" s="3">
        <v>46</v>
      </c>
      <c r="W661" s="3"/>
      <c r="X661" s="3">
        <v>15.99</v>
      </c>
      <c r="Y661" s="3">
        <v>15.99</v>
      </c>
      <c r="Z661" s="3">
        <v>15.99</v>
      </c>
      <c r="AA661" s="3">
        <v>0</v>
      </c>
      <c r="AB661" s="3" t="s">
        <v>1713</v>
      </c>
      <c r="AC661" s="3">
        <v>11</v>
      </c>
      <c r="AD661" s="3">
        <v>15.99</v>
      </c>
      <c r="AE661" s="3">
        <v>0</v>
      </c>
      <c r="AF661" s="3">
        <v>0</v>
      </c>
      <c r="AG661" s="3">
        <v>0</v>
      </c>
      <c r="AH661" s="3">
        <v>6.27272727272727</v>
      </c>
      <c r="AI661" s="3" t="s">
        <v>3820</v>
      </c>
      <c r="AJ661" s="3" t="s">
        <v>1715</v>
      </c>
    </row>
    <row r="662" spans="1:36">
      <c r="A662" s="4">
        <v>43277</v>
      </c>
      <c r="B662" s="3" t="s">
        <v>3821</v>
      </c>
      <c r="C662" s="3" t="s">
        <v>3822</v>
      </c>
      <c r="D662" s="3" t="s">
        <v>3823</v>
      </c>
      <c r="E662" s="3" t="s">
        <v>2510</v>
      </c>
      <c r="F662" s="3" t="s">
        <v>1710</v>
      </c>
      <c r="G662" s="3">
        <v>1</v>
      </c>
      <c r="H662" s="3">
        <v>0</v>
      </c>
      <c r="I662" s="3">
        <v>0</v>
      </c>
      <c r="J662" s="3">
        <v>0</v>
      </c>
      <c r="K662" s="3">
        <v>1</v>
      </c>
      <c r="L662" s="3">
        <v>0</v>
      </c>
      <c r="M662" s="3">
        <v>0</v>
      </c>
      <c r="N662" s="3" t="s">
        <v>1711</v>
      </c>
      <c r="O662" s="3">
        <v>1</v>
      </c>
      <c r="P662" s="3">
        <v>0.01</v>
      </c>
      <c r="Q662" s="3">
        <v>0</v>
      </c>
      <c r="R662" s="3">
        <v>0</v>
      </c>
      <c r="S662" s="3">
        <v>0</v>
      </c>
      <c r="T662" s="3">
        <v>0</v>
      </c>
      <c r="U662" s="3">
        <v>0</v>
      </c>
      <c r="V662" s="3">
        <v>0</v>
      </c>
      <c r="W662" s="3" t="s">
        <v>1720</v>
      </c>
      <c r="X662" s="3">
        <v>18.99</v>
      </c>
      <c r="Y662" s="3">
        <v>18.99</v>
      </c>
      <c r="Z662" s="3">
        <v>18.99</v>
      </c>
      <c r="AA662" s="3">
        <v>0</v>
      </c>
      <c r="AB662" s="3" t="s">
        <v>1713</v>
      </c>
      <c r="AC662" s="3">
        <v>1</v>
      </c>
      <c r="AD662" s="3">
        <v>18.99</v>
      </c>
      <c r="AE662" s="3">
        <v>0</v>
      </c>
      <c r="AF662" s="3">
        <v>0</v>
      </c>
      <c r="AG662" s="3">
        <v>0</v>
      </c>
      <c r="AH662" s="3">
        <v>0</v>
      </c>
      <c r="AI662" s="3" t="s">
        <v>1782</v>
      </c>
      <c r="AJ662" s="3" t="s">
        <v>1783</v>
      </c>
    </row>
    <row r="663" spans="1:36">
      <c r="A663" s="4">
        <v>43277</v>
      </c>
      <c r="B663" s="3" t="s">
        <v>787</v>
      </c>
      <c r="C663" s="3" t="s">
        <v>788</v>
      </c>
      <c r="D663" s="3" t="s">
        <v>789</v>
      </c>
      <c r="E663" s="3" t="s">
        <v>790</v>
      </c>
      <c r="F663" s="3" t="s">
        <v>1710</v>
      </c>
      <c r="G663" s="3">
        <v>18</v>
      </c>
      <c r="H663" s="3">
        <v>0</v>
      </c>
      <c r="I663" s="3">
        <v>18</v>
      </c>
      <c r="J663" s="3">
        <v>0</v>
      </c>
      <c r="K663" s="3">
        <v>0</v>
      </c>
      <c r="L663" s="3">
        <v>0</v>
      </c>
      <c r="M663" s="3">
        <v>0</v>
      </c>
      <c r="N663" s="3" t="s">
        <v>1711</v>
      </c>
      <c r="O663" s="3">
        <v>0</v>
      </c>
      <c r="P663" s="3">
        <v>0</v>
      </c>
      <c r="Q663" s="3">
        <v>0</v>
      </c>
      <c r="R663" s="3">
        <v>0</v>
      </c>
      <c r="S663" s="3">
        <v>14</v>
      </c>
      <c r="T663" s="3">
        <v>56</v>
      </c>
      <c r="U663" s="3">
        <v>83</v>
      </c>
      <c r="V663" s="3">
        <v>112</v>
      </c>
      <c r="W663" s="3"/>
      <c r="X663" s="3">
        <v>38</v>
      </c>
      <c r="Y663" s="3">
        <v>28.58</v>
      </c>
      <c r="Z663" s="3">
        <v>28.58</v>
      </c>
      <c r="AA663" s="3">
        <v>0</v>
      </c>
      <c r="AB663" s="3" t="s">
        <v>1713</v>
      </c>
      <c r="AC663" s="3">
        <v>17</v>
      </c>
      <c r="AD663" s="3">
        <v>28.58</v>
      </c>
      <c r="AE663" s="3">
        <v>0</v>
      </c>
      <c r="AF663" s="3">
        <v>0</v>
      </c>
      <c r="AG663" s="3">
        <v>0</v>
      </c>
      <c r="AH663" s="3">
        <v>6.22222222222222</v>
      </c>
      <c r="AI663" s="3" t="s">
        <v>2270</v>
      </c>
      <c r="AJ663" s="3" t="s">
        <v>1715</v>
      </c>
    </row>
    <row r="664" spans="1:36">
      <c r="A664" s="4">
        <v>43277</v>
      </c>
      <c r="B664" s="3" t="s">
        <v>1585</v>
      </c>
      <c r="C664" s="3" t="s">
        <v>1586</v>
      </c>
      <c r="D664" s="3" t="s">
        <v>1587</v>
      </c>
      <c r="E664" s="3" t="s">
        <v>1588</v>
      </c>
      <c r="F664" s="3" t="s">
        <v>1710</v>
      </c>
      <c r="G664" s="3">
        <v>15</v>
      </c>
      <c r="H664" s="3">
        <v>0</v>
      </c>
      <c r="I664" s="3">
        <v>15</v>
      </c>
      <c r="J664" s="3">
        <v>0</v>
      </c>
      <c r="K664" s="3">
        <v>0</v>
      </c>
      <c r="L664" s="3">
        <v>0</v>
      </c>
      <c r="M664" s="3">
        <v>0</v>
      </c>
      <c r="N664" s="3" t="s">
        <v>1711</v>
      </c>
      <c r="O664" s="3">
        <v>0</v>
      </c>
      <c r="P664" s="3">
        <v>0</v>
      </c>
      <c r="Q664" s="3">
        <v>0</v>
      </c>
      <c r="R664" s="3">
        <v>0</v>
      </c>
      <c r="S664" s="3">
        <v>28</v>
      </c>
      <c r="T664" s="3">
        <v>67</v>
      </c>
      <c r="U664" s="3">
        <v>122</v>
      </c>
      <c r="V664" s="3">
        <v>156</v>
      </c>
      <c r="W664" s="3"/>
      <c r="X664" s="3">
        <v>40</v>
      </c>
      <c r="Y664" s="3">
        <v>29.99</v>
      </c>
      <c r="Z664" s="3">
        <v>28</v>
      </c>
      <c r="AA664" s="3">
        <v>0</v>
      </c>
      <c r="AB664" s="3" t="s">
        <v>1713</v>
      </c>
      <c r="AC664" s="3">
        <v>11</v>
      </c>
      <c r="AD664" s="3">
        <v>29.99</v>
      </c>
      <c r="AE664" s="3">
        <v>0</v>
      </c>
      <c r="AF664" s="3">
        <v>0</v>
      </c>
      <c r="AG664" s="3">
        <v>0</v>
      </c>
      <c r="AH664" s="3">
        <v>3.33689839572192</v>
      </c>
      <c r="AI664" s="3" t="s">
        <v>3824</v>
      </c>
      <c r="AJ664" s="3" t="s">
        <v>1715</v>
      </c>
    </row>
    <row r="665" spans="1:36">
      <c r="A665" s="4">
        <v>43277</v>
      </c>
      <c r="B665" s="3" t="s">
        <v>3825</v>
      </c>
      <c r="C665" s="3" t="s">
        <v>3826</v>
      </c>
      <c r="D665" s="3" t="s">
        <v>3827</v>
      </c>
      <c r="E665" s="3" t="s">
        <v>3178</v>
      </c>
      <c r="F665" s="3" t="s">
        <v>1710</v>
      </c>
      <c r="G665" s="3">
        <v>4</v>
      </c>
      <c r="H665" s="3">
        <v>0</v>
      </c>
      <c r="I665" s="3">
        <v>0</v>
      </c>
      <c r="J665" s="3">
        <v>0</v>
      </c>
      <c r="K665" s="3">
        <v>4</v>
      </c>
      <c r="L665" s="3">
        <v>0</v>
      </c>
      <c r="M665" s="3">
        <v>0</v>
      </c>
      <c r="N665" s="3" t="s">
        <v>1711</v>
      </c>
      <c r="O665" s="3">
        <v>4</v>
      </c>
      <c r="P665" s="3">
        <v>0.03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0</v>
      </c>
      <c r="W665" s="3" t="s">
        <v>1720</v>
      </c>
      <c r="X665" s="3">
        <v>16.99</v>
      </c>
      <c r="Y665" s="3">
        <v>16.99</v>
      </c>
      <c r="Z665" s="3">
        <v>16.99</v>
      </c>
      <c r="AA665" s="3">
        <v>0</v>
      </c>
      <c r="AB665" s="3" t="s">
        <v>1721</v>
      </c>
      <c r="AC665" s="3">
        <v>0</v>
      </c>
      <c r="AD665" s="3">
        <v>15.25</v>
      </c>
      <c r="AE665" s="3">
        <v>301</v>
      </c>
      <c r="AF665" s="3">
        <v>0</v>
      </c>
      <c r="AG665" s="3">
        <v>34.242235</v>
      </c>
      <c r="AH665" s="3">
        <v>0</v>
      </c>
      <c r="AI665" s="3" t="s">
        <v>1782</v>
      </c>
      <c r="AJ665" s="3" t="s">
        <v>1783</v>
      </c>
    </row>
    <row r="666" spans="1:36">
      <c r="A666" s="4">
        <v>43277</v>
      </c>
      <c r="B666" s="3" t="s">
        <v>3828</v>
      </c>
      <c r="C666" s="3" t="s">
        <v>3829</v>
      </c>
      <c r="D666" s="3" t="s">
        <v>3830</v>
      </c>
      <c r="E666" s="3" t="s">
        <v>2255</v>
      </c>
      <c r="F666" s="3" t="s">
        <v>1710</v>
      </c>
      <c r="G666" s="3">
        <v>16</v>
      </c>
      <c r="H666" s="3">
        <v>0</v>
      </c>
      <c r="I666" s="3">
        <v>1</v>
      </c>
      <c r="J666" s="3">
        <v>1</v>
      </c>
      <c r="K666" s="3">
        <v>0</v>
      </c>
      <c r="L666" s="3">
        <v>14</v>
      </c>
      <c r="M666" s="3">
        <v>0</v>
      </c>
      <c r="N666" s="3" t="s">
        <v>1711</v>
      </c>
      <c r="O666" s="3">
        <v>15</v>
      </c>
      <c r="P666" s="3">
        <v>19.52</v>
      </c>
      <c r="Q666" s="3">
        <v>0</v>
      </c>
      <c r="R666" s="3">
        <v>0</v>
      </c>
      <c r="S666" s="3">
        <v>1</v>
      </c>
      <c r="T666" s="3">
        <v>1</v>
      </c>
      <c r="U666" s="3">
        <v>2</v>
      </c>
      <c r="V666" s="3">
        <v>3</v>
      </c>
      <c r="W666" s="3"/>
      <c r="X666" s="3">
        <v>16.99</v>
      </c>
      <c r="Y666" s="3">
        <v>16.99</v>
      </c>
      <c r="Z666" s="3">
        <v>16.99</v>
      </c>
      <c r="AA666" s="3">
        <v>0</v>
      </c>
      <c r="AB666" s="3" t="s">
        <v>1732</v>
      </c>
      <c r="AC666" s="3">
        <v>0</v>
      </c>
      <c r="AD666" s="3">
        <v>13.87</v>
      </c>
      <c r="AE666" s="3">
        <v>315</v>
      </c>
      <c r="AF666" s="3">
        <v>0</v>
      </c>
      <c r="AG666" s="3">
        <v>322.810445</v>
      </c>
      <c r="AH666" s="3">
        <v>0.171428571428571</v>
      </c>
      <c r="AI666" s="3" t="s">
        <v>3275</v>
      </c>
      <c r="AJ666" s="3" t="s">
        <v>1715</v>
      </c>
    </row>
    <row r="667" spans="1:36">
      <c r="A667" s="4">
        <v>43277</v>
      </c>
      <c r="B667" s="3" t="s">
        <v>3831</v>
      </c>
      <c r="C667" s="3" t="s">
        <v>3832</v>
      </c>
      <c r="D667" s="3" t="s">
        <v>3833</v>
      </c>
      <c r="E667" s="3" t="s">
        <v>3834</v>
      </c>
      <c r="F667" s="3" t="s">
        <v>1710</v>
      </c>
      <c r="G667" s="3">
        <v>3</v>
      </c>
      <c r="H667" s="3">
        <v>0</v>
      </c>
      <c r="I667" s="3">
        <v>0</v>
      </c>
      <c r="J667" s="3">
        <v>1</v>
      </c>
      <c r="K667" s="3">
        <v>2</v>
      </c>
      <c r="L667" s="3">
        <v>0</v>
      </c>
      <c r="M667" s="3">
        <v>0</v>
      </c>
      <c r="N667" s="3" t="s">
        <v>1711</v>
      </c>
      <c r="O667" s="3">
        <v>3</v>
      </c>
      <c r="P667" s="3">
        <v>14.65</v>
      </c>
      <c r="Q667" s="3">
        <v>0</v>
      </c>
      <c r="R667" s="3">
        <v>0</v>
      </c>
      <c r="S667" s="3">
        <v>0</v>
      </c>
      <c r="T667" s="3">
        <v>0</v>
      </c>
      <c r="U667" s="3">
        <v>1</v>
      </c>
      <c r="V667" s="3">
        <v>1</v>
      </c>
      <c r="W667" s="3" t="s">
        <v>1712</v>
      </c>
      <c r="X667" s="3">
        <v>29.99</v>
      </c>
      <c r="Y667" s="3">
        <v>29.99</v>
      </c>
      <c r="Z667" s="3">
        <v>28.99</v>
      </c>
      <c r="AA667" s="3">
        <v>0</v>
      </c>
      <c r="AB667" s="3" t="s">
        <v>1732</v>
      </c>
      <c r="AC667" s="3">
        <v>0</v>
      </c>
      <c r="AD667" s="3">
        <v>25.68</v>
      </c>
      <c r="AE667" s="3">
        <v>126</v>
      </c>
      <c r="AF667" s="3">
        <v>0</v>
      </c>
      <c r="AG667" s="3">
        <v>182.856359</v>
      </c>
      <c r="AH667" s="3">
        <v>0.25</v>
      </c>
      <c r="AI667" s="3" t="s">
        <v>2094</v>
      </c>
      <c r="AJ667" s="3" t="s">
        <v>1715</v>
      </c>
    </row>
    <row r="668" spans="1:36">
      <c r="A668" s="4">
        <v>43277</v>
      </c>
      <c r="B668" s="3" t="s">
        <v>3835</v>
      </c>
      <c r="C668" s="3" t="s">
        <v>3836</v>
      </c>
      <c r="D668" s="3" t="s">
        <v>3837</v>
      </c>
      <c r="E668" s="3" t="s">
        <v>3838</v>
      </c>
      <c r="F668" s="3" t="s">
        <v>1710</v>
      </c>
      <c r="G668" s="3">
        <v>3</v>
      </c>
      <c r="H668" s="3">
        <v>0</v>
      </c>
      <c r="I668" s="3">
        <v>0</v>
      </c>
      <c r="J668" s="3">
        <v>0</v>
      </c>
      <c r="K668" s="3">
        <v>3</v>
      </c>
      <c r="L668" s="3">
        <v>0</v>
      </c>
      <c r="M668" s="3">
        <v>0</v>
      </c>
      <c r="N668" s="3" t="s">
        <v>1711</v>
      </c>
      <c r="O668" s="3">
        <v>3</v>
      </c>
      <c r="P668" s="3">
        <v>14.64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s="3">
        <v>0</v>
      </c>
      <c r="W668" s="3" t="s">
        <v>1712</v>
      </c>
      <c r="X668" s="3">
        <v>29.99</v>
      </c>
      <c r="Y668" s="3">
        <v>29.99</v>
      </c>
      <c r="Z668" s="3">
        <v>28.99</v>
      </c>
      <c r="AA668" s="3">
        <v>0</v>
      </c>
      <c r="AB668" s="3" t="s">
        <v>1732</v>
      </c>
      <c r="AC668" s="3">
        <v>0</v>
      </c>
      <c r="AD668" s="3">
        <v>25.5</v>
      </c>
      <c r="AE668" s="3">
        <v>147</v>
      </c>
      <c r="AF668" s="3">
        <v>0</v>
      </c>
      <c r="AG668" s="3">
        <v>188.107873</v>
      </c>
      <c r="AH668" s="3">
        <v>0</v>
      </c>
      <c r="AI668" s="3" t="s">
        <v>2094</v>
      </c>
      <c r="AJ668" s="3" t="s">
        <v>1715</v>
      </c>
    </row>
    <row r="669" spans="1:36">
      <c r="A669" s="4">
        <v>43277</v>
      </c>
      <c r="B669" s="3" t="s">
        <v>3839</v>
      </c>
      <c r="C669" s="3" t="s">
        <v>3840</v>
      </c>
      <c r="D669" s="3" t="s">
        <v>3841</v>
      </c>
      <c r="E669" s="3" t="s">
        <v>3842</v>
      </c>
      <c r="F669" s="3" t="s">
        <v>1710</v>
      </c>
      <c r="G669" s="3">
        <v>14</v>
      </c>
      <c r="H669" s="3">
        <v>0</v>
      </c>
      <c r="I669" s="3">
        <v>0</v>
      </c>
      <c r="J669" s="3">
        <v>0</v>
      </c>
      <c r="K669" s="3">
        <v>14</v>
      </c>
      <c r="L669" s="3">
        <v>0</v>
      </c>
      <c r="M669" s="3">
        <v>0</v>
      </c>
      <c r="N669" s="3" t="s">
        <v>1711</v>
      </c>
      <c r="O669" s="3">
        <v>14</v>
      </c>
      <c r="P669" s="3">
        <v>19.16</v>
      </c>
      <c r="Q669" s="3">
        <v>0</v>
      </c>
      <c r="R669" s="3">
        <v>0</v>
      </c>
      <c r="S669" s="3">
        <v>0</v>
      </c>
      <c r="T669" s="3">
        <v>0</v>
      </c>
      <c r="U669" s="3">
        <v>0</v>
      </c>
      <c r="V669" s="3">
        <v>0</v>
      </c>
      <c r="W669" s="3" t="s">
        <v>1720</v>
      </c>
      <c r="X669" s="3">
        <v>39.99</v>
      </c>
      <c r="Y669" s="3">
        <v>16.99</v>
      </c>
      <c r="Z669" s="3">
        <v>16.99</v>
      </c>
      <c r="AA669" s="3">
        <v>0</v>
      </c>
      <c r="AB669" s="3" t="s">
        <v>1732</v>
      </c>
      <c r="AC669" s="3">
        <v>0</v>
      </c>
      <c r="AD669" s="3">
        <v>13.63</v>
      </c>
      <c r="AE669" s="3">
        <v>294</v>
      </c>
      <c r="AF669" s="3">
        <v>0</v>
      </c>
      <c r="AG669" s="3">
        <v>288.305492</v>
      </c>
      <c r="AH669" s="3">
        <v>0</v>
      </c>
      <c r="AI669" s="3" t="s">
        <v>1851</v>
      </c>
      <c r="AJ669" s="3" t="s">
        <v>1715</v>
      </c>
    </row>
    <row r="670" spans="1:36">
      <c r="A670" s="4">
        <v>43277</v>
      </c>
      <c r="B670" s="3" t="s">
        <v>1264</v>
      </c>
      <c r="C670" s="3" t="s">
        <v>1265</v>
      </c>
      <c r="D670" s="3" t="s">
        <v>1266</v>
      </c>
      <c r="E670" s="3" t="s">
        <v>1267</v>
      </c>
      <c r="F670" s="3" t="s">
        <v>1710</v>
      </c>
      <c r="G670" s="3">
        <v>13</v>
      </c>
      <c r="H670" s="3">
        <v>0</v>
      </c>
      <c r="I670" s="3">
        <v>13</v>
      </c>
      <c r="J670" s="3">
        <v>0</v>
      </c>
      <c r="K670" s="3">
        <v>0</v>
      </c>
      <c r="L670" s="3">
        <v>0</v>
      </c>
      <c r="M670" s="3">
        <v>0</v>
      </c>
      <c r="N670" s="3" t="s">
        <v>1711</v>
      </c>
      <c r="O670" s="3">
        <v>0</v>
      </c>
      <c r="P670" s="3">
        <v>0</v>
      </c>
      <c r="Q670" s="3">
        <v>0</v>
      </c>
      <c r="R670" s="3">
        <v>0</v>
      </c>
      <c r="S670" s="3">
        <v>19</v>
      </c>
      <c r="T670" s="3">
        <v>44</v>
      </c>
      <c r="U670" s="3">
        <v>59</v>
      </c>
      <c r="V670" s="3">
        <v>59</v>
      </c>
      <c r="W670" s="3"/>
      <c r="X670" s="3">
        <v>25.99</v>
      </c>
      <c r="Y670" s="3">
        <v>25.99</v>
      </c>
      <c r="Z670" s="3">
        <v>25.99</v>
      </c>
      <c r="AA670" s="3">
        <v>0</v>
      </c>
      <c r="AB670" s="3" t="s">
        <v>1713</v>
      </c>
      <c r="AC670" s="3">
        <v>24</v>
      </c>
      <c r="AD670" s="3">
        <v>25.99</v>
      </c>
      <c r="AE670" s="3">
        <v>0</v>
      </c>
      <c r="AF670" s="3">
        <v>0</v>
      </c>
      <c r="AG670" s="3">
        <v>0</v>
      </c>
      <c r="AH670" s="3">
        <v>13.6153846153846</v>
      </c>
      <c r="AI670" s="3" t="s">
        <v>1777</v>
      </c>
      <c r="AJ670" s="3" t="s">
        <v>1715</v>
      </c>
    </row>
    <row r="671" spans="1:36">
      <c r="A671" s="4">
        <v>43277</v>
      </c>
      <c r="B671" s="3" t="s">
        <v>415</v>
      </c>
      <c r="C671" s="3" t="s">
        <v>416</v>
      </c>
      <c r="D671" s="3" t="s">
        <v>417</v>
      </c>
      <c r="E671" s="3" t="s">
        <v>418</v>
      </c>
      <c r="F671" s="3" t="s">
        <v>1710</v>
      </c>
      <c r="G671" s="3">
        <v>161</v>
      </c>
      <c r="H671" s="3">
        <v>0</v>
      </c>
      <c r="I671" s="3">
        <v>161</v>
      </c>
      <c r="J671" s="3">
        <v>0</v>
      </c>
      <c r="K671" s="3">
        <v>0</v>
      </c>
      <c r="L671" s="3">
        <v>0</v>
      </c>
      <c r="M671" s="3">
        <v>0</v>
      </c>
      <c r="N671" s="3" t="s">
        <v>1711</v>
      </c>
      <c r="O671" s="3">
        <v>0</v>
      </c>
      <c r="P671" s="3">
        <v>0</v>
      </c>
      <c r="Q671" s="3">
        <v>0</v>
      </c>
      <c r="R671" s="3">
        <v>0</v>
      </c>
      <c r="S671" s="3">
        <v>24</v>
      </c>
      <c r="T671" s="3">
        <v>81</v>
      </c>
      <c r="U671" s="3">
        <v>142</v>
      </c>
      <c r="V671" s="3">
        <v>232</v>
      </c>
      <c r="W671" s="3"/>
      <c r="X671" s="3">
        <v>48.58</v>
      </c>
      <c r="Y671" s="3">
        <v>28.99</v>
      </c>
      <c r="Z671" s="3">
        <v>28</v>
      </c>
      <c r="AA671" s="3">
        <v>0</v>
      </c>
      <c r="AB671" s="3" t="s">
        <v>1713</v>
      </c>
      <c r="AC671" s="3">
        <v>169</v>
      </c>
      <c r="AD671" s="3">
        <v>28.99</v>
      </c>
      <c r="AE671" s="3">
        <v>0</v>
      </c>
      <c r="AF671" s="3">
        <v>0</v>
      </c>
      <c r="AG671" s="3">
        <v>0</v>
      </c>
      <c r="AH671" s="3">
        <v>2.54945054945054</v>
      </c>
      <c r="AI671" s="3" t="s">
        <v>3843</v>
      </c>
      <c r="AJ671" s="3" t="s">
        <v>1715</v>
      </c>
    </row>
    <row r="672" spans="1:36">
      <c r="A672" s="4">
        <v>43277</v>
      </c>
      <c r="B672" s="3" t="s">
        <v>3844</v>
      </c>
      <c r="C672" s="3" t="s">
        <v>3845</v>
      </c>
      <c r="D672" s="3" t="s">
        <v>3846</v>
      </c>
      <c r="E672" s="3" t="s">
        <v>3847</v>
      </c>
      <c r="F672" s="3" t="s">
        <v>1710</v>
      </c>
      <c r="G672" s="3">
        <v>104</v>
      </c>
      <c r="H672" s="3">
        <v>0</v>
      </c>
      <c r="I672" s="3">
        <v>10</v>
      </c>
      <c r="J672" s="3">
        <v>22</v>
      </c>
      <c r="K672" s="3">
        <v>72</v>
      </c>
      <c r="L672" s="3">
        <v>0</v>
      </c>
      <c r="M672" s="3">
        <v>0</v>
      </c>
      <c r="N672" s="3" t="s">
        <v>1711</v>
      </c>
      <c r="O672" s="3">
        <v>85</v>
      </c>
      <c r="P672" s="3">
        <v>52.47</v>
      </c>
      <c r="Q672" s="3">
        <v>0</v>
      </c>
      <c r="R672" s="3">
        <v>0</v>
      </c>
      <c r="S672" s="3">
        <v>1</v>
      </c>
      <c r="T672" s="3">
        <v>2</v>
      </c>
      <c r="U672" s="3">
        <v>9</v>
      </c>
      <c r="V672" s="3">
        <v>39</v>
      </c>
      <c r="W672" s="3"/>
      <c r="X672" s="3">
        <v>16.99</v>
      </c>
      <c r="Y672" s="3">
        <v>16.99</v>
      </c>
      <c r="Z672" s="3">
        <v>16</v>
      </c>
      <c r="AA672" s="3">
        <v>0</v>
      </c>
      <c r="AB672" s="3" t="s">
        <v>1732</v>
      </c>
      <c r="AC672" s="3">
        <v>14</v>
      </c>
      <c r="AD672" s="3">
        <v>15.35</v>
      </c>
      <c r="AE672" s="3">
        <v>98</v>
      </c>
      <c r="AF672" s="3">
        <v>0</v>
      </c>
      <c r="AG672" s="3">
        <v>1610.731747</v>
      </c>
      <c r="AH672" s="3">
        <v>0.0649729279466888</v>
      </c>
      <c r="AI672" s="3" t="s">
        <v>3848</v>
      </c>
      <c r="AJ672" s="3" t="s">
        <v>1715</v>
      </c>
    </row>
    <row r="673" spans="1:36">
      <c r="A673" s="4">
        <v>43277</v>
      </c>
      <c r="B673" s="3" t="s">
        <v>3849</v>
      </c>
      <c r="C673" s="3" t="s">
        <v>3850</v>
      </c>
      <c r="D673" s="3" t="s">
        <v>3851</v>
      </c>
      <c r="E673" s="3" t="s">
        <v>3601</v>
      </c>
      <c r="F673" s="3" t="s">
        <v>1710</v>
      </c>
      <c r="G673" s="3">
        <v>2</v>
      </c>
      <c r="H673" s="3">
        <v>0</v>
      </c>
      <c r="I673" s="3">
        <v>0</v>
      </c>
      <c r="J673" s="3">
        <v>1</v>
      </c>
      <c r="K673" s="3">
        <v>1</v>
      </c>
      <c r="L673" s="3">
        <v>0</v>
      </c>
      <c r="M673" s="3">
        <v>0</v>
      </c>
      <c r="N673" s="3" t="s">
        <v>1711</v>
      </c>
      <c r="O673" s="3">
        <v>1</v>
      </c>
      <c r="P673" s="3">
        <v>1.4</v>
      </c>
      <c r="Q673" s="3">
        <v>0</v>
      </c>
      <c r="R673" s="3">
        <v>0</v>
      </c>
      <c r="S673" s="3">
        <v>0</v>
      </c>
      <c r="T673" s="3">
        <v>0</v>
      </c>
      <c r="U673" s="3">
        <v>0</v>
      </c>
      <c r="V673" s="3">
        <v>0</v>
      </c>
      <c r="W673" s="3" t="s">
        <v>1720</v>
      </c>
      <c r="X673" s="3">
        <v>30</v>
      </c>
      <c r="Y673" s="3">
        <v>16.99</v>
      </c>
      <c r="Z673" s="3">
        <v>16.99</v>
      </c>
      <c r="AA673" s="3">
        <v>0</v>
      </c>
      <c r="AB673" s="3" t="s">
        <v>1732</v>
      </c>
      <c r="AC673" s="3">
        <v>0</v>
      </c>
      <c r="AD673" s="3">
        <v>15.09</v>
      </c>
      <c r="AE673" s="3">
        <v>189</v>
      </c>
      <c r="AF673" s="3">
        <v>0</v>
      </c>
      <c r="AG673" s="3">
        <v>43.307765</v>
      </c>
      <c r="AH673" s="3">
        <v>0</v>
      </c>
      <c r="AI673" s="3" t="s">
        <v>3602</v>
      </c>
      <c r="AJ673" s="3" t="s">
        <v>1715</v>
      </c>
    </row>
    <row r="674" spans="1:36">
      <c r="A674" s="4">
        <v>43277</v>
      </c>
      <c r="B674" s="3" t="s">
        <v>3852</v>
      </c>
      <c r="C674" s="3" t="s">
        <v>3853</v>
      </c>
      <c r="D674" s="3" t="s">
        <v>3854</v>
      </c>
      <c r="E674" s="3" t="s">
        <v>1376</v>
      </c>
      <c r="F674" s="3" t="s">
        <v>1710</v>
      </c>
      <c r="G674" s="3">
        <v>1</v>
      </c>
      <c r="H674" s="3">
        <v>0</v>
      </c>
      <c r="I674" s="3">
        <v>1</v>
      </c>
      <c r="J674" s="3">
        <v>0</v>
      </c>
      <c r="K674" s="3">
        <v>0</v>
      </c>
      <c r="L674" s="3">
        <v>0</v>
      </c>
      <c r="M674" s="3">
        <v>0</v>
      </c>
      <c r="N674" s="3" t="s">
        <v>1711</v>
      </c>
      <c r="O674" s="3">
        <v>0</v>
      </c>
      <c r="P674" s="3">
        <v>0</v>
      </c>
      <c r="Q674" s="3">
        <v>0</v>
      </c>
      <c r="R674" s="3">
        <v>0</v>
      </c>
      <c r="S674" s="3">
        <v>0</v>
      </c>
      <c r="T674" s="3">
        <v>1</v>
      </c>
      <c r="U674" s="3">
        <v>3</v>
      </c>
      <c r="V674" s="3">
        <v>3</v>
      </c>
      <c r="W674" s="3"/>
      <c r="X674" s="3">
        <v>18.99</v>
      </c>
      <c r="Y674" s="3">
        <v>18.99</v>
      </c>
      <c r="Z674" s="3">
        <v>18.99</v>
      </c>
      <c r="AA674" s="3">
        <v>0</v>
      </c>
      <c r="AB674" s="3" t="s">
        <v>1713</v>
      </c>
      <c r="AC674" s="3">
        <v>0</v>
      </c>
      <c r="AD674" s="3">
        <v>0</v>
      </c>
      <c r="AE674" s="3">
        <v>0</v>
      </c>
      <c r="AF674" s="3">
        <v>0</v>
      </c>
      <c r="AG674" s="3">
        <v>0</v>
      </c>
      <c r="AH674" s="3">
        <v>1.5</v>
      </c>
      <c r="AI674" s="3" t="s">
        <v>3855</v>
      </c>
      <c r="AJ674" s="3" t="s">
        <v>1715</v>
      </c>
    </row>
    <row r="675" spans="1:36">
      <c r="A675" s="4">
        <v>43277</v>
      </c>
      <c r="B675" s="3" t="s">
        <v>3856</v>
      </c>
      <c r="C675" s="3" t="s">
        <v>3857</v>
      </c>
      <c r="D675" s="3" t="s">
        <v>3858</v>
      </c>
      <c r="E675" s="3" t="s">
        <v>3859</v>
      </c>
      <c r="F675" s="3" t="s">
        <v>1710</v>
      </c>
      <c r="G675" s="3">
        <v>22</v>
      </c>
      <c r="H675" s="3">
        <v>0</v>
      </c>
      <c r="I675" s="3">
        <v>22</v>
      </c>
      <c r="J675" s="3">
        <v>0</v>
      </c>
      <c r="K675" s="3">
        <v>0</v>
      </c>
      <c r="L675" s="3">
        <v>0</v>
      </c>
      <c r="M675" s="3">
        <v>0</v>
      </c>
      <c r="N675" s="3" t="s">
        <v>1711</v>
      </c>
      <c r="O675" s="3">
        <v>0</v>
      </c>
      <c r="P675" s="3">
        <v>0</v>
      </c>
      <c r="Q675" s="3">
        <v>0</v>
      </c>
      <c r="R675" s="3">
        <v>0</v>
      </c>
      <c r="S675" s="3">
        <v>1</v>
      </c>
      <c r="T675" s="3">
        <v>18</v>
      </c>
      <c r="U675" s="3">
        <v>19</v>
      </c>
      <c r="V675" s="3">
        <v>19</v>
      </c>
      <c r="W675" s="3"/>
      <c r="X675" s="3">
        <v>29.99</v>
      </c>
      <c r="Y675" s="3">
        <v>29.99</v>
      </c>
      <c r="Z675" s="3">
        <v>29.99</v>
      </c>
      <c r="AA675" s="3">
        <v>0</v>
      </c>
      <c r="AB675" s="3" t="s">
        <v>1713</v>
      </c>
      <c r="AC675" s="3">
        <v>1</v>
      </c>
      <c r="AD675" s="3">
        <v>29.99</v>
      </c>
      <c r="AE675" s="3">
        <v>0</v>
      </c>
      <c r="AF675" s="3">
        <v>0</v>
      </c>
      <c r="AG675" s="3">
        <v>0</v>
      </c>
      <c r="AH675" s="3">
        <v>1.05555555555555</v>
      </c>
      <c r="AI675" s="3" t="s">
        <v>2016</v>
      </c>
      <c r="AJ675" s="3" t="s">
        <v>1715</v>
      </c>
    </row>
    <row r="676" spans="1:36">
      <c r="A676" s="4">
        <v>43277</v>
      </c>
      <c r="B676" s="3" t="s">
        <v>3860</v>
      </c>
      <c r="C676" s="3" t="s">
        <v>3861</v>
      </c>
      <c r="D676" s="3" t="s">
        <v>3862</v>
      </c>
      <c r="E676" s="3" t="s">
        <v>3863</v>
      </c>
      <c r="F676" s="3" t="s">
        <v>1710</v>
      </c>
      <c r="G676" s="3">
        <v>14</v>
      </c>
      <c r="H676" s="3">
        <v>0</v>
      </c>
      <c r="I676" s="3">
        <v>14</v>
      </c>
      <c r="J676" s="3">
        <v>0</v>
      </c>
      <c r="K676" s="3">
        <v>0</v>
      </c>
      <c r="L676" s="3">
        <v>0</v>
      </c>
      <c r="M676" s="3">
        <v>0</v>
      </c>
      <c r="N676" s="3" t="s">
        <v>1711</v>
      </c>
      <c r="O676" s="3">
        <v>0</v>
      </c>
      <c r="P676" s="3">
        <v>0</v>
      </c>
      <c r="Q676" s="3">
        <v>0</v>
      </c>
      <c r="R676" s="3">
        <v>0</v>
      </c>
      <c r="S676" s="3">
        <v>2</v>
      </c>
      <c r="T676" s="3">
        <v>10</v>
      </c>
      <c r="U676" s="3">
        <v>30</v>
      </c>
      <c r="V676" s="3">
        <v>35</v>
      </c>
      <c r="W676" s="3"/>
      <c r="X676" s="3">
        <v>15.99</v>
      </c>
      <c r="Y676" s="3">
        <v>15.99</v>
      </c>
      <c r="Z676" s="3">
        <v>15.99</v>
      </c>
      <c r="AA676" s="3">
        <v>0</v>
      </c>
      <c r="AB676" s="3" t="s">
        <v>1713</v>
      </c>
      <c r="AC676" s="3">
        <v>12</v>
      </c>
      <c r="AD676" s="3">
        <v>15.99</v>
      </c>
      <c r="AE676" s="3">
        <v>0</v>
      </c>
      <c r="AF676" s="3">
        <v>0</v>
      </c>
      <c r="AG676" s="3">
        <v>0</v>
      </c>
      <c r="AH676" s="3">
        <v>3.18181818181818</v>
      </c>
      <c r="AI676" s="3" t="s">
        <v>3864</v>
      </c>
      <c r="AJ676" s="3" t="s">
        <v>1715</v>
      </c>
    </row>
    <row r="677" spans="1:36">
      <c r="A677" s="4">
        <v>43277</v>
      </c>
      <c r="B677" s="3" t="s">
        <v>1643</v>
      </c>
      <c r="C677" s="3" t="s">
        <v>1644</v>
      </c>
      <c r="D677" s="3" t="s">
        <v>1645</v>
      </c>
      <c r="E677" s="3" t="s">
        <v>1646</v>
      </c>
      <c r="F677" s="3" t="s">
        <v>1710</v>
      </c>
      <c r="G677" s="3">
        <v>43</v>
      </c>
      <c r="H677" s="3">
        <v>0</v>
      </c>
      <c r="I677" s="3">
        <v>43</v>
      </c>
      <c r="J677" s="3">
        <v>0</v>
      </c>
      <c r="K677" s="3">
        <v>0</v>
      </c>
      <c r="L677" s="3">
        <v>0</v>
      </c>
      <c r="M677" s="3">
        <v>0</v>
      </c>
      <c r="N677" s="3" t="s">
        <v>1711</v>
      </c>
      <c r="O677" s="3">
        <v>0</v>
      </c>
      <c r="P677" s="3">
        <v>0</v>
      </c>
      <c r="Q677" s="3">
        <v>0</v>
      </c>
      <c r="R677" s="3">
        <v>0</v>
      </c>
      <c r="S677" s="3">
        <v>9</v>
      </c>
      <c r="T677" s="3">
        <v>59</v>
      </c>
      <c r="U677" s="3">
        <v>123</v>
      </c>
      <c r="V677" s="3">
        <v>155</v>
      </c>
      <c r="W677" s="3"/>
      <c r="X677" s="3">
        <v>40</v>
      </c>
      <c r="Y677" s="3">
        <v>29.99</v>
      </c>
      <c r="Z677" s="3">
        <v>28</v>
      </c>
      <c r="AA677" s="3">
        <v>0</v>
      </c>
      <c r="AB677" s="3" t="s">
        <v>1713</v>
      </c>
      <c r="AC677" s="3">
        <v>35</v>
      </c>
      <c r="AD677" s="3">
        <v>29.99</v>
      </c>
      <c r="AE677" s="3">
        <v>0</v>
      </c>
      <c r="AF677" s="3">
        <v>0</v>
      </c>
      <c r="AG677" s="3">
        <v>0</v>
      </c>
      <c r="AH677" s="3">
        <v>6.52631578947368</v>
      </c>
      <c r="AI677" s="3" t="s">
        <v>3865</v>
      </c>
      <c r="AJ677" s="3" t="s">
        <v>1715</v>
      </c>
    </row>
    <row r="678" spans="1:36">
      <c r="A678" s="4">
        <v>43277</v>
      </c>
      <c r="B678" s="3" t="s">
        <v>3866</v>
      </c>
      <c r="C678" s="3" t="s">
        <v>3867</v>
      </c>
      <c r="D678" s="3" t="s">
        <v>3868</v>
      </c>
      <c r="E678" s="3" t="s">
        <v>3869</v>
      </c>
      <c r="F678" s="3" t="s">
        <v>1710</v>
      </c>
      <c r="G678" s="3">
        <v>1</v>
      </c>
      <c r="H678" s="3">
        <v>0</v>
      </c>
      <c r="I678" s="3">
        <v>0</v>
      </c>
      <c r="J678" s="3">
        <v>0</v>
      </c>
      <c r="K678" s="3">
        <v>0</v>
      </c>
      <c r="L678" s="3">
        <v>1</v>
      </c>
      <c r="M678" s="3">
        <v>0</v>
      </c>
      <c r="N678" s="3" t="s">
        <v>1711</v>
      </c>
      <c r="O678" s="3">
        <v>1</v>
      </c>
      <c r="P678" s="3">
        <v>0.7</v>
      </c>
      <c r="Q678" s="3">
        <v>0</v>
      </c>
      <c r="R678" s="3">
        <v>0</v>
      </c>
      <c r="S678" s="3">
        <v>0</v>
      </c>
      <c r="T678" s="3">
        <v>0</v>
      </c>
      <c r="U678" s="3">
        <v>0</v>
      </c>
      <c r="V678" s="3">
        <v>0</v>
      </c>
      <c r="W678" s="3" t="s">
        <v>1720</v>
      </c>
      <c r="X678" s="3">
        <v>15.99</v>
      </c>
      <c r="Y678" s="3">
        <v>15.99</v>
      </c>
      <c r="Z678" s="3">
        <v>15.99</v>
      </c>
      <c r="AA678" s="3">
        <v>0</v>
      </c>
      <c r="AB678" s="3" t="s">
        <v>1721</v>
      </c>
      <c r="AC678" s="3">
        <v>0</v>
      </c>
      <c r="AD678" s="3">
        <v>14.7</v>
      </c>
      <c r="AE678" s="3">
        <v>49</v>
      </c>
      <c r="AF678" s="3">
        <v>0</v>
      </c>
      <c r="AG678" s="3">
        <v>15.395121</v>
      </c>
      <c r="AH678" s="3">
        <v>0</v>
      </c>
      <c r="AI678" s="3" t="s">
        <v>3870</v>
      </c>
      <c r="AJ678" s="3" t="s">
        <v>1715</v>
      </c>
    </row>
    <row r="679" spans="1:36">
      <c r="A679" s="4">
        <v>43277</v>
      </c>
      <c r="B679" s="3" t="s">
        <v>3871</v>
      </c>
      <c r="C679" s="3" t="s">
        <v>3872</v>
      </c>
      <c r="D679" s="3" t="s">
        <v>3873</v>
      </c>
      <c r="E679" s="3" t="s">
        <v>3874</v>
      </c>
      <c r="F679" s="3" t="s">
        <v>1710</v>
      </c>
      <c r="G679" s="3">
        <v>12</v>
      </c>
      <c r="H679" s="3">
        <v>0</v>
      </c>
      <c r="I679" s="3">
        <v>0</v>
      </c>
      <c r="J679" s="3">
        <v>0</v>
      </c>
      <c r="K679" s="3">
        <v>12</v>
      </c>
      <c r="L679" s="3">
        <v>0</v>
      </c>
      <c r="M679" s="3">
        <v>0</v>
      </c>
      <c r="N679" s="3" t="s">
        <v>1711</v>
      </c>
      <c r="O679" s="3">
        <v>12</v>
      </c>
      <c r="P679" s="3">
        <v>16.42</v>
      </c>
      <c r="Q679" s="3">
        <v>0</v>
      </c>
      <c r="R679" s="3">
        <v>0</v>
      </c>
      <c r="S679" s="3">
        <v>0</v>
      </c>
      <c r="T679" s="3">
        <v>0</v>
      </c>
      <c r="U679" s="3">
        <v>0</v>
      </c>
      <c r="V679" s="3">
        <v>0</v>
      </c>
      <c r="W679" s="3" t="s">
        <v>1720</v>
      </c>
      <c r="X679" s="3">
        <v>16.99</v>
      </c>
      <c r="Y679" s="3">
        <v>16.99</v>
      </c>
      <c r="Z679" s="3">
        <v>16.99</v>
      </c>
      <c r="AA679" s="3">
        <v>0</v>
      </c>
      <c r="AB679" s="3" t="s">
        <v>1721</v>
      </c>
      <c r="AC679" s="3">
        <v>0</v>
      </c>
      <c r="AD679" s="3">
        <v>12.53</v>
      </c>
      <c r="AE679" s="3">
        <v>364</v>
      </c>
      <c r="AF679" s="3">
        <v>0</v>
      </c>
      <c r="AG679" s="3">
        <v>224.134974</v>
      </c>
      <c r="AH679" s="3">
        <v>0</v>
      </c>
      <c r="AI679" s="3" t="s">
        <v>1851</v>
      </c>
      <c r="AJ679" s="3" t="s">
        <v>1715</v>
      </c>
    </row>
    <row r="680" spans="1:36">
      <c r="A680" s="4">
        <v>43277</v>
      </c>
      <c r="B680" s="3" t="s">
        <v>3875</v>
      </c>
      <c r="C680" s="3" t="s">
        <v>3876</v>
      </c>
      <c r="D680" s="3" t="s">
        <v>3877</v>
      </c>
      <c r="E680" s="3" t="s">
        <v>1426</v>
      </c>
      <c r="F680" s="3" t="s">
        <v>1710</v>
      </c>
      <c r="G680" s="3">
        <v>9</v>
      </c>
      <c r="H680" s="3">
        <v>0</v>
      </c>
      <c r="I680" s="3">
        <v>9</v>
      </c>
      <c r="J680" s="3">
        <v>0</v>
      </c>
      <c r="K680" s="3">
        <v>0</v>
      </c>
      <c r="L680" s="3">
        <v>0</v>
      </c>
      <c r="M680" s="3">
        <v>0</v>
      </c>
      <c r="N680" s="3" t="s">
        <v>1711</v>
      </c>
      <c r="O680" s="3">
        <v>0</v>
      </c>
      <c r="P680" s="3">
        <v>0</v>
      </c>
      <c r="Q680" s="3">
        <v>0</v>
      </c>
      <c r="R680" s="3">
        <v>0</v>
      </c>
      <c r="S680" s="3">
        <v>0</v>
      </c>
      <c r="T680" s="3">
        <v>1</v>
      </c>
      <c r="U680" s="3">
        <v>1</v>
      </c>
      <c r="V680" s="3">
        <v>1</v>
      </c>
      <c r="W680" s="3"/>
      <c r="X680" s="3">
        <v>18.99</v>
      </c>
      <c r="Y680" s="3">
        <v>18.99</v>
      </c>
      <c r="Z680" s="3">
        <v>18.99</v>
      </c>
      <c r="AA680" s="3">
        <v>0</v>
      </c>
      <c r="AB680" s="3" t="s">
        <v>1713</v>
      </c>
      <c r="AC680" s="3">
        <v>9</v>
      </c>
      <c r="AD680" s="3">
        <v>18.99</v>
      </c>
      <c r="AE680" s="3">
        <v>0</v>
      </c>
      <c r="AF680" s="3">
        <v>0</v>
      </c>
      <c r="AG680" s="3">
        <v>0</v>
      </c>
      <c r="AH680" s="3">
        <v>0.222222222222222</v>
      </c>
      <c r="AI680" s="3" t="s">
        <v>2295</v>
      </c>
      <c r="AJ680" s="3" t="s">
        <v>1715</v>
      </c>
    </row>
    <row r="681" spans="1:36">
      <c r="A681" s="4">
        <v>43277</v>
      </c>
      <c r="B681" s="3" t="s">
        <v>3878</v>
      </c>
      <c r="C681" s="3" t="s">
        <v>3879</v>
      </c>
      <c r="D681" s="3" t="s">
        <v>3880</v>
      </c>
      <c r="E681" s="3" t="s">
        <v>3881</v>
      </c>
      <c r="F681" s="3" t="s">
        <v>1710</v>
      </c>
      <c r="G681" s="3">
        <v>1</v>
      </c>
      <c r="H681" s="3">
        <v>0</v>
      </c>
      <c r="I681" s="3">
        <v>0</v>
      </c>
      <c r="J681" s="3">
        <v>1</v>
      </c>
      <c r="K681" s="3">
        <v>0</v>
      </c>
      <c r="L681" s="3">
        <v>0</v>
      </c>
      <c r="M681" s="3">
        <v>0</v>
      </c>
      <c r="N681" s="3" t="s">
        <v>1711</v>
      </c>
      <c r="O681" s="3">
        <v>1</v>
      </c>
      <c r="P681" s="3">
        <v>1.4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0</v>
      </c>
      <c r="W681" s="3" t="s">
        <v>1720</v>
      </c>
      <c r="X681" s="3">
        <v>16.99</v>
      </c>
      <c r="Y681" s="3">
        <v>16.99</v>
      </c>
      <c r="Z681" s="3">
        <v>16.99</v>
      </c>
      <c r="AA681" s="3">
        <v>0</v>
      </c>
      <c r="AB681" s="3" t="s">
        <v>1721</v>
      </c>
      <c r="AC681" s="3">
        <v>0</v>
      </c>
      <c r="AD681" s="3">
        <v>15.4</v>
      </c>
      <c r="AE681" s="3">
        <v>119</v>
      </c>
      <c r="AF681" s="3">
        <v>0</v>
      </c>
      <c r="AG681" s="3">
        <v>22.615448</v>
      </c>
      <c r="AH681" s="3">
        <v>0</v>
      </c>
      <c r="AI681" s="3" t="s">
        <v>3602</v>
      </c>
      <c r="AJ681" s="3" t="s">
        <v>1715</v>
      </c>
    </row>
    <row r="682" spans="1:36">
      <c r="A682" s="4">
        <v>43277</v>
      </c>
      <c r="B682" s="3" t="s">
        <v>3882</v>
      </c>
      <c r="C682" s="3" t="s">
        <v>3883</v>
      </c>
      <c r="D682" s="3" t="s">
        <v>3884</v>
      </c>
      <c r="E682" s="3" t="s">
        <v>654</v>
      </c>
      <c r="F682" s="3" t="s">
        <v>1710</v>
      </c>
      <c r="G682" s="3">
        <v>2</v>
      </c>
      <c r="H682" s="3">
        <v>0</v>
      </c>
      <c r="I682" s="3">
        <v>0</v>
      </c>
      <c r="J682" s="3">
        <v>1</v>
      </c>
      <c r="K682" s="3">
        <v>0</v>
      </c>
      <c r="L682" s="3">
        <v>1</v>
      </c>
      <c r="M682" s="3">
        <v>0</v>
      </c>
      <c r="N682" s="3" t="s">
        <v>1711</v>
      </c>
      <c r="O682" s="3">
        <v>1</v>
      </c>
      <c r="P682" s="3">
        <v>1.7</v>
      </c>
      <c r="Q682" s="3">
        <v>1</v>
      </c>
      <c r="R682" s="3">
        <v>3.41</v>
      </c>
      <c r="S682" s="3">
        <v>0</v>
      </c>
      <c r="T682" s="3">
        <v>1</v>
      </c>
      <c r="U682" s="3">
        <v>1</v>
      </c>
      <c r="V682" s="3">
        <v>2</v>
      </c>
      <c r="W682" s="3" t="s">
        <v>1720</v>
      </c>
      <c r="X682" s="3">
        <v>18.99</v>
      </c>
      <c r="Y682" s="3">
        <v>18.99</v>
      </c>
      <c r="Z682" s="3">
        <v>18.99</v>
      </c>
      <c r="AA682" s="3">
        <v>0</v>
      </c>
      <c r="AB682" s="3" t="s">
        <v>1721</v>
      </c>
      <c r="AC682" s="3">
        <v>0</v>
      </c>
      <c r="AD682" s="3">
        <v>17.91</v>
      </c>
      <c r="AE682" s="3">
        <v>14</v>
      </c>
      <c r="AF682" s="3">
        <v>0</v>
      </c>
      <c r="AG682" s="3">
        <v>58.73128</v>
      </c>
      <c r="AH682" s="3">
        <v>0.5</v>
      </c>
      <c r="AI682" s="3" t="s">
        <v>2666</v>
      </c>
      <c r="AJ682" s="3" t="s">
        <v>1715</v>
      </c>
    </row>
    <row r="683" spans="1:36">
      <c r="A683" s="4">
        <v>43277</v>
      </c>
      <c r="B683" s="3" t="s">
        <v>3885</v>
      </c>
      <c r="C683" s="3" t="s">
        <v>3886</v>
      </c>
      <c r="D683" s="3" t="s">
        <v>3887</v>
      </c>
      <c r="E683" s="3" t="s">
        <v>3888</v>
      </c>
      <c r="F683" s="3" t="s">
        <v>1710</v>
      </c>
      <c r="G683" s="3">
        <v>18</v>
      </c>
      <c r="H683" s="3">
        <v>0</v>
      </c>
      <c r="I683" s="3">
        <v>1</v>
      </c>
      <c r="J683" s="3">
        <v>3</v>
      </c>
      <c r="K683" s="3">
        <v>14</v>
      </c>
      <c r="L683" s="3">
        <v>0</v>
      </c>
      <c r="M683" s="3">
        <v>0</v>
      </c>
      <c r="N683" s="3" t="s">
        <v>1711</v>
      </c>
      <c r="O683" s="3">
        <v>16</v>
      </c>
      <c r="P683" s="3">
        <v>35.81</v>
      </c>
      <c r="Q683" s="3">
        <v>0</v>
      </c>
      <c r="R683" s="3">
        <v>0</v>
      </c>
      <c r="S683" s="3">
        <v>0</v>
      </c>
      <c r="T683" s="3">
        <v>4</v>
      </c>
      <c r="U683" s="3">
        <v>14</v>
      </c>
      <c r="V683" s="3">
        <v>20</v>
      </c>
      <c r="W683" s="3"/>
      <c r="X683" s="3">
        <v>16.99</v>
      </c>
      <c r="Y683" s="3">
        <v>16.99</v>
      </c>
      <c r="Z683" s="3">
        <v>16.99</v>
      </c>
      <c r="AA683" s="3">
        <v>0</v>
      </c>
      <c r="AB683" s="3" t="s">
        <v>1713</v>
      </c>
      <c r="AC683" s="3">
        <v>18</v>
      </c>
      <c r="AD683" s="3">
        <v>16.99</v>
      </c>
      <c r="AE683" s="3">
        <v>0</v>
      </c>
      <c r="AF683" s="3">
        <v>0</v>
      </c>
      <c r="AG683" s="3">
        <v>0</v>
      </c>
      <c r="AH683" s="3">
        <v>0.533333333333333</v>
      </c>
      <c r="AI683" s="3" t="s">
        <v>2360</v>
      </c>
      <c r="AJ683" s="3" t="s">
        <v>1715</v>
      </c>
    </row>
    <row r="684" spans="1:36">
      <c r="A684" s="4">
        <v>43277</v>
      </c>
      <c r="B684" s="3" t="s">
        <v>1473</v>
      </c>
      <c r="C684" s="3" t="s">
        <v>1474</v>
      </c>
      <c r="D684" s="3" t="s">
        <v>1475</v>
      </c>
      <c r="E684" s="3" t="s">
        <v>1476</v>
      </c>
      <c r="F684" s="3" t="s">
        <v>1710</v>
      </c>
      <c r="G684" s="3">
        <v>1</v>
      </c>
      <c r="H684" s="3">
        <v>0</v>
      </c>
      <c r="I684" s="3">
        <v>1</v>
      </c>
      <c r="J684" s="3">
        <v>0</v>
      </c>
      <c r="K684" s="3">
        <v>0</v>
      </c>
      <c r="L684" s="3">
        <v>0</v>
      </c>
      <c r="M684" s="3">
        <v>0</v>
      </c>
      <c r="N684" s="3" t="s">
        <v>1711</v>
      </c>
      <c r="O684" s="3">
        <v>0</v>
      </c>
      <c r="P684" s="3">
        <v>0</v>
      </c>
      <c r="Q684" s="3">
        <v>0</v>
      </c>
      <c r="R684" s="3">
        <v>0</v>
      </c>
      <c r="S684" s="3">
        <v>2</v>
      </c>
      <c r="T684" s="3">
        <v>48</v>
      </c>
      <c r="U684" s="3">
        <v>97</v>
      </c>
      <c r="V684" s="3">
        <v>148</v>
      </c>
      <c r="W684" s="3"/>
      <c r="X684" s="3"/>
      <c r="Y684" s="3"/>
      <c r="Z684" s="3">
        <v>-1</v>
      </c>
      <c r="AA684" s="3">
        <v>-1</v>
      </c>
      <c r="AB684" s="3" t="s">
        <v>1776</v>
      </c>
      <c r="AC684" s="3">
        <v>0</v>
      </c>
      <c r="AD684" s="3">
        <v>0</v>
      </c>
      <c r="AE684" s="3">
        <v>0</v>
      </c>
      <c r="AF684" s="3">
        <v>0</v>
      </c>
      <c r="AG684" s="3">
        <v>0</v>
      </c>
      <c r="AH684" s="3">
        <v>5.10344827586206</v>
      </c>
      <c r="AI684" s="3" t="s">
        <v>1857</v>
      </c>
      <c r="AJ684" s="3" t="s">
        <v>1715</v>
      </c>
    </row>
    <row r="685" spans="1:36">
      <c r="A685" s="4">
        <v>43277</v>
      </c>
      <c r="B685" s="3" t="s">
        <v>3889</v>
      </c>
      <c r="C685" s="3" t="s">
        <v>3890</v>
      </c>
      <c r="D685" s="3" t="s">
        <v>3891</v>
      </c>
      <c r="E685" s="3" t="s">
        <v>3892</v>
      </c>
      <c r="F685" s="3" t="s">
        <v>1710</v>
      </c>
      <c r="G685" s="3">
        <v>5</v>
      </c>
      <c r="H685" s="3">
        <v>0</v>
      </c>
      <c r="I685" s="3">
        <v>3</v>
      </c>
      <c r="J685" s="3">
        <v>2</v>
      </c>
      <c r="K685" s="3">
        <v>0</v>
      </c>
      <c r="L685" s="3">
        <v>0</v>
      </c>
      <c r="M685" s="3">
        <v>0</v>
      </c>
      <c r="N685" s="3" t="s">
        <v>1711</v>
      </c>
      <c r="O685" s="3">
        <v>0</v>
      </c>
      <c r="P685" s="3">
        <v>0</v>
      </c>
      <c r="Q685" s="3">
        <v>0</v>
      </c>
      <c r="R685" s="3">
        <v>0</v>
      </c>
      <c r="S685" s="3">
        <v>1</v>
      </c>
      <c r="T685" s="3">
        <v>4</v>
      </c>
      <c r="U685" s="3">
        <v>12</v>
      </c>
      <c r="V685" s="3">
        <v>24</v>
      </c>
      <c r="W685" s="3" t="s">
        <v>1712</v>
      </c>
      <c r="X685" s="3">
        <v>13.88</v>
      </c>
      <c r="Y685" s="3">
        <v>13.88</v>
      </c>
      <c r="Z685" s="3">
        <v>13.88</v>
      </c>
      <c r="AA685" s="3">
        <v>0</v>
      </c>
      <c r="AB685" s="3" t="s">
        <v>1713</v>
      </c>
      <c r="AC685" s="3">
        <v>6</v>
      </c>
      <c r="AD685" s="3">
        <v>13.88</v>
      </c>
      <c r="AE685" s="3">
        <v>0</v>
      </c>
      <c r="AF685" s="3">
        <v>0</v>
      </c>
      <c r="AG685" s="3">
        <v>0</v>
      </c>
      <c r="AH685" s="3">
        <v>1.74545454545454</v>
      </c>
      <c r="AI685" s="3" t="s">
        <v>3893</v>
      </c>
      <c r="AJ685" s="3" t="s">
        <v>1715</v>
      </c>
    </row>
    <row r="686" spans="1:36">
      <c r="A686" s="4">
        <v>43277</v>
      </c>
      <c r="B686" s="3" t="s">
        <v>3894</v>
      </c>
      <c r="C686" s="3" t="s">
        <v>3895</v>
      </c>
      <c r="D686" s="3" t="s">
        <v>3896</v>
      </c>
      <c r="E686" s="3" t="s">
        <v>3897</v>
      </c>
      <c r="F686" s="3" t="s">
        <v>1710</v>
      </c>
      <c r="G686" s="3">
        <v>6</v>
      </c>
      <c r="H686" s="3">
        <v>0</v>
      </c>
      <c r="I686" s="3">
        <v>0</v>
      </c>
      <c r="J686" s="3">
        <v>1</v>
      </c>
      <c r="K686" s="3">
        <v>0</v>
      </c>
      <c r="L686" s="3">
        <v>0</v>
      </c>
      <c r="M686" s="3">
        <v>5</v>
      </c>
      <c r="N686" s="3" t="s">
        <v>1711</v>
      </c>
      <c r="O686" s="3">
        <v>0</v>
      </c>
      <c r="P686" s="3">
        <v>0</v>
      </c>
      <c r="Q686" s="3">
        <v>5</v>
      </c>
      <c r="R686" s="3">
        <v>6</v>
      </c>
      <c r="S686" s="3">
        <v>0</v>
      </c>
      <c r="T686" s="3">
        <v>0</v>
      </c>
      <c r="U686" s="3">
        <v>0</v>
      </c>
      <c r="V686" s="3">
        <v>0</v>
      </c>
      <c r="W686" s="3" t="s">
        <v>1720</v>
      </c>
      <c r="X686" s="3">
        <v>12.99</v>
      </c>
      <c r="Y686" s="3">
        <v>12.99</v>
      </c>
      <c r="Z686" s="3">
        <v>12.99</v>
      </c>
      <c r="AA686" s="3">
        <v>0</v>
      </c>
      <c r="AB686" s="3" t="s">
        <v>1732</v>
      </c>
      <c r="AC686" s="3">
        <v>0</v>
      </c>
      <c r="AD686" s="3">
        <v>10.86</v>
      </c>
      <c r="AE686" s="3">
        <v>336</v>
      </c>
      <c r="AF686" s="3">
        <v>0</v>
      </c>
      <c r="AG686" s="3">
        <v>63.935282</v>
      </c>
      <c r="AH686" s="3">
        <v>0</v>
      </c>
      <c r="AI686" s="3" t="s">
        <v>3898</v>
      </c>
      <c r="AJ686" s="3" t="s">
        <v>1715</v>
      </c>
    </row>
    <row r="687" spans="1:36">
      <c r="A687" s="4">
        <v>43277</v>
      </c>
      <c r="B687" s="3" t="s">
        <v>3899</v>
      </c>
      <c r="C687" s="3" t="s">
        <v>3900</v>
      </c>
      <c r="D687" s="3" t="s">
        <v>3901</v>
      </c>
      <c r="E687" s="3" t="s">
        <v>1125</v>
      </c>
      <c r="F687" s="3" t="s">
        <v>1710</v>
      </c>
      <c r="G687" s="3">
        <v>10</v>
      </c>
      <c r="H687" s="3">
        <v>0</v>
      </c>
      <c r="I687" s="3">
        <v>10</v>
      </c>
      <c r="J687" s="3">
        <v>0</v>
      </c>
      <c r="K687" s="3">
        <v>0</v>
      </c>
      <c r="L687" s="3">
        <v>0</v>
      </c>
      <c r="M687" s="3">
        <v>0</v>
      </c>
      <c r="N687" s="3" t="s">
        <v>1711</v>
      </c>
      <c r="O687" s="3">
        <v>0</v>
      </c>
      <c r="P687" s="3">
        <v>0</v>
      </c>
      <c r="Q687" s="3">
        <v>0</v>
      </c>
      <c r="R687" s="3">
        <v>0</v>
      </c>
      <c r="S687" s="3">
        <v>0</v>
      </c>
      <c r="T687" s="3">
        <v>14</v>
      </c>
      <c r="U687" s="3">
        <v>34</v>
      </c>
      <c r="V687" s="3">
        <v>34</v>
      </c>
      <c r="W687" s="3"/>
      <c r="X687" s="3">
        <v>21.99</v>
      </c>
      <c r="Y687" s="3">
        <v>21.99</v>
      </c>
      <c r="Z687" s="3">
        <v>21.99</v>
      </c>
      <c r="AA687" s="3">
        <v>0</v>
      </c>
      <c r="AB687" s="3" t="s">
        <v>1713</v>
      </c>
      <c r="AC687" s="3">
        <v>10</v>
      </c>
      <c r="AD687" s="3">
        <v>21.99</v>
      </c>
      <c r="AE687" s="3">
        <v>0</v>
      </c>
      <c r="AF687" s="3">
        <v>0</v>
      </c>
      <c r="AG687" s="3">
        <v>0</v>
      </c>
      <c r="AH687" s="3">
        <v>8.5</v>
      </c>
      <c r="AI687" s="3" t="s">
        <v>1890</v>
      </c>
      <c r="AJ687" s="3" t="s">
        <v>1715</v>
      </c>
    </row>
    <row r="688" spans="1:36">
      <c r="A688" s="4">
        <v>43277</v>
      </c>
      <c r="B688" s="3" t="s">
        <v>3902</v>
      </c>
      <c r="C688" s="3" t="s">
        <v>3903</v>
      </c>
      <c r="D688" s="3" t="s">
        <v>3904</v>
      </c>
      <c r="E688" s="3" t="s">
        <v>3905</v>
      </c>
      <c r="F688" s="3" t="s">
        <v>1710</v>
      </c>
      <c r="G688" s="3">
        <v>15</v>
      </c>
      <c r="H688" s="3">
        <v>0</v>
      </c>
      <c r="I688" s="3">
        <v>15</v>
      </c>
      <c r="J688" s="3">
        <v>0</v>
      </c>
      <c r="K688" s="3">
        <v>0</v>
      </c>
      <c r="L688" s="3">
        <v>0</v>
      </c>
      <c r="M688" s="3">
        <v>0</v>
      </c>
      <c r="N688" s="3" t="s">
        <v>1711</v>
      </c>
      <c r="O688" s="3">
        <v>0</v>
      </c>
      <c r="P688" s="3">
        <v>0</v>
      </c>
      <c r="Q688" s="3">
        <v>0</v>
      </c>
      <c r="R688" s="3">
        <v>0</v>
      </c>
      <c r="S688" s="3">
        <v>2</v>
      </c>
      <c r="T688" s="3">
        <v>5</v>
      </c>
      <c r="U688" s="3">
        <v>8</v>
      </c>
      <c r="V688" s="3">
        <v>8</v>
      </c>
      <c r="W688" s="3"/>
      <c r="X688" s="3">
        <v>15.99</v>
      </c>
      <c r="Y688" s="3">
        <v>15.99</v>
      </c>
      <c r="Z688" s="3">
        <v>15.99</v>
      </c>
      <c r="AA688" s="3">
        <v>0</v>
      </c>
      <c r="AB688" s="3" t="s">
        <v>1713</v>
      </c>
      <c r="AC688" s="3">
        <v>16</v>
      </c>
      <c r="AD688" s="3">
        <v>15.99</v>
      </c>
      <c r="AE688" s="3">
        <v>0</v>
      </c>
      <c r="AF688" s="3">
        <v>0</v>
      </c>
      <c r="AG688" s="3">
        <v>0</v>
      </c>
      <c r="AH688" s="3">
        <v>0.444444444444444</v>
      </c>
      <c r="AI688" s="3" t="s">
        <v>1739</v>
      </c>
      <c r="AJ688" s="3" t="s">
        <v>1715</v>
      </c>
    </row>
    <row r="689" spans="1:36">
      <c r="A689" s="4">
        <v>43277</v>
      </c>
      <c r="B689" s="3" t="s">
        <v>3906</v>
      </c>
      <c r="C689" s="3" t="s">
        <v>3907</v>
      </c>
      <c r="D689" s="3" t="s">
        <v>3908</v>
      </c>
      <c r="E689" s="3" t="s">
        <v>3909</v>
      </c>
      <c r="F689" s="3" t="s">
        <v>1710</v>
      </c>
      <c r="G689" s="3">
        <v>3</v>
      </c>
      <c r="H689" s="3">
        <v>0</v>
      </c>
      <c r="I689" s="3">
        <v>0</v>
      </c>
      <c r="J689" s="3">
        <v>3</v>
      </c>
      <c r="K689" s="3">
        <v>0</v>
      </c>
      <c r="L689" s="3">
        <v>0</v>
      </c>
      <c r="M689" s="3">
        <v>0</v>
      </c>
      <c r="N689" s="3" t="s">
        <v>1711</v>
      </c>
      <c r="O689" s="3">
        <v>3</v>
      </c>
      <c r="P689" s="3">
        <v>9.24</v>
      </c>
      <c r="Q689" s="3">
        <v>0</v>
      </c>
      <c r="R689" s="3">
        <v>0</v>
      </c>
      <c r="S689" s="3">
        <v>0</v>
      </c>
      <c r="T689" s="3">
        <v>0</v>
      </c>
      <c r="U689" s="3">
        <v>0</v>
      </c>
      <c r="V689" s="3">
        <v>1</v>
      </c>
      <c r="W689" s="3" t="s">
        <v>1720</v>
      </c>
      <c r="X689" s="3">
        <v>21.99</v>
      </c>
      <c r="Y689" s="3">
        <v>21.99</v>
      </c>
      <c r="Z689" s="3">
        <v>21.99</v>
      </c>
      <c r="AA689" s="3">
        <v>0</v>
      </c>
      <c r="AB689" s="3" t="s">
        <v>1721</v>
      </c>
      <c r="AC689" s="3">
        <v>0</v>
      </c>
      <c r="AD689" s="3">
        <v>20.33</v>
      </c>
      <c r="AE689" s="3">
        <v>42</v>
      </c>
      <c r="AF689" s="3">
        <v>0</v>
      </c>
      <c r="AG689" s="3">
        <v>138.922959</v>
      </c>
      <c r="AH689" s="3">
        <v>0.307692307692307</v>
      </c>
      <c r="AI689" s="3" t="s">
        <v>1722</v>
      </c>
      <c r="AJ689" s="3" t="s">
        <v>1715</v>
      </c>
    </row>
    <row r="690" spans="1:36">
      <c r="A690" s="4">
        <v>43277</v>
      </c>
      <c r="B690" s="3" t="s">
        <v>3910</v>
      </c>
      <c r="C690" s="3" t="s">
        <v>3911</v>
      </c>
      <c r="D690" s="3" t="s">
        <v>3912</v>
      </c>
      <c r="E690" s="3" t="s">
        <v>3913</v>
      </c>
      <c r="F690" s="3" t="s">
        <v>1710</v>
      </c>
      <c r="G690" s="3">
        <v>5</v>
      </c>
      <c r="H690" s="3">
        <v>0</v>
      </c>
      <c r="I690" s="3">
        <v>5</v>
      </c>
      <c r="J690" s="3">
        <v>0</v>
      </c>
      <c r="K690" s="3">
        <v>0</v>
      </c>
      <c r="L690" s="3">
        <v>0</v>
      </c>
      <c r="M690" s="3">
        <v>0</v>
      </c>
      <c r="N690" s="3" t="s">
        <v>1711</v>
      </c>
      <c r="O690" s="3">
        <v>0</v>
      </c>
      <c r="P690" s="3">
        <v>0</v>
      </c>
      <c r="Q690" s="3">
        <v>0</v>
      </c>
      <c r="R690" s="3">
        <v>0</v>
      </c>
      <c r="S690" s="3">
        <v>2</v>
      </c>
      <c r="T690" s="3">
        <v>3</v>
      </c>
      <c r="U690" s="3">
        <v>5</v>
      </c>
      <c r="V690" s="3">
        <v>5</v>
      </c>
      <c r="W690" s="3"/>
      <c r="X690" s="3">
        <v>19.99</v>
      </c>
      <c r="Y690" s="3">
        <v>19.99</v>
      </c>
      <c r="Z690" s="3">
        <v>19.99</v>
      </c>
      <c r="AA690" s="3">
        <v>0</v>
      </c>
      <c r="AB690" s="3" t="s">
        <v>1713</v>
      </c>
      <c r="AC690" s="3">
        <v>7</v>
      </c>
      <c r="AD690" s="3">
        <v>19.99</v>
      </c>
      <c r="AE690" s="3">
        <v>0</v>
      </c>
      <c r="AF690" s="3">
        <v>0</v>
      </c>
      <c r="AG690" s="3">
        <v>0</v>
      </c>
      <c r="AH690" s="3">
        <v>1.07142857142857</v>
      </c>
      <c r="AI690" s="3" t="s">
        <v>1775</v>
      </c>
      <c r="AJ690" s="3" t="s">
        <v>1715</v>
      </c>
    </row>
    <row r="691" spans="1:36">
      <c r="A691" s="4">
        <v>43277</v>
      </c>
      <c r="B691" s="3" t="s">
        <v>3914</v>
      </c>
      <c r="C691" s="3" t="s">
        <v>3915</v>
      </c>
      <c r="D691" s="3" t="s">
        <v>3916</v>
      </c>
      <c r="E691" s="3" t="s">
        <v>3917</v>
      </c>
      <c r="F691" s="3" t="s">
        <v>1710</v>
      </c>
      <c r="G691" s="3">
        <v>1</v>
      </c>
      <c r="H691" s="3">
        <v>0</v>
      </c>
      <c r="I691" s="3">
        <v>1</v>
      </c>
      <c r="J691" s="3">
        <v>0</v>
      </c>
      <c r="K691" s="3">
        <v>0</v>
      </c>
      <c r="L691" s="3">
        <v>0</v>
      </c>
      <c r="M691" s="3">
        <v>0</v>
      </c>
      <c r="N691" s="3" t="s">
        <v>1711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1</v>
      </c>
      <c r="U691" s="3">
        <v>5</v>
      </c>
      <c r="V691" s="3">
        <v>5</v>
      </c>
      <c r="W691" s="3"/>
      <c r="X691" s="3">
        <v>15.99</v>
      </c>
      <c r="Y691" s="3">
        <v>15.99</v>
      </c>
      <c r="Z691" s="3">
        <v>15.99</v>
      </c>
      <c r="AA691" s="3">
        <v>0</v>
      </c>
      <c r="AB691" s="3" t="s">
        <v>1713</v>
      </c>
      <c r="AC691" s="3">
        <v>1</v>
      </c>
      <c r="AD691" s="3">
        <v>15.99</v>
      </c>
      <c r="AE691" s="3">
        <v>0</v>
      </c>
      <c r="AF691" s="3">
        <v>0</v>
      </c>
      <c r="AG691" s="3">
        <v>0</v>
      </c>
      <c r="AH691" s="3">
        <v>10</v>
      </c>
      <c r="AI691" s="3" t="s">
        <v>2542</v>
      </c>
      <c r="AJ691" s="3" t="s">
        <v>1715</v>
      </c>
    </row>
    <row r="692" spans="1:36">
      <c r="A692" s="4">
        <v>43277</v>
      </c>
      <c r="B692" s="3" t="s">
        <v>495</v>
      </c>
      <c r="C692" s="3" t="s">
        <v>496</v>
      </c>
      <c r="D692" s="3" t="s">
        <v>497</v>
      </c>
      <c r="E692" s="3" t="s">
        <v>498</v>
      </c>
      <c r="F692" s="3" t="s">
        <v>1710</v>
      </c>
      <c r="G692" s="3">
        <v>148</v>
      </c>
      <c r="H692" s="3">
        <v>0</v>
      </c>
      <c r="I692" s="3">
        <v>148</v>
      </c>
      <c r="J692" s="3">
        <v>0</v>
      </c>
      <c r="K692" s="3">
        <v>0</v>
      </c>
      <c r="L692" s="3">
        <v>0</v>
      </c>
      <c r="M692" s="3">
        <v>0</v>
      </c>
      <c r="N692" s="3" t="s">
        <v>1711</v>
      </c>
      <c r="O692" s="3">
        <v>0</v>
      </c>
      <c r="P692" s="3">
        <v>0</v>
      </c>
      <c r="Q692" s="3">
        <v>0</v>
      </c>
      <c r="R692" s="3">
        <v>0</v>
      </c>
      <c r="S692" s="3">
        <v>22</v>
      </c>
      <c r="T692" s="3">
        <v>75</v>
      </c>
      <c r="U692" s="3">
        <v>179</v>
      </c>
      <c r="V692" s="3">
        <v>269</v>
      </c>
      <c r="W692" s="3"/>
      <c r="X692" s="3">
        <v>48.58</v>
      </c>
      <c r="Y692" s="3">
        <v>28.99</v>
      </c>
      <c r="Z692" s="3">
        <v>28</v>
      </c>
      <c r="AA692" s="3">
        <v>0</v>
      </c>
      <c r="AB692" s="3" t="s">
        <v>1713</v>
      </c>
      <c r="AC692" s="3">
        <v>104</v>
      </c>
      <c r="AD692" s="3">
        <v>28.99</v>
      </c>
      <c r="AE692" s="3">
        <v>0</v>
      </c>
      <c r="AF692" s="3">
        <v>0</v>
      </c>
      <c r="AG692" s="3">
        <v>0</v>
      </c>
      <c r="AH692" s="3">
        <v>3.35202492211838</v>
      </c>
      <c r="AI692" s="3" t="s">
        <v>2316</v>
      </c>
      <c r="AJ692" s="3" t="s">
        <v>1715</v>
      </c>
    </row>
    <row r="693" spans="1:36">
      <c r="A693" s="4">
        <v>43277</v>
      </c>
      <c r="B693" s="3" t="s">
        <v>3918</v>
      </c>
      <c r="C693" s="3" t="s">
        <v>3919</v>
      </c>
      <c r="D693" s="3" t="s">
        <v>3920</v>
      </c>
      <c r="E693" s="3" t="s">
        <v>3921</v>
      </c>
      <c r="F693" s="3" t="s">
        <v>1710</v>
      </c>
      <c r="G693" s="3">
        <v>15</v>
      </c>
      <c r="H693" s="3">
        <v>0</v>
      </c>
      <c r="I693" s="3">
        <v>15</v>
      </c>
      <c r="J693" s="3">
        <v>0</v>
      </c>
      <c r="K693" s="3">
        <v>0</v>
      </c>
      <c r="L693" s="3">
        <v>0</v>
      </c>
      <c r="M693" s="3">
        <v>0</v>
      </c>
      <c r="N693" s="3" t="s">
        <v>1711</v>
      </c>
      <c r="O693" s="3">
        <v>0</v>
      </c>
      <c r="P693" s="3">
        <v>0</v>
      </c>
      <c r="Q693" s="3">
        <v>0</v>
      </c>
      <c r="R693" s="3">
        <v>0</v>
      </c>
      <c r="S693" s="3">
        <v>1</v>
      </c>
      <c r="T693" s="3">
        <v>5</v>
      </c>
      <c r="U693" s="3">
        <v>5</v>
      </c>
      <c r="V693" s="3">
        <v>5</v>
      </c>
      <c r="W693" s="3"/>
      <c r="X693" s="3">
        <v>18.99</v>
      </c>
      <c r="Y693" s="3">
        <v>18.99</v>
      </c>
      <c r="Z693" s="3">
        <v>18.99</v>
      </c>
      <c r="AA693" s="3">
        <v>0</v>
      </c>
      <c r="AB693" s="3" t="s">
        <v>1713</v>
      </c>
      <c r="AC693" s="3">
        <v>16</v>
      </c>
      <c r="AD693" s="3">
        <v>18.99</v>
      </c>
      <c r="AE693" s="3">
        <v>0</v>
      </c>
      <c r="AF693" s="3">
        <v>0</v>
      </c>
      <c r="AG693" s="3">
        <v>0</v>
      </c>
      <c r="AH693" s="3">
        <v>0.428571428571428</v>
      </c>
      <c r="AI693" s="3" t="s">
        <v>1794</v>
      </c>
      <c r="AJ693" s="3" t="s">
        <v>1715</v>
      </c>
    </row>
    <row r="694" spans="1:36">
      <c r="A694" s="4">
        <v>43277</v>
      </c>
      <c r="B694" s="3" t="s">
        <v>3922</v>
      </c>
      <c r="C694" s="3" t="s">
        <v>3923</v>
      </c>
      <c r="D694" s="3" t="s">
        <v>3924</v>
      </c>
      <c r="E694" s="3" t="s">
        <v>1426</v>
      </c>
      <c r="F694" s="3" t="s">
        <v>1710</v>
      </c>
      <c r="G694" s="3">
        <v>9</v>
      </c>
      <c r="H694" s="3">
        <v>0</v>
      </c>
      <c r="I694" s="3">
        <v>9</v>
      </c>
      <c r="J694" s="3">
        <v>0</v>
      </c>
      <c r="K694" s="3">
        <v>0</v>
      </c>
      <c r="L694" s="3">
        <v>0</v>
      </c>
      <c r="M694" s="3">
        <v>0</v>
      </c>
      <c r="N694" s="3" t="s">
        <v>1711</v>
      </c>
      <c r="O694" s="3">
        <v>0</v>
      </c>
      <c r="P694" s="3">
        <v>0</v>
      </c>
      <c r="Q694" s="3">
        <v>0</v>
      </c>
      <c r="R694" s="3">
        <v>0</v>
      </c>
      <c r="S694" s="3">
        <v>0</v>
      </c>
      <c r="T694" s="3">
        <v>1</v>
      </c>
      <c r="U694" s="3">
        <v>1</v>
      </c>
      <c r="V694" s="3">
        <v>1</v>
      </c>
      <c r="W694" s="3"/>
      <c r="X694" s="3">
        <v>17.99</v>
      </c>
      <c r="Y694" s="3">
        <v>17.99</v>
      </c>
      <c r="Z694" s="3">
        <v>17.99</v>
      </c>
      <c r="AA694" s="3">
        <v>0</v>
      </c>
      <c r="AB694" s="3" t="s">
        <v>1713</v>
      </c>
      <c r="AC694" s="3">
        <v>9</v>
      </c>
      <c r="AD694" s="3">
        <v>17.99</v>
      </c>
      <c r="AE694" s="3">
        <v>0</v>
      </c>
      <c r="AF694" s="3">
        <v>0</v>
      </c>
      <c r="AG694" s="3">
        <v>0</v>
      </c>
      <c r="AH694" s="3">
        <v>0.222222222222222</v>
      </c>
      <c r="AI694" s="3" t="s">
        <v>2295</v>
      </c>
      <c r="AJ694" s="3" t="s">
        <v>1715</v>
      </c>
    </row>
    <row r="695" spans="1:36">
      <c r="A695" s="4">
        <v>43277</v>
      </c>
      <c r="B695" s="3" t="s">
        <v>423</v>
      </c>
      <c r="C695" s="3" t="s">
        <v>424</v>
      </c>
      <c r="D695" s="3" t="s">
        <v>425</v>
      </c>
      <c r="E695" s="3" t="s">
        <v>426</v>
      </c>
      <c r="F695" s="3" t="s">
        <v>1710</v>
      </c>
      <c r="G695" s="3">
        <v>18</v>
      </c>
      <c r="H695" s="3">
        <v>0</v>
      </c>
      <c r="I695" s="3">
        <v>5</v>
      </c>
      <c r="J695" s="3">
        <v>13</v>
      </c>
      <c r="K695" s="3">
        <v>0</v>
      </c>
      <c r="L695" s="3">
        <v>0</v>
      </c>
      <c r="M695" s="3">
        <v>0</v>
      </c>
      <c r="N695" s="3" t="s">
        <v>1711</v>
      </c>
      <c r="O695" s="3">
        <v>0</v>
      </c>
      <c r="P695" s="3">
        <v>0</v>
      </c>
      <c r="Q695" s="3">
        <v>0</v>
      </c>
      <c r="R695" s="3">
        <v>0</v>
      </c>
      <c r="S695" s="3">
        <v>0</v>
      </c>
      <c r="T695" s="3">
        <v>2</v>
      </c>
      <c r="U695" s="3">
        <v>2</v>
      </c>
      <c r="V695" s="3">
        <v>2</v>
      </c>
      <c r="W695" s="3"/>
      <c r="X695" s="3">
        <v>28.58</v>
      </c>
      <c r="Y695" s="3">
        <v>28.58</v>
      </c>
      <c r="Z695" s="3">
        <v>28.58</v>
      </c>
      <c r="AA695" s="3">
        <v>0</v>
      </c>
      <c r="AB695" s="3" t="s">
        <v>1713</v>
      </c>
      <c r="AC695" s="3">
        <v>18</v>
      </c>
      <c r="AD695" s="3">
        <v>28.58</v>
      </c>
      <c r="AE695" s="3">
        <v>0</v>
      </c>
      <c r="AF695" s="3">
        <v>0</v>
      </c>
      <c r="AG695" s="3">
        <v>0</v>
      </c>
      <c r="AH695" s="3">
        <v>0.137931034482758</v>
      </c>
      <c r="AI695" s="3" t="s">
        <v>1761</v>
      </c>
      <c r="AJ695" s="3" t="s">
        <v>1715</v>
      </c>
    </row>
    <row r="696" spans="1:36">
      <c r="A696" s="4">
        <v>43277</v>
      </c>
      <c r="B696" s="3" t="s">
        <v>3925</v>
      </c>
      <c r="C696" s="3" t="s">
        <v>3926</v>
      </c>
      <c r="D696" s="3" t="s">
        <v>3927</v>
      </c>
      <c r="E696" s="3" t="s">
        <v>3928</v>
      </c>
      <c r="F696" s="3" t="s">
        <v>1710</v>
      </c>
      <c r="G696" s="3">
        <v>12</v>
      </c>
      <c r="H696" s="3">
        <v>0</v>
      </c>
      <c r="I696" s="3">
        <v>0</v>
      </c>
      <c r="J696" s="3">
        <v>1</v>
      </c>
      <c r="K696" s="3">
        <v>11</v>
      </c>
      <c r="L696" s="3">
        <v>0</v>
      </c>
      <c r="M696" s="3">
        <v>0</v>
      </c>
      <c r="N696" s="3" t="s">
        <v>1711</v>
      </c>
      <c r="O696" s="3">
        <v>12</v>
      </c>
      <c r="P696" s="3">
        <v>13.51</v>
      </c>
      <c r="Q696" s="3">
        <v>0</v>
      </c>
      <c r="R696" s="3">
        <v>0</v>
      </c>
      <c r="S696" s="3">
        <v>0</v>
      </c>
      <c r="T696" s="3">
        <v>0</v>
      </c>
      <c r="U696" s="3">
        <v>0</v>
      </c>
      <c r="V696" s="3">
        <v>0</v>
      </c>
      <c r="W696" s="3" t="s">
        <v>1720</v>
      </c>
      <c r="X696" s="3">
        <v>12.99</v>
      </c>
      <c r="Y696" s="3">
        <v>12.99</v>
      </c>
      <c r="Z696" s="3">
        <v>12.99</v>
      </c>
      <c r="AA696" s="3">
        <v>0</v>
      </c>
      <c r="AB696" s="3" t="s">
        <v>1721</v>
      </c>
      <c r="AC696" s="3">
        <v>9</v>
      </c>
      <c r="AD696" s="3">
        <v>12.21</v>
      </c>
      <c r="AE696" s="3">
        <v>7</v>
      </c>
      <c r="AF696" s="3">
        <v>0</v>
      </c>
      <c r="AG696" s="3">
        <v>241.495415</v>
      </c>
      <c r="AH696" s="3">
        <v>0</v>
      </c>
      <c r="AI696" s="3" t="s">
        <v>3929</v>
      </c>
      <c r="AJ696" s="3" t="s">
        <v>1783</v>
      </c>
    </row>
    <row r="697" spans="1:36">
      <c r="A697" s="4">
        <v>43277</v>
      </c>
      <c r="B697" s="3" t="s">
        <v>3930</v>
      </c>
      <c r="C697" s="3" t="s">
        <v>3931</v>
      </c>
      <c r="D697" s="3" t="s">
        <v>3932</v>
      </c>
      <c r="E697" s="3" t="s">
        <v>3933</v>
      </c>
      <c r="F697" s="3" t="s">
        <v>1710</v>
      </c>
      <c r="G697" s="3">
        <v>12</v>
      </c>
      <c r="H697" s="3">
        <v>0</v>
      </c>
      <c r="I697" s="3">
        <v>12</v>
      </c>
      <c r="J697" s="3">
        <v>0</v>
      </c>
      <c r="K697" s="3">
        <v>0</v>
      </c>
      <c r="L697" s="3">
        <v>0</v>
      </c>
      <c r="M697" s="3">
        <v>0</v>
      </c>
      <c r="N697" s="3" t="s">
        <v>1711</v>
      </c>
      <c r="O697" s="3">
        <v>0</v>
      </c>
      <c r="P697" s="3">
        <v>0</v>
      </c>
      <c r="Q697" s="3">
        <v>0</v>
      </c>
      <c r="R697" s="3">
        <v>0</v>
      </c>
      <c r="S697" s="3">
        <v>1</v>
      </c>
      <c r="T697" s="3">
        <v>7</v>
      </c>
      <c r="U697" s="3">
        <v>10</v>
      </c>
      <c r="V697" s="3">
        <v>18</v>
      </c>
      <c r="W697" s="3"/>
      <c r="X697" s="3">
        <v>12.58</v>
      </c>
      <c r="Y697" s="3">
        <v>12.58</v>
      </c>
      <c r="Z697" s="3">
        <v>12.58</v>
      </c>
      <c r="AA697" s="3">
        <v>0</v>
      </c>
      <c r="AB697" s="3" t="s">
        <v>1713</v>
      </c>
      <c r="AC697" s="3">
        <v>13</v>
      </c>
      <c r="AD697" s="3">
        <v>12.58</v>
      </c>
      <c r="AE697" s="3">
        <v>0</v>
      </c>
      <c r="AF697" s="3">
        <v>0</v>
      </c>
      <c r="AG697" s="3">
        <v>0</v>
      </c>
      <c r="AH697" s="3">
        <v>1.5</v>
      </c>
      <c r="AI697" s="3" t="s">
        <v>3934</v>
      </c>
      <c r="AJ697" s="3" t="s">
        <v>1715</v>
      </c>
    </row>
    <row r="698" spans="1:36">
      <c r="A698" s="4">
        <v>43277</v>
      </c>
      <c r="B698" s="3" t="s">
        <v>611</v>
      </c>
      <c r="C698" s="3" t="s">
        <v>612</v>
      </c>
      <c r="D698" s="3" t="s">
        <v>613</v>
      </c>
      <c r="E698" s="3" t="s">
        <v>614</v>
      </c>
      <c r="F698" s="3" t="s">
        <v>1710</v>
      </c>
      <c r="G698" s="3">
        <v>69</v>
      </c>
      <c r="H698" s="3">
        <v>0</v>
      </c>
      <c r="I698" s="3">
        <v>69</v>
      </c>
      <c r="J698" s="3">
        <v>0</v>
      </c>
      <c r="K698" s="3">
        <v>0</v>
      </c>
      <c r="L698" s="3">
        <v>0</v>
      </c>
      <c r="M698" s="3">
        <v>0</v>
      </c>
      <c r="N698" s="3" t="s">
        <v>1711</v>
      </c>
      <c r="O698" s="3">
        <v>0</v>
      </c>
      <c r="P698" s="3">
        <v>0</v>
      </c>
      <c r="Q698" s="3">
        <v>0</v>
      </c>
      <c r="R698" s="3">
        <v>0</v>
      </c>
      <c r="S698" s="3">
        <v>11</v>
      </c>
      <c r="T698" s="3">
        <v>38</v>
      </c>
      <c r="U698" s="3">
        <v>63</v>
      </c>
      <c r="V698" s="3">
        <v>89</v>
      </c>
      <c r="W698" s="3"/>
      <c r="X698" s="3">
        <v>38</v>
      </c>
      <c r="Y698" s="3">
        <v>28.58</v>
      </c>
      <c r="Z698" s="3">
        <v>28</v>
      </c>
      <c r="AA698" s="3">
        <v>0</v>
      </c>
      <c r="AB698" s="3" t="s">
        <v>1713</v>
      </c>
      <c r="AC698" s="3">
        <v>71</v>
      </c>
      <c r="AD698" s="3">
        <v>28.58</v>
      </c>
      <c r="AE698" s="3">
        <v>0</v>
      </c>
      <c r="AF698" s="3">
        <v>0</v>
      </c>
      <c r="AG698" s="3">
        <v>0</v>
      </c>
      <c r="AH698" s="3">
        <v>2.4054054054054</v>
      </c>
      <c r="AI698" s="3" t="s">
        <v>3935</v>
      </c>
      <c r="AJ698" s="3" t="s">
        <v>1715</v>
      </c>
    </row>
    <row r="699" spans="1:36">
      <c r="A699" s="4">
        <v>43277</v>
      </c>
      <c r="B699" s="3" t="s">
        <v>3936</v>
      </c>
      <c r="C699" s="3" t="s">
        <v>3937</v>
      </c>
      <c r="D699" s="3" t="s">
        <v>3938</v>
      </c>
      <c r="E699" s="3" t="s">
        <v>3939</v>
      </c>
      <c r="F699" s="3" t="s">
        <v>1710</v>
      </c>
      <c r="G699" s="3">
        <v>19</v>
      </c>
      <c r="H699" s="3">
        <v>0</v>
      </c>
      <c r="I699" s="3">
        <v>19</v>
      </c>
      <c r="J699" s="3">
        <v>0</v>
      </c>
      <c r="K699" s="3">
        <v>0</v>
      </c>
      <c r="L699" s="3">
        <v>0</v>
      </c>
      <c r="M699" s="3">
        <v>0</v>
      </c>
      <c r="N699" s="3" t="s">
        <v>1711</v>
      </c>
      <c r="O699" s="3">
        <v>0</v>
      </c>
      <c r="P699" s="3">
        <v>0</v>
      </c>
      <c r="Q699" s="3">
        <v>0</v>
      </c>
      <c r="R699" s="3">
        <v>0</v>
      </c>
      <c r="S699" s="3">
        <v>3</v>
      </c>
      <c r="T699" s="3">
        <v>17</v>
      </c>
      <c r="U699" s="3">
        <v>19</v>
      </c>
      <c r="V699" s="3">
        <v>19</v>
      </c>
      <c r="W699" s="3"/>
      <c r="X699" s="3">
        <v>29.99</v>
      </c>
      <c r="Y699" s="3">
        <v>29.99</v>
      </c>
      <c r="Z699" s="3">
        <v>29.99</v>
      </c>
      <c r="AA699" s="3">
        <v>0</v>
      </c>
      <c r="AB699" s="3" t="s">
        <v>1713</v>
      </c>
      <c r="AC699" s="3">
        <v>1</v>
      </c>
      <c r="AD699" s="3">
        <v>29.99</v>
      </c>
      <c r="AE699" s="3">
        <v>0</v>
      </c>
      <c r="AF699" s="3">
        <v>0</v>
      </c>
      <c r="AG699" s="3">
        <v>0</v>
      </c>
      <c r="AH699" s="3">
        <v>1.1875</v>
      </c>
      <c r="AI699" s="3" t="s">
        <v>1881</v>
      </c>
      <c r="AJ699" s="3" t="s">
        <v>1715</v>
      </c>
    </row>
    <row r="700" spans="1:36">
      <c r="A700" s="4">
        <v>43277</v>
      </c>
      <c r="B700" s="3" t="s">
        <v>1279</v>
      </c>
      <c r="C700" s="3" t="s">
        <v>1280</v>
      </c>
      <c r="D700" s="3" t="s">
        <v>1281</v>
      </c>
      <c r="E700" s="3" t="s">
        <v>1282</v>
      </c>
      <c r="F700" s="3" t="s">
        <v>1710</v>
      </c>
      <c r="G700" s="3">
        <v>7</v>
      </c>
      <c r="H700" s="3">
        <v>0</v>
      </c>
      <c r="I700" s="3">
        <v>7</v>
      </c>
      <c r="J700" s="3">
        <v>0</v>
      </c>
      <c r="K700" s="3">
        <v>0</v>
      </c>
      <c r="L700" s="3">
        <v>0</v>
      </c>
      <c r="M700" s="3">
        <v>0</v>
      </c>
      <c r="N700" s="3" t="s">
        <v>1711</v>
      </c>
      <c r="O700" s="3">
        <v>0</v>
      </c>
      <c r="P700" s="3">
        <v>0</v>
      </c>
      <c r="Q700" s="3">
        <v>0</v>
      </c>
      <c r="R700" s="3">
        <v>0</v>
      </c>
      <c r="S700" s="3">
        <v>1</v>
      </c>
      <c r="T700" s="3">
        <v>7</v>
      </c>
      <c r="U700" s="3">
        <v>7</v>
      </c>
      <c r="V700" s="3">
        <v>7</v>
      </c>
      <c r="W700" s="3"/>
      <c r="X700" s="3">
        <v>39.99</v>
      </c>
      <c r="Y700" s="3">
        <v>19.99</v>
      </c>
      <c r="Z700" s="3">
        <v>19.99</v>
      </c>
      <c r="AA700" s="3">
        <v>0</v>
      </c>
      <c r="AB700" s="3" t="s">
        <v>1713</v>
      </c>
      <c r="AC700" s="3">
        <v>9</v>
      </c>
      <c r="AD700" s="3">
        <v>19.99</v>
      </c>
      <c r="AE700" s="3">
        <v>0</v>
      </c>
      <c r="AF700" s="3">
        <v>0</v>
      </c>
      <c r="AG700" s="3">
        <v>0</v>
      </c>
      <c r="AH700" s="3">
        <v>0.56</v>
      </c>
      <c r="AI700" s="3" t="s">
        <v>1714</v>
      </c>
      <c r="AJ700" s="3" t="s">
        <v>1715</v>
      </c>
    </row>
    <row r="701" spans="1:36">
      <c r="A701" s="4">
        <v>43277</v>
      </c>
      <c r="B701" s="3" t="s">
        <v>3940</v>
      </c>
      <c r="C701" s="3" t="s">
        <v>3941</v>
      </c>
      <c r="D701" s="3" t="s">
        <v>3942</v>
      </c>
      <c r="E701" s="3" t="s">
        <v>2495</v>
      </c>
      <c r="F701" s="3" t="s">
        <v>1710</v>
      </c>
      <c r="G701" s="3">
        <v>15</v>
      </c>
      <c r="H701" s="3">
        <v>0</v>
      </c>
      <c r="I701" s="3">
        <v>15</v>
      </c>
      <c r="J701" s="3">
        <v>0</v>
      </c>
      <c r="K701" s="3">
        <v>0</v>
      </c>
      <c r="L701" s="3">
        <v>0</v>
      </c>
      <c r="M701" s="3">
        <v>0</v>
      </c>
      <c r="N701" s="3" t="s">
        <v>1711</v>
      </c>
      <c r="O701" s="3">
        <v>0</v>
      </c>
      <c r="P701" s="3">
        <v>0</v>
      </c>
      <c r="Q701" s="3">
        <v>0</v>
      </c>
      <c r="R701" s="3">
        <v>0</v>
      </c>
      <c r="S701" s="3">
        <v>0</v>
      </c>
      <c r="T701" s="3">
        <v>0</v>
      </c>
      <c r="U701" s="3">
        <v>0</v>
      </c>
      <c r="V701" s="3">
        <v>0</v>
      </c>
      <c r="W701" s="3" t="s">
        <v>1720</v>
      </c>
      <c r="X701" s="3">
        <v>15.99</v>
      </c>
      <c r="Y701" s="3">
        <v>15.99</v>
      </c>
      <c r="Z701" s="3">
        <v>15.99</v>
      </c>
      <c r="AA701" s="3">
        <v>0</v>
      </c>
      <c r="AB701" s="3" t="s">
        <v>1721</v>
      </c>
      <c r="AC701" s="3">
        <v>0</v>
      </c>
      <c r="AD701" s="3">
        <v>12.79</v>
      </c>
      <c r="AE701" s="3">
        <v>63</v>
      </c>
      <c r="AF701" s="3">
        <v>0</v>
      </c>
      <c r="AG701" s="3">
        <v>160.761652</v>
      </c>
      <c r="AH701" s="3">
        <v>0</v>
      </c>
      <c r="AI701" s="3" t="s">
        <v>2758</v>
      </c>
      <c r="AJ701" s="3" t="s">
        <v>1715</v>
      </c>
    </row>
    <row r="702" spans="1:36">
      <c r="A702" s="4">
        <v>43277</v>
      </c>
      <c r="B702" s="3" t="s">
        <v>3943</v>
      </c>
      <c r="C702" s="3" t="s">
        <v>3944</v>
      </c>
      <c r="D702" s="3" t="s">
        <v>3945</v>
      </c>
      <c r="E702" s="3" t="s">
        <v>3946</v>
      </c>
      <c r="F702" s="3" t="s">
        <v>1710</v>
      </c>
      <c r="G702" s="3">
        <v>2</v>
      </c>
      <c r="H702" s="3">
        <v>0</v>
      </c>
      <c r="I702" s="3">
        <v>0</v>
      </c>
      <c r="J702" s="3">
        <v>2</v>
      </c>
      <c r="K702" s="3">
        <v>0</v>
      </c>
      <c r="L702" s="3">
        <v>0</v>
      </c>
      <c r="M702" s="3">
        <v>0</v>
      </c>
      <c r="N702" s="3" t="s">
        <v>1711</v>
      </c>
      <c r="O702" s="3">
        <v>1</v>
      </c>
      <c r="P702" s="3">
        <v>0.01</v>
      </c>
      <c r="Q702" s="3">
        <v>0</v>
      </c>
      <c r="R702" s="3">
        <v>0</v>
      </c>
      <c r="S702" s="3">
        <v>0</v>
      </c>
      <c r="T702" s="3">
        <v>0</v>
      </c>
      <c r="U702" s="3">
        <v>0</v>
      </c>
      <c r="V702" s="3">
        <v>0</v>
      </c>
      <c r="W702" s="3" t="s">
        <v>1720</v>
      </c>
      <c r="X702" s="3">
        <v>15.88</v>
      </c>
      <c r="Y702" s="3">
        <v>15.88</v>
      </c>
      <c r="Z702" s="3">
        <v>15.88</v>
      </c>
      <c r="AA702" s="3">
        <v>0</v>
      </c>
      <c r="AB702" s="3" t="s">
        <v>1721</v>
      </c>
      <c r="AC702" s="3">
        <v>0</v>
      </c>
      <c r="AD702" s="3">
        <v>14.64</v>
      </c>
      <c r="AE702" s="3">
        <v>182</v>
      </c>
      <c r="AF702" s="3">
        <v>0</v>
      </c>
      <c r="AG702" s="3">
        <v>15.203469</v>
      </c>
      <c r="AH702" s="3">
        <v>0</v>
      </c>
      <c r="AI702" s="3" t="s">
        <v>1782</v>
      </c>
      <c r="AJ702" s="3" t="s">
        <v>1715</v>
      </c>
    </row>
    <row r="703" spans="1:36">
      <c r="A703" s="4">
        <v>43277</v>
      </c>
      <c r="B703" s="3" t="s">
        <v>839</v>
      </c>
      <c r="C703" s="3" t="s">
        <v>840</v>
      </c>
      <c r="D703" s="3" t="s">
        <v>841</v>
      </c>
      <c r="E703" s="3" t="s">
        <v>842</v>
      </c>
      <c r="F703" s="3" t="s">
        <v>1710</v>
      </c>
      <c r="G703" s="3">
        <v>1</v>
      </c>
      <c r="H703" s="3">
        <v>0</v>
      </c>
      <c r="I703" s="3">
        <v>1</v>
      </c>
      <c r="J703" s="3">
        <v>0</v>
      </c>
      <c r="K703" s="3">
        <v>0</v>
      </c>
      <c r="L703" s="3">
        <v>0</v>
      </c>
      <c r="M703" s="3">
        <v>0</v>
      </c>
      <c r="N703" s="3" t="s">
        <v>1711</v>
      </c>
      <c r="O703" s="3">
        <v>0</v>
      </c>
      <c r="P703" s="3">
        <v>0</v>
      </c>
      <c r="Q703" s="3">
        <v>0</v>
      </c>
      <c r="R703" s="3">
        <v>0</v>
      </c>
      <c r="S703" s="3">
        <v>12</v>
      </c>
      <c r="T703" s="3">
        <v>39</v>
      </c>
      <c r="U703" s="3">
        <v>59</v>
      </c>
      <c r="V703" s="3">
        <v>68</v>
      </c>
      <c r="W703" s="3"/>
      <c r="X703" s="3"/>
      <c r="Y703" s="3"/>
      <c r="Z703" s="3">
        <v>-1</v>
      </c>
      <c r="AA703" s="3">
        <v>-1</v>
      </c>
      <c r="AB703" s="3" t="s">
        <v>1776</v>
      </c>
      <c r="AC703" s="3">
        <v>4</v>
      </c>
      <c r="AD703" s="3">
        <v>28.58</v>
      </c>
      <c r="AE703" s="3">
        <v>0</v>
      </c>
      <c r="AF703" s="3">
        <v>0</v>
      </c>
      <c r="AG703" s="3">
        <v>0</v>
      </c>
      <c r="AH703" s="3">
        <v>6.32558139534883</v>
      </c>
      <c r="AI703" s="3" t="s">
        <v>2270</v>
      </c>
      <c r="AJ703" s="3" t="s">
        <v>1715</v>
      </c>
    </row>
    <row r="704" spans="1:36">
      <c r="A704" s="4">
        <v>43277</v>
      </c>
      <c r="B704" s="3" t="s">
        <v>3947</v>
      </c>
      <c r="C704" s="3" t="s">
        <v>3948</v>
      </c>
      <c r="D704" s="3" t="s">
        <v>3949</v>
      </c>
      <c r="E704" s="3" t="s">
        <v>3950</v>
      </c>
      <c r="F704" s="3" t="s">
        <v>1710</v>
      </c>
      <c r="G704" s="3">
        <v>18</v>
      </c>
      <c r="H704" s="3">
        <v>0</v>
      </c>
      <c r="I704" s="3">
        <v>0</v>
      </c>
      <c r="J704" s="3">
        <v>18</v>
      </c>
      <c r="K704" s="3">
        <v>0</v>
      </c>
      <c r="L704" s="3">
        <v>0</v>
      </c>
      <c r="M704" s="3">
        <v>0</v>
      </c>
      <c r="N704" s="3" t="s">
        <v>1711</v>
      </c>
      <c r="O704" s="3">
        <v>16</v>
      </c>
      <c r="P704" s="3">
        <v>23.58</v>
      </c>
      <c r="Q704" s="3">
        <v>0</v>
      </c>
      <c r="R704" s="3">
        <v>0</v>
      </c>
      <c r="S704" s="3">
        <v>0</v>
      </c>
      <c r="T704" s="3">
        <v>0</v>
      </c>
      <c r="U704" s="3">
        <v>0</v>
      </c>
      <c r="V704" s="3">
        <v>0</v>
      </c>
      <c r="W704" s="3" t="s">
        <v>1720</v>
      </c>
      <c r="X704" s="3">
        <v>35</v>
      </c>
      <c r="Y704" s="3">
        <v>16.99</v>
      </c>
      <c r="Z704" s="3">
        <v>16.99</v>
      </c>
      <c r="AA704" s="3">
        <v>0</v>
      </c>
      <c r="AB704" s="3" t="s">
        <v>1732</v>
      </c>
      <c r="AC704" s="3">
        <v>3</v>
      </c>
      <c r="AD704" s="3">
        <v>15.39</v>
      </c>
      <c r="AE704" s="3">
        <v>105</v>
      </c>
      <c r="AF704" s="3">
        <v>0</v>
      </c>
      <c r="AG704" s="3">
        <v>449.050361</v>
      </c>
      <c r="AH704" s="3">
        <v>0</v>
      </c>
      <c r="AI704" s="3" t="s">
        <v>1770</v>
      </c>
      <c r="AJ704" s="3" t="s">
        <v>1715</v>
      </c>
    </row>
    <row r="705" spans="1:36">
      <c r="A705" s="4">
        <v>43277</v>
      </c>
      <c r="B705" s="3" t="s">
        <v>3951</v>
      </c>
      <c r="C705" s="3" t="s">
        <v>3952</v>
      </c>
      <c r="D705" s="3" t="s">
        <v>3953</v>
      </c>
      <c r="E705" s="3" t="s">
        <v>3954</v>
      </c>
      <c r="F705" s="3" t="s">
        <v>1710</v>
      </c>
      <c r="G705" s="3">
        <v>2</v>
      </c>
      <c r="H705" s="3">
        <v>0</v>
      </c>
      <c r="I705" s="3">
        <v>0</v>
      </c>
      <c r="J705" s="3">
        <v>2</v>
      </c>
      <c r="K705" s="3">
        <v>0</v>
      </c>
      <c r="L705" s="3">
        <v>0</v>
      </c>
      <c r="M705" s="3">
        <v>0</v>
      </c>
      <c r="N705" s="3" t="s">
        <v>1711</v>
      </c>
      <c r="O705" s="3">
        <v>2</v>
      </c>
      <c r="P705" s="3">
        <v>1.84</v>
      </c>
      <c r="Q705" s="3">
        <v>0</v>
      </c>
      <c r="R705" s="3">
        <v>0</v>
      </c>
      <c r="S705" s="3">
        <v>0</v>
      </c>
      <c r="T705" s="3">
        <v>0</v>
      </c>
      <c r="U705" s="3">
        <v>0</v>
      </c>
      <c r="V705" s="3">
        <v>0</v>
      </c>
      <c r="W705" s="3" t="s">
        <v>1720</v>
      </c>
      <c r="X705" s="3">
        <v>21.99</v>
      </c>
      <c r="Y705" s="3">
        <v>21.99</v>
      </c>
      <c r="Z705" s="3">
        <v>21.99</v>
      </c>
      <c r="AA705" s="3">
        <v>0</v>
      </c>
      <c r="AB705" s="3" t="s">
        <v>1721</v>
      </c>
      <c r="AC705" s="3">
        <v>0</v>
      </c>
      <c r="AD705" s="3">
        <v>17.59</v>
      </c>
      <c r="AE705" s="3">
        <v>63</v>
      </c>
      <c r="AF705" s="3">
        <v>0</v>
      </c>
      <c r="AG705" s="3">
        <v>24.357354</v>
      </c>
      <c r="AH705" s="3">
        <v>0</v>
      </c>
      <c r="AI705" s="3" t="s">
        <v>3112</v>
      </c>
      <c r="AJ705" s="3" t="s">
        <v>1715</v>
      </c>
    </row>
    <row r="706" spans="1:36">
      <c r="A706" s="4">
        <v>43277</v>
      </c>
      <c r="B706" s="3" t="s">
        <v>3955</v>
      </c>
      <c r="C706" s="3" t="s">
        <v>3956</v>
      </c>
      <c r="D706" s="3" t="s">
        <v>3957</v>
      </c>
      <c r="E706" s="3" t="s">
        <v>1709</v>
      </c>
      <c r="F706" s="3" t="s">
        <v>1710</v>
      </c>
      <c r="G706" s="3">
        <v>9</v>
      </c>
      <c r="H706" s="3">
        <v>0</v>
      </c>
      <c r="I706" s="3">
        <v>9</v>
      </c>
      <c r="J706" s="3">
        <v>0</v>
      </c>
      <c r="K706" s="3">
        <v>0</v>
      </c>
      <c r="L706" s="3">
        <v>0</v>
      </c>
      <c r="M706" s="3">
        <v>0</v>
      </c>
      <c r="N706" s="3" t="s">
        <v>1711</v>
      </c>
      <c r="O706" s="3">
        <v>0</v>
      </c>
      <c r="P706" s="3">
        <v>0</v>
      </c>
      <c r="Q706" s="3">
        <v>0</v>
      </c>
      <c r="R706" s="3">
        <v>0</v>
      </c>
      <c r="S706" s="3">
        <v>1</v>
      </c>
      <c r="T706" s="3">
        <v>5</v>
      </c>
      <c r="U706" s="3">
        <v>5</v>
      </c>
      <c r="V706" s="3">
        <v>5</v>
      </c>
      <c r="W706" s="3" t="s">
        <v>1712</v>
      </c>
      <c r="X706" s="3">
        <v>39.99</v>
      </c>
      <c r="Y706" s="3">
        <v>18.99</v>
      </c>
      <c r="Z706" s="3">
        <v>18.99</v>
      </c>
      <c r="AA706" s="3">
        <v>0</v>
      </c>
      <c r="AB706" s="3" t="s">
        <v>1713</v>
      </c>
      <c r="AC706" s="3">
        <v>10</v>
      </c>
      <c r="AD706" s="3">
        <v>18.99</v>
      </c>
      <c r="AE706" s="3">
        <v>0</v>
      </c>
      <c r="AF706" s="3">
        <v>0</v>
      </c>
      <c r="AG706" s="3">
        <v>0</v>
      </c>
      <c r="AH706" s="3">
        <v>0.4</v>
      </c>
      <c r="AI706" s="3" t="s">
        <v>1714</v>
      </c>
      <c r="AJ706" s="3" t="s">
        <v>1715</v>
      </c>
    </row>
    <row r="707" spans="1:36">
      <c r="A707" s="4">
        <v>43277</v>
      </c>
      <c r="B707" s="3" t="s">
        <v>3958</v>
      </c>
      <c r="C707" s="3" t="s">
        <v>3959</v>
      </c>
      <c r="D707" s="3" t="s">
        <v>3960</v>
      </c>
      <c r="E707" s="3" t="s">
        <v>3961</v>
      </c>
      <c r="F707" s="3" t="s">
        <v>1710</v>
      </c>
      <c r="G707" s="3">
        <v>7</v>
      </c>
      <c r="H707" s="3">
        <v>0</v>
      </c>
      <c r="I707" s="3">
        <v>7</v>
      </c>
      <c r="J707" s="3">
        <v>0</v>
      </c>
      <c r="K707" s="3">
        <v>0</v>
      </c>
      <c r="L707" s="3">
        <v>0</v>
      </c>
      <c r="M707" s="3">
        <v>0</v>
      </c>
      <c r="N707" s="3" t="s">
        <v>1711</v>
      </c>
      <c r="O707" s="3">
        <v>0</v>
      </c>
      <c r="P707" s="3">
        <v>0</v>
      </c>
      <c r="Q707" s="3">
        <v>0</v>
      </c>
      <c r="R707" s="3">
        <v>0</v>
      </c>
      <c r="S707" s="3">
        <v>0</v>
      </c>
      <c r="T707" s="3">
        <v>3</v>
      </c>
      <c r="U707" s="3">
        <v>7</v>
      </c>
      <c r="V707" s="3">
        <v>8</v>
      </c>
      <c r="W707" s="3"/>
      <c r="X707" s="3">
        <v>15.99</v>
      </c>
      <c r="Y707" s="3">
        <v>15.99</v>
      </c>
      <c r="Z707" s="3">
        <v>15.99</v>
      </c>
      <c r="AA707" s="3">
        <v>0</v>
      </c>
      <c r="AB707" s="3" t="s">
        <v>1713</v>
      </c>
      <c r="AC707" s="3">
        <v>6</v>
      </c>
      <c r="AD707" s="3">
        <v>15.99</v>
      </c>
      <c r="AE707" s="3">
        <v>0</v>
      </c>
      <c r="AF707" s="3">
        <v>0</v>
      </c>
      <c r="AG707" s="3">
        <v>0</v>
      </c>
      <c r="AH707" s="3">
        <v>2</v>
      </c>
      <c r="AI707" s="3" t="s">
        <v>2542</v>
      </c>
      <c r="AJ707" s="3" t="s">
        <v>1715</v>
      </c>
    </row>
    <row r="708" spans="1:36">
      <c r="A708" s="4">
        <v>43277</v>
      </c>
      <c r="B708" s="3" t="s">
        <v>3962</v>
      </c>
      <c r="C708" s="3" t="s">
        <v>3963</v>
      </c>
      <c r="D708" s="3" t="s">
        <v>3964</v>
      </c>
      <c r="E708" s="3" t="s">
        <v>3965</v>
      </c>
      <c r="F708" s="3" t="s">
        <v>1710</v>
      </c>
      <c r="G708" s="3">
        <v>1</v>
      </c>
      <c r="H708" s="3">
        <v>0</v>
      </c>
      <c r="I708" s="3">
        <v>1</v>
      </c>
      <c r="J708" s="3">
        <v>0</v>
      </c>
      <c r="K708" s="3">
        <v>0</v>
      </c>
      <c r="L708" s="3">
        <v>0</v>
      </c>
      <c r="M708" s="3">
        <v>0</v>
      </c>
      <c r="N708" s="3" t="s">
        <v>1711</v>
      </c>
      <c r="O708" s="3">
        <v>0</v>
      </c>
      <c r="P708" s="3">
        <v>0</v>
      </c>
      <c r="Q708" s="3">
        <v>0</v>
      </c>
      <c r="R708" s="3">
        <v>0</v>
      </c>
      <c r="S708" s="3">
        <v>5</v>
      </c>
      <c r="T708" s="3">
        <v>17</v>
      </c>
      <c r="U708" s="3">
        <v>30</v>
      </c>
      <c r="V708" s="3">
        <v>36</v>
      </c>
      <c r="W708" s="3"/>
      <c r="X708" s="3">
        <v>38</v>
      </c>
      <c r="Y708" s="3">
        <v>28.58</v>
      </c>
      <c r="Z708" s="3">
        <v>28</v>
      </c>
      <c r="AA708" s="3">
        <v>0</v>
      </c>
      <c r="AB708" s="3" t="s">
        <v>1713</v>
      </c>
      <c r="AC708" s="3">
        <v>2</v>
      </c>
      <c r="AD708" s="3">
        <v>28.58</v>
      </c>
      <c r="AE708" s="3">
        <v>0</v>
      </c>
      <c r="AF708" s="3">
        <v>0</v>
      </c>
      <c r="AG708" s="3">
        <v>0</v>
      </c>
      <c r="AH708" s="3">
        <v>6.26086956521739</v>
      </c>
      <c r="AI708" s="3" t="s">
        <v>2128</v>
      </c>
      <c r="AJ708" s="3" t="s">
        <v>1715</v>
      </c>
    </row>
    <row r="709" spans="1:36">
      <c r="A709" s="4">
        <v>43277</v>
      </c>
      <c r="B709" s="3" t="s">
        <v>3966</v>
      </c>
      <c r="C709" s="3" t="s">
        <v>3967</v>
      </c>
      <c r="D709" s="3" t="s">
        <v>3968</v>
      </c>
      <c r="E709" s="3" t="s">
        <v>1810</v>
      </c>
      <c r="F709" s="3" t="s">
        <v>1710</v>
      </c>
      <c r="G709" s="3">
        <v>2</v>
      </c>
      <c r="H709" s="3">
        <v>0</v>
      </c>
      <c r="I709" s="3">
        <v>0</v>
      </c>
      <c r="J709" s="3">
        <v>2</v>
      </c>
      <c r="K709" s="3">
        <v>0</v>
      </c>
      <c r="L709" s="3">
        <v>0</v>
      </c>
      <c r="M709" s="3">
        <v>0</v>
      </c>
      <c r="N709" s="3" t="s">
        <v>1711</v>
      </c>
      <c r="O709" s="3">
        <v>2</v>
      </c>
      <c r="P709" s="3">
        <v>2.26</v>
      </c>
      <c r="Q709" s="3">
        <v>0</v>
      </c>
      <c r="R709" s="3">
        <v>0</v>
      </c>
      <c r="S709" s="3">
        <v>0</v>
      </c>
      <c r="T709" s="3">
        <v>0</v>
      </c>
      <c r="U709" s="3">
        <v>0</v>
      </c>
      <c r="V709" s="3">
        <v>0</v>
      </c>
      <c r="W709" s="3" t="s">
        <v>1720</v>
      </c>
      <c r="X709" s="3">
        <v>15.99</v>
      </c>
      <c r="Y709" s="3">
        <v>15.99</v>
      </c>
      <c r="Z709" s="3">
        <v>15.99</v>
      </c>
      <c r="AA709" s="3">
        <v>0</v>
      </c>
      <c r="AB709" s="3" t="s">
        <v>1721</v>
      </c>
      <c r="AC709" s="3">
        <v>0</v>
      </c>
      <c r="AD709" s="3">
        <v>14.42</v>
      </c>
      <c r="AE709" s="3">
        <v>105</v>
      </c>
      <c r="AF709" s="3">
        <v>0</v>
      </c>
      <c r="AG709" s="3">
        <v>40.87488</v>
      </c>
      <c r="AH709" s="3">
        <v>0</v>
      </c>
      <c r="AI709" s="3" t="s">
        <v>3969</v>
      </c>
      <c r="AJ709" s="3" t="s">
        <v>1783</v>
      </c>
    </row>
    <row r="710" spans="1:36">
      <c r="A710" s="4">
        <v>43277</v>
      </c>
      <c r="B710" s="3" t="s">
        <v>3970</v>
      </c>
      <c r="C710" s="3" t="s">
        <v>3971</v>
      </c>
      <c r="D710" s="3" t="s">
        <v>3972</v>
      </c>
      <c r="E710" s="3" t="s">
        <v>3973</v>
      </c>
      <c r="F710" s="3" t="s">
        <v>1710</v>
      </c>
      <c r="G710" s="3">
        <v>2</v>
      </c>
      <c r="H710" s="3">
        <v>0</v>
      </c>
      <c r="I710" s="3">
        <v>0</v>
      </c>
      <c r="J710" s="3">
        <v>2</v>
      </c>
      <c r="K710" s="3">
        <v>0</v>
      </c>
      <c r="L710" s="3">
        <v>0</v>
      </c>
      <c r="M710" s="3">
        <v>0</v>
      </c>
      <c r="N710" s="3" t="s">
        <v>1711</v>
      </c>
      <c r="O710" s="3">
        <v>2</v>
      </c>
      <c r="P710" s="3">
        <v>1.84</v>
      </c>
      <c r="Q710" s="3">
        <v>0</v>
      </c>
      <c r="R710" s="3">
        <v>0</v>
      </c>
      <c r="S710" s="3">
        <v>0</v>
      </c>
      <c r="T710" s="3">
        <v>0</v>
      </c>
      <c r="U710" s="3">
        <v>0</v>
      </c>
      <c r="V710" s="3">
        <v>0</v>
      </c>
      <c r="W710" s="3" t="s">
        <v>1720</v>
      </c>
      <c r="X710" s="3">
        <v>21.99</v>
      </c>
      <c r="Y710" s="3">
        <v>21.99</v>
      </c>
      <c r="Z710" s="3">
        <v>21.99</v>
      </c>
      <c r="AA710" s="3">
        <v>0</v>
      </c>
      <c r="AB710" s="3" t="s">
        <v>1721</v>
      </c>
      <c r="AC710" s="3">
        <v>0</v>
      </c>
      <c r="AD710" s="3">
        <v>17.59</v>
      </c>
      <c r="AE710" s="3">
        <v>63</v>
      </c>
      <c r="AF710" s="3">
        <v>0</v>
      </c>
      <c r="AG710" s="3">
        <v>24.357354</v>
      </c>
      <c r="AH710" s="3">
        <v>0</v>
      </c>
      <c r="AI710" s="3" t="s">
        <v>3112</v>
      </c>
      <c r="AJ710" s="3" t="s">
        <v>1715</v>
      </c>
    </row>
    <row r="711" spans="1:36">
      <c r="A711" s="4">
        <v>43277</v>
      </c>
      <c r="B711" s="3" t="s">
        <v>3974</v>
      </c>
      <c r="C711" s="3" t="s">
        <v>3975</v>
      </c>
      <c r="D711" s="3" t="s">
        <v>3976</v>
      </c>
      <c r="E711" s="3" t="s">
        <v>3977</v>
      </c>
      <c r="F711" s="3" t="s">
        <v>1710</v>
      </c>
      <c r="G711" s="3">
        <v>5</v>
      </c>
      <c r="H711" s="3">
        <v>0</v>
      </c>
      <c r="I711" s="3">
        <v>0</v>
      </c>
      <c r="J711" s="3">
        <v>5</v>
      </c>
      <c r="K711" s="3">
        <v>0</v>
      </c>
      <c r="L711" s="3">
        <v>0</v>
      </c>
      <c r="M711" s="3">
        <v>0</v>
      </c>
      <c r="N711" s="3" t="s">
        <v>1711</v>
      </c>
      <c r="O711" s="3">
        <v>0</v>
      </c>
      <c r="P711" s="3">
        <v>0</v>
      </c>
      <c r="Q711" s="3">
        <v>0</v>
      </c>
      <c r="R711" s="3">
        <v>0</v>
      </c>
      <c r="S711" s="3">
        <v>0</v>
      </c>
      <c r="T711" s="3">
        <v>0</v>
      </c>
      <c r="U711" s="3">
        <v>1</v>
      </c>
      <c r="V711" s="3">
        <v>1</v>
      </c>
      <c r="W711" s="3" t="s">
        <v>1712</v>
      </c>
      <c r="X711" s="3">
        <v>20.99</v>
      </c>
      <c r="Y711" s="3">
        <v>20.99</v>
      </c>
      <c r="Z711" s="3">
        <v>20.99</v>
      </c>
      <c r="AA711" s="3">
        <v>0</v>
      </c>
      <c r="AB711" s="3" t="s">
        <v>1732</v>
      </c>
      <c r="AC711" s="3">
        <v>0</v>
      </c>
      <c r="AD711" s="3">
        <v>16.12</v>
      </c>
      <c r="AE711" s="3">
        <v>364</v>
      </c>
      <c r="AF711" s="3">
        <v>0</v>
      </c>
      <c r="AG711" s="3">
        <v>67.539451</v>
      </c>
      <c r="AH711" s="3">
        <v>0.235294117647058</v>
      </c>
      <c r="AI711" s="3" t="s">
        <v>3978</v>
      </c>
      <c r="AJ711" s="3" t="s">
        <v>1715</v>
      </c>
    </row>
    <row r="712" spans="1:36">
      <c r="A712" s="4">
        <v>43277</v>
      </c>
      <c r="B712" s="3" t="s">
        <v>3979</v>
      </c>
      <c r="C712" s="3" t="s">
        <v>3980</v>
      </c>
      <c r="D712" s="3" t="s">
        <v>3981</v>
      </c>
      <c r="E712" s="3" t="s">
        <v>1181</v>
      </c>
      <c r="F712" s="3" t="s">
        <v>1710</v>
      </c>
      <c r="G712" s="3">
        <v>7</v>
      </c>
      <c r="H712" s="3">
        <v>0</v>
      </c>
      <c r="I712" s="3">
        <v>7</v>
      </c>
      <c r="J712" s="3">
        <v>0</v>
      </c>
      <c r="K712" s="3">
        <v>0</v>
      </c>
      <c r="L712" s="3">
        <v>0</v>
      </c>
      <c r="M712" s="3">
        <v>0</v>
      </c>
      <c r="N712" s="3" t="s">
        <v>1711</v>
      </c>
      <c r="O712" s="3">
        <v>0</v>
      </c>
      <c r="P712" s="3">
        <v>0</v>
      </c>
      <c r="Q712" s="3">
        <v>0</v>
      </c>
      <c r="R712" s="3">
        <v>0</v>
      </c>
      <c r="S712" s="3">
        <v>4</v>
      </c>
      <c r="T712" s="3">
        <v>7</v>
      </c>
      <c r="U712" s="3">
        <v>8</v>
      </c>
      <c r="V712" s="3">
        <v>8</v>
      </c>
      <c r="W712" s="3"/>
      <c r="X712" s="3">
        <v>39.99</v>
      </c>
      <c r="Y712" s="3">
        <v>19.99</v>
      </c>
      <c r="Z712" s="3">
        <v>19.99</v>
      </c>
      <c r="AA712" s="3">
        <v>0</v>
      </c>
      <c r="AB712" s="3" t="s">
        <v>1713</v>
      </c>
      <c r="AC712" s="3">
        <v>10</v>
      </c>
      <c r="AD712" s="3">
        <v>19.99</v>
      </c>
      <c r="AE712" s="3">
        <v>0</v>
      </c>
      <c r="AF712" s="3">
        <v>0</v>
      </c>
      <c r="AG712" s="3">
        <v>0</v>
      </c>
      <c r="AH712" s="3">
        <v>1.09090909090909</v>
      </c>
      <c r="AI712" s="3" t="s">
        <v>2550</v>
      </c>
      <c r="AJ712" s="3" t="s">
        <v>1715</v>
      </c>
    </row>
    <row r="713" spans="1:36">
      <c r="A713" s="4">
        <v>43277</v>
      </c>
      <c r="B713" s="3" t="s">
        <v>346</v>
      </c>
      <c r="C713" s="3" t="s">
        <v>347</v>
      </c>
      <c r="D713" s="3" t="s">
        <v>348</v>
      </c>
      <c r="E713" s="3" t="s">
        <v>349</v>
      </c>
      <c r="F713" s="3" t="s">
        <v>1710</v>
      </c>
      <c r="G713" s="3">
        <v>5</v>
      </c>
      <c r="H713" s="3">
        <v>0</v>
      </c>
      <c r="I713" s="3">
        <v>0</v>
      </c>
      <c r="J713" s="3">
        <v>1</v>
      </c>
      <c r="K713" s="3">
        <v>4</v>
      </c>
      <c r="L713" s="3">
        <v>0</v>
      </c>
      <c r="M713" s="3">
        <v>0</v>
      </c>
      <c r="N713" s="3" t="s">
        <v>1711</v>
      </c>
      <c r="O713" s="3">
        <v>5</v>
      </c>
      <c r="P713" s="3">
        <v>4.86</v>
      </c>
      <c r="Q713" s="3">
        <v>0</v>
      </c>
      <c r="R713" s="3">
        <v>0</v>
      </c>
      <c r="S713" s="3">
        <v>0</v>
      </c>
      <c r="T713" s="3">
        <v>0</v>
      </c>
      <c r="U713" s="3">
        <v>2</v>
      </c>
      <c r="V713" s="3">
        <v>3</v>
      </c>
      <c r="W713" s="3" t="s">
        <v>1720</v>
      </c>
      <c r="X713" s="3">
        <v>18.99</v>
      </c>
      <c r="Y713" s="3">
        <v>18.99</v>
      </c>
      <c r="Z713" s="3">
        <v>18.99</v>
      </c>
      <c r="AA713" s="3">
        <v>0</v>
      </c>
      <c r="AB713" s="3" t="s">
        <v>1721</v>
      </c>
      <c r="AC713" s="3">
        <v>5</v>
      </c>
      <c r="AD713" s="3">
        <v>18.99</v>
      </c>
      <c r="AE713" s="3">
        <v>0</v>
      </c>
      <c r="AF713" s="3">
        <v>0</v>
      </c>
      <c r="AG713" s="3">
        <v>0</v>
      </c>
      <c r="AH713" s="3">
        <v>0.48</v>
      </c>
      <c r="AI713" s="3" t="s">
        <v>3117</v>
      </c>
      <c r="AJ713" s="3" t="s">
        <v>1783</v>
      </c>
    </row>
    <row r="714" spans="1:36">
      <c r="A714" s="4">
        <v>43277</v>
      </c>
      <c r="B714" s="3" t="s">
        <v>1612</v>
      </c>
      <c r="C714" s="3" t="s">
        <v>1613</v>
      </c>
      <c r="D714" s="3" t="s">
        <v>1614</v>
      </c>
      <c r="E714" s="3" t="s">
        <v>1615</v>
      </c>
      <c r="F714" s="3" t="s">
        <v>1710</v>
      </c>
      <c r="G714" s="3">
        <v>15</v>
      </c>
      <c r="H714" s="3">
        <v>0</v>
      </c>
      <c r="I714" s="3">
        <v>15</v>
      </c>
      <c r="J714" s="3">
        <v>0</v>
      </c>
      <c r="K714" s="3">
        <v>0</v>
      </c>
      <c r="L714" s="3">
        <v>0</v>
      </c>
      <c r="M714" s="3">
        <v>0</v>
      </c>
      <c r="N714" s="3" t="s">
        <v>1711</v>
      </c>
      <c r="O714" s="3">
        <v>0</v>
      </c>
      <c r="P714" s="3">
        <v>0</v>
      </c>
      <c r="Q714" s="3">
        <v>0</v>
      </c>
      <c r="R714" s="3">
        <v>0</v>
      </c>
      <c r="S714" s="3">
        <v>95</v>
      </c>
      <c r="T714" s="3">
        <v>365</v>
      </c>
      <c r="U714" s="3">
        <v>648</v>
      </c>
      <c r="V714" s="3">
        <v>840</v>
      </c>
      <c r="W714" s="3"/>
      <c r="X714" s="3">
        <v>40</v>
      </c>
      <c r="Y714" s="3">
        <v>29.99</v>
      </c>
      <c r="Z714" s="3">
        <v>28</v>
      </c>
      <c r="AA714" s="3">
        <v>0</v>
      </c>
      <c r="AB714" s="3" t="s">
        <v>1713</v>
      </c>
      <c r="AC714" s="3">
        <v>63</v>
      </c>
      <c r="AD714" s="3">
        <v>29.99</v>
      </c>
      <c r="AE714" s="3">
        <v>0</v>
      </c>
      <c r="AF714" s="3">
        <v>0</v>
      </c>
      <c r="AG714" s="3">
        <v>0</v>
      </c>
      <c r="AH714" s="3">
        <v>10.6666666666666</v>
      </c>
      <c r="AI714" s="3" t="s">
        <v>3982</v>
      </c>
      <c r="AJ714" s="3" t="s">
        <v>1715</v>
      </c>
    </row>
    <row r="715" spans="1:36">
      <c r="A715" s="4">
        <v>43277</v>
      </c>
      <c r="B715" s="3" t="s">
        <v>3983</v>
      </c>
      <c r="C715" s="3" t="s">
        <v>3984</v>
      </c>
      <c r="D715" s="3" t="s">
        <v>3985</v>
      </c>
      <c r="E715" s="3" t="s">
        <v>3986</v>
      </c>
      <c r="F715" s="3" t="s">
        <v>1710</v>
      </c>
      <c r="G715" s="3">
        <v>15</v>
      </c>
      <c r="H715" s="3">
        <v>0</v>
      </c>
      <c r="I715" s="3">
        <v>15</v>
      </c>
      <c r="J715" s="3">
        <v>0</v>
      </c>
      <c r="K715" s="3">
        <v>0</v>
      </c>
      <c r="L715" s="3">
        <v>0</v>
      </c>
      <c r="M715" s="3">
        <v>0</v>
      </c>
      <c r="N715" s="3" t="s">
        <v>1711</v>
      </c>
      <c r="O715" s="3">
        <v>0</v>
      </c>
      <c r="P715" s="3">
        <v>0</v>
      </c>
      <c r="Q715" s="3">
        <v>0</v>
      </c>
      <c r="R715" s="3">
        <v>0</v>
      </c>
      <c r="S715" s="3">
        <v>0</v>
      </c>
      <c r="T715" s="3">
        <v>1</v>
      </c>
      <c r="U715" s="3">
        <v>1</v>
      </c>
      <c r="V715" s="3">
        <v>1</v>
      </c>
      <c r="W715" s="3"/>
      <c r="X715" s="3">
        <v>28.99</v>
      </c>
      <c r="Y715" s="3">
        <v>28.99</v>
      </c>
      <c r="Z715" s="3">
        <v>28.99</v>
      </c>
      <c r="AA715" s="3">
        <v>0</v>
      </c>
      <c r="AB715" s="3" t="s">
        <v>1732</v>
      </c>
      <c r="AC715" s="3">
        <v>6</v>
      </c>
      <c r="AD715" s="3">
        <v>27.31</v>
      </c>
      <c r="AE715" s="3">
        <v>70</v>
      </c>
      <c r="AF715" s="3">
        <v>0</v>
      </c>
      <c r="AG715" s="3">
        <v>447.208884</v>
      </c>
      <c r="AH715" s="3">
        <v>0.0666666666666666</v>
      </c>
      <c r="AI715" s="3" t="s">
        <v>2065</v>
      </c>
      <c r="AJ715" s="3" t="s">
        <v>1715</v>
      </c>
    </row>
    <row r="716" spans="1:36">
      <c r="A716" s="4">
        <v>43277</v>
      </c>
      <c r="B716" s="3" t="s">
        <v>3987</v>
      </c>
      <c r="C716" s="3" t="s">
        <v>3988</v>
      </c>
      <c r="D716" s="3" t="s">
        <v>3989</v>
      </c>
      <c r="E716" s="3" t="s">
        <v>3990</v>
      </c>
      <c r="F716" s="3" t="s">
        <v>1710</v>
      </c>
      <c r="G716" s="3">
        <v>7</v>
      </c>
      <c r="H716" s="3">
        <v>0</v>
      </c>
      <c r="I716" s="3">
        <v>0</v>
      </c>
      <c r="J716" s="3">
        <v>0</v>
      </c>
      <c r="K716" s="3">
        <v>7</v>
      </c>
      <c r="L716" s="3">
        <v>0</v>
      </c>
      <c r="M716" s="3">
        <v>0</v>
      </c>
      <c r="N716" s="3" t="s">
        <v>1711</v>
      </c>
      <c r="O716" s="3">
        <v>7</v>
      </c>
      <c r="P716" s="3">
        <v>9.58</v>
      </c>
      <c r="Q716" s="3">
        <v>0</v>
      </c>
      <c r="R716" s="3">
        <v>0</v>
      </c>
      <c r="S716" s="3">
        <v>0</v>
      </c>
      <c r="T716" s="3">
        <v>0</v>
      </c>
      <c r="U716" s="3">
        <v>0</v>
      </c>
      <c r="V716" s="3">
        <v>0</v>
      </c>
      <c r="W716" s="3" t="s">
        <v>1720</v>
      </c>
      <c r="X716" s="3">
        <v>16.99</v>
      </c>
      <c r="Y716" s="3">
        <v>16.99</v>
      </c>
      <c r="Z716" s="3">
        <v>16.99</v>
      </c>
      <c r="AA716" s="3">
        <v>0</v>
      </c>
      <c r="AB716" s="3" t="s">
        <v>1732</v>
      </c>
      <c r="AC716" s="3">
        <v>0</v>
      </c>
      <c r="AD716" s="3">
        <v>14.62</v>
      </c>
      <c r="AE716" s="3">
        <v>231</v>
      </c>
      <c r="AF716" s="3">
        <v>0</v>
      </c>
      <c r="AG716" s="3">
        <v>153.813603</v>
      </c>
      <c r="AH716" s="3">
        <v>0</v>
      </c>
      <c r="AI716" s="3" t="s">
        <v>1851</v>
      </c>
      <c r="AJ716" s="3" t="s">
        <v>1715</v>
      </c>
    </row>
    <row r="717" spans="1:36">
      <c r="A717" s="4">
        <v>43277</v>
      </c>
      <c r="B717" s="3" t="s">
        <v>3991</v>
      </c>
      <c r="C717" s="3" t="s">
        <v>3992</v>
      </c>
      <c r="D717" s="3" t="s">
        <v>3993</v>
      </c>
      <c r="E717" s="3" t="s">
        <v>3994</v>
      </c>
      <c r="F717" s="3" t="s">
        <v>1710</v>
      </c>
      <c r="G717" s="3">
        <v>9</v>
      </c>
      <c r="H717" s="3">
        <v>0</v>
      </c>
      <c r="I717" s="3">
        <v>0</v>
      </c>
      <c r="J717" s="3">
        <v>1</v>
      </c>
      <c r="K717" s="3">
        <v>8</v>
      </c>
      <c r="L717" s="3">
        <v>0</v>
      </c>
      <c r="M717" s="3">
        <v>0</v>
      </c>
      <c r="N717" s="3" t="s">
        <v>1711</v>
      </c>
      <c r="O717" s="3">
        <v>8</v>
      </c>
      <c r="P717" s="3">
        <v>12.5</v>
      </c>
      <c r="Q717" s="3">
        <v>0</v>
      </c>
      <c r="R717" s="3">
        <v>0</v>
      </c>
      <c r="S717" s="3">
        <v>0</v>
      </c>
      <c r="T717" s="3">
        <v>0</v>
      </c>
      <c r="U717" s="3">
        <v>0</v>
      </c>
      <c r="V717" s="3">
        <v>0</v>
      </c>
      <c r="W717" s="3" t="s">
        <v>1720</v>
      </c>
      <c r="X717" s="3">
        <v>18.99</v>
      </c>
      <c r="Y717" s="3">
        <v>18.99</v>
      </c>
      <c r="Z717" s="3">
        <v>18.99</v>
      </c>
      <c r="AA717" s="3">
        <v>0</v>
      </c>
      <c r="AB717" s="3" t="s">
        <v>1732</v>
      </c>
      <c r="AC717" s="3">
        <v>0</v>
      </c>
      <c r="AD717" s="3">
        <v>16.29</v>
      </c>
      <c r="AE717" s="3">
        <v>189</v>
      </c>
      <c r="AF717" s="3">
        <v>0</v>
      </c>
      <c r="AG717" s="3">
        <v>230.705775</v>
      </c>
      <c r="AH717" s="3">
        <v>0</v>
      </c>
      <c r="AI717" s="3" t="s">
        <v>2002</v>
      </c>
      <c r="AJ717" s="3" t="s">
        <v>1715</v>
      </c>
    </row>
    <row r="718" spans="1:36">
      <c r="A718" s="4">
        <v>43277</v>
      </c>
      <c r="B718" s="3" t="s">
        <v>3995</v>
      </c>
      <c r="C718" s="3" t="s">
        <v>3996</v>
      </c>
      <c r="D718" s="3" t="s">
        <v>3997</v>
      </c>
      <c r="E718" s="3" t="s">
        <v>2495</v>
      </c>
      <c r="F718" s="3" t="s">
        <v>1710</v>
      </c>
      <c r="G718" s="3">
        <v>15</v>
      </c>
      <c r="H718" s="3">
        <v>0</v>
      </c>
      <c r="I718" s="3">
        <v>15</v>
      </c>
      <c r="J718" s="3">
        <v>0</v>
      </c>
      <c r="K718" s="3">
        <v>0</v>
      </c>
      <c r="L718" s="3">
        <v>0</v>
      </c>
      <c r="M718" s="3">
        <v>0</v>
      </c>
      <c r="N718" s="3" t="s">
        <v>1711</v>
      </c>
      <c r="O718" s="3">
        <v>0</v>
      </c>
      <c r="P718" s="3">
        <v>0</v>
      </c>
      <c r="Q718" s="3">
        <v>0</v>
      </c>
      <c r="R718" s="3">
        <v>0</v>
      </c>
      <c r="S718" s="3">
        <v>0</v>
      </c>
      <c r="T718" s="3">
        <v>0</v>
      </c>
      <c r="U718" s="3">
        <v>0</v>
      </c>
      <c r="V718" s="3">
        <v>0</v>
      </c>
      <c r="W718" s="3" t="s">
        <v>1720</v>
      </c>
      <c r="X718" s="3">
        <v>15.99</v>
      </c>
      <c r="Y718" s="3">
        <v>15.99</v>
      </c>
      <c r="Z718" s="3">
        <v>15.99</v>
      </c>
      <c r="AA718" s="3">
        <v>0</v>
      </c>
      <c r="AB718" s="3" t="s">
        <v>1721</v>
      </c>
      <c r="AC718" s="3">
        <v>0</v>
      </c>
      <c r="AD718" s="3">
        <v>12.79</v>
      </c>
      <c r="AE718" s="3">
        <v>63</v>
      </c>
      <c r="AF718" s="3">
        <v>0</v>
      </c>
      <c r="AG718" s="3">
        <v>160.761652</v>
      </c>
      <c r="AH718" s="3">
        <v>0</v>
      </c>
      <c r="AI718" s="3" t="s">
        <v>2758</v>
      </c>
      <c r="AJ718" s="3" t="s">
        <v>1715</v>
      </c>
    </row>
    <row r="719" spans="1:36">
      <c r="A719" s="4">
        <v>43277</v>
      </c>
      <c r="B719" s="3" t="s">
        <v>971</v>
      </c>
      <c r="C719" s="3" t="s">
        <v>972</v>
      </c>
      <c r="D719" s="3" t="s">
        <v>973</v>
      </c>
      <c r="E719" s="3" t="s">
        <v>974</v>
      </c>
      <c r="F719" s="3" t="s">
        <v>1710</v>
      </c>
      <c r="G719" s="3">
        <v>19</v>
      </c>
      <c r="H719" s="3">
        <v>0</v>
      </c>
      <c r="I719" s="3">
        <v>19</v>
      </c>
      <c r="J719" s="3">
        <v>0</v>
      </c>
      <c r="K719" s="3">
        <v>0</v>
      </c>
      <c r="L719" s="3">
        <v>0</v>
      </c>
      <c r="M719" s="3">
        <v>0</v>
      </c>
      <c r="N719" s="3" t="s">
        <v>1711</v>
      </c>
      <c r="O719" s="3">
        <v>0</v>
      </c>
      <c r="P719" s="3">
        <v>0</v>
      </c>
      <c r="Q719" s="3">
        <v>0</v>
      </c>
      <c r="R719" s="3">
        <v>0</v>
      </c>
      <c r="S719" s="3">
        <v>0</v>
      </c>
      <c r="T719" s="3">
        <v>0</v>
      </c>
      <c r="U719" s="3">
        <v>0</v>
      </c>
      <c r="V719" s="3">
        <v>0</v>
      </c>
      <c r="W719" s="3" t="s">
        <v>1712</v>
      </c>
      <c r="X719" s="3">
        <v>28.58</v>
      </c>
      <c r="Y719" s="3">
        <v>28.58</v>
      </c>
      <c r="Z719" s="3">
        <v>28.58</v>
      </c>
      <c r="AA719" s="3">
        <v>0</v>
      </c>
      <c r="AB719" s="3" t="s">
        <v>1713</v>
      </c>
      <c r="AC719" s="3">
        <v>0</v>
      </c>
      <c r="AD719" s="3">
        <v>0</v>
      </c>
      <c r="AE719" s="3">
        <v>0</v>
      </c>
      <c r="AF719" s="3">
        <v>0</v>
      </c>
      <c r="AG719" s="3">
        <v>0</v>
      </c>
      <c r="AH719" s="3">
        <v>0</v>
      </c>
      <c r="AI719" s="3" t="s">
        <v>1751</v>
      </c>
      <c r="AJ719" s="3" t="s">
        <v>1715</v>
      </c>
    </row>
    <row r="720" spans="1:36">
      <c r="A720" s="4">
        <v>43277</v>
      </c>
      <c r="B720" s="3" t="s">
        <v>3998</v>
      </c>
      <c r="C720" s="3" t="s">
        <v>3999</v>
      </c>
      <c r="D720" s="3" t="s">
        <v>4000</v>
      </c>
      <c r="E720" s="3" t="s">
        <v>4001</v>
      </c>
      <c r="F720" s="3" t="s">
        <v>1710</v>
      </c>
      <c r="G720" s="3">
        <v>1</v>
      </c>
      <c r="H720" s="3">
        <v>0</v>
      </c>
      <c r="I720" s="3">
        <v>1</v>
      </c>
      <c r="J720" s="3">
        <v>0</v>
      </c>
      <c r="K720" s="3">
        <v>0</v>
      </c>
      <c r="L720" s="3">
        <v>0</v>
      </c>
      <c r="M720" s="3">
        <v>0</v>
      </c>
      <c r="N720" s="3" t="s">
        <v>1711</v>
      </c>
      <c r="O720" s="3">
        <v>0</v>
      </c>
      <c r="P720" s="3">
        <v>0</v>
      </c>
      <c r="Q720" s="3">
        <v>0</v>
      </c>
      <c r="R720" s="3">
        <v>0</v>
      </c>
      <c r="S720" s="3">
        <v>9</v>
      </c>
      <c r="T720" s="3">
        <v>44</v>
      </c>
      <c r="U720" s="3">
        <v>87</v>
      </c>
      <c r="V720" s="3">
        <v>107</v>
      </c>
      <c r="W720" s="3"/>
      <c r="X720" s="3">
        <v>26.99</v>
      </c>
      <c r="Y720" s="3">
        <v>26.99</v>
      </c>
      <c r="Z720" s="3">
        <v>26.99</v>
      </c>
      <c r="AA720" s="3">
        <v>0</v>
      </c>
      <c r="AB720" s="3" t="s">
        <v>1713</v>
      </c>
      <c r="AC720" s="3">
        <v>4</v>
      </c>
      <c r="AD720" s="3">
        <v>26.99</v>
      </c>
      <c r="AE720" s="3">
        <v>0</v>
      </c>
      <c r="AF720" s="3">
        <v>0</v>
      </c>
      <c r="AG720" s="3">
        <v>0</v>
      </c>
      <c r="AH720" s="3">
        <v>6.38805970149253</v>
      </c>
      <c r="AI720" s="3" t="s">
        <v>2071</v>
      </c>
      <c r="AJ720" s="3" t="s">
        <v>1715</v>
      </c>
    </row>
    <row r="721" spans="1:36">
      <c r="A721" s="4">
        <v>43277</v>
      </c>
      <c r="B721" s="3" t="s">
        <v>4002</v>
      </c>
      <c r="C721" s="3" t="s">
        <v>4003</v>
      </c>
      <c r="D721" s="3" t="s">
        <v>4004</v>
      </c>
      <c r="E721" s="3" t="s">
        <v>4005</v>
      </c>
      <c r="F721" s="3" t="s">
        <v>1710</v>
      </c>
      <c r="G721" s="3">
        <v>3</v>
      </c>
      <c r="H721" s="3">
        <v>0</v>
      </c>
      <c r="I721" s="3">
        <v>0</v>
      </c>
      <c r="J721" s="3">
        <v>3</v>
      </c>
      <c r="K721" s="3">
        <v>0</v>
      </c>
      <c r="L721" s="3">
        <v>0</v>
      </c>
      <c r="M721" s="3">
        <v>0</v>
      </c>
      <c r="N721" s="3" t="s">
        <v>1711</v>
      </c>
      <c r="O721" s="3">
        <v>0</v>
      </c>
      <c r="P721" s="3">
        <v>0</v>
      </c>
      <c r="Q721" s="3">
        <v>0</v>
      </c>
      <c r="R721" s="3">
        <v>0</v>
      </c>
      <c r="S721" s="3">
        <v>0</v>
      </c>
      <c r="T721" s="3">
        <v>1</v>
      </c>
      <c r="U721" s="3">
        <v>2</v>
      </c>
      <c r="V721" s="3">
        <v>3</v>
      </c>
      <c r="W721" s="3" t="s">
        <v>1720</v>
      </c>
      <c r="X721" s="3">
        <v>15.99</v>
      </c>
      <c r="Y721" s="3">
        <v>15.99</v>
      </c>
      <c r="Z721" s="3">
        <v>15.99</v>
      </c>
      <c r="AA721" s="3">
        <v>0</v>
      </c>
      <c r="AB721" s="3" t="s">
        <v>1721</v>
      </c>
      <c r="AC721" s="3">
        <v>3</v>
      </c>
      <c r="AD721" s="3">
        <v>15.99</v>
      </c>
      <c r="AE721" s="3">
        <v>0</v>
      </c>
      <c r="AF721" s="3">
        <v>0</v>
      </c>
      <c r="AG721" s="3">
        <v>0</v>
      </c>
      <c r="AH721" s="3">
        <v>0.666666666666666</v>
      </c>
      <c r="AI721" s="3" t="s">
        <v>4006</v>
      </c>
      <c r="AJ721" s="3" t="s">
        <v>1715</v>
      </c>
    </row>
    <row r="722" spans="1:36">
      <c r="A722" s="4">
        <v>43277</v>
      </c>
      <c r="B722" s="3" t="s">
        <v>4007</v>
      </c>
      <c r="C722" s="3" t="s">
        <v>4008</v>
      </c>
      <c r="D722" s="3" t="s">
        <v>4009</v>
      </c>
      <c r="E722" s="3" t="s">
        <v>4010</v>
      </c>
      <c r="F722" s="3" t="s">
        <v>1710</v>
      </c>
      <c r="G722" s="3">
        <v>1</v>
      </c>
      <c r="H722" s="3">
        <v>0</v>
      </c>
      <c r="I722" s="3">
        <v>0</v>
      </c>
      <c r="J722" s="3">
        <v>1</v>
      </c>
      <c r="K722" s="3">
        <v>0</v>
      </c>
      <c r="L722" s="3">
        <v>0</v>
      </c>
      <c r="M722" s="3">
        <v>0</v>
      </c>
      <c r="N722" s="3" t="s">
        <v>1711</v>
      </c>
      <c r="O722" s="3">
        <v>1</v>
      </c>
      <c r="P722" s="3">
        <v>1.81</v>
      </c>
      <c r="Q722" s="3">
        <v>0</v>
      </c>
      <c r="R722" s="3">
        <v>0</v>
      </c>
      <c r="S722" s="3">
        <v>0</v>
      </c>
      <c r="T722" s="3">
        <v>0</v>
      </c>
      <c r="U722" s="3">
        <v>0</v>
      </c>
      <c r="V722" s="3">
        <v>0</v>
      </c>
      <c r="W722" s="3" t="s">
        <v>1720</v>
      </c>
      <c r="X722" s="3">
        <v>18.99</v>
      </c>
      <c r="Y722" s="3">
        <v>18.99</v>
      </c>
      <c r="Z722" s="3">
        <v>18.99</v>
      </c>
      <c r="AA722" s="3">
        <v>0</v>
      </c>
      <c r="AB722" s="3" t="s">
        <v>1721</v>
      </c>
      <c r="AC722" s="3">
        <v>1</v>
      </c>
      <c r="AD722" s="3">
        <v>18.99</v>
      </c>
      <c r="AE722" s="3">
        <v>0</v>
      </c>
      <c r="AF722" s="3">
        <v>0</v>
      </c>
      <c r="AG722" s="3">
        <v>0</v>
      </c>
      <c r="AH722" s="3">
        <v>0</v>
      </c>
      <c r="AI722" s="3" t="s">
        <v>4011</v>
      </c>
      <c r="AJ722" s="3" t="s">
        <v>1783</v>
      </c>
    </row>
    <row r="723" spans="1:36">
      <c r="A723" s="4">
        <v>43277</v>
      </c>
      <c r="B723" s="3" t="s">
        <v>391</v>
      </c>
      <c r="C723" s="3" t="s">
        <v>392</v>
      </c>
      <c r="D723" s="3" t="s">
        <v>393</v>
      </c>
      <c r="E723" s="3" t="s">
        <v>394</v>
      </c>
      <c r="F723" s="3" t="s">
        <v>1710</v>
      </c>
      <c r="G723" s="3">
        <v>49</v>
      </c>
      <c r="H723" s="3">
        <v>0</v>
      </c>
      <c r="I723" s="3">
        <v>49</v>
      </c>
      <c r="J723" s="3">
        <v>0</v>
      </c>
      <c r="K723" s="3">
        <v>0</v>
      </c>
      <c r="L723" s="3">
        <v>0</v>
      </c>
      <c r="M723" s="3">
        <v>0</v>
      </c>
      <c r="N723" s="3" t="s">
        <v>1711</v>
      </c>
      <c r="O723" s="3">
        <v>0</v>
      </c>
      <c r="P723" s="3">
        <v>0</v>
      </c>
      <c r="Q723" s="3">
        <v>0</v>
      </c>
      <c r="R723" s="3">
        <v>0</v>
      </c>
      <c r="S723" s="3">
        <v>6</v>
      </c>
      <c r="T723" s="3">
        <v>21</v>
      </c>
      <c r="U723" s="3">
        <v>57</v>
      </c>
      <c r="V723" s="3">
        <v>75</v>
      </c>
      <c r="W723" s="3"/>
      <c r="X723" s="3">
        <v>32.99</v>
      </c>
      <c r="Y723" s="3">
        <v>28.58</v>
      </c>
      <c r="Z723" s="3">
        <v>28.58</v>
      </c>
      <c r="AA723" s="3">
        <v>0</v>
      </c>
      <c r="AB723" s="3" t="s">
        <v>1713</v>
      </c>
      <c r="AC723" s="3">
        <v>11</v>
      </c>
      <c r="AD723" s="3">
        <v>28.58</v>
      </c>
      <c r="AE723" s="3">
        <v>0</v>
      </c>
      <c r="AF723" s="3">
        <v>0</v>
      </c>
      <c r="AG723" s="3">
        <v>0</v>
      </c>
      <c r="AH723" s="3">
        <v>3.89610389610389</v>
      </c>
      <c r="AI723" s="3" t="s">
        <v>1734</v>
      </c>
      <c r="AJ723" s="3" t="s">
        <v>1715</v>
      </c>
    </row>
    <row r="724" spans="1:36">
      <c r="A724" s="4">
        <v>43277</v>
      </c>
      <c r="B724" s="3" t="s">
        <v>4012</v>
      </c>
      <c r="C724" s="3" t="s">
        <v>4013</v>
      </c>
      <c r="D724" s="3" t="s">
        <v>4014</v>
      </c>
      <c r="E724" s="3" t="s">
        <v>4015</v>
      </c>
      <c r="F724" s="3" t="s">
        <v>1710</v>
      </c>
      <c r="G724" s="3">
        <v>1</v>
      </c>
      <c r="H724" s="3">
        <v>0</v>
      </c>
      <c r="I724" s="3">
        <v>0</v>
      </c>
      <c r="J724" s="3">
        <v>0</v>
      </c>
      <c r="K724" s="3">
        <v>1</v>
      </c>
      <c r="L724" s="3">
        <v>0</v>
      </c>
      <c r="M724" s="3">
        <v>0</v>
      </c>
      <c r="N724" s="3" t="s">
        <v>1711</v>
      </c>
      <c r="O724" s="3">
        <v>1</v>
      </c>
      <c r="P724" s="3">
        <v>1.3</v>
      </c>
      <c r="Q724" s="3">
        <v>0</v>
      </c>
      <c r="R724" s="3">
        <v>0</v>
      </c>
      <c r="S724" s="3">
        <v>0</v>
      </c>
      <c r="T724" s="3">
        <v>0</v>
      </c>
      <c r="U724" s="3">
        <v>1</v>
      </c>
      <c r="V724" s="3">
        <v>1</v>
      </c>
      <c r="W724" s="3" t="s">
        <v>1720</v>
      </c>
      <c r="X724" s="3">
        <v>17.99</v>
      </c>
      <c r="Y724" s="3">
        <v>17.99</v>
      </c>
      <c r="Z724" s="3">
        <v>17.99</v>
      </c>
      <c r="AA724" s="3">
        <v>0</v>
      </c>
      <c r="AB724" s="3" t="s">
        <v>1721</v>
      </c>
      <c r="AC724" s="3">
        <v>1</v>
      </c>
      <c r="AD724" s="3">
        <v>17.99</v>
      </c>
      <c r="AE724" s="3">
        <v>0</v>
      </c>
      <c r="AF724" s="3">
        <v>0</v>
      </c>
      <c r="AG724" s="3">
        <v>0</v>
      </c>
      <c r="AH724" s="3">
        <v>0.666666666666666</v>
      </c>
      <c r="AI724" s="3" t="s">
        <v>2165</v>
      </c>
      <c r="AJ724" s="3" t="s">
        <v>1715</v>
      </c>
    </row>
    <row r="725" spans="1:36">
      <c r="A725" s="4">
        <v>43277</v>
      </c>
      <c r="B725" s="3" t="s">
        <v>4016</v>
      </c>
      <c r="C725" s="3" t="s">
        <v>4017</v>
      </c>
      <c r="D725" s="3" t="s">
        <v>4018</v>
      </c>
      <c r="E725" s="3" t="s">
        <v>1404</v>
      </c>
      <c r="F725" s="3" t="s">
        <v>1710</v>
      </c>
      <c r="G725" s="3">
        <v>34</v>
      </c>
      <c r="H725" s="3">
        <v>0</v>
      </c>
      <c r="I725" s="3">
        <v>34</v>
      </c>
      <c r="J725" s="3">
        <v>0</v>
      </c>
      <c r="K725" s="3">
        <v>0</v>
      </c>
      <c r="L725" s="3">
        <v>0</v>
      </c>
      <c r="M725" s="3">
        <v>0</v>
      </c>
      <c r="N725" s="3" t="s">
        <v>1711</v>
      </c>
      <c r="O725" s="3">
        <v>0</v>
      </c>
      <c r="P725" s="3">
        <v>0</v>
      </c>
      <c r="Q725" s="3">
        <v>0</v>
      </c>
      <c r="R725" s="3">
        <v>0</v>
      </c>
      <c r="S725" s="3">
        <v>3</v>
      </c>
      <c r="T725" s="3">
        <v>24</v>
      </c>
      <c r="U725" s="3">
        <v>41</v>
      </c>
      <c r="V725" s="3">
        <v>53</v>
      </c>
      <c r="W725" s="3"/>
      <c r="X725" s="3">
        <v>49.99</v>
      </c>
      <c r="Y725" s="3">
        <v>25.99</v>
      </c>
      <c r="Z725" s="3">
        <v>25.99</v>
      </c>
      <c r="AA725" s="3">
        <v>0</v>
      </c>
      <c r="AB725" s="3" t="s">
        <v>1713</v>
      </c>
      <c r="AC725" s="3">
        <v>30</v>
      </c>
      <c r="AD725" s="3">
        <v>25.99</v>
      </c>
      <c r="AE725" s="3">
        <v>0</v>
      </c>
      <c r="AF725" s="3">
        <v>0</v>
      </c>
      <c r="AG725" s="3">
        <v>0</v>
      </c>
      <c r="AH725" s="3">
        <v>3.85454545454545</v>
      </c>
      <c r="AI725" s="3" t="s">
        <v>2351</v>
      </c>
      <c r="AJ725" s="3" t="s">
        <v>1715</v>
      </c>
    </row>
    <row r="726" spans="1:36">
      <c r="A726" s="4">
        <v>43277</v>
      </c>
      <c r="B726" s="3" t="s">
        <v>4019</v>
      </c>
      <c r="C726" s="3" t="s">
        <v>4020</v>
      </c>
      <c r="D726" s="3" t="s">
        <v>4021</v>
      </c>
      <c r="E726" s="3" t="s">
        <v>4022</v>
      </c>
      <c r="F726" s="3" t="s">
        <v>1710</v>
      </c>
      <c r="G726" s="3">
        <v>14</v>
      </c>
      <c r="H726" s="3">
        <v>0</v>
      </c>
      <c r="I726" s="3">
        <v>14</v>
      </c>
      <c r="J726" s="3">
        <v>0</v>
      </c>
      <c r="K726" s="3">
        <v>0</v>
      </c>
      <c r="L726" s="3">
        <v>0</v>
      </c>
      <c r="M726" s="3">
        <v>0</v>
      </c>
      <c r="N726" s="3" t="s">
        <v>1711</v>
      </c>
      <c r="O726" s="3">
        <v>0</v>
      </c>
      <c r="P726" s="3">
        <v>0</v>
      </c>
      <c r="Q726" s="3">
        <v>0</v>
      </c>
      <c r="R726" s="3">
        <v>0</v>
      </c>
      <c r="S726" s="3">
        <v>1</v>
      </c>
      <c r="T726" s="3">
        <v>1</v>
      </c>
      <c r="U726" s="3">
        <v>1</v>
      </c>
      <c r="V726" s="3">
        <v>1</v>
      </c>
      <c r="W726" s="3"/>
      <c r="X726" s="3">
        <v>28.99</v>
      </c>
      <c r="Y726" s="3">
        <v>28.99</v>
      </c>
      <c r="Z726" s="3">
        <v>28.99</v>
      </c>
      <c r="AA726" s="3">
        <v>0</v>
      </c>
      <c r="AB726" s="3" t="s">
        <v>1713</v>
      </c>
      <c r="AC726" s="3">
        <v>14</v>
      </c>
      <c r="AD726" s="3">
        <v>28.99</v>
      </c>
      <c r="AE726" s="3">
        <v>0</v>
      </c>
      <c r="AF726" s="3">
        <v>0</v>
      </c>
      <c r="AG726" s="3">
        <v>0</v>
      </c>
      <c r="AH726" s="3">
        <v>0.0714285714285714</v>
      </c>
      <c r="AI726" s="3" t="s">
        <v>2065</v>
      </c>
      <c r="AJ726" s="3" t="s">
        <v>1715</v>
      </c>
    </row>
    <row r="727" spans="1:36">
      <c r="A727" s="4">
        <v>43277</v>
      </c>
      <c r="B727" s="3" t="s">
        <v>32</v>
      </c>
      <c r="C727" s="3" t="s">
        <v>33</v>
      </c>
      <c r="D727" s="3" t="s">
        <v>34</v>
      </c>
      <c r="E727" s="3" t="s">
        <v>4023</v>
      </c>
      <c r="F727" s="3" t="s">
        <v>1710</v>
      </c>
      <c r="G727" s="3">
        <v>39</v>
      </c>
      <c r="H727" s="3">
        <v>0</v>
      </c>
      <c r="I727" s="3">
        <v>39</v>
      </c>
      <c r="J727" s="3">
        <v>0</v>
      </c>
      <c r="K727" s="3">
        <v>0</v>
      </c>
      <c r="L727" s="3">
        <v>0</v>
      </c>
      <c r="M727" s="3">
        <v>0</v>
      </c>
      <c r="N727" s="3" t="s">
        <v>1711</v>
      </c>
      <c r="O727" s="3">
        <v>0</v>
      </c>
      <c r="P727" s="3">
        <v>0</v>
      </c>
      <c r="Q727" s="3">
        <v>0</v>
      </c>
      <c r="R727" s="3">
        <v>0</v>
      </c>
      <c r="S727" s="3">
        <v>16</v>
      </c>
      <c r="T727" s="3">
        <v>59</v>
      </c>
      <c r="U727" s="3">
        <v>100</v>
      </c>
      <c r="V727" s="3">
        <v>125</v>
      </c>
      <c r="W727" s="3"/>
      <c r="X727" s="3">
        <v>28.99</v>
      </c>
      <c r="Y727" s="3">
        <v>15.99</v>
      </c>
      <c r="Z727" s="3">
        <v>15.55</v>
      </c>
      <c r="AA727" s="3">
        <v>0</v>
      </c>
      <c r="AB727" s="3" t="s">
        <v>1713</v>
      </c>
      <c r="AC727" s="3">
        <v>0</v>
      </c>
      <c r="AD727" s="3">
        <v>0</v>
      </c>
      <c r="AE727" s="3">
        <v>0</v>
      </c>
      <c r="AF727" s="3">
        <v>0</v>
      </c>
      <c r="AG727" s="3">
        <v>0</v>
      </c>
      <c r="AH727" s="3">
        <v>6.75675675675675</v>
      </c>
      <c r="AI727" s="3" t="s">
        <v>2082</v>
      </c>
      <c r="AJ727" s="3" t="s">
        <v>1715</v>
      </c>
    </row>
    <row r="728" spans="1:36">
      <c r="A728" s="4">
        <v>43277</v>
      </c>
      <c r="B728" s="3" t="s">
        <v>4024</v>
      </c>
      <c r="C728" s="3" t="s">
        <v>4025</v>
      </c>
      <c r="D728" s="3" t="s">
        <v>4026</v>
      </c>
      <c r="E728" s="3" t="s">
        <v>898</v>
      </c>
      <c r="F728" s="3" t="s">
        <v>1710</v>
      </c>
      <c r="G728" s="3">
        <v>8</v>
      </c>
      <c r="H728" s="3">
        <v>0</v>
      </c>
      <c r="I728" s="3">
        <v>8</v>
      </c>
      <c r="J728" s="3">
        <v>0</v>
      </c>
      <c r="K728" s="3">
        <v>0</v>
      </c>
      <c r="L728" s="3">
        <v>0</v>
      </c>
      <c r="M728" s="3">
        <v>0</v>
      </c>
      <c r="N728" s="3" t="s">
        <v>1711</v>
      </c>
      <c r="O728" s="3">
        <v>0</v>
      </c>
      <c r="P728" s="3">
        <v>0</v>
      </c>
      <c r="Q728" s="3">
        <v>0</v>
      </c>
      <c r="R728" s="3">
        <v>0</v>
      </c>
      <c r="S728" s="3">
        <v>0</v>
      </c>
      <c r="T728" s="3">
        <v>0</v>
      </c>
      <c r="U728" s="3">
        <v>0</v>
      </c>
      <c r="V728" s="3">
        <v>0</v>
      </c>
      <c r="W728" s="3" t="s">
        <v>1720</v>
      </c>
      <c r="X728" s="3">
        <v>15.99</v>
      </c>
      <c r="Y728" s="3">
        <v>15.99</v>
      </c>
      <c r="Z728" s="3">
        <v>15.99</v>
      </c>
      <c r="AA728" s="3">
        <v>0</v>
      </c>
      <c r="AB728" s="3" t="s">
        <v>1732</v>
      </c>
      <c r="AC728" s="3">
        <v>0</v>
      </c>
      <c r="AD728" s="3">
        <v>12.99</v>
      </c>
      <c r="AE728" s="3">
        <v>63</v>
      </c>
      <c r="AF728" s="3">
        <v>0</v>
      </c>
      <c r="AG728" s="3">
        <v>64.983403</v>
      </c>
      <c r="AH728" s="3">
        <v>0</v>
      </c>
      <c r="AI728" s="3" t="s">
        <v>4027</v>
      </c>
      <c r="AJ728" s="3" t="s">
        <v>1715</v>
      </c>
    </row>
    <row r="729" spans="1:36">
      <c r="A729" s="4">
        <v>43277</v>
      </c>
      <c r="B729" s="3" t="s">
        <v>152</v>
      </c>
      <c r="C729" s="3" t="s">
        <v>153</v>
      </c>
      <c r="D729" s="3" t="s">
        <v>154</v>
      </c>
      <c r="E729" s="3" t="s">
        <v>155</v>
      </c>
      <c r="F729" s="3" t="s">
        <v>1710</v>
      </c>
      <c r="G729" s="3">
        <v>13</v>
      </c>
      <c r="H729" s="3">
        <v>0</v>
      </c>
      <c r="I729" s="3">
        <v>13</v>
      </c>
      <c r="J729" s="3">
        <v>0</v>
      </c>
      <c r="K729" s="3">
        <v>0</v>
      </c>
      <c r="L729" s="3">
        <v>0</v>
      </c>
      <c r="M729" s="3">
        <v>0</v>
      </c>
      <c r="N729" s="3" t="s">
        <v>1711</v>
      </c>
      <c r="O729" s="3">
        <v>0</v>
      </c>
      <c r="P729" s="3">
        <v>0</v>
      </c>
      <c r="Q729" s="3">
        <v>0</v>
      </c>
      <c r="R729" s="3">
        <v>0</v>
      </c>
      <c r="S729" s="3">
        <v>5</v>
      </c>
      <c r="T729" s="3">
        <v>20</v>
      </c>
      <c r="U729" s="3">
        <v>39</v>
      </c>
      <c r="V729" s="3">
        <v>57</v>
      </c>
      <c r="W729" s="3"/>
      <c r="X729" s="3">
        <v>28.99</v>
      </c>
      <c r="Y729" s="3">
        <v>14.99</v>
      </c>
      <c r="Z729" s="3">
        <v>14.99</v>
      </c>
      <c r="AA729" s="3">
        <v>0</v>
      </c>
      <c r="AB729" s="3" t="s">
        <v>1713</v>
      </c>
      <c r="AC729" s="3">
        <v>15</v>
      </c>
      <c r="AD729" s="3">
        <v>14.99</v>
      </c>
      <c r="AE729" s="3">
        <v>0</v>
      </c>
      <c r="AF729" s="3">
        <v>0</v>
      </c>
      <c r="AG729" s="3">
        <v>0</v>
      </c>
      <c r="AH729" s="3">
        <v>3.5076923076923</v>
      </c>
      <c r="AI729" s="3" t="s">
        <v>2467</v>
      </c>
      <c r="AJ729" s="3" t="s">
        <v>1715</v>
      </c>
    </row>
    <row r="730" spans="1:36">
      <c r="A730" s="4">
        <v>43277</v>
      </c>
      <c r="B730" s="3" t="s">
        <v>4028</v>
      </c>
      <c r="C730" s="3" t="s">
        <v>4029</v>
      </c>
      <c r="D730" s="3" t="s">
        <v>4030</v>
      </c>
      <c r="E730" s="3" t="s">
        <v>4031</v>
      </c>
      <c r="F730" s="3" t="s">
        <v>1710</v>
      </c>
      <c r="G730" s="3">
        <v>1</v>
      </c>
      <c r="H730" s="3">
        <v>0</v>
      </c>
      <c r="I730" s="3">
        <v>0</v>
      </c>
      <c r="J730" s="3">
        <v>0</v>
      </c>
      <c r="K730" s="3">
        <v>0</v>
      </c>
      <c r="L730" s="3">
        <v>1</v>
      </c>
      <c r="M730" s="3">
        <v>0</v>
      </c>
      <c r="N730" s="3" t="s">
        <v>1711</v>
      </c>
      <c r="O730" s="3">
        <v>0</v>
      </c>
      <c r="P730" s="3">
        <v>0</v>
      </c>
      <c r="Q730" s="3">
        <v>1</v>
      </c>
      <c r="R730" s="3">
        <v>2.54</v>
      </c>
      <c r="S730" s="3">
        <v>0</v>
      </c>
      <c r="T730" s="3">
        <v>2</v>
      </c>
      <c r="U730" s="3">
        <v>2</v>
      </c>
      <c r="V730" s="3">
        <v>5</v>
      </c>
      <c r="W730" s="3" t="s">
        <v>1712</v>
      </c>
      <c r="X730" s="3">
        <v>21.58</v>
      </c>
      <c r="Y730" s="3">
        <v>21.58</v>
      </c>
      <c r="Z730" s="3">
        <v>21.58</v>
      </c>
      <c r="AA730" s="3">
        <v>0</v>
      </c>
      <c r="AB730" s="3" t="s">
        <v>1732</v>
      </c>
      <c r="AC730" s="3">
        <v>0</v>
      </c>
      <c r="AD730" s="3">
        <v>17.26</v>
      </c>
      <c r="AE730" s="3">
        <v>63</v>
      </c>
      <c r="AF730" s="3">
        <v>0</v>
      </c>
      <c r="AG730" s="3">
        <v>2.84971</v>
      </c>
      <c r="AH730" s="3">
        <v>1.33333333333333</v>
      </c>
      <c r="AI730" s="3" t="s">
        <v>2203</v>
      </c>
      <c r="AJ730" s="3" t="s">
        <v>1715</v>
      </c>
    </row>
    <row r="731" spans="1:36">
      <c r="A731" s="4">
        <v>43277</v>
      </c>
      <c r="B731" s="3" t="s">
        <v>4032</v>
      </c>
      <c r="C731" s="3" t="s">
        <v>4033</v>
      </c>
      <c r="D731" s="3" t="s">
        <v>4034</v>
      </c>
      <c r="E731" s="3" t="s">
        <v>2462</v>
      </c>
      <c r="F731" s="3" t="s">
        <v>1710</v>
      </c>
      <c r="G731" s="3">
        <v>6</v>
      </c>
      <c r="H731" s="3">
        <v>0</v>
      </c>
      <c r="I731" s="3">
        <v>6</v>
      </c>
      <c r="J731" s="3">
        <v>0</v>
      </c>
      <c r="K731" s="3">
        <v>0</v>
      </c>
      <c r="L731" s="3">
        <v>0</v>
      </c>
      <c r="M731" s="3">
        <v>0</v>
      </c>
      <c r="N731" s="3" t="s">
        <v>1711</v>
      </c>
      <c r="O731" s="3">
        <v>0</v>
      </c>
      <c r="P731" s="3">
        <v>0</v>
      </c>
      <c r="Q731" s="3">
        <v>0</v>
      </c>
      <c r="R731" s="3">
        <v>0</v>
      </c>
      <c r="S731" s="3">
        <v>0</v>
      </c>
      <c r="T731" s="3">
        <v>4</v>
      </c>
      <c r="U731" s="3">
        <v>4</v>
      </c>
      <c r="V731" s="3">
        <v>4</v>
      </c>
      <c r="W731" s="3"/>
      <c r="X731" s="3">
        <v>21.99</v>
      </c>
      <c r="Y731" s="3">
        <v>21.99</v>
      </c>
      <c r="Z731" s="3">
        <v>21.99</v>
      </c>
      <c r="AA731" s="3">
        <v>0</v>
      </c>
      <c r="AB731" s="3" t="s">
        <v>1713</v>
      </c>
      <c r="AC731" s="3">
        <v>6</v>
      </c>
      <c r="AD731" s="3">
        <v>21.99</v>
      </c>
      <c r="AE731" s="3">
        <v>0</v>
      </c>
      <c r="AF731" s="3">
        <v>0</v>
      </c>
      <c r="AG731" s="3">
        <v>0</v>
      </c>
      <c r="AH731" s="3">
        <v>1.33333333333333</v>
      </c>
      <c r="AI731" s="3" t="s">
        <v>2573</v>
      </c>
      <c r="AJ731" s="3" t="s">
        <v>1715</v>
      </c>
    </row>
    <row r="732" spans="1:36">
      <c r="A732" s="4">
        <v>43277</v>
      </c>
      <c r="B732" s="3" t="s">
        <v>1427</v>
      </c>
      <c r="C732" s="3" t="s">
        <v>1428</v>
      </c>
      <c r="D732" s="3" t="s">
        <v>1429</v>
      </c>
      <c r="E732" s="3" t="s">
        <v>1430</v>
      </c>
      <c r="F732" s="3" t="s">
        <v>1710</v>
      </c>
      <c r="G732" s="3">
        <v>19</v>
      </c>
      <c r="H732" s="3">
        <v>0</v>
      </c>
      <c r="I732" s="3">
        <v>19</v>
      </c>
      <c r="J732" s="3">
        <v>0</v>
      </c>
      <c r="K732" s="3">
        <v>0</v>
      </c>
      <c r="L732" s="3">
        <v>0</v>
      </c>
      <c r="M732" s="3">
        <v>0</v>
      </c>
      <c r="N732" s="3" t="s">
        <v>1711</v>
      </c>
      <c r="O732" s="3">
        <v>0</v>
      </c>
      <c r="P732" s="3">
        <v>0</v>
      </c>
      <c r="Q732" s="3">
        <v>0</v>
      </c>
      <c r="R732" s="3">
        <v>0</v>
      </c>
      <c r="S732" s="3">
        <v>0</v>
      </c>
      <c r="T732" s="3">
        <v>36</v>
      </c>
      <c r="U732" s="3">
        <v>59</v>
      </c>
      <c r="V732" s="3">
        <v>81</v>
      </c>
      <c r="W732" s="3" t="s">
        <v>1712</v>
      </c>
      <c r="X732" s="3">
        <v>38</v>
      </c>
      <c r="Y732" s="3">
        <v>25.58</v>
      </c>
      <c r="Z732" s="3">
        <v>25.58</v>
      </c>
      <c r="AA732" s="3">
        <v>0</v>
      </c>
      <c r="AB732" s="3" t="s">
        <v>1713</v>
      </c>
      <c r="AC732" s="3">
        <v>0</v>
      </c>
      <c r="AD732" s="3">
        <v>0</v>
      </c>
      <c r="AE732" s="3">
        <v>0</v>
      </c>
      <c r="AF732" s="3">
        <v>0</v>
      </c>
      <c r="AG732" s="3">
        <v>0</v>
      </c>
      <c r="AH732" s="3">
        <v>4.83582089552238</v>
      </c>
      <c r="AI732" s="3" t="s">
        <v>1857</v>
      </c>
      <c r="AJ732" s="3" t="s">
        <v>1715</v>
      </c>
    </row>
    <row r="733" spans="1:36">
      <c r="A733" s="4">
        <v>43277</v>
      </c>
      <c r="B733" s="3" t="s">
        <v>4035</v>
      </c>
      <c r="C733" s="3" t="s">
        <v>4036</v>
      </c>
      <c r="D733" s="3" t="s">
        <v>4037</v>
      </c>
      <c r="E733" s="3" t="s">
        <v>4038</v>
      </c>
      <c r="F733" s="3" t="s">
        <v>1710</v>
      </c>
      <c r="G733" s="3">
        <v>33</v>
      </c>
      <c r="H733" s="3">
        <v>0</v>
      </c>
      <c r="I733" s="3">
        <v>0</v>
      </c>
      <c r="J733" s="3">
        <v>33</v>
      </c>
      <c r="K733" s="3">
        <v>0</v>
      </c>
      <c r="L733" s="3">
        <v>0</v>
      </c>
      <c r="M733" s="3">
        <v>0</v>
      </c>
      <c r="N733" s="3" t="s">
        <v>1711</v>
      </c>
      <c r="O733" s="3">
        <v>32</v>
      </c>
      <c r="P733" s="3">
        <v>47.16</v>
      </c>
      <c r="Q733" s="3">
        <v>0</v>
      </c>
      <c r="R733" s="3">
        <v>0</v>
      </c>
      <c r="S733" s="3">
        <v>0</v>
      </c>
      <c r="T733" s="3">
        <v>0</v>
      </c>
      <c r="U733" s="3">
        <v>0</v>
      </c>
      <c r="V733" s="3">
        <v>0</v>
      </c>
      <c r="W733" s="3" t="s">
        <v>1720</v>
      </c>
      <c r="X733" s="3">
        <v>16.99</v>
      </c>
      <c r="Y733" s="3">
        <v>16.99</v>
      </c>
      <c r="Z733" s="3">
        <v>16.99</v>
      </c>
      <c r="AA733" s="3">
        <v>0</v>
      </c>
      <c r="AB733" s="3" t="s">
        <v>1721</v>
      </c>
      <c r="AC733" s="3">
        <v>4</v>
      </c>
      <c r="AD733" s="3">
        <v>15.39</v>
      </c>
      <c r="AE733" s="3">
        <v>126</v>
      </c>
      <c r="AF733" s="3">
        <v>0</v>
      </c>
      <c r="AG733" s="3">
        <v>817.510779</v>
      </c>
      <c r="AH733" s="3">
        <v>0</v>
      </c>
      <c r="AI733" s="3" t="s">
        <v>1770</v>
      </c>
      <c r="AJ733" s="3" t="s">
        <v>1715</v>
      </c>
    </row>
    <row r="734" spans="1:36">
      <c r="A734" s="4">
        <v>43277</v>
      </c>
      <c r="B734" s="3" t="s">
        <v>4039</v>
      </c>
      <c r="C734" s="3" t="s">
        <v>4040</v>
      </c>
      <c r="D734" s="3" t="s">
        <v>4041</v>
      </c>
      <c r="E734" s="3" t="s">
        <v>318</v>
      </c>
      <c r="F734" s="3" t="s">
        <v>1710</v>
      </c>
      <c r="G734" s="3">
        <v>2</v>
      </c>
      <c r="H734" s="3">
        <v>0</v>
      </c>
      <c r="I734" s="3">
        <v>0</v>
      </c>
      <c r="J734" s="3">
        <v>2</v>
      </c>
      <c r="K734" s="3">
        <v>0</v>
      </c>
      <c r="L734" s="3">
        <v>0</v>
      </c>
      <c r="M734" s="3">
        <v>0</v>
      </c>
      <c r="N734" s="3" t="s">
        <v>1711</v>
      </c>
      <c r="O734" s="3">
        <v>2</v>
      </c>
      <c r="P734" s="3">
        <v>2.8</v>
      </c>
      <c r="Q734" s="3">
        <v>0</v>
      </c>
      <c r="R734" s="3">
        <v>0</v>
      </c>
      <c r="S734" s="3">
        <v>0</v>
      </c>
      <c r="T734" s="3">
        <v>0</v>
      </c>
      <c r="U734" s="3">
        <v>0</v>
      </c>
      <c r="V734" s="3">
        <v>2</v>
      </c>
      <c r="W734" s="3" t="s">
        <v>1720</v>
      </c>
      <c r="X734" s="3">
        <v>15.99</v>
      </c>
      <c r="Y734" s="3">
        <v>15.99</v>
      </c>
      <c r="Z734" s="3">
        <v>15.99</v>
      </c>
      <c r="AA734" s="3">
        <v>0</v>
      </c>
      <c r="AB734" s="3" t="s">
        <v>1721</v>
      </c>
      <c r="AC734" s="3">
        <v>0</v>
      </c>
      <c r="AD734" s="3">
        <v>14.57</v>
      </c>
      <c r="AE734" s="3">
        <v>35</v>
      </c>
      <c r="AF734" s="3">
        <v>0</v>
      </c>
      <c r="AG734" s="3">
        <v>47.871322</v>
      </c>
      <c r="AH734" s="3">
        <v>0.307692307692307</v>
      </c>
      <c r="AI734" s="3" t="s">
        <v>3644</v>
      </c>
      <c r="AJ734" s="3" t="s">
        <v>1783</v>
      </c>
    </row>
    <row r="735" spans="1:36">
      <c r="A735" s="4">
        <v>43277</v>
      </c>
      <c r="B735" s="3" t="s">
        <v>4042</v>
      </c>
      <c r="C735" s="3" t="s">
        <v>4043</v>
      </c>
      <c r="D735" s="3" t="s">
        <v>4044</v>
      </c>
      <c r="E735" s="3" t="s">
        <v>1213</v>
      </c>
      <c r="F735" s="3" t="s">
        <v>1710</v>
      </c>
      <c r="G735" s="3">
        <v>9</v>
      </c>
      <c r="H735" s="3">
        <v>0</v>
      </c>
      <c r="I735" s="3">
        <v>9</v>
      </c>
      <c r="J735" s="3">
        <v>0</v>
      </c>
      <c r="K735" s="3">
        <v>0</v>
      </c>
      <c r="L735" s="3">
        <v>0</v>
      </c>
      <c r="M735" s="3">
        <v>0</v>
      </c>
      <c r="N735" s="3" t="s">
        <v>1711</v>
      </c>
      <c r="O735" s="3">
        <v>0</v>
      </c>
      <c r="P735" s="3">
        <v>0</v>
      </c>
      <c r="Q735" s="3">
        <v>0</v>
      </c>
      <c r="R735" s="3">
        <v>0</v>
      </c>
      <c r="S735" s="3">
        <v>0</v>
      </c>
      <c r="T735" s="3">
        <v>6</v>
      </c>
      <c r="U735" s="3">
        <v>10</v>
      </c>
      <c r="V735" s="3">
        <v>10</v>
      </c>
      <c r="W735" s="3" t="s">
        <v>1720</v>
      </c>
      <c r="X735" s="3">
        <v>16.99</v>
      </c>
      <c r="Y735" s="3">
        <v>16.99</v>
      </c>
      <c r="Z735" s="3">
        <v>16.99</v>
      </c>
      <c r="AA735" s="3">
        <v>0</v>
      </c>
      <c r="AB735" s="3" t="s">
        <v>1721</v>
      </c>
      <c r="AC735" s="3">
        <v>9</v>
      </c>
      <c r="AD735" s="3">
        <v>16.99</v>
      </c>
      <c r="AE735" s="3">
        <v>0</v>
      </c>
      <c r="AF735" s="3">
        <v>0</v>
      </c>
      <c r="AG735" s="3">
        <v>0</v>
      </c>
      <c r="AH735" s="3">
        <v>2</v>
      </c>
      <c r="AI735" s="3" t="s">
        <v>1881</v>
      </c>
      <c r="AJ735" s="3" t="s">
        <v>1715</v>
      </c>
    </row>
    <row r="736" spans="1:36">
      <c r="A736" s="4">
        <v>43277</v>
      </c>
      <c r="B736" s="3" t="s">
        <v>4045</v>
      </c>
      <c r="C736" s="3" t="s">
        <v>4046</v>
      </c>
      <c r="D736" s="3" t="s">
        <v>4047</v>
      </c>
      <c r="E736" s="3" t="s">
        <v>4048</v>
      </c>
      <c r="F736" s="3" t="s">
        <v>1710</v>
      </c>
      <c r="G736" s="3">
        <v>9</v>
      </c>
      <c r="H736" s="3">
        <v>0</v>
      </c>
      <c r="I736" s="3">
        <v>9</v>
      </c>
      <c r="J736" s="3">
        <v>0</v>
      </c>
      <c r="K736" s="3">
        <v>0</v>
      </c>
      <c r="L736" s="3">
        <v>0</v>
      </c>
      <c r="M736" s="3">
        <v>0</v>
      </c>
      <c r="N736" s="3" t="s">
        <v>1711</v>
      </c>
      <c r="O736" s="3">
        <v>0</v>
      </c>
      <c r="P736" s="3">
        <v>0</v>
      </c>
      <c r="Q736" s="3">
        <v>0</v>
      </c>
      <c r="R736" s="3">
        <v>0</v>
      </c>
      <c r="S736" s="3">
        <v>1</v>
      </c>
      <c r="T736" s="3">
        <v>12</v>
      </c>
      <c r="U736" s="3">
        <v>17</v>
      </c>
      <c r="V736" s="3">
        <v>17</v>
      </c>
      <c r="W736" s="3"/>
      <c r="X736" s="3">
        <v>15.99</v>
      </c>
      <c r="Y736" s="3">
        <v>15.99</v>
      </c>
      <c r="Z736" s="3">
        <v>15.99</v>
      </c>
      <c r="AA736" s="3">
        <v>0</v>
      </c>
      <c r="AB736" s="3" t="s">
        <v>1713</v>
      </c>
      <c r="AC736" s="3">
        <v>9</v>
      </c>
      <c r="AD736" s="3">
        <v>15.99</v>
      </c>
      <c r="AE736" s="3">
        <v>0</v>
      </c>
      <c r="AF736" s="3">
        <v>0</v>
      </c>
      <c r="AG736" s="3">
        <v>0</v>
      </c>
      <c r="AH736" s="3">
        <v>1.1860465116279</v>
      </c>
      <c r="AI736" s="3" t="s">
        <v>1739</v>
      </c>
      <c r="AJ736" s="3" t="s">
        <v>1715</v>
      </c>
    </row>
    <row r="737" spans="1:36">
      <c r="A737" s="4">
        <v>43277</v>
      </c>
      <c r="B737" s="3" t="s">
        <v>467</v>
      </c>
      <c r="C737" s="3" t="s">
        <v>468</v>
      </c>
      <c r="D737" s="3" t="s">
        <v>469</v>
      </c>
      <c r="E737" s="3" t="s">
        <v>470</v>
      </c>
      <c r="F737" s="3" t="s">
        <v>1710</v>
      </c>
      <c r="G737" s="3">
        <v>20</v>
      </c>
      <c r="H737" s="3">
        <v>0</v>
      </c>
      <c r="I737" s="3">
        <v>20</v>
      </c>
      <c r="J737" s="3">
        <v>0</v>
      </c>
      <c r="K737" s="3">
        <v>0</v>
      </c>
      <c r="L737" s="3">
        <v>0</v>
      </c>
      <c r="M737" s="3">
        <v>0</v>
      </c>
      <c r="N737" s="3" t="s">
        <v>1711</v>
      </c>
      <c r="O737" s="3">
        <v>0</v>
      </c>
      <c r="P737" s="3">
        <v>0</v>
      </c>
      <c r="Q737" s="3">
        <v>0</v>
      </c>
      <c r="R737" s="3">
        <v>0</v>
      </c>
      <c r="S737" s="3">
        <v>0</v>
      </c>
      <c r="T737" s="3">
        <v>0</v>
      </c>
      <c r="U737" s="3">
        <v>0</v>
      </c>
      <c r="V737" s="3">
        <v>0</v>
      </c>
      <c r="W737" s="3" t="s">
        <v>1712</v>
      </c>
      <c r="X737" s="3">
        <v>32.99</v>
      </c>
      <c r="Y737" s="3">
        <v>28.58</v>
      </c>
      <c r="Z737" s="3">
        <v>28.58</v>
      </c>
      <c r="AA737" s="3">
        <v>0</v>
      </c>
      <c r="AB737" s="3" t="s">
        <v>1732</v>
      </c>
      <c r="AC737" s="3">
        <v>0</v>
      </c>
      <c r="AD737" s="3">
        <v>19.17</v>
      </c>
      <c r="AE737" s="3">
        <v>364</v>
      </c>
      <c r="AF737" s="3">
        <v>0</v>
      </c>
      <c r="AG737" s="3">
        <v>161.027118</v>
      </c>
      <c r="AH737" s="3">
        <v>0</v>
      </c>
      <c r="AI737" s="3" t="s">
        <v>1761</v>
      </c>
      <c r="AJ737" s="3" t="s">
        <v>1715</v>
      </c>
    </row>
    <row r="738" spans="1:36">
      <c r="A738" s="4">
        <v>43277</v>
      </c>
      <c r="B738" s="3" t="s">
        <v>4049</v>
      </c>
      <c r="C738" s="3" t="s">
        <v>4050</v>
      </c>
      <c r="D738" s="3" t="s">
        <v>4051</v>
      </c>
      <c r="E738" s="3" t="s">
        <v>2274</v>
      </c>
      <c r="F738" s="3" t="s">
        <v>1710</v>
      </c>
      <c r="G738" s="3">
        <v>1</v>
      </c>
      <c r="H738" s="3">
        <v>0</v>
      </c>
      <c r="I738" s="3">
        <v>0</v>
      </c>
      <c r="J738" s="3">
        <v>0</v>
      </c>
      <c r="K738" s="3">
        <v>0</v>
      </c>
      <c r="L738" s="3">
        <v>1</v>
      </c>
      <c r="M738" s="3">
        <v>0</v>
      </c>
      <c r="N738" s="3" t="s">
        <v>1711</v>
      </c>
      <c r="O738" s="3">
        <v>1</v>
      </c>
      <c r="P738" s="3">
        <v>1.11</v>
      </c>
      <c r="Q738" s="3">
        <v>0</v>
      </c>
      <c r="R738" s="3">
        <v>0</v>
      </c>
      <c r="S738" s="3">
        <v>0</v>
      </c>
      <c r="T738" s="3">
        <v>0</v>
      </c>
      <c r="U738" s="3">
        <v>0</v>
      </c>
      <c r="V738" s="3">
        <v>1</v>
      </c>
      <c r="W738" s="3" t="s">
        <v>1720</v>
      </c>
      <c r="X738" s="3">
        <v>15.99</v>
      </c>
      <c r="Y738" s="3">
        <v>15.99</v>
      </c>
      <c r="Z738" s="3">
        <v>15.99</v>
      </c>
      <c r="AA738" s="3">
        <v>0</v>
      </c>
      <c r="AB738" s="3" t="s">
        <v>1721</v>
      </c>
      <c r="AC738" s="3">
        <v>0</v>
      </c>
      <c r="AD738" s="3">
        <v>14.55</v>
      </c>
      <c r="AE738" s="3">
        <v>91</v>
      </c>
      <c r="AF738" s="3">
        <v>0</v>
      </c>
      <c r="AG738" s="3">
        <v>19.778185</v>
      </c>
      <c r="AH738" s="3">
        <v>0.8</v>
      </c>
      <c r="AI738" s="3" t="s">
        <v>4052</v>
      </c>
      <c r="AJ738" s="3" t="s">
        <v>1783</v>
      </c>
    </row>
    <row r="739" spans="1:36">
      <c r="A739" s="4">
        <v>43277</v>
      </c>
      <c r="B739" s="3" t="s">
        <v>20</v>
      </c>
      <c r="C739" s="3" t="s">
        <v>21</v>
      </c>
      <c r="D739" s="3" t="s">
        <v>22</v>
      </c>
      <c r="E739" s="3" t="s">
        <v>4053</v>
      </c>
      <c r="F739" s="3" t="s">
        <v>1710</v>
      </c>
      <c r="G739" s="3">
        <v>9</v>
      </c>
      <c r="H739" s="3">
        <v>0</v>
      </c>
      <c r="I739" s="3">
        <v>9</v>
      </c>
      <c r="J739" s="3">
        <v>0</v>
      </c>
      <c r="K739" s="3">
        <v>0</v>
      </c>
      <c r="L739" s="3">
        <v>0</v>
      </c>
      <c r="M739" s="3">
        <v>0</v>
      </c>
      <c r="N739" s="3" t="s">
        <v>1711</v>
      </c>
      <c r="O739" s="3">
        <v>0</v>
      </c>
      <c r="P739" s="3">
        <v>0</v>
      </c>
      <c r="Q739" s="3">
        <v>0</v>
      </c>
      <c r="R739" s="3">
        <v>0</v>
      </c>
      <c r="S739" s="3">
        <v>5</v>
      </c>
      <c r="T739" s="3">
        <v>12</v>
      </c>
      <c r="U739" s="3">
        <v>20</v>
      </c>
      <c r="V739" s="3">
        <v>25</v>
      </c>
      <c r="W739" s="3"/>
      <c r="X739" s="3">
        <v>28.99</v>
      </c>
      <c r="Y739" s="3">
        <v>15.99</v>
      </c>
      <c r="Z739" s="3">
        <v>15.55</v>
      </c>
      <c r="AA739" s="3">
        <v>0</v>
      </c>
      <c r="AB739" s="3" t="s">
        <v>1713</v>
      </c>
      <c r="AC739" s="3">
        <v>13</v>
      </c>
      <c r="AD739" s="3">
        <v>15.99</v>
      </c>
      <c r="AE739" s="3">
        <v>0</v>
      </c>
      <c r="AF739" s="3">
        <v>0</v>
      </c>
      <c r="AG739" s="3">
        <v>0</v>
      </c>
      <c r="AH739" s="3">
        <v>5</v>
      </c>
      <c r="AI739" s="3" t="s">
        <v>2082</v>
      </c>
      <c r="AJ739" s="3" t="s">
        <v>1715</v>
      </c>
    </row>
    <row r="740" spans="1:36">
      <c r="A740" s="4">
        <v>43277</v>
      </c>
      <c r="B740" s="3" t="s">
        <v>4054</v>
      </c>
      <c r="C740" s="3" t="s">
        <v>4055</v>
      </c>
      <c r="D740" s="3" t="s">
        <v>4056</v>
      </c>
      <c r="E740" s="3" t="s">
        <v>2495</v>
      </c>
      <c r="F740" s="3" t="s">
        <v>1710</v>
      </c>
      <c r="G740" s="3">
        <v>15</v>
      </c>
      <c r="H740" s="3">
        <v>0</v>
      </c>
      <c r="I740" s="3">
        <v>15</v>
      </c>
      <c r="J740" s="3">
        <v>0</v>
      </c>
      <c r="K740" s="3">
        <v>0</v>
      </c>
      <c r="L740" s="3">
        <v>0</v>
      </c>
      <c r="M740" s="3">
        <v>0</v>
      </c>
      <c r="N740" s="3" t="s">
        <v>1711</v>
      </c>
      <c r="O740" s="3">
        <v>0</v>
      </c>
      <c r="P740" s="3">
        <v>0</v>
      </c>
      <c r="Q740" s="3">
        <v>0</v>
      </c>
      <c r="R740" s="3">
        <v>0</v>
      </c>
      <c r="S740" s="3">
        <v>0</v>
      </c>
      <c r="T740" s="3">
        <v>0</v>
      </c>
      <c r="U740" s="3">
        <v>0</v>
      </c>
      <c r="V740" s="3">
        <v>0</v>
      </c>
      <c r="W740" s="3" t="s">
        <v>1720</v>
      </c>
      <c r="X740" s="3">
        <v>15.99</v>
      </c>
      <c r="Y740" s="3">
        <v>15.99</v>
      </c>
      <c r="Z740" s="3">
        <v>15.99</v>
      </c>
      <c r="AA740" s="3">
        <v>0</v>
      </c>
      <c r="AB740" s="3" t="s">
        <v>1721</v>
      </c>
      <c r="AC740" s="3">
        <v>0</v>
      </c>
      <c r="AD740" s="3">
        <v>12.79</v>
      </c>
      <c r="AE740" s="3">
        <v>63</v>
      </c>
      <c r="AF740" s="3">
        <v>0</v>
      </c>
      <c r="AG740" s="3">
        <v>160.761652</v>
      </c>
      <c r="AH740" s="3">
        <v>0</v>
      </c>
      <c r="AI740" s="3" t="s">
        <v>2496</v>
      </c>
      <c r="AJ740" s="3" t="s">
        <v>1715</v>
      </c>
    </row>
    <row r="741" spans="1:36">
      <c r="A741" s="4">
        <v>43277</v>
      </c>
      <c r="B741" s="3" t="s">
        <v>4057</v>
      </c>
      <c r="C741" s="3" t="s">
        <v>4058</v>
      </c>
      <c r="D741" s="3" t="s">
        <v>4059</v>
      </c>
      <c r="E741" s="3" t="s">
        <v>4060</v>
      </c>
      <c r="F741" s="3" t="s">
        <v>1710</v>
      </c>
      <c r="G741" s="3">
        <v>135</v>
      </c>
      <c r="H741" s="3">
        <v>0</v>
      </c>
      <c r="I741" s="3">
        <v>8</v>
      </c>
      <c r="J741" s="3">
        <v>26</v>
      </c>
      <c r="K741" s="3">
        <v>101</v>
      </c>
      <c r="L741" s="3">
        <v>0</v>
      </c>
      <c r="M741" s="3">
        <v>0</v>
      </c>
      <c r="N741" s="3" t="s">
        <v>1711</v>
      </c>
      <c r="O741" s="3">
        <v>121</v>
      </c>
      <c r="P741" s="3">
        <v>72.42</v>
      </c>
      <c r="Q741" s="3">
        <v>0</v>
      </c>
      <c r="R741" s="3">
        <v>0</v>
      </c>
      <c r="S741" s="3">
        <v>1</v>
      </c>
      <c r="T741" s="3">
        <v>3</v>
      </c>
      <c r="U741" s="3">
        <v>6</v>
      </c>
      <c r="V741" s="3">
        <v>28</v>
      </c>
      <c r="W741" s="3"/>
      <c r="X741" s="3">
        <v>16.99</v>
      </c>
      <c r="Y741" s="3">
        <v>16.99</v>
      </c>
      <c r="Z741" s="3">
        <v>16</v>
      </c>
      <c r="AA741" s="3">
        <v>0</v>
      </c>
      <c r="AB741" s="3" t="s">
        <v>1732</v>
      </c>
      <c r="AC741" s="3">
        <v>1</v>
      </c>
      <c r="AD741" s="3">
        <v>11.65</v>
      </c>
      <c r="AE741" s="3">
        <v>364</v>
      </c>
      <c r="AF741" s="3">
        <v>0</v>
      </c>
      <c r="AG741" s="3">
        <v>947.490659</v>
      </c>
      <c r="AH741" s="3">
        <v>0.0513997246443322</v>
      </c>
      <c r="AI741" s="3" t="s">
        <v>1905</v>
      </c>
      <c r="AJ741" s="3" t="s">
        <v>1715</v>
      </c>
    </row>
    <row r="742" spans="1:36">
      <c r="A742" s="4">
        <v>43277</v>
      </c>
      <c r="B742" s="3" t="s">
        <v>4061</v>
      </c>
      <c r="C742" s="3" t="s">
        <v>4062</v>
      </c>
      <c r="D742" s="3" t="s">
        <v>4063</v>
      </c>
      <c r="E742" s="3" t="s">
        <v>4064</v>
      </c>
      <c r="F742" s="3" t="s">
        <v>1710</v>
      </c>
      <c r="G742" s="3">
        <v>20</v>
      </c>
      <c r="H742" s="3">
        <v>0</v>
      </c>
      <c r="I742" s="3">
        <v>20</v>
      </c>
      <c r="J742" s="3">
        <v>0</v>
      </c>
      <c r="K742" s="3">
        <v>0</v>
      </c>
      <c r="L742" s="3">
        <v>0</v>
      </c>
      <c r="M742" s="3">
        <v>0</v>
      </c>
      <c r="N742" s="3" t="s">
        <v>1711</v>
      </c>
      <c r="O742" s="3">
        <v>0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0</v>
      </c>
      <c r="V742" s="3">
        <v>0</v>
      </c>
      <c r="W742" s="3" t="s">
        <v>1712</v>
      </c>
      <c r="X742" s="3">
        <v>28.58</v>
      </c>
      <c r="Y742" s="3">
        <v>28.58</v>
      </c>
      <c r="Z742" s="3">
        <v>28.58</v>
      </c>
      <c r="AA742" s="3">
        <v>0</v>
      </c>
      <c r="AB742" s="3" t="s">
        <v>1713</v>
      </c>
      <c r="AC742" s="3">
        <v>0</v>
      </c>
      <c r="AD742" s="3">
        <v>0</v>
      </c>
      <c r="AE742" s="3">
        <v>0</v>
      </c>
      <c r="AF742" s="3">
        <v>0</v>
      </c>
      <c r="AG742" s="3">
        <v>0</v>
      </c>
      <c r="AH742" s="3">
        <v>0</v>
      </c>
      <c r="AI742" s="3" t="s">
        <v>1751</v>
      </c>
      <c r="AJ742" s="3" t="s">
        <v>1715</v>
      </c>
    </row>
    <row r="743" spans="1:36">
      <c r="A743" s="4">
        <v>43277</v>
      </c>
      <c r="B743" s="3" t="s">
        <v>4065</v>
      </c>
      <c r="C743" s="3" t="s">
        <v>4066</v>
      </c>
      <c r="D743" s="3" t="s">
        <v>4067</v>
      </c>
      <c r="E743" s="3" t="s">
        <v>1755</v>
      </c>
      <c r="F743" s="3" t="s">
        <v>1710</v>
      </c>
      <c r="G743" s="3">
        <v>9</v>
      </c>
      <c r="H743" s="3">
        <v>0</v>
      </c>
      <c r="I743" s="3">
        <v>9</v>
      </c>
      <c r="J743" s="3">
        <v>0</v>
      </c>
      <c r="K743" s="3">
        <v>0</v>
      </c>
      <c r="L743" s="3">
        <v>0</v>
      </c>
      <c r="M743" s="3">
        <v>0</v>
      </c>
      <c r="N743" s="3" t="s">
        <v>1711</v>
      </c>
      <c r="O743" s="3">
        <v>0</v>
      </c>
      <c r="P743" s="3">
        <v>0</v>
      </c>
      <c r="Q743" s="3">
        <v>0</v>
      </c>
      <c r="R743" s="3">
        <v>0</v>
      </c>
      <c r="S743" s="3">
        <v>1</v>
      </c>
      <c r="T743" s="3">
        <v>1</v>
      </c>
      <c r="U743" s="3">
        <v>1</v>
      </c>
      <c r="V743" s="3">
        <v>1</v>
      </c>
      <c r="W743" s="3" t="s">
        <v>1720</v>
      </c>
      <c r="X743" s="3">
        <v>15.99</v>
      </c>
      <c r="Y743" s="3">
        <v>15.99</v>
      </c>
      <c r="Z743" s="3">
        <v>15.99</v>
      </c>
      <c r="AA743" s="3">
        <v>0</v>
      </c>
      <c r="AB743" s="3" t="s">
        <v>1721</v>
      </c>
      <c r="AC743" s="3">
        <v>8</v>
      </c>
      <c r="AD743" s="3">
        <v>15.99</v>
      </c>
      <c r="AE743" s="3">
        <v>0</v>
      </c>
      <c r="AF743" s="3">
        <v>0</v>
      </c>
      <c r="AG743" s="3">
        <v>0</v>
      </c>
      <c r="AH743" s="3">
        <v>0.111111111111111</v>
      </c>
      <c r="AI743" s="3" t="s">
        <v>1756</v>
      </c>
      <c r="AJ743" s="3" t="s">
        <v>1715</v>
      </c>
    </row>
    <row r="744" spans="1:36">
      <c r="A744" s="4">
        <v>43277</v>
      </c>
      <c r="B744" s="3" t="s">
        <v>4068</v>
      </c>
      <c r="C744" s="3" t="s">
        <v>4069</v>
      </c>
      <c r="D744" s="3" t="s">
        <v>4070</v>
      </c>
      <c r="E744" s="3" t="s">
        <v>4071</v>
      </c>
      <c r="F744" s="3" t="s">
        <v>1710</v>
      </c>
      <c r="G744" s="3">
        <v>40</v>
      </c>
      <c r="H744" s="3">
        <v>0</v>
      </c>
      <c r="I744" s="3">
        <v>40</v>
      </c>
      <c r="J744" s="3">
        <v>0</v>
      </c>
      <c r="K744" s="3">
        <v>0</v>
      </c>
      <c r="L744" s="3">
        <v>0</v>
      </c>
      <c r="M744" s="3">
        <v>0</v>
      </c>
      <c r="N744" s="3" t="s">
        <v>1711</v>
      </c>
      <c r="O744" s="3">
        <v>0</v>
      </c>
      <c r="P744" s="3">
        <v>0</v>
      </c>
      <c r="Q744" s="3">
        <v>0</v>
      </c>
      <c r="R744" s="3">
        <v>0</v>
      </c>
      <c r="S744" s="3">
        <v>18</v>
      </c>
      <c r="T744" s="3">
        <v>76</v>
      </c>
      <c r="U744" s="3">
        <v>183</v>
      </c>
      <c r="V744" s="3">
        <v>284</v>
      </c>
      <c r="W744" s="3"/>
      <c r="X744" s="3">
        <v>28.99</v>
      </c>
      <c r="Y744" s="3">
        <v>19.99</v>
      </c>
      <c r="Z744" s="3">
        <v>19.99</v>
      </c>
      <c r="AA744" s="3">
        <v>0</v>
      </c>
      <c r="AB744" s="3" t="s">
        <v>1713</v>
      </c>
      <c r="AC744" s="3">
        <v>53</v>
      </c>
      <c r="AD744" s="3">
        <v>19.99</v>
      </c>
      <c r="AE744" s="3">
        <v>0</v>
      </c>
      <c r="AF744" s="3">
        <v>0</v>
      </c>
      <c r="AG744" s="3">
        <v>0</v>
      </c>
      <c r="AH744" s="3">
        <v>2.83291770573566</v>
      </c>
      <c r="AI744" s="3" t="s">
        <v>4011</v>
      </c>
      <c r="AJ744" s="3" t="s">
        <v>1783</v>
      </c>
    </row>
    <row r="745" spans="1:36">
      <c r="A745" s="4">
        <v>43277</v>
      </c>
      <c r="B745" s="3" t="s">
        <v>96</v>
      </c>
      <c r="C745" s="3" t="s">
        <v>97</v>
      </c>
      <c r="D745" s="3" t="s">
        <v>98</v>
      </c>
      <c r="E745" s="3" t="s">
        <v>99</v>
      </c>
      <c r="F745" s="3" t="s">
        <v>1710</v>
      </c>
      <c r="G745" s="3">
        <v>116</v>
      </c>
      <c r="H745" s="3">
        <v>0</v>
      </c>
      <c r="I745" s="3">
        <v>7</v>
      </c>
      <c r="J745" s="3">
        <v>50</v>
      </c>
      <c r="K745" s="3">
        <v>59</v>
      </c>
      <c r="L745" s="3">
        <v>0</v>
      </c>
      <c r="M745" s="3">
        <v>0</v>
      </c>
      <c r="N745" s="3" t="s">
        <v>1711</v>
      </c>
      <c r="O745" s="3">
        <v>96</v>
      </c>
      <c r="P745" s="3">
        <v>83.9</v>
      </c>
      <c r="Q745" s="3">
        <v>0</v>
      </c>
      <c r="R745" s="3">
        <v>0</v>
      </c>
      <c r="S745" s="3">
        <v>0</v>
      </c>
      <c r="T745" s="3">
        <v>3</v>
      </c>
      <c r="U745" s="3">
        <v>12</v>
      </c>
      <c r="V745" s="3">
        <v>43</v>
      </c>
      <c r="W745" s="3"/>
      <c r="X745" s="3">
        <v>16.99</v>
      </c>
      <c r="Y745" s="3">
        <v>16.99</v>
      </c>
      <c r="Z745" s="3">
        <v>16</v>
      </c>
      <c r="AA745" s="3">
        <v>0</v>
      </c>
      <c r="AB745" s="3" t="s">
        <v>1732</v>
      </c>
      <c r="AC745" s="3">
        <v>2</v>
      </c>
      <c r="AD745" s="3">
        <v>12.23</v>
      </c>
      <c r="AE745" s="3">
        <v>364</v>
      </c>
      <c r="AF745" s="3">
        <v>0</v>
      </c>
      <c r="AG745" s="3">
        <v>1085.444202</v>
      </c>
      <c r="AH745" s="3">
        <v>0.0814779725248697</v>
      </c>
      <c r="AI745" s="3" t="s">
        <v>4072</v>
      </c>
      <c r="AJ745" s="3" t="s">
        <v>1715</v>
      </c>
    </row>
    <row r="746" spans="1:36">
      <c r="A746" s="4">
        <v>43277</v>
      </c>
      <c r="B746" s="3" t="s">
        <v>4073</v>
      </c>
      <c r="C746" s="3" t="s">
        <v>4074</v>
      </c>
      <c r="D746" s="3" t="s">
        <v>4075</v>
      </c>
      <c r="E746" s="3" t="s">
        <v>4076</v>
      </c>
      <c r="F746" s="3" t="s">
        <v>1710</v>
      </c>
      <c r="G746" s="3">
        <v>2</v>
      </c>
      <c r="H746" s="3">
        <v>0</v>
      </c>
      <c r="I746" s="3">
        <v>2</v>
      </c>
      <c r="J746" s="3">
        <v>0</v>
      </c>
      <c r="K746" s="3">
        <v>0</v>
      </c>
      <c r="L746" s="3">
        <v>0</v>
      </c>
      <c r="M746" s="3">
        <v>0</v>
      </c>
      <c r="N746" s="3" t="s">
        <v>1711</v>
      </c>
      <c r="O746" s="3">
        <v>0</v>
      </c>
      <c r="P746" s="3">
        <v>0</v>
      </c>
      <c r="Q746" s="3">
        <v>0</v>
      </c>
      <c r="R746" s="3">
        <v>0</v>
      </c>
      <c r="S746" s="3">
        <v>1</v>
      </c>
      <c r="T746" s="3">
        <v>1</v>
      </c>
      <c r="U746" s="3">
        <v>4</v>
      </c>
      <c r="V746" s="3">
        <v>4</v>
      </c>
      <c r="W746" s="3"/>
      <c r="X746" s="3">
        <v>15.99</v>
      </c>
      <c r="Y746" s="3">
        <v>15.99</v>
      </c>
      <c r="Z746" s="3">
        <v>15.99</v>
      </c>
      <c r="AA746" s="3">
        <v>0</v>
      </c>
      <c r="AB746" s="3" t="s">
        <v>1713</v>
      </c>
      <c r="AC746" s="3">
        <v>2</v>
      </c>
      <c r="AD746" s="3">
        <v>15.99</v>
      </c>
      <c r="AE746" s="3">
        <v>0</v>
      </c>
      <c r="AF746" s="3">
        <v>0</v>
      </c>
      <c r="AG746" s="3">
        <v>0</v>
      </c>
      <c r="AH746" s="3">
        <v>2.66666666666666</v>
      </c>
      <c r="AI746" s="3" t="s">
        <v>2542</v>
      </c>
      <c r="AJ746" s="3" t="s">
        <v>1715</v>
      </c>
    </row>
    <row r="747" spans="1:36">
      <c r="A747" s="4">
        <v>43277</v>
      </c>
      <c r="B747" s="3" t="s">
        <v>4077</v>
      </c>
      <c r="C747" s="3" t="s">
        <v>4078</v>
      </c>
      <c r="D747" s="3" t="s">
        <v>4079</v>
      </c>
      <c r="E747" s="3" t="s">
        <v>4080</v>
      </c>
      <c r="F747" s="3" t="s">
        <v>1710</v>
      </c>
      <c r="G747" s="3">
        <v>1</v>
      </c>
      <c r="H747" s="3">
        <v>0</v>
      </c>
      <c r="I747" s="3">
        <v>1</v>
      </c>
      <c r="J747" s="3">
        <v>0</v>
      </c>
      <c r="K747" s="3">
        <v>0</v>
      </c>
      <c r="L747" s="3">
        <v>0</v>
      </c>
      <c r="M747" s="3">
        <v>0</v>
      </c>
      <c r="N747" s="3" t="s">
        <v>1711</v>
      </c>
      <c r="O747" s="3">
        <v>0</v>
      </c>
      <c r="P747" s="3">
        <v>0</v>
      </c>
      <c r="Q747" s="3">
        <v>0</v>
      </c>
      <c r="R747" s="3">
        <v>0</v>
      </c>
      <c r="S747" s="3">
        <v>0</v>
      </c>
      <c r="T747" s="3">
        <v>0</v>
      </c>
      <c r="U747" s="3">
        <v>4</v>
      </c>
      <c r="V747" s="3">
        <v>16</v>
      </c>
      <c r="W747" s="3"/>
      <c r="X747" s="3"/>
      <c r="Y747" s="3"/>
      <c r="Z747" s="3">
        <v>-1</v>
      </c>
      <c r="AA747" s="3">
        <v>-1</v>
      </c>
      <c r="AB747" s="3" t="s">
        <v>1776</v>
      </c>
      <c r="AC747" s="3">
        <v>0</v>
      </c>
      <c r="AD747" s="3">
        <v>0</v>
      </c>
      <c r="AE747" s="3">
        <v>0</v>
      </c>
      <c r="AF747" s="3">
        <v>0</v>
      </c>
      <c r="AG747" s="3">
        <v>0</v>
      </c>
      <c r="AH747" s="3">
        <v>4.92307692307692</v>
      </c>
      <c r="AI747" s="3" t="s">
        <v>2615</v>
      </c>
      <c r="AJ747" s="3" t="s">
        <v>2616</v>
      </c>
    </row>
    <row r="748" spans="1:36">
      <c r="A748" s="4">
        <v>43277</v>
      </c>
      <c r="B748" s="3" t="s">
        <v>4081</v>
      </c>
      <c r="C748" s="3" t="s">
        <v>4082</v>
      </c>
      <c r="D748" s="3" t="s">
        <v>4083</v>
      </c>
      <c r="E748" s="3" t="s">
        <v>4084</v>
      </c>
      <c r="F748" s="3" t="s">
        <v>1710</v>
      </c>
      <c r="G748" s="3">
        <v>2</v>
      </c>
      <c r="H748" s="3">
        <v>0</v>
      </c>
      <c r="I748" s="3">
        <v>2</v>
      </c>
      <c r="J748" s="3">
        <v>0</v>
      </c>
      <c r="K748" s="3">
        <v>0</v>
      </c>
      <c r="L748" s="3">
        <v>0</v>
      </c>
      <c r="M748" s="3">
        <v>0</v>
      </c>
      <c r="N748" s="3" t="s">
        <v>1711</v>
      </c>
      <c r="O748" s="3">
        <v>0</v>
      </c>
      <c r="P748" s="3">
        <v>0</v>
      </c>
      <c r="Q748" s="3">
        <v>0</v>
      </c>
      <c r="R748" s="3">
        <v>0</v>
      </c>
      <c r="S748" s="3">
        <v>0</v>
      </c>
      <c r="T748" s="3">
        <v>0</v>
      </c>
      <c r="U748" s="3">
        <v>0</v>
      </c>
      <c r="V748" s="3">
        <v>0</v>
      </c>
      <c r="W748" s="3" t="s">
        <v>1712</v>
      </c>
      <c r="X748" s="3">
        <v>13.99</v>
      </c>
      <c r="Y748" s="3">
        <v>13.99</v>
      </c>
      <c r="Z748" s="3">
        <v>13.99</v>
      </c>
      <c r="AA748" s="3">
        <v>0</v>
      </c>
      <c r="AB748" s="3" t="s">
        <v>1713</v>
      </c>
      <c r="AC748" s="3">
        <v>2</v>
      </c>
      <c r="AD748" s="3">
        <v>13.99</v>
      </c>
      <c r="AE748" s="3">
        <v>0</v>
      </c>
      <c r="AF748" s="3">
        <v>0</v>
      </c>
      <c r="AG748" s="3">
        <v>0</v>
      </c>
      <c r="AH748" s="3">
        <v>0</v>
      </c>
      <c r="AI748" s="3" t="s">
        <v>2542</v>
      </c>
      <c r="AJ748" s="3" t="s">
        <v>1715</v>
      </c>
    </row>
    <row r="749" spans="1:36">
      <c r="A749" s="4">
        <v>43277</v>
      </c>
      <c r="B749" s="3" t="s">
        <v>1110</v>
      </c>
      <c r="C749" s="3" t="s">
        <v>1111</v>
      </c>
      <c r="D749" s="3" t="s">
        <v>1112</v>
      </c>
      <c r="E749" s="3" t="s">
        <v>1113</v>
      </c>
      <c r="F749" s="3" t="s">
        <v>1710</v>
      </c>
      <c r="G749" s="3">
        <v>16</v>
      </c>
      <c r="H749" s="3">
        <v>0</v>
      </c>
      <c r="I749" s="3">
        <v>16</v>
      </c>
      <c r="J749" s="3">
        <v>0</v>
      </c>
      <c r="K749" s="3">
        <v>0</v>
      </c>
      <c r="L749" s="3">
        <v>0</v>
      </c>
      <c r="M749" s="3">
        <v>0</v>
      </c>
      <c r="N749" s="3" t="s">
        <v>1711</v>
      </c>
      <c r="O749" s="3">
        <v>0</v>
      </c>
      <c r="P749" s="3">
        <v>0</v>
      </c>
      <c r="Q749" s="3">
        <v>0</v>
      </c>
      <c r="R749" s="3">
        <v>0</v>
      </c>
      <c r="S749" s="3">
        <v>6</v>
      </c>
      <c r="T749" s="3">
        <v>18</v>
      </c>
      <c r="U749" s="3">
        <v>22</v>
      </c>
      <c r="V749" s="3">
        <v>22</v>
      </c>
      <c r="W749" s="3"/>
      <c r="X749" s="3">
        <v>29.99</v>
      </c>
      <c r="Y749" s="3">
        <v>29.99</v>
      </c>
      <c r="Z749" s="3">
        <v>29.99</v>
      </c>
      <c r="AA749" s="3">
        <v>0</v>
      </c>
      <c r="AB749" s="3" t="s">
        <v>1713</v>
      </c>
      <c r="AC749" s="3">
        <v>12</v>
      </c>
      <c r="AD749" s="3">
        <v>29.99</v>
      </c>
      <c r="AE749" s="3">
        <v>0</v>
      </c>
      <c r="AF749" s="3">
        <v>0</v>
      </c>
      <c r="AG749" s="3">
        <v>0</v>
      </c>
      <c r="AH749" s="3">
        <v>1.46666666666666</v>
      </c>
      <c r="AI749" s="3" t="s">
        <v>2016</v>
      </c>
      <c r="AJ749" s="3" t="s">
        <v>1715</v>
      </c>
    </row>
    <row r="750" spans="1:36">
      <c r="A750" s="4">
        <v>43277</v>
      </c>
      <c r="B750" s="3" t="s">
        <v>4085</v>
      </c>
      <c r="C750" s="3" t="s">
        <v>4086</v>
      </c>
      <c r="D750" s="3" t="s">
        <v>4087</v>
      </c>
      <c r="E750" s="3" t="s">
        <v>2495</v>
      </c>
      <c r="F750" s="3" t="s">
        <v>1710</v>
      </c>
      <c r="G750" s="3">
        <v>14</v>
      </c>
      <c r="H750" s="3">
        <v>0</v>
      </c>
      <c r="I750" s="3">
        <v>14</v>
      </c>
      <c r="J750" s="3">
        <v>0</v>
      </c>
      <c r="K750" s="3">
        <v>0</v>
      </c>
      <c r="L750" s="3">
        <v>0</v>
      </c>
      <c r="M750" s="3">
        <v>0</v>
      </c>
      <c r="N750" s="3" t="s">
        <v>1711</v>
      </c>
      <c r="O750" s="3">
        <v>0</v>
      </c>
      <c r="P750" s="3">
        <v>0</v>
      </c>
      <c r="Q750" s="3">
        <v>0</v>
      </c>
      <c r="R750" s="3">
        <v>0</v>
      </c>
      <c r="S750" s="3">
        <v>0</v>
      </c>
      <c r="T750" s="3">
        <v>1</v>
      </c>
      <c r="U750" s="3">
        <v>1</v>
      </c>
      <c r="V750" s="3">
        <v>1</v>
      </c>
      <c r="W750" s="3" t="s">
        <v>1720</v>
      </c>
      <c r="X750" s="3">
        <v>15.99</v>
      </c>
      <c r="Y750" s="3">
        <v>15.99</v>
      </c>
      <c r="Z750" s="3">
        <v>15.99</v>
      </c>
      <c r="AA750" s="3">
        <v>0</v>
      </c>
      <c r="AB750" s="3" t="s">
        <v>1721</v>
      </c>
      <c r="AC750" s="3">
        <v>10</v>
      </c>
      <c r="AD750" s="3">
        <v>15.1</v>
      </c>
      <c r="AE750" s="3">
        <v>28</v>
      </c>
      <c r="AF750" s="3">
        <v>0</v>
      </c>
      <c r="AG750" s="3">
        <v>265.526313</v>
      </c>
      <c r="AH750" s="3">
        <v>0.0714285714285714</v>
      </c>
      <c r="AI750" s="3" t="s">
        <v>2758</v>
      </c>
      <c r="AJ750" s="3" t="s">
        <v>1715</v>
      </c>
    </row>
    <row r="751" spans="1:36">
      <c r="A751" s="4">
        <v>43277</v>
      </c>
      <c r="B751" s="3" t="s">
        <v>4088</v>
      </c>
      <c r="C751" s="3" t="s">
        <v>4089</v>
      </c>
      <c r="D751" s="3" t="s">
        <v>4090</v>
      </c>
      <c r="E751" s="3" t="s">
        <v>4091</v>
      </c>
      <c r="F751" s="3" t="s">
        <v>1710</v>
      </c>
      <c r="G751" s="3">
        <v>1</v>
      </c>
      <c r="H751" s="3">
        <v>0</v>
      </c>
      <c r="I751" s="3">
        <v>0</v>
      </c>
      <c r="J751" s="3">
        <v>0</v>
      </c>
      <c r="K751" s="3">
        <v>0</v>
      </c>
      <c r="L751" s="3">
        <v>1</v>
      </c>
      <c r="M751" s="3">
        <v>0</v>
      </c>
      <c r="N751" s="3" t="s">
        <v>1711</v>
      </c>
      <c r="O751" s="3">
        <v>1</v>
      </c>
      <c r="P751" s="3">
        <v>0.01</v>
      </c>
      <c r="Q751" s="3">
        <v>0</v>
      </c>
      <c r="R751" s="3">
        <v>0</v>
      </c>
      <c r="S751" s="3">
        <v>0</v>
      </c>
      <c r="T751" s="3">
        <v>0</v>
      </c>
      <c r="U751" s="3">
        <v>0</v>
      </c>
      <c r="V751" s="3">
        <v>1</v>
      </c>
      <c r="W751" s="3" t="s">
        <v>1720</v>
      </c>
      <c r="X751" s="3">
        <v>15.88</v>
      </c>
      <c r="Y751" s="3">
        <v>15.88</v>
      </c>
      <c r="Z751" s="3">
        <v>15.88</v>
      </c>
      <c r="AA751" s="3">
        <v>0</v>
      </c>
      <c r="AB751" s="3" t="s">
        <v>1732</v>
      </c>
      <c r="AC751" s="3">
        <v>0</v>
      </c>
      <c r="AD751" s="3">
        <v>14.77</v>
      </c>
      <c r="AE751" s="3">
        <v>140</v>
      </c>
      <c r="AF751" s="3">
        <v>0</v>
      </c>
      <c r="AG751" s="3">
        <v>7.335416</v>
      </c>
      <c r="AH751" s="3">
        <v>0.8</v>
      </c>
      <c r="AI751" s="3" t="s">
        <v>1782</v>
      </c>
      <c r="AJ751" s="3" t="s">
        <v>1715</v>
      </c>
    </row>
    <row r="752" spans="1:36">
      <c r="A752" s="4">
        <v>43277</v>
      </c>
      <c r="B752" s="3" t="s">
        <v>4092</v>
      </c>
      <c r="C752" s="3" t="s">
        <v>4093</v>
      </c>
      <c r="D752" s="3" t="s">
        <v>4094</v>
      </c>
      <c r="E752" s="3" t="s">
        <v>4095</v>
      </c>
      <c r="F752" s="3" t="s">
        <v>1710</v>
      </c>
      <c r="G752" s="3">
        <v>2</v>
      </c>
      <c r="H752" s="3">
        <v>0</v>
      </c>
      <c r="I752" s="3">
        <v>1</v>
      </c>
      <c r="J752" s="3">
        <v>1</v>
      </c>
      <c r="K752" s="3">
        <v>0</v>
      </c>
      <c r="L752" s="3">
        <v>0</v>
      </c>
      <c r="M752" s="3">
        <v>0</v>
      </c>
      <c r="N752" s="3" t="s">
        <v>1711</v>
      </c>
      <c r="O752" s="3">
        <v>0</v>
      </c>
      <c r="P752" s="3">
        <v>0</v>
      </c>
      <c r="Q752" s="3">
        <v>0</v>
      </c>
      <c r="R752" s="3">
        <v>0</v>
      </c>
      <c r="S752" s="3">
        <v>0</v>
      </c>
      <c r="T752" s="3">
        <v>2</v>
      </c>
      <c r="U752" s="3">
        <v>2</v>
      </c>
      <c r="V752" s="3">
        <v>4</v>
      </c>
      <c r="W752" s="3" t="s">
        <v>1712</v>
      </c>
      <c r="X752" s="3">
        <v>15.99</v>
      </c>
      <c r="Y752" s="3">
        <v>15.99</v>
      </c>
      <c r="Z752" s="3">
        <v>15.55</v>
      </c>
      <c r="AA752" s="3">
        <v>0</v>
      </c>
      <c r="AB752" s="3" t="s">
        <v>1732</v>
      </c>
      <c r="AC752" s="3">
        <v>0</v>
      </c>
      <c r="AD752" s="3">
        <v>14.27</v>
      </c>
      <c r="AE752" s="3">
        <v>231</v>
      </c>
      <c r="AF752" s="3">
        <v>0</v>
      </c>
      <c r="AG752" s="3">
        <v>26.687039</v>
      </c>
      <c r="AH752" s="3">
        <v>1.14285714285714</v>
      </c>
      <c r="AI752" s="3" t="s">
        <v>2036</v>
      </c>
      <c r="AJ752" s="3" t="s">
        <v>1715</v>
      </c>
    </row>
    <row r="753" spans="1:36">
      <c r="A753" s="4">
        <v>43277</v>
      </c>
      <c r="B753" s="3" t="s">
        <v>4096</v>
      </c>
      <c r="C753" s="3" t="s">
        <v>4097</v>
      </c>
      <c r="D753" s="3" t="s">
        <v>4098</v>
      </c>
      <c r="E753" s="3" t="s">
        <v>1755</v>
      </c>
      <c r="F753" s="3" t="s">
        <v>1710</v>
      </c>
      <c r="G753" s="3">
        <v>10</v>
      </c>
      <c r="H753" s="3">
        <v>0</v>
      </c>
      <c r="I753" s="3">
        <v>10</v>
      </c>
      <c r="J753" s="3">
        <v>0</v>
      </c>
      <c r="K753" s="3">
        <v>0</v>
      </c>
      <c r="L753" s="3">
        <v>0</v>
      </c>
      <c r="M753" s="3">
        <v>0</v>
      </c>
      <c r="N753" s="3" t="s">
        <v>1711</v>
      </c>
      <c r="O753" s="3">
        <v>0</v>
      </c>
      <c r="P753" s="3">
        <v>0</v>
      </c>
      <c r="Q753" s="3">
        <v>0</v>
      </c>
      <c r="R753" s="3">
        <v>0</v>
      </c>
      <c r="S753" s="3">
        <v>0</v>
      </c>
      <c r="T753" s="3">
        <v>0</v>
      </c>
      <c r="U753" s="3">
        <v>0</v>
      </c>
      <c r="V753" s="3">
        <v>0</v>
      </c>
      <c r="W753" s="3" t="s">
        <v>1720</v>
      </c>
      <c r="X753" s="3">
        <v>15.99</v>
      </c>
      <c r="Y753" s="3">
        <v>15.99</v>
      </c>
      <c r="Z753" s="3">
        <v>15.99</v>
      </c>
      <c r="AA753" s="3">
        <v>0</v>
      </c>
      <c r="AB753" s="3" t="s">
        <v>1721</v>
      </c>
      <c r="AC753" s="3">
        <v>10</v>
      </c>
      <c r="AD753" s="3">
        <v>15.99</v>
      </c>
      <c r="AE753" s="3">
        <v>0</v>
      </c>
      <c r="AF753" s="3">
        <v>0</v>
      </c>
      <c r="AG753" s="3">
        <v>0</v>
      </c>
      <c r="AH753" s="3">
        <v>0</v>
      </c>
      <c r="AI753" s="3" t="s">
        <v>1756</v>
      </c>
      <c r="AJ753" s="3" t="s">
        <v>1715</v>
      </c>
    </row>
    <row r="754" spans="1:36">
      <c r="A754" s="4">
        <v>43277</v>
      </c>
      <c r="B754" s="3" t="s">
        <v>4099</v>
      </c>
      <c r="C754" s="3" t="s">
        <v>4100</v>
      </c>
      <c r="D754" s="3" t="s">
        <v>4101</v>
      </c>
      <c r="E754" s="3" t="s">
        <v>4102</v>
      </c>
      <c r="F754" s="3" t="s">
        <v>1710</v>
      </c>
      <c r="G754" s="3">
        <v>24</v>
      </c>
      <c r="H754" s="3">
        <v>0</v>
      </c>
      <c r="I754" s="3">
        <v>0</v>
      </c>
      <c r="J754" s="3">
        <v>24</v>
      </c>
      <c r="K754" s="3">
        <v>0</v>
      </c>
      <c r="L754" s="3">
        <v>0</v>
      </c>
      <c r="M754" s="3">
        <v>0</v>
      </c>
      <c r="N754" s="3" t="s">
        <v>1711</v>
      </c>
      <c r="O754" s="3">
        <v>24</v>
      </c>
      <c r="P754" s="3">
        <v>35.37</v>
      </c>
      <c r="Q754" s="3">
        <v>0</v>
      </c>
      <c r="R754" s="3">
        <v>0</v>
      </c>
      <c r="S754" s="3">
        <v>0</v>
      </c>
      <c r="T754" s="3">
        <v>0</v>
      </c>
      <c r="U754" s="3">
        <v>0</v>
      </c>
      <c r="V754" s="3">
        <v>0</v>
      </c>
      <c r="W754" s="3" t="s">
        <v>1720</v>
      </c>
      <c r="X754" s="3">
        <v>15.99</v>
      </c>
      <c r="Y754" s="3">
        <v>15.99</v>
      </c>
      <c r="Z754" s="3">
        <v>15.99</v>
      </c>
      <c r="AA754" s="3">
        <v>0</v>
      </c>
      <c r="AB754" s="3" t="s">
        <v>1721</v>
      </c>
      <c r="AC754" s="3">
        <v>3</v>
      </c>
      <c r="AD754" s="3">
        <v>14.42</v>
      </c>
      <c r="AE754" s="3">
        <v>119</v>
      </c>
      <c r="AF754" s="3">
        <v>0</v>
      </c>
      <c r="AG754" s="3">
        <v>578.982373</v>
      </c>
      <c r="AH754" s="3">
        <v>0</v>
      </c>
      <c r="AI754" s="3" t="s">
        <v>1770</v>
      </c>
      <c r="AJ754" s="3" t="s">
        <v>1715</v>
      </c>
    </row>
    <row r="755" spans="1:36">
      <c r="A755" s="4">
        <v>43277</v>
      </c>
      <c r="B755" s="3" t="s">
        <v>4103</v>
      </c>
      <c r="C755" s="3" t="s">
        <v>4104</v>
      </c>
      <c r="D755" s="3" t="s">
        <v>4105</v>
      </c>
      <c r="E755" s="3" t="s">
        <v>4106</v>
      </c>
      <c r="F755" s="3" t="s">
        <v>1710</v>
      </c>
      <c r="G755" s="3">
        <v>3</v>
      </c>
      <c r="H755" s="3">
        <v>0</v>
      </c>
      <c r="I755" s="3">
        <v>3</v>
      </c>
      <c r="J755" s="3">
        <v>0</v>
      </c>
      <c r="K755" s="3">
        <v>0</v>
      </c>
      <c r="L755" s="3">
        <v>0</v>
      </c>
      <c r="M755" s="3">
        <v>0</v>
      </c>
      <c r="N755" s="3" t="s">
        <v>1711</v>
      </c>
      <c r="O755" s="3">
        <v>0</v>
      </c>
      <c r="P755" s="3">
        <v>0</v>
      </c>
      <c r="Q755" s="3">
        <v>0</v>
      </c>
      <c r="R755" s="3">
        <v>0</v>
      </c>
      <c r="S755" s="3">
        <v>0</v>
      </c>
      <c r="T755" s="3">
        <v>1</v>
      </c>
      <c r="U755" s="3">
        <v>3</v>
      </c>
      <c r="V755" s="3">
        <v>3</v>
      </c>
      <c r="W755" s="3"/>
      <c r="X755" s="3">
        <v>15.99</v>
      </c>
      <c r="Y755" s="3">
        <v>15.99</v>
      </c>
      <c r="Z755" s="3">
        <v>15.99</v>
      </c>
      <c r="AA755" s="3">
        <v>0</v>
      </c>
      <c r="AB755" s="3" t="s">
        <v>1713</v>
      </c>
      <c r="AC755" s="3">
        <v>3</v>
      </c>
      <c r="AD755" s="3">
        <v>15.99</v>
      </c>
      <c r="AE755" s="3">
        <v>0</v>
      </c>
      <c r="AF755" s="3">
        <v>0</v>
      </c>
      <c r="AG755" s="3">
        <v>0</v>
      </c>
      <c r="AH755" s="3">
        <v>1.28571428571428</v>
      </c>
      <c r="AI755" s="3" t="s">
        <v>1905</v>
      </c>
      <c r="AJ755" s="3" t="s">
        <v>1715</v>
      </c>
    </row>
    <row r="756" spans="1:36">
      <c r="A756" s="4">
        <v>43277</v>
      </c>
      <c r="B756" s="3" t="s">
        <v>4107</v>
      </c>
      <c r="C756" s="3" t="s">
        <v>4108</v>
      </c>
      <c r="D756" s="3" t="s">
        <v>4109</v>
      </c>
      <c r="E756" s="3" t="s">
        <v>4110</v>
      </c>
      <c r="F756" s="3" t="s">
        <v>1710</v>
      </c>
      <c r="G756" s="3">
        <v>1</v>
      </c>
      <c r="H756" s="3">
        <v>0</v>
      </c>
      <c r="I756" s="3">
        <v>0</v>
      </c>
      <c r="J756" s="3">
        <v>0</v>
      </c>
      <c r="K756" s="3">
        <v>1</v>
      </c>
      <c r="L756" s="3">
        <v>0</v>
      </c>
      <c r="M756" s="3">
        <v>0</v>
      </c>
      <c r="N756" s="3" t="s">
        <v>1711</v>
      </c>
      <c r="O756" s="3">
        <v>1</v>
      </c>
      <c r="P756" s="3">
        <v>0.92</v>
      </c>
      <c r="Q756" s="3">
        <v>0</v>
      </c>
      <c r="R756" s="3">
        <v>0</v>
      </c>
      <c r="S756" s="3">
        <v>0</v>
      </c>
      <c r="T756" s="3">
        <v>0</v>
      </c>
      <c r="U756" s="3">
        <v>0</v>
      </c>
      <c r="V756" s="3">
        <v>1</v>
      </c>
      <c r="W756" s="3" t="s">
        <v>1720</v>
      </c>
      <c r="X756" s="3">
        <v>16.99</v>
      </c>
      <c r="Y756" s="3">
        <v>16.99</v>
      </c>
      <c r="Z756" s="3">
        <v>16.99</v>
      </c>
      <c r="AA756" s="3">
        <v>0</v>
      </c>
      <c r="AB756" s="3" t="s">
        <v>1721</v>
      </c>
      <c r="AC756" s="3">
        <v>0</v>
      </c>
      <c r="AD756" s="3">
        <v>15.67</v>
      </c>
      <c r="AE756" s="3">
        <v>112</v>
      </c>
      <c r="AF756" s="3">
        <v>0</v>
      </c>
      <c r="AG756" s="3">
        <v>12.934344</v>
      </c>
      <c r="AH756" s="3">
        <v>0.8</v>
      </c>
      <c r="AI756" s="3" t="s">
        <v>4111</v>
      </c>
      <c r="AJ756" s="3" t="s">
        <v>1783</v>
      </c>
    </row>
    <row r="757" spans="1:36">
      <c r="A757" s="4">
        <v>43277</v>
      </c>
      <c r="B757" s="3" t="s">
        <v>4112</v>
      </c>
      <c r="C757" s="3" t="s">
        <v>4113</v>
      </c>
      <c r="D757" s="3" t="s">
        <v>4114</v>
      </c>
      <c r="E757" s="3" t="s">
        <v>4115</v>
      </c>
      <c r="F757" s="3" t="s">
        <v>1710</v>
      </c>
      <c r="G757" s="3">
        <v>25</v>
      </c>
      <c r="H757" s="3">
        <v>0</v>
      </c>
      <c r="I757" s="3">
        <v>25</v>
      </c>
      <c r="J757" s="3">
        <v>0</v>
      </c>
      <c r="K757" s="3">
        <v>0</v>
      </c>
      <c r="L757" s="3">
        <v>0</v>
      </c>
      <c r="M757" s="3">
        <v>0</v>
      </c>
      <c r="N757" s="3" t="s">
        <v>1711</v>
      </c>
      <c r="O757" s="3">
        <v>0</v>
      </c>
      <c r="P757" s="3">
        <v>0</v>
      </c>
      <c r="Q757" s="3">
        <v>0</v>
      </c>
      <c r="R757" s="3">
        <v>0</v>
      </c>
      <c r="S757" s="3">
        <v>6</v>
      </c>
      <c r="T757" s="3">
        <v>16</v>
      </c>
      <c r="U757" s="3">
        <v>27</v>
      </c>
      <c r="V757" s="3">
        <v>32</v>
      </c>
      <c r="W757" s="3"/>
      <c r="X757" s="3">
        <v>49.88</v>
      </c>
      <c r="Y757" s="3">
        <v>28.58</v>
      </c>
      <c r="Z757" s="3">
        <v>28</v>
      </c>
      <c r="AA757" s="3">
        <v>0</v>
      </c>
      <c r="AB757" s="3" t="s">
        <v>1713</v>
      </c>
      <c r="AC757" s="3">
        <v>7</v>
      </c>
      <c r="AD757" s="3">
        <v>28.58</v>
      </c>
      <c r="AE757" s="3">
        <v>0</v>
      </c>
      <c r="AF757" s="3">
        <v>0</v>
      </c>
      <c r="AG757" s="3">
        <v>0</v>
      </c>
      <c r="AH757" s="3">
        <v>1.68421052631578</v>
      </c>
      <c r="AI757" s="3" t="s">
        <v>4116</v>
      </c>
      <c r="AJ757" s="3" t="s">
        <v>1715</v>
      </c>
    </row>
    <row r="758" spans="1:36">
      <c r="A758" s="4">
        <v>43277</v>
      </c>
      <c r="B758" s="3" t="s">
        <v>4117</v>
      </c>
      <c r="C758" s="3" t="s">
        <v>4118</v>
      </c>
      <c r="D758" s="3" t="s">
        <v>4119</v>
      </c>
      <c r="E758" s="3" t="s">
        <v>3178</v>
      </c>
      <c r="F758" s="3" t="s">
        <v>1710</v>
      </c>
      <c r="G758" s="3">
        <v>4</v>
      </c>
      <c r="H758" s="3">
        <v>0</v>
      </c>
      <c r="I758" s="3">
        <v>0</v>
      </c>
      <c r="J758" s="3">
        <v>0</v>
      </c>
      <c r="K758" s="3">
        <v>4</v>
      </c>
      <c r="L758" s="3">
        <v>0</v>
      </c>
      <c r="M758" s="3">
        <v>0</v>
      </c>
      <c r="N758" s="3" t="s">
        <v>1711</v>
      </c>
      <c r="O758" s="3">
        <v>4</v>
      </c>
      <c r="P758" s="3">
        <v>0.03</v>
      </c>
      <c r="Q758" s="3">
        <v>0</v>
      </c>
      <c r="R758" s="3">
        <v>0</v>
      </c>
      <c r="S758" s="3">
        <v>0</v>
      </c>
      <c r="T758" s="3">
        <v>0</v>
      </c>
      <c r="U758" s="3">
        <v>0</v>
      </c>
      <c r="V758" s="3">
        <v>1</v>
      </c>
      <c r="W758" s="3" t="s">
        <v>1720</v>
      </c>
      <c r="X758" s="3">
        <v>18.99</v>
      </c>
      <c r="Y758" s="3">
        <v>18.99</v>
      </c>
      <c r="Z758" s="3">
        <v>18.99</v>
      </c>
      <c r="AA758" s="3">
        <v>0</v>
      </c>
      <c r="AB758" s="3" t="s">
        <v>1721</v>
      </c>
      <c r="AC758" s="3">
        <v>0</v>
      </c>
      <c r="AD758" s="3">
        <v>16.56</v>
      </c>
      <c r="AE758" s="3">
        <v>364</v>
      </c>
      <c r="AF758" s="3">
        <v>0</v>
      </c>
      <c r="AG758" s="3">
        <v>36.389894</v>
      </c>
      <c r="AH758" s="3">
        <v>0.235294117647058</v>
      </c>
      <c r="AI758" s="3" t="s">
        <v>1782</v>
      </c>
      <c r="AJ758" s="3" t="s">
        <v>1783</v>
      </c>
    </row>
    <row r="759" spans="1:36">
      <c r="A759" s="4">
        <v>43277</v>
      </c>
      <c r="B759" s="3" t="s">
        <v>168</v>
      </c>
      <c r="C759" s="3" t="s">
        <v>169</v>
      </c>
      <c r="D759" s="3" t="s">
        <v>170</v>
      </c>
      <c r="E759" s="3" t="s">
        <v>171</v>
      </c>
      <c r="F759" s="3" t="s">
        <v>1710</v>
      </c>
      <c r="G759" s="3">
        <v>68</v>
      </c>
      <c r="H759" s="3">
        <v>0</v>
      </c>
      <c r="I759" s="3">
        <v>68</v>
      </c>
      <c r="J759" s="3">
        <v>0</v>
      </c>
      <c r="K759" s="3">
        <v>0</v>
      </c>
      <c r="L759" s="3">
        <v>0</v>
      </c>
      <c r="M759" s="3">
        <v>0</v>
      </c>
      <c r="N759" s="3" t="s">
        <v>1711</v>
      </c>
      <c r="O759" s="3">
        <v>0</v>
      </c>
      <c r="P759" s="3">
        <v>0</v>
      </c>
      <c r="Q759" s="3">
        <v>0</v>
      </c>
      <c r="R759" s="3">
        <v>0</v>
      </c>
      <c r="S759" s="3">
        <v>8</v>
      </c>
      <c r="T759" s="3">
        <v>61</v>
      </c>
      <c r="U759" s="3">
        <v>111</v>
      </c>
      <c r="V759" s="3">
        <v>145</v>
      </c>
      <c r="W759" s="3"/>
      <c r="X759" s="3">
        <v>28.99</v>
      </c>
      <c r="Y759" s="3">
        <v>14.99</v>
      </c>
      <c r="Z759" s="3">
        <v>14.99</v>
      </c>
      <c r="AA759" s="3">
        <v>0</v>
      </c>
      <c r="AB759" s="3" t="s">
        <v>1713</v>
      </c>
      <c r="AC759" s="3">
        <v>75</v>
      </c>
      <c r="AD759" s="3">
        <v>14.99</v>
      </c>
      <c r="AE759" s="3">
        <v>0</v>
      </c>
      <c r="AF759" s="3">
        <v>0</v>
      </c>
      <c r="AG759" s="3">
        <v>0</v>
      </c>
      <c r="AH759" s="3">
        <v>3.22222222222222</v>
      </c>
      <c r="AI759" s="3" t="s">
        <v>2467</v>
      </c>
      <c r="AJ759" s="3" t="s">
        <v>1715</v>
      </c>
    </row>
    <row r="760" spans="1:36">
      <c r="A760" s="4">
        <v>43277</v>
      </c>
      <c r="B760" s="3" t="s">
        <v>4120</v>
      </c>
      <c r="C760" s="3" t="s">
        <v>4121</v>
      </c>
      <c r="D760" s="3" t="s">
        <v>4122</v>
      </c>
      <c r="E760" s="3" t="s">
        <v>4123</v>
      </c>
      <c r="F760" s="3" t="s">
        <v>1710</v>
      </c>
      <c r="G760" s="3">
        <v>73</v>
      </c>
      <c r="H760" s="3">
        <v>0</v>
      </c>
      <c r="I760" s="3">
        <v>3</v>
      </c>
      <c r="J760" s="3">
        <v>9</v>
      </c>
      <c r="K760" s="3">
        <v>61</v>
      </c>
      <c r="L760" s="3">
        <v>0</v>
      </c>
      <c r="M760" s="3">
        <v>0</v>
      </c>
      <c r="N760" s="3" t="s">
        <v>1711</v>
      </c>
      <c r="O760" s="3">
        <v>68</v>
      </c>
      <c r="P760" s="3">
        <v>40.7</v>
      </c>
      <c r="Q760" s="3">
        <v>0</v>
      </c>
      <c r="R760" s="3">
        <v>0</v>
      </c>
      <c r="S760" s="3">
        <v>0</v>
      </c>
      <c r="T760" s="3">
        <v>1</v>
      </c>
      <c r="U760" s="3">
        <v>3</v>
      </c>
      <c r="V760" s="3">
        <v>4</v>
      </c>
      <c r="W760" s="3"/>
      <c r="X760" s="3">
        <v>16.99</v>
      </c>
      <c r="Y760" s="3">
        <v>16.99</v>
      </c>
      <c r="Z760" s="3">
        <v>16</v>
      </c>
      <c r="AA760" s="3">
        <v>0</v>
      </c>
      <c r="AB760" s="3" t="s">
        <v>1732</v>
      </c>
      <c r="AC760" s="3">
        <v>5</v>
      </c>
      <c r="AD760" s="3">
        <v>15.43</v>
      </c>
      <c r="AE760" s="3">
        <v>217</v>
      </c>
      <c r="AF760" s="3">
        <v>0</v>
      </c>
      <c r="AG760" s="3">
        <v>1134.968869</v>
      </c>
      <c r="AH760" s="3">
        <v>0.0245775729646697</v>
      </c>
      <c r="AI760" s="3" t="s">
        <v>1905</v>
      </c>
      <c r="AJ760" s="3" t="s">
        <v>1715</v>
      </c>
    </row>
    <row r="761" spans="1:36">
      <c r="A761" s="4">
        <v>43277</v>
      </c>
      <c r="B761" s="3" t="s">
        <v>4124</v>
      </c>
      <c r="C761" s="3" t="s">
        <v>4125</v>
      </c>
      <c r="D761" s="3" t="s">
        <v>4126</v>
      </c>
      <c r="E761" s="3" t="s">
        <v>4127</v>
      </c>
      <c r="F761" s="3" t="s">
        <v>1710</v>
      </c>
      <c r="G761" s="3">
        <v>12</v>
      </c>
      <c r="H761" s="3">
        <v>0</v>
      </c>
      <c r="I761" s="3">
        <v>0</v>
      </c>
      <c r="J761" s="3">
        <v>2</v>
      </c>
      <c r="K761" s="3">
        <v>10</v>
      </c>
      <c r="L761" s="3">
        <v>0</v>
      </c>
      <c r="M761" s="3">
        <v>0</v>
      </c>
      <c r="N761" s="3" t="s">
        <v>1711</v>
      </c>
      <c r="O761" s="3">
        <v>12</v>
      </c>
      <c r="P761" s="3">
        <v>8.58</v>
      </c>
      <c r="Q761" s="3">
        <v>0</v>
      </c>
      <c r="R761" s="3">
        <v>0</v>
      </c>
      <c r="S761" s="3">
        <v>1</v>
      </c>
      <c r="T761" s="3">
        <v>1</v>
      </c>
      <c r="U761" s="3">
        <v>1</v>
      </c>
      <c r="V761" s="3">
        <v>1</v>
      </c>
      <c r="W761" s="3" t="s">
        <v>1712</v>
      </c>
      <c r="X761" s="3">
        <v>15.96</v>
      </c>
      <c r="Y761" s="3">
        <v>18.99</v>
      </c>
      <c r="Z761" s="3">
        <v>18.99</v>
      </c>
      <c r="AA761" s="3">
        <v>0</v>
      </c>
      <c r="AB761" s="3" t="s">
        <v>1732</v>
      </c>
      <c r="AC761" s="3">
        <v>0</v>
      </c>
      <c r="AD761" s="3">
        <v>16.22</v>
      </c>
      <c r="AE761" s="3">
        <v>315</v>
      </c>
      <c r="AF761" s="3">
        <v>0</v>
      </c>
      <c r="AG761" s="3">
        <v>199.066534</v>
      </c>
      <c r="AH761" s="3">
        <v>0.0784313725490196</v>
      </c>
      <c r="AI761" s="3" t="s">
        <v>1947</v>
      </c>
      <c r="AJ761" s="3" t="s">
        <v>1783</v>
      </c>
    </row>
    <row r="762" spans="1:36">
      <c r="A762" s="4">
        <v>43277</v>
      </c>
      <c r="B762" s="3" t="s">
        <v>4128</v>
      </c>
      <c r="C762" s="3" t="s">
        <v>4129</v>
      </c>
      <c r="D762" s="3" t="s">
        <v>4130</v>
      </c>
      <c r="E762" s="3" t="s">
        <v>1936</v>
      </c>
      <c r="F762" s="3" t="s">
        <v>1710</v>
      </c>
      <c r="G762" s="3">
        <v>4</v>
      </c>
      <c r="H762" s="3">
        <v>0</v>
      </c>
      <c r="I762" s="3">
        <v>0</v>
      </c>
      <c r="J762" s="3">
        <v>0</v>
      </c>
      <c r="K762" s="3">
        <v>0</v>
      </c>
      <c r="L762" s="3">
        <v>4</v>
      </c>
      <c r="M762" s="3">
        <v>0</v>
      </c>
      <c r="N762" s="3" t="s">
        <v>1711</v>
      </c>
      <c r="O762" s="3">
        <v>0</v>
      </c>
      <c r="P762" s="3">
        <v>0</v>
      </c>
      <c r="Q762" s="3">
        <v>4</v>
      </c>
      <c r="R762" s="3">
        <v>5.76</v>
      </c>
      <c r="S762" s="3">
        <v>0</v>
      </c>
      <c r="T762" s="3">
        <v>0</v>
      </c>
      <c r="U762" s="3">
        <v>0</v>
      </c>
      <c r="V762" s="3">
        <v>0</v>
      </c>
      <c r="W762" s="3" t="s">
        <v>1720</v>
      </c>
      <c r="X762" s="3">
        <v>14.99</v>
      </c>
      <c r="Y762" s="3">
        <v>14.99</v>
      </c>
      <c r="Z762" s="3">
        <v>14.99</v>
      </c>
      <c r="AA762" s="3">
        <v>0</v>
      </c>
      <c r="AB762" s="3" t="s">
        <v>1721</v>
      </c>
      <c r="AC762" s="3">
        <v>0</v>
      </c>
      <c r="AD762" s="3">
        <v>13.54</v>
      </c>
      <c r="AE762" s="3">
        <v>112</v>
      </c>
      <c r="AF762" s="3">
        <v>0</v>
      </c>
      <c r="AG762" s="3">
        <v>61.616976</v>
      </c>
      <c r="AH762" s="3">
        <v>0</v>
      </c>
      <c r="AI762" s="3" t="s">
        <v>1840</v>
      </c>
      <c r="AJ762" s="3" t="s">
        <v>1715</v>
      </c>
    </row>
    <row r="763" spans="1:36">
      <c r="A763" s="4">
        <v>43277</v>
      </c>
      <c r="B763" s="3" t="s">
        <v>4131</v>
      </c>
      <c r="C763" s="3" t="s">
        <v>4132</v>
      </c>
      <c r="D763" s="3" t="s">
        <v>4133</v>
      </c>
      <c r="E763" s="3" t="s">
        <v>4134</v>
      </c>
      <c r="F763" s="3" t="s">
        <v>1710</v>
      </c>
      <c r="G763" s="3">
        <v>1</v>
      </c>
      <c r="H763" s="3">
        <v>0</v>
      </c>
      <c r="I763" s="3">
        <v>1</v>
      </c>
      <c r="J763" s="3">
        <v>0</v>
      </c>
      <c r="K763" s="3">
        <v>0</v>
      </c>
      <c r="L763" s="3">
        <v>0</v>
      </c>
      <c r="M763" s="3">
        <v>0</v>
      </c>
      <c r="N763" s="3" t="s">
        <v>1711</v>
      </c>
      <c r="O763" s="3">
        <v>0</v>
      </c>
      <c r="P763" s="3">
        <v>0</v>
      </c>
      <c r="Q763" s="3">
        <v>0</v>
      </c>
      <c r="R763" s="3">
        <v>0</v>
      </c>
      <c r="S763" s="3">
        <v>0</v>
      </c>
      <c r="T763" s="3">
        <v>0</v>
      </c>
      <c r="U763" s="3">
        <v>0</v>
      </c>
      <c r="V763" s="3">
        <v>12</v>
      </c>
      <c r="W763" s="3"/>
      <c r="X763" s="3"/>
      <c r="Y763" s="3"/>
      <c r="Z763" s="3">
        <v>-1</v>
      </c>
      <c r="AA763" s="3">
        <v>-1</v>
      </c>
      <c r="AB763" s="3" t="s">
        <v>1776</v>
      </c>
      <c r="AC763" s="3">
        <v>0</v>
      </c>
      <c r="AD763" s="3">
        <v>0</v>
      </c>
      <c r="AE763" s="3">
        <v>0</v>
      </c>
      <c r="AF763" s="3">
        <v>0</v>
      </c>
      <c r="AG763" s="3">
        <v>0</v>
      </c>
      <c r="AH763" s="3">
        <v>2.52631578947368</v>
      </c>
      <c r="AI763" s="3" t="s">
        <v>2937</v>
      </c>
      <c r="AJ763" s="3" t="s">
        <v>1715</v>
      </c>
    </row>
    <row r="764" spans="1:36">
      <c r="A764" s="4">
        <v>43277</v>
      </c>
      <c r="B764" s="3" t="s">
        <v>4135</v>
      </c>
      <c r="C764" s="3" t="s">
        <v>4136</v>
      </c>
      <c r="D764" s="3" t="s">
        <v>4137</v>
      </c>
      <c r="E764" s="3" t="s">
        <v>4138</v>
      </c>
      <c r="F764" s="3" t="s">
        <v>1710</v>
      </c>
      <c r="G764" s="3">
        <v>4</v>
      </c>
      <c r="H764" s="3">
        <v>0</v>
      </c>
      <c r="I764" s="3">
        <v>0</v>
      </c>
      <c r="J764" s="3">
        <v>0</v>
      </c>
      <c r="K764" s="3">
        <v>0</v>
      </c>
      <c r="L764" s="3">
        <v>4</v>
      </c>
      <c r="M764" s="3">
        <v>0</v>
      </c>
      <c r="N764" s="3" t="s">
        <v>1711</v>
      </c>
      <c r="O764" s="3">
        <v>4</v>
      </c>
      <c r="P764" s="3">
        <v>0.03</v>
      </c>
      <c r="Q764" s="3">
        <v>0</v>
      </c>
      <c r="R764" s="3">
        <v>0</v>
      </c>
      <c r="S764" s="3">
        <v>0</v>
      </c>
      <c r="T764" s="3">
        <v>0</v>
      </c>
      <c r="U764" s="3">
        <v>0</v>
      </c>
      <c r="V764" s="3">
        <v>0</v>
      </c>
      <c r="W764" s="3" t="s">
        <v>1720</v>
      </c>
      <c r="X764" s="3">
        <v>15.88</v>
      </c>
      <c r="Y764" s="3">
        <v>15.88</v>
      </c>
      <c r="Z764" s="3">
        <v>15.88</v>
      </c>
      <c r="AA764" s="3">
        <v>0</v>
      </c>
      <c r="AB764" s="3" t="s">
        <v>1732</v>
      </c>
      <c r="AC764" s="3">
        <v>0</v>
      </c>
      <c r="AD764" s="3">
        <v>12.7</v>
      </c>
      <c r="AE764" s="3">
        <v>63</v>
      </c>
      <c r="AF764" s="3">
        <v>0</v>
      </c>
      <c r="AG764" s="3">
        <v>1.771361</v>
      </c>
      <c r="AH764" s="3">
        <v>0</v>
      </c>
      <c r="AI764" s="3" t="s">
        <v>1782</v>
      </c>
      <c r="AJ764" s="3" t="s">
        <v>1715</v>
      </c>
    </row>
    <row r="765" spans="1:36">
      <c r="A765" s="4">
        <v>43277</v>
      </c>
      <c r="B765" s="3" t="s">
        <v>1541</v>
      </c>
      <c r="C765" s="3" t="s">
        <v>1542</v>
      </c>
      <c r="D765" s="3" t="s">
        <v>1543</v>
      </c>
      <c r="E765" s="3" t="s">
        <v>1544</v>
      </c>
      <c r="F765" s="3" t="s">
        <v>1710</v>
      </c>
      <c r="G765" s="3">
        <v>41</v>
      </c>
      <c r="H765" s="3">
        <v>0</v>
      </c>
      <c r="I765" s="3">
        <v>41</v>
      </c>
      <c r="J765" s="3">
        <v>0</v>
      </c>
      <c r="K765" s="3">
        <v>0</v>
      </c>
      <c r="L765" s="3">
        <v>0</v>
      </c>
      <c r="M765" s="3">
        <v>0</v>
      </c>
      <c r="N765" s="3" t="s">
        <v>1711</v>
      </c>
      <c r="O765" s="3">
        <v>0</v>
      </c>
      <c r="P765" s="3">
        <v>0</v>
      </c>
      <c r="Q765" s="3">
        <v>0</v>
      </c>
      <c r="R765" s="3">
        <v>0</v>
      </c>
      <c r="S765" s="3">
        <v>3</v>
      </c>
      <c r="T765" s="3">
        <v>60</v>
      </c>
      <c r="U765" s="3">
        <v>98</v>
      </c>
      <c r="V765" s="3">
        <v>133</v>
      </c>
      <c r="W765" s="3"/>
      <c r="X765" s="3">
        <v>40</v>
      </c>
      <c r="Y765" s="3">
        <v>29.99</v>
      </c>
      <c r="Z765" s="3">
        <v>29.99</v>
      </c>
      <c r="AA765" s="3">
        <v>0</v>
      </c>
      <c r="AB765" s="3" t="s">
        <v>1713</v>
      </c>
      <c r="AC765" s="3">
        <v>1</v>
      </c>
      <c r="AD765" s="3">
        <v>29.99</v>
      </c>
      <c r="AE765" s="3">
        <v>0</v>
      </c>
      <c r="AF765" s="3">
        <v>0</v>
      </c>
      <c r="AG765" s="3">
        <v>0</v>
      </c>
      <c r="AH765" s="3">
        <v>4.47058823529411</v>
      </c>
      <c r="AI765" s="3" t="s">
        <v>4139</v>
      </c>
      <c r="AJ765" s="3" t="s">
        <v>1715</v>
      </c>
    </row>
    <row r="766" spans="1:36">
      <c r="A766" s="4">
        <v>43277</v>
      </c>
      <c r="B766" s="3" t="s">
        <v>4140</v>
      </c>
      <c r="C766" s="3" t="s">
        <v>4141</v>
      </c>
      <c r="D766" s="3" t="s">
        <v>4142</v>
      </c>
      <c r="E766" s="3" t="s">
        <v>2324</v>
      </c>
      <c r="F766" s="3" t="s">
        <v>1710</v>
      </c>
      <c r="G766" s="3">
        <v>11</v>
      </c>
      <c r="H766" s="3">
        <v>0</v>
      </c>
      <c r="I766" s="3">
        <v>5</v>
      </c>
      <c r="J766" s="3">
        <v>6</v>
      </c>
      <c r="K766" s="3">
        <v>0</v>
      </c>
      <c r="L766" s="3">
        <v>0</v>
      </c>
      <c r="M766" s="3">
        <v>0</v>
      </c>
      <c r="N766" s="3" t="s">
        <v>1711</v>
      </c>
      <c r="O766" s="3">
        <v>1</v>
      </c>
      <c r="P766" s="3">
        <v>3.63</v>
      </c>
      <c r="Q766" s="3">
        <v>0</v>
      </c>
      <c r="R766" s="3">
        <v>0</v>
      </c>
      <c r="S766" s="3">
        <v>0</v>
      </c>
      <c r="T766" s="3">
        <v>0</v>
      </c>
      <c r="U766" s="3">
        <v>2</v>
      </c>
      <c r="V766" s="3">
        <v>4</v>
      </c>
      <c r="W766" s="3" t="s">
        <v>1712</v>
      </c>
      <c r="X766" s="3">
        <v>27.99</v>
      </c>
      <c r="Y766" s="3">
        <v>27.99</v>
      </c>
      <c r="Z766" s="3">
        <v>25.99</v>
      </c>
      <c r="AA766" s="3">
        <v>0</v>
      </c>
      <c r="AB766" s="3" t="s">
        <v>1713</v>
      </c>
      <c r="AC766" s="3">
        <v>11</v>
      </c>
      <c r="AD766" s="3">
        <v>27.99</v>
      </c>
      <c r="AE766" s="3">
        <v>0</v>
      </c>
      <c r="AF766" s="3">
        <v>0</v>
      </c>
      <c r="AG766" s="3">
        <v>0</v>
      </c>
      <c r="AH766" s="3">
        <v>0.457142857142857</v>
      </c>
      <c r="AI766" s="3" t="s">
        <v>1831</v>
      </c>
      <c r="AJ766" s="3" t="s">
        <v>1715</v>
      </c>
    </row>
    <row r="767" spans="1:36">
      <c r="A767" s="4">
        <v>43277</v>
      </c>
      <c r="B767" s="3" t="s">
        <v>1058</v>
      </c>
      <c r="C767" s="3" t="s">
        <v>1059</v>
      </c>
      <c r="D767" s="3" t="s">
        <v>1060</v>
      </c>
      <c r="E767" s="3" t="s">
        <v>1061</v>
      </c>
      <c r="F767" s="3" t="s">
        <v>1710</v>
      </c>
      <c r="G767" s="3">
        <v>12</v>
      </c>
      <c r="H767" s="3">
        <v>0</v>
      </c>
      <c r="I767" s="3">
        <v>12</v>
      </c>
      <c r="J767" s="3">
        <v>0</v>
      </c>
      <c r="K767" s="3">
        <v>0</v>
      </c>
      <c r="L767" s="3">
        <v>0</v>
      </c>
      <c r="M767" s="3">
        <v>0</v>
      </c>
      <c r="N767" s="3" t="s">
        <v>1711</v>
      </c>
      <c r="O767" s="3">
        <v>0</v>
      </c>
      <c r="P767" s="3">
        <v>0</v>
      </c>
      <c r="Q767" s="3">
        <v>0</v>
      </c>
      <c r="R767" s="3">
        <v>0</v>
      </c>
      <c r="S767" s="3">
        <v>3</v>
      </c>
      <c r="T767" s="3">
        <v>11</v>
      </c>
      <c r="U767" s="3">
        <v>13</v>
      </c>
      <c r="V767" s="3">
        <v>13</v>
      </c>
      <c r="W767" s="3" t="s">
        <v>1712</v>
      </c>
      <c r="X767" s="3">
        <v>48.58</v>
      </c>
      <c r="Y767" s="3">
        <v>28.99</v>
      </c>
      <c r="Z767" s="3">
        <v>28.99</v>
      </c>
      <c r="AA767" s="3">
        <v>0</v>
      </c>
      <c r="AB767" s="3" t="s">
        <v>1713</v>
      </c>
      <c r="AC767" s="3">
        <v>9</v>
      </c>
      <c r="AD767" s="3">
        <v>28.99</v>
      </c>
      <c r="AE767" s="3">
        <v>0</v>
      </c>
      <c r="AF767" s="3">
        <v>0</v>
      </c>
      <c r="AG767" s="3">
        <v>0</v>
      </c>
      <c r="AH767" s="3">
        <v>1.3</v>
      </c>
      <c r="AI767" s="3" t="s">
        <v>1800</v>
      </c>
      <c r="AJ767" s="3" t="s">
        <v>1715</v>
      </c>
    </row>
    <row r="768" spans="1:36">
      <c r="A768" s="4">
        <v>43277</v>
      </c>
      <c r="B768" s="3" t="s">
        <v>4143</v>
      </c>
      <c r="C768" s="3" t="s">
        <v>4144</v>
      </c>
      <c r="D768" s="3" t="s">
        <v>4145</v>
      </c>
      <c r="E768" s="3" t="s">
        <v>3838</v>
      </c>
      <c r="F768" s="3" t="s">
        <v>1710</v>
      </c>
      <c r="G768" s="3">
        <v>4</v>
      </c>
      <c r="H768" s="3">
        <v>0</v>
      </c>
      <c r="I768" s="3">
        <v>0</v>
      </c>
      <c r="J768" s="3">
        <v>0</v>
      </c>
      <c r="K768" s="3">
        <v>4</v>
      </c>
      <c r="L768" s="3">
        <v>0</v>
      </c>
      <c r="M768" s="3">
        <v>0</v>
      </c>
      <c r="N768" s="3" t="s">
        <v>1711</v>
      </c>
      <c r="O768" s="3">
        <v>4</v>
      </c>
      <c r="P768" s="3">
        <v>19.52</v>
      </c>
      <c r="Q768" s="3">
        <v>0</v>
      </c>
      <c r="R768" s="3">
        <v>0</v>
      </c>
      <c r="S768" s="3">
        <v>0</v>
      </c>
      <c r="T768" s="3">
        <v>0</v>
      </c>
      <c r="U768" s="3">
        <v>0</v>
      </c>
      <c r="V768" s="3">
        <v>0</v>
      </c>
      <c r="W768" s="3" t="s">
        <v>1712</v>
      </c>
      <c r="X768" s="3">
        <v>29.99</v>
      </c>
      <c r="Y768" s="3">
        <v>29.99</v>
      </c>
      <c r="Z768" s="3">
        <v>28.99</v>
      </c>
      <c r="AA768" s="3">
        <v>0</v>
      </c>
      <c r="AB768" s="3" t="s">
        <v>1732</v>
      </c>
      <c r="AC768" s="3">
        <v>0</v>
      </c>
      <c r="AD768" s="3">
        <v>26.69</v>
      </c>
      <c r="AE768" s="3">
        <v>49</v>
      </c>
      <c r="AF768" s="3">
        <v>0</v>
      </c>
      <c r="AG768" s="3">
        <v>273.187273</v>
      </c>
      <c r="AH768" s="3">
        <v>0</v>
      </c>
      <c r="AI768" s="3" t="s">
        <v>2094</v>
      </c>
      <c r="AJ768" s="3" t="s">
        <v>1715</v>
      </c>
    </row>
    <row r="769" spans="1:36">
      <c r="A769" s="4">
        <v>43277</v>
      </c>
      <c r="B769" s="3" t="s">
        <v>863</v>
      </c>
      <c r="C769" s="3" t="s">
        <v>864</v>
      </c>
      <c r="D769" s="3" t="s">
        <v>865</v>
      </c>
      <c r="E769" s="3" t="s">
        <v>866</v>
      </c>
      <c r="F769" s="3" t="s">
        <v>1710</v>
      </c>
      <c r="G769" s="3">
        <v>20</v>
      </c>
      <c r="H769" s="3">
        <v>0</v>
      </c>
      <c r="I769" s="3">
        <v>20</v>
      </c>
      <c r="J769" s="3">
        <v>0</v>
      </c>
      <c r="K769" s="3">
        <v>0</v>
      </c>
      <c r="L769" s="3">
        <v>0</v>
      </c>
      <c r="M769" s="3">
        <v>0</v>
      </c>
      <c r="N769" s="3" t="s">
        <v>1711</v>
      </c>
      <c r="O769" s="3">
        <v>0</v>
      </c>
      <c r="P769" s="3">
        <v>0</v>
      </c>
      <c r="Q769" s="3">
        <v>0</v>
      </c>
      <c r="R769" s="3">
        <v>0</v>
      </c>
      <c r="S769" s="3">
        <v>6</v>
      </c>
      <c r="T769" s="3">
        <v>23</v>
      </c>
      <c r="U769" s="3">
        <v>37</v>
      </c>
      <c r="V769" s="3">
        <v>50</v>
      </c>
      <c r="W769" s="3"/>
      <c r="X769" s="3">
        <v>15.99</v>
      </c>
      <c r="Y769" s="3">
        <v>15.99</v>
      </c>
      <c r="Z769" s="3">
        <v>15.99</v>
      </c>
      <c r="AA769" s="3">
        <v>0</v>
      </c>
      <c r="AB769" s="3" t="s">
        <v>1713</v>
      </c>
      <c r="AC769" s="3">
        <v>21</v>
      </c>
      <c r="AD769" s="3">
        <v>15.99</v>
      </c>
      <c r="AE769" s="3">
        <v>0</v>
      </c>
      <c r="AF769" s="3">
        <v>0</v>
      </c>
      <c r="AG769" s="3">
        <v>0</v>
      </c>
      <c r="AH769" s="3">
        <v>5.55555555555555</v>
      </c>
      <c r="AI769" s="3" t="s">
        <v>4146</v>
      </c>
      <c r="AJ769" s="3" t="s">
        <v>1715</v>
      </c>
    </row>
    <row r="770" spans="1:36">
      <c r="A770" s="4">
        <v>43277</v>
      </c>
      <c r="B770" s="3" t="s">
        <v>4147</v>
      </c>
      <c r="C770" s="3" t="s">
        <v>4148</v>
      </c>
      <c r="D770" s="3" t="s">
        <v>4149</v>
      </c>
      <c r="E770" s="3" t="s">
        <v>4150</v>
      </c>
      <c r="F770" s="3" t="s">
        <v>1710</v>
      </c>
      <c r="G770" s="3">
        <v>1</v>
      </c>
      <c r="H770" s="3">
        <v>0</v>
      </c>
      <c r="I770" s="3">
        <v>1</v>
      </c>
      <c r="J770" s="3">
        <v>0</v>
      </c>
      <c r="K770" s="3">
        <v>0</v>
      </c>
      <c r="L770" s="3">
        <v>0</v>
      </c>
      <c r="M770" s="3">
        <v>0</v>
      </c>
      <c r="N770" s="3" t="s">
        <v>1711</v>
      </c>
      <c r="O770" s="3">
        <v>0</v>
      </c>
      <c r="P770" s="3">
        <v>0</v>
      </c>
      <c r="Q770" s="3">
        <v>0</v>
      </c>
      <c r="R770" s="3">
        <v>0</v>
      </c>
      <c r="S770" s="3">
        <v>0</v>
      </c>
      <c r="T770" s="3">
        <v>1</v>
      </c>
      <c r="U770" s="3">
        <v>1</v>
      </c>
      <c r="V770" s="3">
        <v>3</v>
      </c>
      <c r="W770" s="3"/>
      <c r="X770" s="3">
        <v>27.99</v>
      </c>
      <c r="Y770" s="3">
        <v>27.99</v>
      </c>
      <c r="Z770" s="3">
        <v>25.99</v>
      </c>
      <c r="AA770" s="3">
        <v>0</v>
      </c>
      <c r="AB770" s="3" t="s">
        <v>1713</v>
      </c>
      <c r="AC770" s="3">
        <v>1</v>
      </c>
      <c r="AD770" s="3">
        <v>27.99</v>
      </c>
      <c r="AE770" s="3">
        <v>0</v>
      </c>
      <c r="AF770" s="3">
        <v>0</v>
      </c>
      <c r="AG770" s="3">
        <v>0</v>
      </c>
      <c r="AH770" s="3">
        <v>4</v>
      </c>
      <c r="AI770" s="3" t="s">
        <v>1831</v>
      </c>
      <c r="AJ770" s="3" t="s">
        <v>1715</v>
      </c>
    </row>
    <row r="771" spans="1:36">
      <c r="A771" s="4">
        <v>43277</v>
      </c>
      <c r="B771" s="3" t="s">
        <v>4151</v>
      </c>
      <c r="C771" s="3" t="s">
        <v>4152</v>
      </c>
      <c r="D771" s="3" t="s">
        <v>4153</v>
      </c>
      <c r="E771" s="3" t="s">
        <v>1820</v>
      </c>
      <c r="F771" s="3" t="s">
        <v>1710</v>
      </c>
      <c r="G771" s="3">
        <v>10</v>
      </c>
      <c r="H771" s="3">
        <v>0</v>
      </c>
      <c r="I771" s="3">
        <v>10</v>
      </c>
      <c r="J771" s="3">
        <v>0</v>
      </c>
      <c r="K771" s="3">
        <v>0</v>
      </c>
      <c r="L771" s="3">
        <v>0</v>
      </c>
      <c r="M771" s="3">
        <v>0</v>
      </c>
      <c r="N771" s="3" t="s">
        <v>1711</v>
      </c>
      <c r="O771" s="3">
        <v>0</v>
      </c>
      <c r="P771" s="3">
        <v>0</v>
      </c>
      <c r="Q771" s="3">
        <v>0</v>
      </c>
      <c r="R771" s="3">
        <v>0</v>
      </c>
      <c r="S771" s="3">
        <v>0</v>
      </c>
      <c r="T771" s="3">
        <v>0</v>
      </c>
      <c r="U771" s="3">
        <v>0</v>
      </c>
      <c r="V771" s="3">
        <v>0</v>
      </c>
      <c r="W771" s="3" t="s">
        <v>1720</v>
      </c>
      <c r="X771" s="3">
        <v>17.99</v>
      </c>
      <c r="Y771" s="3">
        <v>17.99</v>
      </c>
      <c r="Z771" s="3">
        <v>17.99</v>
      </c>
      <c r="AA771" s="3">
        <v>0</v>
      </c>
      <c r="AB771" s="3" t="s">
        <v>1721</v>
      </c>
      <c r="AC771" s="3">
        <v>0</v>
      </c>
      <c r="AD771" s="3">
        <v>14.39</v>
      </c>
      <c r="AE771" s="3">
        <v>63</v>
      </c>
      <c r="AF771" s="3">
        <v>0</v>
      </c>
      <c r="AG771" s="3">
        <v>71.35884</v>
      </c>
      <c r="AH771" s="3">
        <v>0</v>
      </c>
      <c r="AI771" s="3" t="s">
        <v>1821</v>
      </c>
      <c r="AJ771" s="3" t="s">
        <v>1715</v>
      </c>
    </row>
    <row r="772" spans="1:36">
      <c r="A772" s="4">
        <v>43277</v>
      </c>
      <c r="B772" s="3" t="s">
        <v>4154</v>
      </c>
      <c r="C772" s="3" t="s">
        <v>4155</v>
      </c>
      <c r="D772" s="3" t="s">
        <v>4156</v>
      </c>
      <c r="E772" s="3" t="s">
        <v>4157</v>
      </c>
      <c r="F772" s="3" t="s">
        <v>1710</v>
      </c>
      <c r="G772" s="3">
        <v>4</v>
      </c>
      <c r="H772" s="3">
        <v>0</v>
      </c>
      <c r="I772" s="3">
        <v>0</v>
      </c>
      <c r="J772" s="3">
        <v>0</v>
      </c>
      <c r="K772" s="3">
        <v>4</v>
      </c>
      <c r="L772" s="3">
        <v>0</v>
      </c>
      <c r="M772" s="3">
        <v>0</v>
      </c>
      <c r="N772" s="3" t="s">
        <v>1711</v>
      </c>
      <c r="O772" s="3">
        <v>4</v>
      </c>
      <c r="P772" s="3">
        <v>0.02</v>
      </c>
      <c r="Q772" s="3">
        <v>0</v>
      </c>
      <c r="R772" s="3">
        <v>0</v>
      </c>
      <c r="S772" s="3">
        <v>0</v>
      </c>
      <c r="T772" s="3">
        <v>0</v>
      </c>
      <c r="U772" s="3">
        <v>0</v>
      </c>
      <c r="V772" s="3">
        <v>0</v>
      </c>
      <c r="W772" s="3" t="s">
        <v>1720</v>
      </c>
      <c r="X772" s="3">
        <v>19.99</v>
      </c>
      <c r="Y772" s="3">
        <v>19.99</v>
      </c>
      <c r="Z772" s="3">
        <v>19.99</v>
      </c>
      <c r="AA772" s="3">
        <v>0</v>
      </c>
      <c r="AB772" s="3" t="s">
        <v>1721</v>
      </c>
      <c r="AC772" s="3">
        <v>0</v>
      </c>
      <c r="AD772" s="3">
        <v>18.18</v>
      </c>
      <c r="AE772" s="3">
        <v>259</v>
      </c>
      <c r="AF772" s="3">
        <v>0</v>
      </c>
      <c r="AG772" s="3">
        <v>43.645856</v>
      </c>
      <c r="AH772" s="3">
        <v>0</v>
      </c>
      <c r="AI772" s="3" t="s">
        <v>1782</v>
      </c>
      <c r="AJ772" s="3" t="s">
        <v>1783</v>
      </c>
    </row>
    <row r="773" spans="1:36">
      <c r="A773" s="4">
        <v>43277</v>
      </c>
      <c r="B773" s="3" t="s">
        <v>4158</v>
      </c>
      <c r="C773" s="3" t="s">
        <v>4159</v>
      </c>
      <c r="D773" s="3" t="s">
        <v>4160</v>
      </c>
      <c r="E773" s="3" t="s">
        <v>2842</v>
      </c>
      <c r="F773" s="3" t="s">
        <v>1710</v>
      </c>
      <c r="G773" s="3">
        <v>36</v>
      </c>
      <c r="H773" s="3">
        <v>0</v>
      </c>
      <c r="I773" s="3">
        <v>0</v>
      </c>
      <c r="J773" s="3">
        <v>1</v>
      </c>
      <c r="K773" s="3">
        <v>35</v>
      </c>
      <c r="L773" s="3">
        <v>0</v>
      </c>
      <c r="M773" s="3">
        <v>0</v>
      </c>
      <c r="N773" s="3" t="s">
        <v>1711</v>
      </c>
      <c r="O773" s="3">
        <v>35</v>
      </c>
      <c r="P773" s="3">
        <v>170.87</v>
      </c>
      <c r="Q773" s="3">
        <v>0</v>
      </c>
      <c r="R773" s="3">
        <v>0</v>
      </c>
      <c r="S773" s="3">
        <v>0</v>
      </c>
      <c r="T773" s="3">
        <v>0</v>
      </c>
      <c r="U773" s="3">
        <v>1</v>
      </c>
      <c r="V773" s="3">
        <v>3</v>
      </c>
      <c r="W773" s="3" t="s">
        <v>1712</v>
      </c>
      <c r="X773" s="3">
        <v>59.99</v>
      </c>
      <c r="Y773" s="3">
        <v>27.99</v>
      </c>
      <c r="Z773" s="3">
        <v>25.99</v>
      </c>
      <c r="AA773" s="3">
        <v>0</v>
      </c>
      <c r="AB773" s="3" t="s">
        <v>1732</v>
      </c>
      <c r="AC773" s="3">
        <v>0</v>
      </c>
      <c r="AD773" s="3">
        <v>22.39</v>
      </c>
      <c r="AE773" s="3">
        <v>364</v>
      </c>
      <c r="AF773" s="3">
        <v>0</v>
      </c>
      <c r="AG773" s="3">
        <v>2108.87485</v>
      </c>
      <c r="AH773" s="3">
        <v>0.081081081081081</v>
      </c>
      <c r="AI773" s="3" t="s">
        <v>2094</v>
      </c>
      <c r="AJ773" s="3" t="s">
        <v>1715</v>
      </c>
    </row>
    <row r="774" spans="1:36">
      <c r="A774" s="4">
        <v>43277</v>
      </c>
      <c r="B774" s="3" t="s">
        <v>319</v>
      </c>
      <c r="C774" s="3" t="s">
        <v>320</v>
      </c>
      <c r="D774" s="3" t="s">
        <v>321</v>
      </c>
      <c r="E774" s="3" t="s">
        <v>318</v>
      </c>
      <c r="F774" s="3" t="s">
        <v>1710</v>
      </c>
      <c r="G774" s="3">
        <v>6</v>
      </c>
      <c r="H774" s="3">
        <v>0</v>
      </c>
      <c r="I774" s="3">
        <v>1</v>
      </c>
      <c r="J774" s="3">
        <v>1</v>
      </c>
      <c r="K774" s="3">
        <v>1</v>
      </c>
      <c r="L774" s="3">
        <v>3</v>
      </c>
      <c r="M774" s="3">
        <v>0</v>
      </c>
      <c r="N774" s="3" t="s">
        <v>1711</v>
      </c>
      <c r="O774" s="3">
        <v>5</v>
      </c>
      <c r="P774" s="3">
        <v>7</v>
      </c>
      <c r="Q774" s="3">
        <v>0</v>
      </c>
      <c r="R774" s="3">
        <v>0</v>
      </c>
      <c r="S774" s="3">
        <v>1</v>
      </c>
      <c r="T774" s="3">
        <v>1</v>
      </c>
      <c r="U774" s="3">
        <v>1</v>
      </c>
      <c r="V774" s="3">
        <v>2</v>
      </c>
      <c r="W774" s="3" t="s">
        <v>1720</v>
      </c>
      <c r="X774" s="3">
        <v>15.99</v>
      </c>
      <c r="Y774" s="3">
        <v>15.99</v>
      </c>
      <c r="Z774" s="3">
        <v>15.99</v>
      </c>
      <c r="AA774" s="3">
        <v>0</v>
      </c>
      <c r="AB774" s="3" t="s">
        <v>1721</v>
      </c>
      <c r="AC774" s="3">
        <v>0</v>
      </c>
      <c r="AD774" s="3">
        <v>13.42</v>
      </c>
      <c r="AE774" s="3">
        <v>231</v>
      </c>
      <c r="AF774" s="3">
        <v>0</v>
      </c>
      <c r="AG774" s="3">
        <v>130.225067</v>
      </c>
      <c r="AH774" s="3">
        <v>0.135593220338983</v>
      </c>
      <c r="AI774" s="3" t="s">
        <v>3644</v>
      </c>
      <c r="AJ774" s="3" t="s">
        <v>1783</v>
      </c>
    </row>
    <row r="775" spans="1:36">
      <c r="A775" s="4">
        <v>43277</v>
      </c>
      <c r="B775" s="3" t="s">
        <v>4161</v>
      </c>
      <c r="C775" s="3" t="s">
        <v>4162</v>
      </c>
      <c r="D775" s="3" t="s">
        <v>4163</v>
      </c>
      <c r="E775" s="3" t="s">
        <v>2030</v>
      </c>
      <c r="F775" s="3" t="s">
        <v>1710</v>
      </c>
      <c r="G775" s="3">
        <v>5</v>
      </c>
      <c r="H775" s="3">
        <v>0</v>
      </c>
      <c r="I775" s="3">
        <v>0</v>
      </c>
      <c r="J775" s="3">
        <v>0</v>
      </c>
      <c r="K775" s="3">
        <v>5</v>
      </c>
      <c r="L775" s="3">
        <v>0</v>
      </c>
      <c r="M775" s="3">
        <v>0</v>
      </c>
      <c r="N775" s="3" t="s">
        <v>1711</v>
      </c>
      <c r="O775" s="3">
        <v>5</v>
      </c>
      <c r="P775" s="3">
        <v>1.15</v>
      </c>
      <c r="Q775" s="3">
        <v>0</v>
      </c>
      <c r="R775" s="3">
        <v>0</v>
      </c>
      <c r="S775" s="3">
        <v>0</v>
      </c>
      <c r="T775" s="3">
        <v>0</v>
      </c>
      <c r="U775" s="3">
        <v>0</v>
      </c>
      <c r="V775" s="3">
        <v>0</v>
      </c>
      <c r="W775" s="3" t="s">
        <v>1720</v>
      </c>
      <c r="X775" s="3">
        <v>16.99</v>
      </c>
      <c r="Y775" s="3">
        <v>16.99</v>
      </c>
      <c r="Z775" s="3">
        <v>16.99</v>
      </c>
      <c r="AA775" s="3">
        <v>0</v>
      </c>
      <c r="AB775" s="3" t="s">
        <v>1732</v>
      </c>
      <c r="AC775" s="3">
        <v>0</v>
      </c>
      <c r="AD775" s="3">
        <v>15.05</v>
      </c>
      <c r="AE775" s="3">
        <v>280</v>
      </c>
      <c r="AF775" s="3">
        <v>0</v>
      </c>
      <c r="AG775" s="3">
        <v>54.619825</v>
      </c>
      <c r="AH775" s="3">
        <v>0</v>
      </c>
      <c r="AI775" s="3" t="s">
        <v>2031</v>
      </c>
      <c r="AJ775" s="3" t="s">
        <v>1715</v>
      </c>
    </row>
    <row r="776" spans="1:36">
      <c r="A776" s="4">
        <v>43277</v>
      </c>
      <c r="B776" s="3" t="s">
        <v>4164</v>
      </c>
      <c r="C776" s="3" t="s">
        <v>4165</v>
      </c>
      <c r="D776" s="3" t="s">
        <v>4166</v>
      </c>
      <c r="E776" s="3" t="s">
        <v>4167</v>
      </c>
      <c r="F776" s="3" t="s">
        <v>1710</v>
      </c>
      <c r="G776" s="3">
        <v>21</v>
      </c>
      <c r="H776" s="3">
        <v>0</v>
      </c>
      <c r="I776" s="3">
        <v>2</v>
      </c>
      <c r="J776" s="3">
        <v>19</v>
      </c>
      <c r="K776" s="3">
        <v>0</v>
      </c>
      <c r="L776" s="3">
        <v>0</v>
      </c>
      <c r="M776" s="3">
        <v>0</v>
      </c>
      <c r="N776" s="3" t="s">
        <v>1711</v>
      </c>
      <c r="O776" s="3">
        <v>19</v>
      </c>
      <c r="P776" s="3">
        <v>90.06</v>
      </c>
      <c r="Q776" s="3">
        <v>0</v>
      </c>
      <c r="R776" s="3">
        <v>0</v>
      </c>
      <c r="S776" s="3">
        <v>2</v>
      </c>
      <c r="T776" s="3">
        <v>4</v>
      </c>
      <c r="U776" s="3">
        <v>10</v>
      </c>
      <c r="V776" s="3">
        <v>15</v>
      </c>
      <c r="W776" s="3" t="s">
        <v>1720</v>
      </c>
      <c r="X776" s="3">
        <v>29.99</v>
      </c>
      <c r="Y776" s="3">
        <v>29.99</v>
      </c>
      <c r="Z776" s="3">
        <v>25</v>
      </c>
      <c r="AA776" s="3">
        <v>0</v>
      </c>
      <c r="AB776" s="3" t="s">
        <v>1721</v>
      </c>
      <c r="AC776" s="3">
        <v>22</v>
      </c>
      <c r="AD776" s="3">
        <v>29.99</v>
      </c>
      <c r="AE776" s="3">
        <v>0</v>
      </c>
      <c r="AF776" s="3">
        <v>0</v>
      </c>
      <c r="AG776" s="3">
        <v>0</v>
      </c>
      <c r="AH776" s="3">
        <v>0.535714285714285</v>
      </c>
      <c r="AI776" s="3" t="s">
        <v>2099</v>
      </c>
      <c r="AJ776" s="3" t="s">
        <v>1783</v>
      </c>
    </row>
    <row r="777" spans="1:36">
      <c r="A777" s="4">
        <v>43277</v>
      </c>
      <c r="B777" s="3" t="s">
        <v>4168</v>
      </c>
      <c r="C777" s="3" t="s">
        <v>4169</v>
      </c>
      <c r="D777" s="3" t="s">
        <v>4170</v>
      </c>
      <c r="E777" s="3" t="s">
        <v>4171</v>
      </c>
      <c r="F777" s="3" t="s">
        <v>1710</v>
      </c>
      <c r="G777" s="3">
        <v>8</v>
      </c>
      <c r="H777" s="3">
        <v>0</v>
      </c>
      <c r="I777" s="3">
        <v>0</v>
      </c>
      <c r="J777" s="3">
        <v>0</v>
      </c>
      <c r="K777" s="3">
        <v>8</v>
      </c>
      <c r="L777" s="3">
        <v>0</v>
      </c>
      <c r="M777" s="3">
        <v>0</v>
      </c>
      <c r="N777" s="3" t="s">
        <v>1711</v>
      </c>
      <c r="O777" s="3">
        <v>8</v>
      </c>
      <c r="P777" s="3">
        <v>10.94</v>
      </c>
      <c r="Q777" s="3">
        <v>0</v>
      </c>
      <c r="R777" s="3">
        <v>0</v>
      </c>
      <c r="S777" s="3">
        <v>0</v>
      </c>
      <c r="T777" s="3">
        <v>1</v>
      </c>
      <c r="U777" s="3">
        <v>1</v>
      </c>
      <c r="V777" s="3">
        <v>1</v>
      </c>
      <c r="W777" s="3" t="s">
        <v>1720</v>
      </c>
      <c r="X777" s="3">
        <v>16.99</v>
      </c>
      <c r="Y777" s="3">
        <v>16.99</v>
      </c>
      <c r="Z777" s="3">
        <v>16.99</v>
      </c>
      <c r="AA777" s="3">
        <v>0</v>
      </c>
      <c r="AB777" s="3" t="s">
        <v>1732</v>
      </c>
      <c r="AC777" s="3">
        <v>0</v>
      </c>
      <c r="AD777" s="3">
        <v>13.59</v>
      </c>
      <c r="AE777" s="3">
        <v>63</v>
      </c>
      <c r="AF777" s="3">
        <v>0</v>
      </c>
      <c r="AG777" s="3">
        <v>129.423244</v>
      </c>
      <c r="AH777" s="3">
        <v>0.114285714285714</v>
      </c>
      <c r="AI777" s="3" t="s">
        <v>1851</v>
      </c>
      <c r="AJ777" s="3" t="s">
        <v>1715</v>
      </c>
    </row>
    <row r="778" spans="1:36">
      <c r="A778" s="4">
        <v>43277</v>
      </c>
      <c r="B778" s="3" t="s">
        <v>4172</v>
      </c>
      <c r="C778" s="3" t="s">
        <v>4173</v>
      </c>
      <c r="D778" s="3" t="s">
        <v>4174</v>
      </c>
      <c r="E778" s="3" t="s">
        <v>4175</v>
      </c>
      <c r="F778" s="3" t="s">
        <v>1710</v>
      </c>
      <c r="G778" s="3">
        <v>11</v>
      </c>
      <c r="H778" s="3">
        <v>0</v>
      </c>
      <c r="I778" s="3">
        <v>11</v>
      </c>
      <c r="J778" s="3">
        <v>0</v>
      </c>
      <c r="K778" s="3">
        <v>0</v>
      </c>
      <c r="L778" s="3">
        <v>0</v>
      </c>
      <c r="M778" s="3">
        <v>0</v>
      </c>
      <c r="N778" s="3" t="s">
        <v>1711</v>
      </c>
      <c r="O778" s="3">
        <v>0</v>
      </c>
      <c r="P778" s="3">
        <v>0</v>
      </c>
      <c r="Q778" s="3">
        <v>0</v>
      </c>
      <c r="R778" s="3">
        <v>0</v>
      </c>
      <c r="S778" s="3">
        <v>0</v>
      </c>
      <c r="T778" s="3">
        <v>4</v>
      </c>
      <c r="U778" s="3">
        <v>4</v>
      </c>
      <c r="V778" s="3">
        <v>4</v>
      </c>
      <c r="W778" s="3"/>
      <c r="X778" s="3">
        <v>19.99</v>
      </c>
      <c r="Y778" s="3">
        <v>19.99</v>
      </c>
      <c r="Z778" s="3">
        <v>19.99</v>
      </c>
      <c r="AA778" s="3">
        <v>0</v>
      </c>
      <c r="AB778" s="3" t="s">
        <v>1713</v>
      </c>
      <c r="AC778" s="3">
        <v>11</v>
      </c>
      <c r="AD778" s="3">
        <v>19.99</v>
      </c>
      <c r="AE778" s="3">
        <v>0</v>
      </c>
      <c r="AF778" s="3">
        <v>0</v>
      </c>
      <c r="AG778" s="3">
        <v>0</v>
      </c>
      <c r="AH778" s="3">
        <v>0.307692307692307</v>
      </c>
      <c r="AI778" s="3" t="s">
        <v>1919</v>
      </c>
      <c r="AJ778" s="3" t="s">
        <v>1715</v>
      </c>
    </row>
    <row r="779" spans="1:36">
      <c r="A779" s="4">
        <v>43277</v>
      </c>
      <c r="B779" s="3" t="s">
        <v>591</v>
      </c>
      <c r="C779" s="3" t="s">
        <v>592</v>
      </c>
      <c r="D779" s="3" t="s">
        <v>593</v>
      </c>
      <c r="E779" s="3" t="s">
        <v>594</v>
      </c>
      <c r="F779" s="3" t="s">
        <v>1710</v>
      </c>
      <c r="G779" s="3">
        <v>106</v>
      </c>
      <c r="H779" s="3">
        <v>0</v>
      </c>
      <c r="I779" s="3">
        <v>106</v>
      </c>
      <c r="J779" s="3">
        <v>0</v>
      </c>
      <c r="K779" s="3">
        <v>0</v>
      </c>
      <c r="L779" s="3">
        <v>0</v>
      </c>
      <c r="M779" s="3">
        <v>0</v>
      </c>
      <c r="N779" s="3" t="s">
        <v>1711</v>
      </c>
      <c r="O779" s="3">
        <v>0</v>
      </c>
      <c r="P779" s="3">
        <v>0</v>
      </c>
      <c r="Q779" s="3">
        <v>0</v>
      </c>
      <c r="R779" s="3">
        <v>0</v>
      </c>
      <c r="S779" s="3">
        <v>14</v>
      </c>
      <c r="T779" s="3">
        <v>57</v>
      </c>
      <c r="U779" s="3">
        <v>100</v>
      </c>
      <c r="V779" s="3">
        <v>137</v>
      </c>
      <c r="W779" s="3"/>
      <c r="X779" s="3">
        <v>38</v>
      </c>
      <c r="Y779" s="3">
        <v>28.58</v>
      </c>
      <c r="Z779" s="3">
        <v>28</v>
      </c>
      <c r="AA779" s="3">
        <v>0</v>
      </c>
      <c r="AB779" s="3" t="s">
        <v>1713</v>
      </c>
      <c r="AC779" s="3">
        <v>70</v>
      </c>
      <c r="AD779" s="3">
        <v>28.58</v>
      </c>
      <c r="AE779" s="3">
        <v>0</v>
      </c>
      <c r="AF779" s="3">
        <v>0</v>
      </c>
      <c r="AG779" s="3">
        <v>0</v>
      </c>
      <c r="AH779" s="3">
        <v>3.16763005780346</v>
      </c>
      <c r="AI779" s="3" t="s">
        <v>4176</v>
      </c>
      <c r="AJ779" s="3" t="s">
        <v>1715</v>
      </c>
    </row>
    <row r="780" spans="1:36">
      <c r="A780" s="4">
        <v>43277</v>
      </c>
      <c r="B780" s="3" t="s">
        <v>4177</v>
      </c>
      <c r="C780" s="3" t="s">
        <v>4178</v>
      </c>
      <c r="D780" s="3" t="s">
        <v>4179</v>
      </c>
      <c r="E780" s="3" t="s">
        <v>4180</v>
      </c>
      <c r="F780" s="3" t="s">
        <v>1710</v>
      </c>
      <c r="G780" s="3">
        <v>10</v>
      </c>
      <c r="H780" s="3">
        <v>0</v>
      </c>
      <c r="I780" s="3">
        <v>10</v>
      </c>
      <c r="J780" s="3">
        <v>0</v>
      </c>
      <c r="K780" s="3">
        <v>0</v>
      </c>
      <c r="L780" s="3">
        <v>0</v>
      </c>
      <c r="M780" s="3">
        <v>0</v>
      </c>
      <c r="N780" s="3" t="s">
        <v>1711</v>
      </c>
      <c r="O780" s="3">
        <v>0</v>
      </c>
      <c r="P780" s="3">
        <v>0</v>
      </c>
      <c r="Q780" s="3">
        <v>0</v>
      </c>
      <c r="R780" s="3">
        <v>0</v>
      </c>
      <c r="S780" s="3">
        <v>0</v>
      </c>
      <c r="T780" s="3">
        <v>0</v>
      </c>
      <c r="U780" s="3">
        <v>0</v>
      </c>
      <c r="V780" s="3">
        <v>0</v>
      </c>
      <c r="W780" s="3" t="s">
        <v>1712</v>
      </c>
      <c r="X780" s="3">
        <v>19.99</v>
      </c>
      <c r="Y780" s="3">
        <v>19.99</v>
      </c>
      <c r="Z780" s="3">
        <v>19.99</v>
      </c>
      <c r="AA780" s="3">
        <v>0</v>
      </c>
      <c r="AB780" s="3" t="s">
        <v>1713</v>
      </c>
      <c r="AC780" s="3">
        <v>10</v>
      </c>
      <c r="AD780" s="3">
        <v>19.99</v>
      </c>
      <c r="AE780" s="3">
        <v>0</v>
      </c>
      <c r="AF780" s="3">
        <v>0</v>
      </c>
      <c r="AG780" s="3">
        <v>0</v>
      </c>
      <c r="AH780" s="3">
        <v>0</v>
      </c>
      <c r="AI780" s="3" t="s">
        <v>1775</v>
      </c>
      <c r="AJ780" s="3" t="s">
        <v>1715</v>
      </c>
    </row>
    <row r="781" spans="1:36">
      <c r="A781" s="4">
        <v>43277</v>
      </c>
      <c r="B781" s="3" t="s">
        <v>4181</v>
      </c>
      <c r="C781" s="3" t="s">
        <v>4182</v>
      </c>
      <c r="D781" s="3" t="s">
        <v>4183</v>
      </c>
      <c r="E781" s="3" t="s">
        <v>4184</v>
      </c>
      <c r="F781" s="3" t="s">
        <v>1710</v>
      </c>
      <c r="G781" s="3">
        <v>46</v>
      </c>
      <c r="H781" s="3">
        <v>0</v>
      </c>
      <c r="I781" s="3">
        <v>1</v>
      </c>
      <c r="J781" s="3">
        <v>2</v>
      </c>
      <c r="K781" s="3">
        <v>43</v>
      </c>
      <c r="L781" s="3">
        <v>0</v>
      </c>
      <c r="M781" s="3">
        <v>0</v>
      </c>
      <c r="N781" s="3" t="s">
        <v>1711</v>
      </c>
      <c r="O781" s="3">
        <v>45</v>
      </c>
      <c r="P781" s="3">
        <v>26.94</v>
      </c>
      <c r="Q781" s="3">
        <v>0</v>
      </c>
      <c r="R781" s="3">
        <v>0</v>
      </c>
      <c r="S781" s="3">
        <v>0</v>
      </c>
      <c r="T781" s="3">
        <v>0</v>
      </c>
      <c r="U781" s="3">
        <v>0</v>
      </c>
      <c r="V781" s="3">
        <v>4</v>
      </c>
      <c r="W781" s="3" t="s">
        <v>1712</v>
      </c>
      <c r="X781" s="3">
        <v>16.99</v>
      </c>
      <c r="Y781" s="3">
        <v>16.99</v>
      </c>
      <c r="Z781" s="3">
        <v>16</v>
      </c>
      <c r="AA781" s="3">
        <v>0</v>
      </c>
      <c r="AB781" s="3" t="s">
        <v>1732</v>
      </c>
      <c r="AC781" s="3">
        <v>1</v>
      </c>
      <c r="AD781" s="3">
        <v>15.38</v>
      </c>
      <c r="AE781" s="3">
        <v>231</v>
      </c>
      <c r="AF781" s="3">
        <v>0</v>
      </c>
      <c r="AG781" s="3">
        <v>710.167723</v>
      </c>
      <c r="AH781" s="3">
        <v>0.0711111111111111</v>
      </c>
      <c r="AI781" s="3" t="s">
        <v>1905</v>
      </c>
      <c r="AJ781" s="3" t="s">
        <v>1715</v>
      </c>
    </row>
    <row r="782" spans="1:36">
      <c r="A782" s="4">
        <v>43277</v>
      </c>
      <c r="B782" s="3" t="s">
        <v>4185</v>
      </c>
      <c r="C782" s="3" t="s">
        <v>4186</v>
      </c>
      <c r="D782" s="3" t="s">
        <v>4187</v>
      </c>
      <c r="E782" s="3" t="s">
        <v>1426</v>
      </c>
      <c r="F782" s="3" t="s">
        <v>1710</v>
      </c>
      <c r="G782" s="3">
        <v>8</v>
      </c>
      <c r="H782" s="3">
        <v>0</v>
      </c>
      <c r="I782" s="3">
        <v>8</v>
      </c>
      <c r="J782" s="3">
        <v>0</v>
      </c>
      <c r="K782" s="3">
        <v>0</v>
      </c>
      <c r="L782" s="3">
        <v>0</v>
      </c>
      <c r="M782" s="3">
        <v>0</v>
      </c>
      <c r="N782" s="3" t="s">
        <v>1711</v>
      </c>
      <c r="O782" s="3">
        <v>0</v>
      </c>
      <c r="P782" s="3">
        <v>0</v>
      </c>
      <c r="Q782" s="3">
        <v>0</v>
      </c>
      <c r="R782" s="3">
        <v>0</v>
      </c>
      <c r="S782" s="3">
        <v>0</v>
      </c>
      <c r="T782" s="3">
        <v>2</v>
      </c>
      <c r="U782" s="3">
        <v>2</v>
      </c>
      <c r="V782" s="3">
        <v>2</v>
      </c>
      <c r="W782" s="3"/>
      <c r="X782" s="3">
        <v>17.99</v>
      </c>
      <c r="Y782" s="3">
        <v>17.99</v>
      </c>
      <c r="Z782" s="3">
        <v>17.99</v>
      </c>
      <c r="AA782" s="3">
        <v>0</v>
      </c>
      <c r="AB782" s="3" t="s">
        <v>1713</v>
      </c>
      <c r="AC782" s="3">
        <v>8</v>
      </c>
      <c r="AD782" s="3">
        <v>17.99</v>
      </c>
      <c r="AE782" s="3">
        <v>0</v>
      </c>
      <c r="AF782" s="3">
        <v>0</v>
      </c>
      <c r="AG782" s="3">
        <v>0</v>
      </c>
      <c r="AH782" s="3">
        <v>0.5</v>
      </c>
      <c r="AI782" s="3" t="s">
        <v>2295</v>
      </c>
      <c r="AJ782" s="3" t="s">
        <v>1715</v>
      </c>
    </row>
    <row r="783" spans="1:36">
      <c r="A783" s="4">
        <v>43277</v>
      </c>
      <c r="B783" s="3" t="s">
        <v>4188</v>
      </c>
      <c r="C783" s="3" t="s">
        <v>4189</v>
      </c>
      <c r="D783" s="3" t="s">
        <v>4190</v>
      </c>
      <c r="E783" s="3" t="s">
        <v>4191</v>
      </c>
      <c r="F783" s="3" t="s">
        <v>1710</v>
      </c>
      <c r="G783" s="3">
        <v>3</v>
      </c>
      <c r="H783" s="3">
        <v>0</v>
      </c>
      <c r="I783" s="3">
        <v>1</v>
      </c>
      <c r="J783" s="3">
        <v>2</v>
      </c>
      <c r="K783" s="3">
        <v>0</v>
      </c>
      <c r="L783" s="3">
        <v>0</v>
      </c>
      <c r="M783" s="3">
        <v>0</v>
      </c>
      <c r="N783" s="3" t="s">
        <v>1711</v>
      </c>
      <c r="O783" s="3">
        <v>0</v>
      </c>
      <c r="P783" s="3">
        <v>0</v>
      </c>
      <c r="Q783" s="3">
        <v>0</v>
      </c>
      <c r="R783" s="3">
        <v>0</v>
      </c>
      <c r="S783" s="3">
        <v>0</v>
      </c>
      <c r="T783" s="3">
        <v>0</v>
      </c>
      <c r="U783" s="3">
        <v>0</v>
      </c>
      <c r="V783" s="3">
        <v>0</v>
      </c>
      <c r="W783" s="3" t="s">
        <v>1720</v>
      </c>
      <c r="X783" s="3">
        <v>18.99</v>
      </c>
      <c r="Y783" s="3">
        <v>18.99</v>
      </c>
      <c r="Z783" s="3">
        <v>18.99</v>
      </c>
      <c r="AA783" s="3">
        <v>0</v>
      </c>
      <c r="AB783" s="3" t="s">
        <v>1721</v>
      </c>
      <c r="AC783" s="3">
        <v>0</v>
      </c>
      <c r="AD783" s="3">
        <v>17.67</v>
      </c>
      <c r="AE783" s="3">
        <v>105</v>
      </c>
      <c r="AF783" s="3">
        <v>0</v>
      </c>
      <c r="AG783" s="3">
        <v>68.511538</v>
      </c>
      <c r="AH783" s="3">
        <v>0</v>
      </c>
      <c r="AI783" s="3" t="s">
        <v>2398</v>
      </c>
      <c r="AJ783" s="3" t="s">
        <v>1715</v>
      </c>
    </row>
    <row r="784" spans="1:36">
      <c r="A784" s="4">
        <v>43277</v>
      </c>
      <c r="B784" s="3" t="s">
        <v>4192</v>
      </c>
      <c r="C784" s="3" t="s">
        <v>4193</v>
      </c>
      <c r="D784" s="3" t="s">
        <v>4194</v>
      </c>
      <c r="E784" s="3" t="s">
        <v>4195</v>
      </c>
      <c r="F784" s="3" t="s">
        <v>1710</v>
      </c>
      <c r="G784" s="3">
        <v>18</v>
      </c>
      <c r="H784" s="3">
        <v>0</v>
      </c>
      <c r="I784" s="3">
        <v>18</v>
      </c>
      <c r="J784" s="3">
        <v>0</v>
      </c>
      <c r="K784" s="3">
        <v>0</v>
      </c>
      <c r="L784" s="3">
        <v>0</v>
      </c>
      <c r="M784" s="3">
        <v>0</v>
      </c>
      <c r="N784" s="3" t="s">
        <v>1711</v>
      </c>
      <c r="O784" s="3">
        <v>0</v>
      </c>
      <c r="P784" s="3">
        <v>0</v>
      </c>
      <c r="Q784" s="3">
        <v>0</v>
      </c>
      <c r="R784" s="3">
        <v>0</v>
      </c>
      <c r="S784" s="3">
        <v>3</v>
      </c>
      <c r="T784" s="3">
        <v>12</v>
      </c>
      <c r="U784" s="3">
        <v>18</v>
      </c>
      <c r="V784" s="3">
        <v>18</v>
      </c>
      <c r="W784" s="3"/>
      <c r="X784" s="3">
        <v>29.99</v>
      </c>
      <c r="Y784" s="3">
        <v>29.99</v>
      </c>
      <c r="Z784" s="3">
        <v>29.99</v>
      </c>
      <c r="AA784" s="3">
        <v>0</v>
      </c>
      <c r="AB784" s="3" t="s">
        <v>1713</v>
      </c>
      <c r="AC784" s="3">
        <v>0</v>
      </c>
      <c r="AD784" s="3">
        <v>0</v>
      </c>
      <c r="AE784" s="3">
        <v>0</v>
      </c>
      <c r="AF784" s="3">
        <v>0</v>
      </c>
      <c r="AG784" s="3">
        <v>0</v>
      </c>
      <c r="AH784" s="3">
        <v>1.28571428571428</v>
      </c>
      <c r="AI784" s="3" t="s">
        <v>1881</v>
      </c>
      <c r="AJ784" s="3" t="s">
        <v>1715</v>
      </c>
    </row>
    <row r="785" spans="1:36">
      <c r="A785" s="4">
        <v>43277</v>
      </c>
      <c r="B785" s="3" t="s">
        <v>4196</v>
      </c>
      <c r="C785" s="3" t="s">
        <v>4197</v>
      </c>
      <c r="D785" s="3" t="s">
        <v>4198</v>
      </c>
      <c r="E785" s="3" t="s">
        <v>4199</v>
      </c>
      <c r="F785" s="3" t="s">
        <v>1710</v>
      </c>
      <c r="G785" s="3">
        <v>10</v>
      </c>
      <c r="H785" s="3">
        <v>0</v>
      </c>
      <c r="I785" s="3">
        <v>1</v>
      </c>
      <c r="J785" s="3">
        <v>0</v>
      </c>
      <c r="K785" s="3">
        <v>9</v>
      </c>
      <c r="L785" s="3">
        <v>0</v>
      </c>
      <c r="M785" s="3">
        <v>0</v>
      </c>
      <c r="N785" s="3" t="s">
        <v>1711</v>
      </c>
      <c r="O785" s="3">
        <v>9</v>
      </c>
      <c r="P785" s="3">
        <v>12.32</v>
      </c>
      <c r="Q785" s="3">
        <v>0</v>
      </c>
      <c r="R785" s="3">
        <v>0</v>
      </c>
      <c r="S785" s="3">
        <v>0</v>
      </c>
      <c r="T785" s="3">
        <v>0</v>
      </c>
      <c r="U785" s="3">
        <v>0</v>
      </c>
      <c r="V785" s="3">
        <v>0</v>
      </c>
      <c r="W785" s="3" t="s">
        <v>1720</v>
      </c>
      <c r="X785" s="3">
        <v>16.99</v>
      </c>
      <c r="Y785" s="3">
        <v>16.99</v>
      </c>
      <c r="Z785" s="3">
        <v>16.99</v>
      </c>
      <c r="AA785" s="3">
        <v>0</v>
      </c>
      <c r="AB785" s="3" t="s">
        <v>1721</v>
      </c>
      <c r="AC785" s="3">
        <v>0</v>
      </c>
      <c r="AD785" s="3">
        <v>13.28</v>
      </c>
      <c r="AE785" s="3">
        <v>357</v>
      </c>
      <c r="AF785" s="3">
        <v>0</v>
      </c>
      <c r="AG785" s="3">
        <v>196.501643</v>
      </c>
      <c r="AH785" s="3">
        <v>0</v>
      </c>
      <c r="AI785" s="3" t="s">
        <v>1851</v>
      </c>
      <c r="AJ785" s="3" t="s">
        <v>1715</v>
      </c>
    </row>
    <row r="786" spans="1:36">
      <c r="A786" s="4">
        <v>43277</v>
      </c>
      <c r="B786" s="3" t="s">
        <v>312</v>
      </c>
      <c r="C786" s="3" t="s">
        <v>313</v>
      </c>
      <c r="D786" s="3" t="s">
        <v>314</v>
      </c>
      <c r="E786" s="3" t="s">
        <v>311</v>
      </c>
      <c r="F786" s="3" t="s">
        <v>1710</v>
      </c>
      <c r="G786" s="3">
        <v>4</v>
      </c>
      <c r="H786" s="3">
        <v>0</v>
      </c>
      <c r="I786" s="3">
        <v>0</v>
      </c>
      <c r="J786" s="3">
        <v>1</v>
      </c>
      <c r="K786" s="3">
        <v>0</v>
      </c>
      <c r="L786" s="3">
        <v>3</v>
      </c>
      <c r="M786" s="3">
        <v>0</v>
      </c>
      <c r="N786" s="3" t="s">
        <v>1711</v>
      </c>
      <c r="O786" s="3">
        <v>4</v>
      </c>
      <c r="P786" s="3">
        <v>4.23</v>
      </c>
      <c r="Q786" s="3">
        <v>0</v>
      </c>
      <c r="R786" s="3">
        <v>0</v>
      </c>
      <c r="S786" s="3">
        <v>0</v>
      </c>
      <c r="T786" s="3">
        <v>0</v>
      </c>
      <c r="U786" s="3">
        <v>0</v>
      </c>
      <c r="V786" s="3">
        <v>0</v>
      </c>
      <c r="W786" s="3" t="s">
        <v>1712</v>
      </c>
      <c r="X786" s="3">
        <v>15.99</v>
      </c>
      <c r="Y786" s="3">
        <v>15.99</v>
      </c>
      <c r="Z786" s="3">
        <v>15.99</v>
      </c>
      <c r="AA786" s="3">
        <v>0</v>
      </c>
      <c r="AB786" s="3" t="s">
        <v>1732</v>
      </c>
      <c r="AC786" s="3">
        <v>1</v>
      </c>
      <c r="AD786" s="3">
        <v>14.47</v>
      </c>
      <c r="AE786" s="3">
        <v>49</v>
      </c>
      <c r="AF786" s="3">
        <v>0</v>
      </c>
      <c r="AG786" s="3">
        <v>82.051848</v>
      </c>
      <c r="AH786" s="3">
        <v>0</v>
      </c>
      <c r="AI786" s="3" t="s">
        <v>4200</v>
      </c>
      <c r="AJ786" s="3" t="s">
        <v>1715</v>
      </c>
    </row>
    <row r="787" spans="1:36">
      <c r="A787" s="4">
        <v>43277</v>
      </c>
      <c r="B787" s="3" t="s">
        <v>4201</v>
      </c>
      <c r="C787" s="3" t="s">
        <v>4202</v>
      </c>
      <c r="D787" s="3" t="s">
        <v>4203</v>
      </c>
      <c r="E787" s="3" t="s">
        <v>1855</v>
      </c>
      <c r="F787" s="3" t="s">
        <v>1710</v>
      </c>
      <c r="G787" s="3">
        <v>5</v>
      </c>
      <c r="H787" s="3">
        <v>0</v>
      </c>
      <c r="I787" s="3">
        <v>0</v>
      </c>
      <c r="J787" s="3">
        <v>0</v>
      </c>
      <c r="K787" s="3">
        <v>0</v>
      </c>
      <c r="L787" s="3">
        <v>5</v>
      </c>
      <c r="M787" s="3">
        <v>0</v>
      </c>
      <c r="N787" s="3" t="s">
        <v>1711</v>
      </c>
      <c r="O787" s="3">
        <v>5</v>
      </c>
      <c r="P787" s="3">
        <v>5.41</v>
      </c>
      <c r="Q787" s="3">
        <v>0</v>
      </c>
      <c r="R787" s="3">
        <v>0</v>
      </c>
      <c r="S787" s="3">
        <v>0</v>
      </c>
      <c r="T787" s="3">
        <v>0</v>
      </c>
      <c r="U787" s="3">
        <v>0</v>
      </c>
      <c r="V787" s="3">
        <v>0</v>
      </c>
      <c r="W787" s="3" t="s">
        <v>1720</v>
      </c>
      <c r="X787" s="3">
        <v>18.99</v>
      </c>
      <c r="Y787" s="3">
        <v>18.99</v>
      </c>
      <c r="Z787" s="3">
        <v>18.99</v>
      </c>
      <c r="AA787" s="3">
        <v>0</v>
      </c>
      <c r="AB787" s="3" t="s">
        <v>1732</v>
      </c>
      <c r="AC787" s="3">
        <v>0</v>
      </c>
      <c r="AD787" s="3">
        <v>15.19</v>
      </c>
      <c r="AE787" s="3">
        <v>63</v>
      </c>
      <c r="AF787" s="3">
        <v>0</v>
      </c>
      <c r="AG787" s="3">
        <v>64.649678</v>
      </c>
      <c r="AH787" s="3">
        <v>0</v>
      </c>
      <c r="AI787" s="3" t="s">
        <v>4204</v>
      </c>
      <c r="AJ787" s="3" t="s">
        <v>1715</v>
      </c>
    </row>
    <row r="788" spans="1:36">
      <c r="A788" s="4">
        <v>43277</v>
      </c>
      <c r="B788" s="3" t="s">
        <v>4205</v>
      </c>
      <c r="C788" s="3" t="s">
        <v>4206</v>
      </c>
      <c r="D788" s="3" t="s">
        <v>4207</v>
      </c>
      <c r="E788" s="3" t="s">
        <v>4208</v>
      </c>
      <c r="F788" s="3" t="s">
        <v>1710</v>
      </c>
      <c r="G788" s="3">
        <v>17</v>
      </c>
      <c r="H788" s="3">
        <v>0</v>
      </c>
      <c r="I788" s="3">
        <v>13</v>
      </c>
      <c r="J788" s="3">
        <v>4</v>
      </c>
      <c r="K788" s="3">
        <v>0</v>
      </c>
      <c r="L788" s="3">
        <v>0</v>
      </c>
      <c r="M788" s="3">
        <v>0</v>
      </c>
      <c r="N788" s="3" t="s">
        <v>1711</v>
      </c>
      <c r="O788" s="3">
        <v>0</v>
      </c>
      <c r="P788" s="3">
        <v>0</v>
      </c>
      <c r="Q788" s="3">
        <v>0</v>
      </c>
      <c r="R788" s="3">
        <v>0</v>
      </c>
      <c r="S788" s="3">
        <v>3</v>
      </c>
      <c r="T788" s="3">
        <v>8</v>
      </c>
      <c r="U788" s="3">
        <v>10</v>
      </c>
      <c r="V788" s="3">
        <v>13</v>
      </c>
      <c r="W788" s="3"/>
      <c r="X788" s="3">
        <v>28.58</v>
      </c>
      <c r="Y788" s="3">
        <v>28.58</v>
      </c>
      <c r="Z788" s="3">
        <v>28.58</v>
      </c>
      <c r="AA788" s="3">
        <v>0</v>
      </c>
      <c r="AB788" s="3" t="s">
        <v>1713</v>
      </c>
      <c r="AC788" s="3">
        <v>18</v>
      </c>
      <c r="AD788" s="3">
        <v>28.58</v>
      </c>
      <c r="AE788" s="3">
        <v>0</v>
      </c>
      <c r="AF788" s="3">
        <v>0</v>
      </c>
      <c r="AG788" s="3">
        <v>0</v>
      </c>
      <c r="AH788" s="3">
        <v>0.981132075471698</v>
      </c>
      <c r="AI788" s="3" t="s">
        <v>1761</v>
      </c>
      <c r="AJ788" s="3" t="s">
        <v>1715</v>
      </c>
    </row>
    <row r="789" spans="1:36">
      <c r="A789" s="4">
        <v>43277</v>
      </c>
      <c r="B789" s="3" t="s">
        <v>4209</v>
      </c>
      <c r="C789" s="3" t="s">
        <v>4210</v>
      </c>
      <c r="D789" s="3" t="s">
        <v>4211</v>
      </c>
      <c r="E789" s="3" t="s">
        <v>4212</v>
      </c>
      <c r="F789" s="3" t="s">
        <v>1710</v>
      </c>
      <c r="G789" s="3">
        <v>1</v>
      </c>
      <c r="H789" s="3">
        <v>0</v>
      </c>
      <c r="I789" s="3">
        <v>1</v>
      </c>
      <c r="J789" s="3">
        <v>0</v>
      </c>
      <c r="K789" s="3">
        <v>0</v>
      </c>
      <c r="L789" s="3">
        <v>0</v>
      </c>
      <c r="M789" s="3">
        <v>0</v>
      </c>
      <c r="N789" s="3" t="s">
        <v>1711</v>
      </c>
      <c r="O789" s="3">
        <v>0</v>
      </c>
      <c r="P789" s="3">
        <v>0</v>
      </c>
      <c r="Q789" s="3">
        <v>0</v>
      </c>
      <c r="R789" s="3">
        <v>0</v>
      </c>
      <c r="S789" s="3">
        <v>0</v>
      </c>
      <c r="T789" s="3">
        <v>0</v>
      </c>
      <c r="U789" s="3">
        <v>5</v>
      </c>
      <c r="V789" s="3">
        <v>5</v>
      </c>
      <c r="W789" s="3" t="s">
        <v>1720</v>
      </c>
      <c r="X789" s="3">
        <v>13.99</v>
      </c>
      <c r="Y789" s="3">
        <v>13.99</v>
      </c>
      <c r="Z789" s="3">
        <v>13.99</v>
      </c>
      <c r="AA789" s="3">
        <v>0</v>
      </c>
      <c r="AB789" s="3" t="s">
        <v>1721</v>
      </c>
      <c r="AC789" s="3">
        <v>0</v>
      </c>
      <c r="AD789" s="3">
        <v>0</v>
      </c>
      <c r="AE789" s="3">
        <v>0</v>
      </c>
      <c r="AF789" s="3">
        <v>0</v>
      </c>
      <c r="AG789" s="3">
        <v>0</v>
      </c>
      <c r="AH789" s="3">
        <v>15</v>
      </c>
      <c r="AI789" s="3" t="s">
        <v>1905</v>
      </c>
      <c r="AJ789" s="3" t="s">
        <v>1715</v>
      </c>
    </row>
    <row r="790" spans="1:36">
      <c r="A790" s="4">
        <v>43277</v>
      </c>
      <c r="B790" s="3" t="s">
        <v>4213</v>
      </c>
      <c r="C790" s="3" t="s">
        <v>4214</v>
      </c>
      <c r="D790" s="3" t="s">
        <v>4215</v>
      </c>
      <c r="E790" s="3" t="s">
        <v>4216</v>
      </c>
      <c r="F790" s="3" t="s">
        <v>1710</v>
      </c>
      <c r="G790" s="3">
        <v>10</v>
      </c>
      <c r="H790" s="3">
        <v>0</v>
      </c>
      <c r="I790" s="3">
        <v>10</v>
      </c>
      <c r="J790" s="3">
        <v>0</v>
      </c>
      <c r="K790" s="3">
        <v>0</v>
      </c>
      <c r="L790" s="3">
        <v>0</v>
      </c>
      <c r="M790" s="3">
        <v>0</v>
      </c>
      <c r="N790" s="3" t="s">
        <v>1711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4</v>
      </c>
      <c r="U790" s="3">
        <v>12</v>
      </c>
      <c r="V790" s="3">
        <v>17</v>
      </c>
      <c r="W790" s="3"/>
      <c r="X790" s="3">
        <v>28.99</v>
      </c>
      <c r="Y790" s="3">
        <v>15.99</v>
      </c>
      <c r="Z790" s="3">
        <v>15.55</v>
      </c>
      <c r="AA790" s="3">
        <v>0</v>
      </c>
      <c r="AB790" s="3" t="s">
        <v>1713</v>
      </c>
      <c r="AC790" s="3">
        <v>0</v>
      </c>
      <c r="AD790" s="3">
        <v>0</v>
      </c>
      <c r="AE790" s="3">
        <v>0</v>
      </c>
      <c r="AF790" s="3">
        <v>0</v>
      </c>
      <c r="AG790" s="3">
        <v>0</v>
      </c>
      <c r="AH790" s="3">
        <v>1.65853658536585</v>
      </c>
      <c r="AI790" s="3" t="s">
        <v>2082</v>
      </c>
      <c r="AJ790" s="3" t="s">
        <v>1715</v>
      </c>
    </row>
    <row r="791" spans="1:36">
      <c r="A791" s="4">
        <v>43277</v>
      </c>
      <c r="B791" s="3" t="s">
        <v>4217</v>
      </c>
      <c r="C791" s="3" t="s">
        <v>4218</v>
      </c>
      <c r="D791" s="3" t="s">
        <v>4219</v>
      </c>
      <c r="E791" s="3" t="s">
        <v>2446</v>
      </c>
      <c r="F791" s="3" t="s">
        <v>1710</v>
      </c>
      <c r="G791" s="3">
        <v>2</v>
      </c>
      <c r="H791" s="3">
        <v>0</v>
      </c>
      <c r="I791" s="3">
        <v>0</v>
      </c>
      <c r="J791" s="3">
        <v>0</v>
      </c>
      <c r="K791" s="3">
        <v>2</v>
      </c>
      <c r="L791" s="3">
        <v>0</v>
      </c>
      <c r="M791" s="3">
        <v>0</v>
      </c>
      <c r="N791" s="3" t="s">
        <v>1711</v>
      </c>
      <c r="O791" s="3">
        <v>2</v>
      </c>
      <c r="P791" s="3">
        <v>0.01</v>
      </c>
      <c r="Q791" s="3">
        <v>0</v>
      </c>
      <c r="R791" s="3">
        <v>0</v>
      </c>
      <c r="S791" s="3">
        <v>0</v>
      </c>
      <c r="T791" s="3">
        <v>0</v>
      </c>
      <c r="U791" s="3">
        <v>0</v>
      </c>
      <c r="V791" s="3">
        <v>0</v>
      </c>
      <c r="W791" s="3" t="s">
        <v>1720</v>
      </c>
      <c r="X791" s="3">
        <v>17.99</v>
      </c>
      <c r="Y791" s="3">
        <v>17.99</v>
      </c>
      <c r="Z791" s="3">
        <v>17.99</v>
      </c>
      <c r="AA791" s="3">
        <v>0</v>
      </c>
      <c r="AB791" s="3" t="s">
        <v>1732</v>
      </c>
      <c r="AC791" s="3">
        <v>0</v>
      </c>
      <c r="AD791" s="3">
        <v>14.86</v>
      </c>
      <c r="AE791" s="3">
        <v>364</v>
      </c>
      <c r="AF791" s="3">
        <v>0</v>
      </c>
      <c r="AG791" s="3">
        <v>13.757949</v>
      </c>
      <c r="AH791" s="3">
        <v>0</v>
      </c>
      <c r="AI791" s="3" t="s">
        <v>1782</v>
      </c>
      <c r="AJ791" s="3" t="s">
        <v>1783</v>
      </c>
    </row>
    <row r="792" spans="1:36">
      <c r="A792" s="4">
        <v>43277</v>
      </c>
      <c r="B792" s="3" t="s">
        <v>4220</v>
      </c>
      <c r="C792" s="3" t="s">
        <v>4221</v>
      </c>
      <c r="D792" s="3" t="s">
        <v>4222</v>
      </c>
      <c r="E792" s="3" t="s">
        <v>2462</v>
      </c>
      <c r="F792" s="3" t="s">
        <v>1710</v>
      </c>
      <c r="G792" s="3">
        <v>2</v>
      </c>
      <c r="H792" s="3">
        <v>0</v>
      </c>
      <c r="I792" s="3">
        <v>2</v>
      </c>
      <c r="J792" s="3">
        <v>0</v>
      </c>
      <c r="K792" s="3">
        <v>0</v>
      </c>
      <c r="L792" s="3">
        <v>0</v>
      </c>
      <c r="M792" s="3">
        <v>0</v>
      </c>
      <c r="N792" s="3" t="s">
        <v>1711</v>
      </c>
      <c r="O792" s="3">
        <v>0</v>
      </c>
      <c r="P792" s="3">
        <v>0</v>
      </c>
      <c r="Q792" s="3">
        <v>0</v>
      </c>
      <c r="R792" s="3">
        <v>0</v>
      </c>
      <c r="S792" s="3">
        <v>2</v>
      </c>
      <c r="T792" s="3">
        <v>11</v>
      </c>
      <c r="U792" s="3">
        <v>18</v>
      </c>
      <c r="V792" s="3">
        <v>18</v>
      </c>
      <c r="W792" s="3"/>
      <c r="X792" s="3">
        <v>39.99</v>
      </c>
      <c r="Y792" s="3">
        <v>21.99</v>
      </c>
      <c r="Z792" s="3">
        <v>21.99</v>
      </c>
      <c r="AA792" s="3">
        <v>0</v>
      </c>
      <c r="AB792" s="3" t="s">
        <v>1713</v>
      </c>
      <c r="AC792" s="3">
        <v>3</v>
      </c>
      <c r="AD792" s="3">
        <v>21.99</v>
      </c>
      <c r="AE792" s="3">
        <v>0</v>
      </c>
      <c r="AF792" s="3">
        <v>0</v>
      </c>
      <c r="AG792" s="3">
        <v>0</v>
      </c>
      <c r="AH792" s="3">
        <v>3.17647058823529</v>
      </c>
      <c r="AI792" s="3" t="s">
        <v>1890</v>
      </c>
      <c r="AJ792" s="3" t="s">
        <v>1715</v>
      </c>
    </row>
    <row r="793" spans="1:36">
      <c r="A793" s="4">
        <v>43277</v>
      </c>
      <c r="B793" s="3" t="s">
        <v>4223</v>
      </c>
      <c r="C793" s="3" t="s">
        <v>4224</v>
      </c>
      <c r="D793" s="3" t="s">
        <v>4225</v>
      </c>
      <c r="E793" s="3" t="s">
        <v>4226</v>
      </c>
      <c r="F793" s="3" t="s">
        <v>1710</v>
      </c>
      <c r="G793" s="3">
        <v>14</v>
      </c>
      <c r="H793" s="3">
        <v>0</v>
      </c>
      <c r="I793" s="3">
        <v>14</v>
      </c>
      <c r="J793" s="3">
        <v>0</v>
      </c>
      <c r="K793" s="3">
        <v>0</v>
      </c>
      <c r="L793" s="3">
        <v>0</v>
      </c>
      <c r="M793" s="3">
        <v>0</v>
      </c>
      <c r="N793" s="3" t="s">
        <v>1711</v>
      </c>
      <c r="O793" s="3">
        <v>0</v>
      </c>
      <c r="P793" s="3">
        <v>0</v>
      </c>
      <c r="Q793" s="3">
        <v>0</v>
      </c>
      <c r="R793" s="3">
        <v>0</v>
      </c>
      <c r="S793" s="3">
        <v>1</v>
      </c>
      <c r="T793" s="3">
        <v>6</v>
      </c>
      <c r="U793" s="3">
        <v>6</v>
      </c>
      <c r="V793" s="3">
        <v>6</v>
      </c>
      <c r="W793" s="3"/>
      <c r="X793" s="3">
        <v>15.99</v>
      </c>
      <c r="Y793" s="3">
        <v>15.99</v>
      </c>
      <c r="Z793" s="3">
        <v>15.99</v>
      </c>
      <c r="AA793" s="3">
        <v>0</v>
      </c>
      <c r="AB793" s="3" t="s">
        <v>1713</v>
      </c>
      <c r="AC793" s="3">
        <v>15</v>
      </c>
      <c r="AD793" s="3">
        <v>15.99</v>
      </c>
      <c r="AE793" s="3">
        <v>0</v>
      </c>
      <c r="AF793" s="3">
        <v>0</v>
      </c>
      <c r="AG793" s="3">
        <v>0</v>
      </c>
      <c r="AH793" s="3">
        <v>0.352941176470588</v>
      </c>
      <c r="AI793" s="3" t="s">
        <v>1881</v>
      </c>
      <c r="AJ793" s="3" t="s">
        <v>1715</v>
      </c>
    </row>
    <row r="794" spans="1:36">
      <c r="A794" s="4">
        <v>43277</v>
      </c>
      <c r="B794" s="3" t="s">
        <v>4227</v>
      </c>
      <c r="C794" s="3" t="s">
        <v>4228</v>
      </c>
      <c r="D794" s="3" t="s">
        <v>4229</v>
      </c>
      <c r="E794" s="3" t="s">
        <v>4230</v>
      </c>
      <c r="F794" s="3" t="s">
        <v>1710</v>
      </c>
      <c r="G794" s="3">
        <v>14</v>
      </c>
      <c r="H794" s="3">
        <v>0</v>
      </c>
      <c r="I794" s="3">
        <v>14</v>
      </c>
      <c r="J794" s="3">
        <v>0</v>
      </c>
      <c r="K794" s="3">
        <v>0</v>
      </c>
      <c r="L794" s="3">
        <v>0</v>
      </c>
      <c r="M794" s="3">
        <v>0</v>
      </c>
      <c r="N794" s="3" t="s">
        <v>1711</v>
      </c>
      <c r="O794" s="3">
        <v>0</v>
      </c>
      <c r="P794" s="3">
        <v>0</v>
      </c>
      <c r="Q794" s="3">
        <v>0</v>
      </c>
      <c r="R794" s="3">
        <v>0</v>
      </c>
      <c r="S794" s="3">
        <v>2</v>
      </c>
      <c r="T794" s="3">
        <v>16</v>
      </c>
      <c r="U794" s="3">
        <v>38</v>
      </c>
      <c r="V794" s="3">
        <v>56</v>
      </c>
      <c r="W794" s="3"/>
      <c r="X794" s="3">
        <v>38</v>
      </c>
      <c r="Y794" s="3">
        <v>28.58</v>
      </c>
      <c r="Z794" s="3">
        <v>28</v>
      </c>
      <c r="AA794" s="3">
        <v>0</v>
      </c>
      <c r="AB794" s="3" t="s">
        <v>1713</v>
      </c>
      <c r="AC794" s="3">
        <v>2</v>
      </c>
      <c r="AD794" s="3">
        <v>28.58</v>
      </c>
      <c r="AE794" s="3">
        <v>0</v>
      </c>
      <c r="AF794" s="3">
        <v>0</v>
      </c>
      <c r="AG794" s="3">
        <v>0</v>
      </c>
      <c r="AH794" s="3">
        <v>10.1818181818181</v>
      </c>
      <c r="AI794" s="3" t="s">
        <v>2128</v>
      </c>
      <c r="AJ794" s="3" t="s">
        <v>1715</v>
      </c>
    </row>
    <row r="795" spans="1:36">
      <c r="A795" s="4">
        <v>43277</v>
      </c>
      <c r="B795" s="3" t="s">
        <v>4231</v>
      </c>
      <c r="C795" s="3" t="s">
        <v>4232</v>
      </c>
      <c r="D795" s="3" t="s">
        <v>4233</v>
      </c>
      <c r="E795" s="3" t="s">
        <v>4234</v>
      </c>
      <c r="F795" s="3" t="s">
        <v>1710</v>
      </c>
      <c r="G795" s="3">
        <v>28</v>
      </c>
      <c r="H795" s="3">
        <v>0</v>
      </c>
      <c r="I795" s="3">
        <v>28</v>
      </c>
      <c r="J795" s="3">
        <v>0</v>
      </c>
      <c r="K795" s="3">
        <v>0</v>
      </c>
      <c r="L795" s="3">
        <v>0</v>
      </c>
      <c r="M795" s="3">
        <v>0</v>
      </c>
      <c r="N795" s="3" t="s">
        <v>1711</v>
      </c>
      <c r="O795" s="3">
        <v>0</v>
      </c>
      <c r="P795" s="3">
        <v>0</v>
      </c>
      <c r="Q795" s="3">
        <v>0</v>
      </c>
      <c r="R795" s="3">
        <v>0</v>
      </c>
      <c r="S795" s="3">
        <v>0</v>
      </c>
      <c r="T795" s="3">
        <v>0</v>
      </c>
      <c r="U795" s="3">
        <v>3</v>
      </c>
      <c r="V795" s="3">
        <v>9</v>
      </c>
      <c r="W795" s="3" t="s">
        <v>1712</v>
      </c>
      <c r="X795" s="3">
        <v>28.58</v>
      </c>
      <c r="Y795" s="3">
        <v>28.58</v>
      </c>
      <c r="Z795" s="3">
        <v>24.74</v>
      </c>
      <c r="AA795" s="3">
        <v>0</v>
      </c>
      <c r="AB795" s="3" t="s">
        <v>1713</v>
      </c>
      <c r="AC795" s="3">
        <v>17</v>
      </c>
      <c r="AD795" s="3">
        <v>28.58</v>
      </c>
      <c r="AE795" s="3">
        <v>0</v>
      </c>
      <c r="AF795" s="3">
        <v>0</v>
      </c>
      <c r="AG795" s="3">
        <v>0</v>
      </c>
      <c r="AH795" s="3">
        <v>0.9</v>
      </c>
      <c r="AI795" s="3" t="s">
        <v>1734</v>
      </c>
      <c r="AJ795" s="3" t="s">
        <v>1715</v>
      </c>
    </row>
    <row r="796" spans="1:36">
      <c r="A796" s="4">
        <v>43277</v>
      </c>
      <c r="B796" s="3" t="s">
        <v>4235</v>
      </c>
      <c r="C796" s="3" t="s">
        <v>4236</v>
      </c>
      <c r="D796" s="3" t="s">
        <v>4237</v>
      </c>
      <c r="E796" s="3" t="s">
        <v>2030</v>
      </c>
      <c r="F796" s="3" t="s">
        <v>1710</v>
      </c>
      <c r="G796" s="3">
        <v>2</v>
      </c>
      <c r="H796" s="3">
        <v>0</v>
      </c>
      <c r="I796" s="3">
        <v>0</v>
      </c>
      <c r="J796" s="3">
        <v>0</v>
      </c>
      <c r="K796" s="3">
        <v>0</v>
      </c>
      <c r="L796" s="3">
        <v>2</v>
      </c>
      <c r="M796" s="3">
        <v>0</v>
      </c>
      <c r="N796" s="3" t="s">
        <v>1711</v>
      </c>
      <c r="O796" s="3">
        <v>2</v>
      </c>
      <c r="P796" s="3">
        <v>0.46</v>
      </c>
      <c r="Q796" s="3">
        <v>0</v>
      </c>
      <c r="R796" s="3">
        <v>0</v>
      </c>
      <c r="S796" s="3">
        <v>0</v>
      </c>
      <c r="T796" s="3">
        <v>0</v>
      </c>
      <c r="U796" s="3">
        <v>0</v>
      </c>
      <c r="V796" s="3">
        <v>0</v>
      </c>
      <c r="W796" s="3" t="s">
        <v>1720</v>
      </c>
      <c r="X796" s="3">
        <v>35</v>
      </c>
      <c r="Y796" s="3">
        <v>16.99</v>
      </c>
      <c r="Z796" s="3">
        <v>16.99</v>
      </c>
      <c r="AA796" s="3">
        <v>0</v>
      </c>
      <c r="AB796" s="3" t="s">
        <v>1732</v>
      </c>
      <c r="AC796" s="3">
        <v>0</v>
      </c>
      <c r="AD796" s="3">
        <v>13.59</v>
      </c>
      <c r="AE796" s="3">
        <v>63</v>
      </c>
      <c r="AF796" s="3">
        <v>0</v>
      </c>
      <c r="AG796" s="3">
        <v>6.174986</v>
      </c>
      <c r="AH796" s="3">
        <v>0</v>
      </c>
      <c r="AI796" s="3" t="s">
        <v>3309</v>
      </c>
      <c r="AJ796" s="3" t="s">
        <v>1715</v>
      </c>
    </row>
    <row r="797" spans="1:36">
      <c r="A797" s="4">
        <v>43277</v>
      </c>
      <c r="B797" s="3" t="s">
        <v>4238</v>
      </c>
      <c r="C797" s="3" t="s">
        <v>4239</v>
      </c>
      <c r="D797" s="3" t="s">
        <v>4240</v>
      </c>
      <c r="E797" s="3" t="s">
        <v>4241</v>
      </c>
      <c r="F797" s="3" t="s">
        <v>1710</v>
      </c>
      <c r="G797" s="3">
        <v>10</v>
      </c>
      <c r="H797" s="3">
        <v>0</v>
      </c>
      <c r="I797" s="3">
        <v>10</v>
      </c>
      <c r="J797" s="3">
        <v>0</v>
      </c>
      <c r="K797" s="3">
        <v>0</v>
      </c>
      <c r="L797" s="3">
        <v>0</v>
      </c>
      <c r="M797" s="3">
        <v>0</v>
      </c>
      <c r="N797" s="3" t="s">
        <v>1711</v>
      </c>
      <c r="O797" s="3">
        <v>0</v>
      </c>
      <c r="P797" s="3">
        <v>0</v>
      </c>
      <c r="Q797" s="3">
        <v>0</v>
      </c>
      <c r="R797" s="3">
        <v>0</v>
      </c>
      <c r="S797" s="3">
        <v>0</v>
      </c>
      <c r="T797" s="3">
        <v>5</v>
      </c>
      <c r="U797" s="3">
        <v>11</v>
      </c>
      <c r="V797" s="3">
        <v>11</v>
      </c>
      <c r="W797" s="3"/>
      <c r="X797" s="3">
        <v>15.99</v>
      </c>
      <c r="Y797" s="3">
        <v>15.99</v>
      </c>
      <c r="Z797" s="3">
        <v>15.99</v>
      </c>
      <c r="AA797" s="3">
        <v>0</v>
      </c>
      <c r="AB797" s="3" t="s">
        <v>1713</v>
      </c>
      <c r="AC797" s="3">
        <v>0</v>
      </c>
      <c r="AD797" s="3">
        <v>0</v>
      </c>
      <c r="AE797" s="3">
        <v>0</v>
      </c>
      <c r="AF797" s="3">
        <v>0</v>
      </c>
      <c r="AG797" s="3">
        <v>0</v>
      </c>
      <c r="AH797" s="3">
        <v>2.2</v>
      </c>
      <c r="AI797" s="3" t="s">
        <v>2082</v>
      </c>
      <c r="AJ797" s="3" t="s">
        <v>1715</v>
      </c>
    </row>
    <row r="798" spans="1:36">
      <c r="A798" s="4">
        <v>43277</v>
      </c>
      <c r="B798" s="3" t="s">
        <v>4242</v>
      </c>
      <c r="C798" s="3" t="s">
        <v>4243</v>
      </c>
      <c r="D798" s="3" t="s">
        <v>4244</v>
      </c>
      <c r="E798" s="3" t="s">
        <v>4245</v>
      </c>
      <c r="F798" s="3" t="s">
        <v>1710</v>
      </c>
      <c r="G798" s="3">
        <v>3</v>
      </c>
      <c r="H798" s="3">
        <v>0</v>
      </c>
      <c r="I798" s="3">
        <v>0</v>
      </c>
      <c r="J798" s="3">
        <v>3</v>
      </c>
      <c r="K798" s="3">
        <v>0</v>
      </c>
      <c r="L798" s="3">
        <v>0</v>
      </c>
      <c r="M798" s="3">
        <v>0</v>
      </c>
      <c r="N798" s="3" t="s">
        <v>1711</v>
      </c>
      <c r="O798" s="3">
        <v>0</v>
      </c>
      <c r="P798" s="3">
        <v>0</v>
      </c>
      <c r="Q798" s="3">
        <v>0</v>
      </c>
      <c r="R798" s="3">
        <v>0</v>
      </c>
      <c r="S798" s="3">
        <v>1</v>
      </c>
      <c r="T798" s="3">
        <v>1</v>
      </c>
      <c r="U798" s="3">
        <v>1</v>
      </c>
      <c r="V798" s="3">
        <v>1</v>
      </c>
      <c r="W798" s="3"/>
      <c r="X798" s="3">
        <v>20.99</v>
      </c>
      <c r="Y798" s="3">
        <v>20.99</v>
      </c>
      <c r="Z798" s="3">
        <v>20.99</v>
      </c>
      <c r="AA798" s="3">
        <v>0</v>
      </c>
      <c r="AB798" s="3" t="s">
        <v>1732</v>
      </c>
      <c r="AC798" s="3">
        <v>0</v>
      </c>
      <c r="AD798" s="3">
        <v>18.2</v>
      </c>
      <c r="AE798" s="3">
        <v>336</v>
      </c>
      <c r="AF798" s="3">
        <v>0</v>
      </c>
      <c r="AG798" s="3">
        <v>41.711029</v>
      </c>
      <c r="AH798" s="3">
        <v>0.235294117647058</v>
      </c>
      <c r="AI798" s="3" t="s">
        <v>1914</v>
      </c>
      <c r="AJ798" s="3" t="s">
        <v>1715</v>
      </c>
    </row>
    <row r="799" spans="1:36">
      <c r="A799" s="4">
        <v>43277</v>
      </c>
      <c r="B799" s="3" t="s">
        <v>4246</v>
      </c>
      <c r="C799" s="3" t="s">
        <v>4247</v>
      </c>
      <c r="D799" s="3" t="s">
        <v>4248</v>
      </c>
      <c r="E799" s="3" t="s">
        <v>2495</v>
      </c>
      <c r="F799" s="3" t="s">
        <v>1710</v>
      </c>
      <c r="G799" s="3">
        <v>15</v>
      </c>
      <c r="H799" s="3">
        <v>0</v>
      </c>
      <c r="I799" s="3">
        <v>15</v>
      </c>
      <c r="J799" s="3">
        <v>0</v>
      </c>
      <c r="K799" s="3">
        <v>0</v>
      </c>
      <c r="L799" s="3">
        <v>0</v>
      </c>
      <c r="M799" s="3">
        <v>0</v>
      </c>
      <c r="N799" s="3" t="s">
        <v>1711</v>
      </c>
      <c r="O799" s="3">
        <v>0</v>
      </c>
      <c r="P799" s="3">
        <v>0</v>
      </c>
      <c r="Q799" s="3">
        <v>0</v>
      </c>
      <c r="R799" s="3">
        <v>0</v>
      </c>
      <c r="S799" s="3">
        <v>0</v>
      </c>
      <c r="T799" s="3">
        <v>0</v>
      </c>
      <c r="U799" s="3">
        <v>0</v>
      </c>
      <c r="V799" s="3">
        <v>0</v>
      </c>
      <c r="W799" s="3" t="s">
        <v>1720</v>
      </c>
      <c r="X799" s="3">
        <v>15.99</v>
      </c>
      <c r="Y799" s="3">
        <v>15.99</v>
      </c>
      <c r="Z799" s="3">
        <v>15.99</v>
      </c>
      <c r="AA799" s="3">
        <v>0</v>
      </c>
      <c r="AB799" s="3" t="s">
        <v>1721</v>
      </c>
      <c r="AC799" s="3">
        <v>0</v>
      </c>
      <c r="AD799" s="3">
        <v>12.79</v>
      </c>
      <c r="AE799" s="3">
        <v>63</v>
      </c>
      <c r="AF799" s="3">
        <v>0</v>
      </c>
      <c r="AG799" s="3">
        <v>160.761652</v>
      </c>
      <c r="AH799" s="3">
        <v>0</v>
      </c>
      <c r="AI799" s="3" t="s">
        <v>2758</v>
      </c>
      <c r="AJ799" s="3" t="s">
        <v>1715</v>
      </c>
    </row>
    <row r="800" spans="1:36">
      <c r="A800" s="4">
        <v>43277</v>
      </c>
      <c r="B800" s="3" t="s">
        <v>4249</v>
      </c>
      <c r="C800" s="3" t="s">
        <v>4250</v>
      </c>
      <c r="D800" s="3" t="s">
        <v>4251</v>
      </c>
      <c r="E800" s="3" t="s">
        <v>4252</v>
      </c>
      <c r="F800" s="3" t="s">
        <v>1710</v>
      </c>
      <c r="G800" s="3">
        <v>8</v>
      </c>
      <c r="H800" s="3">
        <v>0</v>
      </c>
      <c r="I800" s="3">
        <v>0</v>
      </c>
      <c r="J800" s="3">
        <v>1</v>
      </c>
      <c r="K800" s="3">
        <v>7</v>
      </c>
      <c r="L800" s="3">
        <v>0</v>
      </c>
      <c r="M800" s="3">
        <v>0</v>
      </c>
      <c r="N800" s="3" t="s">
        <v>1711</v>
      </c>
      <c r="O800" s="3">
        <v>8</v>
      </c>
      <c r="P800" s="3">
        <v>10.6</v>
      </c>
      <c r="Q800" s="3">
        <v>0</v>
      </c>
      <c r="R800" s="3">
        <v>0</v>
      </c>
      <c r="S800" s="3">
        <v>0</v>
      </c>
      <c r="T800" s="3">
        <v>0</v>
      </c>
      <c r="U800" s="3">
        <v>0</v>
      </c>
      <c r="V800" s="3">
        <v>0</v>
      </c>
      <c r="W800" s="3" t="s">
        <v>1720</v>
      </c>
      <c r="X800" s="3">
        <v>18.99</v>
      </c>
      <c r="Y800" s="3">
        <v>18.99</v>
      </c>
      <c r="Z800" s="3">
        <v>18.99</v>
      </c>
      <c r="AA800" s="3">
        <v>0</v>
      </c>
      <c r="AB800" s="3" t="s">
        <v>1721</v>
      </c>
      <c r="AC800" s="3">
        <v>0</v>
      </c>
      <c r="AD800" s="3">
        <v>16.78</v>
      </c>
      <c r="AE800" s="3">
        <v>203</v>
      </c>
      <c r="AF800" s="3">
        <v>0</v>
      </c>
      <c r="AG800" s="3">
        <v>187.264511</v>
      </c>
      <c r="AH800" s="3">
        <v>0</v>
      </c>
      <c r="AI800" s="3" t="s">
        <v>2398</v>
      </c>
      <c r="AJ800" s="3" t="s">
        <v>1715</v>
      </c>
    </row>
    <row r="801" spans="1:36">
      <c r="A801" s="4">
        <v>43277</v>
      </c>
      <c r="B801" s="3" t="s">
        <v>4253</v>
      </c>
      <c r="C801" s="3" t="s">
        <v>4254</v>
      </c>
      <c r="D801" s="3" t="s">
        <v>4255</v>
      </c>
      <c r="E801" s="3" t="s">
        <v>4256</v>
      </c>
      <c r="F801" s="3" t="s">
        <v>1710</v>
      </c>
      <c r="G801" s="3">
        <v>2</v>
      </c>
      <c r="H801" s="3">
        <v>0</v>
      </c>
      <c r="I801" s="3">
        <v>2</v>
      </c>
      <c r="J801" s="3">
        <v>0</v>
      </c>
      <c r="K801" s="3">
        <v>0</v>
      </c>
      <c r="L801" s="3">
        <v>0</v>
      </c>
      <c r="M801" s="3">
        <v>0</v>
      </c>
      <c r="N801" s="3" t="s">
        <v>1711</v>
      </c>
      <c r="O801" s="3">
        <v>0</v>
      </c>
      <c r="P801" s="3">
        <v>0</v>
      </c>
      <c r="Q801" s="3">
        <v>0</v>
      </c>
      <c r="R801" s="3">
        <v>0</v>
      </c>
      <c r="S801" s="3">
        <v>0</v>
      </c>
      <c r="T801" s="3">
        <v>10</v>
      </c>
      <c r="U801" s="3">
        <v>10</v>
      </c>
      <c r="V801" s="3">
        <v>11</v>
      </c>
      <c r="W801" s="3" t="s">
        <v>1712</v>
      </c>
      <c r="X801" s="3">
        <v>9.99</v>
      </c>
      <c r="Y801" s="3">
        <v>9.99</v>
      </c>
      <c r="Z801" s="3">
        <v>9.98</v>
      </c>
      <c r="AA801" s="3">
        <v>0</v>
      </c>
      <c r="AB801" s="3" t="s">
        <v>1713</v>
      </c>
      <c r="AC801" s="3">
        <v>2</v>
      </c>
      <c r="AD801" s="3">
        <v>9.99</v>
      </c>
      <c r="AE801" s="3">
        <v>0</v>
      </c>
      <c r="AF801" s="3">
        <v>0</v>
      </c>
      <c r="AG801" s="3">
        <v>0</v>
      </c>
      <c r="AH801" s="3">
        <v>1.83333333333333</v>
      </c>
      <c r="AI801" s="3" t="s">
        <v>4257</v>
      </c>
      <c r="AJ801" s="3" t="s">
        <v>1715</v>
      </c>
    </row>
    <row r="802" spans="1:36">
      <c r="A802" s="4">
        <v>43277</v>
      </c>
      <c r="B802" s="3" t="s">
        <v>4258</v>
      </c>
      <c r="C802" s="3" t="s">
        <v>4259</v>
      </c>
      <c r="D802" s="3" t="s">
        <v>4260</v>
      </c>
      <c r="E802" s="3" t="s">
        <v>4261</v>
      </c>
      <c r="F802" s="3" t="s">
        <v>1710</v>
      </c>
      <c r="G802" s="3">
        <v>41</v>
      </c>
      <c r="H802" s="3">
        <v>0</v>
      </c>
      <c r="I802" s="3">
        <v>1</v>
      </c>
      <c r="J802" s="3">
        <v>40</v>
      </c>
      <c r="K802" s="3">
        <v>0</v>
      </c>
      <c r="L802" s="3">
        <v>0</v>
      </c>
      <c r="M802" s="3">
        <v>0</v>
      </c>
      <c r="N802" s="3" t="s">
        <v>1711</v>
      </c>
      <c r="O802" s="3">
        <v>40</v>
      </c>
      <c r="P802" s="3">
        <v>58.95</v>
      </c>
      <c r="Q802" s="3">
        <v>0</v>
      </c>
      <c r="R802" s="3">
        <v>0</v>
      </c>
      <c r="S802" s="3">
        <v>0</v>
      </c>
      <c r="T802" s="3">
        <v>0</v>
      </c>
      <c r="U802" s="3">
        <v>0</v>
      </c>
      <c r="V802" s="3">
        <v>0</v>
      </c>
      <c r="W802" s="3" t="s">
        <v>1720</v>
      </c>
      <c r="X802" s="3">
        <v>35</v>
      </c>
      <c r="Y802" s="3">
        <v>14.99</v>
      </c>
      <c r="Z802" s="3">
        <v>14.99</v>
      </c>
      <c r="AA802" s="3">
        <v>0</v>
      </c>
      <c r="AB802" s="3" t="s">
        <v>1732</v>
      </c>
      <c r="AC802" s="3">
        <v>4</v>
      </c>
      <c r="AD802" s="3">
        <v>13.49</v>
      </c>
      <c r="AE802" s="3">
        <v>133</v>
      </c>
      <c r="AF802" s="3">
        <v>0</v>
      </c>
      <c r="AG802" s="3">
        <v>954.742668</v>
      </c>
      <c r="AH802" s="3">
        <v>0</v>
      </c>
      <c r="AI802" s="3" t="s">
        <v>1770</v>
      </c>
      <c r="AJ802" s="3" t="s">
        <v>1715</v>
      </c>
    </row>
    <row r="803" spans="1:36">
      <c r="A803" s="4">
        <v>43277</v>
      </c>
      <c r="B803" s="3" t="s">
        <v>4262</v>
      </c>
      <c r="C803" s="3" t="s">
        <v>4263</v>
      </c>
      <c r="D803" s="3" t="s">
        <v>4264</v>
      </c>
      <c r="E803" s="3" t="s">
        <v>1380</v>
      </c>
      <c r="F803" s="3" t="s">
        <v>1710</v>
      </c>
      <c r="G803" s="3">
        <v>8</v>
      </c>
      <c r="H803" s="3">
        <v>0</v>
      </c>
      <c r="I803" s="3">
        <v>7</v>
      </c>
      <c r="J803" s="3">
        <v>1</v>
      </c>
      <c r="K803" s="3">
        <v>0</v>
      </c>
      <c r="L803" s="3">
        <v>0</v>
      </c>
      <c r="M803" s="3">
        <v>0</v>
      </c>
      <c r="N803" s="3" t="s">
        <v>1711</v>
      </c>
      <c r="O803" s="3">
        <v>0</v>
      </c>
      <c r="P803" s="3">
        <v>0</v>
      </c>
      <c r="Q803" s="3">
        <v>0</v>
      </c>
      <c r="R803" s="3">
        <v>0</v>
      </c>
      <c r="S803" s="3">
        <v>0</v>
      </c>
      <c r="T803" s="3">
        <v>3</v>
      </c>
      <c r="U803" s="3">
        <v>7</v>
      </c>
      <c r="V803" s="3">
        <v>8</v>
      </c>
      <c r="W803" s="3"/>
      <c r="X803" s="3">
        <v>23.99</v>
      </c>
      <c r="Y803" s="3">
        <v>23.99</v>
      </c>
      <c r="Z803" s="3">
        <v>23.99</v>
      </c>
      <c r="AA803" s="3">
        <v>0</v>
      </c>
      <c r="AB803" s="3" t="s">
        <v>1732</v>
      </c>
      <c r="AC803" s="3">
        <v>1</v>
      </c>
      <c r="AD803" s="3">
        <v>11.56</v>
      </c>
      <c r="AE803" s="3">
        <v>49</v>
      </c>
      <c r="AF803" s="3">
        <v>0</v>
      </c>
      <c r="AG803" s="3">
        <v>99.211284</v>
      </c>
      <c r="AH803" s="3">
        <v>0.888888888888888</v>
      </c>
      <c r="AI803" s="3" t="s">
        <v>2351</v>
      </c>
      <c r="AJ803" s="3" t="s">
        <v>1715</v>
      </c>
    </row>
    <row r="804" spans="1:36">
      <c r="A804" s="4">
        <v>43277</v>
      </c>
      <c r="B804" s="3" t="s">
        <v>4265</v>
      </c>
      <c r="C804" s="3" t="s">
        <v>4266</v>
      </c>
      <c r="D804" s="3" t="s">
        <v>4267</v>
      </c>
      <c r="E804" s="3" t="s">
        <v>4268</v>
      </c>
      <c r="F804" s="3" t="s">
        <v>1710</v>
      </c>
      <c r="G804" s="3">
        <v>3</v>
      </c>
      <c r="H804" s="3">
        <v>0</v>
      </c>
      <c r="I804" s="3">
        <v>0</v>
      </c>
      <c r="J804" s="3">
        <v>0</v>
      </c>
      <c r="K804" s="3">
        <v>3</v>
      </c>
      <c r="L804" s="3">
        <v>0</v>
      </c>
      <c r="M804" s="3">
        <v>0</v>
      </c>
      <c r="N804" s="3" t="s">
        <v>1711</v>
      </c>
      <c r="O804" s="3">
        <v>3</v>
      </c>
      <c r="P804" s="3">
        <v>3.97</v>
      </c>
      <c r="Q804" s="3">
        <v>0</v>
      </c>
      <c r="R804" s="3">
        <v>0</v>
      </c>
      <c r="S804" s="3">
        <v>0</v>
      </c>
      <c r="T804" s="3">
        <v>0</v>
      </c>
      <c r="U804" s="3">
        <v>0</v>
      </c>
      <c r="V804" s="3">
        <v>1</v>
      </c>
      <c r="W804" s="3" t="s">
        <v>1720</v>
      </c>
      <c r="X804" s="3">
        <v>18.99</v>
      </c>
      <c r="Y804" s="3">
        <v>18.99</v>
      </c>
      <c r="Z804" s="3">
        <v>18.99</v>
      </c>
      <c r="AA804" s="3">
        <v>0</v>
      </c>
      <c r="AB804" s="3" t="s">
        <v>1721</v>
      </c>
      <c r="AC804" s="3">
        <v>0</v>
      </c>
      <c r="AD804" s="3">
        <v>16.97</v>
      </c>
      <c r="AE804" s="3">
        <v>154</v>
      </c>
      <c r="AF804" s="3">
        <v>0</v>
      </c>
      <c r="AG804" s="3">
        <v>70.548195</v>
      </c>
      <c r="AH804" s="3">
        <v>0.307692307692307</v>
      </c>
      <c r="AI804" s="3" t="s">
        <v>2398</v>
      </c>
      <c r="AJ804" s="3" t="s">
        <v>1715</v>
      </c>
    </row>
    <row r="805" spans="1:36">
      <c r="A805" s="4">
        <v>43277</v>
      </c>
      <c r="B805" s="3" t="s">
        <v>4269</v>
      </c>
      <c r="C805" s="3" t="s">
        <v>4270</v>
      </c>
      <c r="D805" s="3" t="s">
        <v>4271</v>
      </c>
      <c r="E805" s="3" t="s">
        <v>4272</v>
      </c>
      <c r="F805" s="3" t="s">
        <v>1710</v>
      </c>
      <c r="G805" s="3">
        <v>81</v>
      </c>
      <c r="H805" s="3">
        <v>0</v>
      </c>
      <c r="I805" s="3">
        <v>6</v>
      </c>
      <c r="J805" s="3">
        <v>51</v>
      </c>
      <c r="K805" s="3">
        <v>24</v>
      </c>
      <c r="L805" s="3">
        <v>0</v>
      </c>
      <c r="M805" s="3">
        <v>0</v>
      </c>
      <c r="N805" s="3" t="s">
        <v>1711</v>
      </c>
      <c r="O805" s="3">
        <v>66</v>
      </c>
      <c r="P805" s="3">
        <v>106.81</v>
      </c>
      <c r="Q805" s="3">
        <v>0</v>
      </c>
      <c r="R805" s="3">
        <v>0</v>
      </c>
      <c r="S805" s="3">
        <v>3</v>
      </c>
      <c r="T805" s="3">
        <v>9</v>
      </c>
      <c r="U805" s="3">
        <v>40</v>
      </c>
      <c r="V805" s="3">
        <v>65</v>
      </c>
      <c r="W805" s="3"/>
      <c r="X805" s="3">
        <v>19.99</v>
      </c>
      <c r="Y805" s="3">
        <v>19.99</v>
      </c>
      <c r="Z805" s="3">
        <v>19.99</v>
      </c>
      <c r="AA805" s="3">
        <v>0</v>
      </c>
      <c r="AB805" s="3" t="s">
        <v>1732</v>
      </c>
      <c r="AC805" s="3">
        <v>38</v>
      </c>
      <c r="AD805" s="3">
        <v>17.3</v>
      </c>
      <c r="AE805" s="3">
        <v>35</v>
      </c>
      <c r="AF805" s="3">
        <v>0</v>
      </c>
      <c r="AG805" s="3">
        <v>0</v>
      </c>
      <c r="AH805" s="3">
        <v>0.333333333333333</v>
      </c>
      <c r="AI805" s="3" t="s">
        <v>4273</v>
      </c>
      <c r="AJ805" s="3" t="s">
        <v>1715</v>
      </c>
    </row>
    <row r="806" spans="1:36">
      <c r="A806" s="4">
        <v>43277</v>
      </c>
      <c r="B806" s="3" t="s">
        <v>4274</v>
      </c>
      <c r="C806" s="3" t="s">
        <v>4275</v>
      </c>
      <c r="D806" s="3" t="s">
        <v>4276</v>
      </c>
      <c r="E806" s="3" t="s">
        <v>1136</v>
      </c>
      <c r="F806" s="3" t="s">
        <v>1710</v>
      </c>
      <c r="G806" s="3">
        <v>15</v>
      </c>
      <c r="H806" s="3">
        <v>0</v>
      </c>
      <c r="I806" s="3">
        <v>15</v>
      </c>
      <c r="J806" s="3">
        <v>0</v>
      </c>
      <c r="K806" s="3">
        <v>0</v>
      </c>
      <c r="L806" s="3">
        <v>0</v>
      </c>
      <c r="M806" s="3">
        <v>0</v>
      </c>
      <c r="N806" s="3" t="s">
        <v>1711</v>
      </c>
      <c r="O806" s="3">
        <v>0</v>
      </c>
      <c r="P806" s="3">
        <v>0</v>
      </c>
      <c r="Q806" s="3">
        <v>0</v>
      </c>
      <c r="R806" s="3">
        <v>0</v>
      </c>
      <c r="S806" s="3">
        <v>1</v>
      </c>
      <c r="T806" s="3">
        <v>8</v>
      </c>
      <c r="U806" s="3">
        <v>18</v>
      </c>
      <c r="V806" s="3">
        <v>18</v>
      </c>
      <c r="W806" s="3"/>
      <c r="X806" s="3">
        <v>21.99</v>
      </c>
      <c r="Y806" s="3">
        <v>21.99</v>
      </c>
      <c r="Z806" s="3">
        <v>21.99</v>
      </c>
      <c r="AA806" s="3">
        <v>0</v>
      </c>
      <c r="AB806" s="3" t="s">
        <v>1713</v>
      </c>
      <c r="AC806" s="3">
        <v>15</v>
      </c>
      <c r="AD806" s="3">
        <v>21.99</v>
      </c>
      <c r="AE806" s="3">
        <v>0</v>
      </c>
      <c r="AF806" s="3">
        <v>0</v>
      </c>
      <c r="AG806" s="3">
        <v>0</v>
      </c>
      <c r="AH806" s="3">
        <v>2</v>
      </c>
      <c r="AI806" s="3" t="s">
        <v>1890</v>
      </c>
      <c r="AJ806" s="3" t="s">
        <v>1715</v>
      </c>
    </row>
    <row r="807" spans="1:36">
      <c r="A807" s="4">
        <v>43277</v>
      </c>
      <c r="B807" s="3" t="s">
        <v>4277</v>
      </c>
      <c r="C807" s="3" t="s">
        <v>4278</v>
      </c>
      <c r="D807" s="3" t="s">
        <v>4279</v>
      </c>
      <c r="E807" s="3" t="s">
        <v>4280</v>
      </c>
      <c r="F807" s="3" t="s">
        <v>1710</v>
      </c>
      <c r="G807" s="3">
        <v>8</v>
      </c>
      <c r="H807" s="3">
        <v>0</v>
      </c>
      <c r="I807" s="3">
        <v>0</v>
      </c>
      <c r="J807" s="3">
        <v>1</v>
      </c>
      <c r="K807" s="3">
        <v>7</v>
      </c>
      <c r="L807" s="3">
        <v>0</v>
      </c>
      <c r="M807" s="3">
        <v>0</v>
      </c>
      <c r="N807" s="3" t="s">
        <v>1711</v>
      </c>
      <c r="O807" s="3">
        <v>7</v>
      </c>
      <c r="P807" s="3">
        <v>9.58</v>
      </c>
      <c r="Q807" s="3">
        <v>0</v>
      </c>
      <c r="R807" s="3">
        <v>0</v>
      </c>
      <c r="S807" s="3">
        <v>0</v>
      </c>
      <c r="T807" s="3">
        <v>0</v>
      </c>
      <c r="U807" s="3">
        <v>0</v>
      </c>
      <c r="V807" s="3">
        <v>0</v>
      </c>
      <c r="W807" s="3" t="s">
        <v>1720</v>
      </c>
      <c r="X807" s="3">
        <v>16.99</v>
      </c>
      <c r="Y807" s="3">
        <v>16.99</v>
      </c>
      <c r="Z807" s="3">
        <v>16.99</v>
      </c>
      <c r="AA807" s="3">
        <v>0</v>
      </c>
      <c r="AB807" s="3" t="s">
        <v>1732</v>
      </c>
      <c r="AC807" s="3">
        <v>0</v>
      </c>
      <c r="AD807" s="3">
        <v>13.16</v>
      </c>
      <c r="AE807" s="3">
        <v>287</v>
      </c>
      <c r="AF807" s="3">
        <v>0</v>
      </c>
      <c r="AG807" s="3">
        <v>160.829548</v>
      </c>
      <c r="AH807" s="3">
        <v>0</v>
      </c>
      <c r="AI807" s="3" t="s">
        <v>1851</v>
      </c>
      <c r="AJ807" s="3" t="s">
        <v>1715</v>
      </c>
    </row>
    <row r="808" spans="1:36">
      <c r="A808" s="4">
        <v>43277</v>
      </c>
      <c r="B808" s="3" t="s">
        <v>1271</v>
      </c>
      <c r="C808" s="3" t="s">
        <v>1272</v>
      </c>
      <c r="D808" s="3" t="s">
        <v>1273</v>
      </c>
      <c r="E808" s="3" t="s">
        <v>1274</v>
      </c>
      <c r="F808" s="3" t="s">
        <v>1710</v>
      </c>
      <c r="G808" s="3">
        <v>1</v>
      </c>
      <c r="H808" s="3">
        <v>0</v>
      </c>
      <c r="I808" s="3">
        <v>1</v>
      </c>
      <c r="J808" s="3">
        <v>0</v>
      </c>
      <c r="K808" s="3">
        <v>0</v>
      </c>
      <c r="L808" s="3">
        <v>0</v>
      </c>
      <c r="M808" s="3">
        <v>0</v>
      </c>
      <c r="N808" s="3" t="s">
        <v>1711</v>
      </c>
      <c r="O808" s="3">
        <v>0</v>
      </c>
      <c r="P808" s="3">
        <v>0</v>
      </c>
      <c r="Q808" s="3">
        <v>0</v>
      </c>
      <c r="R808" s="3">
        <v>0</v>
      </c>
      <c r="S808" s="3">
        <v>34</v>
      </c>
      <c r="T808" s="3">
        <v>55</v>
      </c>
      <c r="U808" s="3">
        <v>70</v>
      </c>
      <c r="V808" s="3">
        <v>70</v>
      </c>
      <c r="W808" s="3"/>
      <c r="X808" s="3"/>
      <c r="Y808" s="3"/>
      <c r="Z808" s="3">
        <v>-1</v>
      </c>
      <c r="AA808" s="3">
        <v>-1</v>
      </c>
      <c r="AB808" s="3" t="s">
        <v>1776</v>
      </c>
      <c r="AC808" s="3">
        <v>25</v>
      </c>
      <c r="AD808" s="3">
        <v>25.99</v>
      </c>
      <c r="AE808" s="3">
        <v>0</v>
      </c>
      <c r="AF808" s="3">
        <v>0</v>
      </c>
      <c r="AG808" s="3">
        <v>0</v>
      </c>
      <c r="AH808" s="3">
        <v>35</v>
      </c>
      <c r="AI808" s="3" t="s">
        <v>4281</v>
      </c>
      <c r="AJ808" s="3" t="s">
        <v>1715</v>
      </c>
    </row>
    <row r="809" spans="1:36">
      <c r="A809" s="4">
        <v>43277</v>
      </c>
      <c r="B809" s="3" t="s">
        <v>4282</v>
      </c>
      <c r="C809" s="3" t="s">
        <v>4283</v>
      </c>
      <c r="D809" s="3" t="s">
        <v>4284</v>
      </c>
      <c r="E809" s="3" t="s">
        <v>4285</v>
      </c>
      <c r="F809" s="3" t="s">
        <v>1710</v>
      </c>
      <c r="G809" s="3">
        <v>1</v>
      </c>
      <c r="H809" s="3">
        <v>0</v>
      </c>
      <c r="I809" s="3">
        <v>1</v>
      </c>
      <c r="J809" s="3">
        <v>0</v>
      </c>
      <c r="K809" s="3">
        <v>0</v>
      </c>
      <c r="L809" s="3">
        <v>0</v>
      </c>
      <c r="M809" s="3">
        <v>0</v>
      </c>
      <c r="N809" s="3" t="s">
        <v>1711</v>
      </c>
      <c r="O809" s="3">
        <v>0</v>
      </c>
      <c r="P809" s="3">
        <v>0</v>
      </c>
      <c r="Q809" s="3">
        <v>0</v>
      </c>
      <c r="R809" s="3">
        <v>0</v>
      </c>
      <c r="S809" s="3">
        <v>8</v>
      </c>
      <c r="T809" s="3">
        <v>29</v>
      </c>
      <c r="U809" s="3">
        <v>50</v>
      </c>
      <c r="V809" s="3">
        <v>62</v>
      </c>
      <c r="W809" s="3"/>
      <c r="X809" s="3"/>
      <c r="Y809" s="3"/>
      <c r="Z809" s="3">
        <v>-1</v>
      </c>
      <c r="AA809" s="3">
        <v>-1</v>
      </c>
      <c r="AB809" s="3" t="s">
        <v>1776</v>
      </c>
      <c r="AC809" s="3">
        <v>0</v>
      </c>
      <c r="AD809" s="3">
        <v>0</v>
      </c>
      <c r="AE809" s="3">
        <v>0</v>
      </c>
      <c r="AF809" s="3">
        <v>0</v>
      </c>
      <c r="AG809" s="3">
        <v>0</v>
      </c>
      <c r="AH809" s="3">
        <v>49.6</v>
      </c>
      <c r="AI809" s="3" t="s">
        <v>2071</v>
      </c>
      <c r="AJ809" s="3" t="s">
        <v>1715</v>
      </c>
    </row>
    <row r="810" spans="1:36">
      <c r="A810" s="4">
        <v>43277</v>
      </c>
      <c r="B810" s="3" t="s">
        <v>4286</v>
      </c>
      <c r="C810" s="3" t="s">
        <v>4287</v>
      </c>
      <c r="D810" s="3" t="s">
        <v>4288</v>
      </c>
      <c r="E810" s="3" t="s">
        <v>2519</v>
      </c>
      <c r="F810" s="3" t="s">
        <v>1710</v>
      </c>
      <c r="G810" s="3">
        <v>2</v>
      </c>
      <c r="H810" s="3">
        <v>0</v>
      </c>
      <c r="I810" s="3">
        <v>0</v>
      </c>
      <c r="J810" s="3">
        <v>0</v>
      </c>
      <c r="K810" s="3">
        <v>0</v>
      </c>
      <c r="L810" s="3">
        <v>2</v>
      </c>
      <c r="M810" s="3">
        <v>0</v>
      </c>
      <c r="N810" s="3" t="s">
        <v>1711</v>
      </c>
      <c r="O810" s="3">
        <v>2</v>
      </c>
      <c r="P810" s="3">
        <v>4.54</v>
      </c>
      <c r="Q810" s="3">
        <v>0</v>
      </c>
      <c r="R810" s="3">
        <v>0</v>
      </c>
      <c r="S810" s="3">
        <v>0</v>
      </c>
      <c r="T810" s="3">
        <v>0</v>
      </c>
      <c r="U810" s="3">
        <v>0</v>
      </c>
      <c r="V810" s="3">
        <v>0</v>
      </c>
      <c r="W810" s="3" t="s">
        <v>1720</v>
      </c>
      <c r="X810" s="3">
        <v>18.99</v>
      </c>
      <c r="Y810" s="3">
        <v>18.99</v>
      </c>
      <c r="Z810" s="3">
        <v>18.99</v>
      </c>
      <c r="AA810" s="3">
        <v>0</v>
      </c>
      <c r="AB810" s="3" t="s">
        <v>1732</v>
      </c>
      <c r="AC810" s="3">
        <v>0</v>
      </c>
      <c r="AD810" s="3">
        <v>15.19</v>
      </c>
      <c r="AE810" s="3">
        <v>63</v>
      </c>
      <c r="AF810" s="3">
        <v>0</v>
      </c>
      <c r="AG810" s="3">
        <v>53.302886</v>
      </c>
      <c r="AH810" s="3">
        <v>0</v>
      </c>
      <c r="AI810" s="3" t="s">
        <v>4289</v>
      </c>
      <c r="AJ810" s="3" t="s">
        <v>1783</v>
      </c>
    </row>
    <row r="811" spans="1:36">
      <c r="A811" s="4">
        <v>43277</v>
      </c>
      <c r="B811" s="3" t="s">
        <v>1313</v>
      </c>
      <c r="C811" s="3" t="s">
        <v>1314</v>
      </c>
      <c r="D811" s="3" t="s">
        <v>1315</v>
      </c>
      <c r="E811" s="3" t="s">
        <v>1316</v>
      </c>
      <c r="F811" s="3" t="s">
        <v>1710</v>
      </c>
      <c r="G811" s="3">
        <v>1</v>
      </c>
      <c r="H811" s="3">
        <v>0</v>
      </c>
      <c r="I811" s="3">
        <v>1</v>
      </c>
      <c r="J811" s="3">
        <v>0</v>
      </c>
      <c r="K811" s="3">
        <v>0</v>
      </c>
      <c r="L811" s="3">
        <v>0</v>
      </c>
      <c r="M811" s="3">
        <v>0</v>
      </c>
      <c r="N811" s="3" t="s">
        <v>1711</v>
      </c>
      <c r="O811" s="3">
        <v>0</v>
      </c>
      <c r="P811" s="3">
        <v>0</v>
      </c>
      <c r="Q811" s="3">
        <v>0</v>
      </c>
      <c r="R811" s="3">
        <v>0</v>
      </c>
      <c r="S811" s="3">
        <v>15</v>
      </c>
      <c r="T811" s="3">
        <v>42</v>
      </c>
      <c r="U811" s="3">
        <v>57</v>
      </c>
      <c r="V811" s="3">
        <v>57</v>
      </c>
      <c r="W811" s="3"/>
      <c r="X811" s="3"/>
      <c r="Y811" s="3"/>
      <c r="Z811" s="3">
        <v>-1</v>
      </c>
      <c r="AA811" s="3">
        <v>-1</v>
      </c>
      <c r="AB811" s="3" t="s">
        <v>1776</v>
      </c>
      <c r="AC811" s="3">
        <v>3</v>
      </c>
      <c r="AD811" s="3">
        <v>25.99</v>
      </c>
      <c r="AE811" s="3">
        <v>0</v>
      </c>
      <c r="AF811" s="3">
        <v>0</v>
      </c>
      <c r="AG811" s="3">
        <v>0</v>
      </c>
      <c r="AH811" s="3">
        <v>85.5</v>
      </c>
      <c r="AI811" s="3" t="s">
        <v>4281</v>
      </c>
      <c r="AJ811" s="3" t="s">
        <v>1715</v>
      </c>
    </row>
    <row r="812" spans="1:36">
      <c r="A812" s="4">
        <v>43277</v>
      </c>
      <c r="B812" s="3" t="s">
        <v>4290</v>
      </c>
      <c r="C812" s="3" t="s">
        <v>4291</v>
      </c>
      <c r="D812" s="3" t="s">
        <v>4292</v>
      </c>
      <c r="E812" s="3" t="s">
        <v>3690</v>
      </c>
      <c r="F812" s="3" t="s">
        <v>1710</v>
      </c>
      <c r="G812" s="3">
        <v>11</v>
      </c>
      <c r="H812" s="3">
        <v>0</v>
      </c>
      <c r="I812" s="3">
        <v>0</v>
      </c>
      <c r="J812" s="3">
        <v>0</v>
      </c>
      <c r="K812" s="3">
        <v>0</v>
      </c>
      <c r="L812" s="3">
        <v>11</v>
      </c>
      <c r="M812" s="3">
        <v>0</v>
      </c>
      <c r="N812" s="3" t="s">
        <v>1711</v>
      </c>
      <c r="O812" s="3">
        <v>11</v>
      </c>
      <c r="P812" s="3">
        <v>6.55</v>
      </c>
      <c r="Q812" s="3">
        <v>0</v>
      </c>
      <c r="R812" s="3">
        <v>0</v>
      </c>
      <c r="S812" s="3">
        <v>0</v>
      </c>
      <c r="T812" s="3">
        <v>0</v>
      </c>
      <c r="U812" s="3">
        <v>0</v>
      </c>
      <c r="V812" s="3">
        <v>0</v>
      </c>
      <c r="W812" s="3" t="s">
        <v>1720</v>
      </c>
      <c r="X812" s="3">
        <v>16.99</v>
      </c>
      <c r="Y812" s="3">
        <v>16.99</v>
      </c>
      <c r="Z812" s="3">
        <v>16.99</v>
      </c>
      <c r="AA812" s="3">
        <v>0</v>
      </c>
      <c r="AB812" s="3" t="s">
        <v>1721</v>
      </c>
      <c r="AC812" s="3">
        <v>0</v>
      </c>
      <c r="AD812" s="3">
        <v>11.88</v>
      </c>
      <c r="AE812" s="3">
        <v>364</v>
      </c>
      <c r="AF812" s="3">
        <v>0</v>
      </c>
      <c r="AG812" s="3">
        <v>106.477086</v>
      </c>
      <c r="AH812" s="3">
        <v>0</v>
      </c>
      <c r="AI812" s="3" t="s">
        <v>4293</v>
      </c>
      <c r="AJ812" s="3" t="s">
        <v>2616</v>
      </c>
    </row>
    <row r="813" spans="1:36">
      <c r="A813" s="4">
        <v>43277</v>
      </c>
      <c r="B813" s="3" t="s">
        <v>4294</v>
      </c>
      <c r="C813" s="3" t="s">
        <v>4295</v>
      </c>
      <c r="D813" s="3" t="s">
        <v>4296</v>
      </c>
      <c r="E813" s="3" t="s">
        <v>4297</v>
      </c>
      <c r="F813" s="3" t="s">
        <v>1710</v>
      </c>
      <c r="G813" s="3">
        <v>11</v>
      </c>
      <c r="H813" s="3">
        <v>0</v>
      </c>
      <c r="I813" s="3">
        <v>0</v>
      </c>
      <c r="J813" s="3">
        <v>0</v>
      </c>
      <c r="K813" s="3">
        <v>11</v>
      </c>
      <c r="L813" s="3">
        <v>0</v>
      </c>
      <c r="M813" s="3">
        <v>0</v>
      </c>
      <c r="N813" s="3" t="s">
        <v>1711</v>
      </c>
      <c r="O813" s="3">
        <v>11</v>
      </c>
      <c r="P813" s="3">
        <v>14.56</v>
      </c>
      <c r="Q813" s="3">
        <v>0</v>
      </c>
      <c r="R813" s="3">
        <v>0</v>
      </c>
      <c r="S813" s="3">
        <v>0</v>
      </c>
      <c r="T813" s="3">
        <v>0</v>
      </c>
      <c r="U813" s="3">
        <v>0</v>
      </c>
      <c r="V813" s="3">
        <v>0</v>
      </c>
      <c r="W813" s="3" t="s">
        <v>1720</v>
      </c>
      <c r="X813" s="3">
        <v>18.99</v>
      </c>
      <c r="Y813" s="3">
        <v>18.99</v>
      </c>
      <c r="Z813" s="3">
        <v>18.99</v>
      </c>
      <c r="AA813" s="3">
        <v>0</v>
      </c>
      <c r="AB813" s="3" t="s">
        <v>1721</v>
      </c>
      <c r="AC813" s="3">
        <v>0</v>
      </c>
      <c r="AD813" s="3">
        <v>16.17</v>
      </c>
      <c r="AE813" s="3">
        <v>231</v>
      </c>
      <c r="AF813" s="3">
        <v>0</v>
      </c>
      <c r="AG813" s="3">
        <v>250.192576</v>
      </c>
      <c r="AH813" s="3">
        <v>0</v>
      </c>
      <c r="AI813" s="3" t="s">
        <v>2398</v>
      </c>
      <c r="AJ813" s="3" t="s">
        <v>1715</v>
      </c>
    </row>
    <row r="814" spans="1:36">
      <c r="A814" s="4">
        <v>43277</v>
      </c>
      <c r="B814" s="3" t="s">
        <v>4298</v>
      </c>
      <c r="C814" s="3" t="s">
        <v>4299</v>
      </c>
      <c r="D814" s="3" t="s">
        <v>4300</v>
      </c>
      <c r="E814" s="3" t="s">
        <v>2495</v>
      </c>
      <c r="F814" s="3" t="s">
        <v>1710</v>
      </c>
      <c r="G814" s="3">
        <v>15</v>
      </c>
      <c r="H814" s="3">
        <v>0</v>
      </c>
      <c r="I814" s="3">
        <v>15</v>
      </c>
      <c r="J814" s="3">
        <v>0</v>
      </c>
      <c r="K814" s="3">
        <v>0</v>
      </c>
      <c r="L814" s="3">
        <v>0</v>
      </c>
      <c r="M814" s="3">
        <v>0</v>
      </c>
      <c r="N814" s="3" t="s">
        <v>1711</v>
      </c>
      <c r="O814" s="3">
        <v>0</v>
      </c>
      <c r="P814" s="3">
        <v>0</v>
      </c>
      <c r="Q814" s="3">
        <v>0</v>
      </c>
      <c r="R814" s="3">
        <v>0</v>
      </c>
      <c r="S814" s="3">
        <v>0</v>
      </c>
      <c r="T814" s="3">
        <v>0</v>
      </c>
      <c r="U814" s="3">
        <v>0</v>
      </c>
      <c r="V814" s="3">
        <v>0</v>
      </c>
      <c r="W814" s="3" t="s">
        <v>1720</v>
      </c>
      <c r="X814" s="3">
        <v>15.99</v>
      </c>
      <c r="Y814" s="3">
        <v>15.99</v>
      </c>
      <c r="Z814" s="3">
        <v>15.99</v>
      </c>
      <c r="AA814" s="3">
        <v>0</v>
      </c>
      <c r="AB814" s="3" t="s">
        <v>1721</v>
      </c>
      <c r="AC814" s="3">
        <v>0</v>
      </c>
      <c r="AD814" s="3">
        <v>12.79</v>
      </c>
      <c r="AE814" s="3">
        <v>63</v>
      </c>
      <c r="AF814" s="3">
        <v>0</v>
      </c>
      <c r="AG814" s="3">
        <v>160.761652</v>
      </c>
      <c r="AH814" s="3">
        <v>0</v>
      </c>
      <c r="AI814" s="3" t="s">
        <v>2758</v>
      </c>
      <c r="AJ814" s="3" t="s">
        <v>1715</v>
      </c>
    </row>
    <row r="815" spans="1:36">
      <c r="A815" s="4">
        <v>43277</v>
      </c>
      <c r="B815" s="3" t="s">
        <v>1445</v>
      </c>
      <c r="C815" s="3" t="s">
        <v>1446</v>
      </c>
      <c r="D815" s="3" t="s">
        <v>1447</v>
      </c>
      <c r="E815" s="3" t="s">
        <v>1448</v>
      </c>
      <c r="F815" s="3" t="s">
        <v>1710</v>
      </c>
      <c r="G815" s="3">
        <v>3</v>
      </c>
      <c r="H815" s="3">
        <v>0</v>
      </c>
      <c r="I815" s="3">
        <v>3</v>
      </c>
      <c r="J815" s="3">
        <v>0</v>
      </c>
      <c r="K815" s="3">
        <v>0</v>
      </c>
      <c r="L815" s="3">
        <v>0</v>
      </c>
      <c r="M815" s="3">
        <v>0</v>
      </c>
      <c r="N815" s="3" t="s">
        <v>1711</v>
      </c>
      <c r="O815" s="3">
        <v>0</v>
      </c>
      <c r="P815" s="3">
        <v>0</v>
      </c>
      <c r="Q815" s="3">
        <v>0</v>
      </c>
      <c r="R815" s="3">
        <v>0</v>
      </c>
      <c r="S815" s="3">
        <v>6</v>
      </c>
      <c r="T815" s="3">
        <v>31</v>
      </c>
      <c r="U815" s="3">
        <v>56</v>
      </c>
      <c r="V815" s="3">
        <v>73</v>
      </c>
      <c r="W815" s="3"/>
      <c r="X815" s="3">
        <v>38</v>
      </c>
      <c r="Y815" s="3">
        <v>25.58</v>
      </c>
      <c r="Z815" s="3">
        <v>25.58</v>
      </c>
      <c r="AA815" s="3">
        <v>0</v>
      </c>
      <c r="AB815" s="3" t="s">
        <v>1713</v>
      </c>
      <c r="AC815" s="3">
        <v>4</v>
      </c>
      <c r="AD815" s="3">
        <v>25.58</v>
      </c>
      <c r="AE815" s="3">
        <v>0</v>
      </c>
      <c r="AF815" s="3">
        <v>0</v>
      </c>
      <c r="AG815" s="3">
        <v>0</v>
      </c>
      <c r="AH815" s="3">
        <v>3.84210526315789</v>
      </c>
      <c r="AI815" s="3" t="s">
        <v>1857</v>
      </c>
      <c r="AJ815" s="3" t="s">
        <v>1715</v>
      </c>
    </row>
    <row r="816" spans="1:36">
      <c r="A816" s="4">
        <v>43277</v>
      </c>
      <c r="B816" s="3" t="s">
        <v>4301</v>
      </c>
      <c r="C816" s="3" t="s">
        <v>4302</v>
      </c>
      <c r="D816" s="3" t="s">
        <v>4303</v>
      </c>
      <c r="E816" s="3" t="s">
        <v>4304</v>
      </c>
      <c r="F816" s="3" t="s">
        <v>1710</v>
      </c>
      <c r="G816" s="3">
        <v>3</v>
      </c>
      <c r="H816" s="3">
        <v>0</v>
      </c>
      <c r="I816" s="3">
        <v>3</v>
      </c>
      <c r="J816" s="3">
        <v>0</v>
      </c>
      <c r="K816" s="3">
        <v>0</v>
      </c>
      <c r="L816" s="3">
        <v>0</v>
      </c>
      <c r="M816" s="3">
        <v>0</v>
      </c>
      <c r="N816" s="3" t="s">
        <v>1711</v>
      </c>
      <c r="O816" s="3">
        <v>0</v>
      </c>
      <c r="P816" s="3">
        <v>0</v>
      </c>
      <c r="Q816" s="3">
        <v>0</v>
      </c>
      <c r="R816" s="3">
        <v>0</v>
      </c>
      <c r="S816" s="3">
        <v>0</v>
      </c>
      <c r="T816" s="3">
        <v>3</v>
      </c>
      <c r="U816" s="3">
        <v>5</v>
      </c>
      <c r="V816" s="3">
        <v>5</v>
      </c>
      <c r="W816" s="3"/>
      <c r="X816" s="3">
        <v>15.99</v>
      </c>
      <c r="Y816" s="3">
        <v>15.99</v>
      </c>
      <c r="Z816" s="3">
        <v>15.55</v>
      </c>
      <c r="AA816" s="3">
        <v>0</v>
      </c>
      <c r="AB816" s="3" t="s">
        <v>1713</v>
      </c>
      <c r="AC816" s="3">
        <v>0</v>
      </c>
      <c r="AD816" s="3">
        <v>0</v>
      </c>
      <c r="AE816" s="3">
        <v>0</v>
      </c>
      <c r="AF816" s="3">
        <v>0</v>
      </c>
      <c r="AG816" s="3">
        <v>0</v>
      </c>
      <c r="AH816" s="3">
        <v>1.42857142857142</v>
      </c>
      <c r="AI816" s="3" t="s">
        <v>2036</v>
      </c>
      <c r="AJ816" s="3" t="s">
        <v>1715</v>
      </c>
    </row>
    <row r="817" spans="1:36">
      <c r="A817" s="4">
        <v>43277</v>
      </c>
      <c r="B817" s="3" t="s">
        <v>36</v>
      </c>
      <c r="C817" s="3" t="s">
        <v>37</v>
      </c>
      <c r="D817" s="3" t="s">
        <v>38</v>
      </c>
      <c r="E817" s="3" t="s">
        <v>39</v>
      </c>
      <c r="F817" s="3" t="s">
        <v>1710</v>
      </c>
      <c r="G817" s="3">
        <v>14</v>
      </c>
      <c r="H817" s="3">
        <v>0</v>
      </c>
      <c r="I817" s="3">
        <v>14</v>
      </c>
      <c r="J817" s="3">
        <v>0</v>
      </c>
      <c r="K817" s="3">
        <v>0</v>
      </c>
      <c r="L817" s="3">
        <v>0</v>
      </c>
      <c r="M817" s="3">
        <v>0</v>
      </c>
      <c r="N817" s="3" t="s">
        <v>1711</v>
      </c>
      <c r="O817" s="3">
        <v>0</v>
      </c>
      <c r="P817" s="3">
        <v>0</v>
      </c>
      <c r="Q817" s="3">
        <v>0</v>
      </c>
      <c r="R817" s="3">
        <v>0</v>
      </c>
      <c r="S817" s="3">
        <v>1</v>
      </c>
      <c r="T817" s="3">
        <v>9</v>
      </c>
      <c r="U817" s="3">
        <v>15</v>
      </c>
      <c r="V817" s="3">
        <v>20</v>
      </c>
      <c r="W817" s="3"/>
      <c r="X817" s="3">
        <v>15.99</v>
      </c>
      <c r="Y817" s="3">
        <v>15.99</v>
      </c>
      <c r="Z817" s="3">
        <v>15.55</v>
      </c>
      <c r="AA817" s="3">
        <v>0</v>
      </c>
      <c r="AB817" s="3" t="s">
        <v>1713</v>
      </c>
      <c r="AC817" s="3">
        <v>0</v>
      </c>
      <c r="AD817" s="3">
        <v>0</v>
      </c>
      <c r="AE817" s="3">
        <v>0</v>
      </c>
      <c r="AF817" s="3">
        <v>0</v>
      </c>
      <c r="AG817" s="3">
        <v>0</v>
      </c>
      <c r="AH817" s="3">
        <v>2.22222222222222</v>
      </c>
      <c r="AI817" s="3" t="s">
        <v>2082</v>
      </c>
      <c r="AJ817" s="3" t="s">
        <v>1715</v>
      </c>
    </row>
    <row r="818" spans="1:36">
      <c r="A818" s="4">
        <v>43277</v>
      </c>
      <c r="B818" s="3" t="s">
        <v>4305</v>
      </c>
      <c r="C818" s="3" t="s">
        <v>4306</v>
      </c>
      <c r="D818" s="3" t="s">
        <v>4307</v>
      </c>
      <c r="E818" s="3" t="s">
        <v>119</v>
      </c>
      <c r="F818" s="3" t="s">
        <v>1710</v>
      </c>
      <c r="G818" s="3">
        <v>50</v>
      </c>
      <c r="H818" s="3">
        <v>0</v>
      </c>
      <c r="I818" s="3">
        <v>47</v>
      </c>
      <c r="J818" s="3">
        <v>3</v>
      </c>
      <c r="K818" s="3">
        <v>0</v>
      </c>
      <c r="L818" s="3">
        <v>0</v>
      </c>
      <c r="M818" s="3">
        <v>0</v>
      </c>
      <c r="N818" s="3" t="s">
        <v>1711</v>
      </c>
      <c r="O818" s="3">
        <v>0</v>
      </c>
      <c r="P818" s="3">
        <v>0</v>
      </c>
      <c r="Q818" s="3">
        <v>0</v>
      </c>
      <c r="R818" s="3">
        <v>0</v>
      </c>
      <c r="S818" s="3">
        <v>1</v>
      </c>
      <c r="T818" s="3">
        <v>3</v>
      </c>
      <c r="U818" s="3">
        <v>17</v>
      </c>
      <c r="V818" s="3">
        <v>37</v>
      </c>
      <c r="W818" s="3" t="s">
        <v>1712</v>
      </c>
      <c r="X818" s="3">
        <v>16.08</v>
      </c>
      <c r="Y818" s="3">
        <v>16.08</v>
      </c>
      <c r="Z818" s="3">
        <v>16.08</v>
      </c>
      <c r="AA818" s="3">
        <v>0</v>
      </c>
      <c r="AB818" s="3" t="s">
        <v>1713</v>
      </c>
      <c r="AC818" s="3">
        <v>50</v>
      </c>
      <c r="AD818" s="3">
        <v>16.08</v>
      </c>
      <c r="AE818" s="3">
        <v>0</v>
      </c>
      <c r="AF818" s="3">
        <v>0</v>
      </c>
      <c r="AG818" s="3">
        <v>0</v>
      </c>
      <c r="AH818" s="3">
        <v>0.865497076023391</v>
      </c>
      <c r="AI818" s="3" t="s">
        <v>4308</v>
      </c>
      <c r="AJ818" s="3" t="s">
        <v>1715</v>
      </c>
    </row>
    <row r="819" spans="1:36">
      <c r="A819" s="4">
        <v>43277</v>
      </c>
      <c r="B819" s="3" t="s">
        <v>4309</v>
      </c>
      <c r="C819" s="3" t="s">
        <v>4310</v>
      </c>
      <c r="D819" s="3" t="s">
        <v>4311</v>
      </c>
      <c r="E819" s="3" t="s">
        <v>4312</v>
      </c>
      <c r="F819" s="3" t="s">
        <v>1710</v>
      </c>
      <c r="G819" s="3">
        <v>9</v>
      </c>
      <c r="H819" s="3">
        <v>0</v>
      </c>
      <c r="I819" s="3">
        <v>7</v>
      </c>
      <c r="J819" s="3">
        <v>2</v>
      </c>
      <c r="K819" s="3">
        <v>0</v>
      </c>
      <c r="L819" s="3">
        <v>0</v>
      </c>
      <c r="M819" s="3">
        <v>0</v>
      </c>
      <c r="N819" s="3" t="s">
        <v>1711</v>
      </c>
      <c r="O819" s="3">
        <v>0</v>
      </c>
      <c r="P819" s="3">
        <v>0</v>
      </c>
      <c r="Q819" s="3">
        <v>0</v>
      </c>
      <c r="R819" s="3">
        <v>0</v>
      </c>
      <c r="S819" s="3">
        <v>0</v>
      </c>
      <c r="T819" s="3">
        <v>1</v>
      </c>
      <c r="U819" s="3">
        <v>4</v>
      </c>
      <c r="V819" s="3">
        <v>8</v>
      </c>
      <c r="W819" s="3" t="s">
        <v>1712</v>
      </c>
      <c r="X819" s="3">
        <v>18.99</v>
      </c>
      <c r="Y819" s="3">
        <v>18.99</v>
      </c>
      <c r="Z819" s="3">
        <v>18</v>
      </c>
      <c r="AA819" s="3">
        <v>0</v>
      </c>
      <c r="AB819" s="3" t="s">
        <v>1713</v>
      </c>
      <c r="AC819" s="3">
        <v>7</v>
      </c>
      <c r="AD819" s="3">
        <v>18.99</v>
      </c>
      <c r="AE819" s="3">
        <v>0</v>
      </c>
      <c r="AF819" s="3">
        <v>0</v>
      </c>
      <c r="AG819" s="3">
        <v>0</v>
      </c>
      <c r="AH819" s="3">
        <v>1.14285714285714</v>
      </c>
      <c r="AI819" s="3" t="s">
        <v>2864</v>
      </c>
      <c r="AJ819" s="3" t="s">
        <v>1715</v>
      </c>
    </row>
    <row r="820" spans="1:36">
      <c r="A820" s="4">
        <v>43277</v>
      </c>
      <c r="B820" s="3" t="s">
        <v>4313</v>
      </c>
      <c r="C820" s="3" t="s">
        <v>4314</v>
      </c>
      <c r="D820" s="3" t="s">
        <v>4315</v>
      </c>
      <c r="E820" s="3" t="s">
        <v>4316</v>
      </c>
      <c r="F820" s="3" t="s">
        <v>1710</v>
      </c>
      <c r="G820" s="3">
        <v>5</v>
      </c>
      <c r="H820" s="3">
        <v>0</v>
      </c>
      <c r="I820" s="3">
        <v>0</v>
      </c>
      <c r="J820" s="3">
        <v>5</v>
      </c>
      <c r="K820" s="3">
        <v>0</v>
      </c>
      <c r="L820" s="3">
        <v>0</v>
      </c>
      <c r="M820" s="3">
        <v>0</v>
      </c>
      <c r="N820" s="3" t="s">
        <v>1711</v>
      </c>
      <c r="O820" s="3">
        <v>5</v>
      </c>
      <c r="P820" s="3">
        <v>15.39</v>
      </c>
      <c r="Q820" s="3">
        <v>0</v>
      </c>
      <c r="R820" s="3">
        <v>0</v>
      </c>
      <c r="S820" s="3">
        <v>0</v>
      </c>
      <c r="T820" s="3">
        <v>0</v>
      </c>
      <c r="U820" s="3">
        <v>0</v>
      </c>
      <c r="V820" s="3">
        <v>0</v>
      </c>
      <c r="W820" s="3" t="s">
        <v>1720</v>
      </c>
      <c r="X820" s="3">
        <v>39.99</v>
      </c>
      <c r="Y820" s="3">
        <v>21.99</v>
      </c>
      <c r="Z820" s="3">
        <v>21.99</v>
      </c>
      <c r="AA820" s="3">
        <v>0</v>
      </c>
      <c r="AB820" s="3" t="s">
        <v>1732</v>
      </c>
      <c r="AC820" s="3">
        <v>0</v>
      </c>
      <c r="AD820" s="3">
        <v>18.88</v>
      </c>
      <c r="AE820" s="3">
        <v>49</v>
      </c>
      <c r="AF820" s="3">
        <v>0</v>
      </c>
      <c r="AG820" s="3">
        <v>225.017582</v>
      </c>
      <c r="AH820" s="3">
        <v>0</v>
      </c>
      <c r="AI820" s="3" t="s">
        <v>1722</v>
      </c>
      <c r="AJ820" s="3" t="s">
        <v>1715</v>
      </c>
    </row>
    <row r="821" spans="1:36">
      <c r="A821" s="4">
        <v>43277</v>
      </c>
      <c r="B821" s="3" t="s">
        <v>607</v>
      </c>
      <c r="C821" s="3" t="s">
        <v>608</v>
      </c>
      <c r="D821" s="3" t="s">
        <v>609</v>
      </c>
      <c r="E821" s="3" t="s">
        <v>610</v>
      </c>
      <c r="F821" s="3" t="s">
        <v>1710</v>
      </c>
      <c r="G821" s="3">
        <v>18</v>
      </c>
      <c r="H821" s="3">
        <v>0</v>
      </c>
      <c r="I821" s="3">
        <v>18</v>
      </c>
      <c r="J821" s="3">
        <v>0</v>
      </c>
      <c r="K821" s="3">
        <v>0</v>
      </c>
      <c r="L821" s="3">
        <v>0</v>
      </c>
      <c r="M821" s="3">
        <v>0</v>
      </c>
      <c r="N821" s="3" t="s">
        <v>1711</v>
      </c>
      <c r="O821" s="3">
        <v>0</v>
      </c>
      <c r="P821" s="3">
        <v>0</v>
      </c>
      <c r="Q821" s="3">
        <v>0</v>
      </c>
      <c r="R821" s="3">
        <v>0</v>
      </c>
      <c r="S821" s="3">
        <v>3</v>
      </c>
      <c r="T821" s="3">
        <v>14</v>
      </c>
      <c r="U821" s="3">
        <v>27</v>
      </c>
      <c r="V821" s="3">
        <v>38</v>
      </c>
      <c r="W821" s="3"/>
      <c r="X821" s="3">
        <v>19.58</v>
      </c>
      <c r="Y821" s="3">
        <v>19.58</v>
      </c>
      <c r="Z821" s="3">
        <v>19.58</v>
      </c>
      <c r="AA821" s="3">
        <v>0</v>
      </c>
      <c r="AB821" s="3" t="s">
        <v>1713</v>
      </c>
      <c r="AC821" s="3">
        <v>19</v>
      </c>
      <c r="AD821" s="3">
        <v>19.58</v>
      </c>
      <c r="AE821" s="3">
        <v>0</v>
      </c>
      <c r="AF821" s="3">
        <v>0</v>
      </c>
      <c r="AG821" s="3">
        <v>0</v>
      </c>
      <c r="AH821" s="3">
        <v>2.26865671641791</v>
      </c>
      <c r="AI821" s="3" t="s">
        <v>4317</v>
      </c>
      <c r="AJ821" s="3" t="s">
        <v>1715</v>
      </c>
    </row>
    <row r="822" spans="1:36">
      <c r="A822" s="4">
        <v>43277</v>
      </c>
      <c r="B822" s="3" t="s">
        <v>4318</v>
      </c>
      <c r="C822" s="3" t="s">
        <v>4319</v>
      </c>
      <c r="D822" s="3" t="s">
        <v>4320</v>
      </c>
      <c r="E822" s="3" t="s">
        <v>4321</v>
      </c>
      <c r="F822" s="3" t="s">
        <v>1710</v>
      </c>
      <c r="G822" s="3">
        <v>1</v>
      </c>
      <c r="H822" s="3">
        <v>0</v>
      </c>
      <c r="I822" s="3">
        <v>1</v>
      </c>
      <c r="J822" s="3">
        <v>0</v>
      </c>
      <c r="K822" s="3">
        <v>0</v>
      </c>
      <c r="L822" s="3">
        <v>0</v>
      </c>
      <c r="M822" s="3">
        <v>0</v>
      </c>
      <c r="N822" s="3" t="s">
        <v>1711</v>
      </c>
      <c r="O822" s="3">
        <v>0</v>
      </c>
      <c r="P822" s="3">
        <v>0</v>
      </c>
      <c r="Q822" s="3">
        <v>0</v>
      </c>
      <c r="R822" s="3">
        <v>0</v>
      </c>
      <c r="S822" s="3">
        <v>0</v>
      </c>
      <c r="T822" s="3">
        <v>0</v>
      </c>
      <c r="U822" s="3">
        <v>2</v>
      </c>
      <c r="V822" s="3">
        <v>7</v>
      </c>
      <c r="W822" s="3" t="s">
        <v>1712</v>
      </c>
      <c r="X822" s="3">
        <v>19.99</v>
      </c>
      <c r="Y822" s="3">
        <v>15.99</v>
      </c>
      <c r="Z822" s="3">
        <v>15.99</v>
      </c>
      <c r="AA822" s="3">
        <v>0</v>
      </c>
      <c r="AB822" s="3" t="s">
        <v>1713</v>
      </c>
      <c r="AC822" s="3">
        <v>0</v>
      </c>
      <c r="AD822" s="3">
        <v>0</v>
      </c>
      <c r="AE822" s="3">
        <v>0</v>
      </c>
      <c r="AF822" s="3">
        <v>0</v>
      </c>
      <c r="AG822" s="3">
        <v>0</v>
      </c>
      <c r="AH822" s="3">
        <v>5.6</v>
      </c>
      <c r="AI822" s="3" t="s">
        <v>1962</v>
      </c>
      <c r="AJ822" s="3" t="s">
        <v>1715</v>
      </c>
    </row>
    <row r="823" spans="1:36">
      <c r="A823" s="4">
        <v>43277</v>
      </c>
      <c r="B823" s="3" t="s">
        <v>4322</v>
      </c>
      <c r="C823" s="3" t="s">
        <v>4323</v>
      </c>
      <c r="D823" s="3" t="s">
        <v>4324</v>
      </c>
      <c r="E823" s="3" t="s">
        <v>4325</v>
      </c>
      <c r="F823" s="3" t="s">
        <v>1710</v>
      </c>
      <c r="G823" s="3">
        <v>35</v>
      </c>
      <c r="H823" s="3">
        <v>0</v>
      </c>
      <c r="I823" s="3">
        <v>0</v>
      </c>
      <c r="J823" s="3">
        <v>35</v>
      </c>
      <c r="K823" s="3">
        <v>0</v>
      </c>
      <c r="L823" s="3">
        <v>0</v>
      </c>
      <c r="M823" s="3">
        <v>0</v>
      </c>
      <c r="N823" s="3" t="s">
        <v>1711</v>
      </c>
      <c r="O823" s="3">
        <v>35</v>
      </c>
      <c r="P823" s="3">
        <v>51.58</v>
      </c>
      <c r="Q823" s="3">
        <v>0</v>
      </c>
      <c r="R823" s="3">
        <v>0</v>
      </c>
      <c r="S823" s="3">
        <v>0</v>
      </c>
      <c r="T823" s="3">
        <v>0</v>
      </c>
      <c r="U823" s="3">
        <v>0</v>
      </c>
      <c r="V823" s="3">
        <v>0</v>
      </c>
      <c r="W823" s="3" t="s">
        <v>1720</v>
      </c>
      <c r="X823" s="3">
        <v>35</v>
      </c>
      <c r="Y823" s="3">
        <v>14.99</v>
      </c>
      <c r="Z823" s="3">
        <v>14.99</v>
      </c>
      <c r="AA823" s="3">
        <v>0</v>
      </c>
      <c r="AB823" s="3" t="s">
        <v>1732</v>
      </c>
      <c r="AC823" s="3">
        <v>0</v>
      </c>
      <c r="AD823" s="3">
        <v>11.36</v>
      </c>
      <c r="AE823" s="3">
        <v>357</v>
      </c>
      <c r="AF823" s="3">
        <v>0</v>
      </c>
      <c r="AG823" s="3">
        <v>688.897965</v>
      </c>
      <c r="AH823" s="3">
        <v>0</v>
      </c>
      <c r="AI823" s="3" t="s">
        <v>1770</v>
      </c>
      <c r="AJ823" s="3" t="s">
        <v>1715</v>
      </c>
    </row>
    <row r="824" spans="1:36">
      <c r="A824" s="4">
        <v>43277</v>
      </c>
      <c r="B824" s="3" t="s">
        <v>4326</v>
      </c>
      <c r="C824" s="3" t="s">
        <v>4327</v>
      </c>
      <c r="D824" s="3" t="s">
        <v>4328</v>
      </c>
      <c r="E824" s="3" t="s">
        <v>4329</v>
      </c>
      <c r="F824" s="3" t="s">
        <v>1710</v>
      </c>
      <c r="G824" s="3">
        <v>1</v>
      </c>
      <c r="H824" s="3">
        <v>0</v>
      </c>
      <c r="I824" s="3">
        <v>1</v>
      </c>
      <c r="J824" s="3">
        <v>0</v>
      </c>
      <c r="K824" s="3">
        <v>0</v>
      </c>
      <c r="L824" s="3">
        <v>0</v>
      </c>
      <c r="M824" s="3">
        <v>0</v>
      </c>
      <c r="N824" s="3" t="s">
        <v>1711</v>
      </c>
      <c r="O824" s="3">
        <v>0</v>
      </c>
      <c r="P824" s="3">
        <v>0</v>
      </c>
      <c r="Q824" s="3">
        <v>0</v>
      </c>
      <c r="R824" s="3">
        <v>0</v>
      </c>
      <c r="S824" s="3">
        <v>1</v>
      </c>
      <c r="T824" s="3">
        <v>3</v>
      </c>
      <c r="U824" s="3">
        <v>5</v>
      </c>
      <c r="V824" s="3">
        <v>5</v>
      </c>
      <c r="W824" s="3"/>
      <c r="X824" s="3"/>
      <c r="Y824" s="3"/>
      <c r="Z824" s="3">
        <v>-1</v>
      </c>
      <c r="AA824" s="3">
        <v>-1</v>
      </c>
      <c r="AB824" s="3" t="s">
        <v>1776</v>
      </c>
      <c r="AC824" s="3">
        <v>0</v>
      </c>
      <c r="AD824" s="3">
        <v>0</v>
      </c>
      <c r="AE824" s="3">
        <v>0</v>
      </c>
      <c r="AF824" s="3">
        <v>0</v>
      </c>
      <c r="AG824" s="3">
        <v>0</v>
      </c>
      <c r="AH824" s="3">
        <v>5</v>
      </c>
      <c r="AI824" s="3" t="s">
        <v>2542</v>
      </c>
      <c r="AJ824" s="3" t="s">
        <v>1715</v>
      </c>
    </row>
    <row r="825" spans="1:36">
      <c r="A825" s="4">
        <v>43277</v>
      </c>
      <c r="B825" s="3" t="s">
        <v>4330</v>
      </c>
      <c r="C825" s="3" t="s">
        <v>4331</v>
      </c>
      <c r="D825" s="3" t="s">
        <v>4332</v>
      </c>
      <c r="E825" s="3" t="s">
        <v>4333</v>
      </c>
      <c r="F825" s="3" t="s">
        <v>1710</v>
      </c>
      <c r="G825" s="3">
        <v>9</v>
      </c>
      <c r="H825" s="3">
        <v>0</v>
      </c>
      <c r="I825" s="3">
        <v>0</v>
      </c>
      <c r="J825" s="3">
        <v>0</v>
      </c>
      <c r="K825" s="3">
        <v>0</v>
      </c>
      <c r="L825" s="3">
        <v>0</v>
      </c>
      <c r="M825" s="3">
        <v>9</v>
      </c>
      <c r="N825" s="3" t="s">
        <v>1711</v>
      </c>
      <c r="O825" s="3">
        <v>0</v>
      </c>
      <c r="P825" s="3">
        <v>0</v>
      </c>
      <c r="Q825" s="3">
        <v>9</v>
      </c>
      <c r="R825" s="3">
        <v>12.65</v>
      </c>
      <c r="S825" s="3">
        <v>1</v>
      </c>
      <c r="T825" s="3">
        <v>1</v>
      </c>
      <c r="U825" s="3">
        <v>1</v>
      </c>
      <c r="V825" s="3">
        <v>2</v>
      </c>
      <c r="W825" s="3" t="s">
        <v>1712</v>
      </c>
      <c r="X825" s="3">
        <v>15.99</v>
      </c>
      <c r="Y825" s="3">
        <v>15.99</v>
      </c>
      <c r="Z825" s="3">
        <v>15.55</v>
      </c>
      <c r="AA825" s="3">
        <v>0</v>
      </c>
      <c r="AB825" s="3" t="s">
        <v>1713</v>
      </c>
      <c r="AC825" s="3">
        <v>9</v>
      </c>
      <c r="AD825" s="3">
        <v>15.99</v>
      </c>
      <c r="AE825" s="3">
        <v>0</v>
      </c>
      <c r="AF825" s="3">
        <v>0</v>
      </c>
      <c r="AG825" s="3">
        <v>0</v>
      </c>
      <c r="AH825" s="3">
        <v>0.2</v>
      </c>
      <c r="AI825" s="3" t="s">
        <v>2036</v>
      </c>
      <c r="AJ825" s="3" t="s">
        <v>1715</v>
      </c>
    </row>
    <row r="826" spans="1:36">
      <c r="A826" s="4">
        <v>43277</v>
      </c>
      <c r="B826" s="3" t="s">
        <v>1260</v>
      </c>
      <c r="C826" s="3" t="s">
        <v>1261</v>
      </c>
      <c r="D826" s="3" t="s">
        <v>1262</v>
      </c>
      <c r="E826" s="3" t="s">
        <v>1263</v>
      </c>
      <c r="F826" s="3" t="s">
        <v>1710</v>
      </c>
      <c r="G826" s="3">
        <v>16</v>
      </c>
      <c r="H826" s="3">
        <v>0</v>
      </c>
      <c r="I826" s="3">
        <v>16</v>
      </c>
      <c r="J826" s="3">
        <v>0</v>
      </c>
      <c r="K826" s="3">
        <v>0</v>
      </c>
      <c r="L826" s="3">
        <v>0</v>
      </c>
      <c r="M826" s="3">
        <v>0</v>
      </c>
      <c r="N826" s="3" t="s">
        <v>1711</v>
      </c>
      <c r="O826" s="3">
        <v>0</v>
      </c>
      <c r="P826" s="3">
        <v>0</v>
      </c>
      <c r="Q826" s="3">
        <v>0</v>
      </c>
      <c r="R826" s="3">
        <v>0</v>
      </c>
      <c r="S826" s="3">
        <v>4</v>
      </c>
      <c r="T826" s="3">
        <v>4</v>
      </c>
      <c r="U826" s="3">
        <v>19</v>
      </c>
      <c r="V826" s="3">
        <v>19</v>
      </c>
      <c r="W826" s="3" t="s">
        <v>1712</v>
      </c>
      <c r="X826" s="3">
        <v>19.99</v>
      </c>
      <c r="Y826" s="3">
        <v>19.99</v>
      </c>
      <c r="Z826" s="3">
        <v>19.99</v>
      </c>
      <c r="AA826" s="3">
        <v>0</v>
      </c>
      <c r="AB826" s="3" t="s">
        <v>1713</v>
      </c>
      <c r="AC826" s="3">
        <v>0</v>
      </c>
      <c r="AD826" s="3">
        <v>0</v>
      </c>
      <c r="AE826" s="3">
        <v>0</v>
      </c>
      <c r="AF826" s="3">
        <v>0</v>
      </c>
      <c r="AG826" s="3">
        <v>0</v>
      </c>
      <c r="AH826" s="3">
        <v>3.35294117647058</v>
      </c>
      <c r="AI826" s="3" t="s">
        <v>4334</v>
      </c>
      <c r="AJ826" s="3" t="s">
        <v>1715</v>
      </c>
    </row>
    <row r="827" spans="1:36">
      <c r="A827" s="4">
        <v>43277</v>
      </c>
      <c r="B827" s="3" t="s">
        <v>939</v>
      </c>
      <c r="C827" s="3" t="s">
        <v>940</v>
      </c>
      <c r="D827" s="3" t="s">
        <v>941</v>
      </c>
      <c r="E827" s="3" t="s">
        <v>942</v>
      </c>
      <c r="F827" s="3" t="s">
        <v>1710</v>
      </c>
      <c r="G827" s="3">
        <v>3</v>
      </c>
      <c r="H827" s="3">
        <v>0</v>
      </c>
      <c r="I827" s="3">
        <v>3</v>
      </c>
      <c r="J827" s="3">
        <v>0</v>
      </c>
      <c r="K827" s="3">
        <v>0</v>
      </c>
      <c r="L827" s="3">
        <v>0</v>
      </c>
      <c r="M827" s="3">
        <v>0</v>
      </c>
      <c r="N827" s="3" t="s">
        <v>1711</v>
      </c>
      <c r="O827" s="3">
        <v>0</v>
      </c>
      <c r="P827" s="3">
        <v>0</v>
      </c>
      <c r="Q827" s="3">
        <v>0</v>
      </c>
      <c r="R827" s="3">
        <v>0</v>
      </c>
      <c r="S827" s="3">
        <v>12</v>
      </c>
      <c r="T827" s="3">
        <v>19</v>
      </c>
      <c r="U827" s="3">
        <v>39</v>
      </c>
      <c r="V827" s="3">
        <v>46</v>
      </c>
      <c r="W827" s="3"/>
      <c r="X827" s="3">
        <v>15.99</v>
      </c>
      <c r="Y827" s="3">
        <v>15.99</v>
      </c>
      <c r="Z827" s="3">
        <v>15.99</v>
      </c>
      <c r="AA827" s="3">
        <v>0</v>
      </c>
      <c r="AB827" s="3" t="s">
        <v>1713</v>
      </c>
      <c r="AC827" s="3">
        <v>8</v>
      </c>
      <c r="AD827" s="3">
        <v>15.99</v>
      </c>
      <c r="AE827" s="3">
        <v>0</v>
      </c>
      <c r="AF827" s="3">
        <v>0</v>
      </c>
      <c r="AG827" s="3">
        <v>0</v>
      </c>
      <c r="AH827" s="3">
        <v>11.5</v>
      </c>
      <c r="AI827" s="3" t="s">
        <v>1881</v>
      </c>
      <c r="AJ827" s="3" t="s">
        <v>1715</v>
      </c>
    </row>
    <row r="828" spans="1:36">
      <c r="A828" s="4">
        <v>43277</v>
      </c>
      <c r="B828" s="3" t="s">
        <v>375</v>
      </c>
      <c r="C828" s="3" t="s">
        <v>376</v>
      </c>
      <c r="D828" s="3" t="s">
        <v>377</v>
      </c>
      <c r="E828" s="3" t="s">
        <v>378</v>
      </c>
      <c r="F828" s="3" t="s">
        <v>1710</v>
      </c>
      <c r="G828" s="3">
        <v>150</v>
      </c>
      <c r="H828" s="3">
        <v>0</v>
      </c>
      <c r="I828" s="3">
        <v>150</v>
      </c>
      <c r="J828" s="3">
        <v>0</v>
      </c>
      <c r="K828" s="3">
        <v>0</v>
      </c>
      <c r="L828" s="3">
        <v>0</v>
      </c>
      <c r="M828" s="3">
        <v>0</v>
      </c>
      <c r="N828" s="3" t="s">
        <v>1711</v>
      </c>
      <c r="O828" s="3">
        <v>0</v>
      </c>
      <c r="P828" s="3">
        <v>0</v>
      </c>
      <c r="Q828" s="3">
        <v>0</v>
      </c>
      <c r="R828" s="3">
        <v>0</v>
      </c>
      <c r="S828" s="3">
        <v>27</v>
      </c>
      <c r="T828" s="3">
        <v>125</v>
      </c>
      <c r="U828" s="3">
        <v>234</v>
      </c>
      <c r="V828" s="3">
        <v>341</v>
      </c>
      <c r="W828" s="3"/>
      <c r="X828" s="3">
        <v>50.38</v>
      </c>
      <c r="Y828" s="3">
        <v>28.99</v>
      </c>
      <c r="Z828" s="3">
        <v>28.99</v>
      </c>
      <c r="AA828" s="3">
        <v>0</v>
      </c>
      <c r="AB828" s="3" t="s">
        <v>1713</v>
      </c>
      <c r="AC828" s="3">
        <v>94</v>
      </c>
      <c r="AD828" s="3">
        <v>28.99</v>
      </c>
      <c r="AE828" s="3">
        <v>0</v>
      </c>
      <c r="AF828" s="3">
        <v>0</v>
      </c>
      <c r="AG828" s="3">
        <v>0</v>
      </c>
      <c r="AH828" s="3">
        <v>3.2867469879518</v>
      </c>
      <c r="AI828" s="3" t="s">
        <v>1784</v>
      </c>
      <c r="AJ828" s="3" t="s">
        <v>1715</v>
      </c>
    </row>
    <row r="829" spans="1:36">
      <c r="A829" s="4">
        <v>43277</v>
      </c>
      <c r="B829" s="3" t="s">
        <v>1608</v>
      </c>
      <c r="C829" s="3" t="s">
        <v>1609</v>
      </c>
      <c r="D829" s="3" t="s">
        <v>1610</v>
      </c>
      <c r="E829" s="3" t="s">
        <v>1611</v>
      </c>
      <c r="F829" s="3" t="s">
        <v>1710</v>
      </c>
      <c r="G829" s="3">
        <v>56</v>
      </c>
      <c r="H829" s="3">
        <v>0</v>
      </c>
      <c r="I829" s="3">
        <v>56</v>
      </c>
      <c r="J829" s="3">
        <v>0</v>
      </c>
      <c r="K829" s="3">
        <v>0</v>
      </c>
      <c r="L829" s="3">
        <v>0</v>
      </c>
      <c r="M829" s="3">
        <v>0</v>
      </c>
      <c r="N829" s="3" t="s">
        <v>1711</v>
      </c>
      <c r="O829" s="3">
        <v>0</v>
      </c>
      <c r="P829" s="3">
        <v>0</v>
      </c>
      <c r="Q829" s="3">
        <v>0</v>
      </c>
      <c r="R829" s="3">
        <v>0</v>
      </c>
      <c r="S829" s="3">
        <v>40</v>
      </c>
      <c r="T829" s="3">
        <v>123</v>
      </c>
      <c r="U829" s="3">
        <v>252</v>
      </c>
      <c r="V829" s="3">
        <v>336</v>
      </c>
      <c r="W829" s="3"/>
      <c r="X829" s="3">
        <v>40</v>
      </c>
      <c r="Y829" s="3">
        <v>29.99</v>
      </c>
      <c r="Z829" s="3">
        <v>28</v>
      </c>
      <c r="AA829" s="3">
        <v>0</v>
      </c>
      <c r="AB829" s="3" t="s">
        <v>1713</v>
      </c>
      <c r="AC829" s="3">
        <v>57</v>
      </c>
      <c r="AD829" s="3">
        <v>29.99</v>
      </c>
      <c r="AE829" s="3">
        <v>0</v>
      </c>
      <c r="AF829" s="3">
        <v>0</v>
      </c>
      <c r="AG829" s="3">
        <v>0</v>
      </c>
      <c r="AH829" s="3">
        <v>11.3898305084745</v>
      </c>
      <c r="AI829" s="3" t="s">
        <v>4335</v>
      </c>
      <c r="AJ829" s="3" t="s">
        <v>1715</v>
      </c>
    </row>
    <row r="830" spans="1:36">
      <c r="A830" s="4">
        <v>43277</v>
      </c>
      <c r="B830" s="3" t="s">
        <v>1461</v>
      </c>
      <c r="C830" s="3" t="s">
        <v>1462</v>
      </c>
      <c r="D830" s="3" t="s">
        <v>1463</v>
      </c>
      <c r="E830" s="3" t="s">
        <v>1464</v>
      </c>
      <c r="F830" s="3" t="s">
        <v>1710</v>
      </c>
      <c r="G830" s="3">
        <v>26</v>
      </c>
      <c r="H830" s="3">
        <v>0</v>
      </c>
      <c r="I830" s="3">
        <v>26</v>
      </c>
      <c r="J830" s="3">
        <v>0</v>
      </c>
      <c r="K830" s="3">
        <v>0</v>
      </c>
      <c r="L830" s="3">
        <v>0</v>
      </c>
      <c r="M830" s="3">
        <v>0</v>
      </c>
      <c r="N830" s="3" t="s">
        <v>1711</v>
      </c>
      <c r="O830" s="3">
        <v>0</v>
      </c>
      <c r="P830" s="3">
        <v>0</v>
      </c>
      <c r="Q830" s="3">
        <v>0</v>
      </c>
      <c r="R830" s="3">
        <v>0</v>
      </c>
      <c r="S830" s="3">
        <v>14</v>
      </c>
      <c r="T830" s="3">
        <v>33</v>
      </c>
      <c r="U830" s="3">
        <v>73</v>
      </c>
      <c r="V830" s="3">
        <v>114</v>
      </c>
      <c r="W830" s="3" t="s">
        <v>1712</v>
      </c>
      <c r="X830" s="3">
        <v>38</v>
      </c>
      <c r="Y830" s="3">
        <v>25.58</v>
      </c>
      <c r="Z830" s="3">
        <v>25.58</v>
      </c>
      <c r="AA830" s="3">
        <v>0</v>
      </c>
      <c r="AB830" s="3" t="s">
        <v>1713</v>
      </c>
      <c r="AC830" s="3">
        <v>20</v>
      </c>
      <c r="AD830" s="3">
        <v>25.58</v>
      </c>
      <c r="AE830" s="3">
        <v>0</v>
      </c>
      <c r="AF830" s="3">
        <v>0</v>
      </c>
      <c r="AG830" s="3">
        <v>0</v>
      </c>
      <c r="AH830" s="3">
        <v>8</v>
      </c>
      <c r="AI830" s="3" t="s">
        <v>1857</v>
      </c>
      <c r="AJ830" s="3" t="s">
        <v>1715</v>
      </c>
    </row>
    <row r="831" spans="1:36">
      <c r="A831" s="4">
        <v>43277</v>
      </c>
      <c r="B831" s="3" t="s">
        <v>4336</v>
      </c>
      <c r="C831" s="3" t="s">
        <v>4337</v>
      </c>
      <c r="D831" s="3" t="s">
        <v>4338</v>
      </c>
      <c r="E831" s="3" t="s">
        <v>4339</v>
      </c>
      <c r="F831" s="3" t="s">
        <v>1710</v>
      </c>
      <c r="G831" s="3">
        <v>10</v>
      </c>
      <c r="H831" s="3">
        <v>0</v>
      </c>
      <c r="I831" s="3">
        <v>0</v>
      </c>
      <c r="J831" s="3">
        <v>0</v>
      </c>
      <c r="K831" s="3">
        <v>10</v>
      </c>
      <c r="L831" s="3">
        <v>0</v>
      </c>
      <c r="M831" s="3">
        <v>0</v>
      </c>
      <c r="N831" s="3" t="s">
        <v>1711</v>
      </c>
      <c r="O831" s="3">
        <v>10</v>
      </c>
      <c r="P831" s="3">
        <v>15.63</v>
      </c>
      <c r="Q831" s="3">
        <v>0</v>
      </c>
      <c r="R831" s="3">
        <v>0</v>
      </c>
      <c r="S831" s="3">
        <v>0</v>
      </c>
      <c r="T831" s="3">
        <v>0</v>
      </c>
      <c r="U831" s="3">
        <v>0</v>
      </c>
      <c r="V831" s="3">
        <v>0</v>
      </c>
      <c r="W831" s="3" t="s">
        <v>1720</v>
      </c>
      <c r="X831" s="3">
        <v>18.99</v>
      </c>
      <c r="Y831" s="3">
        <v>18.99</v>
      </c>
      <c r="Z831" s="3">
        <v>18.99</v>
      </c>
      <c r="AA831" s="3">
        <v>0</v>
      </c>
      <c r="AB831" s="3" t="s">
        <v>1732</v>
      </c>
      <c r="AC831" s="3">
        <v>0</v>
      </c>
      <c r="AD831" s="3">
        <v>15.19</v>
      </c>
      <c r="AE831" s="3">
        <v>63</v>
      </c>
      <c r="AF831" s="3">
        <v>0</v>
      </c>
      <c r="AG831" s="3">
        <v>184.935405</v>
      </c>
      <c r="AH831" s="3">
        <v>0</v>
      </c>
      <c r="AI831" s="3" t="s">
        <v>2002</v>
      </c>
      <c r="AJ831" s="3" t="s">
        <v>1715</v>
      </c>
    </row>
    <row r="832" spans="1:36">
      <c r="A832" s="4">
        <v>43277</v>
      </c>
      <c r="B832" s="3" t="s">
        <v>4340</v>
      </c>
      <c r="C832" s="3" t="s">
        <v>4341</v>
      </c>
      <c r="D832" s="3" t="s">
        <v>4342</v>
      </c>
      <c r="E832" s="3" t="s">
        <v>4343</v>
      </c>
      <c r="F832" s="3" t="s">
        <v>1710</v>
      </c>
      <c r="G832" s="3">
        <v>1</v>
      </c>
      <c r="H832" s="3">
        <v>0</v>
      </c>
      <c r="I832" s="3">
        <v>1</v>
      </c>
      <c r="J832" s="3">
        <v>0</v>
      </c>
      <c r="K832" s="3">
        <v>0</v>
      </c>
      <c r="L832" s="3">
        <v>0</v>
      </c>
      <c r="M832" s="3">
        <v>0</v>
      </c>
      <c r="N832" s="3" t="s">
        <v>1711</v>
      </c>
      <c r="O832" s="3">
        <v>0</v>
      </c>
      <c r="P832" s="3">
        <v>0</v>
      </c>
      <c r="Q832" s="3">
        <v>0</v>
      </c>
      <c r="R832" s="3">
        <v>0</v>
      </c>
      <c r="S832" s="3">
        <v>0</v>
      </c>
      <c r="T832" s="3">
        <v>12</v>
      </c>
      <c r="U832" s="3">
        <v>20</v>
      </c>
      <c r="V832" s="3">
        <v>20</v>
      </c>
      <c r="W832" s="3"/>
      <c r="X832" s="3">
        <v>15.99</v>
      </c>
      <c r="Y832" s="3">
        <v>15.99</v>
      </c>
      <c r="Z832" s="3">
        <v>15.99</v>
      </c>
      <c r="AA832" s="3">
        <v>0</v>
      </c>
      <c r="AB832" s="3" t="s">
        <v>1713</v>
      </c>
      <c r="AC832" s="3">
        <v>0</v>
      </c>
      <c r="AD832" s="3">
        <v>0</v>
      </c>
      <c r="AE832" s="3">
        <v>0</v>
      </c>
      <c r="AF832" s="3">
        <v>0</v>
      </c>
      <c r="AG832" s="3">
        <v>0</v>
      </c>
      <c r="AH832" s="3">
        <v>5</v>
      </c>
      <c r="AI832" s="3" t="s">
        <v>1881</v>
      </c>
      <c r="AJ832" s="3" t="s">
        <v>1715</v>
      </c>
    </row>
    <row r="833" spans="1:36">
      <c r="A833" s="4">
        <v>43277</v>
      </c>
      <c r="B833" s="3" t="s">
        <v>4344</v>
      </c>
      <c r="C833" s="3" t="s">
        <v>4345</v>
      </c>
      <c r="D833" s="3" t="s">
        <v>4346</v>
      </c>
      <c r="E833" s="3" t="s">
        <v>4347</v>
      </c>
      <c r="F833" s="3" t="s">
        <v>1710</v>
      </c>
      <c r="G833" s="3">
        <v>14</v>
      </c>
      <c r="H833" s="3">
        <v>0</v>
      </c>
      <c r="I833" s="3">
        <v>2</v>
      </c>
      <c r="J833" s="3">
        <v>11</v>
      </c>
      <c r="K833" s="3">
        <v>1</v>
      </c>
      <c r="L833" s="3">
        <v>0</v>
      </c>
      <c r="M833" s="3">
        <v>0</v>
      </c>
      <c r="N833" s="3" t="s">
        <v>1711</v>
      </c>
      <c r="O833" s="3">
        <v>8</v>
      </c>
      <c r="P833" s="3">
        <v>29.02</v>
      </c>
      <c r="Q833" s="3">
        <v>0</v>
      </c>
      <c r="R833" s="3">
        <v>0</v>
      </c>
      <c r="S833" s="3">
        <v>0</v>
      </c>
      <c r="T833" s="3">
        <v>1</v>
      </c>
      <c r="U833" s="3">
        <v>2</v>
      </c>
      <c r="V833" s="3">
        <v>3</v>
      </c>
      <c r="W833" s="3"/>
      <c r="X833" s="3">
        <v>27.99</v>
      </c>
      <c r="Y833" s="3">
        <v>27.99</v>
      </c>
      <c r="Z833" s="3">
        <v>25.99</v>
      </c>
      <c r="AA833" s="3">
        <v>0</v>
      </c>
      <c r="AB833" s="3" t="s">
        <v>1732</v>
      </c>
      <c r="AC833" s="3">
        <v>0</v>
      </c>
      <c r="AD833" s="3">
        <v>23.88</v>
      </c>
      <c r="AE833" s="3">
        <v>161</v>
      </c>
      <c r="AF833" s="3">
        <v>0</v>
      </c>
      <c r="AG833" s="3">
        <v>660.050061</v>
      </c>
      <c r="AH833" s="3">
        <v>0.2</v>
      </c>
      <c r="AI833" s="3" t="s">
        <v>1831</v>
      </c>
      <c r="AJ833" s="3" t="s">
        <v>1715</v>
      </c>
    </row>
    <row r="834" spans="1:36">
      <c r="A834" s="4">
        <v>43277</v>
      </c>
      <c r="B834" s="3" t="s">
        <v>4348</v>
      </c>
      <c r="C834" s="3" t="s">
        <v>4349</v>
      </c>
      <c r="D834" s="3" t="s">
        <v>4350</v>
      </c>
      <c r="E834" s="3" t="s">
        <v>4351</v>
      </c>
      <c r="F834" s="3" t="s">
        <v>1710</v>
      </c>
      <c r="G834" s="3">
        <v>8</v>
      </c>
      <c r="H834" s="3">
        <v>0</v>
      </c>
      <c r="I834" s="3">
        <v>8</v>
      </c>
      <c r="J834" s="3">
        <v>0</v>
      </c>
      <c r="K834" s="3">
        <v>0</v>
      </c>
      <c r="L834" s="3">
        <v>0</v>
      </c>
      <c r="M834" s="3">
        <v>0</v>
      </c>
      <c r="N834" s="3" t="s">
        <v>1711</v>
      </c>
      <c r="O834" s="3">
        <v>0</v>
      </c>
      <c r="P834" s="3">
        <v>0</v>
      </c>
      <c r="Q834" s="3">
        <v>0</v>
      </c>
      <c r="R834" s="3">
        <v>0</v>
      </c>
      <c r="S834" s="3">
        <v>2</v>
      </c>
      <c r="T834" s="3">
        <v>8</v>
      </c>
      <c r="U834" s="3">
        <v>15</v>
      </c>
      <c r="V834" s="3">
        <v>19</v>
      </c>
      <c r="W834" s="3"/>
      <c r="X834" s="3">
        <v>15.99</v>
      </c>
      <c r="Y834" s="3">
        <v>15.99</v>
      </c>
      <c r="Z834" s="3">
        <v>15.55</v>
      </c>
      <c r="AA834" s="3">
        <v>0</v>
      </c>
      <c r="AB834" s="3" t="s">
        <v>1713</v>
      </c>
      <c r="AC834" s="3">
        <v>8</v>
      </c>
      <c r="AD834" s="3">
        <v>15.99</v>
      </c>
      <c r="AE834" s="3">
        <v>0</v>
      </c>
      <c r="AF834" s="3">
        <v>0</v>
      </c>
      <c r="AG834" s="3">
        <v>0</v>
      </c>
      <c r="AH834" s="3">
        <v>2.92307692307692</v>
      </c>
      <c r="AI834" s="3" t="s">
        <v>2036</v>
      </c>
      <c r="AJ834" s="3" t="s">
        <v>1715</v>
      </c>
    </row>
    <row r="835" spans="1:36">
      <c r="A835" s="4">
        <v>43277</v>
      </c>
      <c r="B835" s="3" t="s">
        <v>1268</v>
      </c>
      <c r="C835" s="3" t="s">
        <v>1269</v>
      </c>
      <c r="D835" s="3" t="s">
        <v>1270</v>
      </c>
      <c r="E835" s="3" t="s">
        <v>1209</v>
      </c>
      <c r="F835" s="3" t="s">
        <v>1710</v>
      </c>
      <c r="G835" s="3">
        <v>1</v>
      </c>
      <c r="H835" s="3">
        <v>0</v>
      </c>
      <c r="I835" s="3">
        <v>1</v>
      </c>
      <c r="J835" s="3">
        <v>0</v>
      </c>
      <c r="K835" s="3">
        <v>0</v>
      </c>
      <c r="L835" s="3">
        <v>0</v>
      </c>
      <c r="M835" s="3">
        <v>0</v>
      </c>
      <c r="N835" s="3" t="s">
        <v>1711</v>
      </c>
      <c r="O835" s="3">
        <v>0</v>
      </c>
      <c r="P835" s="3">
        <v>0</v>
      </c>
      <c r="Q835" s="3">
        <v>0</v>
      </c>
      <c r="R835" s="3">
        <v>0</v>
      </c>
      <c r="S835" s="3">
        <v>11</v>
      </c>
      <c r="T835" s="3">
        <v>20</v>
      </c>
      <c r="U835" s="3">
        <v>20</v>
      </c>
      <c r="V835" s="3">
        <v>20</v>
      </c>
      <c r="W835" s="3"/>
      <c r="X835" s="3">
        <v>39.99</v>
      </c>
      <c r="Y835" s="3">
        <v>18.99</v>
      </c>
      <c r="Z835" s="3">
        <v>18.99</v>
      </c>
      <c r="AA835" s="3">
        <v>0</v>
      </c>
      <c r="AB835" s="3" t="s">
        <v>1713</v>
      </c>
      <c r="AC835" s="3">
        <v>14</v>
      </c>
      <c r="AD835" s="3">
        <v>18.99</v>
      </c>
      <c r="AE835" s="3">
        <v>0</v>
      </c>
      <c r="AF835" s="3">
        <v>0</v>
      </c>
      <c r="AG835" s="3">
        <v>0</v>
      </c>
      <c r="AH835" s="3">
        <v>8</v>
      </c>
      <c r="AI835" s="3" t="s">
        <v>4352</v>
      </c>
      <c r="AJ835" s="3" t="s">
        <v>1715</v>
      </c>
    </row>
    <row r="836" spans="1:36">
      <c r="A836" s="4">
        <v>43277</v>
      </c>
      <c r="B836" s="3" t="s">
        <v>4353</v>
      </c>
      <c r="C836" s="3" t="s">
        <v>4354</v>
      </c>
      <c r="D836" s="3" t="s">
        <v>4355</v>
      </c>
      <c r="E836" s="3" t="s">
        <v>2495</v>
      </c>
      <c r="F836" s="3" t="s">
        <v>1710</v>
      </c>
      <c r="G836" s="3">
        <v>15</v>
      </c>
      <c r="H836" s="3">
        <v>0</v>
      </c>
      <c r="I836" s="3">
        <v>15</v>
      </c>
      <c r="J836" s="3">
        <v>0</v>
      </c>
      <c r="K836" s="3">
        <v>0</v>
      </c>
      <c r="L836" s="3">
        <v>0</v>
      </c>
      <c r="M836" s="3">
        <v>0</v>
      </c>
      <c r="N836" s="3" t="s">
        <v>1711</v>
      </c>
      <c r="O836" s="3">
        <v>0</v>
      </c>
      <c r="P836" s="3">
        <v>0</v>
      </c>
      <c r="Q836" s="3">
        <v>0</v>
      </c>
      <c r="R836" s="3">
        <v>0</v>
      </c>
      <c r="S836" s="3">
        <v>0</v>
      </c>
      <c r="T836" s="3">
        <v>0</v>
      </c>
      <c r="U836" s="3">
        <v>0</v>
      </c>
      <c r="V836" s="3">
        <v>0</v>
      </c>
      <c r="W836" s="3" t="s">
        <v>1720</v>
      </c>
      <c r="X836" s="3">
        <v>15.99</v>
      </c>
      <c r="Y836" s="3">
        <v>15.99</v>
      </c>
      <c r="Z836" s="3">
        <v>15.99</v>
      </c>
      <c r="AA836" s="3">
        <v>0</v>
      </c>
      <c r="AB836" s="3" t="s">
        <v>1721</v>
      </c>
      <c r="AC836" s="3">
        <v>0</v>
      </c>
      <c r="AD836" s="3">
        <v>12.79</v>
      </c>
      <c r="AE836" s="3">
        <v>63</v>
      </c>
      <c r="AF836" s="3">
        <v>0</v>
      </c>
      <c r="AG836" s="3">
        <v>160.761652</v>
      </c>
      <c r="AH836" s="3">
        <v>0</v>
      </c>
      <c r="AI836" s="3" t="s">
        <v>2758</v>
      </c>
      <c r="AJ836" s="3" t="s">
        <v>1715</v>
      </c>
    </row>
    <row r="837" spans="1:36">
      <c r="A837" s="4">
        <v>43277</v>
      </c>
      <c r="B837" s="3" t="s">
        <v>4356</v>
      </c>
      <c r="C837" s="3" t="s">
        <v>4357</v>
      </c>
      <c r="D837" s="3" t="s">
        <v>4358</v>
      </c>
      <c r="E837" s="3" t="s">
        <v>4359</v>
      </c>
      <c r="F837" s="3" t="s">
        <v>1710</v>
      </c>
      <c r="G837" s="3">
        <v>14</v>
      </c>
      <c r="H837" s="3">
        <v>0</v>
      </c>
      <c r="I837" s="3">
        <v>14</v>
      </c>
      <c r="J837" s="3">
        <v>0</v>
      </c>
      <c r="K837" s="3">
        <v>0</v>
      </c>
      <c r="L837" s="3">
        <v>0</v>
      </c>
      <c r="M837" s="3">
        <v>0</v>
      </c>
      <c r="N837" s="3" t="s">
        <v>1711</v>
      </c>
      <c r="O837" s="3">
        <v>0</v>
      </c>
      <c r="P837" s="3">
        <v>0</v>
      </c>
      <c r="Q837" s="3">
        <v>0</v>
      </c>
      <c r="R837" s="3">
        <v>0</v>
      </c>
      <c r="S837" s="3">
        <v>1</v>
      </c>
      <c r="T837" s="3">
        <v>7</v>
      </c>
      <c r="U837" s="3">
        <v>14</v>
      </c>
      <c r="V837" s="3">
        <v>14</v>
      </c>
      <c r="W837" s="3"/>
      <c r="X837" s="3">
        <v>15.99</v>
      </c>
      <c r="Y837" s="3">
        <v>15.99</v>
      </c>
      <c r="Z837" s="3">
        <v>15.99</v>
      </c>
      <c r="AA837" s="3">
        <v>0</v>
      </c>
      <c r="AB837" s="3" t="s">
        <v>1713</v>
      </c>
      <c r="AC837" s="3">
        <v>15</v>
      </c>
      <c r="AD837" s="3">
        <v>15.99</v>
      </c>
      <c r="AE837" s="3">
        <v>0</v>
      </c>
      <c r="AF837" s="3">
        <v>0</v>
      </c>
      <c r="AG837" s="3">
        <v>0</v>
      </c>
      <c r="AH837" s="3">
        <v>0.893617021276595</v>
      </c>
      <c r="AI837" s="3" t="s">
        <v>1739</v>
      </c>
      <c r="AJ837" s="3" t="s">
        <v>1715</v>
      </c>
    </row>
    <row r="838" spans="1:36">
      <c r="A838" s="4">
        <v>43277</v>
      </c>
      <c r="B838" s="3" t="s">
        <v>4360</v>
      </c>
      <c r="C838" s="3" t="s">
        <v>4361</v>
      </c>
      <c r="D838" s="3" t="s">
        <v>4362</v>
      </c>
      <c r="E838" s="3" t="s">
        <v>4363</v>
      </c>
      <c r="F838" s="3" t="s">
        <v>1710</v>
      </c>
      <c r="G838" s="3">
        <v>6</v>
      </c>
      <c r="H838" s="3">
        <v>0</v>
      </c>
      <c r="I838" s="3">
        <v>1</v>
      </c>
      <c r="J838" s="3">
        <v>0</v>
      </c>
      <c r="K838" s="3">
        <v>5</v>
      </c>
      <c r="L838" s="3">
        <v>0</v>
      </c>
      <c r="M838" s="3">
        <v>0</v>
      </c>
      <c r="N838" s="3" t="s">
        <v>1711</v>
      </c>
      <c r="O838" s="3">
        <v>5</v>
      </c>
      <c r="P838" s="3">
        <v>6.84</v>
      </c>
      <c r="Q838" s="3">
        <v>0</v>
      </c>
      <c r="R838" s="3">
        <v>0</v>
      </c>
      <c r="S838" s="3">
        <v>0</v>
      </c>
      <c r="T838" s="3">
        <v>0</v>
      </c>
      <c r="U838" s="3">
        <v>0</v>
      </c>
      <c r="V838" s="3">
        <v>0</v>
      </c>
      <c r="W838" s="3" t="s">
        <v>1720</v>
      </c>
      <c r="X838" s="3">
        <v>16.99</v>
      </c>
      <c r="Y838" s="3">
        <v>16.99</v>
      </c>
      <c r="Z838" s="3">
        <v>16.99</v>
      </c>
      <c r="AA838" s="3">
        <v>0</v>
      </c>
      <c r="AB838" s="3" t="s">
        <v>1721</v>
      </c>
      <c r="AC838" s="3">
        <v>0</v>
      </c>
      <c r="AD838" s="3">
        <v>13.95</v>
      </c>
      <c r="AE838" s="3">
        <v>266</v>
      </c>
      <c r="AF838" s="3">
        <v>0</v>
      </c>
      <c r="AG838" s="3">
        <v>124.347112</v>
      </c>
      <c r="AH838" s="3">
        <v>0</v>
      </c>
      <c r="AI838" s="3" t="s">
        <v>1851</v>
      </c>
      <c r="AJ838" s="3" t="s">
        <v>1715</v>
      </c>
    </row>
    <row r="839" spans="1:36">
      <c r="A839" s="4">
        <v>43277</v>
      </c>
      <c r="B839" s="3" t="s">
        <v>4364</v>
      </c>
      <c r="C839" s="3" t="s">
        <v>4365</v>
      </c>
      <c r="D839" s="3" t="s">
        <v>4366</v>
      </c>
      <c r="E839" s="3" t="s">
        <v>4367</v>
      </c>
      <c r="F839" s="3" t="s">
        <v>1710</v>
      </c>
      <c r="G839" s="3">
        <v>15</v>
      </c>
      <c r="H839" s="3">
        <v>0</v>
      </c>
      <c r="I839" s="3">
        <v>15</v>
      </c>
      <c r="J839" s="3">
        <v>0</v>
      </c>
      <c r="K839" s="3">
        <v>0</v>
      </c>
      <c r="L839" s="3">
        <v>0</v>
      </c>
      <c r="M839" s="3">
        <v>0</v>
      </c>
      <c r="N839" s="3" t="s">
        <v>1711</v>
      </c>
      <c r="O839" s="3">
        <v>0</v>
      </c>
      <c r="P839" s="3">
        <v>0</v>
      </c>
      <c r="Q839" s="3">
        <v>0</v>
      </c>
      <c r="R839" s="3">
        <v>0</v>
      </c>
      <c r="S839" s="3">
        <v>0</v>
      </c>
      <c r="T839" s="3">
        <v>1</v>
      </c>
      <c r="U839" s="3">
        <v>5</v>
      </c>
      <c r="V839" s="3">
        <v>5</v>
      </c>
      <c r="W839" s="3"/>
      <c r="X839" s="3">
        <v>18.99</v>
      </c>
      <c r="Y839" s="3">
        <v>18.99</v>
      </c>
      <c r="Z839" s="3">
        <v>18.99</v>
      </c>
      <c r="AA839" s="3">
        <v>0</v>
      </c>
      <c r="AB839" s="3" t="s">
        <v>1713</v>
      </c>
      <c r="AC839" s="3">
        <v>15</v>
      </c>
      <c r="AD839" s="3">
        <v>18.99</v>
      </c>
      <c r="AE839" s="3">
        <v>0</v>
      </c>
      <c r="AF839" s="3">
        <v>0</v>
      </c>
      <c r="AG839" s="3">
        <v>0</v>
      </c>
      <c r="AH839" s="3">
        <v>0.428571428571428</v>
      </c>
      <c r="AI839" s="3" t="s">
        <v>1794</v>
      </c>
      <c r="AJ839" s="3" t="s">
        <v>1715</v>
      </c>
    </row>
    <row r="840" spans="1:36">
      <c r="A840" s="4">
        <v>43277</v>
      </c>
      <c r="B840" s="3" t="s">
        <v>4368</v>
      </c>
      <c r="C840" s="3" t="s">
        <v>4369</v>
      </c>
      <c r="D840" s="3" t="s">
        <v>4370</v>
      </c>
      <c r="E840" s="3" t="s">
        <v>4371</v>
      </c>
      <c r="F840" s="3" t="s">
        <v>1710</v>
      </c>
      <c r="G840" s="3">
        <v>13</v>
      </c>
      <c r="H840" s="3">
        <v>0</v>
      </c>
      <c r="I840" s="3">
        <v>13</v>
      </c>
      <c r="J840" s="3">
        <v>0</v>
      </c>
      <c r="K840" s="3">
        <v>0</v>
      </c>
      <c r="L840" s="3">
        <v>0</v>
      </c>
      <c r="M840" s="3">
        <v>0</v>
      </c>
      <c r="N840" s="3" t="s">
        <v>1711</v>
      </c>
      <c r="O840" s="3">
        <v>0</v>
      </c>
      <c r="P840" s="3">
        <v>0</v>
      </c>
      <c r="Q840" s="3">
        <v>0</v>
      </c>
      <c r="R840" s="3">
        <v>0</v>
      </c>
      <c r="S840" s="3">
        <v>1</v>
      </c>
      <c r="T840" s="3">
        <v>7</v>
      </c>
      <c r="U840" s="3">
        <v>18</v>
      </c>
      <c r="V840" s="3">
        <v>19</v>
      </c>
      <c r="W840" s="3" t="s">
        <v>1712</v>
      </c>
      <c r="X840" s="3">
        <v>15.99</v>
      </c>
      <c r="Y840" s="3">
        <v>15.99</v>
      </c>
      <c r="Z840" s="3">
        <v>15.99</v>
      </c>
      <c r="AA840" s="3">
        <v>0</v>
      </c>
      <c r="AB840" s="3" t="s">
        <v>1713</v>
      </c>
      <c r="AC840" s="3">
        <v>13</v>
      </c>
      <c r="AD840" s="3">
        <v>15.99</v>
      </c>
      <c r="AE840" s="3">
        <v>0</v>
      </c>
      <c r="AF840" s="3">
        <v>0</v>
      </c>
      <c r="AG840" s="3">
        <v>0</v>
      </c>
      <c r="AH840" s="3">
        <v>1.425</v>
      </c>
      <c r="AI840" s="3" t="s">
        <v>1739</v>
      </c>
      <c r="AJ840" s="3" t="s">
        <v>1715</v>
      </c>
    </row>
    <row r="841" spans="1:36">
      <c r="A841" s="4">
        <v>43277</v>
      </c>
      <c r="B841" s="3" t="s">
        <v>4372</v>
      </c>
      <c r="C841" s="3" t="s">
        <v>4373</v>
      </c>
      <c r="D841" s="3" t="s">
        <v>4374</v>
      </c>
      <c r="E841" s="3" t="s">
        <v>3568</v>
      </c>
      <c r="F841" s="3" t="s">
        <v>1710</v>
      </c>
      <c r="G841" s="3">
        <v>2</v>
      </c>
      <c r="H841" s="3">
        <v>0</v>
      </c>
      <c r="I841" s="3">
        <v>2</v>
      </c>
      <c r="J841" s="3">
        <v>0</v>
      </c>
      <c r="K841" s="3">
        <v>0</v>
      </c>
      <c r="L841" s="3">
        <v>0</v>
      </c>
      <c r="M841" s="3">
        <v>0</v>
      </c>
      <c r="N841" s="3" t="s">
        <v>1711</v>
      </c>
      <c r="O841" s="3">
        <v>0</v>
      </c>
      <c r="P841" s="3">
        <v>0</v>
      </c>
      <c r="Q841" s="3">
        <v>0</v>
      </c>
      <c r="R841" s="3">
        <v>0</v>
      </c>
      <c r="S841" s="3">
        <v>0</v>
      </c>
      <c r="T841" s="3">
        <v>0</v>
      </c>
      <c r="U841" s="3">
        <v>0</v>
      </c>
      <c r="V841" s="3">
        <v>0</v>
      </c>
      <c r="W841" s="3" t="s">
        <v>1712</v>
      </c>
      <c r="X841" s="3">
        <v>19.99</v>
      </c>
      <c r="Y841" s="3">
        <v>19.99</v>
      </c>
      <c r="Z841" s="3">
        <v>19.99</v>
      </c>
      <c r="AA841" s="3">
        <v>0</v>
      </c>
      <c r="AB841" s="3" t="s">
        <v>1732</v>
      </c>
      <c r="AC841" s="3">
        <v>0</v>
      </c>
      <c r="AD841" s="3">
        <v>15.99</v>
      </c>
      <c r="AE841" s="3">
        <v>63</v>
      </c>
      <c r="AF841" s="3">
        <v>0</v>
      </c>
      <c r="AG841" s="3">
        <v>28.204907</v>
      </c>
      <c r="AH841" s="3">
        <v>0</v>
      </c>
      <c r="AI841" s="3" t="s">
        <v>2565</v>
      </c>
      <c r="AJ841" s="3" t="s">
        <v>1715</v>
      </c>
    </row>
    <row r="842" spans="1:36">
      <c r="A842" s="4">
        <v>43277</v>
      </c>
      <c r="B842" s="3" t="s">
        <v>543</v>
      </c>
      <c r="C842" s="3" t="s">
        <v>544</v>
      </c>
      <c r="D842" s="3" t="s">
        <v>545</v>
      </c>
      <c r="E842" s="3" t="s">
        <v>546</v>
      </c>
      <c r="F842" s="3" t="s">
        <v>1710</v>
      </c>
      <c r="G842" s="3">
        <v>91</v>
      </c>
      <c r="H842" s="3">
        <v>0</v>
      </c>
      <c r="I842" s="3">
        <v>91</v>
      </c>
      <c r="J842" s="3">
        <v>0</v>
      </c>
      <c r="K842" s="3">
        <v>0</v>
      </c>
      <c r="L842" s="3">
        <v>0</v>
      </c>
      <c r="M842" s="3">
        <v>0</v>
      </c>
      <c r="N842" s="3" t="s">
        <v>1711</v>
      </c>
      <c r="O842" s="3">
        <v>0</v>
      </c>
      <c r="P842" s="3">
        <v>0</v>
      </c>
      <c r="Q842" s="3">
        <v>0</v>
      </c>
      <c r="R842" s="3">
        <v>0</v>
      </c>
      <c r="S842" s="3">
        <v>7</v>
      </c>
      <c r="T842" s="3">
        <v>31</v>
      </c>
      <c r="U842" s="3">
        <v>63</v>
      </c>
      <c r="V842" s="3">
        <v>80</v>
      </c>
      <c r="W842" s="3"/>
      <c r="X842" s="3">
        <v>38</v>
      </c>
      <c r="Y842" s="3">
        <v>28.58</v>
      </c>
      <c r="Z842" s="3">
        <v>28</v>
      </c>
      <c r="AA842" s="3">
        <v>0</v>
      </c>
      <c r="AB842" s="3" t="s">
        <v>1713</v>
      </c>
      <c r="AC842" s="3">
        <v>24</v>
      </c>
      <c r="AD842" s="3">
        <v>28.58</v>
      </c>
      <c r="AE842" s="3">
        <v>0</v>
      </c>
      <c r="AF842" s="3">
        <v>0</v>
      </c>
      <c r="AG842" s="3">
        <v>0</v>
      </c>
      <c r="AH842" s="3">
        <v>2.58064516129032</v>
      </c>
      <c r="AI842" s="3" t="s">
        <v>1801</v>
      </c>
      <c r="AJ842" s="3" t="s">
        <v>1715</v>
      </c>
    </row>
    <row r="843" spans="1:36">
      <c r="A843" s="4">
        <v>43277</v>
      </c>
      <c r="B843" s="3" t="s">
        <v>4375</v>
      </c>
      <c r="C843" s="3" t="s">
        <v>4376</v>
      </c>
      <c r="D843" s="3" t="s">
        <v>4377</v>
      </c>
      <c r="E843" s="3" t="s">
        <v>4378</v>
      </c>
      <c r="F843" s="3" t="s">
        <v>1710</v>
      </c>
      <c r="G843" s="3">
        <v>35</v>
      </c>
      <c r="H843" s="3">
        <v>0</v>
      </c>
      <c r="I843" s="3">
        <v>10</v>
      </c>
      <c r="J843" s="3">
        <v>25</v>
      </c>
      <c r="K843" s="3">
        <v>0</v>
      </c>
      <c r="L843" s="3">
        <v>0</v>
      </c>
      <c r="M843" s="3">
        <v>0</v>
      </c>
      <c r="N843" s="3" t="s">
        <v>1711</v>
      </c>
      <c r="O843" s="3">
        <v>0</v>
      </c>
      <c r="P843" s="3">
        <v>0</v>
      </c>
      <c r="Q843" s="3">
        <v>0</v>
      </c>
      <c r="R843" s="3">
        <v>0</v>
      </c>
      <c r="S843" s="3">
        <v>1</v>
      </c>
      <c r="T843" s="3">
        <v>1</v>
      </c>
      <c r="U843" s="3">
        <v>4</v>
      </c>
      <c r="V843" s="3">
        <v>17</v>
      </c>
      <c r="W843" s="3"/>
      <c r="X843" s="3">
        <v>35</v>
      </c>
      <c r="Y843" s="3">
        <v>16.99</v>
      </c>
      <c r="Z843" s="3">
        <v>16.99</v>
      </c>
      <c r="AA843" s="3">
        <v>0</v>
      </c>
      <c r="AB843" s="3" t="s">
        <v>1713</v>
      </c>
      <c r="AC843" s="3">
        <v>36</v>
      </c>
      <c r="AD843" s="3">
        <v>16.99</v>
      </c>
      <c r="AE843" s="3">
        <v>0</v>
      </c>
      <c r="AF843" s="3">
        <v>0</v>
      </c>
      <c r="AG843" s="3">
        <v>0</v>
      </c>
      <c r="AH843" s="3">
        <v>0.450331125827814</v>
      </c>
      <c r="AI843" s="3" t="s">
        <v>1905</v>
      </c>
      <c r="AJ843" s="3" t="s">
        <v>1715</v>
      </c>
    </row>
    <row r="844" spans="1:36">
      <c r="A844" s="4">
        <v>43277</v>
      </c>
      <c r="B844" s="3" t="s">
        <v>4379</v>
      </c>
      <c r="C844" s="3" t="s">
        <v>4380</v>
      </c>
      <c r="D844" s="3" t="s">
        <v>4381</v>
      </c>
      <c r="E844" s="3" t="s">
        <v>2495</v>
      </c>
      <c r="F844" s="3" t="s">
        <v>1710</v>
      </c>
      <c r="G844" s="3">
        <v>15</v>
      </c>
      <c r="H844" s="3">
        <v>0</v>
      </c>
      <c r="I844" s="3">
        <v>15</v>
      </c>
      <c r="J844" s="3">
        <v>0</v>
      </c>
      <c r="K844" s="3">
        <v>0</v>
      </c>
      <c r="L844" s="3">
        <v>0</v>
      </c>
      <c r="M844" s="3">
        <v>0</v>
      </c>
      <c r="N844" s="3" t="s">
        <v>1711</v>
      </c>
      <c r="O844" s="3">
        <v>0</v>
      </c>
      <c r="P844" s="3">
        <v>0</v>
      </c>
      <c r="Q844" s="3">
        <v>0</v>
      </c>
      <c r="R844" s="3">
        <v>0</v>
      </c>
      <c r="S844" s="3">
        <v>0</v>
      </c>
      <c r="T844" s="3">
        <v>0</v>
      </c>
      <c r="U844" s="3">
        <v>0</v>
      </c>
      <c r="V844" s="3">
        <v>0</v>
      </c>
      <c r="W844" s="3" t="s">
        <v>1720</v>
      </c>
      <c r="X844" s="3">
        <v>15.99</v>
      </c>
      <c r="Y844" s="3">
        <v>15.99</v>
      </c>
      <c r="Z844" s="3">
        <v>15.99</v>
      </c>
      <c r="AA844" s="3">
        <v>0</v>
      </c>
      <c r="AB844" s="3" t="s">
        <v>1721</v>
      </c>
      <c r="AC844" s="3">
        <v>0</v>
      </c>
      <c r="AD844" s="3">
        <v>12.79</v>
      </c>
      <c r="AE844" s="3">
        <v>63</v>
      </c>
      <c r="AF844" s="3">
        <v>0</v>
      </c>
      <c r="AG844" s="3">
        <v>160.761652</v>
      </c>
      <c r="AH844" s="3">
        <v>0</v>
      </c>
      <c r="AI844" s="3" t="s">
        <v>2758</v>
      </c>
      <c r="AJ844" s="3" t="s">
        <v>1715</v>
      </c>
    </row>
    <row r="845" spans="1:36">
      <c r="A845" s="4">
        <v>43277</v>
      </c>
      <c r="B845" s="3" t="s">
        <v>711</v>
      </c>
      <c r="C845" s="3" t="s">
        <v>712</v>
      </c>
      <c r="D845" s="3" t="s">
        <v>713</v>
      </c>
      <c r="E845" s="3" t="s">
        <v>714</v>
      </c>
      <c r="F845" s="3" t="s">
        <v>1710</v>
      </c>
      <c r="G845" s="3">
        <v>52</v>
      </c>
      <c r="H845" s="3">
        <v>0</v>
      </c>
      <c r="I845" s="3">
        <v>52</v>
      </c>
      <c r="J845" s="3">
        <v>0</v>
      </c>
      <c r="K845" s="3">
        <v>0</v>
      </c>
      <c r="L845" s="3">
        <v>0</v>
      </c>
      <c r="M845" s="3">
        <v>0</v>
      </c>
      <c r="N845" s="3" t="s">
        <v>1711</v>
      </c>
      <c r="O845" s="3">
        <v>0</v>
      </c>
      <c r="P845" s="3">
        <v>0</v>
      </c>
      <c r="Q845" s="3">
        <v>0</v>
      </c>
      <c r="R845" s="3">
        <v>0</v>
      </c>
      <c r="S845" s="3">
        <v>2</v>
      </c>
      <c r="T845" s="3">
        <v>25</v>
      </c>
      <c r="U845" s="3">
        <v>36</v>
      </c>
      <c r="V845" s="3">
        <v>53</v>
      </c>
      <c r="W845" s="3"/>
      <c r="X845" s="3">
        <v>38</v>
      </c>
      <c r="Y845" s="3">
        <v>28.58</v>
      </c>
      <c r="Z845" s="3">
        <v>28</v>
      </c>
      <c r="AA845" s="3">
        <v>0</v>
      </c>
      <c r="AB845" s="3" t="s">
        <v>1713</v>
      </c>
      <c r="AC845" s="3">
        <v>21</v>
      </c>
      <c r="AD845" s="3">
        <v>28.58</v>
      </c>
      <c r="AE845" s="3">
        <v>0</v>
      </c>
      <c r="AF845" s="3">
        <v>0</v>
      </c>
      <c r="AG845" s="3">
        <v>0</v>
      </c>
      <c r="AH845" s="3">
        <v>1.98130841121495</v>
      </c>
      <c r="AI845" s="3" t="s">
        <v>4382</v>
      </c>
      <c r="AJ845" s="3" t="s">
        <v>1715</v>
      </c>
    </row>
    <row r="846" spans="1:36">
      <c r="A846" s="4">
        <v>43277</v>
      </c>
      <c r="B846" s="3" t="s">
        <v>4383</v>
      </c>
      <c r="C846" s="3" t="s">
        <v>4384</v>
      </c>
      <c r="D846" s="3" t="s">
        <v>4385</v>
      </c>
      <c r="E846" s="3" t="s">
        <v>4386</v>
      </c>
      <c r="F846" s="3" t="s">
        <v>1710</v>
      </c>
      <c r="G846" s="3">
        <v>2</v>
      </c>
      <c r="H846" s="3">
        <v>0</v>
      </c>
      <c r="I846" s="3">
        <v>2</v>
      </c>
      <c r="J846" s="3">
        <v>0</v>
      </c>
      <c r="K846" s="3">
        <v>0</v>
      </c>
      <c r="L846" s="3">
        <v>0</v>
      </c>
      <c r="M846" s="3">
        <v>0</v>
      </c>
      <c r="N846" s="3" t="s">
        <v>1711</v>
      </c>
      <c r="O846" s="3">
        <v>0</v>
      </c>
      <c r="P846" s="3">
        <v>0</v>
      </c>
      <c r="Q846" s="3">
        <v>0</v>
      </c>
      <c r="R846" s="3">
        <v>0</v>
      </c>
      <c r="S846" s="3">
        <v>0</v>
      </c>
      <c r="T846" s="3">
        <v>1</v>
      </c>
      <c r="U846" s="3">
        <v>3</v>
      </c>
      <c r="V846" s="3">
        <v>3</v>
      </c>
      <c r="W846" s="3"/>
      <c r="X846" s="3">
        <v>15.99</v>
      </c>
      <c r="Y846" s="3">
        <v>15.99</v>
      </c>
      <c r="Z846" s="3">
        <v>15.99</v>
      </c>
      <c r="AA846" s="3">
        <v>0</v>
      </c>
      <c r="AB846" s="3" t="s">
        <v>1713</v>
      </c>
      <c r="AC846" s="3">
        <v>2</v>
      </c>
      <c r="AD846" s="3">
        <v>15.99</v>
      </c>
      <c r="AE846" s="3">
        <v>0</v>
      </c>
      <c r="AF846" s="3">
        <v>0</v>
      </c>
      <c r="AG846" s="3">
        <v>0</v>
      </c>
      <c r="AH846" s="3">
        <v>1.33333333333333</v>
      </c>
      <c r="AI846" s="3" t="s">
        <v>2104</v>
      </c>
      <c r="AJ846" s="3" t="s">
        <v>1715</v>
      </c>
    </row>
    <row r="847" spans="1:36">
      <c r="A847" s="4">
        <v>43277</v>
      </c>
      <c r="B847" s="3" t="s">
        <v>563</v>
      </c>
      <c r="C847" s="3" t="s">
        <v>564</v>
      </c>
      <c r="D847" s="3" t="s">
        <v>565</v>
      </c>
      <c r="E847" s="3" t="s">
        <v>566</v>
      </c>
      <c r="F847" s="3" t="s">
        <v>1710</v>
      </c>
      <c r="G847" s="3">
        <v>54</v>
      </c>
      <c r="H847" s="3">
        <v>0</v>
      </c>
      <c r="I847" s="3">
        <v>54</v>
      </c>
      <c r="J847" s="3">
        <v>0</v>
      </c>
      <c r="K847" s="3">
        <v>0</v>
      </c>
      <c r="L847" s="3">
        <v>0</v>
      </c>
      <c r="M847" s="3">
        <v>0</v>
      </c>
      <c r="N847" s="3" t="s">
        <v>1711</v>
      </c>
      <c r="O847" s="3">
        <v>0</v>
      </c>
      <c r="P847" s="3">
        <v>0</v>
      </c>
      <c r="Q847" s="3">
        <v>0</v>
      </c>
      <c r="R847" s="3">
        <v>0</v>
      </c>
      <c r="S847" s="3">
        <v>3</v>
      </c>
      <c r="T847" s="3">
        <v>38</v>
      </c>
      <c r="U847" s="3">
        <v>64</v>
      </c>
      <c r="V847" s="3">
        <v>86</v>
      </c>
      <c r="W847" s="3"/>
      <c r="X847" s="3">
        <v>38</v>
      </c>
      <c r="Y847" s="3">
        <v>28.58</v>
      </c>
      <c r="Z847" s="3">
        <v>28</v>
      </c>
      <c r="AA847" s="3">
        <v>0</v>
      </c>
      <c r="AB847" s="3" t="s">
        <v>1713</v>
      </c>
      <c r="AC847" s="3">
        <v>43</v>
      </c>
      <c r="AD847" s="3">
        <v>28.58</v>
      </c>
      <c r="AE847" s="3">
        <v>0</v>
      </c>
      <c r="AF847" s="3">
        <v>0</v>
      </c>
      <c r="AG847" s="3">
        <v>0</v>
      </c>
      <c r="AH847" s="3">
        <v>2.62595419847328</v>
      </c>
      <c r="AI847" s="3" t="s">
        <v>1801</v>
      </c>
      <c r="AJ847" s="3" t="s">
        <v>1715</v>
      </c>
    </row>
    <row r="848" spans="1:36">
      <c r="A848" s="4">
        <v>43277</v>
      </c>
      <c r="B848" s="3" t="s">
        <v>4387</v>
      </c>
      <c r="C848" s="3" t="s">
        <v>4388</v>
      </c>
      <c r="D848" s="3" t="s">
        <v>4389</v>
      </c>
      <c r="E848" s="3" t="s">
        <v>4390</v>
      </c>
      <c r="F848" s="3" t="s">
        <v>1710</v>
      </c>
      <c r="G848" s="3">
        <v>42</v>
      </c>
      <c r="H848" s="3">
        <v>0</v>
      </c>
      <c r="I848" s="3">
        <v>4</v>
      </c>
      <c r="J848" s="3">
        <v>16</v>
      </c>
      <c r="K848" s="3">
        <v>22</v>
      </c>
      <c r="L848" s="3">
        <v>0</v>
      </c>
      <c r="M848" s="3">
        <v>0</v>
      </c>
      <c r="N848" s="3" t="s">
        <v>1711</v>
      </c>
      <c r="O848" s="3">
        <v>34</v>
      </c>
      <c r="P848" s="3">
        <v>20.35</v>
      </c>
      <c r="Q848" s="3">
        <v>0</v>
      </c>
      <c r="R848" s="3">
        <v>0</v>
      </c>
      <c r="S848" s="3">
        <v>0</v>
      </c>
      <c r="T848" s="3">
        <v>0</v>
      </c>
      <c r="U848" s="3">
        <v>1</v>
      </c>
      <c r="V848" s="3">
        <v>5</v>
      </c>
      <c r="W848" s="3" t="s">
        <v>1712</v>
      </c>
      <c r="X848" s="3">
        <v>35</v>
      </c>
      <c r="Y848" s="3">
        <v>16.99</v>
      </c>
      <c r="Z848" s="3">
        <v>16</v>
      </c>
      <c r="AA848" s="3">
        <v>0</v>
      </c>
      <c r="AB848" s="3" t="s">
        <v>1732</v>
      </c>
      <c r="AC848" s="3">
        <v>9</v>
      </c>
      <c r="AD848" s="3">
        <v>15.84</v>
      </c>
      <c r="AE848" s="3">
        <v>84</v>
      </c>
      <c r="AF848" s="3">
        <v>0</v>
      </c>
      <c r="AG848" s="3">
        <v>788.919442</v>
      </c>
      <c r="AH848" s="3">
        <v>0.104166666666666</v>
      </c>
      <c r="AI848" s="3" t="s">
        <v>1905</v>
      </c>
      <c r="AJ848" s="3" t="s">
        <v>2616</v>
      </c>
    </row>
    <row r="849" spans="1:36">
      <c r="A849" s="4">
        <v>43277</v>
      </c>
      <c r="B849" s="3" t="s">
        <v>4391</v>
      </c>
      <c r="C849" s="3" t="s">
        <v>4392</v>
      </c>
      <c r="D849" s="3" t="s">
        <v>4393</v>
      </c>
      <c r="E849" s="3" t="s">
        <v>333</v>
      </c>
      <c r="F849" s="3" t="s">
        <v>1710</v>
      </c>
      <c r="G849" s="3">
        <v>9</v>
      </c>
      <c r="H849" s="3">
        <v>0</v>
      </c>
      <c r="I849" s="3">
        <v>1</v>
      </c>
      <c r="J849" s="3">
        <v>1</v>
      </c>
      <c r="K849" s="3">
        <v>0</v>
      </c>
      <c r="L849" s="3">
        <v>7</v>
      </c>
      <c r="M849" s="3">
        <v>0</v>
      </c>
      <c r="N849" s="3" t="s">
        <v>1711</v>
      </c>
      <c r="O849" s="3">
        <v>8</v>
      </c>
      <c r="P849" s="3">
        <v>11.29</v>
      </c>
      <c r="Q849" s="3">
        <v>0</v>
      </c>
      <c r="R849" s="3">
        <v>0</v>
      </c>
      <c r="S849" s="3">
        <v>0</v>
      </c>
      <c r="T849" s="3">
        <v>1</v>
      </c>
      <c r="U849" s="3">
        <v>3</v>
      </c>
      <c r="V849" s="3">
        <v>4</v>
      </c>
      <c r="W849" s="3" t="s">
        <v>1720</v>
      </c>
      <c r="X849" s="3">
        <v>14.99</v>
      </c>
      <c r="Y849" s="3">
        <v>14.99</v>
      </c>
      <c r="Z849" s="3">
        <v>14.99</v>
      </c>
      <c r="AA849" s="3">
        <v>0</v>
      </c>
      <c r="AB849" s="3" t="s">
        <v>1721</v>
      </c>
      <c r="AC849" s="3">
        <v>0</v>
      </c>
      <c r="AD849" s="3">
        <v>13.48</v>
      </c>
      <c r="AE849" s="3">
        <v>126</v>
      </c>
      <c r="AF849" s="3">
        <v>0</v>
      </c>
      <c r="AG849" s="3">
        <v>191.764425</v>
      </c>
      <c r="AH849" s="3">
        <v>0.372093023255813</v>
      </c>
      <c r="AI849" s="3" t="s">
        <v>4394</v>
      </c>
      <c r="AJ849" s="3" t="s">
        <v>1783</v>
      </c>
    </row>
    <row r="850" spans="1:36">
      <c r="A850" s="4">
        <v>43277</v>
      </c>
      <c r="B850" s="3" t="s">
        <v>1195</v>
      </c>
      <c r="C850" s="3" t="s">
        <v>1196</v>
      </c>
      <c r="D850" s="3" t="s">
        <v>1197</v>
      </c>
      <c r="E850" s="3" t="s">
        <v>1198</v>
      </c>
      <c r="F850" s="3" t="s">
        <v>1710</v>
      </c>
      <c r="G850" s="3">
        <v>7</v>
      </c>
      <c r="H850" s="3">
        <v>0</v>
      </c>
      <c r="I850" s="3">
        <v>7</v>
      </c>
      <c r="J850" s="3">
        <v>0</v>
      </c>
      <c r="K850" s="3">
        <v>0</v>
      </c>
      <c r="L850" s="3">
        <v>0</v>
      </c>
      <c r="M850" s="3">
        <v>0</v>
      </c>
      <c r="N850" s="3" t="s">
        <v>1711</v>
      </c>
      <c r="O850" s="3">
        <v>0</v>
      </c>
      <c r="P850" s="3">
        <v>0</v>
      </c>
      <c r="Q850" s="3">
        <v>0</v>
      </c>
      <c r="R850" s="3">
        <v>0</v>
      </c>
      <c r="S850" s="3">
        <v>2</v>
      </c>
      <c r="T850" s="3">
        <v>15</v>
      </c>
      <c r="U850" s="3">
        <v>19</v>
      </c>
      <c r="V850" s="3">
        <v>30</v>
      </c>
      <c r="W850" s="3"/>
      <c r="X850" s="3">
        <v>15.99</v>
      </c>
      <c r="Y850" s="3">
        <v>15.99</v>
      </c>
      <c r="Z850" s="3">
        <v>15.99</v>
      </c>
      <c r="AA850" s="3">
        <v>0</v>
      </c>
      <c r="AB850" s="3" t="s">
        <v>1713</v>
      </c>
      <c r="AC850" s="3">
        <v>5</v>
      </c>
      <c r="AD850" s="3">
        <v>15.99</v>
      </c>
      <c r="AE850" s="3">
        <v>0</v>
      </c>
      <c r="AF850" s="3">
        <v>0</v>
      </c>
      <c r="AG850" s="3">
        <v>0</v>
      </c>
      <c r="AH850" s="3">
        <v>2.60869565217391</v>
      </c>
      <c r="AI850" s="3" t="s">
        <v>1962</v>
      </c>
      <c r="AJ850" s="3" t="s">
        <v>1715</v>
      </c>
    </row>
    <row r="851" spans="1:36">
      <c r="A851" s="4">
        <v>43277</v>
      </c>
      <c r="B851" s="3" t="s">
        <v>4395</v>
      </c>
      <c r="C851" s="3" t="s">
        <v>4396</v>
      </c>
      <c r="D851" s="3" t="s">
        <v>4397</v>
      </c>
      <c r="E851" s="3" t="s">
        <v>1815</v>
      </c>
      <c r="F851" s="3" t="s">
        <v>1710</v>
      </c>
      <c r="G851" s="3">
        <v>1</v>
      </c>
      <c r="H851" s="3">
        <v>0</v>
      </c>
      <c r="I851" s="3">
        <v>0</v>
      </c>
      <c r="J851" s="3">
        <v>1</v>
      </c>
      <c r="K851" s="3">
        <v>0</v>
      </c>
      <c r="L851" s="3">
        <v>0</v>
      </c>
      <c r="M851" s="3">
        <v>0</v>
      </c>
      <c r="N851" s="3" t="s">
        <v>1711</v>
      </c>
      <c r="O851" s="3">
        <v>0</v>
      </c>
      <c r="P851" s="3">
        <v>0</v>
      </c>
      <c r="Q851" s="3">
        <v>0</v>
      </c>
      <c r="R851" s="3">
        <v>0</v>
      </c>
      <c r="S851" s="3">
        <v>0</v>
      </c>
      <c r="T851" s="3">
        <v>0</v>
      </c>
      <c r="U851" s="3">
        <v>0</v>
      </c>
      <c r="V851" s="3">
        <v>0</v>
      </c>
      <c r="W851" s="3" t="s">
        <v>1720</v>
      </c>
      <c r="X851" s="3">
        <v>15.99</v>
      </c>
      <c r="Y851" s="3">
        <v>15.99</v>
      </c>
      <c r="Z851" s="3">
        <v>15.99</v>
      </c>
      <c r="AA851" s="3">
        <v>0</v>
      </c>
      <c r="AB851" s="3" t="s">
        <v>1721</v>
      </c>
      <c r="AC851" s="3">
        <v>0</v>
      </c>
      <c r="AD851" s="3">
        <v>15.02</v>
      </c>
      <c r="AE851" s="3">
        <v>49</v>
      </c>
      <c r="AF851" s="3">
        <v>0</v>
      </c>
      <c r="AG851" s="3">
        <v>15.300637</v>
      </c>
      <c r="AH851" s="3">
        <v>0</v>
      </c>
      <c r="AI851" s="3" t="s">
        <v>4398</v>
      </c>
      <c r="AJ851" s="3" t="s">
        <v>1715</v>
      </c>
    </row>
    <row r="852" spans="1:36">
      <c r="A852" s="4">
        <v>43277</v>
      </c>
      <c r="B852" s="3" t="s">
        <v>4399</v>
      </c>
      <c r="C852" s="3" t="s">
        <v>4400</v>
      </c>
      <c r="D852" s="3" t="s">
        <v>4401</v>
      </c>
      <c r="E852" s="3" t="s">
        <v>1213</v>
      </c>
      <c r="F852" s="3" t="s">
        <v>1710</v>
      </c>
      <c r="G852" s="3">
        <v>10</v>
      </c>
      <c r="H852" s="3">
        <v>0</v>
      </c>
      <c r="I852" s="3">
        <v>10</v>
      </c>
      <c r="J852" s="3">
        <v>0</v>
      </c>
      <c r="K852" s="3">
        <v>0</v>
      </c>
      <c r="L852" s="3">
        <v>0</v>
      </c>
      <c r="M852" s="3">
        <v>0</v>
      </c>
      <c r="N852" s="3" t="s">
        <v>1711</v>
      </c>
      <c r="O852" s="3">
        <v>0</v>
      </c>
      <c r="P852" s="3">
        <v>0</v>
      </c>
      <c r="Q852" s="3">
        <v>0</v>
      </c>
      <c r="R852" s="3">
        <v>0</v>
      </c>
      <c r="S852" s="3">
        <v>0</v>
      </c>
      <c r="T852" s="3">
        <v>0</v>
      </c>
      <c r="U852" s="3">
        <v>0</v>
      </c>
      <c r="V852" s="3">
        <v>0</v>
      </c>
      <c r="W852" s="3" t="s">
        <v>1720</v>
      </c>
      <c r="X852" s="3">
        <v>16.99</v>
      </c>
      <c r="Y852" s="3">
        <v>16.99</v>
      </c>
      <c r="Z852" s="3">
        <v>16.99</v>
      </c>
      <c r="AA852" s="3">
        <v>0</v>
      </c>
      <c r="AB852" s="3" t="s">
        <v>1721</v>
      </c>
      <c r="AC852" s="3">
        <v>10</v>
      </c>
      <c r="AD852" s="3">
        <v>16.99</v>
      </c>
      <c r="AE852" s="3">
        <v>0</v>
      </c>
      <c r="AF852" s="3">
        <v>0</v>
      </c>
      <c r="AG852" s="3">
        <v>0</v>
      </c>
      <c r="AH852" s="3">
        <v>0</v>
      </c>
      <c r="AI852" s="3" t="s">
        <v>1881</v>
      </c>
      <c r="AJ852" s="3" t="s">
        <v>1715</v>
      </c>
    </row>
    <row r="853" spans="1:36">
      <c r="A853" s="4">
        <v>43277</v>
      </c>
      <c r="B853" s="3" t="s">
        <v>4402</v>
      </c>
      <c r="C853" s="3" t="s">
        <v>4403</v>
      </c>
      <c r="D853" s="3" t="s">
        <v>4404</v>
      </c>
      <c r="E853" s="3" t="s">
        <v>4405</v>
      </c>
      <c r="F853" s="3" t="s">
        <v>1710</v>
      </c>
      <c r="G853" s="3">
        <v>45</v>
      </c>
      <c r="H853" s="3">
        <v>0</v>
      </c>
      <c r="I853" s="3">
        <v>45</v>
      </c>
      <c r="J853" s="3">
        <v>0</v>
      </c>
      <c r="K853" s="3">
        <v>0</v>
      </c>
      <c r="L853" s="3">
        <v>0</v>
      </c>
      <c r="M853" s="3">
        <v>0</v>
      </c>
      <c r="N853" s="3" t="s">
        <v>1711</v>
      </c>
      <c r="O853" s="3">
        <v>0</v>
      </c>
      <c r="P853" s="3">
        <v>0</v>
      </c>
      <c r="Q853" s="3">
        <v>0</v>
      </c>
      <c r="R853" s="3">
        <v>0</v>
      </c>
      <c r="S853" s="3">
        <v>1</v>
      </c>
      <c r="T853" s="3">
        <v>20</v>
      </c>
      <c r="U853" s="3">
        <v>69</v>
      </c>
      <c r="V853" s="3">
        <v>119</v>
      </c>
      <c r="W853" s="3"/>
      <c r="X853" s="3">
        <v>42.88</v>
      </c>
      <c r="Y853" s="3">
        <v>18.99</v>
      </c>
      <c r="Z853" s="3">
        <v>16</v>
      </c>
      <c r="AA853" s="3">
        <v>0</v>
      </c>
      <c r="AB853" s="3" t="s">
        <v>1713</v>
      </c>
      <c r="AC853" s="3">
        <v>45</v>
      </c>
      <c r="AD853" s="3">
        <v>18.99</v>
      </c>
      <c r="AE853" s="3">
        <v>0</v>
      </c>
      <c r="AF853" s="3">
        <v>0</v>
      </c>
      <c r="AG853" s="3">
        <v>0</v>
      </c>
      <c r="AH853" s="3">
        <v>2.25592417061611</v>
      </c>
      <c r="AI853" s="3" t="s">
        <v>1794</v>
      </c>
      <c r="AJ853" s="3" t="s">
        <v>1715</v>
      </c>
    </row>
    <row r="854" spans="1:36">
      <c r="A854" s="4">
        <v>43277</v>
      </c>
      <c r="B854" s="3" t="s">
        <v>1148</v>
      </c>
      <c r="C854" s="3" t="s">
        <v>1149</v>
      </c>
      <c r="D854" s="3" t="s">
        <v>1150</v>
      </c>
      <c r="E854" s="3" t="s">
        <v>1136</v>
      </c>
      <c r="F854" s="3" t="s">
        <v>1710</v>
      </c>
      <c r="G854" s="3">
        <v>9</v>
      </c>
      <c r="H854" s="3">
        <v>0</v>
      </c>
      <c r="I854" s="3">
        <v>9</v>
      </c>
      <c r="J854" s="3">
        <v>0</v>
      </c>
      <c r="K854" s="3">
        <v>0</v>
      </c>
      <c r="L854" s="3">
        <v>0</v>
      </c>
      <c r="M854" s="3">
        <v>0</v>
      </c>
      <c r="N854" s="3" t="s">
        <v>1711</v>
      </c>
      <c r="O854" s="3">
        <v>0</v>
      </c>
      <c r="P854" s="3">
        <v>0</v>
      </c>
      <c r="Q854" s="3">
        <v>0</v>
      </c>
      <c r="R854" s="3">
        <v>0</v>
      </c>
      <c r="S854" s="3">
        <v>2</v>
      </c>
      <c r="T854" s="3">
        <v>9</v>
      </c>
      <c r="U854" s="3">
        <v>9</v>
      </c>
      <c r="V854" s="3">
        <v>9</v>
      </c>
      <c r="W854" s="3"/>
      <c r="X854" s="3">
        <v>39.99</v>
      </c>
      <c r="Y854" s="3">
        <v>21.99</v>
      </c>
      <c r="Z854" s="3">
        <v>21.99</v>
      </c>
      <c r="AA854" s="3">
        <v>0</v>
      </c>
      <c r="AB854" s="3" t="s">
        <v>1713</v>
      </c>
      <c r="AC854" s="3">
        <v>9</v>
      </c>
      <c r="AD854" s="3">
        <v>21.99</v>
      </c>
      <c r="AE854" s="3">
        <v>0</v>
      </c>
      <c r="AF854" s="3">
        <v>0</v>
      </c>
      <c r="AG854" s="3">
        <v>0</v>
      </c>
      <c r="AH854" s="3">
        <v>0.9</v>
      </c>
      <c r="AI854" s="3" t="s">
        <v>4406</v>
      </c>
      <c r="AJ854" s="3" t="s">
        <v>1715</v>
      </c>
    </row>
    <row r="855" spans="1:36">
      <c r="A855" s="4">
        <v>43277</v>
      </c>
      <c r="B855" s="3" t="s">
        <v>4407</v>
      </c>
      <c r="C855" s="3" t="s">
        <v>4408</v>
      </c>
      <c r="D855" s="3" t="s">
        <v>4409</v>
      </c>
      <c r="E855" s="3" t="s">
        <v>4410</v>
      </c>
      <c r="F855" s="3" t="s">
        <v>1710</v>
      </c>
      <c r="G855" s="3">
        <v>113</v>
      </c>
      <c r="H855" s="3">
        <v>0</v>
      </c>
      <c r="I855" s="3">
        <v>4</v>
      </c>
      <c r="J855" s="3">
        <v>7</v>
      </c>
      <c r="K855" s="3">
        <v>102</v>
      </c>
      <c r="L855" s="3">
        <v>0</v>
      </c>
      <c r="M855" s="3">
        <v>0</v>
      </c>
      <c r="N855" s="3" t="s">
        <v>1711</v>
      </c>
      <c r="O855" s="3">
        <v>107</v>
      </c>
      <c r="P855" s="3">
        <v>92.71</v>
      </c>
      <c r="Q855" s="3">
        <v>0</v>
      </c>
      <c r="R855" s="3">
        <v>0</v>
      </c>
      <c r="S855" s="3">
        <v>0</v>
      </c>
      <c r="T855" s="3">
        <v>0</v>
      </c>
      <c r="U855" s="3">
        <v>0</v>
      </c>
      <c r="V855" s="3">
        <v>4</v>
      </c>
      <c r="W855" s="3" t="s">
        <v>1712</v>
      </c>
      <c r="X855" s="3">
        <v>16.99</v>
      </c>
      <c r="Y855" s="3">
        <v>16.99</v>
      </c>
      <c r="Z855" s="3">
        <v>16</v>
      </c>
      <c r="AA855" s="3">
        <v>0</v>
      </c>
      <c r="AB855" s="3" t="s">
        <v>1732</v>
      </c>
      <c r="AC855" s="3">
        <v>9</v>
      </c>
      <c r="AD855" s="3">
        <v>15.48</v>
      </c>
      <c r="AE855" s="3">
        <v>161</v>
      </c>
      <c r="AF855" s="3">
        <v>0</v>
      </c>
      <c r="AG855" s="3">
        <v>2033.839145</v>
      </c>
      <c r="AH855" s="3">
        <v>0.0206185567010309</v>
      </c>
      <c r="AI855" s="3" t="s">
        <v>4411</v>
      </c>
      <c r="AJ855" s="3" t="s">
        <v>1715</v>
      </c>
    </row>
    <row r="856" spans="1:36">
      <c r="A856" s="4">
        <v>43277</v>
      </c>
      <c r="B856" s="3" t="s">
        <v>4412</v>
      </c>
      <c r="C856" s="3" t="s">
        <v>4413</v>
      </c>
      <c r="D856" s="3" t="s">
        <v>4414</v>
      </c>
      <c r="E856" s="3" t="s">
        <v>333</v>
      </c>
      <c r="F856" s="3" t="s">
        <v>1710</v>
      </c>
      <c r="G856" s="3">
        <v>9</v>
      </c>
      <c r="H856" s="3">
        <v>0</v>
      </c>
      <c r="I856" s="3">
        <v>1</v>
      </c>
      <c r="J856" s="3">
        <v>2</v>
      </c>
      <c r="K856" s="3">
        <v>0</v>
      </c>
      <c r="L856" s="3">
        <v>6</v>
      </c>
      <c r="M856" s="3">
        <v>0</v>
      </c>
      <c r="N856" s="3" t="s">
        <v>1711</v>
      </c>
      <c r="O856" s="3">
        <v>8</v>
      </c>
      <c r="P856" s="3">
        <v>8.13</v>
      </c>
      <c r="Q856" s="3">
        <v>0</v>
      </c>
      <c r="R856" s="3">
        <v>0</v>
      </c>
      <c r="S856" s="3">
        <v>1</v>
      </c>
      <c r="T856" s="3">
        <v>1</v>
      </c>
      <c r="U856" s="3">
        <v>2</v>
      </c>
      <c r="V856" s="3">
        <v>5</v>
      </c>
      <c r="W856" s="3" t="s">
        <v>1720</v>
      </c>
      <c r="X856" s="3">
        <v>14.99</v>
      </c>
      <c r="Y856" s="3">
        <v>14.99</v>
      </c>
      <c r="Z856" s="3">
        <v>14.99</v>
      </c>
      <c r="AA856" s="3">
        <v>0</v>
      </c>
      <c r="AB856" s="3" t="s">
        <v>1721</v>
      </c>
      <c r="AC856" s="3">
        <v>10</v>
      </c>
      <c r="AD856" s="3">
        <v>14.99</v>
      </c>
      <c r="AE856" s="3">
        <v>0</v>
      </c>
      <c r="AF856" s="3">
        <v>0</v>
      </c>
      <c r="AG856" s="3">
        <v>0</v>
      </c>
      <c r="AH856" s="3">
        <v>0.444444444444444</v>
      </c>
      <c r="AI856" s="3" t="s">
        <v>4415</v>
      </c>
      <c r="AJ856" s="3" t="s">
        <v>1783</v>
      </c>
    </row>
    <row r="857" spans="1:36">
      <c r="A857" s="4">
        <v>43277</v>
      </c>
      <c r="B857" s="3" t="s">
        <v>4416</v>
      </c>
      <c r="C857" s="3" t="s">
        <v>4417</v>
      </c>
      <c r="D857" s="3" t="s">
        <v>4418</v>
      </c>
      <c r="E857" s="3" t="s">
        <v>2274</v>
      </c>
      <c r="F857" s="3" t="s">
        <v>1710</v>
      </c>
      <c r="G857" s="3">
        <v>1</v>
      </c>
      <c r="H857" s="3">
        <v>0</v>
      </c>
      <c r="I857" s="3">
        <v>0</v>
      </c>
      <c r="J857" s="3">
        <v>0</v>
      </c>
      <c r="K857" s="3">
        <v>1</v>
      </c>
      <c r="L857" s="3">
        <v>0</v>
      </c>
      <c r="M857" s="3">
        <v>0</v>
      </c>
      <c r="N857" s="3" t="s">
        <v>1711</v>
      </c>
      <c r="O857" s="3">
        <v>1</v>
      </c>
      <c r="P857" s="3">
        <v>0.99</v>
      </c>
      <c r="Q857" s="3">
        <v>0</v>
      </c>
      <c r="R857" s="3">
        <v>0</v>
      </c>
      <c r="S857" s="3">
        <v>0</v>
      </c>
      <c r="T857" s="3">
        <v>0</v>
      </c>
      <c r="U857" s="3">
        <v>0</v>
      </c>
      <c r="V857" s="3">
        <v>0</v>
      </c>
      <c r="W857" s="3" t="s">
        <v>1720</v>
      </c>
      <c r="X857" s="3">
        <v>15.99</v>
      </c>
      <c r="Y857" s="3">
        <v>15.99</v>
      </c>
      <c r="Z857" s="3">
        <v>15.99</v>
      </c>
      <c r="AA857" s="3">
        <v>0</v>
      </c>
      <c r="AB857" s="3" t="s">
        <v>1721</v>
      </c>
      <c r="AC857" s="3">
        <v>0</v>
      </c>
      <c r="AD857" s="3">
        <v>14.61</v>
      </c>
      <c r="AE857" s="3">
        <v>49</v>
      </c>
      <c r="AF857" s="3">
        <v>0</v>
      </c>
      <c r="AG857" s="3">
        <v>19.23572</v>
      </c>
      <c r="AH857" s="3">
        <v>0</v>
      </c>
      <c r="AI857" s="3" t="s">
        <v>4419</v>
      </c>
      <c r="AJ857" s="3" t="s">
        <v>1783</v>
      </c>
    </row>
    <row r="858" spans="1:36">
      <c r="A858" s="4">
        <v>43277</v>
      </c>
      <c r="B858" s="3" t="s">
        <v>4420</v>
      </c>
      <c r="C858" s="3" t="s">
        <v>4421</v>
      </c>
      <c r="D858" s="3" t="s">
        <v>4422</v>
      </c>
      <c r="E858" s="3" t="s">
        <v>2462</v>
      </c>
      <c r="F858" s="3" t="s">
        <v>1710</v>
      </c>
      <c r="G858" s="3">
        <v>16</v>
      </c>
      <c r="H858" s="3">
        <v>0</v>
      </c>
      <c r="I858" s="3">
        <v>16</v>
      </c>
      <c r="J858" s="3">
        <v>0</v>
      </c>
      <c r="K858" s="3">
        <v>0</v>
      </c>
      <c r="L858" s="3">
        <v>0</v>
      </c>
      <c r="M858" s="3">
        <v>0</v>
      </c>
      <c r="N858" s="3" t="s">
        <v>1711</v>
      </c>
      <c r="O858" s="3">
        <v>0</v>
      </c>
      <c r="P858" s="3">
        <v>0</v>
      </c>
      <c r="Q858" s="3">
        <v>0</v>
      </c>
      <c r="R858" s="3">
        <v>0</v>
      </c>
      <c r="S858" s="3">
        <v>0</v>
      </c>
      <c r="T858" s="3">
        <v>1</v>
      </c>
      <c r="U858" s="3">
        <v>4</v>
      </c>
      <c r="V858" s="3">
        <v>4</v>
      </c>
      <c r="W858" s="3" t="s">
        <v>1712</v>
      </c>
      <c r="X858" s="3">
        <v>21.99</v>
      </c>
      <c r="Y858" s="3">
        <v>21.99</v>
      </c>
      <c r="Z858" s="3">
        <v>21.99</v>
      </c>
      <c r="AA858" s="3">
        <v>0</v>
      </c>
      <c r="AB858" s="3" t="s">
        <v>1713</v>
      </c>
      <c r="AC858" s="3">
        <v>16</v>
      </c>
      <c r="AD858" s="3">
        <v>21.99</v>
      </c>
      <c r="AE858" s="3">
        <v>0</v>
      </c>
      <c r="AF858" s="3">
        <v>0</v>
      </c>
      <c r="AG858" s="3">
        <v>0</v>
      </c>
      <c r="AH858" s="3">
        <v>0.363636363636363</v>
      </c>
      <c r="AI858" s="3" t="s">
        <v>1890</v>
      </c>
      <c r="AJ858" s="3" t="s">
        <v>1715</v>
      </c>
    </row>
    <row r="859" spans="1:36">
      <c r="A859" s="4">
        <v>43277</v>
      </c>
      <c r="B859" s="3" t="s">
        <v>1365</v>
      </c>
      <c r="C859" s="3" t="s">
        <v>1366</v>
      </c>
      <c r="D859" s="3" t="s">
        <v>1367</v>
      </c>
      <c r="E859" s="3" t="s">
        <v>1368</v>
      </c>
      <c r="F859" s="3" t="s">
        <v>1710</v>
      </c>
      <c r="G859" s="3">
        <v>1</v>
      </c>
      <c r="H859" s="3">
        <v>0</v>
      </c>
      <c r="I859" s="3">
        <v>1</v>
      </c>
      <c r="J859" s="3">
        <v>0</v>
      </c>
      <c r="K859" s="3">
        <v>0</v>
      </c>
      <c r="L859" s="3">
        <v>0</v>
      </c>
      <c r="M859" s="3">
        <v>0</v>
      </c>
      <c r="N859" s="3" t="s">
        <v>1711</v>
      </c>
      <c r="O859" s="3">
        <v>0</v>
      </c>
      <c r="P859" s="3">
        <v>0</v>
      </c>
      <c r="Q859" s="3">
        <v>0</v>
      </c>
      <c r="R859" s="3">
        <v>0</v>
      </c>
      <c r="S859" s="3">
        <v>19</v>
      </c>
      <c r="T859" s="3">
        <v>44</v>
      </c>
      <c r="U859" s="3">
        <v>60</v>
      </c>
      <c r="V859" s="3">
        <v>60</v>
      </c>
      <c r="W859" s="3"/>
      <c r="X859" s="3"/>
      <c r="Y859" s="3"/>
      <c r="Z859" s="3">
        <v>-1</v>
      </c>
      <c r="AA859" s="3">
        <v>-1</v>
      </c>
      <c r="AB859" s="3" t="s">
        <v>1776</v>
      </c>
      <c r="AC859" s="3">
        <v>13</v>
      </c>
      <c r="AD859" s="3">
        <v>19.99</v>
      </c>
      <c r="AE859" s="3">
        <v>0</v>
      </c>
      <c r="AF859" s="3">
        <v>0</v>
      </c>
      <c r="AG859" s="3">
        <v>0</v>
      </c>
      <c r="AH859" s="3">
        <v>180</v>
      </c>
      <c r="AI859" s="3" t="s">
        <v>2204</v>
      </c>
      <c r="AJ859" s="3" t="s">
        <v>1715</v>
      </c>
    </row>
    <row r="860" spans="1:36">
      <c r="A860" s="4">
        <v>43277</v>
      </c>
      <c r="B860" s="3" t="s">
        <v>4423</v>
      </c>
      <c r="C860" s="3" t="s">
        <v>4424</v>
      </c>
      <c r="D860" s="3" t="s">
        <v>4425</v>
      </c>
      <c r="E860" s="3" t="s">
        <v>1426</v>
      </c>
      <c r="F860" s="3" t="s">
        <v>1710</v>
      </c>
      <c r="G860" s="3">
        <v>9</v>
      </c>
      <c r="H860" s="3">
        <v>0</v>
      </c>
      <c r="I860" s="3">
        <v>9</v>
      </c>
      <c r="J860" s="3">
        <v>0</v>
      </c>
      <c r="K860" s="3">
        <v>0</v>
      </c>
      <c r="L860" s="3">
        <v>0</v>
      </c>
      <c r="M860" s="3">
        <v>0</v>
      </c>
      <c r="N860" s="3" t="s">
        <v>1711</v>
      </c>
      <c r="O860" s="3">
        <v>0</v>
      </c>
      <c r="P860" s="3">
        <v>0</v>
      </c>
      <c r="Q860" s="3">
        <v>0</v>
      </c>
      <c r="R860" s="3">
        <v>0</v>
      </c>
      <c r="S860" s="3">
        <v>0</v>
      </c>
      <c r="T860" s="3">
        <v>1</v>
      </c>
      <c r="U860" s="3">
        <v>1</v>
      </c>
      <c r="V860" s="3">
        <v>1</v>
      </c>
      <c r="W860" s="3"/>
      <c r="X860" s="3">
        <v>17.99</v>
      </c>
      <c r="Y860" s="3">
        <v>17.99</v>
      </c>
      <c r="Z860" s="3">
        <v>17.99</v>
      </c>
      <c r="AA860" s="3">
        <v>0</v>
      </c>
      <c r="AB860" s="3" t="s">
        <v>1732</v>
      </c>
      <c r="AC860" s="3">
        <v>0</v>
      </c>
      <c r="AD860" s="3">
        <v>14.39</v>
      </c>
      <c r="AE860" s="3">
        <v>63</v>
      </c>
      <c r="AF860" s="3">
        <v>0</v>
      </c>
      <c r="AG860" s="3">
        <v>84.070664</v>
      </c>
      <c r="AH860" s="3">
        <v>0.111111111111111</v>
      </c>
      <c r="AI860" s="3" t="s">
        <v>2295</v>
      </c>
      <c r="AJ860" s="3" t="s">
        <v>1715</v>
      </c>
    </row>
    <row r="861" spans="1:36">
      <c r="A861" s="4">
        <v>43277</v>
      </c>
      <c r="B861" s="3" t="s">
        <v>4426</v>
      </c>
      <c r="C861" s="3" t="s">
        <v>4427</v>
      </c>
      <c r="D861" s="3" t="s">
        <v>4428</v>
      </c>
      <c r="E861" s="3" t="s">
        <v>1136</v>
      </c>
      <c r="F861" s="3" t="s">
        <v>1710</v>
      </c>
      <c r="G861" s="3">
        <v>16</v>
      </c>
      <c r="H861" s="3">
        <v>0</v>
      </c>
      <c r="I861" s="3">
        <v>16</v>
      </c>
      <c r="J861" s="3">
        <v>0</v>
      </c>
      <c r="K861" s="3">
        <v>0</v>
      </c>
      <c r="L861" s="3">
        <v>0</v>
      </c>
      <c r="M861" s="3">
        <v>0</v>
      </c>
      <c r="N861" s="3" t="s">
        <v>1711</v>
      </c>
      <c r="O861" s="3">
        <v>0</v>
      </c>
      <c r="P861" s="3">
        <v>0</v>
      </c>
      <c r="Q861" s="3">
        <v>0</v>
      </c>
      <c r="R861" s="3">
        <v>0</v>
      </c>
      <c r="S861" s="3">
        <v>1</v>
      </c>
      <c r="T861" s="3">
        <v>4</v>
      </c>
      <c r="U861" s="3">
        <v>4</v>
      </c>
      <c r="V861" s="3">
        <v>4</v>
      </c>
      <c r="W861" s="3"/>
      <c r="X861" s="3">
        <v>21.99</v>
      </c>
      <c r="Y861" s="3">
        <v>21.99</v>
      </c>
      <c r="Z861" s="3">
        <v>21.99</v>
      </c>
      <c r="AA861" s="3">
        <v>0</v>
      </c>
      <c r="AB861" s="3" t="s">
        <v>1732</v>
      </c>
      <c r="AC861" s="3">
        <v>2</v>
      </c>
      <c r="AD861" s="3">
        <v>20.1</v>
      </c>
      <c r="AE861" s="3">
        <v>238</v>
      </c>
      <c r="AF861" s="3">
        <v>0</v>
      </c>
      <c r="AG861" s="3">
        <v>209.43359</v>
      </c>
      <c r="AH861" s="3">
        <v>0.25</v>
      </c>
      <c r="AI861" s="3" t="s">
        <v>4429</v>
      </c>
      <c r="AJ861" s="3" t="s">
        <v>1715</v>
      </c>
    </row>
    <row r="862" spans="1:36">
      <c r="A862" s="4">
        <v>43277</v>
      </c>
      <c r="B862" s="3" t="s">
        <v>4430</v>
      </c>
      <c r="C862" s="3" t="s">
        <v>4431</v>
      </c>
      <c r="D862" s="3" t="s">
        <v>4432</v>
      </c>
      <c r="E862" s="3" t="s">
        <v>4433</v>
      </c>
      <c r="F862" s="3" t="s">
        <v>1710</v>
      </c>
      <c r="G862" s="3">
        <v>28</v>
      </c>
      <c r="H862" s="3">
        <v>0</v>
      </c>
      <c r="I862" s="3">
        <v>28</v>
      </c>
      <c r="J862" s="3">
        <v>0</v>
      </c>
      <c r="K862" s="3">
        <v>0</v>
      </c>
      <c r="L862" s="3">
        <v>0</v>
      </c>
      <c r="M862" s="3">
        <v>0</v>
      </c>
      <c r="N862" s="3" t="s">
        <v>1711</v>
      </c>
      <c r="O862" s="3">
        <v>0</v>
      </c>
      <c r="P862" s="3">
        <v>0</v>
      </c>
      <c r="Q862" s="3">
        <v>0</v>
      </c>
      <c r="R862" s="3">
        <v>0</v>
      </c>
      <c r="S862" s="3">
        <v>1</v>
      </c>
      <c r="T862" s="3">
        <v>2</v>
      </c>
      <c r="U862" s="3">
        <v>2</v>
      </c>
      <c r="V862" s="3">
        <v>2</v>
      </c>
      <c r="W862" s="3"/>
      <c r="X862" s="3">
        <v>14.99</v>
      </c>
      <c r="Y862" s="3">
        <v>14.99</v>
      </c>
      <c r="Z862" s="3">
        <v>14.99</v>
      </c>
      <c r="AA862" s="3">
        <v>0</v>
      </c>
      <c r="AB862" s="3" t="s">
        <v>1732</v>
      </c>
      <c r="AC862" s="3">
        <v>4</v>
      </c>
      <c r="AD862" s="3">
        <v>13.95</v>
      </c>
      <c r="AE862" s="3">
        <v>231</v>
      </c>
      <c r="AF862" s="3">
        <v>0</v>
      </c>
      <c r="AG862" s="3">
        <v>291.655315</v>
      </c>
      <c r="AH862" s="3">
        <v>0.0714285714285714</v>
      </c>
      <c r="AI862" s="3" t="s">
        <v>2467</v>
      </c>
      <c r="AJ862" s="3" t="s">
        <v>1715</v>
      </c>
    </row>
    <row r="863" spans="1:36">
      <c r="A863" s="4">
        <v>43277</v>
      </c>
      <c r="B863" s="3" t="s">
        <v>4434</v>
      </c>
      <c r="C863" s="3" t="s">
        <v>4435</v>
      </c>
      <c r="D863" s="3" t="s">
        <v>4436</v>
      </c>
      <c r="E863" s="3" t="s">
        <v>4437</v>
      </c>
      <c r="F863" s="3" t="s">
        <v>1710</v>
      </c>
      <c r="G863" s="3">
        <v>55</v>
      </c>
      <c r="H863" s="3">
        <v>0</v>
      </c>
      <c r="I863" s="3">
        <v>5</v>
      </c>
      <c r="J863" s="3">
        <v>50</v>
      </c>
      <c r="K863" s="3">
        <v>0</v>
      </c>
      <c r="L863" s="3">
        <v>0</v>
      </c>
      <c r="M863" s="3">
        <v>0</v>
      </c>
      <c r="N863" s="3" t="s">
        <v>1711</v>
      </c>
      <c r="O863" s="3">
        <v>0</v>
      </c>
      <c r="P863" s="3">
        <v>0</v>
      </c>
      <c r="Q863" s="3">
        <v>0</v>
      </c>
      <c r="R863" s="3">
        <v>0</v>
      </c>
      <c r="S863" s="3">
        <v>3</v>
      </c>
      <c r="T863" s="3">
        <v>4</v>
      </c>
      <c r="U863" s="3">
        <v>7</v>
      </c>
      <c r="V863" s="3">
        <v>15</v>
      </c>
      <c r="W863" s="3"/>
      <c r="X863" s="3">
        <v>35</v>
      </c>
      <c r="Y863" s="3">
        <v>16.99</v>
      </c>
      <c r="Z863" s="3">
        <v>16</v>
      </c>
      <c r="AA863" s="3">
        <v>0</v>
      </c>
      <c r="AB863" s="3" t="s">
        <v>1732</v>
      </c>
      <c r="AC863" s="3">
        <v>17</v>
      </c>
      <c r="AD863" s="3">
        <v>16.1</v>
      </c>
      <c r="AE863" s="3">
        <v>70</v>
      </c>
      <c r="AF863" s="3">
        <v>0</v>
      </c>
      <c r="AG863" s="3">
        <v>908.535759</v>
      </c>
      <c r="AH863" s="3">
        <v>0.246913580246913</v>
      </c>
      <c r="AI863" s="3" t="s">
        <v>1905</v>
      </c>
      <c r="AJ863" s="3" t="s">
        <v>2616</v>
      </c>
    </row>
    <row r="864" spans="1:36">
      <c r="A864" s="4">
        <v>43277</v>
      </c>
      <c r="B864" s="3" t="s">
        <v>447</v>
      </c>
      <c r="C864" s="3" t="s">
        <v>448</v>
      </c>
      <c r="D864" s="3" t="s">
        <v>449</v>
      </c>
      <c r="E864" s="3" t="s">
        <v>450</v>
      </c>
      <c r="F864" s="3" t="s">
        <v>1710</v>
      </c>
      <c r="G864" s="3">
        <v>98</v>
      </c>
      <c r="H864" s="3">
        <v>0</v>
      </c>
      <c r="I864" s="3">
        <v>98</v>
      </c>
      <c r="J864" s="3">
        <v>0</v>
      </c>
      <c r="K864" s="3">
        <v>0</v>
      </c>
      <c r="L864" s="3">
        <v>0</v>
      </c>
      <c r="M864" s="3">
        <v>0</v>
      </c>
      <c r="N864" s="3" t="s">
        <v>1711</v>
      </c>
      <c r="O864" s="3">
        <v>0</v>
      </c>
      <c r="P864" s="3">
        <v>0</v>
      </c>
      <c r="Q864" s="3">
        <v>0</v>
      </c>
      <c r="R864" s="3">
        <v>0</v>
      </c>
      <c r="S864" s="3">
        <v>23</v>
      </c>
      <c r="T864" s="3">
        <v>97</v>
      </c>
      <c r="U864" s="3">
        <v>154</v>
      </c>
      <c r="V864" s="3">
        <v>197</v>
      </c>
      <c r="W864" s="3"/>
      <c r="X864" s="3">
        <v>48.58</v>
      </c>
      <c r="Y864" s="3">
        <v>28.99</v>
      </c>
      <c r="Z864" s="3">
        <v>28</v>
      </c>
      <c r="AA864" s="3">
        <v>0</v>
      </c>
      <c r="AB864" s="3" t="s">
        <v>1713</v>
      </c>
      <c r="AC864" s="3">
        <v>107</v>
      </c>
      <c r="AD864" s="3">
        <v>28.99</v>
      </c>
      <c r="AE864" s="3">
        <v>0</v>
      </c>
      <c r="AF864" s="3">
        <v>0</v>
      </c>
      <c r="AG864" s="3">
        <v>0</v>
      </c>
      <c r="AH864" s="3">
        <v>2.75524475524475</v>
      </c>
      <c r="AI864" s="3" t="s">
        <v>4438</v>
      </c>
      <c r="AJ864" s="3" t="s">
        <v>1715</v>
      </c>
    </row>
    <row r="865" spans="1:36">
      <c r="A865" s="4">
        <v>43277</v>
      </c>
      <c r="B865" s="3" t="s">
        <v>1337</v>
      </c>
      <c r="C865" s="3" t="s">
        <v>1338</v>
      </c>
      <c r="D865" s="3" t="s">
        <v>1339</v>
      </c>
      <c r="E865" s="3" t="s">
        <v>4439</v>
      </c>
      <c r="F865" s="3" t="s">
        <v>1710</v>
      </c>
      <c r="G865" s="3">
        <v>11</v>
      </c>
      <c r="H865" s="3">
        <v>0</v>
      </c>
      <c r="I865" s="3">
        <v>11</v>
      </c>
      <c r="J865" s="3">
        <v>0</v>
      </c>
      <c r="K865" s="3">
        <v>0</v>
      </c>
      <c r="L865" s="3">
        <v>0</v>
      </c>
      <c r="M865" s="3">
        <v>0</v>
      </c>
      <c r="N865" s="3" t="s">
        <v>1711</v>
      </c>
      <c r="O865" s="3">
        <v>0</v>
      </c>
      <c r="P865" s="3">
        <v>0</v>
      </c>
      <c r="Q865" s="3">
        <v>0</v>
      </c>
      <c r="R865" s="3">
        <v>0</v>
      </c>
      <c r="S865" s="3">
        <v>0</v>
      </c>
      <c r="T865" s="3">
        <v>5</v>
      </c>
      <c r="U865" s="3">
        <v>5</v>
      </c>
      <c r="V865" s="3">
        <v>5</v>
      </c>
      <c r="W865" s="3"/>
      <c r="X865" s="3">
        <v>19.99</v>
      </c>
      <c r="Y865" s="3">
        <v>19.99</v>
      </c>
      <c r="Z865" s="3">
        <v>19.99</v>
      </c>
      <c r="AA865" s="3">
        <v>0</v>
      </c>
      <c r="AB865" s="3" t="s">
        <v>1713</v>
      </c>
      <c r="AC865" s="3">
        <v>10</v>
      </c>
      <c r="AD865" s="3">
        <v>19.99</v>
      </c>
      <c r="AE865" s="3">
        <v>0</v>
      </c>
      <c r="AF865" s="3">
        <v>0</v>
      </c>
      <c r="AG865" s="3">
        <v>0</v>
      </c>
      <c r="AH865" s="3">
        <v>0.37037037037037</v>
      </c>
      <c r="AI865" s="3" t="s">
        <v>1919</v>
      </c>
      <c r="AJ865" s="3" t="s">
        <v>1715</v>
      </c>
    </row>
    <row r="866" spans="1:36">
      <c r="A866" s="4">
        <v>43277</v>
      </c>
      <c r="B866" s="3" t="s">
        <v>4440</v>
      </c>
      <c r="C866" s="3" t="s">
        <v>4441</v>
      </c>
      <c r="D866" s="3" t="s">
        <v>4442</v>
      </c>
      <c r="E866" s="3" t="s">
        <v>1755</v>
      </c>
      <c r="F866" s="3" t="s">
        <v>1710</v>
      </c>
      <c r="G866" s="3">
        <v>10</v>
      </c>
      <c r="H866" s="3">
        <v>0</v>
      </c>
      <c r="I866" s="3">
        <v>10</v>
      </c>
      <c r="J866" s="3">
        <v>0</v>
      </c>
      <c r="K866" s="3">
        <v>0</v>
      </c>
      <c r="L866" s="3">
        <v>0</v>
      </c>
      <c r="M866" s="3">
        <v>0</v>
      </c>
      <c r="N866" s="3" t="s">
        <v>1711</v>
      </c>
      <c r="O866" s="3">
        <v>0</v>
      </c>
      <c r="P866" s="3">
        <v>0</v>
      </c>
      <c r="Q866" s="3">
        <v>0</v>
      </c>
      <c r="R866" s="3">
        <v>0</v>
      </c>
      <c r="S866" s="3">
        <v>0</v>
      </c>
      <c r="T866" s="3">
        <v>0</v>
      </c>
      <c r="U866" s="3">
        <v>0</v>
      </c>
      <c r="V866" s="3">
        <v>0</v>
      </c>
      <c r="W866" s="3" t="s">
        <v>1720</v>
      </c>
      <c r="X866" s="3">
        <v>15.99</v>
      </c>
      <c r="Y866" s="3">
        <v>15.99</v>
      </c>
      <c r="Z866" s="3">
        <v>15.99</v>
      </c>
      <c r="AA866" s="3">
        <v>0</v>
      </c>
      <c r="AB866" s="3" t="s">
        <v>1721</v>
      </c>
      <c r="AC866" s="3">
        <v>10</v>
      </c>
      <c r="AD866" s="3">
        <v>15.99</v>
      </c>
      <c r="AE866" s="3">
        <v>0</v>
      </c>
      <c r="AF866" s="3">
        <v>0</v>
      </c>
      <c r="AG866" s="3">
        <v>0</v>
      </c>
      <c r="AH866" s="3">
        <v>0</v>
      </c>
      <c r="AI866" s="3" t="s">
        <v>1756</v>
      </c>
      <c r="AJ866" s="3" t="s">
        <v>1715</v>
      </c>
    </row>
    <row r="867" spans="1:36">
      <c r="A867" s="4">
        <v>43277</v>
      </c>
      <c r="B867" s="3" t="s">
        <v>4443</v>
      </c>
      <c r="C867" s="3" t="s">
        <v>4444</v>
      </c>
      <c r="D867" s="3" t="s">
        <v>4445</v>
      </c>
      <c r="E867" s="3" t="s">
        <v>4446</v>
      </c>
      <c r="F867" s="3" t="s">
        <v>1710</v>
      </c>
      <c r="G867" s="3">
        <v>1</v>
      </c>
      <c r="H867" s="3">
        <v>0</v>
      </c>
      <c r="I867" s="3">
        <v>0</v>
      </c>
      <c r="J867" s="3">
        <v>0</v>
      </c>
      <c r="K867" s="3">
        <v>0</v>
      </c>
      <c r="L867" s="3">
        <v>0</v>
      </c>
      <c r="M867" s="3">
        <v>1</v>
      </c>
      <c r="N867" s="3" t="s">
        <v>1711</v>
      </c>
      <c r="O867" s="3">
        <v>0</v>
      </c>
      <c r="P867" s="3">
        <v>0</v>
      </c>
      <c r="Q867" s="3">
        <v>1</v>
      </c>
      <c r="R867" s="3">
        <v>1.92</v>
      </c>
      <c r="S867" s="3">
        <v>0</v>
      </c>
      <c r="T867" s="3">
        <v>0</v>
      </c>
      <c r="U867" s="3">
        <v>0</v>
      </c>
      <c r="V867" s="3">
        <v>0</v>
      </c>
      <c r="W867" s="3" t="s">
        <v>1720</v>
      </c>
      <c r="X867" s="3">
        <v>15.99</v>
      </c>
      <c r="Y867" s="3">
        <v>15.99</v>
      </c>
      <c r="Z867" s="3">
        <v>15.99</v>
      </c>
      <c r="AA867" s="3">
        <v>0</v>
      </c>
      <c r="AB867" s="3" t="s">
        <v>1713</v>
      </c>
      <c r="AC867" s="3">
        <v>1</v>
      </c>
      <c r="AD867" s="3">
        <v>15.99</v>
      </c>
      <c r="AE867" s="3">
        <v>0</v>
      </c>
      <c r="AF867" s="3">
        <v>0</v>
      </c>
      <c r="AG867" s="3">
        <v>0</v>
      </c>
      <c r="AH867" s="3">
        <v>0</v>
      </c>
      <c r="AI867" s="3" t="s">
        <v>4447</v>
      </c>
      <c r="AJ867" s="3" t="s">
        <v>1783</v>
      </c>
    </row>
    <row r="868" spans="1:36">
      <c r="A868" s="4">
        <v>43277</v>
      </c>
      <c r="B868" s="3" t="s">
        <v>4448</v>
      </c>
      <c r="C868" s="3" t="s">
        <v>4449</v>
      </c>
      <c r="D868" s="3" t="s">
        <v>4450</v>
      </c>
      <c r="E868" s="3" t="s">
        <v>4451</v>
      </c>
      <c r="F868" s="3" t="s">
        <v>1710</v>
      </c>
      <c r="G868" s="3">
        <v>3</v>
      </c>
      <c r="H868" s="3">
        <v>0</v>
      </c>
      <c r="I868" s="3">
        <v>0</v>
      </c>
      <c r="J868" s="3">
        <v>1</v>
      </c>
      <c r="K868" s="3">
        <v>2</v>
      </c>
      <c r="L868" s="3">
        <v>0</v>
      </c>
      <c r="M868" s="3">
        <v>0</v>
      </c>
      <c r="N868" s="3" t="s">
        <v>1711</v>
      </c>
      <c r="O868" s="3">
        <v>2</v>
      </c>
      <c r="P868" s="3">
        <v>2.61</v>
      </c>
      <c r="Q868" s="3">
        <v>0</v>
      </c>
      <c r="R868" s="3">
        <v>0</v>
      </c>
      <c r="S868" s="3">
        <v>0</v>
      </c>
      <c r="T868" s="3">
        <v>1</v>
      </c>
      <c r="U868" s="3">
        <v>2</v>
      </c>
      <c r="V868" s="3">
        <v>2</v>
      </c>
      <c r="W868" s="3" t="s">
        <v>1720</v>
      </c>
      <c r="X868" s="3">
        <v>17.99</v>
      </c>
      <c r="Y868" s="3">
        <v>17.99</v>
      </c>
      <c r="Z868" s="3">
        <v>17.99</v>
      </c>
      <c r="AA868" s="3">
        <v>0</v>
      </c>
      <c r="AB868" s="3" t="s">
        <v>1721</v>
      </c>
      <c r="AC868" s="3">
        <v>0</v>
      </c>
      <c r="AD868" s="3">
        <v>16.89</v>
      </c>
      <c r="AE868" s="3">
        <v>35</v>
      </c>
      <c r="AF868" s="3">
        <v>0</v>
      </c>
      <c r="AG868" s="3">
        <v>46.359589</v>
      </c>
      <c r="AH868" s="3">
        <v>0.444444444444444</v>
      </c>
      <c r="AI868" s="3" t="s">
        <v>2165</v>
      </c>
      <c r="AJ868" s="3" t="s">
        <v>1715</v>
      </c>
    </row>
    <row r="869" spans="1:36">
      <c r="A869" s="4">
        <v>43277</v>
      </c>
      <c r="B869" s="3" t="s">
        <v>1329</v>
      </c>
      <c r="C869" s="3" t="s">
        <v>1330</v>
      </c>
      <c r="D869" s="3" t="s">
        <v>1331</v>
      </c>
      <c r="E869" s="3" t="s">
        <v>1332</v>
      </c>
      <c r="F869" s="3" t="s">
        <v>1710</v>
      </c>
      <c r="G869" s="3">
        <v>19</v>
      </c>
      <c r="H869" s="3">
        <v>0</v>
      </c>
      <c r="I869" s="3">
        <v>19</v>
      </c>
      <c r="J869" s="3">
        <v>0</v>
      </c>
      <c r="K869" s="3">
        <v>0</v>
      </c>
      <c r="L869" s="3">
        <v>0</v>
      </c>
      <c r="M869" s="3">
        <v>0</v>
      </c>
      <c r="N869" s="3" t="s">
        <v>1711</v>
      </c>
      <c r="O869" s="3">
        <v>0</v>
      </c>
      <c r="P869" s="3">
        <v>0</v>
      </c>
      <c r="Q869" s="3">
        <v>0</v>
      </c>
      <c r="R869" s="3">
        <v>0</v>
      </c>
      <c r="S869" s="3">
        <v>4</v>
      </c>
      <c r="T869" s="3">
        <v>26</v>
      </c>
      <c r="U869" s="3">
        <v>41</v>
      </c>
      <c r="V869" s="3">
        <v>41</v>
      </c>
      <c r="W869" s="3"/>
      <c r="X869" s="3">
        <v>25.99</v>
      </c>
      <c r="Y869" s="3">
        <v>25.99</v>
      </c>
      <c r="Z869" s="3">
        <v>25.99</v>
      </c>
      <c r="AA869" s="3">
        <v>0</v>
      </c>
      <c r="AB869" s="3" t="s">
        <v>1713</v>
      </c>
      <c r="AC869" s="3">
        <v>21</v>
      </c>
      <c r="AD869" s="3">
        <v>25.99</v>
      </c>
      <c r="AE869" s="3">
        <v>0</v>
      </c>
      <c r="AF869" s="3">
        <v>0</v>
      </c>
      <c r="AG869" s="3">
        <v>0</v>
      </c>
      <c r="AH869" s="3">
        <v>5.59090909090909</v>
      </c>
      <c r="AI869" s="3" t="s">
        <v>1777</v>
      </c>
      <c r="AJ869" s="3" t="s">
        <v>1715</v>
      </c>
    </row>
    <row r="870" spans="1:36">
      <c r="A870" s="4">
        <v>43277</v>
      </c>
      <c r="B870" s="3" t="s">
        <v>4452</v>
      </c>
      <c r="C870" s="3" t="s">
        <v>4453</v>
      </c>
      <c r="D870" s="3" t="s">
        <v>4454</v>
      </c>
      <c r="E870" s="3" t="s">
        <v>1147</v>
      </c>
      <c r="F870" s="3" t="s">
        <v>1710</v>
      </c>
      <c r="G870" s="3">
        <v>4</v>
      </c>
      <c r="H870" s="3">
        <v>0</v>
      </c>
      <c r="I870" s="3">
        <v>4</v>
      </c>
      <c r="J870" s="3">
        <v>0</v>
      </c>
      <c r="K870" s="3">
        <v>0</v>
      </c>
      <c r="L870" s="3">
        <v>0</v>
      </c>
      <c r="M870" s="3">
        <v>0</v>
      </c>
      <c r="N870" s="3" t="s">
        <v>1711</v>
      </c>
      <c r="O870" s="3">
        <v>0</v>
      </c>
      <c r="P870" s="3">
        <v>0</v>
      </c>
      <c r="Q870" s="3">
        <v>0</v>
      </c>
      <c r="R870" s="3">
        <v>0</v>
      </c>
      <c r="S870" s="3">
        <v>2</v>
      </c>
      <c r="T870" s="3">
        <v>4</v>
      </c>
      <c r="U870" s="3">
        <v>6</v>
      </c>
      <c r="V870" s="3">
        <v>6</v>
      </c>
      <c r="W870" s="3"/>
      <c r="X870" s="3">
        <v>19.99</v>
      </c>
      <c r="Y870" s="3">
        <v>19.99</v>
      </c>
      <c r="Z870" s="3">
        <v>19.99</v>
      </c>
      <c r="AA870" s="3">
        <v>0</v>
      </c>
      <c r="AB870" s="3" t="s">
        <v>1713</v>
      </c>
      <c r="AC870" s="3">
        <v>5</v>
      </c>
      <c r="AD870" s="3">
        <v>19.99</v>
      </c>
      <c r="AE870" s="3">
        <v>0</v>
      </c>
      <c r="AF870" s="3">
        <v>0</v>
      </c>
      <c r="AG870" s="3">
        <v>0</v>
      </c>
      <c r="AH870" s="3">
        <v>1.5</v>
      </c>
      <c r="AI870" s="3" t="s">
        <v>1891</v>
      </c>
      <c r="AJ870" s="3" t="s">
        <v>1715</v>
      </c>
    </row>
    <row r="871" spans="1:36">
      <c r="A871" s="4">
        <v>43277</v>
      </c>
      <c r="B871" s="3" t="s">
        <v>4455</v>
      </c>
      <c r="C871" s="3" t="s">
        <v>4456</v>
      </c>
      <c r="D871" s="3" t="s">
        <v>4457</v>
      </c>
      <c r="E871" s="3" t="s">
        <v>4458</v>
      </c>
      <c r="F871" s="3" t="s">
        <v>1710</v>
      </c>
      <c r="G871" s="3">
        <v>2</v>
      </c>
      <c r="H871" s="3">
        <v>0</v>
      </c>
      <c r="I871" s="3">
        <v>2</v>
      </c>
      <c r="J871" s="3">
        <v>0</v>
      </c>
      <c r="K871" s="3">
        <v>0</v>
      </c>
      <c r="L871" s="3">
        <v>0</v>
      </c>
      <c r="M871" s="3">
        <v>0</v>
      </c>
      <c r="N871" s="3" t="s">
        <v>1711</v>
      </c>
      <c r="O871" s="3">
        <v>0</v>
      </c>
      <c r="P871" s="3">
        <v>0</v>
      </c>
      <c r="Q871" s="3">
        <v>0</v>
      </c>
      <c r="R871" s="3">
        <v>0</v>
      </c>
      <c r="S871" s="3">
        <v>0</v>
      </c>
      <c r="T871" s="3">
        <v>1</v>
      </c>
      <c r="U871" s="3">
        <v>4</v>
      </c>
      <c r="V871" s="3">
        <v>4</v>
      </c>
      <c r="W871" s="3"/>
      <c r="X871" s="3">
        <v>15.99</v>
      </c>
      <c r="Y871" s="3">
        <v>15.99</v>
      </c>
      <c r="Z871" s="3">
        <v>15.99</v>
      </c>
      <c r="AA871" s="3">
        <v>0</v>
      </c>
      <c r="AB871" s="3" t="s">
        <v>1713</v>
      </c>
      <c r="AC871" s="3">
        <v>2</v>
      </c>
      <c r="AD871" s="3">
        <v>15.99</v>
      </c>
      <c r="AE871" s="3">
        <v>0</v>
      </c>
      <c r="AF871" s="3">
        <v>0</v>
      </c>
      <c r="AG871" s="3">
        <v>0</v>
      </c>
      <c r="AH871" s="3">
        <v>2.4</v>
      </c>
      <c r="AI871" s="3" t="s">
        <v>1905</v>
      </c>
      <c r="AJ871" s="3" t="s">
        <v>1715</v>
      </c>
    </row>
    <row r="872" spans="1:36">
      <c r="A872" s="4">
        <v>43277</v>
      </c>
      <c r="B872" s="3" t="s">
        <v>4459</v>
      </c>
      <c r="C872" s="3" t="s">
        <v>4460</v>
      </c>
      <c r="D872" s="3" t="s">
        <v>4461</v>
      </c>
      <c r="E872" s="3" t="s">
        <v>1820</v>
      </c>
      <c r="F872" s="3" t="s">
        <v>1710</v>
      </c>
      <c r="G872" s="3">
        <v>10</v>
      </c>
      <c r="H872" s="3">
        <v>0</v>
      </c>
      <c r="I872" s="3">
        <v>10</v>
      </c>
      <c r="J872" s="3">
        <v>0</v>
      </c>
      <c r="K872" s="3">
        <v>0</v>
      </c>
      <c r="L872" s="3">
        <v>0</v>
      </c>
      <c r="M872" s="3">
        <v>0</v>
      </c>
      <c r="N872" s="3" t="s">
        <v>1711</v>
      </c>
      <c r="O872" s="3">
        <v>0</v>
      </c>
      <c r="P872" s="3">
        <v>0</v>
      </c>
      <c r="Q872" s="3">
        <v>0</v>
      </c>
      <c r="R872" s="3">
        <v>0</v>
      </c>
      <c r="S872" s="3">
        <v>0</v>
      </c>
      <c r="T872" s="3">
        <v>0</v>
      </c>
      <c r="U872" s="3">
        <v>0</v>
      </c>
      <c r="V872" s="3">
        <v>0</v>
      </c>
      <c r="W872" s="3" t="s">
        <v>1720</v>
      </c>
      <c r="X872" s="3">
        <v>19.99</v>
      </c>
      <c r="Y872" s="3">
        <v>19.99</v>
      </c>
      <c r="Z872" s="3">
        <v>19.99</v>
      </c>
      <c r="AA872" s="3">
        <v>0</v>
      </c>
      <c r="AB872" s="3" t="s">
        <v>1721</v>
      </c>
      <c r="AC872" s="3">
        <v>0</v>
      </c>
      <c r="AD872" s="3">
        <v>15.99</v>
      </c>
      <c r="AE872" s="3">
        <v>63</v>
      </c>
      <c r="AF872" s="3">
        <v>0</v>
      </c>
      <c r="AG872" s="3">
        <v>71.82189</v>
      </c>
      <c r="AH872" s="3">
        <v>0</v>
      </c>
      <c r="AI872" s="3" t="s">
        <v>1821</v>
      </c>
      <c r="AJ872" s="3" t="s">
        <v>1715</v>
      </c>
    </row>
    <row r="873" spans="1:36">
      <c r="A873" s="4">
        <v>43277</v>
      </c>
      <c r="B873" s="3" t="s">
        <v>4462</v>
      </c>
      <c r="C873" s="3" t="s">
        <v>4463</v>
      </c>
      <c r="D873" s="3" t="s">
        <v>4464</v>
      </c>
      <c r="E873" s="3" t="s">
        <v>1709</v>
      </c>
      <c r="F873" s="3" t="s">
        <v>1710</v>
      </c>
      <c r="G873" s="3">
        <v>5</v>
      </c>
      <c r="H873" s="3">
        <v>0</v>
      </c>
      <c r="I873" s="3">
        <v>5</v>
      </c>
      <c r="J873" s="3">
        <v>0</v>
      </c>
      <c r="K873" s="3">
        <v>0</v>
      </c>
      <c r="L873" s="3">
        <v>0</v>
      </c>
      <c r="M873" s="3">
        <v>0</v>
      </c>
      <c r="N873" s="3" t="s">
        <v>1711</v>
      </c>
      <c r="O873" s="3">
        <v>0</v>
      </c>
      <c r="P873" s="3">
        <v>0</v>
      </c>
      <c r="Q873" s="3">
        <v>0</v>
      </c>
      <c r="R873" s="3">
        <v>0</v>
      </c>
      <c r="S873" s="3">
        <v>4</v>
      </c>
      <c r="T873" s="3">
        <v>8</v>
      </c>
      <c r="U873" s="3">
        <v>11</v>
      </c>
      <c r="V873" s="3">
        <v>11</v>
      </c>
      <c r="W873" s="3"/>
      <c r="X873" s="3">
        <v>17.99</v>
      </c>
      <c r="Y873" s="3">
        <v>17.99</v>
      </c>
      <c r="Z873" s="3">
        <v>17.99</v>
      </c>
      <c r="AA873" s="3">
        <v>0</v>
      </c>
      <c r="AB873" s="3" t="s">
        <v>1713</v>
      </c>
      <c r="AC873" s="3">
        <v>8</v>
      </c>
      <c r="AD873" s="3">
        <v>17.99</v>
      </c>
      <c r="AE873" s="3">
        <v>0</v>
      </c>
      <c r="AF873" s="3">
        <v>0</v>
      </c>
      <c r="AG873" s="3">
        <v>0</v>
      </c>
      <c r="AH873" s="3">
        <v>1.22222222222222</v>
      </c>
      <c r="AI873" s="3" t="s">
        <v>1714</v>
      </c>
      <c r="AJ873" s="3" t="s">
        <v>1715</v>
      </c>
    </row>
    <row r="874" spans="1:36">
      <c r="A874" s="4">
        <v>43277</v>
      </c>
      <c r="B874" s="3" t="s">
        <v>4465</v>
      </c>
      <c r="C874" s="3" t="s">
        <v>4466</v>
      </c>
      <c r="D874" s="3" t="s">
        <v>4467</v>
      </c>
      <c r="E874" s="3" t="s">
        <v>3402</v>
      </c>
      <c r="F874" s="3" t="s">
        <v>1710</v>
      </c>
      <c r="G874" s="3">
        <v>4</v>
      </c>
      <c r="H874" s="3">
        <v>0</v>
      </c>
      <c r="I874" s="3">
        <v>0</v>
      </c>
      <c r="J874" s="3">
        <v>0</v>
      </c>
      <c r="K874" s="3">
        <v>4</v>
      </c>
      <c r="L874" s="3">
        <v>0</v>
      </c>
      <c r="M874" s="3">
        <v>0</v>
      </c>
      <c r="N874" s="3" t="s">
        <v>1711</v>
      </c>
      <c r="O874" s="3">
        <v>4</v>
      </c>
      <c r="P874" s="3">
        <v>19.52</v>
      </c>
      <c r="Q874" s="3">
        <v>0</v>
      </c>
      <c r="R874" s="3">
        <v>0</v>
      </c>
      <c r="S874" s="3">
        <v>0</v>
      </c>
      <c r="T874" s="3">
        <v>0</v>
      </c>
      <c r="U874" s="3">
        <v>0</v>
      </c>
      <c r="V874" s="3">
        <v>0</v>
      </c>
      <c r="W874" s="3" t="s">
        <v>1712</v>
      </c>
      <c r="X874" s="3">
        <v>29.99</v>
      </c>
      <c r="Y874" s="3">
        <v>29.99</v>
      </c>
      <c r="Z874" s="3">
        <v>28.99</v>
      </c>
      <c r="AA874" s="3">
        <v>0</v>
      </c>
      <c r="AB874" s="3" t="s">
        <v>1732</v>
      </c>
      <c r="AC874" s="3">
        <v>0</v>
      </c>
      <c r="AD874" s="3">
        <v>25.59</v>
      </c>
      <c r="AE874" s="3">
        <v>147</v>
      </c>
      <c r="AF874" s="3">
        <v>0</v>
      </c>
      <c r="AG874" s="3">
        <v>251.635907</v>
      </c>
      <c r="AH874" s="3">
        <v>0</v>
      </c>
      <c r="AI874" s="3" t="s">
        <v>2094</v>
      </c>
      <c r="AJ874" s="3" t="s">
        <v>1715</v>
      </c>
    </row>
    <row r="875" spans="1:36">
      <c r="A875" s="4">
        <v>43277</v>
      </c>
      <c r="B875" s="3" t="s">
        <v>4468</v>
      </c>
      <c r="C875" s="3" t="s">
        <v>4469</v>
      </c>
      <c r="D875" s="3" t="s">
        <v>4470</v>
      </c>
      <c r="E875" s="3" t="s">
        <v>4471</v>
      </c>
      <c r="F875" s="3" t="s">
        <v>1710</v>
      </c>
      <c r="G875" s="3">
        <v>15</v>
      </c>
      <c r="H875" s="3">
        <v>0</v>
      </c>
      <c r="I875" s="3">
        <v>15</v>
      </c>
      <c r="J875" s="3">
        <v>0</v>
      </c>
      <c r="K875" s="3">
        <v>0</v>
      </c>
      <c r="L875" s="3">
        <v>0</v>
      </c>
      <c r="M875" s="3">
        <v>0</v>
      </c>
      <c r="N875" s="3" t="s">
        <v>1711</v>
      </c>
      <c r="O875" s="3">
        <v>0</v>
      </c>
      <c r="P875" s="3">
        <v>0</v>
      </c>
      <c r="Q875" s="3">
        <v>0</v>
      </c>
      <c r="R875" s="3">
        <v>0</v>
      </c>
      <c r="S875" s="3">
        <v>1</v>
      </c>
      <c r="T875" s="3">
        <v>5</v>
      </c>
      <c r="U875" s="3">
        <v>15</v>
      </c>
      <c r="V875" s="3">
        <v>18</v>
      </c>
      <c r="W875" s="3"/>
      <c r="X875" s="3">
        <v>38</v>
      </c>
      <c r="Y875" s="3">
        <v>25.58</v>
      </c>
      <c r="Z875" s="3">
        <v>25.58</v>
      </c>
      <c r="AA875" s="3">
        <v>0</v>
      </c>
      <c r="AB875" s="3" t="s">
        <v>1713</v>
      </c>
      <c r="AC875" s="3">
        <v>10</v>
      </c>
      <c r="AD875" s="3">
        <v>25.58</v>
      </c>
      <c r="AE875" s="3">
        <v>0</v>
      </c>
      <c r="AF875" s="3">
        <v>0</v>
      </c>
      <c r="AG875" s="3">
        <v>0</v>
      </c>
      <c r="AH875" s="3">
        <v>2.48275862068965</v>
      </c>
      <c r="AI875" s="3" t="s">
        <v>2128</v>
      </c>
      <c r="AJ875" s="3" t="s">
        <v>1715</v>
      </c>
    </row>
    <row r="876" spans="1:36">
      <c r="A876" s="4">
        <v>43277</v>
      </c>
      <c r="B876" s="3" t="s">
        <v>4472</v>
      </c>
      <c r="C876" s="3" t="s">
        <v>4473</v>
      </c>
      <c r="D876" s="3" t="s">
        <v>4474</v>
      </c>
      <c r="E876" s="3" t="s">
        <v>2419</v>
      </c>
      <c r="F876" s="3" t="s">
        <v>1710</v>
      </c>
      <c r="G876" s="3">
        <v>3</v>
      </c>
      <c r="H876" s="3">
        <v>0</v>
      </c>
      <c r="I876" s="3">
        <v>2</v>
      </c>
      <c r="J876" s="3">
        <v>0</v>
      </c>
      <c r="K876" s="3">
        <v>1</v>
      </c>
      <c r="L876" s="3">
        <v>0</v>
      </c>
      <c r="M876" s="3">
        <v>0</v>
      </c>
      <c r="N876" s="3" t="s">
        <v>1711</v>
      </c>
      <c r="O876" s="3">
        <v>1</v>
      </c>
      <c r="P876" s="3">
        <v>0.39</v>
      </c>
      <c r="Q876" s="3">
        <v>0</v>
      </c>
      <c r="R876" s="3">
        <v>0</v>
      </c>
      <c r="S876" s="3">
        <v>0</v>
      </c>
      <c r="T876" s="3">
        <v>0</v>
      </c>
      <c r="U876" s="3">
        <v>0</v>
      </c>
      <c r="V876" s="3">
        <v>2</v>
      </c>
      <c r="W876" s="3" t="s">
        <v>1720</v>
      </c>
      <c r="X876" s="3">
        <v>14.99</v>
      </c>
      <c r="Y876" s="3">
        <v>14.99</v>
      </c>
      <c r="Z876" s="3">
        <v>14.99</v>
      </c>
      <c r="AA876" s="3">
        <v>0</v>
      </c>
      <c r="AB876" s="3" t="s">
        <v>1721</v>
      </c>
      <c r="AC876" s="3">
        <v>0</v>
      </c>
      <c r="AD876" s="3">
        <v>13.97</v>
      </c>
      <c r="AE876" s="3">
        <v>133</v>
      </c>
      <c r="AF876" s="3">
        <v>0</v>
      </c>
      <c r="AG876" s="3">
        <v>30.863827</v>
      </c>
      <c r="AH876" s="3">
        <v>0.727272727272727</v>
      </c>
      <c r="AI876" s="3" t="s">
        <v>2420</v>
      </c>
      <c r="AJ876" s="3" t="s">
        <v>1715</v>
      </c>
    </row>
    <row r="877" spans="1:36">
      <c r="A877" s="4">
        <v>43277</v>
      </c>
      <c r="B877" s="3" t="s">
        <v>4475</v>
      </c>
      <c r="C877" s="3" t="s">
        <v>4476</v>
      </c>
      <c r="D877" s="3" t="s">
        <v>4477</v>
      </c>
      <c r="E877" s="3" t="s">
        <v>4478</v>
      </c>
      <c r="F877" s="3" t="s">
        <v>1710</v>
      </c>
      <c r="G877" s="3">
        <v>11</v>
      </c>
      <c r="H877" s="3">
        <v>0</v>
      </c>
      <c r="I877" s="3">
        <v>11</v>
      </c>
      <c r="J877" s="3">
        <v>0</v>
      </c>
      <c r="K877" s="3">
        <v>0</v>
      </c>
      <c r="L877" s="3">
        <v>0</v>
      </c>
      <c r="M877" s="3">
        <v>0</v>
      </c>
      <c r="N877" s="3" t="s">
        <v>1711</v>
      </c>
      <c r="O877" s="3">
        <v>0</v>
      </c>
      <c r="P877" s="3">
        <v>0</v>
      </c>
      <c r="Q877" s="3">
        <v>0</v>
      </c>
      <c r="R877" s="3">
        <v>0</v>
      </c>
      <c r="S877" s="3">
        <v>2</v>
      </c>
      <c r="T877" s="3">
        <v>4</v>
      </c>
      <c r="U877" s="3">
        <v>13</v>
      </c>
      <c r="V877" s="3">
        <v>16</v>
      </c>
      <c r="W877" s="3" t="s">
        <v>1712</v>
      </c>
      <c r="X877" s="3">
        <v>15.99</v>
      </c>
      <c r="Y877" s="3">
        <v>15.99</v>
      </c>
      <c r="Z877" s="3">
        <v>15.99</v>
      </c>
      <c r="AA877" s="3">
        <v>0</v>
      </c>
      <c r="AB877" s="3" t="s">
        <v>1713</v>
      </c>
      <c r="AC877" s="3">
        <v>11</v>
      </c>
      <c r="AD877" s="3">
        <v>15.99</v>
      </c>
      <c r="AE877" s="3">
        <v>0</v>
      </c>
      <c r="AF877" s="3">
        <v>0</v>
      </c>
      <c r="AG877" s="3">
        <v>0</v>
      </c>
      <c r="AH877" s="3">
        <v>1.2</v>
      </c>
      <c r="AI877" s="3" t="s">
        <v>3820</v>
      </c>
      <c r="AJ877" s="3" t="s">
        <v>1715</v>
      </c>
    </row>
    <row r="878" spans="1:36">
      <c r="A878" s="4">
        <v>43277</v>
      </c>
      <c r="B878" s="3" t="s">
        <v>4479</v>
      </c>
      <c r="C878" s="3" t="s">
        <v>4480</v>
      </c>
      <c r="D878" s="3" t="s">
        <v>4481</v>
      </c>
      <c r="E878" s="3" t="s">
        <v>2332</v>
      </c>
      <c r="F878" s="3" t="s">
        <v>1710</v>
      </c>
      <c r="G878" s="3">
        <v>18</v>
      </c>
      <c r="H878" s="3">
        <v>0</v>
      </c>
      <c r="I878" s="3">
        <v>0</v>
      </c>
      <c r="J878" s="3">
        <v>1</v>
      </c>
      <c r="K878" s="3">
        <v>17</v>
      </c>
      <c r="L878" s="3">
        <v>0</v>
      </c>
      <c r="M878" s="3">
        <v>0</v>
      </c>
      <c r="N878" s="3" t="s">
        <v>1711</v>
      </c>
      <c r="O878" s="3">
        <v>18</v>
      </c>
      <c r="P878" s="3">
        <v>48.38</v>
      </c>
      <c r="Q878" s="3">
        <v>0</v>
      </c>
      <c r="R878" s="3">
        <v>0</v>
      </c>
      <c r="S878" s="3">
        <v>0</v>
      </c>
      <c r="T878" s="3">
        <v>0</v>
      </c>
      <c r="U878" s="3">
        <v>0</v>
      </c>
      <c r="V878" s="3">
        <v>0</v>
      </c>
      <c r="W878" s="3" t="s">
        <v>1712</v>
      </c>
      <c r="X878" s="3">
        <v>15.99</v>
      </c>
      <c r="Y878" s="3">
        <v>15.99</v>
      </c>
      <c r="Z878" s="3">
        <v>15.99</v>
      </c>
      <c r="AA878" s="3">
        <v>0</v>
      </c>
      <c r="AB878" s="3" t="s">
        <v>1732</v>
      </c>
      <c r="AC878" s="3">
        <v>0</v>
      </c>
      <c r="AD878" s="3">
        <v>13.67</v>
      </c>
      <c r="AE878" s="3">
        <v>105</v>
      </c>
      <c r="AF878" s="3">
        <v>0</v>
      </c>
      <c r="AG878" s="3">
        <v>651.737233</v>
      </c>
      <c r="AH878" s="3">
        <v>0</v>
      </c>
      <c r="AI878" s="3" t="s">
        <v>2109</v>
      </c>
      <c r="AJ878" s="3" t="s">
        <v>1783</v>
      </c>
    </row>
    <row r="879" spans="1:36">
      <c r="A879" s="4">
        <v>43277</v>
      </c>
      <c r="B879" s="3" t="s">
        <v>4482</v>
      </c>
      <c r="C879" s="3" t="s">
        <v>4483</v>
      </c>
      <c r="D879" s="3" t="s">
        <v>4484</v>
      </c>
      <c r="E879" s="3" t="s">
        <v>4485</v>
      </c>
      <c r="F879" s="3" t="s">
        <v>1710</v>
      </c>
      <c r="G879" s="3">
        <v>2</v>
      </c>
      <c r="H879" s="3">
        <v>0</v>
      </c>
      <c r="I879" s="3">
        <v>0</v>
      </c>
      <c r="J879" s="3">
        <v>0</v>
      </c>
      <c r="K879" s="3">
        <v>2</v>
      </c>
      <c r="L879" s="3">
        <v>0</v>
      </c>
      <c r="M879" s="3">
        <v>0</v>
      </c>
      <c r="N879" s="3" t="s">
        <v>1711</v>
      </c>
      <c r="O879" s="3">
        <v>2</v>
      </c>
      <c r="P879" s="3">
        <v>7.48</v>
      </c>
      <c r="Q879" s="3">
        <v>0</v>
      </c>
      <c r="R879" s="3">
        <v>0</v>
      </c>
      <c r="S879" s="3">
        <v>0</v>
      </c>
      <c r="T879" s="3">
        <v>0</v>
      </c>
      <c r="U879" s="3">
        <v>0</v>
      </c>
      <c r="V879" s="3">
        <v>0</v>
      </c>
      <c r="W879" s="3" t="s">
        <v>1720</v>
      </c>
      <c r="X879" s="3">
        <v>25.99</v>
      </c>
      <c r="Y879" s="3">
        <v>25.99</v>
      </c>
      <c r="Z879" s="3">
        <v>25.99</v>
      </c>
      <c r="AA879" s="3">
        <v>0</v>
      </c>
      <c r="AB879" s="3" t="s">
        <v>1732</v>
      </c>
      <c r="AC879" s="3">
        <v>0</v>
      </c>
      <c r="AD879" s="3">
        <v>20.79</v>
      </c>
      <c r="AE879" s="3">
        <v>63</v>
      </c>
      <c r="AF879" s="3">
        <v>0</v>
      </c>
      <c r="AG879" s="3">
        <v>89.964312</v>
      </c>
      <c r="AH879" s="3">
        <v>0</v>
      </c>
      <c r="AI879" s="3" t="s">
        <v>2834</v>
      </c>
      <c r="AJ879" s="3" t="s">
        <v>1715</v>
      </c>
    </row>
    <row r="880" spans="1:36">
      <c r="A880" s="4">
        <v>43277</v>
      </c>
      <c r="B880" s="3" t="s">
        <v>4486</v>
      </c>
      <c r="C880" s="3" t="s">
        <v>4487</v>
      </c>
      <c r="D880" s="3" t="s">
        <v>4488</v>
      </c>
      <c r="E880" s="3" t="s">
        <v>4489</v>
      </c>
      <c r="F880" s="3" t="s">
        <v>1710</v>
      </c>
      <c r="G880" s="3">
        <v>10</v>
      </c>
      <c r="H880" s="3">
        <v>0</v>
      </c>
      <c r="I880" s="3">
        <v>10</v>
      </c>
      <c r="J880" s="3">
        <v>0</v>
      </c>
      <c r="K880" s="3">
        <v>0</v>
      </c>
      <c r="L880" s="3">
        <v>0</v>
      </c>
      <c r="M880" s="3">
        <v>0</v>
      </c>
      <c r="N880" s="3" t="s">
        <v>1711</v>
      </c>
      <c r="O880" s="3">
        <v>0</v>
      </c>
      <c r="P880" s="3">
        <v>0</v>
      </c>
      <c r="Q880" s="3">
        <v>0</v>
      </c>
      <c r="R880" s="3">
        <v>0</v>
      </c>
      <c r="S880" s="3">
        <v>2</v>
      </c>
      <c r="T880" s="3">
        <v>9</v>
      </c>
      <c r="U880" s="3">
        <v>10</v>
      </c>
      <c r="V880" s="3">
        <v>22</v>
      </c>
      <c r="W880" s="3"/>
      <c r="X880" s="3">
        <v>48.58</v>
      </c>
      <c r="Y880" s="3">
        <v>28.99</v>
      </c>
      <c r="Z880" s="3">
        <v>28.99</v>
      </c>
      <c r="AA880" s="3">
        <v>0</v>
      </c>
      <c r="AB880" s="3" t="s">
        <v>1732</v>
      </c>
      <c r="AC880" s="3">
        <v>1</v>
      </c>
      <c r="AD880" s="3">
        <v>26.14</v>
      </c>
      <c r="AE880" s="3">
        <v>231</v>
      </c>
      <c r="AF880" s="3">
        <v>0</v>
      </c>
      <c r="AG880" s="3">
        <v>291.221201</v>
      </c>
      <c r="AH880" s="3">
        <v>3.66666666666666</v>
      </c>
      <c r="AI880" s="3" t="s">
        <v>1800</v>
      </c>
      <c r="AJ880" s="3" t="s">
        <v>1715</v>
      </c>
    </row>
    <row r="881" spans="1:36">
      <c r="A881" s="4">
        <v>43277</v>
      </c>
      <c r="B881" s="3" t="s">
        <v>4490</v>
      </c>
      <c r="C881" s="3" t="s">
        <v>4491</v>
      </c>
      <c r="D881" s="3" t="s">
        <v>4492</v>
      </c>
      <c r="E881" s="3" t="s">
        <v>4493</v>
      </c>
      <c r="F881" s="3" t="s">
        <v>1710</v>
      </c>
      <c r="G881" s="3">
        <v>7</v>
      </c>
      <c r="H881" s="3">
        <v>0</v>
      </c>
      <c r="I881" s="3">
        <v>7</v>
      </c>
      <c r="J881" s="3">
        <v>0</v>
      </c>
      <c r="K881" s="3">
        <v>0</v>
      </c>
      <c r="L881" s="3">
        <v>0</v>
      </c>
      <c r="M881" s="3">
        <v>0</v>
      </c>
      <c r="N881" s="3" t="s">
        <v>1711</v>
      </c>
      <c r="O881" s="3">
        <v>0</v>
      </c>
      <c r="P881" s="3">
        <v>0</v>
      </c>
      <c r="Q881" s="3">
        <v>0</v>
      </c>
      <c r="R881" s="3">
        <v>0</v>
      </c>
      <c r="S881" s="3">
        <v>2</v>
      </c>
      <c r="T881" s="3">
        <v>7</v>
      </c>
      <c r="U881" s="3">
        <v>28</v>
      </c>
      <c r="V881" s="3">
        <v>52</v>
      </c>
      <c r="W881" s="3"/>
      <c r="X881" s="3">
        <v>18.99</v>
      </c>
      <c r="Y881" s="3">
        <v>18.99</v>
      </c>
      <c r="Z881" s="3">
        <v>18.99</v>
      </c>
      <c r="AA881" s="3">
        <v>0</v>
      </c>
      <c r="AB881" s="3" t="s">
        <v>1732</v>
      </c>
      <c r="AC881" s="3">
        <v>0</v>
      </c>
      <c r="AD881" s="3">
        <v>17.62</v>
      </c>
      <c r="AE881" s="3">
        <v>35</v>
      </c>
      <c r="AF881" s="3">
        <v>0</v>
      </c>
      <c r="AG881" s="3">
        <v>10.391334</v>
      </c>
      <c r="AH881" s="3">
        <v>1.57575757575757</v>
      </c>
      <c r="AI881" s="3" t="s">
        <v>4494</v>
      </c>
      <c r="AJ881" s="3" t="s">
        <v>1715</v>
      </c>
    </row>
    <row r="882" spans="1:36">
      <c r="A882" s="4">
        <v>43277</v>
      </c>
      <c r="B882" s="3" t="s">
        <v>767</v>
      </c>
      <c r="C882" s="3" t="s">
        <v>768</v>
      </c>
      <c r="D882" s="3" t="s">
        <v>769</v>
      </c>
      <c r="E882" s="3" t="s">
        <v>770</v>
      </c>
      <c r="F882" s="3" t="s">
        <v>1710</v>
      </c>
      <c r="G882" s="3">
        <v>18</v>
      </c>
      <c r="H882" s="3">
        <v>0</v>
      </c>
      <c r="I882" s="3">
        <v>10</v>
      </c>
      <c r="J882" s="3">
        <v>3</v>
      </c>
      <c r="K882" s="3">
        <v>3</v>
      </c>
      <c r="L882" s="3">
        <v>2</v>
      </c>
      <c r="M882" s="3">
        <v>0</v>
      </c>
      <c r="N882" s="3" t="s">
        <v>1711</v>
      </c>
      <c r="O882" s="3">
        <v>6</v>
      </c>
      <c r="P882" s="3">
        <v>0.89</v>
      </c>
      <c r="Q882" s="3">
        <v>2</v>
      </c>
      <c r="R882" s="3">
        <v>1</v>
      </c>
      <c r="S882" s="3">
        <v>2</v>
      </c>
      <c r="T882" s="3">
        <v>3</v>
      </c>
      <c r="U882" s="3">
        <v>7</v>
      </c>
      <c r="V882" s="3">
        <v>14</v>
      </c>
      <c r="W882" s="3"/>
      <c r="X882" s="3">
        <v>18.99</v>
      </c>
      <c r="Y882" s="3">
        <v>18.99</v>
      </c>
      <c r="Z882" s="3">
        <v>18.99</v>
      </c>
      <c r="AA882" s="3">
        <v>0</v>
      </c>
      <c r="AB882" s="3" t="s">
        <v>1713</v>
      </c>
      <c r="AC882" s="3">
        <v>19</v>
      </c>
      <c r="AD882" s="3">
        <v>18.99</v>
      </c>
      <c r="AE882" s="3">
        <v>0</v>
      </c>
      <c r="AF882" s="3">
        <v>0</v>
      </c>
      <c r="AG882" s="3">
        <v>0</v>
      </c>
      <c r="AH882" s="3">
        <v>0.717948717948718</v>
      </c>
      <c r="AI882" s="3" t="s">
        <v>1794</v>
      </c>
      <c r="AJ882" s="3" t="s">
        <v>1715</v>
      </c>
    </row>
    <row r="883" spans="1:36">
      <c r="A883" s="4">
        <v>43277</v>
      </c>
      <c r="B883" s="3" t="s">
        <v>4495</v>
      </c>
      <c r="C883" s="3" t="s">
        <v>4496</v>
      </c>
      <c r="D883" s="3" t="s">
        <v>4497</v>
      </c>
      <c r="E883" s="3" t="s">
        <v>1940</v>
      </c>
      <c r="F883" s="3" t="s">
        <v>1710</v>
      </c>
      <c r="G883" s="3">
        <v>15</v>
      </c>
      <c r="H883" s="3">
        <v>0</v>
      </c>
      <c r="I883" s="3">
        <v>11</v>
      </c>
      <c r="J883" s="3">
        <v>0</v>
      </c>
      <c r="K883" s="3">
        <v>4</v>
      </c>
      <c r="L883" s="3">
        <v>0</v>
      </c>
      <c r="M883" s="3">
        <v>0</v>
      </c>
      <c r="N883" s="3" t="s">
        <v>1711</v>
      </c>
      <c r="O883" s="3">
        <v>4</v>
      </c>
      <c r="P883" s="3">
        <v>14.51</v>
      </c>
      <c r="Q883" s="3">
        <v>0</v>
      </c>
      <c r="R883" s="3">
        <v>0</v>
      </c>
      <c r="S883" s="3">
        <v>0</v>
      </c>
      <c r="T883" s="3">
        <v>0</v>
      </c>
      <c r="U883" s="3">
        <v>0</v>
      </c>
      <c r="V883" s="3">
        <v>1</v>
      </c>
      <c r="W883" s="3" t="s">
        <v>1712</v>
      </c>
      <c r="X883" s="3">
        <v>27.99</v>
      </c>
      <c r="Y883" s="3">
        <v>27.99</v>
      </c>
      <c r="Z883" s="3">
        <v>25.99</v>
      </c>
      <c r="AA883" s="3">
        <v>0</v>
      </c>
      <c r="AB883" s="3" t="s">
        <v>1732</v>
      </c>
      <c r="AC883" s="3">
        <v>0</v>
      </c>
      <c r="AD883" s="3">
        <v>21.43</v>
      </c>
      <c r="AE883" s="3">
        <v>343</v>
      </c>
      <c r="AF883" s="3">
        <v>0</v>
      </c>
      <c r="AG883" s="3">
        <v>629.484182</v>
      </c>
      <c r="AH883" s="3">
        <v>0.074074074074074</v>
      </c>
      <c r="AI883" s="3" t="s">
        <v>1831</v>
      </c>
      <c r="AJ883" s="3" t="s">
        <v>1715</v>
      </c>
    </row>
    <row r="884" spans="1:36">
      <c r="A884" s="4">
        <v>43277</v>
      </c>
      <c r="B884" s="3" t="s">
        <v>995</v>
      </c>
      <c r="C884" s="3" t="s">
        <v>996</v>
      </c>
      <c r="D884" s="3" t="s">
        <v>997</v>
      </c>
      <c r="E884" s="3" t="s">
        <v>998</v>
      </c>
      <c r="F884" s="3" t="s">
        <v>1710</v>
      </c>
      <c r="G884" s="3">
        <v>13</v>
      </c>
      <c r="H884" s="3">
        <v>0</v>
      </c>
      <c r="I884" s="3">
        <v>13</v>
      </c>
      <c r="J884" s="3">
        <v>0</v>
      </c>
      <c r="K884" s="3">
        <v>0</v>
      </c>
      <c r="L884" s="3">
        <v>0</v>
      </c>
      <c r="M884" s="3">
        <v>0</v>
      </c>
      <c r="N884" s="3" t="s">
        <v>1711</v>
      </c>
      <c r="O884" s="3">
        <v>0</v>
      </c>
      <c r="P884" s="3">
        <v>0</v>
      </c>
      <c r="Q884" s="3">
        <v>0</v>
      </c>
      <c r="R884" s="3">
        <v>0</v>
      </c>
      <c r="S884" s="3">
        <v>1</v>
      </c>
      <c r="T884" s="3">
        <v>3</v>
      </c>
      <c r="U884" s="3">
        <v>13</v>
      </c>
      <c r="V884" s="3">
        <v>13</v>
      </c>
      <c r="W884" s="3" t="s">
        <v>1712</v>
      </c>
      <c r="X884" s="3">
        <v>15.99</v>
      </c>
      <c r="Y884" s="3">
        <v>15.99</v>
      </c>
      <c r="Z884" s="3">
        <v>15.99</v>
      </c>
      <c r="AA884" s="3">
        <v>0</v>
      </c>
      <c r="AB884" s="3" t="s">
        <v>1713</v>
      </c>
      <c r="AC884" s="3">
        <v>13</v>
      </c>
      <c r="AD884" s="3">
        <v>15.99</v>
      </c>
      <c r="AE884" s="3">
        <v>0</v>
      </c>
      <c r="AF884" s="3">
        <v>0</v>
      </c>
      <c r="AG884" s="3">
        <v>0</v>
      </c>
      <c r="AH884" s="3">
        <v>0.847826086956521</v>
      </c>
      <c r="AI884" s="3" t="s">
        <v>1881</v>
      </c>
      <c r="AJ884" s="3" t="s">
        <v>1715</v>
      </c>
    </row>
    <row r="885" spans="1:36">
      <c r="A885" s="4">
        <v>43277</v>
      </c>
      <c r="B885" s="3" t="s">
        <v>4498</v>
      </c>
      <c r="C885" s="3" t="s">
        <v>4499</v>
      </c>
      <c r="D885" s="3" t="s">
        <v>4500</v>
      </c>
      <c r="E885" s="3" t="s">
        <v>3503</v>
      </c>
      <c r="F885" s="3" t="s">
        <v>1710</v>
      </c>
      <c r="G885" s="3">
        <v>5</v>
      </c>
      <c r="H885" s="3">
        <v>0</v>
      </c>
      <c r="I885" s="3">
        <v>0</v>
      </c>
      <c r="J885" s="3">
        <v>0</v>
      </c>
      <c r="K885" s="3">
        <v>0</v>
      </c>
      <c r="L885" s="3">
        <v>0</v>
      </c>
      <c r="M885" s="3">
        <v>5</v>
      </c>
      <c r="N885" s="3" t="s">
        <v>1711</v>
      </c>
      <c r="O885" s="3">
        <v>0</v>
      </c>
      <c r="P885" s="3">
        <v>0</v>
      </c>
      <c r="Q885" s="3">
        <v>5</v>
      </c>
      <c r="R885" s="3">
        <v>7.03</v>
      </c>
      <c r="S885" s="3">
        <v>0</v>
      </c>
      <c r="T885" s="3">
        <v>1</v>
      </c>
      <c r="U885" s="3">
        <v>1</v>
      </c>
      <c r="V885" s="3">
        <v>1</v>
      </c>
      <c r="W885" s="3" t="s">
        <v>1712</v>
      </c>
      <c r="X885" s="3">
        <v>15.99</v>
      </c>
      <c r="Y885" s="3">
        <v>15.99</v>
      </c>
      <c r="Z885" s="3">
        <v>15.55</v>
      </c>
      <c r="AA885" s="3">
        <v>0</v>
      </c>
      <c r="AB885" s="3" t="s">
        <v>1713</v>
      </c>
      <c r="AC885" s="3">
        <v>5</v>
      </c>
      <c r="AD885" s="3">
        <v>15.99</v>
      </c>
      <c r="AE885" s="3">
        <v>0</v>
      </c>
      <c r="AF885" s="3">
        <v>0</v>
      </c>
      <c r="AG885" s="3">
        <v>0</v>
      </c>
      <c r="AH885" s="3">
        <v>0.17391304347826</v>
      </c>
      <c r="AI885" s="3" t="s">
        <v>2036</v>
      </c>
      <c r="AJ885" s="3" t="s">
        <v>1715</v>
      </c>
    </row>
    <row r="886" spans="1:36">
      <c r="A886" s="4">
        <v>43277</v>
      </c>
      <c r="B886" s="3" t="s">
        <v>727</v>
      </c>
      <c r="C886" s="3" t="s">
        <v>728</v>
      </c>
      <c r="D886" s="3" t="s">
        <v>729</v>
      </c>
      <c r="E886" s="3" t="s">
        <v>730</v>
      </c>
      <c r="F886" s="3" t="s">
        <v>1710</v>
      </c>
      <c r="G886" s="3">
        <v>59</v>
      </c>
      <c r="H886" s="3">
        <v>0</v>
      </c>
      <c r="I886" s="3">
        <v>59</v>
      </c>
      <c r="J886" s="3">
        <v>0</v>
      </c>
      <c r="K886" s="3">
        <v>0</v>
      </c>
      <c r="L886" s="3">
        <v>0</v>
      </c>
      <c r="M886" s="3">
        <v>0</v>
      </c>
      <c r="N886" s="3" t="s">
        <v>1711</v>
      </c>
      <c r="O886" s="3">
        <v>0</v>
      </c>
      <c r="P886" s="3">
        <v>0</v>
      </c>
      <c r="Q886" s="3">
        <v>0</v>
      </c>
      <c r="R886" s="3">
        <v>0</v>
      </c>
      <c r="S886" s="3">
        <v>8</v>
      </c>
      <c r="T886" s="3">
        <v>39</v>
      </c>
      <c r="U886" s="3">
        <v>93</v>
      </c>
      <c r="V886" s="3">
        <v>144</v>
      </c>
      <c r="W886" s="3"/>
      <c r="X886" s="3">
        <v>42.88</v>
      </c>
      <c r="Y886" s="3">
        <v>18.99</v>
      </c>
      <c r="Z886" s="3">
        <v>18.99</v>
      </c>
      <c r="AA886" s="3">
        <v>0</v>
      </c>
      <c r="AB886" s="3" t="s">
        <v>1713</v>
      </c>
      <c r="AC886" s="3">
        <v>64</v>
      </c>
      <c r="AD886" s="3">
        <v>18.99</v>
      </c>
      <c r="AE886" s="3">
        <v>0</v>
      </c>
      <c r="AF886" s="3">
        <v>0</v>
      </c>
      <c r="AG886" s="3">
        <v>0</v>
      </c>
      <c r="AH886" s="3">
        <v>1.86407766990291</v>
      </c>
      <c r="AI886" s="3" t="s">
        <v>1794</v>
      </c>
      <c r="AJ886" s="3" t="s">
        <v>1715</v>
      </c>
    </row>
    <row r="887" spans="1:36">
      <c r="A887" s="4">
        <v>43277</v>
      </c>
      <c r="B887" s="3" t="s">
        <v>4501</v>
      </c>
      <c r="C887" s="3" t="s">
        <v>4502</v>
      </c>
      <c r="D887" s="3" t="s">
        <v>4503</v>
      </c>
      <c r="E887" s="3" t="s">
        <v>4347</v>
      </c>
      <c r="F887" s="3" t="s">
        <v>1710</v>
      </c>
      <c r="G887" s="3">
        <v>53</v>
      </c>
      <c r="H887" s="3">
        <v>0</v>
      </c>
      <c r="I887" s="3">
        <v>1</v>
      </c>
      <c r="J887" s="3">
        <v>7</v>
      </c>
      <c r="K887" s="3">
        <v>45</v>
      </c>
      <c r="L887" s="3">
        <v>0</v>
      </c>
      <c r="M887" s="3">
        <v>0</v>
      </c>
      <c r="N887" s="3" t="s">
        <v>1711</v>
      </c>
      <c r="O887" s="3">
        <v>49</v>
      </c>
      <c r="P887" s="3">
        <v>177.74</v>
      </c>
      <c r="Q887" s="3">
        <v>0</v>
      </c>
      <c r="R887" s="3">
        <v>0</v>
      </c>
      <c r="S887" s="3">
        <v>0</v>
      </c>
      <c r="T887" s="3">
        <v>0</v>
      </c>
      <c r="U887" s="3">
        <v>1</v>
      </c>
      <c r="V887" s="3">
        <v>1</v>
      </c>
      <c r="W887" s="3" t="s">
        <v>1712</v>
      </c>
      <c r="X887" s="3">
        <v>59.99</v>
      </c>
      <c r="Y887" s="3">
        <v>27.99</v>
      </c>
      <c r="Z887" s="3">
        <v>25.99</v>
      </c>
      <c r="AA887" s="3">
        <v>0</v>
      </c>
      <c r="AB887" s="3" t="s">
        <v>1732</v>
      </c>
      <c r="AC887" s="3">
        <v>0</v>
      </c>
      <c r="AD887" s="3">
        <v>21.81</v>
      </c>
      <c r="AE887" s="3">
        <v>217</v>
      </c>
      <c r="AF887" s="3">
        <v>0</v>
      </c>
      <c r="AG887" s="3">
        <v>2431.656553</v>
      </c>
      <c r="AH887" s="3">
        <v>0.0188679245283018</v>
      </c>
      <c r="AI887" s="3" t="s">
        <v>1831</v>
      </c>
      <c r="AJ887" s="3" t="s">
        <v>1715</v>
      </c>
    </row>
    <row r="888" spans="1:36">
      <c r="A888" s="4">
        <v>43277</v>
      </c>
      <c r="B888" s="3" t="s">
        <v>4504</v>
      </c>
      <c r="C888" s="3" t="s">
        <v>4505</v>
      </c>
      <c r="D888" s="3" t="s">
        <v>4506</v>
      </c>
      <c r="E888" s="3" t="s">
        <v>4507</v>
      </c>
      <c r="F888" s="3" t="s">
        <v>1710</v>
      </c>
      <c r="G888" s="3">
        <v>3</v>
      </c>
      <c r="H888" s="3">
        <v>0</v>
      </c>
      <c r="I888" s="3">
        <v>0</v>
      </c>
      <c r="J888" s="3">
        <v>3</v>
      </c>
      <c r="K888" s="3">
        <v>0</v>
      </c>
      <c r="L888" s="3">
        <v>0</v>
      </c>
      <c r="M888" s="3">
        <v>0</v>
      </c>
      <c r="N888" s="3" t="s">
        <v>1711</v>
      </c>
      <c r="O888" s="3">
        <v>3</v>
      </c>
      <c r="P888" s="3">
        <v>0.03</v>
      </c>
      <c r="Q888" s="3">
        <v>0</v>
      </c>
      <c r="R888" s="3">
        <v>0</v>
      </c>
      <c r="S888" s="3">
        <v>0</v>
      </c>
      <c r="T888" s="3">
        <v>0</v>
      </c>
      <c r="U888" s="3">
        <v>0</v>
      </c>
      <c r="V888" s="3">
        <v>0</v>
      </c>
      <c r="W888" s="3" t="s">
        <v>1720</v>
      </c>
      <c r="X888" s="3">
        <v>19.99</v>
      </c>
      <c r="Y888" s="3">
        <v>19.99</v>
      </c>
      <c r="Z888" s="3">
        <v>19.99</v>
      </c>
      <c r="AA888" s="3">
        <v>0</v>
      </c>
      <c r="AB888" s="3" t="s">
        <v>1721</v>
      </c>
      <c r="AC888" s="3">
        <v>0</v>
      </c>
      <c r="AD888" s="3">
        <v>18.64</v>
      </c>
      <c r="AE888" s="3">
        <v>161</v>
      </c>
      <c r="AF888" s="3">
        <v>0</v>
      </c>
      <c r="AG888" s="3">
        <v>34.793141</v>
      </c>
      <c r="AH888" s="3">
        <v>0</v>
      </c>
      <c r="AI888" s="3" t="s">
        <v>1782</v>
      </c>
      <c r="AJ888" s="3" t="s">
        <v>1783</v>
      </c>
    </row>
    <row r="889" spans="1:36">
      <c r="A889" s="4">
        <v>43277</v>
      </c>
      <c r="B889" s="3" t="s">
        <v>4508</v>
      </c>
      <c r="C889" s="3" t="s">
        <v>4509</v>
      </c>
      <c r="D889" s="3" t="s">
        <v>4510</v>
      </c>
      <c r="E889" s="3" t="s">
        <v>2495</v>
      </c>
      <c r="F889" s="3" t="s">
        <v>1710</v>
      </c>
      <c r="G889" s="3">
        <v>15</v>
      </c>
      <c r="H889" s="3">
        <v>0</v>
      </c>
      <c r="I889" s="3">
        <v>15</v>
      </c>
      <c r="J889" s="3">
        <v>0</v>
      </c>
      <c r="K889" s="3">
        <v>0</v>
      </c>
      <c r="L889" s="3">
        <v>0</v>
      </c>
      <c r="M889" s="3">
        <v>0</v>
      </c>
      <c r="N889" s="3" t="s">
        <v>1711</v>
      </c>
      <c r="O889" s="3">
        <v>0</v>
      </c>
      <c r="P889" s="3">
        <v>0</v>
      </c>
      <c r="Q889" s="3">
        <v>0</v>
      </c>
      <c r="R889" s="3">
        <v>0</v>
      </c>
      <c r="S889" s="3">
        <v>0</v>
      </c>
      <c r="T889" s="3">
        <v>0</v>
      </c>
      <c r="U889" s="3">
        <v>0</v>
      </c>
      <c r="V889" s="3">
        <v>0</v>
      </c>
      <c r="W889" s="3" t="s">
        <v>1720</v>
      </c>
      <c r="X889" s="3">
        <v>15.99</v>
      </c>
      <c r="Y889" s="3">
        <v>15.99</v>
      </c>
      <c r="Z889" s="3">
        <v>15.99</v>
      </c>
      <c r="AA889" s="3">
        <v>0</v>
      </c>
      <c r="AB889" s="3" t="s">
        <v>1721</v>
      </c>
      <c r="AC889" s="3">
        <v>0</v>
      </c>
      <c r="AD889" s="3">
        <v>12.79</v>
      </c>
      <c r="AE889" s="3">
        <v>63</v>
      </c>
      <c r="AF889" s="3">
        <v>0</v>
      </c>
      <c r="AG889" s="3">
        <v>160.761652</v>
      </c>
      <c r="AH889" s="3">
        <v>0</v>
      </c>
      <c r="AI889" s="3" t="s">
        <v>2496</v>
      </c>
      <c r="AJ889" s="3" t="s">
        <v>1715</v>
      </c>
    </row>
    <row r="890" spans="1:36">
      <c r="A890" s="4">
        <v>43277</v>
      </c>
      <c r="B890" s="3" t="s">
        <v>4511</v>
      </c>
      <c r="C890" s="3" t="s">
        <v>4512</v>
      </c>
      <c r="D890" s="3" t="s">
        <v>4513</v>
      </c>
      <c r="E890" s="3" t="s">
        <v>4514</v>
      </c>
      <c r="F890" s="3" t="s">
        <v>1710</v>
      </c>
      <c r="G890" s="3">
        <v>26</v>
      </c>
      <c r="H890" s="3">
        <v>0</v>
      </c>
      <c r="I890" s="3">
        <v>26</v>
      </c>
      <c r="J890" s="3">
        <v>0</v>
      </c>
      <c r="K890" s="3">
        <v>0</v>
      </c>
      <c r="L890" s="3">
        <v>0</v>
      </c>
      <c r="M890" s="3">
        <v>0</v>
      </c>
      <c r="N890" s="3" t="s">
        <v>1711</v>
      </c>
      <c r="O890" s="3">
        <v>0</v>
      </c>
      <c r="P890" s="3">
        <v>0</v>
      </c>
      <c r="Q890" s="3">
        <v>0</v>
      </c>
      <c r="R890" s="3">
        <v>0</v>
      </c>
      <c r="S890" s="3">
        <v>1</v>
      </c>
      <c r="T890" s="3">
        <v>4</v>
      </c>
      <c r="U890" s="3">
        <v>4</v>
      </c>
      <c r="V890" s="3">
        <v>4</v>
      </c>
      <c r="W890" s="3"/>
      <c r="X890" s="3">
        <v>14.99</v>
      </c>
      <c r="Y890" s="3">
        <v>14.99</v>
      </c>
      <c r="Z890" s="3">
        <v>14.99</v>
      </c>
      <c r="AA890" s="3">
        <v>0</v>
      </c>
      <c r="AB890" s="3" t="s">
        <v>1732</v>
      </c>
      <c r="AC890" s="3">
        <v>0</v>
      </c>
      <c r="AD890" s="3">
        <v>13.38</v>
      </c>
      <c r="AE890" s="3">
        <v>364</v>
      </c>
      <c r="AF890" s="3">
        <v>0</v>
      </c>
      <c r="AG890" s="3">
        <v>251.692387</v>
      </c>
      <c r="AH890" s="3">
        <v>0.148148148148148</v>
      </c>
      <c r="AI890" s="3" t="s">
        <v>2467</v>
      </c>
      <c r="AJ890" s="3" t="s">
        <v>1715</v>
      </c>
    </row>
    <row r="891" spans="1:36">
      <c r="A891" s="4">
        <v>43277</v>
      </c>
      <c r="B891" s="3" t="s">
        <v>4515</v>
      </c>
      <c r="C891" s="3" t="s">
        <v>4516</v>
      </c>
      <c r="D891" s="3" t="s">
        <v>4517</v>
      </c>
      <c r="E891" s="3" t="s">
        <v>4518</v>
      </c>
      <c r="F891" s="3" t="s">
        <v>1710</v>
      </c>
      <c r="G891" s="3">
        <v>14</v>
      </c>
      <c r="H891" s="3">
        <v>0</v>
      </c>
      <c r="I891" s="3">
        <v>14</v>
      </c>
      <c r="J891" s="3">
        <v>0</v>
      </c>
      <c r="K891" s="3">
        <v>0</v>
      </c>
      <c r="L891" s="3">
        <v>0</v>
      </c>
      <c r="M891" s="3">
        <v>0</v>
      </c>
      <c r="N891" s="3" t="s">
        <v>1711</v>
      </c>
      <c r="O891" s="3">
        <v>0</v>
      </c>
      <c r="P891" s="3">
        <v>0</v>
      </c>
      <c r="Q891" s="3">
        <v>0</v>
      </c>
      <c r="R891" s="3">
        <v>0</v>
      </c>
      <c r="S891" s="3">
        <v>0</v>
      </c>
      <c r="T891" s="3">
        <v>0</v>
      </c>
      <c r="U891" s="3">
        <v>2</v>
      </c>
      <c r="V891" s="3">
        <v>13</v>
      </c>
      <c r="W891" s="3" t="s">
        <v>1712</v>
      </c>
      <c r="X891" s="3">
        <v>27.99</v>
      </c>
      <c r="Y891" s="3">
        <v>27.99</v>
      </c>
      <c r="Z891" s="3">
        <v>25.99</v>
      </c>
      <c r="AA891" s="3">
        <v>0</v>
      </c>
      <c r="AB891" s="3" t="s">
        <v>1732</v>
      </c>
      <c r="AC891" s="3">
        <v>0</v>
      </c>
      <c r="AD891" s="3">
        <v>19.84</v>
      </c>
      <c r="AE891" s="3">
        <v>105</v>
      </c>
      <c r="AF891" s="3">
        <v>0</v>
      </c>
      <c r="AG891" s="3">
        <v>447.411456</v>
      </c>
      <c r="AH891" s="3">
        <v>1.36842105263157</v>
      </c>
      <c r="AI891" s="3" t="s">
        <v>1831</v>
      </c>
      <c r="AJ891" s="3" t="s">
        <v>1715</v>
      </c>
    </row>
    <row r="892" spans="1:36">
      <c r="A892" s="4">
        <v>43277</v>
      </c>
      <c r="B892" s="3" t="s">
        <v>4519</v>
      </c>
      <c r="C892" s="3" t="s">
        <v>4520</v>
      </c>
      <c r="D892" s="3" t="s">
        <v>4521</v>
      </c>
      <c r="E892" s="3" t="s">
        <v>4150</v>
      </c>
      <c r="F892" s="3" t="s">
        <v>1710</v>
      </c>
      <c r="G892" s="3">
        <v>11</v>
      </c>
      <c r="H892" s="3">
        <v>0</v>
      </c>
      <c r="I892" s="3">
        <v>0</v>
      </c>
      <c r="J892" s="3">
        <v>0</v>
      </c>
      <c r="K892" s="3">
        <v>11</v>
      </c>
      <c r="L892" s="3">
        <v>0</v>
      </c>
      <c r="M892" s="3">
        <v>0</v>
      </c>
      <c r="N892" s="3" t="s">
        <v>1711</v>
      </c>
      <c r="O892" s="3">
        <v>11</v>
      </c>
      <c r="P892" s="3">
        <v>39.9</v>
      </c>
      <c r="Q892" s="3">
        <v>0</v>
      </c>
      <c r="R892" s="3">
        <v>0</v>
      </c>
      <c r="S892" s="3">
        <v>1</v>
      </c>
      <c r="T892" s="3">
        <v>1</v>
      </c>
      <c r="U892" s="3">
        <v>1</v>
      </c>
      <c r="V892" s="3">
        <v>3</v>
      </c>
      <c r="W892" s="3"/>
      <c r="X892" s="3">
        <v>27.99</v>
      </c>
      <c r="Y892" s="3">
        <v>27.99</v>
      </c>
      <c r="Z892" s="3">
        <v>25.99</v>
      </c>
      <c r="AA892" s="3">
        <v>0</v>
      </c>
      <c r="AB892" s="3" t="s">
        <v>1732</v>
      </c>
      <c r="AC892" s="3">
        <v>0</v>
      </c>
      <c r="AD892" s="3">
        <v>22.39</v>
      </c>
      <c r="AE892" s="3">
        <v>364</v>
      </c>
      <c r="AF892" s="3">
        <v>0</v>
      </c>
      <c r="AG892" s="3">
        <v>550.162165</v>
      </c>
      <c r="AH892" s="3">
        <v>0.244897959183673</v>
      </c>
      <c r="AI892" s="3" t="s">
        <v>1831</v>
      </c>
      <c r="AJ892" s="3" t="s">
        <v>1715</v>
      </c>
    </row>
    <row r="893" spans="1:36">
      <c r="A893" s="4">
        <v>43277</v>
      </c>
      <c r="B893" s="3" t="s">
        <v>4522</v>
      </c>
      <c r="C893" s="3" t="s">
        <v>4523</v>
      </c>
      <c r="D893" s="3" t="s">
        <v>4524</v>
      </c>
      <c r="E893" s="3" t="s">
        <v>2332</v>
      </c>
      <c r="F893" s="3" t="s">
        <v>1710</v>
      </c>
      <c r="G893" s="3">
        <v>7</v>
      </c>
      <c r="H893" s="3">
        <v>0</v>
      </c>
      <c r="I893" s="3">
        <v>0</v>
      </c>
      <c r="J893" s="3">
        <v>2</v>
      </c>
      <c r="K893" s="3">
        <v>5</v>
      </c>
      <c r="L893" s="3">
        <v>0</v>
      </c>
      <c r="M893" s="3">
        <v>0</v>
      </c>
      <c r="N893" s="3" t="s">
        <v>1711</v>
      </c>
      <c r="O893" s="3">
        <v>6</v>
      </c>
      <c r="P893" s="3">
        <v>9.45</v>
      </c>
      <c r="Q893" s="3">
        <v>0</v>
      </c>
      <c r="R893" s="3">
        <v>0</v>
      </c>
      <c r="S893" s="3">
        <v>0</v>
      </c>
      <c r="T893" s="3">
        <v>0</v>
      </c>
      <c r="U893" s="3">
        <v>2</v>
      </c>
      <c r="V893" s="3">
        <v>3</v>
      </c>
      <c r="W893" s="3" t="s">
        <v>1712</v>
      </c>
      <c r="X893" s="3">
        <v>30</v>
      </c>
      <c r="Y893" s="3">
        <v>15.99</v>
      </c>
      <c r="Z893" s="3">
        <v>15.99</v>
      </c>
      <c r="AA893" s="3">
        <v>0</v>
      </c>
      <c r="AB893" s="3" t="s">
        <v>1732</v>
      </c>
      <c r="AC893" s="3">
        <v>0</v>
      </c>
      <c r="AD893" s="3">
        <v>12.79</v>
      </c>
      <c r="AE893" s="3">
        <v>63</v>
      </c>
      <c r="AF893" s="3">
        <v>0</v>
      </c>
      <c r="AG893" s="3">
        <v>103.816036</v>
      </c>
      <c r="AH893" s="3">
        <v>0.363636363636363</v>
      </c>
      <c r="AI893" s="3" t="s">
        <v>4525</v>
      </c>
      <c r="AJ893" s="3" t="s">
        <v>1783</v>
      </c>
    </row>
    <row r="894" spans="1:36">
      <c r="A894" s="4">
        <v>43277</v>
      </c>
      <c r="B894" s="3" t="s">
        <v>4526</v>
      </c>
      <c r="C894" s="3" t="s">
        <v>4527</v>
      </c>
      <c r="D894" s="3" t="s">
        <v>4528</v>
      </c>
      <c r="E894" s="3" t="s">
        <v>4529</v>
      </c>
      <c r="F894" s="3" t="s">
        <v>1710</v>
      </c>
      <c r="G894" s="3">
        <v>88</v>
      </c>
      <c r="H894" s="3">
        <v>0</v>
      </c>
      <c r="I894" s="3">
        <v>1</v>
      </c>
      <c r="J894" s="3">
        <v>6</v>
      </c>
      <c r="K894" s="3">
        <v>81</v>
      </c>
      <c r="L894" s="3">
        <v>0</v>
      </c>
      <c r="M894" s="3">
        <v>0</v>
      </c>
      <c r="N894" s="3" t="s">
        <v>1711</v>
      </c>
      <c r="O894" s="3">
        <v>86</v>
      </c>
      <c r="P894" s="3">
        <v>51.47</v>
      </c>
      <c r="Q894" s="3">
        <v>0</v>
      </c>
      <c r="R894" s="3">
        <v>0</v>
      </c>
      <c r="S894" s="3">
        <v>0</v>
      </c>
      <c r="T894" s="3">
        <v>0</v>
      </c>
      <c r="U894" s="3">
        <v>1</v>
      </c>
      <c r="V894" s="3">
        <v>14</v>
      </c>
      <c r="W894" s="3" t="s">
        <v>1712</v>
      </c>
      <c r="X894" s="3">
        <v>16.99</v>
      </c>
      <c r="Y894" s="3">
        <v>16.99</v>
      </c>
      <c r="Z894" s="3">
        <v>16</v>
      </c>
      <c r="AA894" s="3">
        <v>0</v>
      </c>
      <c r="AB894" s="3" t="s">
        <v>1732</v>
      </c>
      <c r="AC894" s="3">
        <v>1</v>
      </c>
      <c r="AD894" s="3">
        <v>14.53</v>
      </c>
      <c r="AE894" s="3">
        <v>343</v>
      </c>
      <c r="AF894" s="3">
        <v>0</v>
      </c>
      <c r="AG894" s="3">
        <v>1243.113573</v>
      </c>
      <c r="AH894" s="3">
        <v>0.078984485190409</v>
      </c>
      <c r="AI894" s="3" t="s">
        <v>1905</v>
      </c>
      <c r="AJ894" s="3" t="s">
        <v>1715</v>
      </c>
    </row>
    <row r="895" spans="1:36">
      <c r="A895" s="4">
        <v>43277</v>
      </c>
      <c r="B895" s="3" t="s">
        <v>4530</v>
      </c>
      <c r="C895" s="3" t="s">
        <v>4531</v>
      </c>
      <c r="D895" s="3" t="s">
        <v>2973</v>
      </c>
      <c r="E895" s="3" t="s">
        <v>2974</v>
      </c>
      <c r="F895" s="3" t="s">
        <v>1710</v>
      </c>
      <c r="G895" s="3">
        <v>1</v>
      </c>
      <c r="H895" s="3">
        <v>0</v>
      </c>
      <c r="I895" s="3">
        <v>1</v>
      </c>
      <c r="J895" s="3">
        <v>0</v>
      </c>
      <c r="K895" s="3">
        <v>0</v>
      </c>
      <c r="L895" s="3">
        <v>0</v>
      </c>
      <c r="M895" s="3">
        <v>0</v>
      </c>
      <c r="N895" s="3" t="s">
        <v>1711</v>
      </c>
      <c r="O895" s="3">
        <v>0</v>
      </c>
      <c r="P895" s="3">
        <v>0</v>
      </c>
      <c r="Q895" s="3">
        <v>0</v>
      </c>
      <c r="R895" s="3">
        <v>0</v>
      </c>
      <c r="S895" s="3">
        <v>0</v>
      </c>
      <c r="T895" s="3">
        <v>0</v>
      </c>
      <c r="U895" s="3">
        <v>0</v>
      </c>
      <c r="V895" s="3">
        <v>1</v>
      </c>
      <c r="W895" s="3"/>
      <c r="X895" s="3"/>
      <c r="Y895" s="3"/>
      <c r="Z895" s="3">
        <v>28</v>
      </c>
      <c r="AA895" s="3">
        <v>-1</v>
      </c>
      <c r="AB895" s="3" t="s">
        <v>1776</v>
      </c>
      <c r="AC895" s="3">
        <v>0</v>
      </c>
      <c r="AD895" s="3">
        <v>0</v>
      </c>
      <c r="AE895" s="3">
        <v>0</v>
      </c>
      <c r="AF895" s="3">
        <v>0</v>
      </c>
      <c r="AG895" s="3">
        <v>0</v>
      </c>
      <c r="AH895" s="3">
        <v>1.74789915966386</v>
      </c>
      <c r="AI895" s="3" t="s">
        <v>2128</v>
      </c>
      <c r="AJ895" s="3" t="s">
        <v>1715</v>
      </c>
    </row>
    <row r="896" spans="1:36">
      <c r="A896" s="4">
        <v>43277</v>
      </c>
      <c r="B896" s="3" t="s">
        <v>1042</v>
      </c>
      <c r="C896" s="3" t="s">
        <v>1043</v>
      </c>
      <c r="D896" s="3" t="s">
        <v>1044</v>
      </c>
      <c r="E896" s="3" t="s">
        <v>1045</v>
      </c>
      <c r="F896" s="3" t="s">
        <v>1710</v>
      </c>
      <c r="G896" s="3">
        <v>37</v>
      </c>
      <c r="H896" s="3">
        <v>0</v>
      </c>
      <c r="I896" s="3">
        <v>37</v>
      </c>
      <c r="J896" s="3">
        <v>0</v>
      </c>
      <c r="K896" s="3">
        <v>0</v>
      </c>
      <c r="L896" s="3">
        <v>0</v>
      </c>
      <c r="M896" s="3">
        <v>0</v>
      </c>
      <c r="N896" s="3" t="s">
        <v>1711</v>
      </c>
      <c r="O896" s="3">
        <v>0</v>
      </c>
      <c r="P896" s="3">
        <v>0</v>
      </c>
      <c r="Q896" s="3">
        <v>0</v>
      </c>
      <c r="R896" s="3">
        <v>0</v>
      </c>
      <c r="S896" s="3">
        <v>1</v>
      </c>
      <c r="T896" s="3">
        <v>18</v>
      </c>
      <c r="U896" s="3">
        <v>31</v>
      </c>
      <c r="V896" s="3">
        <v>69</v>
      </c>
      <c r="W896" s="3"/>
      <c r="X896" s="3">
        <v>28.99</v>
      </c>
      <c r="Y896" s="3">
        <v>28.99</v>
      </c>
      <c r="Z896" s="3">
        <v>28.99</v>
      </c>
      <c r="AA896" s="3">
        <v>0</v>
      </c>
      <c r="AB896" s="3" t="s">
        <v>1713</v>
      </c>
      <c r="AC896" s="3">
        <v>0</v>
      </c>
      <c r="AD896" s="3">
        <v>0</v>
      </c>
      <c r="AE896" s="3">
        <v>0</v>
      </c>
      <c r="AF896" s="3">
        <v>0</v>
      </c>
      <c r="AG896" s="3">
        <v>0</v>
      </c>
      <c r="AH896" s="3">
        <v>12</v>
      </c>
      <c r="AI896" s="3" t="s">
        <v>1800</v>
      </c>
      <c r="AJ896" s="3" t="s">
        <v>1715</v>
      </c>
    </row>
    <row r="897" spans="1:36">
      <c r="A897" s="4">
        <v>43277</v>
      </c>
      <c r="B897" s="3" t="s">
        <v>4532</v>
      </c>
      <c r="C897" s="3" t="s">
        <v>4533</v>
      </c>
      <c r="D897" s="3" t="s">
        <v>4534</v>
      </c>
      <c r="E897" s="3" t="s">
        <v>4535</v>
      </c>
      <c r="F897" s="3" t="s">
        <v>1710</v>
      </c>
      <c r="G897" s="3">
        <v>23</v>
      </c>
      <c r="H897" s="3">
        <v>0</v>
      </c>
      <c r="I897" s="3">
        <v>23</v>
      </c>
      <c r="J897" s="3">
        <v>0</v>
      </c>
      <c r="K897" s="3">
        <v>0</v>
      </c>
      <c r="L897" s="3">
        <v>0</v>
      </c>
      <c r="M897" s="3">
        <v>0</v>
      </c>
      <c r="N897" s="3" t="s">
        <v>1711</v>
      </c>
      <c r="O897" s="3">
        <v>0</v>
      </c>
      <c r="P897" s="3">
        <v>0</v>
      </c>
      <c r="Q897" s="3">
        <v>0</v>
      </c>
      <c r="R897" s="3">
        <v>0</v>
      </c>
      <c r="S897" s="3">
        <v>2</v>
      </c>
      <c r="T897" s="3">
        <v>16</v>
      </c>
      <c r="U897" s="3">
        <v>26</v>
      </c>
      <c r="V897" s="3">
        <v>37</v>
      </c>
      <c r="W897" s="3"/>
      <c r="X897" s="3">
        <v>19.99</v>
      </c>
      <c r="Y897" s="3">
        <v>19.99</v>
      </c>
      <c r="Z897" s="3">
        <v>19.99</v>
      </c>
      <c r="AA897" s="3">
        <v>0</v>
      </c>
      <c r="AB897" s="3" t="s">
        <v>1713</v>
      </c>
      <c r="AC897" s="3">
        <v>25</v>
      </c>
      <c r="AD897" s="3">
        <v>19.99</v>
      </c>
      <c r="AE897" s="3">
        <v>0</v>
      </c>
      <c r="AF897" s="3">
        <v>0</v>
      </c>
      <c r="AG897" s="3">
        <v>0</v>
      </c>
      <c r="AH897" s="3">
        <v>2.02739726027397</v>
      </c>
      <c r="AI897" s="3" t="s">
        <v>4536</v>
      </c>
      <c r="AJ897" s="3" t="s">
        <v>1715</v>
      </c>
    </row>
    <row r="898" spans="1:36">
      <c r="A898" s="4">
        <v>43277</v>
      </c>
      <c r="B898" s="3" t="s">
        <v>4537</v>
      </c>
      <c r="C898" s="3" t="s">
        <v>4538</v>
      </c>
      <c r="D898" s="3" t="s">
        <v>4539</v>
      </c>
      <c r="E898" s="3" t="s">
        <v>4540</v>
      </c>
      <c r="F898" s="3" t="s">
        <v>1710</v>
      </c>
      <c r="G898" s="3">
        <v>19</v>
      </c>
      <c r="H898" s="3">
        <v>0</v>
      </c>
      <c r="I898" s="3">
        <v>19</v>
      </c>
      <c r="J898" s="3">
        <v>0</v>
      </c>
      <c r="K898" s="3">
        <v>0</v>
      </c>
      <c r="L898" s="3">
        <v>0</v>
      </c>
      <c r="M898" s="3">
        <v>0</v>
      </c>
      <c r="N898" s="3" t="s">
        <v>1711</v>
      </c>
      <c r="O898" s="3">
        <v>0</v>
      </c>
      <c r="P898" s="3">
        <v>0</v>
      </c>
      <c r="Q898" s="3">
        <v>0</v>
      </c>
      <c r="R898" s="3">
        <v>0</v>
      </c>
      <c r="S898" s="3">
        <v>0</v>
      </c>
      <c r="T898" s="3">
        <v>0</v>
      </c>
      <c r="U898" s="3">
        <v>1</v>
      </c>
      <c r="V898" s="3">
        <v>1</v>
      </c>
      <c r="W898" s="3" t="s">
        <v>1712</v>
      </c>
      <c r="X898" s="3">
        <v>15.99</v>
      </c>
      <c r="Y898" s="3">
        <v>15.99</v>
      </c>
      <c r="Z898" s="3">
        <v>15.99</v>
      </c>
      <c r="AA898" s="3">
        <v>0</v>
      </c>
      <c r="AB898" s="3" t="s">
        <v>1713</v>
      </c>
      <c r="AC898" s="3">
        <v>19</v>
      </c>
      <c r="AD898" s="3">
        <v>15.99</v>
      </c>
      <c r="AE898" s="3">
        <v>0</v>
      </c>
      <c r="AF898" s="3">
        <v>0</v>
      </c>
      <c r="AG898" s="3">
        <v>0</v>
      </c>
      <c r="AH898" s="3">
        <v>0.0526315789473684</v>
      </c>
      <c r="AI898" s="3" t="s">
        <v>1881</v>
      </c>
      <c r="AJ898" s="3" t="s">
        <v>1715</v>
      </c>
    </row>
    <row r="899" spans="1:36">
      <c r="A899" s="4">
        <v>43277</v>
      </c>
      <c r="B899" s="3" t="s">
        <v>4541</v>
      </c>
      <c r="C899" s="3" t="s">
        <v>4542</v>
      </c>
      <c r="D899" s="3" t="s">
        <v>4543</v>
      </c>
      <c r="E899" s="3" t="s">
        <v>2108</v>
      </c>
      <c r="F899" s="3" t="s">
        <v>1710</v>
      </c>
      <c r="G899" s="3">
        <v>7</v>
      </c>
      <c r="H899" s="3">
        <v>0</v>
      </c>
      <c r="I899" s="3">
        <v>1</v>
      </c>
      <c r="J899" s="3">
        <v>0</v>
      </c>
      <c r="K899" s="3">
        <v>6</v>
      </c>
      <c r="L899" s="3">
        <v>0</v>
      </c>
      <c r="M899" s="3">
        <v>0</v>
      </c>
      <c r="N899" s="3" t="s">
        <v>1711</v>
      </c>
      <c r="O899" s="3">
        <v>6</v>
      </c>
      <c r="P899" s="3">
        <v>8.4</v>
      </c>
      <c r="Q899" s="3">
        <v>0</v>
      </c>
      <c r="R899" s="3">
        <v>0</v>
      </c>
      <c r="S899" s="3">
        <v>0</v>
      </c>
      <c r="T899" s="3">
        <v>0</v>
      </c>
      <c r="U899" s="3">
        <v>0</v>
      </c>
      <c r="V899" s="3">
        <v>1</v>
      </c>
      <c r="W899" s="3" t="s">
        <v>1712</v>
      </c>
      <c r="X899" s="3">
        <v>15.99</v>
      </c>
      <c r="Y899" s="3">
        <v>15.99</v>
      </c>
      <c r="Z899" s="3">
        <v>15.99</v>
      </c>
      <c r="AA899" s="3">
        <v>0</v>
      </c>
      <c r="AB899" s="3" t="s">
        <v>1732</v>
      </c>
      <c r="AC899" s="3">
        <v>0</v>
      </c>
      <c r="AD899" s="3">
        <v>14.36</v>
      </c>
      <c r="AE899" s="3">
        <v>105</v>
      </c>
      <c r="AF899" s="3">
        <v>0</v>
      </c>
      <c r="AG899" s="3">
        <v>134.525257</v>
      </c>
      <c r="AH899" s="3">
        <v>0.153846153846153</v>
      </c>
      <c r="AI899" s="3" t="s">
        <v>4544</v>
      </c>
      <c r="AJ899" s="3" t="s">
        <v>1783</v>
      </c>
    </row>
    <row r="900" spans="1:36">
      <c r="A900" s="4">
        <v>43277</v>
      </c>
      <c r="B900" s="3" t="s">
        <v>4545</v>
      </c>
      <c r="C900" s="3" t="s">
        <v>4546</v>
      </c>
      <c r="D900" s="3" t="s">
        <v>4547</v>
      </c>
      <c r="E900" s="3" t="s">
        <v>1709</v>
      </c>
      <c r="F900" s="3" t="s">
        <v>1710</v>
      </c>
      <c r="G900" s="3">
        <v>12</v>
      </c>
      <c r="H900" s="3">
        <v>0</v>
      </c>
      <c r="I900" s="3">
        <v>12</v>
      </c>
      <c r="J900" s="3">
        <v>0</v>
      </c>
      <c r="K900" s="3">
        <v>0</v>
      </c>
      <c r="L900" s="3">
        <v>0</v>
      </c>
      <c r="M900" s="3">
        <v>0</v>
      </c>
      <c r="N900" s="3" t="s">
        <v>1711</v>
      </c>
      <c r="O900" s="3">
        <v>0</v>
      </c>
      <c r="P900" s="3">
        <v>0</v>
      </c>
      <c r="Q900" s="3">
        <v>0</v>
      </c>
      <c r="R900" s="3">
        <v>0</v>
      </c>
      <c r="S900" s="3">
        <v>1</v>
      </c>
      <c r="T900" s="3">
        <v>2</v>
      </c>
      <c r="U900" s="3">
        <v>3</v>
      </c>
      <c r="V900" s="3">
        <v>3</v>
      </c>
      <c r="W900" s="3" t="s">
        <v>1712</v>
      </c>
      <c r="X900" s="3">
        <v>19.99</v>
      </c>
      <c r="Y900" s="3">
        <v>19.99</v>
      </c>
      <c r="Z900" s="3">
        <v>19.99</v>
      </c>
      <c r="AA900" s="3">
        <v>0</v>
      </c>
      <c r="AB900" s="3" t="s">
        <v>1713</v>
      </c>
      <c r="AC900" s="3">
        <v>12</v>
      </c>
      <c r="AD900" s="3">
        <v>19.99</v>
      </c>
      <c r="AE900" s="3">
        <v>0</v>
      </c>
      <c r="AF900" s="3">
        <v>0</v>
      </c>
      <c r="AG900" s="3">
        <v>0</v>
      </c>
      <c r="AH900" s="3">
        <v>0.23076923076923</v>
      </c>
      <c r="AI900" s="3" t="s">
        <v>1714</v>
      </c>
      <c r="AJ900" s="3" t="s">
        <v>1715</v>
      </c>
    </row>
    <row r="901" spans="1:36">
      <c r="A901" s="4">
        <v>43277</v>
      </c>
      <c r="B901" s="3" t="s">
        <v>4548</v>
      </c>
      <c r="C901" s="3" t="s">
        <v>4549</v>
      </c>
      <c r="D901" s="3" t="s">
        <v>4550</v>
      </c>
      <c r="E901" s="3" t="s">
        <v>1985</v>
      </c>
      <c r="F901" s="3" t="s">
        <v>1710</v>
      </c>
      <c r="G901" s="3">
        <v>4</v>
      </c>
      <c r="H901" s="3">
        <v>0</v>
      </c>
      <c r="I901" s="3">
        <v>0</v>
      </c>
      <c r="J901" s="3">
        <v>0</v>
      </c>
      <c r="K901" s="3">
        <v>0</v>
      </c>
      <c r="L901" s="3">
        <v>4</v>
      </c>
      <c r="M901" s="3">
        <v>0</v>
      </c>
      <c r="N901" s="3" t="s">
        <v>1711</v>
      </c>
      <c r="O901" s="3">
        <v>4</v>
      </c>
      <c r="P901" s="3">
        <v>7.02</v>
      </c>
      <c r="Q901" s="3">
        <v>0</v>
      </c>
      <c r="R901" s="3">
        <v>0</v>
      </c>
      <c r="S901" s="3">
        <v>0</v>
      </c>
      <c r="T901" s="3">
        <v>0</v>
      </c>
      <c r="U901" s="3">
        <v>1</v>
      </c>
      <c r="V901" s="3">
        <v>4</v>
      </c>
      <c r="W901" s="3" t="s">
        <v>1720</v>
      </c>
      <c r="X901" s="3">
        <v>18.99</v>
      </c>
      <c r="Y901" s="3">
        <v>18.99</v>
      </c>
      <c r="Z901" s="3">
        <v>18.99</v>
      </c>
      <c r="AA901" s="3">
        <v>0</v>
      </c>
      <c r="AB901" s="3" t="s">
        <v>1721</v>
      </c>
      <c r="AC901" s="3">
        <v>0</v>
      </c>
      <c r="AD901" s="3">
        <v>17.05</v>
      </c>
      <c r="AE901" s="3">
        <v>77</v>
      </c>
      <c r="AF901" s="3">
        <v>0</v>
      </c>
      <c r="AG901" s="3">
        <v>120.477294</v>
      </c>
      <c r="AH901" s="3">
        <v>0.761904761904761</v>
      </c>
      <c r="AI901" s="3" t="s">
        <v>2733</v>
      </c>
      <c r="AJ901" s="3" t="s">
        <v>1783</v>
      </c>
    </row>
    <row r="902" spans="1:36">
      <c r="A902" s="4">
        <v>43277</v>
      </c>
      <c r="B902" s="3" t="s">
        <v>755</v>
      </c>
      <c r="C902" s="3" t="s">
        <v>756</v>
      </c>
      <c r="D902" s="3" t="s">
        <v>757</v>
      </c>
      <c r="E902" s="3" t="s">
        <v>758</v>
      </c>
      <c r="F902" s="3" t="s">
        <v>1710</v>
      </c>
      <c r="G902" s="3">
        <v>37</v>
      </c>
      <c r="H902" s="3">
        <v>0</v>
      </c>
      <c r="I902" s="3">
        <v>37</v>
      </c>
      <c r="J902" s="3">
        <v>0</v>
      </c>
      <c r="K902" s="3">
        <v>0</v>
      </c>
      <c r="L902" s="3">
        <v>0</v>
      </c>
      <c r="M902" s="3">
        <v>0</v>
      </c>
      <c r="N902" s="3" t="s">
        <v>1711</v>
      </c>
      <c r="O902" s="3">
        <v>0</v>
      </c>
      <c r="P902" s="3">
        <v>0</v>
      </c>
      <c r="Q902" s="3">
        <v>0</v>
      </c>
      <c r="R902" s="3">
        <v>0</v>
      </c>
      <c r="S902" s="3">
        <v>4</v>
      </c>
      <c r="T902" s="3">
        <v>12</v>
      </c>
      <c r="U902" s="3">
        <v>25</v>
      </c>
      <c r="V902" s="3">
        <v>30</v>
      </c>
      <c r="W902" s="3"/>
      <c r="X902" s="3">
        <v>38</v>
      </c>
      <c r="Y902" s="3">
        <v>28.58</v>
      </c>
      <c r="Z902" s="3">
        <v>28</v>
      </c>
      <c r="AA902" s="3">
        <v>0</v>
      </c>
      <c r="AB902" s="3" t="s">
        <v>1713</v>
      </c>
      <c r="AC902" s="3">
        <v>15</v>
      </c>
      <c r="AD902" s="3">
        <v>28.58</v>
      </c>
      <c r="AE902" s="3">
        <v>0</v>
      </c>
      <c r="AF902" s="3">
        <v>0</v>
      </c>
      <c r="AG902" s="3">
        <v>0</v>
      </c>
      <c r="AH902" s="3">
        <v>1.875</v>
      </c>
      <c r="AI902" s="3" t="s">
        <v>4551</v>
      </c>
      <c r="AJ902" s="3" t="s">
        <v>1715</v>
      </c>
    </row>
    <row r="903" spans="1:36">
      <c r="A903" s="4">
        <v>43277</v>
      </c>
      <c r="B903" s="3" t="s">
        <v>4552</v>
      </c>
      <c r="C903" s="3" t="s">
        <v>4553</v>
      </c>
      <c r="D903" s="3" t="s">
        <v>4554</v>
      </c>
      <c r="E903" s="3" t="s">
        <v>4555</v>
      </c>
      <c r="F903" s="3" t="s">
        <v>1710</v>
      </c>
      <c r="G903" s="3">
        <v>8</v>
      </c>
      <c r="H903" s="3">
        <v>0</v>
      </c>
      <c r="I903" s="3">
        <v>8</v>
      </c>
      <c r="J903" s="3">
        <v>0</v>
      </c>
      <c r="K903" s="3">
        <v>0</v>
      </c>
      <c r="L903" s="3">
        <v>0</v>
      </c>
      <c r="M903" s="3">
        <v>0</v>
      </c>
      <c r="N903" s="3" t="s">
        <v>1711</v>
      </c>
      <c r="O903" s="3">
        <v>0</v>
      </c>
      <c r="P903" s="3">
        <v>0</v>
      </c>
      <c r="Q903" s="3">
        <v>0</v>
      </c>
      <c r="R903" s="3">
        <v>0</v>
      </c>
      <c r="S903" s="3">
        <v>0</v>
      </c>
      <c r="T903" s="3">
        <v>2</v>
      </c>
      <c r="U903" s="3">
        <v>2</v>
      </c>
      <c r="V903" s="3">
        <v>2</v>
      </c>
      <c r="W903" s="3"/>
      <c r="X903" s="3">
        <v>19.99</v>
      </c>
      <c r="Y903" s="3">
        <v>19.99</v>
      </c>
      <c r="Z903" s="3">
        <v>19.99</v>
      </c>
      <c r="AA903" s="3">
        <v>0</v>
      </c>
      <c r="AB903" s="3" t="s">
        <v>1713</v>
      </c>
      <c r="AC903" s="3">
        <v>8</v>
      </c>
      <c r="AD903" s="3">
        <v>19.99</v>
      </c>
      <c r="AE903" s="3">
        <v>0</v>
      </c>
      <c r="AF903" s="3">
        <v>0</v>
      </c>
      <c r="AG903" s="3">
        <v>0</v>
      </c>
      <c r="AH903" s="3">
        <v>0.333333333333333</v>
      </c>
      <c r="AI903" s="3" t="s">
        <v>1775</v>
      </c>
      <c r="AJ903" s="3" t="s">
        <v>1715</v>
      </c>
    </row>
    <row r="904" spans="1:36">
      <c r="A904" s="4">
        <v>43277</v>
      </c>
      <c r="B904" s="3" t="s">
        <v>4556</v>
      </c>
      <c r="C904" s="3" t="s">
        <v>4557</v>
      </c>
      <c r="D904" s="3" t="s">
        <v>4558</v>
      </c>
      <c r="E904" s="3" t="s">
        <v>4559</v>
      </c>
      <c r="F904" s="3" t="s">
        <v>1710</v>
      </c>
      <c r="G904" s="3">
        <v>1</v>
      </c>
      <c r="H904" s="3">
        <v>0</v>
      </c>
      <c r="I904" s="3">
        <v>0</v>
      </c>
      <c r="J904" s="3">
        <v>0</v>
      </c>
      <c r="K904" s="3">
        <v>0</v>
      </c>
      <c r="L904" s="3">
        <v>1</v>
      </c>
      <c r="M904" s="3">
        <v>0</v>
      </c>
      <c r="N904" s="3" t="s">
        <v>1711</v>
      </c>
      <c r="O904" s="3">
        <v>1</v>
      </c>
      <c r="P904" s="3">
        <v>0.75</v>
      </c>
      <c r="Q904" s="3">
        <v>0</v>
      </c>
      <c r="R904" s="3">
        <v>0</v>
      </c>
      <c r="S904" s="3">
        <v>0</v>
      </c>
      <c r="T904" s="3">
        <v>0</v>
      </c>
      <c r="U904" s="3">
        <v>0</v>
      </c>
      <c r="V904" s="3">
        <v>0</v>
      </c>
      <c r="W904" s="3" t="s">
        <v>1720</v>
      </c>
      <c r="X904" s="3">
        <v>15.99</v>
      </c>
      <c r="Y904" s="3">
        <v>15.99</v>
      </c>
      <c r="Z904" s="3">
        <v>15.99</v>
      </c>
      <c r="AA904" s="3">
        <v>0</v>
      </c>
      <c r="AB904" s="3" t="s">
        <v>1713</v>
      </c>
      <c r="AC904" s="3">
        <v>1</v>
      </c>
      <c r="AD904" s="3">
        <v>15.99</v>
      </c>
      <c r="AE904" s="3">
        <v>0</v>
      </c>
      <c r="AF904" s="3">
        <v>0</v>
      </c>
      <c r="AG904" s="3">
        <v>0</v>
      </c>
      <c r="AH904" s="3">
        <v>0</v>
      </c>
      <c r="AI904" s="3" t="s">
        <v>3141</v>
      </c>
      <c r="AJ904" s="3" t="s">
        <v>1783</v>
      </c>
    </row>
    <row r="905" spans="1:36">
      <c r="A905" s="4">
        <v>43277</v>
      </c>
      <c r="B905" s="3" t="s">
        <v>4560</v>
      </c>
      <c r="C905" s="3" t="s">
        <v>4561</v>
      </c>
      <c r="D905" s="3" t="s">
        <v>4562</v>
      </c>
      <c r="E905" s="3" t="s">
        <v>1380</v>
      </c>
      <c r="F905" s="3" t="s">
        <v>1710</v>
      </c>
      <c r="G905" s="3">
        <v>8</v>
      </c>
      <c r="H905" s="3">
        <v>0</v>
      </c>
      <c r="I905" s="3">
        <v>8</v>
      </c>
      <c r="J905" s="3">
        <v>0</v>
      </c>
      <c r="K905" s="3">
        <v>0</v>
      </c>
      <c r="L905" s="3">
        <v>0</v>
      </c>
      <c r="M905" s="3">
        <v>0</v>
      </c>
      <c r="N905" s="3" t="s">
        <v>1711</v>
      </c>
      <c r="O905" s="3">
        <v>0</v>
      </c>
      <c r="P905" s="3">
        <v>0</v>
      </c>
      <c r="Q905" s="3">
        <v>0</v>
      </c>
      <c r="R905" s="3">
        <v>0</v>
      </c>
      <c r="S905" s="3">
        <v>2</v>
      </c>
      <c r="T905" s="3">
        <v>2</v>
      </c>
      <c r="U905" s="3">
        <v>13</v>
      </c>
      <c r="V905" s="3">
        <v>18</v>
      </c>
      <c r="W905" s="3"/>
      <c r="X905" s="3">
        <v>25.99</v>
      </c>
      <c r="Y905" s="3">
        <v>25.99</v>
      </c>
      <c r="Z905" s="3">
        <v>25.99</v>
      </c>
      <c r="AA905" s="3">
        <v>0</v>
      </c>
      <c r="AB905" s="3" t="s">
        <v>1713</v>
      </c>
      <c r="AC905" s="3">
        <v>10</v>
      </c>
      <c r="AD905" s="3">
        <v>25.99</v>
      </c>
      <c r="AE905" s="3">
        <v>0</v>
      </c>
      <c r="AF905" s="3">
        <v>0</v>
      </c>
      <c r="AG905" s="3">
        <v>0</v>
      </c>
      <c r="AH905" s="3">
        <v>4.8</v>
      </c>
      <c r="AI905" s="3" t="s">
        <v>2351</v>
      </c>
      <c r="AJ905" s="3" t="s">
        <v>1715</v>
      </c>
    </row>
    <row r="906" spans="1:36">
      <c r="A906" s="4">
        <v>43277</v>
      </c>
      <c r="B906" s="3" t="s">
        <v>4563</v>
      </c>
      <c r="C906" s="3" t="s">
        <v>4564</v>
      </c>
      <c r="D906" s="3" t="s">
        <v>4565</v>
      </c>
      <c r="E906" s="3" t="s">
        <v>898</v>
      </c>
      <c r="F906" s="3" t="s">
        <v>1710</v>
      </c>
      <c r="G906" s="3">
        <v>10</v>
      </c>
      <c r="H906" s="3">
        <v>0</v>
      </c>
      <c r="I906" s="3">
        <v>10</v>
      </c>
      <c r="J906" s="3">
        <v>0</v>
      </c>
      <c r="K906" s="3">
        <v>0</v>
      </c>
      <c r="L906" s="3">
        <v>0</v>
      </c>
      <c r="M906" s="3">
        <v>0</v>
      </c>
      <c r="N906" s="3" t="s">
        <v>1711</v>
      </c>
      <c r="O906" s="3">
        <v>0</v>
      </c>
      <c r="P906" s="3">
        <v>0</v>
      </c>
      <c r="Q906" s="3">
        <v>0</v>
      </c>
      <c r="R906" s="3">
        <v>0</v>
      </c>
      <c r="S906" s="3">
        <v>0</v>
      </c>
      <c r="T906" s="3">
        <v>0</v>
      </c>
      <c r="U906" s="3">
        <v>0</v>
      </c>
      <c r="V906" s="3">
        <v>0</v>
      </c>
      <c r="W906" s="3" t="s">
        <v>1720</v>
      </c>
      <c r="X906" s="3">
        <v>15.99</v>
      </c>
      <c r="Y906" s="3">
        <v>15.99</v>
      </c>
      <c r="Z906" s="3">
        <v>15.99</v>
      </c>
      <c r="AA906" s="3">
        <v>0</v>
      </c>
      <c r="AB906" s="3" t="s">
        <v>1732</v>
      </c>
      <c r="AC906" s="3">
        <v>0</v>
      </c>
      <c r="AD906" s="3">
        <v>12.99</v>
      </c>
      <c r="AE906" s="3">
        <v>63</v>
      </c>
      <c r="AF906" s="3">
        <v>0</v>
      </c>
      <c r="AG906" s="3">
        <v>81.229254</v>
      </c>
      <c r="AH906" s="3">
        <v>0</v>
      </c>
      <c r="AI906" s="3" t="s">
        <v>2022</v>
      </c>
      <c r="AJ906" s="3" t="s">
        <v>1715</v>
      </c>
    </row>
    <row r="907" spans="1:36">
      <c r="A907" s="4">
        <v>43277</v>
      </c>
      <c r="B907" s="3" t="s">
        <v>1283</v>
      </c>
      <c r="C907" s="3" t="s">
        <v>1284</v>
      </c>
      <c r="D907" s="3" t="s">
        <v>1285</v>
      </c>
      <c r="E907" s="3" t="s">
        <v>1209</v>
      </c>
      <c r="F907" s="3" t="s">
        <v>1710</v>
      </c>
      <c r="G907" s="3">
        <v>7</v>
      </c>
      <c r="H907" s="3">
        <v>0</v>
      </c>
      <c r="I907" s="3">
        <v>7</v>
      </c>
      <c r="J907" s="3">
        <v>0</v>
      </c>
      <c r="K907" s="3">
        <v>0</v>
      </c>
      <c r="L907" s="3">
        <v>0</v>
      </c>
      <c r="M907" s="3">
        <v>0</v>
      </c>
      <c r="N907" s="3" t="s">
        <v>1711</v>
      </c>
      <c r="O907" s="3">
        <v>0</v>
      </c>
      <c r="P907" s="3">
        <v>0</v>
      </c>
      <c r="Q907" s="3">
        <v>0</v>
      </c>
      <c r="R907" s="3">
        <v>0</v>
      </c>
      <c r="S907" s="3">
        <v>1</v>
      </c>
      <c r="T907" s="3">
        <v>8</v>
      </c>
      <c r="U907" s="3">
        <v>8</v>
      </c>
      <c r="V907" s="3">
        <v>8</v>
      </c>
      <c r="W907" s="3"/>
      <c r="X907" s="3">
        <v>39.99</v>
      </c>
      <c r="Y907" s="3">
        <v>19.99</v>
      </c>
      <c r="Z907" s="3">
        <v>19.99</v>
      </c>
      <c r="AA907" s="3">
        <v>0</v>
      </c>
      <c r="AB907" s="3" t="s">
        <v>1713</v>
      </c>
      <c r="AC907" s="3">
        <v>9</v>
      </c>
      <c r="AD907" s="3">
        <v>19.99</v>
      </c>
      <c r="AE907" s="3">
        <v>0</v>
      </c>
      <c r="AF907" s="3">
        <v>0</v>
      </c>
      <c r="AG907" s="3">
        <v>0</v>
      </c>
      <c r="AH907" s="3">
        <v>1.77777777777777</v>
      </c>
      <c r="AI907" s="3" t="s">
        <v>1714</v>
      </c>
      <c r="AJ907" s="3" t="s">
        <v>1715</v>
      </c>
    </row>
    <row r="908" spans="1:36">
      <c r="A908" s="4">
        <v>43277</v>
      </c>
      <c r="B908" s="3" t="s">
        <v>4566</v>
      </c>
      <c r="C908" s="3" t="s">
        <v>4567</v>
      </c>
      <c r="D908" s="3" t="s">
        <v>4568</v>
      </c>
      <c r="E908" s="3" t="s">
        <v>2495</v>
      </c>
      <c r="F908" s="3" t="s">
        <v>1710</v>
      </c>
      <c r="G908" s="3">
        <v>14</v>
      </c>
      <c r="H908" s="3">
        <v>0</v>
      </c>
      <c r="I908" s="3">
        <v>14</v>
      </c>
      <c r="J908" s="3">
        <v>0</v>
      </c>
      <c r="K908" s="3">
        <v>0</v>
      </c>
      <c r="L908" s="3">
        <v>0</v>
      </c>
      <c r="M908" s="3">
        <v>0</v>
      </c>
      <c r="N908" s="3" t="s">
        <v>1711</v>
      </c>
      <c r="O908" s="3">
        <v>0</v>
      </c>
      <c r="P908" s="3">
        <v>0</v>
      </c>
      <c r="Q908" s="3">
        <v>0</v>
      </c>
      <c r="R908" s="3">
        <v>0</v>
      </c>
      <c r="S908" s="3">
        <v>0</v>
      </c>
      <c r="T908" s="3">
        <v>1</v>
      </c>
      <c r="U908" s="3">
        <v>1</v>
      </c>
      <c r="V908" s="3">
        <v>1</v>
      </c>
      <c r="W908" s="3" t="s">
        <v>1720</v>
      </c>
      <c r="X908" s="3">
        <v>15.99</v>
      </c>
      <c r="Y908" s="3">
        <v>15.99</v>
      </c>
      <c r="Z908" s="3">
        <v>15.99</v>
      </c>
      <c r="AA908" s="3">
        <v>0</v>
      </c>
      <c r="AB908" s="3" t="s">
        <v>1721</v>
      </c>
      <c r="AC908" s="3">
        <v>0</v>
      </c>
      <c r="AD908" s="3">
        <v>12.79</v>
      </c>
      <c r="AE908" s="3">
        <v>63</v>
      </c>
      <c r="AF908" s="3">
        <v>0</v>
      </c>
      <c r="AG908" s="3">
        <v>150.044208</v>
      </c>
      <c r="AH908" s="3">
        <v>0.0714285714285714</v>
      </c>
      <c r="AI908" s="3" t="s">
        <v>2758</v>
      </c>
      <c r="AJ908" s="3" t="s">
        <v>1715</v>
      </c>
    </row>
    <row r="909" spans="1:36">
      <c r="A909" s="4">
        <v>43277</v>
      </c>
      <c r="B909" s="3" t="s">
        <v>4569</v>
      </c>
      <c r="C909" s="3" t="s">
        <v>4570</v>
      </c>
      <c r="D909" s="3" t="s">
        <v>4571</v>
      </c>
      <c r="E909" s="3" t="s">
        <v>4572</v>
      </c>
      <c r="F909" s="3" t="s">
        <v>1710</v>
      </c>
      <c r="G909" s="3">
        <v>3</v>
      </c>
      <c r="H909" s="3">
        <v>0</v>
      </c>
      <c r="I909" s="3">
        <v>3</v>
      </c>
      <c r="J909" s="3">
        <v>0</v>
      </c>
      <c r="K909" s="3">
        <v>0</v>
      </c>
      <c r="L909" s="3">
        <v>0</v>
      </c>
      <c r="M909" s="3">
        <v>0</v>
      </c>
      <c r="N909" s="3" t="s">
        <v>1711</v>
      </c>
      <c r="O909" s="3">
        <v>0</v>
      </c>
      <c r="P909" s="3">
        <v>0</v>
      </c>
      <c r="Q909" s="3">
        <v>0</v>
      </c>
      <c r="R909" s="3">
        <v>0</v>
      </c>
      <c r="S909" s="3">
        <v>0</v>
      </c>
      <c r="T909" s="3">
        <v>3</v>
      </c>
      <c r="U909" s="3">
        <v>5</v>
      </c>
      <c r="V909" s="3">
        <v>7</v>
      </c>
      <c r="W909" s="3"/>
      <c r="X909" s="3">
        <v>12.58</v>
      </c>
      <c r="Y909" s="3">
        <v>12.58</v>
      </c>
      <c r="Z909" s="3">
        <v>12.58</v>
      </c>
      <c r="AA909" s="3">
        <v>0</v>
      </c>
      <c r="AB909" s="3" t="s">
        <v>1732</v>
      </c>
      <c r="AC909" s="3">
        <v>0</v>
      </c>
      <c r="AD909" s="3">
        <v>6.04</v>
      </c>
      <c r="AE909" s="3">
        <v>21</v>
      </c>
      <c r="AF909" s="3">
        <v>0</v>
      </c>
      <c r="AG909" s="3">
        <v>16.139253</v>
      </c>
      <c r="AH909" s="3">
        <v>2.15384615384615</v>
      </c>
      <c r="AI909" s="3" t="s">
        <v>1801</v>
      </c>
      <c r="AJ909" s="3" t="s">
        <v>1715</v>
      </c>
    </row>
    <row r="910" spans="1:36">
      <c r="A910" s="4">
        <v>43277</v>
      </c>
      <c r="B910" s="3" t="s">
        <v>4573</v>
      </c>
      <c r="C910" s="3" t="s">
        <v>4574</v>
      </c>
      <c r="D910" s="3" t="s">
        <v>4575</v>
      </c>
      <c r="E910" s="3" t="s">
        <v>4576</v>
      </c>
      <c r="F910" s="3" t="s">
        <v>1710</v>
      </c>
      <c r="G910" s="3">
        <v>1</v>
      </c>
      <c r="H910" s="3">
        <v>0</v>
      </c>
      <c r="I910" s="3">
        <v>1</v>
      </c>
      <c r="J910" s="3">
        <v>0</v>
      </c>
      <c r="K910" s="3">
        <v>0</v>
      </c>
      <c r="L910" s="3">
        <v>0</v>
      </c>
      <c r="M910" s="3">
        <v>0</v>
      </c>
      <c r="N910" s="3" t="s">
        <v>1711</v>
      </c>
      <c r="O910" s="3">
        <v>0</v>
      </c>
      <c r="P910" s="3">
        <v>0</v>
      </c>
      <c r="Q910" s="3">
        <v>0</v>
      </c>
      <c r="R910" s="3">
        <v>0</v>
      </c>
      <c r="S910" s="3">
        <v>0</v>
      </c>
      <c r="T910" s="3">
        <v>2</v>
      </c>
      <c r="U910" s="3">
        <v>3</v>
      </c>
      <c r="V910" s="3">
        <v>4</v>
      </c>
      <c r="W910" s="3"/>
      <c r="X910" s="3">
        <v>19.99</v>
      </c>
      <c r="Y910" s="3">
        <v>19.99</v>
      </c>
      <c r="Z910" s="3">
        <v>19.99</v>
      </c>
      <c r="AA910" s="3">
        <v>0</v>
      </c>
      <c r="AB910" s="3" t="s">
        <v>1713</v>
      </c>
      <c r="AC910" s="3">
        <v>1</v>
      </c>
      <c r="AD910" s="3">
        <v>19.99</v>
      </c>
      <c r="AE910" s="3">
        <v>0</v>
      </c>
      <c r="AF910" s="3">
        <v>0</v>
      </c>
      <c r="AG910" s="3">
        <v>0</v>
      </c>
      <c r="AH910" s="3">
        <v>1.6</v>
      </c>
      <c r="AI910" s="3" t="s">
        <v>2937</v>
      </c>
      <c r="AJ910" s="3" t="s">
        <v>1715</v>
      </c>
    </row>
    <row r="911" spans="1:36">
      <c r="A911" s="4">
        <v>43277</v>
      </c>
      <c r="B911" s="3" t="s">
        <v>803</v>
      </c>
      <c r="C911" s="3" t="s">
        <v>804</v>
      </c>
      <c r="D911" s="3" t="s">
        <v>805</v>
      </c>
      <c r="E911" s="3" t="s">
        <v>806</v>
      </c>
      <c r="F911" s="3" t="s">
        <v>1710</v>
      </c>
      <c r="G911" s="3">
        <v>38</v>
      </c>
      <c r="H911" s="3">
        <v>0</v>
      </c>
      <c r="I911" s="3">
        <v>38</v>
      </c>
      <c r="J911" s="3">
        <v>0</v>
      </c>
      <c r="K911" s="3">
        <v>0</v>
      </c>
      <c r="L911" s="3">
        <v>0</v>
      </c>
      <c r="M911" s="3">
        <v>0</v>
      </c>
      <c r="N911" s="3" t="s">
        <v>1711</v>
      </c>
      <c r="O911" s="3">
        <v>0</v>
      </c>
      <c r="P911" s="3">
        <v>0</v>
      </c>
      <c r="Q911" s="3">
        <v>0</v>
      </c>
      <c r="R911" s="3">
        <v>0</v>
      </c>
      <c r="S911" s="3">
        <v>10</v>
      </c>
      <c r="T911" s="3">
        <v>38</v>
      </c>
      <c r="U911" s="3">
        <v>57</v>
      </c>
      <c r="V911" s="3">
        <v>75</v>
      </c>
      <c r="W911" s="3"/>
      <c r="X911" s="3">
        <v>38</v>
      </c>
      <c r="Y911" s="3">
        <v>28.58</v>
      </c>
      <c r="Z911" s="3">
        <v>28.58</v>
      </c>
      <c r="AA911" s="3">
        <v>0</v>
      </c>
      <c r="AB911" s="3" t="s">
        <v>1713</v>
      </c>
      <c r="AC911" s="3">
        <v>24</v>
      </c>
      <c r="AD911" s="3">
        <v>28.58</v>
      </c>
      <c r="AE911" s="3">
        <v>0</v>
      </c>
      <c r="AF911" s="3">
        <v>0</v>
      </c>
      <c r="AG911" s="3">
        <v>0</v>
      </c>
      <c r="AH911" s="3">
        <v>3.52941176470588</v>
      </c>
      <c r="AI911" s="3" t="s">
        <v>2270</v>
      </c>
      <c r="AJ911" s="3" t="s">
        <v>1715</v>
      </c>
    </row>
    <row r="912" spans="1:36">
      <c r="A912" s="4">
        <v>43277</v>
      </c>
      <c r="B912" s="3" t="s">
        <v>4577</v>
      </c>
      <c r="C912" s="3" t="s">
        <v>4578</v>
      </c>
      <c r="D912" s="3" t="s">
        <v>4579</v>
      </c>
      <c r="E912" s="3" t="s">
        <v>2605</v>
      </c>
      <c r="F912" s="3" t="s">
        <v>1710</v>
      </c>
      <c r="G912" s="3">
        <v>61</v>
      </c>
      <c r="H912" s="3">
        <v>0</v>
      </c>
      <c r="I912" s="3">
        <v>7</v>
      </c>
      <c r="J912" s="3">
        <v>3</v>
      </c>
      <c r="K912" s="3">
        <v>51</v>
      </c>
      <c r="L912" s="3">
        <v>0</v>
      </c>
      <c r="M912" s="3">
        <v>0</v>
      </c>
      <c r="N912" s="3" t="s">
        <v>1711</v>
      </c>
      <c r="O912" s="3">
        <v>53</v>
      </c>
      <c r="P912" s="3">
        <v>192.24</v>
      </c>
      <c r="Q912" s="3">
        <v>0</v>
      </c>
      <c r="R912" s="3">
        <v>0</v>
      </c>
      <c r="S912" s="3">
        <v>0</v>
      </c>
      <c r="T912" s="3">
        <v>0</v>
      </c>
      <c r="U912" s="3">
        <v>1</v>
      </c>
      <c r="V912" s="3">
        <v>7</v>
      </c>
      <c r="W912" s="3" t="s">
        <v>1712</v>
      </c>
      <c r="X912" s="3">
        <v>27.99</v>
      </c>
      <c r="Y912" s="3">
        <v>27.99</v>
      </c>
      <c r="Z912" s="3">
        <v>25.99</v>
      </c>
      <c r="AA912" s="3">
        <v>0</v>
      </c>
      <c r="AB912" s="3" t="s">
        <v>1732</v>
      </c>
      <c r="AC912" s="3">
        <v>0</v>
      </c>
      <c r="AD912" s="3">
        <v>22.39</v>
      </c>
      <c r="AE912" s="3">
        <v>364</v>
      </c>
      <c r="AF912" s="3">
        <v>0</v>
      </c>
      <c r="AG912" s="3">
        <v>2662.181352</v>
      </c>
      <c r="AH912" s="3">
        <v>0.117647058823529</v>
      </c>
      <c r="AI912" s="3" t="s">
        <v>1831</v>
      </c>
      <c r="AJ912" s="3" t="s">
        <v>1715</v>
      </c>
    </row>
    <row r="913" spans="1:36">
      <c r="A913" s="4">
        <v>43277</v>
      </c>
      <c r="B913" s="3" t="s">
        <v>12</v>
      </c>
      <c r="C913" s="3" t="s">
        <v>13</v>
      </c>
      <c r="D913" s="3" t="s">
        <v>14</v>
      </c>
      <c r="E913" s="3" t="s">
        <v>4580</v>
      </c>
      <c r="F913" s="3" t="s">
        <v>1710</v>
      </c>
      <c r="G913" s="3">
        <v>6</v>
      </c>
      <c r="H913" s="3">
        <v>0</v>
      </c>
      <c r="I913" s="3">
        <v>6</v>
      </c>
      <c r="J913" s="3">
        <v>0</v>
      </c>
      <c r="K913" s="3">
        <v>0</v>
      </c>
      <c r="L913" s="3">
        <v>0</v>
      </c>
      <c r="M913" s="3">
        <v>0</v>
      </c>
      <c r="N913" s="3" t="s">
        <v>1711</v>
      </c>
      <c r="O913" s="3">
        <v>0</v>
      </c>
      <c r="P913" s="3">
        <v>0</v>
      </c>
      <c r="Q913" s="3">
        <v>0</v>
      </c>
      <c r="R913" s="3">
        <v>0</v>
      </c>
      <c r="S913" s="3">
        <v>3</v>
      </c>
      <c r="T913" s="3">
        <v>11</v>
      </c>
      <c r="U913" s="3">
        <v>14</v>
      </c>
      <c r="V913" s="3">
        <v>14</v>
      </c>
      <c r="W913" s="3"/>
      <c r="X913" s="3">
        <v>15.99</v>
      </c>
      <c r="Y913" s="3">
        <v>15.99</v>
      </c>
      <c r="Z913" s="3">
        <v>15.99</v>
      </c>
      <c r="AA913" s="3">
        <v>0</v>
      </c>
      <c r="AB913" s="3" t="s">
        <v>1713</v>
      </c>
      <c r="AC913" s="3">
        <v>9</v>
      </c>
      <c r="AD913" s="3">
        <v>15.99</v>
      </c>
      <c r="AE913" s="3">
        <v>0</v>
      </c>
      <c r="AF913" s="3">
        <v>0</v>
      </c>
      <c r="AG913" s="3">
        <v>0</v>
      </c>
      <c r="AH913" s="3">
        <v>2.8</v>
      </c>
      <c r="AI913" s="3" t="s">
        <v>2082</v>
      </c>
      <c r="AJ913" s="3" t="s">
        <v>1715</v>
      </c>
    </row>
    <row r="914" spans="1:36">
      <c r="A914" s="4">
        <v>43277</v>
      </c>
      <c r="B914" s="3" t="s">
        <v>4581</v>
      </c>
      <c r="C914" s="3" t="s">
        <v>4582</v>
      </c>
      <c r="D914" s="3" t="s">
        <v>4583</v>
      </c>
      <c r="E914" s="3" t="s">
        <v>4584</v>
      </c>
      <c r="F914" s="3" t="s">
        <v>1710</v>
      </c>
      <c r="G914" s="3">
        <v>8</v>
      </c>
      <c r="H914" s="3">
        <v>0</v>
      </c>
      <c r="I914" s="3">
        <v>0</v>
      </c>
      <c r="J914" s="3">
        <v>0</v>
      </c>
      <c r="K914" s="3">
        <v>8</v>
      </c>
      <c r="L914" s="3">
        <v>0</v>
      </c>
      <c r="M914" s="3">
        <v>0</v>
      </c>
      <c r="N914" s="3" t="s">
        <v>1711</v>
      </c>
      <c r="O914" s="3">
        <v>8</v>
      </c>
      <c r="P914" s="3">
        <v>10.6</v>
      </c>
      <c r="Q914" s="3">
        <v>0</v>
      </c>
      <c r="R914" s="3">
        <v>0</v>
      </c>
      <c r="S914" s="3">
        <v>0</v>
      </c>
      <c r="T914" s="3">
        <v>0</v>
      </c>
      <c r="U914" s="3">
        <v>0</v>
      </c>
      <c r="V914" s="3">
        <v>1</v>
      </c>
      <c r="W914" s="3" t="s">
        <v>1720</v>
      </c>
      <c r="X914" s="3">
        <v>18.99</v>
      </c>
      <c r="Y914" s="3">
        <v>18.99</v>
      </c>
      <c r="Z914" s="3">
        <v>18.99</v>
      </c>
      <c r="AA914" s="3">
        <v>0</v>
      </c>
      <c r="AB914" s="3" t="s">
        <v>1732</v>
      </c>
      <c r="AC914" s="3">
        <v>0</v>
      </c>
      <c r="AD914" s="3">
        <v>14.24</v>
      </c>
      <c r="AE914" s="3">
        <v>364</v>
      </c>
      <c r="AF914" s="3">
        <v>0</v>
      </c>
      <c r="AG914" s="3">
        <v>146.218049</v>
      </c>
      <c r="AH914" s="3">
        <v>0.121212121212121</v>
      </c>
      <c r="AI914" s="3" t="s">
        <v>2398</v>
      </c>
      <c r="AJ914" s="3" t="s">
        <v>1715</v>
      </c>
    </row>
    <row r="915" spans="1:36">
      <c r="A915" s="4">
        <v>43277</v>
      </c>
      <c r="B915" s="3" t="s">
        <v>4585</v>
      </c>
      <c r="C915" s="3" t="s">
        <v>4586</v>
      </c>
      <c r="D915" s="3" t="s">
        <v>4587</v>
      </c>
      <c r="E915" s="3" t="s">
        <v>4588</v>
      </c>
      <c r="F915" s="3" t="s">
        <v>1710</v>
      </c>
      <c r="G915" s="3">
        <v>1</v>
      </c>
      <c r="H915" s="3">
        <v>0</v>
      </c>
      <c r="I915" s="3">
        <v>0</v>
      </c>
      <c r="J915" s="3">
        <v>0</v>
      </c>
      <c r="K915" s="3">
        <v>1</v>
      </c>
      <c r="L915" s="3">
        <v>0</v>
      </c>
      <c r="M915" s="3">
        <v>0</v>
      </c>
      <c r="N915" s="3" t="s">
        <v>1711</v>
      </c>
      <c r="O915" s="3">
        <v>1</v>
      </c>
      <c r="P915" s="3">
        <v>1.3</v>
      </c>
      <c r="Q915" s="3">
        <v>0</v>
      </c>
      <c r="R915" s="3">
        <v>0</v>
      </c>
      <c r="S915" s="3">
        <v>0</v>
      </c>
      <c r="T915" s="3">
        <v>0</v>
      </c>
      <c r="U915" s="3">
        <v>1</v>
      </c>
      <c r="V915" s="3">
        <v>1</v>
      </c>
      <c r="W915" s="3" t="s">
        <v>1720</v>
      </c>
      <c r="X915" s="3">
        <v>17.99</v>
      </c>
      <c r="Y915" s="3">
        <v>17.99</v>
      </c>
      <c r="Z915" s="3">
        <v>17.99</v>
      </c>
      <c r="AA915" s="3">
        <v>0</v>
      </c>
      <c r="AB915" s="3" t="s">
        <v>1721</v>
      </c>
      <c r="AC915" s="3">
        <v>1</v>
      </c>
      <c r="AD915" s="3">
        <v>17.99</v>
      </c>
      <c r="AE915" s="3">
        <v>0</v>
      </c>
      <c r="AF915" s="3">
        <v>0</v>
      </c>
      <c r="AG915" s="3">
        <v>0</v>
      </c>
      <c r="AH915" s="3">
        <v>0.666666666666666</v>
      </c>
      <c r="AI915" s="3" t="s">
        <v>2165</v>
      </c>
      <c r="AJ915" s="3" t="s">
        <v>1715</v>
      </c>
    </row>
    <row r="916" spans="1:36">
      <c r="A916" s="4">
        <v>43277</v>
      </c>
      <c r="B916" s="3" t="s">
        <v>4589</v>
      </c>
      <c r="C916" s="3" t="s">
        <v>4590</v>
      </c>
      <c r="D916" s="3" t="s">
        <v>4591</v>
      </c>
      <c r="E916" s="3" t="s">
        <v>1940</v>
      </c>
      <c r="F916" s="3" t="s">
        <v>1710</v>
      </c>
      <c r="G916" s="3">
        <v>19</v>
      </c>
      <c r="H916" s="3">
        <v>0</v>
      </c>
      <c r="I916" s="3">
        <v>1</v>
      </c>
      <c r="J916" s="3">
        <v>0</v>
      </c>
      <c r="K916" s="3">
        <v>12</v>
      </c>
      <c r="L916" s="3">
        <v>6</v>
      </c>
      <c r="M916" s="3">
        <v>0</v>
      </c>
      <c r="N916" s="3" t="s">
        <v>1711</v>
      </c>
      <c r="O916" s="3">
        <v>18</v>
      </c>
      <c r="P916" s="3">
        <v>65.29</v>
      </c>
      <c r="Q916" s="3">
        <v>0</v>
      </c>
      <c r="R916" s="3">
        <v>0</v>
      </c>
      <c r="S916" s="3">
        <v>0</v>
      </c>
      <c r="T916" s="3">
        <v>0</v>
      </c>
      <c r="U916" s="3">
        <v>0</v>
      </c>
      <c r="V916" s="3">
        <v>1</v>
      </c>
      <c r="W916" s="3" t="s">
        <v>1712</v>
      </c>
      <c r="X916" s="3">
        <v>27.99</v>
      </c>
      <c r="Y916" s="3">
        <v>27.99</v>
      </c>
      <c r="Z916" s="3">
        <v>25.99</v>
      </c>
      <c r="AA916" s="3">
        <v>0</v>
      </c>
      <c r="AB916" s="3" t="s">
        <v>1732</v>
      </c>
      <c r="AC916" s="3">
        <v>0</v>
      </c>
      <c r="AD916" s="3">
        <v>22.39</v>
      </c>
      <c r="AE916" s="3">
        <v>364</v>
      </c>
      <c r="AF916" s="3">
        <v>0</v>
      </c>
      <c r="AG916" s="3">
        <v>816.445783</v>
      </c>
      <c r="AH916" s="3">
        <v>0.0533333333333333</v>
      </c>
      <c r="AI916" s="3" t="s">
        <v>1831</v>
      </c>
      <c r="AJ916" s="3" t="s">
        <v>1715</v>
      </c>
    </row>
    <row r="917" spans="1:36">
      <c r="A917" s="4">
        <v>43277</v>
      </c>
      <c r="B917" s="3" t="s">
        <v>4592</v>
      </c>
      <c r="C917" s="3" t="s">
        <v>4593</v>
      </c>
      <c r="D917" s="3" t="s">
        <v>4594</v>
      </c>
      <c r="E917" s="3" t="s">
        <v>1426</v>
      </c>
      <c r="F917" s="3" t="s">
        <v>1710</v>
      </c>
      <c r="G917" s="3">
        <v>10</v>
      </c>
      <c r="H917" s="3">
        <v>0</v>
      </c>
      <c r="I917" s="3">
        <v>10</v>
      </c>
      <c r="J917" s="3">
        <v>0</v>
      </c>
      <c r="K917" s="3">
        <v>0</v>
      </c>
      <c r="L917" s="3">
        <v>0</v>
      </c>
      <c r="M917" s="3">
        <v>0</v>
      </c>
      <c r="N917" s="3" t="s">
        <v>1711</v>
      </c>
      <c r="O917" s="3">
        <v>0</v>
      </c>
      <c r="P917" s="3">
        <v>0</v>
      </c>
      <c r="Q917" s="3">
        <v>0</v>
      </c>
      <c r="R917" s="3">
        <v>0</v>
      </c>
      <c r="S917" s="3">
        <v>0</v>
      </c>
      <c r="T917" s="3">
        <v>0</v>
      </c>
      <c r="U917" s="3">
        <v>0</v>
      </c>
      <c r="V917" s="3">
        <v>0</v>
      </c>
      <c r="W917" s="3" t="s">
        <v>1712</v>
      </c>
      <c r="X917" s="3">
        <v>19.99</v>
      </c>
      <c r="Y917" s="3">
        <v>19.99</v>
      </c>
      <c r="Z917" s="3">
        <v>19.99</v>
      </c>
      <c r="AA917" s="3">
        <v>0</v>
      </c>
      <c r="AB917" s="3" t="s">
        <v>1713</v>
      </c>
      <c r="AC917" s="3">
        <v>10</v>
      </c>
      <c r="AD917" s="3">
        <v>19.99</v>
      </c>
      <c r="AE917" s="3">
        <v>0</v>
      </c>
      <c r="AF917" s="3">
        <v>0</v>
      </c>
      <c r="AG917" s="3">
        <v>0</v>
      </c>
      <c r="AH917" s="3">
        <v>0</v>
      </c>
      <c r="AI917" s="3" t="s">
        <v>2295</v>
      </c>
      <c r="AJ917" s="3" t="s">
        <v>1715</v>
      </c>
    </row>
    <row r="918" spans="1:36">
      <c r="A918" s="4">
        <v>43277</v>
      </c>
      <c r="B918" s="3" t="s">
        <v>1325</v>
      </c>
      <c r="C918" s="3" t="s">
        <v>1326</v>
      </c>
      <c r="D918" s="3" t="s">
        <v>1327</v>
      </c>
      <c r="E918" s="3" t="s">
        <v>1328</v>
      </c>
      <c r="F918" s="3" t="s">
        <v>1710</v>
      </c>
      <c r="G918" s="3">
        <v>10</v>
      </c>
      <c r="H918" s="3">
        <v>0</v>
      </c>
      <c r="I918" s="3">
        <v>10</v>
      </c>
      <c r="J918" s="3">
        <v>0</v>
      </c>
      <c r="K918" s="3">
        <v>0</v>
      </c>
      <c r="L918" s="3">
        <v>0</v>
      </c>
      <c r="M918" s="3">
        <v>0</v>
      </c>
      <c r="N918" s="3" t="s">
        <v>1711</v>
      </c>
      <c r="O918" s="3">
        <v>0</v>
      </c>
      <c r="P918" s="3">
        <v>0</v>
      </c>
      <c r="Q918" s="3">
        <v>0</v>
      </c>
      <c r="R918" s="3">
        <v>0</v>
      </c>
      <c r="S918" s="3">
        <v>13</v>
      </c>
      <c r="T918" s="3">
        <v>33</v>
      </c>
      <c r="U918" s="3">
        <v>48</v>
      </c>
      <c r="V918" s="3">
        <v>48</v>
      </c>
      <c r="W918" s="3"/>
      <c r="X918" s="3">
        <v>25.99</v>
      </c>
      <c r="Y918" s="3">
        <v>25.99</v>
      </c>
      <c r="Z918" s="3">
        <v>25.99</v>
      </c>
      <c r="AA918" s="3">
        <v>0</v>
      </c>
      <c r="AB918" s="3" t="s">
        <v>1713</v>
      </c>
      <c r="AC918" s="3">
        <v>17</v>
      </c>
      <c r="AD918" s="3">
        <v>25.99</v>
      </c>
      <c r="AE918" s="3">
        <v>0</v>
      </c>
      <c r="AF918" s="3">
        <v>0</v>
      </c>
      <c r="AG918" s="3">
        <v>0</v>
      </c>
      <c r="AH918" s="3">
        <v>9</v>
      </c>
      <c r="AI918" s="3" t="s">
        <v>1777</v>
      </c>
      <c r="AJ918" s="3" t="s">
        <v>1715</v>
      </c>
    </row>
    <row r="919" spans="1:36">
      <c r="A919" s="4">
        <v>43277</v>
      </c>
      <c r="B919" s="3" t="s">
        <v>4595</v>
      </c>
      <c r="C919" s="3" t="s">
        <v>4596</v>
      </c>
      <c r="D919" s="3" t="s">
        <v>4597</v>
      </c>
      <c r="E919" s="3" t="s">
        <v>4598</v>
      </c>
      <c r="F919" s="3" t="s">
        <v>1710</v>
      </c>
      <c r="G919" s="3">
        <v>16</v>
      </c>
      <c r="H919" s="3">
        <v>0</v>
      </c>
      <c r="I919" s="3">
        <v>16</v>
      </c>
      <c r="J919" s="3">
        <v>0</v>
      </c>
      <c r="K919" s="3">
        <v>0</v>
      </c>
      <c r="L919" s="3">
        <v>0</v>
      </c>
      <c r="M919" s="3">
        <v>0</v>
      </c>
      <c r="N919" s="3" t="s">
        <v>1711</v>
      </c>
      <c r="O919" s="3">
        <v>0</v>
      </c>
      <c r="P919" s="3">
        <v>0</v>
      </c>
      <c r="Q919" s="3">
        <v>0</v>
      </c>
      <c r="R919" s="3">
        <v>0</v>
      </c>
      <c r="S919" s="3">
        <v>1</v>
      </c>
      <c r="T919" s="3">
        <v>10</v>
      </c>
      <c r="U919" s="3">
        <v>17</v>
      </c>
      <c r="V919" s="3">
        <v>25</v>
      </c>
      <c r="W919" s="3"/>
      <c r="X919" s="3">
        <v>28.58</v>
      </c>
      <c r="Y919" s="3">
        <v>28.58</v>
      </c>
      <c r="Z919" s="3">
        <v>28</v>
      </c>
      <c r="AA919" s="3">
        <v>0</v>
      </c>
      <c r="AB919" s="3" t="s">
        <v>1713</v>
      </c>
      <c r="AC919" s="3">
        <v>16</v>
      </c>
      <c r="AD919" s="3">
        <v>28.58</v>
      </c>
      <c r="AE919" s="3">
        <v>0</v>
      </c>
      <c r="AF919" s="3">
        <v>0</v>
      </c>
      <c r="AG919" s="3">
        <v>0</v>
      </c>
      <c r="AH919" s="3">
        <v>2.5</v>
      </c>
      <c r="AI919" s="3" t="s">
        <v>2790</v>
      </c>
      <c r="AJ919" s="3" t="s">
        <v>1715</v>
      </c>
    </row>
    <row r="920" spans="1:36">
      <c r="A920" s="4">
        <v>43277</v>
      </c>
      <c r="B920" s="3" t="s">
        <v>4599</v>
      </c>
      <c r="C920" s="3" t="s">
        <v>4600</v>
      </c>
      <c r="D920" s="3" t="s">
        <v>4601</v>
      </c>
      <c r="E920" s="3" t="s">
        <v>4602</v>
      </c>
      <c r="F920" s="3" t="s">
        <v>1710</v>
      </c>
      <c r="G920" s="3">
        <v>10</v>
      </c>
      <c r="H920" s="3">
        <v>0</v>
      </c>
      <c r="I920" s="3">
        <v>0</v>
      </c>
      <c r="J920" s="3">
        <v>0</v>
      </c>
      <c r="K920" s="3">
        <v>10</v>
      </c>
      <c r="L920" s="3">
        <v>0</v>
      </c>
      <c r="M920" s="3">
        <v>0</v>
      </c>
      <c r="N920" s="3" t="s">
        <v>1711</v>
      </c>
      <c r="O920" s="3">
        <v>10</v>
      </c>
      <c r="P920" s="3">
        <v>13.68</v>
      </c>
      <c r="Q920" s="3">
        <v>0</v>
      </c>
      <c r="R920" s="3">
        <v>0</v>
      </c>
      <c r="S920" s="3">
        <v>0</v>
      </c>
      <c r="T920" s="3">
        <v>0</v>
      </c>
      <c r="U920" s="3">
        <v>0</v>
      </c>
      <c r="V920" s="3">
        <v>0</v>
      </c>
      <c r="W920" s="3" t="s">
        <v>1720</v>
      </c>
      <c r="X920" s="3">
        <v>16.99</v>
      </c>
      <c r="Y920" s="3">
        <v>16.99</v>
      </c>
      <c r="Z920" s="3">
        <v>16.99</v>
      </c>
      <c r="AA920" s="3">
        <v>0</v>
      </c>
      <c r="AB920" s="3" t="s">
        <v>1732</v>
      </c>
      <c r="AC920" s="3">
        <v>0</v>
      </c>
      <c r="AD920" s="3">
        <v>13.59</v>
      </c>
      <c r="AE920" s="3">
        <v>63</v>
      </c>
      <c r="AF920" s="3">
        <v>0</v>
      </c>
      <c r="AG920" s="3">
        <v>161.779055</v>
      </c>
      <c r="AH920" s="3">
        <v>0</v>
      </c>
      <c r="AI920" s="3" t="s">
        <v>1851</v>
      </c>
      <c r="AJ920" s="3" t="s">
        <v>1715</v>
      </c>
    </row>
    <row r="921" spans="1:36">
      <c r="A921" s="4">
        <v>43277</v>
      </c>
      <c r="B921" s="3" t="s">
        <v>4603</v>
      </c>
      <c r="C921" s="3" t="s">
        <v>4604</v>
      </c>
      <c r="D921" s="3" t="s">
        <v>4605</v>
      </c>
      <c r="E921" s="3" t="s">
        <v>2030</v>
      </c>
      <c r="F921" s="3" t="s">
        <v>1710</v>
      </c>
      <c r="G921" s="3">
        <v>2</v>
      </c>
      <c r="H921" s="3">
        <v>0</v>
      </c>
      <c r="I921" s="3">
        <v>0</v>
      </c>
      <c r="J921" s="3">
        <v>0</v>
      </c>
      <c r="K921" s="3">
        <v>2</v>
      </c>
      <c r="L921" s="3">
        <v>0</v>
      </c>
      <c r="M921" s="3">
        <v>0</v>
      </c>
      <c r="N921" s="3" t="s">
        <v>1711</v>
      </c>
      <c r="O921" s="3">
        <v>2</v>
      </c>
      <c r="P921" s="3">
        <v>0.46</v>
      </c>
      <c r="Q921" s="3">
        <v>0</v>
      </c>
      <c r="R921" s="3">
        <v>0</v>
      </c>
      <c r="S921" s="3">
        <v>0</v>
      </c>
      <c r="T921" s="3">
        <v>0</v>
      </c>
      <c r="U921" s="3">
        <v>0</v>
      </c>
      <c r="V921" s="3">
        <v>0</v>
      </c>
      <c r="W921" s="3" t="s">
        <v>1720</v>
      </c>
      <c r="X921" s="3">
        <v>14.99</v>
      </c>
      <c r="Y921" s="3">
        <v>14.99</v>
      </c>
      <c r="Z921" s="3">
        <v>14.99</v>
      </c>
      <c r="AA921" s="3">
        <v>0</v>
      </c>
      <c r="AB921" s="3" t="s">
        <v>1732</v>
      </c>
      <c r="AC921" s="3">
        <v>0</v>
      </c>
      <c r="AD921" s="3">
        <v>11.99</v>
      </c>
      <c r="AE921" s="3">
        <v>63</v>
      </c>
      <c r="AF921" s="3">
        <v>0</v>
      </c>
      <c r="AG921" s="3">
        <v>6.064882</v>
      </c>
      <c r="AH921" s="3">
        <v>0</v>
      </c>
      <c r="AI921" s="3" t="s">
        <v>2031</v>
      </c>
      <c r="AJ921" s="3" t="s">
        <v>1715</v>
      </c>
    </row>
    <row r="922" spans="1:36">
      <c r="A922" s="4">
        <v>43277</v>
      </c>
      <c r="B922" s="3" t="s">
        <v>855</v>
      </c>
      <c r="C922" s="3" t="s">
        <v>856</v>
      </c>
      <c r="D922" s="3" t="s">
        <v>857</v>
      </c>
      <c r="E922" s="3" t="s">
        <v>858</v>
      </c>
      <c r="F922" s="3" t="s">
        <v>1710</v>
      </c>
      <c r="G922" s="3">
        <v>24</v>
      </c>
      <c r="H922" s="3">
        <v>0</v>
      </c>
      <c r="I922" s="3">
        <v>24</v>
      </c>
      <c r="J922" s="3">
        <v>0</v>
      </c>
      <c r="K922" s="3">
        <v>0</v>
      </c>
      <c r="L922" s="3">
        <v>0</v>
      </c>
      <c r="M922" s="3">
        <v>0</v>
      </c>
      <c r="N922" s="3" t="s">
        <v>1711</v>
      </c>
      <c r="O922" s="3">
        <v>0</v>
      </c>
      <c r="P922" s="3">
        <v>0</v>
      </c>
      <c r="Q922" s="3">
        <v>0</v>
      </c>
      <c r="R922" s="3">
        <v>0</v>
      </c>
      <c r="S922" s="3">
        <v>2</v>
      </c>
      <c r="T922" s="3">
        <v>11</v>
      </c>
      <c r="U922" s="3">
        <v>18</v>
      </c>
      <c r="V922" s="3">
        <v>30</v>
      </c>
      <c r="W922" s="3"/>
      <c r="X922" s="3">
        <v>38</v>
      </c>
      <c r="Y922" s="3">
        <v>16.58</v>
      </c>
      <c r="Z922" s="3">
        <v>16.58</v>
      </c>
      <c r="AA922" s="3">
        <v>0</v>
      </c>
      <c r="AB922" s="3" t="s">
        <v>1713</v>
      </c>
      <c r="AC922" s="3">
        <v>21</v>
      </c>
      <c r="AD922" s="3">
        <v>16.58</v>
      </c>
      <c r="AE922" s="3">
        <v>0</v>
      </c>
      <c r="AF922" s="3">
        <v>0</v>
      </c>
      <c r="AG922" s="3">
        <v>0</v>
      </c>
      <c r="AH922" s="3">
        <v>1.76470588235294</v>
      </c>
      <c r="AI922" s="3" t="s">
        <v>4606</v>
      </c>
      <c r="AJ922" s="3" t="s">
        <v>1715</v>
      </c>
    </row>
    <row r="923" spans="1:36">
      <c r="A923" s="4">
        <v>43277</v>
      </c>
      <c r="B923" s="3" t="s">
        <v>4607</v>
      </c>
      <c r="C923" s="3" t="s">
        <v>4608</v>
      </c>
      <c r="D923" s="3" t="s">
        <v>4609</v>
      </c>
      <c r="E923" s="3" t="s">
        <v>1820</v>
      </c>
      <c r="F923" s="3" t="s">
        <v>1710</v>
      </c>
      <c r="G923" s="3">
        <v>10</v>
      </c>
      <c r="H923" s="3">
        <v>0</v>
      </c>
      <c r="I923" s="3">
        <v>10</v>
      </c>
      <c r="J923" s="3">
        <v>0</v>
      </c>
      <c r="K923" s="3">
        <v>0</v>
      </c>
      <c r="L923" s="3">
        <v>0</v>
      </c>
      <c r="M923" s="3">
        <v>0</v>
      </c>
      <c r="N923" s="3" t="s">
        <v>1711</v>
      </c>
      <c r="O923" s="3">
        <v>0</v>
      </c>
      <c r="P923" s="3">
        <v>0</v>
      </c>
      <c r="Q923" s="3">
        <v>0</v>
      </c>
      <c r="R923" s="3">
        <v>0</v>
      </c>
      <c r="S923" s="3">
        <v>0</v>
      </c>
      <c r="T923" s="3">
        <v>0</v>
      </c>
      <c r="U923" s="3">
        <v>0</v>
      </c>
      <c r="V923" s="3">
        <v>0</v>
      </c>
      <c r="W923" s="3" t="s">
        <v>1720</v>
      </c>
      <c r="X923" s="3">
        <v>18.99</v>
      </c>
      <c r="Y923" s="3">
        <v>18.99</v>
      </c>
      <c r="Z923" s="3">
        <v>18.99</v>
      </c>
      <c r="AA923" s="3">
        <v>0</v>
      </c>
      <c r="AB923" s="3" t="s">
        <v>1721</v>
      </c>
      <c r="AC923" s="3">
        <v>0</v>
      </c>
      <c r="AD923" s="3">
        <v>15.19</v>
      </c>
      <c r="AE923" s="3">
        <v>63</v>
      </c>
      <c r="AF923" s="3">
        <v>0</v>
      </c>
      <c r="AG923" s="3">
        <v>71.590365</v>
      </c>
      <c r="AH923" s="3">
        <v>0</v>
      </c>
      <c r="AI923" s="3" t="s">
        <v>1821</v>
      </c>
      <c r="AJ923" s="3" t="s">
        <v>1715</v>
      </c>
    </row>
    <row r="924" spans="1:36">
      <c r="A924" s="4">
        <v>43277</v>
      </c>
      <c r="B924" s="3" t="s">
        <v>4610</v>
      </c>
      <c r="C924" s="3" t="s">
        <v>4611</v>
      </c>
      <c r="D924" s="3" t="s">
        <v>4612</v>
      </c>
      <c r="E924" s="3" t="s">
        <v>4613</v>
      </c>
      <c r="F924" s="3" t="s">
        <v>1710</v>
      </c>
      <c r="G924" s="3">
        <v>5</v>
      </c>
      <c r="H924" s="3">
        <v>0</v>
      </c>
      <c r="I924" s="3">
        <v>2</v>
      </c>
      <c r="J924" s="3">
        <v>2</v>
      </c>
      <c r="K924" s="3">
        <v>1</v>
      </c>
      <c r="L924" s="3">
        <v>0</v>
      </c>
      <c r="M924" s="3">
        <v>0</v>
      </c>
      <c r="N924" s="3" t="s">
        <v>1711</v>
      </c>
      <c r="O924" s="3">
        <v>3</v>
      </c>
      <c r="P924" s="3">
        <v>4.85</v>
      </c>
      <c r="Q924" s="3">
        <v>0</v>
      </c>
      <c r="R924" s="3">
        <v>0</v>
      </c>
      <c r="S924" s="3">
        <v>0</v>
      </c>
      <c r="T924" s="3">
        <v>0</v>
      </c>
      <c r="U924" s="3">
        <v>0</v>
      </c>
      <c r="V924" s="3">
        <v>1</v>
      </c>
      <c r="W924" s="3" t="s">
        <v>1712</v>
      </c>
      <c r="X924" s="3">
        <v>15.99</v>
      </c>
      <c r="Y924" s="3">
        <v>15.99</v>
      </c>
      <c r="Z924" s="3">
        <v>15.99</v>
      </c>
      <c r="AA924" s="3">
        <v>0</v>
      </c>
      <c r="AB924" s="3" t="s">
        <v>1732</v>
      </c>
      <c r="AC924" s="3">
        <v>0</v>
      </c>
      <c r="AD924" s="3">
        <v>13.8</v>
      </c>
      <c r="AE924" s="3">
        <v>175</v>
      </c>
      <c r="AF924" s="3">
        <v>0</v>
      </c>
      <c r="AG924" s="3">
        <v>117.045581</v>
      </c>
      <c r="AH924" s="3">
        <v>0.235294117647058</v>
      </c>
      <c r="AI924" s="3" t="s">
        <v>1846</v>
      </c>
      <c r="AJ924" s="3" t="s">
        <v>1783</v>
      </c>
    </row>
    <row r="925" spans="1:36">
      <c r="A925" s="4">
        <v>43277</v>
      </c>
      <c r="B925" s="3" t="s">
        <v>4614</v>
      </c>
      <c r="C925" s="3" t="s">
        <v>4615</v>
      </c>
      <c r="D925" s="3" t="s">
        <v>4616</v>
      </c>
      <c r="E925" s="3" t="s">
        <v>4617</v>
      </c>
      <c r="F925" s="3" t="s">
        <v>1710</v>
      </c>
      <c r="G925" s="3">
        <v>3</v>
      </c>
      <c r="H925" s="3">
        <v>0</v>
      </c>
      <c r="I925" s="3">
        <v>0</v>
      </c>
      <c r="J925" s="3">
        <v>0</v>
      </c>
      <c r="K925" s="3">
        <v>3</v>
      </c>
      <c r="L925" s="3">
        <v>0</v>
      </c>
      <c r="M925" s="3">
        <v>0</v>
      </c>
      <c r="N925" s="3" t="s">
        <v>1711</v>
      </c>
      <c r="O925" s="3">
        <v>3</v>
      </c>
      <c r="P925" s="3">
        <v>0.02</v>
      </c>
      <c r="Q925" s="3">
        <v>0</v>
      </c>
      <c r="R925" s="3">
        <v>0</v>
      </c>
      <c r="S925" s="3">
        <v>0</v>
      </c>
      <c r="T925" s="3">
        <v>1</v>
      </c>
      <c r="U925" s="3">
        <v>1</v>
      </c>
      <c r="V925" s="3">
        <v>1</v>
      </c>
      <c r="W925" s="3" t="s">
        <v>1720</v>
      </c>
      <c r="X925" s="3">
        <v>19.99</v>
      </c>
      <c r="Y925" s="3">
        <v>19.99</v>
      </c>
      <c r="Z925" s="3">
        <v>19.99</v>
      </c>
      <c r="AA925" s="3">
        <v>0</v>
      </c>
      <c r="AB925" s="3" t="s">
        <v>1721</v>
      </c>
      <c r="AC925" s="3">
        <v>1</v>
      </c>
      <c r="AD925" s="3">
        <v>18.64</v>
      </c>
      <c r="AE925" s="3">
        <v>126</v>
      </c>
      <c r="AF925" s="3">
        <v>0</v>
      </c>
      <c r="AG925" s="3">
        <v>35.022875</v>
      </c>
      <c r="AH925" s="3">
        <v>0.266666666666666</v>
      </c>
      <c r="AI925" s="3" t="s">
        <v>1782</v>
      </c>
      <c r="AJ925" s="3" t="s">
        <v>1783</v>
      </c>
    </row>
    <row r="926" spans="1:36">
      <c r="A926" s="4">
        <v>43277</v>
      </c>
      <c r="B926" s="3" t="s">
        <v>655</v>
      </c>
      <c r="C926" s="3" t="s">
        <v>656</v>
      </c>
      <c r="D926" s="3" t="s">
        <v>657</v>
      </c>
      <c r="E926" s="3" t="s">
        <v>4618</v>
      </c>
      <c r="F926" s="3" t="s">
        <v>1710</v>
      </c>
      <c r="G926" s="3">
        <v>26</v>
      </c>
      <c r="H926" s="3">
        <v>0</v>
      </c>
      <c r="I926" s="3">
        <v>26</v>
      </c>
      <c r="J926" s="3">
        <v>0</v>
      </c>
      <c r="K926" s="3">
        <v>0</v>
      </c>
      <c r="L926" s="3">
        <v>0</v>
      </c>
      <c r="M926" s="3">
        <v>0</v>
      </c>
      <c r="N926" s="3" t="s">
        <v>1711</v>
      </c>
      <c r="O926" s="3">
        <v>0</v>
      </c>
      <c r="P926" s="3">
        <v>0</v>
      </c>
      <c r="Q926" s="3">
        <v>0</v>
      </c>
      <c r="R926" s="3">
        <v>0</v>
      </c>
      <c r="S926" s="3">
        <v>2</v>
      </c>
      <c r="T926" s="3">
        <v>11</v>
      </c>
      <c r="U926" s="3">
        <v>24</v>
      </c>
      <c r="V926" s="3">
        <v>31</v>
      </c>
      <c r="W926" s="3"/>
      <c r="X926" s="3">
        <v>38</v>
      </c>
      <c r="Y926" s="3">
        <v>28.58</v>
      </c>
      <c r="Z926" s="3">
        <v>28.58</v>
      </c>
      <c r="AA926" s="3">
        <v>0</v>
      </c>
      <c r="AB926" s="3" t="s">
        <v>1713</v>
      </c>
      <c r="AC926" s="3">
        <v>26</v>
      </c>
      <c r="AD926" s="3">
        <v>28.58</v>
      </c>
      <c r="AE926" s="3">
        <v>0</v>
      </c>
      <c r="AF926" s="3">
        <v>0</v>
      </c>
      <c r="AG926" s="3">
        <v>0</v>
      </c>
      <c r="AH926" s="3">
        <v>1.85074626865671</v>
      </c>
      <c r="AI926" s="3" t="s">
        <v>2128</v>
      </c>
      <c r="AJ926" s="3" t="s">
        <v>1715</v>
      </c>
    </row>
    <row r="927" spans="1:36">
      <c r="A927" s="4">
        <v>43277</v>
      </c>
      <c r="B927" s="3" t="s">
        <v>4619</v>
      </c>
      <c r="C927" s="3" t="s">
        <v>4620</v>
      </c>
      <c r="D927" s="3" t="s">
        <v>4621</v>
      </c>
      <c r="E927" s="3" t="s">
        <v>4622</v>
      </c>
      <c r="F927" s="3" t="s">
        <v>1710</v>
      </c>
      <c r="G927" s="3">
        <v>74</v>
      </c>
      <c r="H927" s="3">
        <v>0</v>
      </c>
      <c r="I927" s="3">
        <v>11</v>
      </c>
      <c r="J927" s="3">
        <v>14</v>
      </c>
      <c r="K927" s="3">
        <v>49</v>
      </c>
      <c r="L927" s="3">
        <v>0</v>
      </c>
      <c r="M927" s="3">
        <v>0</v>
      </c>
      <c r="N927" s="3" t="s">
        <v>1711</v>
      </c>
      <c r="O927" s="3">
        <v>57</v>
      </c>
      <c r="P927" s="3">
        <v>34.11</v>
      </c>
      <c r="Q927" s="3">
        <v>0</v>
      </c>
      <c r="R927" s="3">
        <v>0</v>
      </c>
      <c r="S927" s="3">
        <v>0</v>
      </c>
      <c r="T927" s="3">
        <v>2</v>
      </c>
      <c r="U927" s="3">
        <v>12</v>
      </c>
      <c r="V927" s="3">
        <v>29</v>
      </c>
      <c r="W927" s="3"/>
      <c r="X927" s="3">
        <v>16.99</v>
      </c>
      <c r="Y927" s="3">
        <v>16.99</v>
      </c>
      <c r="Z927" s="3">
        <v>16</v>
      </c>
      <c r="AA927" s="3">
        <v>0</v>
      </c>
      <c r="AB927" s="3" t="s">
        <v>1732</v>
      </c>
      <c r="AC927" s="3">
        <v>7</v>
      </c>
      <c r="AD927" s="3">
        <v>13.53</v>
      </c>
      <c r="AE927" s="3">
        <v>364</v>
      </c>
      <c r="AF927" s="3">
        <v>0</v>
      </c>
      <c r="AG927" s="3">
        <v>407.849336</v>
      </c>
      <c r="AH927" s="3">
        <v>0.0999138673557278</v>
      </c>
      <c r="AI927" s="3" t="s">
        <v>1905</v>
      </c>
      <c r="AJ927" s="3" t="s">
        <v>1715</v>
      </c>
    </row>
    <row r="928" spans="1:36">
      <c r="A928" s="4">
        <v>43277</v>
      </c>
      <c r="B928" s="3" t="s">
        <v>4623</v>
      </c>
      <c r="C928" s="3" t="s">
        <v>4624</v>
      </c>
      <c r="D928" s="3" t="s">
        <v>4625</v>
      </c>
      <c r="E928" s="3" t="s">
        <v>4626</v>
      </c>
      <c r="F928" s="3" t="s">
        <v>1710</v>
      </c>
      <c r="G928" s="3">
        <v>1</v>
      </c>
      <c r="H928" s="3">
        <v>0</v>
      </c>
      <c r="I928" s="3">
        <v>1</v>
      </c>
      <c r="J928" s="3">
        <v>0</v>
      </c>
      <c r="K928" s="3">
        <v>0</v>
      </c>
      <c r="L928" s="3">
        <v>0</v>
      </c>
      <c r="M928" s="3">
        <v>0</v>
      </c>
      <c r="N928" s="3" t="s">
        <v>1711</v>
      </c>
      <c r="O928" s="3">
        <v>0</v>
      </c>
      <c r="P928" s="3">
        <v>0</v>
      </c>
      <c r="Q928" s="3">
        <v>0</v>
      </c>
      <c r="R928" s="3">
        <v>0</v>
      </c>
      <c r="S928" s="3">
        <v>1</v>
      </c>
      <c r="T928" s="3">
        <v>16</v>
      </c>
      <c r="U928" s="3">
        <v>21</v>
      </c>
      <c r="V928" s="3">
        <v>21</v>
      </c>
      <c r="W928" s="3"/>
      <c r="X928" s="3"/>
      <c r="Y928" s="3"/>
      <c r="Z928" s="3">
        <v>-1</v>
      </c>
      <c r="AA928" s="3">
        <v>-1</v>
      </c>
      <c r="AB928" s="3" t="s">
        <v>1776</v>
      </c>
      <c r="AC928" s="3">
        <v>0</v>
      </c>
      <c r="AD928" s="3">
        <v>0</v>
      </c>
      <c r="AE928" s="3">
        <v>0</v>
      </c>
      <c r="AF928" s="3">
        <v>0</v>
      </c>
      <c r="AG928" s="3">
        <v>0</v>
      </c>
      <c r="AH928" s="3">
        <v>2.47058823529411</v>
      </c>
      <c r="AI928" s="3" t="s">
        <v>1881</v>
      </c>
      <c r="AJ928" s="3" t="s">
        <v>1715</v>
      </c>
    </row>
    <row r="929" spans="1:36">
      <c r="A929" s="4">
        <v>43277</v>
      </c>
      <c r="B929" s="3" t="s">
        <v>4627</v>
      </c>
      <c r="C929" s="3" t="s">
        <v>4628</v>
      </c>
      <c r="D929" s="3" t="s">
        <v>4629</v>
      </c>
      <c r="E929" s="3" t="s">
        <v>4630</v>
      </c>
      <c r="F929" s="3" t="s">
        <v>1710</v>
      </c>
      <c r="G929" s="3">
        <v>1</v>
      </c>
      <c r="H929" s="3">
        <v>0</v>
      </c>
      <c r="I929" s="3">
        <v>1</v>
      </c>
      <c r="J929" s="3">
        <v>0</v>
      </c>
      <c r="K929" s="3">
        <v>0</v>
      </c>
      <c r="L929" s="3">
        <v>0</v>
      </c>
      <c r="M929" s="3">
        <v>0</v>
      </c>
      <c r="N929" s="3" t="s">
        <v>1711</v>
      </c>
      <c r="O929" s="3">
        <v>0</v>
      </c>
      <c r="P929" s="3">
        <v>0</v>
      </c>
      <c r="Q929" s="3">
        <v>0</v>
      </c>
      <c r="R929" s="3">
        <v>0</v>
      </c>
      <c r="S929" s="3">
        <v>0</v>
      </c>
      <c r="T929" s="3">
        <v>0</v>
      </c>
      <c r="U929" s="3">
        <v>0</v>
      </c>
      <c r="V929" s="3">
        <v>0</v>
      </c>
      <c r="W929" s="3"/>
      <c r="X929" s="3"/>
      <c r="Y929" s="3"/>
      <c r="Z929" s="3">
        <v>-1</v>
      </c>
      <c r="AA929" s="3">
        <v>-1</v>
      </c>
      <c r="AB929" s="3" t="s">
        <v>1776</v>
      </c>
      <c r="AC929" s="3">
        <v>0</v>
      </c>
      <c r="AD929" s="3">
        <v>0</v>
      </c>
      <c r="AE929" s="3">
        <v>0</v>
      </c>
      <c r="AF929" s="3">
        <v>0</v>
      </c>
      <c r="AG929" s="3">
        <v>0</v>
      </c>
      <c r="AH929" s="3">
        <v>0</v>
      </c>
      <c r="AI929" s="3" t="s">
        <v>1881</v>
      </c>
      <c r="AJ929" s="3" t="s">
        <v>1715</v>
      </c>
    </row>
    <row r="930" spans="1:36">
      <c r="A930" s="4">
        <v>43277</v>
      </c>
      <c r="B930" s="3" t="s">
        <v>4631</v>
      </c>
      <c r="C930" s="3" t="s">
        <v>4632</v>
      </c>
      <c r="D930" s="3" t="s">
        <v>4633</v>
      </c>
      <c r="E930" s="3" t="s">
        <v>4634</v>
      </c>
      <c r="F930" s="3" t="s">
        <v>1710</v>
      </c>
      <c r="G930" s="3">
        <v>32</v>
      </c>
      <c r="H930" s="3">
        <v>0</v>
      </c>
      <c r="I930" s="3">
        <v>32</v>
      </c>
      <c r="J930" s="3">
        <v>0</v>
      </c>
      <c r="K930" s="3">
        <v>0</v>
      </c>
      <c r="L930" s="3">
        <v>0</v>
      </c>
      <c r="M930" s="3">
        <v>0</v>
      </c>
      <c r="N930" s="3" t="s">
        <v>1711</v>
      </c>
      <c r="O930" s="3">
        <v>0</v>
      </c>
      <c r="P930" s="3">
        <v>0</v>
      </c>
      <c r="Q930" s="3">
        <v>0</v>
      </c>
      <c r="R930" s="3">
        <v>0</v>
      </c>
      <c r="S930" s="3">
        <v>7</v>
      </c>
      <c r="T930" s="3">
        <v>31</v>
      </c>
      <c r="U930" s="3">
        <v>53</v>
      </c>
      <c r="V930" s="3">
        <v>78</v>
      </c>
      <c r="W930" s="3"/>
      <c r="X930" s="3">
        <v>38</v>
      </c>
      <c r="Y930" s="3">
        <v>28.58</v>
      </c>
      <c r="Z930" s="3">
        <v>28.58</v>
      </c>
      <c r="AA930" s="3">
        <v>0</v>
      </c>
      <c r="AB930" s="3" t="s">
        <v>1713</v>
      </c>
      <c r="AC930" s="3">
        <v>35</v>
      </c>
      <c r="AD930" s="3">
        <v>28.58</v>
      </c>
      <c r="AE930" s="3">
        <v>0</v>
      </c>
      <c r="AF930" s="3">
        <v>0</v>
      </c>
      <c r="AG930" s="3">
        <v>0</v>
      </c>
      <c r="AH930" s="3">
        <v>5.11475409836065</v>
      </c>
      <c r="AI930" s="3" t="s">
        <v>4635</v>
      </c>
      <c r="AJ930" s="3" t="s">
        <v>1715</v>
      </c>
    </row>
    <row r="931" spans="1:36">
      <c r="A931" s="4">
        <v>43277</v>
      </c>
      <c r="B931" s="3" t="s">
        <v>4636</v>
      </c>
      <c r="C931" s="3" t="s">
        <v>4637</v>
      </c>
      <c r="D931" s="3" t="s">
        <v>4638</v>
      </c>
      <c r="E931" s="3" t="s">
        <v>4639</v>
      </c>
      <c r="F931" s="3" t="s">
        <v>1710</v>
      </c>
      <c r="G931" s="3">
        <v>15</v>
      </c>
      <c r="H931" s="3">
        <v>0</v>
      </c>
      <c r="I931" s="3">
        <v>15</v>
      </c>
      <c r="J931" s="3">
        <v>0</v>
      </c>
      <c r="K931" s="3">
        <v>0</v>
      </c>
      <c r="L931" s="3">
        <v>0</v>
      </c>
      <c r="M931" s="3">
        <v>0</v>
      </c>
      <c r="N931" s="3" t="s">
        <v>1711</v>
      </c>
      <c r="O931" s="3">
        <v>0</v>
      </c>
      <c r="P931" s="3">
        <v>0</v>
      </c>
      <c r="Q931" s="3">
        <v>0</v>
      </c>
      <c r="R931" s="3">
        <v>0</v>
      </c>
      <c r="S931" s="3">
        <v>0</v>
      </c>
      <c r="T931" s="3">
        <v>1</v>
      </c>
      <c r="U931" s="3">
        <v>1</v>
      </c>
      <c r="V931" s="3">
        <v>1</v>
      </c>
      <c r="W931" s="3"/>
      <c r="X931" s="3">
        <v>28.99</v>
      </c>
      <c r="Y931" s="3">
        <v>28.99</v>
      </c>
      <c r="Z931" s="3">
        <v>28.99</v>
      </c>
      <c r="AA931" s="3">
        <v>0</v>
      </c>
      <c r="AB931" s="3" t="s">
        <v>1713</v>
      </c>
      <c r="AC931" s="3">
        <v>14</v>
      </c>
      <c r="AD931" s="3">
        <v>28.99</v>
      </c>
      <c r="AE931" s="3">
        <v>0</v>
      </c>
      <c r="AF931" s="3">
        <v>0</v>
      </c>
      <c r="AG931" s="3">
        <v>0</v>
      </c>
      <c r="AH931" s="3">
        <v>0.0714285714285714</v>
      </c>
      <c r="AI931" s="3" t="s">
        <v>2065</v>
      </c>
      <c r="AJ931" s="3" t="s">
        <v>1715</v>
      </c>
    </row>
    <row r="932" spans="1:36">
      <c r="A932" s="4">
        <v>43277</v>
      </c>
      <c r="B932" s="3" t="s">
        <v>4640</v>
      </c>
      <c r="C932" s="3" t="s">
        <v>4641</v>
      </c>
      <c r="D932" s="3" t="s">
        <v>4642</v>
      </c>
      <c r="E932" s="3" t="s">
        <v>4643</v>
      </c>
      <c r="F932" s="3" t="s">
        <v>1710</v>
      </c>
      <c r="G932" s="3">
        <v>127</v>
      </c>
      <c r="H932" s="3">
        <v>0</v>
      </c>
      <c r="I932" s="3">
        <v>14</v>
      </c>
      <c r="J932" s="3">
        <v>34</v>
      </c>
      <c r="K932" s="3">
        <v>79</v>
      </c>
      <c r="L932" s="3">
        <v>0</v>
      </c>
      <c r="M932" s="3">
        <v>0</v>
      </c>
      <c r="N932" s="3" t="s">
        <v>1711</v>
      </c>
      <c r="O932" s="3">
        <v>105</v>
      </c>
      <c r="P932" s="3">
        <v>62.84</v>
      </c>
      <c r="Q932" s="3">
        <v>0</v>
      </c>
      <c r="R932" s="3">
        <v>0</v>
      </c>
      <c r="S932" s="3">
        <v>0</v>
      </c>
      <c r="T932" s="3">
        <v>3</v>
      </c>
      <c r="U932" s="3">
        <v>10</v>
      </c>
      <c r="V932" s="3">
        <v>28</v>
      </c>
      <c r="W932" s="3"/>
      <c r="X932" s="3">
        <v>35</v>
      </c>
      <c r="Y932" s="3">
        <v>16.99</v>
      </c>
      <c r="Z932" s="3">
        <v>16</v>
      </c>
      <c r="AA932" s="3">
        <v>0</v>
      </c>
      <c r="AB932" s="3" t="s">
        <v>1732</v>
      </c>
      <c r="AC932" s="3">
        <v>4</v>
      </c>
      <c r="AD932" s="3">
        <v>13.59</v>
      </c>
      <c r="AE932" s="3">
        <v>364</v>
      </c>
      <c r="AF932" s="3">
        <v>0</v>
      </c>
      <c r="AG932" s="3">
        <v>826.952612</v>
      </c>
      <c r="AH932" s="3">
        <v>0.0769759450171821</v>
      </c>
      <c r="AI932" s="3" t="s">
        <v>1905</v>
      </c>
      <c r="AJ932" s="3" t="s">
        <v>1715</v>
      </c>
    </row>
    <row r="933" spans="1:36">
      <c r="A933" s="4">
        <v>43277</v>
      </c>
      <c r="B933" s="3" t="s">
        <v>4644</v>
      </c>
      <c r="C933" s="3" t="s">
        <v>4645</v>
      </c>
      <c r="D933" s="3" t="s">
        <v>4646</v>
      </c>
      <c r="E933" s="3" t="s">
        <v>4647</v>
      </c>
      <c r="F933" s="3" t="s">
        <v>1710</v>
      </c>
      <c r="G933" s="3">
        <v>2</v>
      </c>
      <c r="H933" s="3">
        <v>0</v>
      </c>
      <c r="I933" s="3">
        <v>2</v>
      </c>
      <c r="J933" s="3">
        <v>0</v>
      </c>
      <c r="K933" s="3">
        <v>0</v>
      </c>
      <c r="L933" s="3">
        <v>0</v>
      </c>
      <c r="M933" s="3">
        <v>0</v>
      </c>
      <c r="N933" s="3" t="s">
        <v>1711</v>
      </c>
      <c r="O933" s="3">
        <v>0</v>
      </c>
      <c r="P933" s="3">
        <v>0</v>
      </c>
      <c r="Q933" s="3">
        <v>0</v>
      </c>
      <c r="R933" s="3">
        <v>0</v>
      </c>
      <c r="S933" s="3">
        <v>0</v>
      </c>
      <c r="T933" s="3">
        <v>0</v>
      </c>
      <c r="U933" s="3">
        <v>1</v>
      </c>
      <c r="V933" s="3">
        <v>4</v>
      </c>
      <c r="W933" s="3" t="s">
        <v>1712</v>
      </c>
      <c r="X933" s="3">
        <v>15.99</v>
      </c>
      <c r="Y933" s="3">
        <v>15.99</v>
      </c>
      <c r="Z933" s="3">
        <v>15.99</v>
      </c>
      <c r="AA933" s="3">
        <v>0</v>
      </c>
      <c r="AB933" s="3" t="s">
        <v>1713</v>
      </c>
      <c r="AC933" s="3">
        <v>2</v>
      </c>
      <c r="AD933" s="3">
        <v>15.99</v>
      </c>
      <c r="AE933" s="3">
        <v>0</v>
      </c>
      <c r="AF933" s="3">
        <v>0</v>
      </c>
      <c r="AG933" s="3">
        <v>0</v>
      </c>
      <c r="AH933" s="3">
        <v>3.2</v>
      </c>
      <c r="AI933" s="3" t="s">
        <v>2542</v>
      </c>
      <c r="AJ933" s="3" t="s">
        <v>1715</v>
      </c>
    </row>
    <row r="934" spans="1:36">
      <c r="A934" s="4">
        <v>43277</v>
      </c>
      <c r="B934" s="3" t="s">
        <v>4648</v>
      </c>
      <c r="C934" s="3" t="s">
        <v>4649</v>
      </c>
      <c r="D934" s="3" t="s">
        <v>4650</v>
      </c>
      <c r="E934" s="3" t="s">
        <v>4651</v>
      </c>
      <c r="F934" s="3" t="s">
        <v>1710</v>
      </c>
      <c r="G934" s="3">
        <v>47</v>
      </c>
      <c r="H934" s="3">
        <v>0</v>
      </c>
      <c r="I934" s="3">
        <v>1</v>
      </c>
      <c r="J934" s="3">
        <v>12</v>
      </c>
      <c r="K934" s="3">
        <v>34</v>
      </c>
      <c r="L934" s="3">
        <v>0</v>
      </c>
      <c r="M934" s="3">
        <v>0</v>
      </c>
      <c r="N934" s="3" t="s">
        <v>1711</v>
      </c>
      <c r="O934" s="3">
        <v>43</v>
      </c>
      <c r="P934" s="3">
        <v>25.75</v>
      </c>
      <c r="Q934" s="3">
        <v>0</v>
      </c>
      <c r="R934" s="3">
        <v>0</v>
      </c>
      <c r="S934" s="3">
        <v>0</v>
      </c>
      <c r="T934" s="3">
        <v>0</v>
      </c>
      <c r="U934" s="3">
        <v>3</v>
      </c>
      <c r="V934" s="3">
        <v>23</v>
      </c>
      <c r="W934" s="3" t="s">
        <v>1712</v>
      </c>
      <c r="X934" s="3">
        <v>16.99</v>
      </c>
      <c r="Y934" s="3">
        <v>16.99</v>
      </c>
      <c r="Z934" s="3">
        <v>16</v>
      </c>
      <c r="AA934" s="3">
        <v>0</v>
      </c>
      <c r="AB934" s="3" t="s">
        <v>1732</v>
      </c>
      <c r="AC934" s="3">
        <v>7</v>
      </c>
      <c r="AD934" s="3">
        <v>15.17</v>
      </c>
      <c r="AE934" s="3">
        <v>98</v>
      </c>
      <c r="AF934" s="3">
        <v>0</v>
      </c>
      <c r="AG934" s="3">
        <v>739.241065</v>
      </c>
      <c r="AH934" s="3">
        <v>0.0909090909090909</v>
      </c>
      <c r="AI934" s="3" t="s">
        <v>1905</v>
      </c>
      <c r="AJ934" s="3" t="s">
        <v>1715</v>
      </c>
    </row>
    <row r="935" spans="1:36">
      <c r="A935" s="4">
        <v>43277</v>
      </c>
      <c r="B935" s="3" t="s">
        <v>4652</v>
      </c>
      <c r="C935" s="3" t="s">
        <v>4653</v>
      </c>
      <c r="D935" s="3" t="s">
        <v>4654</v>
      </c>
      <c r="E935" s="3" t="s">
        <v>1805</v>
      </c>
      <c r="F935" s="3" t="s">
        <v>1710</v>
      </c>
      <c r="G935" s="3">
        <v>3</v>
      </c>
      <c r="H935" s="3">
        <v>0</v>
      </c>
      <c r="I935" s="3">
        <v>0</v>
      </c>
      <c r="J935" s="3">
        <v>2</v>
      </c>
      <c r="K935" s="3">
        <v>1</v>
      </c>
      <c r="L935" s="3">
        <v>0</v>
      </c>
      <c r="M935" s="3">
        <v>0</v>
      </c>
      <c r="N935" s="3" t="s">
        <v>1711</v>
      </c>
      <c r="O935" s="3">
        <v>2</v>
      </c>
      <c r="P935" s="3">
        <v>3.9</v>
      </c>
      <c r="Q935" s="3">
        <v>0</v>
      </c>
      <c r="R935" s="3">
        <v>0</v>
      </c>
      <c r="S935" s="3">
        <v>0</v>
      </c>
      <c r="T935" s="3">
        <v>0</v>
      </c>
      <c r="U935" s="3">
        <v>0</v>
      </c>
      <c r="V935" s="3">
        <v>0</v>
      </c>
      <c r="W935" s="3" t="s">
        <v>1720</v>
      </c>
      <c r="X935" s="3">
        <v>17.99</v>
      </c>
      <c r="Y935" s="3">
        <v>17.99</v>
      </c>
      <c r="Z935" s="3">
        <v>17.99</v>
      </c>
      <c r="AA935" s="3">
        <v>0</v>
      </c>
      <c r="AB935" s="3" t="s">
        <v>1721</v>
      </c>
      <c r="AC935" s="3">
        <v>0</v>
      </c>
      <c r="AD935" s="3">
        <v>15.94</v>
      </c>
      <c r="AE935" s="3">
        <v>133</v>
      </c>
      <c r="AF935" s="3">
        <v>0</v>
      </c>
      <c r="AG935" s="3">
        <v>87.402753</v>
      </c>
      <c r="AH935" s="3">
        <v>0</v>
      </c>
      <c r="AI935" s="3" t="s">
        <v>2978</v>
      </c>
      <c r="AJ935" s="3" t="s">
        <v>1715</v>
      </c>
    </row>
    <row r="936" spans="1:36">
      <c r="A936" s="4">
        <v>43277</v>
      </c>
      <c r="B936" s="3" t="s">
        <v>4655</v>
      </c>
      <c r="C936" s="3" t="s">
        <v>4656</v>
      </c>
      <c r="D936" s="3" t="s">
        <v>4657</v>
      </c>
      <c r="E936" s="3" t="s">
        <v>4658</v>
      </c>
      <c r="F936" s="3" t="s">
        <v>1710</v>
      </c>
      <c r="G936" s="3">
        <v>12</v>
      </c>
      <c r="H936" s="3">
        <v>0</v>
      </c>
      <c r="I936" s="3">
        <v>10</v>
      </c>
      <c r="J936" s="3">
        <v>1</v>
      </c>
      <c r="K936" s="3">
        <v>1</v>
      </c>
      <c r="L936" s="3">
        <v>0</v>
      </c>
      <c r="M936" s="3">
        <v>0</v>
      </c>
      <c r="N936" s="3" t="s">
        <v>1711</v>
      </c>
      <c r="O936" s="3">
        <v>1</v>
      </c>
      <c r="P936" s="3">
        <v>0.15</v>
      </c>
      <c r="Q936" s="3">
        <v>0</v>
      </c>
      <c r="R936" s="3">
        <v>0</v>
      </c>
      <c r="S936" s="3">
        <v>0</v>
      </c>
      <c r="T936" s="3">
        <v>0</v>
      </c>
      <c r="U936" s="3">
        <v>1</v>
      </c>
      <c r="V936" s="3">
        <v>1</v>
      </c>
      <c r="W936" s="3" t="s">
        <v>1712</v>
      </c>
      <c r="X936" s="3">
        <v>18.99</v>
      </c>
      <c r="Y936" s="3">
        <v>18.99</v>
      </c>
      <c r="Z936" s="3">
        <v>18</v>
      </c>
      <c r="AA936" s="3">
        <v>0</v>
      </c>
      <c r="AB936" s="3" t="s">
        <v>1713</v>
      </c>
      <c r="AC936" s="3">
        <v>12</v>
      </c>
      <c r="AD936" s="3">
        <v>18.99</v>
      </c>
      <c r="AE936" s="3">
        <v>0</v>
      </c>
      <c r="AF936" s="3">
        <v>0</v>
      </c>
      <c r="AG936" s="3">
        <v>0</v>
      </c>
      <c r="AH936" s="3">
        <v>0.105263157894736</v>
      </c>
      <c r="AI936" s="3" t="s">
        <v>2864</v>
      </c>
      <c r="AJ936" s="3" t="s">
        <v>1715</v>
      </c>
    </row>
    <row r="937" spans="1:36">
      <c r="A937" s="4">
        <v>43277</v>
      </c>
      <c r="B937" s="3" t="s">
        <v>4659</v>
      </c>
      <c r="C937" s="3" t="s">
        <v>4660</v>
      </c>
      <c r="D937" s="3" t="s">
        <v>4661</v>
      </c>
      <c r="E937" s="3" t="s">
        <v>1805</v>
      </c>
      <c r="F937" s="3" t="s">
        <v>1710</v>
      </c>
      <c r="G937" s="3">
        <v>2</v>
      </c>
      <c r="H937" s="3">
        <v>0</v>
      </c>
      <c r="I937" s="3">
        <v>0</v>
      </c>
      <c r="J937" s="3">
        <v>0</v>
      </c>
      <c r="K937" s="3">
        <v>2</v>
      </c>
      <c r="L937" s="3">
        <v>0</v>
      </c>
      <c r="M937" s="3">
        <v>0</v>
      </c>
      <c r="N937" s="3" t="s">
        <v>1711</v>
      </c>
      <c r="O937" s="3">
        <v>2</v>
      </c>
      <c r="P937" s="3">
        <v>3.9</v>
      </c>
      <c r="Q937" s="3">
        <v>0</v>
      </c>
      <c r="R937" s="3">
        <v>0</v>
      </c>
      <c r="S937" s="3">
        <v>0</v>
      </c>
      <c r="T937" s="3">
        <v>0</v>
      </c>
      <c r="U937" s="3">
        <v>0</v>
      </c>
      <c r="V937" s="3">
        <v>0</v>
      </c>
      <c r="W937" s="3" t="s">
        <v>1720</v>
      </c>
      <c r="X937" s="3">
        <v>17.99</v>
      </c>
      <c r="Y937" s="3">
        <v>17.99</v>
      </c>
      <c r="Z937" s="3">
        <v>17.99</v>
      </c>
      <c r="AA937" s="3">
        <v>0</v>
      </c>
      <c r="AB937" s="3" t="s">
        <v>1721</v>
      </c>
      <c r="AC937" s="3">
        <v>0</v>
      </c>
      <c r="AD937" s="3">
        <v>15.96</v>
      </c>
      <c r="AE937" s="3">
        <v>98</v>
      </c>
      <c r="AF937" s="3">
        <v>0</v>
      </c>
      <c r="AG937" s="3">
        <v>59.901203</v>
      </c>
      <c r="AH937" s="3">
        <v>0</v>
      </c>
      <c r="AI937" s="3" t="s">
        <v>2978</v>
      </c>
      <c r="AJ937" s="3" t="s">
        <v>1715</v>
      </c>
    </row>
    <row r="938" spans="1:36">
      <c r="A938" s="4">
        <v>43277</v>
      </c>
      <c r="B938" s="3" t="s">
        <v>4662</v>
      </c>
      <c r="C938" s="3" t="s">
        <v>4663</v>
      </c>
      <c r="D938" s="3" t="s">
        <v>4664</v>
      </c>
      <c r="E938" s="3" t="s">
        <v>4665</v>
      </c>
      <c r="F938" s="3" t="s">
        <v>1710</v>
      </c>
      <c r="G938" s="3">
        <v>2</v>
      </c>
      <c r="H938" s="3">
        <v>0</v>
      </c>
      <c r="I938" s="3">
        <v>0</v>
      </c>
      <c r="J938" s="3">
        <v>2</v>
      </c>
      <c r="K938" s="3">
        <v>0</v>
      </c>
      <c r="L938" s="3">
        <v>0</v>
      </c>
      <c r="M938" s="3">
        <v>0</v>
      </c>
      <c r="N938" s="3" t="s">
        <v>1711</v>
      </c>
      <c r="O938" s="3">
        <v>2</v>
      </c>
      <c r="P938" s="3">
        <v>3.59</v>
      </c>
      <c r="Q938" s="3">
        <v>0</v>
      </c>
      <c r="R938" s="3">
        <v>0</v>
      </c>
      <c r="S938" s="3">
        <v>0</v>
      </c>
      <c r="T938" s="3">
        <v>0</v>
      </c>
      <c r="U938" s="3">
        <v>0</v>
      </c>
      <c r="V938" s="3">
        <v>0</v>
      </c>
      <c r="W938" s="3" t="s">
        <v>1720</v>
      </c>
      <c r="X938" s="3">
        <v>18.99</v>
      </c>
      <c r="Y938" s="3">
        <v>18.99</v>
      </c>
      <c r="Z938" s="3">
        <v>18.99</v>
      </c>
      <c r="AA938" s="3">
        <v>0</v>
      </c>
      <c r="AB938" s="3" t="s">
        <v>1721</v>
      </c>
      <c r="AC938" s="3">
        <v>0</v>
      </c>
      <c r="AD938" s="3">
        <v>17.4</v>
      </c>
      <c r="AE938" s="3">
        <v>35</v>
      </c>
      <c r="AF938" s="3">
        <v>0</v>
      </c>
      <c r="AG938" s="3">
        <v>58.348491</v>
      </c>
      <c r="AH938" s="3">
        <v>0</v>
      </c>
      <c r="AI938" s="3" t="s">
        <v>2149</v>
      </c>
      <c r="AJ938" s="3" t="s">
        <v>1715</v>
      </c>
    </row>
    <row r="939" spans="1:36">
      <c r="A939" s="4">
        <v>43277</v>
      </c>
      <c r="B939" s="3" t="s">
        <v>4666</v>
      </c>
      <c r="C939" s="3" t="s">
        <v>4667</v>
      </c>
      <c r="D939" s="3" t="s">
        <v>4668</v>
      </c>
      <c r="E939" s="3" t="s">
        <v>1820</v>
      </c>
      <c r="F939" s="3" t="s">
        <v>1710</v>
      </c>
      <c r="G939" s="3">
        <v>10</v>
      </c>
      <c r="H939" s="3">
        <v>0</v>
      </c>
      <c r="I939" s="3">
        <v>10</v>
      </c>
      <c r="J939" s="3">
        <v>0</v>
      </c>
      <c r="K939" s="3">
        <v>0</v>
      </c>
      <c r="L939" s="3">
        <v>0</v>
      </c>
      <c r="M939" s="3">
        <v>0</v>
      </c>
      <c r="N939" s="3" t="s">
        <v>1711</v>
      </c>
      <c r="O939" s="3">
        <v>0</v>
      </c>
      <c r="P939" s="3">
        <v>0</v>
      </c>
      <c r="Q939" s="3">
        <v>0</v>
      </c>
      <c r="R939" s="3">
        <v>0</v>
      </c>
      <c r="S939" s="3">
        <v>0</v>
      </c>
      <c r="T939" s="3">
        <v>0</v>
      </c>
      <c r="U939" s="3">
        <v>0</v>
      </c>
      <c r="V939" s="3">
        <v>0</v>
      </c>
      <c r="W939" s="3" t="s">
        <v>1720</v>
      </c>
      <c r="X939" s="3">
        <v>18.99</v>
      </c>
      <c r="Y939" s="3">
        <v>18.99</v>
      </c>
      <c r="Z939" s="3">
        <v>18.99</v>
      </c>
      <c r="AA939" s="3">
        <v>0</v>
      </c>
      <c r="AB939" s="3" t="s">
        <v>1721</v>
      </c>
      <c r="AC939" s="3">
        <v>0</v>
      </c>
      <c r="AD939" s="3">
        <v>15.19</v>
      </c>
      <c r="AE939" s="3">
        <v>63</v>
      </c>
      <c r="AF939" s="3">
        <v>0</v>
      </c>
      <c r="AG939" s="3">
        <v>71.590365</v>
      </c>
      <c r="AH939" s="3">
        <v>0</v>
      </c>
      <c r="AI939" s="3" t="s">
        <v>1821</v>
      </c>
      <c r="AJ939" s="3" t="s">
        <v>1715</v>
      </c>
    </row>
    <row r="940" spans="1:36">
      <c r="A940" s="4">
        <v>43277</v>
      </c>
      <c r="B940" s="3" t="s">
        <v>4669</v>
      </c>
      <c r="C940" s="3" t="s">
        <v>4670</v>
      </c>
      <c r="D940" s="3" t="s">
        <v>4671</v>
      </c>
      <c r="E940" s="3" t="s">
        <v>4672</v>
      </c>
      <c r="F940" s="3" t="s">
        <v>1710</v>
      </c>
      <c r="G940" s="3">
        <v>17</v>
      </c>
      <c r="H940" s="3">
        <v>0</v>
      </c>
      <c r="I940" s="3">
        <v>17</v>
      </c>
      <c r="J940" s="3">
        <v>0</v>
      </c>
      <c r="K940" s="3">
        <v>0</v>
      </c>
      <c r="L940" s="3">
        <v>0</v>
      </c>
      <c r="M940" s="3">
        <v>0</v>
      </c>
      <c r="N940" s="3" t="s">
        <v>1711</v>
      </c>
      <c r="O940" s="3">
        <v>0</v>
      </c>
      <c r="P940" s="3">
        <v>0</v>
      </c>
      <c r="Q940" s="3">
        <v>0</v>
      </c>
      <c r="R940" s="3">
        <v>0</v>
      </c>
      <c r="S940" s="3">
        <v>6</v>
      </c>
      <c r="T940" s="3">
        <v>23</v>
      </c>
      <c r="U940" s="3">
        <v>40</v>
      </c>
      <c r="V940" s="3">
        <v>41</v>
      </c>
      <c r="W940" s="3"/>
      <c r="X940" s="3">
        <v>15.99</v>
      </c>
      <c r="Y940" s="3">
        <v>15.99</v>
      </c>
      <c r="Z940" s="3">
        <v>15.99</v>
      </c>
      <c r="AA940" s="3">
        <v>0</v>
      </c>
      <c r="AB940" s="3" t="s">
        <v>1713</v>
      </c>
      <c r="AC940" s="3">
        <v>5</v>
      </c>
      <c r="AD940" s="3">
        <v>15.99</v>
      </c>
      <c r="AE940" s="3">
        <v>0</v>
      </c>
      <c r="AF940" s="3">
        <v>0</v>
      </c>
      <c r="AG940" s="3">
        <v>0</v>
      </c>
      <c r="AH940" s="3">
        <v>3</v>
      </c>
      <c r="AI940" s="3" t="s">
        <v>1739</v>
      </c>
      <c r="AJ940" s="3" t="s">
        <v>1715</v>
      </c>
    </row>
    <row r="941" spans="1:36">
      <c r="A941" s="4">
        <v>43277</v>
      </c>
      <c r="B941" s="3" t="s">
        <v>4673</v>
      </c>
      <c r="C941" s="3" t="s">
        <v>4674</v>
      </c>
      <c r="D941" s="3" t="s">
        <v>4675</v>
      </c>
      <c r="E941" s="3" t="s">
        <v>4676</v>
      </c>
      <c r="F941" s="3" t="s">
        <v>1710</v>
      </c>
      <c r="G941" s="3">
        <v>1</v>
      </c>
      <c r="H941" s="3">
        <v>0</v>
      </c>
      <c r="I941" s="3">
        <v>0</v>
      </c>
      <c r="J941" s="3">
        <v>0</v>
      </c>
      <c r="K941" s="3">
        <v>1</v>
      </c>
      <c r="L941" s="3">
        <v>0</v>
      </c>
      <c r="M941" s="3">
        <v>0</v>
      </c>
      <c r="N941" s="3" t="s">
        <v>1711</v>
      </c>
      <c r="O941" s="3">
        <v>1</v>
      </c>
      <c r="P941" s="3">
        <v>0.01</v>
      </c>
      <c r="Q941" s="3">
        <v>0</v>
      </c>
      <c r="R941" s="3">
        <v>0</v>
      </c>
      <c r="S941" s="3">
        <v>0</v>
      </c>
      <c r="T941" s="3">
        <v>0</v>
      </c>
      <c r="U941" s="3">
        <v>0</v>
      </c>
      <c r="V941" s="3">
        <v>0</v>
      </c>
      <c r="W941" s="3" t="s">
        <v>1720</v>
      </c>
      <c r="X941" s="3">
        <v>19.99</v>
      </c>
      <c r="Y941" s="3">
        <v>19.99</v>
      </c>
      <c r="Z941" s="3">
        <v>19.99</v>
      </c>
      <c r="AA941" s="3">
        <v>0</v>
      </c>
      <c r="AB941" s="3" t="s">
        <v>1732</v>
      </c>
      <c r="AC941" s="3">
        <v>0</v>
      </c>
      <c r="AD941" s="3">
        <v>18.45</v>
      </c>
      <c r="AE941" s="3">
        <v>203</v>
      </c>
      <c r="AF941" s="3">
        <v>0</v>
      </c>
      <c r="AG941" s="3">
        <v>10.159724</v>
      </c>
      <c r="AH941" s="3">
        <v>0</v>
      </c>
      <c r="AI941" s="3" t="s">
        <v>1782</v>
      </c>
      <c r="AJ941" s="3" t="s">
        <v>1783</v>
      </c>
    </row>
    <row r="942" spans="1:36">
      <c r="A942" s="4">
        <v>43277</v>
      </c>
      <c r="B942" s="3" t="s">
        <v>4677</v>
      </c>
      <c r="C942" s="3" t="s">
        <v>4678</v>
      </c>
      <c r="D942" s="3" t="s">
        <v>4679</v>
      </c>
      <c r="E942" s="3" t="s">
        <v>3928</v>
      </c>
      <c r="F942" s="3" t="s">
        <v>1710</v>
      </c>
      <c r="G942" s="3">
        <v>21</v>
      </c>
      <c r="H942" s="3">
        <v>0</v>
      </c>
      <c r="I942" s="3">
        <v>0</v>
      </c>
      <c r="J942" s="3">
        <v>1</v>
      </c>
      <c r="K942" s="3">
        <v>20</v>
      </c>
      <c r="L942" s="3">
        <v>0</v>
      </c>
      <c r="M942" s="3">
        <v>0</v>
      </c>
      <c r="N942" s="3" t="s">
        <v>1711</v>
      </c>
      <c r="O942" s="3">
        <v>21</v>
      </c>
      <c r="P942" s="3">
        <v>21.7</v>
      </c>
      <c r="Q942" s="3">
        <v>0</v>
      </c>
      <c r="R942" s="3">
        <v>0</v>
      </c>
      <c r="S942" s="3">
        <v>0</v>
      </c>
      <c r="T942" s="3">
        <v>0</v>
      </c>
      <c r="U942" s="3">
        <v>0</v>
      </c>
      <c r="V942" s="3">
        <v>0</v>
      </c>
      <c r="W942" s="3" t="s">
        <v>1720</v>
      </c>
      <c r="X942" s="3">
        <v>12.99</v>
      </c>
      <c r="Y942" s="3">
        <v>12.99</v>
      </c>
      <c r="Z942" s="3">
        <v>12.99</v>
      </c>
      <c r="AA942" s="3">
        <v>0</v>
      </c>
      <c r="AB942" s="3" t="s">
        <v>1721</v>
      </c>
      <c r="AC942" s="3">
        <v>1</v>
      </c>
      <c r="AD942" s="3">
        <v>10.46</v>
      </c>
      <c r="AE942" s="3">
        <v>231</v>
      </c>
      <c r="AF942" s="3">
        <v>0</v>
      </c>
      <c r="AG942" s="3">
        <v>338.477139</v>
      </c>
      <c r="AH942" s="3">
        <v>0</v>
      </c>
      <c r="AI942" s="3" t="s">
        <v>4680</v>
      </c>
      <c r="AJ942" s="3" t="s">
        <v>1783</v>
      </c>
    </row>
    <row r="943" spans="1:36">
      <c r="A943" s="4">
        <v>43277</v>
      </c>
      <c r="B943" s="3" t="s">
        <v>4681</v>
      </c>
      <c r="C943" s="3" t="s">
        <v>4682</v>
      </c>
      <c r="D943" s="3" t="s">
        <v>4683</v>
      </c>
      <c r="E943" s="3" t="s">
        <v>1181</v>
      </c>
      <c r="F943" s="3" t="s">
        <v>1710</v>
      </c>
      <c r="G943" s="3">
        <v>10</v>
      </c>
      <c r="H943" s="3">
        <v>0</v>
      </c>
      <c r="I943" s="3">
        <v>10</v>
      </c>
      <c r="J943" s="3">
        <v>0</v>
      </c>
      <c r="K943" s="3">
        <v>0</v>
      </c>
      <c r="L943" s="3">
        <v>0</v>
      </c>
      <c r="M943" s="3">
        <v>0</v>
      </c>
      <c r="N943" s="3" t="s">
        <v>1711</v>
      </c>
      <c r="O943" s="3">
        <v>0</v>
      </c>
      <c r="P943" s="3">
        <v>0</v>
      </c>
      <c r="Q943" s="3">
        <v>0</v>
      </c>
      <c r="R943" s="3">
        <v>0</v>
      </c>
      <c r="S943" s="3">
        <v>2</v>
      </c>
      <c r="T943" s="3">
        <v>11</v>
      </c>
      <c r="U943" s="3">
        <v>16</v>
      </c>
      <c r="V943" s="3">
        <v>16</v>
      </c>
      <c r="W943" s="3"/>
      <c r="X943" s="3">
        <v>39.99</v>
      </c>
      <c r="Y943" s="3">
        <v>19.99</v>
      </c>
      <c r="Z943" s="3">
        <v>19.99</v>
      </c>
      <c r="AA943" s="3">
        <v>0</v>
      </c>
      <c r="AB943" s="3" t="s">
        <v>1713</v>
      </c>
      <c r="AC943" s="3">
        <v>0</v>
      </c>
      <c r="AD943" s="3">
        <v>0</v>
      </c>
      <c r="AE943" s="3">
        <v>0</v>
      </c>
      <c r="AF943" s="3">
        <v>0</v>
      </c>
      <c r="AG943" s="3">
        <v>0</v>
      </c>
      <c r="AH943" s="3">
        <v>2.28571428571428</v>
      </c>
      <c r="AI943" s="3" t="s">
        <v>4684</v>
      </c>
      <c r="AJ943" s="3" t="s">
        <v>1715</v>
      </c>
    </row>
    <row r="944" spans="1:36">
      <c r="A944" s="4">
        <v>43277</v>
      </c>
      <c r="B944" s="3" t="s">
        <v>28</v>
      </c>
      <c r="C944" s="3" t="s">
        <v>29</v>
      </c>
      <c r="D944" s="3" t="s">
        <v>30</v>
      </c>
      <c r="E944" s="3" t="s">
        <v>4685</v>
      </c>
      <c r="F944" s="3" t="s">
        <v>1710</v>
      </c>
      <c r="G944" s="3">
        <v>20</v>
      </c>
      <c r="H944" s="3">
        <v>0</v>
      </c>
      <c r="I944" s="3">
        <v>20</v>
      </c>
      <c r="J944" s="3">
        <v>0</v>
      </c>
      <c r="K944" s="3">
        <v>0</v>
      </c>
      <c r="L944" s="3">
        <v>0</v>
      </c>
      <c r="M944" s="3">
        <v>0</v>
      </c>
      <c r="N944" s="3" t="s">
        <v>1711</v>
      </c>
      <c r="O944" s="3">
        <v>0</v>
      </c>
      <c r="P944" s="3">
        <v>0</v>
      </c>
      <c r="Q944" s="3">
        <v>0</v>
      </c>
      <c r="R944" s="3">
        <v>0</v>
      </c>
      <c r="S944" s="3">
        <v>1</v>
      </c>
      <c r="T944" s="3">
        <v>9</v>
      </c>
      <c r="U944" s="3">
        <v>14</v>
      </c>
      <c r="V944" s="3">
        <v>17</v>
      </c>
      <c r="W944" s="3"/>
      <c r="X944" s="3">
        <v>15.99</v>
      </c>
      <c r="Y944" s="3">
        <v>15.99</v>
      </c>
      <c r="Z944" s="3">
        <v>15.55</v>
      </c>
      <c r="AA944" s="3">
        <v>0</v>
      </c>
      <c r="AB944" s="3" t="s">
        <v>1713</v>
      </c>
      <c r="AC944" s="3">
        <v>0</v>
      </c>
      <c r="AD944" s="3">
        <v>0</v>
      </c>
      <c r="AE944" s="3">
        <v>0</v>
      </c>
      <c r="AF944" s="3">
        <v>0</v>
      </c>
      <c r="AG944" s="3">
        <v>0</v>
      </c>
      <c r="AH944" s="3">
        <v>2.83333333333333</v>
      </c>
      <c r="AI944" s="3" t="s">
        <v>2082</v>
      </c>
      <c r="AJ944" s="3" t="s">
        <v>1715</v>
      </c>
    </row>
    <row r="945" spans="1:36">
      <c r="A945" s="4">
        <v>43277</v>
      </c>
      <c r="B945" s="3" t="s">
        <v>4686</v>
      </c>
      <c r="C945" s="3" t="s">
        <v>4687</v>
      </c>
      <c r="D945" s="3" t="s">
        <v>4688</v>
      </c>
      <c r="E945" s="3" t="s">
        <v>4689</v>
      </c>
      <c r="F945" s="3" t="s">
        <v>1710</v>
      </c>
      <c r="G945" s="3">
        <v>18</v>
      </c>
      <c r="H945" s="3">
        <v>0</v>
      </c>
      <c r="I945" s="3">
        <v>18</v>
      </c>
      <c r="J945" s="3">
        <v>0</v>
      </c>
      <c r="K945" s="3">
        <v>0</v>
      </c>
      <c r="L945" s="3">
        <v>0</v>
      </c>
      <c r="M945" s="3">
        <v>0</v>
      </c>
      <c r="N945" s="3" t="s">
        <v>1711</v>
      </c>
      <c r="O945" s="3">
        <v>0</v>
      </c>
      <c r="P945" s="3">
        <v>0</v>
      </c>
      <c r="Q945" s="3">
        <v>0</v>
      </c>
      <c r="R945" s="3">
        <v>0</v>
      </c>
      <c r="S945" s="3">
        <v>1</v>
      </c>
      <c r="T945" s="3">
        <v>13</v>
      </c>
      <c r="U945" s="3">
        <v>24</v>
      </c>
      <c r="V945" s="3">
        <v>27</v>
      </c>
      <c r="W945" s="3"/>
      <c r="X945" s="3">
        <v>38</v>
      </c>
      <c r="Y945" s="3">
        <v>19.58</v>
      </c>
      <c r="Z945" s="3">
        <v>19.58</v>
      </c>
      <c r="AA945" s="3">
        <v>0</v>
      </c>
      <c r="AB945" s="3" t="s">
        <v>1713</v>
      </c>
      <c r="AC945" s="3">
        <v>15</v>
      </c>
      <c r="AD945" s="3">
        <v>19.58</v>
      </c>
      <c r="AE945" s="3">
        <v>0</v>
      </c>
      <c r="AF945" s="3">
        <v>0</v>
      </c>
      <c r="AG945" s="3">
        <v>0</v>
      </c>
      <c r="AH945" s="3">
        <v>1.22727272727272</v>
      </c>
      <c r="AI945" s="3" t="s">
        <v>2270</v>
      </c>
      <c r="AJ945" s="3" t="s">
        <v>1715</v>
      </c>
    </row>
    <row r="946" spans="1:36">
      <c r="A946" s="4">
        <v>43277</v>
      </c>
      <c r="B946" s="3" t="s">
        <v>4690</v>
      </c>
      <c r="C946" s="3" t="s">
        <v>4691</v>
      </c>
      <c r="D946" s="3" t="s">
        <v>4692</v>
      </c>
      <c r="E946" s="3" t="s">
        <v>3838</v>
      </c>
      <c r="F946" s="3" t="s">
        <v>1710</v>
      </c>
      <c r="G946" s="3">
        <v>3</v>
      </c>
      <c r="H946" s="3">
        <v>0</v>
      </c>
      <c r="I946" s="3">
        <v>0</v>
      </c>
      <c r="J946" s="3">
        <v>0</v>
      </c>
      <c r="K946" s="3">
        <v>3</v>
      </c>
      <c r="L946" s="3">
        <v>0</v>
      </c>
      <c r="M946" s="3">
        <v>0</v>
      </c>
      <c r="N946" s="3" t="s">
        <v>1711</v>
      </c>
      <c r="O946" s="3">
        <v>3</v>
      </c>
      <c r="P946" s="3">
        <v>14.64</v>
      </c>
      <c r="Q946" s="3">
        <v>0</v>
      </c>
      <c r="R946" s="3">
        <v>0</v>
      </c>
      <c r="S946" s="3">
        <v>0</v>
      </c>
      <c r="T946" s="3">
        <v>0</v>
      </c>
      <c r="U946" s="3">
        <v>0</v>
      </c>
      <c r="V946" s="3">
        <v>0</v>
      </c>
      <c r="W946" s="3" t="s">
        <v>1712</v>
      </c>
      <c r="X946" s="3">
        <v>29.99</v>
      </c>
      <c r="Y946" s="3">
        <v>29.99</v>
      </c>
      <c r="Z946" s="3">
        <v>28.99</v>
      </c>
      <c r="AA946" s="3">
        <v>0</v>
      </c>
      <c r="AB946" s="3" t="s">
        <v>1732</v>
      </c>
      <c r="AC946" s="3">
        <v>0</v>
      </c>
      <c r="AD946" s="3">
        <v>27.56</v>
      </c>
      <c r="AE946" s="3">
        <v>49</v>
      </c>
      <c r="AF946" s="3">
        <v>0</v>
      </c>
      <c r="AG946" s="3">
        <v>206.679177</v>
      </c>
      <c r="AH946" s="3">
        <v>0</v>
      </c>
      <c r="AI946" s="3" t="s">
        <v>2094</v>
      </c>
      <c r="AJ946" s="3" t="s">
        <v>1715</v>
      </c>
    </row>
    <row r="947" spans="1:36">
      <c r="A947" s="4">
        <v>43277</v>
      </c>
      <c r="B947" s="3" t="s">
        <v>759</v>
      </c>
      <c r="C947" s="3" t="s">
        <v>760</v>
      </c>
      <c r="D947" s="3" t="s">
        <v>761</v>
      </c>
      <c r="E947" s="3" t="s">
        <v>762</v>
      </c>
      <c r="F947" s="3" t="s">
        <v>1710</v>
      </c>
      <c r="G947" s="3">
        <v>87</v>
      </c>
      <c r="H947" s="3">
        <v>0</v>
      </c>
      <c r="I947" s="3">
        <v>87</v>
      </c>
      <c r="J947" s="3">
        <v>0</v>
      </c>
      <c r="K947" s="3">
        <v>0</v>
      </c>
      <c r="L947" s="3">
        <v>0</v>
      </c>
      <c r="M947" s="3">
        <v>0</v>
      </c>
      <c r="N947" s="3" t="s">
        <v>1711</v>
      </c>
      <c r="O947" s="3">
        <v>0</v>
      </c>
      <c r="P947" s="3">
        <v>0</v>
      </c>
      <c r="Q947" s="3">
        <v>0</v>
      </c>
      <c r="R947" s="3">
        <v>0</v>
      </c>
      <c r="S947" s="3">
        <v>7</v>
      </c>
      <c r="T947" s="3">
        <v>45</v>
      </c>
      <c r="U947" s="3">
        <v>90</v>
      </c>
      <c r="V947" s="3">
        <v>120</v>
      </c>
      <c r="W947" s="3"/>
      <c r="X947" s="3">
        <v>38</v>
      </c>
      <c r="Y947" s="3">
        <v>19.58</v>
      </c>
      <c r="Z947" s="3">
        <v>19.58</v>
      </c>
      <c r="AA947" s="3">
        <v>0</v>
      </c>
      <c r="AB947" s="3" t="s">
        <v>1713</v>
      </c>
      <c r="AC947" s="3">
        <v>21</v>
      </c>
      <c r="AD947" s="3">
        <v>19.58</v>
      </c>
      <c r="AE947" s="3">
        <v>0</v>
      </c>
      <c r="AF947" s="3">
        <v>0</v>
      </c>
      <c r="AG947" s="3">
        <v>0</v>
      </c>
      <c r="AH947" s="3">
        <v>3.69230769230769</v>
      </c>
      <c r="AI947" s="3" t="s">
        <v>4693</v>
      </c>
      <c r="AJ947" s="3" t="s">
        <v>1715</v>
      </c>
    </row>
    <row r="948" spans="1:36">
      <c r="A948" s="4">
        <v>43277</v>
      </c>
      <c r="B948" s="3" t="s">
        <v>4694</v>
      </c>
      <c r="C948" s="3" t="s">
        <v>4695</v>
      </c>
      <c r="D948" s="3" t="s">
        <v>4696</v>
      </c>
      <c r="E948" s="3" t="s">
        <v>4697</v>
      </c>
      <c r="F948" s="3" t="s">
        <v>1710</v>
      </c>
      <c r="G948" s="3">
        <v>41</v>
      </c>
      <c r="H948" s="3">
        <v>0</v>
      </c>
      <c r="I948" s="3">
        <v>0</v>
      </c>
      <c r="J948" s="3">
        <v>0</v>
      </c>
      <c r="K948" s="3">
        <v>37</v>
      </c>
      <c r="L948" s="3">
        <v>4</v>
      </c>
      <c r="M948" s="3">
        <v>0</v>
      </c>
      <c r="N948" s="3" t="s">
        <v>1711</v>
      </c>
      <c r="O948" s="3">
        <v>41</v>
      </c>
      <c r="P948" s="3">
        <v>148.71</v>
      </c>
      <c r="Q948" s="3">
        <v>0</v>
      </c>
      <c r="R948" s="3">
        <v>0</v>
      </c>
      <c r="S948" s="3">
        <v>0</v>
      </c>
      <c r="T948" s="3">
        <v>0</v>
      </c>
      <c r="U948" s="3">
        <v>1</v>
      </c>
      <c r="V948" s="3">
        <v>1</v>
      </c>
      <c r="W948" s="3" t="s">
        <v>1712</v>
      </c>
      <c r="X948" s="3">
        <v>27.99</v>
      </c>
      <c r="Y948" s="3">
        <v>27.99</v>
      </c>
      <c r="Z948" s="3">
        <v>25.99</v>
      </c>
      <c r="AA948" s="3">
        <v>0</v>
      </c>
      <c r="AB948" s="3" t="s">
        <v>1732</v>
      </c>
      <c r="AC948" s="3">
        <v>11</v>
      </c>
      <c r="AD948" s="3">
        <v>15.62</v>
      </c>
      <c r="AE948" s="3">
        <v>210</v>
      </c>
      <c r="AF948" s="3">
        <v>0</v>
      </c>
      <c r="AG948" s="3">
        <v>426.942504</v>
      </c>
      <c r="AH948" s="3">
        <v>0.0240963855421686</v>
      </c>
      <c r="AI948" s="3" t="s">
        <v>1831</v>
      </c>
      <c r="AJ948" s="3" t="s">
        <v>1715</v>
      </c>
    </row>
    <row r="949" spans="1:36">
      <c r="A949" s="4">
        <v>43277</v>
      </c>
      <c r="B949" s="3" t="s">
        <v>4698</v>
      </c>
      <c r="C949" s="3" t="s">
        <v>4699</v>
      </c>
      <c r="D949" s="3" t="s">
        <v>4700</v>
      </c>
      <c r="E949" s="3" t="s">
        <v>4701</v>
      </c>
      <c r="F949" s="3" t="s">
        <v>1710</v>
      </c>
      <c r="G949" s="3">
        <v>7</v>
      </c>
      <c r="H949" s="3">
        <v>0</v>
      </c>
      <c r="I949" s="3">
        <v>7</v>
      </c>
      <c r="J949" s="3">
        <v>0</v>
      </c>
      <c r="K949" s="3">
        <v>0</v>
      </c>
      <c r="L949" s="3">
        <v>0</v>
      </c>
      <c r="M949" s="3">
        <v>0</v>
      </c>
      <c r="N949" s="3" t="s">
        <v>1711</v>
      </c>
      <c r="O949" s="3">
        <v>0</v>
      </c>
      <c r="P949" s="3">
        <v>0</v>
      </c>
      <c r="Q949" s="3">
        <v>0</v>
      </c>
      <c r="R949" s="3">
        <v>0</v>
      </c>
      <c r="S949" s="3">
        <v>2</v>
      </c>
      <c r="T949" s="3">
        <v>8</v>
      </c>
      <c r="U949" s="3">
        <v>11</v>
      </c>
      <c r="V949" s="3">
        <v>11</v>
      </c>
      <c r="W949" s="3"/>
      <c r="X949" s="3">
        <v>15.99</v>
      </c>
      <c r="Y949" s="3">
        <v>15.99</v>
      </c>
      <c r="Z949" s="3">
        <v>15.55</v>
      </c>
      <c r="AA949" s="3">
        <v>0</v>
      </c>
      <c r="AB949" s="3" t="s">
        <v>1713</v>
      </c>
      <c r="AC949" s="3">
        <v>4</v>
      </c>
      <c r="AD949" s="3">
        <v>15.99</v>
      </c>
      <c r="AE949" s="3">
        <v>0</v>
      </c>
      <c r="AF949" s="3">
        <v>0</v>
      </c>
      <c r="AG949" s="3">
        <v>0</v>
      </c>
      <c r="AH949" s="3">
        <v>2.44444444444444</v>
      </c>
      <c r="AI949" s="3" t="s">
        <v>2082</v>
      </c>
      <c r="AJ949" s="3" t="s">
        <v>1715</v>
      </c>
    </row>
    <row r="950" spans="1:36">
      <c r="A950" s="4">
        <v>43277</v>
      </c>
      <c r="B950" s="3" t="s">
        <v>4702</v>
      </c>
      <c r="C950" s="3" t="s">
        <v>4703</v>
      </c>
      <c r="D950" s="3" t="s">
        <v>4704</v>
      </c>
      <c r="E950" s="3" t="s">
        <v>2495</v>
      </c>
      <c r="F950" s="3" t="s">
        <v>1710</v>
      </c>
      <c r="G950" s="3">
        <v>15</v>
      </c>
      <c r="H950" s="3">
        <v>0</v>
      </c>
      <c r="I950" s="3">
        <v>15</v>
      </c>
      <c r="J950" s="3">
        <v>0</v>
      </c>
      <c r="K950" s="3">
        <v>0</v>
      </c>
      <c r="L950" s="3">
        <v>0</v>
      </c>
      <c r="M950" s="3">
        <v>0</v>
      </c>
      <c r="N950" s="3" t="s">
        <v>1711</v>
      </c>
      <c r="O950" s="3">
        <v>0</v>
      </c>
      <c r="P950" s="3">
        <v>0</v>
      </c>
      <c r="Q950" s="3">
        <v>0</v>
      </c>
      <c r="R950" s="3">
        <v>0</v>
      </c>
      <c r="S950" s="3">
        <v>0</v>
      </c>
      <c r="T950" s="3">
        <v>0</v>
      </c>
      <c r="U950" s="3">
        <v>0</v>
      </c>
      <c r="V950" s="3">
        <v>0</v>
      </c>
      <c r="W950" s="3" t="s">
        <v>1720</v>
      </c>
      <c r="X950" s="3">
        <v>15.99</v>
      </c>
      <c r="Y950" s="3">
        <v>15.99</v>
      </c>
      <c r="Z950" s="3">
        <v>15.99</v>
      </c>
      <c r="AA950" s="3">
        <v>0</v>
      </c>
      <c r="AB950" s="3" t="s">
        <v>1721</v>
      </c>
      <c r="AC950" s="3">
        <v>0</v>
      </c>
      <c r="AD950" s="3">
        <v>12.79</v>
      </c>
      <c r="AE950" s="3">
        <v>63</v>
      </c>
      <c r="AF950" s="3">
        <v>0</v>
      </c>
      <c r="AG950" s="3">
        <v>160.761652</v>
      </c>
      <c r="AH950" s="3">
        <v>0</v>
      </c>
      <c r="AI950" s="3" t="s">
        <v>2758</v>
      </c>
      <c r="AJ950" s="3" t="s">
        <v>1715</v>
      </c>
    </row>
    <row r="951" spans="1:36">
      <c r="A951" s="4">
        <v>43277</v>
      </c>
      <c r="B951" s="3" t="s">
        <v>4705</v>
      </c>
      <c r="C951" s="3" t="s">
        <v>4706</v>
      </c>
      <c r="D951" s="3" t="s">
        <v>4707</v>
      </c>
      <c r="E951" s="3" t="s">
        <v>4708</v>
      </c>
      <c r="F951" s="3" t="s">
        <v>1710</v>
      </c>
      <c r="G951" s="3">
        <v>14</v>
      </c>
      <c r="H951" s="3">
        <v>0</v>
      </c>
      <c r="I951" s="3">
        <v>14</v>
      </c>
      <c r="J951" s="3">
        <v>0</v>
      </c>
      <c r="K951" s="3">
        <v>0</v>
      </c>
      <c r="L951" s="3">
        <v>0</v>
      </c>
      <c r="M951" s="3">
        <v>0</v>
      </c>
      <c r="N951" s="3" t="s">
        <v>1711</v>
      </c>
      <c r="O951" s="3">
        <v>0</v>
      </c>
      <c r="P951" s="3">
        <v>0</v>
      </c>
      <c r="Q951" s="3">
        <v>0</v>
      </c>
      <c r="R951" s="3">
        <v>0</v>
      </c>
      <c r="S951" s="3">
        <v>1</v>
      </c>
      <c r="T951" s="3">
        <v>6</v>
      </c>
      <c r="U951" s="3">
        <v>10</v>
      </c>
      <c r="V951" s="3">
        <v>10</v>
      </c>
      <c r="W951" s="3"/>
      <c r="X951" s="3">
        <v>15.99</v>
      </c>
      <c r="Y951" s="3">
        <v>15.99</v>
      </c>
      <c r="Z951" s="3">
        <v>15.99</v>
      </c>
      <c r="AA951" s="3">
        <v>0</v>
      </c>
      <c r="AB951" s="3" t="s">
        <v>1713</v>
      </c>
      <c r="AC951" s="3">
        <v>15</v>
      </c>
      <c r="AD951" s="3">
        <v>15.99</v>
      </c>
      <c r="AE951" s="3">
        <v>0</v>
      </c>
      <c r="AF951" s="3">
        <v>0</v>
      </c>
      <c r="AG951" s="3">
        <v>0</v>
      </c>
      <c r="AH951" s="3">
        <v>0.566037735849056</v>
      </c>
      <c r="AI951" s="3" t="s">
        <v>1739</v>
      </c>
      <c r="AJ951" s="3" t="s">
        <v>1715</v>
      </c>
    </row>
    <row r="952" spans="1:36">
      <c r="A952" s="4">
        <v>43277</v>
      </c>
      <c r="B952" s="3" t="s">
        <v>4709</v>
      </c>
      <c r="C952" s="3" t="s">
        <v>4710</v>
      </c>
      <c r="D952" s="3" t="s">
        <v>4711</v>
      </c>
      <c r="E952" s="3" t="s">
        <v>3443</v>
      </c>
      <c r="F952" s="3" t="s">
        <v>1710</v>
      </c>
      <c r="G952" s="3">
        <v>2</v>
      </c>
      <c r="H952" s="3">
        <v>0</v>
      </c>
      <c r="I952" s="3">
        <v>0</v>
      </c>
      <c r="J952" s="3">
        <v>2</v>
      </c>
      <c r="K952" s="3">
        <v>0</v>
      </c>
      <c r="L952" s="3">
        <v>0</v>
      </c>
      <c r="M952" s="3">
        <v>0</v>
      </c>
      <c r="N952" s="3" t="s">
        <v>1711</v>
      </c>
      <c r="O952" s="3">
        <v>2</v>
      </c>
      <c r="P952" s="3">
        <v>3.45</v>
      </c>
      <c r="Q952" s="3">
        <v>0</v>
      </c>
      <c r="R952" s="3">
        <v>0</v>
      </c>
      <c r="S952" s="3">
        <v>0</v>
      </c>
      <c r="T952" s="3">
        <v>1</v>
      </c>
      <c r="U952" s="3">
        <v>2</v>
      </c>
      <c r="V952" s="3">
        <v>2</v>
      </c>
      <c r="W952" s="3" t="s">
        <v>1720</v>
      </c>
      <c r="X952" s="3">
        <v>18.99</v>
      </c>
      <c r="Y952" s="3">
        <v>18.99</v>
      </c>
      <c r="Z952" s="3">
        <v>18.99</v>
      </c>
      <c r="AA952" s="3">
        <v>0</v>
      </c>
      <c r="AB952" s="3" t="s">
        <v>1721</v>
      </c>
      <c r="AC952" s="3">
        <v>1</v>
      </c>
      <c r="AD952" s="3">
        <v>17.98</v>
      </c>
      <c r="AE952" s="3">
        <v>14</v>
      </c>
      <c r="AF952" s="3">
        <v>0</v>
      </c>
      <c r="AG952" s="3">
        <v>53.266304</v>
      </c>
      <c r="AH952" s="3">
        <v>0.615384615384615</v>
      </c>
      <c r="AI952" s="3" t="s">
        <v>4712</v>
      </c>
      <c r="AJ952" s="3" t="s">
        <v>1783</v>
      </c>
    </row>
    <row r="953" spans="1:36">
      <c r="A953" s="4">
        <v>43277</v>
      </c>
      <c r="B953" s="3" t="s">
        <v>4713</v>
      </c>
      <c r="C953" s="3" t="s">
        <v>4714</v>
      </c>
      <c r="D953" s="3" t="s">
        <v>4715</v>
      </c>
      <c r="E953" s="3" t="s">
        <v>4716</v>
      </c>
      <c r="F953" s="3" t="s">
        <v>1710</v>
      </c>
      <c r="G953" s="3">
        <v>5</v>
      </c>
      <c r="H953" s="3">
        <v>0</v>
      </c>
      <c r="I953" s="3">
        <v>0</v>
      </c>
      <c r="J953" s="3">
        <v>0</v>
      </c>
      <c r="K953" s="3">
        <v>0</v>
      </c>
      <c r="L953" s="3">
        <v>5</v>
      </c>
      <c r="M953" s="3">
        <v>0</v>
      </c>
      <c r="N953" s="3" t="s">
        <v>1711</v>
      </c>
      <c r="O953" s="3">
        <v>0</v>
      </c>
      <c r="P953" s="3">
        <v>0</v>
      </c>
      <c r="Q953" s="3">
        <v>5</v>
      </c>
      <c r="R953" s="3">
        <v>7.2</v>
      </c>
      <c r="S953" s="3">
        <v>0</v>
      </c>
      <c r="T953" s="3">
        <v>0</v>
      </c>
      <c r="U953" s="3">
        <v>0</v>
      </c>
      <c r="V953" s="3">
        <v>0</v>
      </c>
      <c r="W953" s="3" t="s">
        <v>1720</v>
      </c>
      <c r="X953" s="3">
        <v>14.99</v>
      </c>
      <c r="Y953" s="3">
        <v>14.99</v>
      </c>
      <c r="Z953" s="3">
        <v>14.99</v>
      </c>
      <c r="AA953" s="3">
        <v>0</v>
      </c>
      <c r="AB953" s="3" t="s">
        <v>1721</v>
      </c>
      <c r="AC953" s="3">
        <v>0</v>
      </c>
      <c r="AD953" s="3">
        <v>13.58</v>
      </c>
      <c r="AE953" s="3">
        <v>126</v>
      </c>
      <c r="AF953" s="3">
        <v>0</v>
      </c>
      <c r="AG953" s="3">
        <v>76.786502</v>
      </c>
      <c r="AH953" s="3">
        <v>0</v>
      </c>
      <c r="AI953" s="3" t="s">
        <v>1840</v>
      </c>
      <c r="AJ953" s="3" t="s">
        <v>1715</v>
      </c>
    </row>
    <row r="954" spans="1:36">
      <c r="A954" s="4">
        <v>43277</v>
      </c>
      <c r="B954" s="3" t="s">
        <v>4717</v>
      </c>
      <c r="C954" s="3" t="s">
        <v>4718</v>
      </c>
      <c r="D954" s="3" t="s">
        <v>4719</v>
      </c>
      <c r="E954" s="3" t="s">
        <v>4720</v>
      </c>
      <c r="F954" s="3" t="s">
        <v>1710</v>
      </c>
      <c r="G954" s="3">
        <v>9</v>
      </c>
      <c r="H954" s="3">
        <v>0</v>
      </c>
      <c r="I954" s="3">
        <v>9</v>
      </c>
      <c r="J954" s="3">
        <v>0</v>
      </c>
      <c r="K954" s="3">
        <v>0</v>
      </c>
      <c r="L954" s="3">
        <v>0</v>
      </c>
      <c r="M954" s="3">
        <v>0</v>
      </c>
      <c r="N954" s="3" t="s">
        <v>1711</v>
      </c>
      <c r="O954" s="3">
        <v>0</v>
      </c>
      <c r="P954" s="3">
        <v>0</v>
      </c>
      <c r="Q954" s="3">
        <v>0</v>
      </c>
      <c r="R954" s="3">
        <v>0</v>
      </c>
      <c r="S954" s="3">
        <v>3</v>
      </c>
      <c r="T954" s="3">
        <v>4</v>
      </c>
      <c r="U954" s="3">
        <v>5</v>
      </c>
      <c r="V954" s="3">
        <v>5</v>
      </c>
      <c r="W954" s="3"/>
      <c r="X954" s="3">
        <v>19.99</v>
      </c>
      <c r="Y954" s="3">
        <v>19.99</v>
      </c>
      <c r="Z954" s="3">
        <v>19.99</v>
      </c>
      <c r="AA954" s="3">
        <v>0</v>
      </c>
      <c r="AB954" s="3" t="s">
        <v>1713</v>
      </c>
      <c r="AC954" s="3">
        <v>10</v>
      </c>
      <c r="AD954" s="3">
        <v>19.99</v>
      </c>
      <c r="AE954" s="3">
        <v>0</v>
      </c>
      <c r="AF954" s="3">
        <v>0</v>
      </c>
      <c r="AG954" s="3">
        <v>0</v>
      </c>
      <c r="AH954" s="3">
        <v>0.416666666666666</v>
      </c>
      <c r="AI954" s="3" t="s">
        <v>1919</v>
      </c>
      <c r="AJ954" s="3" t="s">
        <v>1715</v>
      </c>
    </row>
    <row r="955" spans="1:36">
      <c r="A955" s="4">
        <v>43277</v>
      </c>
      <c r="B955" s="3" t="s">
        <v>4721</v>
      </c>
      <c r="C955" s="3" t="s">
        <v>4722</v>
      </c>
      <c r="D955" s="3" t="s">
        <v>4723</v>
      </c>
      <c r="E955" s="3" t="s">
        <v>4724</v>
      </c>
      <c r="F955" s="3" t="s">
        <v>1710</v>
      </c>
      <c r="G955" s="3">
        <v>11</v>
      </c>
      <c r="H955" s="3">
        <v>0</v>
      </c>
      <c r="I955" s="3">
        <v>10</v>
      </c>
      <c r="J955" s="3">
        <v>1</v>
      </c>
      <c r="K955" s="3">
        <v>0</v>
      </c>
      <c r="L955" s="3">
        <v>0</v>
      </c>
      <c r="M955" s="3">
        <v>0</v>
      </c>
      <c r="N955" s="3" t="s">
        <v>1711</v>
      </c>
      <c r="O955" s="3">
        <v>0</v>
      </c>
      <c r="P955" s="3">
        <v>0</v>
      </c>
      <c r="Q955" s="3">
        <v>0</v>
      </c>
      <c r="R955" s="3">
        <v>0</v>
      </c>
      <c r="S955" s="3">
        <v>4</v>
      </c>
      <c r="T955" s="3">
        <v>26</v>
      </c>
      <c r="U955" s="3">
        <v>58</v>
      </c>
      <c r="V955" s="3">
        <v>94</v>
      </c>
      <c r="W955" s="3"/>
      <c r="X955" s="3">
        <v>16.99</v>
      </c>
      <c r="Y955" s="3">
        <v>16.99</v>
      </c>
      <c r="Z955" s="3">
        <v>16.99</v>
      </c>
      <c r="AA955" s="3">
        <v>0</v>
      </c>
      <c r="AB955" s="3" t="s">
        <v>1713</v>
      </c>
      <c r="AC955" s="3">
        <v>12</v>
      </c>
      <c r="AD955" s="3">
        <v>16.99</v>
      </c>
      <c r="AE955" s="3">
        <v>0</v>
      </c>
      <c r="AF955" s="3">
        <v>0</v>
      </c>
      <c r="AG955" s="3">
        <v>0</v>
      </c>
      <c r="AH955" s="3">
        <v>1.04735376044568</v>
      </c>
      <c r="AI955" s="3" t="s">
        <v>4725</v>
      </c>
      <c r="AJ955" s="3" t="s">
        <v>1715</v>
      </c>
    </row>
    <row r="956" spans="1:36">
      <c r="A956" s="4">
        <v>43277</v>
      </c>
      <c r="B956" s="3" t="s">
        <v>4726</v>
      </c>
      <c r="C956" s="3" t="s">
        <v>4727</v>
      </c>
      <c r="D956" s="3" t="s">
        <v>4728</v>
      </c>
      <c r="E956" s="3" t="s">
        <v>4729</v>
      </c>
      <c r="F956" s="3" t="s">
        <v>1710</v>
      </c>
      <c r="G956" s="3">
        <v>19</v>
      </c>
      <c r="H956" s="3">
        <v>0</v>
      </c>
      <c r="I956" s="3">
        <v>0</v>
      </c>
      <c r="J956" s="3">
        <v>19</v>
      </c>
      <c r="K956" s="3">
        <v>0</v>
      </c>
      <c r="L956" s="3">
        <v>0</v>
      </c>
      <c r="M956" s="3">
        <v>0</v>
      </c>
      <c r="N956" s="3" t="s">
        <v>1711</v>
      </c>
      <c r="O956" s="3">
        <v>19</v>
      </c>
      <c r="P956" s="3">
        <v>28</v>
      </c>
      <c r="Q956" s="3">
        <v>0</v>
      </c>
      <c r="R956" s="3">
        <v>0</v>
      </c>
      <c r="S956" s="3">
        <v>0</v>
      </c>
      <c r="T956" s="3">
        <v>0</v>
      </c>
      <c r="U956" s="3">
        <v>0</v>
      </c>
      <c r="V956" s="3">
        <v>0</v>
      </c>
      <c r="W956" s="3" t="s">
        <v>1720</v>
      </c>
      <c r="X956" s="3">
        <v>16.99</v>
      </c>
      <c r="Y956" s="3">
        <v>16.99</v>
      </c>
      <c r="Z956" s="3">
        <v>16.99</v>
      </c>
      <c r="AA956" s="3">
        <v>0</v>
      </c>
      <c r="AB956" s="3" t="s">
        <v>1721</v>
      </c>
      <c r="AC956" s="3">
        <v>5</v>
      </c>
      <c r="AD956" s="3">
        <v>15.25</v>
      </c>
      <c r="AE956" s="3">
        <v>63</v>
      </c>
      <c r="AF956" s="3">
        <v>0</v>
      </c>
      <c r="AG956" s="3">
        <v>480.045638</v>
      </c>
      <c r="AH956" s="3">
        <v>0</v>
      </c>
      <c r="AI956" s="3" t="s">
        <v>1770</v>
      </c>
      <c r="AJ956" s="3" t="s">
        <v>1715</v>
      </c>
    </row>
    <row r="957" spans="1:36">
      <c r="A957" s="4">
        <v>43277</v>
      </c>
      <c r="B957" s="3" t="s">
        <v>1217</v>
      </c>
      <c r="C957" s="3" t="s">
        <v>1218</v>
      </c>
      <c r="D957" s="3" t="s">
        <v>1219</v>
      </c>
      <c r="E957" s="3" t="s">
        <v>1209</v>
      </c>
      <c r="F957" s="3" t="s">
        <v>1710</v>
      </c>
      <c r="G957" s="3">
        <v>11</v>
      </c>
      <c r="H957" s="3">
        <v>0</v>
      </c>
      <c r="I957" s="3">
        <v>11</v>
      </c>
      <c r="J957" s="3">
        <v>0</v>
      </c>
      <c r="K957" s="3">
        <v>0</v>
      </c>
      <c r="L957" s="3">
        <v>0</v>
      </c>
      <c r="M957" s="3">
        <v>0</v>
      </c>
      <c r="N957" s="3" t="s">
        <v>1711</v>
      </c>
      <c r="O957" s="3">
        <v>0</v>
      </c>
      <c r="P957" s="3">
        <v>0</v>
      </c>
      <c r="Q957" s="3">
        <v>0</v>
      </c>
      <c r="R957" s="3">
        <v>0</v>
      </c>
      <c r="S957" s="3">
        <v>1</v>
      </c>
      <c r="T957" s="3">
        <v>4</v>
      </c>
      <c r="U957" s="3">
        <v>4</v>
      </c>
      <c r="V957" s="3">
        <v>4</v>
      </c>
      <c r="W957" s="3"/>
      <c r="X957" s="3">
        <v>19.99</v>
      </c>
      <c r="Y957" s="3">
        <v>19.99</v>
      </c>
      <c r="Z957" s="3">
        <v>19.99</v>
      </c>
      <c r="AA957" s="3">
        <v>0</v>
      </c>
      <c r="AB957" s="3" t="s">
        <v>1713</v>
      </c>
      <c r="AC957" s="3">
        <v>12</v>
      </c>
      <c r="AD957" s="3">
        <v>19.99</v>
      </c>
      <c r="AE957" s="3">
        <v>0</v>
      </c>
      <c r="AF957" s="3">
        <v>0</v>
      </c>
      <c r="AG957" s="3">
        <v>0</v>
      </c>
      <c r="AH957" s="3">
        <v>0.727272727272727</v>
      </c>
      <c r="AI957" s="3" t="s">
        <v>1714</v>
      </c>
      <c r="AJ957" s="3" t="s">
        <v>1715</v>
      </c>
    </row>
    <row r="958" spans="1:36">
      <c r="A958" s="4">
        <v>43277</v>
      </c>
      <c r="B958" s="3" t="s">
        <v>172</v>
      </c>
      <c r="C958" s="3" t="s">
        <v>173</v>
      </c>
      <c r="D958" s="3" t="s">
        <v>174</v>
      </c>
      <c r="E958" s="3" t="s">
        <v>175</v>
      </c>
      <c r="F958" s="3" t="s">
        <v>1710</v>
      </c>
      <c r="G958" s="3">
        <v>31</v>
      </c>
      <c r="H958" s="3">
        <v>0</v>
      </c>
      <c r="I958" s="3">
        <v>31</v>
      </c>
      <c r="J958" s="3">
        <v>0</v>
      </c>
      <c r="K958" s="3">
        <v>0</v>
      </c>
      <c r="L958" s="3">
        <v>0</v>
      </c>
      <c r="M958" s="3">
        <v>0</v>
      </c>
      <c r="N958" s="3" t="s">
        <v>1711</v>
      </c>
      <c r="O958" s="3">
        <v>0</v>
      </c>
      <c r="P958" s="3">
        <v>0</v>
      </c>
      <c r="Q958" s="3">
        <v>0</v>
      </c>
      <c r="R958" s="3">
        <v>0</v>
      </c>
      <c r="S958" s="3">
        <v>10</v>
      </c>
      <c r="T958" s="3">
        <v>30</v>
      </c>
      <c r="U958" s="3">
        <v>62</v>
      </c>
      <c r="V958" s="3">
        <v>96</v>
      </c>
      <c r="W958" s="3"/>
      <c r="X958" s="3">
        <v>28.99</v>
      </c>
      <c r="Y958" s="3">
        <v>14.99</v>
      </c>
      <c r="Z958" s="3">
        <v>14.99</v>
      </c>
      <c r="AA958" s="3">
        <v>0</v>
      </c>
      <c r="AB958" s="3" t="s">
        <v>1713</v>
      </c>
      <c r="AC958" s="3">
        <v>37</v>
      </c>
      <c r="AD958" s="3">
        <v>14.99</v>
      </c>
      <c r="AE958" s="3">
        <v>0</v>
      </c>
      <c r="AF958" s="3">
        <v>0</v>
      </c>
      <c r="AG958" s="3">
        <v>0</v>
      </c>
      <c r="AH958" s="3">
        <v>4</v>
      </c>
      <c r="AI958" s="3" t="s">
        <v>2467</v>
      </c>
      <c r="AJ958" s="3" t="s">
        <v>1715</v>
      </c>
    </row>
    <row r="959" spans="1:36">
      <c r="A959" s="4">
        <v>43277</v>
      </c>
      <c r="B959" s="3" t="s">
        <v>4730</v>
      </c>
      <c r="C959" s="3" t="s">
        <v>4731</v>
      </c>
      <c r="D959" s="3" t="s">
        <v>4732</v>
      </c>
      <c r="E959" s="3" t="s">
        <v>4733</v>
      </c>
      <c r="F959" s="3" t="s">
        <v>1710</v>
      </c>
      <c r="G959" s="3">
        <v>2</v>
      </c>
      <c r="H959" s="3">
        <v>0</v>
      </c>
      <c r="I959" s="3">
        <v>0</v>
      </c>
      <c r="J959" s="3">
        <v>0</v>
      </c>
      <c r="K959" s="3">
        <v>2</v>
      </c>
      <c r="L959" s="3">
        <v>0</v>
      </c>
      <c r="M959" s="3">
        <v>0</v>
      </c>
      <c r="N959" s="3" t="s">
        <v>1711</v>
      </c>
      <c r="O959" s="3">
        <v>2</v>
      </c>
      <c r="P959" s="3">
        <v>7.48</v>
      </c>
      <c r="Q959" s="3">
        <v>0</v>
      </c>
      <c r="R959" s="3">
        <v>0</v>
      </c>
      <c r="S959" s="3">
        <v>0</v>
      </c>
      <c r="T959" s="3">
        <v>0</v>
      </c>
      <c r="U959" s="3">
        <v>0</v>
      </c>
      <c r="V959" s="3">
        <v>0</v>
      </c>
      <c r="W959" s="3" t="s">
        <v>1720</v>
      </c>
      <c r="X959" s="3">
        <v>25.99</v>
      </c>
      <c r="Y959" s="3">
        <v>25.99</v>
      </c>
      <c r="Z959" s="3">
        <v>25.99</v>
      </c>
      <c r="AA959" s="3">
        <v>0</v>
      </c>
      <c r="AB959" s="3" t="s">
        <v>1732</v>
      </c>
      <c r="AC959" s="3">
        <v>0</v>
      </c>
      <c r="AD959" s="3">
        <v>20.79</v>
      </c>
      <c r="AE959" s="3">
        <v>63</v>
      </c>
      <c r="AF959" s="3">
        <v>0</v>
      </c>
      <c r="AG959" s="3">
        <v>89.964312</v>
      </c>
      <c r="AH959" s="3">
        <v>0</v>
      </c>
      <c r="AI959" s="3" t="s">
        <v>2834</v>
      </c>
      <c r="AJ959" s="3" t="s">
        <v>1715</v>
      </c>
    </row>
    <row r="960" spans="1:36">
      <c r="A960" s="4">
        <v>43277</v>
      </c>
      <c r="B960" s="3" t="s">
        <v>599</v>
      </c>
      <c r="C960" s="3" t="s">
        <v>600</v>
      </c>
      <c r="D960" s="3" t="s">
        <v>601</v>
      </c>
      <c r="E960" s="3" t="s">
        <v>4734</v>
      </c>
      <c r="F960" s="3" t="s">
        <v>1710</v>
      </c>
      <c r="G960" s="3">
        <v>67</v>
      </c>
      <c r="H960" s="3">
        <v>0</v>
      </c>
      <c r="I960" s="3">
        <v>67</v>
      </c>
      <c r="J960" s="3">
        <v>0</v>
      </c>
      <c r="K960" s="3">
        <v>0</v>
      </c>
      <c r="L960" s="3">
        <v>0</v>
      </c>
      <c r="M960" s="3">
        <v>0</v>
      </c>
      <c r="N960" s="3" t="s">
        <v>1711</v>
      </c>
      <c r="O960" s="3">
        <v>0</v>
      </c>
      <c r="P960" s="3">
        <v>0</v>
      </c>
      <c r="Q960" s="3">
        <v>0</v>
      </c>
      <c r="R960" s="3">
        <v>0</v>
      </c>
      <c r="S960" s="3">
        <v>5</v>
      </c>
      <c r="T960" s="3">
        <v>44</v>
      </c>
      <c r="U960" s="3">
        <v>79</v>
      </c>
      <c r="V960" s="3">
        <v>109</v>
      </c>
      <c r="W960" s="3"/>
      <c r="X960" s="3">
        <v>38</v>
      </c>
      <c r="Y960" s="3">
        <v>28.58</v>
      </c>
      <c r="Z960" s="3">
        <v>28</v>
      </c>
      <c r="AA960" s="3">
        <v>0</v>
      </c>
      <c r="AB960" s="3" t="s">
        <v>1713</v>
      </c>
      <c r="AC960" s="3">
        <v>13</v>
      </c>
      <c r="AD960" s="3">
        <v>28.58</v>
      </c>
      <c r="AE960" s="3">
        <v>0</v>
      </c>
      <c r="AF960" s="3">
        <v>0</v>
      </c>
      <c r="AG960" s="3">
        <v>0</v>
      </c>
      <c r="AH960" s="3">
        <v>2.65853658536585</v>
      </c>
      <c r="AI960" s="3" t="s">
        <v>4735</v>
      </c>
      <c r="AJ960" s="3" t="s">
        <v>1715</v>
      </c>
    </row>
    <row r="961" spans="1:36">
      <c r="A961" s="4">
        <v>43277</v>
      </c>
      <c r="B961" s="3" t="s">
        <v>4736</v>
      </c>
      <c r="C961" s="3" t="s">
        <v>4737</v>
      </c>
      <c r="D961" s="3" t="s">
        <v>4738</v>
      </c>
      <c r="E961" s="3" t="s">
        <v>4739</v>
      </c>
      <c r="F961" s="3" t="s">
        <v>1710</v>
      </c>
      <c r="G961" s="3">
        <v>3</v>
      </c>
      <c r="H961" s="3">
        <v>0</v>
      </c>
      <c r="I961" s="3">
        <v>0</v>
      </c>
      <c r="J961" s="3">
        <v>0</v>
      </c>
      <c r="K961" s="3">
        <v>3</v>
      </c>
      <c r="L961" s="3">
        <v>0</v>
      </c>
      <c r="M961" s="3">
        <v>0</v>
      </c>
      <c r="N961" s="3" t="s">
        <v>1711</v>
      </c>
      <c r="O961" s="3">
        <v>3</v>
      </c>
      <c r="P961" s="3">
        <v>10.88</v>
      </c>
      <c r="Q961" s="3">
        <v>0</v>
      </c>
      <c r="R961" s="3">
        <v>0</v>
      </c>
      <c r="S961" s="3">
        <v>0</v>
      </c>
      <c r="T961" s="3">
        <v>0</v>
      </c>
      <c r="U961" s="3">
        <v>0</v>
      </c>
      <c r="V961" s="3">
        <v>0</v>
      </c>
      <c r="W961" s="3" t="s">
        <v>1712</v>
      </c>
      <c r="X961" s="3">
        <v>29.99</v>
      </c>
      <c r="Y961" s="3">
        <v>29.99</v>
      </c>
      <c r="Z961" s="3">
        <v>28.99</v>
      </c>
      <c r="AA961" s="3">
        <v>0</v>
      </c>
      <c r="AB961" s="3" t="s">
        <v>1732</v>
      </c>
      <c r="AC961" s="3">
        <v>0</v>
      </c>
      <c r="AD961" s="3">
        <v>28.29</v>
      </c>
      <c r="AE961" s="3">
        <v>35</v>
      </c>
      <c r="AF961" s="3">
        <v>0</v>
      </c>
      <c r="AG961" s="3">
        <v>167.159532</v>
      </c>
      <c r="AH961" s="3">
        <v>0</v>
      </c>
      <c r="AI961" s="3" t="s">
        <v>1831</v>
      </c>
      <c r="AJ961" s="3" t="s">
        <v>1715</v>
      </c>
    </row>
    <row r="962" spans="1:36">
      <c r="A962" s="4">
        <v>43277</v>
      </c>
      <c r="B962" s="3" t="s">
        <v>4740</v>
      </c>
      <c r="C962" s="3" t="s">
        <v>4741</v>
      </c>
      <c r="D962" s="3" t="s">
        <v>4742</v>
      </c>
      <c r="E962" s="3" t="s">
        <v>4743</v>
      </c>
      <c r="F962" s="3" t="s">
        <v>1710</v>
      </c>
      <c r="G962" s="3">
        <v>7</v>
      </c>
      <c r="H962" s="3">
        <v>0</v>
      </c>
      <c r="I962" s="3">
        <v>7</v>
      </c>
      <c r="J962" s="3">
        <v>0</v>
      </c>
      <c r="K962" s="3">
        <v>0</v>
      </c>
      <c r="L962" s="3">
        <v>0</v>
      </c>
      <c r="M962" s="3">
        <v>0</v>
      </c>
      <c r="N962" s="3" t="s">
        <v>1711</v>
      </c>
      <c r="O962" s="3">
        <v>0</v>
      </c>
      <c r="P962" s="3">
        <v>0</v>
      </c>
      <c r="Q962" s="3">
        <v>0</v>
      </c>
      <c r="R962" s="3">
        <v>0</v>
      </c>
      <c r="S962" s="3">
        <v>3</v>
      </c>
      <c r="T962" s="3">
        <v>8</v>
      </c>
      <c r="U962" s="3">
        <v>17</v>
      </c>
      <c r="V962" s="3">
        <v>22</v>
      </c>
      <c r="W962" s="3"/>
      <c r="X962" s="3">
        <v>38</v>
      </c>
      <c r="Y962" s="3">
        <v>25.58</v>
      </c>
      <c r="Z962" s="3">
        <v>25.58</v>
      </c>
      <c r="AA962" s="3">
        <v>0</v>
      </c>
      <c r="AB962" s="3" t="s">
        <v>1713</v>
      </c>
      <c r="AC962" s="3">
        <v>9</v>
      </c>
      <c r="AD962" s="3">
        <v>25.58</v>
      </c>
      <c r="AE962" s="3">
        <v>0</v>
      </c>
      <c r="AF962" s="3">
        <v>0</v>
      </c>
      <c r="AG962" s="3">
        <v>0</v>
      </c>
      <c r="AH962" s="3">
        <v>2.93333333333333</v>
      </c>
      <c r="AI962" s="3" t="s">
        <v>1857</v>
      </c>
      <c r="AJ962" s="3" t="s">
        <v>1715</v>
      </c>
    </row>
    <row r="963" spans="1:36">
      <c r="A963" s="4">
        <v>43277</v>
      </c>
      <c r="B963" s="3" t="s">
        <v>951</v>
      </c>
      <c r="C963" s="3" t="s">
        <v>952</v>
      </c>
      <c r="D963" s="3" t="s">
        <v>953</v>
      </c>
      <c r="E963" s="3" t="s">
        <v>954</v>
      </c>
      <c r="F963" s="3" t="s">
        <v>1710</v>
      </c>
      <c r="G963" s="3">
        <v>15</v>
      </c>
      <c r="H963" s="3">
        <v>0</v>
      </c>
      <c r="I963" s="3">
        <v>15</v>
      </c>
      <c r="J963" s="3">
        <v>0</v>
      </c>
      <c r="K963" s="3">
        <v>0</v>
      </c>
      <c r="L963" s="3">
        <v>0</v>
      </c>
      <c r="M963" s="3">
        <v>0</v>
      </c>
      <c r="N963" s="3" t="s">
        <v>1711</v>
      </c>
      <c r="O963" s="3">
        <v>0</v>
      </c>
      <c r="P963" s="3">
        <v>0</v>
      </c>
      <c r="Q963" s="3">
        <v>0</v>
      </c>
      <c r="R963" s="3">
        <v>0</v>
      </c>
      <c r="S963" s="3">
        <v>0</v>
      </c>
      <c r="T963" s="3">
        <v>5</v>
      </c>
      <c r="U963" s="3">
        <v>5</v>
      </c>
      <c r="V963" s="3">
        <v>5</v>
      </c>
      <c r="W963" s="3"/>
      <c r="X963" s="3">
        <v>15.99</v>
      </c>
      <c r="Y963" s="3">
        <v>15.99</v>
      </c>
      <c r="Z963" s="3">
        <v>15.99</v>
      </c>
      <c r="AA963" s="3">
        <v>0</v>
      </c>
      <c r="AB963" s="3" t="s">
        <v>1713</v>
      </c>
      <c r="AC963" s="3">
        <v>15</v>
      </c>
      <c r="AD963" s="3">
        <v>15.99</v>
      </c>
      <c r="AE963" s="3">
        <v>0</v>
      </c>
      <c r="AF963" s="3">
        <v>0</v>
      </c>
      <c r="AG963" s="3">
        <v>0</v>
      </c>
      <c r="AH963" s="3">
        <v>0.285714285714285</v>
      </c>
      <c r="AI963" s="3" t="s">
        <v>1881</v>
      </c>
      <c r="AJ963" s="3" t="s">
        <v>1715</v>
      </c>
    </row>
    <row r="964" spans="1:36">
      <c r="A964" s="4">
        <v>43277</v>
      </c>
      <c r="B964" s="3" t="s">
        <v>4744</v>
      </c>
      <c r="C964" s="3" t="s">
        <v>4745</v>
      </c>
      <c r="D964" s="3" t="s">
        <v>4746</v>
      </c>
      <c r="E964" s="3" t="s">
        <v>4747</v>
      </c>
      <c r="F964" s="3" t="s">
        <v>1710</v>
      </c>
      <c r="G964" s="3">
        <v>3</v>
      </c>
      <c r="H964" s="3">
        <v>0</v>
      </c>
      <c r="I964" s="3">
        <v>0</v>
      </c>
      <c r="J964" s="3">
        <v>1</v>
      </c>
      <c r="K964" s="3">
        <v>2</v>
      </c>
      <c r="L964" s="3">
        <v>0</v>
      </c>
      <c r="M964" s="3">
        <v>0</v>
      </c>
      <c r="N964" s="3" t="s">
        <v>1711</v>
      </c>
      <c r="O964" s="3">
        <v>3</v>
      </c>
      <c r="P964" s="3">
        <v>3.91</v>
      </c>
      <c r="Q964" s="3">
        <v>0</v>
      </c>
      <c r="R964" s="3">
        <v>0</v>
      </c>
      <c r="S964" s="3">
        <v>0</v>
      </c>
      <c r="T964" s="3">
        <v>0</v>
      </c>
      <c r="U964" s="3">
        <v>0</v>
      </c>
      <c r="V964" s="3">
        <v>0</v>
      </c>
      <c r="W964" s="3" t="s">
        <v>1720</v>
      </c>
      <c r="X964" s="3">
        <v>17.99</v>
      </c>
      <c r="Y964" s="3">
        <v>17.99</v>
      </c>
      <c r="Z964" s="3">
        <v>17.99</v>
      </c>
      <c r="AA964" s="3">
        <v>0</v>
      </c>
      <c r="AB964" s="3" t="s">
        <v>1721</v>
      </c>
      <c r="AC964" s="3">
        <v>0</v>
      </c>
      <c r="AD964" s="3">
        <v>16.95</v>
      </c>
      <c r="AE964" s="3">
        <v>35</v>
      </c>
      <c r="AF964" s="3">
        <v>0</v>
      </c>
      <c r="AG964" s="3">
        <v>74.339635</v>
      </c>
      <c r="AH964" s="3">
        <v>0</v>
      </c>
      <c r="AI964" s="3" t="s">
        <v>2165</v>
      </c>
      <c r="AJ964" s="3" t="s">
        <v>1715</v>
      </c>
    </row>
    <row r="965" spans="1:36">
      <c r="A965" s="4">
        <v>43277</v>
      </c>
      <c r="B965" s="3" t="s">
        <v>4748</v>
      </c>
      <c r="C965" s="3" t="s">
        <v>4749</v>
      </c>
      <c r="D965" s="3" t="s">
        <v>4750</v>
      </c>
      <c r="E965" s="3" t="s">
        <v>1936</v>
      </c>
      <c r="F965" s="3" t="s">
        <v>1710</v>
      </c>
      <c r="G965" s="3">
        <v>3</v>
      </c>
      <c r="H965" s="3">
        <v>0</v>
      </c>
      <c r="I965" s="3">
        <v>0</v>
      </c>
      <c r="J965" s="3">
        <v>0</v>
      </c>
      <c r="K965" s="3">
        <v>0</v>
      </c>
      <c r="L965" s="3">
        <v>3</v>
      </c>
      <c r="M965" s="3">
        <v>0</v>
      </c>
      <c r="N965" s="3" t="s">
        <v>1711</v>
      </c>
      <c r="O965" s="3">
        <v>0</v>
      </c>
      <c r="P965" s="3">
        <v>0</v>
      </c>
      <c r="Q965" s="3">
        <v>3</v>
      </c>
      <c r="R965" s="3">
        <v>4.32</v>
      </c>
      <c r="S965" s="3">
        <v>0</v>
      </c>
      <c r="T965" s="3">
        <v>1</v>
      </c>
      <c r="U965" s="3">
        <v>1</v>
      </c>
      <c r="V965" s="3">
        <v>1</v>
      </c>
      <c r="W965" s="3" t="s">
        <v>1720</v>
      </c>
      <c r="X965" s="3">
        <v>14.99</v>
      </c>
      <c r="Y965" s="3">
        <v>14.99</v>
      </c>
      <c r="Z965" s="3">
        <v>14.99</v>
      </c>
      <c r="AA965" s="3">
        <v>0</v>
      </c>
      <c r="AB965" s="3" t="s">
        <v>1721</v>
      </c>
      <c r="AC965" s="3">
        <v>0</v>
      </c>
      <c r="AD965" s="3">
        <v>13.24</v>
      </c>
      <c r="AE965" s="3">
        <v>49</v>
      </c>
      <c r="AF965" s="3">
        <v>0</v>
      </c>
      <c r="AG965" s="3">
        <v>47.662158</v>
      </c>
      <c r="AH965" s="3">
        <v>0.266666666666666</v>
      </c>
      <c r="AI965" s="3" t="s">
        <v>1840</v>
      </c>
      <c r="AJ965" s="3" t="s">
        <v>1715</v>
      </c>
    </row>
    <row r="966" spans="1:36">
      <c r="A966" s="4">
        <v>43277</v>
      </c>
      <c r="B966" s="3" t="s">
        <v>4751</v>
      </c>
      <c r="C966" s="3" t="s">
        <v>4752</v>
      </c>
      <c r="D966" s="3" t="s">
        <v>4753</v>
      </c>
      <c r="E966" s="3" t="s">
        <v>2364</v>
      </c>
      <c r="F966" s="3" t="s">
        <v>1710</v>
      </c>
      <c r="G966" s="3">
        <v>2</v>
      </c>
      <c r="H966" s="3">
        <v>0</v>
      </c>
      <c r="I966" s="3">
        <v>0</v>
      </c>
      <c r="J966" s="3">
        <v>1</v>
      </c>
      <c r="K966" s="3">
        <v>1</v>
      </c>
      <c r="L966" s="3">
        <v>0</v>
      </c>
      <c r="M966" s="3">
        <v>0</v>
      </c>
      <c r="N966" s="3" t="s">
        <v>1711</v>
      </c>
      <c r="O966" s="3">
        <v>2</v>
      </c>
      <c r="P966" s="3">
        <v>1.2</v>
      </c>
      <c r="Q966" s="3">
        <v>0</v>
      </c>
      <c r="R966" s="3">
        <v>0</v>
      </c>
      <c r="S966" s="3">
        <v>0</v>
      </c>
      <c r="T966" s="3">
        <v>0</v>
      </c>
      <c r="U966" s="3">
        <v>0</v>
      </c>
      <c r="V966" s="3">
        <v>0</v>
      </c>
      <c r="W966" s="3" t="s">
        <v>1720</v>
      </c>
      <c r="X966" s="3">
        <v>19.99</v>
      </c>
      <c r="Y966" s="3">
        <v>19.99</v>
      </c>
      <c r="Z966" s="3">
        <v>19.99</v>
      </c>
      <c r="AA966" s="3">
        <v>0</v>
      </c>
      <c r="AB966" s="3" t="s">
        <v>1721</v>
      </c>
      <c r="AC966" s="3">
        <v>0</v>
      </c>
      <c r="AD966" s="3">
        <v>18.1</v>
      </c>
      <c r="AE966" s="3">
        <v>196</v>
      </c>
      <c r="AF966" s="3">
        <v>0</v>
      </c>
      <c r="AG966" s="3">
        <v>32.074462</v>
      </c>
      <c r="AH966" s="3">
        <v>0</v>
      </c>
      <c r="AI966" s="3" t="s">
        <v>3279</v>
      </c>
      <c r="AJ966" s="3" t="s">
        <v>1715</v>
      </c>
    </row>
    <row r="967" spans="1:36">
      <c r="A967" s="4">
        <v>43277</v>
      </c>
      <c r="B967" s="3" t="s">
        <v>4754</v>
      </c>
      <c r="C967" s="3" t="s">
        <v>4755</v>
      </c>
      <c r="D967" s="3" t="s">
        <v>4756</v>
      </c>
      <c r="E967" s="3" t="s">
        <v>4757</v>
      </c>
      <c r="F967" s="3" t="s">
        <v>1710</v>
      </c>
      <c r="G967" s="3">
        <v>112</v>
      </c>
      <c r="H967" s="3">
        <v>0</v>
      </c>
      <c r="I967" s="3">
        <v>3</v>
      </c>
      <c r="J967" s="3">
        <v>7</v>
      </c>
      <c r="K967" s="3">
        <v>102</v>
      </c>
      <c r="L967" s="3">
        <v>0</v>
      </c>
      <c r="M967" s="3">
        <v>0</v>
      </c>
      <c r="N967" s="3" t="s">
        <v>1711</v>
      </c>
      <c r="O967" s="3">
        <v>108</v>
      </c>
      <c r="P967" s="3">
        <v>64.64</v>
      </c>
      <c r="Q967" s="3">
        <v>0</v>
      </c>
      <c r="R967" s="3">
        <v>0</v>
      </c>
      <c r="S967" s="3">
        <v>0</v>
      </c>
      <c r="T967" s="3">
        <v>1</v>
      </c>
      <c r="U967" s="3">
        <v>3</v>
      </c>
      <c r="V967" s="3">
        <v>11</v>
      </c>
      <c r="W967" s="3"/>
      <c r="X967" s="3">
        <v>16.99</v>
      </c>
      <c r="Y967" s="3">
        <v>16.99</v>
      </c>
      <c r="Z967" s="3">
        <v>16</v>
      </c>
      <c r="AA967" s="3">
        <v>0</v>
      </c>
      <c r="AB967" s="3" t="s">
        <v>1732</v>
      </c>
      <c r="AC967" s="3">
        <v>0</v>
      </c>
      <c r="AD967" s="3">
        <v>12.02</v>
      </c>
      <c r="AE967" s="3">
        <v>364</v>
      </c>
      <c r="AF967" s="3">
        <v>0</v>
      </c>
      <c r="AG967" s="3">
        <v>796.412159</v>
      </c>
      <c r="AH967" s="3">
        <v>0.0958605664488017</v>
      </c>
      <c r="AI967" s="3" t="s">
        <v>1905</v>
      </c>
      <c r="AJ967" s="3" t="s">
        <v>1715</v>
      </c>
    </row>
    <row r="968" spans="1:36">
      <c r="A968" s="4">
        <v>43277</v>
      </c>
      <c r="B968" s="3" t="s">
        <v>1497</v>
      </c>
      <c r="C968" s="3" t="s">
        <v>1498</v>
      </c>
      <c r="D968" s="3" t="s">
        <v>1499</v>
      </c>
      <c r="E968" s="3" t="s">
        <v>1500</v>
      </c>
      <c r="F968" s="3" t="s">
        <v>1710</v>
      </c>
      <c r="G968" s="3">
        <v>10</v>
      </c>
      <c r="H968" s="3">
        <v>0</v>
      </c>
      <c r="I968" s="3">
        <v>10</v>
      </c>
      <c r="J968" s="3">
        <v>0</v>
      </c>
      <c r="K968" s="3">
        <v>0</v>
      </c>
      <c r="L968" s="3">
        <v>0</v>
      </c>
      <c r="M968" s="3">
        <v>0</v>
      </c>
      <c r="N968" s="3" t="s">
        <v>1711</v>
      </c>
      <c r="O968" s="3">
        <v>0</v>
      </c>
      <c r="P968" s="3">
        <v>0</v>
      </c>
      <c r="Q968" s="3">
        <v>0</v>
      </c>
      <c r="R968" s="3">
        <v>0</v>
      </c>
      <c r="S968" s="3">
        <v>8</v>
      </c>
      <c r="T968" s="3">
        <v>34</v>
      </c>
      <c r="U968" s="3">
        <v>78</v>
      </c>
      <c r="V968" s="3">
        <v>101</v>
      </c>
      <c r="W968" s="3"/>
      <c r="X968" s="3">
        <v>26.99</v>
      </c>
      <c r="Y968" s="3">
        <v>26.99</v>
      </c>
      <c r="Z968" s="3">
        <v>26.99</v>
      </c>
      <c r="AA968" s="3">
        <v>0</v>
      </c>
      <c r="AB968" s="3" t="s">
        <v>1713</v>
      </c>
      <c r="AC968" s="3">
        <v>0</v>
      </c>
      <c r="AD968" s="3">
        <v>0</v>
      </c>
      <c r="AE968" s="3">
        <v>0</v>
      </c>
      <c r="AF968" s="3">
        <v>0</v>
      </c>
      <c r="AG968" s="3">
        <v>0</v>
      </c>
      <c r="AH968" s="3">
        <v>9.3953488372093</v>
      </c>
      <c r="AI968" s="3" t="s">
        <v>2071</v>
      </c>
      <c r="AJ968" s="3" t="s">
        <v>1715</v>
      </c>
    </row>
    <row r="969" spans="1:36">
      <c r="A969" s="4">
        <v>43277</v>
      </c>
      <c r="B969" s="3" t="s">
        <v>4758</v>
      </c>
      <c r="C969" s="3" t="s">
        <v>4759</v>
      </c>
      <c r="D969" s="3" t="s">
        <v>4760</v>
      </c>
      <c r="E969" s="3" t="s">
        <v>2842</v>
      </c>
      <c r="F969" s="3" t="s">
        <v>1710</v>
      </c>
      <c r="G969" s="3">
        <v>14</v>
      </c>
      <c r="H969" s="3">
        <v>0</v>
      </c>
      <c r="I969" s="3">
        <v>0</v>
      </c>
      <c r="J969" s="3">
        <v>1</v>
      </c>
      <c r="K969" s="3">
        <v>13</v>
      </c>
      <c r="L969" s="3">
        <v>0</v>
      </c>
      <c r="M969" s="3">
        <v>0</v>
      </c>
      <c r="N969" s="3" t="s">
        <v>1711</v>
      </c>
      <c r="O969" s="3">
        <v>13</v>
      </c>
      <c r="P969" s="3">
        <v>10.35</v>
      </c>
      <c r="Q969" s="3">
        <v>0</v>
      </c>
      <c r="R969" s="3">
        <v>0</v>
      </c>
      <c r="S969" s="3">
        <v>0</v>
      </c>
      <c r="T969" s="3">
        <v>0</v>
      </c>
      <c r="U969" s="3">
        <v>1</v>
      </c>
      <c r="V969" s="3">
        <v>2</v>
      </c>
      <c r="W969" s="3" t="s">
        <v>1712</v>
      </c>
      <c r="X969" s="3">
        <v>27.99</v>
      </c>
      <c r="Y969" s="3">
        <v>27.99</v>
      </c>
      <c r="Z969" s="3">
        <v>25.99</v>
      </c>
      <c r="AA969" s="3">
        <v>0</v>
      </c>
      <c r="AB969" s="3" t="s">
        <v>1732</v>
      </c>
      <c r="AC969" s="3">
        <v>0</v>
      </c>
      <c r="AD969" s="3">
        <v>23.64</v>
      </c>
      <c r="AE969" s="3">
        <v>350</v>
      </c>
      <c r="AF969" s="3">
        <v>0</v>
      </c>
      <c r="AG969" s="3">
        <v>238.945402</v>
      </c>
      <c r="AH969" s="3">
        <v>0.135593220338983</v>
      </c>
      <c r="AI969" s="3" t="s">
        <v>4761</v>
      </c>
      <c r="AJ969" s="3" t="s">
        <v>1715</v>
      </c>
    </row>
    <row r="970" spans="1:36">
      <c r="A970" s="4">
        <v>43277</v>
      </c>
      <c r="B970" s="3" t="s">
        <v>4762</v>
      </c>
      <c r="C970" s="3" t="s">
        <v>4763</v>
      </c>
      <c r="D970" s="3" t="s">
        <v>4764</v>
      </c>
      <c r="E970" s="3" t="s">
        <v>4765</v>
      </c>
      <c r="F970" s="3" t="s">
        <v>1710</v>
      </c>
      <c r="G970" s="3">
        <v>1</v>
      </c>
      <c r="H970" s="3">
        <v>0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 t="s">
        <v>1711</v>
      </c>
      <c r="O970" s="3">
        <v>1</v>
      </c>
      <c r="P970" s="3">
        <v>1.55</v>
      </c>
      <c r="Q970" s="3">
        <v>0</v>
      </c>
      <c r="R970" s="3">
        <v>0</v>
      </c>
      <c r="S970" s="3">
        <v>0</v>
      </c>
      <c r="T970" s="3">
        <v>0</v>
      </c>
      <c r="U970" s="3">
        <v>0</v>
      </c>
      <c r="V970" s="3">
        <v>0</v>
      </c>
      <c r="W970" s="3" t="s">
        <v>1720</v>
      </c>
      <c r="X970" s="3">
        <v>15.99</v>
      </c>
      <c r="Y970" s="3">
        <v>15.99</v>
      </c>
      <c r="Z970" s="3">
        <v>15.99</v>
      </c>
      <c r="AA970" s="3">
        <v>0</v>
      </c>
      <c r="AB970" s="3" t="s">
        <v>1721</v>
      </c>
      <c r="AC970" s="3">
        <v>0</v>
      </c>
      <c r="AD970" s="3">
        <v>14.89</v>
      </c>
      <c r="AE970" s="3">
        <v>42</v>
      </c>
      <c r="AF970" s="3">
        <v>0</v>
      </c>
      <c r="AG970" s="3">
        <v>26.141492</v>
      </c>
      <c r="AH970" s="3">
        <v>0</v>
      </c>
      <c r="AI970" s="3" t="s">
        <v>4766</v>
      </c>
      <c r="AJ970" s="3" t="s">
        <v>1783</v>
      </c>
    </row>
    <row r="971" spans="1:36">
      <c r="A971" s="4">
        <v>43277</v>
      </c>
      <c r="B971" s="3" t="s">
        <v>4767</v>
      </c>
      <c r="C971" s="3" t="s">
        <v>4768</v>
      </c>
      <c r="D971" s="3" t="s">
        <v>4769</v>
      </c>
      <c r="E971" s="3" t="s">
        <v>3601</v>
      </c>
      <c r="F971" s="3" t="s">
        <v>1710</v>
      </c>
      <c r="G971" s="3">
        <v>1</v>
      </c>
      <c r="H971" s="3">
        <v>0</v>
      </c>
      <c r="I971" s="3">
        <v>0</v>
      </c>
      <c r="J971" s="3">
        <v>1</v>
      </c>
      <c r="K971" s="3">
        <v>0</v>
      </c>
      <c r="L971" s="3">
        <v>0</v>
      </c>
      <c r="M971" s="3">
        <v>0</v>
      </c>
      <c r="N971" s="3" t="s">
        <v>1711</v>
      </c>
      <c r="O971" s="3">
        <v>1</v>
      </c>
      <c r="P971" s="3">
        <v>1.4</v>
      </c>
      <c r="Q971" s="3">
        <v>0</v>
      </c>
      <c r="R971" s="3">
        <v>0</v>
      </c>
      <c r="S971" s="3">
        <v>0</v>
      </c>
      <c r="T971" s="3">
        <v>0</v>
      </c>
      <c r="U971" s="3">
        <v>0</v>
      </c>
      <c r="V971" s="3">
        <v>0</v>
      </c>
      <c r="W971" s="3" t="s">
        <v>1720</v>
      </c>
      <c r="X971" s="3">
        <v>16.99</v>
      </c>
      <c r="Y971" s="3">
        <v>16.99</v>
      </c>
      <c r="Z971" s="3">
        <v>16.99</v>
      </c>
      <c r="AA971" s="3">
        <v>0</v>
      </c>
      <c r="AB971" s="3" t="s">
        <v>1721</v>
      </c>
      <c r="AC971" s="3">
        <v>0</v>
      </c>
      <c r="AD971" s="3">
        <v>15.95</v>
      </c>
      <c r="AE971" s="3">
        <v>21</v>
      </c>
      <c r="AF971" s="3">
        <v>0</v>
      </c>
      <c r="AG971" s="3">
        <v>24.808389</v>
      </c>
      <c r="AH971" s="3">
        <v>0</v>
      </c>
      <c r="AI971" s="3" t="s">
        <v>3602</v>
      </c>
      <c r="AJ971" s="3" t="s">
        <v>1715</v>
      </c>
    </row>
    <row r="972" spans="1:36">
      <c r="A972" s="4">
        <v>43277</v>
      </c>
      <c r="B972" s="3" t="s">
        <v>659</v>
      </c>
      <c r="C972" s="3" t="s">
        <v>660</v>
      </c>
      <c r="D972" s="3" t="s">
        <v>661</v>
      </c>
      <c r="E972" s="3" t="s">
        <v>4770</v>
      </c>
      <c r="F972" s="3" t="s">
        <v>1710</v>
      </c>
      <c r="G972" s="3">
        <v>28</v>
      </c>
      <c r="H972" s="3">
        <v>0</v>
      </c>
      <c r="I972" s="3">
        <v>28</v>
      </c>
      <c r="J972" s="3">
        <v>0</v>
      </c>
      <c r="K972" s="3">
        <v>0</v>
      </c>
      <c r="L972" s="3">
        <v>0</v>
      </c>
      <c r="M972" s="3">
        <v>0</v>
      </c>
      <c r="N972" s="3" t="s">
        <v>1711</v>
      </c>
      <c r="O972" s="3">
        <v>0</v>
      </c>
      <c r="P972" s="3">
        <v>0</v>
      </c>
      <c r="Q972" s="3">
        <v>0</v>
      </c>
      <c r="R972" s="3">
        <v>0</v>
      </c>
      <c r="S972" s="3">
        <v>3</v>
      </c>
      <c r="T972" s="3">
        <v>7</v>
      </c>
      <c r="U972" s="3">
        <v>26</v>
      </c>
      <c r="V972" s="3">
        <v>39</v>
      </c>
      <c r="W972" s="3"/>
      <c r="X972" s="3">
        <v>38</v>
      </c>
      <c r="Y972" s="3">
        <v>28.58</v>
      </c>
      <c r="Z972" s="3">
        <v>28.58</v>
      </c>
      <c r="AA972" s="3">
        <v>0</v>
      </c>
      <c r="AB972" s="3" t="s">
        <v>1713</v>
      </c>
      <c r="AC972" s="3">
        <v>20</v>
      </c>
      <c r="AD972" s="3">
        <v>28.58</v>
      </c>
      <c r="AE972" s="3">
        <v>0</v>
      </c>
      <c r="AF972" s="3">
        <v>0</v>
      </c>
      <c r="AG972" s="3">
        <v>0</v>
      </c>
      <c r="AH972" s="3">
        <v>1.75280898876404</v>
      </c>
      <c r="AI972" s="3" t="s">
        <v>2128</v>
      </c>
      <c r="AJ972" s="3" t="s">
        <v>1715</v>
      </c>
    </row>
    <row r="973" spans="1:36">
      <c r="A973" s="4">
        <v>43277</v>
      </c>
      <c r="B973" s="3" t="s">
        <v>1137</v>
      </c>
      <c r="C973" s="3" t="s">
        <v>1138</v>
      </c>
      <c r="D973" s="3" t="s">
        <v>1139</v>
      </c>
      <c r="E973" s="3" t="s">
        <v>1140</v>
      </c>
      <c r="F973" s="3" t="s">
        <v>1710</v>
      </c>
      <c r="G973" s="3">
        <v>5</v>
      </c>
      <c r="H973" s="3">
        <v>0</v>
      </c>
      <c r="I973" s="3">
        <v>5</v>
      </c>
      <c r="J973" s="3">
        <v>0</v>
      </c>
      <c r="K973" s="3">
        <v>0</v>
      </c>
      <c r="L973" s="3">
        <v>0</v>
      </c>
      <c r="M973" s="3">
        <v>0</v>
      </c>
      <c r="N973" s="3" t="s">
        <v>1711</v>
      </c>
      <c r="O973" s="3">
        <v>0</v>
      </c>
      <c r="P973" s="3">
        <v>0</v>
      </c>
      <c r="Q973" s="3">
        <v>0</v>
      </c>
      <c r="R973" s="3">
        <v>0</v>
      </c>
      <c r="S973" s="3">
        <v>1</v>
      </c>
      <c r="T973" s="3">
        <v>5</v>
      </c>
      <c r="U973" s="3">
        <v>5</v>
      </c>
      <c r="V973" s="3">
        <v>5</v>
      </c>
      <c r="W973" s="3"/>
      <c r="X973" s="3">
        <v>39.99</v>
      </c>
      <c r="Y973" s="3">
        <v>21.99</v>
      </c>
      <c r="Z973" s="3">
        <v>21.99</v>
      </c>
      <c r="AA973" s="3">
        <v>0</v>
      </c>
      <c r="AB973" s="3" t="s">
        <v>1713</v>
      </c>
      <c r="AC973" s="3">
        <v>5</v>
      </c>
      <c r="AD973" s="3">
        <v>21.99</v>
      </c>
      <c r="AE973" s="3">
        <v>0</v>
      </c>
      <c r="AF973" s="3">
        <v>0</v>
      </c>
      <c r="AG973" s="3">
        <v>0</v>
      </c>
      <c r="AH973" s="3">
        <v>2</v>
      </c>
      <c r="AI973" s="3" t="s">
        <v>4771</v>
      </c>
      <c r="AJ973" s="3" t="s">
        <v>1715</v>
      </c>
    </row>
    <row r="974" spans="1:36">
      <c r="A974" s="4">
        <v>43277</v>
      </c>
      <c r="B974" s="3" t="s">
        <v>1022</v>
      </c>
      <c r="C974" s="3" t="s">
        <v>1023</v>
      </c>
      <c r="D974" s="3" t="s">
        <v>1024</v>
      </c>
      <c r="E974" s="3" t="s">
        <v>1025</v>
      </c>
      <c r="F974" s="3" t="s">
        <v>1710</v>
      </c>
      <c r="G974" s="3">
        <v>28</v>
      </c>
      <c r="H974" s="3">
        <v>0</v>
      </c>
      <c r="I974" s="3">
        <v>28</v>
      </c>
      <c r="J974" s="3">
        <v>0</v>
      </c>
      <c r="K974" s="3">
        <v>0</v>
      </c>
      <c r="L974" s="3">
        <v>0</v>
      </c>
      <c r="M974" s="3">
        <v>0</v>
      </c>
      <c r="N974" s="3" t="s">
        <v>1711</v>
      </c>
      <c r="O974" s="3">
        <v>0</v>
      </c>
      <c r="P974" s="3">
        <v>0</v>
      </c>
      <c r="Q974" s="3">
        <v>0</v>
      </c>
      <c r="R974" s="3">
        <v>0</v>
      </c>
      <c r="S974" s="3">
        <v>6</v>
      </c>
      <c r="T974" s="3">
        <v>25</v>
      </c>
      <c r="U974" s="3">
        <v>42</v>
      </c>
      <c r="V974" s="3">
        <v>42</v>
      </c>
      <c r="W974" s="3"/>
      <c r="X974" s="3">
        <v>48.58</v>
      </c>
      <c r="Y974" s="3">
        <v>28.99</v>
      </c>
      <c r="Z974" s="3">
        <v>28.99</v>
      </c>
      <c r="AA974" s="3">
        <v>0</v>
      </c>
      <c r="AB974" s="3" t="s">
        <v>1713</v>
      </c>
      <c r="AC974" s="3">
        <v>30</v>
      </c>
      <c r="AD974" s="3">
        <v>28.99</v>
      </c>
      <c r="AE974" s="3">
        <v>0</v>
      </c>
      <c r="AF974" s="3">
        <v>0</v>
      </c>
      <c r="AG974" s="3">
        <v>0</v>
      </c>
      <c r="AH974" s="3">
        <v>2</v>
      </c>
      <c r="AI974" s="3" t="s">
        <v>1800</v>
      </c>
      <c r="AJ974" s="3" t="s">
        <v>1715</v>
      </c>
    </row>
    <row r="975" spans="1:36">
      <c r="A975" s="4">
        <v>43277</v>
      </c>
      <c r="B975" s="3" t="s">
        <v>1481</v>
      </c>
      <c r="C975" s="3" t="s">
        <v>1482</v>
      </c>
      <c r="D975" s="3" t="s">
        <v>1483</v>
      </c>
      <c r="E975" s="3" t="s">
        <v>1484</v>
      </c>
      <c r="F975" s="3" t="s">
        <v>1710</v>
      </c>
      <c r="G975" s="3">
        <v>1</v>
      </c>
      <c r="H975" s="3">
        <v>0</v>
      </c>
      <c r="I975" s="3">
        <v>1</v>
      </c>
      <c r="J975" s="3">
        <v>0</v>
      </c>
      <c r="K975" s="3">
        <v>0</v>
      </c>
      <c r="L975" s="3">
        <v>0</v>
      </c>
      <c r="M975" s="3">
        <v>0</v>
      </c>
      <c r="N975" s="3" t="s">
        <v>1711</v>
      </c>
      <c r="O975" s="3">
        <v>0</v>
      </c>
      <c r="P975" s="3">
        <v>0</v>
      </c>
      <c r="Q975" s="3">
        <v>0</v>
      </c>
      <c r="R975" s="3">
        <v>0</v>
      </c>
      <c r="S975" s="3">
        <v>9</v>
      </c>
      <c r="T975" s="3">
        <v>32</v>
      </c>
      <c r="U975" s="3">
        <v>50</v>
      </c>
      <c r="V975" s="3">
        <v>76</v>
      </c>
      <c r="W975" s="3"/>
      <c r="X975" s="3">
        <v>38</v>
      </c>
      <c r="Y975" s="3">
        <v>23.99</v>
      </c>
      <c r="Z975" s="3">
        <v>23.99</v>
      </c>
      <c r="AA975" s="3">
        <v>0</v>
      </c>
      <c r="AB975" s="3" t="s">
        <v>1713</v>
      </c>
      <c r="AC975" s="3">
        <v>4</v>
      </c>
      <c r="AD975" s="3">
        <v>23.99</v>
      </c>
      <c r="AE975" s="3">
        <v>0</v>
      </c>
      <c r="AF975" s="3">
        <v>0</v>
      </c>
      <c r="AG975" s="3">
        <v>0</v>
      </c>
      <c r="AH975" s="3">
        <v>3.75308641975308</v>
      </c>
      <c r="AI975" s="3" t="s">
        <v>2071</v>
      </c>
      <c r="AJ975" s="3" t="s">
        <v>1715</v>
      </c>
    </row>
    <row r="976" spans="1:36">
      <c r="A976" s="4">
        <v>43277</v>
      </c>
      <c r="B976" s="3" t="s">
        <v>4772</v>
      </c>
      <c r="C976" s="3" t="s">
        <v>4773</v>
      </c>
      <c r="D976" s="3" t="s">
        <v>4774</v>
      </c>
      <c r="E976" s="3" t="s">
        <v>318</v>
      </c>
      <c r="F976" s="3" t="s">
        <v>1710</v>
      </c>
      <c r="G976" s="3">
        <v>20</v>
      </c>
      <c r="H976" s="3">
        <v>0</v>
      </c>
      <c r="I976" s="3">
        <v>0</v>
      </c>
      <c r="J976" s="3">
        <v>0</v>
      </c>
      <c r="K976" s="3">
        <v>7</v>
      </c>
      <c r="L976" s="3">
        <v>13</v>
      </c>
      <c r="M976" s="3">
        <v>0</v>
      </c>
      <c r="N976" s="3" t="s">
        <v>1711</v>
      </c>
      <c r="O976" s="3">
        <v>20</v>
      </c>
      <c r="P976" s="3">
        <v>26.63</v>
      </c>
      <c r="Q976" s="3">
        <v>0</v>
      </c>
      <c r="R976" s="3">
        <v>0</v>
      </c>
      <c r="S976" s="3">
        <v>1</v>
      </c>
      <c r="T976" s="3">
        <v>1</v>
      </c>
      <c r="U976" s="3">
        <v>2</v>
      </c>
      <c r="V976" s="3">
        <v>10</v>
      </c>
      <c r="W976" s="3" t="s">
        <v>1720</v>
      </c>
      <c r="X976" s="3">
        <v>15.99</v>
      </c>
      <c r="Y976" s="3">
        <v>15.99</v>
      </c>
      <c r="Z976" s="3">
        <v>15.99</v>
      </c>
      <c r="AA976" s="3">
        <v>0</v>
      </c>
      <c r="AB976" s="3" t="s">
        <v>1721</v>
      </c>
      <c r="AC976" s="3">
        <v>0</v>
      </c>
      <c r="AD976" s="3">
        <v>12.12</v>
      </c>
      <c r="AE976" s="3">
        <v>245</v>
      </c>
      <c r="AF976" s="3">
        <v>0</v>
      </c>
      <c r="AG976" s="3">
        <v>405.254221</v>
      </c>
      <c r="AH976" s="3">
        <v>0.43010752688172</v>
      </c>
      <c r="AI976" s="3" t="s">
        <v>2699</v>
      </c>
      <c r="AJ976" s="3" t="s">
        <v>1783</v>
      </c>
    </row>
    <row r="977" spans="1:36">
      <c r="A977" s="4">
        <v>43277</v>
      </c>
      <c r="B977" s="3" t="s">
        <v>4775</v>
      </c>
      <c r="C977" s="3" t="s">
        <v>4776</v>
      </c>
      <c r="D977" s="3" t="s">
        <v>4777</v>
      </c>
      <c r="E977" s="3" t="s">
        <v>4778</v>
      </c>
      <c r="F977" s="3" t="s">
        <v>1710</v>
      </c>
      <c r="G977" s="3">
        <v>11</v>
      </c>
      <c r="H977" s="3">
        <v>0</v>
      </c>
      <c r="I977" s="3">
        <v>11</v>
      </c>
      <c r="J977" s="3">
        <v>0</v>
      </c>
      <c r="K977" s="3">
        <v>0</v>
      </c>
      <c r="L977" s="3">
        <v>0</v>
      </c>
      <c r="M977" s="3">
        <v>0</v>
      </c>
      <c r="N977" s="3" t="s">
        <v>1711</v>
      </c>
      <c r="O977" s="3">
        <v>0</v>
      </c>
      <c r="P977" s="3">
        <v>0</v>
      </c>
      <c r="Q977" s="3">
        <v>0</v>
      </c>
      <c r="R977" s="3">
        <v>0</v>
      </c>
      <c r="S977" s="3">
        <v>29</v>
      </c>
      <c r="T977" s="3">
        <v>113</v>
      </c>
      <c r="U977" s="3">
        <v>211</v>
      </c>
      <c r="V977" s="3">
        <v>299</v>
      </c>
      <c r="W977" s="3"/>
      <c r="X977" s="3">
        <v>28.99</v>
      </c>
      <c r="Y977" s="3">
        <v>14.99</v>
      </c>
      <c r="Z977" s="3">
        <v>14.99</v>
      </c>
      <c r="AA977" s="3">
        <v>0</v>
      </c>
      <c r="AB977" s="3" t="s">
        <v>1713</v>
      </c>
      <c r="AC977" s="3">
        <v>23</v>
      </c>
      <c r="AD977" s="3">
        <v>14.99</v>
      </c>
      <c r="AE977" s="3">
        <v>0</v>
      </c>
      <c r="AF977" s="3">
        <v>0</v>
      </c>
      <c r="AG977" s="3">
        <v>0</v>
      </c>
      <c r="AH977" s="3">
        <v>4.84210526315789</v>
      </c>
      <c r="AI977" s="3" t="s">
        <v>2467</v>
      </c>
      <c r="AJ977" s="3" t="s">
        <v>1715</v>
      </c>
    </row>
    <row r="978" spans="1:36">
      <c r="A978" s="4">
        <v>43277</v>
      </c>
      <c r="B978" s="3" t="s">
        <v>4779</v>
      </c>
      <c r="C978" s="3" t="s">
        <v>4780</v>
      </c>
      <c r="D978" s="3" t="s">
        <v>4781</v>
      </c>
      <c r="E978" s="3" t="s">
        <v>4782</v>
      </c>
      <c r="F978" s="3" t="s">
        <v>1710</v>
      </c>
      <c r="G978" s="3">
        <v>1</v>
      </c>
      <c r="H978" s="3">
        <v>0</v>
      </c>
      <c r="I978" s="3">
        <v>1</v>
      </c>
      <c r="J978" s="3">
        <v>0</v>
      </c>
      <c r="K978" s="3">
        <v>0</v>
      </c>
      <c r="L978" s="3">
        <v>0</v>
      </c>
      <c r="M978" s="3">
        <v>0</v>
      </c>
      <c r="N978" s="3" t="s">
        <v>1711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0</v>
      </c>
      <c r="U978" s="3">
        <v>1</v>
      </c>
      <c r="V978" s="3">
        <v>2</v>
      </c>
      <c r="W978" s="3" t="s">
        <v>1720</v>
      </c>
      <c r="X978" s="3">
        <v>23.08</v>
      </c>
      <c r="Y978" s="3">
        <v>23.08</v>
      </c>
      <c r="Z978" s="3">
        <v>23.08</v>
      </c>
      <c r="AA978" s="3">
        <v>0</v>
      </c>
      <c r="AB978" s="3" t="s">
        <v>1721</v>
      </c>
      <c r="AC978" s="3">
        <v>0</v>
      </c>
      <c r="AD978" s="3">
        <v>18.51</v>
      </c>
      <c r="AE978" s="3">
        <v>70</v>
      </c>
      <c r="AF978" s="3">
        <v>0</v>
      </c>
      <c r="AG978" s="3">
        <v>1.232405</v>
      </c>
      <c r="AH978" s="3">
        <v>4</v>
      </c>
      <c r="AI978" s="3" t="s">
        <v>4783</v>
      </c>
      <c r="AJ978" s="3" t="s">
        <v>1715</v>
      </c>
    </row>
    <row r="979" spans="1:36">
      <c r="A979" s="4">
        <v>43277</v>
      </c>
      <c r="B979" s="3" t="s">
        <v>4784</v>
      </c>
      <c r="C979" s="3" t="s">
        <v>4785</v>
      </c>
      <c r="D979" s="3" t="s">
        <v>4786</v>
      </c>
      <c r="E979" s="3" t="s">
        <v>4787</v>
      </c>
      <c r="F979" s="3" t="s">
        <v>1710</v>
      </c>
      <c r="G979" s="3">
        <v>9</v>
      </c>
      <c r="H979" s="3">
        <v>0</v>
      </c>
      <c r="I979" s="3">
        <v>7</v>
      </c>
      <c r="J979" s="3">
        <v>2</v>
      </c>
      <c r="K979" s="3">
        <v>0</v>
      </c>
      <c r="L979" s="3">
        <v>0</v>
      </c>
      <c r="M979" s="3">
        <v>0</v>
      </c>
      <c r="N979" s="3" t="s">
        <v>1711</v>
      </c>
      <c r="O979" s="3">
        <v>0</v>
      </c>
      <c r="P979" s="3">
        <v>0</v>
      </c>
      <c r="Q979" s="3">
        <v>0</v>
      </c>
      <c r="R979" s="3">
        <v>0</v>
      </c>
      <c r="S979" s="3">
        <v>2</v>
      </c>
      <c r="T979" s="3">
        <v>6</v>
      </c>
      <c r="U979" s="3">
        <v>11</v>
      </c>
      <c r="V979" s="3">
        <v>27</v>
      </c>
      <c r="W979" s="3"/>
      <c r="X979" s="3">
        <v>59.99</v>
      </c>
      <c r="Y979" s="3">
        <v>27.99</v>
      </c>
      <c r="Z979" s="3">
        <v>25.99</v>
      </c>
      <c r="AA979" s="3">
        <v>0</v>
      </c>
      <c r="AB979" s="3" t="s">
        <v>1713</v>
      </c>
      <c r="AC979" s="3">
        <v>10</v>
      </c>
      <c r="AD979" s="3">
        <v>27.99</v>
      </c>
      <c r="AE979" s="3">
        <v>0</v>
      </c>
      <c r="AF979" s="3">
        <v>0</v>
      </c>
      <c r="AG979" s="3">
        <v>0</v>
      </c>
      <c r="AH979" s="3">
        <v>1.44</v>
      </c>
      <c r="AI979" s="3" t="s">
        <v>2094</v>
      </c>
      <c r="AJ979" s="3" t="s">
        <v>1715</v>
      </c>
    </row>
    <row r="980" spans="1:36">
      <c r="A980" s="4">
        <v>43277</v>
      </c>
      <c r="B980" s="3" t="s">
        <v>4788</v>
      </c>
      <c r="C980" s="3" t="s">
        <v>4789</v>
      </c>
      <c r="D980" s="3" t="s">
        <v>4790</v>
      </c>
      <c r="E980" s="3" t="s">
        <v>2098</v>
      </c>
      <c r="F980" s="3" t="s">
        <v>1710</v>
      </c>
      <c r="G980" s="3">
        <v>1</v>
      </c>
      <c r="H980" s="3">
        <v>0</v>
      </c>
      <c r="I980" s="3">
        <v>1</v>
      </c>
      <c r="J980" s="3">
        <v>0</v>
      </c>
      <c r="K980" s="3">
        <v>0</v>
      </c>
      <c r="L980" s="3">
        <v>0</v>
      </c>
      <c r="M980" s="3">
        <v>0</v>
      </c>
      <c r="N980" s="3" t="s">
        <v>1711</v>
      </c>
      <c r="O980" s="3">
        <v>0</v>
      </c>
      <c r="P980" s="3">
        <v>0</v>
      </c>
      <c r="Q980" s="3">
        <v>0</v>
      </c>
      <c r="R980" s="3">
        <v>0</v>
      </c>
      <c r="S980" s="3">
        <v>1</v>
      </c>
      <c r="T980" s="3">
        <v>1</v>
      </c>
      <c r="U980" s="3">
        <v>3</v>
      </c>
      <c r="V980" s="3">
        <v>4</v>
      </c>
      <c r="W980" s="3" t="s">
        <v>1720</v>
      </c>
      <c r="X980" s="3">
        <v>29.99</v>
      </c>
      <c r="Y980" s="3">
        <v>29.99</v>
      </c>
      <c r="Z980" s="3">
        <v>25</v>
      </c>
      <c r="AA980" s="3">
        <v>0</v>
      </c>
      <c r="AB980" s="3" t="s">
        <v>1721</v>
      </c>
      <c r="AC980" s="3">
        <v>2</v>
      </c>
      <c r="AD980" s="3">
        <v>29.99</v>
      </c>
      <c r="AE980" s="3">
        <v>0</v>
      </c>
      <c r="AF980" s="3">
        <v>0</v>
      </c>
      <c r="AG980" s="3">
        <v>0</v>
      </c>
      <c r="AH980" s="3">
        <v>4</v>
      </c>
      <c r="AI980" s="3" t="s">
        <v>4791</v>
      </c>
      <c r="AJ980" s="3" t="s">
        <v>1783</v>
      </c>
    </row>
    <row r="981" spans="1:36">
      <c r="A981" s="4">
        <v>43277</v>
      </c>
      <c r="B981" s="3" t="s">
        <v>4792</v>
      </c>
      <c r="C981" s="3" t="s">
        <v>4793</v>
      </c>
      <c r="D981" s="3" t="s">
        <v>4794</v>
      </c>
      <c r="E981" s="3" t="s">
        <v>4795</v>
      </c>
      <c r="F981" s="3" t="s">
        <v>1710</v>
      </c>
      <c r="G981" s="3">
        <v>17</v>
      </c>
      <c r="H981" s="3">
        <v>0</v>
      </c>
      <c r="I981" s="3">
        <v>17</v>
      </c>
      <c r="J981" s="3">
        <v>0</v>
      </c>
      <c r="K981" s="3">
        <v>0</v>
      </c>
      <c r="L981" s="3">
        <v>0</v>
      </c>
      <c r="M981" s="3">
        <v>0</v>
      </c>
      <c r="N981" s="3" t="s">
        <v>1711</v>
      </c>
      <c r="O981" s="3">
        <v>0</v>
      </c>
      <c r="P981" s="3">
        <v>0</v>
      </c>
      <c r="Q981" s="3">
        <v>0</v>
      </c>
      <c r="R981" s="3">
        <v>0</v>
      </c>
      <c r="S981" s="3">
        <v>2</v>
      </c>
      <c r="T981" s="3">
        <v>6</v>
      </c>
      <c r="U981" s="3">
        <v>13</v>
      </c>
      <c r="V981" s="3">
        <v>16</v>
      </c>
      <c r="W981" s="3"/>
      <c r="X981" s="3">
        <v>38</v>
      </c>
      <c r="Y981" s="3">
        <v>28.58</v>
      </c>
      <c r="Z981" s="3">
        <v>28</v>
      </c>
      <c r="AA981" s="3">
        <v>0</v>
      </c>
      <c r="AB981" s="3" t="s">
        <v>1713</v>
      </c>
      <c r="AC981" s="3">
        <v>17</v>
      </c>
      <c r="AD981" s="3">
        <v>28.58</v>
      </c>
      <c r="AE981" s="3">
        <v>0</v>
      </c>
      <c r="AF981" s="3">
        <v>0</v>
      </c>
      <c r="AG981" s="3">
        <v>0</v>
      </c>
      <c r="AH981" s="3">
        <v>1.25490196078431</v>
      </c>
      <c r="AI981" s="3" t="s">
        <v>4796</v>
      </c>
      <c r="AJ981" s="3" t="s">
        <v>1715</v>
      </c>
    </row>
    <row r="982" spans="1:36">
      <c r="A982" s="4">
        <v>43277</v>
      </c>
      <c r="B982" s="3" t="s">
        <v>4797</v>
      </c>
      <c r="C982" s="3" t="s">
        <v>4798</v>
      </c>
      <c r="D982" s="3" t="s">
        <v>4799</v>
      </c>
      <c r="E982" s="3" t="s">
        <v>1820</v>
      </c>
      <c r="F982" s="3" t="s">
        <v>1710</v>
      </c>
      <c r="G982" s="3">
        <v>10</v>
      </c>
      <c r="H982" s="3">
        <v>0</v>
      </c>
      <c r="I982" s="3">
        <v>10</v>
      </c>
      <c r="J982" s="3">
        <v>0</v>
      </c>
      <c r="K982" s="3">
        <v>0</v>
      </c>
      <c r="L982" s="3">
        <v>0</v>
      </c>
      <c r="M982" s="3">
        <v>0</v>
      </c>
      <c r="N982" s="3" t="s">
        <v>1711</v>
      </c>
      <c r="O982" s="3">
        <v>0</v>
      </c>
      <c r="P982" s="3">
        <v>0</v>
      </c>
      <c r="Q982" s="3">
        <v>0</v>
      </c>
      <c r="R982" s="3">
        <v>0</v>
      </c>
      <c r="S982" s="3">
        <v>0</v>
      </c>
      <c r="T982" s="3">
        <v>0</v>
      </c>
      <c r="U982" s="3">
        <v>0</v>
      </c>
      <c r="V982" s="3">
        <v>0</v>
      </c>
      <c r="W982" s="3" t="s">
        <v>1720</v>
      </c>
      <c r="X982" s="3">
        <v>17.99</v>
      </c>
      <c r="Y982" s="3">
        <v>17.99</v>
      </c>
      <c r="Z982" s="3">
        <v>17.99</v>
      </c>
      <c r="AA982" s="3">
        <v>0</v>
      </c>
      <c r="AB982" s="3" t="s">
        <v>1721</v>
      </c>
      <c r="AC982" s="3">
        <v>0</v>
      </c>
      <c r="AD982" s="3">
        <v>14.39</v>
      </c>
      <c r="AE982" s="3">
        <v>63</v>
      </c>
      <c r="AF982" s="3">
        <v>0</v>
      </c>
      <c r="AG982" s="3">
        <v>71.35884</v>
      </c>
      <c r="AH982" s="3">
        <v>0</v>
      </c>
      <c r="AI982" s="3" t="s">
        <v>1821</v>
      </c>
      <c r="AJ982" s="3" t="s">
        <v>1715</v>
      </c>
    </row>
    <row r="983" spans="1:36">
      <c r="A983" s="4">
        <v>43277</v>
      </c>
      <c r="B983" s="3" t="s">
        <v>4800</v>
      </c>
      <c r="C983" s="3" t="s">
        <v>4801</v>
      </c>
      <c r="D983" s="3" t="s">
        <v>4802</v>
      </c>
      <c r="E983" s="3" t="s">
        <v>4803</v>
      </c>
      <c r="F983" s="3" t="s">
        <v>1710</v>
      </c>
      <c r="G983" s="3">
        <v>20</v>
      </c>
      <c r="H983" s="3">
        <v>0</v>
      </c>
      <c r="I983" s="3">
        <v>20</v>
      </c>
      <c r="J983" s="3">
        <v>0</v>
      </c>
      <c r="K983" s="3">
        <v>0</v>
      </c>
      <c r="L983" s="3">
        <v>0</v>
      </c>
      <c r="M983" s="3">
        <v>0</v>
      </c>
      <c r="N983" s="3" t="s">
        <v>1711</v>
      </c>
      <c r="O983" s="3">
        <v>0</v>
      </c>
      <c r="P983" s="3">
        <v>0</v>
      </c>
      <c r="Q983" s="3">
        <v>0</v>
      </c>
      <c r="R983" s="3">
        <v>0</v>
      </c>
      <c r="S983" s="3">
        <v>0</v>
      </c>
      <c r="T983" s="3">
        <v>0</v>
      </c>
      <c r="U983" s="3">
        <v>0</v>
      </c>
      <c r="V983" s="3">
        <v>0</v>
      </c>
      <c r="W983" s="3" t="s">
        <v>1712</v>
      </c>
      <c r="X983" s="3">
        <v>28.58</v>
      </c>
      <c r="Y983" s="3">
        <v>28.58</v>
      </c>
      <c r="Z983" s="3">
        <v>28.58</v>
      </c>
      <c r="AA983" s="3">
        <v>0</v>
      </c>
      <c r="AB983" s="3" t="s">
        <v>1713</v>
      </c>
      <c r="AC983" s="3">
        <v>0</v>
      </c>
      <c r="AD983" s="3">
        <v>0</v>
      </c>
      <c r="AE983" s="3">
        <v>0</v>
      </c>
      <c r="AF983" s="3">
        <v>0</v>
      </c>
      <c r="AG983" s="3">
        <v>0</v>
      </c>
      <c r="AH983" s="3">
        <v>0</v>
      </c>
      <c r="AI983" s="3" t="s">
        <v>1751</v>
      </c>
      <c r="AJ983" s="3" t="s">
        <v>1715</v>
      </c>
    </row>
    <row r="984" spans="1:36">
      <c r="A984" s="4">
        <v>43277</v>
      </c>
      <c r="B984" s="3" t="s">
        <v>48</v>
      </c>
      <c r="C984" s="3" t="s">
        <v>49</v>
      </c>
      <c r="D984" s="3" t="s">
        <v>50</v>
      </c>
      <c r="E984" s="3" t="s">
        <v>4804</v>
      </c>
      <c r="F984" s="3" t="s">
        <v>1710</v>
      </c>
      <c r="G984" s="3">
        <v>14</v>
      </c>
      <c r="H984" s="3">
        <v>0</v>
      </c>
      <c r="I984" s="3">
        <v>14</v>
      </c>
      <c r="J984" s="3">
        <v>0</v>
      </c>
      <c r="K984" s="3">
        <v>0</v>
      </c>
      <c r="L984" s="3">
        <v>0</v>
      </c>
      <c r="M984" s="3">
        <v>0</v>
      </c>
      <c r="N984" s="3" t="s">
        <v>1711</v>
      </c>
      <c r="O984" s="3">
        <v>0</v>
      </c>
      <c r="P984" s="3">
        <v>0</v>
      </c>
      <c r="Q984" s="3">
        <v>0</v>
      </c>
      <c r="R984" s="3">
        <v>0</v>
      </c>
      <c r="S984" s="3">
        <v>1</v>
      </c>
      <c r="T984" s="3">
        <v>12</v>
      </c>
      <c r="U984" s="3">
        <v>14</v>
      </c>
      <c r="V984" s="3">
        <v>18</v>
      </c>
      <c r="W984" s="3"/>
      <c r="X984" s="3">
        <v>15.99</v>
      </c>
      <c r="Y984" s="3">
        <v>15.99</v>
      </c>
      <c r="Z984" s="3">
        <v>15.55</v>
      </c>
      <c r="AA984" s="3">
        <v>0</v>
      </c>
      <c r="AB984" s="3" t="s">
        <v>1713</v>
      </c>
      <c r="AC984" s="3">
        <v>3</v>
      </c>
      <c r="AD984" s="3">
        <v>15.99</v>
      </c>
      <c r="AE984" s="3">
        <v>0</v>
      </c>
      <c r="AF984" s="3">
        <v>0</v>
      </c>
      <c r="AG984" s="3">
        <v>0</v>
      </c>
      <c r="AH984" s="3">
        <v>3</v>
      </c>
      <c r="AI984" s="3" t="s">
        <v>2082</v>
      </c>
      <c r="AJ984" s="3" t="s">
        <v>1715</v>
      </c>
    </row>
    <row r="985" spans="1:36">
      <c r="A985" s="4">
        <v>43277</v>
      </c>
      <c r="B985" s="3" t="s">
        <v>1529</v>
      </c>
      <c r="C985" s="3" t="s">
        <v>1530</v>
      </c>
      <c r="D985" s="3" t="s">
        <v>1531</v>
      </c>
      <c r="E985" s="3" t="s">
        <v>1532</v>
      </c>
      <c r="F985" s="3" t="s">
        <v>1710</v>
      </c>
      <c r="G985" s="3">
        <v>19</v>
      </c>
      <c r="H985" s="3">
        <v>0</v>
      </c>
      <c r="I985" s="3">
        <v>19</v>
      </c>
      <c r="J985" s="3">
        <v>0</v>
      </c>
      <c r="K985" s="3">
        <v>0</v>
      </c>
      <c r="L985" s="3">
        <v>0</v>
      </c>
      <c r="M985" s="3">
        <v>0</v>
      </c>
      <c r="N985" s="3" t="s">
        <v>1711</v>
      </c>
      <c r="O985" s="3">
        <v>0</v>
      </c>
      <c r="P985" s="3">
        <v>0</v>
      </c>
      <c r="Q985" s="3">
        <v>0</v>
      </c>
      <c r="R985" s="3">
        <v>0</v>
      </c>
      <c r="S985" s="3">
        <v>0</v>
      </c>
      <c r="T985" s="3">
        <v>23</v>
      </c>
      <c r="U985" s="3">
        <v>38</v>
      </c>
      <c r="V985" s="3">
        <v>38</v>
      </c>
      <c r="W985" s="3"/>
      <c r="X985" s="3">
        <v>19.99</v>
      </c>
      <c r="Y985" s="3">
        <v>19.99</v>
      </c>
      <c r="Z985" s="3">
        <v>19.99</v>
      </c>
      <c r="AA985" s="3">
        <v>0</v>
      </c>
      <c r="AB985" s="3" t="s">
        <v>1713</v>
      </c>
      <c r="AC985" s="3">
        <v>0</v>
      </c>
      <c r="AD985" s="3">
        <v>0</v>
      </c>
      <c r="AE985" s="3">
        <v>0</v>
      </c>
      <c r="AF985" s="3">
        <v>0</v>
      </c>
      <c r="AG985" s="3">
        <v>0</v>
      </c>
      <c r="AH985" s="3">
        <v>5.7</v>
      </c>
      <c r="AI985" s="3" t="s">
        <v>3074</v>
      </c>
      <c r="AJ985" s="3" t="s">
        <v>1715</v>
      </c>
    </row>
    <row r="986" spans="1:36">
      <c r="A986" s="4">
        <v>43277</v>
      </c>
      <c r="B986" s="3" t="s">
        <v>4805</v>
      </c>
      <c r="C986" s="3" t="s">
        <v>4806</v>
      </c>
      <c r="D986" s="3" t="s">
        <v>4807</v>
      </c>
      <c r="E986" s="3" t="s">
        <v>4739</v>
      </c>
      <c r="F986" s="3" t="s">
        <v>1710</v>
      </c>
      <c r="G986" s="3">
        <v>4</v>
      </c>
      <c r="H986" s="3">
        <v>0</v>
      </c>
      <c r="I986" s="3">
        <v>0</v>
      </c>
      <c r="J986" s="3">
        <v>0</v>
      </c>
      <c r="K986" s="3">
        <v>4</v>
      </c>
      <c r="L986" s="3">
        <v>0</v>
      </c>
      <c r="M986" s="3">
        <v>0</v>
      </c>
      <c r="N986" s="3" t="s">
        <v>1711</v>
      </c>
      <c r="O986" s="3">
        <v>4</v>
      </c>
      <c r="P986" s="3">
        <v>14.51</v>
      </c>
      <c r="Q986" s="3">
        <v>0</v>
      </c>
      <c r="R986" s="3">
        <v>0</v>
      </c>
      <c r="S986" s="3">
        <v>0</v>
      </c>
      <c r="T986" s="3">
        <v>0</v>
      </c>
      <c r="U986" s="3">
        <v>0</v>
      </c>
      <c r="V986" s="3">
        <v>0</v>
      </c>
      <c r="W986" s="3" t="s">
        <v>1712</v>
      </c>
      <c r="X986" s="3">
        <v>29.99</v>
      </c>
      <c r="Y986" s="3">
        <v>29.99</v>
      </c>
      <c r="Z986" s="3">
        <v>28.99</v>
      </c>
      <c r="AA986" s="3">
        <v>0</v>
      </c>
      <c r="AB986" s="3" t="s">
        <v>1732</v>
      </c>
      <c r="AC986" s="3">
        <v>0</v>
      </c>
      <c r="AD986" s="3">
        <v>23.99</v>
      </c>
      <c r="AE986" s="3">
        <v>364</v>
      </c>
      <c r="AF986" s="3">
        <v>0</v>
      </c>
      <c r="AG986" s="3">
        <v>179.948158</v>
      </c>
      <c r="AH986" s="3">
        <v>0</v>
      </c>
      <c r="AI986" s="3" t="s">
        <v>1831</v>
      </c>
      <c r="AJ986" s="3" t="s">
        <v>1715</v>
      </c>
    </row>
    <row r="987" spans="1:36">
      <c r="A987" s="4">
        <v>43277</v>
      </c>
      <c r="B987" s="3" t="s">
        <v>4808</v>
      </c>
      <c r="C987" s="3" t="s">
        <v>4809</v>
      </c>
      <c r="D987" s="3" t="s">
        <v>4810</v>
      </c>
      <c r="E987" s="3" t="s">
        <v>4811</v>
      </c>
      <c r="F987" s="3" t="s">
        <v>1710</v>
      </c>
      <c r="G987" s="3">
        <v>12</v>
      </c>
      <c r="H987" s="3">
        <v>0</v>
      </c>
      <c r="I987" s="3">
        <v>12</v>
      </c>
      <c r="J987" s="3">
        <v>0</v>
      </c>
      <c r="K987" s="3">
        <v>0</v>
      </c>
      <c r="L987" s="3">
        <v>0</v>
      </c>
      <c r="M987" s="3">
        <v>0</v>
      </c>
      <c r="N987" s="3" t="s">
        <v>1711</v>
      </c>
      <c r="O987" s="3">
        <v>0</v>
      </c>
      <c r="P987" s="3">
        <v>0</v>
      </c>
      <c r="Q987" s="3">
        <v>0</v>
      </c>
      <c r="R987" s="3">
        <v>0</v>
      </c>
      <c r="S987" s="3">
        <v>0</v>
      </c>
      <c r="T987" s="3">
        <v>0</v>
      </c>
      <c r="U987" s="3">
        <v>1</v>
      </c>
      <c r="V987" s="3">
        <v>5</v>
      </c>
      <c r="W987" s="3" t="s">
        <v>1712</v>
      </c>
      <c r="X987" s="3">
        <v>15.99</v>
      </c>
      <c r="Y987" s="3">
        <v>15.99</v>
      </c>
      <c r="Z987" s="3">
        <v>15.99</v>
      </c>
      <c r="AA987" s="3">
        <v>0</v>
      </c>
      <c r="AB987" s="3" t="s">
        <v>1713</v>
      </c>
      <c r="AC987" s="3">
        <v>12</v>
      </c>
      <c r="AD987" s="3">
        <v>15.99</v>
      </c>
      <c r="AE987" s="3">
        <v>0</v>
      </c>
      <c r="AF987" s="3">
        <v>0</v>
      </c>
      <c r="AG987" s="3">
        <v>0</v>
      </c>
      <c r="AH987" s="3">
        <v>0.8</v>
      </c>
      <c r="AI987" s="3" t="s">
        <v>1962</v>
      </c>
      <c r="AJ987" s="3" t="s">
        <v>1715</v>
      </c>
    </row>
    <row r="988" spans="1:36">
      <c r="A988" s="4">
        <v>43277</v>
      </c>
      <c r="B988" s="3" t="s">
        <v>4812</v>
      </c>
      <c r="C988" s="3" t="s">
        <v>4813</v>
      </c>
      <c r="D988" s="3" t="s">
        <v>4814</v>
      </c>
      <c r="E988" s="3" t="s">
        <v>898</v>
      </c>
      <c r="F988" s="3" t="s">
        <v>1710</v>
      </c>
      <c r="G988" s="3">
        <v>11</v>
      </c>
      <c r="H988" s="3">
        <v>0</v>
      </c>
      <c r="I988" s="3">
        <v>11</v>
      </c>
      <c r="J988" s="3">
        <v>0</v>
      </c>
      <c r="K988" s="3">
        <v>0</v>
      </c>
      <c r="L988" s="3">
        <v>0</v>
      </c>
      <c r="M988" s="3">
        <v>0</v>
      </c>
      <c r="N988" s="3" t="s">
        <v>1711</v>
      </c>
      <c r="O988" s="3">
        <v>0</v>
      </c>
      <c r="P988" s="3">
        <v>0</v>
      </c>
      <c r="Q988" s="3">
        <v>0</v>
      </c>
      <c r="R988" s="3">
        <v>0</v>
      </c>
      <c r="S988" s="3">
        <v>0</v>
      </c>
      <c r="T988" s="3">
        <v>0</v>
      </c>
      <c r="U988" s="3">
        <v>0</v>
      </c>
      <c r="V988" s="3">
        <v>0</v>
      </c>
      <c r="W988" s="3" t="s">
        <v>1720</v>
      </c>
      <c r="X988" s="3">
        <v>12.99</v>
      </c>
      <c r="Y988" s="3">
        <v>12.99</v>
      </c>
      <c r="Z988" s="3">
        <v>12.99</v>
      </c>
      <c r="AA988" s="3">
        <v>0</v>
      </c>
      <c r="AB988" s="3" t="s">
        <v>1721</v>
      </c>
      <c r="AC988" s="3">
        <v>0</v>
      </c>
      <c r="AD988" s="3">
        <v>12.99</v>
      </c>
      <c r="AE988" s="3">
        <v>63</v>
      </c>
      <c r="AF988" s="3">
        <v>0</v>
      </c>
      <c r="AG988" s="3">
        <v>89.352179</v>
      </c>
      <c r="AH988" s="3">
        <v>0</v>
      </c>
      <c r="AI988" s="3" t="s">
        <v>2022</v>
      </c>
      <c r="AJ988" s="3" t="s">
        <v>1715</v>
      </c>
    </row>
    <row r="989" spans="1:36">
      <c r="A989" s="4">
        <v>43277</v>
      </c>
      <c r="B989" s="3" t="s">
        <v>751</v>
      </c>
      <c r="C989" s="3" t="s">
        <v>752</v>
      </c>
      <c r="D989" s="3" t="s">
        <v>753</v>
      </c>
      <c r="E989" s="3" t="s">
        <v>754</v>
      </c>
      <c r="F989" s="3" t="s">
        <v>1710</v>
      </c>
      <c r="G989" s="3">
        <v>19</v>
      </c>
      <c r="H989" s="3">
        <v>0</v>
      </c>
      <c r="I989" s="3">
        <v>19</v>
      </c>
      <c r="J989" s="3">
        <v>0</v>
      </c>
      <c r="K989" s="3">
        <v>0</v>
      </c>
      <c r="L989" s="3">
        <v>0</v>
      </c>
      <c r="M989" s="3">
        <v>0</v>
      </c>
      <c r="N989" s="3" t="s">
        <v>1711</v>
      </c>
      <c r="O989" s="3">
        <v>0</v>
      </c>
      <c r="P989" s="3">
        <v>0</v>
      </c>
      <c r="Q989" s="3">
        <v>0</v>
      </c>
      <c r="R989" s="3">
        <v>0</v>
      </c>
      <c r="S989" s="3">
        <v>2</v>
      </c>
      <c r="T989" s="3">
        <v>12</v>
      </c>
      <c r="U989" s="3">
        <v>19</v>
      </c>
      <c r="V989" s="3">
        <v>22</v>
      </c>
      <c r="W989" s="3"/>
      <c r="X989" s="3">
        <v>38</v>
      </c>
      <c r="Y989" s="3">
        <v>28.58</v>
      </c>
      <c r="Z989" s="3">
        <v>28</v>
      </c>
      <c r="AA989" s="3">
        <v>0</v>
      </c>
      <c r="AB989" s="3" t="s">
        <v>1713</v>
      </c>
      <c r="AC989" s="3">
        <v>21</v>
      </c>
      <c r="AD989" s="3">
        <v>28.58</v>
      </c>
      <c r="AE989" s="3">
        <v>0</v>
      </c>
      <c r="AF989" s="3">
        <v>0</v>
      </c>
      <c r="AG989" s="3">
        <v>0</v>
      </c>
      <c r="AH989" s="3">
        <v>1.49152542372881</v>
      </c>
      <c r="AI989" s="3" t="s">
        <v>4815</v>
      </c>
      <c r="AJ989" s="3" t="s">
        <v>1715</v>
      </c>
    </row>
    <row r="990" spans="1:36">
      <c r="A990" s="4">
        <v>43277</v>
      </c>
      <c r="B990" s="3" t="s">
        <v>4816</v>
      </c>
      <c r="C990" s="3" t="s">
        <v>4817</v>
      </c>
      <c r="D990" s="3" t="s">
        <v>4818</v>
      </c>
      <c r="E990" s="3" t="s">
        <v>4819</v>
      </c>
      <c r="F990" s="3" t="s">
        <v>1710</v>
      </c>
      <c r="G990" s="3">
        <v>3</v>
      </c>
      <c r="H990" s="3">
        <v>0</v>
      </c>
      <c r="I990" s="3">
        <v>0</v>
      </c>
      <c r="J990" s="3">
        <v>0</v>
      </c>
      <c r="K990" s="3">
        <v>0</v>
      </c>
      <c r="L990" s="3">
        <v>0</v>
      </c>
      <c r="M990" s="3">
        <v>3</v>
      </c>
      <c r="N990" s="3" t="s">
        <v>1711</v>
      </c>
      <c r="O990" s="3">
        <v>0</v>
      </c>
      <c r="P990" s="3">
        <v>0</v>
      </c>
      <c r="Q990" s="3">
        <v>3</v>
      </c>
      <c r="R990" s="3">
        <v>8.36</v>
      </c>
      <c r="S990" s="3">
        <v>0</v>
      </c>
      <c r="T990" s="3">
        <v>1</v>
      </c>
      <c r="U990" s="3">
        <v>1</v>
      </c>
      <c r="V990" s="3">
        <v>1</v>
      </c>
      <c r="W990" s="3" t="s">
        <v>1720</v>
      </c>
      <c r="X990" s="3">
        <v>15.99</v>
      </c>
      <c r="Y990" s="3">
        <v>15.99</v>
      </c>
      <c r="Z990" s="3">
        <v>15.99</v>
      </c>
      <c r="AA990" s="3">
        <v>0</v>
      </c>
      <c r="AB990" s="3" t="s">
        <v>1732</v>
      </c>
      <c r="AC990" s="3">
        <v>0</v>
      </c>
      <c r="AD990" s="3">
        <v>13.89</v>
      </c>
      <c r="AE990" s="3">
        <v>49</v>
      </c>
      <c r="AF990" s="3">
        <v>0</v>
      </c>
      <c r="AG990" s="3">
        <v>76.115417</v>
      </c>
      <c r="AH990" s="3">
        <v>0.266666666666666</v>
      </c>
      <c r="AI990" s="3" t="s">
        <v>3660</v>
      </c>
      <c r="AJ990" s="3" t="s">
        <v>1783</v>
      </c>
    </row>
    <row r="991" spans="1:36">
      <c r="A991" s="4">
        <v>43277</v>
      </c>
      <c r="B991" s="3" t="s">
        <v>967</v>
      </c>
      <c r="C991" s="3" t="s">
        <v>968</v>
      </c>
      <c r="D991" s="3" t="s">
        <v>969</v>
      </c>
      <c r="E991" s="3" t="s">
        <v>970</v>
      </c>
      <c r="F991" s="3" t="s">
        <v>1710</v>
      </c>
      <c r="G991" s="3">
        <v>13</v>
      </c>
      <c r="H991" s="3">
        <v>0</v>
      </c>
      <c r="I991" s="3">
        <v>13</v>
      </c>
      <c r="J991" s="3">
        <v>0</v>
      </c>
      <c r="K991" s="3">
        <v>0</v>
      </c>
      <c r="L991" s="3">
        <v>0</v>
      </c>
      <c r="M991" s="3">
        <v>0</v>
      </c>
      <c r="N991" s="3" t="s">
        <v>1711</v>
      </c>
      <c r="O991" s="3">
        <v>0</v>
      </c>
      <c r="P991" s="3">
        <v>0</v>
      </c>
      <c r="Q991" s="3">
        <v>0</v>
      </c>
      <c r="R991" s="3">
        <v>0</v>
      </c>
      <c r="S991" s="3">
        <v>0</v>
      </c>
      <c r="T991" s="3">
        <v>4</v>
      </c>
      <c r="U991" s="3">
        <v>8</v>
      </c>
      <c r="V991" s="3">
        <v>11</v>
      </c>
      <c r="W991" s="3" t="s">
        <v>1712</v>
      </c>
      <c r="X991" s="3">
        <v>15.99</v>
      </c>
      <c r="Y991" s="3">
        <v>15.99</v>
      </c>
      <c r="Z991" s="3">
        <v>15.99</v>
      </c>
      <c r="AA991" s="3">
        <v>0</v>
      </c>
      <c r="AB991" s="3" t="s">
        <v>1713</v>
      </c>
      <c r="AC991" s="3">
        <v>14</v>
      </c>
      <c r="AD991" s="3">
        <v>15.99</v>
      </c>
      <c r="AE991" s="3">
        <v>0</v>
      </c>
      <c r="AF991" s="3">
        <v>0</v>
      </c>
      <c r="AG991" s="3">
        <v>0</v>
      </c>
      <c r="AH991" s="3">
        <v>0.717391304347826</v>
      </c>
      <c r="AI991" s="3" t="s">
        <v>1881</v>
      </c>
      <c r="AJ991" s="3" t="s">
        <v>1715</v>
      </c>
    </row>
    <row r="992" spans="1:36">
      <c r="A992" s="4">
        <v>43277</v>
      </c>
      <c r="B992" s="3" t="s">
        <v>4820</v>
      </c>
      <c r="C992" s="3" t="s">
        <v>4821</v>
      </c>
      <c r="D992" s="3" t="s">
        <v>4822</v>
      </c>
      <c r="E992" s="3" t="s">
        <v>4823</v>
      </c>
      <c r="F992" s="3" t="s">
        <v>1710</v>
      </c>
      <c r="G992" s="3">
        <v>14</v>
      </c>
      <c r="H992" s="3">
        <v>0</v>
      </c>
      <c r="I992" s="3">
        <v>14</v>
      </c>
      <c r="J992" s="3">
        <v>0</v>
      </c>
      <c r="K992" s="3">
        <v>0</v>
      </c>
      <c r="L992" s="3">
        <v>0</v>
      </c>
      <c r="M992" s="3">
        <v>0</v>
      </c>
      <c r="N992" s="3" t="s">
        <v>1711</v>
      </c>
      <c r="O992" s="3">
        <v>0</v>
      </c>
      <c r="P992" s="3">
        <v>0</v>
      </c>
      <c r="Q992" s="3">
        <v>0</v>
      </c>
      <c r="R992" s="3">
        <v>0</v>
      </c>
      <c r="S992" s="3">
        <v>0</v>
      </c>
      <c r="T992" s="3">
        <v>0</v>
      </c>
      <c r="U992" s="3">
        <v>6</v>
      </c>
      <c r="V992" s="3">
        <v>6</v>
      </c>
      <c r="W992" s="3" t="s">
        <v>1712</v>
      </c>
      <c r="X992" s="3">
        <v>18.99</v>
      </c>
      <c r="Y992" s="3">
        <v>18.99</v>
      </c>
      <c r="Z992" s="3">
        <v>18.99</v>
      </c>
      <c r="AA992" s="3">
        <v>0</v>
      </c>
      <c r="AB992" s="3" t="s">
        <v>1713</v>
      </c>
      <c r="AC992" s="3">
        <v>13</v>
      </c>
      <c r="AD992" s="3">
        <v>18.99</v>
      </c>
      <c r="AE992" s="3">
        <v>0</v>
      </c>
      <c r="AF992" s="3">
        <v>0</v>
      </c>
      <c r="AG992" s="3">
        <v>0</v>
      </c>
      <c r="AH992" s="3">
        <v>0.6</v>
      </c>
      <c r="AI992" s="3" t="s">
        <v>1794</v>
      </c>
      <c r="AJ992" s="3" t="s">
        <v>1715</v>
      </c>
    </row>
    <row r="993" spans="1:36">
      <c r="A993" s="4">
        <v>43277</v>
      </c>
      <c r="B993" s="3" t="s">
        <v>4824</v>
      </c>
      <c r="C993" s="3" t="s">
        <v>4825</v>
      </c>
      <c r="D993" s="3" t="s">
        <v>4826</v>
      </c>
      <c r="E993" s="3" t="s">
        <v>4827</v>
      </c>
      <c r="F993" s="3" t="s">
        <v>1710</v>
      </c>
      <c r="G993" s="3">
        <v>14</v>
      </c>
      <c r="H993" s="3">
        <v>0</v>
      </c>
      <c r="I993" s="3">
        <v>14</v>
      </c>
      <c r="J993" s="3">
        <v>0</v>
      </c>
      <c r="K993" s="3">
        <v>0</v>
      </c>
      <c r="L993" s="3">
        <v>0</v>
      </c>
      <c r="M993" s="3">
        <v>0</v>
      </c>
      <c r="N993" s="3" t="s">
        <v>1711</v>
      </c>
      <c r="O993" s="3">
        <v>0</v>
      </c>
      <c r="P993" s="3">
        <v>0</v>
      </c>
      <c r="Q993" s="3">
        <v>0</v>
      </c>
      <c r="R993" s="3">
        <v>0</v>
      </c>
      <c r="S993" s="3">
        <v>4</v>
      </c>
      <c r="T993" s="3">
        <v>26</v>
      </c>
      <c r="U993" s="3">
        <v>46</v>
      </c>
      <c r="V993" s="3">
        <v>63</v>
      </c>
      <c r="W993" s="3"/>
      <c r="X993" s="3">
        <v>28.58</v>
      </c>
      <c r="Y993" s="3">
        <v>28.58</v>
      </c>
      <c r="Z993" s="3">
        <v>21.51</v>
      </c>
      <c r="AA993" s="3">
        <v>0</v>
      </c>
      <c r="AB993" s="3" t="s">
        <v>1713</v>
      </c>
      <c r="AC993" s="3">
        <v>15</v>
      </c>
      <c r="AD993" s="3">
        <v>28.58</v>
      </c>
      <c r="AE993" s="3">
        <v>0</v>
      </c>
      <c r="AF993" s="3">
        <v>0</v>
      </c>
      <c r="AG993" s="3">
        <v>0</v>
      </c>
      <c r="AH993" s="3">
        <v>8.4</v>
      </c>
      <c r="AI993" s="3" t="s">
        <v>1734</v>
      </c>
      <c r="AJ993" s="3" t="s">
        <v>1715</v>
      </c>
    </row>
    <row r="994" spans="1:36">
      <c r="A994" s="4">
        <v>43277</v>
      </c>
      <c r="B994" s="3" t="s">
        <v>4828</v>
      </c>
      <c r="C994" s="3" t="s">
        <v>4829</v>
      </c>
      <c r="D994" s="3" t="s">
        <v>4830</v>
      </c>
      <c r="E994" s="3" t="s">
        <v>4831</v>
      </c>
      <c r="F994" s="3" t="s">
        <v>1710</v>
      </c>
      <c r="G994" s="3">
        <v>6</v>
      </c>
      <c r="H994" s="3">
        <v>0</v>
      </c>
      <c r="I994" s="3">
        <v>0</v>
      </c>
      <c r="J994" s="3">
        <v>2</v>
      </c>
      <c r="K994" s="3">
        <v>4</v>
      </c>
      <c r="L994" s="3">
        <v>0</v>
      </c>
      <c r="M994" s="3">
        <v>0</v>
      </c>
      <c r="N994" s="3" t="s">
        <v>1711</v>
      </c>
      <c r="O994" s="3">
        <v>5</v>
      </c>
      <c r="P994" s="3">
        <v>6.62</v>
      </c>
      <c r="Q994" s="3">
        <v>0</v>
      </c>
      <c r="R994" s="3">
        <v>0</v>
      </c>
      <c r="S994" s="3">
        <v>0</v>
      </c>
      <c r="T994" s="3">
        <v>0</v>
      </c>
      <c r="U994" s="3">
        <v>0</v>
      </c>
      <c r="V994" s="3">
        <v>0</v>
      </c>
      <c r="W994" s="3" t="s">
        <v>1720</v>
      </c>
      <c r="X994" s="3">
        <v>18.99</v>
      </c>
      <c r="Y994" s="3">
        <v>18.99</v>
      </c>
      <c r="Z994" s="3">
        <v>18.99</v>
      </c>
      <c r="AA994" s="3">
        <v>0</v>
      </c>
      <c r="AB994" s="3" t="s">
        <v>1721</v>
      </c>
      <c r="AC994" s="3">
        <v>0</v>
      </c>
      <c r="AD994" s="3">
        <v>16.65</v>
      </c>
      <c r="AE994" s="3">
        <v>210</v>
      </c>
      <c r="AF994" s="3">
        <v>0</v>
      </c>
      <c r="AG994" s="3">
        <v>138.730655</v>
      </c>
      <c r="AH994" s="3">
        <v>0</v>
      </c>
      <c r="AI994" s="3" t="s">
        <v>2398</v>
      </c>
      <c r="AJ994" s="3" t="s">
        <v>1715</v>
      </c>
    </row>
    <row r="995" spans="1:36">
      <c r="A995" s="4">
        <v>43277</v>
      </c>
      <c r="B995" s="3" t="s">
        <v>4832</v>
      </c>
      <c r="C995" s="3" t="s">
        <v>4833</v>
      </c>
      <c r="D995" s="3" t="s">
        <v>4834</v>
      </c>
      <c r="E995" s="3" t="s">
        <v>4835</v>
      </c>
      <c r="F995" s="3" t="s">
        <v>1710</v>
      </c>
      <c r="G995" s="3">
        <v>16</v>
      </c>
      <c r="H995" s="3">
        <v>0</v>
      </c>
      <c r="I995" s="3">
        <v>0</v>
      </c>
      <c r="J995" s="3">
        <v>16</v>
      </c>
      <c r="K995" s="3">
        <v>0</v>
      </c>
      <c r="L995" s="3">
        <v>0</v>
      </c>
      <c r="M995" s="3">
        <v>0</v>
      </c>
      <c r="N995" s="3" t="s">
        <v>1711</v>
      </c>
      <c r="O995" s="3">
        <v>16</v>
      </c>
      <c r="P995" s="3">
        <v>23.58</v>
      </c>
      <c r="Q995" s="3">
        <v>0</v>
      </c>
      <c r="R995" s="3">
        <v>0</v>
      </c>
      <c r="S995" s="3">
        <v>0</v>
      </c>
      <c r="T995" s="3">
        <v>0</v>
      </c>
      <c r="U995" s="3">
        <v>0</v>
      </c>
      <c r="V995" s="3">
        <v>1</v>
      </c>
      <c r="W995" s="3" t="s">
        <v>1720</v>
      </c>
      <c r="X995" s="3">
        <v>16.99</v>
      </c>
      <c r="Y995" s="3">
        <v>16.99</v>
      </c>
      <c r="Z995" s="3">
        <v>16.99</v>
      </c>
      <c r="AA995" s="3">
        <v>0</v>
      </c>
      <c r="AB995" s="3" t="s">
        <v>1721</v>
      </c>
      <c r="AC995" s="3">
        <v>3</v>
      </c>
      <c r="AD995" s="3">
        <v>15.36</v>
      </c>
      <c r="AE995" s="3">
        <v>49</v>
      </c>
      <c r="AF995" s="3">
        <v>0</v>
      </c>
      <c r="AG995" s="3">
        <v>411.020764</v>
      </c>
      <c r="AH995" s="3">
        <v>0.0615384615384615</v>
      </c>
      <c r="AI995" s="3" t="s">
        <v>1770</v>
      </c>
      <c r="AJ995" s="3" t="s">
        <v>1715</v>
      </c>
    </row>
    <row r="996" spans="1:36">
      <c r="A996" s="4">
        <v>43277</v>
      </c>
      <c r="B996" s="3" t="s">
        <v>1666</v>
      </c>
      <c r="C996" s="3" t="s">
        <v>1667</v>
      </c>
      <c r="D996" s="3" t="s">
        <v>1668</v>
      </c>
      <c r="E996" s="3" t="s">
        <v>1669</v>
      </c>
      <c r="F996" s="3" t="s">
        <v>1710</v>
      </c>
      <c r="G996" s="3">
        <v>29</v>
      </c>
      <c r="H996" s="3">
        <v>0</v>
      </c>
      <c r="I996" s="3">
        <v>29</v>
      </c>
      <c r="J996" s="3">
        <v>0</v>
      </c>
      <c r="K996" s="3">
        <v>0</v>
      </c>
      <c r="L996" s="3">
        <v>0</v>
      </c>
      <c r="M996" s="3">
        <v>0</v>
      </c>
      <c r="N996" s="3" t="s">
        <v>1711</v>
      </c>
      <c r="O996" s="3">
        <v>0</v>
      </c>
      <c r="P996" s="3">
        <v>0</v>
      </c>
      <c r="Q996" s="3">
        <v>0</v>
      </c>
      <c r="R996" s="3">
        <v>0</v>
      </c>
      <c r="S996" s="3">
        <v>8</v>
      </c>
      <c r="T996" s="3">
        <v>33</v>
      </c>
      <c r="U996" s="3">
        <v>57</v>
      </c>
      <c r="V996" s="3">
        <v>81</v>
      </c>
      <c r="W996" s="3"/>
      <c r="X996" s="3">
        <v>40</v>
      </c>
      <c r="Y996" s="3">
        <v>29.99</v>
      </c>
      <c r="Z996" s="3">
        <v>29.99</v>
      </c>
      <c r="AA996" s="3">
        <v>0</v>
      </c>
      <c r="AB996" s="3" t="s">
        <v>1713</v>
      </c>
      <c r="AC996" s="3">
        <v>34</v>
      </c>
      <c r="AD996" s="3">
        <v>29.99</v>
      </c>
      <c r="AE996" s="3">
        <v>0</v>
      </c>
      <c r="AF996" s="3">
        <v>0</v>
      </c>
      <c r="AG996" s="3">
        <v>0</v>
      </c>
      <c r="AH996" s="3">
        <v>3</v>
      </c>
      <c r="AI996" s="3" t="s">
        <v>2160</v>
      </c>
      <c r="AJ996" s="3" t="s">
        <v>1715</v>
      </c>
    </row>
    <row r="997" spans="1:36">
      <c r="A997" s="4">
        <v>43277</v>
      </c>
      <c r="B997" s="3" t="s">
        <v>4836</v>
      </c>
      <c r="C997" s="3" t="s">
        <v>4837</v>
      </c>
      <c r="D997" s="3" t="s">
        <v>4838</v>
      </c>
      <c r="E997" s="3" t="s">
        <v>4839</v>
      </c>
      <c r="F997" s="3" t="s">
        <v>1710</v>
      </c>
      <c r="G997" s="3">
        <v>12</v>
      </c>
      <c r="H997" s="3">
        <v>0</v>
      </c>
      <c r="I997" s="3">
        <v>12</v>
      </c>
      <c r="J997" s="3">
        <v>0</v>
      </c>
      <c r="K997" s="3">
        <v>0</v>
      </c>
      <c r="L997" s="3">
        <v>0</v>
      </c>
      <c r="M997" s="3">
        <v>0</v>
      </c>
      <c r="N997" s="3" t="s">
        <v>1711</v>
      </c>
      <c r="O997" s="3">
        <v>0</v>
      </c>
      <c r="P997" s="3">
        <v>0</v>
      </c>
      <c r="Q997" s="3">
        <v>0</v>
      </c>
      <c r="R997" s="3">
        <v>0</v>
      </c>
      <c r="S997" s="3">
        <v>6</v>
      </c>
      <c r="T997" s="3">
        <v>17</v>
      </c>
      <c r="U997" s="3">
        <v>32</v>
      </c>
      <c r="V997" s="3">
        <v>46</v>
      </c>
      <c r="W997" s="3"/>
      <c r="X997" s="3">
        <v>38</v>
      </c>
      <c r="Y997" s="3">
        <v>28.58</v>
      </c>
      <c r="Z997" s="3">
        <v>28</v>
      </c>
      <c r="AA997" s="3">
        <v>0</v>
      </c>
      <c r="AB997" s="3" t="s">
        <v>1713</v>
      </c>
      <c r="AC997" s="3">
        <v>7</v>
      </c>
      <c r="AD997" s="3">
        <v>28.58</v>
      </c>
      <c r="AE997" s="3">
        <v>0</v>
      </c>
      <c r="AF997" s="3">
        <v>0</v>
      </c>
      <c r="AG997" s="3">
        <v>0</v>
      </c>
      <c r="AH997" s="3">
        <v>3.47169811320754</v>
      </c>
      <c r="AI997" s="3" t="s">
        <v>2128</v>
      </c>
      <c r="AJ997" s="3" t="s">
        <v>1715</v>
      </c>
    </row>
    <row r="998" spans="1:36">
      <c r="A998" s="4">
        <v>43277</v>
      </c>
      <c r="B998" s="3" t="s">
        <v>4840</v>
      </c>
      <c r="C998" s="3" t="s">
        <v>4841</v>
      </c>
      <c r="D998" s="3" t="s">
        <v>4842</v>
      </c>
      <c r="E998" s="3" t="s">
        <v>1160</v>
      </c>
      <c r="F998" s="3" t="s">
        <v>1710</v>
      </c>
      <c r="G998" s="3">
        <v>15</v>
      </c>
      <c r="H998" s="3">
        <v>0</v>
      </c>
      <c r="I998" s="3">
        <v>15</v>
      </c>
      <c r="J998" s="3">
        <v>0</v>
      </c>
      <c r="K998" s="3">
        <v>0</v>
      </c>
      <c r="L998" s="3">
        <v>0</v>
      </c>
      <c r="M998" s="3">
        <v>0</v>
      </c>
      <c r="N998" s="3" t="s">
        <v>1711</v>
      </c>
      <c r="O998" s="3">
        <v>0</v>
      </c>
      <c r="P998" s="3">
        <v>0</v>
      </c>
      <c r="Q998" s="3">
        <v>0</v>
      </c>
      <c r="R998" s="3">
        <v>0</v>
      </c>
      <c r="S998" s="3">
        <v>0</v>
      </c>
      <c r="T998" s="3">
        <v>4</v>
      </c>
      <c r="U998" s="3">
        <v>5</v>
      </c>
      <c r="V998" s="3">
        <v>5</v>
      </c>
      <c r="W998" s="3"/>
      <c r="X998" s="3">
        <v>21.99</v>
      </c>
      <c r="Y998" s="3">
        <v>21.99</v>
      </c>
      <c r="Z998" s="3">
        <v>21.99</v>
      </c>
      <c r="AA998" s="3">
        <v>0</v>
      </c>
      <c r="AB998" s="3" t="s">
        <v>1713</v>
      </c>
      <c r="AC998" s="3">
        <v>15</v>
      </c>
      <c r="AD998" s="3">
        <v>21.99</v>
      </c>
      <c r="AE998" s="3">
        <v>0</v>
      </c>
      <c r="AF998" s="3">
        <v>0</v>
      </c>
      <c r="AG998" s="3">
        <v>0</v>
      </c>
      <c r="AH998" s="3">
        <v>0.428571428571428</v>
      </c>
      <c r="AI998" s="3" t="s">
        <v>1890</v>
      </c>
      <c r="AJ998" s="3" t="s">
        <v>1715</v>
      </c>
    </row>
    <row r="999" spans="1:36">
      <c r="A999" s="4">
        <v>43277</v>
      </c>
      <c r="B999" s="3" t="s">
        <v>4843</v>
      </c>
      <c r="C999" s="3" t="s">
        <v>4844</v>
      </c>
      <c r="D999" s="3" t="s">
        <v>4845</v>
      </c>
      <c r="E999" s="3" t="s">
        <v>1815</v>
      </c>
      <c r="F999" s="3" t="s">
        <v>1710</v>
      </c>
      <c r="G999" s="3">
        <v>3</v>
      </c>
      <c r="H999" s="3">
        <v>0</v>
      </c>
      <c r="I999" s="3">
        <v>0</v>
      </c>
      <c r="J999" s="3">
        <v>3</v>
      </c>
      <c r="K999" s="3">
        <v>0</v>
      </c>
      <c r="L999" s="3">
        <v>0</v>
      </c>
      <c r="M999" s="3">
        <v>0</v>
      </c>
      <c r="N999" s="3" t="s">
        <v>1711</v>
      </c>
      <c r="O999" s="3">
        <v>3</v>
      </c>
      <c r="P999" s="3">
        <v>2.61</v>
      </c>
      <c r="Q999" s="3">
        <v>0</v>
      </c>
      <c r="R999" s="3">
        <v>0</v>
      </c>
      <c r="S999" s="3">
        <v>0</v>
      </c>
      <c r="T999" s="3">
        <v>0</v>
      </c>
      <c r="U999" s="3">
        <v>0</v>
      </c>
      <c r="V999" s="3">
        <v>0</v>
      </c>
      <c r="W999" s="3" t="s">
        <v>1720</v>
      </c>
      <c r="X999" s="3">
        <v>15.99</v>
      </c>
      <c r="Y999" s="3">
        <v>15.99</v>
      </c>
      <c r="Z999" s="3">
        <v>15.99</v>
      </c>
      <c r="AA999" s="3">
        <v>0</v>
      </c>
      <c r="AB999" s="3" t="s">
        <v>1721</v>
      </c>
      <c r="AC999" s="3">
        <v>3</v>
      </c>
      <c r="AD999" s="3">
        <v>15.99</v>
      </c>
      <c r="AE999" s="3">
        <v>0</v>
      </c>
      <c r="AF999" s="3">
        <v>0</v>
      </c>
      <c r="AG999" s="3">
        <v>0</v>
      </c>
      <c r="AH999" s="3">
        <v>0</v>
      </c>
      <c r="AI999" s="3" t="s">
        <v>4846</v>
      </c>
      <c r="AJ999" s="3" t="s">
        <v>1715</v>
      </c>
    </row>
    <row r="1000" spans="1:36">
      <c r="A1000" s="4">
        <v>43277</v>
      </c>
      <c r="B1000" s="3" t="s">
        <v>4847</v>
      </c>
      <c r="C1000" s="3" t="s">
        <v>4848</v>
      </c>
      <c r="D1000" s="3" t="s">
        <v>4849</v>
      </c>
      <c r="E1000" s="3" t="s">
        <v>4850</v>
      </c>
      <c r="F1000" s="3" t="s">
        <v>1710</v>
      </c>
      <c r="G1000" s="3">
        <v>10</v>
      </c>
      <c r="H1000" s="3">
        <v>0</v>
      </c>
      <c r="I1000" s="3">
        <v>0</v>
      </c>
      <c r="J1000" s="3">
        <v>0</v>
      </c>
      <c r="K1000" s="3">
        <v>10</v>
      </c>
      <c r="L1000" s="3">
        <v>0</v>
      </c>
      <c r="M1000" s="3">
        <v>0</v>
      </c>
      <c r="N1000" s="3" t="s">
        <v>1711</v>
      </c>
      <c r="O1000" s="3">
        <v>10</v>
      </c>
      <c r="P1000" s="3">
        <v>0.07</v>
      </c>
      <c r="Q1000" s="3">
        <v>0</v>
      </c>
      <c r="R1000" s="3">
        <v>0</v>
      </c>
      <c r="S1000" s="3">
        <v>0</v>
      </c>
      <c r="T1000" s="3">
        <v>0</v>
      </c>
      <c r="U1000" s="3">
        <v>0</v>
      </c>
      <c r="V1000" s="3">
        <v>0</v>
      </c>
      <c r="W1000" s="3" t="s">
        <v>1720</v>
      </c>
      <c r="X1000" s="3">
        <v>18.99</v>
      </c>
      <c r="Y1000" s="3">
        <v>18.99</v>
      </c>
      <c r="Z1000" s="3">
        <v>18.99</v>
      </c>
      <c r="AA1000" s="3">
        <v>0</v>
      </c>
      <c r="AB1000" s="3" t="s">
        <v>1732</v>
      </c>
      <c r="AC1000" s="3">
        <v>0</v>
      </c>
      <c r="AD1000" s="3">
        <v>15.19</v>
      </c>
      <c r="AE1000" s="3">
        <v>63</v>
      </c>
      <c r="AF1000" s="3">
        <v>0</v>
      </c>
      <c r="AG1000" s="3">
        <v>5.148446</v>
      </c>
      <c r="AH1000" s="3">
        <v>0</v>
      </c>
      <c r="AI1000" s="3" t="s">
        <v>1782</v>
      </c>
      <c r="AJ1000" s="3" t="s">
        <v>1715</v>
      </c>
    </row>
    <row r="1001" spans="1:36">
      <c r="A1001" s="4">
        <v>43277</v>
      </c>
      <c r="B1001" s="3" t="s">
        <v>1627</v>
      </c>
      <c r="C1001" s="3" t="s">
        <v>1628</v>
      </c>
      <c r="D1001" s="3" t="s">
        <v>1629</v>
      </c>
      <c r="E1001" s="3" t="s">
        <v>1630</v>
      </c>
      <c r="F1001" s="3" t="s">
        <v>1710</v>
      </c>
      <c r="G1001" s="3">
        <v>14</v>
      </c>
      <c r="H1001" s="3">
        <v>0</v>
      </c>
      <c r="I1001" s="3">
        <v>14</v>
      </c>
      <c r="J1001" s="3">
        <v>0</v>
      </c>
      <c r="K1001" s="3">
        <v>0</v>
      </c>
      <c r="L1001" s="3">
        <v>0</v>
      </c>
      <c r="M1001" s="3">
        <v>0</v>
      </c>
      <c r="N1001" s="3" t="s">
        <v>1711</v>
      </c>
      <c r="O1001" s="3">
        <v>0</v>
      </c>
      <c r="P1001" s="3">
        <v>0</v>
      </c>
      <c r="Q1001" s="3">
        <v>0</v>
      </c>
      <c r="R1001" s="3">
        <v>0</v>
      </c>
      <c r="S1001" s="3">
        <v>21</v>
      </c>
      <c r="T1001" s="3">
        <v>120</v>
      </c>
      <c r="U1001" s="3">
        <v>193</v>
      </c>
      <c r="V1001" s="3">
        <v>265</v>
      </c>
      <c r="W1001" s="3"/>
      <c r="X1001" s="3">
        <v>40</v>
      </c>
      <c r="Y1001" s="3">
        <v>29.99</v>
      </c>
      <c r="Z1001" s="3">
        <v>29.99</v>
      </c>
      <c r="AA1001" s="3">
        <v>0</v>
      </c>
      <c r="AB1001" s="3" t="s">
        <v>1713</v>
      </c>
      <c r="AC1001" s="3">
        <v>1</v>
      </c>
      <c r="AD1001" s="3">
        <v>29.99</v>
      </c>
      <c r="AE1001" s="3">
        <v>0</v>
      </c>
      <c r="AF1001" s="3">
        <v>0</v>
      </c>
      <c r="AG1001" s="3">
        <v>0</v>
      </c>
      <c r="AH1001" s="3">
        <v>5.49222797927461</v>
      </c>
      <c r="AI1001" s="3" t="s">
        <v>2160</v>
      </c>
      <c r="AJ1001" s="3" t="s">
        <v>1715</v>
      </c>
    </row>
    <row r="1002" spans="1:36">
      <c r="A1002" s="4">
        <v>43277</v>
      </c>
      <c r="B1002" s="3" t="s">
        <v>164</v>
      </c>
      <c r="C1002" s="3" t="s">
        <v>165</v>
      </c>
      <c r="D1002" s="3" t="s">
        <v>166</v>
      </c>
      <c r="E1002" s="3" t="s">
        <v>167</v>
      </c>
      <c r="F1002" s="3" t="s">
        <v>1710</v>
      </c>
      <c r="G1002" s="3">
        <v>8</v>
      </c>
      <c r="H1002" s="3">
        <v>0</v>
      </c>
      <c r="I1002" s="3">
        <v>8</v>
      </c>
      <c r="J1002" s="3">
        <v>0</v>
      </c>
      <c r="K1002" s="3">
        <v>0</v>
      </c>
      <c r="L1002" s="3">
        <v>0</v>
      </c>
      <c r="M1002" s="3">
        <v>0</v>
      </c>
      <c r="N1002" s="3" t="s">
        <v>1711</v>
      </c>
      <c r="O1002" s="3">
        <v>0</v>
      </c>
      <c r="P1002" s="3">
        <v>0</v>
      </c>
      <c r="Q1002" s="3">
        <v>0</v>
      </c>
      <c r="R1002" s="3">
        <v>0</v>
      </c>
      <c r="S1002" s="3">
        <v>6</v>
      </c>
      <c r="T1002" s="3">
        <v>22</v>
      </c>
      <c r="U1002" s="3">
        <v>39</v>
      </c>
      <c r="V1002" s="3">
        <v>50</v>
      </c>
      <c r="W1002" s="3"/>
      <c r="X1002" s="3">
        <v>28.99</v>
      </c>
      <c r="Y1002" s="3">
        <v>14.99</v>
      </c>
      <c r="Z1002" s="3">
        <v>14.99</v>
      </c>
      <c r="AA1002" s="3">
        <v>0</v>
      </c>
      <c r="AB1002" s="3" t="s">
        <v>1713</v>
      </c>
      <c r="AC1002" s="3">
        <v>12</v>
      </c>
      <c r="AD1002" s="3">
        <v>14.99</v>
      </c>
      <c r="AE1002" s="3">
        <v>0</v>
      </c>
      <c r="AF1002" s="3">
        <v>0</v>
      </c>
      <c r="AG1002" s="3">
        <v>0</v>
      </c>
      <c r="AH1002" s="3">
        <v>4</v>
      </c>
      <c r="AI1002" s="3" t="s">
        <v>4851</v>
      </c>
      <c r="AJ1002" s="3" t="s">
        <v>1715</v>
      </c>
    </row>
    <row r="1003" spans="1:36">
      <c r="A1003" s="4">
        <v>43277</v>
      </c>
      <c r="B1003" s="3" t="s">
        <v>1353</v>
      </c>
      <c r="C1003" s="3" t="s">
        <v>1354</v>
      </c>
      <c r="D1003" s="3" t="s">
        <v>1355</v>
      </c>
      <c r="E1003" s="3" t="s">
        <v>1356</v>
      </c>
      <c r="F1003" s="3" t="s">
        <v>1710</v>
      </c>
      <c r="G1003" s="3">
        <v>5</v>
      </c>
      <c r="H1003" s="3">
        <v>0</v>
      </c>
      <c r="I1003" s="3">
        <v>5</v>
      </c>
      <c r="J1003" s="3">
        <v>0</v>
      </c>
      <c r="K1003" s="3">
        <v>0</v>
      </c>
      <c r="L1003" s="3">
        <v>0</v>
      </c>
      <c r="M1003" s="3">
        <v>0</v>
      </c>
      <c r="N1003" s="3" t="s">
        <v>1711</v>
      </c>
      <c r="O1003" s="3">
        <v>0</v>
      </c>
      <c r="P1003" s="3">
        <v>0</v>
      </c>
      <c r="Q1003" s="3">
        <v>0</v>
      </c>
      <c r="R1003" s="3">
        <v>0</v>
      </c>
      <c r="S1003" s="3">
        <v>16</v>
      </c>
      <c r="T1003" s="3">
        <v>41</v>
      </c>
      <c r="U1003" s="3">
        <v>57</v>
      </c>
      <c r="V1003" s="3">
        <v>57</v>
      </c>
      <c r="W1003" s="3"/>
      <c r="X1003" s="3">
        <v>19.99</v>
      </c>
      <c r="Y1003" s="3">
        <v>19.99</v>
      </c>
      <c r="Z1003" s="3">
        <v>19.99</v>
      </c>
      <c r="AA1003" s="3">
        <v>0</v>
      </c>
      <c r="AB1003" s="3" t="s">
        <v>1713</v>
      </c>
      <c r="AC1003" s="3">
        <v>11</v>
      </c>
      <c r="AD1003" s="3">
        <v>19.99</v>
      </c>
      <c r="AE1003" s="3">
        <v>0</v>
      </c>
      <c r="AF1003" s="3">
        <v>0</v>
      </c>
      <c r="AG1003" s="3">
        <v>0</v>
      </c>
      <c r="AH1003" s="3">
        <v>28.5</v>
      </c>
      <c r="AI1003" s="3" t="s">
        <v>2204</v>
      </c>
      <c r="AJ1003" s="3" t="s">
        <v>1715</v>
      </c>
    </row>
    <row r="1004" spans="1:36">
      <c r="A1004" s="4">
        <v>43277</v>
      </c>
      <c r="B1004" s="3" t="s">
        <v>811</v>
      </c>
      <c r="C1004" s="3" t="s">
        <v>812</v>
      </c>
      <c r="D1004" s="3" t="s">
        <v>813</v>
      </c>
      <c r="E1004" s="3" t="s">
        <v>814</v>
      </c>
      <c r="F1004" s="3" t="s">
        <v>1710</v>
      </c>
      <c r="G1004" s="3">
        <v>38</v>
      </c>
      <c r="H1004" s="3">
        <v>0</v>
      </c>
      <c r="I1004" s="3">
        <v>38</v>
      </c>
      <c r="J1004" s="3">
        <v>0</v>
      </c>
      <c r="K1004" s="3">
        <v>0</v>
      </c>
      <c r="L1004" s="3">
        <v>0</v>
      </c>
      <c r="M1004" s="3">
        <v>0</v>
      </c>
      <c r="N1004" s="3" t="s">
        <v>1711</v>
      </c>
      <c r="O1004" s="3">
        <v>0</v>
      </c>
      <c r="P1004" s="3">
        <v>0</v>
      </c>
      <c r="Q1004" s="3">
        <v>0</v>
      </c>
      <c r="R1004" s="3">
        <v>0</v>
      </c>
      <c r="S1004" s="3">
        <v>10</v>
      </c>
      <c r="T1004" s="3">
        <v>27</v>
      </c>
      <c r="U1004" s="3">
        <v>48</v>
      </c>
      <c r="V1004" s="3">
        <v>59</v>
      </c>
      <c r="W1004" s="3"/>
      <c r="X1004" s="3">
        <v>38</v>
      </c>
      <c r="Y1004" s="3">
        <v>28.58</v>
      </c>
      <c r="Z1004" s="3">
        <v>28.58</v>
      </c>
      <c r="AA1004" s="3">
        <v>0</v>
      </c>
      <c r="AB1004" s="3" t="s">
        <v>1713</v>
      </c>
      <c r="AC1004" s="3">
        <v>44</v>
      </c>
      <c r="AD1004" s="3">
        <v>28.58</v>
      </c>
      <c r="AE1004" s="3">
        <v>0</v>
      </c>
      <c r="AF1004" s="3">
        <v>0</v>
      </c>
      <c r="AG1004" s="3">
        <v>0</v>
      </c>
      <c r="AH1004" s="3">
        <v>2.71264367816091</v>
      </c>
      <c r="AI1004" s="3" t="s">
        <v>2270</v>
      </c>
      <c r="AJ1004" s="3" t="s">
        <v>1715</v>
      </c>
    </row>
    <row r="1005" spans="1:36">
      <c r="A1005" s="4">
        <v>43277</v>
      </c>
      <c r="B1005" s="3" t="s">
        <v>4852</v>
      </c>
      <c r="C1005" s="3" t="s">
        <v>4853</v>
      </c>
      <c r="D1005" s="3" t="s">
        <v>4854</v>
      </c>
      <c r="E1005" s="3" t="s">
        <v>4855</v>
      </c>
      <c r="F1005" s="3" t="s">
        <v>1710</v>
      </c>
      <c r="G1005" s="3">
        <v>1</v>
      </c>
      <c r="H1005" s="3">
        <v>0</v>
      </c>
      <c r="I1005" s="3">
        <v>0</v>
      </c>
      <c r="J1005" s="3">
        <v>1</v>
      </c>
      <c r="K1005" s="3">
        <v>0</v>
      </c>
      <c r="L1005" s="3">
        <v>0</v>
      </c>
      <c r="M1005" s="3">
        <v>0</v>
      </c>
      <c r="N1005" s="3" t="s">
        <v>1711</v>
      </c>
      <c r="O1005" s="3">
        <v>1</v>
      </c>
      <c r="P1005" s="3">
        <v>0.92</v>
      </c>
      <c r="Q1005" s="3">
        <v>0</v>
      </c>
      <c r="R1005" s="3">
        <v>0</v>
      </c>
      <c r="S1005" s="3">
        <v>0</v>
      </c>
      <c r="T1005" s="3">
        <v>0</v>
      </c>
      <c r="U1005" s="3">
        <v>1</v>
      </c>
      <c r="V1005" s="3">
        <v>1</v>
      </c>
      <c r="W1005" s="3" t="s">
        <v>1720</v>
      </c>
      <c r="X1005" s="3">
        <v>21.99</v>
      </c>
      <c r="Y1005" s="3">
        <v>21.99</v>
      </c>
      <c r="Z1005" s="3">
        <v>21.99</v>
      </c>
      <c r="AA1005" s="3">
        <v>0</v>
      </c>
      <c r="AB1005" s="3" t="s">
        <v>1721</v>
      </c>
      <c r="AC1005" s="3">
        <v>1</v>
      </c>
      <c r="AD1005" s="3">
        <v>21.99</v>
      </c>
      <c r="AE1005" s="3">
        <v>0</v>
      </c>
      <c r="AF1005" s="3">
        <v>0</v>
      </c>
      <c r="AG1005" s="3">
        <v>0</v>
      </c>
      <c r="AH1005" s="3">
        <v>0.666666666666666</v>
      </c>
      <c r="AI1005" s="3" t="s">
        <v>1744</v>
      </c>
      <c r="AJ1005" s="3" t="s">
        <v>1715</v>
      </c>
    </row>
    <row r="1006" spans="1:36">
      <c r="A1006" s="4">
        <v>43277</v>
      </c>
      <c r="B1006" s="3" t="s">
        <v>4856</v>
      </c>
      <c r="C1006" s="3" t="s">
        <v>4857</v>
      </c>
      <c r="D1006" s="3" t="s">
        <v>4858</v>
      </c>
      <c r="E1006" s="3" t="s">
        <v>4859</v>
      </c>
      <c r="F1006" s="3" t="s">
        <v>1710</v>
      </c>
      <c r="G1006" s="3">
        <v>5</v>
      </c>
      <c r="H1006" s="3">
        <v>0</v>
      </c>
      <c r="I1006" s="3">
        <v>0</v>
      </c>
      <c r="J1006" s="3">
        <v>0</v>
      </c>
      <c r="K1006" s="3">
        <v>5</v>
      </c>
      <c r="L1006" s="3">
        <v>0</v>
      </c>
      <c r="M1006" s="3">
        <v>0</v>
      </c>
      <c r="N1006" s="3" t="s">
        <v>1711</v>
      </c>
      <c r="O1006" s="3">
        <v>5</v>
      </c>
      <c r="P1006" s="3">
        <v>2.43</v>
      </c>
      <c r="Q1006" s="3">
        <v>0</v>
      </c>
      <c r="R1006" s="3">
        <v>0</v>
      </c>
      <c r="S1006" s="3">
        <v>0</v>
      </c>
      <c r="T1006" s="3">
        <v>0</v>
      </c>
      <c r="U1006" s="3">
        <v>1</v>
      </c>
      <c r="V1006" s="3">
        <v>3</v>
      </c>
      <c r="W1006" s="3" t="s">
        <v>1720</v>
      </c>
      <c r="X1006" s="3">
        <v>16.99</v>
      </c>
      <c r="Y1006" s="3">
        <v>16.99</v>
      </c>
      <c r="Z1006" s="3">
        <v>16.99</v>
      </c>
      <c r="AA1006" s="3">
        <v>0</v>
      </c>
      <c r="AB1006" s="3" t="s">
        <v>1721</v>
      </c>
      <c r="AC1006" s="3">
        <v>0</v>
      </c>
      <c r="AD1006" s="3">
        <v>13.59</v>
      </c>
      <c r="AE1006" s="3">
        <v>245</v>
      </c>
      <c r="AF1006" s="3">
        <v>0</v>
      </c>
      <c r="AG1006" s="3">
        <v>18.809415</v>
      </c>
      <c r="AH1006" s="3">
        <v>0.5</v>
      </c>
      <c r="AI1006" s="3" t="s">
        <v>4860</v>
      </c>
      <c r="AJ1006" s="3" t="s">
        <v>1783</v>
      </c>
    </row>
    <row r="1007" spans="1:36">
      <c r="A1007" s="4">
        <v>43277</v>
      </c>
      <c r="B1007" s="3" t="s">
        <v>4861</v>
      </c>
      <c r="C1007" s="3" t="s">
        <v>4862</v>
      </c>
      <c r="D1007" s="3" t="s">
        <v>4863</v>
      </c>
      <c r="E1007" s="3" t="s">
        <v>4864</v>
      </c>
      <c r="F1007" s="3" t="s">
        <v>1710</v>
      </c>
      <c r="G1007" s="3">
        <v>1</v>
      </c>
      <c r="H1007" s="3">
        <v>0</v>
      </c>
      <c r="I1007" s="3">
        <v>1</v>
      </c>
      <c r="J1007" s="3">
        <v>0</v>
      </c>
      <c r="K1007" s="3">
        <v>0</v>
      </c>
      <c r="L1007" s="3">
        <v>0</v>
      </c>
      <c r="M1007" s="3">
        <v>0</v>
      </c>
      <c r="N1007" s="3" t="s">
        <v>1711</v>
      </c>
      <c r="O1007" s="3">
        <v>0</v>
      </c>
      <c r="P1007" s="3">
        <v>0</v>
      </c>
      <c r="Q1007" s="3">
        <v>0</v>
      </c>
      <c r="R1007" s="3">
        <v>0</v>
      </c>
      <c r="S1007" s="3">
        <v>0</v>
      </c>
      <c r="T1007" s="3">
        <v>0</v>
      </c>
      <c r="U1007" s="3">
        <v>0</v>
      </c>
      <c r="V1007" s="3">
        <v>1</v>
      </c>
      <c r="W1007" s="3" t="s">
        <v>1720</v>
      </c>
      <c r="X1007" s="3">
        <v>16.99</v>
      </c>
      <c r="Y1007" s="3">
        <v>16.99</v>
      </c>
      <c r="Z1007" s="3">
        <v>16.99</v>
      </c>
      <c r="AA1007" s="3">
        <v>0</v>
      </c>
      <c r="AB1007" s="3" t="s">
        <v>1721</v>
      </c>
      <c r="AC1007" s="3">
        <v>1</v>
      </c>
      <c r="AD1007" s="3">
        <v>16.99</v>
      </c>
      <c r="AE1007" s="3">
        <v>0</v>
      </c>
      <c r="AF1007" s="3">
        <v>0</v>
      </c>
      <c r="AG1007" s="3">
        <v>0</v>
      </c>
      <c r="AH1007" s="3">
        <v>2</v>
      </c>
      <c r="AI1007" s="3" t="s">
        <v>3103</v>
      </c>
      <c r="AJ1007" s="3" t="s">
        <v>1715</v>
      </c>
    </row>
    <row r="1008" spans="1:36">
      <c r="A1008" s="4">
        <v>43277</v>
      </c>
      <c r="B1008" s="3" t="s">
        <v>4865</v>
      </c>
      <c r="C1008" s="3" t="s">
        <v>4866</v>
      </c>
      <c r="D1008" s="3" t="s">
        <v>4867</v>
      </c>
      <c r="E1008" s="3" t="s">
        <v>4868</v>
      </c>
      <c r="F1008" s="3" t="s">
        <v>1710</v>
      </c>
      <c r="G1008" s="3">
        <v>62</v>
      </c>
      <c r="H1008" s="3">
        <v>0</v>
      </c>
      <c r="I1008" s="3">
        <v>3</v>
      </c>
      <c r="J1008" s="3">
        <v>8</v>
      </c>
      <c r="K1008" s="3">
        <v>51</v>
      </c>
      <c r="L1008" s="3">
        <v>0</v>
      </c>
      <c r="M1008" s="3">
        <v>0</v>
      </c>
      <c r="N1008" s="3" t="s">
        <v>1711</v>
      </c>
      <c r="O1008" s="3">
        <v>56</v>
      </c>
      <c r="P1008" s="3">
        <v>33.53</v>
      </c>
      <c r="Q1008" s="3">
        <v>0</v>
      </c>
      <c r="R1008" s="3">
        <v>0</v>
      </c>
      <c r="S1008" s="3">
        <v>0</v>
      </c>
      <c r="T1008" s="3">
        <v>1</v>
      </c>
      <c r="U1008" s="3">
        <v>1</v>
      </c>
      <c r="V1008" s="3">
        <v>8</v>
      </c>
      <c r="W1008" s="3"/>
      <c r="X1008" s="3">
        <v>16.99</v>
      </c>
      <c r="Y1008" s="3">
        <v>16.99</v>
      </c>
      <c r="Z1008" s="3">
        <v>16</v>
      </c>
      <c r="AA1008" s="3">
        <v>0</v>
      </c>
      <c r="AB1008" s="3" t="s">
        <v>1713</v>
      </c>
      <c r="AC1008" s="3">
        <v>62</v>
      </c>
      <c r="AD1008" s="3">
        <v>16.99</v>
      </c>
      <c r="AE1008" s="3">
        <v>0</v>
      </c>
      <c r="AF1008" s="3">
        <v>0</v>
      </c>
      <c r="AG1008" s="3">
        <v>0</v>
      </c>
      <c r="AH1008" s="3">
        <v>0.0557491289198606</v>
      </c>
      <c r="AI1008" s="3" t="s">
        <v>1905</v>
      </c>
      <c r="AJ1008" s="3" t="s">
        <v>1715</v>
      </c>
    </row>
    <row r="1009" spans="1:36">
      <c r="A1009" s="4">
        <v>43277</v>
      </c>
      <c r="B1009" s="3" t="s">
        <v>4869</v>
      </c>
      <c r="C1009" s="3" t="s">
        <v>4870</v>
      </c>
      <c r="D1009" s="3" t="s">
        <v>4871</v>
      </c>
      <c r="E1009" s="3" t="s">
        <v>3928</v>
      </c>
      <c r="F1009" s="3" t="s">
        <v>1710</v>
      </c>
      <c r="G1009" s="3">
        <v>14</v>
      </c>
      <c r="H1009" s="3">
        <v>0</v>
      </c>
      <c r="I1009" s="3">
        <v>0</v>
      </c>
      <c r="J1009" s="3">
        <v>1</v>
      </c>
      <c r="K1009" s="3">
        <v>13</v>
      </c>
      <c r="L1009" s="3">
        <v>0</v>
      </c>
      <c r="M1009" s="3">
        <v>0</v>
      </c>
      <c r="N1009" s="3" t="s">
        <v>1711</v>
      </c>
      <c r="O1009" s="3">
        <v>14</v>
      </c>
      <c r="P1009" s="3">
        <v>12.76</v>
      </c>
      <c r="Q1009" s="3">
        <v>0</v>
      </c>
      <c r="R1009" s="3">
        <v>0</v>
      </c>
      <c r="S1009" s="3">
        <v>0</v>
      </c>
      <c r="T1009" s="3">
        <v>0</v>
      </c>
      <c r="U1009" s="3">
        <v>0</v>
      </c>
      <c r="V1009" s="3">
        <v>0</v>
      </c>
      <c r="W1009" s="3" t="s">
        <v>1720</v>
      </c>
      <c r="X1009" s="3">
        <v>12.99</v>
      </c>
      <c r="Y1009" s="3">
        <v>12.99</v>
      </c>
      <c r="Z1009" s="3">
        <v>12.99</v>
      </c>
      <c r="AA1009" s="3">
        <v>0</v>
      </c>
      <c r="AB1009" s="3" t="s">
        <v>1721</v>
      </c>
      <c r="AC1009" s="3">
        <v>0</v>
      </c>
      <c r="AD1009" s="3">
        <v>11.5</v>
      </c>
      <c r="AE1009" s="3">
        <v>168</v>
      </c>
      <c r="AF1009" s="3">
        <v>0</v>
      </c>
      <c r="AG1009" s="3">
        <v>224.658719</v>
      </c>
      <c r="AH1009" s="3">
        <v>0</v>
      </c>
      <c r="AI1009" s="3" t="s">
        <v>2300</v>
      </c>
      <c r="AJ1009" s="3" t="s">
        <v>1783</v>
      </c>
    </row>
    <row r="1010" spans="1:36">
      <c r="A1010" s="4">
        <v>43277</v>
      </c>
      <c r="B1010" s="3" t="s">
        <v>4872</v>
      </c>
      <c r="C1010" s="3" t="s">
        <v>4873</v>
      </c>
      <c r="D1010" s="3" t="s">
        <v>4874</v>
      </c>
      <c r="E1010" s="3" t="s">
        <v>898</v>
      </c>
      <c r="F1010" s="3" t="s">
        <v>1710</v>
      </c>
      <c r="G1010" s="3">
        <v>10</v>
      </c>
      <c r="H1010" s="3">
        <v>0</v>
      </c>
      <c r="I1010" s="3">
        <v>10</v>
      </c>
      <c r="J1010" s="3">
        <v>0</v>
      </c>
      <c r="K1010" s="3">
        <v>0</v>
      </c>
      <c r="L1010" s="3">
        <v>0</v>
      </c>
      <c r="M1010" s="3">
        <v>0</v>
      </c>
      <c r="N1010" s="3" t="s">
        <v>1711</v>
      </c>
      <c r="O1010" s="3">
        <v>0</v>
      </c>
      <c r="P1010" s="3">
        <v>0</v>
      </c>
      <c r="Q1010" s="3">
        <v>0</v>
      </c>
      <c r="R1010" s="3">
        <v>0</v>
      </c>
      <c r="S1010" s="3">
        <v>0</v>
      </c>
      <c r="T1010" s="3">
        <v>0</v>
      </c>
      <c r="U1010" s="3">
        <v>0</v>
      </c>
      <c r="V1010" s="3">
        <v>0</v>
      </c>
      <c r="W1010" s="3" t="s">
        <v>1720</v>
      </c>
      <c r="X1010" s="3">
        <v>12.99</v>
      </c>
      <c r="Y1010" s="3">
        <v>12.99</v>
      </c>
      <c r="Z1010" s="3">
        <v>12.99</v>
      </c>
      <c r="AA1010" s="3">
        <v>0</v>
      </c>
      <c r="AB1010" s="3" t="s">
        <v>1721</v>
      </c>
      <c r="AC1010" s="3">
        <v>0</v>
      </c>
      <c r="AD1010" s="3">
        <v>12.99</v>
      </c>
      <c r="AE1010" s="3">
        <v>63</v>
      </c>
      <c r="AF1010" s="3">
        <v>0</v>
      </c>
      <c r="AG1010" s="3">
        <v>81.229254</v>
      </c>
      <c r="AH1010" s="3">
        <v>0</v>
      </c>
      <c r="AI1010" s="3" t="s">
        <v>2022</v>
      </c>
      <c r="AJ1010" s="3" t="s">
        <v>1715</v>
      </c>
    </row>
    <row r="1011" spans="1:36">
      <c r="A1011" s="4">
        <v>43277</v>
      </c>
      <c r="B1011" s="3" t="s">
        <v>4875</v>
      </c>
      <c r="C1011" s="3" t="s">
        <v>4876</v>
      </c>
      <c r="D1011" s="3" t="s">
        <v>4877</v>
      </c>
      <c r="E1011" s="3" t="s">
        <v>1810</v>
      </c>
      <c r="F1011" s="3" t="s">
        <v>1710</v>
      </c>
      <c r="G1011" s="3">
        <v>2</v>
      </c>
      <c r="H1011" s="3">
        <v>0</v>
      </c>
      <c r="I1011" s="3">
        <v>0</v>
      </c>
      <c r="J1011" s="3">
        <v>0</v>
      </c>
      <c r="K1011" s="3">
        <v>2</v>
      </c>
      <c r="L1011" s="3">
        <v>0</v>
      </c>
      <c r="M1011" s="3">
        <v>0</v>
      </c>
      <c r="N1011" s="3" t="s">
        <v>1711</v>
      </c>
      <c r="O1011" s="3">
        <v>2</v>
      </c>
      <c r="P1011" s="3">
        <v>1.83</v>
      </c>
      <c r="Q1011" s="3">
        <v>0</v>
      </c>
      <c r="R1011" s="3">
        <v>0</v>
      </c>
      <c r="S1011" s="3">
        <v>0</v>
      </c>
      <c r="T1011" s="3">
        <v>0</v>
      </c>
      <c r="U1011" s="3">
        <v>0</v>
      </c>
      <c r="V1011" s="3">
        <v>0</v>
      </c>
      <c r="W1011" s="3" t="s">
        <v>1720</v>
      </c>
      <c r="X1011" s="3">
        <v>15.99</v>
      </c>
      <c r="Y1011" s="3">
        <v>15.99</v>
      </c>
      <c r="Z1011" s="3">
        <v>15.99</v>
      </c>
      <c r="AA1011" s="3">
        <v>0</v>
      </c>
      <c r="AB1011" s="3" t="s">
        <v>1721</v>
      </c>
      <c r="AC1011" s="3">
        <v>0</v>
      </c>
      <c r="AD1011" s="3">
        <v>14.59</v>
      </c>
      <c r="AE1011" s="3">
        <v>84</v>
      </c>
      <c r="AF1011" s="3">
        <v>0</v>
      </c>
      <c r="AG1011" s="3">
        <v>34.045368</v>
      </c>
      <c r="AH1011" s="3">
        <v>0</v>
      </c>
      <c r="AI1011" s="3" t="s">
        <v>4878</v>
      </c>
      <c r="AJ1011" s="3" t="s">
        <v>1783</v>
      </c>
    </row>
    <row r="1012" spans="1:36">
      <c r="A1012" s="4">
        <v>43277</v>
      </c>
      <c r="B1012" s="3" t="s">
        <v>4879</v>
      </c>
      <c r="C1012" s="3" t="s">
        <v>4880</v>
      </c>
      <c r="D1012" s="3" t="s">
        <v>4881</v>
      </c>
      <c r="E1012" s="3" t="s">
        <v>2495</v>
      </c>
      <c r="F1012" s="3" t="s">
        <v>1710</v>
      </c>
      <c r="G1012" s="3">
        <v>15</v>
      </c>
      <c r="H1012" s="3">
        <v>0</v>
      </c>
      <c r="I1012" s="3">
        <v>15</v>
      </c>
      <c r="J1012" s="3">
        <v>0</v>
      </c>
      <c r="K1012" s="3">
        <v>0</v>
      </c>
      <c r="L1012" s="3">
        <v>0</v>
      </c>
      <c r="M1012" s="3">
        <v>0</v>
      </c>
      <c r="N1012" s="3" t="s">
        <v>1711</v>
      </c>
      <c r="O1012" s="3">
        <v>0</v>
      </c>
      <c r="P1012" s="3">
        <v>0</v>
      </c>
      <c r="Q1012" s="3">
        <v>0</v>
      </c>
      <c r="R1012" s="3">
        <v>0</v>
      </c>
      <c r="S1012" s="3">
        <v>0</v>
      </c>
      <c r="T1012" s="3">
        <v>0</v>
      </c>
      <c r="U1012" s="3">
        <v>0</v>
      </c>
      <c r="V1012" s="3">
        <v>0</v>
      </c>
      <c r="W1012" s="3" t="s">
        <v>1720</v>
      </c>
      <c r="X1012" s="3">
        <v>15.99</v>
      </c>
      <c r="Y1012" s="3">
        <v>15.99</v>
      </c>
      <c r="Z1012" s="3">
        <v>15.99</v>
      </c>
      <c r="AA1012" s="3">
        <v>0</v>
      </c>
      <c r="AB1012" s="3" t="s">
        <v>1721</v>
      </c>
      <c r="AC1012" s="3">
        <v>0</v>
      </c>
      <c r="AD1012" s="3">
        <v>12.79</v>
      </c>
      <c r="AE1012" s="3">
        <v>63</v>
      </c>
      <c r="AF1012" s="3">
        <v>0</v>
      </c>
      <c r="AG1012" s="3">
        <v>160.761652</v>
      </c>
      <c r="AH1012" s="3">
        <v>0</v>
      </c>
      <c r="AI1012" s="3" t="s">
        <v>2758</v>
      </c>
      <c r="AJ1012" s="3" t="s">
        <v>1715</v>
      </c>
    </row>
    <row r="1013" spans="1:36">
      <c r="A1013" s="4">
        <v>43277</v>
      </c>
      <c r="B1013" s="3" t="s">
        <v>1275</v>
      </c>
      <c r="C1013" s="3" t="s">
        <v>1276</v>
      </c>
      <c r="D1013" s="3" t="s">
        <v>1277</v>
      </c>
      <c r="E1013" s="3" t="s">
        <v>1278</v>
      </c>
      <c r="F1013" s="3" t="s">
        <v>1710</v>
      </c>
      <c r="G1013" s="3">
        <v>11</v>
      </c>
      <c r="H1013" s="3">
        <v>0</v>
      </c>
      <c r="I1013" s="3">
        <v>11</v>
      </c>
      <c r="J1013" s="3">
        <v>0</v>
      </c>
      <c r="K1013" s="3">
        <v>0</v>
      </c>
      <c r="L1013" s="3">
        <v>0</v>
      </c>
      <c r="M1013" s="3">
        <v>0</v>
      </c>
      <c r="N1013" s="3" t="s">
        <v>1711</v>
      </c>
      <c r="O1013" s="3">
        <v>0</v>
      </c>
      <c r="P1013" s="3">
        <v>0</v>
      </c>
      <c r="Q1013" s="3">
        <v>0</v>
      </c>
      <c r="R1013" s="3">
        <v>0</v>
      </c>
      <c r="S1013" s="3">
        <v>10</v>
      </c>
      <c r="T1013" s="3">
        <v>34</v>
      </c>
      <c r="U1013" s="3">
        <v>49</v>
      </c>
      <c r="V1013" s="3">
        <v>49</v>
      </c>
      <c r="W1013" s="3"/>
      <c r="X1013" s="3">
        <v>25.99</v>
      </c>
      <c r="Y1013" s="3">
        <v>25.99</v>
      </c>
      <c r="Z1013" s="3">
        <v>25.99</v>
      </c>
      <c r="AA1013" s="3">
        <v>0</v>
      </c>
      <c r="AB1013" s="3" t="s">
        <v>1713</v>
      </c>
      <c r="AC1013" s="3">
        <v>18</v>
      </c>
      <c r="AD1013" s="3">
        <v>25.99</v>
      </c>
      <c r="AE1013" s="3">
        <v>0</v>
      </c>
      <c r="AF1013" s="3">
        <v>0</v>
      </c>
      <c r="AG1013" s="3">
        <v>0</v>
      </c>
      <c r="AH1013" s="3">
        <v>11.3076923076923</v>
      </c>
      <c r="AI1013" s="3" t="s">
        <v>1777</v>
      </c>
      <c r="AJ1013" s="3" t="s">
        <v>1715</v>
      </c>
    </row>
    <row r="1014" spans="1:36">
      <c r="A1014" s="4">
        <v>43277</v>
      </c>
      <c r="B1014" s="3" t="s">
        <v>4882</v>
      </c>
      <c r="C1014" s="3" t="s">
        <v>4883</v>
      </c>
      <c r="D1014" s="3" t="s">
        <v>4884</v>
      </c>
      <c r="E1014" s="3" t="s">
        <v>4885</v>
      </c>
      <c r="F1014" s="3" t="s">
        <v>1710</v>
      </c>
      <c r="G1014" s="3">
        <v>24</v>
      </c>
      <c r="H1014" s="3">
        <v>0</v>
      </c>
      <c r="I1014" s="3">
        <v>20</v>
      </c>
      <c r="J1014" s="3">
        <v>4</v>
      </c>
      <c r="K1014" s="3">
        <v>0</v>
      </c>
      <c r="L1014" s="3">
        <v>0</v>
      </c>
      <c r="M1014" s="3">
        <v>0</v>
      </c>
      <c r="N1014" s="3" t="s">
        <v>1711</v>
      </c>
      <c r="O1014" s="3">
        <v>0</v>
      </c>
      <c r="P1014" s="3">
        <v>0</v>
      </c>
      <c r="Q1014" s="3">
        <v>0</v>
      </c>
      <c r="R1014" s="3">
        <v>0</v>
      </c>
      <c r="S1014" s="3">
        <v>2</v>
      </c>
      <c r="T1014" s="3">
        <v>10</v>
      </c>
      <c r="U1014" s="3">
        <v>14</v>
      </c>
      <c r="V1014" s="3">
        <v>19</v>
      </c>
      <c r="W1014" s="3"/>
      <c r="X1014" s="3">
        <v>38</v>
      </c>
      <c r="Y1014" s="3">
        <v>28.58</v>
      </c>
      <c r="Z1014" s="3">
        <v>28</v>
      </c>
      <c r="AA1014" s="3">
        <v>0</v>
      </c>
      <c r="AB1014" s="3" t="s">
        <v>1713</v>
      </c>
      <c r="AC1014" s="3">
        <v>26</v>
      </c>
      <c r="AD1014" s="3">
        <v>28.58</v>
      </c>
      <c r="AE1014" s="3">
        <v>0</v>
      </c>
      <c r="AF1014" s="3">
        <v>0</v>
      </c>
      <c r="AG1014" s="3">
        <v>0</v>
      </c>
      <c r="AH1014" s="3">
        <v>0.775510204081632</v>
      </c>
      <c r="AI1014" s="3" t="s">
        <v>2128</v>
      </c>
      <c r="AJ1014" s="3" t="s">
        <v>1715</v>
      </c>
    </row>
    <row r="1015" spans="1:36">
      <c r="A1015" s="4">
        <v>43277</v>
      </c>
      <c r="B1015" s="3" t="s">
        <v>4886</v>
      </c>
      <c r="C1015" s="3" t="s">
        <v>4887</v>
      </c>
      <c r="D1015" s="3" t="s">
        <v>4888</v>
      </c>
      <c r="E1015" s="3" t="s">
        <v>4889</v>
      </c>
      <c r="F1015" s="3" t="s">
        <v>1710</v>
      </c>
      <c r="G1015" s="3">
        <v>2</v>
      </c>
      <c r="H1015" s="3">
        <v>0</v>
      </c>
      <c r="I1015" s="3">
        <v>0</v>
      </c>
      <c r="J1015" s="3">
        <v>1</v>
      </c>
      <c r="K1015" s="3">
        <v>1</v>
      </c>
      <c r="L1015" s="3">
        <v>0</v>
      </c>
      <c r="M1015" s="3">
        <v>0</v>
      </c>
      <c r="N1015" s="3" t="s">
        <v>1711</v>
      </c>
      <c r="O1015" s="3">
        <v>2</v>
      </c>
      <c r="P1015" s="3">
        <v>4.31</v>
      </c>
      <c r="Q1015" s="3">
        <v>0</v>
      </c>
      <c r="R1015" s="3">
        <v>0</v>
      </c>
      <c r="S1015" s="3">
        <v>0</v>
      </c>
      <c r="T1015" s="3">
        <v>0</v>
      </c>
      <c r="U1015" s="3">
        <v>1</v>
      </c>
      <c r="V1015" s="3">
        <v>1</v>
      </c>
      <c r="W1015" s="3" t="s">
        <v>1720</v>
      </c>
      <c r="X1015" s="3">
        <v>21.99</v>
      </c>
      <c r="Y1015" s="3">
        <v>21.99</v>
      </c>
      <c r="Z1015" s="3">
        <v>21.99</v>
      </c>
      <c r="AA1015" s="3">
        <v>0</v>
      </c>
      <c r="AB1015" s="3" t="s">
        <v>1721</v>
      </c>
      <c r="AC1015" s="3">
        <v>0</v>
      </c>
      <c r="AD1015" s="3">
        <v>20.11</v>
      </c>
      <c r="AE1015" s="3">
        <v>49</v>
      </c>
      <c r="AF1015" s="3">
        <v>0</v>
      </c>
      <c r="AG1015" s="3">
        <v>57.579362</v>
      </c>
      <c r="AH1015" s="3">
        <v>0.4</v>
      </c>
      <c r="AI1015" s="3" t="s">
        <v>4890</v>
      </c>
      <c r="AJ1015" s="3" t="s">
        <v>1715</v>
      </c>
    </row>
    <row r="1016" spans="1:36">
      <c r="A1016" s="4">
        <v>43277</v>
      </c>
      <c r="B1016" s="3" t="s">
        <v>4891</v>
      </c>
      <c r="C1016" s="3" t="s">
        <v>4892</v>
      </c>
      <c r="D1016" s="3" t="s">
        <v>4893</v>
      </c>
      <c r="E1016" s="3" t="s">
        <v>4894</v>
      </c>
      <c r="F1016" s="3" t="s">
        <v>1710</v>
      </c>
      <c r="G1016" s="3">
        <v>44</v>
      </c>
      <c r="H1016" s="3">
        <v>0</v>
      </c>
      <c r="I1016" s="3">
        <v>44</v>
      </c>
      <c r="J1016" s="3">
        <v>0</v>
      </c>
      <c r="K1016" s="3">
        <v>0</v>
      </c>
      <c r="L1016" s="3">
        <v>0</v>
      </c>
      <c r="M1016" s="3">
        <v>0</v>
      </c>
      <c r="N1016" s="3" t="s">
        <v>1711</v>
      </c>
      <c r="O1016" s="3">
        <v>0</v>
      </c>
      <c r="P1016" s="3">
        <v>0</v>
      </c>
      <c r="Q1016" s="3">
        <v>0</v>
      </c>
      <c r="R1016" s="3">
        <v>0</v>
      </c>
      <c r="S1016" s="3">
        <v>1</v>
      </c>
      <c r="T1016" s="3">
        <v>11</v>
      </c>
      <c r="U1016" s="3">
        <v>14</v>
      </c>
      <c r="V1016" s="3">
        <v>19</v>
      </c>
      <c r="W1016" s="3"/>
      <c r="X1016" s="3">
        <v>38</v>
      </c>
      <c r="Y1016" s="3">
        <v>28.58</v>
      </c>
      <c r="Z1016" s="3">
        <v>28</v>
      </c>
      <c r="AA1016" s="3">
        <v>0</v>
      </c>
      <c r="AB1016" s="3" t="s">
        <v>1713</v>
      </c>
      <c r="AC1016" s="3">
        <v>8</v>
      </c>
      <c r="AD1016" s="3">
        <v>28.58</v>
      </c>
      <c r="AE1016" s="3">
        <v>0</v>
      </c>
      <c r="AF1016" s="3">
        <v>0</v>
      </c>
      <c r="AG1016" s="3">
        <v>0</v>
      </c>
      <c r="AH1016" s="3">
        <v>0.987012987012987</v>
      </c>
      <c r="AI1016" s="3" t="s">
        <v>1751</v>
      </c>
      <c r="AJ1016" s="3" t="s">
        <v>1715</v>
      </c>
    </row>
    <row r="1017" spans="1:36">
      <c r="A1017" s="4">
        <v>43277</v>
      </c>
      <c r="B1017" s="3" t="s">
        <v>4895</v>
      </c>
      <c r="C1017" s="3" t="s">
        <v>4896</v>
      </c>
      <c r="D1017" s="3" t="s">
        <v>4897</v>
      </c>
      <c r="E1017" s="3" t="s">
        <v>4031</v>
      </c>
      <c r="F1017" s="3" t="s">
        <v>1710</v>
      </c>
      <c r="G1017" s="3">
        <v>8</v>
      </c>
      <c r="H1017" s="3">
        <v>0</v>
      </c>
      <c r="I1017" s="3">
        <v>0</v>
      </c>
      <c r="J1017" s="3">
        <v>0</v>
      </c>
      <c r="K1017" s="3">
        <v>0</v>
      </c>
      <c r="L1017" s="3">
        <v>0</v>
      </c>
      <c r="M1017" s="3">
        <v>8</v>
      </c>
      <c r="N1017" s="3" t="s">
        <v>1711</v>
      </c>
      <c r="O1017" s="3">
        <v>0</v>
      </c>
      <c r="P1017" s="3">
        <v>0</v>
      </c>
      <c r="Q1017" s="3">
        <v>8</v>
      </c>
      <c r="R1017" s="3">
        <v>20.3</v>
      </c>
      <c r="S1017" s="3">
        <v>0</v>
      </c>
      <c r="T1017" s="3">
        <v>0</v>
      </c>
      <c r="U1017" s="3">
        <v>1</v>
      </c>
      <c r="V1017" s="3">
        <v>2</v>
      </c>
      <c r="W1017" s="3" t="s">
        <v>1712</v>
      </c>
      <c r="X1017" s="3">
        <v>21.58</v>
      </c>
      <c r="Y1017" s="3">
        <v>21.58</v>
      </c>
      <c r="Z1017" s="3">
        <v>21.58</v>
      </c>
      <c r="AA1017" s="3">
        <v>0</v>
      </c>
      <c r="AB1017" s="3" t="s">
        <v>1732</v>
      </c>
      <c r="AC1017" s="3">
        <v>6</v>
      </c>
      <c r="AD1017" s="3">
        <v>19.34</v>
      </c>
      <c r="AE1017" s="3">
        <v>49</v>
      </c>
      <c r="AF1017" s="3">
        <v>0</v>
      </c>
      <c r="AG1017" s="3">
        <v>0.293725</v>
      </c>
      <c r="AH1017" s="3">
        <v>0.222222222222222</v>
      </c>
      <c r="AI1017" s="3" t="s">
        <v>2203</v>
      </c>
      <c r="AJ1017" s="3" t="s">
        <v>1715</v>
      </c>
    </row>
    <row r="1018" spans="1:36">
      <c r="A1018" s="4">
        <v>43277</v>
      </c>
      <c r="B1018" s="3" t="s">
        <v>4898</v>
      </c>
      <c r="C1018" s="3" t="s">
        <v>4899</v>
      </c>
      <c r="D1018" s="3" t="s">
        <v>4900</v>
      </c>
      <c r="E1018" s="3" t="s">
        <v>1755</v>
      </c>
      <c r="F1018" s="3" t="s">
        <v>1710</v>
      </c>
      <c r="G1018" s="3">
        <v>9</v>
      </c>
      <c r="H1018" s="3">
        <v>0</v>
      </c>
      <c r="I1018" s="3">
        <v>9</v>
      </c>
      <c r="J1018" s="3">
        <v>0</v>
      </c>
      <c r="K1018" s="3">
        <v>0</v>
      </c>
      <c r="L1018" s="3">
        <v>0</v>
      </c>
      <c r="M1018" s="3">
        <v>0</v>
      </c>
      <c r="N1018" s="3" t="s">
        <v>1711</v>
      </c>
      <c r="O1018" s="3">
        <v>0</v>
      </c>
      <c r="P1018" s="3">
        <v>0</v>
      </c>
      <c r="Q1018" s="3">
        <v>0</v>
      </c>
      <c r="R1018" s="3">
        <v>0</v>
      </c>
      <c r="S1018" s="3">
        <v>0</v>
      </c>
      <c r="T1018" s="3">
        <v>1</v>
      </c>
      <c r="U1018" s="3">
        <v>1</v>
      </c>
      <c r="V1018" s="3">
        <v>1</v>
      </c>
      <c r="W1018" s="3" t="s">
        <v>1720</v>
      </c>
      <c r="X1018" s="3">
        <v>15.99</v>
      </c>
      <c r="Y1018" s="3">
        <v>15.99</v>
      </c>
      <c r="Z1018" s="3">
        <v>15.99</v>
      </c>
      <c r="AA1018" s="3">
        <v>0</v>
      </c>
      <c r="AB1018" s="3" t="s">
        <v>1721</v>
      </c>
      <c r="AC1018" s="3">
        <v>9</v>
      </c>
      <c r="AD1018" s="3">
        <v>15.99</v>
      </c>
      <c r="AE1018" s="3">
        <v>0</v>
      </c>
      <c r="AF1018" s="3">
        <v>0</v>
      </c>
      <c r="AG1018" s="3">
        <v>0</v>
      </c>
      <c r="AH1018" s="3">
        <v>0.111111111111111</v>
      </c>
      <c r="AI1018" s="3" t="s">
        <v>1756</v>
      </c>
      <c r="AJ1018" s="3" t="s">
        <v>1715</v>
      </c>
    </row>
    <row r="1019" spans="1:36">
      <c r="A1019" s="4">
        <v>43277</v>
      </c>
      <c r="B1019" s="3" t="s">
        <v>140</v>
      </c>
      <c r="C1019" s="3" t="s">
        <v>141</v>
      </c>
      <c r="D1019" s="3" t="s">
        <v>142</v>
      </c>
      <c r="E1019" s="3" t="s">
        <v>143</v>
      </c>
      <c r="F1019" s="3" t="s">
        <v>1710</v>
      </c>
      <c r="G1019" s="3">
        <v>10</v>
      </c>
      <c r="H1019" s="3">
        <v>0</v>
      </c>
      <c r="I1019" s="3">
        <v>4</v>
      </c>
      <c r="J1019" s="3">
        <v>6</v>
      </c>
      <c r="K1019" s="3">
        <v>0</v>
      </c>
      <c r="L1019" s="3">
        <v>0</v>
      </c>
      <c r="M1019" s="3">
        <v>0</v>
      </c>
      <c r="N1019" s="3" t="s">
        <v>1711</v>
      </c>
      <c r="O1019" s="3">
        <v>0</v>
      </c>
      <c r="P1019" s="3">
        <v>0</v>
      </c>
      <c r="Q1019" s="3">
        <v>0</v>
      </c>
      <c r="R1019" s="3">
        <v>0</v>
      </c>
      <c r="S1019" s="3">
        <v>2</v>
      </c>
      <c r="T1019" s="3">
        <v>12</v>
      </c>
      <c r="U1019" s="3">
        <v>17</v>
      </c>
      <c r="V1019" s="3">
        <v>19</v>
      </c>
      <c r="W1019" s="3"/>
      <c r="X1019" s="3">
        <v>14.99</v>
      </c>
      <c r="Y1019" s="3">
        <v>14.99</v>
      </c>
      <c r="Z1019" s="3">
        <v>14.99</v>
      </c>
      <c r="AA1019" s="3">
        <v>0</v>
      </c>
      <c r="AB1019" s="3" t="s">
        <v>1713</v>
      </c>
      <c r="AC1019" s="3">
        <v>7</v>
      </c>
      <c r="AD1019" s="3">
        <v>14.99</v>
      </c>
      <c r="AE1019" s="3">
        <v>0</v>
      </c>
      <c r="AF1019" s="3">
        <v>0</v>
      </c>
      <c r="AG1019" s="3">
        <v>0</v>
      </c>
      <c r="AH1019" s="3">
        <v>0.95</v>
      </c>
      <c r="AI1019" s="3" t="s">
        <v>4901</v>
      </c>
      <c r="AJ1019" s="3" t="s">
        <v>1715</v>
      </c>
    </row>
    <row r="1020" spans="1:36">
      <c r="A1020" s="4">
        <v>43277</v>
      </c>
      <c r="B1020" s="3" t="s">
        <v>4902</v>
      </c>
      <c r="C1020" s="3" t="s">
        <v>4903</v>
      </c>
      <c r="D1020" s="3" t="s">
        <v>4904</v>
      </c>
      <c r="E1020" s="3" t="s">
        <v>4905</v>
      </c>
      <c r="F1020" s="3" t="s">
        <v>1710</v>
      </c>
      <c r="G1020" s="3">
        <v>15</v>
      </c>
      <c r="H1020" s="3">
        <v>0</v>
      </c>
      <c r="I1020" s="3">
        <v>15</v>
      </c>
      <c r="J1020" s="3">
        <v>0</v>
      </c>
      <c r="K1020" s="3">
        <v>0</v>
      </c>
      <c r="L1020" s="3">
        <v>0</v>
      </c>
      <c r="M1020" s="3">
        <v>0</v>
      </c>
      <c r="N1020" s="3" t="s">
        <v>1711</v>
      </c>
      <c r="O1020" s="3">
        <v>0</v>
      </c>
      <c r="P1020" s="3">
        <v>0</v>
      </c>
      <c r="Q1020" s="3">
        <v>0</v>
      </c>
      <c r="R1020" s="3">
        <v>0</v>
      </c>
      <c r="S1020" s="3">
        <v>0</v>
      </c>
      <c r="T1020" s="3">
        <v>0</v>
      </c>
      <c r="U1020" s="3">
        <v>0</v>
      </c>
      <c r="V1020" s="3">
        <v>0</v>
      </c>
      <c r="W1020" s="3" t="s">
        <v>1712</v>
      </c>
      <c r="X1020" s="3">
        <v>28.99</v>
      </c>
      <c r="Y1020" s="3">
        <v>28.99</v>
      </c>
      <c r="Z1020" s="3">
        <v>28.99</v>
      </c>
      <c r="AA1020" s="3">
        <v>0</v>
      </c>
      <c r="AB1020" s="3" t="s">
        <v>1713</v>
      </c>
      <c r="AC1020" s="3">
        <v>15</v>
      </c>
      <c r="AD1020" s="3">
        <v>28.99</v>
      </c>
      <c r="AE1020" s="3">
        <v>0</v>
      </c>
      <c r="AF1020" s="3">
        <v>0</v>
      </c>
      <c r="AG1020" s="3">
        <v>0</v>
      </c>
      <c r="AH1020" s="3">
        <v>0</v>
      </c>
      <c r="AI1020" s="3" t="s">
        <v>2065</v>
      </c>
      <c r="AJ1020" s="3" t="s">
        <v>1715</v>
      </c>
    </row>
    <row r="1021" spans="1:36">
      <c r="A1021" s="4">
        <v>43277</v>
      </c>
      <c r="B1021" s="3" t="s">
        <v>515</v>
      </c>
      <c r="C1021" s="3" t="s">
        <v>516</v>
      </c>
      <c r="D1021" s="3" t="s">
        <v>517</v>
      </c>
      <c r="E1021" s="3" t="s">
        <v>4906</v>
      </c>
      <c r="F1021" s="3" t="s">
        <v>1710</v>
      </c>
      <c r="G1021" s="3">
        <v>74</v>
      </c>
      <c r="H1021" s="3">
        <v>0</v>
      </c>
      <c r="I1021" s="3">
        <v>74</v>
      </c>
      <c r="J1021" s="3">
        <v>0</v>
      </c>
      <c r="K1021" s="3">
        <v>0</v>
      </c>
      <c r="L1021" s="3">
        <v>0</v>
      </c>
      <c r="M1021" s="3">
        <v>0</v>
      </c>
      <c r="N1021" s="3" t="s">
        <v>1711</v>
      </c>
      <c r="O1021" s="3">
        <v>0</v>
      </c>
      <c r="P1021" s="3">
        <v>0</v>
      </c>
      <c r="Q1021" s="3">
        <v>0</v>
      </c>
      <c r="R1021" s="3">
        <v>0</v>
      </c>
      <c r="S1021" s="3">
        <v>24</v>
      </c>
      <c r="T1021" s="3">
        <v>77</v>
      </c>
      <c r="U1021" s="3">
        <v>144</v>
      </c>
      <c r="V1021" s="3">
        <v>172</v>
      </c>
      <c r="W1021" s="3"/>
      <c r="X1021" s="3">
        <v>38</v>
      </c>
      <c r="Y1021" s="3">
        <v>28.58</v>
      </c>
      <c r="Z1021" s="3">
        <v>28</v>
      </c>
      <c r="AA1021" s="3">
        <v>0</v>
      </c>
      <c r="AB1021" s="3" t="s">
        <v>1713</v>
      </c>
      <c r="AC1021" s="3">
        <v>37</v>
      </c>
      <c r="AD1021" s="3">
        <v>28.58</v>
      </c>
      <c r="AE1021" s="3">
        <v>0</v>
      </c>
      <c r="AF1021" s="3">
        <v>0</v>
      </c>
      <c r="AG1021" s="3">
        <v>0</v>
      </c>
      <c r="AH1021" s="3">
        <v>4.77777777777777</v>
      </c>
      <c r="AI1021" s="3" t="s">
        <v>1801</v>
      </c>
      <c r="AJ1021" s="3" t="s">
        <v>1715</v>
      </c>
    </row>
    <row r="1022" spans="1:36">
      <c r="A1022" s="4">
        <v>43277</v>
      </c>
      <c r="B1022" s="3" t="s">
        <v>4907</v>
      </c>
      <c r="C1022" s="3" t="s">
        <v>4908</v>
      </c>
      <c r="D1022" s="3" t="s">
        <v>4909</v>
      </c>
      <c r="E1022" s="3" t="s">
        <v>4910</v>
      </c>
      <c r="F1022" s="3" t="s">
        <v>1710</v>
      </c>
      <c r="G1022" s="3">
        <v>4</v>
      </c>
      <c r="H1022" s="3">
        <v>0</v>
      </c>
      <c r="I1022" s="3">
        <v>0</v>
      </c>
      <c r="J1022" s="3">
        <v>0</v>
      </c>
      <c r="K1022" s="3">
        <v>1</v>
      </c>
      <c r="L1022" s="3">
        <v>3</v>
      </c>
      <c r="M1022" s="3">
        <v>0</v>
      </c>
      <c r="N1022" s="3" t="s">
        <v>1711</v>
      </c>
      <c r="O1022" s="3">
        <v>4</v>
      </c>
      <c r="P1022" s="3">
        <v>7.97</v>
      </c>
      <c r="Q1022" s="3">
        <v>0</v>
      </c>
      <c r="R1022" s="3">
        <v>0</v>
      </c>
      <c r="S1022" s="3">
        <v>0</v>
      </c>
      <c r="T1022" s="3">
        <v>0</v>
      </c>
      <c r="U1022" s="3">
        <v>0</v>
      </c>
      <c r="V1022" s="3">
        <v>1</v>
      </c>
      <c r="W1022" s="3" t="s">
        <v>1720</v>
      </c>
      <c r="X1022" s="3">
        <v>15.99</v>
      </c>
      <c r="Y1022" s="3">
        <v>15.99</v>
      </c>
      <c r="Z1022" s="3">
        <v>15.99</v>
      </c>
      <c r="AA1022" s="3">
        <v>0</v>
      </c>
      <c r="AB1022" s="3" t="s">
        <v>1721</v>
      </c>
      <c r="AC1022" s="3">
        <v>0</v>
      </c>
      <c r="AD1022" s="3">
        <v>13.67</v>
      </c>
      <c r="AE1022" s="3">
        <v>182</v>
      </c>
      <c r="AF1022" s="3">
        <v>0</v>
      </c>
      <c r="AG1022" s="3">
        <v>108.718029</v>
      </c>
      <c r="AH1022" s="3">
        <v>0.235294117647058</v>
      </c>
      <c r="AI1022" s="3" t="s">
        <v>4911</v>
      </c>
      <c r="AJ1022" s="3" t="s">
        <v>1783</v>
      </c>
    </row>
    <row r="1023" spans="1:36">
      <c r="A1023" s="4">
        <v>43277</v>
      </c>
      <c r="B1023" s="3" t="s">
        <v>4912</v>
      </c>
      <c r="C1023" s="3" t="s">
        <v>4913</v>
      </c>
      <c r="D1023" s="3" t="s">
        <v>4914</v>
      </c>
      <c r="E1023" s="3" t="s">
        <v>4915</v>
      </c>
      <c r="F1023" s="3" t="s">
        <v>1710</v>
      </c>
      <c r="G1023" s="3">
        <v>1</v>
      </c>
      <c r="H1023" s="3">
        <v>0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 t="s">
        <v>1711</v>
      </c>
      <c r="O1023" s="3">
        <v>1</v>
      </c>
      <c r="P1023" s="3">
        <v>0.87</v>
      </c>
      <c r="Q1023" s="3">
        <v>0</v>
      </c>
      <c r="R1023" s="3">
        <v>0</v>
      </c>
      <c r="S1023" s="3">
        <v>0</v>
      </c>
      <c r="T1023" s="3">
        <v>1</v>
      </c>
      <c r="U1023" s="3">
        <v>1</v>
      </c>
      <c r="V1023" s="3">
        <v>1</v>
      </c>
      <c r="W1023" s="3" t="s">
        <v>1720</v>
      </c>
      <c r="X1023" s="3">
        <v>15.99</v>
      </c>
      <c r="Y1023" s="3">
        <v>15.99</v>
      </c>
      <c r="Z1023" s="3">
        <v>15.99</v>
      </c>
      <c r="AA1023" s="3">
        <v>0</v>
      </c>
      <c r="AB1023" s="3" t="s">
        <v>1713</v>
      </c>
      <c r="AC1023" s="3">
        <v>1</v>
      </c>
      <c r="AD1023" s="3">
        <v>15.99</v>
      </c>
      <c r="AE1023" s="3">
        <v>0</v>
      </c>
      <c r="AF1023" s="3">
        <v>0</v>
      </c>
      <c r="AG1023" s="3">
        <v>0</v>
      </c>
      <c r="AH1023" s="3">
        <v>0.571428571428571</v>
      </c>
      <c r="AI1023" s="3" t="s">
        <v>4916</v>
      </c>
      <c r="AJ1023" s="3" t="s">
        <v>1783</v>
      </c>
    </row>
    <row r="1024" spans="1:36">
      <c r="A1024" s="4">
        <v>43277</v>
      </c>
      <c r="B1024" s="3" t="s">
        <v>4917</v>
      </c>
      <c r="C1024" s="3" t="s">
        <v>4918</v>
      </c>
      <c r="D1024" s="3" t="s">
        <v>4919</v>
      </c>
      <c r="E1024" s="3" t="s">
        <v>4920</v>
      </c>
      <c r="F1024" s="3" t="s">
        <v>1710</v>
      </c>
      <c r="G1024" s="3">
        <v>4</v>
      </c>
      <c r="H1024" s="3">
        <v>0</v>
      </c>
      <c r="I1024" s="3">
        <v>0</v>
      </c>
      <c r="J1024" s="3">
        <v>1</v>
      </c>
      <c r="K1024" s="3">
        <v>3</v>
      </c>
      <c r="L1024" s="3">
        <v>0</v>
      </c>
      <c r="M1024" s="3">
        <v>0</v>
      </c>
      <c r="N1024" s="3" t="s">
        <v>1711</v>
      </c>
      <c r="O1024" s="3">
        <v>4</v>
      </c>
      <c r="P1024" s="3">
        <v>19.53</v>
      </c>
      <c r="Q1024" s="3">
        <v>0</v>
      </c>
      <c r="R1024" s="3">
        <v>0</v>
      </c>
      <c r="S1024" s="3">
        <v>0</v>
      </c>
      <c r="T1024" s="3">
        <v>0</v>
      </c>
      <c r="U1024" s="3">
        <v>0</v>
      </c>
      <c r="V1024" s="3">
        <v>0</v>
      </c>
      <c r="W1024" s="3" t="s">
        <v>1712</v>
      </c>
      <c r="X1024" s="3">
        <v>29.99</v>
      </c>
      <c r="Y1024" s="3">
        <v>29.99</v>
      </c>
      <c r="Z1024" s="3">
        <v>28.99</v>
      </c>
      <c r="AA1024" s="3">
        <v>0</v>
      </c>
      <c r="AB1024" s="3" t="s">
        <v>1732</v>
      </c>
      <c r="AC1024" s="3">
        <v>0</v>
      </c>
      <c r="AD1024" s="3">
        <v>23.99</v>
      </c>
      <c r="AE1024" s="3">
        <v>140</v>
      </c>
      <c r="AF1024" s="3">
        <v>0</v>
      </c>
      <c r="AG1024" s="3">
        <v>246.592504</v>
      </c>
      <c r="AH1024" s="3">
        <v>0</v>
      </c>
      <c r="AI1024" s="3" t="s">
        <v>2094</v>
      </c>
      <c r="AJ1024" s="3" t="s">
        <v>1715</v>
      </c>
    </row>
    <row r="1025" spans="1:36">
      <c r="A1025" s="4">
        <v>43277</v>
      </c>
      <c r="B1025" s="3" t="s">
        <v>4921</v>
      </c>
      <c r="C1025" s="3" t="s">
        <v>4922</v>
      </c>
      <c r="D1025" s="3" t="s">
        <v>4923</v>
      </c>
      <c r="E1025" s="3" t="s">
        <v>4924</v>
      </c>
      <c r="F1025" s="3" t="s">
        <v>1710</v>
      </c>
      <c r="G1025" s="3">
        <v>32</v>
      </c>
      <c r="H1025" s="3">
        <v>0</v>
      </c>
      <c r="I1025" s="3">
        <v>0</v>
      </c>
      <c r="J1025" s="3">
        <v>32</v>
      </c>
      <c r="K1025" s="3">
        <v>0</v>
      </c>
      <c r="L1025" s="3">
        <v>0</v>
      </c>
      <c r="M1025" s="3">
        <v>0</v>
      </c>
      <c r="N1025" s="3" t="s">
        <v>1711</v>
      </c>
      <c r="O1025" s="3">
        <v>32</v>
      </c>
      <c r="P1025" s="3">
        <v>47.16</v>
      </c>
      <c r="Q1025" s="3">
        <v>0</v>
      </c>
      <c r="R1025" s="3">
        <v>0</v>
      </c>
      <c r="S1025" s="3">
        <v>0</v>
      </c>
      <c r="T1025" s="3">
        <v>0</v>
      </c>
      <c r="U1025" s="3">
        <v>0</v>
      </c>
      <c r="V1025" s="3">
        <v>0</v>
      </c>
      <c r="W1025" s="3" t="s">
        <v>1720</v>
      </c>
      <c r="X1025" s="3">
        <v>15.99</v>
      </c>
      <c r="Y1025" s="3">
        <v>15.99</v>
      </c>
      <c r="Z1025" s="3">
        <v>15.99</v>
      </c>
      <c r="AA1025" s="3">
        <v>0</v>
      </c>
      <c r="AB1025" s="3" t="s">
        <v>1721</v>
      </c>
      <c r="AC1025" s="3">
        <v>4</v>
      </c>
      <c r="AD1025" s="3">
        <v>14.49</v>
      </c>
      <c r="AE1025" s="3">
        <v>112</v>
      </c>
      <c r="AF1025" s="3">
        <v>0</v>
      </c>
      <c r="AG1025" s="3">
        <v>775.789225</v>
      </c>
      <c r="AH1025" s="3">
        <v>0</v>
      </c>
      <c r="AI1025" s="3" t="s">
        <v>1770</v>
      </c>
      <c r="AJ1025" s="3" t="s">
        <v>1715</v>
      </c>
    </row>
    <row r="1026" spans="1:36">
      <c r="A1026" s="4">
        <v>43277</v>
      </c>
      <c r="B1026" s="3" t="s">
        <v>4925</v>
      </c>
      <c r="C1026" s="3" t="s">
        <v>4926</v>
      </c>
      <c r="D1026" s="3" t="s">
        <v>4927</v>
      </c>
      <c r="E1026" s="3" t="s">
        <v>2274</v>
      </c>
      <c r="F1026" s="3" t="s">
        <v>1710</v>
      </c>
      <c r="G1026" s="3">
        <v>2</v>
      </c>
      <c r="H1026" s="3">
        <v>0</v>
      </c>
      <c r="I1026" s="3">
        <v>0</v>
      </c>
      <c r="J1026" s="3">
        <v>0</v>
      </c>
      <c r="K1026" s="3">
        <v>2</v>
      </c>
      <c r="L1026" s="3">
        <v>0</v>
      </c>
      <c r="M1026" s="3">
        <v>0</v>
      </c>
      <c r="N1026" s="3" t="s">
        <v>1711</v>
      </c>
      <c r="O1026" s="3">
        <v>2</v>
      </c>
      <c r="P1026" s="3">
        <v>2.25</v>
      </c>
      <c r="Q1026" s="3">
        <v>0</v>
      </c>
      <c r="R1026" s="3">
        <v>0</v>
      </c>
      <c r="S1026" s="3">
        <v>0</v>
      </c>
      <c r="T1026" s="3">
        <v>0</v>
      </c>
      <c r="U1026" s="3">
        <v>0</v>
      </c>
      <c r="V1026" s="3">
        <v>0</v>
      </c>
      <c r="W1026" s="3" t="s">
        <v>1720</v>
      </c>
      <c r="X1026" s="3">
        <v>15.99</v>
      </c>
      <c r="Y1026" s="3">
        <v>15.99</v>
      </c>
      <c r="Z1026" s="3">
        <v>15.99</v>
      </c>
      <c r="AA1026" s="3">
        <v>0</v>
      </c>
      <c r="AB1026" s="3" t="s">
        <v>1721</v>
      </c>
      <c r="AC1026" s="3">
        <v>0</v>
      </c>
      <c r="AD1026" s="3">
        <v>14.52</v>
      </c>
      <c r="AE1026" s="3">
        <v>77</v>
      </c>
      <c r="AF1026" s="3">
        <v>0</v>
      </c>
      <c r="AG1026" s="3">
        <v>41.622791</v>
      </c>
      <c r="AH1026" s="3">
        <v>0</v>
      </c>
      <c r="AI1026" s="3" t="s">
        <v>4928</v>
      </c>
      <c r="AJ1026" s="3" t="s">
        <v>1783</v>
      </c>
    </row>
    <row r="1027" spans="1:36">
      <c r="A1027" s="4">
        <v>43277</v>
      </c>
      <c r="B1027" s="3" t="s">
        <v>4929</v>
      </c>
      <c r="C1027" s="3" t="s">
        <v>4930</v>
      </c>
      <c r="D1027" s="3" t="s">
        <v>4931</v>
      </c>
      <c r="E1027" s="3" t="s">
        <v>4932</v>
      </c>
      <c r="F1027" s="3" t="s">
        <v>1710</v>
      </c>
      <c r="G1027" s="3">
        <v>10</v>
      </c>
      <c r="H1027" s="3">
        <v>0</v>
      </c>
      <c r="I1027" s="3">
        <v>10</v>
      </c>
      <c r="J1027" s="3">
        <v>0</v>
      </c>
      <c r="K1027" s="3">
        <v>0</v>
      </c>
      <c r="L1027" s="3">
        <v>0</v>
      </c>
      <c r="M1027" s="3">
        <v>0</v>
      </c>
      <c r="N1027" s="3" t="s">
        <v>1711</v>
      </c>
      <c r="O1027" s="3">
        <v>0</v>
      </c>
      <c r="P1027" s="3">
        <v>0</v>
      </c>
      <c r="Q1027" s="3">
        <v>0</v>
      </c>
      <c r="R1027" s="3">
        <v>0</v>
      </c>
      <c r="S1027" s="3">
        <v>0</v>
      </c>
      <c r="T1027" s="3">
        <v>1</v>
      </c>
      <c r="U1027" s="3">
        <v>2</v>
      </c>
      <c r="V1027" s="3">
        <v>3</v>
      </c>
      <c r="W1027" s="3"/>
      <c r="X1027" s="3">
        <v>15.99</v>
      </c>
      <c r="Y1027" s="3">
        <v>15.99</v>
      </c>
      <c r="Z1027" s="3">
        <v>15.55</v>
      </c>
      <c r="AA1027" s="3">
        <v>0</v>
      </c>
      <c r="AB1027" s="3" t="s">
        <v>1732</v>
      </c>
      <c r="AC1027" s="3">
        <v>0</v>
      </c>
      <c r="AD1027" s="3">
        <v>12.79</v>
      </c>
      <c r="AE1027" s="3">
        <v>63</v>
      </c>
      <c r="AF1027" s="3">
        <v>0</v>
      </c>
      <c r="AG1027" s="3">
        <v>87.82492</v>
      </c>
      <c r="AH1027" s="3">
        <v>0.631578947368421</v>
      </c>
      <c r="AI1027" s="3" t="s">
        <v>2036</v>
      </c>
      <c r="AJ1027" s="3" t="s">
        <v>1715</v>
      </c>
    </row>
    <row r="1028" spans="1:36">
      <c r="A1028" s="4">
        <v>43277</v>
      </c>
      <c r="B1028" s="3" t="s">
        <v>735</v>
      </c>
      <c r="C1028" s="3" t="s">
        <v>736</v>
      </c>
      <c r="D1028" s="3" t="s">
        <v>737</v>
      </c>
      <c r="E1028" s="3" t="s">
        <v>738</v>
      </c>
      <c r="F1028" s="3" t="s">
        <v>1710</v>
      </c>
      <c r="G1028" s="3">
        <v>75</v>
      </c>
      <c r="H1028" s="3">
        <v>0</v>
      </c>
      <c r="I1028" s="3">
        <v>75</v>
      </c>
      <c r="J1028" s="3">
        <v>0</v>
      </c>
      <c r="K1028" s="3">
        <v>0</v>
      </c>
      <c r="L1028" s="3">
        <v>0</v>
      </c>
      <c r="M1028" s="3">
        <v>0</v>
      </c>
      <c r="N1028" s="3" t="s">
        <v>1711</v>
      </c>
      <c r="O1028" s="3">
        <v>0</v>
      </c>
      <c r="P1028" s="3">
        <v>0</v>
      </c>
      <c r="Q1028" s="3">
        <v>0</v>
      </c>
      <c r="R1028" s="3">
        <v>0</v>
      </c>
      <c r="S1028" s="3">
        <v>10</v>
      </c>
      <c r="T1028" s="3">
        <v>27</v>
      </c>
      <c r="U1028" s="3">
        <v>40</v>
      </c>
      <c r="V1028" s="3">
        <v>47</v>
      </c>
      <c r="W1028" s="3"/>
      <c r="X1028" s="3">
        <v>38</v>
      </c>
      <c r="Y1028" s="3">
        <v>28.58</v>
      </c>
      <c r="Z1028" s="3">
        <v>28</v>
      </c>
      <c r="AA1028" s="3">
        <v>0</v>
      </c>
      <c r="AB1028" s="3" t="s">
        <v>1713</v>
      </c>
      <c r="AC1028" s="3">
        <v>59</v>
      </c>
      <c r="AD1028" s="3">
        <v>28.58</v>
      </c>
      <c r="AE1028" s="3">
        <v>0</v>
      </c>
      <c r="AF1028" s="3">
        <v>0</v>
      </c>
      <c r="AG1028" s="3">
        <v>0</v>
      </c>
      <c r="AH1028" s="3">
        <v>1.40298507462686</v>
      </c>
      <c r="AI1028" s="3" t="s">
        <v>1751</v>
      </c>
      <c r="AJ1028" s="3" t="s">
        <v>1715</v>
      </c>
    </row>
    <row r="1029" spans="1:36">
      <c r="A1029" s="4">
        <v>43277</v>
      </c>
      <c r="B1029" s="3" t="s">
        <v>1167</v>
      </c>
      <c r="C1029" s="3" t="s">
        <v>1168</v>
      </c>
      <c r="D1029" s="3" t="s">
        <v>1169</v>
      </c>
      <c r="E1029" s="3" t="s">
        <v>1170</v>
      </c>
      <c r="F1029" s="3" t="s">
        <v>1710</v>
      </c>
      <c r="G1029" s="3">
        <v>3</v>
      </c>
      <c r="H1029" s="3">
        <v>0</v>
      </c>
      <c r="I1029" s="3">
        <v>3</v>
      </c>
      <c r="J1029" s="3">
        <v>0</v>
      </c>
      <c r="K1029" s="3">
        <v>0</v>
      </c>
      <c r="L1029" s="3">
        <v>0</v>
      </c>
      <c r="M1029" s="3">
        <v>0</v>
      </c>
      <c r="N1029" s="3" t="s">
        <v>1711</v>
      </c>
      <c r="O1029" s="3">
        <v>0</v>
      </c>
      <c r="P1029" s="3">
        <v>0</v>
      </c>
      <c r="Q1029" s="3">
        <v>0</v>
      </c>
      <c r="R1029" s="3">
        <v>0</v>
      </c>
      <c r="S1029" s="3">
        <v>0</v>
      </c>
      <c r="T1029" s="3">
        <v>1</v>
      </c>
      <c r="U1029" s="3">
        <v>3</v>
      </c>
      <c r="V1029" s="3">
        <v>3</v>
      </c>
      <c r="W1029" s="3"/>
      <c r="X1029" s="3">
        <v>19.99</v>
      </c>
      <c r="Y1029" s="3">
        <v>19.99</v>
      </c>
      <c r="Z1029" s="3">
        <v>19.99</v>
      </c>
      <c r="AA1029" s="3">
        <v>0</v>
      </c>
      <c r="AB1029" s="3" t="s">
        <v>1713</v>
      </c>
      <c r="AC1029" s="3">
        <v>3</v>
      </c>
      <c r="AD1029" s="3">
        <v>19.99</v>
      </c>
      <c r="AE1029" s="3">
        <v>0</v>
      </c>
      <c r="AF1029" s="3">
        <v>0</v>
      </c>
      <c r="AG1029" s="3">
        <v>0</v>
      </c>
      <c r="AH1029" s="3">
        <v>1.125</v>
      </c>
      <c r="AI1029" s="3" t="s">
        <v>1962</v>
      </c>
      <c r="AJ1029" s="3" t="s">
        <v>1715</v>
      </c>
    </row>
    <row r="1030" spans="1:36">
      <c r="A1030" s="4">
        <v>43277</v>
      </c>
      <c r="B1030" s="3" t="s">
        <v>4933</v>
      </c>
      <c r="C1030" s="3" t="s">
        <v>4934</v>
      </c>
      <c r="D1030" s="3" t="s">
        <v>4935</v>
      </c>
      <c r="E1030" s="3" t="s">
        <v>4936</v>
      </c>
      <c r="F1030" s="3" t="s">
        <v>1710</v>
      </c>
      <c r="G1030" s="3">
        <v>5</v>
      </c>
      <c r="H1030" s="3">
        <v>0</v>
      </c>
      <c r="I1030" s="3">
        <v>0</v>
      </c>
      <c r="J1030" s="3">
        <v>0</v>
      </c>
      <c r="K1030" s="3">
        <v>0</v>
      </c>
      <c r="L1030" s="3">
        <v>1</v>
      </c>
      <c r="M1030" s="3">
        <v>4</v>
      </c>
      <c r="N1030" s="3" t="s">
        <v>1711</v>
      </c>
      <c r="O1030" s="3">
        <v>1</v>
      </c>
      <c r="P1030" s="3">
        <v>0.77</v>
      </c>
      <c r="Q1030" s="3">
        <v>4</v>
      </c>
      <c r="R1030" s="3">
        <v>6.16</v>
      </c>
      <c r="S1030" s="3">
        <v>0</v>
      </c>
      <c r="T1030" s="3">
        <v>0</v>
      </c>
      <c r="U1030" s="3">
        <v>0</v>
      </c>
      <c r="V1030" s="3">
        <v>0</v>
      </c>
      <c r="W1030" s="3" t="s">
        <v>1720</v>
      </c>
      <c r="X1030" s="3">
        <v>12.99</v>
      </c>
      <c r="Y1030" s="3">
        <v>12.99</v>
      </c>
      <c r="Z1030" s="3">
        <v>12.99</v>
      </c>
      <c r="AA1030" s="3">
        <v>0</v>
      </c>
      <c r="AB1030" s="3" t="s">
        <v>1732</v>
      </c>
      <c r="AC1030" s="3">
        <v>0</v>
      </c>
      <c r="AD1030" s="3">
        <v>12.01</v>
      </c>
      <c r="AE1030" s="3">
        <v>49</v>
      </c>
      <c r="AF1030" s="3">
        <v>0</v>
      </c>
      <c r="AG1030" s="3">
        <v>78.215064</v>
      </c>
      <c r="AH1030" s="3">
        <v>0</v>
      </c>
      <c r="AI1030" s="3" t="s">
        <v>4937</v>
      </c>
      <c r="AJ1030" s="3" t="s">
        <v>1715</v>
      </c>
    </row>
    <row r="1031" spans="1:36">
      <c r="A1031" s="4">
        <v>43277</v>
      </c>
      <c r="B1031" s="3" t="s">
        <v>4938</v>
      </c>
      <c r="C1031" s="3" t="s">
        <v>4939</v>
      </c>
      <c r="D1031" s="3" t="s">
        <v>4940</v>
      </c>
      <c r="E1031" s="3" t="s">
        <v>4941</v>
      </c>
      <c r="F1031" s="3" t="s">
        <v>1710</v>
      </c>
      <c r="G1031" s="3">
        <v>67</v>
      </c>
      <c r="H1031" s="3">
        <v>0</v>
      </c>
      <c r="I1031" s="3">
        <v>16</v>
      </c>
      <c r="J1031" s="3">
        <v>37</v>
      </c>
      <c r="K1031" s="3">
        <v>14</v>
      </c>
      <c r="L1031" s="3">
        <v>0</v>
      </c>
      <c r="M1031" s="3">
        <v>0</v>
      </c>
      <c r="N1031" s="3" t="s">
        <v>1711</v>
      </c>
      <c r="O1031" s="3">
        <v>41</v>
      </c>
      <c r="P1031" s="3">
        <v>24.54</v>
      </c>
      <c r="Q1031" s="3">
        <v>0</v>
      </c>
      <c r="R1031" s="3">
        <v>0</v>
      </c>
      <c r="S1031" s="3">
        <v>0</v>
      </c>
      <c r="T1031" s="3">
        <v>2</v>
      </c>
      <c r="U1031" s="3">
        <v>14</v>
      </c>
      <c r="V1031" s="3">
        <v>41</v>
      </c>
      <c r="W1031" s="3"/>
      <c r="X1031" s="3">
        <v>9.99</v>
      </c>
      <c r="Y1031" s="3">
        <v>9.99</v>
      </c>
      <c r="Z1031" s="3">
        <v>9.99</v>
      </c>
      <c r="AA1031" s="3">
        <v>0</v>
      </c>
      <c r="AB1031" s="3" t="s">
        <v>1732</v>
      </c>
      <c r="AC1031" s="3">
        <v>23</v>
      </c>
      <c r="AD1031" s="3">
        <v>7.99</v>
      </c>
      <c r="AE1031" s="3">
        <v>336</v>
      </c>
      <c r="AF1031" s="3">
        <v>0</v>
      </c>
      <c r="AG1031" s="3">
        <v>63.031998</v>
      </c>
      <c r="AH1031" s="3">
        <v>0.546666666666666</v>
      </c>
      <c r="AI1031" s="3" t="s">
        <v>1905</v>
      </c>
      <c r="AJ1031" s="3" t="s">
        <v>1715</v>
      </c>
    </row>
    <row r="1032" spans="1:36">
      <c r="A1032" s="4">
        <v>43277</v>
      </c>
      <c r="B1032" s="3" t="s">
        <v>4942</v>
      </c>
      <c r="C1032" s="3" t="s">
        <v>4943</v>
      </c>
      <c r="D1032" s="3" t="s">
        <v>4944</v>
      </c>
      <c r="E1032" s="3" t="s">
        <v>1380</v>
      </c>
      <c r="F1032" s="3" t="s">
        <v>1710</v>
      </c>
      <c r="G1032" s="3">
        <v>6</v>
      </c>
      <c r="H1032" s="3">
        <v>0</v>
      </c>
      <c r="I1032" s="3">
        <v>6</v>
      </c>
      <c r="J1032" s="3">
        <v>0</v>
      </c>
      <c r="K1032" s="3">
        <v>0</v>
      </c>
      <c r="L1032" s="3">
        <v>0</v>
      </c>
      <c r="M1032" s="3">
        <v>0</v>
      </c>
      <c r="N1032" s="3" t="s">
        <v>1711</v>
      </c>
      <c r="O1032" s="3">
        <v>0</v>
      </c>
      <c r="P1032" s="3">
        <v>0</v>
      </c>
      <c r="Q1032" s="3">
        <v>0</v>
      </c>
      <c r="R1032" s="3">
        <v>0</v>
      </c>
      <c r="S1032" s="3">
        <v>5</v>
      </c>
      <c r="T1032" s="3">
        <v>9</v>
      </c>
      <c r="U1032" s="3">
        <v>16</v>
      </c>
      <c r="V1032" s="3">
        <v>24</v>
      </c>
      <c r="W1032" s="3"/>
      <c r="X1032" s="3">
        <v>49.99</v>
      </c>
      <c r="Y1032" s="3">
        <v>23.99</v>
      </c>
      <c r="Z1032" s="3">
        <v>23.99</v>
      </c>
      <c r="AA1032" s="3">
        <v>0</v>
      </c>
      <c r="AB1032" s="3" t="s">
        <v>1713</v>
      </c>
      <c r="AC1032" s="3">
        <v>8</v>
      </c>
      <c r="AD1032" s="3">
        <v>23.99</v>
      </c>
      <c r="AE1032" s="3">
        <v>0</v>
      </c>
      <c r="AF1032" s="3">
        <v>0</v>
      </c>
      <c r="AG1032" s="3">
        <v>0</v>
      </c>
      <c r="AH1032" s="3">
        <v>4.17391304347826</v>
      </c>
      <c r="AI1032" s="3" t="s">
        <v>2351</v>
      </c>
      <c r="AJ1032" s="3" t="s">
        <v>1715</v>
      </c>
    </row>
    <row r="1033" spans="1:36">
      <c r="A1033" s="4">
        <v>43277</v>
      </c>
      <c r="B1033" s="3" t="s">
        <v>4945</v>
      </c>
      <c r="C1033" s="3" t="s">
        <v>4946</v>
      </c>
      <c r="D1033" s="3" t="s">
        <v>4947</v>
      </c>
      <c r="E1033" s="3" t="s">
        <v>3507</v>
      </c>
      <c r="F1033" s="3" t="s">
        <v>1710</v>
      </c>
      <c r="G1033" s="3">
        <v>1</v>
      </c>
      <c r="H1033" s="3">
        <v>0</v>
      </c>
      <c r="I1033" s="3">
        <v>1</v>
      </c>
      <c r="J1033" s="3">
        <v>0</v>
      </c>
      <c r="K1033" s="3">
        <v>0</v>
      </c>
      <c r="L1033" s="3">
        <v>0</v>
      </c>
      <c r="M1033" s="3">
        <v>0</v>
      </c>
      <c r="N1033" s="3" t="s">
        <v>1711</v>
      </c>
      <c r="O1033" s="3">
        <v>0</v>
      </c>
      <c r="P1033" s="3">
        <v>0</v>
      </c>
      <c r="Q1033" s="3">
        <v>0</v>
      </c>
      <c r="R1033" s="3">
        <v>0</v>
      </c>
      <c r="S1033" s="3">
        <v>0</v>
      </c>
      <c r="T1033" s="3">
        <v>1</v>
      </c>
      <c r="U1033" s="3">
        <v>3</v>
      </c>
      <c r="V1033" s="3">
        <v>3</v>
      </c>
      <c r="W1033" s="3" t="s">
        <v>1720</v>
      </c>
      <c r="X1033" s="3">
        <v>15.99</v>
      </c>
      <c r="Y1033" s="3">
        <v>15.99</v>
      </c>
      <c r="Z1033" s="3">
        <v>15.99</v>
      </c>
      <c r="AA1033" s="3">
        <v>0</v>
      </c>
      <c r="AB1033" s="3" t="s">
        <v>1721</v>
      </c>
      <c r="AC1033" s="3">
        <v>1</v>
      </c>
      <c r="AD1033" s="3">
        <v>15.99</v>
      </c>
      <c r="AE1033" s="3">
        <v>0</v>
      </c>
      <c r="AF1033" s="3">
        <v>0</v>
      </c>
      <c r="AG1033" s="3">
        <v>0</v>
      </c>
      <c r="AH1033" s="3">
        <v>1.5</v>
      </c>
      <c r="AI1033" s="3" t="s">
        <v>3508</v>
      </c>
      <c r="AJ1033" s="3" t="s">
        <v>1715</v>
      </c>
    </row>
    <row r="1034" spans="1:36">
      <c r="A1034" s="4">
        <v>43277</v>
      </c>
      <c r="B1034" s="3" t="s">
        <v>4948</v>
      </c>
      <c r="C1034" s="3" t="s">
        <v>4949</v>
      </c>
      <c r="D1034" s="3" t="s">
        <v>4950</v>
      </c>
      <c r="E1034" s="3" t="s">
        <v>4951</v>
      </c>
      <c r="F1034" s="3" t="s">
        <v>1710</v>
      </c>
      <c r="G1034" s="3">
        <v>8</v>
      </c>
      <c r="H1034" s="3">
        <v>0</v>
      </c>
      <c r="I1034" s="3">
        <v>0</v>
      </c>
      <c r="J1034" s="3">
        <v>8</v>
      </c>
      <c r="K1034" s="3">
        <v>0</v>
      </c>
      <c r="L1034" s="3">
        <v>0</v>
      </c>
      <c r="M1034" s="3">
        <v>0</v>
      </c>
      <c r="N1034" s="3" t="s">
        <v>1711</v>
      </c>
      <c r="O1034" s="3">
        <v>7</v>
      </c>
      <c r="P1034" s="3">
        <v>21.55</v>
      </c>
      <c r="Q1034" s="3">
        <v>0</v>
      </c>
      <c r="R1034" s="3">
        <v>0</v>
      </c>
      <c r="S1034" s="3">
        <v>0</v>
      </c>
      <c r="T1034" s="3">
        <v>0</v>
      </c>
      <c r="U1034" s="3">
        <v>2</v>
      </c>
      <c r="V1034" s="3">
        <v>4</v>
      </c>
      <c r="W1034" s="3" t="s">
        <v>1720</v>
      </c>
      <c r="X1034" s="3">
        <v>21.99</v>
      </c>
      <c r="Y1034" s="3">
        <v>21.99</v>
      </c>
      <c r="Z1034" s="3">
        <v>21.99</v>
      </c>
      <c r="AA1034" s="3">
        <v>0</v>
      </c>
      <c r="AB1034" s="3" t="s">
        <v>1721</v>
      </c>
      <c r="AC1034" s="3">
        <v>1</v>
      </c>
      <c r="AD1034" s="3">
        <v>19.79</v>
      </c>
      <c r="AE1034" s="3">
        <v>77</v>
      </c>
      <c r="AF1034" s="3">
        <v>0</v>
      </c>
      <c r="AG1034" s="3">
        <v>354.737684</v>
      </c>
      <c r="AH1034" s="3">
        <v>0.421052631578947</v>
      </c>
      <c r="AI1034" s="3" t="s">
        <v>1722</v>
      </c>
      <c r="AJ1034" s="3" t="s">
        <v>1715</v>
      </c>
    </row>
    <row r="1035" spans="1:36">
      <c r="A1035" s="4">
        <v>43277</v>
      </c>
      <c r="B1035" s="3" t="s">
        <v>4952</v>
      </c>
      <c r="C1035" s="3" t="s">
        <v>4953</v>
      </c>
      <c r="D1035" s="3" t="s">
        <v>4954</v>
      </c>
      <c r="E1035" s="3" t="s">
        <v>1136</v>
      </c>
      <c r="F1035" s="3" t="s">
        <v>1710</v>
      </c>
      <c r="G1035" s="3">
        <v>13</v>
      </c>
      <c r="H1035" s="3">
        <v>0</v>
      </c>
      <c r="I1035" s="3">
        <v>13</v>
      </c>
      <c r="J1035" s="3">
        <v>0</v>
      </c>
      <c r="K1035" s="3">
        <v>0</v>
      </c>
      <c r="L1035" s="3">
        <v>0</v>
      </c>
      <c r="M1035" s="3">
        <v>0</v>
      </c>
      <c r="N1035" s="3" t="s">
        <v>1711</v>
      </c>
      <c r="O1035" s="3">
        <v>0</v>
      </c>
      <c r="P1035" s="3">
        <v>0</v>
      </c>
      <c r="Q1035" s="3">
        <v>0</v>
      </c>
      <c r="R1035" s="3">
        <v>0</v>
      </c>
      <c r="S1035" s="3">
        <v>1</v>
      </c>
      <c r="T1035" s="3">
        <v>3</v>
      </c>
      <c r="U1035" s="3">
        <v>7</v>
      </c>
      <c r="V1035" s="3">
        <v>7</v>
      </c>
      <c r="W1035" s="3" t="s">
        <v>1712</v>
      </c>
      <c r="X1035" s="3">
        <v>21.99</v>
      </c>
      <c r="Y1035" s="3">
        <v>21.99</v>
      </c>
      <c r="Z1035" s="3">
        <v>21.99</v>
      </c>
      <c r="AA1035" s="3">
        <v>0</v>
      </c>
      <c r="AB1035" s="3" t="s">
        <v>1713</v>
      </c>
      <c r="AC1035" s="3">
        <v>14</v>
      </c>
      <c r="AD1035" s="3">
        <v>21.99</v>
      </c>
      <c r="AE1035" s="3">
        <v>0</v>
      </c>
      <c r="AF1035" s="3">
        <v>0</v>
      </c>
      <c r="AG1035" s="3">
        <v>0</v>
      </c>
      <c r="AH1035" s="3">
        <v>0.7</v>
      </c>
      <c r="AI1035" s="3" t="s">
        <v>1890</v>
      </c>
      <c r="AJ1035" s="3" t="s">
        <v>1715</v>
      </c>
    </row>
    <row r="1036" spans="1:36">
      <c r="A1036" s="4">
        <v>43277</v>
      </c>
      <c r="B1036" s="3" t="s">
        <v>84</v>
      </c>
      <c r="C1036" s="3" t="s">
        <v>85</v>
      </c>
      <c r="D1036" s="3" t="s">
        <v>86</v>
      </c>
      <c r="E1036" s="3" t="s">
        <v>4955</v>
      </c>
      <c r="F1036" s="3" t="s">
        <v>1710</v>
      </c>
      <c r="G1036" s="3">
        <v>22</v>
      </c>
      <c r="H1036" s="3">
        <v>0</v>
      </c>
      <c r="I1036" s="3">
        <v>22</v>
      </c>
      <c r="J1036" s="3">
        <v>0</v>
      </c>
      <c r="K1036" s="3">
        <v>0</v>
      </c>
      <c r="L1036" s="3">
        <v>0</v>
      </c>
      <c r="M1036" s="3">
        <v>0</v>
      </c>
      <c r="N1036" s="3" t="s">
        <v>1711</v>
      </c>
      <c r="O1036" s="3">
        <v>0</v>
      </c>
      <c r="P1036" s="3">
        <v>0</v>
      </c>
      <c r="Q1036" s="3">
        <v>0</v>
      </c>
      <c r="R1036" s="3">
        <v>0</v>
      </c>
      <c r="S1036" s="3">
        <v>6</v>
      </c>
      <c r="T1036" s="3">
        <v>17</v>
      </c>
      <c r="U1036" s="3">
        <v>26</v>
      </c>
      <c r="V1036" s="3">
        <v>34</v>
      </c>
      <c r="W1036" s="3"/>
      <c r="X1036" s="3">
        <v>15.99</v>
      </c>
      <c r="Y1036" s="3">
        <v>15.99</v>
      </c>
      <c r="Z1036" s="3">
        <v>15.55</v>
      </c>
      <c r="AA1036" s="3">
        <v>0</v>
      </c>
      <c r="AB1036" s="3" t="s">
        <v>1713</v>
      </c>
      <c r="AC1036" s="3">
        <v>6</v>
      </c>
      <c r="AD1036" s="3">
        <v>15.99</v>
      </c>
      <c r="AE1036" s="3">
        <v>0</v>
      </c>
      <c r="AF1036" s="3">
        <v>0</v>
      </c>
      <c r="AG1036" s="3">
        <v>0</v>
      </c>
      <c r="AH1036" s="3">
        <v>2.61538461538461</v>
      </c>
      <c r="AI1036" s="3" t="s">
        <v>2082</v>
      </c>
      <c r="AJ1036" s="3" t="s">
        <v>1715</v>
      </c>
    </row>
    <row r="1037" spans="1:36">
      <c r="A1037" s="4">
        <v>43277</v>
      </c>
      <c r="B1037" s="3" t="s">
        <v>4956</v>
      </c>
      <c r="C1037" s="3" t="s">
        <v>4957</v>
      </c>
      <c r="D1037" s="3" t="s">
        <v>4958</v>
      </c>
      <c r="E1037" s="3" t="s">
        <v>4959</v>
      </c>
      <c r="F1037" s="3" t="s">
        <v>1710</v>
      </c>
      <c r="G1037" s="3">
        <v>3</v>
      </c>
      <c r="H1037" s="3">
        <v>0</v>
      </c>
      <c r="I1037" s="3">
        <v>3</v>
      </c>
      <c r="J1037" s="3">
        <v>0</v>
      </c>
      <c r="K1037" s="3">
        <v>0</v>
      </c>
      <c r="L1037" s="3">
        <v>0</v>
      </c>
      <c r="M1037" s="3">
        <v>0</v>
      </c>
      <c r="N1037" s="3" t="s">
        <v>1711</v>
      </c>
      <c r="O1037" s="3">
        <v>0</v>
      </c>
      <c r="P1037" s="3">
        <v>0</v>
      </c>
      <c r="Q1037" s="3">
        <v>0</v>
      </c>
      <c r="R1037" s="3">
        <v>0</v>
      </c>
      <c r="S1037" s="3">
        <v>0</v>
      </c>
      <c r="T1037" s="3">
        <v>9</v>
      </c>
      <c r="U1037" s="3">
        <v>9</v>
      </c>
      <c r="V1037" s="3">
        <v>12</v>
      </c>
      <c r="W1037" s="3"/>
      <c r="X1037" s="3">
        <v>15.99</v>
      </c>
      <c r="Y1037" s="3">
        <v>15.99</v>
      </c>
      <c r="Z1037" s="3">
        <v>15.99</v>
      </c>
      <c r="AA1037" s="3">
        <v>0</v>
      </c>
      <c r="AB1037" s="3" t="s">
        <v>1713</v>
      </c>
      <c r="AC1037" s="3">
        <v>2</v>
      </c>
      <c r="AD1037" s="3">
        <v>15.99</v>
      </c>
      <c r="AE1037" s="3">
        <v>0</v>
      </c>
      <c r="AF1037" s="3">
        <v>0</v>
      </c>
      <c r="AG1037" s="3">
        <v>0</v>
      </c>
      <c r="AH1037" s="3">
        <v>2</v>
      </c>
      <c r="AI1037" s="3" t="s">
        <v>1962</v>
      </c>
      <c r="AJ1037" s="3" t="s">
        <v>1715</v>
      </c>
    </row>
    <row r="1038" spans="1:36">
      <c r="A1038" s="4">
        <v>43277</v>
      </c>
      <c r="B1038" s="3" t="s">
        <v>4960</v>
      </c>
      <c r="C1038" s="3" t="s">
        <v>4961</v>
      </c>
      <c r="D1038" s="3" t="s">
        <v>4962</v>
      </c>
      <c r="E1038" s="3" t="s">
        <v>4963</v>
      </c>
      <c r="F1038" s="3" t="s">
        <v>1710</v>
      </c>
      <c r="G1038" s="3">
        <v>2</v>
      </c>
      <c r="H1038" s="3">
        <v>0</v>
      </c>
      <c r="I1038" s="3">
        <v>0</v>
      </c>
      <c r="J1038" s="3">
        <v>0</v>
      </c>
      <c r="K1038" s="3">
        <v>0</v>
      </c>
      <c r="L1038" s="3">
        <v>0</v>
      </c>
      <c r="M1038" s="3">
        <v>2</v>
      </c>
      <c r="N1038" s="3" t="s">
        <v>1711</v>
      </c>
      <c r="O1038" s="3">
        <v>0</v>
      </c>
      <c r="P1038" s="3">
        <v>0</v>
      </c>
      <c r="Q1038" s="3">
        <v>2</v>
      </c>
      <c r="R1038" s="3">
        <v>3.24</v>
      </c>
      <c r="S1038" s="3">
        <v>0</v>
      </c>
      <c r="T1038" s="3">
        <v>2</v>
      </c>
      <c r="U1038" s="3">
        <v>3</v>
      </c>
      <c r="V1038" s="3">
        <v>3</v>
      </c>
      <c r="W1038" s="3" t="s">
        <v>1720</v>
      </c>
      <c r="X1038" s="3">
        <v>39.9</v>
      </c>
      <c r="Y1038" s="3">
        <v>12.99</v>
      </c>
      <c r="Z1038" s="3">
        <v>12.99</v>
      </c>
      <c r="AA1038" s="3">
        <v>0</v>
      </c>
      <c r="AB1038" s="3" t="s">
        <v>1713</v>
      </c>
      <c r="AC1038" s="3">
        <v>2</v>
      </c>
      <c r="AD1038" s="3">
        <v>12.99</v>
      </c>
      <c r="AE1038" s="3">
        <v>0</v>
      </c>
      <c r="AF1038" s="3">
        <v>0</v>
      </c>
      <c r="AG1038" s="3">
        <v>0</v>
      </c>
      <c r="AH1038" s="3">
        <v>0.75</v>
      </c>
      <c r="AI1038" s="3" t="s">
        <v>2529</v>
      </c>
      <c r="AJ1038" s="3" t="s">
        <v>1715</v>
      </c>
    </row>
    <row r="1039" spans="1:36">
      <c r="A1039" s="4">
        <v>43277</v>
      </c>
      <c r="B1039" s="3" t="s">
        <v>4964</v>
      </c>
      <c r="C1039" s="3" t="s">
        <v>4965</v>
      </c>
      <c r="D1039" s="3" t="s">
        <v>4966</v>
      </c>
      <c r="E1039" s="3" t="s">
        <v>1861</v>
      </c>
      <c r="F1039" s="3" t="s">
        <v>1710</v>
      </c>
      <c r="G1039" s="3">
        <v>2</v>
      </c>
      <c r="H1039" s="3">
        <v>0</v>
      </c>
      <c r="I1039" s="3">
        <v>1</v>
      </c>
      <c r="J1039" s="3">
        <v>1</v>
      </c>
      <c r="K1039" s="3">
        <v>0</v>
      </c>
      <c r="L1039" s="3">
        <v>0</v>
      </c>
      <c r="M1039" s="3">
        <v>0</v>
      </c>
      <c r="N1039" s="3" t="s">
        <v>1711</v>
      </c>
      <c r="O1039" s="3">
        <v>1</v>
      </c>
      <c r="P1039" s="3">
        <v>1.96</v>
      </c>
      <c r="Q1039" s="3">
        <v>0</v>
      </c>
      <c r="R1039" s="3">
        <v>0</v>
      </c>
      <c r="S1039" s="3">
        <v>0</v>
      </c>
      <c r="T1039" s="3">
        <v>1</v>
      </c>
      <c r="U1039" s="3">
        <v>1</v>
      </c>
      <c r="V1039" s="3">
        <v>5</v>
      </c>
      <c r="W1039" s="3" t="s">
        <v>1720</v>
      </c>
      <c r="X1039" s="3">
        <v>15.99</v>
      </c>
      <c r="Y1039" s="3">
        <v>15.99</v>
      </c>
      <c r="Z1039" s="3">
        <v>15.99</v>
      </c>
      <c r="AA1039" s="3">
        <v>0</v>
      </c>
      <c r="AB1039" s="3" t="s">
        <v>1721</v>
      </c>
      <c r="AC1039" s="3">
        <v>0</v>
      </c>
      <c r="AD1039" s="3">
        <v>14.82</v>
      </c>
      <c r="AE1039" s="3">
        <v>56</v>
      </c>
      <c r="AF1039" s="3">
        <v>0</v>
      </c>
      <c r="AG1039" s="3">
        <v>45.20753</v>
      </c>
      <c r="AH1039" s="3">
        <v>1.42857142857142</v>
      </c>
      <c r="AI1039" s="3" t="s">
        <v>4967</v>
      </c>
      <c r="AJ1039" s="3" t="s">
        <v>1783</v>
      </c>
    </row>
    <row r="1040" spans="1:36">
      <c r="A1040" s="4">
        <v>43277</v>
      </c>
      <c r="B1040" s="3" t="s">
        <v>264</v>
      </c>
      <c r="C1040" s="3" t="s">
        <v>265</v>
      </c>
      <c r="D1040" s="3" t="s">
        <v>266</v>
      </c>
      <c r="E1040" s="3" t="s">
        <v>267</v>
      </c>
      <c r="F1040" s="3" t="s">
        <v>1710</v>
      </c>
      <c r="G1040" s="3">
        <v>71</v>
      </c>
      <c r="H1040" s="3">
        <v>0</v>
      </c>
      <c r="I1040" s="3">
        <v>5</v>
      </c>
      <c r="J1040" s="3">
        <v>12</v>
      </c>
      <c r="K1040" s="3">
        <v>54</v>
      </c>
      <c r="L1040" s="3">
        <v>0</v>
      </c>
      <c r="M1040" s="3">
        <v>0</v>
      </c>
      <c r="N1040" s="3" t="s">
        <v>1711</v>
      </c>
      <c r="O1040" s="3">
        <v>64</v>
      </c>
      <c r="P1040" s="3">
        <v>83.72</v>
      </c>
      <c r="Q1040" s="3">
        <v>0</v>
      </c>
      <c r="R1040" s="3">
        <v>0</v>
      </c>
      <c r="S1040" s="3">
        <v>7</v>
      </c>
      <c r="T1040" s="3">
        <v>18</v>
      </c>
      <c r="U1040" s="3">
        <v>42</v>
      </c>
      <c r="V1040" s="3">
        <v>73</v>
      </c>
      <c r="W1040" s="3"/>
      <c r="X1040" s="3">
        <v>16.99</v>
      </c>
      <c r="Y1040" s="3">
        <v>16.99</v>
      </c>
      <c r="Z1040" s="3">
        <v>16.99</v>
      </c>
      <c r="AA1040" s="3">
        <v>0</v>
      </c>
      <c r="AB1040" s="3" t="s">
        <v>1713</v>
      </c>
      <c r="AC1040" s="3">
        <v>73</v>
      </c>
      <c r="AD1040" s="3">
        <v>16.99</v>
      </c>
      <c r="AE1040" s="3">
        <v>0</v>
      </c>
      <c r="AF1040" s="3">
        <v>0</v>
      </c>
      <c r="AG1040" s="3">
        <v>0</v>
      </c>
      <c r="AH1040" s="3">
        <v>0.423802612481857</v>
      </c>
      <c r="AI1040" s="3" t="s">
        <v>4968</v>
      </c>
      <c r="AJ1040" s="3" t="s">
        <v>1715</v>
      </c>
    </row>
    <row r="1041" spans="1:36">
      <c r="A1041" s="4">
        <v>43277</v>
      </c>
      <c r="B1041" s="3" t="s">
        <v>4969</v>
      </c>
      <c r="C1041" s="3" t="s">
        <v>4970</v>
      </c>
      <c r="D1041" s="3" t="s">
        <v>4971</v>
      </c>
      <c r="E1041" s="3" t="s">
        <v>4972</v>
      </c>
      <c r="F1041" s="3" t="s">
        <v>1710</v>
      </c>
      <c r="G1041" s="3">
        <v>1</v>
      </c>
      <c r="H1041" s="3">
        <v>0</v>
      </c>
      <c r="I1041" s="3">
        <v>1</v>
      </c>
      <c r="J1041" s="3">
        <v>0</v>
      </c>
      <c r="K1041" s="3">
        <v>0</v>
      </c>
      <c r="L1041" s="3">
        <v>0</v>
      </c>
      <c r="M1041" s="3">
        <v>0</v>
      </c>
      <c r="N1041" s="3" t="s">
        <v>1711</v>
      </c>
      <c r="O1041" s="3">
        <v>0</v>
      </c>
      <c r="P1041" s="3">
        <v>0</v>
      </c>
      <c r="Q1041" s="3">
        <v>0</v>
      </c>
      <c r="R1041" s="3">
        <v>0</v>
      </c>
      <c r="S1041" s="3">
        <v>0</v>
      </c>
      <c r="T1041" s="3">
        <v>2</v>
      </c>
      <c r="U1041" s="3">
        <v>5</v>
      </c>
      <c r="V1041" s="3">
        <v>5</v>
      </c>
      <c r="W1041" s="3"/>
      <c r="X1041" s="3">
        <v>13.99</v>
      </c>
      <c r="Y1041" s="3">
        <v>13.99</v>
      </c>
      <c r="Z1041" s="3">
        <v>13.99</v>
      </c>
      <c r="AA1041" s="3">
        <v>0</v>
      </c>
      <c r="AB1041" s="3" t="s">
        <v>1713</v>
      </c>
      <c r="AC1041" s="3">
        <v>1</v>
      </c>
      <c r="AD1041" s="3">
        <v>13.99</v>
      </c>
      <c r="AE1041" s="3">
        <v>0</v>
      </c>
      <c r="AF1041" s="3">
        <v>0</v>
      </c>
      <c r="AG1041" s="3">
        <v>0</v>
      </c>
      <c r="AH1041" s="3">
        <v>3.33333333333333</v>
      </c>
      <c r="AI1041" s="3" t="s">
        <v>1905</v>
      </c>
      <c r="AJ1041" s="3" t="s">
        <v>1715</v>
      </c>
    </row>
    <row r="1042" spans="1:36">
      <c r="A1042" s="4">
        <v>43277</v>
      </c>
      <c r="B1042" s="3" t="s">
        <v>851</v>
      </c>
      <c r="C1042" s="3" t="s">
        <v>852</v>
      </c>
      <c r="D1042" s="3" t="s">
        <v>853</v>
      </c>
      <c r="E1042" s="3" t="s">
        <v>854</v>
      </c>
      <c r="F1042" s="3" t="s">
        <v>1710</v>
      </c>
      <c r="G1042" s="3">
        <v>27</v>
      </c>
      <c r="H1042" s="3">
        <v>0</v>
      </c>
      <c r="I1042" s="3">
        <v>27</v>
      </c>
      <c r="J1042" s="3">
        <v>0</v>
      </c>
      <c r="K1042" s="3">
        <v>0</v>
      </c>
      <c r="L1042" s="3">
        <v>0</v>
      </c>
      <c r="M1042" s="3">
        <v>0</v>
      </c>
      <c r="N1042" s="3" t="s">
        <v>1711</v>
      </c>
      <c r="O1042" s="3">
        <v>0</v>
      </c>
      <c r="P1042" s="3">
        <v>0</v>
      </c>
      <c r="Q1042" s="3">
        <v>0</v>
      </c>
      <c r="R1042" s="3">
        <v>0</v>
      </c>
      <c r="S1042" s="3">
        <v>7</v>
      </c>
      <c r="T1042" s="3">
        <v>23</v>
      </c>
      <c r="U1042" s="3">
        <v>48</v>
      </c>
      <c r="V1042" s="3">
        <v>66</v>
      </c>
      <c r="W1042" s="3"/>
      <c r="X1042" s="3">
        <v>38</v>
      </c>
      <c r="Y1042" s="3">
        <v>28.58</v>
      </c>
      <c r="Z1042" s="3">
        <v>28.58</v>
      </c>
      <c r="AA1042" s="3">
        <v>0</v>
      </c>
      <c r="AB1042" s="3" t="s">
        <v>1713</v>
      </c>
      <c r="AC1042" s="3">
        <v>4</v>
      </c>
      <c r="AD1042" s="3">
        <v>28.58</v>
      </c>
      <c r="AE1042" s="3">
        <v>0</v>
      </c>
      <c r="AF1042" s="3">
        <v>0</v>
      </c>
      <c r="AG1042" s="3">
        <v>0</v>
      </c>
      <c r="AH1042" s="3">
        <v>3.77142857142857</v>
      </c>
      <c r="AI1042" s="3" t="s">
        <v>4635</v>
      </c>
      <c r="AJ1042" s="3" t="s">
        <v>1715</v>
      </c>
    </row>
    <row r="1043" spans="1:36">
      <c r="A1043" s="4">
        <v>43277</v>
      </c>
      <c r="B1043" s="3" t="s">
        <v>4973</v>
      </c>
      <c r="C1043" s="3" t="s">
        <v>4974</v>
      </c>
      <c r="D1043" s="3" t="s">
        <v>4975</v>
      </c>
      <c r="E1043" s="3" t="s">
        <v>4976</v>
      </c>
      <c r="F1043" s="3" t="s">
        <v>1710</v>
      </c>
      <c r="G1043" s="3">
        <v>12</v>
      </c>
      <c r="H1043" s="3">
        <v>0</v>
      </c>
      <c r="I1043" s="3">
        <v>12</v>
      </c>
      <c r="J1043" s="3">
        <v>0</v>
      </c>
      <c r="K1043" s="3">
        <v>0</v>
      </c>
      <c r="L1043" s="3">
        <v>0</v>
      </c>
      <c r="M1043" s="3">
        <v>0</v>
      </c>
      <c r="N1043" s="3" t="s">
        <v>1711</v>
      </c>
      <c r="O1043" s="3">
        <v>0</v>
      </c>
      <c r="P1043" s="3">
        <v>0</v>
      </c>
      <c r="Q1043" s="3">
        <v>0</v>
      </c>
      <c r="R1043" s="3">
        <v>0</v>
      </c>
      <c r="S1043" s="3">
        <v>4</v>
      </c>
      <c r="T1043" s="3">
        <v>10</v>
      </c>
      <c r="U1043" s="3">
        <v>14</v>
      </c>
      <c r="V1043" s="3">
        <v>16</v>
      </c>
      <c r="W1043" s="3"/>
      <c r="X1043" s="3">
        <v>28.99</v>
      </c>
      <c r="Y1043" s="3">
        <v>15.99</v>
      </c>
      <c r="Z1043" s="3">
        <v>15.55</v>
      </c>
      <c r="AA1043" s="3">
        <v>0</v>
      </c>
      <c r="AB1043" s="3" t="s">
        <v>1713</v>
      </c>
      <c r="AC1043" s="3">
        <v>0</v>
      </c>
      <c r="AD1043" s="3">
        <v>0</v>
      </c>
      <c r="AE1043" s="3">
        <v>0</v>
      </c>
      <c r="AF1043" s="3">
        <v>0</v>
      </c>
      <c r="AG1043" s="3">
        <v>0</v>
      </c>
      <c r="AH1043" s="3">
        <v>3.04761904761904</v>
      </c>
      <c r="AI1043" s="3" t="s">
        <v>2036</v>
      </c>
      <c r="AJ1043" s="3" t="s">
        <v>1715</v>
      </c>
    </row>
    <row r="1044" spans="1:36">
      <c r="A1044" s="4">
        <v>43277</v>
      </c>
      <c r="B1044" s="3" t="s">
        <v>683</v>
      </c>
      <c r="C1044" s="3" t="s">
        <v>684</v>
      </c>
      <c r="D1044" s="3" t="s">
        <v>685</v>
      </c>
      <c r="E1044" s="3" t="s">
        <v>686</v>
      </c>
      <c r="F1044" s="3" t="s">
        <v>1710</v>
      </c>
      <c r="G1044" s="3">
        <v>47</v>
      </c>
      <c r="H1044" s="3">
        <v>0</v>
      </c>
      <c r="I1044" s="3">
        <v>47</v>
      </c>
      <c r="J1044" s="3">
        <v>0</v>
      </c>
      <c r="K1044" s="3">
        <v>0</v>
      </c>
      <c r="L1044" s="3">
        <v>0</v>
      </c>
      <c r="M1044" s="3">
        <v>0</v>
      </c>
      <c r="N1044" s="3" t="s">
        <v>1711</v>
      </c>
      <c r="O1044" s="3">
        <v>0</v>
      </c>
      <c r="P1044" s="3">
        <v>0</v>
      </c>
      <c r="Q1044" s="3">
        <v>0</v>
      </c>
      <c r="R1044" s="3">
        <v>0</v>
      </c>
      <c r="S1044" s="3">
        <v>7</v>
      </c>
      <c r="T1044" s="3">
        <v>47</v>
      </c>
      <c r="U1044" s="3">
        <v>73</v>
      </c>
      <c r="V1044" s="3">
        <v>94</v>
      </c>
      <c r="W1044" s="3"/>
      <c r="X1044" s="3">
        <v>38</v>
      </c>
      <c r="Y1044" s="3">
        <v>28.58</v>
      </c>
      <c r="Z1044" s="3">
        <v>28.58</v>
      </c>
      <c r="AA1044" s="3">
        <v>0</v>
      </c>
      <c r="AB1044" s="3" t="s">
        <v>1713</v>
      </c>
      <c r="AC1044" s="3">
        <v>51</v>
      </c>
      <c r="AD1044" s="3">
        <v>28.58</v>
      </c>
      <c r="AE1044" s="3">
        <v>0</v>
      </c>
      <c r="AF1044" s="3">
        <v>0</v>
      </c>
      <c r="AG1044" s="3">
        <v>0</v>
      </c>
      <c r="AH1044" s="3">
        <v>2.78518518518518</v>
      </c>
      <c r="AI1044" s="3" t="s">
        <v>1751</v>
      </c>
      <c r="AJ1044" s="3" t="s">
        <v>1715</v>
      </c>
    </row>
    <row r="1045" spans="1:36">
      <c r="A1045" s="4">
        <v>43277</v>
      </c>
      <c r="B1045" s="3" t="s">
        <v>4977</v>
      </c>
      <c r="C1045" s="3" t="s">
        <v>4978</v>
      </c>
      <c r="D1045" s="3" t="s">
        <v>4979</v>
      </c>
      <c r="E1045" s="3" t="s">
        <v>4980</v>
      </c>
      <c r="F1045" s="3" t="s">
        <v>1710</v>
      </c>
      <c r="G1045" s="3">
        <v>3</v>
      </c>
      <c r="H1045" s="3">
        <v>0</v>
      </c>
      <c r="I1045" s="3">
        <v>0</v>
      </c>
      <c r="J1045" s="3">
        <v>1</v>
      </c>
      <c r="K1045" s="3">
        <v>0</v>
      </c>
      <c r="L1045" s="3">
        <v>0</v>
      </c>
      <c r="M1045" s="3">
        <v>2</v>
      </c>
      <c r="N1045" s="3" t="s">
        <v>1711</v>
      </c>
      <c r="O1045" s="3">
        <v>0</v>
      </c>
      <c r="P1045" s="3">
        <v>0</v>
      </c>
      <c r="Q1045" s="3">
        <v>2</v>
      </c>
      <c r="R1045" s="3">
        <v>4.74</v>
      </c>
      <c r="S1045" s="3">
        <v>0</v>
      </c>
      <c r="T1045" s="3">
        <v>0</v>
      </c>
      <c r="U1045" s="3">
        <v>1</v>
      </c>
      <c r="V1045" s="3">
        <v>1</v>
      </c>
      <c r="W1045" s="3" t="s">
        <v>1720</v>
      </c>
      <c r="X1045" s="3">
        <v>15.18</v>
      </c>
      <c r="Y1045" s="3">
        <v>15.18</v>
      </c>
      <c r="Z1045" s="3">
        <v>15.18</v>
      </c>
      <c r="AA1045" s="3">
        <v>0</v>
      </c>
      <c r="AB1045" s="3" t="s">
        <v>1732</v>
      </c>
      <c r="AC1045" s="3">
        <v>0</v>
      </c>
      <c r="AD1045" s="3">
        <v>12.63</v>
      </c>
      <c r="AE1045" s="3">
        <v>315</v>
      </c>
      <c r="AF1045" s="3">
        <v>0</v>
      </c>
      <c r="AG1045" s="3">
        <v>52.012939</v>
      </c>
      <c r="AH1045" s="3">
        <v>0.285714285714285</v>
      </c>
      <c r="AI1045" s="3" t="s">
        <v>2970</v>
      </c>
      <c r="AJ1045" s="3" t="s">
        <v>1715</v>
      </c>
    </row>
    <row r="1046" spans="1:36">
      <c r="A1046" s="4">
        <v>43277</v>
      </c>
      <c r="B1046" s="3" t="s">
        <v>719</v>
      </c>
      <c r="C1046" s="3" t="s">
        <v>720</v>
      </c>
      <c r="D1046" s="3" t="s">
        <v>721</v>
      </c>
      <c r="E1046" s="3" t="s">
        <v>722</v>
      </c>
      <c r="F1046" s="3" t="s">
        <v>1710</v>
      </c>
      <c r="G1046" s="3">
        <v>4</v>
      </c>
      <c r="H1046" s="3">
        <v>0</v>
      </c>
      <c r="I1046" s="3">
        <v>4</v>
      </c>
      <c r="J1046" s="3">
        <v>0</v>
      </c>
      <c r="K1046" s="3">
        <v>0</v>
      </c>
      <c r="L1046" s="3">
        <v>0</v>
      </c>
      <c r="M1046" s="3">
        <v>0</v>
      </c>
      <c r="N1046" s="3" t="s">
        <v>1711</v>
      </c>
      <c r="O1046" s="3">
        <v>0</v>
      </c>
      <c r="P1046" s="3">
        <v>0</v>
      </c>
      <c r="Q1046" s="3">
        <v>0</v>
      </c>
      <c r="R1046" s="3">
        <v>0</v>
      </c>
      <c r="S1046" s="3">
        <v>3</v>
      </c>
      <c r="T1046" s="3">
        <v>6</v>
      </c>
      <c r="U1046" s="3">
        <v>8</v>
      </c>
      <c r="V1046" s="3">
        <v>13</v>
      </c>
      <c r="W1046" s="3"/>
      <c r="X1046" s="3">
        <v>28.58</v>
      </c>
      <c r="Y1046" s="3">
        <v>28.58</v>
      </c>
      <c r="Z1046" s="3">
        <v>28</v>
      </c>
      <c r="AA1046" s="3">
        <v>0</v>
      </c>
      <c r="AB1046" s="3" t="s">
        <v>1713</v>
      </c>
      <c r="AC1046" s="3">
        <v>6</v>
      </c>
      <c r="AD1046" s="3">
        <v>28.58</v>
      </c>
      <c r="AE1046" s="3">
        <v>0</v>
      </c>
      <c r="AF1046" s="3">
        <v>0</v>
      </c>
      <c r="AG1046" s="3">
        <v>0</v>
      </c>
      <c r="AH1046" s="3">
        <v>1.625</v>
      </c>
      <c r="AI1046" s="3" t="s">
        <v>1751</v>
      </c>
      <c r="AJ1046" s="3" t="s">
        <v>1715</v>
      </c>
    </row>
    <row r="1047" spans="1:36">
      <c r="A1047" s="4">
        <v>43277</v>
      </c>
      <c r="B1047" s="3" t="s">
        <v>232</v>
      </c>
      <c r="C1047" s="3" t="s">
        <v>233</v>
      </c>
      <c r="D1047" s="3" t="s">
        <v>234</v>
      </c>
      <c r="E1047" s="3" t="s">
        <v>235</v>
      </c>
      <c r="F1047" s="3" t="s">
        <v>1710</v>
      </c>
      <c r="G1047" s="3">
        <v>21</v>
      </c>
      <c r="H1047" s="3">
        <v>0</v>
      </c>
      <c r="I1047" s="3">
        <v>21</v>
      </c>
      <c r="J1047" s="3">
        <v>0</v>
      </c>
      <c r="K1047" s="3">
        <v>0</v>
      </c>
      <c r="L1047" s="3">
        <v>0</v>
      </c>
      <c r="M1047" s="3">
        <v>0</v>
      </c>
      <c r="N1047" s="3" t="s">
        <v>1711</v>
      </c>
      <c r="O1047" s="3">
        <v>0</v>
      </c>
      <c r="P1047" s="3">
        <v>0</v>
      </c>
      <c r="Q1047" s="3">
        <v>0</v>
      </c>
      <c r="R1047" s="3">
        <v>0</v>
      </c>
      <c r="S1047" s="3">
        <v>8</v>
      </c>
      <c r="T1047" s="3">
        <v>33</v>
      </c>
      <c r="U1047" s="3">
        <v>42</v>
      </c>
      <c r="V1047" s="3">
        <v>52</v>
      </c>
      <c r="W1047" s="3"/>
      <c r="X1047" s="3">
        <v>14.99</v>
      </c>
      <c r="Y1047" s="3">
        <v>14.99</v>
      </c>
      <c r="Z1047" s="3">
        <v>14.99</v>
      </c>
      <c r="AA1047" s="3">
        <v>0</v>
      </c>
      <c r="AB1047" s="3" t="s">
        <v>1713</v>
      </c>
      <c r="AC1047" s="3">
        <v>16</v>
      </c>
      <c r="AD1047" s="3">
        <v>14.99</v>
      </c>
      <c r="AE1047" s="3">
        <v>0</v>
      </c>
      <c r="AF1047" s="3">
        <v>0</v>
      </c>
      <c r="AG1047" s="3">
        <v>0</v>
      </c>
      <c r="AH1047" s="3">
        <v>3.92452830188679</v>
      </c>
      <c r="AI1047" s="3" t="s">
        <v>4981</v>
      </c>
      <c r="AJ1047" s="3" t="s">
        <v>1715</v>
      </c>
    </row>
    <row r="1048" spans="1:36">
      <c r="A1048" s="4">
        <v>43277</v>
      </c>
      <c r="B1048" s="3" t="s">
        <v>4982</v>
      </c>
      <c r="C1048" s="3" t="s">
        <v>4983</v>
      </c>
      <c r="D1048" s="3" t="s">
        <v>4984</v>
      </c>
      <c r="E1048" s="3" t="s">
        <v>4985</v>
      </c>
      <c r="F1048" s="3" t="s">
        <v>1710</v>
      </c>
      <c r="G1048" s="3">
        <v>7</v>
      </c>
      <c r="H1048" s="3">
        <v>0</v>
      </c>
      <c r="I1048" s="3">
        <v>3</v>
      </c>
      <c r="J1048" s="3">
        <v>0</v>
      </c>
      <c r="K1048" s="3">
        <v>0</v>
      </c>
      <c r="L1048" s="3">
        <v>4</v>
      </c>
      <c r="M1048" s="3">
        <v>0</v>
      </c>
      <c r="N1048" s="3" t="s">
        <v>1711</v>
      </c>
      <c r="O1048" s="3">
        <v>2</v>
      </c>
      <c r="P1048" s="3">
        <v>4.17</v>
      </c>
      <c r="Q1048" s="3">
        <v>2</v>
      </c>
      <c r="R1048" s="3">
        <v>8.35</v>
      </c>
      <c r="S1048" s="3">
        <v>0</v>
      </c>
      <c r="T1048" s="3">
        <v>4</v>
      </c>
      <c r="U1048" s="3">
        <v>6</v>
      </c>
      <c r="V1048" s="3">
        <v>10</v>
      </c>
      <c r="W1048" s="3"/>
      <c r="X1048" s="3">
        <v>38</v>
      </c>
      <c r="Y1048" s="3">
        <v>19.58</v>
      </c>
      <c r="Z1048" s="3">
        <v>19.58</v>
      </c>
      <c r="AA1048" s="3">
        <v>0</v>
      </c>
      <c r="AB1048" s="3" t="s">
        <v>1732</v>
      </c>
      <c r="AC1048" s="3">
        <v>7</v>
      </c>
      <c r="AD1048" s="3">
        <v>18.11</v>
      </c>
      <c r="AE1048" s="3">
        <v>7</v>
      </c>
      <c r="AF1048" s="3">
        <v>0</v>
      </c>
      <c r="AG1048" s="3">
        <v>0</v>
      </c>
      <c r="AH1048" s="3">
        <v>0.869565217391304</v>
      </c>
      <c r="AI1048" s="3" t="s">
        <v>1801</v>
      </c>
      <c r="AJ1048" s="3" t="s">
        <v>1715</v>
      </c>
    </row>
    <row r="1049" spans="1:36">
      <c r="A1049" s="4">
        <v>43277</v>
      </c>
      <c r="B1049" s="3" t="s">
        <v>435</v>
      </c>
      <c r="C1049" s="3" t="s">
        <v>436</v>
      </c>
      <c r="D1049" s="3" t="s">
        <v>437</v>
      </c>
      <c r="E1049" s="3" t="s">
        <v>438</v>
      </c>
      <c r="F1049" s="3" t="s">
        <v>1710</v>
      </c>
      <c r="G1049" s="3">
        <v>33</v>
      </c>
      <c r="H1049" s="3">
        <v>0</v>
      </c>
      <c r="I1049" s="3">
        <v>33</v>
      </c>
      <c r="J1049" s="3">
        <v>0</v>
      </c>
      <c r="K1049" s="3">
        <v>0</v>
      </c>
      <c r="L1049" s="3">
        <v>0</v>
      </c>
      <c r="M1049" s="3">
        <v>0</v>
      </c>
      <c r="N1049" s="3" t="s">
        <v>1711</v>
      </c>
      <c r="O1049" s="3">
        <v>0</v>
      </c>
      <c r="P1049" s="3">
        <v>0</v>
      </c>
      <c r="Q1049" s="3">
        <v>0</v>
      </c>
      <c r="R1049" s="3">
        <v>0</v>
      </c>
      <c r="S1049" s="3">
        <v>3</v>
      </c>
      <c r="T1049" s="3">
        <v>14</v>
      </c>
      <c r="U1049" s="3">
        <v>26</v>
      </c>
      <c r="V1049" s="3">
        <v>27</v>
      </c>
      <c r="W1049" s="3"/>
      <c r="X1049" s="3">
        <v>32.99</v>
      </c>
      <c r="Y1049" s="3">
        <v>28.58</v>
      </c>
      <c r="Z1049" s="3">
        <v>28.58</v>
      </c>
      <c r="AA1049" s="3">
        <v>0</v>
      </c>
      <c r="AB1049" s="3" t="s">
        <v>1713</v>
      </c>
      <c r="AC1049" s="3">
        <v>21</v>
      </c>
      <c r="AD1049" s="3">
        <v>28.58</v>
      </c>
      <c r="AE1049" s="3">
        <v>0</v>
      </c>
      <c r="AF1049" s="3">
        <v>0</v>
      </c>
      <c r="AG1049" s="3">
        <v>0</v>
      </c>
      <c r="AH1049" s="3">
        <v>2.0377358490566</v>
      </c>
      <c r="AI1049" s="3" t="s">
        <v>4986</v>
      </c>
      <c r="AJ1049" s="3" t="s">
        <v>1715</v>
      </c>
    </row>
    <row r="1050" spans="1:36">
      <c r="A1050" s="4">
        <v>43277</v>
      </c>
      <c r="B1050" s="3" t="s">
        <v>4987</v>
      </c>
      <c r="C1050" s="3" t="s">
        <v>4988</v>
      </c>
      <c r="D1050" s="3" t="s">
        <v>4989</v>
      </c>
      <c r="E1050" s="3" t="s">
        <v>3621</v>
      </c>
      <c r="F1050" s="3" t="s">
        <v>1710</v>
      </c>
      <c r="G1050" s="3">
        <v>9</v>
      </c>
      <c r="H1050" s="3">
        <v>0</v>
      </c>
      <c r="I1050" s="3">
        <v>5</v>
      </c>
      <c r="J1050" s="3">
        <v>4</v>
      </c>
      <c r="K1050" s="3">
        <v>0</v>
      </c>
      <c r="L1050" s="3">
        <v>0</v>
      </c>
      <c r="M1050" s="3">
        <v>0</v>
      </c>
      <c r="N1050" s="3" t="s">
        <v>1711</v>
      </c>
      <c r="O1050" s="3">
        <v>0</v>
      </c>
      <c r="P1050" s="3">
        <v>0</v>
      </c>
      <c r="Q1050" s="3">
        <v>0</v>
      </c>
      <c r="R1050" s="3">
        <v>0</v>
      </c>
      <c r="S1050" s="3">
        <v>0</v>
      </c>
      <c r="T1050" s="3">
        <v>0</v>
      </c>
      <c r="U1050" s="3">
        <v>2</v>
      </c>
      <c r="V1050" s="3">
        <v>8</v>
      </c>
      <c r="W1050" s="3" t="s">
        <v>1712</v>
      </c>
      <c r="X1050" s="3">
        <v>27.99</v>
      </c>
      <c r="Y1050" s="3">
        <v>27.99</v>
      </c>
      <c r="Z1050" s="3">
        <v>25.99</v>
      </c>
      <c r="AA1050" s="3">
        <v>0</v>
      </c>
      <c r="AB1050" s="3" t="s">
        <v>1713</v>
      </c>
      <c r="AC1050" s="3">
        <v>9</v>
      </c>
      <c r="AD1050" s="3">
        <v>27.99</v>
      </c>
      <c r="AE1050" s="3">
        <v>0</v>
      </c>
      <c r="AF1050" s="3">
        <v>0</v>
      </c>
      <c r="AG1050" s="3">
        <v>0</v>
      </c>
      <c r="AH1050" s="3">
        <v>0.82051282051282</v>
      </c>
      <c r="AI1050" s="3" t="s">
        <v>1831</v>
      </c>
      <c r="AJ1050" s="3" t="s">
        <v>1715</v>
      </c>
    </row>
    <row r="1051" spans="1:36">
      <c r="A1051" s="4">
        <v>43277</v>
      </c>
      <c r="B1051" s="3" t="s">
        <v>4990</v>
      </c>
      <c r="C1051" s="3" t="s">
        <v>4991</v>
      </c>
      <c r="D1051" s="3" t="s">
        <v>4992</v>
      </c>
      <c r="E1051" s="3" t="s">
        <v>4993</v>
      </c>
      <c r="F1051" s="3" t="s">
        <v>1710</v>
      </c>
      <c r="G1051" s="3">
        <v>7</v>
      </c>
      <c r="H1051" s="3">
        <v>0</v>
      </c>
      <c r="I1051" s="3">
        <v>0</v>
      </c>
      <c r="J1051" s="3">
        <v>0</v>
      </c>
      <c r="K1051" s="3">
        <v>0</v>
      </c>
      <c r="L1051" s="3">
        <v>0</v>
      </c>
      <c r="M1051" s="3">
        <v>7</v>
      </c>
      <c r="N1051" s="3" t="s">
        <v>1711</v>
      </c>
      <c r="O1051" s="3">
        <v>0</v>
      </c>
      <c r="P1051" s="3">
        <v>0</v>
      </c>
      <c r="Q1051" s="3">
        <v>7</v>
      </c>
      <c r="R1051" s="3">
        <v>9.31</v>
      </c>
      <c r="S1051" s="3">
        <v>0</v>
      </c>
      <c r="T1051" s="3">
        <v>0</v>
      </c>
      <c r="U1051" s="3">
        <v>0</v>
      </c>
      <c r="V1051" s="3">
        <v>0</v>
      </c>
      <c r="W1051" s="3" t="s">
        <v>1720</v>
      </c>
      <c r="X1051" s="3">
        <v>19.99</v>
      </c>
      <c r="Y1051" s="3">
        <v>19.99</v>
      </c>
      <c r="Z1051" s="3">
        <v>19.99</v>
      </c>
      <c r="AA1051" s="3">
        <v>0</v>
      </c>
      <c r="AB1051" s="3" t="s">
        <v>1732</v>
      </c>
      <c r="AC1051" s="3">
        <v>0</v>
      </c>
      <c r="AD1051" s="3">
        <v>15.99</v>
      </c>
      <c r="AE1051" s="3">
        <v>63</v>
      </c>
      <c r="AF1051" s="3">
        <v>0</v>
      </c>
      <c r="AG1051" s="3">
        <v>61.579276</v>
      </c>
      <c r="AH1051" s="3">
        <v>0</v>
      </c>
      <c r="AI1051" s="3" t="s">
        <v>4994</v>
      </c>
      <c r="AJ1051" s="3" t="s">
        <v>1715</v>
      </c>
    </row>
    <row r="1052" spans="1:36">
      <c r="A1052" s="4">
        <v>43277</v>
      </c>
      <c r="B1052" s="3" t="s">
        <v>4995</v>
      </c>
      <c r="C1052" s="3" t="s">
        <v>4996</v>
      </c>
      <c r="D1052" s="3" t="s">
        <v>4997</v>
      </c>
      <c r="E1052" s="3" t="s">
        <v>4998</v>
      </c>
      <c r="F1052" s="3" t="s">
        <v>1710</v>
      </c>
      <c r="G1052" s="3">
        <v>8</v>
      </c>
      <c r="H1052" s="3">
        <v>0</v>
      </c>
      <c r="I1052" s="3">
        <v>0</v>
      </c>
      <c r="J1052" s="3">
        <v>0</v>
      </c>
      <c r="K1052" s="3">
        <v>8</v>
      </c>
      <c r="L1052" s="3">
        <v>0</v>
      </c>
      <c r="M1052" s="3">
        <v>0</v>
      </c>
      <c r="N1052" s="3" t="s">
        <v>1711</v>
      </c>
      <c r="O1052" s="3">
        <v>8</v>
      </c>
      <c r="P1052" s="3">
        <v>0.05</v>
      </c>
      <c r="Q1052" s="3">
        <v>0</v>
      </c>
      <c r="R1052" s="3">
        <v>0</v>
      </c>
      <c r="S1052" s="3">
        <v>0</v>
      </c>
      <c r="T1052" s="3">
        <v>0</v>
      </c>
      <c r="U1052" s="3">
        <v>0</v>
      </c>
      <c r="V1052" s="3">
        <v>0</v>
      </c>
      <c r="W1052" s="3" t="s">
        <v>1720</v>
      </c>
      <c r="X1052" s="3">
        <v>17.99</v>
      </c>
      <c r="Y1052" s="3">
        <v>17.99</v>
      </c>
      <c r="Z1052" s="3">
        <v>17.99</v>
      </c>
      <c r="AA1052" s="3">
        <v>0</v>
      </c>
      <c r="AB1052" s="3" t="s">
        <v>1732</v>
      </c>
      <c r="AC1052" s="3">
        <v>0</v>
      </c>
      <c r="AD1052" s="3">
        <v>16.56</v>
      </c>
      <c r="AE1052" s="3">
        <v>273</v>
      </c>
      <c r="AF1052" s="3">
        <v>0</v>
      </c>
      <c r="AG1052" s="3">
        <v>74.308071</v>
      </c>
      <c r="AH1052" s="3">
        <v>0</v>
      </c>
      <c r="AI1052" s="3" t="s">
        <v>1782</v>
      </c>
      <c r="AJ1052" s="3" t="s">
        <v>1715</v>
      </c>
    </row>
    <row r="1053" spans="1:36">
      <c r="A1053" s="4">
        <v>43277</v>
      </c>
      <c r="B1053" s="3" t="s">
        <v>365</v>
      </c>
      <c r="C1053" s="3" t="s">
        <v>366</v>
      </c>
      <c r="D1053" s="3" t="s">
        <v>367</v>
      </c>
      <c r="E1053" s="3" t="s">
        <v>353</v>
      </c>
      <c r="F1053" s="3" t="s">
        <v>1710</v>
      </c>
      <c r="G1053" s="3">
        <v>14</v>
      </c>
      <c r="H1053" s="3">
        <v>0</v>
      </c>
      <c r="I1053" s="3">
        <v>14</v>
      </c>
      <c r="J1053" s="3">
        <v>0</v>
      </c>
      <c r="K1053" s="3">
        <v>0</v>
      </c>
      <c r="L1053" s="3">
        <v>0</v>
      </c>
      <c r="M1053" s="3">
        <v>0</v>
      </c>
      <c r="N1053" s="3" t="s">
        <v>1711</v>
      </c>
      <c r="O1053" s="3">
        <v>0</v>
      </c>
      <c r="P1053" s="3">
        <v>0</v>
      </c>
      <c r="Q1053" s="3">
        <v>0</v>
      </c>
      <c r="R1053" s="3">
        <v>0</v>
      </c>
      <c r="S1053" s="3">
        <v>5</v>
      </c>
      <c r="T1053" s="3">
        <v>17</v>
      </c>
      <c r="U1053" s="3">
        <v>25</v>
      </c>
      <c r="V1053" s="3">
        <v>29</v>
      </c>
      <c r="W1053" s="3"/>
      <c r="X1053" s="3">
        <v>25.58</v>
      </c>
      <c r="Y1053" s="3">
        <v>25.58</v>
      </c>
      <c r="Z1053" s="3">
        <v>25.58</v>
      </c>
      <c r="AA1053" s="3">
        <v>0</v>
      </c>
      <c r="AB1053" s="3" t="s">
        <v>1713</v>
      </c>
      <c r="AC1053" s="3">
        <v>17</v>
      </c>
      <c r="AD1053" s="3">
        <v>25.58</v>
      </c>
      <c r="AE1053" s="3">
        <v>0</v>
      </c>
      <c r="AF1053" s="3">
        <v>0</v>
      </c>
      <c r="AG1053" s="3">
        <v>0</v>
      </c>
      <c r="AH1053" s="3">
        <v>2.46808510638297</v>
      </c>
      <c r="AI1053" s="3" t="s">
        <v>2776</v>
      </c>
      <c r="AJ1053" s="3" t="s">
        <v>1715</v>
      </c>
    </row>
    <row r="1054" spans="1:36">
      <c r="A1054" s="4">
        <v>43277</v>
      </c>
      <c r="B1054" s="3" t="s">
        <v>1070</v>
      </c>
      <c r="C1054" s="3" t="s">
        <v>1071</v>
      </c>
      <c r="D1054" s="3" t="s">
        <v>1072</v>
      </c>
      <c r="E1054" s="3" t="s">
        <v>1073</v>
      </c>
      <c r="F1054" s="3" t="s">
        <v>1710</v>
      </c>
      <c r="G1054" s="3">
        <v>32</v>
      </c>
      <c r="H1054" s="3">
        <v>0</v>
      </c>
      <c r="I1054" s="3">
        <v>32</v>
      </c>
      <c r="J1054" s="3">
        <v>0</v>
      </c>
      <c r="K1054" s="3">
        <v>0</v>
      </c>
      <c r="L1054" s="3">
        <v>0</v>
      </c>
      <c r="M1054" s="3">
        <v>0</v>
      </c>
      <c r="N1054" s="3" t="s">
        <v>1711</v>
      </c>
      <c r="O1054" s="3">
        <v>0</v>
      </c>
      <c r="P1054" s="3">
        <v>0</v>
      </c>
      <c r="Q1054" s="3">
        <v>0</v>
      </c>
      <c r="R1054" s="3">
        <v>0</v>
      </c>
      <c r="S1054" s="3">
        <v>0</v>
      </c>
      <c r="T1054" s="3">
        <v>0</v>
      </c>
      <c r="U1054" s="3">
        <v>8</v>
      </c>
      <c r="V1054" s="3">
        <v>48</v>
      </c>
      <c r="W1054" s="3" t="s">
        <v>1712</v>
      </c>
      <c r="X1054" s="3">
        <v>28.99</v>
      </c>
      <c r="Y1054" s="3">
        <v>28.99</v>
      </c>
      <c r="Z1054" s="3">
        <v>28.99</v>
      </c>
      <c r="AA1054" s="3">
        <v>0</v>
      </c>
      <c r="AB1054" s="3" t="s">
        <v>1713</v>
      </c>
      <c r="AC1054" s="3">
        <v>0</v>
      </c>
      <c r="AD1054" s="3">
        <v>0</v>
      </c>
      <c r="AE1054" s="3">
        <v>0</v>
      </c>
      <c r="AF1054" s="3">
        <v>0</v>
      </c>
      <c r="AG1054" s="3">
        <v>0</v>
      </c>
      <c r="AH1054" s="3">
        <v>14.7692307692307</v>
      </c>
      <c r="AI1054" s="3" t="s">
        <v>1784</v>
      </c>
      <c r="AJ1054" s="3" t="s">
        <v>1715</v>
      </c>
    </row>
    <row r="1055" spans="1:36">
      <c r="A1055" s="4">
        <v>43277</v>
      </c>
      <c r="B1055" s="3" t="s">
        <v>4999</v>
      </c>
      <c r="C1055" s="3" t="s">
        <v>5000</v>
      </c>
      <c r="D1055" s="3" t="s">
        <v>5001</v>
      </c>
      <c r="E1055" s="3" t="s">
        <v>3507</v>
      </c>
      <c r="F1055" s="3" t="s">
        <v>1710</v>
      </c>
      <c r="G1055" s="3">
        <v>3</v>
      </c>
      <c r="H1055" s="3">
        <v>0</v>
      </c>
      <c r="I1055" s="3">
        <v>0</v>
      </c>
      <c r="J1055" s="3">
        <v>0</v>
      </c>
      <c r="K1055" s="3">
        <v>0</v>
      </c>
      <c r="L1055" s="3">
        <v>1</v>
      </c>
      <c r="M1055" s="3">
        <v>2</v>
      </c>
      <c r="N1055" s="3" t="s">
        <v>1711</v>
      </c>
      <c r="O1055" s="3">
        <v>0</v>
      </c>
      <c r="P1055" s="3">
        <v>0</v>
      </c>
      <c r="Q1055" s="3">
        <v>3</v>
      </c>
      <c r="R1055" s="3">
        <v>4.48</v>
      </c>
      <c r="S1055" s="3">
        <v>0</v>
      </c>
      <c r="T1055" s="3">
        <v>0</v>
      </c>
      <c r="U1055" s="3">
        <v>0</v>
      </c>
      <c r="V1055" s="3">
        <v>1</v>
      </c>
      <c r="W1055" s="3" t="s">
        <v>1720</v>
      </c>
      <c r="X1055" s="3">
        <v>15.99</v>
      </c>
      <c r="Y1055" s="3">
        <v>15.99</v>
      </c>
      <c r="Z1055" s="3">
        <v>15.99</v>
      </c>
      <c r="AA1055" s="3">
        <v>0</v>
      </c>
      <c r="AB1055" s="3" t="s">
        <v>1721</v>
      </c>
      <c r="AC1055" s="3">
        <v>0</v>
      </c>
      <c r="AD1055" s="3">
        <v>13.63</v>
      </c>
      <c r="AE1055" s="3">
        <v>231</v>
      </c>
      <c r="AF1055" s="3">
        <v>0</v>
      </c>
      <c r="AG1055" s="3">
        <v>43.26249</v>
      </c>
      <c r="AH1055" s="3">
        <v>0.307692307692307</v>
      </c>
      <c r="AI1055" s="3" t="s">
        <v>3508</v>
      </c>
      <c r="AJ1055" s="3" t="s">
        <v>1715</v>
      </c>
    </row>
    <row r="1056" spans="1:36">
      <c r="A1056" s="4">
        <v>43277</v>
      </c>
      <c r="B1056" s="3" t="s">
        <v>236</v>
      </c>
      <c r="C1056" s="3" t="s">
        <v>237</v>
      </c>
      <c r="D1056" s="3" t="s">
        <v>238</v>
      </c>
      <c r="E1056" s="3" t="s">
        <v>239</v>
      </c>
      <c r="F1056" s="3" t="s">
        <v>1710</v>
      </c>
      <c r="G1056" s="3">
        <v>17</v>
      </c>
      <c r="H1056" s="3">
        <v>0</v>
      </c>
      <c r="I1056" s="3">
        <v>17</v>
      </c>
      <c r="J1056" s="3">
        <v>0</v>
      </c>
      <c r="K1056" s="3">
        <v>0</v>
      </c>
      <c r="L1056" s="3">
        <v>0</v>
      </c>
      <c r="M1056" s="3">
        <v>0</v>
      </c>
      <c r="N1056" s="3" t="s">
        <v>1711</v>
      </c>
      <c r="O1056" s="3">
        <v>0</v>
      </c>
      <c r="P1056" s="3">
        <v>0</v>
      </c>
      <c r="Q1056" s="3">
        <v>0</v>
      </c>
      <c r="R1056" s="3">
        <v>0</v>
      </c>
      <c r="S1056" s="3">
        <v>2</v>
      </c>
      <c r="T1056" s="3">
        <v>8</v>
      </c>
      <c r="U1056" s="3">
        <v>8</v>
      </c>
      <c r="V1056" s="3">
        <v>8</v>
      </c>
      <c r="W1056" s="3"/>
      <c r="X1056" s="3">
        <v>14.99</v>
      </c>
      <c r="Y1056" s="3">
        <v>14.99</v>
      </c>
      <c r="Z1056" s="3">
        <v>14.99</v>
      </c>
      <c r="AA1056" s="3">
        <v>0</v>
      </c>
      <c r="AB1056" s="3" t="s">
        <v>1732</v>
      </c>
      <c r="AC1056" s="3">
        <v>3</v>
      </c>
      <c r="AD1056" s="3">
        <v>13.81</v>
      </c>
      <c r="AE1056" s="3">
        <v>231</v>
      </c>
      <c r="AF1056" s="3">
        <v>0</v>
      </c>
      <c r="AG1056" s="3">
        <v>188.329257</v>
      </c>
      <c r="AH1056" s="3">
        <v>0.470588235294117</v>
      </c>
      <c r="AI1056" s="3" t="s">
        <v>2467</v>
      </c>
      <c r="AJ1056" s="3" t="s">
        <v>1715</v>
      </c>
    </row>
    <row r="1057" spans="1:36">
      <c r="A1057" s="4">
        <v>43277</v>
      </c>
      <c r="B1057" s="3" t="s">
        <v>5002</v>
      </c>
      <c r="C1057" s="3" t="s">
        <v>5003</v>
      </c>
      <c r="D1057" s="3" t="s">
        <v>5004</v>
      </c>
      <c r="E1057" s="3" t="s">
        <v>5005</v>
      </c>
      <c r="F1057" s="3" t="s">
        <v>1710</v>
      </c>
      <c r="G1057" s="3">
        <v>4</v>
      </c>
      <c r="H1057" s="3">
        <v>0</v>
      </c>
      <c r="I1057" s="3">
        <v>0</v>
      </c>
      <c r="J1057" s="3">
        <v>0</v>
      </c>
      <c r="K1057" s="3">
        <v>4</v>
      </c>
      <c r="L1057" s="3">
        <v>0</v>
      </c>
      <c r="M1057" s="3">
        <v>0</v>
      </c>
      <c r="N1057" s="3" t="s">
        <v>1711</v>
      </c>
      <c r="O1057" s="3">
        <v>4</v>
      </c>
      <c r="P1057" s="3">
        <v>5.3</v>
      </c>
      <c r="Q1057" s="3">
        <v>0</v>
      </c>
      <c r="R1057" s="3">
        <v>0</v>
      </c>
      <c r="S1057" s="3">
        <v>0</v>
      </c>
      <c r="T1057" s="3">
        <v>0</v>
      </c>
      <c r="U1057" s="3">
        <v>0</v>
      </c>
      <c r="V1057" s="3">
        <v>1</v>
      </c>
      <c r="W1057" s="3" t="s">
        <v>1720</v>
      </c>
      <c r="X1057" s="3">
        <v>18.99</v>
      </c>
      <c r="Y1057" s="3">
        <v>18.99</v>
      </c>
      <c r="Z1057" s="3">
        <v>18.99</v>
      </c>
      <c r="AA1057" s="3">
        <v>0</v>
      </c>
      <c r="AB1057" s="3" t="s">
        <v>1721</v>
      </c>
      <c r="AC1057" s="3">
        <v>0</v>
      </c>
      <c r="AD1057" s="3">
        <v>16.75</v>
      </c>
      <c r="AE1057" s="3">
        <v>175</v>
      </c>
      <c r="AF1057" s="3">
        <v>0</v>
      </c>
      <c r="AG1057" s="3">
        <v>93.110005</v>
      </c>
      <c r="AH1057" s="3">
        <v>0.235294117647058</v>
      </c>
      <c r="AI1057" s="3" t="s">
        <v>2398</v>
      </c>
      <c r="AJ1057" s="3" t="s">
        <v>1715</v>
      </c>
    </row>
    <row r="1058" spans="1:36">
      <c r="A1058" s="4">
        <v>43277</v>
      </c>
      <c r="B1058" s="3" t="s">
        <v>5006</v>
      </c>
      <c r="C1058" s="3" t="s">
        <v>5007</v>
      </c>
      <c r="D1058" s="3" t="s">
        <v>5008</v>
      </c>
      <c r="E1058" s="3" t="s">
        <v>5009</v>
      </c>
      <c r="F1058" s="3" t="s">
        <v>1710</v>
      </c>
      <c r="G1058" s="3">
        <v>14</v>
      </c>
      <c r="H1058" s="3">
        <v>0</v>
      </c>
      <c r="I1058" s="3">
        <v>14</v>
      </c>
      <c r="J1058" s="3">
        <v>0</v>
      </c>
      <c r="K1058" s="3">
        <v>0</v>
      </c>
      <c r="L1058" s="3">
        <v>0</v>
      </c>
      <c r="M1058" s="3">
        <v>0</v>
      </c>
      <c r="N1058" s="3" t="s">
        <v>1711</v>
      </c>
      <c r="O1058" s="3">
        <v>0</v>
      </c>
      <c r="P1058" s="3">
        <v>0</v>
      </c>
      <c r="Q1058" s="3">
        <v>0</v>
      </c>
      <c r="R1058" s="3">
        <v>0</v>
      </c>
      <c r="S1058" s="3">
        <v>0</v>
      </c>
      <c r="T1058" s="3">
        <v>1</v>
      </c>
      <c r="U1058" s="3">
        <v>1</v>
      </c>
      <c r="V1058" s="3">
        <v>1</v>
      </c>
      <c r="W1058" s="3"/>
      <c r="X1058" s="3">
        <v>28.99</v>
      </c>
      <c r="Y1058" s="3">
        <v>28.99</v>
      </c>
      <c r="Z1058" s="3">
        <v>28.99</v>
      </c>
      <c r="AA1058" s="3">
        <v>0</v>
      </c>
      <c r="AB1058" s="3" t="s">
        <v>1713</v>
      </c>
      <c r="AC1058" s="3">
        <v>14</v>
      </c>
      <c r="AD1058" s="3">
        <v>28.99</v>
      </c>
      <c r="AE1058" s="3">
        <v>0</v>
      </c>
      <c r="AF1058" s="3">
        <v>0</v>
      </c>
      <c r="AG1058" s="3">
        <v>0</v>
      </c>
      <c r="AH1058" s="3">
        <v>0.0714285714285714</v>
      </c>
      <c r="AI1058" s="3" t="s">
        <v>2065</v>
      </c>
      <c r="AJ1058" s="3" t="s">
        <v>1715</v>
      </c>
    </row>
    <row r="1059" spans="1:36">
      <c r="A1059" s="4">
        <v>43277</v>
      </c>
      <c r="B1059" s="3" t="s">
        <v>5010</v>
      </c>
      <c r="C1059" s="3" t="s">
        <v>5011</v>
      </c>
      <c r="D1059" s="3" t="s">
        <v>5012</v>
      </c>
      <c r="E1059" s="3" t="s">
        <v>5013</v>
      </c>
      <c r="F1059" s="3" t="s">
        <v>1710</v>
      </c>
      <c r="G1059" s="3">
        <v>63</v>
      </c>
      <c r="H1059" s="3">
        <v>0</v>
      </c>
      <c r="I1059" s="3">
        <v>0</v>
      </c>
      <c r="J1059" s="3">
        <v>4</v>
      </c>
      <c r="K1059" s="3">
        <v>59</v>
      </c>
      <c r="L1059" s="3">
        <v>0</v>
      </c>
      <c r="M1059" s="3">
        <v>0</v>
      </c>
      <c r="N1059" s="3" t="s">
        <v>1711</v>
      </c>
      <c r="O1059" s="3">
        <v>63</v>
      </c>
      <c r="P1059" s="3">
        <v>37.71</v>
      </c>
      <c r="Q1059" s="3">
        <v>0</v>
      </c>
      <c r="R1059" s="3">
        <v>0</v>
      </c>
      <c r="S1059" s="3">
        <v>0</v>
      </c>
      <c r="T1059" s="3">
        <v>0</v>
      </c>
      <c r="U1059" s="3">
        <v>0</v>
      </c>
      <c r="V1059" s="3">
        <v>2</v>
      </c>
      <c r="W1059" s="3" t="s">
        <v>1712</v>
      </c>
      <c r="X1059" s="3">
        <v>16.99</v>
      </c>
      <c r="Y1059" s="3">
        <v>16.99</v>
      </c>
      <c r="Z1059" s="3">
        <v>16</v>
      </c>
      <c r="AA1059" s="3">
        <v>0</v>
      </c>
      <c r="AB1059" s="3" t="s">
        <v>1732</v>
      </c>
      <c r="AC1059" s="3">
        <v>1</v>
      </c>
      <c r="AD1059" s="3">
        <v>14.45</v>
      </c>
      <c r="AE1059" s="3">
        <v>231</v>
      </c>
      <c r="AF1059" s="3">
        <v>0</v>
      </c>
      <c r="AG1059" s="3">
        <v>930.067965</v>
      </c>
      <c r="AH1059" s="3">
        <v>0.0169491525423728</v>
      </c>
      <c r="AI1059" s="3" t="s">
        <v>1905</v>
      </c>
      <c r="AJ1059" s="3" t="s">
        <v>1715</v>
      </c>
    </row>
    <row r="1060" spans="1:36">
      <c r="A1060" s="4">
        <v>43277</v>
      </c>
      <c r="B1060" s="3" t="s">
        <v>1236</v>
      </c>
      <c r="C1060" s="3" t="s">
        <v>1237</v>
      </c>
      <c r="D1060" s="3" t="s">
        <v>1238</v>
      </c>
      <c r="E1060" s="3" t="s">
        <v>1239</v>
      </c>
      <c r="F1060" s="3" t="s">
        <v>1710</v>
      </c>
      <c r="G1060" s="3">
        <v>28</v>
      </c>
      <c r="H1060" s="3">
        <v>0</v>
      </c>
      <c r="I1060" s="3">
        <v>28</v>
      </c>
      <c r="J1060" s="3">
        <v>0</v>
      </c>
      <c r="K1060" s="3">
        <v>0</v>
      </c>
      <c r="L1060" s="3">
        <v>0</v>
      </c>
      <c r="M1060" s="3">
        <v>0</v>
      </c>
      <c r="N1060" s="3" t="s">
        <v>1711</v>
      </c>
      <c r="O1060" s="3">
        <v>0</v>
      </c>
      <c r="P1060" s="3">
        <v>0</v>
      </c>
      <c r="Q1060" s="3">
        <v>0</v>
      </c>
      <c r="R1060" s="3">
        <v>0</v>
      </c>
      <c r="S1060" s="3">
        <v>9</v>
      </c>
      <c r="T1060" s="3">
        <v>10</v>
      </c>
      <c r="U1060" s="3">
        <v>25</v>
      </c>
      <c r="V1060" s="3">
        <v>25</v>
      </c>
      <c r="W1060" s="3"/>
      <c r="X1060" s="3">
        <v>25.99</v>
      </c>
      <c r="Y1060" s="3">
        <v>25.99</v>
      </c>
      <c r="Z1060" s="3">
        <v>25.99</v>
      </c>
      <c r="AA1060" s="3">
        <v>0</v>
      </c>
      <c r="AB1060" s="3" t="s">
        <v>1713</v>
      </c>
      <c r="AC1060" s="3">
        <v>37</v>
      </c>
      <c r="AD1060" s="3">
        <v>25.99</v>
      </c>
      <c r="AE1060" s="3">
        <v>0</v>
      </c>
      <c r="AF1060" s="3">
        <v>0</v>
      </c>
      <c r="AG1060" s="3">
        <v>0</v>
      </c>
      <c r="AH1060" s="3">
        <v>2.5</v>
      </c>
      <c r="AI1060" s="3" t="s">
        <v>4334</v>
      </c>
      <c r="AJ1060" s="3" t="s">
        <v>1715</v>
      </c>
    </row>
    <row r="1061" spans="1:36">
      <c r="A1061" s="4">
        <v>43277</v>
      </c>
      <c r="B1061" s="3" t="s">
        <v>947</v>
      </c>
      <c r="C1061" s="3" t="s">
        <v>948</v>
      </c>
      <c r="D1061" s="3" t="s">
        <v>949</v>
      </c>
      <c r="E1061" s="3" t="s">
        <v>950</v>
      </c>
      <c r="F1061" s="3" t="s">
        <v>1710</v>
      </c>
      <c r="G1061" s="3">
        <v>15</v>
      </c>
      <c r="H1061" s="3">
        <v>0</v>
      </c>
      <c r="I1061" s="3">
        <v>15</v>
      </c>
      <c r="J1061" s="3">
        <v>0</v>
      </c>
      <c r="K1061" s="3">
        <v>0</v>
      </c>
      <c r="L1061" s="3">
        <v>0</v>
      </c>
      <c r="M1061" s="3">
        <v>0</v>
      </c>
      <c r="N1061" s="3" t="s">
        <v>1711</v>
      </c>
      <c r="O1061" s="3">
        <v>0</v>
      </c>
      <c r="P1061" s="3">
        <v>0</v>
      </c>
      <c r="Q1061" s="3">
        <v>0</v>
      </c>
      <c r="R1061" s="3">
        <v>0</v>
      </c>
      <c r="S1061" s="3">
        <v>3</v>
      </c>
      <c r="T1061" s="3">
        <v>18</v>
      </c>
      <c r="U1061" s="3">
        <v>19</v>
      </c>
      <c r="V1061" s="3">
        <v>19</v>
      </c>
      <c r="W1061" s="3"/>
      <c r="X1061" s="3">
        <v>15.99</v>
      </c>
      <c r="Y1061" s="3">
        <v>15.99</v>
      </c>
      <c r="Z1061" s="3">
        <v>15.99</v>
      </c>
      <c r="AA1061" s="3">
        <v>0</v>
      </c>
      <c r="AB1061" s="3" t="s">
        <v>1713</v>
      </c>
      <c r="AC1061" s="3">
        <v>15</v>
      </c>
      <c r="AD1061" s="3">
        <v>15.99</v>
      </c>
      <c r="AE1061" s="3">
        <v>0</v>
      </c>
      <c r="AF1061" s="3">
        <v>0</v>
      </c>
      <c r="AG1061" s="3">
        <v>0</v>
      </c>
      <c r="AH1061" s="3">
        <v>1.11764705882352</v>
      </c>
      <c r="AI1061" s="3" t="s">
        <v>1881</v>
      </c>
      <c r="AJ1061" s="3" t="s">
        <v>1715</v>
      </c>
    </row>
    <row r="1062" spans="1:36">
      <c r="A1062" s="4">
        <v>43277</v>
      </c>
      <c r="B1062" s="3" t="s">
        <v>5014</v>
      </c>
      <c r="C1062" s="3" t="s">
        <v>5015</v>
      </c>
      <c r="D1062" s="3" t="s">
        <v>5016</v>
      </c>
      <c r="E1062" s="3" t="s">
        <v>5017</v>
      </c>
      <c r="F1062" s="3" t="s">
        <v>1710</v>
      </c>
      <c r="G1062" s="3">
        <v>9</v>
      </c>
      <c r="H1062" s="3">
        <v>0</v>
      </c>
      <c r="I1062" s="3">
        <v>9</v>
      </c>
      <c r="J1062" s="3">
        <v>0</v>
      </c>
      <c r="K1062" s="3">
        <v>0</v>
      </c>
      <c r="L1062" s="3">
        <v>0</v>
      </c>
      <c r="M1062" s="3">
        <v>0</v>
      </c>
      <c r="N1062" s="3" t="s">
        <v>1711</v>
      </c>
      <c r="O1062" s="3">
        <v>0</v>
      </c>
      <c r="P1062" s="3">
        <v>0</v>
      </c>
      <c r="Q1062" s="3">
        <v>0</v>
      </c>
      <c r="R1062" s="3">
        <v>0</v>
      </c>
      <c r="S1062" s="3">
        <v>0</v>
      </c>
      <c r="T1062" s="3">
        <v>1</v>
      </c>
      <c r="U1062" s="3">
        <v>4</v>
      </c>
      <c r="V1062" s="3">
        <v>7</v>
      </c>
      <c r="W1062" s="3"/>
      <c r="X1062" s="3">
        <v>28.58</v>
      </c>
      <c r="Y1062" s="3">
        <v>28.58</v>
      </c>
      <c r="Z1062" s="3">
        <v>28</v>
      </c>
      <c r="AA1062" s="3">
        <v>0</v>
      </c>
      <c r="AB1062" s="3" t="s">
        <v>1713</v>
      </c>
      <c r="AC1062" s="3">
        <v>9</v>
      </c>
      <c r="AD1062" s="3">
        <v>28.58</v>
      </c>
      <c r="AE1062" s="3">
        <v>0</v>
      </c>
      <c r="AF1062" s="3">
        <v>0</v>
      </c>
      <c r="AG1062" s="3">
        <v>0</v>
      </c>
      <c r="AH1062" s="3">
        <v>0.875</v>
      </c>
      <c r="AI1062" s="3" t="s">
        <v>2128</v>
      </c>
      <c r="AJ1062" s="3" t="s">
        <v>1715</v>
      </c>
    </row>
    <row r="1063" spans="1:36">
      <c r="A1063" s="4">
        <v>43277</v>
      </c>
      <c r="B1063" s="3" t="s">
        <v>847</v>
      </c>
      <c r="C1063" s="3" t="s">
        <v>848</v>
      </c>
      <c r="D1063" s="3" t="s">
        <v>849</v>
      </c>
      <c r="E1063" s="3" t="s">
        <v>850</v>
      </c>
      <c r="F1063" s="3" t="s">
        <v>1710</v>
      </c>
      <c r="G1063" s="3">
        <v>58</v>
      </c>
      <c r="H1063" s="3">
        <v>0</v>
      </c>
      <c r="I1063" s="3">
        <v>58</v>
      </c>
      <c r="J1063" s="3">
        <v>0</v>
      </c>
      <c r="K1063" s="3">
        <v>0</v>
      </c>
      <c r="L1063" s="3">
        <v>0</v>
      </c>
      <c r="M1063" s="3">
        <v>0</v>
      </c>
      <c r="N1063" s="3" t="s">
        <v>1711</v>
      </c>
      <c r="O1063" s="3">
        <v>0</v>
      </c>
      <c r="P1063" s="3">
        <v>0</v>
      </c>
      <c r="Q1063" s="3">
        <v>0</v>
      </c>
      <c r="R1063" s="3">
        <v>0</v>
      </c>
      <c r="S1063" s="3">
        <v>7</v>
      </c>
      <c r="T1063" s="3">
        <v>24</v>
      </c>
      <c r="U1063" s="3">
        <v>49</v>
      </c>
      <c r="V1063" s="3">
        <v>75</v>
      </c>
      <c r="W1063" s="3"/>
      <c r="X1063" s="3">
        <v>38</v>
      </c>
      <c r="Y1063" s="3">
        <v>28.58</v>
      </c>
      <c r="Z1063" s="3">
        <v>28.58</v>
      </c>
      <c r="AA1063" s="3">
        <v>0</v>
      </c>
      <c r="AB1063" s="3" t="s">
        <v>1713</v>
      </c>
      <c r="AC1063" s="3">
        <v>53</v>
      </c>
      <c r="AD1063" s="3">
        <v>28.58</v>
      </c>
      <c r="AE1063" s="3">
        <v>0</v>
      </c>
      <c r="AF1063" s="3">
        <v>0</v>
      </c>
      <c r="AG1063" s="3">
        <v>0</v>
      </c>
      <c r="AH1063" s="3">
        <v>2.56410256410256</v>
      </c>
      <c r="AI1063" s="3" t="s">
        <v>5018</v>
      </c>
      <c r="AJ1063" s="3" t="s">
        <v>1715</v>
      </c>
    </row>
    <row r="1064" spans="1:36">
      <c r="A1064" s="4">
        <v>43277</v>
      </c>
      <c r="B1064" s="3" t="s">
        <v>5019</v>
      </c>
      <c r="C1064" s="3" t="s">
        <v>5020</v>
      </c>
      <c r="D1064" s="3" t="s">
        <v>5021</v>
      </c>
      <c r="E1064" s="3" t="s">
        <v>2108</v>
      </c>
      <c r="F1064" s="3" t="s">
        <v>1710</v>
      </c>
      <c r="G1064" s="3">
        <v>9</v>
      </c>
      <c r="H1064" s="3">
        <v>0</v>
      </c>
      <c r="I1064" s="3">
        <v>0</v>
      </c>
      <c r="J1064" s="3">
        <v>0</v>
      </c>
      <c r="K1064" s="3">
        <v>8</v>
      </c>
      <c r="L1064" s="3">
        <v>1</v>
      </c>
      <c r="M1064" s="3">
        <v>0</v>
      </c>
      <c r="N1064" s="3" t="s">
        <v>1711</v>
      </c>
      <c r="O1064" s="3">
        <v>9</v>
      </c>
      <c r="P1064" s="3">
        <v>14.92</v>
      </c>
      <c r="Q1064" s="3">
        <v>0</v>
      </c>
      <c r="R1064" s="3">
        <v>0</v>
      </c>
      <c r="S1064" s="3">
        <v>0</v>
      </c>
      <c r="T1064" s="3">
        <v>0</v>
      </c>
      <c r="U1064" s="3">
        <v>0</v>
      </c>
      <c r="V1064" s="3">
        <v>0</v>
      </c>
      <c r="W1064" s="3" t="s">
        <v>1712</v>
      </c>
      <c r="X1064" s="3">
        <v>15.99</v>
      </c>
      <c r="Y1064" s="3">
        <v>15.99</v>
      </c>
      <c r="Z1064" s="3">
        <v>15.99</v>
      </c>
      <c r="AA1064" s="3">
        <v>0</v>
      </c>
      <c r="AB1064" s="3" t="s">
        <v>1732</v>
      </c>
      <c r="AC1064" s="3">
        <v>0</v>
      </c>
      <c r="AD1064" s="3">
        <v>14.85</v>
      </c>
      <c r="AE1064" s="3">
        <v>49</v>
      </c>
      <c r="AF1064" s="3">
        <v>0</v>
      </c>
      <c r="AG1064" s="3">
        <v>240.988679</v>
      </c>
      <c r="AH1064" s="3">
        <v>0</v>
      </c>
      <c r="AI1064" s="3" t="s">
        <v>2333</v>
      </c>
      <c r="AJ1064" s="3" t="s">
        <v>1783</v>
      </c>
    </row>
    <row r="1065" spans="1:36">
      <c r="A1065" s="4">
        <v>43277</v>
      </c>
      <c r="B1065" s="3" t="s">
        <v>5022</v>
      </c>
      <c r="C1065" s="3" t="s">
        <v>5023</v>
      </c>
      <c r="D1065" s="3" t="s">
        <v>5024</v>
      </c>
      <c r="E1065" s="3" t="s">
        <v>5025</v>
      </c>
      <c r="F1065" s="3" t="s">
        <v>1710</v>
      </c>
      <c r="G1065" s="3">
        <v>2</v>
      </c>
      <c r="H1065" s="3">
        <v>0</v>
      </c>
      <c r="I1065" s="3">
        <v>0</v>
      </c>
      <c r="J1065" s="3">
        <v>2</v>
      </c>
      <c r="K1065" s="3">
        <v>0</v>
      </c>
      <c r="L1065" s="3">
        <v>0</v>
      </c>
      <c r="M1065" s="3">
        <v>0</v>
      </c>
      <c r="N1065" s="3" t="s">
        <v>1711</v>
      </c>
      <c r="O1065" s="3">
        <v>2</v>
      </c>
      <c r="P1065" s="3">
        <v>1.84</v>
      </c>
      <c r="Q1065" s="3">
        <v>0</v>
      </c>
      <c r="R1065" s="3">
        <v>0</v>
      </c>
      <c r="S1065" s="3">
        <v>0</v>
      </c>
      <c r="T1065" s="3">
        <v>0</v>
      </c>
      <c r="U1065" s="3">
        <v>0</v>
      </c>
      <c r="V1065" s="3">
        <v>0</v>
      </c>
      <c r="W1065" s="3" t="s">
        <v>1720</v>
      </c>
      <c r="X1065" s="3">
        <v>21.99</v>
      </c>
      <c r="Y1065" s="3">
        <v>21.99</v>
      </c>
      <c r="Z1065" s="3">
        <v>21.99</v>
      </c>
      <c r="AA1065" s="3">
        <v>0</v>
      </c>
      <c r="AB1065" s="3" t="s">
        <v>1721</v>
      </c>
      <c r="AC1065" s="3">
        <v>0</v>
      </c>
      <c r="AD1065" s="3">
        <v>17.59</v>
      </c>
      <c r="AE1065" s="3">
        <v>63</v>
      </c>
      <c r="AF1065" s="3">
        <v>0</v>
      </c>
      <c r="AG1065" s="3">
        <v>24.357354</v>
      </c>
      <c r="AH1065" s="3">
        <v>0</v>
      </c>
      <c r="AI1065" s="3" t="s">
        <v>1744</v>
      </c>
      <c r="AJ1065" s="3" t="s">
        <v>1715</v>
      </c>
    </row>
    <row r="1066" spans="1:36">
      <c r="A1066" s="4">
        <v>43277</v>
      </c>
      <c r="B1066" s="3" t="s">
        <v>5026</v>
      </c>
      <c r="C1066" s="3" t="s">
        <v>5027</v>
      </c>
      <c r="D1066" s="3" t="s">
        <v>5028</v>
      </c>
      <c r="E1066" s="3" t="s">
        <v>1830</v>
      </c>
      <c r="F1066" s="3" t="s">
        <v>1710</v>
      </c>
      <c r="G1066" s="3">
        <v>12</v>
      </c>
      <c r="H1066" s="3">
        <v>0</v>
      </c>
      <c r="I1066" s="3">
        <v>5</v>
      </c>
      <c r="J1066" s="3">
        <v>0</v>
      </c>
      <c r="K1066" s="3">
        <v>7</v>
      </c>
      <c r="L1066" s="3">
        <v>0</v>
      </c>
      <c r="M1066" s="3">
        <v>0</v>
      </c>
      <c r="N1066" s="3" t="s">
        <v>1711</v>
      </c>
      <c r="O1066" s="3">
        <v>7</v>
      </c>
      <c r="P1066" s="3">
        <v>25.39</v>
      </c>
      <c r="Q1066" s="3">
        <v>0</v>
      </c>
      <c r="R1066" s="3">
        <v>0</v>
      </c>
      <c r="S1066" s="3">
        <v>0</v>
      </c>
      <c r="T1066" s="3">
        <v>1</v>
      </c>
      <c r="U1066" s="3">
        <v>2</v>
      </c>
      <c r="V1066" s="3">
        <v>5</v>
      </c>
      <c r="W1066" s="3"/>
      <c r="X1066" s="3">
        <v>27.99</v>
      </c>
      <c r="Y1066" s="3">
        <v>27.99</v>
      </c>
      <c r="Z1066" s="3">
        <v>25.99</v>
      </c>
      <c r="AA1066" s="3">
        <v>0</v>
      </c>
      <c r="AB1066" s="3" t="s">
        <v>1732</v>
      </c>
      <c r="AC1066" s="3">
        <v>0</v>
      </c>
      <c r="AD1066" s="3">
        <v>22.39</v>
      </c>
      <c r="AE1066" s="3">
        <v>364</v>
      </c>
      <c r="AF1066" s="3">
        <v>0</v>
      </c>
      <c r="AG1066" s="3">
        <v>408.257414</v>
      </c>
      <c r="AH1066" s="3">
        <v>0.434782608695652</v>
      </c>
      <c r="AI1066" s="3" t="s">
        <v>1831</v>
      </c>
      <c r="AJ1066" s="3" t="s">
        <v>1715</v>
      </c>
    </row>
    <row r="1067" spans="1:36">
      <c r="A1067" s="4">
        <v>43277</v>
      </c>
      <c r="B1067" s="3" t="s">
        <v>5029</v>
      </c>
      <c r="C1067" s="3" t="s">
        <v>5030</v>
      </c>
      <c r="D1067" s="3" t="s">
        <v>5031</v>
      </c>
      <c r="E1067" s="3" t="s">
        <v>3621</v>
      </c>
      <c r="F1067" s="3" t="s">
        <v>1710</v>
      </c>
      <c r="G1067" s="3">
        <v>17</v>
      </c>
      <c r="H1067" s="3">
        <v>0</v>
      </c>
      <c r="I1067" s="3">
        <v>1</v>
      </c>
      <c r="J1067" s="3">
        <v>0</v>
      </c>
      <c r="K1067" s="3">
        <v>12</v>
      </c>
      <c r="L1067" s="3">
        <v>4</v>
      </c>
      <c r="M1067" s="3">
        <v>0</v>
      </c>
      <c r="N1067" s="3" t="s">
        <v>1711</v>
      </c>
      <c r="O1067" s="3">
        <v>16</v>
      </c>
      <c r="P1067" s="3">
        <v>58.03</v>
      </c>
      <c r="Q1067" s="3">
        <v>0</v>
      </c>
      <c r="R1067" s="3">
        <v>0</v>
      </c>
      <c r="S1067" s="3">
        <v>0</v>
      </c>
      <c r="T1067" s="3">
        <v>0</v>
      </c>
      <c r="U1067" s="3">
        <v>2</v>
      </c>
      <c r="V1067" s="3">
        <v>3</v>
      </c>
      <c r="W1067" s="3" t="s">
        <v>1712</v>
      </c>
      <c r="X1067" s="3">
        <v>27.99</v>
      </c>
      <c r="Y1067" s="3">
        <v>27.99</v>
      </c>
      <c r="Z1067" s="3">
        <v>25.99</v>
      </c>
      <c r="AA1067" s="3">
        <v>0</v>
      </c>
      <c r="AB1067" s="3" t="s">
        <v>1732</v>
      </c>
      <c r="AC1067" s="3">
        <v>5</v>
      </c>
      <c r="AD1067" s="3">
        <v>15.62</v>
      </c>
      <c r="AE1067" s="3">
        <v>84</v>
      </c>
      <c r="AF1067" s="3">
        <v>0</v>
      </c>
      <c r="AG1067" s="3">
        <v>126.427947</v>
      </c>
      <c r="AH1067" s="3">
        <v>0.169014084507042</v>
      </c>
      <c r="AI1067" s="3" t="s">
        <v>1831</v>
      </c>
      <c r="AJ1067" s="3" t="s">
        <v>1715</v>
      </c>
    </row>
    <row r="1068" spans="1:36">
      <c r="A1068" s="4">
        <v>43277</v>
      </c>
      <c r="B1068" s="3" t="s">
        <v>16</v>
      </c>
      <c r="C1068" s="3" t="s">
        <v>17</v>
      </c>
      <c r="D1068" s="3" t="s">
        <v>18</v>
      </c>
      <c r="E1068" s="3" t="s">
        <v>5032</v>
      </c>
      <c r="F1068" s="3" t="s">
        <v>1710</v>
      </c>
      <c r="G1068" s="3">
        <v>10</v>
      </c>
      <c r="H1068" s="3">
        <v>0</v>
      </c>
      <c r="I1068" s="3">
        <v>10</v>
      </c>
      <c r="J1068" s="3">
        <v>0</v>
      </c>
      <c r="K1068" s="3">
        <v>0</v>
      </c>
      <c r="L1068" s="3">
        <v>0</v>
      </c>
      <c r="M1068" s="3">
        <v>0</v>
      </c>
      <c r="N1068" s="3" t="s">
        <v>1711</v>
      </c>
      <c r="O1068" s="3">
        <v>0</v>
      </c>
      <c r="P1068" s="3">
        <v>0</v>
      </c>
      <c r="Q1068" s="3">
        <v>0</v>
      </c>
      <c r="R1068" s="3">
        <v>0</v>
      </c>
      <c r="S1068" s="3">
        <v>6</v>
      </c>
      <c r="T1068" s="3">
        <v>12</v>
      </c>
      <c r="U1068" s="3">
        <v>17</v>
      </c>
      <c r="V1068" s="3">
        <v>19</v>
      </c>
      <c r="W1068" s="3"/>
      <c r="X1068" s="3">
        <v>15.99</v>
      </c>
      <c r="Y1068" s="3">
        <v>15.99</v>
      </c>
      <c r="Z1068" s="3">
        <v>15.55</v>
      </c>
      <c r="AA1068" s="3">
        <v>0</v>
      </c>
      <c r="AB1068" s="3" t="s">
        <v>1713</v>
      </c>
      <c r="AC1068" s="3">
        <v>1</v>
      </c>
      <c r="AD1068" s="3">
        <v>15.99</v>
      </c>
      <c r="AE1068" s="3">
        <v>0</v>
      </c>
      <c r="AF1068" s="3">
        <v>0</v>
      </c>
      <c r="AG1068" s="3">
        <v>0</v>
      </c>
      <c r="AH1068" s="3">
        <v>1.94871794871794</v>
      </c>
      <c r="AI1068" s="3" t="s">
        <v>2082</v>
      </c>
      <c r="AJ1068" s="3" t="s">
        <v>1715</v>
      </c>
    </row>
    <row r="1069" spans="1:36">
      <c r="A1069" s="4">
        <v>43277</v>
      </c>
      <c r="B1069" s="3" t="s">
        <v>5033</v>
      </c>
      <c r="C1069" s="3" t="s">
        <v>5034</v>
      </c>
      <c r="D1069" s="3" t="s">
        <v>5035</v>
      </c>
      <c r="E1069" s="3" t="s">
        <v>5036</v>
      </c>
      <c r="F1069" s="3" t="s">
        <v>1710</v>
      </c>
      <c r="G1069" s="3">
        <v>8</v>
      </c>
      <c r="H1069" s="3">
        <v>0</v>
      </c>
      <c r="I1069" s="3">
        <v>0</v>
      </c>
      <c r="J1069" s="3">
        <v>0</v>
      </c>
      <c r="K1069" s="3">
        <v>8</v>
      </c>
      <c r="L1069" s="3">
        <v>0</v>
      </c>
      <c r="M1069" s="3">
        <v>0</v>
      </c>
      <c r="N1069" s="3" t="s">
        <v>1711</v>
      </c>
      <c r="O1069" s="3">
        <v>8</v>
      </c>
      <c r="P1069" s="3">
        <v>9.7</v>
      </c>
      <c r="Q1069" s="3">
        <v>0</v>
      </c>
      <c r="R1069" s="3">
        <v>0</v>
      </c>
      <c r="S1069" s="3">
        <v>0</v>
      </c>
      <c r="T1069" s="3">
        <v>0</v>
      </c>
      <c r="U1069" s="3">
        <v>0</v>
      </c>
      <c r="V1069" s="3">
        <v>0</v>
      </c>
      <c r="W1069" s="3" t="s">
        <v>1720</v>
      </c>
      <c r="X1069" s="3">
        <v>17.99</v>
      </c>
      <c r="Y1069" s="3">
        <v>17.99</v>
      </c>
      <c r="Z1069" s="3">
        <v>17.99</v>
      </c>
      <c r="AA1069" s="3">
        <v>0</v>
      </c>
      <c r="AB1069" s="3" t="s">
        <v>1732</v>
      </c>
      <c r="AC1069" s="3">
        <v>0</v>
      </c>
      <c r="AD1069" s="3">
        <v>16.21</v>
      </c>
      <c r="AE1069" s="3">
        <v>168</v>
      </c>
      <c r="AF1069" s="3">
        <v>0</v>
      </c>
      <c r="AG1069" s="3">
        <v>177.021629</v>
      </c>
      <c r="AH1069" s="3">
        <v>0</v>
      </c>
      <c r="AI1069" s="3" t="s">
        <v>1996</v>
      </c>
      <c r="AJ1069" s="3" t="s">
        <v>1715</v>
      </c>
    </row>
    <row r="1070" spans="1:36">
      <c r="A1070" s="4">
        <v>43277</v>
      </c>
      <c r="B1070" s="3" t="s">
        <v>308</v>
      </c>
      <c r="C1070" s="3" t="s">
        <v>309</v>
      </c>
      <c r="D1070" s="3" t="s">
        <v>310</v>
      </c>
      <c r="E1070" s="3" t="s">
        <v>311</v>
      </c>
      <c r="F1070" s="3" t="s">
        <v>1710</v>
      </c>
      <c r="G1070" s="3">
        <v>1</v>
      </c>
      <c r="H1070" s="3">
        <v>0</v>
      </c>
      <c r="I1070" s="3">
        <v>1</v>
      </c>
      <c r="J1070" s="3">
        <v>0</v>
      </c>
      <c r="K1070" s="3">
        <v>0</v>
      </c>
      <c r="L1070" s="3">
        <v>0</v>
      </c>
      <c r="M1070" s="3">
        <v>0</v>
      </c>
      <c r="N1070" s="3" t="s">
        <v>1711</v>
      </c>
      <c r="O1070" s="3">
        <v>0</v>
      </c>
      <c r="P1070" s="3">
        <v>0</v>
      </c>
      <c r="Q1070" s="3">
        <v>0</v>
      </c>
      <c r="R1070" s="3">
        <v>0</v>
      </c>
      <c r="S1070" s="3">
        <v>0</v>
      </c>
      <c r="T1070" s="3">
        <v>0</v>
      </c>
      <c r="U1070" s="3">
        <v>1</v>
      </c>
      <c r="V1070" s="3">
        <v>1</v>
      </c>
      <c r="W1070" s="3" t="s">
        <v>1712</v>
      </c>
      <c r="X1070" s="3">
        <v>15.99</v>
      </c>
      <c r="Y1070" s="3">
        <v>15.99</v>
      </c>
      <c r="Z1070" s="3">
        <v>15.99</v>
      </c>
      <c r="AA1070" s="3">
        <v>0</v>
      </c>
      <c r="AB1070" s="3" t="s">
        <v>1713</v>
      </c>
      <c r="AC1070" s="3">
        <v>1</v>
      </c>
      <c r="AD1070" s="3">
        <v>15.99</v>
      </c>
      <c r="AE1070" s="3">
        <v>0</v>
      </c>
      <c r="AF1070" s="3">
        <v>0</v>
      </c>
      <c r="AG1070" s="3">
        <v>0</v>
      </c>
      <c r="AH1070" s="3">
        <v>0.8</v>
      </c>
      <c r="AI1070" s="3" t="s">
        <v>5037</v>
      </c>
      <c r="AJ1070" s="3" t="s">
        <v>1715</v>
      </c>
    </row>
    <row r="1071" spans="1:36">
      <c r="A1071" s="4">
        <v>43277</v>
      </c>
      <c r="B1071" s="3" t="s">
        <v>5038</v>
      </c>
      <c r="C1071" s="3" t="s">
        <v>5039</v>
      </c>
      <c r="D1071" s="3" t="s">
        <v>5040</v>
      </c>
      <c r="E1071" s="3" t="s">
        <v>2495</v>
      </c>
      <c r="F1071" s="3" t="s">
        <v>1710</v>
      </c>
      <c r="G1071" s="3">
        <v>15</v>
      </c>
      <c r="H1071" s="3">
        <v>0</v>
      </c>
      <c r="I1071" s="3">
        <v>15</v>
      </c>
      <c r="J1071" s="3">
        <v>0</v>
      </c>
      <c r="K1071" s="3">
        <v>0</v>
      </c>
      <c r="L1071" s="3">
        <v>0</v>
      </c>
      <c r="M1071" s="3">
        <v>0</v>
      </c>
      <c r="N1071" s="3" t="s">
        <v>1711</v>
      </c>
      <c r="O1071" s="3">
        <v>0</v>
      </c>
      <c r="P1071" s="3">
        <v>0</v>
      </c>
      <c r="Q1071" s="3">
        <v>0</v>
      </c>
      <c r="R1071" s="3">
        <v>0</v>
      </c>
      <c r="S1071" s="3">
        <v>0</v>
      </c>
      <c r="T1071" s="3">
        <v>0</v>
      </c>
      <c r="U1071" s="3">
        <v>0</v>
      </c>
      <c r="V1071" s="3">
        <v>0</v>
      </c>
      <c r="W1071" s="3" t="s">
        <v>1720</v>
      </c>
      <c r="X1071" s="3">
        <v>15.99</v>
      </c>
      <c r="Y1071" s="3">
        <v>15.99</v>
      </c>
      <c r="Z1071" s="3">
        <v>15.99</v>
      </c>
      <c r="AA1071" s="3">
        <v>0</v>
      </c>
      <c r="AB1071" s="3" t="s">
        <v>1721</v>
      </c>
      <c r="AC1071" s="3">
        <v>0</v>
      </c>
      <c r="AD1071" s="3">
        <v>12.79</v>
      </c>
      <c r="AE1071" s="3">
        <v>63</v>
      </c>
      <c r="AF1071" s="3">
        <v>0</v>
      </c>
      <c r="AG1071" s="3">
        <v>160.761652</v>
      </c>
      <c r="AH1071" s="3">
        <v>0</v>
      </c>
      <c r="AI1071" s="3" t="s">
        <v>2758</v>
      </c>
      <c r="AJ1071" s="3" t="s">
        <v>1715</v>
      </c>
    </row>
    <row r="1072" spans="1:36">
      <c r="A1072" s="4">
        <v>43277</v>
      </c>
      <c r="B1072" s="3" t="s">
        <v>5041</v>
      </c>
      <c r="C1072" s="3" t="s">
        <v>5042</v>
      </c>
      <c r="D1072" s="3" t="s">
        <v>5043</v>
      </c>
      <c r="E1072" s="3" t="s">
        <v>5044</v>
      </c>
      <c r="F1072" s="3" t="s">
        <v>1710</v>
      </c>
      <c r="G1072" s="3">
        <v>15</v>
      </c>
      <c r="H1072" s="3">
        <v>0</v>
      </c>
      <c r="I1072" s="3">
        <v>15</v>
      </c>
      <c r="J1072" s="3">
        <v>0</v>
      </c>
      <c r="K1072" s="3">
        <v>0</v>
      </c>
      <c r="L1072" s="3">
        <v>0</v>
      </c>
      <c r="M1072" s="3">
        <v>0</v>
      </c>
      <c r="N1072" s="3" t="s">
        <v>1711</v>
      </c>
      <c r="O1072" s="3">
        <v>0</v>
      </c>
      <c r="P1072" s="3">
        <v>0</v>
      </c>
      <c r="Q1072" s="3">
        <v>0</v>
      </c>
      <c r="R1072" s="3">
        <v>0</v>
      </c>
      <c r="S1072" s="3">
        <v>0</v>
      </c>
      <c r="T1072" s="3">
        <v>0</v>
      </c>
      <c r="U1072" s="3">
        <v>0</v>
      </c>
      <c r="V1072" s="3">
        <v>0</v>
      </c>
      <c r="W1072" s="3" t="s">
        <v>1712</v>
      </c>
      <c r="X1072" s="3">
        <v>28.99</v>
      </c>
      <c r="Y1072" s="3">
        <v>28.99</v>
      </c>
      <c r="Z1072" s="3">
        <v>28.99</v>
      </c>
      <c r="AA1072" s="3">
        <v>0</v>
      </c>
      <c r="AB1072" s="3" t="s">
        <v>1713</v>
      </c>
      <c r="AC1072" s="3">
        <v>15</v>
      </c>
      <c r="AD1072" s="3">
        <v>28.99</v>
      </c>
      <c r="AE1072" s="3">
        <v>0</v>
      </c>
      <c r="AF1072" s="3">
        <v>0</v>
      </c>
      <c r="AG1072" s="3">
        <v>0</v>
      </c>
      <c r="AH1072" s="3">
        <v>0</v>
      </c>
      <c r="AI1072" s="3" t="s">
        <v>2065</v>
      </c>
      <c r="AJ1072" s="3" t="s">
        <v>1715</v>
      </c>
    </row>
    <row r="1073" spans="1:36">
      <c r="A1073" s="4">
        <v>43277</v>
      </c>
      <c r="B1073" s="3" t="s">
        <v>5045</v>
      </c>
      <c r="C1073" s="3" t="s">
        <v>5046</v>
      </c>
      <c r="D1073" s="3" t="s">
        <v>5047</v>
      </c>
      <c r="E1073" s="3" t="s">
        <v>5048</v>
      </c>
      <c r="F1073" s="3" t="s">
        <v>1710</v>
      </c>
      <c r="G1073" s="3">
        <v>20</v>
      </c>
      <c r="H1073" s="3">
        <v>0</v>
      </c>
      <c r="I1073" s="3">
        <v>3</v>
      </c>
      <c r="J1073" s="3">
        <v>17</v>
      </c>
      <c r="K1073" s="3">
        <v>0</v>
      </c>
      <c r="L1073" s="3">
        <v>0</v>
      </c>
      <c r="M1073" s="3">
        <v>0</v>
      </c>
      <c r="N1073" s="3" t="s">
        <v>1711</v>
      </c>
      <c r="O1073" s="3">
        <v>6</v>
      </c>
      <c r="P1073" s="3">
        <v>3.6</v>
      </c>
      <c r="Q1073" s="3">
        <v>0</v>
      </c>
      <c r="R1073" s="3">
        <v>0</v>
      </c>
      <c r="S1073" s="3">
        <v>1</v>
      </c>
      <c r="T1073" s="3">
        <v>2</v>
      </c>
      <c r="U1073" s="3">
        <v>5</v>
      </c>
      <c r="V1073" s="3">
        <v>11</v>
      </c>
      <c r="W1073" s="3"/>
      <c r="X1073" s="3">
        <v>16.99</v>
      </c>
      <c r="Y1073" s="3">
        <v>16.99</v>
      </c>
      <c r="Z1073" s="3">
        <v>16</v>
      </c>
      <c r="AA1073" s="3">
        <v>0</v>
      </c>
      <c r="AB1073" s="3" t="s">
        <v>1732</v>
      </c>
      <c r="AC1073" s="3">
        <v>10</v>
      </c>
      <c r="AD1073" s="3">
        <v>16.04</v>
      </c>
      <c r="AE1073" s="3">
        <v>28</v>
      </c>
      <c r="AF1073" s="3">
        <v>0</v>
      </c>
      <c r="AG1073" s="3">
        <v>266.072778</v>
      </c>
      <c r="AH1073" s="3">
        <v>0.448979591836734</v>
      </c>
      <c r="AI1073" s="3" t="s">
        <v>1905</v>
      </c>
      <c r="AJ1073" s="3" t="s">
        <v>1715</v>
      </c>
    </row>
    <row r="1074" spans="1:36">
      <c r="A1074" s="4">
        <v>43277</v>
      </c>
      <c r="B1074" s="3" t="s">
        <v>5049</v>
      </c>
      <c r="C1074" s="3" t="s">
        <v>5050</v>
      </c>
      <c r="D1074" s="3" t="s">
        <v>5051</v>
      </c>
      <c r="E1074" s="3" t="s">
        <v>5052</v>
      </c>
      <c r="F1074" s="3" t="s">
        <v>1710</v>
      </c>
      <c r="G1074" s="3">
        <v>5</v>
      </c>
      <c r="H1074" s="3">
        <v>0</v>
      </c>
      <c r="I1074" s="3">
        <v>5</v>
      </c>
      <c r="J1074" s="3">
        <v>0</v>
      </c>
      <c r="K1074" s="3">
        <v>0</v>
      </c>
      <c r="L1074" s="3">
        <v>0</v>
      </c>
      <c r="M1074" s="3">
        <v>0</v>
      </c>
      <c r="N1074" s="3" t="s">
        <v>1711</v>
      </c>
      <c r="O1074" s="3">
        <v>0</v>
      </c>
      <c r="P1074" s="3">
        <v>0</v>
      </c>
      <c r="Q1074" s="3">
        <v>0</v>
      </c>
      <c r="R1074" s="3">
        <v>0</v>
      </c>
      <c r="S1074" s="3">
        <v>1</v>
      </c>
      <c r="T1074" s="3">
        <v>4</v>
      </c>
      <c r="U1074" s="3">
        <v>11</v>
      </c>
      <c r="V1074" s="3">
        <v>19</v>
      </c>
      <c r="W1074" s="3" t="s">
        <v>1712</v>
      </c>
      <c r="X1074" s="3">
        <v>19.99</v>
      </c>
      <c r="Y1074" s="3">
        <v>19.99</v>
      </c>
      <c r="Z1074" s="3">
        <v>19.99</v>
      </c>
      <c r="AA1074" s="3">
        <v>0</v>
      </c>
      <c r="AB1074" s="3" t="s">
        <v>1713</v>
      </c>
      <c r="AC1074" s="3">
        <v>5</v>
      </c>
      <c r="AD1074" s="3">
        <v>19.99</v>
      </c>
      <c r="AE1074" s="3">
        <v>0</v>
      </c>
      <c r="AF1074" s="3">
        <v>0</v>
      </c>
      <c r="AG1074" s="3">
        <v>0</v>
      </c>
      <c r="AH1074" s="3">
        <v>3.04</v>
      </c>
      <c r="AI1074" s="3" t="s">
        <v>3074</v>
      </c>
      <c r="AJ1074" s="3" t="s">
        <v>1715</v>
      </c>
    </row>
    <row r="1075" spans="1:36">
      <c r="A1075" s="4">
        <v>43277</v>
      </c>
      <c r="B1075" s="3" t="s">
        <v>5053</v>
      </c>
      <c r="C1075" s="3" t="s">
        <v>5054</v>
      </c>
      <c r="D1075" s="3" t="s">
        <v>5055</v>
      </c>
      <c r="E1075" s="3" t="s">
        <v>2093</v>
      </c>
      <c r="F1075" s="3" t="s">
        <v>1710</v>
      </c>
      <c r="G1075" s="3">
        <v>5</v>
      </c>
      <c r="H1075" s="3">
        <v>0</v>
      </c>
      <c r="I1075" s="3">
        <v>5</v>
      </c>
      <c r="J1075" s="3">
        <v>0</v>
      </c>
      <c r="K1075" s="3">
        <v>0</v>
      </c>
      <c r="L1075" s="3">
        <v>0</v>
      </c>
      <c r="M1075" s="3">
        <v>0</v>
      </c>
      <c r="N1075" s="3" t="s">
        <v>1711</v>
      </c>
      <c r="O1075" s="3">
        <v>0</v>
      </c>
      <c r="P1075" s="3">
        <v>0</v>
      </c>
      <c r="Q1075" s="3">
        <v>0</v>
      </c>
      <c r="R1075" s="3">
        <v>0</v>
      </c>
      <c r="S1075" s="3">
        <v>1</v>
      </c>
      <c r="T1075" s="3">
        <v>2</v>
      </c>
      <c r="U1075" s="3">
        <v>5</v>
      </c>
      <c r="V1075" s="3">
        <v>18</v>
      </c>
      <c r="W1075" s="3" t="s">
        <v>1712</v>
      </c>
      <c r="X1075" s="3">
        <v>27.99</v>
      </c>
      <c r="Y1075" s="3">
        <v>27.99</v>
      </c>
      <c r="Z1075" s="3">
        <v>25.99</v>
      </c>
      <c r="AA1075" s="3">
        <v>0</v>
      </c>
      <c r="AB1075" s="3" t="s">
        <v>1713</v>
      </c>
      <c r="AC1075" s="3">
        <v>6</v>
      </c>
      <c r="AD1075" s="3">
        <v>27.99</v>
      </c>
      <c r="AE1075" s="3">
        <v>0</v>
      </c>
      <c r="AF1075" s="3">
        <v>0</v>
      </c>
      <c r="AG1075" s="3">
        <v>0</v>
      </c>
      <c r="AH1075" s="3">
        <v>2.32258064516129</v>
      </c>
      <c r="AI1075" s="3" t="s">
        <v>2094</v>
      </c>
      <c r="AJ1075" s="3" t="s">
        <v>1715</v>
      </c>
    </row>
    <row r="1076" spans="1:36">
      <c r="A1076" s="4">
        <v>43277</v>
      </c>
      <c r="B1076" s="3" t="s">
        <v>272</v>
      </c>
      <c r="C1076" s="3" t="s">
        <v>273</v>
      </c>
      <c r="D1076" s="3" t="s">
        <v>274</v>
      </c>
      <c r="E1076" s="3" t="s">
        <v>275</v>
      </c>
      <c r="F1076" s="3" t="s">
        <v>1710</v>
      </c>
      <c r="G1076" s="3">
        <v>36</v>
      </c>
      <c r="H1076" s="3">
        <v>0</v>
      </c>
      <c r="I1076" s="3">
        <v>0</v>
      </c>
      <c r="J1076" s="3">
        <v>9</v>
      </c>
      <c r="K1076" s="3">
        <v>27</v>
      </c>
      <c r="L1076" s="3">
        <v>0</v>
      </c>
      <c r="M1076" s="3">
        <v>0</v>
      </c>
      <c r="N1076" s="3" t="s">
        <v>1711</v>
      </c>
      <c r="O1076" s="3">
        <v>35</v>
      </c>
      <c r="P1076" s="3">
        <v>46.12</v>
      </c>
      <c r="Q1076" s="3">
        <v>0</v>
      </c>
      <c r="R1076" s="3">
        <v>0</v>
      </c>
      <c r="S1076" s="3">
        <v>5</v>
      </c>
      <c r="T1076" s="3">
        <v>8</v>
      </c>
      <c r="U1076" s="3">
        <v>16</v>
      </c>
      <c r="V1076" s="3">
        <v>27</v>
      </c>
      <c r="W1076" s="3"/>
      <c r="X1076" s="3">
        <v>32.99</v>
      </c>
      <c r="Y1076" s="3">
        <v>11.46</v>
      </c>
      <c r="Z1076" s="3">
        <v>11.46</v>
      </c>
      <c r="AA1076" s="3">
        <v>0</v>
      </c>
      <c r="AB1076" s="3" t="s">
        <v>1713</v>
      </c>
      <c r="AC1076" s="3">
        <v>38</v>
      </c>
      <c r="AD1076" s="3">
        <v>16.99</v>
      </c>
      <c r="AE1076" s="3">
        <v>0</v>
      </c>
      <c r="AF1076" s="3">
        <v>0</v>
      </c>
      <c r="AG1076" s="3">
        <v>0</v>
      </c>
      <c r="AH1076" s="3">
        <v>0.216432865731462</v>
      </c>
      <c r="AI1076" s="3" t="s">
        <v>5056</v>
      </c>
      <c r="AJ1076" s="3" t="s">
        <v>1715</v>
      </c>
    </row>
    <row r="1077" spans="1:36">
      <c r="A1077" s="4">
        <v>43277</v>
      </c>
      <c r="B1077" s="3" t="s">
        <v>5057</v>
      </c>
      <c r="C1077" s="3" t="s">
        <v>5058</v>
      </c>
      <c r="D1077" s="3" t="s">
        <v>5059</v>
      </c>
      <c r="E1077" s="3" t="s">
        <v>5060</v>
      </c>
      <c r="F1077" s="3" t="s">
        <v>1710</v>
      </c>
      <c r="G1077" s="3">
        <v>6</v>
      </c>
      <c r="H1077" s="3">
        <v>0</v>
      </c>
      <c r="I1077" s="3">
        <v>6</v>
      </c>
      <c r="J1077" s="3">
        <v>0</v>
      </c>
      <c r="K1077" s="3">
        <v>0</v>
      </c>
      <c r="L1077" s="3">
        <v>0</v>
      </c>
      <c r="M1077" s="3">
        <v>0</v>
      </c>
      <c r="N1077" s="3" t="s">
        <v>1711</v>
      </c>
      <c r="O1077" s="3">
        <v>0</v>
      </c>
      <c r="P1077" s="3">
        <v>0</v>
      </c>
      <c r="Q1077" s="3">
        <v>0</v>
      </c>
      <c r="R1077" s="3">
        <v>0</v>
      </c>
      <c r="S1077" s="3">
        <v>0</v>
      </c>
      <c r="T1077" s="3">
        <v>1</v>
      </c>
      <c r="U1077" s="3">
        <v>3</v>
      </c>
      <c r="V1077" s="3">
        <v>3</v>
      </c>
      <c r="W1077" s="3"/>
      <c r="X1077" s="3">
        <v>19.99</v>
      </c>
      <c r="Y1077" s="3">
        <v>19.99</v>
      </c>
      <c r="Z1077" s="3">
        <v>19.99</v>
      </c>
      <c r="AA1077" s="3">
        <v>0</v>
      </c>
      <c r="AB1077" s="3" t="s">
        <v>1713</v>
      </c>
      <c r="AC1077" s="3">
        <v>7</v>
      </c>
      <c r="AD1077" s="3">
        <v>19.99</v>
      </c>
      <c r="AE1077" s="3">
        <v>0</v>
      </c>
      <c r="AF1077" s="3">
        <v>0</v>
      </c>
      <c r="AG1077" s="3">
        <v>0</v>
      </c>
      <c r="AH1077" s="3">
        <v>0.6</v>
      </c>
      <c r="AI1077" s="3" t="s">
        <v>5061</v>
      </c>
      <c r="AJ1077" s="3" t="s">
        <v>1715</v>
      </c>
    </row>
    <row r="1078" spans="1:36">
      <c r="A1078" s="4">
        <v>43277</v>
      </c>
      <c r="B1078" s="3" t="s">
        <v>5062</v>
      </c>
      <c r="C1078" s="3" t="s">
        <v>5063</v>
      </c>
      <c r="D1078" s="3" t="s">
        <v>5064</v>
      </c>
      <c r="E1078" s="3" t="s">
        <v>251</v>
      </c>
      <c r="F1078" s="3" t="s">
        <v>1710</v>
      </c>
      <c r="G1078" s="3">
        <v>5</v>
      </c>
      <c r="H1078" s="3">
        <v>0</v>
      </c>
      <c r="I1078" s="3">
        <v>5</v>
      </c>
      <c r="J1078" s="3">
        <v>0</v>
      </c>
      <c r="K1078" s="3">
        <v>0</v>
      </c>
      <c r="L1078" s="3">
        <v>0</v>
      </c>
      <c r="M1078" s="3">
        <v>0</v>
      </c>
      <c r="N1078" s="3" t="s">
        <v>1711</v>
      </c>
      <c r="O1078" s="3">
        <v>0</v>
      </c>
      <c r="P1078" s="3">
        <v>0</v>
      </c>
      <c r="Q1078" s="3">
        <v>0</v>
      </c>
      <c r="R1078" s="3">
        <v>0</v>
      </c>
      <c r="S1078" s="3">
        <v>0</v>
      </c>
      <c r="T1078" s="3">
        <v>2</v>
      </c>
      <c r="U1078" s="3">
        <v>4</v>
      </c>
      <c r="V1078" s="3">
        <v>9</v>
      </c>
      <c r="W1078" s="3"/>
      <c r="X1078" s="3">
        <v>27.99</v>
      </c>
      <c r="Y1078" s="3">
        <v>27.99</v>
      </c>
      <c r="Z1078" s="3">
        <v>25.99</v>
      </c>
      <c r="AA1078" s="3">
        <v>0</v>
      </c>
      <c r="AB1078" s="3" t="s">
        <v>1713</v>
      </c>
      <c r="AC1078" s="3">
        <v>5</v>
      </c>
      <c r="AD1078" s="3">
        <v>27.99</v>
      </c>
      <c r="AE1078" s="3">
        <v>0</v>
      </c>
      <c r="AF1078" s="3">
        <v>0</v>
      </c>
      <c r="AG1078" s="3">
        <v>0</v>
      </c>
      <c r="AH1078" s="3">
        <v>1.44</v>
      </c>
      <c r="AI1078" s="3" t="s">
        <v>2094</v>
      </c>
      <c r="AJ1078" s="3" t="s">
        <v>1715</v>
      </c>
    </row>
    <row r="1079" spans="1:36">
      <c r="A1079" s="4">
        <v>43277</v>
      </c>
      <c r="B1079" s="3" t="s">
        <v>5065</v>
      </c>
      <c r="C1079" s="3" t="s">
        <v>5066</v>
      </c>
      <c r="D1079" s="3" t="s">
        <v>5067</v>
      </c>
      <c r="E1079" s="3" t="s">
        <v>1709</v>
      </c>
      <c r="F1079" s="3" t="s">
        <v>1710</v>
      </c>
      <c r="G1079" s="3">
        <v>15</v>
      </c>
      <c r="H1079" s="3">
        <v>0</v>
      </c>
      <c r="I1079" s="3">
        <v>15</v>
      </c>
      <c r="J1079" s="3">
        <v>0</v>
      </c>
      <c r="K1079" s="3">
        <v>0</v>
      </c>
      <c r="L1079" s="3">
        <v>0</v>
      </c>
      <c r="M1079" s="3">
        <v>0</v>
      </c>
      <c r="N1079" s="3" t="s">
        <v>1711</v>
      </c>
      <c r="O1079" s="3">
        <v>0</v>
      </c>
      <c r="P1079" s="3">
        <v>0</v>
      </c>
      <c r="Q1079" s="3">
        <v>0</v>
      </c>
      <c r="R1079" s="3">
        <v>0</v>
      </c>
      <c r="S1079" s="3">
        <v>0</v>
      </c>
      <c r="T1079" s="3">
        <v>0</v>
      </c>
      <c r="U1079" s="3">
        <v>0</v>
      </c>
      <c r="V1079" s="3">
        <v>0</v>
      </c>
      <c r="W1079" s="3" t="s">
        <v>1712</v>
      </c>
      <c r="X1079" s="3">
        <v>19.99</v>
      </c>
      <c r="Y1079" s="3">
        <v>19.99</v>
      </c>
      <c r="Z1079" s="3">
        <v>19.99</v>
      </c>
      <c r="AA1079" s="3">
        <v>0</v>
      </c>
      <c r="AB1079" s="3" t="s">
        <v>1713</v>
      </c>
      <c r="AC1079" s="3">
        <v>15</v>
      </c>
      <c r="AD1079" s="3">
        <v>19.99</v>
      </c>
      <c r="AE1079" s="3">
        <v>0</v>
      </c>
      <c r="AF1079" s="3">
        <v>0</v>
      </c>
      <c r="AG1079" s="3">
        <v>0</v>
      </c>
      <c r="AH1079" s="3">
        <v>0</v>
      </c>
      <c r="AI1079" s="3" t="s">
        <v>5068</v>
      </c>
      <c r="AJ1079" s="3" t="s">
        <v>1715</v>
      </c>
    </row>
    <row r="1080" spans="1:36">
      <c r="A1080" s="4">
        <v>43277</v>
      </c>
      <c r="B1080" s="3" t="s">
        <v>5069</v>
      </c>
      <c r="C1080" s="3" t="s">
        <v>5070</v>
      </c>
      <c r="D1080" s="3" t="s">
        <v>5071</v>
      </c>
      <c r="E1080" s="3" t="s">
        <v>5072</v>
      </c>
      <c r="F1080" s="3" t="s">
        <v>1710</v>
      </c>
      <c r="G1080" s="3">
        <v>12</v>
      </c>
      <c r="H1080" s="3">
        <v>0</v>
      </c>
      <c r="I1080" s="3">
        <v>0</v>
      </c>
      <c r="J1080" s="3">
        <v>2</v>
      </c>
      <c r="K1080" s="3">
        <v>10</v>
      </c>
      <c r="L1080" s="3">
        <v>0</v>
      </c>
      <c r="M1080" s="3">
        <v>0</v>
      </c>
      <c r="N1080" s="3" t="s">
        <v>1711</v>
      </c>
      <c r="O1080" s="3">
        <v>12</v>
      </c>
      <c r="P1080" s="3">
        <v>18.09</v>
      </c>
      <c r="Q1080" s="3">
        <v>0</v>
      </c>
      <c r="R1080" s="3">
        <v>0</v>
      </c>
      <c r="S1080" s="3">
        <v>0</v>
      </c>
      <c r="T1080" s="3">
        <v>0</v>
      </c>
      <c r="U1080" s="3">
        <v>0</v>
      </c>
      <c r="V1080" s="3">
        <v>1</v>
      </c>
      <c r="W1080" s="3" t="s">
        <v>1720</v>
      </c>
      <c r="X1080" s="3">
        <v>18.99</v>
      </c>
      <c r="Y1080" s="3">
        <v>18.99</v>
      </c>
      <c r="Z1080" s="3">
        <v>18.99</v>
      </c>
      <c r="AA1080" s="3">
        <v>0</v>
      </c>
      <c r="AB1080" s="3" t="s">
        <v>1721</v>
      </c>
      <c r="AC1080" s="3">
        <v>0</v>
      </c>
      <c r="AD1080" s="3">
        <v>17.29</v>
      </c>
      <c r="AE1080" s="3">
        <v>49</v>
      </c>
      <c r="AF1080" s="3">
        <v>0</v>
      </c>
      <c r="AG1080" s="3">
        <v>313.768453</v>
      </c>
      <c r="AH1080" s="3">
        <v>0.0816326530612244</v>
      </c>
      <c r="AI1080" s="3" t="s">
        <v>5073</v>
      </c>
      <c r="AJ1080" s="3" t="s">
        <v>1715</v>
      </c>
    </row>
    <row r="1081" spans="1:36">
      <c r="A1081" s="4">
        <v>43277</v>
      </c>
      <c r="B1081" s="3" t="s">
        <v>5074</v>
      </c>
      <c r="C1081" s="3" t="s">
        <v>5075</v>
      </c>
      <c r="D1081" s="3" t="s">
        <v>5076</v>
      </c>
      <c r="E1081" s="3" t="s">
        <v>5077</v>
      </c>
      <c r="F1081" s="3" t="s">
        <v>1710</v>
      </c>
      <c r="G1081" s="3">
        <v>5</v>
      </c>
      <c r="H1081" s="3">
        <v>0</v>
      </c>
      <c r="I1081" s="3">
        <v>0</v>
      </c>
      <c r="J1081" s="3">
        <v>0</v>
      </c>
      <c r="K1081" s="3">
        <v>0</v>
      </c>
      <c r="L1081" s="3">
        <v>5</v>
      </c>
      <c r="M1081" s="3">
        <v>0</v>
      </c>
      <c r="N1081" s="3" t="s">
        <v>1711</v>
      </c>
      <c r="O1081" s="3">
        <v>5</v>
      </c>
      <c r="P1081" s="3">
        <v>5.4</v>
      </c>
      <c r="Q1081" s="3">
        <v>0</v>
      </c>
      <c r="R1081" s="3">
        <v>0</v>
      </c>
      <c r="S1081" s="3">
        <v>0</v>
      </c>
      <c r="T1081" s="3">
        <v>0</v>
      </c>
      <c r="U1081" s="3">
        <v>0</v>
      </c>
      <c r="V1081" s="3">
        <v>0</v>
      </c>
      <c r="W1081" s="3" t="s">
        <v>1720</v>
      </c>
      <c r="X1081" s="3">
        <v>18.99</v>
      </c>
      <c r="Y1081" s="3">
        <v>18.99</v>
      </c>
      <c r="Z1081" s="3">
        <v>18.99</v>
      </c>
      <c r="AA1081" s="3">
        <v>0</v>
      </c>
      <c r="AB1081" s="3" t="s">
        <v>1732</v>
      </c>
      <c r="AC1081" s="3">
        <v>0</v>
      </c>
      <c r="AD1081" s="3">
        <v>15.19</v>
      </c>
      <c r="AE1081" s="3">
        <v>63</v>
      </c>
      <c r="AF1081" s="3">
        <v>0</v>
      </c>
      <c r="AG1081" s="3">
        <v>64.649678</v>
      </c>
      <c r="AH1081" s="3">
        <v>0</v>
      </c>
      <c r="AI1081" s="3" t="s">
        <v>1856</v>
      </c>
      <c r="AJ1081" s="3" t="s">
        <v>1715</v>
      </c>
    </row>
    <row r="1082" spans="1:36">
      <c r="A1082" s="4">
        <v>43277</v>
      </c>
      <c r="B1082" s="3" t="s">
        <v>361</v>
      </c>
      <c r="C1082" s="3" t="s">
        <v>362</v>
      </c>
      <c r="D1082" s="3" t="s">
        <v>363</v>
      </c>
      <c r="E1082" s="3" t="s">
        <v>364</v>
      </c>
      <c r="F1082" s="3" t="s">
        <v>1710</v>
      </c>
      <c r="G1082" s="3">
        <v>61</v>
      </c>
      <c r="H1082" s="3">
        <v>0</v>
      </c>
      <c r="I1082" s="3">
        <v>61</v>
      </c>
      <c r="J1082" s="3">
        <v>0</v>
      </c>
      <c r="K1082" s="3">
        <v>0</v>
      </c>
      <c r="L1082" s="3">
        <v>0</v>
      </c>
      <c r="M1082" s="3">
        <v>0</v>
      </c>
      <c r="N1082" s="3" t="s">
        <v>1711</v>
      </c>
      <c r="O1082" s="3">
        <v>0</v>
      </c>
      <c r="P1082" s="3">
        <v>0</v>
      </c>
      <c r="Q1082" s="3">
        <v>0</v>
      </c>
      <c r="R1082" s="3">
        <v>0</v>
      </c>
      <c r="S1082" s="3">
        <v>8</v>
      </c>
      <c r="T1082" s="3">
        <v>31</v>
      </c>
      <c r="U1082" s="3">
        <v>53</v>
      </c>
      <c r="V1082" s="3">
        <v>83</v>
      </c>
      <c r="W1082" s="3"/>
      <c r="X1082" s="3">
        <v>48.58</v>
      </c>
      <c r="Y1082" s="3">
        <v>28.99</v>
      </c>
      <c r="Z1082" s="3">
        <v>28</v>
      </c>
      <c r="AA1082" s="3">
        <v>0</v>
      </c>
      <c r="AB1082" s="3" t="s">
        <v>1713</v>
      </c>
      <c r="AC1082" s="3">
        <v>62</v>
      </c>
      <c r="AD1082" s="3">
        <v>28.99</v>
      </c>
      <c r="AE1082" s="3">
        <v>0</v>
      </c>
      <c r="AF1082" s="3">
        <v>0</v>
      </c>
      <c r="AG1082" s="3">
        <v>0</v>
      </c>
      <c r="AH1082" s="3">
        <v>1.38912133891213</v>
      </c>
      <c r="AI1082" s="3" t="s">
        <v>1784</v>
      </c>
      <c r="AJ1082" s="3" t="s">
        <v>1715</v>
      </c>
    </row>
    <row r="1083" spans="1:36">
      <c r="A1083" s="4">
        <v>43277</v>
      </c>
      <c r="B1083" s="3" t="s">
        <v>5078</v>
      </c>
      <c r="C1083" s="3" t="s">
        <v>5079</v>
      </c>
      <c r="D1083" s="3" t="s">
        <v>5080</v>
      </c>
      <c r="E1083" s="3" t="s">
        <v>1755</v>
      </c>
      <c r="F1083" s="3" t="s">
        <v>1710</v>
      </c>
      <c r="G1083" s="3">
        <v>10</v>
      </c>
      <c r="H1083" s="3">
        <v>0</v>
      </c>
      <c r="I1083" s="3">
        <v>10</v>
      </c>
      <c r="J1083" s="3">
        <v>0</v>
      </c>
      <c r="K1083" s="3">
        <v>0</v>
      </c>
      <c r="L1083" s="3">
        <v>0</v>
      </c>
      <c r="M1083" s="3">
        <v>0</v>
      </c>
      <c r="N1083" s="3" t="s">
        <v>1711</v>
      </c>
      <c r="O1083" s="3">
        <v>0</v>
      </c>
      <c r="P1083" s="3">
        <v>0</v>
      </c>
      <c r="Q1083" s="3">
        <v>0</v>
      </c>
      <c r="R1083" s="3">
        <v>0</v>
      </c>
      <c r="S1083" s="3">
        <v>0</v>
      </c>
      <c r="T1083" s="3">
        <v>0</v>
      </c>
      <c r="U1083" s="3">
        <v>0</v>
      </c>
      <c r="V1083" s="3">
        <v>0</v>
      </c>
      <c r="W1083" s="3" t="s">
        <v>1720</v>
      </c>
      <c r="X1083" s="3">
        <v>15.99</v>
      </c>
      <c r="Y1083" s="3">
        <v>15.99</v>
      </c>
      <c r="Z1083" s="3">
        <v>15.99</v>
      </c>
      <c r="AA1083" s="3">
        <v>0</v>
      </c>
      <c r="AB1083" s="3" t="s">
        <v>1721</v>
      </c>
      <c r="AC1083" s="3">
        <v>10</v>
      </c>
      <c r="AD1083" s="3">
        <v>15.99</v>
      </c>
      <c r="AE1083" s="3">
        <v>0</v>
      </c>
      <c r="AF1083" s="3">
        <v>0</v>
      </c>
      <c r="AG1083" s="3">
        <v>0</v>
      </c>
      <c r="AH1083" s="3">
        <v>0</v>
      </c>
      <c r="AI1083" s="3" t="s">
        <v>1756</v>
      </c>
      <c r="AJ1083" s="3" t="s">
        <v>1715</v>
      </c>
    </row>
    <row r="1084" spans="1:36">
      <c r="A1084" s="4">
        <v>43277</v>
      </c>
      <c r="B1084" s="3" t="s">
        <v>5081</v>
      </c>
      <c r="C1084" s="3" t="s">
        <v>5082</v>
      </c>
      <c r="D1084" s="3" t="s">
        <v>5083</v>
      </c>
      <c r="E1084" s="3" t="s">
        <v>5084</v>
      </c>
      <c r="F1084" s="3" t="s">
        <v>1710</v>
      </c>
      <c r="G1084" s="3">
        <v>13</v>
      </c>
      <c r="H1084" s="3">
        <v>0</v>
      </c>
      <c r="I1084" s="3">
        <v>13</v>
      </c>
      <c r="J1084" s="3">
        <v>0</v>
      </c>
      <c r="K1084" s="3">
        <v>0</v>
      </c>
      <c r="L1084" s="3">
        <v>0</v>
      </c>
      <c r="M1084" s="3">
        <v>0</v>
      </c>
      <c r="N1084" s="3" t="s">
        <v>1711</v>
      </c>
      <c r="O1084" s="3">
        <v>0</v>
      </c>
      <c r="P1084" s="3">
        <v>0</v>
      </c>
      <c r="Q1084" s="3">
        <v>0</v>
      </c>
      <c r="R1084" s="3">
        <v>0</v>
      </c>
      <c r="S1084" s="3">
        <v>2</v>
      </c>
      <c r="T1084" s="3">
        <v>2</v>
      </c>
      <c r="U1084" s="3">
        <v>2</v>
      </c>
      <c r="V1084" s="3">
        <v>2</v>
      </c>
      <c r="W1084" s="3"/>
      <c r="X1084" s="3">
        <v>19.99</v>
      </c>
      <c r="Y1084" s="3">
        <v>19.99</v>
      </c>
      <c r="Z1084" s="3">
        <v>19.99</v>
      </c>
      <c r="AA1084" s="3">
        <v>0</v>
      </c>
      <c r="AB1084" s="3" t="s">
        <v>1713</v>
      </c>
      <c r="AC1084" s="3">
        <v>15</v>
      </c>
      <c r="AD1084" s="3">
        <v>19.99</v>
      </c>
      <c r="AE1084" s="3">
        <v>0</v>
      </c>
      <c r="AF1084" s="3">
        <v>0</v>
      </c>
      <c r="AG1084" s="3">
        <v>0</v>
      </c>
      <c r="AH1084" s="3">
        <v>0.142857142857142</v>
      </c>
      <c r="AI1084" s="3" t="s">
        <v>1919</v>
      </c>
      <c r="AJ1084" s="3" t="s">
        <v>1715</v>
      </c>
    </row>
    <row r="1085" spans="1:36">
      <c r="A1085" s="4">
        <v>43277</v>
      </c>
      <c r="B1085" s="3" t="s">
        <v>5085</v>
      </c>
      <c r="C1085" s="3" t="s">
        <v>5086</v>
      </c>
      <c r="D1085" s="3" t="s">
        <v>5087</v>
      </c>
      <c r="E1085" s="3" t="s">
        <v>1136</v>
      </c>
      <c r="F1085" s="3" t="s">
        <v>1710</v>
      </c>
      <c r="G1085" s="3">
        <v>4</v>
      </c>
      <c r="H1085" s="3">
        <v>0</v>
      </c>
      <c r="I1085" s="3">
        <v>4</v>
      </c>
      <c r="J1085" s="3">
        <v>0</v>
      </c>
      <c r="K1085" s="3">
        <v>0</v>
      </c>
      <c r="L1085" s="3">
        <v>0</v>
      </c>
      <c r="M1085" s="3">
        <v>0</v>
      </c>
      <c r="N1085" s="3" t="s">
        <v>1711</v>
      </c>
      <c r="O1085" s="3">
        <v>0</v>
      </c>
      <c r="P1085" s="3">
        <v>0</v>
      </c>
      <c r="Q1085" s="3">
        <v>0</v>
      </c>
      <c r="R1085" s="3">
        <v>0</v>
      </c>
      <c r="S1085" s="3">
        <v>2</v>
      </c>
      <c r="T1085" s="3">
        <v>10</v>
      </c>
      <c r="U1085" s="3">
        <v>17</v>
      </c>
      <c r="V1085" s="3">
        <v>17</v>
      </c>
      <c r="W1085" s="3"/>
      <c r="X1085" s="3">
        <v>39.99</v>
      </c>
      <c r="Y1085" s="3">
        <v>21.99</v>
      </c>
      <c r="Z1085" s="3">
        <v>21.99</v>
      </c>
      <c r="AA1085" s="3">
        <v>0</v>
      </c>
      <c r="AB1085" s="3" t="s">
        <v>1713</v>
      </c>
      <c r="AC1085" s="3">
        <v>6</v>
      </c>
      <c r="AD1085" s="3">
        <v>21.99</v>
      </c>
      <c r="AE1085" s="3">
        <v>0</v>
      </c>
      <c r="AF1085" s="3">
        <v>0</v>
      </c>
      <c r="AG1085" s="3">
        <v>0</v>
      </c>
      <c r="AH1085" s="3">
        <v>3</v>
      </c>
      <c r="AI1085" s="3" t="s">
        <v>1890</v>
      </c>
      <c r="AJ1085" s="3" t="s">
        <v>1715</v>
      </c>
    </row>
    <row r="1086" spans="1:36">
      <c r="A1086" s="4">
        <v>43277</v>
      </c>
      <c r="B1086" s="3" t="s">
        <v>64</v>
      </c>
      <c r="C1086" s="3" t="s">
        <v>65</v>
      </c>
      <c r="D1086" s="3" t="s">
        <v>66</v>
      </c>
      <c r="E1086" s="3" t="s">
        <v>5088</v>
      </c>
      <c r="F1086" s="3" t="s">
        <v>1710</v>
      </c>
      <c r="G1086" s="3">
        <v>7</v>
      </c>
      <c r="H1086" s="3">
        <v>0</v>
      </c>
      <c r="I1086" s="3">
        <v>7</v>
      </c>
      <c r="J1086" s="3">
        <v>0</v>
      </c>
      <c r="K1086" s="3">
        <v>0</v>
      </c>
      <c r="L1086" s="3">
        <v>0</v>
      </c>
      <c r="M1086" s="3">
        <v>0</v>
      </c>
      <c r="N1086" s="3" t="s">
        <v>1711</v>
      </c>
      <c r="O1086" s="3">
        <v>0</v>
      </c>
      <c r="P1086" s="3">
        <v>0</v>
      </c>
      <c r="Q1086" s="3">
        <v>0</v>
      </c>
      <c r="R1086" s="3">
        <v>0</v>
      </c>
      <c r="S1086" s="3">
        <v>0</v>
      </c>
      <c r="T1086" s="3">
        <v>8</v>
      </c>
      <c r="U1086" s="3">
        <v>10</v>
      </c>
      <c r="V1086" s="3">
        <v>11</v>
      </c>
      <c r="W1086" s="3"/>
      <c r="X1086" s="3">
        <v>15.99</v>
      </c>
      <c r="Y1086" s="3">
        <v>15.99</v>
      </c>
      <c r="Z1086" s="3">
        <v>15.55</v>
      </c>
      <c r="AA1086" s="3">
        <v>0</v>
      </c>
      <c r="AB1086" s="3" t="s">
        <v>1713</v>
      </c>
      <c r="AC1086" s="3">
        <v>7</v>
      </c>
      <c r="AD1086" s="3">
        <v>15.99</v>
      </c>
      <c r="AE1086" s="3">
        <v>0</v>
      </c>
      <c r="AF1086" s="3">
        <v>0</v>
      </c>
      <c r="AG1086" s="3">
        <v>0</v>
      </c>
      <c r="AH1086" s="3">
        <v>1.25714285714285</v>
      </c>
      <c r="AI1086" s="3" t="s">
        <v>2082</v>
      </c>
      <c r="AJ1086" s="3" t="s">
        <v>1715</v>
      </c>
    </row>
    <row r="1087" spans="1:36">
      <c r="A1087" s="4">
        <v>43277</v>
      </c>
      <c r="B1087" s="3" t="s">
        <v>895</v>
      </c>
      <c r="C1087" s="3" t="s">
        <v>896</v>
      </c>
      <c r="D1087" s="3" t="s">
        <v>897</v>
      </c>
      <c r="E1087" s="3" t="s">
        <v>898</v>
      </c>
      <c r="F1087" s="3" t="s">
        <v>1710</v>
      </c>
      <c r="G1087" s="3">
        <v>9</v>
      </c>
      <c r="H1087" s="3">
        <v>0</v>
      </c>
      <c r="I1087" s="3">
        <v>9</v>
      </c>
      <c r="J1087" s="3">
        <v>0</v>
      </c>
      <c r="K1087" s="3">
        <v>0</v>
      </c>
      <c r="L1087" s="3">
        <v>0</v>
      </c>
      <c r="M1087" s="3">
        <v>0</v>
      </c>
      <c r="N1087" s="3" t="s">
        <v>1711</v>
      </c>
      <c r="O1087" s="3">
        <v>0</v>
      </c>
      <c r="P1087" s="3">
        <v>0</v>
      </c>
      <c r="Q1087" s="3">
        <v>0</v>
      </c>
      <c r="R1087" s="3">
        <v>0</v>
      </c>
      <c r="S1087" s="3">
        <v>1</v>
      </c>
      <c r="T1087" s="3">
        <v>1</v>
      </c>
      <c r="U1087" s="3">
        <v>1</v>
      </c>
      <c r="V1087" s="3">
        <v>1</v>
      </c>
      <c r="W1087" s="3" t="s">
        <v>1720</v>
      </c>
      <c r="X1087" s="3">
        <v>29.99</v>
      </c>
      <c r="Y1087" s="3">
        <v>12.99</v>
      </c>
      <c r="Z1087" s="3">
        <v>12.99</v>
      </c>
      <c r="AA1087" s="3">
        <v>0</v>
      </c>
      <c r="AB1087" s="3" t="s">
        <v>1732</v>
      </c>
      <c r="AC1087" s="3">
        <v>0</v>
      </c>
      <c r="AD1087" s="3">
        <v>12.79</v>
      </c>
      <c r="AE1087" s="3">
        <v>63</v>
      </c>
      <c r="AF1087" s="3">
        <v>0</v>
      </c>
      <c r="AG1087" s="3">
        <v>81.229254</v>
      </c>
      <c r="AH1087" s="3">
        <v>0.111111111111111</v>
      </c>
      <c r="AI1087" s="3" t="s">
        <v>2022</v>
      </c>
      <c r="AJ1087" s="3" t="s">
        <v>1715</v>
      </c>
    </row>
    <row r="1088" spans="1:36">
      <c r="A1088" s="4">
        <v>43277</v>
      </c>
      <c r="B1088" s="3" t="s">
        <v>5089</v>
      </c>
      <c r="C1088" s="3" t="s">
        <v>5090</v>
      </c>
      <c r="D1088" s="3" t="s">
        <v>5091</v>
      </c>
      <c r="E1088" s="3" t="s">
        <v>349</v>
      </c>
      <c r="F1088" s="3" t="s">
        <v>1710</v>
      </c>
      <c r="G1088" s="3">
        <v>7</v>
      </c>
      <c r="H1088" s="3">
        <v>0</v>
      </c>
      <c r="I1088" s="3">
        <v>0</v>
      </c>
      <c r="J1088" s="3">
        <v>1</v>
      </c>
      <c r="K1088" s="3">
        <v>6</v>
      </c>
      <c r="L1088" s="3">
        <v>0</v>
      </c>
      <c r="M1088" s="3">
        <v>0</v>
      </c>
      <c r="N1088" s="3" t="s">
        <v>1711</v>
      </c>
      <c r="O1088" s="3">
        <v>6</v>
      </c>
      <c r="P1088" s="3">
        <v>26.21</v>
      </c>
      <c r="Q1088" s="3">
        <v>0</v>
      </c>
      <c r="R1088" s="3">
        <v>0</v>
      </c>
      <c r="S1088" s="3">
        <v>0</v>
      </c>
      <c r="T1088" s="3">
        <v>0</v>
      </c>
      <c r="U1088" s="3">
        <v>0</v>
      </c>
      <c r="V1088" s="3">
        <v>1</v>
      </c>
      <c r="W1088" s="3" t="s">
        <v>1720</v>
      </c>
      <c r="X1088" s="3">
        <v>12.99</v>
      </c>
      <c r="Y1088" s="3">
        <v>12.99</v>
      </c>
      <c r="Z1088" s="3">
        <v>12.99</v>
      </c>
      <c r="AA1088" s="3">
        <v>0</v>
      </c>
      <c r="AB1088" s="3" t="s">
        <v>1721</v>
      </c>
      <c r="AC1088" s="3">
        <v>0</v>
      </c>
      <c r="AD1088" s="3">
        <v>10.29</v>
      </c>
      <c r="AE1088" s="3">
        <v>77</v>
      </c>
      <c r="AF1088" s="3">
        <v>0</v>
      </c>
      <c r="AG1088" s="3">
        <v>376.59737</v>
      </c>
      <c r="AH1088" s="3">
        <v>0.137931034482758</v>
      </c>
      <c r="AI1088" s="3" t="s">
        <v>2182</v>
      </c>
      <c r="AJ1088" s="3" t="s">
        <v>1783</v>
      </c>
    </row>
    <row r="1089" spans="1:36">
      <c r="A1089" s="4">
        <v>43277</v>
      </c>
      <c r="B1089" s="3" t="s">
        <v>5092</v>
      </c>
      <c r="C1089" s="3" t="s">
        <v>5093</v>
      </c>
      <c r="D1089" s="3" t="s">
        <v>5094</v>
      </c>
      <c r="E1089" s="3" t="s">
        <v>5095</v>
      </c>
      <c r="F1089" s="3" t="s">
        <v>1710</v>
      </c>
      <c r="G1089" s="3">
        <v>63</v>
      </c>
      <c r="H1089" s="3">
        <v>0</v>
      </c>
      <c r="I1089" s="3">
        <v>63</v>
      </c>
      <c r="J1089" s="3">
        <v>0</v>
      </c>
      <c r="K1089" s="3">
        <v>0</v>
      </c>
      <c r="L1089" s="3">
        <v>0</v>
      </c>
      <c r="M1089" s="3">
        <v>0</v>
      </c>
      <c r="N1089" s="3" t="s">
        <v>1711</v>
      </c>
      <c r="O1089" s="3">
        <v>0</v>
      </c>
      <c r="P1089" s="3">
        <v>0</v>
      </c>
      <c r="Q1089" s="3">
        <v>0</v>
      </c>
      <c r="R1089" s="3">
        <v>0</v>
      </c>
      <c r="S1089" s="3">
        <v>6</v>
      </c>
      <c r="T1089" s="3">
        <v>32</v>
      </c>
      <c r="U1089" s="3">
        <v>62</v>
      </c>
      <c r="V1089" s="3">
        <v>81</v>
      </c>
      <c r="W1089" s="3"/>
      <c r="X1089" s="3">
        <v>38</v>
      </c>
      <c r="Y1089" s="3">
        <v>28.58</v>
      </c>
      <c r="Z1089" s="3">
        <v>28</v>
      </c>
      <c r="AA1089" s="3">
        <v>0</v>
      </c>
      <c r="AB1089" s="3" t="s">
        <v>1713</v>
      </c>
      <c r="AC1089" s="3">
        <v>20</v>
      </c>
      <c r="AD1089" s="3">
        <v>28.58</v>
      </c>
      <c r="AE1089" s="3">
        <v>0</v>
      </c>
      <c r="AF1089" s="3">
        <v>0</v>
      </c>
      <c r="AG1089" s="3">
        <v>0</v>
      </c>
      <c r="AH1089" s="3">
        <v>2.7457627118644</v>
      </c>
      <c r="AI1089" s="3" t="s">
        <v>1801</v>
      </c>
      <c r="AJ1089" s="3" t="s">
        <v>1715</v>
      </c>
    </row>
    <row r="1090" spans="1:36">
      <c r="A1090" s="4">
        <v>43277</v>
      </c>
      <c r="B1090" s="3" t="s">
        <v>843</v>
      </c>
      <c r="C1090" s="3" t="s">
        <v>844</v>
      </c>
      <c r="D1090" s="3" t="s">
        <v>845</v>
      </c>
      <c r="E1090" s="3" t="s">
        <v>846</v>
      </c>
      <c r="F1090" s="3" t="s">
        <v>1710</v>
      </c>
      <c r="G1090" s="3">
        <v>19</v>
      </c>
      <c r="H1090" s="3">
        <v>0</v>
      </c>
      <c r="I1090" s="3">
        <v>19</v>
      </c>
      <c r="J1090" s="3">
        <v>0</v>
      </c>
      <c r="K1090" s="3">
        <v>0</v>
      </c>
      <c r="L1090" s="3">
        <v>0</v>
      </c>
      <c r="M1090" s="3">
        <v>0</v>
      </c>
      <c r="N1090" s="3" t="s">
        <v>1711</v>
      </c>
      <c r="O1090" s="3">
        <v>0</v>
      </c>
      <c r="P1090" s="3">
        <v>0</v>
      </c>
      <c r="Q1090" s="3">
        <v>0</v>
      </c>
      <c r="R1090" s="3">
        <v>0</v>
      </c>
      <c r="S1090" s="3">
        <v>4</v>
      </c>
      <c r="T1090" s="3">
        <v>19</v>
      </c>
      <c r="U1090" s="3">
        <v>22</v>
      </c>
      <c r="V1090" s="3">
        <v>22</v>
      </c>
      <c r="W1090" s="3"/>
      <c r="X1090" s="3">
        <v>38</v>
      </c>
      <c r="Y1090" s="3">
        <v>28.58</v>
      </c>
      <c r="Z1090" s="3">
        <v>28.58</v>
      </c>
      <c r="AA1090" s="3">
        <v>0</v>
      </c>
      <c r="AB1090" s="3" t="s">
        <v>1713</v>
      </c>
      <c r="AC1090" s="3">
        <v>23</v>
      </c>
      <c r="AD1090" s="3">
        <v>28.58</v>
      </c>
      <c r="AE1090" s="3">
        <v>0</v>
      </c>
      <c r="AF1090" s="3">
        <v>0</v>
      </c>
      <c r="AG1090" s="3">
        <v>0</v>
      </c>
      <c r="AH1090" s="3">
        <v>1.1</v>
      </c>
      <c r="AI1090" s="3" t="s">
        <v>1883</v>
      </c>
      <c r="AJ1090" s="3" t="s">
        <v>1715</v>
      </c>
    </row>
    <row r="1091" spans="1:36">
      <c r="A1091" s="4">
        <v>43277</v>
      </c>
      <c r="B1091" s="3" t="s">
        <v>5096</v>
      </c>
      <c r="C1091" s="3" t="s">
        <v>5097</v>
      </c>
      <c r="D1091" s="3" t="s">
        <v>5098</v>
      </c>
      <c r="E1091" s="3" t="s">
        <v>2098</v>
      </c>
      <c r="F1091" s="3" t="s">
        <v>1710</v>
      </c>
      <c r="G1091" s="3">
        <v>1</v>
      </c>
      <c r="H1091" s="3">
        <v>0</v>
      </c>
      <c r="I1091" s="3">
        <v>1</v>
      </c>
      <c r="J1091" s="3">
        <v>0</v>
      </c>
      <c r="K1091" s="3">
        <v>0</v>
      </c>
      <c r="L1091" s="3">
        <v>0</v>
      </c>
      <c r="M1091" s="3">
        <v>0</v>
      </c>
      <c r="N1091" s="3" t="s">
        <v>1711</v>
      </c>
      <c r="O1091" s="3">
        <v>0</v>
      </c>
      <c r="P1091" s="3">
        <v>0</v>
      </c>
      <c r="Q1091" s="3">
        <v>0</v>
      </c>
      <c r="R1091" s="3">
        <v>0</v>
      </c>
      <c r="S1091" s="3">
        <v>0</v>
      </c>
      <c r="T1091" s="3">
        <v>1</v>
      </c>
      <c r="U1091" s="3">
        <v>3</v>
      </c>
      <c r="V1091" s="3">
        <v>3</v>
      </c>
      <c r="W1091" s="3" t="s">
        <v>1720</v>
      </c>
      <c r="X1091" s="3">
        <v>42.3</v>
      </c>
      <c r="Y1091" s="3">
        <v>29.99</v>
      </c>
      <c r="Z1091" s="3">
        <v>25</v>
      </c>
      <c r="AA1091" s="3">
        <v>0</v>
      </c>
      <c r="AB1091" s="3" t="s">
        <v>2429</v>
      </c>
      <c r="AC1091" s="3">
        <v>1</v>
      </c>
      <c r="AD1091" s="3">
        <v>29.99</v>
      </c>
      <c r="AE1091" s="3">
        <v>0</v>
      </c>
      <c r="AF1091" s="3">
        <v>0</v>
      </c>
      <c r="AG1091" s="3">
        <v>0</v>
      </c>
      <c r="AH1091" s="3">
        <v>2.4</v>
      </c>
      <c r="AI1091" s="3" t="s">
        <v>5099</v>
      </c>
      <c r="AJ1091" s="3" t="s">
        <v>1783</v>
      </c>
    </row>
    <row r="1092" spans="1:36">
      <c r="A1092" s="4">
        <v>43277</v>
      </c>
      <c r="B1092" s="3" t="s">
        <v>5100</v>
      </c>
      <c r="C1092" s="3" t="s">
        <v>5101</v>
      </c>
      <c r="D1092" s="3" t="s">
        <v>5102</v>
      </c>
      <c r="E1092" s="3" t="s">
        <v>5103</v>
      </c>
      <c r="F1092" s="3" t="s">
        <v>1710</v>
      </c>
      <c r="G1092" s="3">
        <v>6</v>
      </c>
      <c r="H1092" s="3">
        <v>0</v>
      </c>
      <c r="I1092" s="3">
        <v>1</v>
      </c>
      <c r="J1092" s="3">
        <v>0</v>
      </c>
      <c r="K1092" s="3">
        <v>0</v>
      </c>
      <c r="L1092" s="3">
        <v>1</v>
      </c>
      <c r="M1092" s="3">
        <v>4</v>
      </c>
      <c r="N1092" s="3" t="s">
        <v>1711</v>
      </c>
      <c r="O1092" s="3">
        <v>1</v>
      </c>
      <c r="P1092" s="3">
        <v>0.81</v>
      </c>
      <c r="Q1092" s="3">
        <v>4</v>
      </c>
      <c r="R1092" s="3">
        <v>6.48</v>
      </c>
      <c r="S1092" s="3">
        <v>1</v>
      </c>
      <c r="T1092" s="3">
        <v>2</v>
      </c>
      <c r="U1092" s="3">
        <v>3</v>
      </c>
      <c r="V1092" s="3">
        <v>3</v>
      </c>
      <c r="W1092" s="3" t="s">
        <v>1720</v>
      </c>
      <c r="X1092" s="3">
        <v>12.99</v>
      </c>
      <c r="Y1092" s="3">
        <v>12.99</v>
      </c>
      <c r="Z1092" s="3">
        <v>12.99</v>
      </c>
      <c r="AA1092" s="3">
        <v>0</v>
      </c>
      <c r="AB1092" s="3" t="s">
        <v>1721</v>
      </c>
      <c r="AC1092" s="3">
        <v>6</v>
      </c>
      <c r="AD1092" s="3">
        <v>12.99</v>
      </c>
      <c r="AE1092" s="3">
        <v>0</v>
      </c>
      <c r="AF1092" s="3">
        <v>0</v>
      </c>
      <c r="AG1092" s="3">
        <v>0</v>
      </c>
      <c r="AH1092" s="3">
        <v>0.4</v>
      </c>
      <c r="AI1092" s="3" t="s">
        <v>2529</v>
      </c>
      <c r="AJ1092" s="3" t="s">
        <v>1715</v>
      </c>
    </row>
    <row r="1093" spans="1:36">
      <c r="A1093" s="4">
        <v>43277</v>
      </c>
      <c r="B1093" s="3" t="s">
        <v>5104</v>
      </c>
      <c r="C1093" s="3" t="s">
        <v>5105</v>
      </c>
      <c r="D1093" s="3" t="s">
        <v>5106</v>
      </c>
      <c r="E1093" s="3" t="s">
        <v>1147</v>
      </c>
      <c r="F1093" s="3" t="s">
        <v>1710</v>
      </c>
      <c r="G1093" s="3">
        <v>5</v>
      </c>
      <c r="H1093" s="3">
        <v>0</v>
      </c>
      <c r="I1093" s="3">
        <v>5</v>
      </c>
      <c r="J1093" s="3">
        <v>0</v>
      </c>
      <c r="K1093" s="3">
        <v>0</v>
      </c>
      <c r="L1093" s="3">
        <v>0</v>
      </c>
      <c r="M1093" s="3">
        <v>0</v>
      </c>
      <c r="N1093" s="3" t="s">
        <v>1711</v>
      </c>
      <c r="O1093" s="3">
        <v>0</v>
      </c>
      <c r="P1093" s="3">
        <v>0</v>
      </c>
      <c r="Q1093" s="3">
        <v>0</v>
      </c>
      <c r="R1093" s="3">
        <v>0</v>
      </c>
      <c r="S1093" s="3">
        <v>6</v>
      </c>
      <c r="T1093" s="3">
        <v>14</v>
      </c>
      <c r="U1093" s="3">
        <v>20</v>
      </c>
      <c r="V1093" s="3">
        <v>20</v>
      </c>
      <c r="W1093" s="3"/>
      <c r="X1093" s="3">
        <v>39.99</v>
      </c>
      <c r="Y1093" s="3">
        <v>19.99</v>
      </c>
      <c r="Z1093" s="3">
        <v>19.99</v>
      </c>
      <c r="AA1093" s="3">
        <v>0</v>
      </c>
      <c r="AB1093" s="3" t="s">
        <v>1713</v>
      </c>
      <c r="AC1093" s="3">
        <v>2</v>
      </c>
      <c r="AD1093" s="3">
        <v>19.99</v>
      </c>
      <c r="AE1093" s="3">
        <v>0</v>
      </c>
      <c r="AF1093" s="3">
        <v>0</v>
      </c>
      <c r="AG1093" s="3">
        <v>0</v>
      </c>
      <c r="AH1093" s="3">
        <v>6</v>
      </c>
      <c r="AI1093" s="3" t="s">
        <v>1891</v>
      </c>
      <c r="AJ1093" s="3" t="s">
        <v>1715</v>
      </c>
    </row>
    <row r="1094" spans="1:36">
      <c r="A1094" s="4">
        <v>43277</v>
      </c>
      <c r="B1094" s="3" t="s">
        <v>5107</v>
      </c>
      <c r="C1094" s="3" t="s">
        <v>5108</v>
      </c>
      <c r="D1094" s="3" t="s">
        <v>5109</v>
      </c>
      <c r="E1094" s="3" t="s">
        <v>2495</v>
      </c>
      <c r="F1094" s="3" t="s">
        <v>1710</v>
      </c>
      <c r="G1094" s="3">
        <v>15</v>
      </c>
      <c r="H1094" s="3">
        <v>0</v>
      </c>
      <c r="I1094" s="3">
        <v>15</v>
      </c>
      <c r="J1094" s="3">
        <v>0</v>
      </c>
      <c r="K1094" s="3">
        <v>0</v>
      </c>
      <c r="L1094" s="3">
        <v>0</v>
      </c>
      <c r="M1094" s="3">
        <v>0</v>
      </c>
      <c r="N1094" s="3" t="s">
        <v>1711</v>
      </c>
      <c r="O1094" s="3">
        <v>0</v>
      </c>
      <c r="P1094" s="3">
        <v>0</v>
      </c>
      <c r="Q1094" s="3">
        <v>0</v>
      </c>
      <c r="R1094" s="3">
        <v>0</v>
      </c>
      <c r="S1094" s="3">
        <v>0</v>
      </c>
      <c r="T1094" s="3">
        <v>0</v>
      </c>
      <c r="U1094" s="3">
        <v>0</v>
      </c>
      <c r="V1094" s="3">
        <v>0</v>
      </c>
      <c r="W1094" s="3" t="s">
        <v>1720</v>
      </c>
      <c r="X1094" s="3">
        <v>15.99</v>
      </c>
      <c r="Y1094" s="3">
        <v>15.99</v>
      </c>
      <c r="Z1094" s="3">
        <v>15.99</v>
      </c>
      <c r="AA1094" s="3">
        <v>0</v>
      </c>
      <c r="AB1094" s="3" t="s">
        <v>1721</v>
      </c>
      <c r="AC1094" s="3">
        <v>0</v>
      </c>
      <c r="AD1094" s="3">
        <v>12.79</v>
      </c>
      <c r="AE1094" s="3">
        <v>63</v>
      </c>
      <c r="AF1094" s="3">
        <v>0</v>
      </c>
      <c r="AG1094" s="3">
        <v>160.761652</v>
      </c>
      <c r="AH1094" s="3">
        <v>0</v>
      </c>
      <c r="AI1094" s="3" t="s">
        <v>2758</v>
      </c>
      <c r="AJ1094" s="3" t="s">
        <v>1715</v>
      </c>
    </row>
    <row r="1095" spans="1:36">
      <c r="A1095" s="4">
        <v>43277</v>
      </c>
      <c r="B1095" s="3" t="s">
        <v>5110</v>
      </c>
      <c r="C1095" s="3" t="s">
        <v>5111</v>
      </c>
      <c r="D1095" s="3" t="s">
        <v>5112</v>
      </c>
      <c r="E1095" s="3" t="s">
        <v>5113</v>
      </c>
      <c r="F1095" s="3" t="s">
        <v>1710</v>
      </c>
      <c r="G1095" s="3">
        <v>9</v>
      </c>
      <c r="H1095" s="3">
        <v>0</v>
      </c>
      <c r="I1095" s="3">
        <v>0</v>
      </c>
      <c r="J1095" s="3">
        <v>0</v>
      </c>
      <c r="K1095" s="3">
        <v>9</v>
      </c>
      <c r="L1095" s="3">
        <v>0</v>
      </c>
      <c r="M1095" s="3">
        <v>0</v>
      </c>
      <c r="N1095" s="3" t="s">
        <v>1711</v>
      </c>
      <c r="O1095" s="3">
        <v>9</v>
      </c>
      <c r="P1095" s="3">
        <v>8.27</v>
      </c>
      <c r="Q1095" s="3">
        <v>0</v>
      </c>
      <c r="R1095" s="3">
        <v>0</v>
      </c>
      <c r="S1095" s="3">
        <v>0</v>
      </c>
      <c r="T1095" s="3">
        <v>1</v>
      </c>
      <c r="U1095" s="3">
        <v>1</v>
      </c>
      <c r="V1095" s="3">
        <v>1</v>
      </c>
      <c r="W1095" s="3" t="s">
        <v>1720</v>
      </c>
      <c r="X1095" s="3">
        <v>16.99</v>
      </c>
      <c r="Y1095" s="3">
        <v>16.99</v>
      </c>
      <c r="Z1095" s="3">
        <v>16.99</v>
      </c>
      <c r="AA1095" s="3">
        <v>0</v>
      </c>
      <c r="AB1095" s="3" t="s">
        <v>1721</v>
      </c>
      <c r="AC1095" s="3">
        <v>0</v>
      </c>
      <c r="AD1095" s="3">
        <v>14.02</v>
      </c>
      <c r="AE1095" s="3">
        <v>294</v>
      </c>
      <c r="AF1095" s="3">
        <v>0</v>
      </c>
      <c r="AG1095" s="3">
        <v>152.407476</v>
      </c>
      <c r="AH1095" s="3">
        <v>0.102564102564102</v>
      </c>
      <c r="AI1095" s="3" t="s">
        <v>4111</v>
      </c>
      <c r="AJ1095" s="3" t="s">
        <v>1783</v>
      </c>
    </row>
    <row r="1096" spans="1:36">
      <c r="A1096" s="4">
        <v>43277</v>
      </c>
      <c r="B1096" s="3" t="s">
        <v>1565</v>
      </c>
      <c r="C1096" s="3" t="s">
        <v>1566</v>
      </c>
      <c r="D1096" s="3" t="s">
        <v>1567</v>
      </c>
      <c r="E1096" s="3" t="s">
        <v>1568</v>
      </c>
      <c r="F1096" s="3" t="s">
        <v>1710</v>
      </c>
      <c r="G1096" s="3">
        <v>20</v>
      </c>
      <c r="H1096" s="3">
        <v>0</v>
      </c>
      <c r="I1096" s="3">
        <v>20</v>
      </c>
      <c r="J1096" s="3">
        <v>0</v>
      </c>
      <c r="K1096" s="3">
        <v>0</v>
      </c>
      <c r="L1096" s="3">
        <v>0</v>
      </c>
      <c r="M1096" s="3">
        <v>0</v>
      </c>
      <c r="N1096" s="3" t="s">
        <v>1711</v>
      </c>
      <c r="O1096" s="3">
        <v>0</v>
      </c>
      <c r="P1096" s="3">
        <v>0</v>
      </c>
      <c r="Q1096" s="3">
        <v>0</v>
      </c>
      <c r="R1096" s="3">
        <v>0</v>
      </c>
      <c r="S1096" s="3">
        <v>2</v>
      </c>
      <c r="T1096" s="3">
        <v>33</v>
      </c>
      <c r="U1096" s="3">
        <v>85</v>
      </c>
      <c r="V1096" s="3">
        <v>112</v>
      </c>
      <c r="W1096" s="3"/>
      <c r="X1096" s="3">
        <v>40</v>
      </c>
      <c r="Y1096" s="3">
        <v>29.99</v>
      </c>
      <c r="Z1096" s="3">
        <v>28</v>
      </c>
      <c r="AA1096" s="3">
        <v>0</v>
      </c>
      <c r="AB1096" s="3" t="s">
        <v>1713</v>
      </c>
      <c r="AC1096" s="3">
        <v>0</v>
      </c>
      <c r="AD1096" s="3">
        <v>0</v>
      </c>
      <c r="AE1096" s="3">
        <v>0</v>
      </c>
      <c r="AF1096" s="3">
        <v>0</v>
      </c>
      <c r="AG1096" s="3">
        <v>0</v>
      </c>
      <c r="AH1096" s="3">
        <v>3.82905982905982</v>
      </c>
      <c r="AI1096" s="3" t="s">
        <v>5114</v>
      </c>
      <c r="AJ1096" s="3" t="s">
        <v>1715</v>
      </c>
    </row>
    <row r="1097" spans="1:36">
      <c r="A1097" s="4">
        <v>43277</v>
      </c>
      <c r="B1097" s="3" t="s">
        <v>5115</v>
      </c>
      <c r="C1097" s="3" t="s">
        <v>5116</v>
      </c>
      <c r="D1097" s="3" t="s">
        <v>5117</v>
      </c>
      <c r="E1097" s="3" t="s">
        <v>2487</v>
      </c>
      <c r="F1097" s="3" t="s">
        <v>1710</v>
      </c>
      <c r="G1097" s="3">
        <v>3</v>
      </c>
      <c r="H1097" s="3">
        <v>0</v>
      </c>
      <c r="I1097" s="3">
        <v>0</v>
      </c>
      <c r="J1097" s="3">
        <v>1</v>
      </c>
      <c r="K1097" s="3">
        <v>2</v>
      </c>
      <c r="L1097" s="3">
        <v>0</v>
      </c>
      <c r="M1097" s="3">
        <v>0</v>
      </c>
      <c r="N1097" s="3" t="s">
        <v>1711</v>
      </c>
      <c r="O1097" s="3">
        <v>3</v>
      </c>
      <c r="P1097" s="3">
        <v>14.65</v>
      </c>
      <c r="Q1097" s="3">
        <v>0</v>
      </c>
      <c r="R1097" s="3">
        <v>0</v>
      </c>
      <c r="S1097" s="3">
        <v>0</v>
      </c>
      <c r="T1097" s="3">
        <v>0</v>
      </c>
      <c r="U1097" s="3">
        <v>0</v>
      </c>
      <c r="V1097" s="3">
        <v>2</v>
      </c>
      <c r="W1097" s="3" t="s">
        <v>1712</v>
      </c>
      <c r="X1097" s="3">
        <v>29.99</v>
      </c>
      <c r="Y1097" s="3">
        <v>29.99</v>
      </c>
      <c r="Z1097" s="3">
        <v>28.99</v>
      </c>
      <c r="AA1097" s="3">
        <v>0</v>
      </c>
      <c r="AB1097" s="3" t="s">
        <v>1732</v>
      </c>
      <c r="AC1097" s="3">
        <v>0</v>
      </c>
      <c r="AD1097" s="3">
        <v>24.56</v>
      </c>
      <c r="AE1097" s="3">
        <v>56</v>
      </c>
      <c r="AF1097" s="3">
        <v>0</v>
      </c>
      <c r="AG1097" s="3">
        <v>191.950736</v>
      </c>
      <c r="AH1097" s="3">
        <v>0.25</v>
      </c>
      <c r="AI1097" s="3" t="s">
        <v>2094</v>
      </c>
      <c r="AJ1097" s="3" t="s">
        <v>1715</v>
      </c>
    </row>
    <row r="1098" spans="1:36">
      <c r="A1098" s="4">
        <v>43277</v>
      </c>
      <c r="B1098" s="3" t="s">
        <v>1501</v>
      </c>
      <c r="C1098" s="3" t="s">
        <v>1502</v>
      </c>
      <c r="D1098" s="3" t="s">
        <v>1503</v>
      </c>
      <c r="E1098" s="3" t="s">
        <v>1504</v>
      </c>
      <c r="F1098" s="3" t="s">
        <v>1710</v>
      </c>
      <c r="G1098" s="3">
        <v>34</v>
      </c>
      <c r="H1098" s="3">
        <v>0</v>
      </c>
      <c r="I1098" s="3">
        <v>34</v>
      </c>
      <c r="J1098" s="3">
        <v>0</v>
      </c>
      <c r="K1098" s="3">
        <v>0</v>
      </c>
      <c r="L1098" s="3">
        <v>0</v>
      </c>
      <c r="M1098" s="3">
        <v>0</v>
      </c>
      <c r="N1098" s="3" t="s">
        <v>1711</v>
      </c>
      <c r="O1098" s="3">
        <v>0</v>
      </c>
      <c r="P1098" s="3">
        <v>0</v>
      </c>
      <c r="Q1098" s="3">
        <v>0</v>
      </c>
      <c r="R1098" s="3">
        <v>0</v>
      </c>
      <c r="S1098" s="3">
        <v>10</v>
      </c>
      <c r="T1098" s="3">
        <v>33</v>
      </c>
      <c r="U1098" s="3">
        <v>52</v>
      </c>
      <c r="V1098" s="3">
        <v>70</v>
      </c>
      <c r="W1098" s="3"/>
      <c r="X1098" s="3">
        <v>23.99</v>
      </c>
      <c r="Y1098" s="3">
        <v>23.99</v>
      </c>
      <c r="Z1098" s="3">
        <v>23.99</v>
      </c>
      <c r="AA1098" s="3">
        <v>0</v>
      </c>
      <c r="AB1098" s="3" t="s">
        <v>1713</v>
      </c>
      <c r="AC1098" s="3">
        <v>39</v>
      </c>
      <c r="AD1098" s="3">
        <v>23.99</v>
      </c>
      <c r="AE1098" s="3">
        <v>0</v>
      </c>
      <c r="AF1098" s="3">
        <v>0</v>
      </c>
      <c r="AG1098" s="3">
        <v>0</v>
      </c>
      <c r="AH1098" s="3">
        <v>3.94366197183098</v>
      </c>
      <c r="AI1098" s="3" t="s">
        <v>2071</v>
      </c>
      <c r="AJ1098" s="3" t="s">
        <v>1715</v>
      </c>
    </row>
    <row r="1099" spans="1:36">
      <c r="A1099" s="4">
        <v>43277</v>
      </c>
      <c r="B1099" s="3" t="s">
        <v>5118</v>
      </c>
      <c r="C1099" s="3" t="s">
        <v>5119</v>
      </c>
      <c r="D1099" s="3" t="s">
        <v>5120</v>
      </c>
      <c r="E1099" s="3" t="s">
        <v>1755</v>
      </c>
      <c r="F1099" s="3" t="s">
        <v>1710</v>
      </c>
      <c r="G1099" s="3">
        <v>10</v>
      </c>
      <c r="H1099" s="3">
        <v>0</v>
      </c>
      <c r="I1099" s="3">
        <v>10</v>
      </c>
      <c r="J1099" s="3">
        <v>0</v>
      </c>
      <c r="K1099" s="3">
        <v>0</v>
      </c>
      <c r="L1099" s="3">
        <v>0</v>
      </c>
      <c r="M1099" s="3">
        <v>0</v>
      </c>
      <c r="N1099" s="3" t="s">
        <v>1711</v>
      </c>
      <c r="O1099" s="3">
        <v>0</v>
      </c>
      <c r="P1099" s="3">
        <v>0</v>
      </c>
      <c r="Q1099" s="3">
        <v>0</v>
      </c>
      <c r="R1099" s="3">
        <v>0</v>
      </c>
      <c r="S1099" s="3">
        <v>0</v>
      </c>
      <c r="T1099" s="3">
        <v>0</v>
      </c>
      <c r="U1099" s="3">
        <v>0</v>
      </c>
      <c r="V1099" s="3">
        <v>0</v>
      </c>
      <c r="W1099" s="3" t="s">
        <v>1720</v>
      </c>
      <c r="X1099" s="3">
        <v>15.99</v>
      </c>
      <c r="Y1099" s="3">
        <v>15.99</v>
      </c>
      <c r="Z1099" s="3">
        <v>15.99</v>
      </c>
      <c r="AA1099" s="3">
        <v>0</v>
      </c>
      <c r="AB1099" s="3" t="s">
        <v>1721</v>
      </c>
      <c r="AC1099" s="3">
        <v>10</v>
      </c>
      <c r="AD1099" s="3">
        <v>15.99</v>
      </c>
      <c r="AE1099" s="3">
        <v>0</v>
      </c>
      <c r="AF1099" s="3">
        <v>0</v>
      </c>
      <c r="AG1099" s="3">
        <v>0</v>
      </c>
      <c r="AH1099" s="3">
        <v>0</v>
      </c>
      <c r="AI1099" s="3" t="s">
        <v>1756</v>
      </c>
      <c r="AJ1099" s="3" t="s">
        <v>1715</v>
      </c>
    </row>
    <row r="1100" spans="1:36">
      <c r="A1100" s="4">
        <v>43277</v>
      </c>
      <c r="B1100" s="3" t="s">
        <v>5121</v>
      </c>
      <c r="C1100" s="3" t="s">
        <v>5122</v>
      </c>
      <c r="D1100" s="3" t="s">
        <v>5123</v>
      </c>
      <c r="E1100" s="3" t="s">
        <v>5124</v>
      </c>
      <c r="F1100" s="3" t="s">
        <v>1710</v>
      </c>
      <c r="G1100" s="3">
        <v>71</v>
      </c>
      <c r="H1100" s="3">
        <v>0</v>
      </c>
      <c r="I1100" s="3">
        <v>2</v>
      </c>
      <c r="J1100" s="3">
        <v>7</v>
      </c>
      <c r="K1100" s="3">
        <v>62</v>
      </c>
      <c r="L1100" s="3">
        <v>0</v>
      </c>
      <c r="M1100" s="3">
        <v>0</v>
      </c>
      <c r="N1100" s="3" t="s">
        <v>1711</v>
      </c>
      <c r="O1100" s="3">
        <v>68</v>
      </c>
      <c r="P1100" s="3">
        <v>60.92</v>
      </c>
      <c r="Q1100" s="3">
        <v>0</v>
      </c>
      <c r="R1100" s="3">
        <v>0</v>
      </c>
      <c r="S1100" s="3">
        <v>0</v>
      </c>
      <c r="T1100" s="3">
        <v>0</v>
      </c>
      <c r="U1100" s="3">
        <v>0</v>
      </c>
      <c r="V1100" s="3">
        <v>5</v>
      </c>
      <c r="W1100" s="3" t="s">
        <v>1712</v>
      </c>
      <c r="X1100" s="3">
        <v>16.99</v>
      </c>
      <c r="Y1100" s="3">
        <v>16.99</v>
      </c>
      <c r="Z1100" s="3">
        <v>16</v>
      </c>
      <c r="AA1100" s="3">
        <v>0</v>
      </c>
      <c r="AB1100" s="3" t="s">
        <v>1732</v>
      </c>
      <c r="AC1100" s="3">
        <v>8</v>
      </c>
      <c r="AD1100" s="3">
        <v>15.24</v>
      </c>
      <c r="AE1100" s="3">
        <v>182</v>
      </c>
      <c r="AF1100" s="3">
        <v>0</v>
      </c>
      <c r="AG1100" s="3">
        <v>1267.584317</v>
      </c>
      <c r="AH1100" s="3">
        <v>0.0595238095238095</v>
      </c>
      <c r="AI1100" s="3" t="s">
        <v>5125</v>
      </c>
      <c r="AJ1100" s="3" t="s">
        <v>1715</v>
      </c>
    </row>
    <row r="1101" spans="1:36">
      <c r="A1101" s="4">
        <v>43277</v>
      </c>
      <c r="B1101" s="3" t="s">
        <v>5126</v>
      </c>
      <c r="C1101" s="3" t="s">
        <v>5127</v>
      </c>
      <c r="D1101" s="3" t="s">
        <v>5128</v>
      </c>
      <c r="E1101" s="3" t="s">
        <v>5129</v>
      </c>
      <c r="F1101" s="3" t="s">
        <v>1710</v>
      </c>
      <c r="G1101" s="3">
        <v>3</v>
      </c>
      <c r="H1101" s="3">
        <v>0</v>
      </c>
      <c r="I1101" s="3">
        <v>1</v>
      </c>
      <c r="J1101" s="3">
        <v>0</v>
      </c>
      <c r="K1101" s="3">
        <v>0</v>
      </c>
      <c r="L1101" s="3">
        <v>0</v>
      </c>
      <c r="M1101" s="3">
        <v>2</v>
      </c>
      <c r="N1101" s="3" t="s">
        <v>1711</v>
      </c>
      <c r="O1101" s="3">
        <v>0</v>
      </c>
      <c r="P1101" s="3">
        <v>0</v>
      </c>
      <c r="Q1101" s="3">
        <v>2</v>
      </c>
      <c r="R1101" s="3">
        <v>2.81</v>
      </c>
      <c r="S1101" s="3">
        <v>0</v>
      </c>
      <c r="T1101" s="3">
        <v>1</v>
      </c>
      <c r="U1101" s="3">
        <v>1</v>
      </c>
      <c r="V1101" s="3">
        <v>2</v>
      </c>
      <c r="W1101" s="3"/>
      <c r="X1101" s="3">
        <v>15.99</v>
      </c>
      <c r="Y1101" s="3">
        <v>15.99</v>
      </c>
      <c r="Z1101" s="3">
        <v>15.55</v>
      </c>
      <c r="AA1101" s="3">
        <v>0</v>
      </c>
      <c r="AB1101" s="3" t="s">
        <v>1732</v>
      </c>
      <c r="AC1101" s="3">
        <v>0</v>
      </c>
      <c r="AD1101" s="3">
        <v>12.79</v>
      </c>
      <c r="AE1101" s="3">
        <v>63</v>
      </c>
      <c r="AF1101" s="3">
        <v>0</v>
      </c>
      <c r="AG1101" s="3">
        <v>25.42076</v>
      </c>
      <c r="AH1101" s="3">
        <v>0.533333333333333</v>
      </c>
      <c r="AI1101" s="3" t="s">
        <v>2036</v>
      </c>
      <c r="AJ1101" s="3" t="s">
        <v>1715</v>
      </c>
    </row>
    <row r="1102" spans="1:36">
      <c r="A1102" s="4">
        <v>43277</v>
      </c>
      <c r="B1102" s="3" t="s">
        <v>112</v>
      </c>
      <c r="C1102" s="3" t="s">
        <v>113</v>
      </c>
      <c r="D1102" s="3" t="s">
        <v>114</v>
      </c>
      <c r="E1102" s="3" t="s">
        <v>115</v>
      </c>
      <c r="F1102" s="3" t="s">
        <v>1710</v>
      </c>
      <c r="G1102" s="3">
        <v>136</v>
      </c>
      <c r="H1102" s="3">
        <v>0</v>
      </c>
      <c r="I1102" s="3">
        <v>3</v>
      </c>
      <c r="J1102" s="3">
        <v>3</v>
      </c>
      <c r="K1102" s="3">
        <v>130</v>
      </c>
      <c r="L1102" s="3">
        <v>0</v>
      </c>
      <c r="M1102" s="3">
        <v>0</v>
      </c>
      <c r="N1102" s="3" t="s">
        <v>1711</v>
      </c>
      <c r="O1102" s="3">
        <v>132</v>
      </c>
      <c r="P1102" s="3">
        <v>79</v>
      </c>
      <c r="Q1102" s="3">
        <v>0</v>
      </c>
      <c r="R1102" s="3">
        <v>0</v>
      </c>
      <c r="S1102" s="3">
        <v>1</v>
      </c>
      <c r="T1102" s="3">
        <v>1</v>
      </c>
      <c r="U1102" s="3">
        <v>1</v>
      </c>
      <c r="V1102" s="3">
        <v>3</v>
      </c>
      <c r="W1102" s="3" t="s">
        <v>1712</v>
      </c>
      <c r="X1102" s="3">
        <v>16.99</v>
      </c>
      <c r="Y1102" s="3">
        <v>16.99</v>
      </c>
      <c r="Z1102" s="3">
        <v>16</v>
      </c>
      <c r="AA1102" s="3">
        <v>0</v>
      </c>
      <c r="AB1102" s="3" t="s">
        <v>1732</v>
      </c>
      <c r="AC1102" s="3">
        <v>0</v>
      </c>
      <c r="AD1102" s="3">
        <v>13.21</v>
      </c>
      <c r="AE1102" s="3">
        <v>364</v>
      </c>
      <c r="AF1102" s="3">
        <v>0</v>
      </c>
      <c r="AG1102" s="3">
        <v>1784.158761</v>
      </c>
      <c r="AH1102" s="3">
        <v>0.0220183486238532</v>
      </c>
      <c r="AI1102" s="3" t="s">
        <v>1905</v>
      </c>
      <c r="AJ1102" s="3" t="s">
        <v>1715</v>
      </c>
    </row>
    <row r="1103" spans="1:36">
      <c r="A1103" s="4">
        <v>43277</v>
      </c>
      <c r="B1103" s="3" t="s">
        <v>5130</v>
      </c>
      <c r="C1103" s="3" t="s">
        <v>5131</v>
      </c>
      <c r="D1103" s="3" t="s">
        <v>5132</v>
      </c>
      <c r="E1103" s="3" t="s">
        <v>5133</v>
      </c>
      <c r="F1103" s="3" t="s">
        <v>1710</v>
      </c>
      <c r="G1103" s="3">
        <v>5</v>
      </c>
      <c r="H1103" s="3">
        <v>0</v>
      </c>
      <c r="I1103" s="3">
        <v>0</v>
      </c>
      <c r="J1103" s="3">
        <v>1</v>
      </c>
      <c r="K1103" s="3">
        <v>4</v>
      </c>
      <c r="L1103" s="3">
        <v>0</v>
      </c>
      <c r="M1103" s="3">
        <v>0</v>
      </c>
      <c r="N1103" s="3" t="s">
        <v>1711</v>
      </c>
      <c r="O1103" s="3">
        <v>5</v>
      </c>
      <c r="P1103" s="3">
        <v>6.62</v>
      </c>
      <c r="Q1103" s="3">
        <v>0</v>
      </c>
      <c r="R1103" s="3">
        <v>0</v>
      </c>
      <c r="S1103" s="3">
        <v>0</v>
      </c>
      <c r="T1103" s="3">
        <v>0</v>
      </c>
      <c r="U1103" s="3">
        <v>1</v>
      </c>
      <c r="V1103" s="3">
        <v>1</v>
      </c>
      <c r="W1103" s="3" t="s">
        <v>1720</v>
      </c>
      <c r="X1103" s="3">
        <v>18.99</v>
      </c>
      <c r="Y1103" s="3">
        <v>18.99</v>
      </c>
      <c r="Z1103" s="3">
        <v>18.99</v>
      </c>
      <c r="AA1103" s="3">
        <v>0</v>
      </c>
      <c r="AB1103" s="3" t="s">
        <v>1721</v>
      </c>
      <c r="AC1103" s="3">
        <v>0</v>
      </c>
      <c r="AD1103" s="3">
        <v>15.48</v>
      </c>
      <c r="AE1103" s="3">
        <v>252</v>
      </c>
      <c r="AF1103" s="3">
        <v>0</v>
      </c>
      <c r="AG1103" s="3">
        <v>95.916483</v>
      </c>
      <c r="AH1103" s="3">
        <v>0.17391304347826</v>
      </c>
      <c r="AI1103" s="3" t="s">
        <v>2398</v>
      </c>
      <c r="AJ1103" s="3" t="s">
        <v>1715</v>
      </c>
    </row>
    <row r="1104" spans="1:36">
      <c r="A1104" s="4">
        <v>43277</v>
      </c>
      <c r="B1104" s="3" t="s">
        <v>1485</v>
      </c>
      <c r="C1104" s="3" t="s">
        <v>1486</v>
      </c>
      <c r="D1104" s="3" t="s">
        <v>1487</v>
      </c>
      <c r="E1104" s="3" t="s">
        <v>1488</v>
      </c>
      <c r="F1104" s="3" t="s">
        <v>1710</v>
      </c>
      <c r="G1104" s="3">
        <v>16</v>
      </c>
      <c r="H1104" s="3">
        <v>0</v>
      </c>
      <c r="I1104" s="3">
        <v>16</v>
      </c>
      <c r="J1104" s="3">
        <v>0</v>
      </c>
      <c r="K1104" s="3">
        <v>0</v>
      </c>
      <c r="L1104" s="3">
        <v>0</v>
      </c>
      <c r="M1104" s="3">
        <v>0</v>
      </c>
      <c r="N1104" s="3" t="s">
        <v>1711</v>
      </c>
      <c r="O1104" s="3">
        <v>0</v>
      </c>
      <c r="P1104" s="3">
        <v>0</v>
      </c>
      <c r="Q1104" s="3">
        <v>0</v>
      </c>
      <c r="R1104" s="3">
        <v>0</v>
      </c>
      <c r="S1104" s="3">
        <v>1</v>
      </c>
      <c r="T1104" s="3">
        <v>22</v>
      </c>
      <c r="U1104" s="3">
        <v>41</v>
      </c>
      <c r="V1104" s="3">
        <v>41</v>
      </c>
      <c r="W1104" s="3"/>
      <c r="X1104" s="3">
        <v>19.99</v>
      </c>
      <c r="Y1104" s="3">
        <v>19.99</v>
      </c>
      <c r="Z1104" s="3">
        <v>19.99</v>
      </c>
      <c r="AA1104" s="3">
        <v>0</v>
      </c>
      <c r="AB1104" s="3" t="s">
        <v>1713</v>
      </c>
      <c r="AC1104" s="3">
        <v>0</v>
      </c>
      <c r="AD1104" s="3">
        <v>0</v>
      </c>
      <c r="AE1104" s="3">
        <v>0</v>
      </c>
      <c r="AF1104" s="3">
        <v>0</v>
      </c>
      <c r="AG1104" s="3">
        <v>0</v>
      </c>
      <c r="AH1104" s="3">
        <v>5.59090909090909</v>
      </c>
      <c r="AI1104" s="3" t="s">
        <v>3074</v>
      </c>
      <c r="AJ1104" s="3" t="s">
        <v>1715</v>
      </c>
    </row>
    <row r="1105" spans="1:36">
      <c r="A1105" s="4">
        <v>43277</v>
      </c>
      <c r="B1105" s="3" t="s">
        <v>1631</v>
      </c>
      <c r="C1105" s="3" t="s">
        <v>1632</v>
      </c>
      <c r="D1105" s="3" t="s">
        <v>1633</v>
      </c>
      <c r="E1105" s="3" t="s">
        <v>1634</v>
      </c>
      <c r="F1105" s="3" t="s">
        <v>1710</v>
      </c>
      <c r="G1105" s="3">
        <v>7</v>
      </c>
      <c r="H1105" s="3">
        <v>0</v>
      </c>
      <c r="I1105" s="3">
        <v>7</v>
      </c>
      <c r="J1105" s="3">
        <v>0</v>
      </c>
      <c r="K1105" s="3">
        <v>0</v>
      </c>
      <c r="L1105" s="3">
        <v>0</v>
      </c>
      <c r="M1105" s="3">
        <v>0</v>
      </c>
      <c r="N1105" s="3" t="s">
        <v>1711</v>
      </c>
      <c r="O1105" s="3">
        <v>0</v>
      </c>
      <c r="P1105" s="3">
        <v>0</v>
      </c>
      <c r="Q1105" s="3">
        <v>0</v>
      </c>
      <c r="R1105" s="3">
        <v>0</v>
      </c>
      <c r="S1105" s="3">
        <v>3</v>
      </c>
      <c r="T1105" s="3">
        <v>6</v>
      </c>
      <c r="U1105" s="3">
        <v>8</v>
      </c>
      <c r="V1105" s="3">
        <v>16</v>
      </c>
      <c r="W1105" s="3"/>
      <c r="X1105" s="3">
        <v>35.99</v>
      </c>
      <c r="Y1105" s="3">
        <v>26.99</v>
      </c>
      <c r="Z1105" s="3">
        <v>26.99</v>
      </c>
      <c r="AA1105" s="3">
        <v>0</v>
      </c>
      <c r="AB1105" s="3" t="s">
        <v>1732</v>
      </c>
      <c r="AC1105" s="3">
        <v>0</v>
      </c>
      <c r="AD1105" s="3">
        <v>23.35</v>
      </c>
      <c r="AE1105" s="3">
        <v>280</v>
      </c>
      <c r="AF1105" s="3">
        <v>0</v>
      </c>
      <c r="AG1105" s="3">
        <v>160.370489</v>
      </c>
      <c r="AH1105" s="3">
        <v>2.06451612903225</v>
      </c>
      <c r="AI1105" s="3" t="s">
        <v>1734</v>
      </c>
      <c r="AJ1105" s="3" t="s">
        <v>1715</v>
      </c>
    </row>
    <row r="1106" spans="1:36">
      <c r="A1106" s="4">
        <v>43277</v>
      </c>
      <c r="B1106" s="3" t="s">
        <v>342</v>
      </c>
      <c r="C1106" s="3" t="s">
        <v>343</v>
      </c>
      <c r="D1106" s="3" t="s">
        <v>344</v>
      </c>
      <c r="E1106" s="3" t="s">
        <v>345</v>
      </c>
      <c r="F1106" s="3" t="s">
        <v>1710</v>
      </c>
      <c r="G1106" s="3">
        <v>32</v>
      </c>
      <c r="H1106" s="3">
        <v>0</v>
      </c>
      <c r="I1106" s="3">
        <v>31</v>
      </c>
      <c r="J1106" s="3">
        <v>1</v>
      </c>
      <c r="K1106" s="3">
        <v>0</v>
      </c>
      <c r="L1106" s="3">
        <v>0</v>
      </c>
      <c r="M1106" s="3">
        <v>0</v>
      </c>
      <c r="N1106" s="3" t="s">
        <v>1711</v>
      </c>
      <c r="O1106" s="3">
        <v>1</v>
      </c>
      <c r="P1106" s="3">
        <v>2.16</v>
      </c>
      <c r="Q1106" s="3">
        <v>0</v>
      </c>
      <c r="R1106" s="3">
        <v>0</v>
      </c>
      <c r="S1106" s="3">
        <v>0</v>
      </c>
      <c r="T1106" s="3">
        <v>0</v>
      </c>
      <c r="U1106" s="3">
        <v>2</v>
      </c>
      <c r="V1106" s="3">
        <v>11</v>
      </c>
      <c r="W1106" s="3" t="s">
        <v>1712</v>
      </c>
      <c r="X1106" s="3">
        <v>19.96</v>
      </c>
      <c r="Y1106" s="3">
        <v>19.99</v>
      </c>
      <c r="Z1106" s="3">
        <v>19.99</v>
      </c>
      <c r="AA1106" s="3">
        <v>0</v>
      </c>
      <c r="AB1106" s="3" t="s">
        <v>1732</v>
      </c>
      <c r="AC1106" s="3">
        <v>0</v>
      </c>
      <c r="AD1106" s="3">
        <v>17.21</v>
      </c>
      <c r="AE1106" s="3">
        <v>231</v>
      </c>
      <c r="AF1106" s="3">
        <v>0</v>
      </c>
      <c r="AG1106" s="3">
        <v>915.143994</v>
      </c>
      <c r="AH1106" s="3">
        <v>0.316546762589928</v>
      </c>
      <c r="AI1106" s="3" t="s">
        <v>5134</v>
      </c>
      <c r="AJ1106" s="3" t="s">
        <v>1783</v>
      </c>
    </row>
    <row r="1107" spans="1:36">
      <c r="A1107" s="4">
        <v>43277</v>
      </c>
      <c r="B1107" s="3" t="s">
        <v>5135</v>
      </c>
      <c r="C1107" s="3" t="s">
        <v>5136</v>
      </c>
      <c r="D1107" s="3" t="s">
        <v>5137</v>
      </c>
      <c r="E1107" s="3" t="s">
        <v>5138</v>
      </c>
      <c r="F1107" s="3" t="s">
        <v>1710</v>
      </c>
      <c r="G1107" s="3">
        <v>16</v>
      </c>
      <c r="H1107" s="3">
        <v>0</v>
      </c>
      <c r="I1107" s="3">
        <v>16</v>
      </c>
      <c r="J1107" s="3">
        <v>0</v>
      </c>
      <c r="K1107" s="3">
        <v>0</v>
      </c>
      <c r="L1107" s="3">
        <v>0</v>
      </c>
      <c r="M1107" s="3">
        <v>0</v>
      </c>
      <c r="N1107" s="3" t="s">
        <v>1711</v>
      </c>
      <c r="O1107" s="3">
        <v>0</v>
      </c>
      <c r="P1107" s="3">
        <v>0</v>
      </c>
      <c r="Q1107" s="3">
        <v>0</v>
      </c>
      <c r="R1107" s="3">
        <v>0</v>
      </c>
      <c r="S1107" s="3">
        <v>1</v>
      </c>
      <c r="T1107" s="3">
        <v>4</v>
      </c>
      <c r="U1107" s="3">
        <v>5</v>
      </c>
      <c r="V1107" s="3">
        <v>5</v>
      </c>
      <c r="W1107" s="3" t="s">
        <v>1712</v>
      </c>
      <c r="X1107" s="3">
        <v>25.58</v>
      </c>
      <c r="Y1107" s="3">
        <v>25.58</v>
      </c>
      <c r="Z1107" s="3">
        <v>25.58</v>
      </c>
      <c r="AA1107" s="3">
        <v>0</v>
      </c>
      <c r="AB1107" s="3" t="s">
        <v>1713</v>
      </c>
      <c r="AC1107" s="3">
        <v>17</v>
      </c>
      <c r="AD1107" s="3">
        <v>25.58</v>
      </c>
      <c r="AE1107" s="3">
        <v>0</v>
      </c>
      <c r="AF1107" s="3">
        <v>0</v>
      </c>
      <c r="AG1107" s="3">
        <v>0</v>
      </c>
      <c r="AH1107" s="3">
        <v>0.416666666666666</v>
      </c>
      <c r="AI1107" s="3" t="s">
        <v>2203</v>
      </c>
      <c r="AJ1107" s="3" t="s">
        <v>1715</v>
      </c>
    </row>
    <row r="1108" spans="1:36">
      <c r="A1108" s="4">
        <v>43277</v>
      </c>
      <c r="B1108" s="3" t="s">
        <v>5139</v>
      </c>
      <c r="C1108" s="3" t="s">
        <v>5140</v>
      </c>
      <c r="D1108" s="3" t="s">
        <v>5141</v>
      </c>
      <c r="E1108" s="3" t="s">
        <v>5142</v>
      </c>
      <c r="F1108" s="3" t="s">
        <v>1710</v>
      </c>
      <c r="G1108" s="3">
        <v>33</v>
      </c>
      <c r="H1108" s="3">
        <v>0</v>
      </c>
      <c r="I1108" s="3">
        <v>33</v>
      </c>
      <c r="J1108" s="3">
        <v>0</v>
      </c>
      <c r="K1108" s="3">
        <v>0</v>
      </c>
      <c r="L1108" s="3">
        <v>0</v>
      </c>
      <c r="M1108" s="3">
        <v>0</v>
      </c>
      <c r="N1108" s="3" t="s">
        <v>1711</v>
      </c>
      <c r="O1108" s="3">
        <v>0</v>
      </c>
      <c r="P1108" s="3">
        <v>0</v>
      </c>
      <c r="Q1108" s="3">
        <v>0</v>
      </c>
      <c r="R1108" s="3">
        <v>0</v>
      </c>
      <c r="S1108" s="3">
        <v>2</v>
      </c>
      <c r="T1108" s="3">
        <v>13</v>
      </c>
      <c r="U1108" s="3">
        <v>22</v>
      </c>
      <c r="V1108" s="3">
        <v>27</v>
      </c>
      <c r="W1108" s="3"/>
      <c r="X1108" s="3">
        <v>28.58</v>
      </c>
      <c r="Y1108" s="3">
        <v>28.58</v>
      </c>
      <c r="Z1108" s="3">
        <v>28</v>
      </c>
      <c r="AA1108" s="3">
        <v>0</v>
      </c>
      <c r="AB1108" s="3" t="s">
        <v>1713</v>
      </c>
      <c r="AC1108" s="3">
        <v>33</v>
      </c>
      <c r="AD1108" s="3">
        <v>28.58</v>
      </c>
      <c r="AE1108" s="3">
        <v>0</v>
      </c>
      <c r="AF1108" s="3">
        <v>0</v>
      </c>
      <c r="AG1108" s="3">
        <v>0</v>
      </c>
      <c r="AH1108" s="3">
        <v>1.10204081632653</v>
      </c>
      <c r="AI1108" s="3" t="s">
        <v>5143</v>
      </c>
      <c r="AJ1108" s="3" t="s">
        <v>1715</v>
      </c>
    </row>
    <row r="1109" spans="1:36">
      <c r="A1109" s="4">
        <v>43277</v>
      </c>
      <c r="B1109" s="3" t="s">
        <v>5144</v>
      </c>
      <c r="C1109" s="3" t="s">
        <v>5145</v>
      </c>
      <c r="D1109" s="3" t="s">
        <v>5146</v>
      </c>
      <c r="E1109" s="3" t="s">
        <v>4697</v>
      </c>
      <c r="F1109" s="3" t="s">
        <v>1710</v>
      </c>
      <c r="G1109" s="3">
        <v>59</v>
      </c>
      <c r="H1109" s="3">
        <v>0</v>
      </c>
      <c r="I1109" s="3">
        <v>0</v>
      </c>
      <c r="J1109" s="3">
        <v>0</v>
      </c>
      <c r="K1109" s="3">
        <v>47</v>
      </c>
      <c r="L1109" s="3">
        <v>12</v>
      </c>
      <c r="M1109" s="3">
        <v>0</v>
      </c>
      <c r="N1109" s="3" t="s">
        <v>1711</v>
      </c>
      <c r="O1109" s="3">
        <v>58</v>
      </c>
      <c r="P1109" s="3">
        <v>210.37</v>
      </c>
      <c r="Q1109" s="3">
        <v>1</v>
      </c>
      <c r="R1109" s="3">
        <v>7.25</v>
      </c>
      <c r="S1109" s="3">
        <v>0</v>
      </c>
      <c r="T1109" s="3">
        <v>0</v>
      </c>
      <c r="U1109" s="3">
        <v>0</v>
      </c>
      <c r="V1109" s="3">
        <v>0</v>
      </c>
      <c r="W1109" s="3" t="s">
        <v>1712</v>
      </c>
      <c r="X1109" s="3">
        <v>27.99</v>
      </c>
      <c r="Y1109" s="3">
        <v>27.99</v>
      </c>
      <c r="Z1109" s="3">
        <v>25.99</v>
      </c>
      <c r="AA1109" s="3">
        <v>0</v>
      </c>
      <c r="AB1109" s="3" t="s">
        <v>1732</v>
      </c>
      <c r="AC1109" s="3">
        <v>0</v>
      </c>
      <c r="AD1109" s="3">
        <v>22.74</v>
      </c>
      <c r="AE1109" s="3">
        <v>133</v>
      </c>
      <c r="AF1109" s="3">
        <v>0</v>
      </c>
      <c r="AG1109" s="3">
        <v>2851.749933</v>
      </c>
      <c r="AH1109" s="3">
        <v>0</v>
      </c>
      <c r="AI1109" s="3" t="s">
        <v>1831</v>
      </c>
      <c r="AJ1109" s="3" t="s">
        <v>1715</v>
      </c>
    </row>
    <row r="1110" spans="1:36">
      <c r="A1110" s="4">
        <v>43277</v>
      </c>
      <c r="B1110" s="3" t="s">
        <v>5147</v>
      </c>
      <c r="C1110" s="3" t="s">
        <v>5148</v>
      </c>
      <c r="D1110" s="3" t="s">
        <v>5149</v>
      </c>
      <c r="E1110" s="3" t="s">
        <v>5150</v>
      </c>
      <c r="F1110" s="3" t="s">
        <v>1710</v>
      </c>
      <c r="G1110" s="3">
        <v>21</v>
      </c>
      <c r="H1110" s="3">
        <v>0</v>
      </c>
      <c r="I1110" s="3">
        <v>2</v>
      </c>
      <c r="J1110" s="3">
        <v>0</v>
      </c>
      <c r="K1110" s="3">
        <v>2</v>
      </c>
      <c r="L1110" s="3">
        <v>6</v>
      </c>
      <c r="M1110" s="3">
        <v>11</v>
      </c>
      <c r="N1110" s="3" t="s">
        <v>1711</v>
      </c>
      <c r="O1110" s="3">
        <v>5</v>
      </c>
      <c r="P1110" s="3">
        <v>6.25</v>
      </c>
      <c r="Q1110" s="3">
        <v>14</v>
      </c>
      <c r="R1110" s="3">
        <v>35.01</v>
      </c>
      <c r="S1110" s="3">
        <v>0</v>
      </c>
      <c r="T1110" s="3">
        <v>1</v>
      </c>
      <c r="U1110" s="3">
        <v>4</v>
      </c>
      <c r="V1110" s="3">
        <v>8</v>
      </c>
      <c r="W1110" s="3" t="s">
        <v>1720</v>
      </c>
      <c r="X1110" s="3">
        <v>15.99</v>
      </c>
      <c r="Y1110" s="3">
        <v>15.99</v>
      </c>
      <c r="Z1110" s="3">
        <v>14.99</v>
      </c>
      <c r="AA1110" s="3">
        <v>0</v>
      </c>
      <c r="AB1110" s="3" t="s">
        <v>1721</v>
      </c>
      <c r="AC1110" s="3">
        <v>8</v>
      </c>
      <c r="AD1110" s="3">
        <v>14.44</v>
      </c>
      <c r="AE1110" s="3">
        <v>42</v>
      </c>
      <c r="AF1110" s="3">
        <v>0</v>
      </c>
      <c r="AG1110" s="3">
        <v>6.630623</v>
      </c>
      <c r="AH1110" s="3">
        <v>0.340425531914893</v>
      </c>
      <c r="AI1110" s="3" t="s">
        <v>5151</v>
      </c>
      <c r="AJ1110" s="3" t="s">
        <v>1715</v>
      </c>
    </row>
    <row r="1111" spans="1:36">
      <c r="A1111" s="4">
        <v>43277</v>
      </c>
      <c r="B1111" s="3" t="s">
        <v>531</v>
      </c>
      <c r="C1111" s="3" t="s">
        <v>532</v>
      </c>
      <c r="D1111" s="3" t="s">
        <v>533</v>
      </c>
      <c r="E1111" s="3" t="s">
        <v>534</v>
      </c>
      <c r="F1111" s="3" t="s">
        <v>1710</v>
      </c>
      <c r="G1111" s="3">
        <v>23</v>
      </c>
      <c r="H1111" s="3">
        <v>0</v>
      </c>
      <c r="I1111" s="3">
        <v>23</v>
      </c>
      <c r="J1111" s="3">
        <v>0</v>
      </c>
      <c r="K1111" s="3">
        <v>0</v>
      </c>
      <c r="L1111" s="3">
        <v>0</v>
      </c>
      <c r="M1111" s="3">
        <v>0</v>
      </c>
      <c r="N1111" s="3" t="s">
        <v>1711</v>
      </c>
      <c r="O1111" s="3">
        <v>0</v>
      </c>
      <c r="P1111" s="3">
        <v>0</v>
      </c>
      <c r="Q1111" s="3">
        <v>0</v>
      </c>
      <c r="R1111" s="3">
        <v>0</v>
      </c>
      <c r="S1111" s="3">
        <v>1</v>
      </c>
      <c r="T1111" s="3">
        <v>7</v>
      </c>
      <c r="U1111" s="3">
        <v>9</v>
      </c>
      <c r="V1111" s="3">
        <v>19</v>
      </c>
      <c r="W1111" s="3"/>
      <c r="X1111" s="3">
        <v>28.58</v>
      </c>
      <c r="Y1111" s="3">
        <v>28.58</v>
      </c>
      <c r="Z1111" s="3">
        <v>28</v>
      </c>
      <c r="AA1111" s="3">
        <v>0</v>
      </c>
      <c r="AB1111" s="3" t="s">
        <v>1713</v>
      </c>
      <c r="AC1111" s="3">
        <v>12</v>
      </c>
      <c r="AD1111" s="3">
        <v>28.58</v>
      </c>
      <c r="AE1111" s="3">
        <v>0</v>
      </c>
      <c r="AF1111" s="3">
        <v>0</v>
      </c>
      <c r="AG1111" s="3">
        <v>0</v>
      </c>
      <c r="AH1111" s="3">
        <v>1.33333333333333</v>
      </c>
      <c r="AI1111" s="3" t="s">
        <v>5152</v>
      </c>
      <c r="AJ1111" s="3" t="s">
        <v>1715</v>
      </c>
    </row>
    <row r="1112" spans="1:36">
      <c r="A1112" s="4">
        <v>43277</v>
      </c>
      <c r="B1112" s="3" t="s">
        <v>5153</v>
      </c>
      <c r="C1112" s="3" t="s">
        <v>5154</v>
      </c>
      <c r="D1112" s="3" t="s">
        <v>5155</v>
      </c>
      <c r="E1112" s="3" t="s">
        <v>255</v>
      </c>
      <c r="F1112" s="3" t="s">
        <v>1710</v>
      </c>
      <c r="G1112" s="3">
        <v>2</v>
      </c>
      <c r="H1112" s="3">
        <v>0</v>
      </c>
      <c r="I1112" s="3">
        <v>0</v>
      </c>
      <c r="J1112" s="3">
        <v>0</v>
      </c>
      <c r="K1112" s="3">
        <v>2</v>
      </c>
      <c r="L1112" s="3">
        <v>0</v>
      </c>
      <c r="M1112" s="3">
        <v>0</v>
      </c>
      <c r="N1112" s="3" t="s">
        <v>1711</v>
      </c>
      <c r="O1112" s="3">
        <v>2</v>
      </c>
      <c r="P1112" s="3">
        <v>7.25</v>
      </c>
      <c r="Q1112" s="3">
        <v>0</v>
      </c>
      <c r="R1112" s="3">
        <v>0</v>
      </c>
      <c r="S1112" s="3">
        <v>0</v>
      </c>
      <c r="T1112" s="3">
        <v>0</v>
      </c>
      <c r="U1112" s="3">
        <v>2</v>
      </c>
      <c r="V1112" s="3">
        <v>2</v>
      </c>
      <c r="W1112" s="3" t="s">
        <v>1712</v>
      </c>
      <c r="X1112" s="3">
        <v>29.99</v>
      </c>
      <c r="Y1112" s="3">
        <v>29.99</v>
      </c>
      <c r="Z1112" s="3">
        <v>28.99</v>
      </c>
      <c r="AA1112" s="3">
        <v>0</v>
      </c>
      <c r="AB1112" s="3" t="s">
        <v>1713</v>
      </c>
      <c r="AC1112" s="3">
        <v>2</v>
      </c>
      <c r="AD1112" s="3">
        <v>29.99</v>
      </c>
      <c r="AE1112" s="3">
        <v>0</v>
      </c>
      <c r="AF1112" s="3">
        <v>0</v>
      </c>
      <c r="AG1112" s="3">
        <v>0</v>
      </c>
      <c r="AH1112" s="3">
        <v>0.2</v>
      </c>
      <c r="AI1112" s="3" t="s">
        <v>1831</v>
      </c>
      <c r="AJ1112" s="3" t="s">
        <v>1715</v>
      </c>
    </row>
    <row r="1113" spans="1:36">
      <c r="A1113" s="4">
        <v>43277</v>
      </c>
      <c r="B1113" s="3" t="s">
        <v>5156</v>
      </c>
      <c r="C1113" s="3" t="s">
        <v>5157</v>
      </c>
      <c r="D1113" s="3" t="s">
        <v>5158</v>
      </c>
      <c r="E1113" s="3" t="s">
        <v>5159</v>
      </c>
      <c r="F1113" s="3" t="s">
        <v>1710</v>
      </c>
      <c r="G1113" s="3">
        <v>2</v>
      </c>
      <c r="H1113" s="3">
        <v>0</v>
      </c>
      <c r="I1113" s="3">
        <v>0</v>
      </c>
      <c r="J1113" s="3">
        <v>2</v>
      </c>
      <c r="K1113" s="3">
        <v>0</v>
      </c>
      <c r="L1113" s="3">
        <v>0</v>
      </c>
      <c r="M1113" s="3">
        <v>0</v>
      </c>
      <c r="N1113" s="3" t="s">
        <v>1711</v>
      </c>
      <c r="O1113" s="3">
        <v>0</v>
      </c>
      <c r="P1113" s="3">
        <v>0</v>
      </c>
      <c r="Q1113" s="3">
        <v>0</v>
      </c>
      <c r="R1113" s="3">
        <v>0</v>
      </c>
      <c r="S1113" s="3">
        <v>0</v>
      </c>
      <c r="T1113" s="3">
        <v>1</v>
      </c>
      <c r="U1113" s="3">
        <v>1</v>
      </c>
      <c r="V1113" s="3">
        <v>2</v>
      </c>
      <c r="W1113" s="3" t="s">
        <v>1712</v>
      </c>
      <c r="X1113" s="3">
        <v>19.99</v>
      </c>
      <c r="Y1113" s="3">
        <v>19.99</v>
      </c>
      <c r="Z1113" s="3">
        <v>19.99</v>
      </c>
      <c r="AA1113" s="3">
        <v>0</v>
      </c>
      <c r="AB1113" s="3" t="s">
        <v>1713</v>
      </c>
      <c r="AC1113" s="3">
        <v>2</v>
      </c>
      <c r="AD1113" s="3">
        <v>19.99</v>
      </c>
      <c r="AE1113" s="3">
        <v>0</v>
      </c>
      <c r="AF1113" s="3">
        <v>0</v>
      </c>
      <c r="AG1113" s="3">
        <v>0</v>
      </c>
      <c r="AH1113" s="3">
        <v>0.615384615384615</v>
      </c>
      <c r="AI1113" s="3" t="s">
        <v>2789</v>
      </c>
      <c r="AJ1113" s="3" t="s">
        <v>1715</v>
      </c>
    </row>
    <row r="1114" spans="1:36">
      <c r="A1114" s="4">
        <v>43277</v>
      </c>
      <c r="B1114" s="3" t="s">
        <v>5160</v>
      </c>
      <c r="C1114" s="3" t="s">
        <v>5161</v>
      </c>
      <c r="D1114" s="3" t="s">
        <v>5162</v>
      </c>
      <c r="E1114" s="3" t="s">
        <v>1755</v>
      </c>
      <c r="F1114" s="3" t="s">
        <v>1710</v>
      </c>
      <c r="G1114" s="3">
        <v>10</v>
      </c>
      <c r="H1114" s="3">
        <v>0</v>
      </c>
      <c r="I1114" s="3">
        <v>10</v>
      </c>
      <c r="J1114" s="3">
        <v>0</v>
      </c>
      <c r="K1114" s="3">
        <v>0</v>
      </c>
      <c r="L1114" s="3">
        <v>0</v>
      </c>
      <c r="M1114" s="3">
        <v>0</v>
      </c>
      <c r="N1114" s="3" t="s">
        <v>1711</v>
      </c>
      <c r="O1114" s="3">
        <v>0</v>
      </c>
      <c r="P1114" s="3">
        <v>0</v>
      </c>
      <c r="Q1114" s="3">
        <v>0</v>
      </c>
      <c r="R1114" s="3">
        <v>0</v>
      </c>
      <c r="S1114" s="3">
        <v>0</v>
      </c>
      <c r="T1114" s="3">
        <v>0</v>
      </c>
      <c r="U1114" s="3">
        <v>0</v>
      </c>
      <c r="V1114" s="3">
        <v>0</v>
      </c>
      <c r="W1114" s="3" t="s">
        <v>1720</v>
      </c>
      <c r="X1114" s="3">
        <v>15.99</v>
      </c>
      <c r="Y1114" s="3">
        <v>15.99</v>
      </c>
      <c r="Z1114" s="3">
        <v>15.99</v>
      </c>
      <c r="AA1114" s="3">
        <v>0</v>
      </c>
      <c r="AB1114" s="3" t="s">
        <v>1721</v>
      </c>
      <c r="AC1114" s="3">
        <v>10</v>
      </c>
      <c r="AD1114" s="3">
        <v>15.99</v>
      </c>
      <c r="AE1114" s="3">
        <v>0</v>
      </c>
      <c r="AF1114" s="3">
        <v>0</v>
      </c>
      <c r="AG1114" s="3">
        <v>0</v>
      </c>
      <c r="AH1114" s="3">
        <v>0</v>
      </c>
      <c r="AI1114" s="3" t="s">
        <v>1756</v>
      </c>
      <c r="AJ1114" s="3" t="s">
        <v>1715</v>
      </c>
    </row>
    <row r="1115" spans="1:36">
      <c r="A1115" s="4">
        <v>43277</v>
      </c>
      <c r="B1115" s="3" t="s">
        <v>371</v>
      </c>
      <c r="C1115" s="3" t="s">
        <v>372</v>
      </c>
      <c r="D1115" s="3" t="s">
        <v>373</v>
      </c>
      <c r="E1115" s="3" t="s">
        <v>374</v>
      </c>
      <c r="F1115" s="3" t="s">
        <v>1710</v>
      </c>
      <c r="G1115" s="3">
        <v>135</v>
      </c>
      <c r="H1115" s="3">
        <v>0</v>
      </c>
      <c r="I1115" s="3">
        <v>135</v>
      </c>
      <c r="J1115" s="3">
        <v>0</v>
      </c>
      <c r="K1115" s="3">
        <v>0</v>
      </c>
      <c r="L1115" s="3">
        <v>0</v>
      </c>
      <c r="M1115" s="3">
        <v>0</v>
      </c>
      <c r="N1115" s="3" t="s">
        <v>1711</v>
      </c>
      <c r="O1115" s="3">
        <v>0</v>
      </c>
      <c r="P1115" s="3">
        <v>0</v>
      </c>
      <c r="Q1115" s="3">
        <v>0</v>
      </c>
      <c r="R1115" s="3">
        <v>0</v>
      </c>
      <c r="S1115" s="3">
        <v>9</v>
      </c>
      <c r="T1115" s="3">
        <v>42</v>
      </c>
      <c r="U1115" s="3">
        <v>93</v>
      </c>
      <c r="V1115" s="3">
        <v>114</v>
      </c>
      <c r="W1115" s="3"/>
      <c r="X1115" s="3">
        <v>50.38</v>
      </c>
      <c r="Y1115" s="3">
        <v>28.99</v>
      </c>
      <c r="Z1115" s="3">
        <v>28</v>
      </c>
      <c r="AA1115" s="3">
        <v>0</v>
      </c>
      <c r="AB1115" s="3" t="s">
        <v>1713</v>
      </c>
      <c r="AC1115" s="3">
        <v>76</v>
      </c>
      <c r="AD1115" s="3">
        <v>28.99</v>
      </c>
      <c r="AE1115" s="3">
        <v>0</v>
      </c>
      <c r="AF1115" s="3">
        <v>0</v>
      </c>
      <c r="AG1115" s="3">
        <v>0</v>
      </c>
      <c r="AH1115" s="3">
        <v>1.65217391304347</v>
      </c>
      <c r="AI1115" s="3" t="s">
        <v>1784</v>
      </c>
      <c r="AJ1115" s="3" t="s">
        <v>1715</v>
      </c>
    </row>
    <row r="1116" spans="1:36">
      <c r="A1116" s="4">
        <v>43277</v>
      </c>
      <c r="B1116" s="3" t="s">
        <v>927</v>
      </c>
      <c r="C1116" s="3" t="s">
        <v>928</v>
      </c>
      <c r="D1116" s="3" t="s">
        <v>929</v>
      </c>
      <c r="E1116" s="3" t="s">
        <v>930</v>
      </c>
      <c r="F1116" s="3" t="s">
        <v>1710</v>
      </c>
      <c r="G1116" s="3">
        <v>14</v>
      </c>
      <c r="H1116" s="3">
        <v>0</v>
      </c>
      <c r="I1116" s="3">
        <v>14</v>
      </c>
      <c r="J1116" s="3">
        <v>0</v>
      </c>
      <c r="K1116" s="3">
        <v>0</v>
      </c>
      <c r="L1116" s="3">
        <v>0</v>
      </c>
      <c r="M1116" s="3">
        <v>0</v>
      </c>
      <c r="N1116" s="3" t="s">
        <v>1711</v>
      </c>
      <c r="O1116" s="3">
        <v>0</v>
      </c>
      <c r="P1116" s="3">
        <v>0</v>
      </c>
      <c r="Q1116" s="3">
        <v>0</v>
      </c>
      <c r="R1116" s="3">
        <v>0</v>
      </c>
      <c r="S1116" s="3">
        <v>20</v>
      </c>
      <c r="T1116" s="3">
        <v>37</v>
      </c>
      <c r="U1116" s="3">
        <v>51</v>
      </c>
      <c r="V1116" s="3">
        <v>68</v>
      </c>
      <c r="W1116" s="3"/>
      <c r="X1116" s="3">
        <v>15.99</v>
      </c>
      <c r="Y1116" s="3">
        <v>15.99</v>
      </c>
      <c r="Z1116" s="3">
        <v>15.99</v>
      </c>
      <c r="AA1116" s="3">
        <v>0</v>
      </c>
      <c r="AB1116" s="3" t="s">
        <v>1713</v>
      </c>
      <c r="AC1116" s="3">
        <v>12</v>
      </c>
      <c r="AD1116" s="3">
        <v>15.99</v>
      </c>
      <c r="AE1116" s="3">
        <v>0</v>
      </c>
      <c r="AF1116" s="3">
        <v>0</v>
      </c>
      <c r="AG1116" s="3">
        <v>0</v>
      </c>
      <c r="AH1116" s="3">
        <v>10.2</v>
      </c>
      <c r="AI1116" s="3" t="s">
        <v>1881</v>
      </c>
      <c r="AJ1116" s="3" t="s">
        <v>1715</v>
      </c>
    </row>
    <row r="1117" spans="1:36">
      <c r="A1117" s="4">
        <v>43277</v>
      </c>
      <c r="B1117" s="3" t="s">
        <v>1118</v>
      </c>
      <c r="C1117" s="3" t="s">
        <v>1119</v>
      </c>
      <c r="D1117" s="3" t="s">
        <v>1120</v>
      </c>
      <c r="E1117" s="3" t="s">
        <v>1121</v>
      </c>
      <c r="F1117" s="3" t="s">
        <v>1710</v>
      </c>
      <c r="G1117" s="3">
        <v>19</v>
      </c>
      <c r="H1117" s="3">
        <v>0</v>
      </c>
      <c r="I1117" s="3">
        <v>19</v>
      </c>
      <c r="J1117" s="3">
        <v>0</v>
      </c>
      <c r="K1117" s="3">
        <v>0</v>
      </c>
      <c r="L1117" s="3">
        <v>0</v>
      </c>
      <c r="M1117" s="3">
        <v>0</v>
      </c>
      <c r="N1117" s="3" t="s">
        <v>1711</v>
      </c>
      <c r="O1117" s="3">
        <v>0</v>
      </c>
      <c r="P1117" s="3">
        <v>0</v>
      </c>
      <c r="Q1117" s="3">
        <v>0</v>
      </c>
      <c r="R1117" s="3">
        <v>0</v>
      </c>
      <c r="S1117" s="3">
        <v>4</v>
      </c>
      <c r="T1117" s="3">
        <v>17</v>
      </c>
      <c r="U1117" s="3">
        <v>38</v>
      </c>
      <c r="V1117" s="3">
        <v>38</v>
      </c>
      <c r="W1117" s="3"/>
      <c r="X1117" s="3">
        <v>39.99</v>
      </c>
      <c r="Y1117" s="3">
        <v>21.99</v>
      </c>
      <c r="Z1117" s="3">
        <v>21.99</v>
      </c>
      <c r="AA1117" s="3">
        <v>0</v>
      </c>
      <c r="AB1117" s="3" t="s">
        <v>1713</v>
      </c>
      <c r="AC1117" s="3">
        <v>20</v>
      </c>
      <c r="AD1117" s="3">
        <v>21.99</v>
      </c>
      <c r="AE1117" s="3">
        <v>0</v>
      </c>
      <c r="AF1117" s="3">
        <v>0</v>
      </c>
      <c r="AG1117" s="3">
        <v>0</v>
      </c>
      <c r="AH1117" s="3">
        <v>5.18181818181818</v>
      </c>
      <c r="AI1117" s="3" t="s">
        <v>1890</v>
      </c>
      <c r="AJ1117" s="3" t="s">
        <v>1715</v>
      </c>
    </row>
    <row r="1118" spans="1:36">
      <c r="A1118" s="4">
        <v>43277</v>
      </c>
      <c r="B1118" s="3" t="s">
        <v>5163</v>
      </c>
      <c r="C1118" s="3" t="s">
        <v>5164</v>
      </c>
      <c r="D1118" s="3" t="s">
        <v>5165</v>
      </c>
      <c r="E1118" s="3" t="s">
        <v>2108</v>
      </c>
      <c r="F1118" s="3" t="s">
        <v>1710</v>
      </c>
      <c r="G1118" s="3">
        <v>2</v>
      </c>
      <c r="H1118" s="3">
        <v>0</v>
      </c>
      <c r="I1118" s="3">
        <v>0</v>
      </c>
      <c r="J1118" s="3">
        <v>0</v>
      </c>
      <c r="K1118" s="3">
        <v>2</v>
      </c>
      <c r="L1118" s="3">
        <v>0</v>
      </c>
      <c r="M1118" s="3">
        <v>0</v>
      </c>
      <c r="N1118" s="3" t="s">
        <v>1711</v>
      </c>
      <c r="O1118" s="3">
        <v>2</v>
      </c>
      <c r="P1118" s="3">
        <v>4.5</v>
      </c>
      <c r="Q1118" s="3">
        <v>0</v>
      </c>
      <c r="R1118" s="3">
        <v>0</v>
      </c>
      <c r="S1118" s="3">
        <v>0</v>
      </c>
      <c r="T1118" s="3">
        <v>0</v>
      </c>
      <c r="U1118" s="3">
        <v>0</v>
      </c>
      <c r="V1118" s="3">
        <v>0</v>
      </c>
      <c r="W1118" s="3" t="s">
        <v>1712</v>
      </c>
      <c r="X1118" s="3">
        <v>17.99</v>
      </c>
      <c r="Y1118" s="3">
        <v>17.99</v>
      </c>
      <c r="Z1118" s="3">
        <v>17.99</v>
      </c>
      <c r="AA1118" s="3">
        <v>0</v>
      </c>
      <c r="AB1118" s="3" t="s">
        <v>1732</v>
      </c>
      <c r="AC1118" s="3">
        <v>0</v>
      </c>
      <c r="AD1118" s="3">
        <v>15.8</v>
      </c>
      <c r="AE1118" s="3">
        <v>112</v>
      </c>
      <c r="AF1118" s="3">
        <v>0</v>
      </c>
      <c r="AG1118" s="3">
        <v>63.990876</v>
      </c>
      <c r="AH1118" s="3">
        <v>0</v>
      </c>
      <c r="AI1118" s="3" t="s">
        <v>5166</v>
      </c>
      <c r="AJ1118" s="3" t="s">
        <v>1783</v>
      </c>
    </row>
    <row r="1119" spans="1:36">
      <c r="A1119" s="4">
        <v>43277</v>
      </c>
      <c r="B1119" s="3" t="s">
        <v>5167</v>
      </c>
      <c r="C1119" s="3" t="s">
        <v>5168</v>
      </c>
      <c r="D1119" s="3" t="s">
        <v>5169</v>
      </c>
      <c r="E1119" s="3" t="s">
        <v>3178</v>
      </c>
      <c r="F1119" s="3" t="s">
        <v>1710</v>
      </c>
      <c r="G1119" s="3">
        <v>2</v>
      </c>
      <c r="H1119" s="3">
        <v>0</v>
      </c>
      <c r="I1119" s="3">
        <v>0</v>
      </c>
      <c r="J1119" s="3">
        <v>0</v>
      </c>
      <c r="K1119" s="3">
        <v>2</v>
      </c>
      <c r="L1119" s="3">
        <v>0</v>
      </c>
      <c r="M1119" s="3">
        <v>0</v>
      </c>
      <c r="N1119" s="3" t="s">
        <v>1711</v>
      </c>
      <c r="O1119" s="3">
        <v>2</v>
      </c>
      <c r="P1119" s="3">
        <v>0.01</v>
      </c>
      <c r="Q1119" s="3">
        <v>0</v>
      </c>
      <c r="R1119" s="3">
        <v>0</v>
      </c>
      <c r="S1119" s="3">
        <v>0</v>
      </c>
      <c r="T1119" s="3">
        <v>0</v>
      </c>
      <c r="U1119" s="3">
        <v>0</v>
      </c>
      <c r="V1119" s="3">
        <v>0</v>
      </c>
      <c r="W1119" s="3" t="s">
        <v>1720</v>
      </c>
      <c r="X1119" s="3">
        <v>17.99</v>
      </c>
      <c r="Y1119" s="3">
        <v>17.99</v>
      </c>
      <c r="Z1119" s="3">
        <v>17.99</v>
      </c>
      <c r="AA1119" s="3">
        <v>0</v>
      </c>
      <c r="AB1119" s="3" t="s">
        <v>1713</v>
      </c>
      <c r="AC1119" s="3">
        <v>2</v>
      </c>
      <c r="AD1119" s="3">
        <v>17.99</v>
      </c>
      <c r="AE1119" s="3">
        <v>0</v>
      </c>
      <c r="AF1119" s="3">
        <v>0</v>
      </c>
      <c r="AG1119" s="3">
        <v>0</v>
      </c>
      <c r="AH1119" s="3">
        <v>0</v>
      </c>
      <c r="AI1119" s="3" t="s">
        <v>1782</v>
      </c>
      <c r="AJ1119" s="3" t="s">
        <v>1783</v>
      </c>
    </row>
    <row r="1120" spans="1:36">
      <c r="A1120" s="4">
        <v>43277</v>
      </c>
      <c r="B1120" s="3" t="s">
        <v>5170</v>
      </c>
      <c r="C1120" s="3" t="s">
        <v>5171</v>
      </c>
      <c r="D1120" s="3" t="s">
        <v>5172</v>
      </c>
      <c r="E1120" s="3" t="s">
        <v>5173</v>
      </c>
      <c r="F1120" s="3" t="s">
        <v>1710</v>
      </c>
      <c r="G1120" s="3">
        <v>2</v>
      </c>
      <c r="H1120" s="3">
        <v>0</v>
      </c>
      <c r="I1120" s="3">
        <v>2</v>
      </c>
      <c r="J1120" s="3">
        <v>0</v>
      </c>
      <c r="K1120" s="3">
        <v>0</v>
      </c>
      <c r="L1120" s="3">
        <v>0</v>
      </c>
      <c r="M1120" s="3">
        <v>0</v>
      </c>
      <c r="N1120" s="3" t="s">
        <v>1711</v>
      </c>
      <c r="O1120" s="3">
        <v>0</v>
      </c>
      <c r="P1120" s="3">
        <v>0</v>
      </c>
      <c r="Q1120" s="3">
        <v>0</v>
      </c>
      <c r="R1120" s="3">
        <v>0</v>
      </c>
      <c r="S1120" s="3">
        <v>1</v>
      </c>
      <c r="T1120" s="3">
        <v>2</v>
      </c>
      <c r="U1120" s="3">
        <v>3</v>
      </c>
      <c r="V1120" s="3">
        <v>3</v>
      </c>
      <c r="W1120" s="3"/>
      <c r="X1120" s="3">
        <v>15.99</v>
      </c>
      <c r="Y1120" s="3">
        <v>15.99</v>
      </c>
      <c r="Z1120" s="3">
        <v>15.99</v>
      </c>
      <c r="AA1120" s="3">
        <v>0</v>
      </c>
      <c r="AB1120" s="3" t="s">
        <v>1713</v>
      </c>
      <c r="AC1120" s="3">
        <v>2</v>
      </c>
      <c r="AD1120" s="3">
        <v>15.99</v>
      </c>
      <c r="AE1120" s="3">
        <v>0</v>
      </c>
      <c r="AF1120" s="3">
        <v>0</v>
      </c>
      <c r="AG1120" s="3">
        <v>0</v>
      </c>
      <c r="AH1120" s="3">
        <v>1.5</v>
      </c>
      <c r="AI1120" s="3" t="s">
        <v>1905</v>
      </c>
      <c r="AJ1120" s="3" t="s">
        <v>1715</v>
      </c>
    </row>
    <row r="1121" spans="1:36">
      <c r="A1121" s="4">
        <v>43277</v>
      </c>
      <c r="B1121" s="3" t="s">
        <v>5174</v>
      </c>
      <c r="C1121" s="3" t="s">
        <v>5175</v>
      </c>
      <c r="D1121" s="3" t="s">
        <v>5176</v>
      </c>
      <c r="E1121" s="3" t="s">
        <v>5177</v>
      </c>
      <c r="F1121" s="3" t="s">
        <v>1710</v>
      </c>
      <c r="G1121" s="3">
        <v>10</v>
      </c>
      <c r="H1121" s="3">
        <v>0</v>
      </c>
      <c r="I1121" s="3">
        <v>10</v>
      </c>
      <c r="J1121" s="3">
        <v>0</v>
      </c>
      <c r="K1121" s="3">
        <v>0</v>
      </c>
      <c r="L1121" s="3">
        <v>0</v>
      </c>
      <c r="M1121" s="3">
        <v>0</v>
      </c>
      <c r="N1121" s="3" t="s">
        <v>1711</v>
      </c>
      <c r="O1121" s="3">
        <v>0</v>
      </c>
      <c r="P1121" s="3">
        <v>0</v>
      </c>
      <c r="Q1121" s="3">
        <v>0</v>
      </c>
      <c r="R1121" s="3">
        <v>0</v>
      </c>
      <c r="S1121" s="3">
        <v>3</v>
      </c>
      <c r="T1121" s="3">
        <v>10</v>
      </c>
      <c r="U1121" s="3">
        <v>13</v>
      </c>
      <c r="V1121" s="3">
        <v>15</v>
      </c>
      <c r="W1121" s="3"/>
      <c r="X1121" s="3">
        <v>28.58</v>
      </c>
      <c r="Y1121" s="3">
        <v>28.58</v>
      </c>
      <c r="Z1121" s="3">
        <v>28</v>
      </c>
      <c r="AA1121" s="3">
        <v>0</v>
      </c>
      <c r="AB1121" s="3" t="s">
        <v>1713</v>
      </c>
      <c r="AC1121" s="3">
        <v>10</v>
      </c>
      <c r="AD1121" s="3">
        <v>28.58</v>
      </c>
      <c r="AE1121" s="3">
        <v>0</v>
      </c>
      <c r="AF1121" s="3">
        <v>0</v>
      </c>
      <c r="AG1121" s="3">
        <v>0</v>
      </c>
      <c r="AH1121" s="3">
        <v>1.5</v>
      </c>
      <c r="AI1121" s="3" t="s">
        <v>5178</v>
      </c>
      <c r="AJ1121" s="3" t="s">
        <v>1715</v>
      </c>
    </row>
    <row r="1122" spans="1:36">
      <c r="A1122" s="4">
        <v>43277</v>
      </c>
      <c r="B1122" s="3" t="s">
        <v>1151</v>
      </c>
      <c r="C1122" s="3" t="s">
        <v>1152</v>
      </c>
      <c r="D1122" s="3" t="s">
        <v>1153</v>
      </c>
      <c r="E1122" s="3" t="s">
        <v>1147</v>
      </c>
      <c r="F1122" s="3" t="s">
        <v>1710</v>
      </c>
      <c r="G1122" s="3">
        <v>8</v>
      </c>
      <c r="H1122" s="3">
        <v>0</v>
      </c>
      <c r="I1122" s="3">
        <v>8</v>
      </c>
      <c r="J1122" s="3">
        <v>0</v>
      </c>
      <c r="K1122" s="3">
        <v>0</v>
      </c>
      <c r="L1122" s="3">
        <v>0</v>
      </c>
      <c r="M1122" s="3">
        <v>0</v>
      </c>
      <c r="N1122" s="3" t="s">
        <v>1711</v>
      </c>
      <c r="O1122" s="3">
        <v>0</v>
      </c>
      <c r="P1122" s="3">
        <v>0</v>
      </c>
      <c r="Q1122" s="3">
        <v>0</v>
      </c>
      <c r="R1122" s="3">
        <v>0</v>
      </c>
      <c r="S1122" s="3">
        <v>2</v>
      </c>
      <c r="T1122" s="3">
        <v>8</v>
      </c>
      <c r="U1122" s="3">
        <v>18</v>
      </c>
      <c r="V1122" s="3">
        <v>18</v>
      </c>
      <c r="W1122" s="3"/>
      <c r="X1122" s="3">
        <v>19.99</v>
      </c>
      <c r="Y1122" s="3">
        <v>19.99</v>
      </c>
      <c r="Z1122" s="3">
        <v>19.99</v>
      </c>
      <c r="AA1122" s="3">
        <v>0</v>
      </c>
      <c r="AB1122" s="3" t="s">
        <v>1713</v>
      </c>
      <c r="AC1122" s="3">
        <v>8</v>
      </c>
      <c r="AD1122" s="3">
        <v>19.99</v>
      </c>
      <c r="AE1122" s="3">
        <v>0</v>
      </c>
      <c r="AF1122" s="3">
        <v>0</v>
      </c>
      <c r="AG1122" s="3">
        <v>0</v>
      </c>
      <c r="AH1122" s="3">
        <v>5.39999999999999</v>
      </c>
      <c r="AI1122" s="3" t="s">
        <v>1891</v>
      </c>
      <c r="AJ1122" s="3" t="s">
        <v>1715</v>
      </c>
    </row>
    <row r="1123" spans="1:36">
      <c r="A1123" s="4">
        <v>43277</v>
      </c>
      <c r="B1123" s="3" t="s">
        <v>240</v>
      </c>
      <c r="C1123" s="3" t="s">
        <v>241</v>
      </c>
      <c r="D1123" s="3" t="s">
        <v>242</v>
      </c>
      <c r="E1123" s="3" t="s">
        <v>243</v>
      </c>
      <c r="F1123" s="3" t="s">
        <v>1710</v>
      </c>
      <c r="G1123" s="3">
        <v>1</v>
      </c>
      <c r="H1123" s="3">
        <v>0</v>
      </c>
      <c r="I1123" s="3">
        <v>1</v>
      </c>
      <c r="J1123" s="3">
        <v>0</v>
      </c>
      <c r="K1123" s="3">
        <v>0</v>
      </c>
      <c r="L1123" s="3">
        <v>0</v>
      </c>
      <c r="M1123" s="3">
        <v>0</v>
      </c>
      <c r="N1123" s="3" t="s">
        <v>1711</v>
      </c>
      <c r="O1123" s="3">
        <v>0</v>
      </c>
      <c r="P1123" s="3">
        <v>0</v>
      </c>
      <c r="Q1123" s="3">
        <v>0</v>
      </c>
      <c r="R1123" s="3">
        <v>0</v>
      </c>
      <c r="S1123" s="3">
        <v>29</v>
      </c>
      <c r="T1123" s="3">
        <v>147</v>
      </c>
      <c r="U1123" s="3">
        <v>278</v>
      </c>
      <c r="V1123" s="3">
        <v>383</v>
      </c>
      <c r="W1123" s="3"/>
      <c r="X1123" s="3">
        <v>28.99</v>
      </c>
      <c r="Y1123" s="3">
        <v>14.99</v>
      </c>
      <c r="Z1123" s="3">
        <v>14.99</v>
      </c>
      <c r="AA1123" s="3">
        <v>0</v>
      </c>
      <c r="AB1123" s="3" t="s">
        <v>1713</v>
      </c>
      <c r="AC1123" s="3">
        <v>9</v>
      </c>
      <c r="AD1123" s="3">
        <v>14.99</v>
      </c>
      <c r="AE1123" s="3">
        <v>0</v>
      </c>
      <c r="AF1123" s="3">
        <v>0</v>
      </c>
      <c r="AG1123" s="3">
        <v>0</v>
      </c>
      <c r="AH1123" s="3">
        <v>3.49771689497716</v>
      </c>
      <c r="AI1123" s="3" t="s">
        <v>2467</v>
      </c>
      <c r="AJ1123" s="3" t="s">
        <v>1715</v>
      </c>
    </row>
    <row r="1124" spans="1:36">
      <c r="A1124" s="4">
        <v>43277</v>
      </c>
      <c r="B1124" s="3" t="s">
        <v>1154</v>
      </c>
      <c r="C1124" s="3" t="s">
        <v>1155</v>
      </c>
      <c r="D1124" s="3" t="s">
        <v>1156</v>
      </c>
      <c r="E1124" s="3" t="s">
        <v>1125</v>
      </c>
      <c r="F1124" s="3" t="s">
        <v>1710</v>
      </c>
      <c r="G1124" s="3">
        <v>6</v>
      </c>
      <c r="H1124" s="3">
        <v>0</v>
      </c>
      <c r="I1124" s="3">
        <v>6</v>
      </c>
      <c r="J1124" s="3">
        <v>0</v>
      </c>
      <c r="K1124" s="3">
        <v>0</v>
      </c>
      <c r="L1124" s="3">
        <v>0</v>
      </c>
      <c r="M1124" s="3">
        <v>0</v>
      </c>
      <c r="N1124" s="3" t="s">
        <v>1711</v>
      </c>
      <c r="O1124" s="3">
        <v>0</v>
      </c>
      <c r="P1124" s="3">
        <v>0</v>
      </c>
      <c r="Q1124" s="3">
        <v>0</v>
      </c>
      <c r="R1124" s="3">
        <v>0</v>
      </c>
      <c r="S1124" s="3">
        <v>1</v>
      </c>
      <c r="T1124" s="3">
        <v>13</v>
      </c>
      <c r="U1124" s="3">
        <v>26</v>
      </c>
      <c r="V1124" s="3">
        <v>26</v>
      </c>
      <c r="W1124" s="3" t="s">
        <v>1712</v>
      </c>
      <c r="X1124" s="3">
        <v>39.99</v>
      </c>
      <c r="Y1124" s="3">
        <v>21.99</v>
      </c>
      <c r="Z1124" s="3">
        <v>21.99</v>
      </c>
      <c r="AA1124" s="3">
        <v>0</v>
      </c>
      <c r="AB1124" s="3" t="s">
        <v>1713</v>
      </c>
      <c r="AC1124" s="3">
        <v>7</v>
      </c>
      <c r="AD1124" s="3">
        <v>21.99</v>
      </c>
      <c r="AE1124" s="3">
        <v>0</v>
      </c>
      <c r="AF1124" s="3">
        <v>0</v>
      </c>
      <c r="AG1124" s="3">
        <v>0</v>
      </c>
      <c r="AH1124" s="3">
        <v>5.57142857142857</v>
      </c>
      <c r="AI1124" s="3" t="s">
        <v>2070</v>
      </c>
      <c r="AJ1124" s="3" t="s">
        <v>1715</v>
      </c>
    </row>
    <row r="1125" spans="1:36">
      <c r="A1125" s="4">
        <v>43277</v>
      </c>
      <c r="B1125" s="3" t="s">
        <v>5179</v>
      </c>
      <c r="C1125" s="3" t="s">
        <v>5180</v>
      </c>
      <c r="D1125" s="3" t="s">
        <v>5181</v>
      </c>
      <c r="E1125" s="3" t="s">
        <v>5182</v>
      </c>
      <c r="F1125" s="3" t="s">
        <v>1710</v>
      </c>
      <c r="G1125" s="3">
        <v>1</v>
      </c>
      <c r="H1125" s="3">
        <v>0</v>
      </c>
      <c r="I1125" s="3">
        <v>1</v>
      </c>
      <c r="J1125" s="3">
        <v>0</v>
      </c>
      <c r="K1125" s="3">
        <v>0</v>
      </c>
      <c r="L1125" s="3">
        <v>0</v>
      </c>
      <c r="M1125" s="3">
        <v>0</v>
      </c>
      <c r="N1125" s="3" t="s">
        <v>1711</v>
      </c>
      <c r="O1125" s="3">
        <v>0</v>
      </c>
      <c r="P1125" s="3">
        <v>0</v>
      </c>
      <c r="Q1125" s="3">
        <v>0</v>
      </c>
      <c r="R1125" s="3">
        <v>0</v>
      </c>
      <c r="S1125" s="3">
        <v>0</v>
      </c>
      <c r="T1125" s="3">
        <v>0</v>
      </c>
      <c r="U1125" s="3">
        <v>0</v>
      </c>
      <c r="V1125" s="3">
        <v>0</v>
      </c>
      <c r="W1125" s="3"/>
      <c r="X1125" s="3"/>
      <c r="Y1125" s="3"/>
      <c r="Z1125" s="3">
        <v>-1</v>
      </c>
      <c r="AA1125" s="3">
        <v>-1</v>
      </c>
      <c r="AB1125" s="3" t="s">
        <v>1776</v>
      </c>
      <c r="AC1125" s="3">
        <v>0</v>
      </c>
      <c r="AD1125" s="3">
        <v>0</v>
      </c>
      <c r="AE1125" s="3">
        <v>0</v>
      </c>
      <c r="AF1125" s="3">
        <v>0</v>
      </c>
      <c r="AG1125" s="3">
        <v>0</v>
      </c>
      <c r="AH1125" s="3">
        <v>0</v>
      </c>
      <c r="AI1125" s="3" t="s">
        <v>2789</v>
      </c>
      <c r="AJ1125" s="3" t="s">
        <v>1715</v>
      </c>
    </row>
    <row r="1126" spans="1:36">
      <c r="A1126" s="4">
        <v>43277</v>
      </c>
      <c r="B1126" s="3" t="s">
        <v>5183</v>
      </c>
      <c r="C1126" s="3" t="s">
        <v>5184</v>
      </c>
      <c r="D1126" s="3" t="s">
        <v>5185</v>
      </c>
      <c r="E1126" s="3" t="s">
        <v>5186</v>
      </c>
      <c r="F1126" s="3" t="s">
        <v>1710</v>
      </c>
      <c r="G1126" s="3">
        <v>2</v>
      </c>
      <c r="H1126" s="3">
        <v>0</v>
      </c>
      <c r="I1126" s="3">
        <v>2</v>
      </c>
      <c r="J1126" s="3">
        <v>0</v>
      </c>
      <c r="K1126" s="3">
        <v>0</v>
      </c>
      <c r="L1126" s="3">
        <v>0</v>
      </c>
      <c r="M1126" s="3">
        <v>0</v>
      </c>
      <c r="N1126" s="3" t="s">
        <v>1711</v>
      </c>
      <c r="O1126" s="3">
        <v>0</v>
      </c>
      <c r="P1126" s="3">
        <v>0</v>
      </c>
      <c r="Q1126" s="3">
        <v>0</v>
      </c>
      <c r="R1126" s="3">
        <v>0</v>
      </c>
      <c r="S1126" s="3">
        <v>0</v>
      </c>
      <c r="T1126" s="3">
        <v>0</v>
      </c>
      <c r="U1126" s="3">
        <v>0</v>
      </c>
      <c r="V1126" s="3">
        <v>0</v>
      </c>
      <c r="W1126" s="3" t="s">
        <v>1712</v>
      </c>
      <c r="X1126" s="3">
        <v>19.99</v>
      </c>
      <c r="Y1126" s="3">
        <v>19.99</v>
      </c>
      <c r="Z1126" s="3">
        <v>19.99</v>
      </c>
      <c r="AA1126" s="3">
        <v>0</v>
      </c>
      <c r="AB1126" s="3" t="s">
        <v>1732</v>
      </c>
      <c r="AC1126" s="3">
        <v>0</v>
      </c>
      <c r="AD1126" s="3">
        <v>15.99</v>
      </c>
      <c r="AE1126" s="3">
        <v>63</v>
      </c>
      <c r="AF1126" s="3">
        <v>0</v>
      </c>
      <c r="AG1126" s="3">
        <v>28.204907</v>
      </c>
      <c r="AH1126" s="3">
        <v>0</v>
      </c>
      <c r="AI1126" s="3" t="s">
        <v>2565</v>
      </c>
      <c r="AJ1126" s="3" t="s">
        <v>1715</v>
      </c>
    </row>
    <row r="1127" spans="1:36">
      <c r="A1127" s="4">
        <v>43277</v>
      </c>
      <c r="B1127" s="3" t="s">
        <v>5187</v>
      </c>
      <c r="C1127" s="3" t="s">
        <v>5188</v>
      </c>
      <c r="D1127" s="3" t="s">
        <v>5189</v>
      </c>
      <c r="E1127" s="3" t="s">
        <v>1160</v>
      </c>
      <c r="F1127" s="3" t="s">
        <v>1710</v>
      </c>
      <c r="G1127" s="3">
        <v>7</v>
      </c>
      <c r="H1127" s="3">
        <v>0</v>
      </c>
      <c r="I1127" s="3">
        <v>7</v>
      </c>
      <c r="J1127" s="3">
        <v>0</v>
      </c>
      <c r="K1127" s="3">
        <v>0</v>
      </c>
      <c r="L1127" s="3">
        <v>0</v>
      </c>
      <c r="M1127" s="3">
        <v>0</v>
      </c>
      <c r="N1127" s="3" t="s">
        <v>1711</v>
      </c>
      <c r="O1127" s="3">
        <v>0</v>
      </c>
      <c r="P1127" s="3">
        <v>0</v>
      </c>
      <c r="Q1127" s="3">
        <v>0</v>
      </c>
      <c r="R1127" s="3">
        <v>0</v>
      </c>
      <c r="S1127" s="3">
        <v>2</v>
      </c>
      <c r="T1127" s="3">
        <v>7</v>
      </c>
      <c r="U1127" s="3">
        <v>11</v>
      </c>
      <c r="V1127" s="3">
        <v>11</v>
      </c>
      <c r="W1127" s="3"/>
      <c r="X1127" s="3">
        <v>21.99</v>
      </c>
      <c r="Y1127" s="3">
        <v>21.99</v>
      </c>
      <c r="Z1127" s="3">
        <v>21.99</v>
      </c>
      <c r="AA1127" s="3">
        <v>0</v>
      </c>
      <c r="AB1127" s="3" t="s">
        <v>1713</v>
      </c>
      <c r="AC1127" s="3">
        <v>7</v>
      </c>
      <c r="AD1127" s="3">
        <v>21.99</v>
      </c>
      <c r="AE1127" s="3">
        <v>0</v>
      </c>
      <c r="AF1127" s="3">
        <v>0</v>
      </c>
      <c r="AG1127" s="3">
        <v>0</v>
      </c>
      <c r="AH1127" s="3">
        <v>1.43478260869565</v>
      </c>
      <c r="AI1127" s="3" t="s">
        <v>1890</v>
      </c>
      <c r="AJ1127" s="3" t="s">
        <v>1715</v>
      </c>
    </row>
    <row r="1128" spans="1:36">
      <c r="A1128" s="4">
        <v>43277</v>
      </c>
      <c r="B1128" s="3" t="s">
        <v>334</v>
      </c>
      <c r="C1128" s="3" t="s">
        <v>335</v>
      </c>
      <c r="D1128" s="3" t="s">
        <v>336</v>
      </c>
      <c r="E1128" s="3" t="s">
        <v>337</v>
      </c>
      <c r="F1128" s="3" t="s">
        <v>1710</v>
      </c>
      <c r="G1128" s="3">
        <v>1</v>
      </c>
      <c r="H1128" s="3">
        <v>0</v>
      </c>
      <c r="I1128" s="3">
        <v>0</v>
      </c>
      <c r="J1128" s="3">
        <v>0</v>
      </c>
      <c r="K1128" s="3">
        <v>1</v>
      </c>
      <c r="L1128" s="3">
        <v>0</v>
      </c>
      <c r="M1128" s="3">
        <v>0</v>
      </c>
      <c r="N1128" s="3" t="s">
        <v>1711</v>
      </c>
      <c r="O1128" s="3">
        <v>1</v>
      </c>
      <c r="P1128" s="3">
        <v>1.71</v>
      </c>
      <c r="Q1128" s="3">
        <v>0</v>
      </c>
      <c r="R1128" s="3">
        <v>0</v>
      </c>
      <c r="S1128" s="3">
        <v>0</v>
      </c>
      <c r="T1128" s="3">
        <v>0</v>
      </c>
      <c r="U1128" s="3">
        <v>0</v>
      </c>
      <c r="V1128" s="3">
        <v>0</v>
      </c>
      <c r="W1128" s="3"/>
      <c r="X1128" s="3"/>
      <c r="Y1128" s="3"/>
      <c r="Z1128" s="3">
        <v>-1</v>
      </c>
      <c r="AA1128" s="3">
        <v>-1</v>
      </c>
      <c r="AB1128" s="3" t="s">
        <v>1776</v>
      </c>
      <c r="AC1128" s="3">
        <v>0</v>
      </c>
      <c r="AD1128" s="3">
        <v>0</v>
      </c>
      <c r="AE1128" s="3">
        <v>0</v>
      </c>
      <c r="AF1128" s="3">
        <v>0</v>
      </c>
      <c r="AG1128" s="3">
        <v>0</v>
      </c>
      <c r="AH1128" s="3">
        <v>0</v>
      </c>
      <c r="AI1128" s="3" t="s">
        <v>5190</v>
      </c>
      <c r="AJ1128" s="3" t="s">
        <v>1783</v>
      </c>
    </row>
    <row r="1129" spans="1:36">
      <c r="A1129" s="4">
        <v>43277</v>
      </c>
      <c r="B1129" s="3" t="s">
        <v>5191</v>
      </c>
      <c r="C1129" s="3" t="s">
        <v>5192</v>
      </c>
      <c r="D1129" s="3" t="s">
        <v>5193</v>
      </c>
      <c r="E1129" s="3" t="s">
        <v>5194</v>
      </c>
      <c r="F1129" s="3" t="s">
        <v>1710</v>
      </c>
      <c r="G1129" s="3">
        <v>12</v>
      </c>
      <c r="H1129" s="3">
        <v>0</v>
      </c>
      <c r="I1129" s="3">
        <v>3</v>
      </c>
      <c r="J1129" s="3">
        <v>9</v>
      </c>
      <c r="K1129" s="3">
        <v>0</v>
      </c>
      <c r="L1129" s="3">
        <v>0</v>
      </c>
      <c r="M1129" s="3">
        <v>0</v>
      </c>
      <c r="N1129" s="3" t="s">
        <v>1711</v>
      </c>
      <c r="O1129" s="3">
        <v>9</v>
      </c>
      <c r="P1129" s="3">
        <v>15.09</v>
      </c>
      <c r="Q1129" s="3">
        <v>0</v>
      </c>
      <c r="R1129" s="3">
        <v>0</v>
      </c>
      <c r="S1129" s="3">
        <v>5</v>
      </c>
      <c r="T1129" s="3">
        <v>19</v>
      </c>
      <c r="U1129" s="3">
        <v>37</v>
      </c>
      <c r="V1129" s="3">
        <v>54</v>
      </c>
      <c r="W1129" s="3"/>
      <c r="X1129" s="3">
        <v>32.99</v>
      </c>
      <c r="Y1129" s="3">
        <v>16.99</v>
      </c>
      <c r="Z1129" s="3">
        <v>16.99</v>
      </c>
      <c r="AA1129" s="3">
        <v>0</v>
      </c>
      <c r="AB1129" s="3" t="s">
        <v>1713</v>
      </c>
      <c r="AC1129" s="3">
        <v>16</v>
      </c>
      <c r="AD1129" s="3">
        <v>16.99</v>
      </c>
      <c r="AE1129" s="3">
        <v>0</v>
      </c>
      <c r="AF1129" s="3">
        <v>0</v>
      </c>
      <c r="AG1129" s="3">
        <v>0</v>
      </c>
      <c r="AH1129" s="3">
        <v>0.837209302325581</v>
      </c>
      <c r="AI1129" s="3" t="s">
        <v>5195</v>
      </c>
      <c r="AJ1129" s="3" t="s">
        <v>1715</v>
      </c>
    </row>
    <row r="1130" spans="1:36">
      <c r="A1130" s="4">
        <v>43277</v>
      </c>
      <c r="B1130" s="3" t="s">
        <v>935</v>
      </c>
      <c r="C1130" s="3" t="s">
        <v>936</v>
      </c>
      <c r="D1130" s="3" t="s">
        <v>937</v>
      </c>
      <c r="E1130" s="3" t="s">
        <v>938</v>
      </c>
      <c r="F1130" s="3" t="s">
        <v>1710</v>
      </c>
      <c r="G1130" s="3">
        <v>27</v>
      </c>
      <c r="H1130" s="3">
        <v>0</v>
      </c>
      <c r="I1130" s="3">
        <v>27</v>
      </c>
      <c r="J1130" s="3">
        <v>0</v>
      </c>
      <c r="K1130" s="3">
        <v>0</v>
      </c>
      <c r="L1130" s="3">
        <v>0</v>
      </c>
      <c r="M1130" s="3">
        <v>0</v>
      </c>
      <c r="N1130" s="3" t="s">
        <v>1711</v>
      </c>
      <c r="O1130" s="3">
        <v>0</v>
      </c>
      <c r="P1130" s="3">
        <v>0</v>
      </c>
      <c r="Q1130" s="3">
        <v>0</v>
      </c>
      <c r="R1130" s="3">
        <v>0</v>
      </c>
      <c r="S1130" s="3">
        <v>9</v>
      </c>
      <c r="T1130" s="3">
        <v>45</v>
      </c>
      <c r="U1130" s="3">
        <v>89</v>
      </c>
      <c r="V1130" s="3">
        <v>104</v>
      </c>
      <c r="W1130" s="3"/>
      <c r="X1130" s="3">
        <v>15.99</v>
      </c>
      <c r="Y1130" s="3">
        <v>15.99</v>
      </c>
      <c r="Z1130" s="3">
        <v>15.99</v>
      </c>
      <c r="AA1130" s="3">
        <v>0</v>
      </c>
      <c r="AB1130" s="3" t="s">
        <v>1713</v>
      </c>
      <c r="AC1130" s="3">
        <v>0</v>
      </c>
      <c r="AD1130" s="3">
        <v>0</v>
      </c>
      <c r="AE1130" s="3">
        <v>0</v>
      </c>
      <c r="AF1130" s="3">
        <v>0</v>
      </c>
      <c r="AG1130" s="3">
        <v>0</v>
      </c>
      <c r="AH1130" s="3">
        <v>14.8571428571428</v>
      </c>
      <c r="AI1130" s="3" t="s">
        <v>1881</v>
      </c>
      <c r="AJ1130" s="3" t="s">
        <v>1715</v>
      </c>
    </row>
    <row r="1131" spans="1:36">
      <c r="A1131" s="4">
        <v>43277</v>
      </c>
      <c r="B1131" s="3" t="s">
        <v>5196</v>
      </c>
      <c r="C1131" s="3" t="s">
        <v>5197</v>
      </c>
      <c r="D1131" s="3" t="s">
        <v>5198</v>
      </c>
      <c r="E1131" s="3" t="s">
        <v>1426</v>
      </c>
      <c r="F1131" s="3" t="s">
        <v>1710</v>
      </c>
      <c r="G1131" s="3">
        <v>10</v>
      </c>
      <c r="H1131" s="3">
        <v>0</v>
      </c>
      <c r="I1131" s="3">
        <v>10</v>
      </c>
      <c r="J1131" s="3">
        <v>0</v>
      </c>
      <c r="K1131" s="3">
        <v>0</v>
      </c>
      <c r="L1131" s="3">
        <v>0</v>
      </c>
      <c r="M1131" s="3">
        <v>0</v>
      </c>
      <c r="N1131" s="3" t="s">
        <v>1711</v>
      </c>
      <c r="O1131" s="3">
        <v>0</v>
      </c>
      <c r="P1131" s="3">
        <v>0</v>
      </c>
      <c r="Q1131" s="3">
        <v>0</v>
      </c>
      <c r="R1131" s="3">
        <v>0</v>
      </c>
      <c r="S1131" s="3">
        <v>0</v>
      </c>
      <c r="T1131" s="3">
        <v>0</v>
      </c>
      <c r="U1131" s="3">
        <v>0</v>
      </c>
      <c r="V1131" s="3">
        <v>0</v>
      </c>
      <c r="W1131" s="3" t="s">
        <v>1712</v>
      </c>
      <c r="X1131" s="3">
        <v>19.99</v>
      </c>
      <c r="Y1131" s="3">
        <v>19.99</v>
      </c>
      <c r="Z1131" s="3">
        <v>19.99</v>
      </c>
      <c r="AA1131" s="3">
        <v>0</v>
      </c>
      <c r="AB1131" s="3" t="s">
        <v>1713</v>
      </c>
      <c r="AC1131" s="3">
        <v>10</v>
      </c>
      <c r="AD1131" s="3">
        <v>19.99</v>
      </c>
      <c r="AE1131" s="3">
        <v>0</v>
      </c>
      <c r="AF1131" s="3">
        <v>0</v>
      </c>
      <c r="AG1131" s="3">
        <v>0</v>
      </c>
      <c r="AH1131" s="3">
        <v>0</v>
      </c>
      <c r="AI1131" s="3" t="s">
        <v>1890</v>
      </c>
      <c r="AJ1131" s="3" t="s">
        <v>1715</v>
      </c>
    </row>
    <row r="1132" spans="1:36">
      <c r="A1132" s="4">
        <v>43277</v>
      </c>
      <c r="B1132" s="3" t="s">
        <v>5199</v>
      </c>
      <c r="C1132" s="3" t="s">
        <v>5200</v>
      </c>
      <c r="D1132" s="3" t="s">
        <v>5201</v>
      </c>
      <c r="E1132" s="3" t="s">
        <v>5202</v>
      </c>
      <c r="F1132" s="3" t="s">
        <v>1710</v>
      </c>
      <c r="G1132" s="3">
        <v>1</v>
      </c>
      <c r="H1132" s="3">
        <v>0</v>
      </c>
      <c r="I1132" s="3">
        <v>0</v>
      </c>
      <c r="J1132" s="3">
        <v>1</v>
      </c>
      <c r="K1132" s="3">
        <v>0</v>
      </c>
      <c r="L1132" s="3">
        <v>0</v>
      </c>
      <c r="M1132" s="3">
        <v>0</v>
      </c>
      <c r="N1132" s="3" t="s">
        <v>1711</v>
      </c>
      <c r="O1132" s="3">
        <v>1</v>
      </c>
      <c r="P1132" s="3">
        <v>0.74</v>
      </c>
      <c r="Q1132" s="3">
        <v>0</v>
      </c>
      <c r="R1132" s="3">
        <v>0</v>
      </c>
      <c r="S1132" s="3">
        <v>0</v>
      </c>
      <c r="T1132" s="3">
        <v>0</v>
      </c>
      <c r="U1132" s="3">
        <v>0</v>
      </c>
      <c r="V1132" s="3">
        <v>1</v>
      </c>
      <c r="W1132" s="3" t="s">
        <v>1720</v>
      </c>
      <c r="X1132" s="3">
        <v>15.99</v>
      </c>
      <c r="Y1132" s="3">
        <v>15.99</v>
      </c>
      <c r="Z1132" s="3">
        <v>15.99</v>
      </c>
      <c r="AA1132" s="3">
        <v>0</v>
      </c>
      <c r="AB1132" s="3" t="s">
        <v>1721</v>
      </c>
      <c r="AC1132" s="3">
        <v>1</v>
      </c>
      <c r="AD1132" s="3">
        <v>15.99</v>
      </c>
      <c r="AE1132" s="3">
        <v>0</v>
      </c>
      <c r="AF1132" s="3">
        <v>0</v>
      </c>
      <c r="AG1132" s="3">
        <v>0</v>
      </c>
      <c r="AH1132" s="3">
        <v>0.8</v>
      </c>
      <c r="AI1132" s="3" t="s">
        <v>5203</v>
      </c>
      <c r="AJ1132" s="3" t="s">
        <v>1783</v>
      </c>
    </row>
    <row r="1133" spans="1:36">
      <c r="A1133" s="4">
        <v>43277</v>
      </c>
      <c r="B1133" s="3" t="s">
        <v>5204</v>
      </c>
      <c r="C1133" s="3" t="s">
        <v>5205</v>
      </c>
      <c r="D1133" s="3" t="s">
        <v>5206</v>
      </c>
      <c r="E1133" s="3" t="s">
        <v>2098</v>
      </c>
      <c r="F1133" s="3" t="s">
        <v>1710</v>
      </c>
      <c r="G1133" s="3">
        <v>19</v>
      </c>
      <c r="H1133" s="3">
        <v>0</v>
      </c>
      <c r="I1133" s="3">
        <v>3</v>
      </c>
      <c r="J1133" s="3">
        <v>16</v>
      </c>
      <c r="K1133" s="3">
        <v>0</v>
      </c>
      <c r="L1133" s="3">
        <v>0</v>
      </c>
      <c r="M1133" s="3">
        <v>0</v>
      </c>
      <c r="N1133" s="3" t="s">
        <v>1711</v>
      </c>
      <c r="O1133" s="3">
        <v>15</v>
      </c>
      <c r="P1133" s="3">
        <v>71.1</v>
      </c>
      <c r="Q1133" s="3">
        <v>0</v>
      </c>
      <c r="R1133" s="3">
        <v>0</v>
      </c>
      <c r="S1133" s="3">
        <v>0</v>
      </c>
      <c r="T1133" s="3">
        <v>3</v>
      </c>
      <c r="U1133" s="3">
        <v>3</v>
      </c>
      <c r="V1133" s="3">
        <v>8</v>
      </c>
      <c r="W1133" s="3" t="s">
        <v>1720</v>
      </c>
      <c r="X1133" s="3">
        <v>29.99</v>
      </c>
      <c r="Y1133" s="3">
        <v>29.99</v>
      </c>
      <c r="Z1133" s="3">
        <v>25</v>
      </c>
      <c r="AA1133" s="3">
        <v>0</v>
      </c>
      <c r="AB1133" s="3" t="s">
        <v>1721</v>
      </c>
      <c r="AC1133" s="3">
        <v>1</v>
      </c>
      <c r="AD1133" s="3">
        <v>25.11</v>
      </c>
      <c r="AE1133" s="3">
        <v>91</v>
      </c>
      <c r="AF1133" s="3">
        <v>0</v>
      </c>
      <c r="AG1133" s="3">
        <v>1228.134668</v>
      </c>
      <c r="AH1133" s="3">
        <v>0.372093023255813</v>
      </c>
      <c r="AI1133" s="3" t="s">
        <v>2099</v>
      </c>
      <c r="AJ1133" s="3" t="s">
        <v>1783</v>
      </c>
    </row>
    <row r="1134" spans="1:36">
      <c r="A1134" s="4">
        <v>43277</v>
      </c>
      <c r="B1134" s="3" t="s">
        <v>1310</v>
      </c>
      <c r="C1134" s="3" t="s">
        <v>1311</v>
      </c>
      <c r="D1134" s="3" t="s">
        <v>1312</v>
      </c>
      <c r="E1134" s="3" t="s">
        <v>1213</v>
      </c>
      <c r="F1134" s="3" t="s">
        <v>1710</v>
      </c>
      <c r="G1134" s="3">
        <v>8</v>
      </c>
      <c r="H1134" s="3">
        <v>0</v>
      </c>
      <c r="I1134" s="3">
        <v>8</v>
      </c>
      <c r="J1134" s="3">
        <v>0</v>
      </c>
      <c r="K1134" s="3">
        <v>0</v>
      </c>
      <c r="L1134" s="3">
        <v>0</v>
      </c>
      <c r="M1134" s="3">
        <v>0</v>
      </c>
      <c r="N1134" s="3" t="s">
        <v>1711</v>
      </c>
      <c r="O1134" s="3">
        <v>0</v>
      </c>
      <c r="P1134" s="3">
        <v>0</v>
      </c>
      <c r="Q1134" s="3">
        <v>0</v>
      </c>
      <c r="R1134" s="3">
        <v>0</v>
      </c>
      <c r="S1134" s="3">
        <v>2</v>
      </c>
      <c r="T1134" s="3">
        <v>7</v>
      </c>
      <c r="U1134" s="3">
        <v>10</v>
      </c>
      <c r="V1134" s="3">
        <v>10</v>
      </c>
      <c r="W1134" s="3" t="s">
        <v>1720</v>
      </c>
      <c r="X1134" s="3">
        <v>16.99</v>
      </c>
      <c r="Y1134" s="3">
        <v>16.99</v>
      </c>
      <c r="Z1134" s="3">
        <v>16.99</v>
      </c>
      <c r="AA1134" s="3">
        <v>0</v>
      </c>
      <c r="AB1134" s="3" t="s">
        <v>1721</v>
      </c>
      <c r="AC1134" s="3">
        <v>8</v>
      </c>
      <c r="AD1134" s="3">
        <v>16.99</v>
      </c>
      <c r="AE1134" s="3">
        <v>0</v>
      </c>
      <c r="AF1134" s="3">
        <v>0</v>
      </c>
      <c r="AG1134" s="3">
        <v>0</v>
      </c>
      <c r="AH1134" s="3">
        <v>1.875</v>
      </c>
      <c r="AI1134" s="3" t="s">
        <v>1881</v>
      </c>
      <c r="AJ1134" s="3" t="s">
        <v>1715</v>
      </c>
    </row>
    <row r="1135" spans="1:36">
      <c r="A1135" s="4">
        <v>43277</v>
      </c>
      <c r="B1135" s="3" t="s">
        <v>1573</v>
      </c>
      <c r="C1135" s="3" t="s">
        <v>1574</v>
      </c>
      <c r="D1135" s="3" t="s">
        <v>1575</v>
      </c>
      <c r="E1135" s="3" t="s">
        <v>1576</v>
      </c>
      <c r="F1135" s="3" t="s">
        <v>1710</v>
      </c>
      <c r="G1135" s="3">
        <v>90</v>
      </c>
      <c r="H1135" s="3">
        <v>0</v>
      </c>
      <c r="I1135" s="3">
        <v>90</v>
      </c>
      <c r="J1135" s="3">
        <v>0</v>
      </c>
      <c r="K1135" s="3">
        <v>0</v>
      </c>
      <c r="L1135" s="3">
        <v>0</v>
      </c>
      <c r="M1135" s="3">
        <v>0</v>
      </c>
      <c r="N1135" s="3" t="s">
        <v>1711</v>
      </c>
      <c r="O1135" s="3">
        <v>0</v>
      </c>
      <c r="P1135" s="3">
        <v>0</v>
      </c>
      <c r="Q1135" s="3">
        <v>0</v>
      </c>
      <c r="R1135" s="3">
        <v>0</v>
      </c>
      <c r="S1135" s="3">
        <v>41</v>
      </c>
      <c r="T1135" s="3">
        <v>172</v>
      </c>
      <c r="U1135" s="3">
        <v>339</v>
      </c>
      <c r="V1135" s="3">
        <v>449</v>
      </c>
      <c r="W1135" s="3"/>
      <c r="X1135" s="3">
        <v>40</v>
      </c>
      <c r="Y1135" s="3">
        <v>29.99</v>
      </c>
      <c r="Z1135" s="3">
        <v>29.99</v>
      </c>
      <c r="AA1135" s="3">
        <v>0</v>
      </c>
      <c r="AB1135" s="3" t="s">
        <v>1713</v>
      </c>
      <c r="AC1135" s="3">
        <v>86</v>
      </c>
      <c r="AD1135" s="3">
        <v>29.99</v>
      </c>
      <c r="AE1135" s="3">
        <v>0</v>
      </c>
      <c r="AF1135" s="3">
        <v>0</v>
      </c>
      <c r="AG1135" s="3">
        <v>0</v>
      </c>
      <c r="AH1135" s="3">
        <v>6.23611111111111</v>
      </c>
      <c r="AI1135" s="3" t="s">
        <v>2160</v>
      </c>
      <c r="AJ1135" s="3" t="s">
        <v>1715</v>
      </c>
    </row>
    <row r="1136" spans="1:36">
      <c r="A1136" s="4">
        <v>43277</v>
      </c>
      <c r="B1136" s="3" t="s">
        <v>5207</v>
      </c>
      <c r="C1136" s="3" t="s">
        <v>5208</v>
      </c>
      <c r="D1136" s="3" t="s">
        <v>5209</v>
      </c>
      <c r="E1136" s="3" t="s">
        <v>1755</v>
      </c>
      <c r="F1136" s="3" t="s">
        <v>1710</v>
      </c>
      <c r="G1136" s="3">
        <v>10</v>
      </c>
      <c r="H1136" s="3">
        <v>0</v>
      </c>
      <c r="I1136" s="3">
        <v>10</v>
      </c>
      <c r="J1136" s="3">
        <v>0</v>
      </c>
      <c r="K1136" s="3">
        <v>0</v>
      </c>
      <c r="L1136" s="3">
        <v>0</v>
      </c>
      <c r="M1136" s="3">
        <v>0</v>
      </c>
      <c r="N1136" s="3" t="s">
        <v>1711</v>
      </c>
      <c r="O1136" s="3">
        <v>0</v>
      </c>
      <c r="P1136" s="3">
        <v>0</v>
      </c>
      <c r="Q1136" s="3">
        <v>0</v>
      </c>
      <c r="R1136" s="3">
        <v>0</v>
      </c>
      <c r="S1136" s="3">
        <v>0</v>
      </c>
      <c r="T1136" s="3">
        <v>0</v>
      </c>
      <c r="U1136" s="3">
        <v>0</v>
      </c>
      <c r="V1136" s="3">
        <v>0</v>
      </c>
      <c r="W1136" s="3" t="s">
        <v>1720</v>
      </c>
      <c r="X1136" s="3">
        <v>15.99</v>
      </c>
      <c r="Y1136" s="3">
        <v>15.99</v>
      </c>
      <c r="Z1136" s="3">
        <v>15.99</v>
      </c>
      <c r="AA1136" s="3">
        <v>0</v>
      </c>
      <c r="AB1136" s="3" t="s">
        <v>1721</v>
      </c>
      <c r="AC1136" s="3">
        <v>10</v>
      </c>
      <c r="AD1136" s="3">
        <v>15.99</v>
      </c>
      <c r="AE1136" s="3">
        <v>0</v>
      </c>
      <c r="AF1136" s="3">
        <v>0</v>
      </c>
      <c r="AG1136" s="3">
        <v>0</v>
      </c>
      <c r="AH1136" s="3">
        <v>0</v>
      </c>
      <c r="AI1136" s="3" t="s">
        <v>1756</v>
      </c>
      <c r="AJ1136" s="3" t="s">
        <v>1715</v>
      </c>
    </row>
    <row r="1137" spans="1:36">
      <c r="A1137" s="4">
        <v>43277</v>
      </c>
      <c r="B1137" s="3" t="s">
        <v>5210</v>
      </c>
      <c r="C1137" s="3" t="s">
        <v>5211</v>
      </c>
      <c r="D1137" s="3" t="s">
        <v>5212</v>
      </c>
      <c r="E1137" s="3" t="s">
        <v>898</v>
      </c>
      <c r="F1137" s="3" t="s">
        <v>1710</v>
      </c>
      <c r="G1137" s="3">
        <v>9</v>
      </c>
      <c r="H1137" s="3">
        <v>0</v>
      </c>
      <c r="I1137" s="3">
        <v>9</v>
      </c>
      <c r="J1137" s="3">
        <v>0</v>
      </c>
      <c r="K1137" s="3">
        <v>0</v>
      </c>
      <c r="L1137" s="3">
        <v>0</v>
      </c>
      <c r="M1137" s="3">
        <v>0</v>
      </c>
      <c r="N1137" s="3" t="s">
        <v>1711</v>
      </c>
      <c r="O1137" s="3">
        <v>0</v>
      </c>
      <c r="P1137" s="3">
        <v>0</v>
      </c>
      <c r="Q1137" s="3">
        <v>0</v>
      </c>
      <c r="R1137" s="3">
        <v>0</v>
      </c>
      <c r="S1137" s="3">
        <v>0</v>
      </c>
      <c r="T1137" s="3">
        <v>1</v>
      </c>
      <c r="U1137" s="3">
        <v>1</v>
      </c>
      <c r="V1137" s="3">
        <v>1</v>
      </c>
      <c r="W1137" s="3" t="s">
        <v>1720</v>
      </c>
      <c r="X1137" s="3">
        <v>12.99</v>
      </c>
      <c r="Y1137" s="3">
        <v>12.99</v>
      </c>
      <c r="Z1137" s="3">
        <v>12.99</v>
      </c>
      <c r="AA1137" s="3">
        <v>0</v>
      </c>
      <c r="AB1137" s="3" t="s">
        <v>1721</v>
      </c>
      <c r="AC1137" s="3">
        <v>9</v>
      </c>
      <c r="AD1137" s="3">
        <v>15.99</v>
      </c>
      <c r="AE1137" s="3">
        <v>0</v>
      </c>
      <c r="AF1137" s="3">
        <v>0</v>
      </c>
      <c r="AG1137" s="3">
        <v>0</v>
      </c>
      <c r="AH1137" s="3">
        <v>0.111111111111111</v>
      </c>
      <c r="AI1137" s="3" t="s">
        <v>2022</v>
      </c>
      <c r="AJ1137" s="3" t="s">
        <v>1715</v>
      </c>
    </row>
    <row r="1138" spans="1:36">
      <c r="A1138" s="4">
        <v>43277</v>
      </c>
      <c r="B1138" s="3" t="s">
        <v>5213</v>
      </c>
      <c r="C1138" s="3" t="s">
        <v>5214</v>
      </c>
      <c r="D1138" s="3" t="s">
        <v>5215</v>
      </c>
      <c r="E1138" s="3" t="s">
        <v>5216</v>
      </c>
      <c r="F1138" s="3" t="s">
        <v>1710</v>
      </c>
      <c r="G1138" s="3">
        <v>18</v>
      </c>
      <c r="H1138" s="3">
        <v>0</v>
      </c>
      <c r="I1138" s="3">
        <v>18</v>
      </c>
      <c r="J1138" s="3">
        <v>0</v>
      </c>
      <c r="K1138" s="3">
        <v>0</v>
      </c>
      <c r="L1138" s="3">
        <v>0</v>
      </c>
      <c r="M1138" s="3">
        <v>0</v>
      </c>
      <c r="N1138" s="3" t="s">
        <v>1711</v>
      </c>
      <c r="O1138" s="3">
        <v>0</v>
      </c>
      <c r="P1138" s="3">
        <v>0</v>
      </c>
      <c r="Q1138" s="3">
        <v>0</v>
      </c>
      <c r="R1138" s="3">
        <v>0</v>
      </c>
      <c r="S1138" s="3">
        <v>1</v>
      </c>
      <c r="T1138" s="3">
        <v>6</v>
      </c>
      <c r="U1138" s="3">
        <v>14</v>
      </c>
      <c r="V1138" s="3">
        <v>19</v>
      </c>
      <c r="W1138" s="3"/>
      <c r="X1138" s="3">
        <v>25.58</v>
      </c>
      <c r="Y1138" s="3">
        <v>25.58</v>
      </c>
      <c r="Z1138" s="3">
        <v>25.58</v>
      </c>
      <c r="AA1138" s="3">
        <v>0</v>
      </c>
      <c r="AB1138" s="3" t="s">
        <v>1713</v>
      </c>
      <c r="AC1138" s="3">
        <v>18</v>
      </c>
      <c r="AD1138" s="3">
        <v>25.58</v>
      </c>
      <c r="AE1138" s="3">
        <v>0</v>
      </c>
      <c r="AF1138" s="3">
        <v>0</v>
      </c>
      <c r="AG1138" s="3">
        <v>0</v>
      </c>
      <c r="AH1138" s="3">
        <v>1.52</v>
      </c>
      <c r="AI1138" s="3" t="s">
        <v>1857</v>
      </c>
      <c r="AJ1138" s="3" t="s">
        <v>1715</v>
      </c>
    </row>
    <row r="1139" spans="1:36">
      <c r="A1139" s="4">
        <v>43277</v>
      </c>
      <c r="B1139" s="3" t="s">
        <v>1185</v>
      </c>
      <c r="C1139" s="3" t="s">
        <v>1186</v>
      </c>
      <c r="D1139" s="3" t="s">
        <v>1187</v>
      </c>
      <c r="E1139" s="3" t="s">
        <v>1177</v>
      </c>
      <c r="F1139" s="3" t="s">
        <v>1710</v>
      </c>
      <c r="G1139" s="3">
        <v>21</v>
      </c>
      <c r="H1139" s="3">
        <v>0</v>
      </c>
      <c r="I1139" s="3">
        <v>21</v>
      </c>
      <c r="J1139" s="3">
        <v>0</v>
      </c>
      <c r="K1139" s="3">
        <v>0</v>
      </c>
      <c r="L1139" s="3">
        <v>0</v>
      </c>
      <c r="M1139" s="3">
        <v>0</v>
      </c>
      <c r="N1139" s="3" t="s">
        <v>1711</v>
      </c>
      <c r="O1139" s="3">
        <v>0</v>
      </c>
      <c r="P1139" s="3">
        <v>0</v>
      </c>
      <c r="Q1139" s="3">
        <v>0</v>
      </c>
      <c r="R1139" s="3">
        <v>0</v>
      </c>
      <c r="S1139" s="3">
        <v>4</v>
      </c>
      <c r="T1139" s="3">
        <v>12</v>
      </c>
      <c r="U1139" s="3">
        <v>22</v>
      </c>
      <c r="V1139" s="3">
        <v>22</v>
      </c>
      <c r="W1139" s="3"/>
      <c r="X1139" s="3">
        <v>39.99</v>
      </c>
      <c r="Y1139" s="3">
        <v>19.99</v>
      </c>
      <c r="Z1139" s="3">
        <v>19.99</v>
      </c>
      <c r="AA1139" s="3">
        <v>0</v>
      </c>
      <c r="AB1139" s="3" t="s">
        <v>1713</v>
      </c>
      <c r="AC1139" s="3">
        <v>25</v>
      </c>
      <c r="AD1139" s="3">
        <v>19.99</v>
      </c>
      <c r="AE1139" s="3">
        <v>0</v>
      </c>
      <c r="AF1139" s="3">
        <v>0</v>
      </c>
      <c r="AG1139" s="3">
        <v>0</v>
      </c>
      <c r="AH1139" s="3">
        <v>2.75</v>
      </c>
      <c r="AI1139" s="3" t="s">
        <v>1891</v>
      </c>
      <c r="AJ1139" s="3" t="s">
        <v>1715</v>
      </c>
    </row>
    <row r="1140" spans="1:36">
      <c r="A1140" s="4">
        <v>43277</v>
      </c>
      <c r="B1140" s="3" t="s">
        <v>1199</v>
      </c>
      <c r="C1140" s="3" t="s">
        <v>1200</v>
      </c>
      <c r="D1140" s="3" t="s">
        <v>1201</v>
      </c>
      <c r="E1140" s="3" t="s">
        <v>1181</v>
      </c>
      <c r="F1140" s="3" t="s">
        <v>1710</v>
      </c>
      <c r="G1140" s="3">
        <v>1</v>
      </c>
      <c r="H1140" s="3">
        <v>0</v>
      </c>
      <c r="I1140" s="3">
        <v>1</v>
      </c>
      <c r="J1140" s="3">
        <v>0</v>
      </c>
      <c r="K1140" s="3">
        <v>0</v>
      </c>
      <c r="L1140" s="3">
        <v>0</v>
      </c>
      <c r="M1140" s="3">
        <v>0</v>
      </c>
      <c r="N1140" s="3" t="s">
        <v>1711</v>
      </c>
      <c r="O1140" s="3">
        <v>0</v>
      </c>
      <c r="P1140" s="3">
        <v>0</v>
      </c>
      <c r="Q1140" s="3">
        <v>0</v>
      </c>
      <c r="R1140" s="3">
        <v>0</v>
      </c>
      <c r="S1140" s="3">
        <v>0</v>
      </c>
      <c r="T1140" s="3">
        <v>8</v>
      </c>
      <c r="U1140" s="3">
        <v>16</v>
      </c>
      <c r="V1140" s="3">
        <v>16</v>
      </c>
      <c r="W1140" s="3"/>
      <c r="X1140" s="3"/>
      <c r="Y1140" s="3"/>
      <c r="Z1140" s="3">
        <v>-1</v>
      </c>
      <c r="AA1140" s="3">
        <v>-1</v>
      </c>
      <c r="AB1140" s="3" t="s">
        <v>1776</v>
      </c>
      <c r="AC1140" s="3">
        <v>0</v>
      </c>
      <c r="AD1140" s="3">
        <v>0</v>
      </c>
      <c r="AE1140" s="3">
        <v>0</v>
      </c>
      <c r="AF1140" s="3">
        <v>0</v>
      </c>
      <c r="AG1140" s="3">
        <v>0</v>
      </c>
      <c r="AH1140" s="3">
        <v>4.8</v>
      </c>
      <c r="AI1140" s="3" t="s">
        <v>2550</v>
      </c>
      <c r="AJ1140" s="3" t="s">
        <v>1715</v>
      </c>
    </row>
    <row r="1141" spans="1:36">
      <c r="A1141" s="4">
        <v>43277</v>
      </c>
      <c r="B1141" s="3" t="s">
        <v>5217</v>
      </c>
      <c r="C1141" s="3" t="s">
        <v>5218</v>
      </c>
      <c r="D1141" s="3" t="s">
        <v>5219</v>
      </c>
      <c r="E1141" s="3" t="s">
        <v>4347</v>
      </c>
      <c r="F1141" s="3" t="s">
        <v>1710</v>
      </c>
      <c r="G1141" s="3">
        <v>42</v>
      </c>
      <c r="H1141" s="3">
        <v>0</v>
      </c>
      <c r="I1141" s="3">
        <v>1</v>
      </c>
      <c r="J1141" s="3">
        <v>4</v>
      </c>
      <c r="K1141" s="3">
        <v>37</v>
      </c>
      <c r="L1141" s="3">
        <v>0</v>
      </c>
      <c r="M1141" s="3">
        <v>0</v>
      </c>
      <c r="N1141" s="3" t="s">
        <v>1711</v>
      </c>
      <c r="O1141" s="3">
        <v>38</v>
      </c>
      <c r="P1141" s="3">
        <v>137.84</v>
      </c>
      <c r="Q1141" s="3">
        <v>0</v>
      </c>
      <c r="R1141" s="3">
        <v>0</v>
      </c>
      <c r="S1141" s="3">
        <v>0</v>
      </c>
      <c r="T1141" s="3">
        <v>1</v>
      </c>
      <c r="U1141" s="3">
        <v>2</v>
      </c>
      <c r="V1141" s="3">
        <v>2</v>
      </c>
      <c r="W1141" s="3" t="s">
        <v>1712</v>
      </c>
      <c r="X1141" s="3">
        <v>27.99</v>
      </c>
      <c r="Y1141" s="3">
        <v>27.99</v>
      </c>
      <c r="Z1141" s="3">
        <v>25.99</v>
      </c>
      <c r="AA1141" s="3">
        <v>0</v>
      </c>
      <c r="AB1141" s="3" t="s">
        <v>1732</v>
      </c>
      <c r="AC1141" s="3">
        <v>0</v>
      </c>
      <c r="AD1141" s="3">
        <v>22.39</v>
      </c>
      <c r="AE1141" s="3">
        <v>322</v>
      </c>
      <c r="AF1141" s="3">
        <v>0</v>
      </c>
      <c r="AG1141" s="3">
        <v>1930.613936</v>
      </c>
      <c r="AH1141" s="3">
        <v>0.0465116279069767</v>
      </c>
      <c r="AI1141" s="3" t="s">
        <v>1831</v>
      </c>
      <c r="AJ1141" s="3" t="s">
        <v>1715</v>
      </c>
    </row>
    <row r="1142" spans="1:36">
      <c r="A1142" s="4">
        <v>43277</v>
      </c>
      <c r="B1142" s="3" t="s">
        <v>5220</v>
      </c>
      <c r="C1142" s="3" t="s">
        <v>5221</v>
      </c>
      <c r="D1142" s="3" t="s">
        <v>5222</v>
      </c>
      <c r="E1142" s="3" t="s">
        <v>5223</v>
      </c>
      <c r="F1142" s="3" t="s">
        <v>1710</v>
      </c>
      <c r="G1142" s="3">
        <v>51</v>
      </c>
      <c r="H1142" s="3">
        <v>0</v>
      </c>
      <c r="I1142" s="3">
        <v>0</v>
      </c>
      <c r="J1142" s="3">
        <v>16</v>
      </c>
      <c r="K1142" s="3">
        <v>35</v>
      </c>
      <c r="L1142" s="3">
        <v>0</v>
      </c>
      <c r="M1142" s="3">
        <v>0</v>
      </c>
      <c r="N1142" s="3" t="s">
        <v>1711</v>
      </c>
      <c r="O1142" s="3">
        <v>45</v>
      </c>
      <c r="P1142" s="3">
        <v>26.94</v>
      </c>
      <c r="Q1142" s="3">
        <v>0</v>
      </c>
      <c r="R1142" s="3">
        <v>0</v>
      </c>
      <c r="S1142" s="3">
        <v>0</v>
      </c>
      <c r="T1142" s="3">
        <v>1</v>
      </c>
      <c r="U1142" s="3">
        <v>1</v>
      </c>
      <c r="V1142" s="3">
        <v>9</v>
      </c>
      <c r="W1142" s="3"/>
      <c r="X1142" s="3">
        <v>35</v>
      </c>
      <c r="Y1142" s="3">
        <v>16.99</v>
      </c>
      <c r="Z1142" s="3">
        <v>16</v>
      </c>
      <c r="AA1142" s="3">
        <v>0</v>
      </c>
      <c r="AB1142" s="3" t="s">
        <v>1732</v>
      </c>
      <c r="AC1142" s="3">
        <v>21</v>
      </c>
      <c r="AD1142" s="3">
        <v>15.68</v>
      </c>
      <c r="AE1142" s="3">
        <v>49</v>
      </c>
      <c r="AF1142" s="3">
        <v>0</v>
      </c>
      <c r="AG1142" s="3">
        <v>846.868362</v>
      </c>
      <c r="AH1142" s="3">
        <v>0.101694915254237</v>
      </c>
      <c r="AI1142" s="3" t="s">
        <v>1905</v>
      </c>
      <c r="AJ1142" s="3" t="s">
        <v>1715</v>
      </c>
    </row>
    <row r="1143" spans="1:36">
      <c r="A1143" s="4">
        <v>43277</v>
      </c>
      <c r="B1143" s="3" t="s">
        <v>5224</v>
      </c>
      <c r="C1143" s="3" t="s">
        <v>5225</v>
      </c>
      <c r="D1143" s="3" t="s">
        <v>5226</v>
      </c>
      <c r="E1143" s="3" t="s">
        <v>5227</v>
      </c>
      <c r="F1143" s="3" t="s">
        <v>1710</v>
      </c>
      <c r="G1143" s="3">
        <v>15</v>
      </c>
      <c r="H1143" s="3">
        <v>0</v>
      </c>
      <c r="I1143" s="3">
        <v>15</v>
      </c>
      <c r="J1143" s="3">
        <v>0</v>
      </c>
      <c r="K1143" s="3">
        <v>0</v>
      </c>
      <c r="L1143" s="3">
        <v>0</v>
      </c>
      <c r="M1143" s="3">
        <v>0</v>
      </c>
      <c r="N1143" s="3" t="s">
        <v>1711</v>
      </c>
      <c r="O1143" s="3">
        <v>0</v>
      </c>
      <c r="P1143" s="3">
        <v>0</v>
      </c>
      <c r="Q1143" s="3">
        <v>0</v>
      </c>
      <c r="R1143" s="3">
        <v>0</v>
      </c>
      <c r="S1143" s="3">
        <v>0</v>
      </c>
      <c r="T1143" s="3">
        <v>0</v>
      </c>
      <c r="U1143" s="3">
        <v>0</v>
      </c>
      <c r="V1143" s="3">
        <v>0</v>
      </c>
      <c r="W1143" s="3" t="s">
        <v>1712</v>
      </c>
      <c r="X1143" s="3">
        <v>28.99</v>
      </c>
      <c r="Y1143" s="3">
        <v>28.99</v>
      </c>
      <c r="Z1143" s="3">
        <v>28.99</v>
      </c>
      <c r="AA1143" s="3">
        <v>0</v>
      </c>
      <c r="AB1143" s="3" t="s">
        <v>1713</v>
      </c>
      <c r="AC1143" s="3">
        <v>15</v>
      </c>
      <c r="AD1143" s="3">
        <v>28.99</v>
      </c>
      <c r="AE1143" s="3">
        <v>0</v>
      </c>
      <c r="AF1143" s="3">
        <v>0</v>
      </c>
      <c r="AG1143" s="3">
        <v>0</v>
      </c>
      <c r="AH1143" s="3">
        <v>0</v>
      </c>
      <c r="AI1143" s="3" t="s">
        <v>2065</v>
      </c>
      <c r="AJ1143" s="3" t="s">
        <v>1715</v>
      </c>
    </row>
    <row r="1144" spans="1:36">
      <c r="A1144" s="4">
        <v>43277</v>
      </c>
      <c r="B1144" s="3" t="s">
        <v>5228</v>
      </c>
      <c r="C1144" s="3" t="s">
        <v>5229</v>
      </c>
      <c r="D1144" s="3" t="s">
        <v>5230</v>
      </c>
      <c r="E1144" s="3" t="s">
        <v>5231</v>
      </c>
      <c r="F1144" s="3" t="s">
        <v>1710</v>
      </c>
      <c r="G1144" s="3">
        <v>10</v>
      </c>
      <c r="H1144" s="3">
        <v>0</v>
      </c>
      <c r="I1144" s="3">
        <v>0</v>
      </c>
      <c r="J1144" s="3">
        <v>0</v>
      </c>
      <c r="K1144" s="3">
        <v>0</v>
      </c>
      <c r="L1144" s="3">
        <v>5</v>
      </c>
      <c r="M1144" s="3">
        <v>5</v>
      </c>
      <c r="N1144" s="3" t="s">
        <v>1711</v>
      </c>
      <c r="O1144" s="3">
        <v>0</v>
      </c>
      <c r="P1144" s="3">
        <v>0</v>
      </c>
      <c r="Q1144" s="3">
        <v>10</v>
      </c>
      <c r="R1144" s="3">
        <v>14.06</v>
      </c>
      <c r="S1144" s="3">
        <v>0</v>
      </c>
      <c r="T1144" s="3">
        <v>0</v>
      </c>
      <c r="U1144" s="3">
        <v>2</v>
      </c>
      <c r="V1144" s="3">
        <v>2</v>
      </c>
      <c r="W1144" s="3" t="s">
        <v>1712</v>
      </c>
      <c r="X1144" s="3">
        <v>28.99</v>
      </c>
      <c r="Y1144" s="3">
        <v>15.99</v>
      </c>
      <c r="Z1144" s="3">
        <v>15.55</v>
      </c>
      <c r="AA1144" s="3">
        <v>0</v>
      </c>
      <c r="AB1144" s="3" t="s">
        <v>1732</v>
      </c>
      <c r="AC1144" s="3">
        <v>6</v>
      </c>
      <c r="AD1144" s="3">
        <v>14.15</v>
      </c>
      <c r="AE1144" s="3">
        <v>203</v>
      </c>
      <c r="AF1144" s="3">
        <v>0</v>
      </c>
      <c r="AG1144" s="3">
        <v>2.361127</v>
      </c>
      <c r="AH1144" s="3">
        <v>0.181818181818181</v>
      </c>
      <c r="AI1144" s="3" t="s">
        <v>2036</v>
      </c>
      <c r="AJ1144" s="3" t="s">
        <v>1715</v>
      </c>
    </row>
    <row r="1145" spans="1:36">
      <c r="A1145" s="4">
        <v>43277</v>
      </c>
      <c r="B1145" s="3" t="s">
        <v>5232</v>
      </c>
      <c r="C1145" s="3" t="s">
        <v>5233</v>
      </c>
      <c r="D1145" s="3" t="s">
        <v>5234</v>
      </c>
      <c r="E1145" s="3" t="s">
        <v>3690</v>
      </c>
      <c r="F1145" s="3" t="s">
        <v>1710</v>
      </c>
      <c r="G1145" s="3">
        <v>2</v>
      </c>
      <c r="H1145" s="3">
        <v>0</v>
      </c>
      <c r="I1145" s="3">
        <v>0</v>
      </c>
      <c r="J1145" s="3">
        <v>1</v>
      </c>
      <c r="K1145" s="3">
        <v>1</v>
      </c>
      <c r="L1145" s="3">
        <v>0</v>
      </c>
      <c r="M1145" s="3">
        <v>0</v>
      </c>
      <c r="N1145" s="3" t="s">
        <v>1711</v>
      </c>
      <c r="O1145" s="3">
        <v>2</v>
      </c>
      <c r="P1145" s="3">
        <v>6.66</v>
      </c>
      <c r="Q1145" s="3">
        <v>0</v>
      </c>
      <c r="R1145" s="3">
        <v>0</v>
      </c>
      <c r="S1145" s="3">
        <v>0</v>
      </c>
      <c r="T1145" s="3">
        <v>0</v>
      </c>
      <c r="U1145" s="3">
        <v>0</v>
      </c>
      <c r="V1145" s="3">
        <v>0</v>
      </c>
      <c r="W1145" s="3" t="s">
        <v>1720</v>
      </c>
      <c r="X1145" s="3">
        <v>16.99</v>
      </c>
      <c r="Y1145" s="3">
        <v>16.99</v>
      </c>
      <c r="Z1145" s="3">
        <v>16.99</v>
      </c>
      <c r="AA1145" s="3">
        <v>0</v>
      </c>
      <c r="AB1145" s="3" t="s">
        <v>1721</v>
      </c>
      <c r="AC1145" s="3">
        <v>0</v>
      </c>
      <c r="AD1145" s="3">
        <v>15.92</v>
      </c>
      <c r="AE1145" s="3">
        <v>21</v>
      </c>
      <c r="AF1145" s="3">
        <v>0</v>
      </c>
      <c r="AG1145" s="3">
        <v>91.058864</v>
      </c>
      <c r="AH1145" s="3">
        <v>0</v>
      </c>
      <c r="AI1145" s="3" t="s">
        <v>3691</v>
      </c>
      <c r="AJ1145" s="3" t="s">
        <v>1783</v>
      </c>
    </row>
    <row r="1146" spans="1:36">
      <c r="A1146" s="4">
        <v>43277</v>
      </c>
      <c r="B1146" s="3" t="s">
        <v>5235</v>
      </c>
      <c r="C1146" s="3" t="s">
        <v>5236</v>
      </c>
      <c r="D1146" s="3" t="s">
        <v>5237</v>
      </c>
      <c r="E1146" s="3" t="s">
        <v>3601</v>
      </c>
      <c r="F1146" s="3" t="s">
        <v>1710</v>
      </c>
      <c r="G1146" s="3">
        <v>3</v>
      </c>
      <c r="H1146" s="3">
        <v>0</v>
      </c>
      <c r="I1146" s="3">
        <v>1</v>
      </c>
      <c r="J1146" s="3">
        <v>1</v>
      </c>
      <c r="K1146" s="3">
        <v>1</v>
      </c>
      <c r="L1146" s="3">
        <v>0</v>
      </c>
      <c r="M1146" s="3">
        <v>0</v>
      </c>
      <c r="N1146" s="3" t="s">
        <v>1711</v>
      </c>
      <c r="O1146" s="3">
        <v>2</v>
      </c>
      <c r="P1146" s="3">
        <v>2.8</v>
      </c>
      <c r="Q1146" s="3">
        <v>0</v>
      </c>
      <c r="R1146" s="3">
        <v>0</v>
      </c>
      <c r="S1146" s="3">
        <v>0</v>
      </c>
      <c r="T1146" s="3">
        <v>0</v>
      </c>
      <c r="U1146" s="3">
        <v>0</v>
      </c>
      <c r="V1146" s="3">
        <v>1</v>
      </c>
      <c r="W1146" s="3" t="s">
        <v>1720</v>
      </c>
      <c r="X1146" s="3">
        <v>15.99</v>
      </c>
      <c r="Y1146" s="3">
        <v>15.99</v>
      </c>
      <c r="Z1146" s="3">
        <v>15.99</v>
      </c>
      <c r="AA1146" s="3">
        <v>0</v>
      </c>
      <c r="AB1146" s="3" t="s">
        <v>1721</v>
      </c>
      <c r="AC1146" s="3">
        <v>0</v>
      </c>
      <c r="AD1146" s="3">
        <v>14.52</v>
      </c>
      <c r="AE1146" s="3">
        <v>91</v>
      </c>
      <c r="AF1146" s="3">
        <v>0</v>
      </c>
      <c r="AG1146" s="3">
        <v>68.281234</v>
      </c>
      <c r="AH1146" s="3">
        <v>0.333333333333333</v>
      </c>
      <c r="AI1146" s="3" t="s">
        <v>3602</v>
      </c>
      <c r="AJ1146" s="3" t="s">
        <v>1715</v>
      </c>
    </row>
    <row r="1147" spans="1:36">
      <c r="A1147" s="4">
        <v>43277</v>
      </c>
      <c r="B1147" s="3" t="s">
        <v>619</v>
      </c>
      <c r="C1147" s="3" t="s">
        <v>620</v>
      </c>
      <c r="D1147" s="3" t="s">
        <v>621</v>
      </c>
      <c r="E1147" s="3" t="s">
        <v>622</v>
      </c>
      <c r="F1147" s="3" t="s">
        <v>1710</v>
      </c>
      <c r="G1147" s="3">
        <v>27</v>
      </c>
      <c r="H1147" s="3">
        <v>0</v>
      </c>
      <c r="I1147" s="3">
        <v>27</v>
      </c>
      <c r="J1147" s="3">
        <v>0</v>
      </c>
      <c r="K1147" s="3">
        <v>0</v>
      </c>
      <c r="L1147" s="3">
        <v>0</v>
      </c>
      <c r="M1147" s="3">
        <v>0</v>
      </c>
      <c r="N1147" s="3" t="s">
        <v>1711</v>
      </c>
      <c r="O1147" s="3">
        <v>0</v>
      </c>
      <c r="P1147" s="3">
        <v>0</v>
      </c>
      <c r="Q1147" s="3">
        <v>0</v>
      </c>
      <c r="R1147" s="3">
        <v>0</v>
      </c>
      <c r="S1147" s="3">
        <v>1</v>
      </c>
      <c r="T1147" s="3">
        <v>12</v>
      </c>
      <c r="U1147" s="3">
        <v>27</v>
      </c>
      <c r="V1147" s="3">
        <v>42</v>
      </c>
      <c r="W1147" s="3"/>
      <c r="X1147" s="3">
        <v>19.58</v>
      </c>
      <c r="Y1147" s="3">
        <v>19.58</v>
      </c>
      <c r="Z1147" s="3">
        <v>19.58</v>
      </c>
      <c r="AA1147" s="3">
        <v>0</v>
      </c>
      <c r="AB1147" s="3" t="s">
        <v>1713</v>
      </c>
      <c r="AC1147" s="3">
        <v>26</v>
      </c>
      <c r="AD1147" s="3">
        <v>19.58</v>
      </c>
      <c r="AE1147" s="3">
        <v>0</v>
      </c>
      <c r="AF1147" s="3">
        <v>0</v>
      </c>
      <c r="AG1147" s="3">
        <v>0</v>
      </c>
      <c r="AH1147" s="3">
        <v>2.02409638554216</v>
      </c>
      <c r="AI1147" s="3" t="s">
        <v>5238</v>
      </c>
      <c r="AJ1147" s="3" t="s">
        <v>1715</v>
      </c>
    </row>
    <row r="1148" spans="1:36">
      <c r="A1148" s="4">
        <v>43277</v>
      </c>
      <c r="B1148" s="3" t="s">
        <v>595</v>
      </c>
      <c r="C1148" s="3" t="s">
        <v>596</v>
      </c>
      <c r="D1148" s="3" t="s">
        <v>597</v>
      </c>
      <c r="E1148" s="3" t="s">
        <v>598</v>
      </c>
      <c r="F1148" s="3" t="s">
        <v>1710</v>
      </c>
      <c r="G1148" s="3">
        <v>8</v>
      </c>
      <c r="H1148" s="3">
        <v>0</v>
      </c>
      <c r="I1148" s="3">
        <v>8</v>
      </c>
      <c r="J1148" s="3">
        <v>0</v>
      </c>
      <c r="K1148" s="3">
        <v>0</v>
      </c>
      <c r="L1148" s="3">
        <v>0</v>
      </c>
      <c r="M1148" s="3">
        <v>0</v>
      </c>
      <c r="N1148" s="3" t="s">
        <v>1711</v>
      </c>
      <c r="O1148" s="3">
        <v>0</v>
      </c>
      <c r="P1148" s="3">
        <v>0</v>
      </c>
      <c r="Q1148" s="3">
        <v>0</v>
      </c>
      <c r="R1148" s="3">
        <v>0</v>
      </c>
      <c r="S1148" s="3">
        <v>2</v>
      </c>
      <c r="T1148" s="3">
        <v>6</v>
      </c>
      <c r="U1148" s="3">
        <v>11</v>
      </c>
      <c r="V1148" s="3">
        <v>19</v>
      </c>
      <c r="W1148" s="3"/>
      <c r="X1148" s="3">
        <v>28.58</v>
      </c>
      <c r="Y1148" s="3">
        <v>28.58</v>
      </c>
      <c r="Z1148" s="3">
        <v>28</v>
      </c>
      <c r="AA1148" s="3">
        <v>0</v>
      </c>
      <c r="AB1148" s="3" t="s">
        <v>1713</v>
      </c>
      <c r="AC1148" s="3">
        <v>8</v>
      </c>
      <c r="AD1148" s="3">
        <v>28.58</v>
      </c>
      <c r="AE1148" s="3">
        <v>0</v>
      </c>
      <c r="AF1148" s="3">
        <v>0</v>
      </c>
      <c r="AG1148" s="3">
        <v>0</v>
      </c>
      <c r="AH1148" s="3">
        <v>1.76744186046511</v>
      </c>
      <c r="AI1148" s="3" t="s">
        <v>2128</v>
      </c>
      <c r="AJ1148" s="3" t="s">
        <v>1715</v>
      </c>
    </row>
    <row r="1149" spans="1:36">
      <c r="A1149" s="4">
        <v>43277</v>
      </c>
      <c r="B1149" s="3" t="s">
        <v>5239</v>
      </c>
      <c r="C1149" s="3" t="s">
        <v>5240</v>
      </c>
      <c r="D1149" s="3" t="s">
        <v>5241</v>
      </c>
      <c r="E1149" s="3" t="s">
        <v>1805</v>
      </c>
      <c r="F1149" s="3" t="s">
        <v>1710</v>
      </c>
      <c r="G1149" s="3">
        <v>4</v>
      </c>
      <c r="H1149" s="3">
        <v>0</v>
      </c>
      <c r="I1149" s="3">
        <v>0</v>
      </c>
      <c r="J1149" s="3">
        <v>0</v>
      </c>
      <c r="K1149" s="3">
        <v>4</v>
      </c>
      <c r="L1149" s="3">
        <v>0</v>
      </c>
      <c r="M1149" s="3">
        <v>0</v>
      </c>
      <c r="N1149" s="3" t="s">
        <v>1711</v>
      </c>
      <c r="O1149" s="3">
        <v>4</v>
      </c>
      <c r="P1149" s="3">
        <v>7.81</v>
      </c>
      <c r="Q1149" s="3">
        <v>0</v>
      </c>
      <c r="R1149" s="3">
        <v>0</v>
      </c>
      <c r="S1149" s="3">
        <v>0</v>
      </c>
      <c r="T1149" s="3">
        <v>0</v>
      </c>
      <c r="U1149" s="3">
        <v>0</v>
      </c>
      <c r="V1149" s="3">
        <v>0</v>
      </c>
      <c r="W1149" s="3" t="s">
        <v>1720</v>
      </c>
      <c r="X1149" s="3">
        <v>17.99</v>
      </c>
      <c r="Y1149" s="3">
        <v>17.99</v>
      </c>
      <c r="Z1149" s="3">
        <v>17.99</v>
      </c>
      <c r="AA1149" s="3">
        <v>0</v>
      </c>
      <c r="AB1149" s="3" t="s">
        <v>1721</v>
      </c>
      <c r="AC1149" s="3">
        <v>0</v>
      </c>
      <c r="AD1149" s="3">
        <v>15.7</v>
      </c>
      <c r="AE1149" s="3">
        <v>147</v>
      </c>
      <c r="AF1149" s="3">
        <v>0</v>
      </c>
      <c r="AG1149" s="3">
        <v>118.205109</v>
      </c>
      <c r="AH1149" s="3">
        <v>0</v>
      </c>
      <c r="AI1149" s="3" t="s">
        <v>2978</v>
      </c>
      <c r="AJ1149" s="3" t="s">
        <v>1715</v>
      </c>
    </row>
    <row r="1150" spans="1:36">
      <c r="A1150" s="4">
        <v>43277</v>
      </c>
      <c r="B1150" s="3" t="s">
        <v>639</v>
      </c>
      <c r="C1150" s="3" t="s">
        <v>640</v>
      </c>
      <c r="D1150" s="3" t="s">
        <v>641</v>
      </c>
      <c r="E1150" s="3" t="s">
        <v>5242</v>
      </c>
      <c r="F1150" s="3" t="s">
        <v>1710</v>
      </c>
      <c r="G1150" s="3">
        <v>11</v>
      </c>
      <c r="H1150" s="3">
        <v>0</v>
      </c>
      <c r="I1150" s="3">
        <v>11</v>
      </c>
      <c r="J1150" s="3">
        <v>0</v>
      </c>
      <c r="K1150" s="3">
        <v>0</v>
      </c>
      <c r="L1150" s="3">
        <v>0</v>
      </c>
      <c r="M1150" s="3">
        <v>0</v>
      </c>
      <c r="N1150" s="3" t="s">
        <v>1711</v>
      </c>
      <c r="O1150" s="3">
        <v>0</v>
      </c>
      <c r="P1150" s="3">
        <v>0</v>
      </c>
      <c r="Q1150" s="3">
        <v>0</v>
      </c>
      <c r="R1150" s="3">
        <v>0</v>
      </c>
      <c r="S1150" s="3">
        <v>1</v>
      </c>
      <c r="T1150" s="3">
        <v>13</v>
      </c>
      <c r="U1150" s="3">
        <v>26</v>
      </c>
      <c r="V1150" s="3">
        <v>29</v>
      </c>
      <c r="W1150" s="3"/>
      <c r="X1150" s="3">
        <v>38</v>
      </c>
      <c r="Y1150" s="3">
        <v>28.58</v>
      </c>
      <c r="Z1150" s="3">
        <v>28.58</v>
      </c>
      <c r="AA1150" s="3">
        <v>0</v>
      </c>
      <c r="AB1150" s="3" t="s">
        <v>1713</v>
      </c>
      <c r="AC1150" s="3">
        <v>5</v>
      </c>
      <c r="AD1150" s="3">
        <v>28.58</v>
      </c>
      <c r="AE1150" s="3">
        <v>0</v>
      </c>
      <c r="AF1150" s="3">
        <v>0</v>
      </c>
      <c r="AG1150" s="3">
        <v>0</v>
      </c>
      <c r="AH1150" s="3">
        <v>2.82926829268292</v>
      </c>
      <c r="AI1150" s="3" t="s">
        <v>2128</v>
      </c>
      <c r="AJ1150" s="3" t="s">
        <v>1715</v>
      </c>
    </row>
    <row r="1151" spans="1:36">
      <c r="A1151" s="4">
        <v>43277</v>
      </c>
      <c r="B1151" s="3" t="s">
        <v>5243</v>
      </c>
      <c r="C1151" s="3" t="s">
        <v>5244</v>
      </c>
      <c r="D1151" s="3" t="s">
        <v>5245</v>
      </c>
      <c r="E1151" s="3" t="s">
        <v>5246</v>
      </c>
      <c r="F1151" s="3" t="s">
        <v>1710</v>
      </c>
      <c r="G1151" s="3">
        <v>6</v>
      </c>
      <c r="H1151" s="3">
        <v>0</v>
      </c>
      <c r="I1151" s="3">
        <v>0</v>
      </c>
      <c r="J1151" s="3">
        <v>0</v>
      </c>
      <c r="K1151" s="3">
        <v>0</v>
      </c>
      <c r="L1151" s="3">
        <v>0</v>
      </c>
      <c r="M1151" s="3">
        <v>6</v>
      </c>
      <c r="N1151" s="3" t="s">
        <v>1711</v>
      </c>
      <c r="O1151" s="3">
        <v>0</v>
      </c>
      <c r="P1151" s="3">
        <v>0</v>
      </c>
      <c r="Q1151" s="3">
        <v>6</v>
      </c>
      <c r="R1151" s="3">
        <v>19.54</v>
      </c>
      <c r="S1151" s="3">
        <v>0</v>
      </c>
      <c r="T1151" s="3">
        <v>0</v>
      </c>
      <c r="U1151" s="3">
        <v>0</v>
      </c>
      <c r="V1151" s="3">
        <v>0</v>
      </c>
      <c r="W1151" s="3" t="s">
        <v>1720</v>
      </c>
      <c r="X1151" s="3">
        <v>22.99</v>
      </c>
      <c r="Y1151" s="3">
        <v>22.99</v>
      </c>
      <c r="Z1151" s="3">
        <v>22.99</v>
      </c>
      <c r="AA1151" s="3">
        <v>0</v>
      </c>
      <c r="AB1151" s="3" t="s">
        <v>1732</v>
      </c>
      <c r="AC1151" s="3">
        <v>0</v>
      </c>
      <c r="AD1151" s="3">
        <v>18.39</v>
      </c>
      <c r="AE1151" s="3">
        <v>364</v>
      </c>
      <c r="AF1151" s="3">
        <v>0</v>
      </c>
      <c r="AG1151" s="3">
        <v>140.507917</v>
      </c>
      <c r="AH1151" s="3">
        <v>0</v>
      </c>
      <c r="AI1151" s="3" t="s">
        <v>2390</v>
      </c>
      <c r="AJ1151" s="3" t="s">
        <v>1715</v>
      </c>
    </row>
    <row r="1152" spans="1:36">
      <c r="A1152" s="4">
        <v>43277</v>
      </c>
      <c r="B1152" s="3" t="s">
        <v>5247</v>
      </c>
      <c r="C1152" s="3" t="s">
        <v>5248</v>
      </c>
      <c r="D1152" s="3" t="s">
        <v>5249</v>
      </c>
      <c r="E1152" s="3" t="s">
        <v>5250</v>
      </c>
      <c r="F1152" s="3" t="s">
        <v>1710</v>
      </c>
      <c r="G1152" s="3">
        <v>7</v>
      </c>
      <c r="H1152" s="3">
        <v>0</v>
      </c>
      <c r="I1152" s="3">
        <v>0</v>
      </c>
      <c r="J1152" s="3">
        <v>0</v>
      </c>
      <c r="K1152" s="3">
        <v>0</v>
      </c>
      <c r="L1152" s="3">
        <v>0</v>
      </c>
      <c r="M1152" s="3">
        <v>7</v>
      </c>
      <c r="N1152" s="3" t="s">
        <v>1711</v>
      </c>
      <c r="O1152" s="3">
        <v>0</v>
      </c>
      <c r="P1152" s="3">
        <v>0</v>
      </c>
      <c r="Q1152" s="3">
        <v>7</v>
      </c>
      <c r="R1152" s="3">
        <v>7.4</v>
      </c>
      <c r="S1152" s="3">
        <v>0</v>
      </c>
      <c r="T1152" s="3">
        <v>0</v>
      </c>
      <c r="U1152" s="3">
        <v>0</v>
      </c>
      <c r="V1152" s="3">
        <v>0</v>
      </c>
      <c r="W1152" s="3" t="s">
        <v>1720</v>
      </c>
      <c r="X1152" s="3">
        <v>19.99</v>
      </c>
      <c r="Y1152" s="3">
        <v>19.99</v>
      </c>
      <c r="Z1152" s="3">
        <v>19.99</v>
      </c>
      <c r="AA1152" s="3">
        <v>0</v>
      </c>
      <c r="AB1152" s="3" t="s">
        <v>1732</v>
      </c>
      <c r="AC1152" s="3">
        <v>0</v>
      </c>
      <c r="AD1152" s="3">
        <v>18.88</v>
      </c>
      <c r="AE1152" s="3">
        <v>49</v>
      </c>
      <c r="AF1152" s="3">
        <v>0</v>
      </c>
      <c r="AG1152" s="3">
        <v>127.594707</v>
      </c>
      <c r="AH1152" s="3">
        <v>0</v>
      </c>
      <c r="AI1152" s="3" t="s">
        <v>5251</v>
      </c>
      <c r="AJ1152" s="3" t="s">
        <v>1715</v>
      </c>
    </row>
    <row r="1153" spans="1:36">
      <c r="A1153" s="4">
        <v>43277</v>
      </c>
      <c r="B1153" s="3" t="s">
        <v>5252</v>
      </c>
      <c r="C1153" s="3" t="s">
        <v>5253</v>
      </c>
      <c r="D1153" s="3" t="s">
        <v>5254</v>
      </c>
      <c r="E1153" s="3" t="s">
        <v>5255</v>
      </c>
      <c r="F1153" s="3" t="s">
        <v>1710</v>
      </c>
      <c r="G1153" s="3">
        <v>15</v>
      </c>
      <c r="H1153" s="3">
        <v>0</v>
      </c>
      <c r="I1153" s="3">
        <v>15</v>
      </c>
      <c r="J1153" s="3">
        <v>0</v>
      </c>
      <c r="K1153" s="3">
        <v>0</v>
      </c>
      <c r="L1153" s="3">
        <v>0</v>
      </c>
      <c r="M1153" s="3">
        <v>0</v>
      </c>
      <c r="N1153" s="3" t="s">
        <v>1711</v>
      </c>
      <c r="O1153" s="3">
        <v>0</v>
      </c>
      <c r="P1153" s="3">
        <v>0</v>
      </c>
      <c r="Q1153" s="3">
        <v>0</v>
      </c>
      <c r="R1153" s="3">
        <v>0</v>
      </c>
      <c r="S1153" s="3">
        <v>0</v>
      </c>
      <c r="T1153" s="3">
        <v>0</v>
      </c>
      <c r="U1153" s="3">
        <v>0</v>
      </c>
      <c r="V1153" s="3">
        <v>0</v>
      </c>
      <c r="W1153" s="3" t="s">
        <v>1712</v>
      </c>
      <c r="X1153" s="3">
        <v>28.99</v>
      </c>
      <c r="Y1153" s="3">
        <v>28.99</v>
      </c>
      <c r="Z1153" s="3">
        <v>28.99</v>
      </c>
      <c r="AA1153" s="3">
        <v>0</v>
      </c>
      <c r="AB1153" s="3" t="s">
        <v>1713</v>
      </c>
      <c r="AC1153" s="3">
        <v>15</v>
      </c>
      <c r="AD1153" s="3">
        <v>28.99</v>
      </c>
      <c r="AE1153" s="3">
        <v>0</v>
      </c>
      <c r="AF1153" s="3">
        <v>0</v>
      </c>
      <c r="AG1153" s="3">
        <v>0</v>
      </c>
      <c r="AH1153" s="3">
        <v>0</v>
      </c>
      <c r="AI1153" s="3" t="s">
        <v>2065</v>
      </c>
      <c r="AJ1153" s="3" t="s">
        <v>1715</v>
      </c>
    </row>
    <row r="1154" spans="1:36">
      <c r="A1154" s="4">
        <v>43277</v>
      </c>
      <c r="B1154" s="3" t="s">
        <v>5256</v>
      </c>
      <c r="C1154" s="3" t="s">
        <v>5257</v>
      </c>
      <c r="D1154" s="3" t="s">
        <v>5258</v>
      </c>
      <c r="E1154" s="3" t="s">
        <v>5259</v>
      </c>
      <c r="F1154" s="3" t="s">
        <v>1710</v>
      </c>
      <c r="G1154" s="3">
        <v>4</v>
      </c>
      <c r="H1154" s="3">
        <v>0</v>
      </c>
      <c r="I1154" s="3">
        <v>0</v>
      </c>
      <c r="J1154" s="3">
        <v>0</v>
      </c>
      <c r="K1154" s="3">
        <v>4</v>
      </c>
      <c r="L1154" s="3">
        <v>0</v>
      </c>
      <c r="M1154" s="3">
        <v>0</v>
      </c>
      <c r="N1154" s="3" t="s">
        <v>1711</v>
      </c>
      <c r="O1154" s="3">
        <v>4</v>
      </c>
      <c r="P1154" s="3">
        <v>0.03</v>
      </c>
      <c r="Q1154" s="3">
        <v>0</v>
      </c>
      <c r="R1154" s="3">
        <v>0</v>
      </c>
      <c r="S1154" s="3">
        <v>0</v>
      </c>
      <c r="T1154" s="3">
        <v>0</v>
      </c>
      <c r="U1154" s="3">
        <v>1</v>
      </c>
      <c r="V1154" s="3">
        <v>1</v>
      </c>
      <c r="W1154" s="3" t="s">
        <v>1720</v>
      </c>
      <c r="X1154" s="3">
        <v>14.19</v>
      </c>
      <c r="Y1154" s="3">
        <v>14.19</v>
      </c>
      <c r="Z1154" s="3">
        <v>14.19</v>
      </c>
      <c r="AA1154" s="3">
        <v>0</v>
      </c>
      <c r="AB1154" s="3" t="s">
        <v>1713</v>
      </c>
      <c r="AC1154" s="3">
        <v>4</v>
      </c>
      <c r="AD1154" s="3">
        <v>14.19</v>
      </c>
      <c r="AE1154" s="3">
        <v>0</v>
      </c>
      <c r="AF1154" s="3">
        <v>0</v>
      </c>
      <c r="AG1154" s="3">
        <v>0</v>
      </c>
      <c r="AH1154" s="3">
        <v>0.222222222222222</v>
      </c>
      <c r="AI1154" s="3" t="s">
        <v>1782</v>
      </c>
      <c r="AJ1154" s="3" t="s">
        <v>1783</v>
      </c>
    </row>
    <row r="1155" spans="1:36">
      <c r="A1155" s="4">
        <v>43277</v>
      </c>
      <c r="B1155" s="3" t="s">
        <v>1014</v>
      </c>
      <c r="C1155" s="3" t="s">
        <v>1015</v>
      </c>
      <c r="D1155" s="3" t="s">
        <v>1016</v>
      </c>
      <c r="E1155" s="3" t="s">
        <v>1017</v>
      </c>
      <c r="F1155" s="3" t="s">
        <v>1710</v>
      </c>
      <c r="G1155" s="3">
        <v>3</v>
      </c>
      <c r="H1155" s="3">
        <v>0</v>
      </c>
      <c r="I1155" s="3">
        <v>3</v>
      </c>
      <c r="J1155" s="3">
        <v>0</v>
      </c>
      <c r="K1155" s="3">
        <v>0</v>
      </c>
      <c r="L1155" s="3">
        <v>0</v>
      </c>
      <c r="M1155" s="3">
        <v>0</v>
      </c>
      <c r="N1155" s="3" t="s">
        <v>1711</v>
      </c>
      <c r="O1155" s="3">
        <v>0</v>
      </c>
      <c r="P1155" s="3">
        <v>0</v>
      </c>
      <c r="Q1155" s="3">
        <v>0</v>
      </c>
      <c r="R1155" s="3">
        <v>0</v>
      </c>
      <c r="S1155" s="3">
        <v>6</v>
      </c>
      <c r="T1155" s="3">
        <v>17</v>
      </c>
      <c r="U1155" s="3">
        <v>19</v>
      </c>
      <c r="V1155" s="3">
        <v>19</v>
      </c>
      <c r="W1155" s="3"/>
      <c r="X1155" s="3">
        <v>15.99</v>
      </c>
      <c r="Y1155" s="3">
        <v>15.99</v>
      </c>
      <c r="Z1155" s="3">
        <v>15.99</v>
      </c>
      <c r="AA1155" s="3">
        <v>0</v>
      </c>
      <c r="AB1155" s="3" t="s">
        <v>1713</v>
      </c>
      <c r="AC1155" s="3">
        <v>4</v>
      </c>
      <c r="AD1155" s="3">
        <v>15.99</v>
      </c>
      <c r="AE1155" s="3">
        <v>0</v>
      </c>
      <c r="AF1155" s="3">
        <v>0</v>
      </c>
      <c r="AG1155" s="3">
        <v>0</v>
      </c>
      <c r="AH1155" s="3">
        <v>1.9</v>
      </c>
      <c r="AI1155" s="3" t="s">
        <v>1881</v>
      </c>
      <c r="AJ1155" s="3" t="s">
        <v>1715</v>
      </c>
    </row>
    <row r="1156" spans="1:36">
      <c r="A1156" s="4">
        <v>43277</v>
      </c>
      <c r="B1156" s="3" t="s">
        <v>1102</v>
      </c>
      <c r="C1156" s="3" t="s">
        <v>1103</v>
      </c>
      <c r="D1156" s="3" t="s">
        <v>1104</v>
      </c>
      <c r="E1156" s="3" t="s">
        <v>1105</v>
      </c>
      <c r="F1156" s="3" t="s">
        <v>1710</v>
      </c>
      <c r="G1156" s="3">
        <v>25</v>
      </c>
      <c r="H1156" s="3">
        <v>0</v>
      </c>
      <c r="I1156" s="3">
        <v>25</v>
      </c>
      <c r="J1156" s="3">
        <v>0</v>
      </c>
      <c r="K1156" s="3">
        <v>0</v>
      </c>
      <c r="L1156" s="3">
        <v>0</v>
      </c>
      <c r="M1156" s="3">
        <v>0</v>
      </c>
      <c r="N1156" s="3" t="s">
        <v>1711</v>
      </c>
      <c r="O1156" s="3">
        <v>0</v>
      </c>
      <c r="P1156" s="3">
        <v>0</v>
      </c>
      <c r="Q1156" s="3">
        <v>0</v>
      </c>
      <c r="R1156" s="3">
        <v>0</v>
      </c>
      <c r="S1156" s="3">
        <v>3</v>
      </c>
      <c r="T1156" s="3">
        <v>22</v>
      </c>
      <c r="U1156" s="3">
        <v>34</v>
      </c>
      <c r="V1156" s="3">
        <v>34</v>
      </c>
      <c r="W1156" s="3"/>
      <c r="X1156" s="3">
        <v>48.58</v>
      </c>
      <c r="Y1156" s="3">
        <v>28.99</v>
      </c>
      <c r="Z1156" s="3">
        <v>28.99</v>
      </c>
      <c r="AA1156" s="3">
        <v>0</v>
      </c>
      <c r="AB1156" s="3" t="s">
        <v>1713</v>
      </c>
      <c r="AC1156" s="3">
        <v>2</v>
      </c>
      <c r="AD1156" s="3">
        <v>28.99</v>
      </c>
      <c r="AE1156" s="3">
        <v>0</v>
      </c>
      <c r="AF1156" s="3">
        <v>0</v>
      </c>
      <c r="AG1156" s="3">
        <v>0</v>
      </c>
      <c r="AH1156" s="3">
        <v>5.1</v>
      </c>
      <c r="AI1156" s="3" t="s">
        <v>1800</v>
      </c>
      <c r="AJ1156" s="3" t="s">
        <v>1715</v>
      </c>
    </row>
    <row r="1157" spans="1:36">
      <c r="A1157" s="4">
        <v>43277</v>
      </c>
      <c r="B1157" s="3" t="s">
        <v>1214</v>
      </c>
      <c r="C1157" s="3" t="s">
        <v>1215</v>
      </c>
      <c r="D1157" s="3" t="s">
        <v>1216</v>
      </c>
      <c r="E1157" s="3" t="s">
        <v>1213</v>
      </c>
      <c r="F1157" s="3" t="s">
        <v>1710</v>
      </c>
      <c r="G1157" s="3">
        <v>10</v>
      </c>
      <c r="H1157" s="3">
        <v>0</v>
      </c>
      <c r="I1157" s="3">
        <v>10</v>
      </c>
      <c r="J1157" s="3">
        <v>0</v>
      </c>
      <c r="K1157" s="3">
        <v>0</v>
      </c>
      <c r="L1157" s="3">
        <v>0</v>
      </c>
      <c r="M1157" s="3">
        <v>0</v>
      </c>
      <c r="N1157" s="3" t="s">
        <v>1711</v>
      </c>
      <c r="O1157" s="3">
        <v>0</v>
      </c>
      <c r="P1157" s="3">
        <v>0</v>
      </c>
      <c r="Q1157" s="3">
        <v>0</v>
      </c>
      <c r="R1157" s="3">
        <v>0</v>
      </c>
      <c r="S1157" s="3">
        <v>0</v>
      </c>
      <c r="T1157" s="3">
        <v>3</v>
      </c>
      <c r="U1157" s="3">
        <v>13</v>
      </c>
      <c r="V1157" s="3">
        <v>13</v>
      </c>
      <c r="W1157" s="3" t="s">
        <v>1720</v>
      </c>
      <c r="X1157" s="3">
        <v>16.99</v>
      </c>
      <c r="Y1157" s="3">
        <v>16.99</v>
      </c>
      <c r="Z1157" s="3">
        <v>16.99</v>
      </c>
      <c r="AA1157" s="3">
        <v>0</v>
      </c>
      <c r="AB1157" s="3" t="s">
        <v>1721</v>
      </c>
      <c r="AC1157" s="3">
        <v>10</v>
      </c>
      <c r="AD1157" s="3">
        <v>16.99</v>
      </c>
      <c r="AE1157" s="3">
        <v>0</v>
      </c>
      <c r="AF1157" s="3">
        <v>0</v>
      </c>
      <c r="AG1157" s="3">
        <v>0</v>
      </c>
      <c r="AH1157" s="3">
        <v>3.54545454545454</v>
      </c>
      <c r="AI1157" s="3" t="s">
        <v>1881</v>
      </c>
      <c r="AJ1157" s="3" t="s">
        <v>1715</v>
      </c>
    </row>
    <row r="1158" spans="1:36">
      <c r="A1158" s="4">
        <v>43277</v>
      </c>
      <c r="B1158" s="3" t="s">
        <v>5260</v>
      </c>
      <c r="C1158" s="3" t="s">
        <v>5261</v>
      </c>
      <c r="D1158" s="3" t="s">
        <v>5262</v>
      </c>
      <c r="E1158" s="3" t="s">
        <v>5263</v>
      </c>
      <c r="F1158" s="3" t="s">
        <v>1710</v>
      </c>
      <c r="G1158" s="3">
        <v>10</v>
      </c>
      <c r="H1158" s="3">
        <v>0</v>
      </c>
      <c r="I1158" s="3">
        <v>0</v>
      </c>
      <c r="J1158" s="3">
        <v>0</v>
      </c>
      <c r="K1158" s="3">
        <v>10</v>
      </c>
      <c r="L1158" s="3">
        <v>0</v>
      </c>
      <c r="M1158" s="3">
        <v>0</v>
      </c>
      <c r="N1158" s="3" t="s">
        <v>1711</v>
      </c>
      <c r="O1158" s="3">
        <v>10</v>
      </c>
      <c r="P1158" s="3">
        <v>12.12</v>
      </c>
      <c r="Q1158" s="3">
        <v>0</v>
      </c>
      <c r="R1158" s="3">
        <v>0</v>
      </c>
      <c r="S1158" s="3">
        <v>0</v>
      </c>
      <c r="T1158" s="3">
        <v>0</v>
      </c>
      <c r="U1158" s="3">
        <v>0</v>
      </c>
      <c r="V1158" s="3">
        <v>0</v>
      </c>
      <c r="W1158" s="3" t="s">
        <v>1720</v>
      </c>
      <c r="X1158" s="3">
        <v>17.99</v>
      </c>
      <c r="Y1158" s="3">
        <v>17.99</v>
      </c>
      <c r="Z1158" s="3">
        <v>17.99</v>
      </c>
      <c r="AA1158" s="3">
        <v>0</v>
      </c>
      <c r="AB1158" s="3" t="s">
        <v>1732</v>
      </c>
      <c r="AC1158" s="3">
        <v>0</v>
      </c>
      <c r="AD1158" s="3">
        <v>14.39</v>
      </c>
      <c r="AE1158" s="3">
        <v>63</v>
      </c>
      <c r="AF1158" s="3">
        <v>0</v>
      </c>
      <c r="AG1158" s="3">
        <v>144.192572</v>
      </c>
      <c r="AH1158" s="3">
        <v>0</v>
      </c>
      <c r="AI1158" s="3" t="s">
        <v>1996</v>
      </c>
      <c r="AJ1158" s="3" t="s">
        <v>1715</v>
      </c>
    </row>
    <row r="1159" spans="1:36">
      <c r="A1159" s="4">
        <v>43277</v>
      </c>
      <c r="B1159" s="3" t="s">
        <v>5264</v>
      </c>
      <c r="C1159" s="3" t="s">
        <v>5265</v>
      </c>
      <c r="D1159" s="3" t="s">
        <v>5266</v>
      </c>
      <c r="E1159" s="3" t="s">
        <v>5267</v>
      </c>
      <c r="F1159" s="3" t="s">
        <v>1710</v>
      </c>
      <c r="G1159" s="3">
        <v>1</v>
      </c>
      <c r="H1159" s="3">
        <v>0</v>
      </c>
      <c r="I1159" s="3">
        <v>0</v>
      </c>
      <c r="J1159" s="3">
        <v>0</v>
      </c>
      <c r="K1159" s="3">
        <v>0</v>
      </c>
      <c r="L1159" s="3">
        <v>1</v>
      </c>
      <c r="M1159" s="3">
        <v>0</v>
      </c>
      <c r="N1159" s="3" t="s">
        <v>1711</v>
      </c>
      <c r="O1159" s="3">
        <v>1</v>
      </c>
      <c r="P1159" s="3">
        <v>1.11</v>
      </c>
      <c r="Q1159" s="3">
        <v>0</v>
      </c>
      <c r="R1159" s="3">
        <v>0</v>
      </c>
      <c r="S1159" s="3">
        <v>0</v>
      </c>
      <c r="T1159" s="3">
        <v>0</v>
      </c>
      <c r="U1159" s="3">
        <v>0</v>
      </c>
      <c r="V1159" s="3">
        <v>1</v>
      </c>
      <c r="W1159" s="3" t="s">
        <v>1720</v>
      </c>
      <c r="X1159" s="3">
        <v>15.99</v>
      </c>
      <c r="Y1159" s="3">
        <v>15.99</v>
      </c>
      <c r="Z1159" s="3">
        <v>15.99</v>
      </c>
      <c r="AA1159" s="3">
        <v>0</v>
      </c>
      <c r="AB1159" s="3" t="s">
        <v>1713</v>
      </c>
      <c r="AC1159" s="3">
        <v>1</v>
      </c>
      <c r="AD1159" s="3">
        <v>15.99</v>
      </c>
      <c r="AE1159" s="3">
        <v>0</v>
      </c>
      <c r="AF1159" s="3">
        <v>0</v>
      </c>
      <c r="AG1159" s="3">
        <v>0</v>
      </c>
      <c r="AH1159" s="3">
        <v>0.8</v>
      </c>
      <c r="AI1159" s="3" t="s">
        <v>4052</v>
      </c>
      <c r="AJ1159" s="3" t="s">
        <v>1783</v>
      </c>
    </row>
    <row r="1160" spans="1:36">
      <c r="A1160" s="4">
        <v>43277</v>
      </c>
      <c r="B1160" s="3" t="s">
        <v>5268</v>
      </c>
      <c r="C1160" s="3" t="s">
        <v>5269</v>
      </c>
      <c r="D1160" s="3" t="s">
        <v>5270</v>
      </c>
      <c r="E1160" s="3" t="s">
        <v>5271</v>
      </c>
      <c r="F1160" s="3" t="s">
        <v>1710</v>
      </c>
      <c r="G1160" s="3">
        <v>10</v>
      </c>
      <c r="H1160" s="3">
        <v>0</v>
      </c>
      <c r="I1160" s="3">
        <v>7</v>
      </c>
      <c r="J1160" s="3">
        <v>0</v>
      </c>
      <c r="K1160" s="3">
        <v>0</v>
      </c>
      <c r="L1160" s="3">
        <v>1</v>
      </c>
      <c r="M1160" s="3">
        <v>2</v>
      </c>
      <c r="N1160" s="3" t="s">
        <v>1711</v>
      </c>
      <c r="O1160" s="3">
        <v>0</v>
      </c>
      <c r="P1160" s="3">
        <v>0</v>
      </c>
      <c r="Q1160" s="3">
        <v>3</v>
      </c>
      <c r="R1160" s="3">
        <v>1.5</v>
      </c>
      <c r="S1160" s="3">
        <v>0</v>
      </c>
      <c r="T1160" s="3">
        <v>0</v>
      </c>
      <c r="U1160" s="3">
        <v>3</v>
      </c>
      <c r="V1160" s="3">
        <v>3</v>
      </c>
      <c r="W1160" s="3" t="s">
        <v>1712</v>
      </c>
      <c r="X1160" s="3">
        <v>15.99</v>
      </c>
      <c r="Y1160" s="3">
        <v>15.99</v>
      </c>
      <c r="Z1160" s="3">
        <v>15.55</v>
      </c>
      <c r="AA1160" s="3">
        <v>0</v>
      </c>
      <c r="AB1160" s="3" t="s">
        <v>1713</v>
      </c>
      <c r="AC1160" s="3">
        <v>10</v>
      </c>
      <c r="AD1160" s="3">
        <v>15.99</v>
      </c>
      <c r="AE1160" s="3">
        <v>0</v>
      </c>
      <c r="AF1160" s="3">
        <v>0</v>
      </c>
      <c r="AG1160" s="3">
        <v>0</v>
      </c>
      <c r="AH1160" s="3">
        <v>0.375</v>
      </c>
      <c r="AI1160" s="3" t="s">
        <v>3424</v>
      </c>
      <c r="AJ1160" s="3" t="s">
        <v>1715</v>
      </c>
    </row>
    <row r="1161" spans="1:36">
      <c r="A1161" s="4">
        <v>43277</v>
      </c>
      <c r="B1161" s="3" t="s">
        <v>5272</v>
      </c>
      <c r="C1161" s="3" t="s">
        <v>5273</v>
      </c>
      <c r="D1161" s="3" t="s">
        <v>5274</v>
      </c>
      <c r="E1161" s="3" t="s">
        <v>5275</v>
      </c>
      <c r="F1161" s="3" t="s">
        <v>1710</v>
      </c>
      <c r="G1161" s="3">
        <v>10</v>
      </c>
      <c r="H1161" s="3">
        <v>0</v>
      </c>
      <c r="I1161" s="3">
        <v>0</v>
      </c>
      <c r="J1161" s="3">
        <v>0</v>
      </c>
      <c r="K1161" s="3">
        <v>10</v>
      </c>
      <c r="L1161" s="3">
        <v>0</v>
      </c>
      <c r="M1161" s="3">
        <v>0</v>
      </c>
      <c r="N1161" s="3" t="s">
        <v>1711</v>
      </c>
      <c r="O1161" s="3">
        <v>10</v>
      </c>
      <c r="P1161" s="3">
        <v>15.63</v>
      </c>
      <c r="Q1161" s="3">
        <v>0</v>
      </c>
      <c r="R1161" s="3">
        <v>0</v>
      </c>
      <c r="S1161" s="3">
        <v>0</v>
      </c>
      <c r="T1161" s="3">
        <v>0</v>
      </c>
      <c r="U1161" s="3">
        <v>0</v>
      </c>
      <c r="V1161" s="3">
        <v>0</v>
      </c>
      <c r="W1161" s="3" t="s">
        <v>1720</v>
      </c>
      <c r="X1161" s="3">
        <v>18.99</v>
      </c>
      <c r="Y1161" s="3">
        <v>18.99</v>
      </c>
      <c r="Z1161" s="3">
        <v>18.99</v>
      </c>
      <c r="AA1161" s="3">
        <v>0</v>
      </c>
      <c r="AB1161" s="3" t="s">
        <v>1732</v>
      </c>
      <c r="AC1161" s="3">
        <v>0</v>
      </c>
      <c r="AD1161" s="3">
        <v>15.19</v>
      </c>
      <c r="AE1161" s="3">
        <v>63</v>
      </c>
      <c r="AF1161" s="3">
        <v>0</v>
      </c>
      <c r="AG1161" s="3">
        <v>184.935405</v>
      </c>
      <c r="AH1161" s="3">
        <v>0</v>
      </c>
      <c r="AI1161" s="3" t="s">
        <v>2002</v>
      </c>
      <c r="AJ1161" s="3" t="s">
        <v>1715</v>
      </c>
    </row>
    <row r="1162" spans="1:36">
      <c r="A1162" s="4">
        <v>43277</v>
      </c>
      <c r="B1162" s="3" t="s">
        <v>1026</v>
      </c>
      <c r="C1162" s="3" t="s">
        <v>1027</v>
      </c>
      <c r="D1162" s="3" t="s">
        <v>1028</v>
      </c>
      <c r="E1162" s="3" t="s">
        <v>1029</v>
      </c>
      <c r="F1162" s="3" t="s">
        <v>1710</v>
      </c>
      <c r="G1162" s="3">
        <v>19</v>
      </c>
      <c r="H1162" s="3">
        <v>0</v>
      </c>
      <c r="I1162" s="3">
        <v>19</v>
      </c>
      <c r="J1162" s="3">
        <v>0</v>
      </c>
      <c r="K1162" s="3">
        <v>0</v>
      </c>
      <c r="L1162" s="3">
        <v>0</v>
      </c>
      <c r="M1162" s="3">
        <v>0</v>
      </c>
      <c r="N1162" s="3" t="s">
        <v>1711</v>
      </c>
      <c r="O1162" s="3">
        <v>0</v>
      </c>
      <c r="P1162" s="3">
        <v>0</v>
      </c>
      <c r="Q1162" s="3">
        <v>0</v>
      </c>
      <c r="R1162" s="3">
        <v>0</v>
      </c>
      <c r="S1162" s="3">
        <v>3</v>
      </c>
      <c r="T1162" s="3">
        <v>13</v>
      </c>
      <c r="U1162" s="3">
        <v>18</v>
      </c>
      <c r="V1162" s="3">
        <v>18</v>
      </c>
      <c r="W1162" s="3"/>
      <c r="X1162" s="3">
        <v>29.99</v>
      </c>
      <c r="Y1162" s="3">
        <v>29.99</v>
      </c>
      <c r="Z1162" s="3">
        <v>29.99</v>
      </c>
      <c r="AA1162" s="3">
        <v>0</v>
      </c>
      <c r="AB1162" s="3" t="s">
        <v>1713</v>
      </c>
      <c r="AC1162" s="3">
        <v>0</v>
      </c>
      <c r="AD1162" s="3">
        <v>0</v>
      </c>
      <c r="AE1162" s="3">
        <v>0</v>
      </c>
      <c r="AF1162" s="3">
        <v>0</v>
      </c>
      <c r="AG1162" s="3">
        <v>0</v>
      </c>
      <c r="AH1162" s="3">
        <v>1.24137931034482</v>
      </c>
      <c r="AI1162" s="3" t="s">
        <v>2016</v>
      </c>
      <c r="AJ1162" s="3" t="s">
        <v>1715</v>
      </c>
    </row>
    <row r="1163" spans="1:36">
      <c r="A1163" s="4">
        <v>43277</v>
      </c>
      <c r="B1163" s="3" t="s">
        <v>487</v>
      </c>
      <c r="C1163" s="3" t="s">
        <v>488</v>
      </c>
      <c r="D1163" s="3" t="s">
        <v>489</v>
      </c>
      <c r="E1163" s="3" t="s">
        <v>490</v>
      </c>
      <c r="F1163" s="3" t="s">
        <v>1710</v>
      </c>
      <c r="G1163" s="3">
        <v>35</v>
      </c>
      <c r="H1163" s="3">
        <v>0</v>
      </c>
      <c r="I1163" s="3">
        <v>35</v>
      </c>
      <c r="J1163" s="3">
        <v>0</v>
      </c>
      <c r="K1163" s="3">
        <v>0</v>
      </c>
      <c r="L1163" s="3">
        <v>0</v>
      </c>
      <c r="M1163" s="3">
        <v>0</v>
      </c>
      <c r="N1163" s="3" t="s">
        <v>1711</v>
      </c>
      <c r="O1163" s="3">
        <v>0</v>
      </c>
      <c r="P1163" s="3">
        <v>0</v>
      </c>
      <c r="Q1163" s="3">
        <v>0</v>
      </c>
      <c r="R1163" s="3">
        <v>0</v>
      </c>
      <c r="S1163" s="3">
        <v>3</v>
      </c>
      <c r="T1163" s="3">
        <v>16</v>
      </c>
      <c r="U1163" s="3">
        <v>29</v>
      </c>
      <c r="V1163" s="3">
        <v>52</v>
      </c>
      <c r="W1163" s="3"/>
      <c r="X1163" s="3">
        <v>28.99</v>
      </c>
      <c r="Y1163" s="3">
        <v>28.99</v>
      </c>
      <c r="Z1163" s="3">
        <v>28</v>
      </c>
      <c r="AA1163" s="3">
        <v>0</v>
      </c>
      <c r="AB1163" s="3" t="s">
        <v>1713</v>
      </c>
      <c r="AC1163" s="3">
        <v>34</v>
      </c>
      <c r="AD1163" s="3">
        <v>28.99</v>
      </c>
      <c r="AE1163" s="3">
        <v>0</v>
      </c>
      <c r="AF1163" s="3">
        <v>0</v>
      </c>
      <c r="AG1163" s="3">
        <v>0</v>
      </c>
      <c r="AH1163" s="3">
        <v>1.56390977443609</v>
      </c>
      <c r="AI1163" s="3" t="s">
        <v>1800</v>
      </c>
      <c r="AJ1163" s="3" t="s">
        <v>1715</v>
      </c>
    </row>
    <row r="1164" spans="1:36">
      <c r="A1164" s="4">
        <v>43277</v>
      </c>
      <c r="B1164" s="3" t="s">
        <v>1046</v>
      </c>
      <c r="C1164" s="3" t="s">
        <v>1047</v>
      </c>
      <c r="D1164" s="3" t="s">
        <v>1048</v>
      </c>
      <c r="E1164" s="3" t="s">
        <v>1049</v>
      </c>
      <c r="F1164" s="3" t="s">
        <v>1710</v>
      </c>
      <c r="G1164" s="3">
        <v>20</v>
      </c>
      <c r="H1164" s="3">
        <v>0</v>
      </c>
      <c r="I1164" s="3">
        <v>20</v>
      </c>
      <c r="J1164" s="3">
        <v>0</v>
      </c>
      <c r="K1164" s="3">
        <v>0</v>
      </c>
      <c r="L1164" s="3">
        <v>0</v>
      </c>
      <c r="M1164" s="3">
        <v>0</v>
      </c>
      <c r="N1164" s="3" t="s">
        <v>1711</v>
      </c>
      <c r="O1164" s="3">
        <v>0</v>
      </c>
      <c r="P1164" s="3">
        <v>0</v>
      </c>
      <c r="Q1164" s="3">
        <v>0</v>
      </c>
      <c r="R1164" s="3">
        <v>0</v>
      </c>
      <c r="S1164" s="3">
        <v>1</v>
      </c>
      <c r="T1164" s="3">
        <v>13</v>
      </c>
      <c r="U1164" s="3">
        <v>18</v>
      </c>
      <c r="V1164" s="3">
        <v>18</v>
      </c>
      <c r="W1164" s="3"/>
      <c r="X1164" s="3">
        <v>29.99</v>
      </c>
      <c r="Y1164" s="3">
        <v>29.99</v>
      </c>
      <c r="Z1164" s="3">
        <v>29.99</v>
      </c>
      <c r="AA1164" s="3">
        <v>0</v>
      </c>
      <c r="AB1164" s="3" t="s">
        <v>1713</v>
      </c>
      <c r="AC1164" s="3">
        <v>0</v>
      </c>
      <c r="AD1164" s="3">
        <v>0</v>
      </c>
      <c r="AE1164" s="3">
        <v>0</v>
      </c>
      <c r="AF1164" s="3">
        <v>0</v>
      </c>
      <c r="AG1164" s="3">
        <v>0</v>
      </c>
      <c r="AH1164" s="3">
        <v>1.16129032258064</v>
      </c>
      <c r="AI1164" s="3" t="s">
        <v>2016</v>
      </c>
      <c r="AJ1164" s="3" t="s">
        <v>1715</v>
      </c>
    </row>
    <row r="1165" spans="1:36">
      <c r="A1165" s="4">
        <v>43277</v>
      </c>
      <c r="B1165" s="3" t="s">
        <v>5276</v>
      </c>
      <c r="C1165" s="3" t="s">
        <v>5277</v>
      </c>
      <c r="D1165" s="3" t="s">
        <v>5278</v>
      </c>
      <c r="E1165" s="3" t="s">
        <v>898</v>
      </c>
      <c r="F1165" s="3" t="s">
        <v>1710</v>
      </c>
      <c r="G1165" s="3">
        <v>10</v>
      </c>
      <c r="H1165" s="3">
        <v>0</v>
      </c>
      <c r="I1165" s="3">
        <v>10</v>
      </c>
      <c r="J1165" s="3">
        <v>0</v>
      </c>
      <c r="K1165" s="3">
        <v>0</v>
      </c>
      <c r="L1165" s="3">
        <v>0</v>
      </c>
      <c r="M1165" s="3">
        <v>0</v>
      </c>
      <c r="N1165" s="3" t="s">
        <v>1711</v>
      </c>
      <c r="O1165" s="3">
        <v>0</v>
      </c>
      <c r="P1165" s="3">
        <v>0</v>
      </c>
      <c r="Q1165" s="3">
        <v>0</v>
      </c>
      <c r="R1165" s="3">
        <v>0</v>
      </c>
      <c r="S1165" s="3">
        <v>0</v>
      </c>
      <c r="T1165" s="3">
        <v>0</v>
      </c>
      <c r="U1165" s="3">
        <v>0</v>
      </c>
      <c r="V1165" s="3">
        <v>0</v>
      </c>
      <c r="W1165" s="3" t="s">
        <v>1720</v>
      </c>
      <c r="X1165" s="3">
        <v>12.99</v>
      </c>
      <c r="Y1165" s="3">
        <v>12.99</v>
      </c>
      <c r="Z1165" s="3">
        <v>12.99</v>
      </c>
      <c r="AA1165" s="3">
        <v>0</v>
      </c>
      <c r="AB1165" s="3" t="s">
        <v>1721</v>
      </c>
      <c r="AC1165" s="3">
        <v>0</v>
      </c>
      <c r="AD1165" s="3">
        <v>12.99</v>
      </c>
      <c r="AE1165" s="3">
        <v>63</v>
      </c>
      <c r="AF1165" s="3">
        <v>0</v>
      </c>
      <c r="AG1165" s="3">
        <v>81.229254</v>
      </c>
      <c r="AH1165" s="3">
        <v>0</v>
      </c>
      <c r="AI1165" s="3" t="s">
        <v>4027</v>
      </c>
      <c r="AJ1165" s="3" t="s">
        <v>1715</v>
      </c>
    </row>
    <row r="1166" spans="1:36">
      <c r="A1166" s="4">
        <v>43277</v>
      </c>
      <c r="B1166" s="3" t="s">
        <v>1066</v>
      </c>
      <c r="C1166" s="3" t="s">
        <v>1067</v>
      </c>
      <c r="D1166" s="3" t="s">
        <v>1068</v>
      </c>
      <c r="E1166" s="3" t="s">
        <v>1069</v>
      </c>
      <c r="F1166" s="3" t="s">
        <v>1710</v>
      </c>
      <c r="G1166" s="3">
        <v>15</v>
      </c>
      <c r="H1166" s="3">
        <v>0</v>
      </c>
      <c r="I1166" s="3">
        <v>15</v>
      </c>
      <c r="J1166" s="3">
        <v>0</v>
      </c>
      <c r="K1166" s="3">
        <v>0</v>
      </c>
      <c r="L1166" s="3">
        <v>0</v>
      </c>
      <c r="M1166" s="3">
        <v>0</v>
      </c>
      <c r="N1166" s="3" t="s">
        <v>1711</v>
      </c>
      <c r="O1166" s="3">
        <v>0</v>
      </c>
      <c r="P1166" s="3">
        <v>0</v>
      </c>
      <c r="Q1166" s="3">
        <v>0</v>
      </c>
      <c r="R1166" s="3">
        <v>0</v>
      </c>
      <c r="S1166" s="3">
        <v>0</v>
      </c>
      <c r="T1166" s="3">
        <v>0</v>
      </c>
      <c r="U1166" s="3">
        <v>0</v>
      </c>
      <c r="V1166" s="3">
        <v>0</v>
      </c>
      <c r="W1166" s="3" t="s">
        <v>1712</v>
      </c>
      <c r="X1166" s="3">
        <v>28.99</v>
      </c>
      <c r="Y1166" s="3">
        <v>28.99</v>
      </c>
      <c r="Z1166" s="3">
        <v>28.99</v>
      </c>
      <c r="AA1166" s="3">
        <v>0</v>
      </c>
      <c r="AB1166" s="3" t="s">
        <v>1713</v>
      </c>
      <c r="AC1166" s="3">
        <v>15</v>
      </c>
      <c r="AD1166" s="3">
        <v>28.99</v>
      </c>
      <c r="AE1166" s="3">
        <v>0</v>
      </c>
      <c r="AF1166" s="3">
        <v>0</v>
      </c>
      <c r="AG1166" s="3">
        <v>0</v>
      </c>
      <c r="AH1166" s="3">
        <v>0</v>
      </c>
      <c r="AI1166" s="3" t="s">
        <v>2065</v>
      </c>
      <c r="AJ1166" s="3" t="s">
        <v>1715</v>
      </c>
    </row>
    <row r="1167" spans="1:36">
      <c r="A1167" s="4">
        <v>43277</v>
      </c>
      <c r="B1167" s="3" t="s">
        <v>5279</v>
      </c>
      <c r="C1167" s="3" t="s">
        <v>5280</v>
      </c>
      <c r="D1167" s="3" t="s">
        <v>5281</v>
      </c>
      <c r="E1167" s="3" t="s">
        <v>5282</v>
      </c>
      <c r="F1167" s="3" t="s">
        <v>1710</v>
      </c>
      <c r="G1167" s="3">
        <v>9</v>
      </c>
      <c r="H1167" s="3">
        <v>0</v>
      </c>
      <c r="I1167" s="3">
        <v>0</v>
      </c>
      <c r="J1167" s="3">
        <v>0</v>
      </c>
      <c r="K1167" s="3">
        <v>9</v>
      </c>
      <c r="L1167" s="3">
        <v>0</v>
      </c>
      <c r="M1167" s="3">
        <v>0</v>
      </c>
      <c r="N1167" s="3" t="s">
        <v>1711</v>
      </c>
      <c r="O1167" s="3">
        <v>9</v>
      </c>
      <c r="P1167" s="3">
        <v>10.91</v>
      </c>
      <c r="Q1167" s="3">
        <v>0</v>
      </c>
      <c r="R1167" s="3">
        <v>0</v>
      </c>
      <c r="S1167" s="3">
        <v>0</v>
      </c>
      <c r="T1167" s="3">
        <v>0</v>
      </c>
      <c r="U1167" s="3">
        <v>0</v>
      </c>
      <c r="V1167" s="3">
        <v>0</v>
      </c>
      <c r="W1167" s="3" t="s">
        <v>1720</v>
      </c>
      <c r="X1167" s="3">
        <v>13.99</v>
      </c>
      <c r="Y1167" s="3">
        <v>13.99</v>
      </c>
      <c r="Z1167" s="3">
        <v>13.99</v>
      </c>
      <c r="AA1167" s="3">
        <v>0</v>
      </c>
      <c r="AB1167" s="3" t="s">
        <v>1732</v>
      </c>
      <c r="AC1167" s="3">
        <v>0</v>
      </c>
      <c r="AD1167" s="3">
        <v>13</v>
      </c>
      <c r="AE1167" s="3">
        <v>49</v>
      </c>
      <c r="AF1167" s="3">
        <v>0</v>
      </c>
      <c r="AG1167" s="3">
        <v>189.113421</v>
      </c>
      <c r="AH1167" s="3">
        <v>0</v>
      </c>
      <c r="AI1167" s="3" t="s">
        <v>1996</v>
      </c>
      <c r="AJ1167" s="3" t="s">
        <v>1715</v>
      </c>
    </row>
    <row r="1168" spans="1:36">
      <c r="A1168" s="4">
        <v>43277</v>
      </c>
      <c r="B1168" s="3" t="s">
        <v>5283</v>
      </c>
      <c r="C1168" s="3" t="s">
        <v>5284</v>
      </c>
      <c r="D1168" s="3" t="s">
        <v>5285</v>
      </c>
      <c r="E1168" s="3" t="s">
        <v>5286</v>
      </c>
      <c r="F1168" s="3" t="s">
        <v>1710</v>
      </c>
      <c r="G1168" s="3">
        <v>1</v>
      </c>
      <c r="H1168" s="3">
        <v>0</v>
      </c>
      <c r="I1168" s="3">
        <v>0</v>
      </c>
      <c r="J1168" s="3">
        <v>1</v>
      </c>
      <c r="K1168" s="3">
        <v>0</v>
      </c>
      <c r="L1168" s="3">
        <v>0</v>
      </c>
      <c r="M1168" s="3">
        <v>0</v>
      </c>
      <c r="N1168" s="3" t="s">
        <v>1711</v>
      </c>
      <c r="O1168" s="3">
        <v>0</v>
      </c>
      <c r="P1168" s="3">
        <v>0</v>
      </c>
      <c r="Q1168" s="3">
        <v>0</v>
      </c>
      <c r="R1168" s="3">
        <v>0</v>
      </c>
      <c r="S1168" s="3">
        <v>0</v>
      </c>
      <c r="T1168" s="3">
        <v>0</v>
      </c>
      <c r="U1168" s="3">
        <v>0</v>
      </c>
      <c r="V1168" s="3">
        <v>0</v>
      </c>
      <c r="W1168" s="3" t="s">
        <v>1720</v>
      </c>
      <c r="X1168" s="3">
        <v>9.99</v>
      </c>
      <c r="Y1168" s="3">
        <v>9.99</v>
      </c>
      <c r="Z1168" s="3">
        <v>9.99</v>
      </c>
      <c r="AA1168" s="3">
        <v>0</v>
      </c>
      <c r="AB1168" s="3" t="s">
        <v>1721</v>
      </c>
      <c r="AC1168" s="3">
        <v>1</v>
      </c>
      <c r="AD1168" s="3">
        <v>9.99</v>
      </c>
      <c r="AE1168" s="3">
        <v>0</v>
      </c>
      <c r="AF1168" s="3">
        <v>0</v>
      </c>
      <c r="AG1168" s="3">
        <v>0</v>
      </c>
      <c r="AH1168" s="3">
        <v>0</v>
      </c>
      <c r="AI1168" s="3" t="s">
        <v>3537</v>
      </c>
      <c r="AJ1168" s="3" t="s">
        <v>1715</v>
      </c>
    </row>
    <row r="1169" spans="1:36">
      <c r="A1169" s="4">
        <v>43277</v>
      </c>
      <c r="B1169" s="3" t="s">
        <v>280</v>
      </c>
      <c r="C1169" s="3" t="s">
        <v>281</v>
      </c>
      <c r="D1169" s="3" t="s">
        <v>282</v>
      </c>
      <c r="E1169" s="3" t="s">
        <v>283</v>
      </c>
      <c r="F1169" s="3" t="s">
        <v>1710</v>
      </c>
      <c r="G1169" s="3">
        <v>11</v>
      </c>
      <c r="H1169" s="3">
        <v>0</v>
      </c>
      <c r="I1169" s="3">
        <v>11</v>
      </c>
      <c r="J1169" s="3">
        <v>0</v>
      </c>
      <c r="K1169" s="3">
        <v>0</v>
      </c>
      <c r="L1169" s="3">
        <v>0</v>
      </c>
      <c r="M1169" s="3">
        <v>0</v>
      </c>
      <c r="N1169" s="3" t="s">
        <v>1711</v>
      </c>
      <c r="O1169" s="3">
        <v>0</v>
      </c>
      <c r="P1169" s="3">
        <v>0</v>
      </c>
      <c r="Q1169" s="3">
        <v>0</v>
      </c>
      <c r="R1169" s="3">
        <v>0</v>
      </c>
      <c r="S1169" s="3">
        <v>0</v>
      </c>
      <c r="T1169" s="3">
        <v>0</v>
      </c>
      <c r="U1169" s="3">
        <v>4</v>
      </c>
      <c r="V1169" s="3">
        <v>10</v>
      </c>
      <c r="W1169" s="3" t="s">
        <v>1712</v>
      </c>
      <c r="X1169" s="3">
        <v>19.99</v>
      </c>
      <c r="Y1169" s="3">
        <v>19.99</v>
      </c>
      <c r="Z1169" s="3">
        <v>19.99</v>
      </c>
      <c r="AA1169" s="3">
        <v>0</v>
      </c>
      <c r="AB1169" s="3" t="s">
        <v>1713</v>
      </c>
      <c r="AC1169" s="3">
        <v>11</v>
      </c>
      <c r="AD1169" s="3">
        <v>19.99</v>
      </c>
      <c r="AE1169" s="3">
        <v>0</v>
      </c>
      <c r="AF1169" s="3">
        <v>0</v>
      </c>
      <c r="AG1169" s="3">
        <v>0</v>
      </c>
      <c r="AH1169" s="3">
        <v>1.53846153846153</v>
      </c>
      <c r="AI1169" s="3" t="s">
        <v>3022</v>
      </c>
      <c r="AJ1169" s="3" t="s">
        <v>1715</v>
      </c>
    </row>
    <row r="1170" spans="1:36">
      <c r="A1170" s="4">
        <v>43277</v>
      </c>
      <c r="B1170" s="3" t="s">
        <v>443</v>
      </c>
      <c r="C1170" s="3" t="s">
        <v>444</v>
      </c>
      <c r="D1170" s="3" t="s">
        <v>445</v>
      </c>
      <c r="E1170" s="3" t="s">
        <v>446</v>
      </c>
      <c r="F1170" s="3" t="s">
        <v>1710</v>
      </c>
      <c r="G1170" s="3">
        <v>13</v>
      </c>
      <c r="H1170" s="3">
        <v>0</v>
      </c>
      <c r="I1170" s="3">
        <v>13</v>
      </c>
      <c r="J1170" s="3">
        <v>0</v>
      </c>
      <c r="K1170" s="3">
        <v>0</v>
      </c>
      <c r="L1170" s="3">
        <v>0</v>
      </c>
      <c r="M1170" s="3">
        <v>0</v>
      </c>
      <c r="N1170" s="3" t="s">
        <v>1711</v>
      </c>
      <c r="O1170" s="3">
        <v>0</v>
      </c>
      <c r="P1170" s="3">
        <v>0</v>
      </c>
      <c r="Q1170" s="3">
        <v>0</v>
      </c>
      <c r="R1170" s="3">
        <v>0</v>
      </c>
      <c r="S1170" s="3">
        <v>2</v>
      </c>
      <c r="T1170" s="3">
        <v>10</v>
      </c>
      <c r="U1170" s="3">
        <v>14</v>
      </c>
      <c r="V1170" s="3">
        <v>19</v>
      </c>
      <c r="W1170" s="3"/>
      <c r="X1170" s="3">
        <v>32.99</v>
      </c>
      <c r="Y1170" s="3">
        <v>28.58</v>
      </c>
      <c r="Z1170" s="3">
        <v>28.58</v>
      </c>
      <c r="AA1170" s="3">
        <v>0</v>
      </c>
      <c r="AB1170" s="3" t="s">
        <v>1713</v>
      </c>
      <c r="AC1170" s="3">
        <v>15</v>
      </c>
      <c r="AD1170" s="3">
        <v>28.58</v>
      </c>
      <c r="AE1170" s="3">
        <v>0</v>
      </c>
      <c r="AF1170" s="3">
        <v>0</v>
      </c>
      <c r="AG1170" s="3">
        <v>0</v>
      </c>
      <c r="AH1170" s="3">
        <v>2.375</v>
      </c>
      <c r="AI1170" s="3" t="s">
        <v>1761</v>
      </c>
      <c r="AJ1170" s="3" t="s">
        <v>1715</v>
      </c>
    </row>
    <row r="1171" spans="1:36">
      <c r="A1171" s="4">
        <v>43277</v>
      </c>
      <c r="B1171" s="3" t="s">
        <v>5287</v>
      </c>
      <c r="C1171" s="3" t="s">
        <v>5288</v>
      </c>
      <c r="D1171" s="3" t="s">
        <v>5289</v>
      </c>
      <c r="E1171" s="3" t="s">
        <v>5290</v>
      </c>
      <c r="F1171" s="3" t="s">
        <v>1710</v>
      </c>
      <c r="G1171" s="3">
        <v>1</v>
      </c>
      <c r="H1171" s="3">
        <v>0</v>
      </c>
      <c r="I1171" s="3">
        <v>0</v>
      </c>
      <c r="J1171" s="3">
        <v>1</v>
      </c>
      <c r="K1171" s="3">
        <v>0</v>
      </c>
      <c r="L1171" s="3">
        <v>0</v>
      </c>
      <c r="M1171" s="3">
        <v>0</v>
      </c>
      <c r="N1171" s="3" t="s">
        <v>1711</v>
      </c>
      <c r="O1171" s="3">
        <v>1</v>
      </c>
      <c r="P1171" s="3">
        <v>2.15</v>
      </c>
      <c r="Q1171" s="3">
        <v>0</v>
      </c>
      <c r="R1171" s="3">
        <v>0</v>
      </c>
      <c r="S1171" s="3">
        <v>0</v>
      </c>
      <c r="T1171" s="3">
        <v>0</v>
      </c>
      <c r="U1171" s="3">
        <v>0</v>
      </c>
      <c r="V1171" s="3">
        <v>0</v>
      </c>
      <c r="W1171" s="3" t="s">
        <v>1712</v>
      </c>
      <c r="X1171" s="3">
        <v>15.99</v>
      </c>
      <c r="Y1171" s="3">
        <v>15.99</v>
      </c>
      <c r="Z1171" s="3">
        <v>15.99</v>
      </c>
      <c r="AA1171" s="3">
        <v>0</v>
      </c>
      <c r="AB1171" s="3" t="s">
        <v>1732</v>
      </c>
      <c r="AC1171" s="3">
        <v>0</v>
      </c>
      <c r="AD1171" s="3">
        <v>12.79</v>
      </c>
      <c r="AE1171" s="3">
        <v>63</v>
      </c>
      <c r="AF1171" s="3">
        <v>0</v>
      </c>
      <c r="AG1171" s="3">
        <v>25.185768</v>
      </c>
      <c r="AH1171" s="3">
        <v>0</v>
      </c>
      <c r="AI1171" s="3" t="s">
        <v>5291</v>
      </c>
      <c r="AJ1171" s="3" t="s">
        <v>1715</v>
      </c>
    </row>
    <row r="1172" spans="1:36">
      <c r="A1172" s="4">
        <v>43277</v>
      </c>
      <c r="B1172" s="3" t="s">
        <v>5292</v>
      </c>
      <c r="C1172" s="3" t="s">
        <v>5293</v>
      </c>
      <c r="D1172" s="3" t="s">
        <v>5294</v>
      </c>
      <c r="E1172" s="3" t="s">
        <v>1282</v>
      </c>
      <c r="F1172" s="3" t="s">
        <v>1710</v>
      </c>
      <c r="G1172" s="3">
        <v>13</v>
      </c>
      <c r="H1172" s="3">
        <v>0</v>
      </c>
      <c r="I1172" s="3">
        <v>13</v>
      </c>
      <c r="J1172" s="3">
        <v>0</v>
      </c>
      <c r="K1172" s="3">
        <v>0</v>
      </c>
      <c r="L1172" s="3">
        <v>0</v>
      </c>
      <c r="M1172" s="3">
        <v>0</v>
      </c>
      <c r="N1172" s="3" t="s">
        <v>1711</v>
      </c>
      <c r="O1172" s="3">
        <v>0</v>
      </c>
      <c r="P1172" s="3">
        <v>0</v>
      </c>
      <c r="Q1172" s="3">
        <v>0</v>
      </c>
      <c r="R1172" s="3">
        <v>0</v>
      </c>
      <c r="S1172" s="3">
        <v>1</v>
      </c>
      <c r="T1172" s="3">
        <v>1</v>
      </c>
      <c r="U1172" s="3">
        <v>1</v>
      </c>
      <c r="V1172" s="3">
        <v>1</v>
      </c>
      <c r="W1172" s="3" t="s">
        <v>1712</v>
      </c>
      <c r="X1172" s="3">
        <v>39.99</v>
      </c>
      <c r="Y1172" s="3">
        <v>19.99</v>
      </c>
      <c r="Z1172" s="3">
        <v>19.99</v>
      </c>
      <c r="AA1172" s="3">
        <v>0</v>
      </c>
      <c r="AB1172" s="3" t="s">
        <v>1713</v>
      </c>
      <c r="AC1172" s="3">
        <v>14</v>
      </c>
      <c r="AD1172" s="3">
        <v>19.99</v>
      </c>
      <c r="AE1172" s="3">
        <v>0</v>
      </c>
      <c r="AF1172" s="3">
        <v>0</v>
      </c>
      <c r="AG1172" s="3">
        <v>0</v>
      </c>
      <c r="AH1172" s="3">
        <v>0.0689655172413793</v>
      </c>
      <c r="AI1172" s="3" t="s">
        <v>1714</v>
      </c>
      <c r="AJ1172" s="3" t="s">
        <v>1715</v>
      </c>
    </row>
    <row r="1173" spans="1:36">
      <c r="A1173" s="4">
        <v>43277</v>
      </c>
      <c r="B1173" s="3" t="s">
        <v>5295</v>
      </c>
      <c r="C1173" s="3" t="s">
        <v>5296</v>
      </c>
      <c r="D1173" s="3" t="s">
        <v>5297</v>
      </c>
      <c r="E1173" s="3" t="s">
        <v>2495</v>
      </c>
      <c r="F1173" s="3" t="s">
        <v>1710</v>
      </c>
      <c r="G1173" s="3">
        <v>15</v>
      </c>
      <c r="H1173" s="3">
        <v>0</v>
      </c>
      <c r="I1173" s="3">
        <v>15</v>
      </c>
      <c r="J1173" s="3">
        <v>0</v>
      </c>
      <c r="K1173" s="3">
        <v>0</v>
      </c>
      <c r="L1173" s="3">
        <v>0</v>
      </c>
      <c r="M1173" s="3">
        <v>0</v>
      </c>
      <c r="N1173" s="3" t="s">
        <v>1711</v>
      </c>
      <c r="O1173" s="3">
        <v>0</v>
      </c>
      <c r="P1173" s="3">
        <v>0</v>
      </c>
      <c r="Q1173" s="3">
        <v>0</v>
      </c>
      <c r="R1173" s="3">
        <v>0</v>
      </c>
      <c r="S1173" s="3">
        <v>0</v>
      </c>
      <c r="T1173" s="3">
        <v>0</v>
      </c>
      <c r="U1173" s="3">
        <v>0</v>
      </c>
      <c r="V1173" s="3">
        <v>0</v>
      </c>
      <c r="W1173" s="3" t="s">
        <v>1720</v>
      </c>
      <c r="X1173" s="3">
        <v>15.99</v>
      </c>
      <c r="Y1173" s="3">
        <v>15.99</v>
      </c>
      <c r="Z1173" s="3">
        <v>15.99</v>
      </c>
      <c r="AA1173" s="3">
        <v>0</v>
      </c>
      <c r="AB1173" s="3" t="s">
        <v>1721</v>
      </c>
      <c r="AC1173" s="3">
        <v>0</v>
      </c>
      <c r="AD1173" s="3">
        <v>12.79</v>
      </c>
      <c r="AE1173" s="3">
        <v>63</v>
      </c>
      <c r="AF1173" s="3">
        <v>0</v>
      </c>
      <c r="AG1173" s="3">
        <v>160.761652</v>
      </c>
      <c r="AH1173" s="3">
        <v>0</v>
      </c>
      <c r="AI1173" s="3" t="s">
        <v>2758</v>
      </c>
      <c r="AJ1173" s="3" t="s">
        <v>1715</v>
      </c>
    </row>
    <row r="1174" spans="1:36">
      <c r="A1174" s="4">
        <v>43277</v>
      </c>
      <c r="B1174" s="3" t="s">
        <v>60</v>
      </c>
      <c r="C1174" s="3" t="s">
        <v>61</v>
      </c>
      <c r="D1174" s="3" t="s">
        <v>62</v>
      </c>
      <c r="E1174" s="3" t="s">
        <v>5298</v>
      </c>
      <c r="F1174" s="3" t="s">
        <v>1710</v>
      </c>
      <c r="G1174" s="3">
        <v>12</v>
      </c>
      <c r="H1174" s="3">
        <v>0</v>
      </c>
      <c r="I1174" s="3">
        <v>12</v>
      </c>
      <c r="J1174" s="3">
        <v>0</v>
      </c>
      <c r="K1174" s="3">
        <v>0</v>
      </c>
      <c r="L1174" s="3">
        <v>0</v>
      </c>
      <c r="M1174" s="3">
        <v>0</v>
      </c>
      <c r="N1174" s="3" t="s">
        <v>1711</v>
      </c>
      <c r="O1174" s="3">
        <v>0</v>
      </c>
      <c r="P1174" s="3">
        <v>0</v>
      </c>
      <c r="Q1174" s="3">
        <v>0</v>
      </c>
      <c r="R1174" s="3">
        <v>0</v>
      </c>
      <c r="S1174" s="3">
        <v>1</v>
      </c>
      <c r="T1174" s="3">
        <v>14</v>
      </c>
      <c r="U1174" s="3">
        <v>25</v>
      </c>
      <c r="V1174" s="3">
        <v>28</v>
      </c>
      <c r="W1174" s="3"/>
      <c r="X1174" s="3">
        <v>15.99</v>
      </c>
      <c r="Y1174" s="3">
        <v>15.99</v>
      </c>
      <c r="Z1174" s="3">
        <v>15.55</v>
      </c>
      <c r="AA1174" s="3">
        <v>0</v>
      </c>
      <c r="AB1174" s="3" t="s">
        <v>1713</v>
      </c>
      <c r="AC1174" s="3">
        <v>13</v>
      </c>
      <c r="AD1174" s="3">
        <v>15.99</v>
      </c>
      <c r="AE1174" s="3">
        <v>0</v>
      </c>
      <c r="AF1174" s="3">
        <v>0</v>
      </c>
      <c r="AG1174" s="3">
        <v>0</v>
      </c>
      <c r="AH1174" s="3">
        <v>2.54545454545454</v>
      </c>
      <c r="AI1174" s="3" t="s">
        <v>2082</v>
      </c>
      <c r="AJ1174" s="3" t="s">
        <v>1715</v>
      </c>
    </row>
    <row r="1175" spans="1:36">
      <c r="A1175" s="4">
        <v>43277</v>
      </c>
      <c r="B1175" s="3" t="s">
        <v>1038</v>
      </c>
      <c r="C1175" s="3" t="s">
        <v>1039</v>
      </c>
      <c r="D1175" s="3" t="s">
        <v>1040</v>
      </c>
      <c r="E1175" s="3" t="s">
        <v>1041</v>
      </c>
      <c r="F1175" s="3" t="s">
        <v>1710</v>
      </c>
      <c r="G1175" s="3">
        <v>14</v>
      </c>
      <c r="H1175" s="3">
        <v>0</v>
      </c>
      <c r="I1175" s="3">
        <v>14</v>
      </c>
      <c r="J1175" s="3">
        <v>0</v>
      </c>
      <c r="K1175" s="3">
        <v>0</v>
      </c>
      <c r="L1175" s="3">
        <v>0</v>
      </c>
      <c r="M1175" s="3">
        <v>0</v>
      </c>
      <c r="N1175" s="3" t="s">
        <v>1711</v>
      </c>
      <c r="O1175" s="3">
        <v>0</v>
      </c>
      <c r="P1175" s="3">
        <v>0</v>
      </c>
      <c r="Q1175" s="3">
        <v>0</v>
      </c>
      <c r="R1175" s="3">
        <v>0</v>
      </c>
      <c r="S1175" s="3">
        <v>1</v>
      </c>
      <c r="T1175" s="3">
        <v>8</v>
      </c>
      <c r="U1175" s="3">
        <v>14</v>
      </c>
      <c r="V1175" s="3">
        <v>14</v>
      </c>
      <c r="W1175" s="3" t="s">
        <v>1712</v>
      </c>
      <c r="X1175" s="3">
        <v>48.58</v>
      </c>
      <c r="Y1175" s="3">
        <v>28.99</v>
      </c>
      <c r="Z1175" s="3">
        <v>28.99</v>
      </c>
      <c r="AA1175" s="3">
        <v>0</v>
      </c>
      <c r="AB1175" s="3" t="s">
        <v>1713</v>
      </c>
      <c r="AC1175" s="3">
        <v>10</v>
      </c>
      <c r="AD1175" s="3">
        <v>28.99</v>
      </c>
      <c r="AE1175" s="3">
        <v>0</v>
      </c>
      <c r="AF1175" s="3">
        <v>0</v>
      </c>
      <c r="AG1175" s="3">
        <v>0</v>
      </c>
      <c r="AH1175" s="3">
        <v>1.5</v>
      </c>
      <c r="AI1175" s="3" t="s">
        <v>1800</v>
      </c>
      <c r="AJ1175" s="3" t="s">
        <v>1715</v>
      </c>
    </row>
    <row r="1176" spans="1:36">
      <c r="A1176" s="4">
        <v>43277</v>
      </c>
      <c r="B1176" s="3" t="s">
        <v>5299</v>
      </c>
      <c r="C1176" s="3" t="s">
        <v>5300</v>
      </c>
      <c r="D1176" s="3" t="s">
        <v>5301</v>
      </c>
      <c r="E1176" s="3" t="s">
        <v>5302</v>
      </c>
      <c r="F1176" s="3" t="s">
        <v>1710</v>
      </c>
      <c r="G1176" s="3">
        <v>2</v>
      </c>
      <c r="H1176" s="3">
        <v>0</v>
      </c>
      <c r="I1176" s="3">
        <v>2</v>
      </c>
      <c r="J1176" s="3">
        <v>0</v>
      </c>
      <c r="K1176" s="3">
        <v>0</v>
      </c>
      <c r="L1176" s="3">
        <v>0</v>
      </c>
      <c r="M1176" s="3">
        <v>0</v>
      </c>
      <c r="N1176" s="3" t="s">
        <v>1711</v>
      </c>
      <c r="O1176" s="3">
        <v>0</v>
      </c>
      <c r="P1176" s="3">
        <v>0</v>
      </c>
      <c r="Q1176" s="3">
        <v>0</v>
      </c>
      <c r="R1176" s="3">
        <v>0</v>
      </c>
      <c r="S1176" s="3">
        <v>0</v>
      </c>
      <c r="T1176" s="3">
        <v>0</v>
      </c>
      <c r="U1176" s="3">
        <v>5</v>
      </c>
      <c r="V1176" s="3">
        <v>17</v>
      </c>
      <c r="W1176" s="3" t="s">
        <v>1712</v>
      </c>
      <c r="X1176" s="3">
        <v>9.99</v>
      </c>
      <c r="Y1176" s="3">
        <v>9.99</v>
      </c>
      <c r="Z1176" s="3">
        <v>9.99</v>
      </c>
      <c r="AA1176" s="3">
        <v>0</v>
      </c>
      <c r="AB1176" s="3" t="s">
        <v>1713</v>
      </c>
      <c r="AC1176" s="3">
        <v>1</v>
      </c>
      <c r="AD1176" s="3">
        <v>9.99</v>
      </c>
      <c r="AE1176" s="3">
        <v>0</v>
      </c>
      <c r="AF1176" s="3">
        <v>0</v>
      </c>
      <c r="AG1176" s="3">
        <v>0</v>
      </c>
      <c r="AH1176" s="3">
        <v>4.25</v>
      </c>
      <c r="AI1176" s="3" t="s">
        <v>2615</v>
      </c>
      <c r="AJ1176" s="3" t="s">
        <v>1715</v>
      </c>
    </row>
    <row r="1177" spans="1:36">
      <c r="A1177" s="4">
        <v>43277</v>
      </c>
      <c r="B1177" s="3" t="s">
        <v>5303</v>
      </c>
      <c r="C1177" s="3" t="s">
        <v>5304</v>
      </c>
      <c r="D1177" s="3" t="s">
        <v>5305</v>
      </c>
      <c r="E1177" s="3" t="s">
        <v>898</v>
      </c>
      <c r="F1177" s="3" t="s">
        <v>1710</v>
      </c>
      <c r="G1177" s="3">
        <v>9</v>
      </c>
      <c r="H1177" s="3">
        <v>0</v>
      </c>
      <c r="I1177" s="3">
        <v>9</v>
      </c>
      <c r="J1177" s="3">
        <v>0</v>
      </c>
      <c r="K1177" s="3">
        <v>0</v>
      </c>
      <c r="L1177" s="3">
        <v>0</v>
      </c>
      <c r="M1177" s="3">
        <v>0</v>
      </c>
      <c r="N1177" s="3" t="s">
        <v>1711</v>
      </c>
      <c r="O1177" s="3">
        <v>0</v>
      </c>
      <c r="P1177" s="3">
        <v>0</v>
      </c>
      <c r="Q1177" s="3">
        <v>0</v>
      </c>
      <c r="R1177" s="3">
        <v>0</v>
      </c>
      <c r="S1177" s="3">
        <v>0</v>
      </c>
      <c r="T1177" s="3">
        <v>1</v>
      </c>
      <c r="U1177" s="3">
        <v>1</v>
      </c>
      <c r="V1177" s="3">
        <v>1</v>
      </c>
      <c r="W1177" s="3" t="s">
        <v>1720</v>
      </c>
      <c r="X1177" s="3">
        <v>12.99</v>
      </c>
      <c r="Y1177" s="3">
        <v>12.99</v>
      </c>
      <c r="Z1177" s="3">
        <v>12.99</v>
      </c>
      <c r="AA1177" s="3">
        <v>0</v>
      </c>
      <c r="AB1177" s="3" t="s">
        <v>1721</v>
      </c>
      <c r="AC1177" s="3">
        <v>9</v>
      </c>
      <c r="AD1177" s="3">
        <v>15.99</v>
      </c>
      <c r="AE1177" s="3">
        <v>0</v>
      </c>
      <c r="AF1177" s="3">
        <v>0</v>
      </c>
      <c r="AG1177" s="3">
        <v>0</v>
      </c>
      <c r="AH1177" s="3">
        <v>0.111111111111111</v>
      </c>
      <c r="AI1177" s="3" t="s">
        <v>2022</v>
      </c>
      <c r="AJ1177" s="3" t="s">
        <v>1715</v>
      </c>
    </row>
    <row r="1178" spans="1:36">
      <c r="A1178" s="4">
        <v>43277</v>
      </c>
      <c r="B1178" s="3" t="s">
        <v>5306</v>
      </c>
      <c r="C1178" s="3" t="s">
        <v>5307</v>
      </c>
      <c r="D1178" s="3" t="s">
        <v>5308</v>
      </c>
      <c r="E1178" s="3" t="s">
        <v>5309</v>
      </c>
      <c r="F1178" s="3" t="s">
        <v>1710</v>
      </c>
      <c r="G1178" s="3">
        <v>19</v>
      </c>
      <c r="H1178" s="3">
        <v>0</v>
      </c>
      <c r="I1178" s="3">
        <v>19</v>
      </c>
      <c r="J1178" s="3">
        <v>0</v>
      </c>
      <c r="K1178" s="3">
        <v>0</v>
      </c>
      <c r="L1178" s="3">
        <v>0</v>
      </c>
      <c r="M1178" s="3">
        <v>0</v>
      </c>
      <c r="N1178" s="3" t="s">
        <v>1711</v>
      </c>
      <c r="O1178" s="3">
        <v>0</v>
      </c>
      <c r="P1178" s="3">
        <v>0</v>
      </c>
      <c r="Q1178" s="3">
        <v>0</v>
      </c>
      <c r="R1178" s="3">
        <v>0</v>
      </c>
      <c r="S1178" s="3">
        <v>4</v>
      </c>
      <c r="T1178" s="3">
        <v>20</v>
      </c>
      <c r="U1178" s="3">
        <v>22</v>
      </c>
      <c r="V1178" s="3">
        <v>22</v>
      </c>
      <c r="W1178" s="3"/>
      <c r="X1178" s="3">
        <v>29.99</v>
      </c>
      <c r="Y1178" s="3">
        <v>29.99</v>
      </c>
      <c r="Z1178" s="3">
        <v>29.99</v>
      </c>
      <c r="AA1178" s="3">
        <v>0</v>
      </c>
      <c r="AB1178" s="3" t="s">
        <v>1713</v>
      </c>
      <c r="AC1178" s="3">
        <v>2</v>
      </c>
      <c r="AD1178" s="3">
        <v>29.99</v>
      </c>
      <c r="AE1178" s="3">
        <v>0</v>
      </c>
      <c r="AF1178" s="3">
        <v>0</v>
      </c>
      <c r="AG1178" s="3">
        <v>0</v>
      </c>
      <c r="AH1178" s="3">
        <v>1.375</v>
      </c>
      <c r="AI1178" s="3" t="s">
        <v>2016</v>
      </c>
      <c r="AJ1178" s="3" t="s">
        <v>1715</v>
      </c>
    </row>
    <row r="1179" spans="1:36">
      <c r="A1179" s="4">
        <v>43277</v>
      </c>
      <c r="B1179" s="3" t="s">
        <v>368</v>
      </c>
      <c r="C1179" s="3" t="s">
        <v>369</v>
      </c>
      <c r="D1179" s="3" t="s">
        <v>370</v>
      </c>
      <c r="E1179" s="3" t="s">
        <v>353</v>
      </c>
      <c r="F1179" s="3" t="s">
        <v>1710</v>
      </c>
      <c r="G1179" s="3">
        <v>9</v>
      </c>
      <c r="H1179" s="3">
        <v>0</v>
      </c>
      <c r="I1179" s="3">
        <v>9</v>
      </c>
      <c r="J1179" s="3">
        <v>0</v>
      </c>
      <c r="K1179" s="3">
        <v>0</v>
      </c>
      <c r="L1179" s="3">
        <v>0</v>
      </c>
      <c r="M1179" s="3">
        <v>0</v>
      </c>
      <c r="N1179" s="3" t="s">
        <v>1711</v>
      </c>
      <c r="O1179" s="3">
        <v>0</v>
      </c>
      <c r="P1179" s="3">
        <v>0</v>
      </c>
      <c r="Q1179" s="3">
        <v>0</v>
      </c>
      <c r="R1179" s="3">
        <v>0</v>
      </c>
      <c r="S1179" s="3">
        <v>11</v>
      </c>
      <c r="T1179" s="3">
        <v>27</v>
      </c>
      <c r="U1179" s="3">
        <v>42</v>
      </c>
      <c r="V1179" s="3">
        <v>59</v>
      </c>
      <c r="W1179" s="3"/>
      <c r="X1179" s="3">
        <v>25.58</v>
      </c>
      <c r="Y1179" s="3">
        <v>25.58</v>
      </c>
      <c r="Z1179" s="3">
        <v>25.58</v>
      </c>
      <c r="AA1179" s="3">
        <v>0</v>
      </c>
      <c r="AB1179" s="3" t="s">
        <v>1713</v>
      </c>
      <c r="AC1179" s="3">
        <v>14</v>
      </c>
      <c r="AD1179" s="3">
        <v>25.58</v>
      </c>
      <c r="AE1179" s="3">
        <v>0</v>
      </c>
      <c r="AF1179" s="3">
        <v>0</v>
      </c>
      <c r="AG1179" s="3">
        <v>0</v>
      </c>
      <c r="AH1179" s="3">
        <v>4.29090909090909</v>
      </c>
      <c r="AI1179" s="3" t="s">
        <v>2776</v>
      </c>
      <c r="AJ1179" s="3" t="s">
        <v>1715</v>
      </c>
    </row>
    <row r="1180" spans="1:36">
      <c r="A1180" s="4">
        <v>43277</v>
      </c>
      <c r="B1180" s="3" t="s">
        <v>5310</v>
      </c>
      <c r="C1180" s="3" t="s">
        <v>5311</v>
      </c>
      <c r="D1180" s="3" t="s">
        <v>5312</v>
      </c>
      <c r="E1180" s="3" t="s">
        <v>2495</v>
      </c>
      <c r="F1180" s="3" t="s">
        <v>1710</v>
      </c>
      <c r="G1180" s="3">
        <v>15</v>
      </c>
      <c r="H1180" s="3">
        <v>0</v>
      </c>
      <c r="I1180" s="3">
        <v>15</v>
      </c>
      <c r="J1180" s="3">
        <v>0</v>
      </c>
      <c r="K1180" s="3">
        <v>0</v>
      </c>
      <c r="L1180" s="3">
        <v>0</v>
      </c>
      <c r="M1180" s="3">
        <v>0</v>
      </c>
      <c r="N1180" s="3" t="s">
        <v>1711</v>
      </c>
      <c r="O1180" s="3">
        <v>0</v>
      </c>
      <c r="P1180" s="3">
        <v>0</v>
      </c>
      <c r="Q1180" s="3">
        <v>0</v>
      </c>
      <c r="R1180" s="3">
        <v>0</v>
      </c>
      <c r="S1180" s="3">
        <v>0</v>
      </c>
      <c r="T1180" s="3">
        <v>0</v>
      </c>
      <c r="U1180" s="3">
        <v>0</v>
      </c>
      <c r="V1180" s="3">
        <v>0</v>
      </c>
      <c r="W1180" s="3" t="s">
        <v>1720</v>
      </c>
      <c r="X1180" s="3">
        <v>15.99</v>
      </c>
      <c r="Y1180" s="3">
        <v>15.99</v>
      </c>
      <c r="Z1180" s="3">
        <v>15.99</v>
      </c>
      <c r="AA1180" s="3">
        <v>0</v>
      </c>
      <c r="AB1180" s="3" t="s">
        <v>1721</v>
      </c>
      <c r="AC1180" s="3">
        <v>0</v>
      </c>
      <c r="AD1180" s="3">
        <v>12.79</v>
      </c>
      <c r="AE1180" s="3">
        <v>63</v>
      </c>
      <c r="AF1180" s="3">
        <v>0</v>
      </c>
      <c r="AG1180" s="3">
        <v>160.761652</v>
      </c>
      <c r="AH1180" s="3">
        <v>0</v>
      </c>
      <c r="AI1180" s="3" t="s">
        <v>2496</v>
      </c>
      <c r="AJ1180" s="3" t="s">
        <v>1715</v>
      </c>
    </row>
    <row r="1181" spans="1:36">
      <c r="A1181" s="4">
        <v>43277</v>
      </c>
      <c r="B1181" s="3" t="s">
        <v>5313</v>
      </c>
      <c r="C1181" s="3" t="s">
        <v>5314</v>
      </c>
      <c r="D1181" s="3" t="s">
        <v>5315</v>
      </c>
      <c r="E1181" s="3" t="s">
        <v>1160</v>
      </c>
      <c r="F1181" s="3" t="s">
        <v>1710</v>
      </c>
      <c r="G1181" s="3">
        <v>5</v>
      </c>
      <c r="H1181" s="3">
        <v>0</v>
      </c>
      <c r="I1181" s="3">
        <v>5</v>
      </c>
      <c r="J1181" s="3">
        <v>0</v>
      </c>
      <c r="K1181" s="3">
        <v>0</v>
      </c>
      <c r="L1181" s="3">
        <v>0</v>
      </c>
      <c r="M1181" s="3">
        <v>0</v>
      </c>
      <c r="N1181" s="3" t="s">
        <v>1711</v>
      </c>
      <c r="O1181" s="3">
        <v>0</v>
      </c>
      <c r="P1181" s="3">
        <v>0</v>
      </c>
      <c r="Q1181" s="3">
        <v>0</v>
      </c>
      <c r="R1181" s="3">
        <v>0</v>
      </c>
      <c r="S1181" s="3">
        <v>0</v>
      </c>
      <c r="T1181" s="3">
        <v>14</v>
      </c>
      <c r="U1181" s="3">
        <v>25</v>
      </c>
      <c r="V1181" s="3">
        <v>25</v>
      </c>
      <c r="W1181" s="3"/>
      <c r="X1181" s="3">
        <v>39.99</v>
      </c>
      <c r="Y1181" s="3">
        <v>21.99</v>
      </c>
      <c r="Z1181" s="3">
        <v>21.99</v>
      </c>
      <c r="AA1181" s="3">
        <v>0</v>
      </c>
      <c r="AB1181" s="3" t="s">
        <v>1713</v>
      </c>
      <c r="AC1181" s="3">
        <v>7</v>
      </c>
      <c r="AD1181" s="3">
        <v>21.99</v>
      </c>
      <c r="AE1181" s="3">
        <v>0</v>
      </c>
      <c r="AF1181" s="3">
        <v>0</v>
      </c>
      <c r="AG1181" s="3">
        <v>0</v>
      </c>
      <c r="AH1181" s="3">
        <v>3.75</v>
      </c>
      <c r="AI1181" s="3" t="s">
        <v>2070</v>
      </c>
      <c r="AJ1181" s="3" t="s">
        <v>1715</v>
      </c>
    </row>
    <row r="1182" spans="1:36">
      <c r="A1182" s="4">
        <v>43277</v>
      </c>
      <c r="B1182" s="3" t="s">
        <v>5316</v>
      </c>
      <c r="C1182" s="3" t="s">
        <v>5317</v>
      </c>
      <c r="D1182" s="3" t="s">
        <v>5318</v>
      </c>
      <c r="E1182" s="3" t="s">
        <v>5319</v>
      </c>
      <c r="F1182" s="3" t="s">
        <v>1710</v>
      </c>
      <c r="G1182" s="3">
        <v>53</v>
      </c>
      <c r="H1182" s="3">
        <v>0</v>
      </c>
      <c r="I1182" s="3">
        <v>4</v>
      </c>
      <c r="J1182" s="3">
        <v>16</v>
      </c>
      <c r="K1182" s="3">
        <v>33</v>
      </c>
      <c r="L1182" s="3">
        <v>0</v>
      </c>
      <c r="M1182" s="3">
        <v>0</v>
      </c>
      <c r="N1182" s="3" t="s">
        <v>1711</v>
      </c>
      <c r="O1182" s="3">
        <v>47</v>
      </c>
      <c r="P1182" s="3">
        <v>28.13</v>
      </c>
      <c r="Q1182" s="3">
        <v>0</v>
      </c>
      <c r="R1182" s="3">
        <v>0</v>
      </c>
      <c r="S1182" s="3">
        <v>0</v>
      </c>
      <c r="T1182" s="3">
        <v>1</v>
      </c>
      <c r="U1182" s="3">
        <v>2</v>
      </c>
      <c r="V1182" s="3">
        <v>6</v>
      </c>
      <c r="W1182" s="3"/>
      <c r="X1182" s="3">
        <v>16.99</v>
      </c>
      <c r="Y1182" s="3">
        <v>16.99</v>
      </c>
      <c r="Z1182" s="3">
        <v>16</v>
      </c>
      <c r="AA1182" s="3">
        <v>0</v>
      </c>
      <c r="AB1182" s="3" t="s">
        <v>1713</v>
      </c>
      <c r="AC1182" s="3">
        <v>53</v>
      </c>
      <c r="AD1182" s="3">
        <v>16.99</v>
      </c>
      <c r="AE1182" s="3">
        <v>0</v>
      </c>
      <c r="AF1182" s="3">
        <v>0</v>
      </c>
      <c r="AG1182" s="3">
        <v>0</v>
      </c>
      <c r="AH1182" s="3">
        <v>0.0256684491978609</v>
      </c>
      <c r="AI1182" s="3" t="s">
        <v>1905</v>
      </c>
      <c r="AJ1182" s="3" t="s">
        <v>1715</v>
      </c>
    </row>
    <row r="1183" spans="1:36">
      <c r="A1183" s="4">
        <v>43277</v>
      </c>
      <c r="B1183" s="3" t="s">
        <v>5320</v>
      </c>
      <c r="C1183" s="3" t="s">
        <v>5321</v>
      </c>
      <c r="D1183" s="3" t="s">
        <v>5322</v>
      </c>
      <c r="E1183" s="3" t="s">
        <v>5323</v>
      </c>
      <c r="F1183" s="3" t="s">
        <v>1710</v>
      </c>
      <c r="G1183" s="3">
        <v>12</v>
      </c>
      <c r="H1183" s="3">
        <v>0</v>
      </c>
      <c r="I1183" s="3">
        <v>0</v>
      </c>
      <c r="J1183" s="3">
        <v>12</v>
      </c>
      <c r="K1183" s="3">
        <v>0</v>
      </c>
      <c r="L1183" s="3">
        <v>0</v>
      </c>
      <c r="M1183" s="3">
        <v>0</v>
      </c>
      <c r="N1183" s="3" t="s">
        <v>1711</v>
      </c>
      <c r="O1183" s="3">
        <v>0</v>
      </c>
      <c r="P1183" s="3">
        <v>0</v>
      </c>
      <c r="Q1183" s="3">
        <v>0</v>
      </c>
      <c r="R1183" s="3">
        <v>0</v>
      </c>
      <c r="S1183" s="3">
        <v>0</v>
      </c>
      <c r="T1183" s="3">
        <v>0</v>
      </c>
      <c r="U1183" s="3">
        <v>1</v>
      </c>
      <c r="V1183" s="3">
        <v>1</v>
      </c>
      <c r="W1183" s="3" t="s">
        <v>1712</v>
      </c>
      <c r="X1183" s="3">
        <v>28.58</v>
      </c>
      <c r="Y1183" s="3">
        <v>28.58</v>
      </c>
      <c r="Z1183" s="3">
        <v>28</v>
      </c>
      <c r="AA1183" s="3">
        <v>0</v>
      </c>
      <c r="AB1183" s="3" t="s">
        <v>1713</v>
      </c>
      <c r="AC1183" s="3">
        <v>12</v>
      </c>
      <c r="AD1183" s="3">
        <v>28.58</v>
      </c>
      <c r="AE1183" s="3">
        <v>0</v>
      </c>
      <c r="AF1183" s="3">
        <v>0</v>
      </c>
      <c r="AG1183" s="3">
        <v>0</v>
      </c>
      <c r="AH1183" s="3">
        <v>0.1</v>
      </c>
      <c r="AI1183" s="3" t="s">
        <v>2128</v>
      </c>
      <c r="AJ1183" s="3" t="s">
        <v>1715</v>
      </c>
    </row>
    <row r="1184" spans="1:36">
      <c r="A1184" s="4">
        <v>43277</v>
      </c>
      <c r="B1184" s="3" t="s">
        <v>108</v>
      </c>
      <c r="C1184" s="3" t="s">
        <v>109</v>
      </c>
      <c r="D1184" s="3" t="s">
        <v>110</v>
      </c>
      <c r="E1184" s="3" t="s">
        <v>111</v>
      </c>
      <c r="F1184" s="3" t="s">
        <v>1710</v>
      </c>
      <c r="G1184" s="3">
        <v>60</v>
      </c>
      <c r="H1184" s="3">
        <v>0</v>
      </c>
      <c r="I1184" s="3">
        <v>2</v>
      </c>
      <c r="J1184" s="3">
        <v>0</v>
      </c>
      <c r="K1184" s="3">
        <v>58</v>
      </c>
      <c r="L1184" s="3">
        <v>0</v>
      </c>
      <c r="M1184" s="3">
        <v>0</v>
      </c>
      <c r="N1184" s="3" t="s">
        <v>1711</v>
      </c>
      <c r="O1184" s="3">
        <v>58</v>
      </c>
      <c r="P1184" s="3">
        <v>34.71</v>
      </c>
      <c r="Q1184" s="3">
        <v>0</v>
      </c>
      <c r="R1184" s="3">
        <v>0</v>
      </c>
      <c r="S1184" s="3">
        <v>1</v>
      </c>
      <c r="T1184" s="3">
        <v>3</v>
      </c>
      <c r="U1184" s="3">
        <v>13</v>
      </c>
      <c r="V1184" s="3">
        <v>33</v>
      </c>
      <c r="W1184" s="3"/>
      <c r="X1184" s="3">
        <v>16.99</v>
      </c>
      <c r="Y1184" s="3">
        <v>16.99</v>
      </c>
      <c r="Z1184" s="3">
        <v>16</v>
      </c>
      <c r="AA1184" s="3">
        <v>0</v>
      </c>
      <c r="AB1184" s="3" t="s">
        <v>1732</v>
      </c>
      <c r="AC1184" s="3">
        <v>8</v>
      </c>
      <c r="AD1184" s="3">
        <v>6.27</v>
      </c>
      <c r="AE1184" s="3">
        <v>35</v>
      </c>
      <c r="AF1184" s="3">
        <v>0</v>
      </c>
      <c r="AG1184" s="3">
        <v>337.416411</v>
      </c>
      <c r="AH1184" s="3">
        <v>0.17910447761194</v>
      </c>
      <c r="AI1184" s="3" t="s">
        <v>1905</v>
      </c>
      <c r="AJ1184" s="3" t="s">
        <v>1715</v>
      </c>
    </row>
    <row r="1185" spans="1:36">
      <c r="A1185" s="4">
        <v>43277</v>
      </c>
      <c r="B1185" s="3" t="s">
        <v>5324</v>
      </c>
      <c r="C1185" s="3" t="s">
        <v>5325</v>
      </c>
      <c r="D1185" s="3" t="s">
        <v>5326</v>
      </c>
      <c r="E1185" s="3" t="s">
        <v>5327</v>
      </c>
      <c r="F1185" s="3" t="s">
        <v>1710</v>
      </c>
      <c r="G1185" s="3">
        <v>9</v>
      </c>
      <c r="H1185" s="3">
        <v>0</v>
      </c>
      <c r="I1185" s="3">
        <v>0</v>
      </c>
      <c r="J1185" s="3">
        <v>1</v>
      </c>
      <c r="K1185" s="3">
        <v>8</v>
      </c>
      <c r="L1185" s="3">
        <v>0</v>
      </c>
      <c r="M1185" s="3">
        <v>0</v>
      </c>
      <c r="N1185" s="3" t="s">
        <v>1711</v>
      </c>
      <c r="O1185" s="3">
        <v>9</v>
      </c>
      <c r="P1185" s="3">
        <v>10.91</v>
      </c>
      <c r="Q1185" s="3">
        <v>0</v>
      </c>
      <c r="R1185" s="3">
        <v>0</v>
      </c>
      <c r="S1185" s="3">
        <v>0</v>
      </c>
      <c r="T1185" s="3">
        <v>0</v>
      </c>
      <c r="U1185" s="3">
        <v>0</v>
      </c>
      <c r="V1185" s="3">
        <v>0</v>
      </c>
      <c r="W1185" s="3" t="s">
        <v>1720</v>
      </c>
      <c r="X1185" s="3">
        <v>17.99</v>
      </c>
      <c r="Y1185" s="3">
        <v>17.99</v>
      </c>
      <c r="Z1185" s="3">
        <v>17.99</v>
      </c>
      <c r="AA1185" s="3">
        <v>0</v>
      </c>
      <c r="AB1185" s="3" t="s">
        <v>1732</v>
      </c>
      <c r="AC1185" s="3">
        <v>0</v>
      </c>
      <c r="AD1185" s="3">
        <v>15.02</v>
      </c>
      <c r="AE1185" s="3">
        <v>231</v>
      </c>
      <c r="AF1185" s="3">
        <v>0</v>
      </c>
      <c r="AG1185" s="3">
        <v>185.537096</v>
      </c>
      <c r="AH1185" s="3">
        <v>0</v>
      </c>
      <c r="AI1185" s="3" t="s">
        <v>1996</v>
      </c>
      <c r="AJ1185" s="3" t="s">
        <v>1715</v>
      </c>
    </row>
    <row r="1186" spans="1:36">
      <c r="A1186" s="4">
        <v>43277</v>
      </c>
      <c r="B1186" s="3" t="s">
        <v>5328</v>
      </c>
      <c r="C1186" s="3" t="s">
        <v>5329</v>
      </c>
      <c r="D1186" s="3" t="s">
        <v>5330</v>
      </c>
      <c r="E1186" s="3" t="s">
        <v>5331</v>
      </c>
      <c r="F1186" s="3" t="s">
        <v>1710</v>
      </c>
      <c r="G1186" s="3">
        <v>20</v>
      </c>
      <c r="H1186" s="3">
        <v>0</v>
      </c>
      <c r="I1186" s="3">
        <v>20</v>
      </c>
      <c r="J1186" s="3">
        <v>0</v>
      </c>
      <c r="K1186" s="3">
        <v>0</v>
      </c>
      <c r="L1186" s="3">
        <v>0</v>
      </c>
      <c r="M1186" s="3">
        <v>0</v>
      </c>
      <c r="N1186" s="3" t="s">
        <v>1711</v>
      </c>
      <c r="O1186" s="3">
        <v>0</v>
      </c>
      <c r="P1186" s="3">
        <v>0</v>
      </c>
      <c r="Q1186" s="3">
        <v>0</v>
      </c>
      <c r="R1186" s="3">
        <v>0</v>
      </c>
      <c r="S1186" s="3">
        <v>0</v>
      </c>
      <c r="T1186" s="3">
        <v>0</v>
      </c>
      <c r="U1186" s="3">
        <v>0</v>
      </c>
      <c r="V1186" s="3">
        <v>0</v>
      </c>
      <c r="W1186" s="3" t="s">
        <v>1712</v>
      </c>
      <c r="X1186" s="3">
        <v>20.99</v>
      </c>
      <c r="Y1186" s="3">
        <v>20.99</v>
      </c>
      <c r="Z1186" s="3">
        <v>20.99</v>
      </c>
      <c r="AA1186" s="3">
        <v>0</v>
      </c>
      <c r="AB1186" s="3" t="s">
        <v>1713</v>
      </c>
      <c r="AC1186" s="3">
        <v>0</v>
      </c>
      <c r="AD1186" s="3">
        <v>0</v>
      </c>
      <c r="AE1186" s="3">
        <v>0</v>
      </c>
      <c r="AF1186" s="3">
        <v>0</v>
      </c>
      <c r="AG1186" s="3">
        <v>0</v>
      </c>
      <c r="AH1186" s="3">
        <v>0</v>
      </c>
      <c r="AI1186" s="3" t="s">
        <v>2204</v>
      </c>
      <c r="AJ1186" s="3" t="s">
        <v>1715</v>
      </c>
    </row>
    <row r="1187" spans="1:36">
      <c r="A1187" s="4">
        <v>43277</v>
      </c>
      <c r="B1187" s="3" t="s">
        <v>5332</v>
      </c>
      <c r="C1187" s="3" t="s">
        <v>5333</v>
      </c>
      <c r="D1187" s="3" t="s">
        <v>5334</v>
      </c>
      <c r="E1187" s="3" t="s">
        <v>5335</v>
      </c>
      <c r="F1187" s="3" t="s">
        <v>1710</v>
      </c>
      <c r="G1187" s="3">
        <v>8</v>
      </c>
      <c r="H1187" s="3">
        <v>0</v>
      </c>
      <c r="I1187" s="3">
        <v>8</v>
      </c>
      <c r="J1187" s="3">
        <v>0</v>
      </c>
      <c r="K1187" s="3">
        <v>0</v>
      </c>
      <c r="L1187" s="3">
        <v>0</v>
      </c>
      <c r="M1187" s="3">
        <v>0</v>
      </c>
      <c r="N1187" s="3" t="s">
        <v>1711</v>
      </c>
      <c r="O1187" s="3">
        <v>0</v>
      </c>
      <c r="P1187" s="3">
        <v>0</v>
      </c>
      <c r="Q1187" s="3">
        <v>0</v>
      </c>
      <c r="R1187" s="3">
        <v>0</v>
      </c>
      <c r="S1187" s="3">
        <v>12</v>
      </c>
      <c r="T1187" s="3">
        <v>33</v>
      </c>
      <c r="U1187" s="3">
        <v>45</v>
      </c>
      <c r="V1187" s="3">
        <v>60</v>
      </c>
      <c r="W1187" s="3"/>
      <c r="X1187" s="3">
        <v>15.99</v>
      </c>
      <c r="Y1187" s="3">
        <v>15.99</v>
      </c>
      <c r="Z1187" s="3">
        <v>15.99</v>
      </c>
      <c r="AA1187" s="3">
        <v>0</v>
      </c>
      <c r="AB1187" s="3" t="s">
        <v>1713</v>
      </c>
      <c r="AC1187" s="3">
        <v>15</v>
      </c>
      <c r="AD1187" s="3">
        <v>15.99</v>
      </c>
      <c r="AE1187" s="3">
        <v>0</v>
      </c>
      <c r="AF1187" s="3">
        <v>0</v>
      </c>
      <c r="AG1187" s="3">
        <v>0</v>
      </c>
      <c r="AH1187" s="3">
        <v>13.8461538461538</v>
      </c>
      <c r="AI1187" s="3" t="s">
        <v>1881</v>
      </c>
      <c r="AJ1187" s="3" t="s">
        <v>1715</v>
      </c>
    </row>
    <row r="1188" spans="1:36">
      <c r="A1188" s="4">
        <v>43277</v>
      </c>
      <c r="B1188" s="3" t="s">
        <v>5336</v>
      </c>
      <c r="C1188" s="3" t="s">
        <v>5337</v>
      </c>
      <c r="D1188" s="3" t="s">
        <v>5338</v>
      </c>
      <c r="E1188" s="3" t="s">
        <v>1376</v>
      </c>
      <c r="F1188" s="3" t="s">
        <v>1710</v>
      </c>
      <c r="G1188" s="3">
        <v>2</v>
      </c>
      <c r="H1188" s="3">
        <v>0</v>
      </c>
      <c r="I1188" s="3">
        <v>2</v>
      </c>
      <c r="J1188" s="3">
        <v>0</v>
      </c>
      <c r="K1188" s="3">
        <v>0</v>
      </c>
      <c r="L1188" s="3">
        <v>0</v>
      </c>
      <c r="M1188" s="3">
        <v>0</v>
      </c>
      <c r="N1188" s="3" t="s">
        <v>1711</v>
      </c>
      <c r="O1188" s="3">
        <v>0</v>
      </c>
      <c r="P1188" s="3">
        <v>0</v>
      </c>
      <c r="Q1188" s="3">
        <v>0</v>
      </c>
      <c r="R1188" s="3">
        <v>0</v>
      </c>
      <c r="S1188" s="3">
        <v>0</v>
      </c>
      <c r="T1188" s="3">
        <v>5</v>
      </c>
      <c r="U1188" s="3">
        <v>9</v>
      </c>
      <c r="V1188" s="3">
        <v>10</v>
      </c>
      <c r="W1188" s="3" t="s">
        <v>1712</v>
      </c>
      <c r="X1188" s="3">
        <v>21.99</v>
      </c>
      <c r="Y1188" s="3">
        <v>21.99</v>
      </c>
      <c r="Z1188" s="3">
        <v>21.99</v>
      </c>
      <c r="AA1188" s="3">
        <v>0</v>
      </c>
      <c r="AB1188" s="3" t="s">
        <v>1713</v>
      </c>
      <c r="AC1188" s="3">
        <v>1</v>
      </c>
      <c r="AD1188" s="3">
        <v>21.99</v>
      </c>
      <c r="AE1188" s="3">
        <v>0</v>
      </c>
      <c r="AF1188" s="3">
        <v>0</v>
      </c>
      <c r="AG1188" s="3">
        <v>0</v>
      </c>
      <c r="AH1188" s="3">
        <v>1.81818181818181</v>
      </c>
      <c r="AI1188" s="3" t="s">
        <v>5339</v>
      </c>
      <c r="AJ1188" s="3" t="s">
        <v>1715</v>
      </c>
    </row>
    <row r="1189" spans="1:36">
      <c r="A1189" s="4">
        <v>43277</v>
      </c>
      <c r="B1189" s="3" t="s">
        <v>675</v>
      </c>
      <c r="C1189" s="3" t="s">
        <v>676</v>
      </c>
      <c r="D1189" s="3" t="s">
        <v>677</v>
      </c>
      <c r="E1189" s="3" t="s">
        <v>678</v>
      </c>
      <c r="F1189" s="3" t="s">
        <v>1710</v>
      </c>
      <c r="G1189" s="3">
        <v>69</v>
      </c>
      <c r="H1189" s="3">
        <v>0</v>
      </c>
      <c r="I1189" s="3">
        <v>69</v>
      </c>
      <c r="J1189" s="3">
        <v>0</v>
      </c>
      <c r="K1189" s="3">
        <v>0</v>
      </c>
      <c r="L1189" s="3">
        <v>0</v>
      </c>
      <c r="M1189" s="3">
        <v>0</v>
      </c>
      <c r="N1189" s="3" t="s">
        <v>1711</v>
      </c>
      <c r="O1189" s="3">
        <v>0</v>
      </c>
      <c r="P1189" s="3">
        <v>0</v>
      </c>
      <c r="Q1189" s="3">
        <v>0</v>
      </c>
      <c r="R1189" s="3">
        <v>0</v>
      </c>
      <c r="S1189" s="3">
        <v>2</v>
      </c>
      <c r="T1189" s="3">
        <v>11</v>
      </c>
      <c r="U1189" s="3">
        <v>25</v>
      </c>
      <c r="V1189" s="3">
        <v>33</v>
      </c>
      <c r="W1189" s="3"/>
      <c r="X1189" s="3">
        <v>38</v>
      </c>
      <c r="Y1189" s="3">
        <v>28.58</v>
      </c>
      <c r="Z1189" s="3">
        <v>28.58</v>
      </c>
      <c r="AA1189" s="3">
        <v>0</v>
      </c>
      <c r="AB1189" s="3" t="s">
        <v>1713</v>
      </c>
      <c r="AC1189" s="3">
        <v>24</v>
      </c>
      <c r="AD1189" s="3">
        <v>28.58</v>
      </c>
      <c r="AE1189" s="3">
        <v>0</v>
      </c>
      <c r="AF1189" s="3">
        <v>0</v>
      </c>
      <c r="AG1189" s="3">
        <v>0</v>
      </c>
      <c r="AH1189" s="3">
        <v>1.28155339805825</v>
      </c>
      <c r="AI1189" s="3" t="s">
        <v>5340</v>
      </c>
      <c r="AJ1189" s="3" t="s">
        <v>1715</v>
      </c>
    </row>
    <row r="1190" spans="1:36">
      <c r="A1190" s="4">
        <v>43277</v>
      </c>
      <c r="B1190" s="3" t="s">
        <v>5341</v>
      </c>
      <c r="C1190" s="3" t="s">
        <v>5342</v>
      </c>
      <c r="D1190" s="3" t="s">
        <v>5343</v>
      </c>
      <c r="E1190" s="3" t="s">
        <v>5344</v>
      </c>
      <c r="F1190" s="3" t="s">
        <v>1710</v>
      </c>
      <c r="G1190" s="3">
        <v>11</v>
      </c>
      <c r="H1190" s="3">
        <v>0</v>
      </c>
      <c r="I1190" s="3">
        <v>11</v>
      </c>
      <c r="J1190" s="3">
        <v>0</v>
      </c>
      <c r="K1190" s="3">
        <v>0</v>
      </c>
      <c r="L1190" s="3">
        <v>0</v>
      </c>
      <c r="M1190" s="3">
        <v>0</v>
      </c>
      <c r="N1190" s="3" t="s">
        <v>1711</v>
      </c>
      <c r="O1190" s="3">
        <v>0</v>
      </c>
      <c r="P1190" s="3">
        <v>0</v>
      </c>
      <c r="Q1190" s="3">
        <v>0</v>
      </c>
      <c r="R1190" s="3">
        <v>0</v>
      </c>
      <c r="S1190" s="3">
        <v>1</v>
      </c>
      <c r="T1190" s="3">
        <v>4</v>
      </c>
      <c r="U1190" s="3">
        <v>12</v>
      </c>
      <c r="V1190" s="3">
        <v>16</v>
      </c>
      <c r="W1190" s="3"/>
      <c r="X1190" s="3">
        <v>14.99</v>
      </c>
      <c r="Y1190" s="3">
        <v>14.99</v>
      </c>
      <c r="Z1190" s="3">
        <v>14.99</v>
      </c>
      <c r="AA1190" s="3">
        <v>0</v>
      </c>
      <c r="AB1190" s="3" t="s">
        <v>1713</v>
      </c>
      <c r="AC1190" s="3">
        <v>11</v>
      </c>
      <c r="AD1190" s="3">
        <v>14.99</v>
      </c>
      <c r="AE1190" s="3">
        <v>0</v>
      </c>
      <c r="AF1190" s="3">
        <v>0</v>
      </c>
      <c r="AG1190" s="3">
        <v>0</v>
      </c>
      <c r="AH1190" s="3">
        <v>1.25490196078431</v>
      </c>
      <c r="AI1190" s="3" t="s">
        <v>4901</v>
      </c>
      <c r="AJ1190" s="3" t="s">
        <v>1715</v>
      </c>
    </row>
    <row r="1191" spans="1:36">
      <c r="A1191" s="4">
        <v>43277</v>
      </c>
      <c r="B1191" s="3" t="s">
        <v>5345</v>
      </c>
      <c r="C1191" s="3" t="s">
        <v>5346</v>
      </c>
      <c r="D1191" s="3" t="s">
        <v>5347</v>
      </c>
      <c r="E1191" s="3" t="s">
        <v>5348</v>
      </c>
      <c r="F1191" s="3" t="s">
        <v>1710</v>
      </c>
      <c r="G1191" s="3">
        <v>7</v>
      </c>
      <c r="H1191" s="3">
        <v>0</v>
      </c>
      <c r="I1191" s="3">
        <v>0</v>
      </c>
      <c r="J1191" s="3">
        <v>0</v>
      </c>
      <c r="K1191" s="3">
        <v>7</v>
      </c>
      <c r="L1191" s="3">
        <v>0</v>
      </c>
      <c r="M1191" s="3">
        <v>0</v>
      </c>
      <c r="N1191" s="3" t="s">
        <v>1711</v>
      </c>
      <c r="O1191" s="3">
        <v>7</v>
      </c>
      <c r="P1191" s="3">
        <v>9.13</v>
      </c>
      <c r="Q1191" s="3">
        <v>0</v>
      </c>
      <c r="R1191" s="3">
        <v>0</v>
      </c>
      <c r="S1191" s="3">
        <v>0</v>
      </c>
      <c r="T1191" s="3">
        <v>0</v>
      </c>
      <c r="U1191" s="3">
        <v>0</v>
      </c>
      <c r="V1191" s="3">
        <v>0</v>
      </c>
      <c r="W1191" s="3" t="s">
        <v>1720</v>
      </c>
      <c r="X1191" s="3">
        <v>17.99</v>
      </c>
      <c r="Y1191" s="3">
        <v>17.99</v>
      </c>
      <c r="Z1191" s="3">
        <v>17.99</v>
      </c>
      <c r="AA1191" s="3">
        <v>0</v>
      </c>
      <c r="AB1191" s="3" t="s">
        <v>1732</v>
      </c>
      <c r="AC1191" s="3">
        <v>0</v>
      </c>
      <c r="AD1191" s="3">
        <v>16.27</v>
      </c>
      <c r="AE1191" s="3">
        <v>119</v>
      </c>
      <c r="AF1191" s="3">
        <v>0</v>
      </c>
      <c r="AG1191" s="3">
        <v>164.871902</v>
      </c>
      <c r="AH1191" s="3">
        <v>0</v>
      </c>
      <c r="AI1191" s="3" t="s">
        <v>2165</v>
      </c>
      <c r="AJ1191" s="3" t="s">
        <v>1715</v>
      </c>
    </row>
    <row r="1192" spans="1:36">
      <c r="A1192" s="4">
        <v>43277</v>
      </c>
      <c r="B1192" s="3" t="s">
        <v>5349</v>
      </c>
      <c r="C1192" s="3" t="s">
        <v>5350</v>
      </c>
      <c r="D1192" s="3" t="s">
        <v>5351</v>
      </c>
      <c r="E1192" s="3" t="s">
        <v>1755</v>
      </c>
      <c r="F1192" s="3" t="s">
        <v>1710</v>
      </c>
      <c r="G1192" s="3">
        <v>10</v>
      </c>
      <c r="H1192" s="3">
        <v>0</v>
      </c>
      <c r="I1192" s="3">
        <v>10</v>
      </c>
      <c r="J1192" s="3">
        <v>0</v>
      </c>
      <c r="K1192" s="3">
        <v>0</v>
      </c>
      <c r="L1192" s="3">
        <v>0</v>
      </c>
      <c r="M1192" s="3">
        <v>0</v>
      </c>
      <c r="N1192" s="3" t="s">
        <v>1711</v>
      </c>
      <c r="O1192" s="3">
        <v>0</v>
      </c>
      <c r="P1192" s="3">
        <v>0</v>
      </c>
      <c r="Q1192" s="3">
        <v>0</v>
      </c>
      <c r="R1192" s="3">
        <v>0</v>
      </c>
      <c r="S1192" s="3">
        <v>0</v>
      </c>
      <c r="T1192" s="3">
        <v>0</v>
      </c>
      <c r="U1192" s="3">
        <v>0</v>
      </c>
      <c r="V1192" s="3">
        <v>0</v>
      </c>
      <c r="W1192" s="3" t="s">
        <v>1720</v>
      </c>
      <c r="X1192" s="3">
        <v>15.99</v>
      </c>
      <c r="Y1192" s="3">
        <v>15.99</v>
      </c>
      <c r="Z1192" s="3">
        <v>15.99</v>
      </c>
      <c r="AA1192" s="3">
        <v>0</v>
      </c>
      <c r="AB1192" s="3" t="s">
        <v>1721</v>
      </c>
      <c r="AC1192" s="3">
        <v>10</v>
      </c>
      <c r="AD1192" s="3">
        <v>15.99</v>
      </c>
      <c r="AE1192" s="3">
        <v>0</v>
      </c>
      <c r="AF1192" s="3">
        <v>0</v>
      </c>
      <c r="AG1192" s="3">
        <v>0</v>
      </c>
      <c r="AH1192" s="3">
        <v>0</v>
      </c>
      <c r="AI1192" s="3" t="s">
        <v>5352</v>
      </c>
      <c r="AJ1192" s="3" t="s">
        <v>1715</v>
      </c>
    </row>
    <row r="1193" spans="1:36">
      <c r="A1193" s="4">
        <v>43277</v>
      </c>
      <c r="B1193" s="3" t="s">
        <v>5353</v>
      </c>
      <c r="C1193" s="3" t="s">
        <v>5354</v>
      </c>
      <c r="D1193" s="3" t="s">
        <v>5355</v>
      </c>
      <c r="E1193" s="3" t="s">
        <v>5356</v>
      </c>
      <c r="F1193" s="3" t="s">
        <v>1710</v>
      </c>
      <c r="G1193" s="3">
        <v>5</v>
      </c>
      <c r="H1193" s="3">
        <v>0</v>
      </c>
      <c r="I1193" s="3">
        <v>5</v>
      </c>
      <c r="J1193" s="3">
        <v>0</v>
      </c>
      <c r="K1193" s="3">
        <v>0</v>
      </c>
      <c r="L1193" s="3">
        <v>0</v>
      </c>
      <c r="M1193" s="3">
        <v>0</v>
      </c>
      <c r="N1193" s="3" t="s">
        <v>1711</v>
      </c>
      <c r="O1193" s="3">
        <v>0</v>
      </c>
      <c r="P1193" s="3">
        <v>0</v>
      </c>
      <c r="Q1193" s="3">
        <v>0</v>
      </c>
      <c r="R1193" s="3">
        <v>0</v>
      </c>
      <c r="S1193" s="3">
        <v>1</v>
      </c>
      <c r="T1193" s="3">
        <v>4</v>
      </c>
      <c r="U1193" s="3">
        <v>8</v>
      </c>
      <c r="V1193" s="3">
        <v>8</v>
      </c>
      <c r="W1193" s="3"/>
      <c r="X1193" s="3">
        <v>38</v>
      </c>
      <c r="Y1193" s="3">
        <v>25.58</v>
      </c>
      <c r="Z1193" s="3">
        <v>25.58</v>
      </c>
      <c r="AA1193" s="3">
        <v>0</v>
      </c>
      <c r="AB1193" s="3" t="s">
        <v>1713</v>
      </c>
      <c r="AC1193" s="3">
        <v>6</v>
      </c>
      <c r="AD1193" s="3">
        <v>25.58</v>
      </c>
      <c r="AE1193" s="3">
        <v>0</v>
      </c>
      <c r="AF1193" s="3">
        <v>0</v>
      </c>
      <c r="AG1193" s="3">
        <v>0</v>
      </c>
      <c r="AH1193" s="3">
        <v>0.914285714285714</v>
      </c>
      <c r="AI1193" s="3" t="s">
        <v>5357</v>
      </c>
      <c r="AJ1193" s="3" t="s">
        <v>1715</v>
      </c>
    </row>
    <row r="1194" spans="1:36">
      <c r="A1194" s="4">
        <v>43277</v>
      </c>
      <c r="B1194" s="3" t="s">
        <v>1469</v>
      </c>
      <c r="C1194" s="3" t="s">
        <v>1470</v>
      </c>
      <c r="D1194" s="3" t="s">
        <v>1471</v>
      </c>
      <c r="E1194" s="3" t="s">
        <v>1472</v>
      </c>
      <c r="F1194" s="3" t="s">
        <v>1710</v>
      </c>
      <c r="G1194" s="3">
        <v>1</v>
      </c>
      <c r="H1194" s="3">
        <v>0</v>
      </c>
      <c r="I1194" s="3">
        <v>1</v>
      </c>
      <c r="J1194" s="3">
        <v>0</v>
      </c>
      <c r="K1194" s="3">
        <v>0</v>
      </c>
      <c r="L1194" s="3">
        <v>0</v>
      </c>
      <c r="M1194" s="3">
        <v>0</v>
      </c>
      <c r="N1194" s="3" t="s">
        <v>1711</v>
      </c>
      <c r="O1194" s="3">
        <v>0</v>
      </c>
      <c r="P1194" s="3">
        <v>0</v>
      </c>
      <c r="Q1194" s="3">
        <v>0</v>
      </c>
      <c r="R1194" s="3">
        <v>0</v>
      </c>
      <c r="S1194" s="3">
        <v>3</v>
      </c>
      <c r="T1194" s="3">
        <v>13</v>
      </c>
      <c r="U1194" s="3">
        <v>20</v>
      </c>
      <c r="V1194" s="3">
        <v>20</v>
      </c>
      <c r="W1194" s="3"/>
      <c r="X1194" s="3"/>
      <c r="Y1194" s="3"/>
      <c r="Z1194" s="3">
        <v>-1</v>
      </c>
      <c r="AA1194" s="3">
        <v>-1</v>
      </c>
      <c r="AB1194" s="3" t="s">
        <v>1776</v>
      </c>
      <c r="AC1194" s="3">
        <v>3</v>
      </c>
      <c r="AD1194" s="3">
        <v>25.58</v>
      </c>
      <c r="AE1194" s="3">
        <v>0</v>
      </c>
      <c r="AF1194" s="3">
        <v>0</v>
      </c>
      <c r="AG1194" s="3">
        <v>0</v>
      </c>
      <c r="AH1194" s="3">
        <v>4</v>
      </c>
      <c r="AI1194" s="3" t="s">
        <v>2203</v>
      </c>
      <c r="AJ1194" s="3" t="s">
        <v>1715</v>
      </c>
    </row>
    <row r="1195" spans="1:36">
      <c r="A1195" s="4">
        <v>43277</v>
      </c>
      <c r="B1195" s="3" t="s">
        <v>1171</v>
      </c>
      <c r="C1195" s="3" t="s">
        <v>1172</v>
      </c>
      <c r="D1195" s="3" t="s">
        <v>1173</v>
      </c>
      <c r="E1195" s="3" t="s">
        <v>1140</v>
      </c>
      <c r="F1195" s="3" t="s">
        <v>1710</v>
      </c>
      <c r="G1195" s="3">
        <v>3</v>
      </c>
      <c r="H1195" s="3">
        <v>0</v>
      </c>
      <c r="I1195" s="3">
        <v>3</v>
      </c>
      <c r="J1195" s="3">
        <v>0</v>
      </c>
      <c r="K1195" s="3">
        <v>0</v>
      </c>
      <c r="L1195" s="3">
        <v>0</v>
      </c>
      <c r="M1195" s="3">
        <v>0</v>
      </c>
      <c r="N1195" s="3" t="s">
        <v>1711</v>
      </c>
      <c r="O1195" s="3">
        <v>0</v>
      </c>
      <c r="P1195" s="3">
        <v>0</v>
      </c>
      <c r="Q1195" s="3">
        <v>0</v>
      </c>
      <c r="R1195" s="3">
        <v>0</v>
      </c>
      <c r="S1195" s="3">
        <v>1</v>
      </c>
      <c r="T1195" s="3">
        <v>7</v>
      </c>
      <c r="U1195" s="3">
        <v>7</v>
      </c>
      <c r="V1195" s="3">
        <v>7</v>
      </c>
      <c r="W1195" s="3" t="s">
        <v>1712</v>
      </c>
      <c r="X1195" s="3">
        <v>39.99</v>
      </c>
      <c r="Y1195" s="3">
        <v>21.99</v>
      </c>
      <c r="Z1195" s="3">
        <v>21.99</v>
      </c>
      <c r="AA1195" s="3">
        <v>0</v>
      </c>
      <c r="AB1195" s="3" t="s">
        <v>1713</v>
      </c>
      <c r="AC1195" s="3">
        <v>4</v>
      </c>
      <c r="AD1195" s="3">
        <v>21.99</v>
      </c>
      <c r="AE1195" s="3">
        <v>0</v>
      </c>
      <c r="AF1195" s="3">
        <v>0</v>
      </c>
      <c r="AG1195" s="3">
        <v>0</v>
      </c>
      <c r="AH1195" s="3">
        <v>7</v>
      </c>
      <c r="AI1195" s="3" t="s">
        <v>2295</v>
      </c>
      <c r="AJ1195" s="3" t="s">
        <v>1715</v>
      </c>
    </row>
    <row r="1196" spans="1:36">
      <c r="A1196" s="4">
        <v>43277</v>
      </c>
      <c r="B1196" s="3" t="s">
        <v>5358</v>
      </c>
      <c r="C1196" s="3" t="s">
        <v>5359</v>
      </c>
      <c r="D1196" s="3" t="s">
        <v>5360</v>
      </c>
      <c r="E1196" s="3" t="s">
        <v>5361</v>
      </c>
      <c r="F1196" s="3" t="s">
        <v>1710</v>
      </c>
      <c r="G1196" s="3">
        <v>2</v>
      </c>
      <c r="H1196" s="3">
        <v>0</v>
      </c>
      <c r="I1196" s="3">
        <v>0</v>
      </c>
      <c r="J1196" s="3">
        <v>0</v>
      </c>
      <c r="K1196" s="3">
        <v>2</v>
      </c>
      <c r="L1196" s="3">
        <v>0</v>
      </c>
      <c r="M1196" s="3">
        <v>0</v>
      </c>
      <c r="N1196" s="3" t="s">
        <v>1711</v>
      </c>
      <c r="O1196" s="3">
        <v>2</v>
      </c>
      <c r="P1196" s="3">
        <v>0.01</v>
      </c>
      <c r="Q1196" s="3">
        <v>0</v>
      </c>
      <c r="R1196" s="3">
        <v>0</v>
      </c>
      <c r="S1196" s="3">
        <v>0</v>
      </c>
      <c r="T1196" s="3">
        <v>0</v>
      </c>
      <c r="U1196" s="3">
        <v>0</v>
      </c>
      <c r="V1196" s="3">
        <v>0</v>
      </c>
      <c r="W1196" s="3" t="s">
        <v>1720</v>
      </c>
      <c r="X1196" s="3">
        <v>14.19</v>
      </c>
      <c r="Y1196" s="3">
        <v>14.19</v>
      </c>
      <c r="Z1196" s="3">
        <v>14.19</v>
      </c>
      <c r="AA1196" s="3">
        <v>0</v>
      </c>
      <c r="AB1196" s="3" t="s">
        <v>1732</v>
      </c>
      <c r="AC1196" s="3">
        <v>1</v>
      </c>
      <c r="AD1196" s="3">
        <v>13.44</v>
      </c>
      <c r="AE1196" s="3">
        <v>35</v>
      </c>
      <c r="AF1196" s="3">
        <v>0</v>
      </c>
      <c r="AG1196" s="3">
        <v>15.571703</v>
      </c>
      <c r="AH1196" s="3">
        <v>0</v>
      </c>
      <c r="AI1196" s="3" t="s">
        <v>1782</v>
      </c>
      <c r="AJ1196" s="3" t="s">
        <v>1783</v>
      </c>
    </row>
    <row r="1197" spans="1:36">
      <c r="A1197" s="4">
        <v>43277</v>
      </c>
      <c r="B1197" s="3" t="s">
        <v>5362</v>
      </c>
      <c r="C1197" s="3" t="s">
        <v>5363</v>
      </c>
      <c r="D1197" s="3" t="s">
        <v>5364</v>
      </c>
      <c r="E1197" s="3" t="s">
        <v>5365</v>
      </c>
      <c r="F1197" s="3" t="s">
        <v>1710</v>
      </c>
      <c r="G1197" s="3">
        <v>47</v>
      </c>
      <c r="H1197" s="3">
        <v>0</v>
      </c>
      <c r="I1197" s="3">
        <v>2</v>
      </c>
      <c r="J1197" s="3">
        <v>16</v>
      </c>
      <c r="K1197" s="3">
        <v>29</v>
      </c>
      <c r="L1197" s="3">
        <v>0</v>
      </c>
      <c r="M1197" s="3">
        <v>0</v>
      </c>
      <c r="N1197" s="3" t="s">
        <v>1711</v>
      </c>
      <c r="O1197" s="3">
        <v>42</v>
      </c>
      <c r="P1197" s="3">
        <v>25.13</v>
      </c>
      <c r="Q1197" s="3">
        <v>0</v>
      </c>
      <c r="R1197" s="3">
        <v>0</v>
      </c>
      <c r="S1197" s="3">
        <v>0</v>
      </c>
      <c r="T1197" s="3">
        <v>0</v>
      </c>
      <c r="U1197" s="3">
        <v>2</v>
      </c>
      <c r="V1197" s="3">
        <v>9</v>
      </c>
      <c r="W1197" s="3" t="s">
        <v>1712</v>
      </c>
      <c r="X1197" s="3">
        <v>16.99</v>
      </c>
      <c r="Y1197" s="3">
        <v>16.99</v>
      </c>
      <c r="Z1197" s="3">
        <v>16</v>
      </c>
      <c r="AA1197" s="3">
        <v>0</v>
      </c>
      <c r="AB1197" s="3" t="s">
        <v>1732</v>
      </c>
      <c r="AC1197" s="3">
        <v>6</v>
      </c>
      <c r="AD1197" s="3">
        <v>15.79</v>
      </c>
      <c r="AE1197" s="3">
        <v>112</v>
      </c>
      <c r="AF1197" s="3">
        <v>0</v>
      </c>
      <c r="AG1197" s="3">
        <v>769.088069</v>
      </c>
      <c r="AH1197" s="3">
        <v>0.0902255639097744</v>
      </c>
      <c r="AI1197" s="3" t="s">
        <v>1905</v>
      </c>
      <c r="AJ1197" s="3" t="s">
        <v>1715</v>
      </c>
    </row>
    <row r="1198" spans="1:36">
      <c r="A1198" s="4">
        <v>43277</v>
      </c>
      <c r="B1198" s="3" t="s">
        <v>5366</v>
      </c>
      <c r="C1198" s="3" t="s">
        <v>5367</v>
      </c>
      <c r="D1198" s="3" t="s">
        <v>5368</v>
      </c>
      <c r="E1198" s="3" t="s">
        <v>5369</v>
      </c>
      <c r="F1198" s="3" t="s">
        <v>1710</v>
      </c>
      <c r="G1198" s="3">
        <v>4</v>
      </c>
      <c r="H1198" s="3">
        <v>0</v>
      </c>
      <c r="I1198" s="3">
        <v>4</v>
      </c>
      <c r="J1198" s="3">
        <v>0</v>
      </c>
      <c r="K1198" s="3">
        <v>0</v>
      </c>
      <c r="L1198" s="3">
        <v>0</v>
      </c>
      <c r="M1198" s="3">
        <v>0</v>
      </c>
      <c r="N1198" s="3" t="s">
        <v>1711</v>
      </c>
      <c r="O1198" s="3">
        <v>0</v>
      </c>
      <c r="P1198" s="3">
        <v>0</v>
      </c>
      <c r="Q1198" s="3">
        <v>0</v>
      </c>
      <c r="R1198" s="3">
        <v>0</v>
      </c>
      <c r="S1198" s="3">
        <v>0</v>
      </c>
      <c r="T1198" s="3">
        <v>4</v>
      </c>
      <c r="U1198" s="3">
        <v>6</v>
      </c>
      <c r="V1198" s="3">
        <v>8</v>
      </c>
      <c r="W1198" s="3"/>
      <c r="X1198" s="3">
        <v>15.99</v>
      </c>
      <c r="Y1198" s="3">
        <v>15.99</v>
      </c>
      <c r="Z1198" s="3">
        <v>15.99</v>
      </c>
      <c r="AA1198" s="3">
        <v>0</v>
      </c>
      <c r="AB1198" s="3" t="s">
        <v>1713</v>
      </c>
      <c r="AC1198" s="3">
        <v>5</v>
      </c>
      <c r="AD1198" s="3">
        <v>15.99</v>
      </c>
      <c r="AE1198" s="3">
        <v>0</v>
      </c>
      <c r="AF1198" s="3">
        <v>0</v>
      </c>
      <c r="AG1198" s="3">
        <v>0</v>
      </c>
      <c r="AH1198" s="3">
        <v>2.46153846153846</v>
      </c>
      <c r="AI1198" s="3" t="s">
        <v>2542</v>
      </c>
      <c r="AJ1198" s="3" t="s">
        <v>1715</v>
      </c>
    </row>
    <row r="1199" spans="1:36">
      <c r="A1199" s="4">
        <v>43277</v>
      </c>
      <c r="B1199" s="3" t="s">
        <v>1206</v>
      </c>
      <c r="C1199" s="3" t="s">
        <v>1207</v>
      </c>
      <c r="D1199" s="3" t="s">
        <v>1208</v>
      </c>
      <c r="E1199" s="3" t="s">
        <v>1209</v>
      </c>
      <c r="F1199" s="3" t="s">
        <v>1710</v>
      </c>
      <c r="G1199" s="3">
        <v>15</v>
      </c>
      <c r="H1199" s="3">
        <v>0</v>
      </c>
      <c r="I1199" s="3">
        <v>15</v>
      </c>
      <c r="J1199" s="3">
        <v>0</v>
      </c>
      <c r="K1199" s="3">
        <v>0</v>
      </c>
      <c r="L1199" s="3">
        <v>0</v>
      </c>
      <c r="M1199" s="3">
        <v>0</v>
      </c>
      <c r="N1199" s="3" t="s">
        <v>1711</v>
      </c>
      <c r="O1199" s="3">
        <v>0</v>
      </c>
      <c r="P1199" s="3">
        <v>0</v>
      </c>
      <c r="Q1199" s="3">
        <v>0</v>
      </c>
      <c r="R1199" s="3">
        <v>0</v>
      </c>
      <c r="S1199" s="3">
        <v>0</v>
      </c>
      <c r="T1199" s="3">
        <v>0</v>
      </c>
      <c r="U1199" s="3">
        <v>0</v>
      </c>
      <c r="V1199" s="3">
        <v>0</v>
      </c>
      <c r="W1199" s="3" t="s">
        <v>1712</v>
      </c>
      <c r="X1199" s="3">
        <v>19.99</v>
      </c>
      <c r="Y1199" s="3">
        <v>19.99</v>
      </c>
      <c r="Z1199" s="3">
        <v>19.99</v>
      </c>
      <c r="AA1199" s="3">
        <v>0</v>
      </c>
      <c r="AB1199" s="3" t="s">
        <v>1713</v>
      </c>
      <c r="AC1199" s="3">
        <v>15</v>
      </c>
      <c r="AD1199" s="3">
        <v>19.99</v>
      </c>
      <c r="AE1199" s="3">
        <v>0</v>
      </c>
      <c r="AF1199" s="3">
        <v>0</v>
      </c>
      <c r="AG1199" s="3">
        <v>0</v>
      </c>
      <c r="AH1199" s="3">
        <v>0</v>
      </c>
      <c r="AI1199" s="3" t="s">
        <v>1714</v>
      </c>
      <c r="AJ1199" s="3" t="s">
        <v>1715</v>
      </c>
    </row>
    <row r="1200" spans="1:36">
      <c r="A1200" s="4">
        <v>43277</v>
      </c>
      <c r="B1200" s="3" t="s">
        <v>5370</v>
      </c>
      <c r="C1200" s="3" t="s">
        <v>5371</v>
      </c>
      <c r="D1200" s="3" t="s">
        <v>5372</v>
      </c>
      <c r="E1200" s="3" t="s">
        <v>5373</v>
      </c>
      <c r="F1200" s="3" t="s">
        <v>1710</v>
      </c>
      <c r="G1200" s="3">
        <v>2</v>
      </c>
      <c r="H1200" s="3">
        <v>0</v>
      </c>
      <c r="I1200" s="3">
        <v>1</v>
      </c>
      <c r="J1200" s="3">
        <v>1</v>
      </c>
      <c r="K1200" s="3">
        <v>0</v>
      </c>
      <c r="L1200" s="3">
        <v>0</v>
      </c>
      <c r="M1200" s="3">
        <v>0</v>
      </c>
      <c r="N1200" s="3" t="s">
        <v>1711</v>
      </c>
      <c r="O1200" s="3">
        <v>0</v>
      </c>
      <c r="P1200" s="3">
        <v>0</v>
      </c>
      <c r="Q1200" s="3">
        <v>0</v>
      </c>
      <c r="R1200" s="3">
        <v>0</v>
      </c>
      <c r="S1200" s="3">
        <v>0</v>
      </c>
      <c r="T1200" s="3">
        <v>2</v>
      </c>
      <c r="U1200" s="3">
        <v>2</v>
      </c>
      <c r="V1200" s="3">
        <v>2</v>
      </c>
      <c r="W1200" s="3"/>
      <c r="X1200" s="3">
        <v>15.99</v>
      </c>
      <c r="Y1200" s="3">
        <v>15.99</v>
      </c>
      <c r="Z1200" s="3">
        <v>15.99</v>
      </c>
      <c r="AA1200" s="3">
        <v>0</v>
      </c>
      <c r="AB1200" s="3" t="s">
        <v>1713</v>
      </c>
      <c r="AC1200" s="3">
        <v>3</v>
      </c>
      <c r="AD1200" s="3">
        <v>15.99</v>
      </c>
      <c r="AE1200" s="3">
        <v>0</v>
      </c>
      <c r="AF1200" s="3">
        <v>0</v>
      </c>
      <c r="AG1200" s="3">
        <v>0</v>
      </c>
      <c r="AH1200" s="3">
        <v>0.571428571428571</v>
      </c>
      <c r="AI1200" s="3" t="s">
        <v>3291</v>
      </c>
      <c r="AJ1200" s="3" t="s">
        <v>1715</v>
      </c>
    </row>
    <row r="1201" spans="1:36">
      <c r="A1201" s="4">
        <v>43277</v>
      </c>
      <c r="B1201" s="3" t="s">
        <v>5374</v>
      </c>
      <c r="C1201" s="3" t="s">
        <v>5375</v>
      </c>
      <c r="D1201" s="3" t="s">
        <v>5376</v>
      </c>
      <c r="E1201" s="3" t="s">
        <v>5377</v>
      </c>
      <c r="F1201" s="3" t="s">
        <v>1710</v>
      </c>
      <c r="G1201" s="3">
        <v>3</v>
      </c>
      <c r="H1201" s="3">
        <v>0</v>
      </c>
      <c r="I1201" s="3">
        <v>1</v>
      </c>
      <c r="J1201" s="3">
        <v>2</v>
      </c>
      <c r="K1201" s="3">
        <v>0</v>
      </c>
      <c r="L1201" s="3">
        <v>0</v>
      </c>
      <c r="M1201" s="3">
        <v>0</v>
      </c>
      <c r="N1201" s="3" t="s">
        <v>1711</v>
      </c>
      <c r="O1201" s="3">
        <v>1</v>
      </c>
      <c r="P1201" s="3">
        <v>1.93</v>
      </c>
      <c r="Q1201" s="3">
        <v>0</v>
      </c>
      <c r="R1201" s="3">
        <v>0</v>
      </c>
      <c r="S1201" s="3">
        <v>0</v>
      </c>
      <c r="T1201" s="3">
        <v>4</v>
      </c>
      <c r="U1201" s="3">
        <v>5</v>
      </c>
      <c r="V1201" s="3">
        <v>7</v>
      </c>
      <c r="W1201" s="3"/>
      <c r="X1201" s="3">
        <v>19.97</v>
      </c>
      <c r="Y1201" s="3">
        <v>20.99</v>
      </c>
      <c r="Z1201" s="3">
        <v>19.99</v>
      </c>
      <c r="AA1201" s="3">
        <v>0</v>
      </c>
      <c r="AB1201" s="3" t="s">
        <v>1713</v>
      </c>
      <c r="AC1201" s="3">
        <v>4</v>
      </c>
      <c r="AD1201" s="3">
        <v>20.99</v>
      </c>
      <c r="AE1201" s="3">
        <v>0</v>
      </c>
      <c r="AF1201" s="3">
        <v>0</v>
      </c>
      <c r="AG1201" s="3">
        <v>0</v>
      </c>
      <c r="AH1201" s="3">
        <v>0.368421052631578</v>
      </c>
      <c r="AI1201" s="3" t="s">
        <v>5378</v>
      </c>
      <c r="AJ1201" s="3" t="s">
        <v>1783</v>
      </c>
    </row>
    <row r="1202" spans="1:36">
      <c r="A1202" s="4">
        <v>43277</v>
      </c>
      <c r="B1202" s="3" t="s">
        <v>5379</v>
      </c>
      <c r="C1202" s="3" t="s">
        <v>5380</v>
      </c>
      <c r="D1202" s="3" t="s">
        <v>5381</v>
      </c>
      <c r="E1202" s="3" t="s">
        <v>5382</v>
      </c>
      <c r="F1202" s="3" t="s">
        <v>1710</v>
      </c>
      <c r="G1202" s="3">
        <v>20</v>
      </c>
      <c r="H1202" s="3">
        <v>0</v>
      </c>
      <c r="I1202" s="3">
        <v>0</v>
      </c>
      <c r="J1202" s="3">
        <v>20</v>
      </c>
      <c r="K1202" s="3">
        <v>0</v>
      </c>
      <c r="L1202" s="3">
        <v>0</v>
      </c>
      <c r="M1202" s="3">
        <v>0</v>
      </c>
      <c r="N1202" s="3" t="s">
        <v>1711</v>
      </c>
      <c r="O1202" s="3">
        <v>20</v>
      </c>
      <c r="P1202" s="3">
        <v>29.48</v>
      </c>
      <c r="Q1202" s="3">
        <v>0</v>
      </c>
      <c r="R1202" s="3">
        <v>0</v>
      </c>
      <c r="S1202" s="3">
        <v>0</v>
      </c>
      <c r="T1202" s="3">
        <v>0</v>
      </c>
      <c r="U1202" s="3">
        <v>0</v>
      </c>
      <c r="V1202" s="3">
        <v>0</v>
      </c>
      <c r="W1202" s="3" t="s">
        <v>1720</v>
      </c>
      <c r="X1202" s="3">
        <v>35</v>
      </c>
      <c r="Y1202" s="3">
        <v>13.99</v>
      </c>
      <c r="Z1202" s="3">
        <v>13.99</v>
      </c>
      <c r="AA1202" s="3">
        <v>0</v>
      </c>
      <c r="AB1202" s="3" t="s">
        <v>1732</v>
      </c>
      <c r="AC1202" s="3">
        <v>0</v>
      </c>
      <c r="AD1202" s="3">
        <v>11.19</v>
      </c>
      <c r="AE1202" s="3">
        <v>63</v>
      </c>
      <c r="AF1202" s="3">
        <v>0</v>
      </c>
      <c r="AG1202" s="3">
        <v>347.567355</v>
      </c>
      <c r="AH1202" s="3">
        <v>0</v>
      </c>
      <c r="AI1202" s="3" t="s">
        <v>1770</v>
      </c>
      <c r="AJ1202" s="3" t="s">
        <v>1715</v>
      </c>
    </row>
    <row r="1203" spans="1:36">
      <c r="A1203" s="4">
        <v>43277</v>
      </c>
      <c r="B1203" s="3" t="s">
        <v>5383</v>
      </c>
      <c r="C1203" s="3" t="s">
        <v>5384</v>
      </c>
      <c r="D1203" s="3" t="s">
        <v>5385</v>
      </c>
      <c r="E1203" s="3" t="s">
        <v>2098</v>
      </c>
      <c r="F1203" s="3" t="s">
        <v>1710</v>
      </c>
      <c r="G1203" s="3">
        <v>44</v>
      </c>
      <c r="H1203" s="3">
        <v>0</v>
      </c>
      <c r="I1203" s="3">
        <v>2</v>
      </c>
      <c r="J1203" s="3">
        <v>42</v>
      </c>
      <c r="K1203" s="3">
        <v>0</v>
      </c>
      <c r="L1203" s="3">
        <v>0</v>
      </c>
      <c r="M1203" s="3">
        <v>0</v>
      </c>
      <c r="N1203" s="3" t="s">
        <v>1711</v>
      </c>
      <c r="O1203" s="3">
        <v>41</v>
      </c>
      <c r="P1203" s="3">
        <v>35.41</v>
      </c>
      <c r="Q1203" s="3">
        <v>0</v>
      </c>
      <c r="R1203" s="3">
        <v>0</v>
      </c>
      <c r="S1203" s="3">
        <v>0</v>
      </c>
      <c r="T1203" s="3">
        <v>1</v>
      </c>
      <c r="U1203" s="3">
        <v>8</v>
      </c>
      <c r="V1203" s="3">
        <v>21</v>
      </c>
      <c r="W1203" s="3" t="s">
        <v>1720</v>
      </c>
      <c r="X1203" s="3">
        <v>29.99</v>
      </c>
      <c r="Y1203" s="3">
        <v>29.99</v>
      </c>
      <c r="Z1203" s="3">
        <v>25</v>
      </c>
      <c r="AA1203" s="3">
        <v>0</v>
      </c>
      <c r="AB1203" s="3" t="s">
        <v>1721</v>
      </c>
      <c r="AC1203" s="3">
        <v>0</v>
      </c>
      <c r="AD1203" s="3">
        <v>14.19</v>
      </c>
      <c r="AE1203" s="3">
        <v>308</v>
      </c>
      <c r="AF1203" s="3">
        <v>0</v>
      </c>
      <c r="AG1203" s="3">
        <v>505.229105</v>
      </c>
      <c r="AH1203" s="3">
        <v>0.345679012345679</v>
      </c>
      <c r="AI1203" s="3" t="s">
        <v>5386</v>
      </c>
      <c r="AJ1203" s="3" t="s">
        <v>1783</v>
      </c>
    </row>
    <row r="1204" spans="1:36">
      <c r="A1204" s="4">
        <v>43277</v>
      </c>
      <c r="B1204" s="3" t="s">
        <v>5387</v>
      </c>
      <c r="C1204" s="3" t="s">
        <v>5388</v>
      </c>
      <c r="D1204" s="3" t="s">
        <v>5389</v>
      </c>
      <c r="E1204" s="3" t="s">
        <v>5390</v>
      </c>
      <c r="F1204" s="3" t="s">
        <v>1710</v>
      </c>
      <c r="G1204" s="3">
        <v>2</v>
      </c>
      <c r="H1204" s="3">
        <v>0</v>
      </c>
      <c r="I1204" s="3">
        <v>1</v>
      </c>
      <c r="J1204" s="3">
        <v>1</v>
      </c>
      <c r="K1204" s="3">
        <v>0</v>
      </c>
      <c r="L1204" s="3">
        <v>0</v>
      </c>
      <c r="M1204" s="3">
        <v>0</v>
      </c>
      <c r="N1204" s="3" t="s">
        <v>1711</v>
      </c>
      <c r="O1204" s="3">
        <v>0</v>
      </c>
      <c r="P1204" s="3">
        <v>0</v>
      </c>
      <c r="Q1204" s="3">
        <v>0</v>
      </c>
      <c r="R1204" s="3">
        <v>0</v>
      </c>
      <c r="S1204" s="3">
        <v>0</v>
      </c>
      <c r="T1204" s="3">
        <v>0</v>
      </c>
      <c r="U1204" s="3">
        <v>1</v>
      </c>
      <c r="V1204" s="3">
        <v>3</v>
      </c>
      <c r="W1204" s="3" t="s">
        <v>1712</v>
      </c>
      <c r="X1204" s="3">
        <v>9.99</v>
      </c>
      <c r="Y1204" s="3">
        <v>9.99</v>
      </c>
      <c r="Z1204" s="3">
        <v>9.99</v>
      </c>
      <c r="AA1204" s="3">
        <v>0</v>
      </c>
      <c r="AB1204" s="3" t="s">
        <v>1713</v>
      </c>
      <c r="AC1204" s="3">
        <v>2</v>
      </c>
      <c r="AD1204" s="3">
        <v>9.99</v>
      </c>
      <c r="AE1204" s="3">
        <v>0</v>
      </c>
      <c r="AF1204" s="3">
        <v>0</v>
      </c>
      <c r="AG1204" s="3">
        <v>0</v>
      </c>
      <c r="AH1204" s="3">
        <v>1.2</v>
      </c>
      <c r="AI1204" s="3" t="s">
        <v>2542</v>
      </c>
      <c r="AJ1204" s="3" t="s">
        <v>1715</v>
      </c>
    </row>
    <row r="1205" spans="1:36">
      <c r="A1205" s="4">
        <v>43277</v>
      </c>
      <c r="B1205" s="3" t="s">
        <v>5391</v>
      </c>
      <c r="C1205" s="3" t="s">
        <v>5392</v>
      </c>
      <c r="D1205" s="3" t="s">
        <v>5393</v>
      </c>
      <c r="E1205" s="3" t="s">
        <v>2364</v>
      </c>
      <c r="F1205" s="3" t="s">
        <v>1710</v>
      </c>
      <c r="G1205" s="3">
        <v>3</v>
      </c>
      <c r="H1205" s="3">
        <v>0</v>
      </c>
      <c r="I1205" s="3">
        <v>0</v>
      </c>
      <c r="J1205" s="3">
        <v>2</v>
      </c>
      <c r="K1205" s="3">
        <v>1</v>
      </c>
      <c r="L1205" s="3">
        <v>0</v>
      </c>
      <c r="M1205" s="3">
        <v>0</v>
      </c>
      <c r="N1205" s="3" t="s">
        <v>1711</v>
      </c>
      <c r="O1205" s="3">
        <v>2</v>
      </c>
      <c r="P1205" s="3">
        <v>1.12</v>
      </c>
      <c r="Q1205" s="3">
        <v>0</v>
      </c>
      <c r="R1205" s="3">
        <v>0</v>
      </c>
      <c r="S1205" s="3">
        <v>0</v>
      </c>
      <c r="T1205" s="3">
        <v>0</v>
      </c>
      <c r="U1205" s="3">
        <v>0</v>
      </c>
      <c r="V1205" s="3">
        <v>0</v>
      </c>
      <c r="W1205" s="3" t="s">
        <v>1720</v>
      </c>
      <c r="X1205" s="3">
        <v>19.99</v>
      </c>
      <c r="Y1205" s="3">
        <v>19.99</v>
      </c>
      <c r="Z1205" s="3">
        <v>19.99</v>
      </c>
      <c r="AA1205" s="3">
        <v>0</v>
      </c>
      <c r="AB1205" s="3" t="s">
        <v>1721</v>
      </c>
      <c r="AC1205" s="3">
        <v>0</v>
      </c>
      <c r="AD1205" s="3">
        <v>17.83</v>
      </c>
      <c r="AE1205" s="3">
        <v>182</v>
      </c>
      <c r="AF1205" s="3">
        <v>0</v>
      </c>
      <c r="AG1205" s="3">
        <v>47.068599</v>
      </c>
      <c r="AH1205" s="3">
        <v>0</v>
      </c>
      <c r="AI1205" s="3" t="s">
        <v>2365</v>
      </c>
      <c r="AJ1205" s="3" t="s">
        <v>1715</v>
      </c>
    </row>
    <row r="1206" spans="1:36">
      <c r="A1206" s="4">
        <v>43277</v>
      </c>
      <c r="B1206" s="3" t="s">
        <v>5394</v>
      </c>
      <c r="C1206" s="3" t="s">
        <v>5395</v>
      </c>
      <c r="D1206" s="3" t="s">
        <v>5396</v>
      </c>
      <c r="E1206" s="3" t="s">
        <v>5397</v>
      </c>
      <c r="F1206" s="3" t="s">
        <v>1710</v>
      </c>
      <c r="G1206" s="3">
        <v>4</v>
      </c>
      <c r="H1206" s="3">
        <v>0</v>
      </c>
      <c r="I1206" s="3">
        <v>4</v>
      </c>
      <c r="J1206" s="3">
        <v>0</v>
      </c>
      <c r="K1206" s="3">
        <v>0</v>
      </c>
      <c r="L1206" s="3">
        <v>0</v>
      </c>
      <c r="M1206" s="3">
        <v>0</v>
      </c>
      <c r="N1206" s="3" t="s">
        <v>1711</v>
      </c>
      <c r="O1206" s="3">
        <v>0</v>
      </c>
      <c r="P1206" s="3">
        <v>0</v>
      </c>
      <c r="Q1206" s="3">
        <v>0</v>
      </c>
      <c r="R1206" s="3">
        <v>0</v>
      </c>
      <c r="S1206" s="3">
        <v>0</v>
      </c>
      <c r="T1206" s="3">
        <v>0</v>
      </c>
      <c r="U1206" s="3">
        <v>1</v>
      </c>
      <c r="V1206" s="3">
        <v>3</v>
      </c>
      <c r="W1206" s="3" t="s">
        <v>1712</v>
      </c>
      <c r="X1206" s="3">
        <v>15.99</v>
      </c>
      <c r="Y1206" s="3">
        <v>15.99</v>
      </c>
      <c r="Z1206" s="3">
        <v>15.99</v>
      </c>
      <c r="AA1206" s="3">
        <v>0</v>
      </c>
      <c r="AB1206" s="3" t="s">
        <v>1713</v>
      </c>
      <c r="AC1206" s="3">
        <v>4</v>
      </c>
      <c r="AD1206" s="3">
        <v>15.99</v>
      </c>
      <c r="AE1206" s="3">
        <v>0</v>
      </c>
      <c r="AF1206" s="3">
        <v>0</v>
      </c>
      <c r="AG1206" s="3">
        <v>0</v>
      </c>
      <c r="AH1206" s="3">
        <v>1.2</v>
      </c>
      <c r="AI1206" s="3" t="s">
        <v>2542</v>
      </c>
      <c r="AJ1206" s="3" t="s">
        <v>1715</v>
      </c>
    </row>
    <row r="1207" spans="1:36">
      <c r="A1207" s="4">
        <v>43277</v>
      </c>
      <c r="B1207" s="3" t="s">
        <v>5398</v>
      </c>
      <c r="C1207" s="3" t="s">
        <v>5399</v>
      </c>
      <c r="D1207" s="3" t="s">
        <v>5400</v>
      </c>
      <c r="E1207" s="3" t="s">
        <v>5401</v>
      </c>
      <c r="F1207" s="3" t="s">
        <v>1710</v>
      </c>
      <c r="G1207" s="3">
        <v>8</v>
      </c>
      <c r="H1207" s="3">
        <v>0</v>
      </c>
      <c r="I1207" s="3">
        <v>0</v>
      </c>
      <c r="J1207" s="3">
        <v>8</v>
      </c>
      <c r="K1207" s="3">
        <v>0</v>
      </c>
      <c r="L1207" s="3">
        <v>0</v>
      </c>
      <c r="M1207" s="3">
        <v>0</v>
      </c>
      <c r="N1207" s="3" t="s">
        <v>1711</v>
      </c>
      <c r="O1207" s="3">
        <v>3</v>
      </c>
      <c r="P1207" s="3">
        <v>2.06</v>
      </c>
      <c r="Q1207" s="3">
        <v>0</v>
      </c>
      <c r="R1207" s="3">
        <v>0</v>
      </c>
      <c r="S1207" s="3">
        <v>0</v>
      </c>
      <c r="T1207" s="3">
        <v>0</v>
      </c>
      <c r="U1207" s="3">
        <v>0</v>
      </c>
      <c r="V1207" s="3">
        <v>0</v>
      </c>
      <c r="W1207" s="3" t="s">
        <v>1712</v>
      </c>
      <c r="X1207" s="3">
        <v>20.99</v>
      </c>
      <c r="Y1207" s="3">
        <v>20.99</v>
      </c>
      <c r="Z1207" s="3">
        <v>20.99</v>
      </c>
      <c r="AA1207" s="3">
        <v>0</v>
      </c>
      <c r="AB1207" s="3" t="s">
        <v>1732</v>
      </c>
      <c r="AC1207" s="3">
        <v>0</v>
      </c>
      <c r="AD1207" s="3">
        <v>15.14</v>
      </c>
      <c r="AE1207" s="3">
        <v>364</v>
      </c>
      <c r="AF1207" s="3">
        <v>0</v>
      </c>
      <c r="AG1207" s="3">
        <v>88.015816</v>
      </c>
      <c r="AH1207" s="3">
        <v>0</v>
      </c>
      <c r="AI1207" s="3" t="s">
        <v>1914</v>
      </c>
      <c r="AJ1207" s="3" t="s">
        <v>1715</v>
      </c>
    </row>
    <row r="1208" spans="1:36">
      <c r="A1208" s="4">
        <v>43277</v>
      </c>
      <c r="B1208" s="3" t="s">
        <v>5402</v>
      </c>
      <c r="C1208" s="3" t="s">
        <v>5403</v>
      </c>
      <c r="D1208" s="3" t="s">
        <v>5404</v>
      </c>
      <c r="E1208" s="3" t="s">
        <v>2332</v>
      </c>
      <c r="F1208" s="3" t="s">
        <v>1710</v>
      </c>
      <c r="G1208" s="3">
        <v>1</v>
      </c>
      <c r="H1208" s="3">
        <v>0</v>
      </c>
      <c r="I1208" s="3">
        <v>0</v>
      </c>
      <c r="J1208" s="3">
        <v>0</v>
      </c>
      <c r="K1208" s="3">
        <v>1</v>
      </c>
      <c r="L1208" s="3">
        <v>0</v>
      </c>
      <c r="M1208" s="3">
        <v>0</v>
      </c>
      <c r="N1208" s="3" t="s">
        <v>1711</v>
      </c>
      <c r="O1208" s="3">
        <v>1</v>
      </c>
      <c r="P1208" s="3">
        <v>2.11</v>
      </c>
      <c r="Q1208" s="3">
        <v>0</v>
      </c>
      <c r="R1208" s="3">
        <v>0</v>
      </c>
      <c r="S1208" s="3">
        <v>0</v>
      </c>
      <c r="T1208" s="3">
        <v>1</v>
      </c>
      <c r="U1208" s="3">
        <v>1</v>
      </c>
      <c r="V1208" s="3">
        <v>3</v>
      </c>
      <c r="W1208" s="3"/>
      <c r="X1208" s="3">
        <v>15.99</v>
      </c>
      <c r="Y1208" s="3">
        <v>15.99</v>
      </c>
      <c r="Z1208" s="3">
        <v>15.99</v>
      </c>
      <c r="AA1208" s="3">
        <v>0</v>
      </c>
      <c r="AB1208" s="3" t="s">
        <v>1713</v>
      </c>
      <c r="AC1208" s="3">
        <v>1</v>
      </c>
      <c r="AD1208" s="3">
        <v>15.99</v>
      </c>
      <c r="AE1208" s="3">
        <v>0</v>
      </c>
      <c r="AF1208" s="3">
        <v>0</v>
      </c>
      <c r="AG1208" s="3">
        <v>0</v>
      </c>
      <c r="AH1208" s="3">
        <v>1.33333333333333</v>
      </c>
      <c r="AI1208" s="3" t="s">
        <v>5405</v>
      </c>
      <c r="AJ1208" s="3" t="s">
        <v>1783</v>
      </c>
    </row>
    <row r="1209" spans="1:36">
      <c r="A1209" s="4">
        <v>43277</v>
      </c>
      <c r="B1209" s="3" t="s">
        <v>5406</v>
      </c>
      <c r="C1209" s="3" t="s">
        <v>5407</v>
      </c>
      <c r="D1209" s="3" t="s">
        <v>5408</v>
      </c>
      <c r="E1209" s="3" t="s">
        <v>2462</v>
      </c>
      <c r="F1209" s="3" t="s">
        <v>1710</v>
      </c>
      <c r="G1209" s="3">
        <v>10</v>
      </c>
      <c r="H1209" s="3">
        <v>0</v>
      </c>
      <c r="I1209" s="3">
        <v>10</v>
      </c>
      <c r="J1209" s="3">
        <v>0</v>
      </c>
      <c r="K1209" s="3">
        <v>0</v>
      </c>
      <c r="L1209" s="3">
        <v>0</v>
      </c>
      <c r="M1209" s="3">
        <v>0</v>
      </c>
      <c r="N1209" s="3" t="s">
        <v>1711</v>
      </c>
      <c r="O1209" s="3">
        <v>0</v>
      </c>
      <c r="P1209" s="3">
        <v>0</v>
      </c>
      <c r="Q1209" s="3">
        <v>0</v>
      </c>
      <c r="R1209" s="3">
        <v>0</v>
      </c>
      <c r="S1209" s="3">
        <v>0</v>
      </c>
      <c r="T1209" s="3">
        <v>0</v>
      </c>
      <c r="U1209" s="3">
        <v>0</v>
      </c>
      <c r="V1209" s="3">
        <v>0</v>
      </c>
      <c r="W1209" s="3" t="s">
        <v>1712</v>
      </c>
      <c r="X1209" s="3">
        <v>21.99</v>
      </c>
      <c r="Y1209" s="3">
        <v>21.99</v>
      </c>
      <c r="Z1209" s="3">
        <v>21.99</v>
      </c>
      <c r="AA1209" s="3">
        <v>0</v>
      </c>
      <c r="AB1209" s="3" t="s">
        <v>1713</v>
      </c>
      <c r="AC1209" s="3">
        <v>10</v>
      </c>
      <c r="AD1209" s="3">
        <v>21.99</v>
      </c>
      <c r="AE1209" s="3">
        <v>0</v>
      </c>
      <c r="AF1209" s="3">
        <v>0</v>
      </c>
      <c r="AG1209" s="3">
        <v>0</v>
      </c>
      <c r="AH1209" s="3">
        <v>0</v>
      </c>
      <c r="AI1209" s="3" t="s">
        <v>1890</v>
      </c>
      <c r="AJ1209" s="3" t="s">
        <v>1715</v>
      </c>
    </row>
    <row r="1210" spans="1:36">
      <c r="A1210" s="4">
        <v>43277</v>
      </c>
      <c r="B1210" s="3" t="s">
        <v>5409</v>
      </c>
      <c r="C1210" s="3" t="s">
        <v>5410</v>
      </c>
      <c r="D1210" s="3" t="s">
        <v>5411</v>
      </c>
      <c r="E1210" s="3" t="s">
        <v>5412</v>
      </c>
      <c r="F1210" s="3" t="s">
        <v>1710</v>
      </c>
      <c r="G1210" s="3">
        <v>5</v>
      </c>
      <c r="H1210" s="3">
        <v>0</v>
      </c>
      <c r="I1210" s="3">
        <v>1</v>
      </c>
      <c r="J1210" s="3">
        <v>1</v>
      </c>
      <c r="K1210" s="3">
        <v>3</v>
      </c>
      <c r="L1210" s="3">
        <v>0</v>
      </c>
      <c r="M1210" s="3">
        <v>0</v>
      </c>
      <c r="N1210" s="3" t="s">
        <v>1711</v>
      </c>
      <c r="O1210" s="3">
        <v>4</v>
      </c>
      <c r="P1210" s="3">
        <v>7.69</v>
      </c>
      <c r="Q1210" s="3">
        <v>0</v>
      </c>
      <c r="R1210" s="3">
        <v>0</v>
      </c>
      <c r="S1210" s="3">
        <v>0</v>
      </c>
      <c r="T1210" s="3">
        <v>0</v>
      </c>
      <c r="U1210" s="3">
        <v>0</v>
      </c>
      <c r="V1210" s="3">
        <v>0</v>
      </c>
      <c r="W1210" s="3" t="s">
        <v>1720</v>
      </c>
      <c r="X1210" s="3">
        <v>21.99</v>
      </c>
      <c r="Y1210" s="3">
        <v>21.99</v>
      </c>
      <c r="Z1210" s="3">
        <v>21.99</v>
      </c>
      <c r="AA1210" s="3">
        <v>0</v>
      </c>
      <c r="AB1210" s="3" t="s">
        <v>1721</v>
      </c>
      <c r="AC1210" s="3">
        <v>0</v>
      </c>
      <c r="AD1210" s="3">
        <v>19.8</v>
      </c>
      <c r="AE1210" s="3">
        <v>133</v>
      </c>
      <c r="AF1210" s="3">
        <v>0</v>
      </c>
      <c r="AG1210" s="3">
        <v>145.550832</v>
      </c>
      <c r="AH1210" s="3">
        <v>0</v>
      </c>
      <c r="AI1210" s="3" t="s">
        <v>5413</v>
      </c>
      <c r="AJ1210" s="3" t="s">
        <v>1715</v>
      </c>
    </row>
    <row r="1211" spans="1:36">
      <c r="A1211" s="4">
        <v>43277</v>
      </c>
      <c r="B1211" s="3" t="s">
        <v>819</v>
      </c>
      <c r="C1211" s="3" t="s">
        <v>820</v>
      </c>
      <c r="D1211" s="3" t="s">
        <v>821</v>
      </c>
      <c r="E1211" s="3" t="s">
        <v>822</v>
      </c>
      <c r="F1211" s="3" t="s">
        <v>1710</v>
      </c>
      <c r="G1211" s="3">
        <v>1</v>
      </c>
      <c r="H1211" s="3">
        <v>0</v>
      </c>
      <c r="I1211" s="3">
        <v>1</v>
      </c>
      <c r="J1211" s="3">
        <v>0</v>
      </c>
      <c r="K1211" s="3">
        <v>0</v>
      </c>
      <c r="L1211" s="3">
        <v>0</v>
      </c>
      <c r="M1211" s="3">
        <v>0</v>
      </c>
      <c r="N1211" s="3" t="s">
        <v>1711</v>
      </c>
      <c r="O1211" s="3">
        <v>0</v>
      </c>
      <c r="P1211" s="3">
        <v>0</v>
      </c>
      <c r="Q1211" s="3">
        <v>0</v>
      </c>
      <c r="R1211" s="3">
        <v>0</v>
      </c>
      <c r="S1211" s="3">
        <v>10</v>
      </c>
      <c r="T1211" s="3">
        <v>40</v>
      </c>
      <c r="U1211" s="3">
        <v>43</v>
      </c>
      <c r="V1211" s="3">
        <v>43</v>
      </c>
      <c r="W1211" s="3"/>
      <c r="X1211" s="3"/>
      <c r="Y1211" s="3"/>
      <c r="Z1211" s="3">
        <v>-1</v>
      </c>
      <c r="AA1211" s="3">
        <v>-1</v>
      </c>
      <c r="AB1211" s="3" t="s">
        <v>1776</v>
      </c>
      <c r="AC1211" s="3">
        <v>8</v>
      </c>
      <c r="AD1211" s="3">
        <v>28.58</v>
      </c>
      <c r="AE1211" s="3">
        <v>0</v>
      </c>
      <c r="AF1211" s="3">
        <v>0</v>
      </c>
      <c r="AG1211" s="3">
        <v>0</v>
      </c>
      <c r="AH1211" s="3">
        <v>3.7391304347826</v>
      </c>
      <c r="AI1211" s="3" t="s">
        <v>1883</v>
      </c>
      <c r="AJ1211" s="3" t="s">
        <v>1715</v>
      </c>
    </row>
    <row r="1212" spans="1:36">
      <c r="A1212" s="4">
        <v>43277</v>
      </c>
      <c r="B1212" s="3" t="s">
        <v>1302</v>
      </c>
      <c r="C1212" s="3" t="s">
        <v>1303</v>
      </c>
      <c r="D1212" s="3" t="s">
        <v>1304</v>
      </c>
      <c r="E1212" s="3" t="s">
        <v>1305</v>
      </c>
      <c r="F1212" s="3" t="s">
        <v>1710</v>
      </c>
      <c r="G1212" s="3">
        <v>2</v>
      </c>
      <c r="H1212" s="3">
        <v>0</v>
      </c>
      <c r="I1212" s="3">
        <v>2</v>
      </c>
      <c r="J1212" s="3">
        <v>0</v>
      </c>
      <c r="K1212" s="3">
        <v>0</v>
      </c>
      <c r="L1212" s="3">
        <v>0</v>
      </c>
      <c r="M1212" s="3">
        <v>0</v>
      </c>
      <c r="N1212" s="3" t="s">
        <v>1711</v>
      </c>
      <c r="O1212" s="3">
        <v>0</v>
      </c>
      <c r="P1212" s="3">
        <v>0</v>
      </c>
      <c r="Q1212" s="3">
        <v>0</v>
      </c>
      <c r="R1212" s="3">
        <v>0</v>
      </c>
      <c r="S1212" s="3">
        <v>15</v>
      </c>
      <c r="T1212" s="3">
        <v>41</v>
      </c>
      <c r="U1212" s="3">
        <v>56</v>
      </c>
      <c r="V1212" s="3">
        <v>56</v>
      </c>
      <c r="W1212" s="3"/>
      <c r="X1212" s="3"/>
      <c r="Y1212" s="3"/>
      <c r="Z1212" s="3">
        <v>-1</v>
      </c>
      <c r="AA1212" s="3">
        <v>-1</v>
      </c>
      <c r="AB1212" s="3" t="s">
        <v>1776</v>
      </c>
      <c r="AC1212" s="3">
        <v>16</v>
      </c>
      <c r="AD1212" s="3">
        <v>25.99</v>
      </c>
      <c r="AE1212" s="3">
        <v>0</v>
      </c>
      <c r="AF1212" s="3">
        <v>0</v>
      </c>
      <c r="AG1212" s="3">
        <v>0</v>
      </c>
      <c r="AH1212" s="3">
        <v>21</v>
      </c>
      <c r="AI1212" s="3" t="s">
        <v>4281</v>
      </c>
      <c r="AJ1212" s="3" t="s">
        <v>1715</v>
      </c>
    </row>
    <row r="1213" spans="1:36">
      <c r="A1213" s="4">
        <v>43277</v>
      </c>
      <c r="B1213" s="3" t="s">
        <v>5414</v>
      </c>
      <c r="C1213" s="3" t="s">
        <v>5415</v>
      </c>
      <c r="D1213" s="3" t="s">
        <v>5416</v>
      </c>
      <c r="E1213" s="3" t="s">
        <v>1820</v>
      </c>
      <c r="F1213" s="3" t="s">
        <v>1710</v>
      </c>
      <c r="G1213" s="3">
        <v>10</v>
      </c>
      <c r="H1213" s="3">
        <v>0</v>
      </c>
      <c r="I1213" s="3">
        <v>10</v>
      </c>
      <c r="J1213" s="3">
        <v>0</v>
      </c>
      <c r="K1213" s="3">
        <v>0</v>
      </c>
      <c r="L1213" s="3">
        <v>0</v>
      </c>
      <c r="M1213" s="3">
        <v>0</v>
      </c>
      <c r="N1213" s="3" t="s">
        <v>1711</v>
      </c>
      <c r="O1213" s="3">
        <v>0</v>
      </c>
      <c r="P1213" s="3">
        <v>0</v>
      </c>
      <c r="Q1213" s="3">
        <v>0</v>
      </c>
      <c r="R1213" s="3">
        <v>0</v>
      </c>
      <c r="S1213" s="3">
        <v>0</v>
      </c>
      <c r="T1213" s="3">
        <v>0</v>
      </c>
      <c r="U1213" s="3">
        <v>0</v>
      </c>
      <c r="V1213" s="3">
        <v>0</v>
      </c>
      <c r="W1213" s="3" t="s">
        <v>1720</v>
      </c>
      <c r="X1213" s="3">
        <v>19.99</v>
      </c>
      <c r="Y1213" s="3">
        <v>19.99</v>
      </c>
      <c r="Z1213" s="3">
        <v>19.99</v>
      </c>
      <c r="AA1213" s="3">
        <v>0</v>
      </c>
      <c r="AB1213" s="3" t="s">
        <v>1721</v>
      </c>
      <c r="AC1213" s="3">
        <v>0</v>
      </c>
      <c r="AD1213" s="3">
        <v>15.99</v>
      </c>
      <c r="AE1213" s="3">
        <v>63</v>
      </c>
      <c r="AF1213" s="3">
        <v>0</v>
      </c>
      <c r="AG1213" s="3">
        <v>71.82189</v>
      </c>
      <c r="AH1213" s="3">
        <v>0</v>
      </c>
      <c r="AI1213" s="3" t="s">
        <v>1821</v>
      </c>
      <c r="AJ1213" s="3" t="s">
        <v>1715</v>
      </c>
    </row>
    <row r="1214" spans="1:36">
      <c r="A1214" s="4">
        <v>43277</v>
      </c>
      <c r="B1214" s="3" t="s">
        <v>1670</v>
      </c>
      <c r="C1214" s="3" t="s">
        <v>1671</v>
      </c>
      <c r="D1214" s="3" t="s">
        <v>1672</v>
      </c>
      <c r="E1214" s="3" t="s">
        <v>1673</v>
      </c>
      <c r="F1214" s="3" t="s">
        <v>1710</v>
      </c>
      <c r="G1214" s="3">
        <v>17</v>
      </c>
      <c r="H1214" s="3">
        <v>0</v>
      </c>
      <c r="I1214" s="3">
        <v>17</v>
      </c>
      <c r="J1214" s="3">
        <v>0</v>
      </c>
      <c r="K1214" s="3">
        <v>0</v>
      </c>
      <c r="L1214" s="3">
        <v>0</v>
      </c>
      <c r="M1214" s="3">
        <v>0</v>
      </c>
      <c r="N1214" s="3" t="s">
        <v>1711</v>
      </c>
      <c r="O1214" s="3">
        <v>0</v>
      </c>
      <c r="P1214" s="3">
        <v>0</v>
      </c>
      <c r="Q1214" s="3">
        <v>0</v>
      </c>
      <c r="R1214" s="3">
        <v>0</v>
      </c>
      <c r="S1214" s="3">
        <v>0</v>
      </c>
      <c r="T1214" s="3">
        <v>10</v>
      </c>
      <c r="U1214" s="3">
        <v>25</v>
      </c>
      <c r="V1214" s="3">
        <v>32</v>
      </c>
      <c r="W1214" s="3"/>
      <c r="X1214" s="3">
        <v>29.99</v>
      </c>
      <c r="Y1214" s="3">
        <v>29.99</v>
      </c>
      <c r="Z1214" s="3">
        <v>28</v>
      </c>
      <c r="AA1214" s="3">
        <v>0</v>
      </c>
      <c r="AB1214" s="3" t="s">
        <v>1713</v>
      </c>
      <c r="AC1214" s="3">
        <v>17</v>
      </c>
      <c r="AD1214" s="3">
        <v>29.99</v>
      </c>
      <c r="AE1214" s="3">
        <v>0</v>
      </c>
      <c r="AF1214" s="3">
        <v>0</v>
      </c>
      <c r="AG1214" s="3">
        <v>0</v>
      </c>
      <c r="AH1214" s="3">
        <v>1.91044776119402</v>
      </c>
      <c r="AI1214" s="3" t="s">
        <v>4139</v>
      </c>
      <c r="AJ1214" s="3" t="s">
        <v>1715</v>
      </c>
    </row>
    <row r="1215" spans="1:36">
      <c r="A1215" s="4">
        <v>43277</v>
      </c>
      <c r="B1215" s="3" t="s">
        <v>5417</v>
      </c>
      <c r="C1215" s="3" t="s">
        <v>5418</v>
      </c>
      <c r="D1215" s="3" t="s">
        <v>5419</v>
      </c>
      <c r="E1215" s="3" t="s">
        <v>3297</v>
      </c>
      <c r="F1215" s="3" t="s">
        <v>1710</v>
      </c>
      <c r="G1215" s="3">
        <v>3</v>
      </c>
      <c r="H1215" s="3">
        <v>0</v>
      </c>
      <c r="I1215" s="3">
        <v>1</v>
      </c>
      <c r="J1215" s="3">
        <v>0</v>
      </c>
      <c r="K1215" s="3">
        <v>0</v>
      </c>
      <c r="L1215" s="3">
        <v>2</v>
      </c>
      <c r="M1215" s="3">
        <v>0</v>
      </c>
      <c r="N1215" s="3" t="s">
        <v>1711</v>
      </c>
      <c r="O1215" s="3">
        <v>1</v>
      </c>
      <c r="P1215" s="3">
        <v>0.72</v>
      </c>
      <c r="Q1215" s="3">
        <v>1</v>
      </c>
      <c r="R1215" s="3">
        <v>1.44</v>
      </c>
      <c r="S1215" s="3">
        <v>0</v>
      </c>
      <c r="T1215" s="3">
        <v>0</v>
      </c>
      <c r="U1215" s="3">
        <v>3</v>
      </c>
      <c r="V1215" s="3">
        <v>3</v>
      </c>
      <c r="W1215" s="3" t="s">
        <v>1720</v>
      </c>
      <c r="X1215" s="3">
        <v>14.99</v>
      </c>
      <c r="Y1215" s="3">
        <v>14.99</v>
      </c>
      <c r="Z1215" s="3">
        <v>14.99</v>
      </c>
      <c r="AA1215" s="3">
        <v>0</v>
      </c>
      <c r="AB1215" s="3" t="s">
        <v>1721</v>
      </c>
      <c r="AC1215" s="3">
        <v>3</v>
      </c>
      <c r="AD1215" s="3">
        <v>14.99</v>
      </c>
      <c r="AE1215" s="3">
        <v>0</v>
      </c>
      <c r="AF1215" s="3">
        <v>0</v>
      </c>
      <c r="AG1215" s="3">
        <v>0</v>
      </c>
      <c r="AH1215" s="3">
        <v>0.75</v>
      </c>
      <c r="AI1215" s="3" t="s">
        <v>1840</v>
      </c>
      <c r="AJ1215" s="3" t="s">
        <v>1715</v>
      </c>
    </row>
    <row r="1216" spans="1:36">
      <c r="A1216" s="4">
        <v>43277</v>
      </c>
      <c r="B1216" s="3" t="s">
        <v>5420</v>
      </c>
      <c r="C1216" s="3" t="s">
        <v>5421</v>
      </c>
      <c r="D1216" s="3" t="s">
        <v>5422</v>
      </c>
      <c r="E1216" s="3" t="s">
        <v>1755</v>
      </c>
      <c r="F1216" s="3" t="s">
        <v>1710</v>
      </c>
      <c r="G1216" s="3">
        <v>10</v>
      </c>
      <c r="H1216" s="3">
        <v>0</v>
      </c>
      <c r="I1216" s="3">
        <v>10</v>
      </c>
      <c r="J1216" s="3">
        <v>0</v>
      </c>
      <c r="K1216" s="3">
        <v>0</v>
      </c>
      <c r="L1216" s="3">
        <v>0</v>
      </c>
      <c r="M1216" s="3">
        <v>0</v>
      </c>
      <c r="N1216" s="3" t="s">
        <v>1711</v>
      </c>
      <c r="O1216" s="3">
        <v>0</v>
      </c>
      <c r="P1216" s="3">
        <v>0</v>
      </c>
      <c r="Q1216" s="3">
        <v>0</v>
      </c>
      <c r="R1216" s="3">
        <v>0</v>
      </c>
      <c r="S1216" s="3">
        <v>0</v>
      </c>
      <c r="T1216" s="3">
        <v>0</v>
      </c>
      <c r="U1216" s="3">
        <v>0</v>
      </c>
      <c r="V1216" s="3">
        <v>0</v>
      </c>
      <c r="W1216" s="3" t="s">
        <v>1720</v>
      </c>
      <c r="X1216" s="3">
        <v>15.99</v>
      </c>
      <c r="Y1216" s="3">
        <v>15.99</v>
      </c>
      <c r="Z1216" s="3">
        <v>15.99</v>
      </c>
      <c r="AA1216" s="3">
        <v>0</v>
      </c>
      <c r="AB1216" s="3" t="s">
        <v>1721</v>
      </c>
      <c r="AC1216" s="3">
        <v>10</v>
      </c>
      <c r="AD1216" s="3">
        <v>15.99</v>
      </c>
      <c r="AE1216" s="3">
        <v>0</v>
      </c>
      <c r="AF1216" s="3">
        <v>0</v>
      </c>
      <c r="AG1216" s="3">
        <v>0</v>
      </c>
      <c r="AH1216" s="3">
        <v>0</v>
      </c>
      <c r="AI1216" s="3" t="s">
        <v>1756</v>
      </c>
      <c r="AJ1216" s="3" t="s">
        <v>1715</v>
      </c>
    </row>
    <row r="1217" spans="1:36">
      <c r="A1217" s="4">
        <v>43277</v>
      </c>
      <c r="B1217" s="3" t="s">
        <v>5423</v>
      </c>
      <c r="C1217" s="3" t="s">
        <v>5424</v>
      </c>
      <c r="D1217" s="3" t="s">
        <v>5425</v>
      </c>
      <c r="E1217" s="3" t="s">
        <v>5426</v>
      </c>
      <c r="F1217" s="3" t="s">
        <v>1710</v>
      </c>
      <c r="G1217" s="3">
        <v>15</v>
      </c>
      <c r="H1217" s="3">
        <v>0</v>
      </c>
      <c r="I1217" s="3">
        <v>4</v>
      </c>
      <c r="J1217" s="3">
        <v>11</v>
      </c>
      <c r="K1217" s="3">
        <v>0</v>
      </c>
      <c r="L1217" s="3">
        <v>0</v>
      </c>
      <c r="M1217" s="3">
        <v>0</v>
      </c>
      <c r="N1217" s="3" t="s">
        <v>1711</v>
      </c>
      <c r="O1217" s="3">
        <v>0</v>
      </c>
      <c r="P1217" s="3">
        <v>0</v>
      </c>
      <c r="Q1217" s="3">
        <v>0</v>
      </c>
      <c r="R1217" s="3">
        <v>0</v>
      </c>
      <c r="S1217" s="3">
        <v>1</v>
      </c>
      <c r="T1217" s="3">
        <v>4</v>
      </c>
      <c r="U1217" s="3">
        <v>10</v>
      </c>
      <c r="V1217" s="3">
        <v>15</v>
      </c>
      <c r="W1217" s="3"/>
      <c r="X1217" s="3">
        <v>28.99</v>
      </c>
      <c r="Y1217" s="3">
        <v>14.99</v>
      </c>
      <c r="Z1217" s="3">
        <v>14.99</v>
      </c>
      <c r="AA1217" s="3">
        <v>0</v>
      </c>
      <c r="AB1217" s="3" t="s">
        <v>1713</v>
      </c>
      <c r="AC1217" s="3">
        <v>15</v>
      </c>
      <c r="AD1217" s="3">
        <v>14.99</v>
      </c>
      <c r="AE1217" s="3">
        <v>0</v>
      </c>
      <c r="AF1217" s="3">
        <v>0</v>
      </c>
      <c r="AG1217" s="3">
        <v>0</v>
      </c>
      <c r="AH1217" s="3">
        <v>0.74074074074074</v>
      </c>
      <c r="AI1217" s="3" t="s">
        <v>4901</v>
      </c>
      <c r="AJ1217" s="3" t="s">
        <v>1715</v>
      </c>
    </row>
    <row r="1218" spans="1:36">
      <c r="A1218" s="4">
        <v>43277</v>
      </c>
      <c r="B1218" s="3" t="s">
        <v>5427</v>
      </c>
      <c r="C1218" s="3" t="s">
        <v>5428</v>
      </c>
      <c r="D1218" s="3" t="s">
        <v>5429</v>
      </c>
      <c r="E1218" s="3" t="s">
        <v>5430</v>
      </c>
      <c r="F1218" s="3" t="s">
        <v>1710</v>
      </c>
      <c r="G1218" s="3">
        <v>10</v>
      </c>
      <c r="H1218" s="3">
        <v>0</v>
      </c>
      <c r="I1218" s="3">
        <v>10</v>
      </c>
      <c r="J1218" s="3">
        <v>0</v>
      </c>
      <c r="K1218" s="3">
        <v>0</v>
      </c>
      <c r="L1218" s="3">
        <v>0</v>
      </c>
      <c r="M1218" s="3">
        <v>0</v>
      </c>
      <c r="N1218" s="3" t="s">
        <v>1711</v>
      </c>
      <c r="O1218" s="3">
        <v>0</v>
      </c>
      <c r="P1218" s="3">
        <v>0</v>
      </c>
      <c r="Q1218" s="3">
        <v>0</v>
      </c>
      <c r="R1218" s="3">
        <v>0</v>
      </c>
      <c r="S1218" s="3">
        <v>1</v>
      </c>
      <c r="T1218" s="3">
        <v>4</v>
      </c>
      <c r="U1218" s="3">
        <v>5</v>
      </c>
      <c r="V1218" s="3">
        <v>6</v>
      </c>
      <c r="W1218" s="3"/>
      <c r="X1218" s="3">
        <v>19.99</v>
      </c>
      <c r="Y1218" s="3">
        <v>19.99</v>
      </c>
      <c r="Z1218" s="3">
        <v>19.99</v>
      </c>
      <c r="AA1218" s="3">
        <v>0</v>
      </c>
      <c r="AB1218" s="3" t="s">
        <v>1713</v>
      </c>
      <c r="AC1218" s="3">
        <v>11</v>
      </c>
      <c r="AD1218" s="3">
        <v>19.99</v>
      </c>
      <c r="AE1218" s="3">
        <v>0</v>
      </c>
      <c r="AF1218" s="3">
        <v>0</v>
      </c>
      <c r="AG1218" s="3">
        <v>0</v>
      </c>
      <c r="AH1218" s="3">
        <v>0.727272727272727</v>
      </c>
      <c r="AI1218" s="3" t="s">
        <v>1891</v>
      </c>
      <c r="AJ1218" s="3" t="s">
        <v>1715</v>
      </c>
    </row>
    <row r="1219" spans="1:36">
      <c r="A1219" s="4">
        <v>43277</v>
      </c>
      <c r="B1219" s="3" t="s">
        <v>1114</v>
      </c>
      <c r="C1219" s="3" t="s">
        <v>1115</v>
      </c>
      <c r="D1219" s="3" t="s">
        <v>1116</v>
      </c>
      <c r="E1219" s="3" t="s">
        <v>1117</v>
      </c>
      <c r="F1219" s="3" t="s">
        <v>1710</v>
      </c>
      <c r="G1219" s="3">
        <v>6</v>
      </c>
      <c r="H1219" s="3">
        <v>0</v>
      </c>
      <c r="I1219" s="3">
        <v>6</v>
      </c>
      <c r="J1219" s="3">
        <v>0</v>
      </c>
      <c r="K1219" s="3">
        <v>0</v>
      </c>
      <c r="L1219" s="3">
        <v>0</v>
      </c>
      <c r="M1219" s="3">
        <v>0</v>
      </c>
      <c r="N1219" s="3" t="s">
        <v>1711</v>
      </c>
      <c r="O1219" s="3">
        <v>0</v>
      </c>
      <c r="P1219" s="3">
        <v>0</v>
      </c>
      <c r="Q1219" s="3">
        <v>0</v>
      </c>
      <c r="R1219" s="3">
        <v>0</v>
      </c>
      <c r="S1219" s="3">
        <v>0</v>
      </c>
      <c r="T1219" s="3">
        <v>15</v>
      </c>
      <c r="U1219" s="3">
        <v>15</v>
      </c>
      <c r="V1219" s="3">
        <v>15</v>
      </c>
      <c r="W1219" s="3"/>
      <c r="X1219" s="3">
        <v>39.99</v>
      </c>
      <c r="Y1219" s="3">
        <v>21.99</v>
      </c>
      <c r="Z1219" s="3">
        <v>21.99</v>
      </c>
      <c r="AA1219" s="3">
        <v>0</v>
      </c>
      <c r="AB1219" s="3" t="s">
        <v>1713</v>
      </c>
      <c r="AC1219" s="3">
        <v>0</v>
      </c>
      <c r="AD1219" s="3">
        <v>0</v>
      </c>
      <c r="AE1219" s="3">
        <v>0</v>
      </c>
      <c r="AF1219" s="3">
        <v>0</v>
      </c>
      <c r="AG1219" s="3">
        <v>0</v>
      </c>
      <c r="AH1219" s="3">
        <v>5</v>
      </c>
      <c r="AI1219" s="3" t="s">
        <v>5431</v>
      </c>
      <c r="AJ1219" s="3" t="s">
        <v>1715</v>
      </c>
    </row>
    <row r="1220" spans="1:36">
      <c r="A1220" s="4">
        <v>43277</v>
      </c>
      <c r="B1220" s="3" t="s">
        <v>52</v>
      </c>
      <c r="C1220" s="3" t="s">
        <v>53</v>
      </c>
      <c r="D1220" s="3" t="s">
        <v>54</v>
      </c>
      <c r="E1220" s="3" t="s">
        <v>5432</v>
      </c>
      <c r="F1220" s="3" t="s">
        <v>1710</v>
      </c>
      <c r="G1220" s="3">
        <v>6</v>
      </c>
      <c r="H1220" s="3">
        <v>0</v>
      </c>
      <c r="I1220" s="3">
        <v>6</v>
      </c>
      <c r="J1220" s="3">
        <v>0</v>
      </c>
      <c r="K1220" s="3">
        <v>0</v>
      </c>
      <c r="L1220" s="3">
        <v>0</v>
      </c>
      <c r="M1220" s="3">
        <v>0</v>
      </c>
      <c r="N1220" s="3" t="s">
        <v>1711</v>
      </c>
      <c r="O1220" s="3">
        <v>0</v>
      </c>
      <c r="P1220" s="3">
        <v>0</v>
      </c>
      <c r="Q1220" s="3">
        <v>0</v>
      </c>
      <c r="R1220" s="3">
        <v>0</v>
      </c>
      <c r="S1220" s="3">
        <v>11</v>
      </c>
      <c r="T1220" s="3">
        <v>21</v>
      </c>
      <c r="U1220" s="3">
        <v>44</v>
      </c>
      <c r="V1220" s="3">
        <v>54</v>
      </c>
      <c r="W1220" s="3"/>
      <c r="X1220" s="3">
        <v>28.99</v>
      </c>
      <c r="Y1220" s="3">
        <v>15.99</v>
      </c>
      <c r="Z1220" s="3">
        <v>15.55</v>
      </c>
      <c r="AA1220" s="3">
        <v>0</v>
      </c>
      <c r="AB1220" s="3" t="s">
        <v>1713</v>
      </c>
      <c r="AC1220" s="3">
        <v>2</v>
      </c>
      <c r="AD1220" s="3">
        <v>15.99</v>
      </c>
      <c r="AE1220" s="3">
        <v>0</v>
      </c>
      <c r="AF1220" s="3">
        <v>0</v>
      </c>
      <c r="AG1220" s="3">
        <v>0</v>
      </c>
      <c r="AH1220" s="3">
        <v>19.6363636363636</v>
      </c>
      <c r="AI1220" s="3" t="s">
        <v>2082</v>
      </c>
      <c r="AJ1220" s="3" t="s">
        <v>1715</v>
      </c>
    </row>
    <row r="1221" spans="1:36">
      <c r="A1221" s="4">
        <v>43277</v>
      </c>
      <c r="B1221" s="3" t="s">
        <v>5433</v>
      </c>
      <c r="C1221" s="3" t="s">
        <v>5434</v>
      </c>
      <c r="D1221" s="3" t="s">
        <v>5435</v>
      </c>
      <c r="E1221" s="3" t="s">
        <v>5436</v>
      </c>
      <c r="F1221" s="3" t="s">
        <v>1710</v>
      </c>
      <c r="G1221" s="3">
        <v>7</v>
      </c>
      <c r="H1221" s="3">
        <v>0</v>
      </c>
      <c r="I1221" s="3">
        <v>1</v>
      </c>
      <c r="J1221" s="3">
        <v>1</v>
      </c>
      <c r="K1221" s="3">
        <v>5</v>
      </c>
      <c r="L1221" s="3">
        <v>0</v>
      </c>
      <c r="M1221" s="3">
        <v>0</v>
      </c>
      <c r="N1221" s="3" t="s">
        <v>1711</v>
      </c>
      <c r="O1221" s="3">
        <v>5</v>
      </c>
      <c r="P1221" s="3">
        <v>16.2</v>
      </c>
      <c r="Q1221" s="3">
        <v>0</v>
      </c>
      <c r="R1221" s="3">
        <v>0</v>
      </c>
      <c r="S1221" s="3">
        <v>0</v>
      </c>
      <c r="T1221" s="3">
        <v>0</v>
      </c>
      <c r="U1221" s="3">
        <v>0</v>
      </c>
      <c r="V1221" s="3">
        <v>1</v>
      </c>
      <c r="W1221" s="3" t="s">
        <v>1720</v>
      </c>
      <c r="X1221" s="3">
        <v>14.99</v>
      </c>
      <c r="Y1221" s="3">
        <v>14.99</v>
      </c>
      <c r="Z1221" s="3">
        <v>14.99</v>
      </c>
      <c r="AA1221" s="3">
        <v>0</v>
      </c>
      <c r="AB1221" s="3" t="s">
        <v>1721</v>
      </c>
      <c r="AC1221" s="3">
        <v>0</v>
      </c>
      <c r="AD1221" s="3">
        <v>13.4</v>
      </c>
      <c r="AE1221" s="3">
        <v>77</v>
      </c>
      <c r="AF1221" s="3">
        <v>0</v>
      </c>
      <c r="AG1221" s="3">
        <v>303.001907</v>
      </c>
      <c r="AH1221" s="3">
        <v>0.148148148148148</v>
      </c>
      <c r="AI1221" s="3" t="s">
        <v>5437</v>
      </c>
      <c r="AJ1221" s="3" t="s">
        <v>1783</v>
      </c>
    </row>
    <row r="1222" spans="1:36">
      <c r="A1222" s="4">
        <v>43277</v>
      </c>
      <c r="B1222" s="3" t="s">
        <v>5438</v>
      </c>
      <c r="C1222" s="3" t="s">
        <v>5439</v>
      </c>
      <c r="D1222" s="3" t="s">
        <v>5440</v>
      </c>
      <c r="E1222" s="3" t="s">
        <v>1125</v>
      </c>
      <c r="F1222" s="3" t="s">
        <v>1710</v>
      </c>
      <c r="G1222" s="3">
        <v>28</v>
      </c>
      <c r="H1222" s="3">
        <v>0</v>
      </c>
      <c r="I1222" s="3">
        <v>28</v>
      </c>
      <c r="J1222" s="3">
        <v>0</v>
      </c>
      <c r="K1222" s="3">
        <v>0</v>
      </c>
      <c r="L1222" s="3">
        <v>0</v>
      </c>
      <c r="M1222" s="3">
        <v>0</v>
      </c>
      <c r="N1222" s="3" t="s">
        <v>1711</v>
      </c>
      <c r="O1222" s="3">
        <v>0</v>
      </c>
      <c r="P1222" s="3">
        <v>0</v>
      </c>
      <c r="Q1222" s="3">
        <v>0</v>
      </c>
      <c r="R1222" s="3">
        <v>0</v>
      </c>
      <c r="S1222" s="3">
        <v>3</v>
      </c>
      <c r="T1222" s="3">
        <v>15</v>
      </c>
      <c r="U1222" s="3">
        <v>35</v>
      </c>
      <c r="V1222" s="3">
        <v>35</v>
      </c>
      <c r="W1222" s="3"/>
      <c r="X1222" s="3">
        <v>39.99</v>
      </c>
      <c r="Y1222" s="3">
        <v>21.99</v>
      </c>
      <c r="Z1222" s="3">
        <v>21.99</v>
      </c>
      <c r="AA1222" s="3">
        <v>0</v>
      </c>
      <c r="AB1222" s="3" t="s">
        <v>1713</v>
      </c>
      <c r="AC1222" s="3">
        <v>30</v>
      </c>
      <c r="AD1222" s="3">
        <v>21.99</v>
      </c>
      <c r="AE1222" s="3">
        <v>0</v>
      </c>
      <c r="AF1222" s="3">
        <v>0</v>
      </c>
      <c r="AG1222" s="3">
        <v>0</v>
      </c>
      <c r="AH1222" s="3">
        <v>3.28125</v>
      </c>
      <c r="AI1222" s="3" t="s">
        <v>1890</v>
      </c>
      <c r="AJ1222" s="3" t="s">
        <v>1715</v>
      </c>
    </row>
    <row r="1223" spans="1:36">
      <c r="A1223" s="4">
        <v>43277</v>
      </c>
      <c r="B1223" s="3" t="s">
        <v>5441</v>
      </c>
      <c r="C1223" s="3" t="s">
        <v>5442</v>
      </c>
      <c r="D1223" s="3" t="s">
        <v>5443</v>
      </c>
      <c r="E1223" s="3" t="s">
        <v>3690</v>
      </c>
      <c r="F1223" s="3" t="s">
        <v>1710</v>
      </c>
      <c r="G1223" s="3">
        <v>2</v>
      </c>
      <c r="H1223" s="3">
        <v>0</v>
      </c>
      <c r="I1223" s="3">
        <v>0</v>
      </c>
      <c r="J1223" s="3">
        <v>0</v>
      </c>
      <c r="K1223" s="3">
        <v>0</v>
      </c>
      <c r="L1223" s="3">
        <v>2</v>
      </c>
      <c r="M1223" s="3">
        <v>0</v>
      </c>
      <c r="N1223" s="3" t="s">
        <v>1711</v>
      </c>
      <c r="O1223" s="3">
        <v>2</v>
      </c>
      <c r="P1223" s="3">
        <v>6.87</v>
      </c>
      <c r="Q1223" s="3">
        <v>0</v>
      </c>
      <c r="R1223" s="3">
        <v>0</v>
      </c>
      <c r="S1223" s="3">
        <v>0</v>
      </c>
      <c r="T1223" s="3">
        <v>0</v>
      </c>
      <c r="U1223" s="3">
        <v>0</v>
      </c>
      <c r="V1223" s="3">
        <v>0</v>
      </c>
      <c r="W1223" s="3" t="s">
        <v>1720</v>
      </c>
      <c r="X1223" s="3">
        <v>16.99</v>
      </c>
      <c r="Y1223" s="3">
        <v>16.99</v>
      </c>
      <c r="Z1223" s="3">
        <v>16.99</v>
      </c>
      <c r="AA1223" s="3">
        <v>0</v>
      </c>
      <c r="AB1223" s="3" t="s">
        <v>1721</v>
      </c>
      <c r="AC1223" s="3">
        <v>0</v>
      </c>
      <c r="AD1223" s="3">
        <v>15.45</v>
      </c>
      <c r="AE1223" s="3">
        <v>49</v>
      </c>
      <c r="AF1223" s="3">
        <v>0</v>
      </c>
      <c r="AG1223" s="3">
        <v>94.086055</v>
      </c>
      <c r="AH1223" s="3">
        <v>0</v>
      </c>
      <c r="AI1223" s="3" t="s">
        <v>5444</v>
      </c>
      <c r="AJ1223" s="3" t="s">
        <v>1783</v>
      </c>
    </row>
    <row r="1224" spans="1:36">
      <c r="A1224" s="4">
        <v>43277</v>
      </c>
      <c r="B1224" s="3" t="s">
        <v>5445</v>
      </c>
      <c r="C1224" s="3" t="s">
        <v>5446</v>
      </c>
      <c r="D1224" s="3" t="s">
        <v>5447</v>
      </c>
      <c r="E1224" s="3" t="s">
        <v>2495</v>
      </c>
      <c r="F1224" s="3" t="s">
        <v>1710</v>
      </c>
      <c r="G1224" s="3">
        <v>15</v>
      </c>
      <c r="H1224" s="3">
        <v>0</v>
      </c>
      <c r="I1224" s="3">
        <v>15</v>
      </c>
      <c r="J1224" s="3">
        <v>0</v>
      </c>
      <c r="K1224" s="3">
        <v>0</v>
      </c>
      <c r="L1224" s="3">
        <v>0</v>
      </c>
      <c r="M1224" s="3">
        <v>0</v>
      </c>
      <c r="N1224" s="3" t="s">
        <v>1711</v>
      </c>
      <c r="O1224" s="3">
        <v>0</v>
      </c>
      <c r="P1224" s="3">
        <v>0</v>
      </c>
      <c r="Q1224" s="3">
        <v>0</v>
      </c>
      <c r="R1224" s="3">
        <v>0</v>
      </c>
      <c r="S1224" s="3">
        <v>0</v>
      </c>
      <c r="T1224" s="3">
        <v>0</v>
      </c>
      <c r="U1224" s="3">
        <v>0</v>
      </c>
      <c r="V1224" s="3">
        <v>0</v>
      </c>
      <c r="W1224" s="3" t="s">
        <v>1720</v>
      </c>
      <c r="X1224" s="3">
        <v>15.99</v>
      </c>
      <c r="Y1224" s="3">
        <v>15.99</v>
      </c>
      <c r="Z1224" s="3">
        <v>15.99</v>
      </c>
      <c r="AA1224" s="3">
        <v>0</v>
      </c>
      <c r="AB1224" s="3" t="s">
        <v>1721</v>
      </c>
      <c r="AC1224" s="3">
        <v>0</v>
      </c>
      <c r="AD1224" s="3">
        <v>12.79</v>
      </c>
      <c r="AE1224" s="3">
        <v>63</v>
      </c>
      <c r="AF1224" s="3">
        <v>0</v>
      </c>
      <c r="AG1224" s="3">
        <v>160.761652</v>
      </c>
      <c r="AH1224" s="3">
        <v>0</v>
      </c>
      <c r="AI1224" s="3" t="s">
        <v>2496</v>
      </c>
      <c r="AJ1224" s="3" t="s">
        <v>1715</v>
      </c>
    </row>
    <row r="1225" spans="1:36">
      <c r="A1225" s="4">
        <v>43277</v>
      </c>
      <c r="B1225" s="3" t="s">
        <v>5448</v>
      </c>
      <c r="C1225" s="3" t="s">
        <v>5449</v>
      </c>
      <c r="D1225" s="3" t="s">
        <v>5450</v>
      </c>
      <c r="E1225" s="3" t="s">
        <v>5451</v>
      </c>
      <c r="F1225" s="3" t="s">
        <v>1710</v>
      </c>
      <c r="G1225" s="3">
        <v>10</v>
      </c>
      <c r="H1225" s="3">
        <v>0</v>
      </c>
      <c r="I1225" s="3">
        <v>0</v>
      </c>
      <c r="J1225" s="3">
        <v>0</v>
      </c>
      <c r="K1225" s="3">
        <v>10</v>
      </c>
      <c r="L1225" s="3">
        <v>0</v>
      </c>
      <c r="M1225" s="3">
        <v>0</v>
      </c>
      <c r="N1225" s="3" t="s">
        <v>1711</v>
      </c>
      <c r="O1225" s="3">
        <v>10</v>
      </c>
      <c r="P1225" s="3">
        <v>15.63</v>
      </c>
      <c r="Q1225" s="3">
        <v>0</v>
      </c>
      <c r="R1225" s="3">
        <v>0</v>
      </c>
      <c r="S1225" s="3">
        <v>0</v>
      </c>
      <c r="T1225" s="3">
        <v>0</v>
      </c>
      <c r="U1225" s="3">
        <v>0</v>
      </c>
      <c r="V1225" s="3">
        <v>0</v>
      </c>
      <c r="W1225" s="3" t="s">
        <v>1720</v>
      </c>
      <c r="X1225" s="3">
        <v>18.99</v>
      </c>
      <c r="Y1225" s="3">
        <v>18.99</v>
      </c>
      <c r="Z1225" s="3">
        <v>18.99</v>
      </c>
      <c r="AA1225" s="3">
        <v>0</v>
      </c>
      <c r="AB1225" s="3" t="s">
        <v>1732</v>
      </c>
      <c r="AC1225" s="3">
        <v>0</v>
      </c>
      <c r="AD1225" s="3">
        <v>15.19</v>
      </c>
      <c r="AE1225" s="3">
        <v>63</v>
      </c>
      <c r="AF1225" s="3">
        <v>0</v>
      </c>
      <c r="AG1225" s="3">
        <v>184.935405</v>
      </c>
      <c r="AH1225" s="3">
        <v>0</v>
      </c>
      <c r="AI1225" s="3" t="s">
        <v>2002</v>
      </c>
      <c r="AJ1225" s="3" t="s">
        <v>1715</v>
      </c>
    </row>
    <row r="1226" spans="1:36">
      <c r="A1226" s="4">
        <v>43277</v>
      </c>
      <c r="B1226" s="3" t="s">
        <v>5452</v>
      </c>
      <c r="C1226" s="3" t="s">
        <v>5453</v>
      </c>
      <c r="D1226" s="3" t="s">
        <v>5454</v>
      </c>
      <c r="E1226" s="3" t="s">
        <v>3507</v>
      </c>
      <c r="F1226" s="3" t="s">
        <v>1710</v>
      </c>
      <c r="G1226" s="3">
        <v>2</v>
      </c>
      <c r="H1226" s="3">
        <v>0</v>
      </c>
      <c r="I1226" s="3">
        <v>0</v>
      </c>
      <c r="J1226" s="3">
        <v>0</v>
      </c>
      <c r="K1226" s="3">
        <v>0</v>
      </c>
      <c r="L1226" s="3">
        <v>2</v>
      </c>
      <c r="M1226" s="3">
        <v>0</v>
      </c>
      <c r="N1226" s="3" t="s">
        <v>1711</v>
      </c>
      <c r="O1226" s="3">
        <v>2</v>
      </c>
      <c r="P1226" s="3">
        <v>1.49</v>
      </c>
      <c r="Q1226" s="3">
        <v>0</v>
      </c>
      <c r="R1226" s="3">
        <v>0</v>
      </c>
      <c r="S1226" s="3">
        <v>0</v>
      </c>
      <c r="T1226" s="3">
        <v>0</v>
      </c>
      <c r="U1226" s="3">
        <v>0</v>
      </c>
      <c r="V1226" s="3">
        <v>0</v>
      </c>
      <c r="W1226" s="3" t="s">
        <v>1720</v>
      </c>
      <c r="X1226" s="3">
        <v>15.99</v>
      </c>
      <c r="Y1226" s="3">
        <v>15.99</v>
      </c>
      <c r="Z1226" s="3">
        <v>15.99</v>
      </c>
      <c r="AA1226" s="3">
        <v>0</v>
      </c>
      <c r="AB1226" s="3" t="s">
        <v>1721</v>
      </c>
      <c r="AC1226" s="3">
        <v>0</v>
      </c>
      <c r="AD1226" s="3">
        <v>14.81</v>
      </c>
      <c r="AE1226" s="3">
        <v>49</v>
      </c>
      <c r="AF1226" s="3">
        <v>0</v>
      </c>
      <c r="AG1226" s="3">
        <v>33.147459</v>
      </c>
      <c r="AH1226" s="3">
        <v>0</v>
      </c>
      <c r="AI1226" s="3" t="s">
        <v>3508</v>
      </c>
      <c r="AJ1226" s="3" t="s">
        <v>1715</v>
      </c>
    </row>
    <row r="1227" spans="1:36">
      <c r="A1227" s="4">
        <v>43277</v>
      </c>
      <c r="B1227" s="3" t="s">
        <v>5455</v>
      </c>
      <c r="C1227" s="3" t="s">
        <v>5456</v>
      </c>
      <c r="D1227" s="3" t="s">
        <v>5457</v>
      </c>
      <c r="E1227" s="3" t="s">
        <v>5458</v>
      </c>
      <c r="F1227" s="3" t="s">
        <v>1710</v>
      </c>
      <c r="G1227" s="3">
        <v>4</v>
      </c>
      <c r="H1227" s="3">
        <v>0</v>
      </c>
      <c r="I1227" s="3">
        <v>4</v>
      </c>
      <c r="J1227" s="3">
        <v>0</v>
      </c>
      <c r="K1227" s="3">
        <v>0</v>
      </c>
      <c r="L1227" s="3">
        <v>0</v>
      </c>
      <c r="M1227" s="3">
        <v>0</v>
      </c>
      <c r="N1227" s="3" t="s">
        <v>1711</v>
      </c>
      <c r="O1227" s="3">
        <v>0</v>
      </c>
      <c r="P1227" s="3">
        <v>0</v>
      </c>
      <c r="Q1227" s="3">
        <v>0</v>
      </c>
      <c r="R1227" s="3">
        <v>0</v>
      </c>
      <c r="S1227" s="3">
        <v>1</v>
      </c>
      <c r="T1227" s="3">
        <v>1</v>
      </c>
      <c r="U1227" s="3">
        <v>1</v>
      </c>
      <c r="V1227" s="3">
        <v>1</v>
      </c>
      <c r="W1227" s="3"/>
      <c r="X1227" s="3">
        <v>19.99</v>
      </c>
      <c r="Y1227" s="3">
        <v>19.99</v>
      </c>
      <c r="Z1227" s="3">
        <v>19.99</v>
      </c>
      <c r="AA1227" s="3">
        <v>0</v>
      </c>
      <c r="AB1227" s="3" t="s">
        <v>1713</v>
      </c>
      <c r="AC1227" s="3">
        <v>5</v>
      </c>
      <c r="AD1227" s="3">
        <v>19.99</v>
      </c>
      <c r="AE1227" s="3">
        <v>0</v>
      </c>
      <c r="AF1227" s="3">
        <v>0</v>
      </c>
      <c r="AG1227" s="3">
        <v>0</v>
      </c>
      <c r="AH1227" s="3">
        <v>0.333333333333333</v>
      </c>
      <c r="AI1227" s="3" t="s">
        <v>1962</v>
      </c>
      <c r="AJ1227" s="3" t="s">
        <v>1715</v>
      </c>
    </row>
    <row r="1228" spans="1:36">
      <c r="A1228" s="4">
        <v>43277</v>
      </c>
      <c r="B1228" s="3" t="s">
        <v>535</v>
      </c>
      <c r="C1228" s="3" t="s">
        <v>536</v>
      </c>
      <c r="D1228" s="3" t="s">
        <v>537</v>
      </c>
      <c r="E1228" s="3" t="s">
        <v>5459</v>
      </c>
      <c r="F1228" s="3" t="s">
        <v>1710</v>
      </c>
      <c r="G1228" s="3">
        <v>208</v>
      </c>
      <c r="H1228" s="3">
        <v>0</v>
      </c>
      <c r="I1228" s="3">
        <v>208</v>
      </c>
      <c r="J1228" s="3">
        <v>0</v>
      </c>
      <c r="K1228" s="3">
        <v>0</v>
      </c>
      <c r="L1228" s="3">
        <v>0</v>
      </c>
      <c r="M1228" s="3">
        <v>0</v>
      </c>
      <c r="N1228" s="3" t="s">
        <v>1711</v>
      </c>
      <c r="O1228" s="3">
        <v>0</v>
      </c>
      <c r="P1228" s="3">
        <v>0</v>
      </c>
      <c r="Q1228" s="3">
        <v>0</v>
      </c>
      <c r="R1228" s="3">
        <v>0</v>
      </c>
      <c r="S1228" s="3">
        <v>23</v>
      </c>
      <c r="T1228" s="3">
        <v>125</v>
      </c>
      <c r="U1228" s="3">
        <v>232</v>
      </c>
      <c r="V1228" s="3">
        <v>288</v>
      </c>
      <c r="W1228" s="3"/>
      <c r="X1228" s="3">
        <v>38</v>
      </c>
      <c r="Y1228" s="3">
        <v>28.58</v>
      </c>
      <c r="Z1228" s="3">
        <v>28</v>
      </c>
      <c r="AA1228" s="3">
        <v>0</v>
      </c>
      <c r="AB1228" s="3" t="s">
        <v>1713</v>
      </c>
      <c r="AC1228" s="3">
        <v>204</v>
      </c>
      <c r="AD1228" s="3">
        <v>28.58</v>
      </c>
      <c r="AE1228" s="3">
        <v>0</v>
      </c>
      <c r="AF1228" s="3">
        <v>0</v>
      </c>
      <c r="AG1228" s="3">
        <v>0</v>
      </c>
      <c r="AH1228" s="3">
        <v>3.54461538461538</v>
      </c>
      <c r="AI1228" s="3" t="s">
        <v>1801</v>
      </c>
      <c r="AJ1228" s="3" t="s">
        <v>1715</v>
      </c>
    </row>
    <row r="1229" spans="1:36">
      <c r="A1229" s="4">
        <v>43277</v>
      </c>
      <c r="B1229" s="3" t="s">
        <v>5460</v>
      </c>
      <c r="C1229" s="3" t="s">
        <v>5461</v>
      </c>
      <c r="D1229" s="3" t="s">
        <v>5462</v>
      </c>
      <c r="E1229" s="3" t="s">
        <v>2495</v>
      </c>
      <c r="F1229" s="3" t="s">
        <v>1710</v>
      </c>
      <c r="G1229" s="3">
        <v>15</v>
      </c>
      <c r="H1229" s="3">
        <v>0</v>
      </c>
      <c r="I1229" s="3">
        <v>15</v>
      </c>
      <c r="J1229" s="3">
        <v>0</v>
      </c>
      <c r="K1229" s="3">
        <v>0</v>
      </c>
      <c r="L1229" s="3">
        <v>0</v>
      </c>
      <c r="M1229" s="3">
        <v>0</v>
      </c>
      <c r="N1229" s="3" t="s">
        <v>1711</v>
      </c>
      <c r="O1229" s="3">
        <v>0</v>
      </c>
      <c r="P1229" s="3">
        <v>0</v>
      </c>
      <c r="Q1229" s="3">
        <v>0</v>
      </c>
      <c r="R1229" s="3">
        <v>0</v>
      </c>
      <c r="S1229" s="3">
        <v>0</v>
      </c>
      <c r="T1229" s="3">
        <v>0</v>
      </c>
      <c r="U1229" s="3">
        <v>0</v>
      </c>
      <c r="V1229" s="3">
        <v>0</v>
      </c>
      <c r="W1229" s="3" t="s">
        <v>1720</v>
      </c>
      <c r="X1229" s="3">
        <v>15.99</v>
      </c>
      <c r="Y1229" s="3">
        <v>15.99</v>
      </c>
      <c r="Z1229" s="3">
        <v>15.99</v>
      </c>
      <c r="AA1229" s="3">
        <v>0</v>
      </c>
      <c r="AB1229" s="3" t="s">
        <v>1721</v>
      </c>
      <c r="AC1229" s="3">
        <v>0</v>
      </c>
      <c r="AD1229" s="3">
        <v>12.79</v>
      </c>
      <c r="AE1229" s="3">
        <v>63</v>
      </c>
      <c r="AF1229" s="3">
        <v>0</v>
      </c>
      <c r="AG1229" s="3">
        <v>160.761652</v>
      </c>
      <c r="AH1229" s="3">
        <v>0</v>
      </c>
      <c r="AI1229" s="3" t="s">
        <v>2758</v>
      </c>
      <c r="AJ1229" s="3" t="s">
        <v>1715</v>
      </c>
    </row>
    <row r="1230" spans="1:36">
      <c r="A1230" s="4">
        <v>43277</v>
      </c>
      <c r="B1230" s="3" t="s">
        <v>5463</v>
      </c>
      <c r="C1230" s="3" t="s">
        <v>5464</v>
      </c>
      <c r="D1230" s="3" t="s">
        <v>5465</v>
      </c>
      <c r="E1230" s="3" t="s">
        <v>5466</v>
      </c>
      <c r="F1230" s="3" t="s">
        <v>1710</v>
      </c>
      <c r="G1230" s="3">
        <v>8</v>
      </c>
      <c r="H1230" s="3">
        <v>0</v>
      </c>
      <c r="I1230" s="3">
        <v>8</v>
      </c>
      <c r="J1230" s="3">
        <v>0</v>
      </c>
      <c r="K1230" s="3">
        <v>0</v>
      </c>
      <c r="L1230" s="3">
        <v>0</v>
      </c>
      <c r="M1230" s="3">
        <v>0</v>
      </c>
      <c r="N1230" s="3" t="s">
        <v>1711</v>
      </c>
      <c r="O1230" s="3">
        <v>0</v>
      </c>
      <c r="P1230" s="3">
        <v>0</v>
      </c>
      <c r="Q1230" s="3">
        <v>0</v>
      </c>
      <c r="R1230" s="3">
        <v>0</v>
      </c>
      <c r="S1230" s="3">
        <v>2</v>
      </c>
      <c r="T1230" s="3">
        <v>7</v>
      </c>
      <c r="U1230" s="3">
        <v>16</v>
      </c>
      <c r="V1230" s="3">
        <v>19</v>
      </c>
      <c r="W1230" s="3"/>
      <c r="X1230" s="3">
        <v>14.99</v>
      </c>
      <c r="Y1230" s="3">
        <v>14.99</v>
      </c>
      <c r="Z1230" s="3">
        <v>14.99</v>
      </c>
      <c r="AA1230" s="3">
        <v>0</v>
      </c>
      <c r="AB1230" s="3" t="s">
        <v>1713</v>
      </c>
      <c r="AC1230" s="3">
        <v>8</v>
      </c>
      <c r="AD1230" s="3">
        <v>14.99</v>
      </c>
      <c r="AE1230" s="3">
        <v>0</v>
      </c>
      <c r="AF1230" s="3">
        <v>0</v>
      </c>
      <c r="AG1230" s="3">
        <v>0</v>
      </c>
      <c r="AH1230" s="3">
        <v>1.58333333333333</v>
      </c>
      <c r="AI1230" s="3" t="s">
        <v>4901</v>
      </c>
      <c r="AJ1230" s="3" t="s">
        <v>1715</v>
      </c>
    </row>
    <row r="1231" spans="1:36">
      <c r="A1231" s="4">
        <v>43277</v>
      </c>
      <c r="B1231" s="3" t="s">
        <v>1178</v>
      </c>
      <c r="C1231" s="3" t="s">
        <v>1179</v>
      </c>
      <c r="D1231" s="3" t="s">
        <v>1180</v>
      </c>
      <c r="E1231" s="3" t="s">
        <v>1181</v>
      </c>
      <c r="F1231" s="3" t="s">
        <v>1710</v>
      </c>
      <c r="G1231" s="3">
        <v>20</v>
      </c>
      <c r="H1231" s="3">
        <v>0</v>
      </c>
      <c r="I1231" s="3">
        <v>20</v>
      </c>
      <c r="J1231" s="3">
        <v>0</v>
      </c>
      <c r="K1231" s="3">
        <v>0</v>
      </c>
      <c r="L1231" s="3">
        <v>0</v>
      </c>
      <c r="M1231" s="3">
        <v>0</v>
      </c>
      <c r="N1231" s="3" t="s">
        <v>1711</v>
      </c>
      <c r="O1231" s="3">
        <v>0</v>
      </c>
      <c r="P1231" s="3">
        <v>0</v>
      </c>
      <c r="Q1231" s="3">
        <v>0</v>
      </c>
      <c r="R1231" s="3">
        <v>0</v>
      </c>
      <c r="S1231" s="3">
        <v>0</v>
      </c>
      <c r="T1231" s="3">
        <v>9</v>
      </c>
      <c r="U1231" s="3">
        <v>15</v>
      </c>
      <c r="V1231" s="3">
        <v>15</v>
      </c>
      <c r="W1231" s="3"/>
      <c r="X1231" s="3">
        <v>39.99</v>
      </c>
      <c r="Y1231" s="3">
        <v>19.99</v>
      </c>
      <c r="Z1231" s="3">
        <v>19.99</v>
      </c>
      <c r="AA1231" s="3">
        <v>0</v>
      </c>
      <c r="AB1231" s="3" t="s">
        <v>1713</v>
      </c>
      <c r="AC1231" s="3">
        <v>0</v>
      </c>
      <c r="AD1231" s="3">
        <v>0</v>
      </c>
      <c r="AE1231" s="3">
        <v>0</v>
      </c>
      <c r="AF1231" s="3">
        <v>0</v>
      </c>
      <c r="AG1231" s="3">
        <v>0</v>
      </c>
      <c r="AH1231" s="3">
        <v>1.40625</v>
      </c>
      <c r="AI1231" s="3" t="s">
        <v>2550</v>
      </c>
      <c r="AJ1231" s="3" t="s">
        <v>1715</v>
      </c>
    </row>
    <row r="1232" spans="1:36">
      <c r="A1232" s="4">
        <v>43277</v>
      </c>
      <c r="B1232" s="3" t="s">
        <v>5467</v>
      </c>
      <c r="C1232" s="3" t="s">
        <v>5468</v>
      </c>
      <c r="D1232" s="3" t="s">
        <v>5469</v>
      </c>
      <c r="E1232" s="3" t="s">
        <v>5470</v>
      </c>
      <c r="F1232" s="3" t="s">
        <v>1710</v>
      </c>
      <c r="G1232" s="3">
        <v>8</v>
      </c>
      <c r="H1232" s="3">
        <v>0</v>
      </c>
      <c r="I1232" s="3">
        <v>3</v>
      </c>
      <c r="J1232" s="3">
        <v>2</v>
      </c>
      <c r="K1232" s="3">
        <v>0</v>
      </c>
      <c r="L1232" s="3">
        <v>1</v>
      </c>
      <c r="M1232" s="3">
        <v>2</v>
      </c>
      <c r="N1232" s="3" t="s">
        <v>1711</v>
      </c>
      <c r="O1232" s="3">
        <v>0</v>
      </c>
      <c r="P1232" s="3">
        <v>0</v>
      </c>
      <c r="Q1232" s="3">
        <v>3</v>
      </c>
      <c r="R1232" s="3">
        <v>4.11</v>
      </c>
      <c r="S1232" s="3">
        <v>0</v>
      </c>
      <c r="T1232" s="3">
        <v>0</v>
      </c>
      <c r="U1232" s="3">
        <v>0</v>
      </c>
      <c r="V1232" s="3">
        <v>0</v>
      </c>
      <c r="W1232" s="3" t="s">
        <v>1712</v>
      </c>
      <c r="X1232" s="3">
        <v>20.99</v>
      </c>
      <c r="Y1232" s="3">
        <v>20.99</v>
      </c>
      <c r="Z1232" s="3">
        <v>20.99</v>
      </c>
      <c r="AA1232" s="3">
        <v>0</v>
      </c>
      <c r="AB1232" s="3" t="s">
        <v>1732</v>
      </c>
      <c r="AC1232" s="3">
        <v>5</v>
      </c>
      <c r="AD1232" s="3">
        <v>19.7</v>
      </c>
      <c r="AE1232" s="3">
        <v>21</v>
      </c>
      <c r="AF1232" s="3">
        <v>0</v>
      </c>
      <c r="AG1232" s="3">
        <v>147.032609</v>
      </c>
      <c r="AH1232" s="3">
        <v>0</v>
      </c>
      <c r="AI1232" s="3" t="s">
        <v>1914</v>
      </c>
      <c r="AJ1232" s="3" t="s">
        <v>1715</v>
      </c>
    </row>
    <row r="1233" spans="1:36">
      <c r="A1233" s="4">
        <v>43277</v>
      </c>
      <c r="B1233" s="3" t="s">
        <v>1659</v>
      </c>
      <c r="C1233" s="3" t="s">
        <v>1660</v>
      </c>
      <c r="D1233" s="3" t="s">
        <v>1661</v>
      </c>
      <c r="E1233" s="3" t="s">
        <v>1564</v>
      </c>
      <c r="F1233" s="3" t="s">
        <v>1710</v>
      </c>
      <c r="G1233" s="3">
        <v>19</v>
      </c>
      <c r="H1233" s="3">
        <v>0</v>
      </c>
      <c r="I1233" s="3">
        <v>19</v>
      </c>
      <c r="J1233" s="3">
        <v>0</v>
      </c>
      <c r="K1233" s="3">
        <v>0</v>
      </c>
      <c r="L1233" s="3">
        <v>0</v>
      </c>
      <c r="M1233" s="3">
        <v>0</v>
      </c>
      <c r="N1233" s="3" t="s">
        <v>1711</v>
      </c>
      <c r="O1233" s="3">
        <v>0</v>
      </c>
      <c r="P1233" s="3">
        <v>0</v>
      </c>
      <c r="Q1233" s="3">
        <v>0</v>
      </c>
      <c r="R1233" s="3">
        <v>0</v>
      </c>
      <c r="S1233" s="3">
        <v>12</v>
      </c>
      <c r="T1233" s="3">
        <v>28</v>
      </c>
      <c r="U1233" s="3">
        <v>60</v>
      </c>
      <c r="V1233" s="3">
        <v>75</v>
      </c>
      <c r="W1233" s="3"/>
      <c r="X1233" s="3">
        <v>29.98</v>
      </c>
      <c r="Y1233" s="3">
        <v>22.99</v>
      </c>
      <c r="Z1233" s="3">
        <v>22.99</v>
      </c>
      <c r="AA1233" s="3">
        <v>0</v>
      </c>
      <c r="AB1233" s="3" t="s">
        <v>1713</v>
      </c>
      <c r="AC1233" s="3">
        <v>25</v>
      </c>
      <c r="AD1233" s="3">
        <v>22.99</v>
      </c>
      <c r="AE1233" s="3">
        <v>0</v>
      </c>
      <c r="AF1233" s="3">
        <v>0</v>
      </c>
      <c r="AG1233" s="3">
        <v>0</v>
      </c>
      <c r="AH1233" s="3">
        <v>7.14285714285714</v>
      </c>
      <c r="AI1233" s="3" t="s">
        <v>1734</v>
      </c>
      <c r="AJ1233" s="3" t="s">
        <v>1715</v>
      </c>
    </row>
    <row r="1234" spans="1:36">
      <c r="A1234" s="4">
        <v>43277</v>
      </c>
      <c r="B1234" s="3" t="s">
        <v>5471</v>
      </c>
      <c r="C1234" s="3" t="s">
        <v>5472</v>
      </c>
      <c r="D1234" s="3" t="s">
        <v>5473</v>
      </c>
      <c r="E1234" s="3" t="s">
        <v>5474</v>
      </c>
      <c r="F1234" s="3" t="s">
        <v>1710</v>
      </c>
      <c r="G1234" s="3">
        <v>34</v>
      </c>
      <c r="H1234" s="3">
        <v>0</v>
      </c>
      <c r="I1234" s="3">
        <v>34</v>
      </c>
      <c r="J1234" s="3">
        <v>0</v>
      </c>
      <c r="K1234" s="3">
        <v>0</v>
      </c>
      <c r="L1234" s="3">
        <v>0</v>
      </c>
      <c r="M1234" s="3">
        <v>0</v>
      </c>
      <c r="N1234" s="3" t="s">
        <v>1711</v>
      </c>
      <c r="O1234" s="3">
        <v>0</v>
      </c>
      <c r="P1234" s="3">
        <v>0</v>
      </c>
      <c r="Q1234" s="3">
        <v>0</v>
      </c>
      <c r="R1234" s="3">
        <v>0</v>
      </c>
      <c r="S1234" s="3">
        <v>3</v>
      </c>
      <c r="T1234" s="3">
        <v>18</v>
      </c>
      <c r="U1234" s="3">
        <v>42</v>
      </c>
      <c r="V1234" s="3">
        <v>57</v>
      </c>
      <c r="W1234" s="3"/>
      <c r="X1234" s="3">
        <v>28.99</v>
      </c>
      <c r="Y1234" s="3">
        <v>14.99</v>
      </c>
      <c r="Z1234" s="3">
        <v>14.99</v>
      </c>
      <c r="AA1234" s="3">
        <v>0</v>
      </c>
      <c r="AB1234" s="3" t="s">
        <v>1713</v>
      </c>
      <c r="AC1234" s="3">
        <v>36</v>
      </c>
      <c r="AD1234" s="3">
        <v>14.99</v>
      </c>
      <c r="AE1234" s="3">
        <v>0</v>
      </c>
      <c r="AF1234" s="3">
        <v>0</v>
      </c>
      <c r="AG1234" s="3">
        <v>0</v>
      </c>
      <c r="AH1234" s="3">
        <v>3</v>
      </c>
      <c r="AI1234" s="3" t="s">
        <v>2467</v>
      </c>
      <c r="AJ1234" s="3" t="s">
        <v>1715</v>
      </c>
    </row>
    <row r="1235" spans="1:36">
      <c r="A1235" s="4">
        <v>43277</v>
      </c>
      <c r="B1235" s="3" t="s">
        <v>5475</v>
      </c>
      <c r="C1235" s="3" t="s">
        <v>5476</v>
      </c>
      <c r="D1235" s="3" t="s">
        <v>5477</v>
      </c>
      <c r="E1235" s="3" t="s">
        <v>5478</v>
      </c>
      <c r="F1235" s="3" t="s">
        <v>1710</v>
      </c>
      <c r="G1235" s="3">
        <v>9</v>
      </c>
      <c r="H1235" s="3">
        <v>0</v>
      </c>
      <c r="I1235" s="3">
        <v>0</v>
      </c>
      <c r="J1235" s="3">
        <v>0</v>
      </c>
      <c r="K1235" s="3">
        <v>9</v>
      </c>
      <c r="L1235" s="3">
        <v>0</v>
      </c>
      <c r="M1235" s="3">
        <v>0</v>
      </c>
      <c r="N1235" s="3" t="s">
        <v>1711</v>
      </c>
      <c r="O1235" s="3">
        <v>9</v>
      </c>
      <c r="P1235" s="3">
        <v>14.06</v>
      </c>
      <c r="Q1235" s="3">
        <v>0</v>
      </c>
      <c r="R1235" s="3">
        <v>0</v>
      </c>
      <c r="S1235" s="3">
        <v>0</v>
      </c>
      <c r="T1235" s="3">
        <v>0</v>
      </c>
      <c r="U1235" s="3">
        <v>0</v>
      </c>
      <c r="V1235" s="3">
        <v>0</v>
      </c>
      <c r="W1235" s="3" t="s">
        <v>1720</v>
      </c>
      <c r="X1235" s="3">
        <v>18.99</v>
      </c>
      <c r="Y1235" s="3">
        <v>18.99</v>
      </c>
      <c r="Z1235" s="3">
        <v>18.99</v>
      </c>
      <c r="AA1235" s="3">
        <v>0</v>
      </c>
      <c r="AB1235" s="3" t="s">
        <v>1732</v>
      </c>
      <c r="AC1235" s="3">
        <v>1</v>
      </c>
      <c r="AD1235" s="3">
        <v>17.47</v>
      </c>
      <c r="AE1235" s="3">
        <v>49</v>
      </c>
      <c r="AF1235" s="3">
        <v>0</v>
      </c>
      <c r="AG1235" s="3">
        <v>255.698735</v>
      </c>
      <c r="AH1235" s="3">
        <v>0</v>
      </c>
      <c r="AI1235" s="3" t="s">
        <v>2002</v>
      </c>
      <c r="AJ1235" s="3" t="s">
        <v>1715</v>
      </c>
    </row>
    <row r="1236" spans="1:36">
      <c r="A1236" s="4">
        <v>43277</v>
      </c>
      <c r="B1236" s="3" t="s">
        <v>5479</v>
      </c>
      <c r="C1236" s="3" t="s">
        <v>5480</v>
      </c>
      <c r="D1236" s="3" t="s">
        <v>5481</v>
      </c>
      <c r="E1236" s="3" t="s">
        <v>1125</v>
      </c>
      <c r="F1236" s="3" t="s">
        <v>1710</v>
      </c>
      <c r="G1236" s="3">
        <v>13</v>
      </c>
      <c r="H1236" s="3">
        <v>0</v>
      </c>
      <c r="I1236" s="3">
        <v>13</v>
      </c>
      <c r="J1236" s="3">
        <v>0</v>
      </c>
      <c r="K1236" s="3">
        <v>0</v>
      </c>
      <c r="L1236" s="3">
        <v>0</v>
      </c>
      <c r="M1236" s="3">
        <v>0</v>
      </c>
      <c r="N1236" s="3" t="s">
        <v>1711</v>
      </c>
      <c r="O1236" s="3">
        <v>0</v>
      </c>
      <c r="P1236" s="3">
        <v>0</v>
      </c>
      <c r="Q1236" s="3">
        <v>0</v>
      </c>
      <c r="R1236" s="3">
        <v>0</v>
      </c>
      <c r="S1236" s="3">
        <v>1</v>
      </c>
      <c r="T1236" s="3">
        <v>4</v>
      </c>
      <c r="U1236" s="3">
        <v>7</v>
      </c>
      <c r="V1236" s="3">
        <v>7</v>
      </c>
      <c r="W1236" s="3"/>
      <c r="X1236" s="3">
        <v>21.99</v>
      </c>
      <c r="Y1236" s="3">
        <v>21.99</v>
      </c>
      <c r="Z1236" s="3">
        <v>21.99</v>
      </c>
      <c r="AA1236" s="3">
        <v>0</v>
      </c>
      <c r="AB1236" s="3" t="s">
        <v>1713</v>
      </c>
      <c r="AC1236" s="3">
        <v>13</v>
      </c>
      <c r="AD1236" s="3">
        <v>21.99</v>
      </c>
      <c r="AE1236" s="3">
        <v>0</v>
      </c>
      <c r="AF1236" s="3">
        <v>0</v>
      </c>
      <c r="AG1236" s="3">
        <v>0</v>
      </c>
      <c r="AH1236" s="3">
        <v>0.7</v>
      </c>
      <c r="AI1236" s="3" t="s">
        <v>2070</v>
      </c>
      <c r="AJ1236" s="3" t="s">
        <v>1715</v>
      </c>
    </row>
    <row r="1237" spans="1:36">
      <c r="A1237" s="4">
        <v>43277</v>
      </c>
      <c r="B1237" s="3" t="s">
        <v>919</v>
      </c>
      <c r="C1237" s="3" t="s">
        <v>920</v>
      </c>
      <c r="D1237" s="3" t="s">
        <v>921</v>
      </c>
      <c r="E1237" s="3" t="s">
        <v>922</v>
      </c>
      <c r="F1237" s="3" t="s">
        <v>1710</v>
      </c>
      <c r="G1237" s="3">
        <v>19</v>
      </c>
      <c r="H1237" s="3">
        <v>0</v>
      </c>
      <c r="I1237" s="3">
        <v>19</v>
      </c>
      <c r="J1237" s="3">
        <v>0</v>
      </c>
      <c r="K1237" s="3">
        <v>0</v>
      </c>
      <c r="L1237" s="3">
        <v>0</v>
      </c>
      <c r="M1237" s="3">
        <v>0</v>
      </c>
      <c r="N1237" s="3" t="s">
        <v>1711</v>
      </c>
      <c r="O1237" s="3">
        <v>0</v>
      </c>
      <c r="P1237" s="3">
        <v>0</v>
      </c>
      <c r="Q1237" s="3">
        <v>0</v>
      </c>
      <c r="R1237" s="3">
        <v>0</v>
      </c>
      <c r="S1237" s="3">
        <v>0</v>
      </c>
      <c r="T1237" s="3">
        <v>4</v>
      </c>
      <c r="U1237" s="3">
        <v>9</v>
      </c>
      <c r="V1237" s="3">
        <v>9</v>
      </c>
      <c r="W1237" s="3" t="s">
        <v>1712</v>
      </c>
      <c r="X1237" s="3">
        <v>15.99</v>
      </c>
      <c r="Y1237" s="3">
        <v>15.99</v>
      </c>
      <c r="Z1237" s="3">
        <v>15.99</v>
      </c>
      <c r="AA1237" s="3">
        <v>0</v>
      </c>
      <c r="AB1237" s="3" t="s">
        <v>1713</v>
      </c>
      <c r="AC1237" s="3">
        <v>20</v>
      </c>
      <c r="AD1237" s="3">
        <v>15.99</v>
      </c>
      <c r="AE1237" s="3">
        <v>0</v>
      </c>
      <c r="AF1237" s="3">
        <v>0</v>
      </c>
      <c r="AG1237" s="3">
        <v>0</v>
      </c>
      <c r="AH1237" s="3">
        <v>0.5</v>
      </c>
      <c r="AI1237" s="3" t="s">
        <v>1739</v>
      </c>
      <c r="AJ1237" s="3" t="s">
        <v>1715</v>
      </c>
    </row>
    <row r="1238" spans="1:36">
      <c r="A1238" s="4">
        <v>43277</v>
      </c>
      <c r="B1238" s="3" t="s">
        <v>128</v>
      </c>
      <c r="C1238" s="3" t="s">
        <v>129</v>
      </c>
      <c r="D1238" s="3" t="s">
        <v>130</v>
      </c>
      <c r="E1238" s="3" t="s">
        <v>131</v>
      </c>
      <c r="F1238" s="3" t="s">
        <v>1710</v>
      </c>
      <c r="G1238" s="3">
        <v>13</v>
      </c>
      <c r="H1238" s="3">
        <v>0</v>
      </c>
      <c r="I1238" s="3">
        <v>13</v>
      </c>
      <c r="J1238" s="3">
        <v>0</v>
      </c>
      <c r="K1238" s="3">
        <v>0</v>
      </c>
      <c r="L1238" s="3">
        <v>0</v>
      </c>
      <c r="M1238" s="3">
        <v>0</v>
      </c>
      <c r="N1238" s="3" t="s">
        <v>1711</v>
      </c>
      <c r="O1238" s="3">
        <v>0</v>
      </c>
      <c r="P1238" s="3">
        <v>0</v>
      </c>
      <c r="Q1238" s="3">
        <v>0</v>
      </c>
      <c r="R1238" s="3">
        <v>0</v>
      </c>
      <c r="S1238" s="3">
        <v>6</v>
      </c>
      <c r="T1238" s="3">
        <v>19</v>
      </c>
      <c r="U1238" s="3">
        <v>39</v>
      </c>
      <c r="V1238" s="3">
        <v>51</v>
      </c>
      <c r="W1238" s="3"/>
      <c r="X1238" s="3">
        <v>28.99</v>
      </c>
      <c r="Y1238" s="3">
        <v>14.99</v>
      </c>
      <c r="Z1238" s="3">
        <v>14.99</v>
      </c>
      <c r="AA1238" s="3">
        <v>0</v>
      </c>
      <c r="AB1238" s="3" t="s">
        <v>1713</v>
      </c>
      <c r="AC1238" s="3">
        <v>19</v>
      </c>
      <c r="AD1238" s="3">
        <v>14.99</v>
      </c>
      <c r="AE1238" s="3">
        <v>0</v>
      </c>
      <c r="AF1238" s="3">
        <v>0</v>
      </c>
      <c r="AG1238" s="3">
        <v>0</v>
      </c>
      <c r="AH1238" s="3">
        <v>2.42857142857142</v>
      </c>
      <c r="AI1238" s="3" t="s">
        <v>2467</v>
      </c>
      <c r="AJ1238" s="3" t="s">
        <v>1715</v>
      </c>
    </row>
    <row r="1239" spans="1:36">
      <c r="A1239" s="4">
        <v>43277</v>
      </c>
      <c r="B1239" s="3" t="s">
        <v>891</v>
      </c>
      <c r="C1239" s="3" t="s">
        <v>892</v>
      </c>
      <c r="D1239" s="3" t="s">
        <v>893</v>
      </c>
      <c r="E1239" s="3" t="s">
        <v>894</v>
      </c>
      <c r="F1239" s="3" t="s">
        <v>1710</v>
      </c>
      <c r="G1239" s="3">
        <v>1</v>
      </c>
      <c r="H1239" s="3">
        <v>0</v>
      </c>
      <c r="I1239" s="3">
        <v>1</v>
      </c>
      <c r="J1239" s="3">
        <v>0</v>
      </c>
      <c r="K1239" s="3">
        <v>0</v>
      </c>
      <c r="L1239" s="3">
        <v>0</v>
      </c>
      <c r="M1239" s="3">
        <v>0</v>
      </c>
      <c r="N1239" s="3" t="s">
        <v>1711</v>
      </c>
      <c r="O1239" s="3">
        <v>0</v>
      </c>
      <c r="P1239" s="3">
        <v>0</v>
      </c>
      <c r="Q1239" s="3">
        <v>0</v>
      </c>
      <c r="R1239" s="3">
        <v>0</v>
      </c>
      <c r="S1239" s="3">
        <v>10</v>
      </c>
      <c r="T1239" s="3">
        <v>33</v>
      </c>
      <c r="U1239" s="3">
        <v>42</v>
      </c>
      <c r="V1239" s="3">
        <v>44</v>
      </c>
      <c r="W1239" s="3"/>
      <c r="X1239" s="3"/>
      <c r="Y1239" s="3"/>
      <c r="Z1239" s="3">
        <v>-1</v>
      </c>
      <c r="AA1239" s="3">
        <v>-1</v>
      </c>
      <c r="AB1239" s="3" t="s">
        <v>1776</v>
      </c>
      <c r="AC1239" s="3">
        <v>4</v>
      </c>
      <c r="AD1239" s="3">
        <v>15.99</v>
      </c>
      <c r="AE1239" s="3">
        <v>0</v>
      </c>
      <c r="AF1239" s="3">
        <v>0</v>
      </c>
      <c r="AG1239" s="3">
        <v>0</v>
      </c>
      <c r="AH1239" s="3">
        <v>4.25806451612903</v>
      </c>
      <c r="AI1239" s="3" t="s">
        <v>1739</v>
      </c>
      <c r="AJ1239" s="3" t="s">
        <v>1715</v>
      </c>
    </row>
    <row r="1240" spans="1:36">
      <c r="A1240" s="4">
        <v>43277</v>
      </c>
      <c r="B1240" s="3" t="s">
        <v>1415</v>
      </c>
      <c r="C1240" s="3" t="s">
        <v>1416</v>
      </c>
      <c r="D1240" s="3" t="s">
        <v>1417</v>
      </c>
      <c r="E1240" s="3" t="s">
        <v>1418</v>
      </c>
      <c r="F1240" s="3" t="s">
        <v>1710</v>
      </c>
      <c r="G1240" s="3">
        <v>1</v>
      </c>
      <c r="H1240" s="3">
        <v>0</v>
      </c>
      <c r="I1240" s="3">
        <v>1</v>
      </c>
      <c r="J1240" s="3">
        <v>0</v>
      </c>
      <c r="K1240" s="3">
        <v>0</v>
      </c>
      <c r="L1240" s="3">
        <v>0</v>
      </c>
      <c r="M1240" s="3">
        <v>0</v>
      </c>
      <c r="N1240" s="3" t="s">
        <v>1711</v>
      </c>
      <c r="O1240" s="3">
        <v>0</v>
      </c>
      <c r="P1240" s="3">
        <v>0</v>
      </c>
      <c r="Q1240" s="3">
        <v>0</v>
      </c>
      <c r="R1240" s="3">
        <v>0</v>
      </c>
      <c r="S1240" s="3">
        <v>0</v>
      </c>
      <c r="T1240" s="3">
        <v>0</v>
      </c>
      <c r="U1240" s="3">
        <v>0</v>
      </c>
      <c r="V1240" s="3">
        <v>0</v>
      </c>
      <c r="W1240" s="3"/>
      <c r="X1240" s="3"/>
      <c r="Y1240" s="3"/>
      <c r="Z1240" s="3">
        <v>-1</v>
      </c>
      <c r="AA1240" s="3">
        <v>-1</v>
      </c>
      <c r="AB1240" s="3" t="s">
        <v>1776</v>
      </c>
      <c r="AC1240" s="3">
        <v>0</v>
      </c>
      <c r="AD1240" s="3">
        <v>0</v>
      </c>
      <c r="AE1240" s="3">
        <v>0</v>
      </c>
      <c r="AF1240" s="3">
        <v>0</v>
      </c>
      <c r="AG1240" s="3">
        <v>0</v>
      </c>
      <c r="AH1240" s="3">
        <v>0</v>
      </c>
      <c r="AI1240" s="3" t="s">
        <v>2204</v>
      </c>
      <c r="AJ1240" s="3" t="s">
        <v>1715</v>
      </c>
    </row>
    <row r="1241" spans="1:36">
      <c r="A1241" s="4">
        <v>43277</v>
      </c>
      <c r="B1241" s="3" t="s">
        <v>5482</v>
      </c>
      <c r="C1241" s="3" t="s">
        <v>5483</v>
      </c>
      <c r="D1241" s="3" t="s">
        <v>5484</v>
      </c>
      <c r="E1241" s="3" t="s">
        <v>2495</v>
      </c>
      <c r="F1241" s="3" t="s">
        <v>1710</v>
      </c>
      <c r="G1241" s="3">
        <v>15</v>
      </c>
      <c r="H1241" s="3">
        <v>0</v>
      </c>
      <c r="I1241" s="3">
        <v>15</v>
      </c>
      <c r="J1241" s="3">
        <v>0</v>
      </c>
      <c r="K1241" s="3">
        <v>0</v>
      </c>
      <c r="L1241" s="3">
        <v>0</v>
      </c>
      <c r="M1241" s="3">
        <v>0</v>
      </c>
      <c r="N1241" s="3" t="s">
        <v>1711</v>
      </c>
      <c r="O1241" s="3">
        <v>0</v>
      </c>
      <c r="P1241" s="3">
        <v>0</v>
      </c>
      <c r="Q1241" s="3">
        <v>0</v>
      </c>
      <c r="R1241" s="3">
        <v>0</v>
      </c>
      <c r="S1241" s="3">
        <v>0</v>
      </c>
      <c r="T1241" s="3">
        <v>0</v>
      </c>
      <c r="U1241" s="3">
        <v>0</v>
      </c>
      <c r="V1241" s="3">
        <v>0</v>
      </c>
      <c r="W1241" s="3" t="s">
        <v>1720</v>
      </c>
      <c r="X1241" s="3">
        <v>15.99</v>
      </c>
      <c r="Y1241" s="3">
        <v>15.99</v>
      </c>
      <c r="Z1241" s="3">
        <v>15.99</v>
      </c>
      <c r="AA1241" s="3">
        <v>0</v>
      </c>
      <c r="AB1241" s="3" t="s">
        <v>1721</v>
      </c>
      <c r="AC1241" s="3">
        <v>0</v>
      </c>
      <c r="AD1241" s="3">
        <v>12.79</v>
      </c>
      <c r="AE1241" s="3">
        <v>63</v>
      </c>
      <c r="AF1241" s="3">
        <v>0</v>
      </c>
      <c r="AG1241" s="3">
        <v>160.761652</v>
      </c>
      <c r="AH1241" s="3">
        <v>0</v>
      </c>
      <c r="AI1241" s="3" t="s">
        <v>2758</v>
      </c>
      <c r="AJ1241" s="3" t="s">
        <v>1715</v>
      </c>
    </row>
    <row r="1242" spans="1:36">
      <c r="A1242" s="4">
        <v>43277</v>
      </c>
      <c r="B1242" s="3" t="s">
        <v>5485</v>
      </c>
      <c r="C1242" s="3" t="s">
        <v>5486</v>
      </c>
      <c r="D1242" s="3" t="s">
        <v>5487</v>
      </c>
      <c r="E1242" s="3" t="s">
        <v>5488</v>
      </c>
      <c r="F1242" s="3" t="s">
        <v>1710</v>
      </c>
      <c r="G1242" s="3">
        <v>8</v>
      </c>
      <c r="H1242" s="3">
        <v>0</v>
      </c>
      <c r="I1242" s="3">
        <v>0</v>
      </c>
      <c r="J1242" s="3">
        <v>0</v>
      </c>
      <c r="K1242" s="3">
        <v>0</v>
      </c>
      <c r="L1242" s="3">
        <v>0</v>
      </c>
      <c r="M1242" s="3">
        <v>8</v>
      </c>
      <c r="N1242" s="3" t="s">
        <v>1711</v>
      </c>
      <c r="O1242" s="3">
        <v>0</v>
      </c>
      <c r="P1242" s="3">
        <v>0</v>
      </c>
      <c r="Q1242" s="3">
        <v>8</v>
      </c>
      <c r="R1242" s="3">
        <v>10.59</v>
      </c>
      <c r="S1242" s="3">
        <v>0</v>
      </c>
      <c r="T1242" s="3">
        <v>0</v>
      </c>
      <c r="U1242" s="3">
        <v>0</v>
      </c>
      <c r="V1242" s="3">
        <v>0</v>
      </c>
      <c r="W1242" s="3" t="s">
        <v>1720</v>
      </c>
      <c r="X1242" s="3">
        <v>12.99</v>
      </c>
      <c r="Y1242" s="3">
        <v>12.99</v>
      </c>
      <c r="Z1242" s="3">
        <v>12.99</v>
      </c>
      <c r="AA1242" s="3">
        <v>0</v>
      </c>
      <c r="AB1242" s="3" t="s">
        <v>1732</v>
      </c>
      <c r="AC1242" s="3">
        <v>0</v>
      </c>
      <c r="AD1242" s="3">
        <v>12.14</v>
      </c>
      <c r="AE1242" s="3">
        <v>49</v>
      </c>
      <c r="AF1242" s="3">
        <v>0</v>
      </c>
      <c r="AG1242" s="3">
        <v>117.60613</v>
      </c>
      <c r="AH1242" s="3">
        <v>0</v>
      </c>
      <c r="AI1242" s="3" t="s">
        <v>5489</v>
      </c>
      <c r="AJ1242" s="3" t="s">
        <v>1715</v>
      </c>
    </row>
    <row r="1243" spans="1:36">
      <c r="A1243" s="4">
        <v>43277</v>
      </c>
      <c r="B1243" s="3" t="s">
        <v>5490</v>
      </c>
      <c r="C1243" s="3" t="s">
        <v>5491</v>
      </c>
      <c r="D1243" s="3" t="s">
        <v>5492</v>
      </c>
      <c r="E1243" s="3" t="s">
        <v>2173</v>
      </c>
      <c r="F1243" s="3" t="s">
        <v>1710</v>
      </c>
      <c r="G1243" s="3">
        <v>2</v>
      </c>
      <c r="H1243" s="3">
        <v>0</v>
      </c>
      <c r="I1243" s="3">
        <v>0</v>
      </c>
      <c r="J1243" s="3">
        <v>0</v>
      </c>
      <c r="K1243" s="3">
        <v>0</v>
      </c>
      <c r="L1243" s="3">
        <v>2</v>
      </c>
      <c r="M1243" s="3">
        <v>0</v>
      </c>
      <c r="N1243" s="3" t="s">
        <v>1711</v>
      </c>
      <c r="O1243" s="3">
        <v>2</v>
      </c>
      <c r="P1243" s="3">
        <v>2.78</v>
      </c>
      <c r="Q1243" s="3">
        <v>0</v>
      </c>
      <c r="R1243" s="3">
        <v>0</v>
      </c>
      <c r="S1243" s="3">
        <v>0</v>
      </c>
      <c r="T1243" s="3">
        <v>0</v>
      </c>
      <c r="U1243" s="3">
        <v>0</v>
      </c>
      <c r="V1243" s="3">
        <v>1</v>
      </c>
      <c r="W1243" s="3" t="s">
        <v>1720</v>
      </c>
      <c r="X1243" s="3">
        <v>15.99</v>
      </c>
      <c r="Y1243" s="3">
        <v>15.99</v>
      </c>
      <c r="Z1243" s="3">
        <v>15.99</v>
      </c>
      <c r="AA1243" s="3">
        <v>0</v>
      </c>
      <c r="AB1243" s="3" t="s">
        <v>1732</v>
      </c>
      <c r="AC1243" s="3">
        <v>0</v>
      </c>
      <c r="AD1243" s="3">
        <v>13.38</v>
      </c>
      <c r="AE1243" s="3">
        <v>231</v>
      </c>
      <c r="AF1243" s="3">
        <v>0</v>
      </c>
      <c r="AG1243" s="3">
        <v>41.633837</v>
      </c>
      <c r="AH1243" s="3">
        <v>0.444444444444444</v>
      </c>
      <c r="AI1243" s="3" t="s">
        <v>5493</v>
      </c>
      <c r="AJ1243" s="3" t="s">
        <v>1783</v>
      </c>
    </row>
    <row r="1244" spans="1:36">
      <c r="A1244" s="4">
        <v>43277</v>
      </c>
      <c r="B1244" s="3" t="s">
        <v>5494</v>
      </c>
      <c r="C1244" s="3" t="s">
        <v>5495</v>
      </c>
      <c r="D1244" s="3" t="s">
        <v>5496</v>
      </c>
      <c r="E1244" s="3" t="s">
        <v>5497</v>
      </c>
      <c r="F1244" s="3" t="s">
        <v>1710</v>
      </c>
      <c r="G1244" s="3">
        <v>3</v>
      </c>
      <c r="H1244" s="3">
        <v>0</v>
      </c>
      <c r="I1244" s="3">
        <v>3</v>
      </c>
      <c r="J1244" s="3">
        <v>0</v>
      </c>
      <c r="K1244" s="3">
        <v>0</v>
      </c>
      <c r="L1244" s="3">
        <v>0</v>
      </c>
      <c r="M1244" s="3">
        <v>0</v>
      </c>
      <c r="N1244" s="3" t="s">
        <v>1711</v>
      </c>
      <c r="O1244" s="3">
        <v>0</v>
      </c>
      <c r="P1244" s="3">
        <v>0</v>
      </c>
      <c r="Q1244" s="3">
        <v>0</v>
      </c>
      <c r="R1244" s="3">
        <v>0</v>
      </c>
      <c r="S1244" s="3">
        <v>0</v>
      </c>
      <c r="T1244" s="3">
        <v>0</v>
      </c>
      <c r="U1244" s="3">
        <v>2</v>
      </c>
      <c r="V1244" s="3">
        <v>2</v>
      </c>
      <c r="W1244" s="3" t="s">
        <v>1712</v>
      </c>
      <c r="X1244" s="3">
        <v>13.99</v>
      </c>
      <c r="Y1244" s="3">
        <v>13.99</v>
      </c>
      <c r="Z1244" s="3">
        <v>13.99</v>
      </c>
      <c r="AA1244" s="3">
        <v>0</v>
      </c>
      <c r="AB1244" s="3" t="s">
        <v>1713</v>
      </c>
      <c r="AC1244" s="3">
        <v>3</v>
      </c>
      <c r="AD1244" s="3">
        <v>13.99</v>
      </c>
      <c r="AE1244" s="3">
        <v>0</v>
      </c>
      <c r="AF1244" s="3">
        <v>0</v>
      </c>
      <c r="AG1244" s="3">
        <v>0</v>
      </c>
      <c r="AH1244" s="3">
        <v>0.666666666666666</v>
      </c>
      <c r="AI1244" s="3" t="s">
        <v>1905</v>
      </c>
      <c r="AJ1244" s="3" t="s">
        <v>1715</v>
      </c>
    </row>
    <row r="1245" spans="1:36">
      <c r="A1245" s="4">
        <v>43277</v>
      </c>
      <c r="B1245" s="3" t="s">
        <v>5498</v>
      </c>
      <c r="C1245" s="3" t="s">
        <v>5499</v>
      </c>
      <c r="D1245" s="3" t="s">
        <v>5500</v>
      </c>
      <c r="E1245" s="3" t="s">
        <v>3838</v>
      </c>
      <c r="F1245" s="3" t="s">
        <v>1710</v>
      </c>
      <c r="G1245" s="3">
        <v>4</v>
      </c>
      <c r="H1245" s="3">
        <v>0</v>
      </c>
      <c r="I1245" s="3">
        <v>0</v>
      </c>
      <c r="J1245" s="3">
        <v>0</v>
      </c>
      <c r="K1245" s="3">
        <v>4</v>
      </c>
      <c r="L1245" s="3">
        <v>0</v>
      </c>
      <c r="M1245" s="3">
        <v>0</v>
      </c>
      <c r="N1245" s="3" t="s">
        <v>1711</v>
      </c>
      <c r="O1245" s="3">
        <v>4</v>
      </c>
      <c r="P1245" s="3">
        <v>14.51</v>
      </c>
      <c r="Q1245" s="3">
        <v>0</v>
      </c>
      <c r="R1245" s="3">
        <v>0</v>
      </c>
      <c r="S1245" s="3">
        <v>0</v>
      </c>
      <c r="T1245" s="3">
        <v>0</v>
      </c>
      <c r="U1245" s="3">
        <v>0</v>
      </c>
      <c r="V1245" s="3">
        <v>0</v>
      </c>
      <c r="W1245" s="3" t="s">
        <v>1712</v>
      </c>
      <c r="X1245" s="3">
        <v>29.99</v>
      </c>
      <c r="Y1245" s="3">
        <v>29.99</v>
      </c>
      <c r="Z1245" s="3">
        <v>28.99</v>
      </c>
      <c r="AA1245" s="3">
        <v>0</v>
      </c>
      <c r="AB1245" s="3" t="s">
        <v>1732</v>
      </c>
      <c r="AC1245" s="3">
        <v>0</v>
      </c>
      <c r="AD1245" s="3">
        <v>25.89</v>
      </c>
      <c r="AE1245" s="3">
        <v>147</v>
      </c>
      <c r="AF1245" s="3">
        <v>0</v>
      </c>
      <c r="AG1245" s="3">
        <v>200.733339</v>
      </c>
      <c r="AH1245" s="3">
        <v>0</v>
      </c>
      <c r="AI1245" s="3" t="s">
        <v>1831</v>
      </c>
      <c r="AJ1245" s="3" t="s">
        <v>1715</v>
      </c>
    </row>
    <row r="1246" spans="1:36">
      <c r="A1246" s="4">
        <v>43277</v>
      </c>
      <c r="B1246" s="3" t="s">
        <v>5501</v>
      </c>
      <c r="C1246" s="3" t="s">
        <v>5502</v>
      </c>
      <c r="D1246" s="3" t="s">
        <v>5503</v>
      </c>
      <c r="E1246" s="3" t="s">
        <v>5504</v>
      </c>
      <c r="F1246" s="3" t="s">
        <v>1710</v>
      </c>
      <c r="G1246" s="3">
        <v>9</v>
      </c>
      <c r="H1246" s="3">
        <v>0</v>
      </c>
      <c r="I1246" s="3">
        <v>1</v>
      </c>
      <c r="J1246" s="3">
        <v>4</v>
      </c>
      <c r="K1246" s="3">
        <v>3</v>
      </c>
      <c r="L1246" s="3">
        <v>1</v>
      </c>
      <c r="M1246" s="3">
        <v>0</v>
      </c>
      <c r="N1246" s="3" t="s">
        <v>1711</v>
      </c>
      <c r="O1246" s="3">
        <v>7</v>
      </c>
      <c r="P1246" s="3">
        <v>22.31</v>
      </c>
      <c r="Q1246" s="3">
        <v>0</v>
      </c>
      <c r="R1246" s="3">
        <v>0</v>
      </c>
      <c r="S1246" s="3">
        <v>1</v>
      </c>
      <c r="T1246" s="3">
        <v>2</v>
      </c>
      <c r="U1246" s="3">
        <v>6</v>
      </c>
      <c r="V1246" s="3">
        <v>10</v>
      </c>
      <c r="W1246" s="3"/>
      <c r="X1246" s="3">
        <v>19.99</v>
      </c>
      <c r="Y1246" s="3">
        <v>19.99</v>
      </c>
      <c r="Z1246" s="3">
        <v>19.99</v>
      </c>
      <c r="AA1246" s="3">
        <v>0</v>
      </c>
      <c r="AB1246" s="3" t="s">
        <v>1732</v>
      </c>
      <c r="AC1246" s="3">
        <v>3</v>
      </c>
      <c r="AD1246" s="3">
        <v>17.78</v>
      </c>
      <c r="AE1246" s="3">
        <v>28</v>
      </c>
      <c r="AF1246" s="3">
        <v>0</v>
      </c>
      <c r="AG1246" s="3">
        <v>0</v>
      </c>
      <c r="AH1246" s="3">
        <v>0.754716981132075</v>
      </c>
      <c r="AI1246" s="3" t="s">
        <v>2708</v>
      </c>
      <c r="AJ1246" s="3" t="s">
        <v>1715</v>
      </c>
    </row>
    <row r="1247" spans="1:36">
      <c r="A1247" s="4">
        <v>43277</v>
      </c>
      <c r="B1247" s="3" t="s">
        <v>5505</v>
      </c>
      <c r="C1247" s="3" t="s">
        <v>5506</v>
      </c>
      <c r="D1247" s="3" t="s">
        <v>5507</v>
      </c>
      <c r="E1247" s="3" t="s">
        <v>1380</v>
      </c>
      <c r="F1247" s="3" t="s">
        <v>1710</v>
      </c>
      <c r="G1247" s="3">
        <v>10</v>
      </c>
      <c r="H1247" s="3">
        <v>0</v>
      </c>
      <c r="I1247" s="3">
        <v>5</v>
      </c>
      <c r="J1247" s="3">
        <v>5</v>
      </c>
      <c r="K1247" s="3">
        <v>0</v>
      </c>
      <c r="L1247" s="3">
        <v>0</v>
      </c>
      <c r="M1247" s="3">
        <v>0</v>
      </c>
      <c r="N1247" s="3" t="s">
        <v>1711</v>
      </c>
      <c r="O1247" s="3">
        <v>1</v>
      </c>
      <c r="P1247" s="3">
        <v>2.13</v>
      </c>
      <c r="Q1247" s="3">
        <v>0</v>
      </c>
      <c r="R1247" s="3">
        <v>0</v>
      </c>
      <c r="S1247" s="3">
        <v>1</v>
      </c>
      <c r="T1247" s="3">
        <v>1</v>
      </c>
      <c r="U1247" s="3">
        <v>3</v>
      </c>
      <c r="V1247" s="3">
        <v>4</v>
      </c>
      <c r="W1247" s="3"/>
      <c r="X1247" s="3">
        <v>23.99</v>
      </c>
      <c r="Y1247" s="3">
        <v>23.99</v>
      </c>
      <c r="Z1247" s="3">
        <v>23.99</v>
      </c>
      <c r="AA1247" s="3">
        <v>0</v>
      </c>
      <c r="AB1247" s="3" t="s">
        <v>1713</v>
      </c>
      <c r="AC1247" s="3">
        <v>11</v>
      </c>
      <c r="AD1247" s="3">
        <v>23.99</v>
      </c>
      <c r="AE1247" s="3">
        <v>0</v>
      </c>
      <c r="AF1247" s="3">
        <v>0</v>
      </c>
      <c r="AG1247" s="3">
        <v>0</v>
      </c>
      <c r="AH1247" s="3">
        <v>0.372093023255813</v>
      </c>
      <c r="AI1247" s="3" t="s">
        <v>2351</v>
      </c>
      <c r="AJ1247" s="3" t="s">
        <v>1715</v>
      </c>
    </row>
    <row r="1248" spans="1:36">
      <c r="A1248" s="4">
        <v>43277</v>
      </c>
      <c r="B1248" s="3" t="s">
        <v>5508</v>
      </c>
      <c r="C1248" s="3" t="s">
        <v>5509</v>
      </c>
      <c r="D1248" s="3" t="s">
        <v>5510</v>
      </c>
      <c r="E1248" s="3" t="s">
        <v>1755</v>
      </c>
      <c r="F1248" s="3" t="s">
        <v>1710</v>
      </c>
      <c r="G1248" s="3">
        <v>8</v>
      </c>
      <c r="H1248" s="3">
        <v>0</v>
      </c>
      <c r="I1248" s="3">
        <v>8</v>
      </c>
      <c r="J1248" s="3">
        <v>0</v>
      </c>
      <c r="K1248" s="3">
        <v>0</v>
      </c>
      <c r="L1248" s="3">
        <v>0</v>
      </c>
      <c r="M1248" s="3">
        <v>0</v>
      </c>
      <c r="N1248" s="3" t="s">
        <v>1711</v>
      </c>
      <c r="O1248" s="3">
        <v>0</v>
      </c>
      <c r="P1248" s="3">
        <v>0</v>
      </c>
      <c r="Q1248" s="3">
        <v>0</v>
      </c>
      <c r="R1248" s="3">
        <v>0</v>
      </c>
      <c r="S1248" s="3">
        <v>1</v>
      </c>
      <c r="T1248" s="3">
        <v>2</v>
      </c>
      <c r="U1248" s="3">
        <v>2</v>
      </c>
      <c r="V1248" s="3">
        <v>2</v>
      </c>
      <c r="W1248" s="3" t="s">
        <v>1720</v>
      </c>
      <c r="X1248" s="3">
        <v>15.99</v>
      </c>
      <c r="Y1248" s="3">
        <v>15.99</v>
      </c>
      <c r="Z1248" s="3">
        <v>15.99</v>
      </c>
      <c r="AA1248" s="3">
        <v>0</v>
      </c>
      <c r="AB1248" s="3" t="s">
        <v>1721</v>
      </c>
      <c r="AC1248" s="3">
        <v>9</v>
      </c>
      <c r="AD1248" s="3">
        <v>15.99</v>
      </c>
      <c r="AE1248" s="3">
        <v>0</v>
      </c>
      <c r="AF1248" s="3">
        <v>0</v>
      </c>
      <c r="AG1248" s="3">
        <v>0</v>
      </c>
      <c r="AH1248" s="3">
        <v>0.25</v>
      </c>
      <c r="AI1248" s="3" t="s">
        <v>1756</v>
      </c>
      <c r="AJ1248" s="3" t="s">
        <v>1715</v>
      </c>
    </row>
    <row r="1249" spans="1:36">
      <c r="A1249" s="4">
        <v>43277</v>
      </c>
      <c r="B1249" s="3" t="s">
        <v>5511</v>
      </c>
      <c r="C1249" s="3" t="s">
        <v>5512</v>
      </c>
      <c r="D1249" s="3" t="s">
        <v>5513</v>
      </c>
      <c r="E1249" s="3" t="s">
        <v>5514</v>
      </c>
      <c r="F1249" s="3" t="s">
        <v>1710</v>
      </c>
      <c r="G1249" s="3">
        <v>24</v>
      </c>
      <c r="H1249" s="3">
        <v>0</v>
      </c>
      <c r="I1249" s="3">
        <v>0</v>
      </c>
      <c r="J1249" s="3">
        <v>24</v>
      </c>
      <c r="K1249" s="3">
        <v>0</v>
      </c>
      <c r="L1249" s="3">
        <v>0</v>
      </c>
      <c r="M1249" s="3">
        <v>0</v>
      </c>
      <c r="N1249" s="3" t="s">
        <v>1711</v>
      </c>
      <c r="O1249" s="3">
        <v>24</v>
      </c>
      <c r="P1249" s="3">
        <v>35.36</v>
      </c>
      <c r="Q1249" s="3">
        <v>0</v>
      </c>
      <c r="R1249" s="3">
        <v>0</v>
      </c>
      <c r="S1249" s="3">
        <v>0</v>
      </c>
      <c r="T1249" s="3">
        <v>0</v>
      </c>
      <c r="U1249" s="3">
        <v>0</v>
      </c>
      <c r="V1249" s="3">
        <v>0</v>
      </c>
      <c r="W1249" s="3" t="s">
        <v>1720</v>
      </c>
      <c r="X1249" s="3">
        <v>35</v>
      </c>
      <c r="Y1249" s="3">
        <v>14.99</v>
      </c>
      <c r="Z1249" s="3">
        <v>14.99</v>
      </c>
      <c r="AA1249" s="3">
        <v>0</v>
      </c>
      <c r="AB1249" s="3" t="s">
        <v>1732</v>
      </c>
      <c r="AC1249" s="3">
        <v>6</v>
      </c>
      <c r="AD1249" s="3">
        <v>13.41</v>
      </c>
      <c r="AE1249" s="3">
        <v>63</v>
      </c>
      <c r="AF1249" s="3">
        <v>0</v>
      </c>
      <c r="AG1249" s="3">
        <v>573.189986</v>
      </c>
      <c r="AH1249" s="3">
        <v>0</v>
      </c>
      <c r="AI1249" s="3" t="s">
        <v>1770</v>
      </c>
      <c r="AJ1249" s="3" t="s">
        <v>1715</v>
      </c>
    </row>
    <row r="1250" spans="1:36">
      <c r="A1250" s="4">
        <v>43277</v>
      </c>
      <c r="B1250" s="3" t="s">
        <v>5515</v>
      </c>
      <c r="C1250" s="3" t="s">
        <v>5516</v>
      </c>
      <c r="D1250" s="3" t="s">
        <v>5517</v>
      </c>
      <c r="E1250" s="3" t="s">
        <v>5250</v>
      </c>
      <c r="F1250" s="3" t="s">
        <v>1710</v>
      </c>
      <c r="G1250" s="3">
        <v>7</v>
      </c>
      <c r="H1250" s="3">
        <v>0</v>
      </c>
      <c r="I1250" s="3">
        <v>0</v>
      </c>
      <c r="J1250" s="3">
        <v>2</v>
      </c>
      <c r="K1250" s="3">
        <v>0</v>
      </c>
      <c r="L1250" s="3">
        <v>0</v>
      </c>
      <c r="M1250" s="3">
        <v>5</v>
      </c>
      <c r="N1250" s="3" t="s">
        <v>1711</v>
      </c>
      <c r="O1250" s="3">
        <v>2</v>
      </c>
      <c r="P1250" s="3">
        <v>1.25</v>
      </c>
      <c r="Q1250" s="3">
        <v>5</v>
      </c>
      <c r="R1250" s="3">
        <v>6.26</v>
      </c>
      <c r="S1250" s="3">
        <v>0</v>
      </c>
      <c r="T1250" s="3">
        <v>0</v>
      </c>
      <c r="U1250" s="3">
        <v>0</v>
      </c>
      <c r="V1250" s="3">
        <v>0</v>
      </c>
      <c r="W1250" s="3" t="s">
        <v>1720</v>
      </c>
      <c r="X1250" s="3">
        <v>19.99</v>
      </c>
      <c r="Y1250" s="3">
        <v>19.99</v>
      </c>
      <c r="Z1250" s="3">
        <v>19.99</v>
      </c>
      <c r="AA1250" s="3">
        <v>0</v>
      </c>
      <c r="AB1250" s="3" t="s">
        <v>1732</v>
      </c>
      <c r="AC1250" s="3">
        <v>0</v>
      </c>
      <c r="AD1250" s="3">
        <v>17.83</v>
      </c>
      <c r="AE1250" s="3">
        <v>217</v>
      </c>
      <c r="AF1250" s="3">
        <v>0</v>
      </c>
      <c r="AG1250" s="3">
        <v>118.315331</v>
      </c>
      <c r="AH1250" s="3">
        <v>0</v>
      </c>
      <c r="AI1250" s="3" t="s">
        <v>5518</v>
      </c>
      <c r="AJ1250" s="3" t="s">
        <v>1715</v>
      </c>
    </row>
    <row r="1251" spans="1:36">
      <c r="A1251" s="4">
        <v>43277</v>
      </c>
      <c r="B1251" s="3" t="s">
        <v>5519</v>
      </c>
      <c r="C1251" s="3" t="s">
        <v>5520</v>
      </c>
      <c r="D1251" s="3" t="s">
        <v>5521</v>
      </c>
      <c r="E1251" s="3" t="s">
        <v>1861</v>
      </c>
      <c r="F1251" s="3" t="s">
        <v>1710</v>
      </c>
      <c r="G1251" s="3">
        <v>5</v>
      </c>
      <c r="H1251" s="3">
        <v>0</v>
      </c>
      <c r="I1251" s="3">
        <v>0</v>
      </c>
      <c r="J1251" s="3">
        <v>1</v>
      </c>
      <c r="K1251" s="3">
        <v>4</v>
      </c>
      <c r="L1251" s="3">
        <v>0</v>
      </c>
      <c r="M1251" s="3">
        <v>0</v>
      </c>
      <c r="N1251" s="3" t="s">
        <v>1711</v>
      </c>
      <c r="O1251" s="3">
        <v>5</v>
      </c>
      <c r="P1251" s="3">
        <v>6.32</v>
      </c>
      <c r="Q1251" s="3">
        <v>0</v>
      </c>
      <c r="R1251" s="3">
        <v>0</v>
      </c>
      <c r="S1251" s="3">
        <v>0</v>
      </c>
      <c r="T1251" s="3">
        <v>0</v>
      </c>
      <c r="U1251" s="3">
        <v>0</v>
      </c>
      <c r="V1251" s="3">
        <v>1</v>
      </c>
      <c r="W1251" s="3" t="s">
        <v>1720</v>
      </c>
      <c r="X1251" s="3">
        <v>15.99</v>
      </c>
      <c r="Y1251" s="3">
        <v>15.99</v>
      </c>
      <c r="Z1251" s="3">
        <v>15.99</v>
      </c>
      <c r="AA1251" s="3">
        <v>0</v>
      </c>
      <c r="AB1251" s="3" t="s">
        <v>1721</v>
      </c>
      <c r="AC1251" s="3">
        <v>1</v>
      </c>
      <c r="AD1251" s="3">
        <v>14.41</v>
      </c>
      <c r="AE1251" s="3">
        <v>49</v>
      </c>
      <c r="AF1251" s="3">
        <v>0</v>
      </c>
      <c r="AG1251" s="3">
        <v>108.238094</v>
      </c>
      <c r="AH1251" s="3">
        <v>0.19047619047619</v>
      </c>
      <c r="AI1251" s="3" t="s">
        <v>5522</v>
      </c>
      <c r="AJ1251" s="3" t="s">
        <v>1783</v>
      </c>
    </row>
    <row r="1252" spans="1:36">
      <c r="A1252" s="4">
        <v>43277</v>
      </c>
      <c r="B1252" s="3" t="s">
        <v>5523</v>
      </c>
      <c r="C1252" s="3" t="s">
        <v>5524</v>
      </c>
      <c r="D1252" s="3" t="s">
        <v>5525</v>
      </c>
      <c r="E1252" s="3" t="s">
        <v>353</v>
      </c>
      <c r="F1252" s="3" t="s">
        <v>1710</v>
      </c>
      <c r="G1252" s="3">
        <v>12</v>
      </c>
      <c r="H1252" s="3">
        <v>0</v>
      </c>
      <c r="I1252" s="3">
        <v>12</v>
      </c>
      <c r="J1252" s="3">
        <v>0</v>
      </c>
      <c r="K1252" s="3">
        <v>0</v>
      </c>
      <c r="L1252" s="3">
        <v>0</v>
      </c>
      <c r="M1252" s="3">
        <v>0</v>
      </c>
      <c r="N1252" s="3" t="s">
        <v>1711</v>
      </c>
      <c r="O1252" s="3">
        <v>0</v>
      </c>
      <c r="P1252" s="3">
        <v>0</v>
      </c>
      <c r="Q1252" s="3">
        <v>0</v>
      </c>
      <c r="R1252" s="3">
        <v>0</v>
      </c>
      <c r="S1252" s="3">
        <v>2</v>
      </c>
      <c r="T1252" s="3">
        <v>12</v>
      </c>
      <c r="U1252" s="3">
        <v>14</v>
      </c>
      <c r="V1252" s="3">
        <v>17</v>
      </c>
      <c r="W1252" s="3"/>
      <c r="X1252" s="3">
        <v>25.58</v>
      </c>
      <c r="Y1252" s="3">
        <v>25.58</v>
      </c>
      <c r="Z1252" s="3">
        <v>24.74</v>
      </c>
      <c r="AA1252" s="3">
        <v>0</v>
      </c>
      <c r="AB1252" s="3" t="s">
        <v>1713</v>
      </c>
      <c r="AC1252" s="3">
        <v>13</v>
      </c>
      <c r="AD1252" s="3">
        <v>25.58</v>
      </c>
      <c r="AE1252" s="3">
        <v>0</v>
      </c>
      <c r="AF1252" s="3">
        <v>0</v>
      </c>
      <c r="AG1252" s="3">
        <v>0</v>
      </c>
      <c r="AH1252" s="3">
        <v>1.0625</v>
      </c>
      <c r="AI1252" s="3" t="s">
        <v>2776</v>
      </c>
      <c r="AJ1252" s="3" t="s">
        <v>1715</v>
      </c>
    </row>
    <row r="1253" spans="1:36">
      <c r="A1253" s="4">
        <v>43277</v>
      </c>
      <c r="B1253" s="3" t="s">
        <v>5526</v>
      </c>
      <c r="C1253" s="3" t="s">
        <v>5527</v>
      </c>
      <c r="D1253" s="3" t="s">
        <v>5528</v>
      </c>
      <c r="E1253" s="3" t="s">
        <v>5529</v>
      </c>
      <c r="F1253" s="3" t="s">
        <v>1710</v>
      </c>
      <c r="G1253" s="3">
        <v>2</v>
      </c>
      <c r="H1253" s="3">
        <v>0</v>
      </c>
      <c r="I1253" s="3">
        <v>2</v>
      </c>
      <c r="J1253" s="3">
        <v>0</v>
      </c>
      <c r="K1253" s="3">
        <v>0</v>
      </c>
      <c r="L1253" s="3">
        <v>0</v>
      </c>
      <c r="M1253" s="3">
        <v>0</v>
      </c>
      <c r="N1253" s="3" t="s">
        <v>1711</v>
      </c>
      <c r="O1253" s="3">
        <v>0</v>
      </c>
      <c r="P1253" s="3">
        <v>0</v>
      </c>
      <c r="Q1253" s="3">
        <v>0</v>
      </c>
      <c r="R1253" s="3">
        <v>0</v>
      </c>
      <c r="S1253" s="3">
        <v>2</v>
      </c>
      <c r="T1253" s="3">
        <v>3</v>
      </c>
      <c r="U1253" s="3">
        <v>7</v>
      </c>
      <c r="V1253" s="3">
        <v>10</v>
      </c>
      <c r="W1253" s="3"/>
      <c r="X1253" s="3">
        <v>15.99</v>
      </c>
      <c r="Y1253" s="3">
        <v>15.99</v>
      </c>
      <c r="Z1253" s="3">
        <v>15.99</v>
      </c>
      <c r="AA1253" s="3">
        <v>0</v>
      </c>
      <c r="AB1253" s="3" t="s">
        <v>1713</v>
      </c>
      <c r="AC1253" s="3">
        <v>3</v>
      </c>
      <c r="AD1253" s="3">
        <v>15.99</v>
      </c>
      <c r="AE1253" s="3">
        <v>0</v>
      </c>
      <c r="AF1253" s="3">
        <v>0</v>
      </c>
      <c r="AG1253" s="3">
        <v>0</v>
      </c>
      <c r="AH1253" s="3">
        <v>5</v>
      </c>
      <c r="AI1253" s="3" t="s">
        <v>2542</v>
      </c>
      <c r="AJ1253" s="3" t="s">
        <v>1715</v>
      </c>
    </row>
    <row r="1254" spans="1:36">
      <c r="A1254" s="4">
        <v>43277</v>
      </c>
      <c r="B1254" s="3" t="s">
        <v>5530</v>
      </c>
      <c r="C1254" s="3" t="s">
        <v>5531</v>
      </c>
      <c r="D1254" s="3" t="s">
        <v>5532</v>
      </c>
      <c r="E1254" s="3" t="s">
        <v>4959</v>
      </c>
      <c r="F1254" s="3" t="s">
        <v>1710</v>
      </c>
      <c r="G1254" s="3">
        <v>2</v>
      </c>
      <c r="H1254" s="3">
        <v>0</v>
      </c>
      <c r="I1254" s="3">
        <v>2</v>
      </c>
      <c r="J1254" s="3">
        <v>0</v>
      </c>
      <c r="K1254" s="3">
        <v>0</v>
      </c>
      <c r="L1254" s="3">
        <v>0</v>
      </c>
      <c r="M1254" s="3">
        <v>0</v>
      </c>
      <c r="N1254" s="3" t="s">
        <v>1711</v>
      </c>
      <c r="O1254" s="3">
        <v>0</v>
      </c>
      <c r="P1254" s="3">
        <v>0</v>
      </c>
      <c r="Q1254" s="3">
        <v>0</v>
      </c>
      <c r="R1254" s="3">
        <v>0</v>
      </c>
      <c r="S1254" s="3">
        <v>0</v>
      </c>
      <c r="T1254" s="3">
        <v>0</v>
      </c>
      <c r="U1254" s="3">
        <v>0</v>
      </c>
      <c r="V1254" s="3">
        <v>0</v>
      </c>
      <c r="W1254" s="3" t="s">
        <v>1712</v>
      </c>
      <c r="X1254" s="3">
        <v>19.99</v>
      </c>
      <c r="Y1254" s="3">
        <v>19.99</v>
      </c>
      <c r="Z1254" s="3">
        <v>19.99</v>
      </c>
      <c r="AA1254" s="3">
        <v>0</v>
      </c>
      <c r="AB1254" s="3" t="s">
        <v>1732</v>
      </c>
      <c r="AC1254" s="3">
        <v>0</v>
      </c>
      <c r="AD1254" s="3">
        <v>15.99</v>
      </c>
      <c r="AE1254" s="3">
        <v>63</v>
      </c>
      <c r="AF1254" s="3">
        <v>0</v>
      </c>
      <c r="AG1254" s="3">
        <v>15.232318</v>
      </c>
      <c r="AH1254" s="3">
        <v>0</v>
      </c>
      <c r="AI1254" s="3" t="s">
        <v>1962</v>
      </c>
      <c r="AJ1254" s="3" t="s">
        <v>1715</v>
      </c>
    </row>
    <row r="1255" spans="1:36">
      <c r="A1255" s="4">
        <v>43277</v>
      </c>
      <c r="B1255" s="3" t="s">
        <v>5533</v>
      </c>
      <c r="C1255" s="3" t="s">
        <v>5534</v>
      </c>
      <c r="D1255" s="3" t="s">
        <v>5535</v>
      </c>
      <c r="E1255" s="3" t="s">
        <v>5536</v>
      </c>
      <c r="F1255" s="3" t="s">
        <v>1710</v>
      </c>
      <c r="G1255" s="3">
        <v>8</v>
      </c>
      <c r="H1255" s="3">
        <v>0</v>
      </c>
      <c r="I1255" s="3">
        <v>8</v>
      </c>
      <c r="J1255" s="3">
        <v>0</v>
      </c>
      <c r="K1255" s="3">
        <v>0</v>
      </c>
      <c r="L1255" s="3">
        <v>0</v>
      </c>
      <c r="M1255" s="3">
        <v>0</v>
      </c>
      <c r="N1255" s="3" t="s">
        <v>1711</v>
      </c>
      <c r="O1255" s="3">
        <v>0</v>
      </c>
      <c r="P1255" s="3">
        <v>0</v>
      </c>
      <c r="Q1255" s="3">
        <v>0</v>
      </c>
      <c r="R1255" s="3">
        <v>0</v>
      </c>
      <c r="S1255" s="3">
        <v>0</v>
      </c>
      <c r="T1255" s="3">
        <v>1</v>
      </c>
      <c r="U1255" s="3">
        <v>7</v>
      </c>
      <c r="V1255" s="3">
        <v>8</v>
      </c>
      <c r="W1255" s="3"/>
      <c r="X1255" s="3">
        <v>18.99</v>
      </c>
      <c r="Y1255" s="3">
        <v>18.99</v>
      </c>
      <c r="Z1255" s="3">
        <v>18</v>
      </c>
      <c r="AA1255" s="3">
        <v>0</v>
      </c>
      <c r="AB1255" s="3" t="s">
        <v>1732</v>
      </c>
      <c r="AC1255" s="3">
        <v>5</v>
      </c>
      <c r="AD1255" s="3">
        <v>17.6</v>
      </c>
      <c r="AE1255" s="3">
        <v>28</v>
      </c>
      <c r="AF1255" s="3">
        <v>0</v>
      </c>
      <c r="AG1255" s="3">
        <v>0.602742</v>
      </c>
      <c r="AH1255" s="3">
        <v>1.06666666666666</v>
      </c>
      <c r="AI1255" s="3" t="s">
        <v>2864</v>
      </c>
      <c r="AJ1255" s="3" t="s">
        <v>1715</v>
      </c>
    </row>
    <row r="1256" spans="1:36">
      <c r="A1256" s="4">
        <v>43277</v>
      </c>
      <c r="B1256" s="3" t="s">
        <v>555</v>
      </c>
      <c r="C1256" s="3" t="s">
        <v>556</v>
      </c>
      <c r="D1256" s="3" t="s">
        <v>557</v>
      </c>
      <c r="E1256" s="3" t="s">
        <v>5537</v>
      </c>
      <c r="F1256" s="3" t="s">
        <v>1710</v>
      </c>
      <c r="G1256" s="3">
        <v>12</v>
      </c>
      <c r="H1256" s="3">
        <v>0</v>
      </c>
      <c r="I1256" s="3">
        <v>12</v>
      </c>
      <c r="J1256" s="3">
        <v>0</v>
      </c>
      <c r="K1256" s="3">
        <v>0</v>
      </c>
      <c r="L1256" s="3">
        <v>0</v>
      </c>
      <c r="M1256" s="3">
        <v>0</v>
      </c>
      <c r="N1256" s="3" t="s">
        <v>1711</v>
      </c>
      <c r="O1256" s="3">
        <v>0</v>
      </c>
      <c r="P1256" s="3">
        <v>0</v>
      </c>
      <c r="Q1256" s="3">
        <v>0</v>
      </c>
      <c r="R1256" s="3">
        <v>0</v>
      </c>
      <c r="S1256" s="3">
        <v>3</v>
      </c>
      <c r="T1256" s="3">
        <v>27</v>
      </c>
      <c r="U1256" s="3">
        <v>51</v>
      </c>
      <c r="V1256" s="3">
        <v>65</v>
      </c>
      <c r="W1256" s="3"/>
      <c r="X1256" s="3">
        <v>38</v>
      </c>
      <c r="Y1256" s="3">
        <v>22.58</v>
      </c>
      <c r="Z1256" s="3">
        <v>22.58</v>
      </c>
      <c r="AA1256" s="3">
        <v>0</v>
      </c>
      <c r="AB1256" s="3" t="s">
        <v>1713</v>
      </c>
      <c r="AC1256" s="3">
        <v>5</v>
      </c>
      <c r="AD1256" s="3">
        <v>22.58</v>
      </c>
      <c r="AE1256" s="3">
        <v>0</v>
      </c>
      <c r="AF1256" s="3">
        <v>0</v>
      </c>
      <c r="AG1256" s="3">
        <v>0</v>
      </c>
      <c r="AH1256" s="3">
        <v>3.20987654320987</v>
      </c>
      <c r="AI1256" s="3" t="s">
        <v>2128</v>
      </c>
      <c r="AJ1256" s="3" t="s">
        <v>1715</v>
      </c>
    </row>
    <row r="1257" spans="1:36">
      <c r="A1257" s="4">
        <v>43277</v>
      </c>
      <c r="B1257" s="3" t="s">
        <v>5538</v>
      </c>
      <c r="C1257" s="3" t="s">
        <v>5539</v>
      </c>
      <c r="D1257" s="3" t="s">
        <v>5540</v>
      </c>
      <c r="E1257" s="3" t="s">
        <v>5541</v>
      </c>
      <c r="F1257" s="3" t="s">
        <v>1710</v>
      </c>
      <c r="G1257" s="3">
        <v>10</v>
      </c>
      <c r="H1257" s="3">
        <v>0</v>
      </c>
      <c r="I1257" s="3">
        <v>10</v>
      </c>
      <c r="J1257" s="3">
        <v>0</v>
      </c>
      <c r="K1257" s="3">
        <v>0</v>
      </c>
      <c r="L1257" s="3">
        <v>0</v>
      </c>
      <c r="M1257" s="3">
        <v>0</v>
      </c>
      <c r="N1257" s="3" t="s">
        <v>1711</v>
      </c>
      <c r="O1257" s="3">
        <v>0</v>
      </c>
      <c r="P1257" s="3">
        <v>0</v>
      </c>
      <c r="Q1257" s="3">
        <v>0</v>
      </c>
      <c r="R1257" s="3">
        <v>0</v>
      </c>
      <c r="S1257" s="3">
        <v>0</v>
      </c>
      <c r="T1257" s="3">
        <v>0</v>
      </c>
      <c r="U1257" s="3">
        <v>0</v>
      </c>
      <c r="V1257" s="3">
        <v>0</v>
      </c>
      <c r="W1257" s="3" t="s">
        <v>1720</v>
      </c>
      <c r="X1257" s="3">
        <v>12.99</v>
      </c>
      <c r="Y1257" s="3">
        <v>12.99</v>
      </c>
      <c r="Z1257" s="3">
        <v>12.99</v>
      </c>
      <c r="AA1257" s="3">
        <v>0</v>
      </c>
      <c r="AB1257" s="3" t="s">
        <v>1721</v>
      </c>
      <c r="AC1257" s="3">
        <v>0</v>
      </c>
      <c r="AD1257" s="3">
        <v>12.99</v>
      </c>
      <c r="AE1257" s="3">
        <v>63</v>
      </c>
      <c r="AF1257" s="3">
        <v>0</v>
      </c>
      <c r="AG1257" s="3">
        <v>81.229254</v>
      </c>
      <c r="AH1257" s="3">
        <v>0</v>
      </c>
      <c r="AI1257" s="3" t="s">
        <v>4027</v>
      </c>
      <c r="AJ1257" s="3" t="s">
        <v>1715</v>
      </c>
    </row>
    <row r="1258" spans="1:36">
      <c r="A1258" s="4">
        <v>43277</v>
      </c>
      <c r="B1258" s="3" t="s">
        <v>5542</v>
      </c>
      <c r="C1258" s="3" t="s">
        <v>5543</v>
      </c>
      <c r="D1258" s="3" t="s">
        <v>5544</v>
      </c>
      <c r="E1258" s="3" t="s">
        <v>5545</v>
      </c>
      <c r="F1258" s="3" t="s">
        <v>1710</v>
      </c>
      <c r="G1258" s="3">
        <v>3</v>
      </c>
      <c r="H1258" s="3">
        <v>0</v>
      </c>
      <c r="I1258" s="3">
        <v>0</v>
      </c>
      <c r="J1258" s="3">
        <v>2</v>
      </c>
      <c r="K1258" s="3">
        <v>0</v>
      </c>
      <c r="L1258" s="3">
        <v>1</v>
      </c>
      <c r="M1258" s="3">
        <v>0</v>
      </c>
      <c r="N1258" s="3" t="s">
        <v>1711</v>
      </c>
      <c r="O1258" s="3">
        <v>3</v>
      </c>
      <c r="P1258" s="3">
        <v>4.17</v>
      </c>
      <c r="Q1258" s="3">
        <v>0</v>
      </c>
      <c r="R1258" s="3">
        <v>0</v>
      </c>
      <c r="S1258" s="3">
        <v>0</v>
      </c>
      <c r="T1258" s="3">
        <v>0</v>
      </c>
      <c r="U1258" s="3">
        <v>0</v>
      </c>
      <c r="V1258" s="3">
        <v>1</v>
      </c>
      <c r="W1258" s="3" t="s">
        <v>1720</v>
      </c>
      <c r="X1258" s="3">
        <v>15.99</v>
      </c>
      <c r="Y1258" s="3">
        <v>15.99</v>
      </c>
      <c r="Z1258" s="3">
        <v>15.99</v>
      </c>
      <c r="AA1258" s="3">
        <v>0</v>
      </c>
      <c r="AB1258" s="3" t="s">
        <v>1721</v>
      </c>
      <c r="AC1258" s="3">
        <v>0</v>
      </c>
      <c r="AD1258" s="3">
        <v>14.24</v>
      </c>
      <c r="AE1258" s="3">
        <v>133</v>
      </c>
      <c r="AF1258" s="3">
        <v>0</v>
      </c>
      <c r="AG1258" s="3">
        <v>59.339302</v>
      </c>
      <c r="AH1258" s="3">
        <v>0.307692307692307</v>
      </c>
      <c r="AI1258" s="3" t="s">
        <v>5493</v>
      </c>
      <c r="AJ1258" s="3" t="s">
        <v>1783</v>
      </c>
    </row>
    <row r="1259" spans="1:36">
      <c r="A1259" s="4">
        <v>43277</v>
      </c>
      <c r="B1259" s="3" t="s">
        <v>5546</v>
      </c>
      <c r="C1259" s="3" t="s">
        <v>5547</v>
      </c>
      <c r="D1259" s="3" t="s">
        <v>5548</v>
      </c>
      <c r="E1259" s="3" t="s">
        <v>5549</v>
      </c>
      <c r="F1259" s="3" t="s">
        <v>1710</v>
      </c>
      <c r="G1259" s="3">
        <v>30</v>
      </c>
      <c r="H1259" s="3">
        <v>0</v>
      </c>
      <c r="I1259" s="3">
        <v>30</v>
      </c>
      <c r="J1259" s="3">
        <v>0</v>
      </c>
      <c r="K1259" s="3">
        <v>0</v>
      </c>
      <c r="L1259" s="3">
        <v>0</v>
      </c>
      <c r="M1259" s="3">
        <v>0</v>
      </c>
      <c r="N1259" s="3" t="s">
        <v>1711</v>
      </c>
      <c r="O1259" s="3">
        <v>0</v>
      </c>
      <c r="P1259" s="3">
        <v>0</v>
      </c>
      <c r="Q1259" s="3">
        <v>0</v>
      </c>
      <c r="R1259" s="3">
        <v>0</v>
      </c>
      <c r="S1259" s="3">
        <v>5</v>
      </c>
      <c r="T1259" s="3">
        <v>29</v>
      </c>
      <c r="U1259" s="3">
        <v>43</v>
      </c>
      <c r="V1259" s="3">
        <v>45</v>
      </c>
      <c r="W1259" s="3"/>
      <c r="X1259" s="3">
        <v>15.99</v>
      </c>
      <c r="Y1259" s="3">
        <v>15.99</v>
      </c>
      <c r="Z1259" s="3">
        <v>15.99</v>
      </c>
      <c r="AA1259" s="3">
        <v>0</v>
      </c>
      <c r="AB1259" s="3" t="s">
        <v>1713</v>
      </c>
      <c r="AC1259" s="3">
        <v>0</v>
      </c>
      <c r="AD1259" s="3">
        <v>0</v>
      </c>
      <c r="AE1259" s="3">
        <v>0</v>
      </c>
      <c r="AF1259" s="3">
        <v>0</v>
      </c>
      <c r="AG1259" s="3">
        <v>0</v>
      </c>
      <c r="AH1259" s="3">
        <v>3.06818181818181</v>
      </c>
      <c r="AI1259" s="3" t="s">
        <v>1739</v>
      </c>
      <c r="AJ1259" s="3" t="s">
        <v>1715</v>
      </c>
    </row>
    <row r="1260" spans="1:36">
      <c r="A1260" s="4">
        <v>43277</v>
      </c>
      <c r="B1260" s="3" t="s">
        <v>5550</v>
      </c>
      <c r="C1260" s="3" t="s">
        <v>5551</v>
      </c>
      <c r="D1260" s="3" t="s">
        <v>5552</v>
      </c>
      <c r="E1260" s="3" t="s">
        <v>5553</v>
      </c>
      <c r="F1260" s="3" t="s">
        <v>1710</v>
      </c>
      <c r="G1260" s="3">
        <v>92</v>
      </c>
      <c r="H1260" s="3">
        <v>0</v>
      </c>
      <c r="I1260" s="3">
        <v>9</v>
      </c>
      <c r="J1260" s="3">
        <v>1</v>
      </c>
      <c r="K1260" s="3">
        <v>82</v>
      </c>
      <c r="L1260" s="3">
        <v>0</v>
      </c>
      <c r="M1260" s="3">
        <v>0</v>
      </c>
      <c r="N1260" s="3" t="s">
        <v>1711</v>
      </c>
      <c r="O1260" s="3">
        <v>82</v>
      </c>
      <c r="P1260" s="3">
        <v>128.89</v>
      </c>
      <c r="Q1260" s="3">
        <v>0</v>
      </c>
      <c r="R1260" s="3">
        <v>0</v>
      </c>
      <c r="S1260" s="3">
        <v>0</v>
      </c>
      <c r="T1260" s="3">
        <v>1</v>
      </c>
      <c r="U1260" s="3">
        <v>4</v>
      </c>
      <c r="V1260" s="3">
        <v>25</v>
      </c>
      <c r="W1260" s="3"/>
      <c r="X1260" s="3">
        <v>16.99</v>
      </c>
      <c r="Y1260" s="3">
        <v>16.99</v>
      </c>
      <c r="Z1260" s="3">
        <v>16</v>
      </c>
      <c r="AA1260" s="3">
        <v>0</v>
      </c>
      <c r="AB1260" s="3" t="s">
        <v>1732</v>
      </c>
      <c r="AC1260" s="3">
        <v>0</v>
      </c>
      <c r="AD1260" s="3">
        <v>11.47</v>
      </c>
      <c r="AE1260" s="3">
        <v>252</v>
      </c>
      <c r="AF1260" s="3">
        <v>0</v>
      </c>
      <c r="AG1260" s="3">
        <v>1583.494503</v>
      </c>
      <c r="AH1260" s="3">
        <v>0.118343195266272</v>
      </c>
      <c r="AI1260" s="3" t="s">
        <v>5554</v>
      </c>
      <c r="AJ1260" s="3" t="s">
        <v>1715</v>
      </c>
    </row>
    <row r="1261" spans="1:36">
      <c r="A1261" s="4">
        <v>43277</v>
      </c>
      <c r="B1261" s="3" t="s">
        <v>743</v>
      </c>
      <c r="C1261" s="3" t="s">
        <v>744</v>
      </c>
      <c r="D1261" s="3" t="s">
        <v>745</v>
      </c>
      <c r="E1261" s="3" t="s">
        <v>746</v>
      </c>
      <c r="F1261" s="3" t="s">
        <v>1710</v>
      </c>
      <c r="G1261" s="3">
        <v>11</v>
      </c>
      <c r="H1261" s="3">
        <v>0</v>
      </c>
      <c r="I1261" s="3">
        <v>11</v>
      </c>
      <c r="J1261" s="3">
        <v>0</v>
      </c>
      <c r="K1261" s="3">
        <v>0</v>
      </c>
      <c r="L1261" s="3">
        <v>0</v>
      </c>
      <c r="M1261" s="3">
        <v>0</v>
      </c>
      <c r="N1261" s="3" t="s">
        <v>1711</v>
      </c>
      <c r="O1261" s="3">
        <v>0</v>
      </c>
      <c r="P1261" s="3">
        <v>0</v>
      </c>
      <c r="Q1261" s="3">
        <v>0</v>
      </c>
      <c r="R1261" s="3">
        <v>0</v>
      </c>
      <c r="S1261" s="3">
        <v>9</v>
      </c>
      <c r="T1261" s="3">
        <v>42</v>
      </c>
      <c r="U1261" s="3">
        <v>60</v>
      </c>
      <c r="V1261" s="3">
        <v>75</v>
      </c>
      <c r="W1261" s="3"/>
      <c r="X1261" s="3">
        <v>38</v>
      </c>
      <c r="Y1261" s="3">
        <v>28.58</v>
      </c>
      <c r="Z1261" s="3">
        <v>28</v>
      </c>
      <c r="AA1261" s="3">
        <v>0</v>
      </c>
      <c r="AB1261" s="3" t="s">
        <v>1713</v>
      </c>
      <c r="AC1261" s="3">
        <v>1</v>
      </c>
      <c r="AD1261" s="3">
        <v>28.58</v>
      </c>
      <c r="AE1261" s="3">
        <v>0</v>
      </c>
      <c r="AF1261" s="3">
        <v>0</v>
      </c>
      <c r="AG1261" s="3">
        <v>0</v>
      </c>
      <c r="AH1261" s="3">
        <v>3.48837209302325</v>
      </c>
      <c r="AI1261" s="3" t="s">
        <v>5555</v>
      </c>
      <c r="AJ1261" s="3" t="s">
        <v>1715</v>
      </c>
    </row>
    <row r="1262" spans="1:36">
      <c r="A1262" s="4">
        <v>43277</v>
      </c>
      <c r="B1262" s="3" t="s">
        <v>5556</v>
      </c>
      <c r="C1262" s="3" t="s">
        <v>5557</v>
      </c>
      <c r="D1262" s="3" t="s">
        <v>5558</v>
      </c>
      <c r="E1262" s="3" t="s">
        <v>5559</v>
      </c>
      <c r="F1262" s="3" t="s">
        <v>1710</v>
      </c>
      <c r="G1262" s="3">
        <v>1</v>
      </c>
      <c r="H1262" s="3">
        <v>0</v>
      </c>
      <c r="I1262" s="3">
        <v>0</v>
      </c>
      <c r="J1262" s="3">
        <v>0</v>
      </c>
      <c r="K1262" s="3">
        <v>0</v>
      </c>
      <c r="L1262" s="3">
        <v>0</v>
      </c>
      <c r="M1262" s="3">
        <v>1</v>
      </c>
      <c r="N1262" s="3" t="s">
        <v>1711</v>
      </c>
      <c r="O1262" s="3">
        <v>0</v>
      </c>
      <c r="P1262" s="3">
        <v>0</v>
      </c>
      <c r="Q1262" s="3">
        <v>1</v>
      </c>
      <c r="R1262" s="3">
        <v>2.37</v>
      </c>
      <c r="S1262" s="3">
        <v>0</v>
      </c>
      <c r="T1262" s="3">
        <v>0</v>
      </c>
      <c r="U1262" s="3">
        <v>0</v>
      </c>
      <c r="V1262" s="3">
        <v>0</v>
      </c>
      <c r="W1262" s="3" t="s">
        <v>1720</v>
      </c>
      <c r="X1262" s="3">
        <v>14.18</v>
      </c>
      <c r="Y1262" s="3">
        <v>14.18</v>
      </c>
      <c r="Z1262" s="3">
        <v>14.18</v>
      </c>
      <c r="AA1262" s="3">
        <v>0</v>
      </c>
      <c r="AB1262" s="3" t="s">
        <v>1732</v>
      </c>
      <c r="AC1262" s="3">
        <v>0</v>
      </c>
      <c r="AD1262" s="3">
        <v>11.34</v>
      </c>
      <c r="AE1262" s="3">
        <v>63</v>
      </c>
      <c r="AF1262" s="3">
        <v>0</v>
      </c>
      <c r="AG1262" s="3">
        <v>15.161585</v>
      </c>
      <c r="AH1262" s="3">
        <v>0</v>
      </c>
      <c r="AI1262" s="3" t="s">
        <v>2970</v>
      </c>
      <c r="AJ1262" s="3" t="s">
        <v>1715</v>
      </c>
    </row>
    <row r="1263" spans="1:36">
      <c r="A1263" s="4">
        <v>43277</v>
      </c>
      <c r="B1263" s="3" t="s">
        <v>5560</v>
      </c>
      <c r="C1263" s="3" t="s">
        <v>5561</v>
      </c>
      <c r="D1263" s="3" t="s">
        <v>5562</v>
      </c>
      <c r="E1263" s="3" t="s">
        <v>5563</v>
      </c>
      <c r="F1263" s="3" t="s">
        <v>1710</v>
      </c>
      <c r="G1263" s="3">
        <v>8</v>
      </c>
      <c r="H1263" s="3">
        <v>0</v>
      </c>
      <c r="I1263" s="3">
        <v>8</v>
      </c>
      <c r="J1263" s="3">
        <v>0</v>
      </c>
      <c r="K1263" s="3">
        <v>0</v>
      </c>
      <c r="L1263" s="3">
        <v>0</v>
      </c>
      <c r="M1263" s="3">
        <v>0</v>
      </c>
      <c r="N1263" s="3" t="s">
        <v>1711</v>
      </c>
      <c r="O1263" s="3">
        <v>0</v>
      </c>
      <c r="P1263" s="3">
        <v>0</v>
      </c>
      <c r="Q1263" s="3">
        <v>0</v>
      </c>
      <c r="R1263" s="3">
        <v>0</v>
      </c>
      <c r="S1263" s="3">
        <v>3</v>
      </c>
      <c r="T1263" s="3">
        <v>15</v>
      </c>
      <c r="U1263" s="3">
        <v>24</v>
      </c>
      <c r="V1263" s="3">
        <v>30</v>
      </c>
      <c r="W1263" s="3"/>
      <c r="X1263" s="3">
        <v>23.99</v>
      </c>
      <c r="Y1263" s="3">
        <v>23.99</v>
      </c>
      <c r="Z1263" s="3">
        <v>23.99</v>
      </c>
      <c r="AA1263" s="3">
        <v>0</v>
      </c>
      <c r="AB1263" s="3" t="s">
        <v>1713</v>
      </c>
      <c r="AC1263" s="3">
        <v>10</v>
      </c>
      <c r="AD1263" s="3">
        <v>23.99</v>
      </c>
      <c r="AE1263" s="3">
        <v>0</v>
      </c>
      <c r="AF1263" s="3">
        <v>0</v>
      </c>
      <c r="AG1263" s="3">
        <v>0</v>
      </c>
      <c r="AH1263" s="3">
        <v>2.5531914893617</v>
      </c>
      <c r="AI1263" s="3" t="s">
        <v>2071</v>
      </c>
      <c r="AJ1263" s="3" t="s">
        <v>1715</v>
      </c>
    </row>
    <row r="1264" spans="1:36">
      <c r="A1264" s="4">
        <v>43277</v>
      </c>
      <c r="B1264" s="3" t="s">
        <v>5564</v>
      </c>
      <c r="C1264" s="3" t="s">
        <v>5565</v>
      </c>
      <c r="D1264" s="3" t="s">
        <v>5566</v>
      </c>
      <c r="E1264" s="3" t="s">
        <v>5567</v>
      </c>
      <c r="F1264" s="3" t="s">
        <v>1710</v>
      </c>
      <c r="G1264" s="3">
        <v>1</v>
      </c>
      <c r="H1264" s="3">
        <v>0</v>
      </c>
      <c r="I1264" s="3">
        <v>0</v>
      </c>
      <c r="J1264" s="3">
        <v>0</v>
      </c>
      <c r="K1264" s="3">
        <v>0</v>
      </c>
      <c r="L1264" s="3">
        <v>1</v>
      </c>
      <c r="M1264" s="3">
        <v>0</v>
      </c>
      <c r="N1264" s="3" t="s">
        <v>1711</v>
      </c>
      <c r="O1264" s="3">
        <v>1</v>
      </c>
      <c r="P1264" s="3">
        <v>0.01</v>
      </c>
      <c r="Q1264" s="3">
        <v>0</v>
      </c>
      <c r="R1264" s="3">
        <v>0</v>
      </c>
      <c r="S1264" s="3">
        <v>0</v>
      </c>
      <c r="T1264" s="3">
        <v>0</v>
      </c>
      <c r="U1264" s="3">
        <v>0</v>
      </c>
      <c r="V1264" s="3">
        <v>0</v>
      </c>
      <c r="W1264" s="3" t="s">
        <v>1720</v>
      </c>
      <c r="X1264" s="3">
        <v>15.99</v>
      </c>
      <c r="Y1264" s="3">
        <v>15.99</v>
      </c>
      <c r="Z1264" s="3">
        <v>15.99</v>
      </c>
      <c r="AA1264" s="3">
        <v>0</v>
      </c>
      <c r="AB1264" s="3" t="s">
        <v>1713</v>
      </c>
      <c r="AC1264" s="3">
        <v>1</v>
      </c>
      <c r="AD1264" s="3">
        <v>15.99</v>
      </c>
      <c r="AE1264" s="3">
        <v>0</v>
      </c>
      <c r="AF1264" s="3">
        <v>0</v>
      </c>
      <c r="AG1264" s="3">
        <v>0</v>
      </c>
      <c r="AH1264" s="3">
        <v>0</v>
      </c>
      <c r="AI1264" s="3" t="s">
        <v>1782</v>
      </c>
      <c r="AJ1264" s="3" t="s">
        <v>1783</v>
      </c>
    </row>
    <row r="1265" spans="1:36">
      <c r="A1265" s="4">
        <v>43277</v>
      </c>
      <c r="B1265" s="3" t="s">
        <v>5568</v>
      </c>
      <c r="C1265" s="3" t="s">
        <v>5569</v>
      </c>
      <c r="D1265" s="3" t="s">
        <v>5570</v>
      </c>
      <c r="E1265" s="3" t="s">
        <v>2225</v>
      </c>
      <c r="F1265" s="3" t="s">
        <v>1710</v>
      </c>
      <c r="G1265" s="3">
        <v>8</v>
      </c>
      <c r="H1265" s="3">
        <v>0</v>
      </c>
      <c r="I1265" s="3">
        <v>5</v>
      </c>
      <c r="J1265" s="3">
        <v>1</v>
      </c>
      <c r="K1265" s="3">
        <v>0</v>
      </c>
      <c r="L1265" s="3">
        <v>2</v>
      </c>
      <c r="M1265" s="3">
        <v>0</v>
      </c>
      <c r="N1265" s="3" t="s">
        <v>1711</v>
      </c>
      <c r="O1265" s="3">
        <v>0</v>
      </c>
      <c r="P1265" s="3">
        <v>0</v>
      </c>
      <c r="Q1265" s="3">
        <v>2</v>
      </c>
      <c r="R1265" s="3">
        <v>5.85</v>
      </c>
      <c r="S1265" s="3">
        <v>0</v>
      </c>
      <c r="T1265" s="3">
        <v>1</v>
      </c>
      <c r="U1265" s="3">
        <v>3</v>
      </c>
      <c r="V1265" s="3">
        <v>6</v>
      </c>
      <c r="W1265" s="3"/>
      <c r="X1265" s="3">
        <v>12.99</v>
      </c>
      <c r="Y1265" s="3">
        <v>12.99</v>
      </c>
      <c r="Z1265" s="3">
        <v>12.99</v>
      </c>
      <c r="AA1265" s="3">
        <v>0</v>
      </c>
      <c r="AB1265" s="3" t="s">
        <v>1732</v>
      </c>
      <c r="AC1265" s="3">
        <v>0</v>
      </c>
      <c r="AD1265" s="3">
        <v>9.18</v>
      </c>
      <c r="AE1265" s="3">
        <v>56</v>
      </c>
      <c r="AF1265" s="3">
        <v>0</v>
      </c>
      <c r="AG1265" s="3">
        <v>73.006844</v>
      </c>
      <c r="AH1265" s="3">
        <v>0.648648648648648</v>
      </c>
      <c r="AI1265" s="3" t="s">
        <v>2226</v>
      </c>
      <c r="AJ1265" s="3" t="s">
        <v>1715</v>
      </c>
    </row>
    <row r="1266" spans="1:36">
      <c r="A1266" s="4">
        <v>43277</v>
      </c>
      <c r="B1266" s="3" t="s">
        <v>5571</v>
      </c>
      <c r="C1266" s="3" t="s">
        <v>5572</v>
      </c>
      <c r="D1266" s="3" t="s">
        <v>5573</v>
      </c>
      <c r="E1266" s="3" t="s">
        <v>5574</v>
      </c>
      <c r="F1266" s="3" t="s">
        <v>1710</v>
      </c>
      <c r="G1266" s="3">
        <v>11</v>
      </c>
      <c r="H1266" s="3">
        <v>0</v>
      </c>
      <c r="I1266" s="3">
        <v>0</v>
      </c>
      <c r="J1266" s="3">
        <v>0</v>
      </c>
      <c r="K1266" s="3">
        <v>11</v>
      </c>
      <c r="L1266" s="3">
        <v>0</v>
      </c>
      <c r="M1266" s="3">
        <v>0</v>
      </c>
      <c r="N1266" s="3" t="s">
        <v>1711</v>
      </c>
      <c r="O1266" s="3">
        <v>11</v>
      </c>
      <c r="P1266" s="3">
        <v>15.05</v>
      </c>
      <c r="Q1266" s="3">
        <v>0</v>
      </c>
      <c r="R1266" s="3">
        <v>0</v>
      </c>
      <c r="S1266" s="3">
        <v>0</v>
      </c>
      <c r="T1266" s="3">
        <v>0</v>
      </c>
      <c r="U1266" s="3">
        <v>0</v>
      </c>
      <c r="V1266" s="3">
        <v>0</v>
      </c>
      <c r="W1266" s="3" t="s">
        <v>1720</v>
      </c>
      <c r="X1266" s="3">
        <v>16.99</v>
      </c>
      <c r="Y1266" s="3">
        <v>16.99</v>
      </c>
      <c r="Z1266" s="3">
        <v>16.99</v>
      </c>
      <c r="AA1266" s="3">
        <v>0</v>
      </c>
      <c r="AB1266" s="3" t="s">
        <v>1721</v>
      </c>
      <c r="AC1266" s="3">
        <v>0</v>
      </c>
      <c r="AD1266" s="3">
        <v>12.59</v>
      </c>
      <c r="AE1266" s="3">
        <v>364</v>
      </c>
      <c r="AF1266" s="3">
        <v>0</v>
      </c>
      <c r="AG1266" s="3">
        <v>199.232231</v>
      </c>
      <c r="AH1266" s="3">
        <v>0</v>
      </c>
      <c r="AI1266" s="3" t="s">
        <v>1851</v>
      </c>
      <c r="AJ1266" s="3" t="s">
        <v>1715</v>
      </c>
    </row>
    <row r="1267" spans="1:36">
      <c r="A1267" s="4">
        <v>43277</v>
      </c>
      <c r="B1267" s="3" t="s">
        <v>338</v>
      </c>
      <c r="C1267" s="3" t="s">
        <v>339</v>
      </c>
      <c r="D1267" s="3" t="s">
        <v>340</v>
      </c>
      <c r="E1267" s="3" t="s">
        <v>341</v>
      </c>
      <c r="F1267" s="3" t="s">
        <v>1710</v>
      </c>
      <c r="G1267" s="3">
        <v>2</v>
      </c>
      <c r="H1267" s="3">
        <v>0</v>
      </c>
      <c r="I1267" s="3">
        <v>1</v>
      </c>
      <c r="J1267" s="3">
        <v>1</v>
      </c>
      <c r="K1267" s="3">
        <v>0</v>
      </c>
      <c r="L1267" s="3">
        <v>0</v>
      </c>
      <c r="M1267" s="3">
        <v>0</v>
      </c>
      <c r="N1267" s="3" t="s">
        <v>1711</v>
      </c>
      <c r="O1267" s="3">
        <v>1</v>
      </c>
      <c r="P1267" s="3">
        <v>0.87</v>
      </c>
      <c r="Q1267" s="3">
        <v>0</v>
      </c>
      <c r="R1267" s="3">
        <v>0</v>
      </c>
      <c r="S1267" s="3">
        <v>0</v>
      </c>
      <c r="T1267" s="3">
        <v>1</v>
      </c>
      <c r="U1267" s="3">
        <v>3</v>
      </c>
      <c r="V1267" s="3">
        <v>4</v>
      </c>
      <c r="W1267" s="3" t="s">
        <v>1712</v>
      </c>
      <c r="X1267" s="3">
        <v>16.96</v>
      </c>
      <c r="Y1267" s="3">
        <v>18.99</v>
      </c>
      <c r="Z1267" s="3">
        <v>15.97</v>
      </c>
      <c r="AA1267" s="3">
        <v>0</v>
      </c>
      <c r="AB1267" s="3" t="s">
        <v>1732</v>
      </c>
      <c r="AC1267" s="3">
        <v>0</v>
      </c>
      <c r="AD1267" s="3">
        <v>16.23</v>
      </c>
      <c r="AE1267" s="3">
        <v>56</v>
      </c>
      <c r="AF1267" s="3">
        <v>0</v>
      </c>
      <c r="AG1267" s="3">
        <v>11.610543</v>
      </c>
      <c r="AH1267" s="3">
        <v>1.06666666666666</v>
      </c>
      <c r="AI1267" s="3" t="s">
        <v>5575</v>
      </c>
      <c r="AJ1267" s="3" t="s">
        <v>1783</v>
      </c>
    </row>
    <row r="1268" spans="1:36">
      <c r="A1268" s="4">
        <v>43277</v>
      </c>
      <c r="B1268" s="3" t="s">
        <v>5576</v>
      </c>
      <c r="C1268" s="3" t="s">
        <v>5577</v>
      </c>
      <c r="D1268" s="3" t="s">
        <v>5578</v>
      </c>
      <c r="E1268" s="3" t="s">
        <v>5579</v>
      </c>
      <c r="F1268" s="3" t="s">
        <v>1710</v>
      </c>
      <c r="G1268" s="3">
        <v>9</v>
      </c>
      <c r="H1268" s="3">
        <v>0</v>
      </c>
      <c r="I1268" s="3">
        <v>1</v>
      </c>
      <c r="J1268" s="3">
        <v>0</v>
      </c>
      <c r="K1268" s="3">
        <v>8</v>
      </c>
      <c r="L1268" s="3">
        <v>0</v>
      </c>
      <c r="M1268" s="3">
        <v>0</v>
      </c>
      <c r="N1268" s="3" t="s">
        <v>1711</v>
      </c>
      <c r="O1268" s="3">
        <v>8</v>
      </c>
      <c r="P1268" s="3">
        <v>12.5</v>
      </c>
      <c r="Q1268" s="3">
        <v>0</v>
      </c>
      <c r="R1268" s="3">
        <v>0</v>
      </c>
      <c r="S1268" s="3">
        <v>0</v>
      </c>
      <c r="T1268" s="3">
        <v>0</v>
      </c>
      <c r="U1268" s="3">
        <v>0</v>
      </c>
      <c r="V1268" s="3">
        <v>0</v>
      </c>
      <c r="W1268" s="3" t="s">
        <v>1720</v>
      </c>
      <c r="X1268" s="3">
        <v>18.99</v>
      </c>
      <c r="Y1268" s="3">
        <v>18.99</v>
      </c>
      <c r="Z1268" s="3">
        <v>18.99</v>
      </c>
      <c r="AA1268" s="3">
        <v>0</v>
      </c>
      <c r="AB1268" s="3" t="s">
        <v>1732</v>
      </c>
      <c r="AC1268" s="3">
        <v>0</v>
      </c>
      <c r="AD1268" s="3">
        <v>14.69</v>
      </c>
      <c r="AE1268" s="3">
        <v>357</v>
      </c>
      <c r="AF1268" s="3">
        <v>0</v>
      </c>
      <c r="AG1268" s="3">
        <v>202.179922</v>
      </c>
      <c r="AH1268" s="3">
        <v>0</v>
      </c>
      <c r="AI1268" s="3" t="s">
        <v>2002</v>
      </c>
      <c r="AJ1268" s="3" t="s">
        <v>1715</v>
      </c>
    </row>
    <row r="1269" spans="1:36">
      <c r="A1269" s="4">
        <v>43277</v>
      </c>
      <c r="B1269" s="3" t="s">
        <v>715</v>
      </c>
      <c r="C1269" s="3" t="s">
        <v>716</v>
      </c>
      <c r="D1269" s="3" t="s">
        <v>717</v>
      </c>
      <c r="E1269" s="3" t="s">
        <v>718</v>
      </c>
      <c r="F1269" s="3" t="s">
        <v>1710</v>
      </c>
      <c r="G1269" s="3">
        <v>19</v>
      </c>
      <c r="H1269" s="3">
        <v>0</v>
      </c>
      <c r="I1269" s="3">
        <v>19</v>
      </c>
      <c r="J1269" s="3">
        <v>0</v>
      </c>
      <c r="K1269" s="3">
        <v>0</v>
      </c>
      <c r="L1269" s="3">
        <v>0</v>
      </c>
      <c r="M1269" s="3">
        <v>0</v>
      </c>
      <c r="N1269" s="3" t="s">
        <v>1711</v>
      </c>
      <c r="O1269" s="3">
        <v>0</v>
      </c>
      <c r="P1269" s="3">
        <v>0</v>
      </c>
      <c r="Q1269" s="3">
        <v>0</v>
      </c>
      <c r="R1269" s="3">
        <v>0</v>
      </c>
      <c r="S1269" s="3">
        <v>8</v>
      </c>
      <c r="T1269" s="3">
        <v>30</v>
      </c>
      <c r="U1269" s="3">
        <v>65</v>
      </c>
      <c r="V1269" s="3">
        <v>85</v>
      </c>
      <c r="W1269" s="3"/>
      <c r="X1269" s="3">
        <v>38</v>
      </c>
      <c r="Y1269" s="3">
        <v>28.58</v>
      </c>
      <c r="Z1269" s="3">
        <v>28</v>
      </c>
      <c r="AA1269" s="3">
        <v>0</v>
      </c>
      <c r="AB1269" s="3" t="s">
        <v>1713</v>
      </c>
      <c r="AC1269" s="3">
        <v>22</v>
      </c>
      <c r="AD1269" s="3">
        <v>28.58</v>
      </c>
      <c r="AE1269" s="3">
        <v>0</v>
      </c>
      <c r="AF1269" s="3">
        <v>0</v>
      </c>
      <c r="AG1269" s="3">
        <v>0</v>
      </c>
      <c r="AH1269" s="3">
        <v>2.93103448275862</v>
      </c>
      <c r="AI1269" s="3" t="s">
        <v>1751</v>
      </c>
      <c r="AJ1269" s="3" t="s">
        <v>1715</v>
      </c>
    </row>
    <row r="1270" spans="1:36">
      <c r="A1270" s="4">
        <v>43277</v>
      </c>
      <c r="B1270" s="3" t="s">
        <v>5580</v>
      </c>
      <c r="C1270" s="3" t="s">
        <v>5581</v>
      </c>
      <c r="D1270" s="3" t="s">
        <v>5582</v>
      </c>
      <c r="E1270" s="3" t="s">
        <v>5583</v>
      </c>
      <c r="F1270" s="3" t="s">
        <v>1710</v>
      </c>
      <c r="G1270" s="3">
        <v>7</v>
      </c>
      <c r="H1270" s="3">
        <v>0</v>
      </c>
      <c r="I1270" s="3">
        <v>5</v>
      </c>
      <c r="J1270" s="3">
        <v>0</v>
      </c>
      <c r="K1270" s="3">
        <v>2</v>
      </c>
      <c r="L1270" s="3">
        <v>0</v>
      </c>
      <c r="M1270" s="3">
        <v>0</v>
      </c>
      <c r="N1270" s="3" t="s">
        <v>1711</v>
      </c>
      <c r="O1270" s="3">
        <v>2</v>
      </c>
      <c r="P1270" s="3">
        <v>1.43</v>
      </c>
      <c r="Q1270" s="3">
        <v>0</v>
      </c>
      <c r="R1270" s="3">
        <v>0</v>
      </c>
      <c r="S1270" s="3">
        <v>0</v>
      </c>
      <c r="T1270" s="3">
        <v>1</v>
      </c>
      <c r="U1270" s="3">
        <v>1</v>
      </c>
      <c r="V1270" s="3">
        <v>1</v>
      </c>
      <c r="W1270" s="3" t="s">
        <v>1712</v>
      </c>
      <c r="X1270" s="3">
        <v>15.99</v>
      </c>
      <c r="Y1270" s="3">
        <v>15.99</v>
      </c>
      <c r="Z1270" s="3">
        <v>15.55</v>
      </c>
      <c r="AA1270" s="3">
        <v>0</v>
      </c>
      <c r="AB1270" s="3" t="s">
        <v>1732</v>
      </c>
      <c r="AC1270" s="3">
        <v>1</v>
      </c>
      <c r="AD1270" s="3">
        <v>14.88</v>
      </c>
      <c r="AE1270" s="3">
        <v>126</v>
      </c>
      <c r="AF1270" s="3">
        <v>0</v>
      </c>
      <c r="AG1270" s="3">
        <v>89.478886</v>
      </c>
      <c r="AH1270" s="3">
        <v>0.25</v>
      </c>
      <c r="AI1270" s="3" t="s">
        <v>2082</v>
      </c>
      <c r="AJ1270" s="3" t="s">
        <v>1715</v>
      </c>
    </row>
    <row r="1271" spans="1:36">
      <c r="A1271" s="4">
        <v>43277</v>
      </c>
      <c r="B1271" s="3" t="s">
        <v>5584</v>
      </c>
      <c r="C1271" s="3" t="s">
        <v>5585</v>
      </c>
      <c r="D1271" s="3" t="s">
        <v>5586</v>
      </c>
      <c r="E1271" s="3" t="s">
        <v>5587</v>
      </c>
      <c r="F1271" s="3" t="s">
        <v>1710</v>
      </c>
      <c r="G1271" s="3">
        <v>1</v>
      </c>
      <c r="H1271" s="3">
        <v>0</v>
      </c>
      <c r="I1271" s="3">
        <v>1</v>
      </c>
      <c r="J1271" s="3">
        <v>0</v>
      </c>
      <c r="K1271" s="3">
        <v>0</v>
      </c>
      <c r="L1271" s="3">
        <v>0</v>
      </c>
      <c r="M1271" s="3">
        <v>0</v>
      </c>
      <c r="N1271" s="3" t="s">
        <v>1711</v>
      </c>
      <c r="O1271" s="3">
        <v>0</v>
      </c>
      <c r="P1271" s="3">
        <v>0</v>
      </c>
      <c r="Q1271" s="3">
        <v>0</v>
      </c>
      <c r="R1271" s="3">
        <v>0</v>
      </c>
      <c r="S1271" s="3">
        <v>0</v>
      </c>
      <c r="T1271" s="3">
        <v>0</v>
      </c>
      <c r="U1271" s="3">
        <v>0</v>
      </c>
      <c r="V1271" s="3">
        <v>12</v>
      </c>
      <c r="W1271" s="3" t="s">
        <v>1712</v>
      </c>
      <c r="X1271" s="3">
        <v>15.99</v>
      </c>
      <c r="Y1271" s="3">
        <v>15.99</v>
      </c>
      <c r="Z1271" s="3">
        <v>15.99</v>
      </c>
      <c r="AA1271" s="3">
        <v>0</v>
      </c>
      <c r="AB1271" s="3" t="s">
        <v>1713</v>
      </c>
      <c r="AC1271" s="3">
        <v>1</v>
      </c>
      <c r="AD1271" s="3">
        <v>15.99</v>
      </c>
      <c r="AE1271" s="3">
        <v>0</v>
      </c>
      <c r="AF1271" s="3">
        <v>0</v>
      </c>
      <c r="AG1271" s="3">
        <v>0</v>
      </c>
      <c r="AH1271" s="3">
        <v>3.42857142857142</v>
      </c>
      <c r="AI1271" s="3" t="s">
        <v>3782</v>
      </c>
      <c r="AJ1271" s="3" t="s">
        <v>1715</v>
      </c>
    </row>
    <row r="1272" spans="1:36">
      <c r="A1272" s="4">
        <v>43277</v>
      </c>
      <c r="B1272" s="3" t="s">
        <v>5588</v>
      </c>
      <c r="C1272" s="3" t="s">
        <v>5589</v>
      </c>
      <c r="D1272" s="3" t="s">
        <v>5590</v>
      </c>
      <c r="E1272" s="3" t="s">
        <v>5591</v>
      </c>
      <c r="F1272" s="3" t="s">
        <v>1710</v>
      </c>
      <c r="G1272" s="3">
        <v>94</v>
      </c>
      <c r="H1272" s="3">
        <v>0</v>
      </c>
      <c r="I1272" s="3">
        <v>5</v>
      </c>
      <c r="J1272" s="3">
        <v>2</v>
      </c>
      <c r="K1272" s="3">
        <v>87</v>
      </c>
      <c r="L1272" s="3">
        <v>0</v>
      </c>
      <c r="M1272" s="3">
        <v>0</v>
      </c>
      <c r="N1272" s="3" t="s">
        <v>1711</v>
      </c>
      <c r="O1272" s="3">
        <v>87</v>
      </c>
      <c r="P1272" s="3">
        <v>52.07</v>
      </c>
      <c r="Q1272" s="3">
        <v>0</v>
      </c>
      <c r="R1272" s="3">
        <v>0</v>
      </c>
      <c r="S1272" s="3">
        <v>0</v>
      </c>
      <c r="T1272" s="3">
        <v>2</v>
      </c>
      <c r="U1272" s="3">
        <v>9</v>
      </c>
      <c r="V1272" s="3">
        <v>16</v>
      </c>
      <c r="W1272" s="3"/>
      <c r="X1272" s="3">
        <v>16.99</v>
      </c>
      <c r="Y1272" s="3">
        <v>16.99</v>
      </c>
      <c r="Z1272" s="3">
        <v>16.99</v>
      </c>
      <c r="AA1272" s="3">
        <v>0</v>
      </c>
      <c r="AB1272" s="3" t="s">
        <v>1732</v>
      </c>
      <c r="AC1272" s="3">
        <v>1</v>
      </c>
      <c r="AD1272" s="3">
        <v>11.89</v>
      </c>
      <c r="AE1272" s="3">
        <v>350</v>
      </c>
      <c r="AF1272" s="3">
        <v>0</v>
      </c>
      <c r="AG1272" s="3">
        <v>665.424154</v>
      </c>
      <c r="AH1272" s="3">
        <v>0.0714285714285714</v>
      </c>
      <c r="AI1272" s="3" t="s">
        <v>1905</v>
      </c>
      <c r="AJ1272" s="3" t="s">
        <v>1715</v>
      </c>
    </row>
    <row r="1273" spans="1:36">
      <c r="A1273" s="4">
        <v>43277</v>
      </c>
      <c r="B1273" s="3" t="s">
        <v>1078</v>
      </c>
      <c r="C1273" s="3" t="s">
        <v>1079</v>
      </c>
      <c r="D1273" s="3" t="s">
        <v>1080</v>
      </c>
      <c r="E1273" s="3" t="s">
        <v>1081</v>
      </c>
      <c r="F1273" s="3" t="s">
        <v>1710</v>
      </c>
      <c r="G1273" s="3">
        <v>60</v>
      </c>
      <c r="H1273" s="3">
        <v>0</v>
      </c>
      <c r="I1273" s="3">
        <v>60</v>
      </c>
      <c r="J1273" s="3">
        <v>0</v>
      </c>
      <c r="K1273" s="3">
        <v>0</v>
      </c>
      <c r="L1273" s="3">
        <v>0</v>
      </c>
      <c r="M1273" s="3">
        <v>0</v>
      </c>
      <c r="N1273" s="3" t="s">
        <v>1711</v>
      </c>
      <c r="O1273" s="3">
        <v>0</v>
      </c>
      <c r="P1273" s="3">
        <v>0</v>
      </c>
      <c r="Q1273" s="3">
        <v>0</v>
      </c>
      <c r="R1273" s="3">
        <v>0</v>
      </c>
      <c r="S1273" s="3">
        <v>0</v>
      </c>
      <c r="T1273" s="3">
        <v>12</v>
      </c>
      <c r="U1273" s="3">
        <v>29</v>
      </c>
      <c r="V1273" s="3">
        <v>71</v>
      </c>
      <c r="W1273" s="3"/>
      <c r="X1273" s="3">
        <v>48.58</v>
      </c>
      <c r="Y1273" s="3">
        <v>28.99</v>
      </c>
      <c r="Z1273" s="3">
        <v>28.99</v>
      </c>
      <c r="AA1273" s="3">
        <v>0</v>
      </c>
      <c r="AB1273" s="3" t="s">
        <v>1713</v>
      </c>
      <c r="AC1273" s="3">
        <v>0</v>
      </c>
      <c r="AD1273" s="3">
        <v>0</v>
      </c>
      <c r="AE1273" s="3">
        <v>0</v>
      </c>
      <c r="AF1273" s="3">
        <v>0</v>
      </c>
      <c r="AG1273" s="3">
        <v>0</v>
      </c>
      <c r="AH1273" s="3">
        <v>4.58064516129032</v>
      </c>
      <c r="AI1273" s="3" t="s">
        <v>1800</v>
      </c>
      <c r="AJ1273" s="3" t="s">
        <v>1715</v>
      </c>
    </row>
    <row r="1274" spans="1:36">
      <c r="A1274" s="4">
        <v>43277</v>
      </c>
      <c r="B1274" s="3" t="s">
        <v>5592</v>
      </c>
      <c r="C1274" s="3" t="s">
        <v>5593</v>
      </c>
      <c r="D1274" s="3" t="s">
        <v>5594</v>
      </c>
      <c r="E1274" s="3" t="s">
        <v>2108</v>
      </c>
      <c r="F1274" s="3" t="s">
        <v>1710</v>
      </c>
      <c r="G1274" s="3">
        <v>8</v>
      </c>
      <c r="H1274" s="3">
        <v>0</v>
      </c>
      <c r="I1274" s="3">
        <v>0</v>
      </c>
      <c r="J1274" s="3">
        <v>1</v>
      </c>
      <c r="K1274" s="3">
        <v>7</v>
      </c>
      <c r="L1274" s="3">
        <v>0</v>
      </c>
      <c r="M1274" s="3">
        <v>0</v>
      </c>
      <c r="N1274" s="3" t="s">
        <v>1711</v>
      </c>
      <c r="O1274" s="3">
        <v>7</v>
      </c>
      <c r="P1274" s="3">
        <v>11.61</v>
      </c>
      <c r="Q1274" s="3">
        <v>0</v>
      </c>
      <c r="R1274" s="3">
        <v>0</v>
      </c>
      <c r="S1274" s="3">
        <v>0</v>
      </c>
      <c r="T1274" s="3">
        <v>0</v>
      </c>
      <c r="U1274" s="3">
        <v>0</v>
      </c>
      <c r="V1274" s="3">
        <v>0</v>
      </c>
      <c r="W1274" s="3" t="s">
        <v>1712</v>
      </c>
      <c r="X1274" s="3">
        <v>30</v>
      </c>
      <c r="Y1274" s="3">
        <v>15.99</v>
      </c>
      <c r="Z1274" s="3">
        <v>15.99</v>
      </c>
      <c r="AA1274" s="3">
        <v>0</v>
      </c>
      <c r="AB1274" s="3" t="s">
        <v>1732</v>
      </c>
      <c r="AC1274" s="3">
        <v>0</v>
      </c>
      <c r="AD1274" s="3">
        <v>13.81</v>
      </c>
      <c r="AE1274" s="3">
        <v>210</v>
      </c>
      <c r="AF1274" s="3">
        <v>0</v>
      </c>
      <c r="AG1274" s="3">
        <v>189.481761</v>
      </c>
      <c r="AH1274" s="3">
        <v>0</v>
      </c>
      <c r="AI1274" s="3" t="s">
        <v>2333</v>
      </c>
      <c r="AJ1274" s="3" t="s">
        <v>1783</v>
      </c>
    </row>
    <row r="1275" spans="1:36">
      <c r="A1275" s="4">
        <v>43277</v>
      </c>
      <c r="B1275" s="3" t="s">
        <v>144</v>
      </c>
      <c r="C1275" s="3" t="s">
        <v>145</v>
      </c>
      <c r="D1275" s="3" t="s">
        <v>146</v>
      </c>
      <c r="E1275" s="3" t="s">
        <v>147</v>
      </c>
      <c r="F1275" s="3" t="s">
        <v>1710</v>
      </c>
      <c r="G1275" s="3">
        <v>11</v>
      </c>
      <c r="H1275" s="3">
        <v>0</v>
      </c>
      <c r="I1275" s="3">
        <v>11</v>
      </c>
      <c r="J1275" s="3">
        <v>0</v>
      </c>
      <c r="K1275" s="3">
        <v>0</v>
      </c>
      <c r="L1275" s="3">
        <v>0</v>
      </c>
      <c r="M1275" s="3">
        <v>0</v>
      </c>
      <c r="N1275" s="3" t="s">
        <v>1711</v>
      </c>
      <c r="O1275" s="3">
        <v>0</v>
      </c>
      <c r="P1275" s="3">
        <v>0</v>
      </c>
      <c r="Q1275" s="3">
        <v>0</v>
      </c>
      <c r="R1275" s="3">
        <v>0</v>
      </c>
      <c r="S1275" s="3">
        <v>3</v>
      </c>
      <c r="T1275" s="3">
        <v>10</v>
      </c>
      <c r="U1275" s="3">
        <v>16</v>
      </c>
      <c r="V1275" s="3">
        <v>28</v>
      </c>
      <c r="W1275" s="3"/>
      <c r="X1275" s="3">
        <v>14.99</v>
      </c>
      <c r="Y1275" s="3">
        <v>14.99</v>
      </c>
      <c r="Z1275" s="3">
        <v>14.99</v>
      </c>
      <c r="AA1275" s="3">
        <v>0</v>
      </c>
      <c r="AB1275" s="3" t="s">
        <v>1713</v>
      </c>
      <c r="AC1275" s="3">
        <v>11</v>
      </c>
      <c r="AD1275" s="3">
        <v>14.99</v>
      </c>
      <c r="AE1275" s="3">
        <v>0</v>
      </c>
      <c r="AF1275" s="3">
        <v>0</v>
      </c>
      <c r="AG1275" s="3">
        <v>0</v>
      </c>
      <c r="AH1275" s="3">
        <v>1.36585365853658</v>
      </c>
      <c r="AI1275" s="3" t="s">
        <v>2467</v>
      </c>
      <c r="AJ1275" s="3" t="s">
        <v>1715</v>
      </c>
    </row>
    <row r="1276" spans="1:36">
      <c r="A1276" s="4">
        <v>43277</v>
      </c>
      <c r="B1276" s="3" t="s">
        <v>795</v>
      </c>
      <c r="C1276" s="3" t="s">
        <v>796</v>
      </c>
      <c r="D1276" s="3" t="s">
        <v>797</v>
      </c>
      <c r="E1276" s="3" t="s">
        <v>798</v>
      </c>
      <c r="F1276" s="3" t="s">
        <v>1710</v>
      </c>
      <c r="G1276" s="3">
        <v>34</v>
      </c>
      <c r="H1276" s="3">
        <v>0</v>
      </c>
      <c r="I1276" s="3">
        <v>34</v>
      </c>
      <c r="J1276" s="3">
        <v>0</v>
      </c>
      <c r="K1276" s="3">
        <v>0</v>
      </c>
      <c r="L1276" s="3">
        <v>0</v>
      </c>
      <c r="M1276" s="3">
        <v>0</v>
      </c>
      <c r="N1276" s="3" t="s">
        <v>1711</v>
      </c>
      <c r="O1276" s="3">
        <v>0</v>
      </c>
      <c r="P1276" s="3">
        <v>0</v>
      </c>
      <c r="Q1276" s="3">
        <v>0</v>
      </c>
      <c r="R1276" s="3">
        <v>0</v>
      </c>
      <c r="S1276" s="3">
        <v>1</v>
      </c>
      <c r="T1276" s="3">
        <v>6</v>
      </c>
      <c r="U1276" s="3">
        <v>6</v>
      </c>
      <c r="V1276" s="3">
        <v>6</v>
      </c>
      <c r="W1276" s="3"/>
      <c r="X1276" s="3">
        <v>28.58</v>
      </c>
      <c r="Y1276" s="3">
        <v>28.58</v>
      </c>
      <c r="Z1276" s="3">
        <v>28.58</v>
      </c>
      <c r="AA1276" s="3">
        <v>0</v>
      </c>
      <c r="AB1276" s="3" t="s">
        <v>1732</v>
      </c>
      <c r="AC1276" s="3">
        <v>15</v>
      </c>
      <c r="AD1276" s="3">
        <v>22.86</v>
      </c>
      <c r="AE1276" s="3">
        <v>364</v>
      </c>
      <c r="AF1276" s="3">
        <v>0</v>
      </c>
      <c r="AG1276" s="3">
        <v>50.876604</v>
      </c>
      <c r="AH1276" s="3">
        <v>0.218181818181818</v>
      </c>
      <c r="AI1276" s="3" t="s">
        <v>1883</v>
      </c>
      <c r="AJ1276" s="3" t="s">
        <v>1715</v>
      </c>
    </row>
    <row r="1277" spans="1:36">
      <c r="A1277" s="4">
        <v>43277</v>
      </c>
      <c r="B1277" s="3" t="s">
        <v>148</v>
      </c>
      <c r="C1277" s="3" t="s">
        <v>149</v>
      </c>
      <c r="D1277" s="3" t="s">
        <v>150</v>
      </c>
      <c r="E1277" s="3" t="s">
        <v>151</v>
      </c>
      <c r="F1277" s="3" t="s">
        <v>1710</v>
      </c>
      <c r="G1277" s="3">
        <v>26</v>
      </c>
      <c r="H1277" s="3">
        <v>0</v>
      </c>
      <c r="I1277" s="3">
        <v>17</v>
      </c>
      <c r="J1277" s="3">
        <v>9</v>
      </c>
      <c r="K1277" s="3">
        <v>0</v>
      </c>
      <c r="L1277" s="3">
        <v>0</v>
      </c>
      <c r="M1277" s="3">
        <v>0</v>
      </c>
      <c r="N1277" s="3" t="s">
        <v>1711</v>
      </c>
      <c r="O1277" s="3">
        <v>0</v>
      </c>
      <c r="P1277" s="3">
        <v>0</v>
      </c>
      <c r="Q1277" s="3">
        <v>0</v>
      </c>
      <c r="R1277" s="3">
        <v>0</v>
      </c>
      <c r="S1277" s="3">
        <v>3</v>
      </c>
      <c r="T1277" s="3">
        <v>15</v>
      </c>
      <c r="U1277" s="3">
        <v>25</v>
      </c>
      <c r="V1277" s="3">
        <v>40</v>
      </c>
      <c r="W1277" s="3"/>
      <c r="X1277" s="3">
        <v>28.99</v>
      </c>
      <c r="Y1277" s="3">
        <v>14.99</v>
      </c>
      <c r="Z1277" s="3">
        <v>14.99</v>
      </c>
      <c r="AA1277" s="3">
        <v>0</v>
      </c>
      <c r="AB1277" s="3" t="s">
        <v>1713</v>
      </c>
      <c r="AC1277" s="3">
        <v>27</v>
      </c>
      <c r="AD1277" s="3">
        <v>14.99</v>
      </c>
      <c r="AE1277" s="3">
        <v>0</v>
      </c>
      <c r="AF1277" s="3">
        <v>0</v>
      </c>
      <c r="AG1277" s="3">
        <v>0</v>
      </c>
      <c r="AH1277" s="3">
        <v>0.963855421686747</v>
      </c>
      <c r="AI1277" s="3" t="s">
        <v>2467</v>
      </c>
      <c r="AJ1277" s="3" t="s">
        <v>1715</v>
      </c>
    </row>
    <row r="1278" spans="1:36">
      <c r="A1278" s="4">
        <v>43277</v>
      </c>
      <c r="B1278" s="3" t="s">
        <v>5595</v>
      </c>
      <c r="C1278" s="3" t="s">
        <v>5596</v>
      </c>
      <c r="D1278" s="3" t="s">
        <v>5597</v>
      </c>
      <c r="E1278" s="3" t="s">
        <v>5598</v>
      </c>
      <c r="F1278" s="3" t="s">
        <v>1710</v>
      </c>
      <c r="G1278" s="3">
        <v>5</v>
      </c>
      <c r="H1278" s="3">
        <v>0</v>
      </c>
      <c r="I1278" s="3">
        <v>0</v>
      </c>
      <c r="J1278" s="3">
        <v>0</v>
      </c>
      <c r="K1278" s="3">
        <v>0</v>
      </c>
      <c r="L1278" s="3">
        <v>0</v>
      </c>
      <c r="M1278" s="3">
        <v>5</v>
      </c>
      <c r="N1278" s="3" t="s">
        <v>1711</v>
      </c>
      <c r="O1278" s="3">
        <v>0</v>
      </c>
      <c r="P1278" s="3">
        <v>0</v>
      </c>
      <c r="Q1278" s="3">
        <v>5</v>
      </c>
      <c r="R1278" s="3">
        <v>2.95</v>
      </c>
      <c r="S1278" s="3">
        <v>0</v>
      </c>
      <c r="T1278" s="3">
        <v>0</v>
      </c>
      <c r="U1278" s="3">
        <v>0</v>
      </c>
      <c r="V1278" s="3">
        <v>0</v>
      </c>
      <c r="W1278" s="3" t="s">
        <v>1720</v>
      </c>
      <c r="X1278" s="3">
        <v>12.99</v>
      </c>
      <c r="Y1278" s="3">
        <v>12.99</v>
      </c>
      <c r="Z1278" s="3">
        <v>12.99</v>
      </c>
      <c r="AA1278" s="3">
        <v>0</v>
      </c>
      <c r="AB1278" s="3" t="s">
        <v>1713</v>
      </c>
      <c r="AC1278" s="3">
        <v>5</v>
      </c>
      <c r="AD1278" s="3">
        <v>12.99</v>
      </c>
      <c r="AE1278" s="3">
        <v>0</v>
      </c>
      <c r="AF1278" s="3">
        <v>0</v>
      </c>
      <c r="AG1278" s="3">
        <v>0</v>
      </c>
      <c r="AH1278" s="3">
        <v>0</v>
      </c>
      <c r="AI1278" s="3" t="s">
        <v>5599</v>
      </c>
      <c r="AJ1278" s="3" t="s">
        <v>1715</v>
      </c>
    </row>
    <row r="1279" spans="1:36">
      <c r="A1279" s="4">
        <v>43277</v>
      </c>
      <c r="B1279" s="3" t="s">
        <v>5600</v>
      </c>
      <c r="C1279" s="3" t="s">
        <v>5601</v>
      </c>
      <c r="D1279" s="3" t="s">
        <v>5602</v>
      </c>
      <c r="E1279" s="3" t="s">
        <v>5603</v>
      </c>
      <c r="F1279" s="3" t="s">
        <v>1710</v>
      </c>
      <c r="G1279" s="3">
        <v>88</v>
      </c>
      <c r="H1279" s="3">
        <v>0</v>
      </c>
      <c r="I1279" s="3">
        <v>88</v>
      </c>
      <c r="J1279" s="3">
        <v>0</v>
      </c>
      <c r="K1279" s="3">
        <v>0</v>
      </c>
      <c r="L1279" s="3">
        <v>0</v>
      </c>
      <c r="M1279" s="3">
        <v>0</v>
      </c>
      <c r="N1279" s="3" t="s">
        <v>1711</v>
      </c>
      <c r="O1279" s="3">
        <v>0</v>
      </c>
      <c r="P1279" s="3">
        <v>0</v>
      </c>
      <c r="Q1279" s="3">
        <v>0</v>
      </c>
      <c r="R1279" s="3">
        <v>0</v>
      </c>
      <c r="S1279" s="3">
        <v>0</v>
      </c>
      <c r="T1279" s="3">
        <v>3</v>
      </c>
      <c r="U1279" s="3">
        <v>27</v>
      </c>
      <c r="V1279" s="3">
        <v>72</v>
      </c>
      <c r="W1279" s="3"/>
      <c r="X1279" s="3">
        <v>16.08</v>
      </c>
      <c r="Y1279" s="3">
        <v>16.08</v>
      </c>
      <c r="Z1279" s="3">
        <v>16.08</v>
      </c>
      <c r="AA1279" s="3">
        <v>0</v>
      </c>
      <c r="AB1279" s="3" t="s">
        <v>1713</v>
      </c>
      <c r="AC1279" s="3">
        <v>88</v>
      </c>
      <c r="AD1279" s="3">
        <v>16.08</v>
      </c>
      <c r="AE1279" s="3">
        <v>0</v>
      </c>
      <c r="AF1279" s="3">
        <v>0</v>
      </c>
      <c r="AG1279" s="3">
        <v>0</v>
      </c>
      <c r="AH1279" s="3">
        <v>0.993103448275862</v>
      </c>
      <c r="AI1279" s="3" t="s">
        <v>2466</v>
      </c>
      <c r="AJ1279" s="3" t="s">
        <v>1715</v>
      </c>
    </row>
    <row r="1280" spans="1:36">
      <c r="A1280" s="4">
        <v>43277</v>
      </c>
      <c r="B1280" s="3" t="s">
        <v>1129</v>
      </c>
      <c r="C1280" s="3" t="s">
        <v>1130</v>
      </c>
      <c r="D1280" s="3" t="s">
        <v>1131</v>
      </c>
      <c r="E1280" s="3" t="s">
        <v>1132</v>
      </c>
      <c r="F1280" s="3" t="s">
        <v>1710</v>
      </c>
      <c r="G1280" s="3">
        <v>4</v>
      </c>
      <c r="H1280" s="3">
        <v>0</v>
      </c>
      <c r="I1280" s="3">
        <v>4</v>
      </c>
      <c r="J1280" s="3">
        <v>0</v>
      </c>
      <c r="K1280" s="3">
        <v>0</v>
      </c>
      <c r="L1280" s="3">
        <v>0</v>
      </c>
      <c r="M1280" s="3">
        <v>0</v>
      </c>
      <c r="N1280" s="3" t="s">
        <v>1711</v>
      </c>
      <c r="O1280" s="3">
        <v>0</v>
      </c>
      <c r="P1280" s="3">
        <v>0</v>
      </c>
      <c r="Q1280" s="3">
        <v>0</v>
      </c>
      <c r="R1280" s="3">
        <v>0</v>
      </c>
      <c r="S1280" s="3">
        <v>0</v>
      </c>
      <c r="T1280" s="3">
        <v>1</v>
      </c>
      <c r="U1280" s="3">
        <v>1</v>
      </c>
      <c r="V1280" s="3">
        <v>1</v>
      </c>
      <c r="W1280" s="3"/>
      <c r="X1280" s="3">
        <v>19.99</v>
      </c>
      <c r="Y1280" s="3">
        <v>19.99</v>
      </c>
      <c r="Z1280" s="3">
        <v>19.99</v>
      </c>
      <c r="AA1280" s="3">
        <v>0</v>
      </c>
      <c r="AB1280" s="3" t="s">
        <v>1713</v>
      </c>
      <c r="AC1280" s="3">
        <v>4</v>
      </c>
      <c r="AD1280" s="3">
        <v>19.99</v>
      </c>
      <c r="AE1280" s="3">
        <v>0</v>
      </c>
      <c r="AF1280" s="3">
        <v>0</v>
      </c>
      <c r="AG1280" s="3">
        <v>0</v>
      </c>
      <c r="AH1280" s="3">
        <v>0.333333333333333</v>
      </c>
      <c r="AI1280" s="3" t="s">
        <v>1962</v>
      </c>
      <c r="AJ1280" s="3" t="s">
        <v>1715</v>
      </c>
    </row>
    <row r="1281" spans="1:36">
      <c r="A1281" s="4">
        <v>43277</v>
      </c>
      <c r="B1281" s="3" t="s">
        <v>5604</v>
      </c>
      <c r="C1281" s="3" t="s">
        <v>5605</v>
      </c>
      <c r="D1281" s="3" t="s">
        <v>5606</v>
      </c>
      <c r="E1281" s="3" t="s">
        <v>1426</v>
      </c>
      <c r="F1281" s="3" t="s">
        <v>1710</v>
      </c>
      <c r="G1281" s="3">
        <v>10</v>
      </c>
      <c r="H1281" s="3">
        <v>0</v>
      </c>
      <c r="I1281" s="3">
        <v>10</v>
      </c>
      <c r="J1281" s="3">
        <v>0</v>
      </c>
      <c r="K1281" s="3">
        <v>0</v>
      </c>
      <c r="L1281" s="3">
        <v>0</v>
      </c>
      <c r="M1281" s="3">
        <v>0</v>
      </c>
      <c r="N1281" s="3" t="s">
        <v>1711</v>
      </c>
      <c r="O1281" s="3">
        <v>0</v>
      </c>
      <c r="P1281" s="3">
        <v>0</v>
      </c>
      <c r="Q1281" s="3">
        <v>0</v>
      </c>
      <c r="R1281" s="3">
        <v>0</v>
      </c>
      <c r="S1281" s="3">
        <v>0</v>
      </c>
      <c r="T1281" s="3">
        <v>0</v>
      </c>
      <c r="U1281" s="3">
        <v>0</v>
      </c>
      <c r="V1281" s="3">
        <v>0</v>
      </c>
      <c r="W1281" s="3" t="s">
        <v>1712</v>
      </c>
      <c r="X1281" s="3">
        <v>19.99</v>
      </c>
      <c r="Y1281" s="3">
        <v>19.99</v>
      </c>
      <c r="Z1281" s="3">
        <v>19.99</v>
      </c>
      <c r="AA1281" s="3">
        <v>0</v>
      </c>
      <c r="AB1281" s="3" t="s">
        <v>1713</v>
      </c>
      <c r="AC1281" s="3">
        <v>10</v>
      </c>
      <c r="AD1281" s="3">
        <v>19.99</v>
      </c>
      <c r="AE1281" s="3">
        <v>0</v>
      </c>
      <c r="AF1281" s="3">
        <v>0</v>
      </c>
      <c r="AG1281" s="3">
        <v>0</v>
      </c>
      <c r="AH1281" s="3">
        <v>0</v>
      </c>
      <c r="AI1281" s="3" t="s">
        <v>5607</v>
      </c>
      <c r="AJ1281" s="3" t="s">
        <v>1715</v>
      </c>
    </row>
    <row r="1282" spans="1:36">
      <c r="A1282" s="4">
        <v>43277</v>
      </c>
      <c r="B1282" s="3" t="s">
        <v>1144</v>
      </c>
      <c r="C1282" s="3" t="s">
        <v>1145</v>
      </c>
      <c r="D1282" s="3" t="s">
        <v>1146</v>
      </c>
      <c r="E1282" s="3" t="s">
        <v>1147</v>
      </c>
      <c r="F1282" s="3" t="s">
        <v>1710</v>
      </c>
      <c r="G1282" s="3">
        <v>17</v>
      </c>
      <c r="H1282" s="3">
        <v>0</v>
      </c>
      <c r="I1282" s="3">
        <v>17</v>
      </c>
      <c r="J1282" s="3">
        <v>0</v>
      </c>
      <c r="K1282" s="3">
        <v>0</v>
      </c>
      <c r="L1282" s="3">
        <v>0</v>
      </c>
      <c r="M1282" s="3">
        <v>0</v>
      </c>
      <c r="N1282" s="3" t="s">
        <v>1711</v>
      </c>
      <c r="O1282" s="3">
        <v>0</v>
      </c>
      <c r="P1282" s="3">
        <v>0</v>
      </c>
      <c r="Q1282" s="3">
        <v>0</v>
      </c>
      <c r="R1282" s="3">
        <v>0</v>
      </c>
      <c r="S1282" s="3">
        <v>1</v>
      </c>
      <c r="T1282" s="3">
        <v>3</v>
      </c>
      <c r="U1282" s="3">
        <v>13</v>
      </c>
      <c r="V1282" s="3">
        <v>13</v>
      </c>
      <c r="W1282" s="3"/>
      <c r="X1282" s="3">
        <v>39.99</v>
      </c>
      <c r="Y1282" s="3">
        <v>19.99</v>
      </c>
      <c r="Z1282" s="3">
        <v>19.99</v>
      </c>
      <c r="AA1282" s="3">
        <v>0</v>
      </c>
      <c r="AB1282" s="3" t="s">
        <v>1713</v>
      </c>
      <c r="AC1282" s="3">
        <v>18</v>
      </c>
      <c r="AD1282" s="3">
        <v>19.99</v>
      </c>
      <c r="AE1282" s="3">
        <v>0</v>
      </c>
      <c r="AF1282" s="3">
        <v>0</v>
      </c>
      <c r="AG1282" s="3">
        <v>0</v>
      </c>
      <c r="AH1282" s="3">
        <v>2.29411764705882</v>
      </c>
      <c r="AI1282" s="3" t="s">
        <v>1891</v>
      </c>
      <c r="AJ1282" s="3" t="s">
        <v>1715</v>
      </c>
    </row>
    <row r="1283" spans="1:36">
      <c r="A1283" s="4">
        <v>43277</v>
      </c>
      <c r="B1283" s="3" t="s">
        <v>5608</v>
      </c>
      <c r="C1283" s="3" t="s">
        <v>5609</v>
      </c>
      <c r="D1283" s="3" t="s">
        <v>5610</v>
      </c>
      <c r="E1283" s="3" t="s">
        <v>5611</v>
      </c>
      <c r="F1283" s="3" t="s">
        <v>1710</v>
      </c>
      <c r="G1283" s="3">
        <v>1</v>
      </c>
      <c r="H1283" s="3">
        <v>0</v>
      </c>
      <c r="I1283" s="3">
        <v>0</v>
      </c>
      <c r="J1283" s="3">
        <v>1</v>
      </c>
      <c r="K1283" s="3">
        <v>0</v>
      </c>
      <c r="L1283" s="3">
        <v>0</v>
      </c>
      <c r="M1283" s="3">
        <v>0</v>
      </c>
      <c r="N1283" s="3" t="s">
        <v>1711</v>
      </c>
      <c r="O1283" s="3">
        <v>1</v>
      </c>
      <c r="P1283" s="3">
        <v>1.18</v>
      </c>
      <c r="Q1283" s="3">
        <v>0</v>
      </c>
      <c r="R1283" s="3">
        <v>0</v>
      </c>
      <c r="S1283" s="3">
        <v>0</v>
      </c>
      <c r="T1283" s="3">
        <v>0</v>
      </c>
      <c r="U1283" s="3">
        <v>0</v>
      </c>
      <c r="V1283" s="3">
        <v>0</v>
      </c>
      <c r="W1283" s="3" t="s">
        <v>1720</v>
      </c>
      <c r="X1283" s="3">
        <v>19.99</v>
      </c>
      <c r="Y1283" s="3">
        <v>19.99</v>
      </c>
      <c r="Z1283" s="3">
        <v>19.99</v>
      </c>
      <c r="AA1283" s="3">
        <v>0</v>
      </c>
      <c r="AB1283" s="3" t="s">
        <v>1721</v>
      </c>
      <c r="AC1283" s="3">
        <v>1</v>
      </c>
      <c r="AD1283" s="3">
        <v>19.99</v>
      </c>
      <c r="AE1283" s="3">
        <v>0</v>
      </c>
      <c r="AF1283" s="3">
        <v>0</v>
      </c>
      <c r="AG1283" s="3">
        <v>0</v>
      </c>
      <c r="AH1283" s="3">
        <v>0</v>
      </c>
      <c r="AI1283" s="3" t="s">
        <v>3314</v>
      </c>
      <c r="AJ1283" s="3" t="s">
        <v>1715</v>
      </c>
    </row>
    <row r="1284" spans="1:36">
      <c r="A1284" s="4">
        <v>43277</v>
      </c>
      <c r="B1284" s="3" t="s">
        <v>5612</v>
      </c>
      <c r="C1284" s="3" t="s">
        <v>5613</v>
      </c>
      <c r="D1284" s="3" t="s">
        <v>5614</v>
      </c>
      <c r="E1284" s="3" t="s">
        <v>5615</v>
      </c>
      <c r="F1284" s="3" t="s">
        <v>1710</v>
      </c>
      <c r="G1284" s="3">
        <v>67</v>
      </c>
      <c r="H1284" s="3">
        <v>0</v>
      </c>
      <c r="I1284" s="3">
        <v>6</v>
      </c>
      <c r="J1284" s="3">
        <v>16</v>
      </c>
      <c r="K1284" s="3">
        <v>45</v>
      </c>
      <c r="L1284" s="3">
        <v>0</v>
      </c>
      <c r="M1284" s="3">
        <v>0</v>
      </c>
      <c r="N1284" s="3" t="s">
        <v>1711</v>
      </c>
      <c r="O1284" s="3">
        <v>57</v>
      </c>
      <c r="P1284" s="3">
        <v>34.12</v>
      </c>
      <c r="Q1284" s="3">
        <v>0</v>
      </c>
      <c r="R1284" s="3">
        <v>0</v>
      </c>
      <c r="S1284" s="3">
        <v>0</v>
      </c>
      <c r="T1284" s="3">
        <v>0</v>
      </c>
      <c r="U1284" s="3">
        <v>5</v>
      </c>
      <c r="V1284" s="3">
        <v>14</v>
      </c>
      <c r="W1284" s="3" t="s">
        <v>1712</v>
      </c>
      <c r="X1284" s="3">
        <v>35</v>
      </c>
      <c r="Y1284" s="3">
        <v>16.99</v>
      </c>
      <c r="Z1284" s="3">
        <v>16</v>
      </c>
      <c r="AA1284" s="3">
        <v>0</v>
      </c>
      <c r="AB1284" s="3" t="s">
        <v>1732</v>
      </c>
      <c r="AC1284" s="3">
        <v>0</v>
      </c>
      <c r="AD1284" s="3">
        <v>12.93</v>
      </c>
      <c r="AE1284" s="3">
        <v>364</v>
      </c>
      <c r="AF1284" s="3">
        <v>0</v>
      </c>
      <c r="AG1284" s="3">
        <v>455.068208</v>
      </c>
      <c r="AH1284" s="3">
        <v>0.0903225806451612</v>
      </c>
      <c r="AI1284" s="3" t="s">
        <v>1905</v>
      </c>
      <c r="AJ1284" s="3" t="s">
        <v>1715</v>
      </c>
    </row>
    <row r="1285" spans="1:36">
      <c r="A1285" s="4">
        <v>43277</v>
      </c>
      <c r="B1285" s="3" t="s">
        <v>559</v>
      </c>
      <c r="C1285" s="3" t="s">
        <v>560</v>
      </c>
      <c r="D1285" s="3" t="s">
        <v>561</v>
      </c>
      <c r="E1285" s="3" t="s">
        <v>5616</v>
      </c>
      <c r="F1285" s="3" t="s">
        <v>1710</v>
      </c>
      <c r="G1285" s="3">
        <v>63</v>
      </c>
      <c r="H1285" s="3">
        <v>0</v>
      </c>
      <c r="I1285" s="3">
        <v>63</v>
      </c>
      <c r="J1285" s="3">
        <v>0</v>
      </c>
      <c r="K1285" s="3">
        <v>0</v>
      </c>
      <c r="L1285" s="3">
        <v>0</v>
      </c>
      <c r="M1285" s="3">
        <v>0</v>
      </c>
      <c r="N1285" s="3" t="s">
        <v>1711</v>
      </c>
      <c r="O1285" s="3">
        <v>0</v>
      </c>
      <c r="P1285" s="3">
        <v>0</v>
      </c>
      <c r="Q1285" s="3">
        <v>0</v>
      </c>
      <c r="R1285" s="3">
        <v>0</v>
      </c>
      <c r="S1285" s="3">
        <v>7</v>
      </c>
      <c r="T1285" s="3">
        <v>55</v>
      </c>
      <c r="U1285" s="3">
        <v>87</v>
      </c>
      <c r="V1285" s="3">
        <v>112</v>
      </c>
      <c r="W1285" s="3"/>
      <c r="X1285" s="3">
        <v>38</v>
      </c>
      <c r="Y1285" s="3">
        <v>28.58</v>
      </c>
      <c r="Z1285" s="3">
        <v>28</v>
      </c>
      <c r="AA1285" s="3">
        <v>0</v>
      </c>
      <c r="AB1285" s="3" t="s">
        <v>1713</v>
      </c>
      <c r="AC1285" s="3">
        <v>29</v>
      </c>
      <c r="AD1285" s="3">
        <v>28.58</v>
      </c>
      <c r="AE1285" s="3">
        <v>0</v>
      </c>
      <c r="AF1285" s="3">
        <v>0</v>
      </c>
      <c r="AG1285" s="3">
        <v>0</v>
      </c>
      <c r="AH1285" s="3">
        <v>3.34328358208955</v>
      </c>
      <c r="AI1285" s="3" t="s">
        <v>1801</v>
      </c>
      <c r="AJ1285" s="3" t="s">
        <v>1715</v>
      </c>
    </row>
    <row r="1286" spans="1:36">
      <c r="A1286" s="4">
        <v>43277</v>
      </c>
      <c r="B1286" s="3" t="s">
        <v>5617</v>
      </c>
      <c r="C1286" s="3" t="s">
        <v>5618</v>
      </c>
      <c r="D1286" s="3" t="s">
        <v>5619</v>
      </c>
      <c r="E1286" s="3" t="s">
        <v>5620</v>
      </c>
      <c r="F1286" s="3" t="s">
        <v>1710</v>
      </c>
      <c r="G1286" s="3">
        <v>15</v>
      </c>
      <c r="H1286" s="3">
        <v>0</v>
      </c>
      <c r="I1286" s="3">
        <v>0</v>
      </c>
      <c r="J1286" s="3">
        <v>0</v>
      </c>
      <c r="K1286" s="3">
        <v>1</v>
      </c>
      <c r="L1286" s="3">
        <v>14</v>
      </c>
      <c r="M1286" s="3">
        <v>0</v>
      </c>
      <c r="N1286" s="3" t="s">
        <v>1711</v>
      </c>
      <c r="O1286" s="3">
        <v>1</v>
      </c>
      <c r="P1286" s="3">
        <v>0.57</v>
      </c>
      <c r="Q1286" s="3">
        <v>14</v>
      </c>
      <c r="R1286" s="3">
        <v>16.06</v>
      </c>
      <c r="S1286" s="3">
        <v>0</v>
      </c>
      <c r="T1286" s="3">
        <v>0</v>
      </c>
      <c r="U1286" s="3">
        <v>1</v>
      </c>
      <c r="V1286" s="3">
        <v>2</v>
      </c>
      <c r="W1286" s="3" t="s">
        <v>1720</v>
      </c>
      <c r="X1286" s="3">
        <v>13.88</v>
      </c>
      <c r="Y1286" s="3">
        <v>13.88</v>
      </c>
      <c r="Z1286" s="3">
        <v>13.86</v>
      </c>
      <c r="AA1286" s="3">
        <v>0</v>
      </c>
      <c r="AB1286" s="3" t="s">
        <v>1721</v>
      </c>
      <c r="AC1286" s="3">
        <v>1</v>
      </c>
      <c r="AD1286" s="3">
        <v>12.95</v>
      </c>
      <c r="AE1286" s="3">
        <v>49</v>
      </c>
      <c r="AF1286" s="3">
        <v>0</v>
      </c>
      <c r="AG1286" s="3">
        <v>211.233043</v>
      </c>
      <c r="AH1286" s="3">
        <v>0.126984126984126</v>
      </c>
      <c r="AI1286" s="3" t="s">
        <v>5621</v>
      </c>
      <c r="AJ1286" s="3" t="s">
        <v>1715</v>
      </c>
    </row>
    <row r="1287" spans="1:36">
      <c r="A1287" s="4">
        <v>43277</v>
      </c>
      <c r="B1287" s="3" t="s">
        <v>5622</v>
      </c>
      <c r="C1287" s="3" t="s">
        <v>5623</v>
      </c>
      <c r="D1287" s="3" t="s">
        <v>5624</v>
      </c>
      <c r="E1287" s="3" t="s">
        <v>5625</v>
      </c>
      <c r="F1287" s="3" t="s">
        <v>1710</v>
      </c>
      <c r="G1287" s="3">
        <v>14</v>
      </c>
      <c r="H1287" s="3">
        <v>0</v>
      </c>
      <c r="I1287" s="3">
        <v>0</v>
      </c>
      <c r="J1287" s="3">
        <v>14</v>
      </c>
      <c r="K1287" s="3">
        <v>0</v>
      </c>
      <c r="L1287" s="3">
        <v>0</v>
      </c>
      <c r="M1287" s="3">
        <v>0</v>
      </c>
      <c r="N1287" s="3" t="s">
        <v>1711</v>
      </c>
      <c r="O1287" s="3">
        <v>0</v>
      </c>
      <c r="P1287" s="3">
        <v>0</v>
      </c>
      <c r="Q1287" s="3">
        <v>0</v>
      </c>
      <c r="R1287" s="3">
        <v>0</v>
      </c>
      <c r="S1287" s="3">
        <v>0</v>
      </c>
      <c r="T1287" s="3">
        <v>0</v>
      </c>
      <c r="U1287" s="3">
        <v>1</v>
      </c>
      <c r="V1287" s="3">
        <v>1</v>
      </c>
      <c r="W1287" s="3" t="s">
        <v>1712</v>
      </c>
      <c r="X1287" s="3">
        <v>25.58</v>
      </c>
      <c r="Y1287" s="3">
        <v>25.58</v>
      </c>
      <c r="Z1287" s="3">
        <v>25.58</v>
      </c>
      <c r="AA1287" s="3">
        <v>0</v>
      </c>
      <c r="AB1287" s="3" t="s">
        <v>1713</v>
      </c>
      <c r="AC1287" s="3">
        <v>14</v>
      </c>
      <c r="AD1287" s="3">
        <v>25.58</v>
      </c>
      <c r="AE1287" s="3">
        <v>0</v>
      </c>
      <c r="AF1287" s="3">
        <v>0</v>
      </c>
      <c r="AG1287" s="3">
        <v>0</v>
      </c>
      <c r="AH1287" s="3">
        <v>0.0833333333333333</v>
      </c>
      <c r="AI1287" s="3" t="s">
        <v>2128</v>
      </c>
      <c r="AJ1287" s="3" t="s">
        <v>1715</v>
      </c>
    </row>
    <row r="1288" spans="1:36">
      <c r="A1288" s="4">
        <v>43277</v>
      </c>
      <c r="B1288" s="3" t="s">
        <v>5626</v>
      </c>
      <c r="C1288" s="3" t="s">
        <v>5627</v>
      </c>
      <c r="D1288" s="3" t="s">
        <v>5628</v>
      </c>
      <c r="E1288" s="3" t="s">
        <v>1755</v>
      </c>
      <c r="F1288" s="3" t="s">
        <v>1710</v>
      </c>
      <c r="G1288" s="3">
        <v>10</v>
      </c>
      <c r="H1288" s="3">
        <v>0</v>
      </c>
      <c r="I1288" s="3">
        <v>10</v>
      </c>
      <c r="J1288" s="3">
        <v>0</v>
      </c>
      <c r="K1288" s="3">
        <v>0</v>
      </c>
      <c r="L1288" s="3">
        <v>0</v>
      </c>
      <c r="M1288" s="3">
        <v>0</v>
      </c>
      <c r="N1288" s="3" t="s">
        <v>1711</v>
      </c>
      <c r="O1288" s="3">
        <v>0</v>
      </c>
      <c r="P1288" s="3">
        <v>0</v>
      </c>
      <c r="Q1288" s="3">
        <v>0</v>
      </c>
      <c r="R1288" s="3">
        <v>0</v>
      </c>
      <c r="S1288" s="3">
        <v>0</v>
      </c>
      <c r="T1288" s="3">
        <v>0</v>
      </c>
      <c r="U1288" s="3">
        <v>0</v>
      </c>
      <c r="V1288" s="3">
        <v>0</v>
      </c>
      <c r="W1288" s="3" t="s">
        <v>1720</v>
      </c>
      <c r="X1288" s="3">
        <v>15.99</v>
      </c>
      <c r="Y1288" s="3">
        <v>15.99</v>
      </c>
      <c r="Z1288" s="3">
        <v>15.99</v>
      </c>
      <c r="AA1288" s="3">
        <v>0</v>
      </c>
      <c r="AB1288" s="3" t="s">
        <v>1721</v>
      </c>
      <c r="AC1288" s="3">
        <v>10</v>
      </c>
      <c r="AD1288" s="3">
        <v>15.99</v>
      </c>
      <c r="AE1288" s="3">
        <v>0</v>
      </c>
      <c r="AF1288" s="3">
        <v>0</v>
      </c>
      <c r="AG1288" s="3">
        <v>0</v>
      </c>
      <c r="AH1288" s="3">
        <v>0</v>
      </c>
      <c r="AI1288" s="3" t="s">
        <v>1756</v>
      </c>
      <c r="AJ1288" s="3" t="s">
        <v>1715</v>
      </c>
    </row>
    <row r="1289" spans="1:36">
      <c r="A1289" s="4">
        <v>43277</v>
      </c>
      <c r="B1289" s="3" t="s">
        <v>5629</v>
      </c>
      <c r="C1289" s="3" t="s">
        <v>5630</v>
      </c>
      <c r="D1289" s="3" t="s">
        <v>5631</v>
      </c>
      <c r="E1289" s="3" t="s">
        <v>3152</v>
      </c>
      <c r="F1289" s="3" t="s">
        <v>1710</v>
      </c>
      <c r="G1289" s="3">
        <v>20</v>
      </c>
      <c r="H1289" s="3">
        <v>0</v>
      </c>
      <c r="I1289" s="3">
        <v>12</v>
      </c>
      <c r="J1289" s="3">
        <v>8</v>
      </c>
      <c r="K1289" s="3">
        <v>0</v>
      </c>
      <c r="L1289" s="3">
        <v>0</v>
      </c>
      <c r="M1289" s="3">
        <v>0</v>
      </c>
      <c r="N1289" s="3" t="s">
        <v>1711</v>
      </c>
      <c r="O1289" s="3">
        <v>0</v>
      </c>
      <c r="P1289" s="3">
        <v>0</v>
      </c>
      <c r="Q1289" s="3">
        <v>0</v>
      </c>
      <c r="R1289" s="3">
        <v>0</v>
      </c>
      <c r="S1289" s="3">
        <v>0</v>
      </c>
      <c r="T1289" s="3">
        <v>2</v>
      </c>
      <c r="U1289" s="3">
        <v>6</v>
      </c>
      <c r="V1289" s="3">
        <v>14</v>
      </c>
      <c r="W1289" s="3"/>
      <c r="X1289" s="3">
        <v>27.99</v>
      </c>
      <c r="Y1289" s="3">
        <v>27.99</v>
      </c>
      <c r="Z1289" s="3">
        <v>25.99</v>
      </c>
      <c r="AA1289" s="3">
        <v>0</v>
      </c>
      <c r="AB1289" s="3" t="s">
        <v>1713</v>
      </c>
      <c r="AC1289" s="3">
        <v>20</v>
      </c>
      <c r="AD1289" s="3">
        <v>27.99</v>
      </c>
      <c r="AE1289" s="3">
        <v>0</v>
      </c>
      <c r="AF1289" s="3">
        <v>0</v>
      </c>
      <c r="AG1289" s="3">
        <v>0</v>
      </c>
      <c r="AH1289" s="3">
        <v>0.674698795180722</v>
      </c>
      <c r="AI1289" s="3" t="s">
        <v>1831</v>
      </c>
      <c r="AJ1289" s="3" t="s">
        <v>1715</v>
      </c>
    </row>
    <row r="1290" spans="1:36">
      <c r="A1290" s="4">
        <v>43277</v>
      </c>
      <c r="B1290" s="3" t="s">
        <v>5632</v>
      </c>
      <c r="C1290" s="3" t="s">
        <v>5633</v>
      </c>
      <c r="D1290" s="3" t="s">
        <v>5634</v>
      </c>
      <c r="E1290" s="3" t="s">
        <v>1820</v>
      </c>
      <c r="F1290" s="3" t="s">
        <v>1710</v>
      </c>
      <c r="G1290" s="3">
        <v>10</v>
      </c>
      <c r="H1290" s="3">
        <v>0</v>
      </c>
      <c r="I1290" s="3">
        <v>10</v>
      </c>
      <c r="J1290" s="3">
        <v>0</v>
      </c>
      <c r="K1290" s="3">
        <v>0</v>
      </c>
      <c r="L1290" s="3">
        <v>0</v>
      </c>
      <c r="M1290" s="3">
        <v>0</v>
      </c>
      <c r="N1290" s="3" t="s">
        <v>1711</v>
      </c>
      <c r="O1290" s="3">
        <v>0</v>
      </c>
      <c r="P1290" s="3">
        <v>0</v>
      </c>
      <c r="Q1290" s="3">
        <v>0</v>
      </c>
      <c r="R1290" s="3">
        <v>0</v>
      </c>
      <c r="S1290" s="3">
        <v>0</v>
      </c>
      <c r="T1290" s="3">
        <v>0</v>
      </c>
      <c r="U1290" s="3">
        <v>0</v>
      </c>
      <c r="V1290" s="3">
        <v>0</v>
      </c>
      <c r="W1290" s="3" t="s">
        <v>1720</v>
      </c>
      <c r="X1290" s="3">
        <v>19.99</v>
      </c>
      <c r="Y1290" s="3">
        <v>19.99</v>
      </c>
      <c r="Z1290" s="3">
        <v>19.99</v>
      </c>
      <c r="AA1290" s="3">
        <v>0</v>
      </c>
      <c r="AB1290" s="3" t="s">
        <v>1721</v>
      </c>
      <c r="AC1290" s="3">
        <v>0</v>
      </c>
      <c r="AD1290" s="3">
        <v>15.99</v>
      </c>
      <c r="AE1290" s="3">
        <v>63</v>
      </c>
      <c r="AF1290" s="3">
        <v>0</v>
      </c>
      <c r="AG1290" s="3">
        <v>71.82189</v>
      </c>
      <c r="AH1290" s="3">
        <v>0</v>
      </c>
      <c r="AI1290" s="3" t="s">
        <v>1821</v>
      </c>
      <c r="AJ1290" s="3" t="s">
        <v>1715</v>
      </c>
    </row>
    <row r="1291" spans="1:36">
      <c r="A1291" s="4">
        <v>43277</v>
      </c>
      <c r="B1291" s="3" t="s">
        <v>5635</v>
      </c>
      <c r="C1291" s="3" t="s">
        <v>5636</v>
      </c>
      <c r="D1291" s="3" t="s">
        <v>5637</v>
      </c>
      <c r="E1291" s="3" t="s">
        <v>5638</v>
      </c>
      <c r="F1291" s="3" t="s">
        <v>1710</v>
      </c>
      <c r="G1291" s="3">
        <v>1</v>
      </c>
      <c r="H1291" s="3">
        <v>0</v>
      </c>
      <c r="I1291" s="3">
        <v>0</v>
      </c>
      <c r="J1291" s="3">
        <v>1</v>
      </c>
      <c r="K1291" s="3">
        <v>0</v>
      </c>
      <c r="L1291" s="3">
        <v>0</v>
      </c>
      <c r="M1291" s="3">
        <v>0</v>
      </c>
      <c r="N1291" s="3" t="s">
        <v>1711</v>
      </c>
      <c r="O1291" s="3">
        <v>0</v>
      </c>
      <c r="P1291" s="3">
        <v>0</v>
      </c>
      <c r="Q1291" s="3">
        <v>0</v>
      </c>
      <c r="R1291" s="3">
        <v>0</v>
      </c>
      <c r="S1291" s="3">
        <v>0</v>
      </c>
      <c r="T1291" s="3">
        <v>0</v>
      </c>
      <c r="U1291" s="3">
        <v>0</v>
      </c>
      <c r="V1291" s="3">
        <v>0</v>
      </c>
      <c r="W1291" s="3" t="s">
        <v>1720</v>
      </c>
      <c r="X1291" s="3">
        <v>18.99</v>
      </c>
      <c r="Y1291" s="3">
        <v>18.99</v>
      </c>
      <c r="Z1291" s="3">
        <v>18.99</v>
      </c>
      <c r="AA1291" s="3">
        <v>0</v>
      </c>
      <c r="AB1291" s="3" t="s">
        <v>1721</v>
      </c>
      <c r="AC1291" s="3">
        <v>1</v>
      </c>
      <c r="AD1291" s="3">
        <v>18.99</v>
      </c>
      <c r="AE1291" s="3">
        <v>0</v>
      </c>
      <c r="AF1291" s="3">
        <v>0</v>
      </c>
      <c r="AG1291" s="3">
        <v>0</v>
      </c>
      <c r="AH1291" s="3">
        <v>0</v>
      </c>
      <c r="AI1291" s="3" t="s">
        <v>2398</v>
      </c>
      <c r="AJ1291" s="3" t="s">
        <v>1715</v>
      </c>
    </row>
    <row r="1292" spans="1:36">
      <c r="A1292" s="4">
        <v>43277</v>
      </c>
      <c r="B1292" s="3" t="s">
        <v>5639</v>
      </c>
      <c r="C1292" s="3" t="s">
        <v>5640</v>
      </c>
      <c r="D1292" s="3" t="s">
        <v>5641</v>
      </c>
      <c r="E1292" s="3" t="s">
        <v>5642</v>
      </c>
      <c r="F1292" s="3" t="s">
        <v>1710</v>
      </c>
      <c r="G1292" s="3">
        <v>16</v>
      </c>
      <c r="H1292" s="3">
        <v>0</v>
      </c>
      <c r="I1292" s="3">
        <v>16</v>
      </c>
      <c r="J1292" s="3">
        <v>0</v>
      </c>
      <c r="K1292" s="3">
        <v>0</v>
      </c>
      <c r="L1292" s="3">
        <v>0</v>
      </c>
      <c r="M1292" s="3">
        <v>0</v>
      </c>
      <c r="N1292" s="3" t="s">
        <v>1711</v>
      </c>
      <c r="O1292" s="3">
        <v>0</v>
      </c>
      <c r="P1292" s="3">
        <v>0</v>
      </c>
      <c r="Q1292" s="3">
        <v>0</v>
      </c>
      <c r="R1292" s="3">
        <v>0</v>
      </c>
      <c r="S1292" s="3">
        <v>4</v>
      </c>
      <c r="T1292" s="3">
        <v>6</v>
      </c>
      <c r="U1292" s="3">
        <v>28</v>
      </c>
      <c r="V1292" s="3">
        <v>31</v>
      </c>
      <c r="W1292" s="3" t="s">
        <v>1712</v>
      </c>
      <c r="X1292" s="3">
        <v>15.99</v>
      </c>
      <c r="Y1292" s="3">
        <v>15.99</v>
      </c>
      <c r="Z1292" s="3">
        <v>15.99</v>
      </c>
      <c r="AA1292" s="3">
        <v>0</v>
      </c>
      <c r="AB1292" s="3" t="s">
        <v>1713</v>
      </c>
      <c r="AC1292" s="3">
        <v>14</v>
      </c>
      <c r="AD1292" s="3">
        <v>15.99</v>
      </c>
      <c r="AE1292" s="3">
        <v>0</v>
      </c>
      <c r="AF1292" s="3">
        <v>0</v>
      </c>
      <c r="AG1292" s="3">
        <v>0</v>
      </c>
      <c r="AH1292" s="3">
        <v>2.44736842105263</v>
      </c>
      <c r="AI1292" s="3" t="s">
        <v>1881</v>
      </c>
      <c r="AJ1292" s="3" t="s">
        <v>1715</v>
      </c>
    </row>
    <row r="1293" spans="1:36">
      <c r="A1293" s="4">
        <v>43277</v>
      </c>
      <c r="B1293" s="3" t="s">
        <v>5643</v>
      </c>
      <c r="C1293" s="3" t="s">
        <v>5644</v>
      </c>
      <c r="D1293" s="3" t="s">
        <v>5645</v>
      </c>
      <c r="E1293" s="3" t="s">
        <v>2495</v>
      </c>
      <c r="F1293" s="3" t="s">
        <v>1710</v>
      </c>
      <c r="G1293" s="3">
        <v>15</v>
      </c>
      <c r="H1293" s="3">
        <v>0</v>
      </c>
      <c r="I1293" s="3">
        <v>15</v>
      </c>
      <c r="J1293" s="3">
        <v>0</v>
      </c>
      <c r="K1293" s="3">
        <v>0</v>
      </c>
      <c r="L1293" s="3">
        <v>0</v>
      </c>
      <c r="M1293" s="3">
        <v>0</v>
      </c>
      <c r="N1293" s="3" t="s">
        <v>1711</v>
      </c>
      <c r="O1293" s="3">
        <v>0</v>
      </c>
      <c r="P1293" s="3">
        <v>0</v>
      </c>
      <c r="Q1293" s="3">
        <v>0</v>
      </c>
      <c r="R1293" s="3">
        <v>0</v>
      </c>
      <c r="S1293" s="3">
        <v>0</v>
      </c>
      <c r="T1293" s="3">
        <v>0</v>
      </c>
      <c r="U1293" s="3">
        <v>0</v>
      </c>
      <c r="V1293" s="3">
        <v>0</v>
      </c>
      <c r="W1293" s="3" t="s">
        <v>1720</v>
      </c>
      <c r="X1293" s="3">
        <v>15.99</v>
      </c>
      <c r="Y1293" s="3">
        <v>15.99</v>
      </c>
      <c r="Z1293" s="3">
        <v>15.99</v>
      </c>
      <c r="AA1293" s="3">
        <v>0</v>
      </c>
      <c r="AB1293" s="3" t="s">
        <v>1721</v>
      </c>
      <c r="AC1293" s="3">
        <v>0</v>
      </c>
      <c r="AD1293" s="3">
        <v>12.79</v>
      </c>
      <c r="AE1293" s="3">
        <v>63</v>
      </c>
      <c r="AF1293" s="3">
        <v>0</v>
      </c>
      <c r="AG1293" s="3">
        <v>160.761652</v>
      </c>
      <c r="AH1293" s="3">
        <v>0</v>
      </c>
      <c r="AI1293" s="3" t="s">
        <v>2758</v>
      </c>
      <c r="AJ1293" s="3" t="s">
        <v>1715</v>
      </c>
    </row>
    <row r="1294" spans="1:36">
      <c r="A1294" s="4">
        <v>43277</v>
      </c>
      <c r="B1294" s="3" t="s">
        <v>5646</v>
      </c>
      <c r="C1294" s="3" t="s">
        <v>5647</v>
      </c>
      <c r="D1294" s="3" t="s">
        <v>5648</v>
      </c>
      <c r="E1294" s="3" t="s">
        <v>1140</v>
      </c>
      <c r="F1294" s="3" t="s">
        <v>1710</v>
      </c>
      <c r="G1294" s="3">
        <v>3</v>
      </c>
      <c r="H1294" s="3">
        <v>0</v>
      </c>
      <c r="I1294" s="3">
        <v>3</v>
      </c>
      <c r="J1294" s="3">
        <v>0</v>
      </c>
      <c r="K1294" s="3">
        <v>0</v>
      </c>
      <c r="L1294" s="3">
        <v>0</v>
      </c>
      <c r="M1294" s="3">
        <v>0</v>
      </c>
      <c r="N1294" s="3" t="s">
        <v>1711</v>
      </c>
      <c r="O1294" s="3">
        <v>0</v>
      </c>
      <c r="P1294" s="3">
        <v>0</v>
      </c>
      <c r="Q1294" s="3">
        <v>0</v>
      </c>
      <c r="R1294" s="3">
        <v>0</v>
      </c>
      <c r="S1294" s="3">
        <v>4</v>
      </c>
      <c r="T1294" s="3">
        <v>18</v>
      </c>
      <c r="U1294" s="3">
        <v>18</v>
      </c>
      <c r="V1294" s="3">
        <v>18</v>
      </c>
      <c r="W1294" s="3"/>
      <c r="X1294" s="3">
        <v>21.99</v>
      </c>
      <c r="Y1294" s="3">
        <v>21.99</v>
      </c>
      <c r="Z1294" s="3">
        <v>21.99</v>
      </c>
      <c r="AA1294" s="3">
        <v>0</v>
      </c>
      <c r="AB1294" s="3" t="s">
        <v>1713</v>
      </c>
      <c r="AC1294" s="3">
        <v>5</v>
      </c>
      <c r="AD1294" s="3">
        <v>21.99</v>
      </c>
      <c r="AE1294" s="3">
        <v>0</v>
      </c>
      <c r="AF1294" s="3">
        <v>0</v>
      </c>
      <c r="AG1294" s="3">
        <v>0</v>
      </c>
      <c r="AH1294" s="3">
        <v>12</v>
      </c>
      <c r="AI1294" s="3" t="s">
        <v>2573</v>
      </c>
      <c r="AJ1294" s="3" t="s">
        <v>1715</v>
      </c>
    </row>
    <row r="1295" spans="1:36">
      <c r="A1295" s="4">
        <v>43277</v>
      </c>
      <c r="B1295" s="3" t="s">
        <v>5649</v>
      </c>
      <c r="C1295" s="3" t="s">
        <v>5650</v>
      </c>
      <c r="D1295" s="3" t="s">
        <v>5651</v>
      </c>
      <c r="E1295" s="3" t="s">
        <v>5652</v>
      </c>
      <c r="F1295" s="3" t="s">
        <v>1710</v>
      </c>
      <c r="G1295" s="3">
        <v>85</v>
      </c>
      <c r="H1295" s="3">
        <v>0</v>
      </c>
      <c r="I1295" s="3">
        <v>0</v>
      </c>
      <c r="J1295" s="3">
        <v>8</v>
      </c>
      <c r="K1295" s="3">
        <v>77</v>
      </c>
      <c r="L1295" s="3">
        <v>0</v>
      </c>
      <c r="M1295" s="3">
        <v>0</v>
      </c>
      <c r="N1295" s="3" t="s">
        <v>1711</v>
      </c>
      <c r="O1295" s="3">
        <v>83</v>
      </c>
      <c r="P1295" s="3">
        <v>44.25</v>
      </c>
      <c r="Q1295" s="3">
        <v>0</v>
      </c>
      <c r="R1295" s="3">
        <v>0</v>
      </c>
      <c r="S1295" s="3">
        <v>0</v>
      </c>
      <c r="T1295" s="3">
        <v>1</v>
      </c>
      <c r="U1295" s="3">
        <v>2</v>
      </c>
      <c r="V1295" s="3">
        <v>5</v>
      </c>
      <c r="W1295" s="3"/>
      <c r="X1295" s="3">
        <v>16.99</v>
      </c>
      <c r="Y1295" s="3">
        <v>16.99</v>
      </c>
      <c r="Z1295" s="3">
        <v>16</v>
      </c>
      <c r="AA1295" s="3">
        <v>0</v>
      </c>
      <c r="AB1295" s="3" t="s">
        <v>1713</v>
      </c>
      <c r="AC1295" s="3">
        <v>85</v>
      </c>
      <c r="AD1295" s="3">
        <v>16.99</v>
      </c>
      <c r="AE1295" s="3">
        <v>0</v>
      </c>
      <c r="AF1295" s="3">
        <v>0</v>
      </c>
      <c r="AG1295" s="3">
        <v>0</v>
      </c>
      <c r="AH1295" s="3">
        <v>0.0253485424588086</v>
      </c>
      <c r="AI1295" s="3" t="s">
        <v>5653</v>
      </c>
      <c r="AJ1295" s="3" t="s">
        <v>1715</v>
      </c>
    </row>
    <row r="1296" spans="1:36">
      <c r="A1296" s="4">
        <v>43277</v>
      </c>
      <c r="B1296" s="3" t="s">
        <v>220</v>
      </c>
      <c r="C1296" s="3" t="s">
        <v>221</v>
      </c>
      <c r="D1296" s="3" t="s">
        <v>222</v>
      </c>
      <c r="E1296" s="3" t="s">
        <v>223</v>
      </c>
      <c r="F1296" s="3" t="s">
        <v>1710</v>
      </c>
      <c r="G1296" s="3">
        <v>34</v>
      </c>
      <c r="H1296" s="3">
        <v>0</v>
      </c>
      <c r="I1296" s="3">
        <v>34</v>
      </c>
      <c r="J1296" s="3">
        <v>0</v>
      </c>
      <c r="K1296" s="3">
        <v>0</v>
      </c>
      <c r="L1296" s="3">
        <v>0</v>
      </c>
      <c r="M1296" s="3">
        <v>0</v>
      </c>
      <c r="N1296" s="3" t="s">
        <v>1711</v>
      </c>
      <c r="O1296" s="3">
        <v>0</v>
      </c>
      <c r="P1296" s="3">
        <v>0</v>
      </c>
      <c r="Q1296" s="3">
        <v>0</v>
      </c>
      <c r="R1296" s="3">
        <v>0</v>
      </c>
      <c r="S1296" s="3">
        <v>9</v>
      </c>
      <c r="T1296" s="3">
        <v>34</v>
      </c>
      <c r="U1296" s="3">
        <v>68</v>
      </c>
      <c r="V1296" s="3">
        <v>107</v>
      </c>
      <c r="W1296" s="3"/>
      <c r="X1296" s="3">
        <v>28.99</v>
      </c>
      <c r="Y1296" s="3">
        <v>14.99</v>
      </c>
      <c r="Z1296" s="3">
        <v>14.99</v>
      </c>
      <c r="AA1296" s="3">
        <v>0</v>
      </c>
      <c r="AB1296" s="3" t="s">
        <v>1713</v>
      </c>
      <c r="AC1296" s="3">
        <v>23</v>
      </c>
      <c r="AD1296" s="3">
        <v>14.99</v>
      </c>
      <c r="AE1296" s="3">
        <v>0</v>
      </c>
      <c r="AF1296" s="3">
        <v>0</v>
      </c>
      <c r="AG1296" s="3">
        <v>0</v>
      </c>
      <c r="AH1296" s="3">
        <v>3.4516129032258</v>
      </c>
      <c r="AI1296" s="3" t="s">
        <v>2467</v>
      </c>
      <c r="AJ1296" s="3" t="s">
        <v>1715</v>
      </c>
    </row>
    <row r="1297" spans="1:36">
      <c r="A1297" s="4">
        <v>43277</v>
      </c>
      <c r="B1297" s="3" t="s">
        <v>5654</v>
      </c>
      <c r="C1297" s="3" t="s">
        <v>5655</v>
      </c>
      <c r="D1297" s="3" t="s">
        <v>5656</v>
      </c>
      <c r="E1297" s="3" t="s">
        <v>4010</v>
      </c>
      <c r="F1297" s="3" t="s">
        <v>1710</v>
      </c>
      <c r="G1297" s="3">
        <v>2</v>
      </c>
      <c r="H1297" s="3">
        <v>0</v>
      </c>
      <c r="I1297" s="3">
        <v>0</v>
      </c>
      <c r="J1297" s="3">
        <v>2</v>
      </c>
      <c r="K1297" s="3">
        <v>0</v>
      </c>
      <c r="L1297" s="3">
        <v>0</v>
      </c>
      <c r="M1297" s="3">
        <v>0</v>
      </c>
      <c r="N1297" s="3" t="s">
        <v>1711</v>
      </c>
      <c r="O1297" s="3">
        <v>2</v>
      </c>
      <c r="P1297" s="3">
        <v>1.47</v>
      </c>
      <c r="Q1297" s="3">
        <v>0</v>
      </c>
      <c r="R1297" s="3">
        <v>0</v>
      </c>
      <c r="S1297" s="3">
        <v>0</v>
      </c>
      <c r="T1297" s="3">
        <v>0</v>
      </c>
      <c r="U1297" s="3">
        <v>0</v>
      </c>
      <c r="V1297" s="3">
        <v>0</v>
      </c>
      <c r="W1297" s="3" t="s">
        <v>1720</v>
      </c>
      <c r="X1297" s="3">
        <v>18.99</v>
      </c>
      <c r="Y1297" s="3">
        <v>18.99</v>
      </c>
      <c r="Z1297" s="3">
        <v>18.99</v>
      </c>
      <c r="AA1297" s="3">
        <v>0</v>
      </c>
      <c r="AB1297" s="3" t="s">
        <v>1721</v>
      </c>
      <c r="AC1297" s="3">
        <v>0</v>
      </c>
      <c r="AD1297" s="3">
        <v>17.39</v>
      </c>
      <c r="AE1297" s="3">
        <v>91</v>
      </c>
      <c r="AF1297" s="3">
        <v>0</v>
      </c>
      <c r="AG1297" s="3">
        <v>37.517513</v>
      </c>
      <c r="AH1297" s="3">
        <v>0</v>
      </c>
      <c r="AI1297" s="3" t="s">
        <v>5657</v>
      </c>
      <c r="AJ1297" s="3" t="s">
        <v>1783</v>
      </c>
    </row>
    <row r="1298" spans="1:36">
      <c r="A1298" s="4">
        <v>43277</v>
      </c>
      <c r="B1298" s="3" t="s">
        <v>5658</v>
      </c>
      <c r="C1298" s="3" t="s">
        <v>5659</v>
      </c>
      <c r="D1298" s="3" t="s">
        <v>5660</v>
      </c>
      <c r="E1298" s="3" t="s">
        <v>2030</v>
      </c>
      <c r="F1298" s="3" t="s">
        <v>1710</v>
      </c>
      <c r="G1298" s="3">
        <v>2</v>
      </c>
      <c r="H1298" s="3">
        <v>0</v>
      </c>
      <c r="I1298" s="3">
        <v>0</v>
      </c>
      <c r="J1298" s="3">
        <v>0</v>
      </c>
      <c r="K1298" s="3">
        <v>0</v>
      </c>
      <c r="L1298" s="3">
        <v>2</v>
      </c>
      <c r="M1298" s="3">
        <v>0</v>
      </c>
      <c r="N1298" s="3" t="s">
        <v>1711</v>
      </c>
      <c r="O1298" s="3">
        <v>2</v>
      </c>
      <c r="P1298" s="3">
        <v>0.46</v>
      </c>
      <c r="Q1298" s="3">
        <v>0</v>
      </c>
      <c r="R1298" s="3">
        <v>0</v>
      </c>
      <c r="S1298" s="3">
        <v>0</v>
      </c>
      <c r="T1298" s="3">
        <v>0</v>
      </c>
      <c r="U1298" s="3">
        <v>0</v>
      </c>
      <c r="V1298" s="3">
        <v>0</v>
      </c>
      <c r="W1298" s="3" t="s">
        <v>1720</v>
      </c>
      <c r="X1298" s="3">
        <v>17.99</v>
      </c>
      <c r="Y1298" s="3">
        <v>17.99</v>
      </c>
      <c r="Z1298" s="3">
        <v>17.99</v>
      </c>
      <c r="AA1298" s="3">
        <v>0</v>
      </c>
      <c r="AB1298" s="3" t="s">
        <v>1732</v>
      </c>
      <c r="AC1298" s="3">
        <v>0</v>
      </c>
      <c r="AD1298" s="3">
        <v>14.39</v>
      </c>
      <c r="AE1298" s="3">
        <v>63</v>
      </c>
      <c r="AF1298" s="3">
        <v>0</v>
      </c>
      <c r="AG1298" s="3">
        <v>6.25628</v>
      </c>
      <c r="AH1298" s="3">
        <v>0</v>
      </c>
      <c r="AI1298" s="3" t="s">
        <v>5661</v>
      </c>
      <c r="AJ1298" s="3" t="s">
        <v>1715</v>
      </c>
    </row>
    <row r="1299" spans="1:36">
      <c r="A1299" s="4">
        <v>43277</v>
      </c>
      <c r="B1299" s="3" t="s">
        <v>304</v>
      </c>
      <c r="C1299" s="3" t="s">
        <v>305</v>
      </c>
      <c r="D1299" s="3" t="s">
        <v>306</v>
      </c>
      <c r="E1299" s="3" t="s">
        <v>307</v>
      </c>
      <c r="F1299" s="3" t="s">
        <v>1710</v>
      </c>
      <c r="G1299" s="3">
        <v>6</v>
      </c>
      <c r="H1299" s="3">
        <v>0</v>
      </c>
      <c r="I1299" s="3">
        <v>6</v>
      </c>
      <c r="J1299" s="3">
        <v>0</v>
      </c>
      <c r="K1299" s="3">
        <v>0</v>
      </c>
      <c r="L1299" s="3">
        <v>0</v>
      </c>
      <c r="M1299" s="3">
        <v>0</v>
      </c>
      <c r="N1299" s="3" t="s">
        <v>1711</v>
      </c>
      <c r="O1299" s="3">
        <v>0</v>
      </c>
      <c r="P1299" s="3">
        <v>0</v>
      </c>
      <c r="Q1299" s="3">
        <v>0</v>
      </c>
      <c r="R1299" s="3">
        <v>0</v>
      </c>
      <c r="S1299" s="3">
        <v>1</v>
      </c>
      <c r="T1299" s="3">
        <v>1</v>
      </c>
      <c r="U1299" s="3">
        <v>4</v>
      </c>
      <c r="V1299" s="3">
        <v>4</v>
      </c>
      <c r="W1299" s="3"/>
      <c r="X1299" s="3">
        <v>12.99</v>
      </c>
      <c r="Y1299" s="3">
        <v>12.99</v>
      </c>
      <c r="Z1299" s="3">
        <v>12.99</v>
      </c>
      <c r="AA1299" s="3">
        <v>0</v>
      </c>
      <c r="AB1299" s="3" t="s">
        <v>1713</v>
      </c>
      <c r="AC1299" s="3">
        <v>7</v>
      </c>
      <c r="AD1299" s="3">
        <v>12.99</v>
      </c>
      <c r="AE1299" s="3">
        <v>0</v>
      </c>
      <c r="AF1299" s="3">
        <v>0</v>
      </c>
      <c r="AG1299" s="3">
        <v>0</v>
      </c>
      <c r="AH1299" s="3">
        <v>1.23076923076923</v>
      </c>
      <c r="AI1299" s="3" t="s">
        <v>5662</v>
      </c>
      <c r="AJ1299" s="3" t="s">
        <v>1715</v>
      </c>
    </row>
    <row r="1300" spans="1:36">
      <c r="A1300" s="4">
        <v>43277</v>
      </c>
      <c r="B1300" s="3" t="s">
        <v>5663</v>
      </c>
      <c r="C1300" s="3" t="s">
        <v>5664</v>
      </c>
      <c r="D1300" s="3" t="s">
        <v>5665</v>
      </c>
      <c r="E1300" s="3" t="s">
        <v>3773</v>
      </c>
      <c r="F1300" s="3" t="s">
        <v>1710</v>
      </c>
      <c r="G1300" s="3">
        <v>2</v>
      </c>
      <c r="H1300" s="3">
        <v>0</v>
      </c>
      <c r="I1300" s="3">
        <v>0</v>
      </c>
      <c r="J1300" s="3">
        <v>0</v>
      </c>
      <c r="K1300" s="3">
        <v>0</v>
      </c>
      <c r="L1300" s="3">
        <v>0</v>
      </c>
      <c r="M1300" s="3">
        <v>2</v>
      </c>
      <c r="N1300" s="3" t="s">
        <v>1711</v>
      </c>
      <c r="O1300" s="3">
        <v>0</v>
      </c>
      <c r="P1300" s="3">
        <v>0</v>
      </c>
      <c r="Q1300" s="3">
        <v>2</v>
      </c>
      <c r="R1300" s="3">
        <v>4.38</v>
      </c>
      <c r="S1300" s="3">
        <v>0</v>
      </c>
      <c r="T1300" s="3">
        <v>0</v>
      </c>
      <c r="U1300" s="3">
        <v>0</v>
      </c>
      <c r="V1300" s="3">
        <v>0</v>
      </c>
      <c r="W1300" s="3" t="s">
        <v>1720</v>
      </c>
      <c r="X1300" s="3">
        <v>12.99</v>
      </c>
      <c r="Y1300" s="3">
        <v>9.99</v>
      </c>
      <c r="Z1300" s="3">
        <v>9.99</v>
      </c>
      <c r="AA1300" s="3">
        <v>0</v>
      </c>
      <c r="AB1300" s="3" t="s">
        <v>1721</v>
      </c>
      <c r="AC1300" s="3">
        <v>0</v>
      </c>
      <c r="AD1300" s="3">
        <v>8.26</v>
      </c>
      <c r="AE1300" s="3">
        <v>49</v>
      </c>
      <c r="AF1300" s="3">
        <v>0</v>
      </c>
      <c r="AG1300" s="3">
        <v>32.692624</v>
      </c>
      <c r="AH1300" s="3">
        <v>0</v>
      </c>
      <c r="AI1300" s="3" t="s">
        <v>3528</v>
      </c>
      <c r="AJ1300" s="3" t="s">
        <v>1715</v>
      </c>
    </row>
    <row r="1301" spans="1:36">
      <c r="A1301" s="4">
        <v>43277</v>
      </c>
      <c r="B1301" s="3" t="s">
        <v>1232</v>
      </c>
      <c r="C1301" s="3" t="s">
        <v>1233</v>
      </c>
      <c r="D1301" s="3" t="s">
        <v>1234</v>
      </c>
      <c r="E1301" s="3" t="s">
        <v>1235</v>
      </c>
      <c r="F1301" s="3" t="s">
        <v>1710</v>
      </c>
      <c r="G1301" s="3">
        <v>22</v>
      </c>
      <c r="H1301" s="3">
        <v>0</v>
      </c>
      <c r="I1301" s="3">
        <v>22</v>
      </c>
      <c r="J1301" s="3">
        <v>0</v>
      </c>
      <c r="K1301" s="3">
        <v>0</v>
      </c>
      <c r="L1301" s="3">
        <v>0</v>
      </c>
      <c r="M1301" s="3">
        <v>0</v>
      </c>
      <c r="N1301" s="3" t="s">
        <v>1711</v>
      </c>
      <c r="O1301" s="3">
        <v>0</v>
      </c>
      <c r="P1301" s="3">
        <v>0</v>
      </c>
      <c r="Q1301" s="3">
        <v>0</v>
      </c>
      <c r="R1301" s="3">
        <v>0</v>
      </c>
      <c r="S1301" s="3">
        <v>15</v>
      </c>
      <c r="T1301" s="3">
        <v>34</v>
      </c>
      <c r="U1301" s="3">
        <v>49</v>
      </c>
      <c r="V1301" s="3">
        <v>49</v>
      </c>
      <c r="W1301" s="3"/>
      <c r="X1301" s="3">
        <v>25.99</v>
      </c>
      <c r="Y1301" s="3">
        <v>25.99</v>
      </c>
      <c r="Z1301" s="3">
        <v>25.99</v>
      </c>
      <c r="AA1301" s="3">
        <v>0</v>
      </c>
      <c r="AB1301" s="3" t="s">
        <v>1713</v>
      </c>
      <c r="AC1301" s="3">
        <v>9</v>
      </c>
      <c r="AD1301" s="3">
        <v>25.99</v>
      </c>
      <c r="AE1301" s="3">
        <v>0</v>
      </c>
      <c r="AF1301" s="3">
        <v>0</v>
      </c>
      <c r="AG1301" s="3">
        <v>0</v>
      </c>
      <c r="AH1301" s="3">
        <v>6.39130434782608</v>
      </c>
      <c r="AI1301" s="3" t="s">
        <v>4281</v>
      </c>
      <c r="AJ1301" s="3" t="s">
        <v>1715</v>
      </c>
    </row>
    <row r="1302" spans="1:36">
      <c r="A1302" s="4">
        <v>43277</v>
      </c>
      <c r="B1302" s="3" t="s">
        <v>5666</v>
      </c>
      <c r="C1302" s="3" t="s">
        <v>5667</v>
      </c>
      <c r="D1302" s="3" t="s">
        <v>5668</v>
      </c>
      <c r="E1302" s="3" t="s">
        <v>1936</v>
      </c>
      <c r="F1302" s="3" t="s">
        <v>1710</v>
      </c>
      <c r="G1302" s="3">
        <v>1</v>
      </c>
      <c r="H1302" s="3">
        <v>0</v>
      </c>
      <c r="I1302" s="3">
        <v>0</v>
      </c>
      <c r="J1302" s="3">
        <v>0</v>
      </c>
      <c r="K1302" s="3">
        <v>0</v>
      </c>
      <c r="L1302" s="3">
        <v>1</v>
      </c>
      <c r="M1302" s="3">
        <v>0</v>
      </c>
      <c r="N1302" s="3" t="s">
        <v>1711</v>
      </c>
      <c r="O1302" s="3">
        <v>0</v>
      </c>
      <c r="P1302" s="3">
        <v>0</v>
      </c>
      <c r="Q1302" s="3">
        <v>1</v>
      </c>
      <c r="R1302" s="3">
        <v>1.44</v>
      </c>
      <c r="S1302" s="3">
        <v>0</v>
      </c>
      <c r="T1302" s="3">
        <v>0</v>
      </c>
      <c r="U1302" s="3">
        <v>0</v>
      </c>
      <c r="V1302" s="3">
        <v>0</v>
      </c>
      <c r="W1302" s="3" t="s">
        <v>1720</v>
      </c>
      <c r="X1302" s="3">
        <v>14.99</v>
      </c>
      <c r="Y1302" s="3">
        <v>14.99</v>
      </c>
      <c r="Z1302" s="3">
        <v>14.99</v>
      </c>
      <c r="AA1302" s="3">
        <v>0</v>
      </c>
      <c r="AB1302" s="3" t="s">
        <v>1732</v>
      </c>
      <c r="AC1302" s="3">
        <v>0</v>
      </c>
      <c r="AD1302" s="3">
        <v>13.46</v>
      </c>
      <c r="AE1302" s="3">
        <v>49</v>
      </c>
      <c r="AF1302" s="3">
        <v>0</v>
      </c>
      <c r="AG1302" s="3">
        <v>15.115432</v>
      </c>
      <c r="AH1302" s="3">
        <v>0</v>
      </c>
      <c r="AI1302" s="3" t="s">
        <v>1840</v>
      </c>
      <c r="AJ1302" s="3" t="s">
        <v>1715</v>
      </c>
    </row>
    <row r="1303" spans="1:36">
      <c r="A1303" s="4">
        <v>43277</v>
      </c>
      <c r="B1303" s="3" t="s">
        <v>5669</v>
      </c>
      <c r="C1303" s="3" t="s">
        <v>5670</v>
      </c>
      <c r="D1303" s="3" t="s">
        <v>5671</v>
      </c>
      <c r="E1303" s="3" t="s">
        <v>3676</v>
      </c>
      <c r="F1303" s="3" t="s">
        <v>1710</v>
      </c>
      <c r="G1303" s="3">
        <v>6</v>
      </c>
      <c r="H1303" s="3">
        <v>0</v>
      </c>
      <c r="I1303" s="3">
        <v>0</v>
      </c>
      <c r="J1303" s="3">
        <v>0</v>
      </c>
      <c r="K1303" s="3">
        <v>0</v>
      </c>
      <c r="L1303" s="3">
        <v>0</v>
      </c>
      <c r="M1303" s="3">
        <v>6</v>
      </c>
      <c r="N1303" s="3" t="s">
        <v>1711</v>
      </c>
      <c r="O1303" s="3">
        <v>0</v>
      </c>
      <c r="P1303" s="3">
        <v>0</v>
      </c>
      <c r="Q1303" s="3">
        <v>6</v>
      </c>
      <c r="R1303" s="3">
        <v>21.48</v>
      </c>
      <c r="S1303" s="3">
        <v>0</v>
      </c>
      <c r="T1303" s="3">
        <v>0</v>
      </c>
      <c r="U1303" s="3">
        <v>1</v>
      </c>
      <c r="V1303" s="3">
        <v>1</v>
      </c>
      <c r="W1303" s="3" t="s">
        <v>1712</v>
      </c>
      <c r="X1303" s="3">
        <v>18.99</v>
      </c>
      <c r="Y1303" s="3">
        <v>18.99</v>
      </c>
      <c r="Z1303" s="3">
        <v>18.99</v>
      </c>
      <c r="AA1303" s="3">
        <v>0</v>
      </c>
      <c r="AB1303" s="3" t="s">
        <v>1713</v>
      </c>
      <c r="AC1303" s="3">
        <v>6</v>
      </c>
      <c r="AD1303" s="3">
        <v>18.99</v>
      </c>
      <c r="AE1303" s="3">
        <v>0</v>
      </c>
      <c r="AF1303" s="3">
        <v>0</v>
      </c>
      <c r="AG1303" s="3">
        <v>0</v>
      </c>
      <c r="AH1303" s="3">
        <v>0.153846153846153</v>
      </c>
      <c r="AI1303" s="3" t="s">
        <v>3677</v>
      </c>
      <c r="AJ1303" s="3" t="s">
        <v>1715</v>
      </c>
    </row>
    <row r="1304" spans="1:36">
      <c r="A1304" s="4">
        <v>43277</v>
      </c>
      <c r="B1304" s="3" t="s">
        <v>5672</v>
      </c>
      <c r="C1304" s="3" t="s">
        <v>5673</v>
      </c>
      <c r="D1304" s="3" t="s">
        <v>5674</v>
      </c>
      <c r="E1304" s="3" t="s">
        <v>1755</v>
      </c>
      <c r="F1304" s="3" t="s">
        <v>1710</v>
      </c>
      <c r="G1304" s="3">
        <v>10</v>
      </c>
      <c r="H1304" s="3">
        <v>0</v>
      </c>
      <c r="I1304" s="3">
        <v>10</v>
      </c>
      <c r="J1304" s="3">
        <v>0</v>
      </c>
      <c r="K1304" s="3">
        <v>0</v>
      </c>
      <c r="L1304" s="3">
        <v>0</v>
      </c>
      <c r="M1304" s="3">
        <v>0</v>
      </c>
      <c r="N1304" s="3" t="s">
        <v>1711</v>
      </c>
      <c r="O1304" s="3">
        <v>0</v>
      </c>
      <c r="P1304" s="3">
        <v>0</v>
      </c>
      <c r="Q1304" s="3">
        <v>0</v>
      </c>
      <c r="R1304" s="3">
        <v>0</v>
      </c>
      <c r="S1304" s="3">
        <v>0</v>
      </c>
      <c r="T1304" s="3">
        <v>0</v>
      </c>
      <c r="U1304" s="3">
        <v>0</v>
      </c>
      <c r="V1304" s="3">
        <v>0</v>
      </c>
      <c r="W1304" s="3" t="s">
        <v>1720</v>
      </c>
      <c r="X1304" s="3">
        <v>15.99</v>
      </c>
      <c r="Y1304" s="3">
        <v>15.99</v>
      </c>
      <c r="Z1304" s="3">
        <v>15.99</v>
      </c>
      <c r="AA1304" s="3">
        <v>0</v>
      </c>
      <c r="AB1304" s="3" t="s">
        <v>1721</v>
      </c>
      <c r="AC1304" s="3">
        <v>10</v>
      </c>
      <c r="AD1304" s="3">
        <v>15.99</v>
      </c>
      <c r="AE1304" s="3">
        <v>0</v>
      </c>
      <c r="AF1304" s="3">
        <v>0</v>
      </c>
      <c r="AG1304" s="3">
        <v>0</v>
      </c>
      <c r="AH1304" s="3">
        <v>0</v>
      </c>
      <c r="AI1304" s="3" t="s">
        <v>1756</v>
      </c>
      <c r="AJ1304" s="3" t="s">
        <v>1715</v>
      </c>
    </row>
    <row r="1305" spans="1:36">
      <c r="A1305" s="4">
        <v>43277</v>
      </c>
      <c r="B1305" s="3" t="s">
        <v>5675</v>
      </c>
      <c r="C1305" s="3" t="s">
        <v>5676</v>
      </c>
      <c r="D1305" s="3" t="s">
        <v>5677</v>
      </c>
      <c r="E1305" s="3" t="s">
        <v>5678</v>
      </c>
      <c r="F1305" s="3" t="s">
        <v>1710</v>
      </c>
      <c r="G1305" s="3">
        <v>3</v>
      </c>
      <c r="H1305" s="3">
        <v>0</v>
      </c>
      <c r="I1305" s="3">
        <v>3</v>
      </c>
      <c r="J1305" s="3">
        <v>0</v>
      </c>
      <c r="K1305" s="3">
        <v>0</v>
      </c>
      <c r="L1305" s="3">
        <v>0</v>
      </c>
      <c r="M1305" s="3">
        <v>0</v>
      </c>
      <c r="N1305" s="3" t="s">
        <v>1711</v>
      </c>
      <c r="O1305" s="3">
        <v>0</v>
      </c>
      <c r="P1305" s="3">
        <v>0</v>
      </c>
      <c r="Q1305" s="3">
        <v>0</v>
      </c>
      <c r="R1305" s="3">
        <v>0</v>
      </c>
      <c r="S1305" s="3">
        <v>0</v>
      </c>
      <c r="T1305" s="3">
        <v>0</v>
      </c>
      <c r="U1305" s="3">
        <v>2</v>
      </c>
      <c r="V1305" s="3">
        <v>2</v>
      </c>
      <c r="W1305" s="3" t="s">
        <v>1712</v>
      </c>
      <c r="X1305" s="3">
        <v>15.99</v>
      </c>
      <c r="Y1305" s="3">
        <v>15.99</v>
      </c>
      <c r="Z1305" s="3">
        <v>15.99</v>
      </c>
      <c r="AA1305" s="3">
        <v>0</v>
      </c>
      <c r="AB1305" s="3" t="s">
        <v>1713</v>
      </c>
      <c r="AC1305" s="3">
        <v>3</v>
      </c>
      <c r="AD1305" s="3">
        <v>15.99</v>
      </c>
      <c r="AE1305" s="3">
        <v>0</v>
      </c>
      <c r="AF1305" s="3">
        <v>0</v>
      </c>
      <c r="AG1305" s="3">
        <v>0</v>
      </c>
      <c r="AH1305" s="3">
        <v>1</v>
      </c>
      <c r="AI1305" s="3" t="s">
        <v>1905</v>
      </c>
      <c r="AJ1305" s="3" t="s">
        <v>1715</v>
      </c>
    </row>
    <row r="1306" spans="1:36">
      <c r="A1306" s="4">
        <v>43277</v>
      </c>
      <c r="B1306" s="3" t="s">
        <v>5679</v>
      </c>
      <c r="C1306" s="3" t="s">
        <v>5680</v>
      </c>
      <c r="D1306" s="3" t="s">
        <v>5681</v>
      </c>
      <c r="E1306" s="3" t="s">
        <v>5682</v>
      </c>
      <c r="F1306" s="3" t="s">
        <v>1710</v>
      </c>
      <c r="G1306" s="3">
        <v>1</v>
      </c>
      <c r="H1306" s="3">
        <v>0</v>
      </c>
      <c r="I1306" s="3">
        <v>0</v>
      </c>
      <c r="J1306" s="3">
        <v>1</v>
      </c>
      <c r="K1306" s="3">
        <v>0</v>
      </c>
      <c r="L1306" s="3">
        <v>0</v>
      </c>
      <c r="M1306" s="3">
        <v>0</v>
      </c>
      <c r="N1306" s="3" t="s">
        <v>1711</v>
      </c>
      <c r="O1306" s="3">
        <v>0</v>
      </c>
      <c r="P1306" s="3">
        <v>0</v>
      </c>
      <c r="Q1306" s="3">
        <v>0</v>
      </c>
      <c r="R1306" s="3">
        <v>0</v>
      </c>
      <c r="S1306" s="3">
        <v>0</v>
      </c>
      <c r="T1306" s="3">
        <v>0</v>
      </c>
      <c r="U1306" s="3">
        <v>0</v>
      </c>
      <c r="V1306" s="3">
        <v>0</v>
      </c>
      <c r="W1306" s="3" t="s">
        <v>1720</v>
      </c>
      <c r="X1306" s="3">
        <v>21.99</v>
      </c>
      <c r="Y1306" s="3">
        <v>21.99</v>
      </c>
      <c r="Z1306" s="3">
        <v>21.99</v>
      </c>
      <c r="AA1306" s="3">
        <v>0</v>
      </c>
      <c r="AB1306" s="3" t="s">
        <v>1721</v>
      </c>
      <c r="AC1306" s="3">
        <v>1</v>
      </c>
      <c r="AD1306" s="3">
        <v>21.99</v>
      </c>
      <c r="AE1306" s="3">
        <v>0</v>
      </c>
      <c r="AF1306" s="3">
        <v>0</v>
      </c>
      <c r="AG1306" s="3">
        <v>0</v>
      </c>
      <c r="AH1306" s="3">
        <v>0</v>
      </c>
      <c r="AI1306" s="3" t="s">
        <v>1744</v>
      </c>
      <c r="AJ1306" s="3" t="s">
        <v>1715</v>
      </c>
    </row>
    <row r="1307" spans="1:36">
      <c r="A1307" s="4">
        <v>43277</v>
      </c>
      <c r="B1307" s="3" t="s">
        <v>5683</v>
      </c>
      <c r="C1307" s="3" t="s">
        <v>5684</v>
      </c>
      <c r="D1307" s="3" t="s">
        <v>5685</v>
      </c>
      <c r="E1307" s="3" t="s">
        <v>5686</v>
      </c>
      <c r="F1307" s="3" t="s">
        <v>1710</v>
      </c>
      <c r="G1307" s="3">
        <v>2</v>
      </c>
      <c r="H1307" s="3">
        <v>0</v>
      </c>
      <c r="I1307" s="3">
        <v>0</v>
      </c>
      <c r="J1307" s="3">
        <v>0</v>
      </c>
      <c r="K1307" s="3">
        <v>0</v>
      </c>
      <c r="L1307" s="3">
        <v>0</v>
      </c>
      <c r="M1307" s="3">
        <v>2</v>
      </c>
      <c r="N1307" s="3" t="s">
        <v>1711</v>
      </c>
      <c r="O1307" s="3">
        <v>0</v>
      </c>
      <c r="P1307" s="3">
        <v>0</v>
      </c>
      <c r="Q1307" s="3">
        <v>2</v>
      </c>
      <c r="R1307" s="3">
        <v>7.6</v>
      </c>
      <c r="S1307" s="3">
        <v>0</v>
      </c>
      <c r="T1307" s="3">
        <v>0</v>
      </c>
      <c r="U1307" s="3">
        <v>0</v>
      </c>
      <c r="V1307" s="3">
        <v>0</v>
      </c>
      <c r="W1307" s="3" t="s">
        <v>1720</v>
      </c>
      <c r="X1307" s="3">
        <v>16.99</v>
      </c>
      <c r="Y1307" s="3">
        <v>16.99</v>
      </c>
      <c r="Z1307" s="3">
        <v>16.99</v>
      </c>
      <c r="AA1307" s="3">
        <v>0</v>
      </c>
      <c r="AB1307" s="3" t="s">
        <v>1732</v>
      </c>
      <c r="AC1307" s="3">
        <v>0</v>
      </c>
      <c r="AD1307" s="3">
        <v>13.59</v>
      </c>
      <c r="AE1307" s="3">
        <v>63</v>
      </c>
      <c r="AF1307" s="3">
        <v>0</v>
      </c>
      <c r="AG1307" s="3">
        <v>48.424923</v>
      </c>
      <c r="AH1307" s="3">
        <v>0</v>
      </c>
      <c r="AI1307" s="3" t="s">
        <v>3103</v>
      </c>
      <c r="AJ1307" s="3" t="s">
        <v>1715</v>
      </c>
    </row>
    <row r="1308" spans="1:36">
      <c r="A1308" s="4">
        <v>43277</v>
      </c>
      <c r="B1308" s="3" t="s">
        <v>5687</v>
      </c>
      <c r="C1308" s="3" t="s">
        <v>5688</v>
      </c>
      <c r="D1308" s="3" t="s">
        <v>5689</v>
      </c>
      <c r="E1308" s="3" t="s">
        <v>4697</v>
      </c>
      <c r="F1308" s="3" t="s">
        <v>1710</v>
      </c>
      <c r="G1308" s="3">
        <v>21</v>
      </c>
      <c r="H1308" s="3">
        <v>0</v>
      </c>
      <c r="I1308" s="3">
        <v>1</v>
      </c>
      <c r="J1308" s="3">
        <v>0</v>
      </c>
      <c r="K1308" s="3">
        <v>17</v>
      </c>
      <c r="L1308" s="3">
        <v>3</v>
      </c>
      <c r="M1308" s="3">
        <v>0</v>
      </c>
      <c r="N1308" s="3" t="s">
        <v>1711</v>
      </c>
      <c r="O1308" s="3">
        <v>20</v>
      </c>
      <c r="P1308" s="3">
        <v>72.54</v>
      </c>
      <c r="Q1308" s="3">
        <v>0</v>
      </c>
      <c r="R1308" s="3">
        <v>0</v>
      </c>
      <c r="S1308" s="3">
        <v>0</v>
      </c>
      <c r="T1308" s="3">
        <v>0</v>
      </c>
      <c r="U1308" s="3">
        <v>0</v>
      </c>
      <c r="V1308" s="3">
        <v>1</v>
      </c>
      <c r="W1308" s="3" t="s">
        <v>1712</v>
      </c>
      <c r="X1308" s="3">
        <v>59.99</v>
      </c>
      <c r="Y1308" s="3">
        <v>27.99</v>
      </c>
      <c r="Z1308" s="3">
        <v>25.99</v>
      </c>
      <c r="AA1308" s="3">
        <v>0</v>
      </c>
      <c r="AB1308" s="3" t="s">
        <v>1732</v>
      </c>
      <c r="AC1308" s="3">
        <v>0</v>
      </c>
      <c r="AD1308" s="3">
        <v>22.39</v>
      </c>
      <c r="AE1308" s="3">
        <v>364</v>
      </c>
      <c r="AF1308" s="3">
        <v>0</v>
      </c>
      <c r="AG1308" s="3">
        <v>930.918301</v>
      </c>
      <c r="AH1308" s="3">
        <v>0.0476190476190476</v>
      </c>
      <c r="AI1308" s="3" t="s">
        <v>1831</v>
      </c>
      <c r="AJ1308" s="3" t="s">
        <v>1715</v>
      </c>
    </row>
    <row r="1309" spans="1:36">
      <c r="A1309" s="4">
        <v>43277</v>
      </c>
      <c r="B1309" s="3" t="s">
        <v>991</v>
      </c>
      <c r="C1309" s="3" t="s">
        <v>992</v>
      </c>
      <c r="D1309" s="3" t="s">
        <v>993</v>
      </c>
      <c r="E1309" s="3" t="s">
        <v>994</v>
      </c>
      <c r="F1309" s="3" t="s">
        <v>1710</v>
      </c>
      <c r="G1309" s="3">
        <v>22</v>
      </c>
      <c r="H1309" s="3">
        <v>0</v>
      </c>
      <c r="I1309" s="3">
        <v>22</v>
      </c>
      <c r="J1309" s="3">
        <v>0</v>
      </c>
      <c r="K1309" s="3">
        <v>0</v>
      </c>
      <c r="L1309" s="3">
        <v>0</v>
      </c>
      <c r="M1309" s="3">
        <v>0</v>
      </c>
      <c r="N1309" s="3" t="s">
        <v>1711</v>
      </c>
      <c r="O1309" s="3">
        <v>0</v>
      </c>
      <c r="P1309" s="3">
        <v>0</v>
      </c>
      <c r="Q1309" s="3">
        <v>0</v>
      </c>
      <c r="R1309" s="3">
        <v>0</v>
      </c>
      <c r="S1309" s="3">
        <v>0</v>
      </c>
      <c r="T1309" s="3">
        <v>0</v>
      </c>
      <c r="U1309" s="3">
        <v>1</v>
      </c>
      <c r="V1309" s="3">
        <v>1</v>
      </c>
      <c r="W1309" s="3" t="s">
        <v>1712</v>
      </c>
      <c r="X1309" s="3">
        <v>15.99</v>
      </c>
      <c r="Y1309" s="3">
        <v>15.99</v>
      </c>
      <c r="Z1309" s="3">
        <v>15.99</v>
      </c>
      <c r="AA1309" s="3">
        <v>0</v>
      </c>
      <c r="AB1309" s="3" t="s">
        <v>1713</v>
      </c>
      <c r="AC1309" s="3">
        <v>22</v>
      </c>
      <c r="AD1309" s="3">
        <v>15.99</v>
      </c>
      <c r="AE1309" s="3">
        <v>0</v>
      </c>
      <c r="AF1309" s="3">
        <v>0</v>
      </c>
      <c r="AG1309" s="3">
        <v>0</v>
      </c>
      <c r="AH1309" s="3">
        <v>0.0508474576271186</v>
      </c>
      <c r="AI1309" s="3" t="s">
        <v>1739</v>
      </c>
      <c r="AJ1309" s="3" t="s">
        <v>1715</v>
      </c>
    </row>
    <row r="1310" spans="1:36">
      <c r="A1310" s="4">
        <v>43277</v>
      </c>
      <c r="B1310" s="3" t="s">
        <v>5690</v>
      </c>
      <c r="C1310" s="3" t="s">
        <v>5691</v>
      </c>
      <c r="D1310" s="3" t="s">
        <v>5692</v>
      </c>
      <c r="E1310" s="3" t="s">
        <v>5693</v>
      </c>
      <c r="F1310" s="3" t="s">
        <v>1710</v>
      </c>
      <c r="G1310" s="3">
        <v>3</v>
      </c>
      <c r="H1310" s="3">
        <v>0</v>
      </c>
      <c r="I1310" s="3">
        <v>3</v>
      </c>
      <c r="J1310" s="3">
        <v>0</v>
      </c>
      <c r="K1310" s="3">
        <v>0</v>
      </c>
      <c r="L1310" s="3">
        <v>0</v>
      </c>
      <c r="M1310" s="3">
        <v>0</v>
      </c>
      <c r="N1310" s="3" t="s">
        <v>1711</v>
      </c>
      <c r="O1310" s="3">
        <v>0</v>
      </c>
      <c r="P1310" s="3">
        <v>0</v>
      </c>
      <c r="Q1310" s="3">
        <v>0</v>
      </c>
      <c r="R1310" s="3">
        <v>0</v>
      </c>
      <c r="S1310" s="3">
        <v>0</v>
      </c>
      <c r="T1310" s="3">
        <v>1</v>
      </c>
      <c r="U1310" s="3">
        <v>2</v>
      </c>
      <c r="V1310" s="3">
        <v>2</v>
      </c>
      <c r="W1310" s="3"/>
      <c r="X1310" s="3">
        <v>19.99</v>
      </c>
      <c r="Y1310" s="3">
        <v>19.99</v>
      </c>
      <c r="Z1310" s="3">
        <v>19.99</v>
      </c>
      <c r="AA1310" s="3">
        <v>0</v>
      </c>
      <c r="AB1310" s="3" t="s">
        <v>1713</v>
      </c>
      <c r="AC1310" s="3">
        <v>3</v>
      </c>
      <c r="AD1310" s="3">
        <v>19.99</v>
      </c>
      <c r="AE1310" s="3">
        <v>0</v>
      </c>
      <c r="AF1310" s="3">
        <v>0</v>
      </c>
      <c r="AG1310" s="3">
        <v>0</v>
      </c>
      <c r="AH1310" s="3">
        <v>0.75</v>
      </c>
      <c r="AI1310" s="3" t="s">
        <v>1962</v>
      </c>
      <c r="AJ1310" s="3" t="s">
        <v>1715</v>
      </c>
    </row>
    <row r="1311" spans="1:36">
      <c r="A1311" s="4">
        <v>43277</v>
      </c>
      <c r="B1311" s="3" t="s">
        <v>5694</v>
      </c>
      <c r="C1311" s="3" t="s">
        <v>5695</v>
      </c>
      <c r="D1311" s="3" t="s">
        <v>5696</v>
      </c>
      <c r="E1311" s="3" t="s">
        <v>4920</v>
      </c>
      <c r="F1311" s="3" t="s">
        <v>1710</v>
      </c>
      <c r="G1311" s="3">
        <v>3</v>
      </c>
      <c r="H1311" s="3">
        <v>0</v>
      </c>
      <c r="I1311" s="3">
        <v>3</v>
      </c>
      <c r="J1311" s="3">
        <v>0</v>
      </c>
      <c r="K1311" s="3">
        <v>0</v>
      </c>
      <c r="L1311" s="3">
        <v>0</v>
      </c>
      <c r="M1311" s="3">
        <v>0</v>
      </c>
      <c r="N1311" s="3" t="s">
        <v>1711</v>
      </c>
      <c r="O1311" s="3">
        <v>0</v>
      </c>
      <c r="P1311" s="3">
        <v>0</v>
      </c>
      <c r="Q1311" s="3">
        <v>0</v>
      </c>
      <c r="R1311" s="3">
        <v>0</v>
      </c>
      <c r="S1311" s="3">
        <v>0</v>
      </c>
      <c r="T1311" s="3">
        <v>0</v>
      </c>
      <c r="U1311" s="3">
        <v>1</v>
      </c>
      <c r="V1311" s="3">
        <v>1</v>
      </c>
      <c r="W1311" s="3" t="s">
        <v>1712</v>
      </c>
      <c r="X1311" s="3">
        <v>29.99</v>
      </c>
      <c r="Y1311" s="3">
        <v>29.99</v>
      </c>
      <c r="Z1311" s="3">
        <v>28.99</v>
      </c>
      <c r="AA1311" s="3">
        <v>0</v>
      </c>
      <c r="AB1311" s="3" t="s">
        <v>1713</v>
      </c>
      <c r="AC1311" s="3">
        <v>3</v>
      </c>
      <c r="AD1311" s="3">
        <v>29.99</v>
      </c>
      <c r="AE1311" s="3">
        <v>0</v>
      </c>
      <c r="AF1311" s="3">
        <v>0</v>
      </c>
      <c r="AG1311" s="3">
        <v>0</v>
      </c>
      <c r="AH1311" s="3">
        <v>0.0909090909090909</v>
      </c>
      <c r="AI1311" s="3" t="s">
        <v>1831</v>
      </c>
      <c r="AJ1311" s="3" t="s">
        <v>1715</v>
      </c>
    </row>
    <row r="1312" spans="1:36">
      <c r="A1312" s="4">
        <v>43277</v>
      </c>
      <c r="B1312" s="3" t="s">
        <v>635</v>
      </c>
      <c r="C1312" s="3" t="s">
        <v>636</v>
      </c>
      <c r="D1312" s="3" t="s">
        <v>637</v>
      </c>
      <c r="E1312" s="3" t="s">
        <v>638</v>
      </c>
      <c r="F1312" s="3" t="s">
        <v>1710</v>
      </c>
      <c r="G1312" s="3">
        <v>8</v>
      </c>
      <c r="H1312" s="3">
        <v>0</v>
      </c>
      <c r="I1312" s="3">
        <v>8</v>
      </c>
      <c r="J1312" s="3">
        <v>0</v>
      </c>
      <c r="K1312" s="3">
        <v>0</v>
      </c>
      <c r="L1312" s="3">
        <v>0</v>
      </c>
      <c r="M1312" s="3">
        <v>0</v>
      </c>
      <c r="N1312" s="3" t="s">
        <v>1711</v>
      </c>
      <c r="O1312" s="3">
        <v>0</v>
      </c>
      <c r="P1312" s="3">
        <v>0</v>
      </c>
      <c r="Q1312" s="3">
        <v>0</v>
      </c>
      <c r="R1312" s="3">
        <v>0</v>
      </c>
      <c r="S1312" s="3">
        <v>0</v>
      </c>
      <c r="T1312" s="3">
        <v>5</v>
      </c>
      <c r="U1312" s="3">
        <v>8</v>
      </c>
      <c r="V1312" s="3">
        <v>10</v>
      </c>
      <c r="W1312" s="3"/>
      <c r="X1312" s="3">
        <v>38</v>
      </c>
      <c r="Y1312" s="3">
        <v>18.58</v>
      </c>
      <c r="Z1312" s="3">
        <v>18.58</v>
      </c>
      <c r="AA1312" s="3">
        <v>0</v>
      </c>
      <c r="AB1312" s="3" t="s">
        <v>1732</v>
      </c>
      <c r="AC1312" s="3">
        <v>0</v>
      </c>
      <c r="AD1312" s="3">
        <v>13.71</v>
      </c>
      <c r="AE1312" s="3">
        <v>147</v>
      </c>
      <c r="AF1312" s="3">
        <v>0</v>
      </c>
      <c r="AG1312" s="3">
        <v>67.55617</v>
      </c>
      <c r="AH1312" s="3">
        <v>1.14285714285714</v>
      </c>
      <c r="AI1312" s="3" t="s">
        <v>5697</v>
      </c>
      <c r="AJ1312" s="3" t="s">
        <v>1715</v>
      </c>
    </row>
    <row r="1313" spans="1:36">
      <c r="A1313" s="4">
        <v>43277</v>
      </c>
      <c r="B1313" s="3" t="s">
        <v>5698</v>
      </c>
      <c r="C1313" s="3" t="s">
        <v>5699</v>
      </c>
      <c r="D1313" s="3" t="s">
        <v>5700</v>
      </c>
      <c r="E1313" s="3" t="s">
        <v>5701</v>
      </c>
      <c r="F1313" s="3" t="s">
        <v>1710</v>
      </c>
      <c r="G1313" s="3">
        <v>85</v>
      </c>
      <c r="H1313" s="3">
        <v>0</v>
      </c>
      <c r="I1313" s="3">
        <v>3</v>
      </c>
      <c r="J1313" s="3">
        <v>8</v>
      </c>
      <c r="K1313" s="3">
        <v>74</v>
      </c>
      <c r="L1313" s="3">
        <v>0</v>
      </c>
      <c r="M1313" s="3">
        <v>0</v>
      </c>
      <c r="N1313" s="3" t="s">
        <v>1711</v>
      </c>
      <c r="O1313" s="3">
        <v>80</v>
      </c>
      <c r="P1313" s="3">
        <v>47.87</v>
      </c>
      <c r="Q1313" s="3">
        <v>0</v>
      </c>
      <c r="R1313" s="3">
        <v>0</v>
      </c>
      <c r="S1313" s="3">
        <v>0</v>
      </c>
      <c r="T1313" s="3">
        <v>1</v>
      </c>
      <c r="U1313" s="3">
        <v>4</v>
      </c>
      <c r="V1313" s="3">
        <v>8</v>
      </c>
      <c r="W1313" s="3"/>
      <c r="X1313" s="3">
        <v>16.99</v>
      </c>
      <c r="Y1313" s="3">
        <v>16.99</v>
      </c>
      <c r="Z1313" s="3">
        <v>16</v>
      </c>
      <c r="AA1313" s="3">
        <v>0</v>
      </c>
      <c r="AB1313" s="3" t="s">
        <v>1732</v>
      </c>
      <c r="AC1313" s="3">
        <v>55</v>
      </c>
      <c r="AD1313" s="3">
        <v>15.31</v>
      </c>
      <c r="AE1313" s="3">
        <v>231</v>
      </c>
      <c r="AF1313" s="3">
        <v>0</v>
      </c>
      <c r="AG1313" s="3">
        <v>5.508673</v>
      </c>
      <c r="AH1313" s="3">
        <v>0.0441988950276243</v>
      </c>
      <c r="AI1313" s="3" t="s">
        <v>1905</v>
      </c>
      <c r="AJ1313" s="3" t="s">
        <v>1715</v>
      </c>
    </row>
    <row r="1314" spans="1:36">
      <c r="A1314" s="4">
        <v>43277</v>
      </c>
      <c r="B1314" s="3" t="s">
        <v>5702</v>
      </c>
      <c r="C1314" s="3" t="s">
        <v>5703</v>
      </c>
      <c r="D1314" s="3" t="s">
        <v>5704</v>
      </c>
      <c r="E1314" s="3" t="s">
        <v>5705</v>
      </c>
      <c r="F1314" s="3" t="s">
        <v>1710</v>
      </c>
      <c r="G1314" s="3">
        <v>118</v>
      </c>
      <c r="H1314" s="3">
        <v>0</v>
      </c>
      <c r="I1314" s="3">
        <v>13</v>
      </c>
      <c r="J1314" s="3">
        <v>21</v>
      </c>
      <c r="K1314" s="3">
        <v>84</v>
      </c>
      <c r="L1314" s="3">
        <v>0</v>
      </c>
      <c r="M1314" s="3">
        <v>0</v>
      </c>
      <c r="N1314" s="3" t="s">
        <v>1711</v>
      </c>
      <c r="O1314" s="3">
        <v>100</v>
      </c>
      <c r="P1314" s="3">
        <v>59.85</v>
      </c>
      <c r="Q1314" s="3">
        <v>0</v>
      </c>
      <c r="R1314" s="3">
        <v>0</v>
      </c>
      <c r="S1314" s="3">
        <v>1</v>
      </c>
      <c r="T1314" s="3">
        <v>3</v>
      </c>
      <c r="U1314" s="3">
        <v>7</v>
      </c>
      <c r="V1314" s="3">
        <v>28</v>
      </c>
      <c r="W1314" s="3"/>
      <c r="X1314" s="3">
        <v>16.99</v>
      </c>
      <c r="Y1314" s="3">
        <v>16.99</v>
      </c>
      <c r="Z1314" s="3">
        <v>16</v>
      </c>
      <c r="AA1314" s="3">
        <v>0</v>
      </c>
      <c r="AB1314" s="3" t="s">
        <v>1713</v>
      </c>
      <c r="AC1314" s="3">
        <v>118</v>
      </c>
      <c r="AD1314" s="3">
        <v>16.99</v>
      </c>
      <c r="AE1314" s="3">
        <v>0</v>
      </c>
      <c r="AF1314" s="3">
        <v>0</v>
      </c>
      <c r="AG1314" s="3">
        <v>0</v>
      </c>
      <c r="AH1314" s="3">
        <v>0.0969696969696969</v>
      </c>
      <c r="AI1314" s="3" t="s">
        <v>1905</v>
      </c>
      <c r="AJ1314" s="3" t="s">
        <v>1715</v>
      </c>
    </row>
    <row r="1315" spans="1:36">
      <c r="A1315" s="4">
        <v>43277</v>
      </c>
      <c r="B1315" s="3" t="s">
        <v>5706</v>
      </c>
      <c r="C1315" s="3" t="s">
        <v>5707</v>
      </c>
      <c r="D1315" s="3" t="s">
        <v>5708</v>
      </c>
      <c r="E1315" s="3" t="s">
        <v>2093</v>
      </c>
      <c r="F1315" s="3" t="s">
        <v>1710</v>
      </c>
      <c r="G1315" s="3">
        <v>13</v>
      </c>
      <c r="H1315" s="3">
        <v>0</v>
      </c>
      <c r="I1315" s="3">
        <v>13</v>
      </c>
      <c r="J1315" s="3">
        <v>0</v>
      </c>
      <c r="K1315" s="3">
        <v>0</v>
      </c>
      <c r="L1315" s="3">
        <v>0</v>
      </c>
      <c r="M1315" s="3">
        <v>0</v>
      </c>
      <c r="N1315" s="3" t="s">
        <v>1711</v>
      </c>
      <c r="O1315" s="3">
        <v>0</v>
      </c>
      <c r="P1315" s="3">
        <v>0</v>
      </c>
      <c r="Q1315" s="3">
        <v>0</v>
      </c>
      <c r="R1315" s="3">
        <v>0</v>
      </c>
      <c r="S1315" s="3">
        <v>0</v>
      </c>
      <c r="T1315" s="3">
        <v>2</v>
      </c>
      <c r="U1315" s="3">
        <v>4</v>
      </c>
      <c r="V1315" s="3">
        <v>20</v>
      </c>
      <c r="W1315" s="3"/>
      <c r="X1315" s="3">
        <v>27.99</v>
      </c>
      <c r="Y1315" s="3">
        <v>27.99</v>
      </c>
      <c r="Z1315" s="3">
        <v>25.99</v>
      </c>
      <c r="AA1315" s="3">
        <v>0</v>
      </c>
      <c r="AB1315" s="3" t="s">
        <v>1732</v>
      </c>
      <c r="AC1315" s="3">
        <v>0</v>
      </c>
      <c r="AD1315" s="3">
        <v>16.01</v>
      </c>
      <c r="AE1315" s="3">
        <v>91</v>
      </c>
      <c r="AF1315" s="3">
        <v>0</v>
      </c>
      <c r="AG1315" s="3">
        <v>521.902553</v>
      </c>
      <c r="AH1315" s="3">
        <v>1.33333333333333</v>
      </c>
      <c r="AI1315" s="3" t="s">
        <v>2094</v>
      </c>
      <c r="AJ1315" s="3" t="s">
        <v>1715</v>
      </c>
    </row>
    <row r="1316" spans="1:36">
      <c r="A1316" s="4">
        <v>43277</v>
      </c>
      <c r="B1316" s="3" t="s">
        <v>5709</v>
      </c>
      <c r="C1316" s="3" t="s">
        <v>5710</v>
      </c>
      <c r="D1316" s="3" t="s">
        <v>5711</v>
      </c>
      <c r="E1316" s="3" t="s">
        <v>5712</v>
      </c>
      <c r="F1316" s="3" t="s">
        <v>1710</v>
      </c>
      <c r="G1316" s="3">
        <v>56</v>
      </c>
      <c r="H1316" s="3">
        <v>0</v>
      </c>
      <c r="I1316" s="3">
        <v>2</v>
      </c>
      <c r="J1316" s="3">
        <v>12</v>
      </c>
      <c r="K1316" s="3">
        <v>42</v>
      </c>
      <c r="L1316" s="3">
        <v>0</v>
      </c>
      <c r="M1316" s="3">
        <v>0</v>
      </c>
      <c r="N1316" s="3" t="s">
        <v>1711</v>
      </c>
      <c r="O1316" s="3">
        <v>51</v>
      </c>
      <c r="P1316" s="3">
        <v>30.53</v>
      </c>
      <c r="Q1316" s="3">
        <v>0</v>
      </c>
      <c r="R1316" s="3">
        <v>0</v>
      </c>
      <c r="S1316" s="3">
        <v>0</v>
      </c>
      <c r="T1316" s="3">
        <v>0</v>
      </c>
      <c r="U1316" s="3">
        <v>1</v>
      </c>
      <c r="V1316" s="3">
        <v>6</v>
      </c>
      <c r="W1316" s="3" t="s">
        <v>1712</v>
      </c>
      <c r="X1316" s="3">
        <v>16.99</v>
      </c>
      <c r="Y1316" s="3">
        <v>16.99</v>
      </c>
      <c r="Z1316" s="3">
        <v>16</v>
      </c>
      <c r="AA1316" s="3">
        <v>0</v>
      </c>
      <c r="AB1316" s="3" t="s">
        <v>1732</v>
      </c>
      <c r="AC1316" s="3">
        <v>5</v>
      </c>
      <c r="AD1316" s="3">
        <v>14.67</v>
      </c>
      <c r="AE1316" s="3">
        <v>147</v>
      </c>
      <c r="AF1316" s="3">
        <v>0</v>
      </c>
      <c r="AG1316" s="3">
        <v>854.940632</v>
      </c>
      <c r="AH1316" s="3">
        <v>0.0560747663551401</v>
      </c>
      <c r="AI1316" s="3" t="s">
        <v>1905</v>
      </c>
      <c r="AJ1316" s="3" t="s">
        <v>1715</v>
      </c>
    </row>
    <row r="1317" spans="1:36">
      <c r="A1317" s="4">
        <v>43277</v>
      </c>
      <c r="B1317" s="3" t="s">
        <v>5713</v>
      </c>
      <c r="C1317" s="3" t="s">
        <v>5714</v>
      </c>
      <c r="D1317" s="3" t="s">
        <v>5715</v>
      </c>
      <c r="E1317" s="3" t="s">
        <v>1426</v>
      </c>
      <c r="F1317" s="3" t="s">
        <v>1710</v>
      </c>
      <c r="G1317" s="3">
        <v>9</v>
      </c>
      <c r="H1317" s="3">
        <v>0</v>
      </c>
      <c r="I1317" s="3">
        <v>9</v>
      </c>
      <c r="J1317" s="3">
        <v>0</v>
      </c>
      <c r="K1317" s="3">
        <v>0</v>
      </c>
      <c r="L1317" s="3">
        <v>0</v>
      </c>
      <c r="M1317" s="3">
        <v>0</v>
      </c>
      <c r="N1317" s="3" t="s">
        <v>1711</v>
      </c>
      <c r="O1317" s="3">
        <v>0</v>
      </c>
      <c r="P1317" s="3">
        <v>0</v>
      </c>
      <c r="Q1317" s="3">
        <v>0</v>
      </c>
      <c r="R1317" s="3">
        <v>0</v>
      </c>
      <c r="S1317" s="3">
        <v>0</v>
      </c>
      <c r="T1317" s="3">
        <v>1</v>
      </c>
      <c r="U1317" s="3">
        <v>1</v>
      </c>
      <c r="V1317" s="3">
        <v>1</v>
      </c>
      <c r="W1317" s="3"/>
      <c r="X1317" s="3">
        <v>18.99</v>
      </c>
      <c r="Y1317" s="3">
        <v>18.99</v>
      </c>
      <c r="Z1317" s="3">
        <v>18.99</v>
      </c>
      <c r="AA1317" s="3">
        <v>0</v>
      </c>
      <c r="AB1317" s="3" t="s">
        <v>1713</v>
      </c>
      <c r="AC1317" s="3">
        <v>9</v>
      </c>
      <c r="AD1317" s="3">
        <v>18.99</v>
      </c>
      <c r="AE1317" s="3">
        <v>0</v>
      </c>
      <c r="AF1317" s="3">
        <v>0</v>
      </c>
      <c r="AG1317" s="3">
        <v>0</v>
      </c>
      <c r="AH1317" s="3">
        <v>0.222222222222222</v>
      </c>
      <c r="AI1317" s="3" t="s">
        <v>2295</v>
      </c>
      <c r="AJ1317" s="3" t="s">
        <v>1715</v>
      </c>
    </row>
    <row r="1318" spans="1:36">
      <c r="A1318" s="4">
        <v>43277</v>
      </c>
      <c r="B1318" s="3" t="s">
        <v>5716</v>
      </c>
      <c r="C1318" s="3" t="s">
        <v>5717</v>
      </c>
      <c r="D1318" s="3" t="s">
        <v>5718</v>
      </c>
      <c r="E1318" s="3" t="s">
        <v>5719</v>
      </c>
      <c r="F1318" s="3" t="s">
        <v>1710</v>
      </c>
      <c r="G1318" s="3">
        <v>11</v>
      </c>
      <c r="H1318" s="3">
        <v>0</v>
      </c>
      <c r="I1318" s="3">
        <v>9</v>
      </c>
      <c r="J1318" s="3">
        <v>2</v>
      </c>
      <c r="K1318" s="3">
        <v>0</v>
      </c>
      <c r="L1318" s="3">
        <v>0</v>
      </c>
      <c r="M1318" s="3">
        <v>0</v>
      </c>
      <c r="N1318" s="3" t="s">
        <v>1711</v>
      </c>
      <c r="O1318" s="3">
        <v>1</v>
      </c>
      <c r="P1318" s="3">
        <v>0.15</v>
      </c>
      <c r="Q1318" s="3">
        <v>0</v>
      </c>
      <c r="R1318" s="3">
        <v>0</v>
      </c>
      <c r="S1318" s="3">
        <v>0</v>
      </c>
      <c r="T1318" s="3">
        <v>1</v>
      </c>
      <c r="U1318" s="3">
        <v>3</v>
      </c>
      <c r="V1318" s="3">
        <v>6</v>
      </c>
      <c r="W1318" s="3"/>
      <c r="X1318" s="3">
        <v>18.99</v>
      </c>
      <c r="Y1318" s="3">
        <v>18.99</v>
      </c>
      <c r="Z1318" s="3">
        <v>18</v>
      </c>
      <c r="AA1318" s="3">
        <v>0</v>
      </c>
      <c r="AB1318" s="3" t="s">
        <v>1732</v>
      </c>
      <c r="AC1318" s="3">
        <v>4</v>
      </c>
      <c r="AD1318" s="3">
        <v>17.73</v>
      </c>
      <c r="AE1318" s="3">
        <v>140</v>
      </c>
      <c r="AF1318" s="3">
        <v>0</v>
      </c>
      <c r="AG1318" s="3">
        <v>129.649614</v>
      </c>
      <c r="AH1318" s="3">
        <v>0.533333333333333</v>
      </c>
      <c r="AI1318" s="3" t="s">
        <v>2864</v>
      </c>
      <c r="AJ1318" s="3" t="s">
        <v>1715</v>
      </c>
    </row>
    <row r="1319" spans="1:36">
      <c r="A1319" s="4">
        <v>43277</v>
      </c>
      <c r="B1319" s="3" t="s">
        <v>1294</v>
      </c>
      <c r="C1319" s="3" t="s">
        <v>1295</v>
      </c>
      <c r="D1319" s="3" t="s">
        <v>1296</v>
      </c>
      <c r="E1319" s="3" t="s">
        <v>1297</v>
      </c>
      <c r="F1319" s="3" t="s">
        <v>1710</v>
      </c>
      <c r="G1319" s="3">
        <v>1</v>
      </c>
      <c r="H1319" s="3">
        <v>0</v>
      </c>
      <c r="I1319" s="3">
        <v>1</v>
      </c>
      <c r="J1319" s="3">
        <v>0</v>
      </c>
      <c r="K1319" s="3">
        <v>0</v>
      </c>
      <c r="L1319" s="3">
        <v>0</v>
      </c>
      <c r="M1319" s="3">
        <v>0</v>
      </c>
      <c r="N1319" s="3" t="s">
        <v>1711</v>
      </c>
      <c r="O1319" s="3">
        <v>0</v>
      </c>
      <c r="P1319" s="3">
        <v>0</v>
      </c>
      <c r="Q1319" s="3">
        <v>0</v>
      </c>
      <c r="R1319" s="3">
        <v>0</v>
      </c>
      <c r="S1319" s="3">
        <v>37</v>
      </c>
      <c r="T1319" s="3">
        <v>38</v>
      </c>
      <c r="U1319" s="3">
        <v>55</v>
      </c>
      <c r="V1319" s="3">
        <v>55</v>
      </c>
      <c r="W1319" s="3"/>
      <c r="X1319" s="3"/>
      <c r="Y1319" s="3"/>
      <c r="Z1319" s="3">
        <v>-1</v>
      </c>
      <c r="AA1319" s="3">
        <v>-1</v>
      </c>
      <c r="AB1319" s="3" t="s">
        <v>1776</v>
      </c>
      <c r="AC1319" s="3">
        <v>22</v>
      </c>
      <c r="AD1319" s="3">
        <v>25.99</v>
      </c>
      <c r="AE1319" s="3">
        <v>0</v>
      </c>
      <c r="AF1319" s="3">
        <v>0</v>
      </c>
      <c r="AG1319" s="3">
        <v>0</v>
      </c>
      <c r="AH1319" s="3">
        <v>41.25</v>
      </c>
      <c r="AI1319" s="3" t="s">
        <v>4334</v>
      </c>
      <c r="AJ1319" s="3" t="s">
        <v>1715</v>
      </c>
    </row>
    <row r="1320" spans="1:36">
      <c r="A1320" s="4">
        <v>43277</v>
      </c>
      <c r="B1320" s="3" t="s">
        <v>5720</v>
      </c>
      <c r="C1320" s="3" t="s">
        <v>5721</v>
      </c>
      <c r="D1320" s="3" t="s">
        <v>5722</v>
      </c>
      <c r="E1320" s="3" t="s">
        <v>2030</v>
      </c>
      <c r="F1320" s="3" t="s">
        <v>1710</v>
      </c>
      <c r="G1320" s="3">
        <v>2</v>
      </c>
      <c r="H1320" s="3">
        <v>0</v>
      </c>
      <c r="I1320" s="3">
        <v>0</v>
      </c>
      <c r="J1320" s="3">
        <v>0</v>
      </c>
      <c r="K1320" s="3">
        <v>0</v>
      </c>
      <c r="L1320" s="3">
        <v>2</v>
      </c>
      <c r="M1320" s="3">
        <v>0</v>
      </c>
      <c r="N1320" s="3" t="s">
        <v>1711</v>
      </c>
      <c r="O1320" s="3">
        <v>2</v>
      </c>
      <c r="P1320" s="3">
        <v>0.46</v>
      </c>
      <c r="Q1320" s="3">
        <v>0</v>
      </c>
      <c r="R1320" s="3">
        <v>0</v>
      </c>
      <c r="S1320" s="3">
        <v>0</v>
      </c>
      <c r="T1320" s="3">
        <v>0</v>
      </c>
      <c r="U1320" s="3">
        <v>0</v>
      </c>
      <c r="V1320" s="3">
        <v>0</v>
      </c>
      <c r="W1320" s="3" t="s">
        <v>1720</v>
      </c>
      <c r="X1320" s="3">
        <v>17.99</v>
      </c>
      <c r="Y1320" s="3">
        <v>17.99</v>
      </c>
      <c r="Z1320" s="3">
        <v>17.99</v>
      </c>
      <c r="AA1320" s="3">
        <v>0</v>
      </c>
      <c r="AB1320" s="3" t="s">
        <v>1732</v>
      </c>
      <c r="AC1320" s="3">
        <v>0</v>
      </c>
      <c r="AD1320" s="3">
        <v>14.39</v>
      </c>
      <c r="AE1320" s="3">
        <v>63</v>
      </c>
      <c r="AF1320" s="3">
        <v>0</v>
      </c>
      <c r="AG1320" s="3">
        <v>6.221291</v>
      </c>
      <c r="AH1320" s="3">
        <v>0</v>
      </c>
      <c r="AI1320" s="3" t="s">
        <v>3309</v>
      </c>
      <c r="AJ1320" s="3" t="s">
        <v>1715</v>
      </c>
    </row>
    <row r="1321" spans="1:36">
      <c r="A1321" s="4">
        <v>43277</v>
      </c>
      <c r="B1321" s="3" t="s">
        <v>5723</v>
      </c>
      <c r="C1321" s="3" t="s">
        <v>5724</v>
      </c>
      <c r="D1321" s="3" t="s">
        <v>5725</v>
      </c>
      <c r="E1321" s="3" t="s">
        <v>1985</v>
      </c>
      <c r="F1321" s="3" t="s">
        <v>1710</v>
      </c>
      <c r="G1321" s="3">
        <v>2</v>
      </c>
      <c r="H1321" s="3">
        <v>0</v>
      </c>
      <c r="I1321" s="3">
        <v>0</v>
      </c>
      <c r="J1321" s="3">
        <v>0</v>
      </c>
      <c r="K1321" s="3">
        <v>1</v>
      </c>
      <c r="L1321" s="3">
        <v>1</v>
      </c>
      <c r="M1321" s="3">
        <v>0</v>
      </c>
      <c r="N1321" s="3" t="s">
        <v>1711</v>
      </c>
      <c r="O1321" s="3">
        <v>2</v>
      </c>
      <c r="P1321" s="3">
        <v>3.51</v>
      </c>
      <c r="Q1321" s="3">
        <v>0</v>
      </c>
      <c r="R1321" s="3">
        <v>0</v>
      </c>
      <c r="S1321" s="3">
        <v>0</v>
      </c>
      <c r="T1321" s="3">
        <v>0</v>
      </c>
      <c r="U1321" s="3">
        <v>1</v>
      </c>
      <c r="V1321" s="3">
        <v>1</v>
      </c>
      <c r="W1321" s="3" t="s">
        <v>1720</v>
      </c>
      <c r="X1321" s="3">
        <v>18.99</v>
      </c>
      <c r="Y1321" s="3">
        <v>18.99</v>
      </c>
      <c r="Z1321" s="3">
        <v>18.99</v>
      </c>
      <c r="AA1321" s="3">
        <v>0</v>
      </c>
      <c r="AB1321" s="3" t="s">
        <v>1721</v>
      </c>
      <c r="AC1321" s="3">
        <v>2</v>
      </c>
      <c r="AD1321" s="3">
        <v>18.99</v>
      </c>
      <c r="AE1321" s="3">
        <v>0</v>
      </c>
      <c r="AF1321" s="3">
        <v>0</v>
      </c>
      <c r="AG1321" s="3">
        <v>0</v>
      </c>
      <c r="AH1321" s="3">
        <v>0.17391304347826</v>
      </c>
      <c r="AI1321" s="3" t="s">
        <v>2733</v>
      </c>
      <c r="AJ1321" s="3" t="s">
        <v>1783</v>
      </c>
    </row>
    <row r="1322" spans="1:36">
      <c r="A1322" s="4">
        <v>43277</v>
      </c>
      <c r="B1322" s="3" t="s">
        <v>296</v>
      </c>
      <c r="C1322" s="3" t="s">
        <v>297</v>
      </c>
      <c r="D1322" s="3" t="s">
        <v>298</v>
      </c>
      <c r="E1322" s="3" t="s">
        <v>299</v>
      </c>
      <c r="F1322" s="3" t="s">
        <v>1710</v>
      </c>
      <c r="G1322" s="3">
        <v>24</v>
      </c>
      <c r="H1322" s="3">
        <v>0</v>
      </c>
      <c r="I1322" s="3">
        <v>7</v>
      </c>
      <c r="J1322" s="3">
        <v>17</v>
      </c>
      <c r="K1322" s="3">
        <v>0</v>
      </c>
      <c r="L1322" s="3">
        <v>0</v>
      </c>
      <c r="M1322" s="3">
        <v>0</v>
      </c>
      <c r="N1322" s="3" t="s">
        <v>1711</v>
      </c>
      <c r="O1322" s="3">
        <v>9</v>
      </c>
      <c r="P1322" s="3">
        <v>23.47</v>
      </c>
      <c r="Q1322" s="3">
        <v>0</v>
      </c>
      <c r="R1322" s="3">
        <v>0</v>
      </c>
      <c r="S1322" s="3">
        <v>1</v>
      </c>
      <c r="T1322" s="3">
        <v>7</v>
      </c>
      <c r="U1322" s="3">
        <v>27</v>
      </c>
      <c r="V1322" s="3">
        <v>39</v>
      </c>
      <c r="W1322" s="3"/>
      <c r="X1322" s="3">
        <v>16.99</v>
      </c>
      <c r="Y1322" s="3">
        <v>16.99</v>
      </c>
      <c r="Z1322" s="3">
        <v>16.99</v>
      </c>
      <c r="AA1322" s="3">
        <v>0</v>
      </c>
      <c r="AB1322" s="3" t="s">
        <v>1713</v>
      </c>
      <c r="AC1322" s="3">
        <v>24</v>
      </c>
      <c r="AD1322" s="3">
        <v>16.99</v>
      </c>
      <c r="AE1322" s="3">
        <v>0</v>
      </c>
      <c r="AF1322" s="3">
        <v>0</v>
      </c>
      <c r="AG1322" s="3">
        <v>0</v>
      </c>
      <c r="AH1322" s="3">
        <v>0.435754189944134</v>
      </c>
      <c r="AI1322" s="3" t="s">
        <v>5726</v>
      </c>
      <c r="AJ1322" s="3" t="s">
        <v>1715</v>
      </c>
    </row>
    <row r="1323" spans="1:36">
      <c r="A1323" s="4">
        <v>43277</v>
      </c>
      <c r="B1323" s="3" t="s">
        <v>1593</v>
      </c>
      <c r="C1323" s="3" t="s">
        <v>1594</v>
      </c>
      <c r="D1323" s="3" t="s">
        <v>1595</v>
      </c>
      <c r="E1323" s="3" t="s">
        <v>1596</v>
      </c>
      <c r="F1323" s="3" t="s">
        <v>1710</v>
      </c>
      <c r="G1323" s="3">
        <v>17</v>
      </c>
      <c r="H1323" s="3">
        <v>0</v>
      </c>
      <c r="I1323" s="3">
        <v>17</v>
      </c>
      <c r="J1323" s="3">
        <v>0</v>
      </c>
      <c r="K1323" s="3">
        <v>0</v>
      </c>
      <c r="L1323" s="3">
        <v>0</v>
      </c>
      <c r="M1323" s="3">
        <v>0</v>
      </c>
      <c r="N1323" s="3" t="s">
        <v>1711</v>
      </c>
      <c r="O1323" s="3">
        <v>0</v>
      </c>
      <c r="P1323" s="3">
        <v>0</v>
      </c>
      <c r="Q1323" s="3">
        <v>0</v>
      </c>
      <c r="R1323" s="3">
        <v>0</v>
      </c>
      <c r="S1323" s="3">
        <v>14</v>
      </c>
      <c r="T1323" s="3">
        <v>52</v>
      </c>
      <c r="U1323" s="3">
        <v>79</v>
      </c>
      <c r="V1323" s="3">
        <v>95</v>
      </c>
      <c r="W1323" s="3"/>
      <c r="X1323" s="3">
        <v>40</v>
      </c>
      <c r="Y1323" s="3">
        <v>29.99</v>
      </c>
      <c r="Z1323" s="3">
        <v>28</v>
      </c>
      <c r="AA1323" s="3">
        <v>0</v>
      </c>
      <c r="AB1323" s="3" t="s">
        <v>1713</v>
      </c>
      <c r="AC1323" s="3">
        <v>12</v>
      </c>
      <c r="AD1323" s="3">
        <v>29.99</v>
      </c>
      <c r="AE1323" s="3">
        <v>0</v>
      </c>
      <c r="AF1323" s="3">
        <v>0</v>
      </c>
      <c r="AG1323" s="3">
        <v>0</v>
      </c>
      <c r="AH1323" s="3">
        <v>13.5714285714285</v>
      </c>
      <c r="AI1323" s="3" t="s">
        <v>5727</v>
      </c>
      <c r="AJ1323" s="3" t="s">
        <v>1715</v>
      </c>
    </row>
    <row r="1324" spans="1:36">
      <c r="A1324" s="4">
        <v>43277</v>
      </c>
      <c r="B1324" s="3" t="s">
        <v>5728</v>
      </c>
      <c r="C1324" s="3" t="s">
        <v>5729</v>
      </c>
      <c r="D1324" s="3" t="s">
        <v>5730</v>
      </c>
      <c r="E1324" s="3" t="s">
        <v>5731</v>
      </c>
      <c r="F1324" s="3" t="s">
        <v>1710</v>
      </c>
      <c r="G1324" s="3">
        <v>3</v>
      </c>
      <c r="H1324" s="3">
        <v>0</v>
      </c>
      <c r="I1324" s="3">
        <v>3</v>
      </c>
      <c r="J1324" s="3">
        <v>0</v>
      </c>
      <c r="K1324" s="3">
        <v>0</v>
      </c>
      <c r="L1324" s="3">
        <v>0</v>
      </c>
      <c r="M1324" s="3">
        <v>0</v>
      </c>
      <c r="N1324" s="3" t="s">
        <v>1711</v>
      </c>
      <c r="O1324" s="3">
        <v>0</v>
      </c>
      <c r="P1324" s="3">
        <v>0</v>
      </c>
      <c r="Q1324" s="3">
        <v>0</v>
      </c>
      <c r="R1324" s="3">
        <v>0</v>
      </c>
      <c r="S1324" s="3">
        <v>0</v>
      </c>
      <c r="T1324" s="3">
        <v>1</v>
      </c>
      <c r="U1324" s="3">
        <v>9</v>
      </c>
      <c r="V1324" s="3">
        <v>13</v>
      </c>
      <c r="W1324" s="3"/>
      <c r="X1324" s="3">
        <v>19.99</v>
      </c>
      <c r="Y1324" s="3">
        <v>19.99</v>
      </c>
      <c r="Z1324" s="3">
        <v>19.99</v>
      </c>
      <c r="AA1324" s="3">
        <v>0</v>
      </c>
      <c r="AB1324" s="3" t="s">
        <v>1732</v>
      </c>
      <c r="AC1324" s="3">
        <v>0</v>
      </c>
      <c r="AD1324" s="3">
        <v>15.39</v>
      </c>
      <c r="AE1324" s="3">
        <v>42</v>
      </c>
      <c r="AF1324" s="3">
        <v>0</v>
      </c>
      <c r="AG1324" s="3">
        <v>56.209935</v>
      </c>
      <c r="AH1324" s="3">
        <v>2.6</v>
      </c>
      <c r="AI1324" s="3" t="s">
        <v>5732</v>
      </c>
      <c r="AJ1324" s="3" t="s">
        <v>1715</v>
      </c>
    </row>
    <row r="1325" spans="1:36">
      <c r="A1325" s="4">
        <v>43277</v>
      </c>
      <c r="B1325" s="3" t="s">
        <v>5733</v>
      </c>
      <c r="C1325" s="3" t="s">
        <v>5734</v>
      </c>
      <c r="D1325" s="3" t="s">
        <v>5735</v>
      </c>
      <c r="E1325" s="3" t="s">
        <v>1755</v>
      </c>
      <c r="F1325" s="3" t="s">
        <v>1710</v>
      </c>
      <c r="G1325" s="3">
        <v>10</v>
      </c>
      <c r="H1325" s="3">
        <v>0</v>
      </c>
      <c r="I1325" s="3">
        <v>10</v>
      </c>
      <c r="J1325" s="3">
        <v>0</v>
      </c>
      <c r="K1325" s="3">
        <v>0</v>
      </c>
      <c r="L1325" s="3">
        <v>0</v>
      </c>
      <c r="M1325" s="3">
        <v>0</v>
      </c>
      <c r="N1325" s="3" t="s">
        <v>1711</v>
      </c>
      <c r="O1325" s="3">
        <v>0</v>
      </c>
      <c r="P1325" s="3">
        <v>0</v>
      </c>
      <c r="Q1325" s="3">
        <v>0</v>
      </c>
      <c r="R1325" s="3">
        <v>0</v>
      </c>
      <c r="S1325" s="3">
        <v>0</v>
      </c>
      <c r="T1325" s="3">
        <v>0</v>
      </c>
      <c r="U1325" s="3">
        <v>0</v>
      </c>
      <c r="V1325" s="3">
        <v>0</v>
      </c>
      <c r="W1325" s="3" t="s">
        <v>1720</v>
      </c>
      <c r="X1325" s="3">
        <v>15.99</v>
      </c>
      <c r="Y1325" s="3">
        <v>15.99</v>
      </c>
      <c r="Z1325" s="3">
        <v>15.99</v>
      </c>
      <c r="AA1325" s="3">
        <v>0</v>
      </c>
      <c r="AB1325" s="3" t="s">
        <v>1721</v>
      </c>
      <c r="AC1325" s="3">
        <v>10</v>
      </c>
      <c r="AD1325" s="3">
        <v>15.99</v>
      </c>
      <c r="AE1325" s="3">
        <v>0</v>
      </c>
      <c r="AF1325" s="3">
        <v>0</v>
      </c>
      <c r="AG1325" s="3">
        <v>0</v>
      </c>
      <c r="AH1325" s="3">
        <v>0</v>
      </c>
      <c r="AI1325" s="3" t="s">
        <v>1756</v>
      </c>
      <c r="AJ1325" s="3" t="s">
        <v>1715</v>
      </c>
    </row>
    <row r="1326" spans="1:36">
      <c r="A1326" s="4">
        <v>43277</v>
      </c>
      <c r="B1326" s="3" t="s">
        <v>1290</v>
      </c>
      <c r="C1326" s="3" t="s">
        <v>1291</v>
      </c>
      <c r="D1326" s="3" t="s">
        <v>1292</v>
      </c>
      <c r="E1326" s="3" t="s">
        <v>1293</v>
      </c>
      <c r="F1326" s="3" t="s">
        <v>1710</v>
      </c>
      <c r="G1326" s="3">
        <v>18</v>
      </c>
      <c r="H1326" s="3">
        <v>0</v>
      </c>
      <c r="I1326" s="3">
        <v>18</v>
      </c>
      <c r="J1326" s="3">
        <v>0</v>
      </c>
      <c r="K1326" s="3">
        <v>0</v>
      </c>
      <c r="L1326" s="3">
        <v>0</v>
      </c>
      <c r="M1326" s="3">
        <v>0</v>
      </c>
      <c r="N1326" s="3" t="s">
        <v>1711</v>
      </c>
      <c r="O1326" s="3">
        <v>0</v>
      </c>
      <c r="P1326" s="3">
        <v>0</v>
      </c>
      <c r="Q1326" s="3">
        <v>0</v>
      </c>
      <c r="R1326" s="3">
        <v>0</v>
      </c>
      <c r="S1326" s="3">
        <v>8</v>
      </c>
      <c r="T1326" s="3">
        <v>25</v>
      </c>
      <c r="U1326" s="3">
        <v>40</v>
      </c>
      <c r="V1326" s="3">
        <v>40</v>
      </c>
      <c r="W1326" s="3"/>
      <c r="X1326" s="3">
        <v>25.99</v>
      </c>
      <c r="Y1326" s="3">
        <v>25.99</v>
      </c>
      <c r="Z1326" s="3">
        <v>25.99</v>
      </c>
      <c r="AA1326" s="3">
        <v>0</v>
      </c>
      <c r="AB1326" s="3" t="s">
        <v>1713</v>
      </c>
      <c r="AC1326" s="3">
        <v>14</v>
      </c>
      <c r="AD1326" s="3">
        <v>25.99</v>
      </c>
      <c r="AE1326" s="3">
        <v>0</v>
      </c>
      <c r="AF1326" s="3">
        <v>0</v>
      </c>
      <c r="AG1326" s="3">
        <v>0</v>
      </c>
      <c r="AH1326" s="3">
        <v>5.21739130434782</v>
      </c>
      <c r="AI1326" s="3" t="s">
        <v>1777</v>
      </c>
      <c r="AJ1326" s="3" t="s">
        <v>1715</v>
      </c>
    </row>
    <row r="1327" spans="1:36">
      <c r="A1327" s="4">
        <v>43277</v>
      </c>
      <c r="B1327" s="3" t="s">
        <v>1401</v>
      </c>
      <c r="C1327" s="3" t="s">
        <v>1402</v>
      </c>
      <c r="D1327" s="3" t="s">
        <v>1403</v>
      </c>
      <c r="E1327" s="3" t="s">
        <v>1380</v>
      </c>
      <c r="F1327" s="3" t="s">
        <v>1710</v>
      </c>
      <c r="G1327" s="3">
        <v>12</v>
      </c>
      <c r="H1327" s="3">
        <v>0</v>
      </c>
      <c r="I1327" s="3">
        <v>12</v>
      </c>
      <c r="J1327" s="3">
        <v>0</v>
      </c>
      <c r="K1327" s="3">
        <v>0</v>
      </c>
      <c r="L1327" s="3">
        <v>0</v>
      </c>
      <c r="M1327" s="3">
        <v>0</v>
      </c>
      <c r="N1327" s="3" t="s">
        <v>1711</v>
      </c>
      <c r="O1327" s="3">
        <v>0</v>
      </c>
      <c r="P1327" s="3">
        <v>0</v>
      </c>
      <c r="Q1327" s="3">
        <v>0</v>
      </c>
      <c r="R1327" s="3">
        <v>0</v>
      </c>
      <c r="S1327" s="3">
        <v>3</v>
      </c>
      <c r="T1327" s="3">
        <v>17</v>
      </c>
      <c r="U1327" s="3">
        <v>24</v>
      </c>
      <c r="V1327" s="3">
        <v>33</v>
      </c>
      <c r="W1327" s="3"/>
      <c r="X1327" s="3">
        <v>49.99</v>
      </c>
      <c r="Y1327" s="3">
        <v>25.99</v>
      </c>
      <c r="Z1327" s="3">
        <v>25.99</v>
      </c>
      <c r="AA1327" s="3">
        <v>0</v>
      </c>
      <c r="AB1327" s="3" t="s">
        <v>1713</v>
      </c>
      <c r="AC1327" s="3">
        <v>16</v>
      </c>
      <c r="AD1327" s="3">
        <v>25.99</v>
      </c>
      <c r="AE1327" s="3">
        <v>0</v>
      </c>
      <c r="AF1327" s="3">
        <v>0</v>
      </c>
      <c r="AG1327" s="3">
        <v>0</v>
      </c>
      <c r="AH1327" s="3">
        <v>2.93333333333333</v>
      </c>
      <c r="AI1327" s="3" t="s">
        <v>2351</v>
      </c>
      <c r="AJ1327" s="3" t="s">
        <v>1715</v>
      </c>
    </row>
    <row r="1328" spans="1:36">
      <c r="A1328" s="4">
        <v>43277</v>
      </c>
      <c r="B1328" s="3" t="s">
        <v>915</v>
      </c>
      <c r="C1328" s="3" t="s">
        <v>916</v>
      </c>
      <c r="D1328" s="3" t="s">
        <v>917</v>
      </c>
      <c r="E1328" s="3" t="s">
        <v>918</v>
      </c>
      <c r="F1328" s="3" t="s">
        <v>1710</v>
      </c>
      <c r="G1328" s="3">
        <v>15</v>
      </c>
      <c r="H1328" s="3">
        <v>0</v>
      </c>
      <c r="I1328" s="3">
        <v>15</v>
      </c>
      <c r="J1328" s="3">
        <v>0</v>
      </c>
      <c r="K1328" s="3">
        <v>0</v>
      </c>
      <c r="L1328" s="3">
        <v>0</v>
      </c>
      <c r="M1328" s="3">
        <v>0</v>
      </c>
      <c r="N1328" s="3" t="s">
        <v>1711</v>
      </c>
      <c r="O1328" s="3">
        <v>0</v>
      </c>
      <c r="P1328" s="3">
        <v>0</v>
      </c>
      <c r="Q1328" s="3">
        <v>0</v>
      </c>
      <c r="R1328" s="3">
        <v>0</v>
      </c>
      <c r="S1328" s="3">
        <v>1</v>
      </c>
      <c r="T1328" s="3">
        <v>45</v>
      </c>
      <c r="U1328" s="3">
        <v>58</v>
      </c>
      <c r="V1328" s="3">
        <v>73</v>
      </c>
      <c r="W1328" s="3"/>
      <c r="X1328" s="3">
        <v>15.99</v>
      </c>
      <c r="Y1328" s="3">
        <v>15.99</v>
      </c>
      <c r="Z1328" s="3">
        <v>15.99</v>
      </c>
      <c r="AA1328" s="3">
        <v>0</v>
      </c>
      <c r="AB1328" s="3" t="s">
        <v>1713</v>
      </c>
      <c r="AC1328" s="3">
        <v>0</v>
      </c>
      <c r="AD1328" s="3">
        <v>0</v>
      </c>
      <c r="AE1328" s="3">
        <v>0</v>
      </c>
      <c r="AF1328" s="3">
        <v>0</v>
      </c>
      <c r="AG1328" s="3">
        <v>0</v>
      </c>
      <c r="AH1328" s="3">
        <v>9.125</v>
      </c>
      <c r="AI1328" s="3" t="s">
        <v>1881</v>
      </c>
      <c r="AJ1328" s="3" t="s">
        <v>1715</v>
      </c>
    </row>
    <row r="1329" spans="1:36">
      <c r="A1329" s="4">
        <v>43277</v>
      </c>
      <c r="B1329" s="3" t="s">
        <v>5736</v>
      </c>
      <c r="C1329" s="3" t="s">
        <v>5737</v>
      </c>
      <c r="D1329" s="3" t="s">
        <v>5738</v>
      </c>
      <c r="E1329" s="3" t="s">
        <v>5739</v>
      </c>
      <c r="F1329" s="3" t="s">
        <v>1710</v>
      </c>
      <c r="G1329" s="3">
        <v>3</v>
      </c>
      <c r="H1329" s="3">
        <v>0</v>
      </c>
      <c r="I1329" s="3">
        <v>3</v>
      </c>
      <c r="J1329" s="3">
        <v>0</v>
      </c>
      <c r="K1329" s="3">
        <v>0</v>
      </c>
      <c r="L1329" s="3">
        <v>0</v>
      </c>
      <c r="M1329" s="3">
        <v>0</v>
      </c>
      <c r="N1329" s="3" t="s">
        <v>1711</v>
      </c>
      <c r="O1329" s="3">
        <v>0</v>
      </c>
      <c r="P1329" s="3">
        <v>0</v>
      </c>
      <c r="Q1329" s="3">
        <v>0</v>
      </c>
      <c r="R1329" s="3">
        <v>0</v>
      </c>
      <c r="S1329" s="3">
        <v>0</v>
      </c>
      <c r="T1329" s="3">
        <v>0</v>
      </c>
      <c r="U1329" s="3">
        <v>2</v>
      </c>
      <c r="V1329" s="3">
        <v>9</v>
      </c>
      <c r="W1329" s="3" t="s">
        <v>1720</v>
      </c>
      <c r="X1329" s="3">
        <v>19.99</v>
      </c>
      <c r="Y1329" s="3">
        <v>19.99</v>
      </c>
      <c r="Z1329" s="3">
        <v>19.99</v>
      </c>
      <c r="AA1329" s="3">
        <v>0</v>
      </c>
      <c r="AB1329" s="3" t="s">
        <v>1721</v>
      </c>
      <c r="AC1329" s="3">
        <v>1</v>
      </c>
      <c r="AD1329" s="3">
        <v>18.81</v>
      </c>
      <c r="AE1329" s="3">
        <v>63</v>
      </c>
      <c r="AF1329" s="3">
        <v>0</v>
      </c>
      <c r="AG1329" s="3">
        <v>61.804604</v>
      </c>
      <c r="AH1329" s="3">
        <v>2.25</v>
      </c>
      <c r="AI1329" s="3" t="s">
        <v>5740</v>
      </c>
      <c r="AJ1329" s="3" t="s">
        <v>1783</v>
      </c>
    </row>
    <row r="1330" spans="1:36">
      <c r="A1330" s="4">
        <v>43277</v>
      </c>
      <c r="B1330" s="3" t="s">
        <v>5741</v>
      </c>
      <c r="C1330" s="3" t="s">
        <v>5742</v>
      </c>
      <c r="D1330" s="3" t="s">
        <v>5743</v>
      </c>
      <c r="E1330" s="3" t="s">
        <v>2798</v>
      </c>
      <c r="F1330" s="3" t="s">
        <v>1710</v>
      </c>
      <c r="G1330" s="3">
        <v>14</v>
      </c>
      <c r="H1330" s="3">
        <v>0</v>
      </c>
      <c r="I1330" s="3">
        <v>0</v>
      </c>
      <c r="J1330" s="3">
        <v>0</v>
      </c>
      <c r="K1330" s="3">
        <v>14</v>
      </c>
      <c r="L1330" s="3">
        <v>0</v>
      </c>
      <c r="M1330" s="3">
        <v>0</v>
      </c>
      <c r="N1330" s="3" t="s">
        <v>1711</v>
      </c>
      <c r="O1330" s="3">
        <v>14</v>
      </c>
      <c r="P1330" s="3">
        <v>31.46</v>
      </c>
      <c r="Q1330" s="3">
        <v>0</v>
      </c>
      <c r="R1330" s="3">
        <v>0</v>
      </c>
      <c r="S1330" s="3">
        <v>0</v>
      </c>
      <c r="T1330" s="3">
        <v>0</v>
      </c>
      <c r="U1330" s="3">
        <v>0</v>
      </c>
      <c r="V1330" s="3">
        <v>1</v>
      </c>
      <c r="W1330" s="3" t="s">
        <v>1712</v>
      </c>
      <c r="X1330" s="3">
        <v>15.99</v>
      </c>
      <c r="Y1330" s="3">
        <v>15.99</v>
      </c>
      <c r="Z1330" s="3">
        <v>15.99</v>
      </c>
      <c r="AA1330" s="3">
        <v>0</v>
      </c>
      <c r="AB1330" s="3" t="s">
        <v>1732</v>
      </c>
      <c r="AC1330" s="3">
        <v>1</v>
      </c>
      <c r="AD1330" s="3">
        <v>13.99</v>
      </c>
      <c r="AE1330" s="3">
        <v>84</v>
      </c>
      <c r="AF1330" s="3">
        <v>0</v>
      </c>
      <c r="AG1330" s="3">
        <v>442.579621</v>
      </c>
      <c r="AH1330" s="3">
        <v>0.0701754385964912</v>
      </c>
      <c r="AI1330" s="3" t="s">
        <v>5744</v>
      </c>
      <c r="AJ1330" s="3" t="s">
        <v>1783</v>
      </c>
    </row>
    <row r="1331" spans="1:36">
      <c r="A1331" s="4">
        <v>43277</v>
      </c>
      <c r="B1331" s="3" t="s">
        <v>68</v>
      </c>
      <c r="C1331" s="3" t="s">
        <v>69</v>
      </c>
      <c r="D1331" s="3" t="s">
        <v>70</v>
      </c>
      <c r="E1331" s="3" t="s">
        <v>5745</v>
      </c>
      <c r="F1331" s="3" t="s">
        <v>1710</v>
      </c>
      <c r="G1331" s="3">
        <v>15</v>
      </c>
      <c r="H1331" s="3">
        <v>0</v>
      </c>
      <c r="I1331" s="3">
        <v>15</v>
      </c>
      <c r="J1331" s="3">
        <v>0</v>
      </c>
      <c r="K1331" s="3">
        <v>0</v>
      </c>
      <c r="L1331" s="3">
        <v>0</v>
      </c>
      <c r="M1331" s="3">
        <v>0</v>
      </c>
      <c r="N1331" s="3" t="s">
        <v>1711</v>
      </c>
      <c r="O1331" s="3">
        <v>0</v>
      </c>
      <c r="P1331" s="3">
        <v>0</v>
      </c>
      <c r="Q1331" s="3">
        <v>0</v>
      </c>
      <c r="R1331" s="3">
        <v>0</v>
      </c>
      <c r="S1331" s="3">
        <v>0</v>
      </c>
      <c r="T1331" s="3">
        <v>8</v>
      </c>
      <c r="U1331" s="3">
        <v>22</v>
      </c>
      <c r="V1331" s="3">
        <v>28</v>
      </c>
      <c r="W1331" s="3"/>
      <c r="X1331" s="3">
        <v>28.99</v>
      </c>
      <c r="Y1331" s="3">
        <v>15.99</v>
      </c>
      <c r="Z1331" s="3">
        <v>15.55</v>
      </c>
      <c r="AA1331" s="3">
        <v>0</v>
      </c>
      <c r="AB1331" s="3" t="s">
        <v>1713</v>
      </c>
      <c r="AC1331" s="3">
        <v>0</v>
      </c>
      <c r="AD1331" s="3">
        <v>0</v>
      </c>
      <c r="AE1331" s="3">
        <v>0</v>
      </c>
      <c r="AF1331" s="3">
        <v>0</v>
      </c>
      <c r="AG1331" s="3">
        <v>0</v>
      </c>
      <c r="AH1331" s="3">
        <v>3.61290322580645</v>
      </c>
      <c r="AI1331" s="3" t="s">
        <v>2082</v>
      </c>
      <c r="AJ1331" s="3" t="s">
        <v>1715</v>
      </c>
    </row>
    <row r="1332" spans="1:36">
      <c r="A1332" s="4">
        <v>43277</v>
      </c>
      <c r="B1332" s="3" t="s">
        <v>427</v>
      </c>
      <c r="C1332" s="3" t="s">
        <v>428</v>
      </c>
      <c r="D1332" s="3" t="s">
        <v>429</v>
      </c>
      <c r="E1332" s="3" t="s">
        <v>430</v>
      </c>
      <c r="F1332" s="3" t="s">
        <v>1710</v>
      </c>
      <c r="G1332" s="3">
        <v>53</v>
      </c>
      <c r="H1332" s="3">
        <v>0</v>
      </c>
      <c r="I1332" s="3">
        <v>53</v>
      </c>
      <c r="J1332" s="3">
        <v>0</v>
      </c>
      <c r="K1332" s="3">
        <v>0</v>
      </c>
      <c r="L1332" s="3">
        <v>0</v>
      </c>
      <c r="M1332" s="3">
        <v>0</v>
      </c>
      <c r="N1332" s="3" t="s">
        <v>1711</v>
      </c>
      <c r="O1332" s="3">
        <v>0</v>
      </c>
      <c r="P1332" s="3">
        <v>0</v>
      </c>
      <c r="Q1332" s="3">
        <v>0</v>
      </c>
      <c r="R1332" s="3">
        <v>0</v>
      </c>
      <c r="S1332" s="3">
        <v>6</v>
      </c>
      <c r="T1332" s="3">
        <v>27</v>
      </c>
      <c r="U1332" s="3">
        <v>57</v>
      </c>
      <c r="V1332" s="3">
        <v>75</v>
      </c>
      <c r="W1332" s="3"/>
      <c r="X1332" s="3">
        <v>32.99</v>
      </c>
      <c r="Y1332" s="3">
        <v>28.58</v>
      </c>
      <c r="Z1332" s="3">
        <v>28.58</v>
      </c>
      <c r="AA1332" s="3">
        <v>0</v>
      </c>
      <c r="AB1332" s="3" t="s">
        <v>1713</v>
      </c>
      <c r="AC1332" s="3">
        <v>18</v>
      </c>
      <c r="AD1332" s="3">
        <v>28.58</v>
      </c>
      <c r="AE1332" s="3">
        <v>0</v>
      </c>
      <c r="AF1332" s="3">
        <v>0</v>
      </c>
      <c r="AG1332" s="3">
        <v>0</v>
      </c>
      <c r="AH1332" s="3">
        <v>3.2258064516129</v>
      </c>
      <c r="AI1332" s="3" t="s">
        <v>1734</v>
      </c>
      <c r="AJ1332" s="3" t="s">
        <v>1715</v>
      </c>
    </row>
    <row r="1333" spans="1:36">
      <c r="A1333" s="4">
        <v>43277</v>
      </c>
      <c r="B1333" s="3" t="s">
        <v>827</v>
      </c>
      <c r="C1333" s="3" t="s">
        <v>828</v>
      </c>
      <c r="D1333" s="3" t="s">
        <v>829</v>
      </c>
      <c r="E1333" s="3" t="s">
        <v>830</v>
      </c>
      <c r="F1333" s="3" t="s">
        <v>1710</v>
      </c>
      <c r="G1333" s="3">
        <v>13</v>
      </c>
      <c r="H1333" s="3">
        <v>0</v>
      </c>
      <c r="I1333" s="3">
        <v>13</v>
      </c>
      <c r="J1333" s="3">
        <v>0</v>
      </c>
      <c r="K1333" s="3">
        <v>0</v>
      </c>
      <c r="L1333" s="3">
        <v>0</v>
      </c>
      <c r="M1333" s="3">
        <v>0</v>
      </c>
      <c r="N1333" s="3" t="s">
        <v>1711</v>
      </c>
      <c r="O1333" s="3">
        <v>0</v>
      </c>
      <c r="P1333" s="3">
        <v>0</v>
      </c>
      <c r="Q1333" s="3">
        <v>0</v>
      </c>
      <c r="R1333" s="3">
        <v>0</v>
      </c>
      <c r="S1333" s="3">
        <v>2</v>
      </c>
      <c r="T1333" s="3">
        <v>19</v>
      </c>
      <c r="U1333" s="3">
        <v>57</v>
      </c>
      <c r="V1333" s="3">
        <v>92</v>
      </c>
      <c r="W1333" s="3"/>
      <c r="X1333" s="3">
        <v>38</v>
      </c>
      <c r="Y1333" s="3">
        <v>28.58</v>
      </c>
      <c r="Z1333" s="3">
        <v>28.58</v>
      </c>
      <c r="AA1333" s="3">
        <v>0</v>
      </c>
      <c r="AB1333" s="3" t="s">
        <v>1713</v>
      </c>
      <c r="AC1333" s="3">
        <v>0</v>
      </c>
      <c r="AD1333" s="3">
        <v>0</v>
      </c>
      <c r="AE1333" s="3">
        <v>0</v>
      </c>
      <c r="AF1333" s="3">
        <v>0</v>
      </c>
      <c r="AG1333" s="3">
        <v>0</v>
      </c>
      <c r="AH1333" s="3">
        <v>4.97297297297297</v>
      </c>
      <c r="AI1333" s="3" t="s">
        <v>4635</v>
      </c>
      <c r="AJ1333" s="3" t="s">
        <v>1715</v>
      </c>
    </row>
    <row r="1334" spans="1:36">
      <c r="A1334" s="4">
        <v>43277</v>
      </c>
      <c r="B1334" s="3" t="s">
        <v>5746</v>
      </c>
      <c r="C1334" s="3" t="s">
        <v>5747</v>
      </c>
      <c r="D1334" s="3" t="s">
        <v>5748</v>
      </c>
      <c r="E1334" s="3" t="s">
        <v>1380</v>
      </c>
      <c r="F1334" s="3" t="s">
        <v>1710</v>
      </c>
      <c r="G1334" s="3">
        <v>2</v>
      </c>
      <c r="H1334" s="3">
        <v>0</v>
      </c>
      <c r="I1334" s="3">
        <v>2</v>
      </c>
      <c r="J1334" s="3">
        <v>0</v>
      </c>
      <c r="K1334" s="3">
        <v>0</v>
      </c>
      <c r="L1334" s="3">
        <v>0</v>
      </c>
      <c r="M1334" s="3">
        <v>0</v>
      </c>
      <c r="N1334" s="3" t="s">
        <v>1711</v>
      </c>
      <c r="O1334" s="3">
        <v>0</v>
      </c>
      <c r="P1334" s="3">
        <v>0</v>
      </c>
      <c r="Q1334" s="3">
        <v>0</v>
      </c>
      <c r="R1334" s="3">
        <v>0</v>
      </c>
      <c r="S1334" s="3">
        <v>3</v>
      </c>
      <c r="T1334" s="3">
        <v>7</v>
      </c>
      <c r="U1334" s="3">
        <v>13</v>
      </c>
      <c r="V1334" s="3">
        <v>17</v>
      </c>
      <c r="W1334" s="3"/>
      <c r="X1334" s="3">
        <v>23.99</v>
      </c>
      <c r="Y1334" s="3">
        <v>23.99</v>
      </c>
      <c r="Z1334" s="3">
        <v>23.99</v>
      </c>
      <c r="AA1334" s="3">
        <v>0</v>
      </c>
      <c r="AB1334" s="3" t="s">
        <v>1713</v>
      </c>
      <c r="AC1334" s="3">
        <v>5</v>
      </c>
      <c r="AD1334" s="3">
        <v>23.99</v>
      </c>
      <c r="AE1334" s="3">
        <v>0</v>
      </c>
      <c r="AF1334" s="3">
        <v>0</v>
      </c>
      <c r="AG1334" s="3">
        <v>0</v>
      </c>
      <c r="AH1334" s="3">
        <v>2.95652173913043</v>
      </c>
      <c r="AI1334" s="3" t="s">
        <v>2351</v>
      </c>
      <c r="AJ1334" s="3" t="s">
        <v>1715</v>
      </c>
    </row>
    <row r="1335" spans="1:36">
      <c r="A1335" s="4">
        <v>43277</v>
      </c>
      <c r="B1335" s="3" t="s">
        <v>5749</v>
      </c>
      <c r="C1335" s="3" t="s">
        <v>5750</v>
      </c>
      <c r="D1335" s="3" t="s">
        <v>5751</v>
      </c>
      <c r="E1335" s="3" t="s">
        <v>5752</v>
      </c>
      <c r="F1335" s="3" t="s">
        <v>1710</v>
      </c>
      <c r="G1335" s="3">
        <v>16</v>
      </c>
      <c r="H1335" s="3">
        <v>0</v>
      </c>
      <c r="I1335" s="3">
        <v>13</v>
      </c>
      <c r="J1335" s="3">
        <v>3</v>
      </c>
      <c r="K1335" s="3">
        <v>0</v>
      </c>
      <c r="L1335" s="3">
        <v>0</v>
      </c>
      <c r="M1335" s="3">
        <v>0</v>
      </c>
      <c r="N1335" s="3" t="s">
        <v>1711</v>
      </c>
      <c r="O1335" s="3">
        <v>0</v>
      </c>
      <c r="P1335" s="3">
        <v>0</v>
      </c>
      <c r="Q1335" s="3">
        <v>0</v>
      </c>
      <c r="R1335" s="3">
        <v>0</v>
      </c>
      <c r="S1335" s="3">
        <v>1</v>
      </c>
      <c r="T1335" s="3">
        <v>2</v>
      </c>
      <c r="U1335" s="3">
        <v>8</v>
      </c>
      <c r="V1335" s="3">
        <v>12</v>
      </c>
      <c r="W1335" s="3"/>
      <c r="X1335" s="3">
        <v>14.58</v>
      </c>
      <c r="Y1335" s="3">
        <v>14.58</v>
      </c>
      <c r="Z1335" s="3">
        <v>14.58</v>
      </c>
      <c r="AA1335" s="3">
        <v>0</v>
      </c>
      <c r="AB1335" s="3" t="s">
        <v>1713</v>
      </c>
      <c r="AC1335" s="3">
        <v>17</v>
      </c>
      <c r="AD1335" s="3">
        <v>14.58</v>
      </c>
      <c r="AE1335" s="3">
        <v>0</v>
      </c>
      <c r="AF1335" s="3">
        <v>0</v>
      </c>
      <c r="AG1335" s="3">
        <v>0</v>
      </c>
      <c r="AH1335" s="3">
        <v>1.17073170731707</v>
      </c>
      <c r="AI1335" s="3" t="s">
        <v>5753</v>
      </c>
      <c r="AJ1335" s="3" t="s">
        <v>1715</v>
      </c>
    </row>
    <row r="1336" spans="1:36">
      <c r="A1336" s="4">
        <v>43277</v>
      </c>
      <c r="B1336" s="3" t="s">
        <v>1006</v>
      </c>
      <c r="C1336" s="3" t="s">
        <v>1007</v>
      </c>
      <c r="D1336" s="3" t="s">
        <v>1008</v>
      </c>
      <c r="E1336" s="3" t="s">
        <v>1009</v>
      </c>
      <c r="F1336" s="3" t="s">
        <v>1710</v>
      </c>
      <c r="G1336" s="3">
        <v>11</v>
      </c>
      <c r="H1336" s="3">
        <v>0</v>
      </c>
      <c r="I1336" s="3">
        <v>11</v>
      </c>
      <c r="J1336" s="3">
        <v>0</v>
      </c>
      <c r="K1336" s="3">
        <v>0</v>
      </c>
      <c r="L1336" s="3">
        <v>0</v>
      </c>
      <c r="M1336" s="3">
        <v>0</v>
      </c>
      <c r="N1336" s="3" t="s">
        <v>1711</v>
      </c>
      <c r="O1336" s="3">
        <v>0</v>
      </c>
      <c r="P1336" s="3">
        <v>0</v>
      </c>
      <c r="Q1336" s="3">
        <v>0</v>
      </c>
      <c r="R1336" s="3">
        <v>0</v>
      </c>
      <c r="S1336" s="3">
        <v>13</v>
      </c>
      <c r="T1336" s="3">
        <v>36</v>
      </c>
      <c r="U1336" s="3">
        <v>61</v>
      </c>
      <c r="V1336" s="3">
        <v>75</v>
      </c>
      <c r="W1336" s="3"/>
      <c r="X1336" s="3">
        <v>15.99</v>
      </c>
      <c r="Y1336" s="3">
        <v>15.99</v>
      </c>
      <c r="Z1336" s="3">
        <v>15.99</v>
      </c>
      <c r="AA1336" s="3">
        <v>0</v>
      </c>
      <c r="AB1336" s="3" t="s">
        <v>1713</v>
      </c>
      <c r="AC1336" s="3">
        <v>3</v>
      </c>
      <c r="AD1336" s="3">
        <v>15.99</v>
      </c>
      <c r="AE1336" s="3">
        <v>0</v>
      </c>
      <c r="AF1336" s="3">
        <v>0</v>
      </c>
      <c r="AG1336" s="3">
        <v>0</v>
      </c>
      <c r="AH1336" s="3">
        <v>8.65384615384615</v>
      </c>
      <c r="AI1336" s="3" t="s">
        <v>3820</v>
      </c>
      <c r="AJ1336" s="3" t="s">
        <v>1715</v>
      </c>
    </row>
    <row r="1337" spans="1:36">
      <c r="A1337" s="4">
        <v>43277</v>
      </c>
      <c r="B1337" s="3" t="s">
        <v>244</v>
      </c>
      <c r="C1337" s="3" t="s">
        <v>245</v>
      </c>
      <c r="D1337" s="3" t="s">
        <v>246</v>
      </c>
      <c r="E1337" s="3" t="s">
        <v>247</v>
      </c>
      <c r="F1337" s="3" t="s">
        <v>1710</v>
      </c>
      <c r="G1337" s="3">
        <v>3</v>
      </c>
      <c r="H1337" s="3">
        <v>0</v>
      </c>
      <c r="I1337" s="3">
        <v>3</v>
      </c>
      <c r="J1337" s="3">
        <v>0</v>
      </c>
      <c r="K1337" s="3">
        <v>0</v>
      </c>
      <c r="L1337" s="3">
        <v>0</v>
      </c>
      <c r="M1337" s="3">
        <v>0</v>
      </c>
      <c r="N1337" s="3" t="s">
        <v>1711</v>
      </c>
      <c r="O1337" s="3">
        <v>0</v>
      </c>
      <c r="P1337" s="3">
        <v>0</v>
      </c>
      <c r="Q1337" s="3">
        <v>0</v>
      </c>
      <c r="R1337" s="3">
        <v>0</v>
      </c>
      <c r="S1337" s="3">
        <v>7</v>
      </c>
      <c r="T1337" s="3">
        <v>22</v>
      </c>
      <c r="U1337" s="3">
        <v>39</v>
      </c>
      <c r="V1337" s="3">
        <v>54</v>
      </c>
      <c r="W1337" s="3"/>
      <c r="X1337" s="3">
        <v>28.99</v>
      </c>
      <c r="Y1337" s="3">
        <v>14.99</v>
      </c>
      <c r="Z1337" s="3">
        <v>14.99</v>
      </c>
      <c r="AA1337" s="3">
        <v>0</v>
      </c>
      <c r="AB1337" s="3" t="s">
        <v>1713</v>
      </c>
      <c r="AC1337" s="3">
        <v>9</v>
      </c>
      <c r="AD1337" s="3">
        <v>14.99</v>
      </c>
      <c r="AE1337" s="3">
        <v>0</v>
      </c>
      <c r="AF1337" s="3">
        <v>0</v>
      </c>
      <c r="AG1337" s="3">
        <v>0</v>
      </c>
      <c r="AH1337" s="3">
        <v>3</v>
      </c>
      <c r="AI1337" s="3" t="s">
        <v>2467</v>
      </c>
      <c r="AJ1337" s="3" t="s">
        <v>1715</v>
      </c>
    </row>
    <row r="1338" spans="1:36">
      <c r="A1338" s="4">
        <v>43277</v>
      </c>
      <c r="B1338" s="3" t="s">
        <v>5754</v>
      </c>
      <c r="C1338" s="3" t="s">
        <v>5755</v>
      </c>
      <c r="D1338" s="3" t="s">
        <v>5756</v>
      </c>
      <c r="E1338" s="3" t="s">
        <v>1426</v>
      </c>
      <c r="F1338" s="3" t="s">
        <v>1710</v>
      </c>
      <c r="G1338" s="3">
        <v>9</v>
      </c>
      <c r="H1338" s="3">
        <v>0</v>
      </c>
      <c r="I1338" s="3">
        <v>9</v>
      </c>
      <c r="J1338" s="3">
        <v>0</v>
      </c>
      <c r="K1338" s="3">
        <v>0</v>
      </c>
      <c r="L1338" s="3">
        <v>0</v>
      </c>
      <c r="M1338" s="3">
        <v>0</v>
      </c>
      <c r="N1338" s="3" t="s">
        <v>1711</v>
      </c>
      <c r="O1338" s="3">
        <v>0</v>
      </c>
      <c r="P1338" s="3">
        <v>0</v>
      </c>
      <c r="Q1338" s="3">
        <v>0</v>
      </c>
      <c r="R1338" s="3">
        <v>0</v>
      </c>
      <c r="S1338" s="3">
        <v>0</v>
      </c>
      <c r="T1338" s="3">
        <v>1</v>
      </c>
      <c r="U1338" s="3">
        <v>1</v>
      </c>
      <c r="V1338" s="3">
        <v>1</v>
      </c>
      <c r="W1338" s="3"/>
      <c r="X1338" s="3">
        <v>19.99</v>
      </c>
      <c r="Y1338" s="3">
        <v>19.99</v>
      </c>
      <c r="Z1338" s="3">
        <v>19.99</v>
      </c>
      <c r="AA1338" s="3">
        <v>0</v>
      </c>
      <c r="AB1338" s="3" t="s">
        <v>1713</v>
      </c>
      <c r="AC1338" s="3">
        <v>9</v>
      </c>
      <c r="AD1338" s="3">
        <v>19.99</v>
      </c>
      <c r="AE1338" s="3">
        <v>0</v>
      </c>
      <c r="AF1338" s="3">
        <v>0</v>
      </c>
      <c r="AG1338" s="3">
        <v>0</v>
      </c>
      <c r="AH1338" s="3">
        <v>0.222222222222222</v>
      </c>
      <c r="AI1338" s="3" t="s">
        <v>2573</v>
      </c>
      <c r="AJ1338" s="3" t="s">
        <v>1715</v>
      </c>
    </row>
    <row r="1339" spans="1:36">
      <c r="A1339" s="4">
        <v>43277</v>
      </c>
      <c r="B1339" s="3" t="s">
        <v>5757</v>
      </c>
      <c r="C1339" s="3" t="s">
        <v>5758</v>
      </c>
      <c r="D1339" s="3" t="s">
        <v>5759</v>
      </c>
      <c r="E1339" s="3" t="s">
        <v>3676</v>
      </c>
      <c r="F1339" s="3" t="s">
        <v>1710</v>
      </c>
      <c r="G1339" s="3">
        <v>1</v>
      </c>
      <c r="H1339" s="3">
        <v>0</v>
      </c>
      <c r="I1339" s="3">
        <v>1</v>
      </c>
      <c r="J1339" s="3">
        <v>0</v>
      </c>
      <c r="K1339" s="3">
        <v>0</v>
      </c>
      <c r="L1339" s="3">
        <v>0</v>
      </c>
      <c r="M1339" s="3">
        <v>0</v>
      </c>
      <c r="N1339" s="3" t="s">
        <v>1711</v>
      </c>
      <c r="O1339" s="3">
        <v>0</v>
      </c>
      <c r="P1339" s="3">
        <v>0</v>
      </c>
      <c r="Q1339" s="3">
        <v>0</v>
      </c>
      <c r="R1339" s="3">
        <v>0</v>
      </c>
      <c r="S1339" s="3">
        <v>1</v>
      </c>
      <c r="T1339" s="3">
        <v>1</v>
      </c>
      <c r="U1339" s="3">
        <v>3</v>
      </c>
      <c r="V1339" s="3">
        <v>3</v>
      </c>
      <c r="W1339" s="3" t="s">
        <v>1712</v>
      </c>
      <c r="X1339" s="3">
        <v>18.99</v>
      </c>
      <c r="Y1339" s="3">
        <v>18.99</v>
      </c>
      <c r="Z1339" s="3">
        <v>18.99</v>
      </c>
      <c r="AA1339" s="3">
        <v>0</v>
      </c>
      <c r="AB1339" s="3" t="s">
        <v>1713</v>
      </c>
      <c r="AC1339" s="3">
        <v>1</v>
      </c>
      <c r="AD1339" s="3">
        <v>18.99</v>
      </c>
      <c r="AE1339" s="3">
        <v>0</v>
      </c>
      <c r="AF1339" s="3">
        <v>0</v>
      </c>
      <c r="AG1339" s="3">
        <v>0</v>
      </c>
      <c r="AH1339" s="3">
        <v>1.33333333333333</v>
      </c>
      <c r="AI1339" s="3" t="s">
        <v>3677</v>
      </c>
      <c r="AJ1339" s="3" t="s">
        <v>1715</v>
      </c>
    </row>
    <row r="1340" spans="1:36">
      <c r="A1340" s="4">
        <v>43277</v>
      </c>
      <c r="B1340" s="3" t="s">
        <v>5760</v>
      </c>
      <c r="C1340" s="3" t="s">
        <v>5761</v>
      </c>
      <c r="D1340" s="3" t="s">
        <v>5762</v>
      </c>
      <c r="E1340" s="3" t="s">
        <v>3581</v>
      </c>
      <c r="F1340" s="3" t="s">
        <v>1710</v>
      </c>
      <c r="G1340" s="3">
        <v>2</v>
      </c>
      <c r="H1340" s="3">
        <v>0</v>
      </c>
      <c r="I1340" s="3">
        <v>0</v>
      </c>
      <c r="J1340" s="3">
        <v>0</v>
      </c>
      <c r="K1340" s="3">
        <v>0</v>
      </c>
      <c r="L1340" s="3">
        <v>2</v>
      </c>
      <c r="M1340" s="3">
        <v>0</v>
      </c>
      <c r="N1340" s="3" t="s">
        <v>1711</v>
      </c>
      <c r="O1340" s="3">
        <v>0</v>
      </c>
      <c r="P1340" s="3">
        <v>0</v>
      </c>
      <c r="Q1340" s="3">
        <v>2</v>
      </c>
      <c r="R1340" s="3">
        <v>2.62</v>
      </c>
      <c r="S1340" s="3">
        <v>0</v>
      </c>
      <c r="T1340" s="3">
        <v>0</v>
      </c>
      <c r="U1340" s="3">
        <v>0</v>
      </c>
      <c r="V1340" s="3">
        <v>0</v>
      </c>
      <c r="W1340" s="3" t="s">
        <v>1720</v>
      </c>
      <c r="X1340" s="3">
        <v>8.88</v>
      </c>
      <c r="Y1340" s="3">
        <v>8.88</v>
      </c>
      <c r="Z1340" s="3">
        <v>8.88</v>
      </c>
      <c r="AA1340" s="3">
        <v>0</v>
      </c>
      <c r="AB1340" s="3" t="s">
        <v>1713</v>
      </c>
      <c r="AC1340" s="3">
        <v>2</v>
      </c>
      <c r="AD1340" s="3">
        <v>8.88</v>
      </c>
      <c r="AE1340" s="3">
        <v>0</v>
      </c>
      <c r="AF1340" s="3">
        <v>0</v>
      </c>
      <c r="AG1340" s="3">
        <v>0</v>
      </c>
      <c r="AH1340" s="3">
        <v>0</v>
      </c>
      <c r="AI1340" s="3" t="s">
        <v>1826</v>
      </c>
      <c r="AJ1340" s="3" t="s">
        <v>1715</v>
      </c>
    </row>
    <row r="1341" spans="1:36">
      <c r="A1341" s="4">
        <v>43277</v>
      </c>
      <c r="B1341" s="3" t="s">
        <v>5763</v>
      </c>
      <c r="C1341" s="3" t="s">
        <v>5764</v>
      </c>
      <c r="D1341" s="3" t="s">
        <v>5765</v>
      </c>
      <c r="E1341" s="3" t="s">
        <v>5766</v>
      </c>
      <c r="F1341" s="3" t="s">
        <v>1710</v>
      </c>
      <c r="G1341" s="3">
        <v>10</v>
      </c>
      <c r="H1341" s="3">
        <v>0</v>
      </c>
      <c r="I1341" s="3">
        <v>5</v>
      </c>
      <c r="J1341" s="3">
        <v>5</v>
      </c>
      <c r="K1341" s="3">
        <v>0</v>
      </c>
      <c r="L1341" s="3">
        <v>0</v>
      </c>
      <c r="M1341" s="3">
        <v>0</v>
      </c>
      <c r="N1341" s="3" t="s">
        <v>1711</v>
      </c>
      <c r="O1341" s="3">
        <v>0</v>
      </c>
      <c r="P1341" s="3">
        <v>0</v>
      </c>
      <c r="Q1341" s="3">
        <v>0</v>
      </c>
      <c r="R1341" s="3">
        <v>0</v>
      </c>
      <c r="S1341" s="3">
        <v>0</v>
      </c>
      <c r="T1341" s="3">
        <v>0</v>
      </c>
      <c r="U1341" s="3">
        <v>0</v>
      </c>
      <c r="V1341" s="3">
        <v>0</v>
      </c>
      <c r="W1341" s="3" t="s">
        <v>1712</v>
      </c>
      <c r="X1341" s="3">
        <v>19.99</v>
      </c>
      <c r="Y1341" s="3">
        <v>19.99</v>
      </c>
      <c r="Z1341" s="3">
        <v>19.99</v>
      </c>
      <c r="AA1341" s="3">
        <v>0</v>
      </c>
      <c r="AB1341" s="3" t="s">
        <v>1713</v>
      </c>
      <c r="AC1341" s="3">
        <v>10</v>
      </c>
      <c r="AD1341" s="3">
        <v>19.99</v>
      </c>
      <c r="AE1341" s="3">
        <v>0</v>
      </c>
      <c r="AF1341" s="3">
        <v>0</v>
      </c>
      <c r="AG1341" s="3">
        <v>0</v>
      </c>
      <c r="AH1341" s="3">
        <v>0</v>
      </c>
      <c r="AI1341" s="3" t="s">
        <v>1867</v>
      </c>
      <c r="AJ1341" s="3" t="s">
        <v>1715</v>
      </c>
    </row>
    <row r="1342" spans="1:36">
      <c r="A1342" s="4">
        <v>43277</v>
      </c>
      <c r="B1342" s="3" t="s">
        <v>5767</v>
      </c>
      <c r="C1342" s="3" t="s">
        <v>5768</v>
      </c>
      <c r="D1342" s="3" t="s">
        <v>5769</v>
      </c>
      <c r="E1342" s="3" t="s">
        <v>5770</v>
      </c>
      <c r="F1342" s="3" t="s">
        <v>1710</v>
      </c>
      <c r="G1342" s="3">
        <v>4</v>
      </c>
      <c r="H1342" s="3">
        <v>0</v>
      </c>
      <c r="I1342" s="3">
        <v>0</v>
      </c>
      <c r="J1342" s="3">
        <v>0</v>
      </c>
      <c r="K1342" s="3">
        <v>0</v>
      </c>
      <c r="L1342" s="3">
        <v>0</v>
      </c>
      <c r="M1342" s="3">
        <v>4</v>
      </c>
      <c r="N1342" s="3" t="s">
        <v>1711</v>
      </c>
      <c r="O1342" s="3">
        <v>0</v>
      </c>
      <c r="P1342" s="3">
        <v>0</v>
      </c>
      <c r="Q1342" s="3">
        <v>4</v>
      </c>
      <c r="R1342" s="3">
        <v>14.79</v>
      </c>
      <c r="S1342" s="3">
        <v>0</v>
      </c>
      <c r="T1342" s="3">
        <v>0</v>
      </c>
      <c r="U1342" s="3">
        <v>0</v>
      </c>
      <c r="V1342" s="3">
        <v>0</v>
      </c>
      <c r="W1342" s="3" t="s">
        <v>1720</v>
      </c>
      <c r="X1342" s="3">
        <v>19.99</v>
      </c>
      <c r="Y1342" s="3">
        <v>19.99</v>
      </c>
      <c r="Z1342" s="3">
        <v>19.99</v>
      </c>
      <c r="AA1342" s="3">
        <v>0</v>
      </c>
      <c r="AB1342" s="3" t="s">
        <v>1732</v>
      </c>
      <c r="AC1342" s="3">
        <v>0</v>
      </c>
      <c r="AD1342" s="3">
        <v>15.99</v>
      </c>
      <c r="AE1342" s="3">
        <v>63</v>
      </c>
      <c r="AF1342" s="3">
        <v>0</v>
      </c>
      <c r="AG1342" s="3">
        <v>94.575695</v>
      </c>
      <c r="AH1342" s="3">
        <v>0</v>
      </c>
      <c r="AI1342" s="3" t="s">
        <v>2573</v>
      </c>
      <c r="AJ1342" s="3" t="s">
        <v>1715</v>
      </c>
    </row>
    <row r="1343" spans="1:36">
      <c r="A1343" s="4">
        <v>43277</v>
      </c>
      <c r="B1343" s="3" t="s">
        <v>5771</v>
      </c>
      <c r="C1343" s="3" t="s">
        <v>5772</v>
      </c>
      <c r="D1343" s="3" t="s">
        <v>5773</v>
      </c>
      <c r="E1343" s="3" t="s">
        <v>5774</v>
      </c>
      <c r="F1343" s="3" t="s">
        <v>1710</v>
      </c>
      <c r="G1343" s="3">
        <v>13</v>
      </c>
      <c r="H1343" s="3">
        <v>0</v>
      </c>
      <c r="I1343" s="3">
        <v>13</v>
      </c>
      <c r="J1343" s="3">
        <v>0</v>
      </c>
      <c r="K1343" s="3">
        <v>0</v>
      </c>
      <c r="L1343" s="3">
        <v>0</v>
      </c>
      <c r="M1343" s="3">
        <v>0</v>
      </c>
      <c r="N1343" s="3" t="s">
        <v>1711</v>
      </c>
      <c r="O1343" s="3">
        <v>0</v>
      </c>
      <c r="P1343" s="3">
        <v>0</v>
      </c>
      <c r="Q1343" s="3">
        <v>0</v>
      </c>
      <c r="R1343" s="3">
        <v>0</v>
      </c>
      <c r="S1343" s="3">
        <v>1</v>
      </c>
      <c r="T1343" s="3">
        <v>4</v>
      </c>
      <c r="U1343" s="3">
        <v>9</v>
      </c>
      <c r="V1343" s="3">
        <v>15</v>
      </c>
      <c r="W1343" s="3"/>
      <c r="X1343" s="3">
        <v>28.99</v>
      </c>
      <c r="Y1343" s="3">
        <v>28.99</v>
      </c>
      <c r="Z1343" s="3">
        <v>28.99</v>
      </c>
      <c r="AA1343" s="3">
        <v>0</v>
      </c>
      <c r="AB1343" s="3" t="s">
        <v>1732</v>
      </c>
      <c r="AC1343" s="3">
        <v>3</v>
      </c>
      <c r="AD1343" s="3">
        <v>23.19</v>
      </c>
      <c r="AE1343" s="3">
        <v>154</v>
      </c>
      <c r="AF1343" s="3">
        <v>0</v>
      </c>
      <c r="AG1343" s="3">
        <v>62.33896</v>
      </c>
      <c r="AH1343" s="3">
        <v>1.09090909090909</v>
      </c>
      <c r="AI1343" s="3" t="s">
        <v>1800</v>
      </c>
      <c r="AJ1343" s="3" t="s">
        <v>1715</v>
      </c>
    </row>
    <row r="1344" spans="1:36">
      <c r="A1344" s="4">
        <v>43277</v>
      </c>
      <c r="B1344" s="3" t="s">
        <v>5775</v>
      </c>
      <c r="C1344" s="3" t="s">
        <v>5776</v>
      </c>
      <c r="D1344" s="3" t="s">
        <v>5777</v>
      </c>
      <c r="E1344" s="3" t="s">
        <v>1380</v>
      </c>
      <c r="F1344" s="3" t="s">
        <v>1710</v>
      </c>
      <c r="G1344" s="3">
        <v>10</v>
      </c>
      <c r="H1344" s="3">
        <v>0</v>
      </c>
      <c r="I1344" s="3">
        <v>10</v>
      </c>
      <c r="J1344" s="3">
        <v>0</v>
      </c>
      <c r="K1344" s="3">
        <v>0</v>
      </c>
      <c r="L1344" s="3">
        <v>0</v>
      </c>
      <c r="M1344" s="3">
        <v>0</v>
      </c>
      <c r="N1344" s="3" t="s">
        <v>1711</v>
      </c>
      <c r="O1344" s="3">
        <v>0</v>
      </c>
      <c r="P1344" s="3">
        <v>0</v>
      </c>
      <c r="Q1344" s="3">
        <v>0</v>
      </c>
      <c r="R1344" s="3">
        <v>0</v>
      </c>
      <c r="S1344" s="3">
        <v>3</v>
      </c>
      <c r="T1344" s="3">
        <v>8</v>
      </c>
      <c r="U1344" s="3">
        <v>14</v>
      </c>
      <c r="V1344" s="3">
        <v>19</v>
      </c>
      <c r="W1344" s="3"/>
      <c r="X1344" s="3">
        <v>25.99</v>
      </c>
      <c r="Y1344" s="3">
        <v>25.99</v>
      </c>
      <c r="Z1344" s="3">
        <v>25.99</v>
      </c>
      <c r="AA1344" s="3">
        <v>0</v>
      </c>
      <c r="AB1344" s="3" t="s">
        <v>1713</v>
      </c>
      <c r="AC1344" s="3">
        <v>12</v>
      </c>
      <c r="AD1344" s="3">
        <v>25.99</v>
      </c>
      <c r="AE1344" s="3">
        <v>0</v>
      </c>
      <c r="AF1344" s="3">
        <v>0</v>
      </c>
      <c r="AG1344" s="3">
        <v>0</v>
      </c>
      <c r="AH1344" s="3">
        <v>2.92307692307692</v>
      </c>
      <c r="AI1344" s="3" t="s">
        <v>2351</v>
      </c>
      <c r="AJ1344" s="3" t="s">
        <v>1715</v>
      </c>
    </row>
    <row r="1345" spans="1:36">
      <c r="A1345" s="4">
        <v>43277</v>
      </c>
      <c r="B1345" s="3" t="s">
        <v>5778</v>
      </c>
      <c r="C1345" s="3" t="s">
        <v>5779</v>
      </c>
      <c r="D1345" s="3" t="s">
        <v>5780</v>
      </c>
      <c r="E1345" s="3" t="s">
        <v>3690</v>
      </c>
      <c r="F1345" s="3" t="s">
        <v>1710</v>
      </c>
      <c r="G1345" s="3">
        <v>2</v>
      </c>
      <c r="H1345" s="3">
        <v>0</v>
      </c>
      <c r="I1345" s="3">
        <v>0</v>
      </c>
      <c r="J1345" s="3">
        <v>0</v>
      </c>
      <c r="K1345" s="3">
        <v>1</v>
      </c>
      <c r="L1345" s="3">
        <v>1</v>
      </c>
      <c r="M1345" s="3">
        <v>0</v>
      </c>
      <c r="N1345" s="3" t="s">
        <v>1711</v>
      </c>
      <c r="O1345" s="3">
        <v>2</v>
      </c>
      <c r="P1345" s="3">
        <v>1.19</v>
      </c>
      <c r="Q1345" s="3">
        <v>0</v>
      </c>
      <c r="R1345" s="3">
        <v>0</v>
      </c>
      <c r="S1345" s="3">
        <v>0</v>
      </c>
      <c r="T1345" s="3">
        <v>0</v>
      </c>
      <c r="U1345" s="3">
        <v>0</v>
      </c>
      <c r="V1345" s="3">
        <v>1</v>
      </c>
      <c r="W1345" s="3" t="s">
        <v>1720</v>
      </c>
      <c r="X1345" s="3">
        <v>16.99</v>
      </c>
      <c r="Y1345" s="3">
        <v>16.99</v>
      </c>
      <c r="Z1345" s="3">
        <v>16.99</v>
      </c>
      <c r="AA1345" s="3">
        <v>0</v>
      </c>
      <c r="AB1345" s="3" t="s">
        <v>1721</v>
      </c>
      <c r="AC1345" s="3">
        <v>0</v>
      </c>
      <c r="AD1345" s="3">
        <v>15.65</v>
      </c>
      <c r="AE1345" s="3">
        <v>98</v>
      </c>
      <c r="AF1345" s="3">
        <v>0</v>
      </c>
      <c r="AG1345" s="3">
        <v>28.469271</v>
      </c>
      <c r="AH1345" s="3">
        <v>0.444444444444444</v>
      </c>
      <c r="AI1345" s="3" t="s">
        <v>4293</v>
      </c>
      <c r="AJ1345" s="3" t="s">
        <v>2616</v>
      </c>
    </row>
    <row r="1346" spans="1:36">
      <c r="A1346" s="4">
        <v>43277</v>
      </c>
      <c r="B1346" s="3" t="s">
        <v>1228</v>
      </c>
      <c r="C1346" s="3" t="s">
        <v>1229</v>
      </c>
      <c r="D1346" s="3" t="s">
        <v>1230</v>
      </c>
      <c r="E1346" s="3" t="s">
        <v>1231</v>
      </c>
      <c r="F1346" s="3" t="s">
        <v>1710</v>
      </c>
      <c r="G1346" s="3">
        <v>7</v>
      </c>
      <c r="H1346" s="3">
        <v>0</v>
      </c>
      <c r="I1346" s="3">
        <v>7</v>
      </c>
      <c r="J1346" s="3">
        <v>0</v>
      </c>
      <c r="K1346" s="3">
        <v>0</v>
      </c>
      <c r="L1346" s="3">
        <v>0</v>
      </c>
      <c r="M1346" s="3">
        <v>0</v>
      </c>
      <c r="N1346" s="3" t="s">
        <v>1711</v>
      </c>
      <c r="O1346" s="3">
        <v>0</v>
      </c>
      <c r="P1346" s="3">
        <v>0</v>
      </c>
      <c r="Q1346" s="3">
        <v>0</v>
      </c>
      <c r="R1346" s="3">
        <v>0</v>
      </c>
      <c r="S1346" s="3">
        <v>9</v>
      </c>
      <c r="T1346" s="3">
        <v>13</v>
      </c>
      <c r="U1346" s="3">
        <v>13</v>
      </c>
      <c r="V1346" s="3">
        <v>13</v>
      </c>
      <c r="W1346" s="3"/>
      <c r="X1346" s="3">
        <v>25.99</v>
      </c>
      <c r="Y1346" s="3">
        <v>25.99</v>
      </c>
      <c r="Z1346" s="3">
        <v>25.99</v>
      </c>
      <c r="AA1346" s="3">
        <v>0</v>
      </c>
      <c r="AB1346" s="3" t="s">
        <v>1732</v>
      </c>
      <c r="AC1346" s="3">
        <v>5</v>
      </c>
      <c r="AD1346" s="3">
        <v>24.33</v>
      </c>
      <c r="AE1346" s="3">
        <v>105</v>
      </c>
      <c r="AF1346" s="3">
        <v>0</v>
      </c>
      <c r="AG1346" s="3">
        <v>252.540942</v>
      </c>
      <c r="AH1346" s="3">
        <v>1.85714285714285</v>
      </c>
      <c r="AI1346" s="3" t="s">
        <v>1881</v>
      </c>
      <c r="AJ1346" s="3" t="s">
        <v>1715</v>
      </c>
    </row>
    <row r="1347" spans="1:36">
      <c r="A1347" s="4">
        <v>43277</v>
      </c>
      <c r="B1347" s="3" t="s">
        <v>5781</v>
      </c>
      <c r="C1347" s="3" t="s">
        <v>5782</v>
      </c>
      <c r="D1347" s="3" t="s">
        <v>5783</v>
      </c>
      <c r="E1347" s="3" t="s">
        <v>5784</v>
      </c>
      <c r="F1347" s="3" t="s">
        <v>1710</v>
      </c>
      <c r="G1347" s="3">
        <v>10</v>
      </c>
      <c r="H1347" s="3">
        <v>0</v>
      </c>
      <c r="I1347" s="3">
        <v>0</v>
      </c>
      <c r="J1347" s="3">
        <v>0</v>
      </c>
      <c r="K1347" s="3">
        <v>10</v>
      </c>
      <c r="L1347" s="3">
        <v>0</v>
      </c>
      <c r="M1347" s="3">
        <v>0</v>
      </c>
      <c r="N1347" s="3" t="s">
        <v>1711</v>
      </c>
      <c r="O1347" s="3">
        <v>10</v>
      </c>
      <c r="P1347" s="3">
        <v>15.63</v>
      </c>
      <c r="Q1347" s="3">
        <v>0</v>
      </c>
      <c r="R1347" s="3">
        <v>0</v>
      </c>
      <c r="S1347" s="3">
        <v>0</v>
      </c>
      <c r="T1347" s="3">
        <v>0</v>
      </c>
      <c r="U1347" s="3">
        <v>0</v>
      </c>
      <c r="V1347" s="3">
        <v>0</v>
      </c>
      <c r="W1347" s="3" t="s">
        <v>1720</v>
      </c>
      <c r="X1347" s="3">
        <v>18.99</v>
      </c>
      <c r="Y1347" s="3">
        <v>18.99</v>
      </c>
      <c r="Z1347" s="3">
        <v>18.99</v>
      </c>
      <c r="AA1347" s="3">
        <v>0</v>
      </c>
      <c r="AB1347" s="3" t="s">
        <v>1732</v>
      </c>
      <c r="AC1347" s="3">
        <v>0</v>
      </c>
      <c r="AD1347" s="3">
        <v>15.19</v>
      </c>
      <c r="AE1347" s="3">
        <v>63</v>
      </c>
      <c r="AF1347" s="3">
        <v>0</v>
      </c>
      <c r="AG1347" s="3">
        <v>184.935405</v>
      </c>
      <c r="AH1347" s="3">
        <v>0</v>
      </c>
      <c r="AI1347" s="3" t="s">
        <v>2002</v>
      </c>
      <c r="AJ1347" s="3" t="s">
        <v>1715</v>
      </c>
    </row>
    <row r="1348" spans="1:36">
      <c r="A1348" s="4">
        <v>43277</v>
      </c>
      <c r="B1348" s="3" t="s">
        <v>5785</v>
      </c>
      <c r="C1348" s="3" t="s">
        <v>5786</v>
      </c>
      <c r="D1348" s="3" t="s">
        <v>5787</v>
      </c>
      <c r="E1348" s="3" t="s">
        <v>5788</v>
      </c>
      <c r="F1348" s="3" t="s">
        <v>1710</v>
      </c>
      <c r="G1348" s="3">
        <v>1</v>
      </c>
      <c r="H1348" s="3">
        <v>0</v>
      </c>
      <c r="I1348" s="3">
        <v>1</v>
      </c>
      <c r="J1348" s="3">
        <v>0</v>
      </c>
      <c r="K1348" s="3">
        <v>0</v>
      </c>
      <c r="L1348" s="3">
        <v>0</v>
      </c>
      <c r="M1348" s="3">
        <v>0</v>
      </c>
      <c r="N1348" s="3" t="s">
        <v>1711</v>
      </c>
      <c r="O1348" s="3">
        <v>0</v>
      </c>
      <c r="P1348" s="3">
        <v>0</v>
      </c>
      <c r="Q1348" s="3">
        <v>0</v>
      </c>
      <c r="R1348" s="3">
        <v>0</v>
      </c>
      <c r="S1348" s="3">
        <v>0</v>
      </c>
      <c r="T1348" s="3">
        <v>1</v>
      </c>
      <c r="U1348" s="3">
        <v>1</v>
      </c>
      <c r="V1348" s="3">
        <v>1</v>
      </c>
      <c r="W1348" s="3" t="s">
        <v>1720</v>
      </c>
      <c r="X1348" s="3">
        <v>18.99</v>
      </c>
      <c r="Y1348" s="3">
        <v>18.99</v>
      </c>
      <c r="Z1348" s="3">
        <v>18.99</v>
      </c>
      <c r="AA1348" s="3">
        <v>0</v>
      </c>
      <c r="AB1348" s="3" t="s">
        <v>1721</v>
      </c>
      <c r="AC1348" s="3">
        <v>0</v>
      </c>
      <c r="AD1348" s="3">
        <v>0</v>
      </c>
      <c r="AE1348" s="3">
        <v>0</v>
      </c>
      <c r="AF1348" s="3">
        <v>0</v>
      </c>
      <c r="AG1348" s="3">
        <v>0</v>
      </c>
      <c r="AH1348" s="3">
        <v>1</v>
      </c>
      <c r="AI1348" s="3" t="s">
        <v>1856</v>
      </c>
      <c r="AJ1348" s="3" t="s">
        <v>1715</v>
      </c>
    </row>
    <row r="1349" spans="1:36">
      <c r="A1349" s="4">
        <v>43277</v>
      </c>
      <c r="B1349" s="3" t="s">
        <v>5789</v>
      </c>
      <c r="C1349" s="3" t="s">
        <v>5790</v>
      </c>
      <c r="D1349" s="3" t="s">
        <v>5791</v>
      </c>
      <c r="E1349" s="3" t="s">
        <v>1136</v>
      </c>
      <c r="F1349" s="3" t="s">
        <v>1710</v>
      </c>
      <c r="G1349" s="3">
        <v>18</v>
      </c>
      <c r="H1349" s="3">
        <v>0</v>
      </c>
      <c r="I1349" s="3">
        <v>18</v>
      </c>
      <c r="J1349" s="3">
        <v>0</v>
      </c>
      <c r="K1349" s="3">
        <v>0</v>
      </c>
      <c r="L1349" s="3">
        <v>0</v>
      </c>
      <c r="M1349" s="3">
        <v>0</v>
      </c>
      <c r="N1349" s="3" t="s">
        <v>1711</v>
      </c>
      <c r="O1349" s="3">
        <v>0</v>
      </c>
      <c r="P1349" s="3">
        <v>0</v>
      </c>
      <c r="Q1349" s="3">
        <v>0</v>
      </c>
      <c r="R1349" s="3">
        <v>0</v>
      </c>
      <c r="S1349" s="3">
        <v>1</v>
      </c>
      <c r="T1349" s="3">
        <v>2</v>
      </c>
      <c r="U1349" s="3">
        <v>2</v>
      </c>
      <c r="V1349" s="3">
        <v>2</v>
      </c>
      <c r="W1349" s="3"/>
      <c r="X1349" s="3">
        <v>21.99</v>
      </c>
      <c r="Y1349" s="3">
        <v>21.99</v>
      </c>
      <c r="Z1349" s="3">
        <v>21.99</v>
      </c>
      <c r="AA1349" s="3">
        <v>0</v>
      </c>
      <c r="AB1349" s="3" t="s">
        <v>1732</v>
      </c>
      <c r="AC1349" s="3">
        <v>9</v>
      </c>
      <c r="AD1349" s="3">
        <v>20.79</v>
      </c>
      <c r="AE1349" s="3">
        <v>77</v>
      </c>
      <c r="AF1349" s="3">
        <v>0</v>
      </c>
      <c r="AG1349" s="3">
        <v>240.535861</v>
      </c>
      <c r="AH1349" s="3">
        <v>0.111111111111111</v>
      </c>
      <c r="AI1349" s="3" t="s">
        <v>5792</v>
      </c>
      <c r="AJ1349" s="3" t="s">
        <v>1715</v>
      </c>
    </row>
    <row r="1350" spans="1:36">
      <c r="A1350" s="4">
        <v>43277</v>
      </c>
      <c r="B1350" s="3" t="s">
        <v>5793</v>
      </c>
      <c r="C1350" s="3" t="s">
        <v>5794</v>
      </c>
      <c r="D1350" s="3" t="s">
        <v>5795</v>
      </c>
      <c r="E1350" s="3" t="s">
        <v>5796</v>
      </c>
      <c r="F1350" s="3" t="s">
        <v>1710</v>
      </c>
      <c r="G1350" s="3">
        <v>10</v>
      </c>
      <c r="H1350" s="3">
        <v>0</v>
      </c>
      <c r="I1350" s="3">
        <v>10</v>
      </c>
      <c r="J1350" s="3">
        <v>0</v>
      </c>
      <c r="K1350" s="3">
        <v>0</v>
      </c>
      <c r="L1350" s="3">
        <v>0</v>
      </c>
      <c r="M1350" s="3">
        <v>0</v>
      </c>
      <c r="N1350" s="3" t="s">
        <v>1711</v>
      </c>
      <c r="O1350" s="3">
        <v>0</v>
      </c>
      <c r="P1350" s="3">
        <v>0</v>
      </c>
      <c r="Q1350" s="3">
        <v>0</v>
      </c>
      <c r="R1350" s="3">
        <v>0</v>
      </c>
      <c r="S1350" s="3">
        <v>0</v>
      </c>
      <c r="T1350" s="3">
        <v>7</v>
      </c>
      <c r="U1350" s="3">
        <v>13</v>
      </c>
      <c r="V1350" s="3">
        <v>18</v>
      </c>
      <c r="W1350" s="3"/>
      <c r="X1350" s="3">
        <v>28.99</v>
      </c>
      <c r="Y1350" s="3">
        <v>15.99</v>
      </c>
      <c r="Z1350" s="3">
        <v>15.55</v>
      </c>
      <c r="AA1350" s="3">
        <v>0</v>
      </c>
      <c r="AB1350" s="3" t="s">
        <v>1713</v>
      </c>
      <c r="AC1350" s="3">
        <v>0</v>
      </c>
      <c r="AD1350" s="3">
        <v>0</v>
      </c>
      <c r="AE1350" s="3">
        <v>0</v>
      </c>
      <c r="AF1350" s="3">
        <v>0</v>
      </c>
      <c r="AG1350" s="3">
        <v>0</v>
      </c>
      <c r="AH1350" s="3">
        <v>2.57142857142857</v>
      </c>
      <c r="AI1350" s="3" t="s">
        <v>2036</v>
      </c>
      <c r="AJ1350" s="3" t="s">
        <v>1715</v>
      </c>
    </row>
    <row r="1351" spans="1:36">
      <c r="A1351" s="4">
        <v>43277</v>
      </c>
      <c r="B1351" s="3" t="s">
        <v>5797</v>
      </c>
      <c r="C1351" s="3" t="s">
        <v>5798</v>
      </c>
      <c r="D1351" s="3" t="s">
        <v>5799</v>
      </c>
      <c r="E1351" s="3" t="s">
        <v>2402</v>
      </c>
      <c r="F1351" s="3" t="s">
        <v>1710</v>
      </c>
      <c r="G1351" s="3">
        <v>6</v>
      </c>
      <c r="H1351" s="3">
        <v>0</v>
      </c>
      <c r="I1351" s="3">
        <v>0</v>
      </c>
      <c r="J1351" s="3">
        <v>1</v>
      </c>
      <c r="K1351" s="3">
        <v>5</v>
      </c>
      <c r="L1351" s="3">
        <v>0</v>
      </c>
      <c r="M1351" s="3">
        <v>0</v>
      </c>
      <c r="N1351" s="3" t="s">
        <v>1711</v>
      </c>
      <c r="O1351" s="3">
        <v>6</v>
      </c>
      <c r="P1351" s="3">
        <v>21.77</v>
      </c>
      <c r="Q1351" s="3">
        <v>0</v>
      </c>
      <c r="R1351" s="3">
        <v>0</v>
      </c>
      <c r="S1351" s="3">
        <v>0</v>
      </c>
      <c r="T1351" s="3">
        <v>0</v>
      </c>
      <c r="U1351" s="3">
        <v>0</v>
      </c>
      <c r="V1351" s="3">
        <v>0</v>
      </c>
      <c r="W1351" s="3" t="s">
        <v>1712</v>
      </c>
      <c r="X1351" s="3">
        <v>29.99</v>
      </c>
      <c r="Y1351" s="3">
        <v>29.99</v>
      </c>
      <c r="Z1351" s="3">
        <v>28.99</v>
      </c>
      <c r="AA1351" s="3">
        <v>0</v>
      </c>
      <c r="AB1351" s="3" t="s">
        <v>1732</v>
      </c>
      <c r="AC1351" s="3">
        <v>0</v>
      </c>
      <c r="AD1351" s="3">
        <v>25.79</v>
      </c>
      <c r="AE1351" s="3">
        <v>175</v>
      </c>
      <c r="AF1351" s="3">
        <v>0</v>
      </c>
      <c r="AG1351" s="3">
        <v>299.587984</v>
      </c>
      <c r="AH1351" s="3">
        <v>0</v>
      </c>
      <c r="AI1351" s="3" t="s">
        <v>1831</v>
      </c>
      <c r="AJ1351" s="3" t="s">
        <v>1715</v>
      </c>
    </row>
    <row r="1352" spans="1:36">
      <c r="A1352" s="4">
        <v>43277</v>
      </c>
      <c r="B1352" s="3" t="s">
        <v>5800</v>
      </c>
      <c r="C1352" s="3" t="s">
        <v>5801</v>
      </c>
      <c r="D1352" s="3" t="s">
        <v>5802</v>
      </c>
      <c r="E1352" s="3" t="s">
        <v>4518</v>
      </c>
      <c r="F1352" s="3" t="s">
        <v>1710</v>
      </c>
      <c r="G1352" s="3">
        <v>34</v>
      </c>
      <c r="H1352" s="3">
        <v>0</v>
      </c>
      <c r="I1352" s="3">
        <v>0</v>
      </c>
      <c r="J1352" s="3">
        <v>3</v>
      </c>
      <c r="K1352" s="3">
        <v>31</v>
      </c>
      <c r="L1352" s="3">
        <v>0</v>
      </c>
      <c r="M1352" s="3">
        <v>0</v>
      </c>
      <c r="N1352" s="3" t="s">
        <v>1711</v>
      </c>
      <c r="O1352" s="3">
        <v>32</v>
      </c>
      <c r="P1352" s="3">
        <v>116.08</v>
      </c>
      <c r="Q1352" s="3">
        <v>0</v>
      </c>
      <c r="R1352" s="3">
        <v>0</v>
      </c>
      <c r="S1352" s="3">
        <v>0</v>
      </c>
      <c r="T1352" s="3">
        <v>1</v>
      </c>
      <c r="U1352" s="3">
        <v>2</v>
      </c>
      <c r="V1352" s="3">
        <v>3</v>
      </c>
      <c r="W1352" s="3" t="s">
        <v>1712</v>
      </c>
      <c r="X1352" s="3">
        <v>27.99</v>
      </c>
      <c r="Y1352" s="3">
        <v>27.99</v>
      </c>
      <c r="Z1352" s="3">
        <v>25.99</v>
      </c>
      <c r="AA1352" s="3">
        <v>0</v>
      </c>
      <c r="AB1352" s="3" t="s">
        <v>1732</v>
      </c>
      <c r="AC1352" s="3">
        <v>1</v>
      </c>
      <c r="AD1352" s="3">
        <v>24.27</v>
      </c>
      <c r="AE1352" s="3">
        <v>119</v>
      </c>
      <c r="AF1352" s="3">
        <v>0</v>
      </c>
      <c r="AG1352" s="3">
        <v>1715.00499</v>
      </c>
      <c r="AH1352" s="3">
        <v>0.0845070422535211</v>
      </c>
      <c r="AI1352" s="3" t="s">
        <v>1831</v>
      </c>
      <c r="AJ1352" s="3" t="s">
        <v>1715</v>
      </c>
    </row>
    <row r="1353" spans="1:36">
      <c r="A1353" s="4">
        <v>43277</v>
      </c>
      <c r="B1353" s="3" t="s">
        <v>5803</v>
      </c>
      <c r="C1353" s="3" t="s">
        <v>5804</v>
      </c>
      <c r="D1353" s="3" t="s">
        <v>5805</v>
      </c>
      <c r="E1353" s="3" t="s">
        <v>3581</v>
      </c>
      <c r="F1353" s="3" t="s">
        <v>1710</v>
      </c>
      <c r="G1353" s="3">
        <v>1</v>
      </c>
      <c r="H1353" s="3">
        <v>0</v>
      </c>
      <c r="I1353" s="3">
        <v>1</v>
      </c>
      <c r="J1353" s="3">
        <v>0</v>
      </c>
      <c r="K1353" s="3">
        <v>0</v>
      </c>
      <c r="L1353" s="3">
        <v>0</v>
      </c>
      <c r="M1353" s="3">
        <v>0</v>
      </c>
      <c r="N1353" s="3" t="s">
        <v>1711</v>
      </c>
      <c r="O1353" s="3">
        <v>0</v>
      </c>
      <c r="P1353" s="3">
        <v>0</v>
      </c>
      <c r="Q1353" s="3">
        <v>0</v>
      </c>
      <c r="R1353" s="3">
        <v>0</v>
      </c>
      <c r="S1353" s="3">
        <v>0</v>
      </c>
      <c r="T1353" s="3">
        <v>1</v>
      </c>
      <c r="U1353" s="3">
        <v>3</v>
      </c>
      <c r="V1353" s="3">
        <v>3</v>
      </c>
      <c r="W1353" s="3" t="s">
        <v>1720</v>
      </c>
      <c r="X1353" s="3">
        <v>8.88</v>
      </c>
      <c r="Y1353" s="3">
        <v>8.88</v>
      </c>
      <c r="Z1353" s="3">
        <v>8.88</v>
      </c>
      <c r="AA1353" s="3">
        <v>0</v>
      </c>
      <c r="AB1353" s="3" t="s">
        <v>1721</v>
      </c>
      <c r="AC1353" s="3">
        <v>1</v>
      </c>
      <c r="AD1353" s="3">
        <v>8.88</v>
      </c>
      <c r="AE1353" s="3">
        <v>0</v>
      </c>
      <c r="AF1353" s="3">
        <v>0</v>
      </c>
      <c r="AG1353" s="3">
        <v>0</v>
      </c>
      <c r="AH1353" s="3">
        <v>1.5</v>
      </c>
      <c r="AI1353" s="3" t="s">
        <v>1826</v>
      </c>
      <c r="AJ1353" s="3" t="s">
        <v>1715</v>
      </c>
    </row>
    <row r="1354" spans="1:36">
      <c r="A1354" s="4">
        <v>43277</v>
      </c>
      <c r="B1354" s="3" t="s">
        <v>260</v>
      </c>
      <c r="C1354" s="3" t="s">
        <v>261</v>
      </c>
      <c r="D1354" s="3" t="s">
        <v>262</v>
      </c>
      <c r="E1354" s="3" t="s">
        <v>263</v>
      </c>
      <c r="F1354" s="3" t="s">
        <v>1710</v>
      </c>
      <c r="G1354" s="3">
        <v>15</v>
      </c>
      <c r="H1354" s="3">
        <v>0</v>
      </c>
      <c r="I1354" s="3">
        <v>15</v>
      </c>
      <c r="J1354" s="3">
        <v>0</v>
      </c>
      <c r="K1354" s="3">
        <v>0</v>
      </c>
      <c r="L1354" s="3">
        <v>0</v>
      </c>
      <c r="M1354" s="3">
        <v>0</v>
      </c>
      <c r="N1354" s="3" t="s">
        <v>1711</v>
      </c>
      <c r="O1354" s="3">
        <v>0</v>
      </c>
      <c r="P1354" s="3">
        <v>0</v>
      </c>
      <c r="Q1354" s="3">
        <v>0</v>
      </c>
      <c r="R1354" s="3">
        <v>0</v>
      </c>
      <c r="S1354" s="3">
        <v>2</v>
      </c>
      <c r="T1354" s="3">
        <v>7</v>
      </c>
      <c r="U1354" s="3">
        <v>26</v>
      </c>
      <c r="V1354" s="3">
        <v>53</v>
      </c>
      <c r="W1354" s="3"/>
      <c r="X1354" s="3">
        <v>27.99</v>
      </c>
      <c r="Y1354" s="3">
        <v>27.99</v>
      </c>
      <c r="Z1354" s="3">
        <v>25.99</v>
      </c>
      <c r="AA1354" s="3">
        <v>0</v>
      </c>
      <c r="AB1354" s="3" t="s">
        <v>1713</v>
      </c>
      <c r="AC1354" s="3">
        <v>15</v>
      </c>
      <c r="AD1354" s="3">
        <v>27.99</v>
      </c>
      <c r="AE1354" s="3">
        <v>0</v>
      </c>
      <c r="AF1354" s="3">
        <v>0</v>
      </c>
      <c r="AG1354" s="3">
        <v>0</v>
      </c>
      <c r="AH1354" s="3">
        <v>2.78947368421052</v>
      </c>
      <c r="AI1354" s="3" t="s">
        <v>2094</v>
      </c>
      <c r="AJ1354" s="3" t="s">
        <v>1715</v>
      </c>
    </row>
    <row r="1355" spans="1:36">
      <c r="A1355" s="4">
        <v>43277</v>
      </c>
      <c r="B1355" s="3" t="s">
        <v>5806</v>
      </c>
      <c r="C1355" s="3" t="s">
        <v>5807</v>
      </c>
      <c r="D1355" s="3" t="s">
        <v>5808</v>
      </c>
      <c r="E1355" s="3" t="s">
        <v>5809</v>
      </c>
      <c r="F1355" s="3" t="s">
        <v>1710</v>
      </c>
      <c r="G1355" s="3">
        <v>69</v>
      </c>
      <c r="H1355" s="3">
        <v>0</v>
      </c>
      <c r="I1355" s="3">
        <v>7</v>
      </c>
      <c r="J1355" s="3">
        <v>9</v>
      </c>
      <c r="K1355" s="3">
        <v>53</v>
      </c>
      <c r="L1355" s="3">
        <v>0</v>
      </c>
      <c r="M1355" s="3">
        <v>0</v>
      </c>
      <c r="N1355" s="3" t="s">
        <v>1711</v>
      </c>
      <c r="O1355" s="3">
        <v>60</v>
      </c>
      <c r="P1355" s="3">
        <v>64.35</v>
      </c>
      <c r="Q1355" s="3">
        <v>0</v>
      </c>
      <c r="R1355" s="3">
        <v>0</v>
      </c>
      <c r="S1355" s="3">
        <v>0</v>
      </c>
      <c r="T1355" s="3">
        <v>1</v>
      </c>
      <c r="U1355" s="3">
        <v>3</v>
      </c>
      <c r="V1355" s="3">
        <v>15</v>
      </c>
      <c r="W1355" s="3"/>
      <c r="X1355" s="3">
        <v>16.99</v>
      </c>
      <c r="Y1355" s="3">
        <v>16.99</v>
      </c>
      <c r="Z1355" s="3">
        <v>16</v>
      </c>
      <c r="AA1355" s="3">
        <v>0</v>
      </c>
      <c r="AB1355" s="3" t="s">
        <v>1732</v>
      </c>
      <c r="AC1355" s="3">
        <v>20</v>
      </c>
      <c r="AD1355" s="3">
        <v>13.59</v>
      </c>
      <c r="AE1355" s="3">
        <v>364</v>
      </c>
      <c r="AF1355" s="3">
        <v>0</v>
      </c>
      <c r="AG1355" s="3">
        <v>209.110514</v>
      </c>
      <c r="AH1355" s="3">
        <v>0.17910447761194</v>
      </c>
      <c r="AI1355" s="3" t="s">
        <v>5810</v>
      </c>
      <c r="AJ1355" s="3" t="s">
        <v>1715</v>
      </c>
    </row>
    <row r="1356" spans="1:36">
      <c r="A1356" s="4">
        <v>43277</v>
      </c>
      <c r="B1356" s="3" t="s">
        <v>5811</v>
      </c>
      <c r="C1356" s="3" t="s">
        <v>5812</v>
      </c>
      <c r="D1356" s="3" t="s">
        <v>5813</v>
      </c>
      <c r="E1356" s="3" t="s">
        <v>353</v>
      </c>
      <c r="F1356" s="3" t="s">
        <v>1710</v>
      </c>
      <c r="G1356" s="3">
        <v>17</v>
      </c>
      <c r="H1356" s="3">
        <v>0</v>
      </c>
      <c r="I1356" s="3">
        <v>17</v>
      </c>
      <c r="J1356" s="3">
        <v>0</v>
      </c>
      <c r="K1356" s="3">
        <v>0</v>
      </c>
      <c r="L1356" s="3">
        <v>0</v>
      </c>
      <c r="M1356" s="3">
        <v>0</v>
      </c>
      <c r="N1356" s="3" t="s">
        <v>1711</v>
      </c>
      <c r="O1356" s="3">
        <v>0</v>
      </c>
      <c r="P1356" s="3">
        <v>0</v>
      </c>
      <c r="Q1356" s="3">
        <v>0</v>
      </c>
      <c r="R1356" s="3">
        <v>0</v>
      </c>
      <c r="S1356" s="3">
        <v>3</v>
      </c>
      <c r="T1356" s="3">
        <v>12</v>
      </c>
      <c r="U1356" s="3">
        <v>18</v>
      </c>
      <c r="V1356" s="3">
        <v>19</v>
      </c>
      <c r="W1356" s="3"/>
      <c r="X1356" s="3">
        <v>25.58</v>
      </c>
      <c r="Y1356" s="3">
        <v>25.58</v>
      </c>
      <c r="Z1356" s="3">
        <v>25.58</v>
      </c>
      <c r="AA1356" s="3">
        <v>0</v>
      </c>
      <c r="AB1356" s="3" t="s">
        <v>1713</v>
      </c>
      <c r="AC1356" s="3">
        <v>16</v>
      </c>
      <c r="AD1356" s="3">
        <v>25.58</v>
      </c>
      <c r="AE1356" s="3">
        <v>0</v>
      </c>
      <c r="AF1356" s="3">
        <v>0</v>
      </c>
      <c r="AG1356" s="3">
        <v>0</v>
      </c>
      <c r="AH1356" s="3">
        <v>2.375</v>
      </c>
      <c r="AI1356" s="3" t="s">
        <v>2776</v>
      </c>
      <c r="AJ1356" s="3" t="s">
        <v>1715</v>
      </c>
    </row>
    <row r="1357" spans="1:36">
      <c r="A1357" s="4">
        <v>43277</v>
      </c>
      <c r="B1357" s="3" t="s">
        <v>5814</v>
      </c>
      <c r="C1357" s="3" t="s">
        <v>5815</v>
      </c>
      <c r="D1357" s="3" t="s">
        <v>5816</v>
      </c>
      <c r="E1357" s="3" t="s">
        <v>5817</v>
      </c>
      <c r="F1357" s="3" t="s">
        <v>1710</v>
      </c>
      <c r="G1357" s="3">
        <v>6</v>
      </c>
      <c r="H1357" s="3">
        <v>0</v>
      </c>
      <c r="I1357" s="3">
        <v>6</v>
      </c>
      <c r="J1357" s="3">
        <v>0</v>
      </c>
      <c r="K1357" s="3">
        <v>0</v>
      </c>
      <c r="L1357" s="3">
        <v>0</v>
      </c>
      <c r="M1357" s="3">
        <v>0</v>
      </c>
      <c r="N1357" s="3" t="s">
        <v>1711</v>
      </c>
      <c r="O1357" s="3">
        <v>0</v>
      </c>
      <c r="P1357" s="3">
        <v>0</v>
      </c>
      <c r="Q1357" s="3">
        <v>0</v>
      </c>
      <c r="R1357" s="3">
        <v>0</v>
      </c>
      <c r="S1357" s="3">
        <v>2</v>
      </c>
      <c r="T1357" s="3">
        <v>6</v>
      </c>
      <c r="U1357" s="3">
        <v>8</v>
      </c>
      <c r="V1357" s="3">
        <v>9</v>
      </c>
      <c r="W1357" s="3"/>
      <c r="X1357" s="3">
        <v>15.99</v>
      </c>
      <c r="Y1357" s="3">
        <v>15.99</v>
      </c>
      <c r="Z1357" s="3">
        <v>15.55</v>
      </c>
      <c r="AA1357" s="3">
        <v>0</v>
      </c>
      <c r="AB1357" s="3" t="s">
        <v>1713</v>
      </c>
      <c r="AC1357" s="3">
        <v>6</v>
      </c>
      <c r="AD1357" s="3">
        <v>15.99</v>
      </c>
      <c r="AE1357" s="3">
        <v>0</v>
      </c>
      <c r="AF1357" s="3">
        <v>0</v>
      </c>
      <c r="AG1357" s="3">
        <v>0</v>
      </c>
      <c r="AH1357" s="3">
        <v>1.63636363636363</v>
      </c>
      <c r="AI1357" s="3" t="s">
        <v>2082</v>
      </c>
      <c r="AJ1357" s="3" t="s">
        <v>1715</v>
      </c>
    </row>
    <row r="1358" spans="1:36">
      <c r="A1358" s="4">
        <v>43277</v>
      </c>
      <c r="B1358" s="3" t="s">
        <v>5818</v>
      </c>
      <c r="C1358" s="3" t="s">
        <v>5819</v>
      </c>
      <c r="D1358" s="3" t="s">
        <v>5820</v>
      </c>
      <c r="E1358" s="3" t="s">
        <v>1755</v>
      </c>
      <c r="F1358" s="3" t="s">
        <v>1710</v>
      </c>
      <c r="G1358" s="3">
        <v>10</v>
      </c>
      <c r="H1358" s="3">
        <v>0</v>
      </c>
      <c r="I1358" s="3">
        <v>10</v>
      </c>
      <c r="J1358" s="3">
        <v>0</v>
      </c>
      <c r="K1358" s="3">
        <v>0</v>
      </c>
      <c r="L1358" s="3">
        <v>0</v>
      </c>
      <c r="M1358" s="3">
        <v>0</v>
      </c>
      <c r="N1358" s="3" t="s">
        <v>1711</v>
      </c>
      <c r="O1358" s="3">
        <v>0</v>
      </c>
      <c r="P1358" s="3">
        <v>0</v>
      </c>
      <c r="Q1358" s="3">
        <v>0</v>
      </c>
      <c r="R1358" s="3">
        <v>0</v>
      </c>
      <c r="S1358" s="3">
        <v>0</v>
      </c>
      <c r="T1358" s="3">
        <v>0</v>
      </c>
      <c r="U1358" s="3">
        <v>0</v>
      </c>
      <c r="V1358" s="3">
        <v>0</v>
      </c>
      <c r="W1358" s="3" t="s">
        <v>1720</v>
      </c>
      <c r="X1358" s="3">
        <v>15.99</v>
      </c>
      <c r="Y1358" s="3">
        <v>15.99</v>
      </c>
      <c r="Z1358" s="3">
        <v>15.99</v>
      </c>
      <c r="AA1358" s="3">
        <v>0</v>
      </c>
      <c r="AB1358" s="3" t="s">
        <v>1721</v>
      </c>
      <c r="AC1358" s="3">
        <v>10</v>
      </c>
      <c r="AD1358" s="3">
        <v>15.99</v>
      </c>
      <c r="AE1358" s="3">
        <v>0</v>
      </c>
      <c r="AF1358" s="3">
        <v>0</v>
      </c>
      <c r="AG1358" s="3">
        <v>0</v>
      </c>
      <c r="AH1358" s="3">
        <v>0</v>
      </c>
      <c r="AI1358" s="3" t="s">
        <v>1756</v>
      </c>
      <c r="AJ1358" s="3" t="s">
        <v>1715</v>
      </c>
    </row>
    <row r="1359" spans="1:36">
      <c r="A1359" s="4">
        <v>43277</v>
      </c>
      <c r="B1359" s="3" t="s">
        <v>5821</v>
      </c>
      <c r="C1359" s="3" t="s">
        <v>5822</v>
      </c>
      <c r="D1359" s="3" t="s">
        <v>5823</v>
      </c>
      <c r="E1359" s="3" t="s">
        <v>5824</v>
      </c>
      <c r="F1359" s="3" t="s">
        <v>1710</v>
      </c>
      <c r="G1359" s="3">
        <v>7</v>
      </c>
      <c r="H1359" s="3">
        <v>0</v>
      </c>
      <c r="I1359" s="3">
        <v>2</v>
      </c>
      <c r="J1359" s="3">
        <v>2</v>
      </c>
      <c r="K1359" s="3">
        <v>0</v>
      </c>
      <c r="L1359" s="3">
        <v>0</v>
      </c>
      <c r="M1359" s="3">
        <v>3</v>
      </c>
      <c r="N1359" s="3" t="s">
        <v>1711</v>
      </c>
      <c r="O1359" s="3">
        <v>2</v>
      </c>
      <c r="P1359" s="3">
        <v>1.37</v>
      </c>
      <c r="Q1359" s="3">
        <v>3</v>
      </c>
      <c r="R1359" s="3">
        <v>4.11</v>
      </c>
      <c r="S1359" s="3">
        <v>0</v>
      </c>
      <c r="T1359" s="3">
        <v>4</v>
      </c>
      <c r="U1359" s="3">
        <v>4</v>
      </c>
      <c r="V1359" s="3">
        <v>6</v>
      </c>
      <c r="W1359" s="3"/>
      <c r="X1359" s="3">
        <v>17.99</v>
      </c>
      <c r="Y1359" s="3">
        <v>17.99</v>
      </c>
      <c r="Z1359" s="3">
        <v>17.99</v>
      </c>
      <c r="AA1359" s="3">
        <v>0</v>
      </c>
      <c r="AB1359" s="3" t="s">
        <v>1732</v>
      </c>
      <c r="AC1359" s="3">
        <v>1</v>
      </c>
      <c r="AD1359" s="3">
        <v>16.13</v>
      </c>
      <c r="AE1359" s="3">
        <v>189</v>
      </c>
      <c r="AF1359" s="3">
        <v>0</v>
      </c>
      <c r="AG1359" s="3">
        <v>113.63424</v>
      </c>
      <c r="AH1359" s="3">
        <v>0.648648648648648</v>
      </c>
      <c r="AI1359" s="3" t="s">
        <v>3291</v>
      </c>
      <c r="AJ1359" s="3" t="s">
        <v>1715</v>
      </c>
    </row>
    <row r="1360" spans="1:36">
      <c r="A1360" s="4">
        <v>43277</v>
      </c>
      <c r="B1360" s="3" t="s">
        <v>5825</v>
      </c>
      <c r="C1360" s="3" t="s">
        <v>5826</v>
      </c>
      <c r="D1360" s="3" t="s">
        <v>5827</v>
      </c>
      <c r="E1360" s="3" t="s">
        <v>5828</v>
      </c>
      <c r="F1360" s="3" t="s">
        <v>1710</v>
      </c>
      <c r="G1360" s="3">
        <v>39</v>
      </c>
      <c r="H1360" s="3">
        <v>0</v>
      </c>
      <c r="I1360" s="3">
        <v>3</v>
      </c>
      <c r="J1360" s="3">
        <v>18</v>
      </c>
      <c r="K1360" s="3">
        <v>18</v>
      </c>
      <c r="L1360" s="3">
        <v>0</v>
      </c>
      <c r="M1360" s="3">
        <v>0</v>
      </c>
      <c r="N1360" s="3" t="s">
        <v>1711</v>
      </c>
      <c r="O1360" s="3">
        <v>34</v>
      </c>
      <c r="P1360" s="3">
        <v>20.35</v>
      </c>
      <c r="Q1360" s="3">
        <v>0</v>
      </c>
      <c r="R1360" s="3">
        <v>0</v>
      </c>
      <c r="S1360" s="3">
        <v>0</v>
      </c>
      <c r="T1360" s="3">
        <v>0</v>
      </c>
      <c r="U1360" s="3">
        <v>2</v>
      </c>
      <c r="V1360" s="3">
        <v>14</v>
      </c>
      <c r="W1360" s="3" t="s">
        <v>1712</v>
      </c>
      <c r="X1360" s="3">
        <v>16.99</v>
      </c>
      <c r="Y1360" s="3">
        <v>16.99</v>
      </c>
      <c r="Z1360" s="3">
        <v>16</v>
      </c>
      <c r="AA1360" s="3">
        <v>0</v>
      </c>
      <c r="AB1360" s="3" t="s">
        <v>1732</v>
      </c>
      <c r="AC1360" s="3">
        <v>5</v>
      </c>
      <c r="AD1360" s="3">
        <v>15.7</v>
      </c>
      <c r="AE1360" s="3">
        <v>98</v>
      </c>
      <c r="AF1360" s="3">
        <v>0</v>
      </c>
      <c r="AG1360" s="3">
        <v>638.937816</v>
      </c>
      <c r="AH1360" s="3">
        <v>0.327485380116959</v>
      </c>
      <c r="AI1360" s="3" t="s">
        <v>1905</v>
      </c>
      <c r="AJ1360" s="3" t="s">
        <v>1715</v>
      </c>
    </row>
    <row r="1361" spans="1:36">
      <c r="A1361" s="4">
        <v>43277</v>
      </c>
      <c r="B1361" s="3" t="s">
        <v>1493</v>
      </c>
      <c r="C1361" s="3" t="s">
        <v>1494</v>
      </c>
      <c r="D1361" s="3" t="s">
        <v>1495</v>
      </c>
      <c r="E1361" s="3" t="s">
        <v>1496</v>
      </c>
      <c r="F1361" s="3" t="s">
        <v>1710</v>
      </c>
      <c r="G1361" s="3">
        <v>50</v>
      </c>
      <c r="H1361" s="3">
        <v>0</v>
      </c>
      <c r="I1361" s="3">
        <v>50</v>
      </c>
      <c r="J1361" s="3">
        <v>0</v>
      </c>
      <c r="K1361" s="3">
        <v>0</v>
      </c>
      <c r="L1361" s="3">
        <v>0</v>
      </c>
      <c r="M1361" s="3">
        <v>0</v>
      </c>
      <c r="N1361" s="3" t="s">
        <v>1711</v>
      </c>
      <c r="O1361" s="3">
        <v>0</v>
      </c>
      <c r="P1361" s="3">
        <v>0</v>
      </c>
      <c r="Q1361" s="3">
        <v>0</v>
      </c>
      <c r="R1361" s="3">
        <v>0</v>
      </c>
      <c r="S1361" s="3">
        <v>9</v>
      </c>
      <c r="T1361" s="3">
        <v>27</v>
      </c>
      <c r="U1361" s="3">
        <v>54</v>
      </c>
      <c r="V1361" s="3">
        <v>63</v>
      </c>
      <c r="W1361" s="3"/>
      <c r="X1361" s="3">
        <v>23.99</v>
      </c>
      <c r="Y1361" s="3">
        <v>23.99</v>
      </c>
      <c r="Z1361" s="3">
        <v>23.99</v>
      </c>
      <c r="AA1361" s="3">
        <v>0</v>
      </c>
      <c r="AB1361" s="3" t="s">
        <v>1713</v>
      </c>
      <c r="AC1361" s="3">
        <v>45</v>
      </c>
      <c r="AD1361" s="3">
        <v>23.99</v>
      </c>
      <c r="AE1361" s="3">
        <v>0</v>
      </c>
      <c r="AF1361" s="3">
        <v>0</v>
      </c>
      <c r="AG1361" s="3">
        <v>0</v>
      </c>
      <c r="AH1361" s="3">
        <v>2.8314606741573</v>
      </c>
      <c r="AI1361" s="3" t="s">
        <v>2071</v>
      </c>
      <c r="AJ1361" s="3" t="s">
        <v>1715</v>
      </c>
    </row>
    <row r="1362" spans="1:36">
      <c r="A1362" s="4">
        <v>43277</v>
      </c>
      <c r="B1362" s="3" t="s">
        <v>5829</v>
      </c>
      <c r="C1362" s="3" t="s">
        <v>5830</v>
      </c>
      <c r="D1362" s="3" t="s">
        <v>5831</v>
      </c>
      <c r="E1362" s="3" t="s">
        <v>5832</v>
      </c>
      <c r="F1362" s="3" t="s">
        <v>1710</v>
      </c>
      <c r="G1362" s="3">
        <v>1</v>
      </c>
      <c r="H1362" s="3">
        <v>0</v>
      </c>
      <c r="I1362" s="3">
        <v>1</v>
      </c>
      <c r="J1362" s="3">
        <v>0</v>
      </c>
      <c r="K1362" s="3">
        <v>0</v>
      </c>
      <c r="L1362" s="3">
        <v>0</v>
      </c>
      <c r="M1362" s="3">
        <v>0</v>
      </c>
      <c r="N1362" s="3" t="s">
        <v>1711</v>
      </c>
      <c r="O1362" s="3">
        <v>0</v>
      </c>
      <c r="P1362" s="3">
        <v>0</v>
      </c>
      <c r="Q1362" s="3">
        <v>0</v>
      </c>
      <c r="R1362" s="3">
        <v>0</v>
      </c>
      <c r="S1362" s="3">
        <v>0</v>
      </c>
      <c r="T1362" s="3">
        <v>1</v>
      </c>
      <c r="U1362" s="3">
        <v>3</v>
      </c>
      <c r="V1362" s="3">
        <v>3</v>
      </c>
      <c r="W1362" s="3" t="s">
        <v>1712</v>
      </c>
      <c r="X1362" s="3">
        <v>15.99</v>
      </c>
      <c r="Y1362" s="3">
        <v>15.99</v>
      </c>
      <c r="Z1362" s="3">
        <v>15.99</v>
      </c>
      <c r="AA1362" s="3">
        <v>0</v>
      </c>
      <c r="AB1362" s="3" t="s">
        <v>1713</v>
      </c>
      <c r="AC1362" s="3">
        <v>1</v>
      </c>
      <c r="AD1362" s="3">
        <v>15.99</v>
      </c>
      <c r="AE1362" s="3">
        <v>0</v>
      </c>
      <c r="AF1362" s="3">
        <v>0</v>
      </c>
      <c r="AG1362" s="3">
        <v>0</v>
      </c>
      <c r="AH1362" s="3">
        <v>1.5</v>
      </c>
      <c r="AI1362" s="3" t="s">
        <v>5833</v>
      </c>
      <c r="AJ1362" s="3" t="s">
        <v>1783</v>
      </c>
    </row>
    <row r="1363" spans="1:36">
      <c r="A1363" s="4">
        <v>43277</v>
      </c>
      <c r="B1363" s="3" t="s">
        <v>5834</v>
      </c>
      <c r="C1363" s="3" t="s">
        <v>5835</v>
      </c>
      <c r="D1363" s="3" t="s">
        <v>5836</v>
      </c>
      <c r="E1363" s="3" t="s">
        <v>255</v>
      </c>
      <c r="F1363" s="3" t="s">
        <v>1710</v>
      </c>
      <c r="G1363" s="3">
        <v>4</v>
      </c>
      <c r="H1363" s="3">
        <v>0</v>
      </c>
      <c r="I1363" s="3">
        <v>1</v>
      </c>
      <c r="J1363" s="3">
        <v>3</v>
      </c>
      <c r="K1363" s="3">
        <v>0</v>
      </c>
      <c r="L1363" s="3">
        <v>0</v>
      </c>
      <c r="M1363" s="3">
        <v>0</v>
      </c>
      <c r="N1363" s="3" t="s">
        <v>1711</v>
      </c>
      <c r="O1363" s="3">
        <v>3</v>
      </c>
      <c r="P1363" s="3">
        <v>14.64</v>
      </c>
      <c r="Q1363" s="3">
        <v>0</v>
      </c>
      <c r="R1363" s="3">
        <v>0</v>
      </c>
      <c r="S1363" s="3">
        <v>0</v>
      </c>
      <c r="T1363" s="3">
        <v>0</v>
      </c>
      <c r="U1363" s="3">
        <v>1</v>
      </c>
      <c r="V1363" s="3">
        <v>1</v>
      </c>
      <c r="W1363" s="3" t="s">
        <v>1712</v>
      </c>
      <c r="X1363" s="3">
        <v>29.99</v>
      </c>
      <c r="Y1363" s="3">
        <v>29.99</v>
      </c>
      <c r="Z1363" s="3">
        <v>28.99</v>
      </c>
      <c r="AA1363" s="3">
        <v>0</v>
      </c>
      <c r="AB1363" s="3" t="s">
        <v>1732</v>
      </c>
      <c r="AC1363" s="3">
        <v>0</v>
      </c>
      <c r="AD1363" s="3">
        <v>25.03</v>
      </c>
      <c r="AE1363" s="3">
        <v>189</v>
      </c>
      <c r="AF1363" s="3">
        <v>0</v>
      </c>
      <c r="AG1363" s="3">
        <v>229.84535</v>
      </c>
      <c r="AH1363" s="3">
        <v>0.0396039603960396</v>
      </c>
      <c r="AI1363" s="3" t="s">
        <v>2094</v>
      </c>
      <c r="AJ1363" s="3" t="s">
        <v>1715</v>
      </c>
    </row>
    <row r="1364" spans="1:36">
      <c r="A1364" s="4">
        <v>43277</v>
      </c>
      <c r="B1364" s="3" t="s">
        <v>5837</v>
      </c>
      <c r="C1364" s="3" t="s">
        <v>5838</v>
      </c>
      <c r="D1364" s="3" t="s">
        <v>5839</v>
      </c>
      <c r="E1364" s="3" t="s">
        <v>2519</v>
      </c>
      <c r="F1364" s="3" t="s">
        <v>1710</v>
      </c>
      <c r="G1364" s="3">
        <v>2</v>
      </c>
      <c r="H1364" s="3">
        <v>0</v>
      </c>
      <c r="I1364" s="3">
        <v>0</v>
      </c>
      <c r="J1364" s="3">
        <v>0</v>
      </c>
      <c r="K1364" s="3">
        <v>0</v>
      </c>
      <c r="L1364" s="3">
        <v>2</v>
      </c>
      <c r="M1364" s="3">
        <v>0</v>
      </c>
      <c r="N1364" s="3" t="s">
        <v>1711</v>
      </c>
      <c r="O1364" s="3">
        <v>2</v>
      </c>
      <c r="P1364" s="3">
        <v>4.54</v>
      </c>
      <c r="Q1364" s="3">
        <v>0</v>
      </c>
      <c r="R1364" s="3">
        <v>0</v>
      </c>
      <c r="S1364" s="3">
        <v>0</v>
      </c>
      <c r="T1364" s="3">
        <v>0</v>
      </c>
      <c r="U1364" s="3">
        <v>0</v>
      </c>
      <c r="V1364" s="3">
        <v>0</v>
      </c>
      <c r="W1364" s="3" t="s">
        <v>1720</v>
      </c>
      <c r="X1364" s="3">
        <v>18.99</v>
      </c>
      <c r="Y1364" s="3">
        <v>18.99</v>
      </c>
      <c r="Z1364" s="3">
        <v>18.99</v>
      </c>
      <c r="AA1364" s="3">
        <v>0</v>
      </c>
      <c r="AB1364" s="3" t="s">
        <v>1732</v>
      </c>
      <c r="AC1364" s="3">
        <v>0</v>
      </c>
      <c r="AD1364" s="3">
        <v>15.19</v>
      </c>
      <c r="AE1364" s="3">
        <v>63</v>
      </c>
      <c r="AF1364" s="3">
        <v>0</v>
      </c>
      <c r="AG1364" s="3">
        <v>53.302886</v>
      </c>
      <c r="AH1364" s="3">
        <v>0</v>
      </c>
      <c r="AI1364" s="3" t="s">
        <v>4289</v>
      </c>
      <c r="AJ1364" s="3" t="s">
        <v>1783</v>
      </c>
    </row>
    <row r="1365" spans="1:36">
      <c r="A1365" s="4">
        <v>43277</v>
      </c>
      <c r="B1365" s="3" t="s">
        <v>5840</v>
      </c>
      <c r="C1365" s="3" t="s">
        <v>5841</v>
      </c>
      <c r="D1365" s="3" t="s">
        <v>5842</v>
      </c>
      <c r="E1365" s="3" t="s">
        <v>349</v>
      </c>
      <c r="F1365" s="3" t="s">
        <v>1710</v>
      </c>
      <c r="G1365" s="3">
        <v>5</v>
      </c>
      <c r="H1365" s="3">
        <v>0</v>
      </c>
      <c r="I1365" s="3">
        <v>0</v>
      </c>
      <c r="J1365" s="3">
        <v>0</v>
      </c>
      <c r="K1365" s="3">
        <v>5</v>
      </c>
      <c r="L1365" s="3">
        <v>0</v>
      </c>
      <c r="M1365" s="3">
        <v>0</v>
      </c>
      <c r="N1365" s="3" t="s">
        <v>1711</v>
      </c>
      <c r="O1365" s="3">
        <v>5</v>
      </c>
      <c r="P1365" s="3">
        <v>21.85</v>
      </c>
      <c r="Q1365" s="3">
        <v>0</v>
      </c>
      <c r="R1365" s="3">
        <v>0</v>
      </c>
      <c r="S1365" s="3">
        <v>0</v>
      </c>
      <c r="T1365" s="3">
        <v>0</v>
      </c>
      <c r="U1365" s="3">
        <v>0</v>
      </c>
      <c r="V1365" s="3">
        <v>2</v>
      </c>
      <c r="W1365" s="3" t="s">
        <v>1720</v>
      </c>
      <c r="X1365" s="3">
        <v>12.99</v>
      </c>
      <c r="Y1365" s="3">
        <v>12.99</v>
      </c>
      <c r="Z1365" s="3">
        <v>12.99</v>
      </c>
      <c r="AA1365" s="3">
        <v>0</v>
      </c>
      <c r="AB1365" s="3" t="s">
        <v>1721</v>
      </c>
      <c r="AC1365" s="3">
        <v>0</v>
      </c>
      <c r="AD1365" s="3">
        <v>10.45</v>
      </c>
      <c r="AE1365" s="3">
        <v>49</v>
      </c>
      <c r="AF1365" s="3">
        <v>0</v>
      </c>
      <c r="AG1365" s="3">
        <v>263.942121</v>
      </c>
      <c r="AH1365" s="3">
        <v>0.363636363636363</v>
      </c>
      <c r="AI1365" s="3" t="s">
        <v>2182</v>
      </c>
      <c r="AJ1365" s="3" t="s">
        <v>1783</v>
      </c>
    </row>
    <row r="1366" spans="1:36">
      <c r="A1366" s="4">
        <v>43277</v>
      </c>
      <c r="B1366" s="3" t="s">
        <v>615</v>
      </c>
      <c r="C1366" s="3" t="s">
        <v>616</v>
      </c>
      <c r="D1366" s="3" t="s">
        <v>617</v>
      </c>
      <c r="E1366" s="3" t="s">
        <v>618</v>
      </c>
      <c r="F1366" s="3" t="s">
        <v>1710</v>
      </c>
      <c r="G1366" s="3">
        <v>32</v>
      </c>
      <c r="H1366" s="3">
        <v>0</v>
      </c>
      <c r="I1366" s="3">
        <v>32</v>
      </c>
      <c r="J1366" s="3">
        <v>0</v>
      </c>
      <c r="K1366" s="3">
        <v>0</v>
      </c>
      <c r="L1366" s="3">
        <v>0</v>
      </c>
      <c r="M1366" s="3">
        <v>0</v>
      </c>
      <c r="N1366" s="3" t="s">
        <v>1711</v>
      </c>
      <c r="O1366" s="3">
        <v>0</v>
      </c>
      <c r="P1366" s="3">
        <v>0</v>
      </c>
      <c r="Q1366" s="3">
        <v>0</v>
      </c>
      <c r="R1366" s="3">
        <v>0</v>
      </c>
      <c r="S1366" s="3">
        <v>5</v>
      </c>
      <c r="T1366" s="3">
        <v>20</v>
      </c>
      <c r="U1366" s="3">
        <v>31</v>
      </c>
      <c r="V1366" s="3">
        <v>40</v>
      </c>
      <c r="W1366" s="3"/>
      <c r="X1366" s="3">
        <v>38</v>
      </c>
      <c r="Y1366" s="3">
        <v>15.58</v>
      </c>
      <c r="Z1366" s="3">
        <v>15.58</v>
      </c>
      <c r="AA1366" s="3">
        <v>0</v>
      </c>
      <c r="AB1366" s="3" t="s">
        <v>1713</v>
      </c>
      <c r="AC1366" s="3">
        <v>32</v>
      </c>
      <c r="AD1366" s="3">
        <v>15.58</v>
      </c>
      <c r="AE1366" s="3">
        <v>0</v>
      </c>
      <c r="AF1366" s="3">
        <v>0</v>
      </c>
      <c r="AG1366" s="3">
        <v>0</v>
      </c>
      <c r="AH1366" s="3">
        <v>2.05128205128205</v>
      </c>
      <c r="AI1366" s="3" t="s">
        <v>5843</v>
      </c>
      <c r="AJ1366" s="3" t="s">
        <v>1715</v>
      </c>
    </row>
    <row r="1367" spans="1:36">
      <c r="A1367" s="4">
        <v>43277</v>
      </c>
      <c r="B1367" s="3" t="s">
        <v>5844</v>
      </c>
      <c r="C1367" s="3" t="s">
        <v>5845</v>
      </c>
      <c r="D1367" s="3" t="s">
        <v>5846</v>
      </c>
      <c r="E1367" s="3" t="s">
        <v>5847</v>
      </c>
      <c r="F1367" s="3" t="s">
        <v>1710</v>
      </c>
      <c r="G1367" s="3">
        <v>2</v>
      </c>
      <c r="H1367" s="3">
        <v>0</v>
      </c>
      <c r="I1367" s="3">
        <v>0</v>
      </c>
      <c r="J1367" s="3">
        <v>0</v>
      </c>
      <c r="K1367" s="3">
        <v>2</v>
      </c>
      <c r="L1367" s="3">
        <v>0</v>
      </c>
      <c r="M1367" s="3">
        <v>0</v>
      </c>
      <c r="N1367" s="3" t="s">
        <v>1711</v>
      </c>
      <c r="O1367" s="3">
        <v>2</v>
      </c>
      <c r="P1367" s="3">
        <v>0.01</v>
      </c>
      <c r="Q1367" s="3">
        <v>0</v>
      </c>
      <c r="R1367" s="3">
        <v>0</v>
      </c>
      <c r="S1367" s="3">
        <v>0</v>
      </c>
      <c r="T1367" s="3">
        <v>0</v>
      </c>
      <c r="U1367" s="3">
        <v>0</v>
      </c>
      <c r="V1367" s="3">
        <v>0</v>
      </c>
      <c r="W1367" s="3" t="s">
        <v>1720</v>
      </c>
      <c r="X1367" s="3">
        <v>15.99</v>
      </c>
      <c r="Y1367" s="3">
        <v>15.99</v>
      </c>
      <c r="Z1367" s="3">
        <v>15.99</v>
      </c>
      <c r="AA1367" s="3">
        <v>0</v>
      </c>
      <c r="AB1367" s="3" t="s">
        <v>1732</v>
      </c>
      <c r="AC1367" s="3">
        <v>1</v>
      </c>
      <c r="AD1367" s="3">
        <v>15.11</v>
      </c>
      <c r="AE1367" s="3">
        <v>49</v>
      </c>
      <c r="AF1367" s="3">
        <v>0</v>
      </c>
      <c r="AG1367" s="3">
        <v>18.087498</v>
      </c>
      <c r="AH1367" s="3">
        <v>0</v>
      </c>
      <c r="AI1367" s="3" t="s">
        <v>1782</v>
      </c>
      <c r="AJ1367" s="3" t="s">
        <v>1783</v>
      </c>
    </row>
    <row r="1368" spans="1:36">
      <c r="A1368" s="4">
        <v>43277</v>
      </c>
      <c r="B1368" s="3" t="s">
        <v>5848</v>
      </c>
      <c r="C1368" s="3" t="s">
        <v>5849</v>
      </c>
      <c r="D1368" s="3" t="s">
        <v>5850</v>
      </c>
      <c r="E1368" s="3" t="s">
        <v>5851</v>
      </c>
      <c r="F1368" s="3" t="s">
        <v>1710</v>
      </c>
      <c r="G1368" s="3">
        <v>12</v>
      </c>
      <c r="H1368" s="3">
        <v>0</v>
      </c>
      <c r="I1368" s="3">
        <v>12</v>
      </c>
      <c r="J1368" s="3">
        <v>0</v>
      </c>
      <c r="K1368" s="3">
        <v>0</v>
      </c>
      <c r="L1368" s="3">
        <v>0</v>
      </c>
      <c r="M1368" s="3">
        <v>0</v>
      </c>
      <c r="N1368" s="3" t="s">
        <v>1711</v>
      </c>
      <c r="O1368" s="3">
        <v>0</v>
      </c>
      <c r="P1368" s="3">
        <v>0</v>
      </c>
      <c r="Q1368" s="3">
        <v>0</v>
      </c>
      <c r="R1368" s="3">
        <v>0</v>
      </c>
      <c r="S1368" s="3">
        <v>0</v>
      </c>
      <c r="T1368" s="3">
        <v>3</v>
      </c>
      <c r="U1368" s="3">
        <v>3</v>
      </c>
      <c r="V1368" s="3">
        <v>3</v>
      </c>
      <c r="W1368" s="3"/>
      <c r="X1368" s="3">
        <v>28.99</v>
      </c>
      <c r="Y1368" s="3">
        <v>28.99</v>
      </c>
      <c r="Z1368" s="3">
        <v>28.99</v>
      </c>
      <c r="AA1368" s="3">
        <v>0</v>
      </c>
      <c r="AB1368" s="3" t="s">
        <v>1713</v>
      </c>
      <c r="AC1368" s="3">
        <v>12</v>
      </c>
      <c r="AD1368" s="3">
        <v>28.99</v>
      </c>
      <c r="AE1368" s="3">
        <v>0</v>
      </c>
      <c r="AF1368" s="3">
        <v>0</v>
      </c>
      <c r="AG1368" s="3">
        <v>0</v>
      </c>
      <c r="AH1368" s="3">
        <v>0.25</v>
      </c>
      <c r="AI1368" s="3" t="s">
        <v>2065</v>
      </c>
      <c r="AJ1368" s="3" t="s">
        <v>1715</v>
      </c>
    </row>
    <row r="1369" spans="1:36">
      <c r="A1369" s="4">
        <v>43277</v>
      </c>
      <c r="B1369" s="3" t="s">
        <v>5852</v>
      </c>
      <c r="C1369" s="3" t="s">
        <v>5853</v>
      </c>
      <c r="D1369" s="3" t="s">
        <v>5854</v>
      </c>
      <c r="E1369" s="3" t="s">
        <v>5855</v>
      </c>
      <c r="F1369" s="3" t="s">
        <v>1710</v>
      </c>
      <c r="G1369" s="3">
        <v>19</v>
      </c>
      <c r="H1369" s="3">
        <v>0</v>
      </c>
      <c r="I1369" s="3">
        <v>19</v>
      </c>
      <c r="J1369" s="3">
        <v>0</v>
      </c>
      <c r="K1369" s="3">
        <v>0</v>
      </c>
      <c r="L1369" s="3">
        <v>0</v>
      </c>
      <c r="M1369" s="3">
        <v>0</v>
      </c>
      <c r="N1369" s="3" t="s">
        <v>1711</v>
      </c>
      <c r="O1369" s="3">
        <v>0</v>
      </c>
      <c r="P1369" s="3">
        <v>0</v>
      </c>
      <c r="Q1369" s="3">
        <v>0</v>
      </c>
      <c r="R1369" s="3">
        <v>0</v>
      </c>
      <c r="S1369" s="3">
        <v>5</v>
      </c>
      <c r="T1369" s="3">
        <v>14</v>
      </c>
      <c r="U1369" s="3">
        <v>30</v>
      </c>
      <c r="V1369" s="3">
        <v>38</v>
      </c>
      <c r="W1369" s="3"/>
      <c r="X1369" s="3">
        <v>15.99</v>
      </c>
      <c r="Y1369" s="3">
        <v>15.99</v>
      </c>
      <c r="Z1369" s="3">
        <v>15.99</v>
      </c>
      <c r="AA1369" s="3">
        <v>0</v>
      </c>
      <c r="AB1369" s="3" t="s">
        <v>1713</v>
      </c>
      <c r="AC1369" s="3">
        <v>20</v>
      </c>
      <c r="AD1369" s="3">
        <v>15.99</v>
      </c>
      <c r="AE1369" s="3">
        <v>0</v>
      </c>
      <c r="AF1369" s="3">
        <v>0</v>
      </c>
      <c r="AG1369" s="3">
        <v>0</v>
      </c>
      <c r="AH1369" s="3">
        <v>1.9</v>
      </c>
      <c r="AI1369" s="3" t="s">
        <v>1881</v>
      </c>
      <c r="AJ1369" s="3" t="s">
        <v>1715</v>
      </c>
    </row>
    <row r="1370" spans="1:36">
      <c r="A1370" s="4">
        <v>43277</v>
      </c>
      <c r="B1370" s="3" t="s">
        <v>5856</v>
      </c>
      <c r="C1370" s="3" t="s">
        <v>5857</v>
      </c>
      <c r="D1370" s="3" t="s">
        <v>5858</v>
      </c>
      <c r="E1370" s="3" t="s">
        <v>2186</v>
      </c>
      <c r="F1370" s="3" t="s">
        <v>1710</v>
      </c>
      <c r="G1370" s="3">
        <v>3</v>
      </c>
      <c r="H1370" s="3">
        <v>0</v>
      </c>
      <c r="I1370" s="3">
        <v>3</v>
      </c>
      <c r="J1370" s="3">
        <v>0</v>
      </c>
      <c r="K1370" s="3">
        <v>0</v>
      </c>
      <c r="L1370" s="3">
        <v>0</v>
      </c>
      <c r="M1370" s="3">
        <v>0</v>
      </c>
      <c r="N1370" s="3" t="s">
        <v>1711</v>
      </c>
      <c r="O1370" s="3">
        <v>0</v>
      </c>
      <c r="P1370" s="3">
        <v>0</v>
      </c>
      <c r="Q1370" s="3">
        <v>0</v>
      </c>
      <c r="R1370" s="3">
        <v>0</v>
      </c>
      <c r="S1370" s="3">
        <v>1</v>
      </c>
      <c r="T1370" s="3">
        <v>2</v>
      </c>
      <c r="U1370" s="3">
        <v>3</v>
      </c>
      <c r="V1370" s="3">
        <v>3</v>
      </c>
      <c r="W1370" s="3"/>
      <c r="X1370" s="3">
        <v>15.99</v>
      </c>
      <c r="Y1370" s="3">
        <v>15.99</v>
      </c>
      <c r="Z1370" s="3">
        <v>15.55</v>
      </c>
      <c r="AA1370" s="3">
        <v>0</v>
      </c>
      <c r="AB1370" s="3" t="s">
        <v>1713</v>
      </c>
      <c r="AC1370" s="3">
        <v>3</v>
      </c>
      <c r="AD1370" s="3">
        <v>15.99</v>
      </c>
      <c r="AE1370" s="3">
        <v>0</v>
      </c>
      <c r="AF1370" s="3">
        <v>0</v>
      </c>
      <c r="AG1370" s="3">
        <v>0</v>
      </c>
      <c r="AH1370" s="3">
        <v>2.4</v>
      </c>
      <c r="AI1370" s="3" t="s">
        <v>2082</v>
      </c>
      <c r="AJ1370" s="3" t="s">
        <v>1715</v>
      </c>
    </row>
    <row r="1371" spans="1:36">
      <c r="A1371" s="4">
        <v>43277</v>
      </c>
      <c r="B1371" s="3" t="s">
        <v>5859</v>
      </c>
      <c r="C1371" s="3" t="s">
        <v>5860</v>
      </c>
      <c r="D1371" s="3" t="s">
        <v>5861</v>
      </c>
      <c r="E1371" s="3" t="s">
        <v>5862</v>
      </c>
      <c r="F1371" s="3" t="s">
        <v>1710</v>
      </c>
      <c r="G1371" s="3">
        <v>5</v>
      </c>
      <c r="H1371" s="3">
        <v>0</v>
      </c>
      <c r="I1371" s="3">
        <v>0</v>
      </c>
      <c r="J1371" s="3">
        <v>0</v>
      </c>
      <c r="K1371" s="3">
        <v>5</v>
      </c>
      <c r="L1371" s="3">
        <v>0</v>
      </c>
      <c r="M1371" s="3">
        <v>0</v>
      </c>
      <c r="N1371" s="3" t="s">
        <v>1711</v>
      </c>
      <c r="O1371" s="3">
        <v>5</v>
      </c>
      <c r="P1371" s="3">
        <v>6.84</v>
      </c>
      <c r="Q1371" s="3">
        <v>0</v>
      </c>
      <c r="R1371" s="3">
        <v>0</v>
      </c>
      <c r="S1371" s="3">
        <v>1</v>
      </c>
      <c r="T1371" s="3">
        <v>1</v>
      </c>
      <c r="U1371" s="3">
        <v>1</v>
      </c>
      <c r="V1371" s="3">
        <v>1</v>
      </c>
      <c r="W1371" s="3" t="s">
        <v>1720</v>
      </c>
      <c r="X1371" s="3">
        <v>16.99</v>
      </c>
      <c r="Y1371" s="3">
        <v>16.99</v>
      </c>
      <c r="Z1371" s="3">
        <v>16.99</v>
      </c>
      <c r="AA1371" s="3">
        <v>0</v>
      </c>
      <c r="AB1371" s="3" t="s">
        <v>1721</v>
      </c>
      <c r="AC1371" s="3">
        <v>0</v>
      </c>
      <c r="AD1371" s="3">
        <v>14.31</v>
      </c>
      <c r="AE1371" s="3">
        <v>231</v>
      </c>
      <c r="AF1371" s="3">
        <v>0</v>
      </c>
      <c r="AG1371" s="3">
        <v>107.400489</v>
      </c>
      <c r="AH1371" s="3">
        <v>0.17391304347826</v>
      </c>
      <c r="AI1371" s="3" t="s">
        <v>1851</v>
      </c>
      <c r="AJ1371" s="3" t="s">
        <v>1715</v>
      </c>
    </row>
    <row r="1372" spans="1:36">
      <c r="A1372" s="4">
        <v>43277</v>
      </c>
      <c r="B1372" s="3" t="s">
        <v>5863</v>
      </c>
      <c r="C1372" s="3" t="s">
        <v>5864</v>
      </c>
      <c r="D1372" s="3" t="s">
        <v>5865</v>
      </c>
      <c r="E1372" s="3" t="s">
        <v>5866</v>
      </c>
      <c r="F1372" s="3" t="s">
        <v>1710</v>
      </c>
      <c r="G1372" s="3">
        <v>1</v>
      </c>
      <c r="H1372" s="3">
        <v>0</v>
      </c>
      <c r="I1372" s="3">
        <v>0</v>
      </c>
      <c r="J1372" s="3">
        <v>0</v>
      </c>
      <c r="K1372" s="3">
        <v>1</v>
      </c>
      <c r="L1372" s="3">
        <v>0</v>
      </c>
      <c r="M1372" s="3">
        <v>0</v>
      </c>
      <c r="N1372" s="3" t="s">
        <v>1711</v>
      </c>
      <c r="O1372" s="3">
        <v>1</v>
      </c>
      <c r="P1372" s="3">
        <v>0.92</v>
      </c>
      <c r="Q1372" s="3">
        <v>0</v>
      </c>
      <c r="R1372" s="3">
        <v>0</v>
      </c>
      <c r="S1372" s="3">
        <v>1</v>
      </c>
      <c r="T1372" s="3">
        <v>1</v>
      </c>
      <c r="U1372" s="3">
        <v>2</v>
      </c>
      <c r="V1372" s="3">
        <v>3</v>
      </c>
      <c r="W1372" s="3" t="s">
        <v>1720</v>
      </c>
      <c r="X1372" s="3">
        <v>13.99</v>
      </c>
      <c r="Y1372" s="3">
        <v>13.99</v>
      </c>
      <c r="Z1372" s="3">
        <v>13.99</v>
      </c>
      <c r="AA1372" s="3">
        <v>0</v>
      </c>
      <c r="AB1372" s="3" t="s">
        <v>1721</v>
      </c>
      <c r="AC1372" s="3">
        <v>0</v>
      </c>
      <c r="AD1372" s="3">
        <v>12.7</v>
      </c>
      <c r="AE1372" s="3">
        <v>49</v>
      </c>
      <c r="AF1372" s="3">
        <v>0</v>
      </c>
      <c r="AG1372" s="3">
        <v>35.024969</v>
      </c>
      <c r="AH1372" s="3">
        <v>1.2</v>
      </c>
      <c r="AI1372" s="3" t="s">
        <v>4111</v>
      </c>
      <c r="AJ1372" s="3" t="s">
        <v>1783</v>
      </c>
    </row>
    <row r="1373" spans="1:36">
      <c r="A1373" s="4">
        <v>43277</v>
      </c>
      <c r="B1373" s="3" t="s">
        <v>5867</v>
      </c>
      <c r="C1373" s="3" t="s">
        <v>5868</v>
      </c>
      <c r="D1373" s="3" t="s">
        <v>5869</v>
      </c>
      <c r="E1373" s="3" t="s">
        <v>1861</v>
      </c>
      <c r="F1373" s="3" t="s">
        <v>1710</v>
      </c>
      <c r="G1373" s="3">
        <v>10</v>
      </c>
      <c r="H1373" s="3">
        <v>0</v>
      </c>
      <c r="I1373" s="3">
        <v>1</v>
      </c>
      <c r="J1373" s="3">
        <v>1</v>
      </c>
      <c r="K1373" s="3">
        <v>8</v>
      </c>
      <c r="L1373" s="3">
        <v>0</v>
      </c>
      <c r="M1373" s="3">
        <v>0</v>
      </c>
      <c r="N1373" s="3" t="s">
        <v>1711</v>
      </c>
      <c r="O1373" s="3">
        <v>9</v>
      </c>
      <c r="P1373" s="3">
        <v>11.37</v>
      </c>
      <c r="Q1373" s="3">
        <v>0</v>
      </c>
      <c r="R1373" s="3">
        <v>0</v>
      </c>
      <c r="S1373" s="3">
        <v>0</v>
      </c>
      <c r="T1373" s="3">
        <v>0</v>
      </c>
      <c r="U1373" s="3">
        <v>0</v>
      </c>
      <c r="V1373" s="3">
        <v>1</v>
      </c>
      <c r="W1373" s="3" t="s">
        <v>1720</v>
      </c>
      <c r="X1373" s="3">
        <v>15.99</v>
      </c>
      <c r="Y1373" s="3">
        <v>15.99</v>
      </c>
      <c r="Z1373" s="3">
        <v>10.75</v>
      </c>
      <c r="AA1373" s="3">
        <v>0</v>
      </c>
      <c r="AB1373" s="3" t="s">
        <v>1721</v>
      </c>
      <c r="AC1373" s="3">
        <v>0</v>
      </c>
      <c r="AD1373" s="3">
        <v>14.19</v>
      </c>
      <c r="AE1373" s="3">
        <v>182</v>
      </c>
      <c r="AF1373" s="3">
        <v>0</v>
      </c>
      <c r="AG1373" s="3">
        <v>202.592711</v>
      </c>
      <c r="AH1373" s="3">
        <v>0.0975609756097561</v>
      </c>
      <c r="AI1373" s="3" t="s">
        <v>5522</v>
      </c>
      <c r="AJ1373" s="3" t="s">
        <v>1783</v>
      </c>
    </row>
    <row r="1374" spans="1:36">
      <c r="A1374" s="4">
        <v>43277</v>
      </c>
      <c r="B1374" s="3" t="s">
        <v>354</v>
      </c>
      <c r="C1374" s="3" t="s">
        <v>355</v>
      </c>
      <c r="D1374" s="3" t="s">
        <v>356</v>
      </c>
      <c r="E1374" s="3" t="s">
        <v>357</v>
      </c>
      <c r="F1374" s="3" t="s">
        <v>1710</v>
      </c>
      <c r="G1374" s="3">
        <v>119</v>
      </c>
      <c r="H1374" s="3">
        <v>0</v>
      </c>
      <c r="I1374" s="3">
        <v>119</v>
      </c>
      <c r="J1374" s="3">
        <v>0</v>
      </c>
      <c r="K1374" s="3">
        <v>0</v>
      </c>
      <c r="L1374" s="3">
        <v>0</v>
      </c>
      <c r="M1374" s="3">
        <v>0</v>
      </c>
      <c r="N1374" s="3" t="s">
        <v>1711</v>
      </c>
      <c r="O1374" s="3">
        <v>0</v>
      </c>
      <c r="P1374" s="3">
        <v>0</v>
      </c>
      <c r="Q1374" s="3">
        <v>0</v>
      </c>
      <c r="R1374" s="3">
        <v>0</v>
      </c>
      <c r="S1374" s="3">
        <v>1</v>
      </c>
      <c r="T1374" s="3">
        <v>15</v>
      </c>
      <c r="U1374" s="3">
        <v>41</v>
      </c>
      <c r="V1374" s="3">
        <v>64</v>
      </c>
      <c r="W1374" s="3"/>
      <c r="X1374" s="3">
        <v>48.58</v>
      </c>
      <c r="Y1374" s="3">
        <v>28.99</v>
      </c>
      <c r="Z1374" s="3">
        <v>28</v>
      </c>
      <c r="AA1374" s="3">
        <v>0</v>
      </c>
      <c r="AB1374" s="3" t="s">
        <v>1713</v>
      </c>
      <c r="AC1374" s="3">
        <v>115</v>
      </c>
      <c r="AD1374" s="3">
        <v>28.99</v>
      </c>
      <c r="AE1374" s="3">
        <v>0</v>
      </c>
      <c r="AF1374" s="3">
        <v>0</v>
      </c>
      <c r="AG1374" s="3">
        <v>0</v>
      </c>
      <c r="AH1374" s="3">
        <v>1.06224066390041</v>
      </c>
      <c r="AI1374" s="3" t="s">
        <v>1784</v>
      </c>
      <c r="AJ1374" s="3" t="s">
        <v>1715</v>
      </c>
    </row>
    <row r="1375" spans="1:36">
      <c r="A1375" s="4">
        <v>43277</v>
      </c>
      <c r="B1375" s="3" t="s">
        <v>5870</v>
      </c>
      <c r="C1375" s="3" t="s">
        <v>5871</v>
      </c>
      <c r="D1375" s="3" t="s">
        <v>5872</v>
      </c>
      <c r="E1375" s="3" t="s">
        <v>5873</v>
      </c>
      <c r="F1375" s="3" t="s">
        <v>1710</v>
      </c>
      <c r="G1375" s="3">
        <v>15</v>
      </c>
      <c r="H1375" s="3">
        <v>0</v>
      </c>
      <c r="I1375" s="3">
        <v>15</v>
      </c>
      <c r="J1375" s="3">
        <v>0</v>
      </c>
      <c r="K1375" s="3">
        <v>0</v>
      </c>
      <c r="L1375" s="3">
        <v>0</v>
      </c>
      <c r="M1375" s="3">
        <v>0</v>
      </c>
      <c r="N1375" s="3" t="s">
        <v>1711</v>
      </c>
      <c r="O1375" s="3">
        <v>0</v>
      </c>
      <c r="P1375" s="3">
        <v>0</v>
      </c>
      <c r="Q1375" s="3">
        <v>0</v>
      </c>
      <c r="R1375" s="3">
        <v>0</v>
      </c>
      <c r="S1375" s="3">
        <v>1</v>
      </c>
      <c r="T1375" s="3">
        <v>3</v>
      </c>
      <c r="U1375" s="3">
        <v>5</v>
      </c>
      <c r="V1375" s="3">
        <v>5</v>
      </c>
      <c r="W1375" s="3"/>
      <c r="X1375" s="3">
        <v>18.99</v>
      </c>
      <c r="Y1375" s="3">
        <v>18.99</v>
      </c>
      <c r="Z1375" s="3">
        <v>18.99</v>
      </c>
      <c r="AA1375" s="3">
        <v>0</v>
      </c>
      <c r="AB1375" s="3" t="s">
        <v>1713</v>
      </c>
      <c r="AC1375" s="3">
        <v>15</v>
      </c>
      <c r="AD1375" s="3">
        <v>18.99</v>
      </c>
      <c r="AE1375" s="3">
        <v>0</v>
      </c>
      <c r="AF1375" s="3">
        <v>0</v>
      </c>
      <c r="AG1375" s="3">
        <v>0</v>
      </c>
      <c r="AH1375" s="3">
        <v>0.441176470588235</v>
      </c>
      <c r="AI1375" s="3" t="s">
        <v>1794</v>
      </c>
      <c r="AJ1375" s="3" t="s">
        <v>1715</v>
      </c>
    </row>
    <row r="1376" spans="1:36">
      <c r="A1376" s="4">
        <v>43277</v>
      </c>
      <c r="B1376" s="3" t="s">
        <v>5874</v>
      </c>
      <c r="C1376" s="3" t="s">
        <v>5875</v>
      </c>
      <c r="D1376" s="3" t="s">
        <v>5876</v>
      </c>
      <c r="E1376" s="3" t="s">
        <v>5877</v>
      </c>
      <c r="F1376" s="3" t="s">
        <v>1710</v>
      </c>
      <c r="G1376" s="3">
        <v>14</v>
      </c>
      <c r="H1376" s="3">
        <v>0</v>
      </c>
      <c r="I1376" s="3">
        <v>3</v>
      </c>
      <c r="J1376" s="3">
        <v>7</v>
      </c>
      <c r="K1376" s="3">
        <v>4</v>
      </c>
      <c r="L1376" s="3">
        <v>0</v>
      </c>
      <c r="M1376" s="3">
        <v>0</v>
      </c>
      <c r="N1376" s="3" t="s">
        <v>1711</v>
      </c>
      <c r="O1376" s="3">
        <v>9</v>
      </c>
      <c r="P1376" s="3">
        <v>21.3</v>
      </c>
      <c r="Q1376" s="3">
        <v>0</v>
      </c>
      <c r="R1376" s="3">
        <v>0</v>
      </c>
      <c r="S1376" s="3">
        <v>0</v>
      </c>
      <c r="T1376" s="3">
        <v>1</v>
      </c>
      <c r="U1376" s="3">
        <v>7</v>
      </c>
      <c r="V1376" s="3">
        <v>14</v>
      </c>
      <c r="W1376" s="3" t="s">
        <v>1712</v>
      </c>
      <c r="X1376" s="3">
        <v>18.96</v>
      </c>
      <c r="Y1376" s="3">
        <v>18.99</v>
      </c>
      <c r="Z1376" s="3">
        <v>17.99</v>
      </c>
      <c r="AA1376" s="3">
        <v>0</v>
      </c>
      <c r="AB1376" s="3" t="s">
        <v>1713</v>
      </c>
      <c r="AC1376" s="3">
        <v>14</v>
      </c>
      <c r="AD1376" s="3">
        <v>18.99</v>
      </c>
      <c r="AE1376" s="3">
        <v>0</v>
      </c>
      <c r="AF1376" s="3">
        <v>0</v>
      </c>
      <c r="AG1376" s="3">
        <v>0</v>
      </c>
      <c r="AH1376" s="3">
        <v>0.331360946745562</v>
      </c>
      <c r="AI1376" s="3" t="s">
        <v>5878</v>
      </c>
      <c r="AJ1376" s="3" t="s">
        <v>1783</v>
      </c>
    </row>
    <row r="1377" spans="1:36">
      <c r="A1377" s="4">
        <v>43277</v>
      </c>
      <c r="B1377" s="3" t="s">
        <v>5879</v>
      </c>
      <c r="C1377" s="3" t="s">
        <v>5880</v>
      </c>
      <c r="D1377" s="3" t="s">
        <v>5881</v>
      </c>
      <c r="E1377" s="3" t="s">
        <v>5882</v>
      </c>
      <c r="F1377" s="3" t="s">
        <v>1710</v>
      </c>
      <c r="G1377" s="3">
        <v>2</v>
      </c>
      <c r="H1377" s="3">
        <v>0</v>
      </c>
      <c r="I1377" s="3">
        <v>0</v>
      </c>
      <c r="J1377" s="3">
        <v>1</v>
      </c>
      <c r="K1377" s="3">
        <v>0</v>
      </c>
      <c r="L1377" s="3">
        <v>1</v>
      </c>
      <c r="M1377" s="3">
        <v>0</v>
      </c>
      <c r="N1377" s="3" t="s">
        <v>1711</v>
      </c>
      <c r="O1377" s="3">
        <v>2</v>
      </c>
      <c r="P1377" s="3">
        <v>3.8</v>
      </c>
      <c r="Q1377" s="3">
        <v>0</v>
      </c>
      <c r="R1377" s="3">
        <v>0</v>
      </c>
      <c r="S1377" s="3">
        <v>0</v>
      </c>
      <c r="T1377" s="3">
        <v>0</v>
      </c>
      <c r="U1377" s="3">
        <v>0</v>
      </c>
      <c r="V1377" s="3">
        <v>0</v>
      </c>
      <c r="W1377" s="3" t="s">
        <v>1720</v>
      </c>
      <c r="X1377" s="3">
        <v>16.99</v>
      </c>
      <c r="Y1377" s="3">
        <v>16.99</v>
      </c>
      <c r="Z1377" s="3">
        <v>16.99</v>
      </c>
      <c r="AA1377" s="3">
        <v>0</v>
      </c>
      <c r="AB1377" s="3" t="s">
        <v>1721</v>
      </c>
      <c r="AC1377" s="3">
        <v>0</v>
      </c>
      <c r="AD1377" s="3">
        <v>14.89</v>
      </c>
      <c r="AE1377" s="3">
        <v>154</v>
      </c>
      <c r="AF1377" s="3">
        <v>0</v>
      </c>
      <c r="AG1377" s="3">
        <v>55.631131</v>
      </c>
      <c r="AH1377" s="3">
        <v>0</v>
      </c>
      <c r="AI1377" s="3" t="s">
        <v>3103</v>
      </c>
      <c r="AJ1377" s="3" t="s">
        <v>1715</v>
      </c>
    </row>
    <row r="1378" spans="1:36">
      <c r="A1378" s="4">
        <v>43277</v>
      </c>
      <c r="B1378" s="3" t="s">
        <v>5883</v>
      </c>
      <c r="C1378" s="3" t="s">
        <v>5884</v>
      </c>
      <c r="D1378" s="3" t="s">
        <v>5885</v>
      </c>
      <c r="E1378" s="3" t="s">
        <v>5886</v>
      </c>
      <c r="F1378" s="3" t="s">
        <v>1710</v>
      </c>
      <c r="G1378" s="3">
        <v>4</v>
      </c>
      <c r="H1378" s="3">
        <v>0</v>
      </c>
      <c r="I1378" s="3">
        <v>4</v>
      </c>
      <c r="J1378" s="3">
        <v>0</v>
      </c>
      <c r="K1378" s="3">
        <v>0</v>
      </c>
      <c r="L1378" s="3">
        <v>0</v>
      </c>
      <c r="M1378" s="3">
        <v>0</v>
      </c>
      <c r="N1378" s="3" t="s">
        <v>1711</v>
      </c>
      <c r="O1378" s="3">
        <v>0</v>
      </c>
      <c r="P1378" s="3">
        <v>0</v>
      </c>
      <c r="Q1378" s="3">
        <v>0</v>
      </c>
      <c r="R1378" s="3">
        <v>0</v>
      </c>
      <c r="S1378" s="3">
        <v>0</v>
      </c>
      <c r="T1378" s="3">
        <v>0</v>
      </c>
      <c r="U1378" s="3">
        <v>1</v>
      </c>
      <c r="V1378" s="3">
        <v>1</v>
      </c>
      <c r="W1378" s="3" t="s">
        <v>1712</v>
      </c>
      <c r="X1378" s="3">
        <v>15.99</v>
      </c>
      <c r="Y1378" s="3">
        <v>15.99</v>
      </c>
      <c r="Z1378" s="3">
        <v>15.99</v>
      </c>
      <c r="AA1378" s="3">
        <v>0</v>
      </c>
      <c r="AB1378" s="3" t="s">
        <v>1713</v>
      </c>
      <c r="AC1378" s="3">
        <v>4</v>
      </c>
      <c r="AD1378" s="3">
        <v>15.99</v>
      </c>
      <c r="AE1378" s="3">
        <v>0</v>
      </c>
      <c r="AF1378" s="3">
        <v>0</v>
      </c>
      <c r="AG1378" s="3">
        <v>0</v>
      </c>
      <c r="AH1378" s="3">
        <v>0.375</v>
      </c>
      <c r="AI1378" s="3" t="s">
        <v>1905</v>
      </c>
      <c r="AJ1378" s="3" t="s">
        <v>1715</v>
      </c>
    </row>
    <row r="1379" spans="1:36">
      <c r="A1379" s="4">
        <v>43277</v>
      </c>
      <c r="B1379" s="3" t="s">
        <v>1381</v>
      </c>
      <c r="C1379" s="3" t="s">
        <v>1382</v>
      </c>
      <c r="D1379" s="3" t="s">
        <v>1383</v>
      </c>
      <c r="E1379" s="3" t="s">
        <v>1384</v>
      </c>
      <c r="F1379" s="3" t="s">
        <v>1710</v>
      </c>
      <c r="G1379" s="3">
        <v>13</v>
      </c>
      <c r="H1379" s="3">
        <v>0</v>
      </c>
      <c r="I1379" s="3">
        <v>13</v>
      </c>
      <c r="J1379" s="3">
        <v>0</v>
      </c>
      <c r="K1379" s="3">
        <v>0</v>
      </c>
      <c r="L1379" s="3">
        <v>0</v>
      </c>
      <c r="M1379" s="3">
        <v>0</v>
      </c>
      <c r="N1379" s="3" t="s">
        <v>1711</v>
      </c>
      <c r="O1379" s="3">
        <v>0</v>
      </c>
      <c r="P1379" s="3">
        <v>0</v>
      </c>
      <c r="Q1379" s="3">
        <v>0</v>
      </c>
      <c r="R1379" s="3">
        <v>0</v>
      </c>
      <c r="S1379" s="3">
        <v>6</v>
      </c>
      <c r="T1379" s="3">
        <v>32</v>
      </c>
      <c r="U1379" s="3">
        <v>46</v>
      </c>
      <c r="V1379" s="3">
        <v>46</v>
      </c>
      <c r="W1379" s="3" t="s">
        <v>1712</v>
      </c>
      <c r="X1379" s="3">
        <v>19.99</v>
      </c>
      <c r="Y1379" s="3">
        <v>19.99</v>
      </c>
      <c r="Z1379" s="3">
        <v>19.99</v>
      </c>
      <c r="AA1379" s="3">
        <v>0</v>
      </c>
      <c r="AB1379" s="3" t="s">
        <v>1713</v>
      </c>
      <c r="AC1379" s="3">
        <v>20</v>
      </c>
      <c r="AD1379" s="3">
        <v>19.99</v>
      </c>
      <c r="AE1379" s="3">
        <v>0</v>
      </c>
      <c r="AF1379" s="3">
        <v>0</v>
      </c>
      <c r="AG1379" s="3">
        <v>0</v>
      </c>
      <c r="AH1379" s="3">
        <v>8.11764705882352</v>
      </c>
      <c r="AI1379" s="3" t="s">
        <v>2204</v>
      </c>
      <c r="AJ1379" s="3" t="s">
        <v>1715</v>
      </c>
    </row>
    <row r="1380" spans="1:36">
      <c r="A1380" s="4">
        <v>43277</v>
      </c>
      <c r="B1380" s="3" t="s">
        <v>5887</v>
      </c>
      <c r="C1380" s="3" t="s">
        <v>5888</v>
      </c>
      <c r="D1380" s="3" t="s">
        <v>5889</v>
      </c>
      <c r="E1380" s="3" t="s">
        <v>5890</v>
      </c>
      <c r="F1380" s="3" t="s">
        <v>1710</v>
      </c>
      <c r="G1380" s="3">
        <v>6</v>
      </c>
      <c r="H1380" s="3">
        <v>0</v>
      </c>
      <c r="I1380" s="3">
        <v>0</v>
      </c>
      <c r="J1380" s="3">
        <v>1</v>
      </c>
      <c r="K1380" s="3">
        <v>0</v>
      </c>
      <c r="L1380" s="3">
        <v>5</v>
      </c>
      <c r="M1380" s="3">
        <v>0</v>
      </c>
      <c r="N1380" s="3" t="s">
        <v>1711</v>
      </c>
      <c r="O1380" s="3">
        <v>0</v>
      </c>
      <c r="P1380" s="3">
        <v>0</v>
      </c>
      <c r="Q1380" s="3">
        <v>5</v>
      </c>
      <c r="R1380" s="3">
        <v>7.2</v>
      </c>
      <c r="S1380" s="3">
        <v>0</v>
      </c>
      <c r="T1380" s="3">
        <v>0</v>
      </c>
      <c r="U1380" s="3">
        <v>0</v>
      </c>
      <c r="V1380" s="3">
        <v>0</v>
      </c>
      <c r="W1380" s="3" t="s">
        <v>1720</v>
      </c>
      <c r="X1380" s="3">
        <v>14.99</v>
      </c>
      <c r="Y1380" s="3">
        <v>14.99</v>
      </c>
      <c r="Z1380" s="3">
        <v>14.99</v>
      </c>
      <c r="AA1380" s="3">
        <v>0</v>
      </c>
      <c r="AB1380" s="3" t="s">
        <v>1721</v>
      </c>
      <c r="AC1380" s="3">
        <v>0</v>
      </c>
      <c r="AD1380" s="3">
        <v>12.72</v>
      </c>
      <c r="AE1380" s="3">
        <v>287</v>
      </c>
      <c r="AF1380" s="3">
        <v>0</v>
      </c>
      <c r="AG1380" s="3">
        <v>80.793387</v>
      </c>
      <c r="AH1380" s="3">
        <v>0</v>
      </c>
      <c r="AI1380" s="3" t="s">
        <v>1840</v>
      </c>
      <c r="AJ1380" s="3" t="s">
        <v>1715</v>
      </c>
    </row>
    <row r="1381" spans="1:36">
      <c r="A1381" s="4">
        <v>43277</v>
      </c>
      <c r="B1381" s="3" t="s">
        <v>499</v>
      </c>
      <c r="C1381" s="3" t="s">
        <v>500</v>
      </c>
      <c r="D1381" s="3" t="s">
        <v>501</v>
      </c>
      <c r="E1381" s="3" t="s">
        <v>502</v>
      </c>
      <c r="F1381" s="3" t="s">
        <v>1710</v>
      </c>
      <c r="G1381" s="3">
        <v>185</v>
      </c>
      <c r="H1381" s="3">
        <v>0</v>
      </c>
      <c r="I1381" s="3">
        <v>185</v>
      </c>
      <c r="J1381" s="3">
        <v>0</v>
      </c>
      <c r="K1381" s="3">
        <v>0</v>
      </c>
      <c r="L1381" s="3">
        <v>0</v>
      </c>
      <c r="M1381" s="3">
        <v>0</v>
      </c>
      <c r="N1381" s="3" t="s">
        <v>1711</v>
      </c>
      <c r="O1381" s="3">
        <v>0</v>
      </c>
      <c r="P1381" s="3">
        <v>0</v>
      </c>
      <c r="Q1381" s="3">
        <v>0</v>
      </c>
      <c r="R1381" s="3">
        <v>0</v>
      </c>
      <c r="S1381" s="3">
        <v>18</v>
      </c>
      <c r="T1381" s="3">
        <v>85</v>
      </c>
      <c r="U1381" s="3">
        <v>156</v>
      </c>
      <c r="V1381" s="3">
        <v>228</v>
      </c>
      <c r="W1381" s="3"/>
      <c r="X1381" s="3">
        <v>50.38</v>
      </c>
      <c r="Y1381" s="3">
        <v>28.99</v>
      </c>
      <c r="Z1381" s="3">
        <v>28</v>
      </c>
      <c r="AA1381" s="3">
        <v>0</v>
      </c>
      <c r="AB1381" s="3" t="s">
        <v>1713</v>
      </c>
      <c r="AC1381" s="3">
        <v>139</v>
      </c>
      <c r="AD1381" s="3">
        <v>28.99</v>
      </c>
      <c r="AE1381" s="3">
        <v>0</v>
      </c>
      <c r="AF1381" s="3">
        <v>0</v>
      </c>
      <c r="AG1381" s="3">
        <v>0</v>
      </c>
      <c r="AH1381" s="3">
        <v>2.07272727272727</v>
      </c>
      <c r="AI1381" s="3" t="s">
        <v>5891</v>
      </c>
      <c r="AJ1381" s="3" t="s">
        <v>1715</v>
      </c>
    </row>
    <row r="1382" spans="1:36">
      <c r="A1382" s="4">
        <v>43277</v>
      </c>
      <c r="B1382" s="3" t="s">
        <v>5892</v>
      </c>
      <c r="C1382" s="3" t="s">
        <v>5893</v>
      </c>
      <c r="D1382" s="3" t="s">
        <v>5894</v>
      </c>
      <c r="E1382" s="3" t="s">
        <v>5895</v>
      </c>
      <c r="F1382" s="3" t="s">
        <v>1710</v>
      </c>
      <c r="G1382" s="3">
        <v>25</v>
      </c>
      <c r="H1382" s="3">
        <v>0</v>
      </c>
      <c r="I1382" s="3">
        <v>1</v>
      </c>
      <c r="J1382" s="3">
        <v>6</v>
      </c>
      <c r="K1382" s="3">
        <v>18</v>
      </c>
      <c r="L1382" s="3">
        <v>0</v>
      </c>
      <c r="M1382" s="3">
        <v>0</v>
      </c>
      <c r="N1382" s="3" t="s">
        <v>1711</v>
      </c>
      <c r="O1382" s="3">
        <v>24</v>
      </c>
      <c r="P1382" s="3">
        <v>61.36</v>
      </c>
      <c r="Q1382" s="3">
        <v>0</v>
      </c>
      <c r="R1382" s="3">
        <v>0</v>
      </c>
      <c r="S1382" s="3">
        <v>0</v>
      </c>
      <c r="T1382" s="3">
        <v>1</v>
      </c>
      <c r="U1382" s="3">
        <v>4</v>
      </c>
      <c r="V1382" s="3">
        <v>6</v>
      </c>
      <c r="W1382" s="3"/>
      <c r="X1382" s="3">
        <v>17.99</v>
      </c>
      <c r="Y1382" s="3">
        <v>17.99</v>
      </c>
      <c r="Z1382" s="3">
        <v>17.99</v>
      </c>
      <c r="AA1382" s="3">
        <v>0</v>
      </c>
      <c r="AB1382" s="3" t="s">
        <v>1732</v>
      </c>
      <c r="AC1382" s="3">
        <v>0</v>
      </c>
      <c r="AD1382" s="3">
        <v>16.47</v>
      </c>
      <c r="AE1382" s="3">
        <v>63</v>
      </c>
      <c r="AF1382" s="3">
        <v>0</v>
      </c>
      <c r="AG1382" s="3">
        <v>954.933877</v>
      </c>
      <c r="AH1382" s="3">
        <v>0.126315789473684</v>
      </c>
      <c r="AI1382" s="3" t="s">
        <v>5896</v>
      </c>
      <c r="AJ1382" s="3" t="s">
        <v>1715</v>
      </c>
    </row>
    <row r="1383" spans="1:36">
      <c r="A1383" s="4">
        <v>43277</v>
      </c>
      <c r="B1383" s="3" t="s">
        <v>292</v>
      </c>
      <c r="C1383" s="3" t="s">
        <v>293</v>
      </c>
      <c r="D1383" s="3" t="s">
        <v>294</v>
      </c>
      <c r="E1383" s="3" t="s">
        <v>295</v>
      </c>
      <c r="F1383" s="3" t="s">
        <v>1710</v>
      </c>
      <c r="G1383" s="3">
        <v>30</v>
      </c>
      <c r="H1383" s="3">
        <v>0</v>
      </c>
      <c r="I1383" s="3">
        <v>30</v>
      </c>
      <c r="J1383" s="3">
        <v>0</v>
      </c>
      <c r="K1383" s="3">
        <v>0</v>
      </c>
      <c r="L1383" s="3">
        <v>0</v>
      </c>
      <c r="M1383" s="3">
        <v>0</v>
      </c>
      <c r="N1383" s="3" t="s">
        <v>1711</v>
      </c>
      <c r="O1383" s="3">
        <v>0</v>
      </c>
      <c r="P1383" s="3">
        <v>0</v>
      </c>
      <c r="Q1383" s="3">
        <v>0</v>
      </c>
      <c r="R1383" s="3">
        <v>0</v>
      </c>
      <c r="S1383" s="3">
        <v>5</v>
      </c>
      <c r="T1383" s="3">
        <v>25</v>
      </c>
      <c r="U1383" s="3">
        <v>146</v>
      </c>
      <c r="V1383" s="3">
        <v>237</v>
      </c>
      <c r="W1383" s="3"/>
      <c r="X1383" s="3">
        <v>19.99</v>
      </c>
      <c r="Y1383" s="3">
        <v>19.99</v>
      </c>
      <c r="Z1383" s="3">
        <v>19.99</v>
      </c>
      <c r="AA1383" s="3">
        <v>0</v>
      </c>
      <c r="AB1383" s="3" t="s">
        <v>1713</v>
      </c>
      <c r="AC1383" s="3">
        <v>32</v>
      </c>
      <c r="AD1383" s="3">
        <v>19.99</v>
      </c>
      <c r="AE1383" s="3">
        <v>0</v>
      </c>
      <c r="AF1383" s="3">
        <v>0</v>
      </c>
      <c r="AG1383" s="3">
        <v>0</v>
      </c>
      <c r="AH1383" s="3">
        <v>2.23058823529411</v>
      </c>
      <c r="AI1383" s="3" t="s">
        <v>5897</v>
      </c>
      <c r="AJ1383" s="3" t="s">
        <v>1715</v>
      </c>
    </row>
    <row r="1384" spans="1:36">
      <c r="A1384" s="4">
        <v>43277</v>
      </c>
      <c r="B1384" s="3" t="s">
        <v>5898</v>
      </c>
      <c r="C1384" s="3" t="s">
        <v>5899</v>
      </c>
      <c r="D1384" s="3" t="s">
        <v>5900</v>
      </c>
      <c r="E1384" s="3" t="s">
        <v>2446</v>
      </c>
      <c r="F1384" s="3" t="s">
        <v>1710</v>
      </c>
      <c r="G1384" s="3">
        <v>1</v>
      </c>
      <c r="H1384" s="3">
        <v>0</v>
      </c>
      <c r="I1384" s="3">
        <v>0</v>
      </c>
      <c r="J1384" s="3">
        <v>0</v>
      </c>
      <c r="K1384" s="3">
        <v>0</v>
      </c>
      <c r="L1384" s="3">
        <v>1</v>
      </c>
      <c r="M1384" s="3">
        <v>0</v>
      </c>
      <c r="N1384" s="3" t="s">
        <v>1711</v>
      </c>
      <c r="O1384" s="3">
        <v>1</v>
      </c>
      <c r="P1384" s="3">
        <v>0.01</v>
      </c>
      <c r="Q1384" s="3">
        <v>0</v>
      </c>
      <c r="R1384" s="3">
        <v>0</v>
      </c>
      <c r="S1384" s="3">
        <v>0</v>
      </c>
      <c r="T1384" s="3">
        <v>0</v>
      </c>
      <c r="U1384" s="3">
        <v>0</v>
      </c>
      <c r="V1384" s="3">
        <v>0</v>
      </c>
      <c r="W1384" s="3" t="s">
        <v>1720</v>
      </c>
      <c r="X1384" s="3">
        <v>17.99</v>
      </c>
      <c r="Y1384" s="3">
        <v>17.99</v>
      </c>
      <c r="Z1384" s="3">
        <v>17.99</v>
      </c>
      <c r="AA1384" s="3">
        <v>0</v>
      </c>
      <c r="AB1384" s="3" t="s">
        <v>1713</v>
      </c>
      <c r="AC1384" s="3">
        <v>1</v>
      </c>
      <c r="AD1384" s="3">
        <v>17.99</v>
      </c>
      <c r="AE1384" s="3">
        <v>0</v>
      </c>
      <c r="AF1384" s="3">
        <v>0</v>
      </c>
      <c r="AG1384" s="3">
        <v>0</v>
      </c>
      <c r="AH1384" s="3">
        <v>0</v>
      </c>
      <c r="AI1384" s="3" t="s">
        <v>1782</v>
      </c>
      <c r="AJ1384" s="3" t="s">
        <v>1783</v>
      </c>
    </row>
    <row r="1385" spans="1:36">
      <c r="A1385" s="4">
        <v>43277</v>
      </c>
      <c r="B1385" s="3" t="s">
        <v>5901</v>
      </c>
      <c r="C1385" s="3" t="s">
        <v>5902</v>
      </c>
      <c r="D1385" s="3" t="s">
        <v>5903</v>
      </c>
      <c r="E1385" s="3" t="s">
        <v>5904</v>
      </c>
      <c r="F1385" s="3" t="s">
        <v>1710</v>
      </c>
      <c r="G1385" s="3">
        <v>14</v>
      </c>
      <c r="H1385" s="3">
        <v>0</v>
      </c>
      <c r="I1385" s="3">
        <v>14</v>
      </c>
      <c r="J1385" s="3">
        <v>0</v>
      </c>
      <c r="K1385" s="3">
        <v>0</v>
      </c>
      <c r="L1385" s="3">
        <v>0</v>
      </c>
      <c r="M1385" s="3">
        <v>0</v>
      </c>
      <c r="N1385" s="3" t="s">
        <v>1711</v>
      </c>
      <c r="O1385" s="3">
        <v>0</v>
      </c>
      <c r="P1385" s="3">
        <v>0</v>
      </c>
      <c r="Q1385" s="3">
        <v>0</v>
      </c>
      <c r="R1385" s="3">
        <v>0</v>
      </c>
      <c r="S1385" s="3">
        <v>5</v>
      </c>
      <c r="T1385" s="3">
        <v>12</v>
      </c>
      <c r="U1385" s="3">
        <v>33</v>
      </c>
      <c r="V1385" s="3">
        <v>44</v>
      </c>
      <c r="W1385" s="3"/>
      <c r="X1385" s="3">
        <v>38</v>
      </c>
      <c r="Y1385" s="3">
        <v>19.99</v>
      </c>
      <c r="Z1385" s="3">
        <v>19.99</v>
      </c>
      <c r="AA1385" s="3">
        <v>0</v>
      </c>
      <c r="AB1385" s="3" t="s">
        <v>1713</v>
      </c>
      <c r="AC1385" s="3">
        <v>15</v>
      </c>
      <c r="AD1385" s="3">
        <v>19.99</v>
      </c>
      <c r="AE1385" s="3">
        <v>0</v>
      </c>
      <c r="AF1385" s="3">
        <v>0</v>
      </c>
      <c r="AG1385" s="3">
        <v>0</v>
      </c>
      <c r="AH1385" s="3">
        <v>6.28571428571428</v>
      </c>
      <c r="AI1385" s="3" t="s">
        <v>2071</v>
      </c>
      <c r="AJ1385" s="3" t="s">
        <v>1715</v>
      </c>
    </row>
    <row r="1386" spans="1:36">
      <c r="A1386" s="4">
        <v>43277</v>
      </c>
      <c r="B1386" s="3" t="s">
        <v>5905</v>
      </c>
      <c r="C1386" s="3" t="s">
        <v>5906</v>
      </c>
      <c r="D1386" s="3" t="s">
        <v>5907</v>
      </c>
      <c r="E1386" s="3" t="s">
        <v>333</v>
      </c>
      <c r="F1386" s="3" t="s">
        <v>1710</v>
      </c>
      <c r="G1386" s="3">
        <v>1</v>
      </c>
      <c r="H1386" s="3">
        <v>0</v>
      </c>
      <c r="I1386" s="3">
        <v>1</v>
      </c>
      <c r="J1386" s="3">
        <v>0</v>
      </c>
      <c r="K1386" s="3">
        <v>0</v>
      </c>
      <c r="L1386" s="3">
        <v>0</v>
      </c>
      <c r="M1386" s="3">
        <v>0</v>
      </c>
      <c r="N1386" s="3" t="s">
        <v>1711</v>
      </c>
      <c r="O1386" s="3">
        <v>0</v>
      </c>
      <c r="P1386" s="3">
        <v>0</v>
      </c>
      <c r="Q1386" s="3">
        <v>0</v>
      </c>
      <c r="R1386" s="3">
        <v>0</v>
      </c>
      <c r="S1386" s="3">
        <v>0</v>
      </c>
      <c r="T1386" s="3">
        <v>1</v>
      </c>
      <c r="U1386" s="3">
        <v>2</v>
      </c>
      <c r="V1386" s="3">
        <v>2</v>
      </c>
      <c r="W1386" s="3" t="s">
        <v>1720</v>
      </c>
      <c r="X1386" s="3">
        <v>9.99</v>
      </c>
      <c r="Y1386" s="3">
        <v>9.99</v>
      </c>
      <c r="Z1386" s="3">
        <v>9.99</v>
      </c>
      <c r="AA1386" s="3">
        <v>0</v>
      </c>
      <c r="AB1386" s="3" t="s">
        <v>1721</v>
      </c>
      <c r="AC1386" s="3">
        <v>1</v>
      </c>
      <c r="AD1386" s="3">
        <v>9.99</v>
      </c>
      <c r="AE1386" s="3">
        <v>0</v>
      </c>
      <c r="AF1386" s="3">
        <v>0</v>
      </c>
      <c r="AG1386" s="3">
        <v>0</v>
      </c>
      <c r="AH1386" s="3">
        <v>0.103896103896103</v>
      </c>
      <c r="AI1386" s="3" t="s">
        <v>5908</v>
      </c>
      <c r="AJ1386" s="3" t="s">
        <v>1783</v>
      </c>
    </row>
    <row r="1387" spans="1:36">
      <c r="A1387" s="4">
        <v>43277</v>
      </c>
      <c r="B1387" s="3" t="s">
        <v>5909</v>
      </c>
      <c r="C1387" s="3" t="s">
        <v>5910</v>
      </c>
      <c r="D1387" s="3" t="s">
        <v>5911</v>
      </c>
      <c r="E1387" s="3" t="s">
        <v>5912</v>
      </c>
      <c r="F1387" s="3" t="s">
        <v>1710</v>
      </c>
      <c r="G1387" s="3">
        <v>15</v>
      </c>
      <c r="H1387" s="3">
        <v>0</v>
      </c>
      <c r="I1387" s="3">
        <v>15</v>
      </c>
      <c r="J1387" s="3">
        <v>0</v>
      </c>
      <c r="K1387" s="3">
        <v>0</v>
      </c>
      <c r="L1387" s="3">
        <v>0</v>
      </c>
      <c r="M1387" s="3">
        <v>0</v>
      </c>
      <c r="N1387" s="3" t="s">
        <v>1711</v>
      </c>
      <c r="O1387" s="3">
        <v>0</v>
      </c>
      <c r="P1387" s="3">
        <v>0</v>
      </c>
      <c r="Q1387" s="3">
        <v>0</v>
      </c>
      <c r="R1387" s="3">
        <v>0</v>
      </c>
      <c r="S1387" s="3">
        <v>0</v>
      </c>
      <c r="T1387" s="3">
        <v>0</v>
      </c>
      <c r="U1387" s="3">
        <v>0</v>
      </c>
      <c r="V1387" s="3">
        <v>0</v>
      </c>
      <c r="W1387" s="3" t="s">
        <v>1712</v>
      </c>
      <c r="X1387" s="3">
        <v>28.99</v>
      </c>
      <c r="Y1387" s="3">
        <v>28.99</v>
      </c>
      <c r="Z1387" s="3">
        <v>28.99</v>
      </c>
      <c r="AA1387" s="3">
        <v>0</v>
      </c>
      <c r="AB1387" s="3" t="s">
        <v>1713</v>
      </c>
      <c r="AC1387" s="3">
        <v>15</v>
      </c>
      <c r="AD1387" s="3">
        <v>28.99</v>
      </c>
      <c r="AE1387" s="3">
        <v>0</v>
      </c>
      <c r="AF1387" s="3">
        <v>0</v>
      </c>
      <c r="AG1387" s="3">
        <v>0</v>
      </c>
      <c r="AH1387" s="3">
        <v>0</v>
      </c>
      <c r="AI1387" s="3" t="s">
        <v>5913</v>
      </c>
      <c r="AJ1387" s="3" t="s">
        <v>1715</v>
      </c>
    </row>
    <row r="1388" spans="1:36">
      <c r="A1388" s="4">
        <v>43277</v>
      </c>
      <c r="B1388" s="3" t="s">
        <v>1202</v>
      </c>
      <c r="C1388" s="3" t="s">
        <v>1203</v>
      </c>
      <c r="D1388" s="3" t="s">
        <v>1204</v>
      </c>
      <c r="E1388" s="3" t="s">
        <v>1205</v>
      </c>
      <c r="F1388" s="3" t="s">
        <v>1710</v>
      </c>
      <c r="G1388" s="3">
        <v>1</v>
      </c>
      <c r="H1388" s="3">
        <v>0</v>
      </c>
      <c r="I1388" s="3">
        <v>1</v>
      </c>
      <c r="J1388" s="3">
        <v>0</v>
      </c>
      <c r="K1388" s="3">
        <v>0</v>
      </c>
      <c r="L1388" s="3">
        <v>0</v>
      </c>
      <c r="M1388" s="3">
        <v>0</v>
      </c>
      <c r="N1388" s="3" t="s">
        <v>1711</v>
      </c>
      <c r="O1388" s="3">
        <v>0</v>
      </c>
      <c r="P1388" s="3">
        <v>0</v>
      </c>
      <c r="Q1388" s="3">
        <v>0</v>
      </c>
      <c r="R1388" s="3">
        <v>0</v>
      </c>
      <c r="S1388" s="3">
        <v>0</v>
      </c>
      <c r="T1388" s="3">
        <v>2</v>
      </c>
      <c r="U1388" s="3">
        <v>4</v>
      </c>
      <c r="V1388" s="3">
        <v>8</v>
      </c>
      <c r="W1388" s="3"/>
      <c r="X1388" s="3">
        <v>15.99</v>
      </c>
      <c r="Y1388" s="3">
        <v>15.99</v>
      </c>
      <c r="Z1388" s="3">
        <v>15.99</v>
      </c>
      <c r="AA1388" s="3">
        <v>0</v>
      </c>
      <c r="AB1388" s="3" t="s">
        <v>1713</v>
      </c>
      <c r="AC1388" s="3">
        <v>0</v>
      </c>
      <c r="AD1388" s="3">
        <v>0</v>
      </c>
      <c r="AE1388" s="3">
        <v>0</v>
      </c>
      <c r="AF1388" s="3">
        <v>0</v>
      </c>
      <c r="AG1388" s="3">
        <v>0</v>
      </c>
      <c r="AH1388" s="3">
        <v>4.57142857142857</v>
      </c>
      <c r="AI1388" s="3" t="s">
        <v>1962</v>
      </c>
      <c r="AJ1388" s="3" t="s">
        <v>1715</v>
      </c>
    </row>
    <row r="1389" spans="1:36">
      <c r="A1389" s="4">
        <v>43277</v>
      </c>
      <c r="B1389" s="3" t="s">
        <v>5914</v>
      </c>
      <c r="C1389" s="3" t="s">
        <v>5915</v>
      </c>
      <c r="D1389" s="3" t="s">
        <v>5916</v>
      </c>
      <c r="E1389" s="3" t="s">
        <v>5917</v>
      </c>
      <c r="F1389" s="3" t="s">
        <v>1710</v>
      </c>
      <c r="G1389" s="3">
        <v>17</v>
      </c>
      <c r="H1389" s="3">
        <v>0</v>
      </c>
      <c r="I1389" s="3">
        <v>17</v>
      </c>
      <c r="J1389" s="3">
        <v>0</v>
      </c>
      <c r="K1389" s="3">
        <v>0</v>
      </c>
      <c r="L1389" s="3">
        <v>0</v>
      </c>
      <c r="M1389" s="3">
        <v>0</v>
      </c>
      <c r="N1389" s="3" t="s">
        <v>1711</v>
      </c>
      <c r="O1389" s="3">
        <v>0</v>
      </c>
      <c r="P1389" s="3">
        <v>0</v>
      </c>
      <c r="Q1389" s="3">
        <v>0</v>
      </c>
      <c r="R1389" s="3">
        <v>0</v>
      </c>
      <c r="S1389" s="3">
        <v>5</v>
      </c>
      <c r="T1389" s="3">
        <v>19</v>
      </c>
      <c r="U1389" s="3">
        <v>29</v>
      </c>
      <c r="V1389" s="3">
        <v>42</v>
      </c>
      <c r="W1389" s="3"/>
      <c r="X1389" s="3">
        <v>28.99</v>
      </c>
      <c r="Y1389" s="3">
        <v>14.99</v>
      </c>
      <c r="Z1389" s="3">
        <v>14.99</v>
      </c>
      <c r="AA1389" s="3">
        <v>0</v>
      </c>
      <c r="AB1389" s="3" t="s">
        <v>1713</v>
      </c>
      <c r="AC1389" s="3">
        <v>21</v>
      </c>
      <c r="AD1389" s="3">
        <v>14.99</v>
      </c>
      <c r="AE1389" s="3">
        <v>0</v>
      </c>
      <c r="AF1389" s="3">
        <v>0</v>
      </c>
      <c r="AG1389" s="3">
        <v>0</v>
      </c>
      <c r="AH1389" s="3">
        <v>3.23076923076923</v>
      </c>
      <c r="AI1389" s="3" t="s">
        <v>5918</v>
      </c>
      <c r="AJ1389" s="3" t="s">
        <v>1715</v>
      </c>
    </row>
    <row r="1390" spans="1:36">
      <c r="A1390" s="4">
        <v>43277</v>
      </c>
      <c r="B1390" s="3" t="s">
        <v>5919</v>
      </c>
      <c r="C1390" s="3" t="s">
        <v>5920</v>
      </c>
      <c r="D1390" s="3" t="s">
        <v>5921</v>
      </c>
      <c r="E1390" s="3" t="s">
        <v>5922</v>
      </c>
      <c r="F1390" s="3" t="s">
        <v>1710</v>
      </c>
      <c r="G1390" s="3">
        <v>22</v>
      </c>
      <c r="H1390" s="3">
        <v>0</v>
      </c>
      <c r="I1390" s="3">
        <v>22</v>
      </c>
      <c r="J1390" s="3">
        <v>0</v>
      </c>
      <c r="K1390" s="3">
        <v>0</v>
      </c>
      <c r="L1390" s="3">
        <v>0</v>
      </c>
      <c r="M1390" s="3">
        <v>0</v>
      </c>
      <c r="N1390" s="3" t="s">
        <v>1711</v>
      </c>
      <c r="O1390" s="3">
        <v>0</v>
      </c>
      <c r="P1390" s="3">
        <v>0</v>
      </c>
      <c r="Q1390" s="3">
        <v>0</v>
      </c>
      <c r="R1390" s="3">
        <v>0</v>
      </c>
      <c r="S1390" s="3">
        <v>3</v>
      </c>
      <c r="T1390" s="3">
        <v>7</v>
      </c>
      <c r="U1390" s="3">
        <v>7</v>
      </c>
      <c r="V1390" s="3">
        <v>7</v>
      </c>
      <c r="W1390" s="3"/>
      <c r="X1390" s="3">
        <v>14.99</v>
      </c>
      <c r="Y1390" s="3">
        <v>14.99</v>
      </c>
      <c r="Z1390" s="3">
        <v>14.99</v>
      </c>
      <c r="AA1390" s="3">
        <v>0</v>
      </c>
      <c r="AB1390" s="3" t="s">
        <v>1732</v>
      </c>
      <c r="AC1390" s="3">
        <v>0</v>
      </c>
      <c r="AD1390" s="3">
        <v>13.1</v>
      </c>
      <c r="AE1390" s="3">
        <v>364</v>
      </c>
      <c r="AF1390" s="3">
        <v>0</v>
      </c>
      <c r="AG1390" s="3">
        <v>236.069663</v>
      </c>
      <c r="AH1390" s="3">
        <v>0.318181818181818</v>
      </c>
      <c r="AI1390" s="3" t="s">
        <v>2467</v>
      </c>
      <c r="AJ1390" s="3" t="s">
        <v>1715</v>
      </c>
    </row>
    <row r="1391" spans="1:36">
      <c r="A1391" s="4">
        <v>43277</v>
      </c>
      <c r="B1391" s="3" t="s">
        <v>1090</v>
      </c>
      <c r="C1391" s="3" t="s">
        <v>1091</v>
      </c>
      <c r="D1391" s="3" t="s">
        <v>1092</v>
      </c>
      <c r="E1391" s="3" t="s">
        <v>1093</v>
      </c>
      <c r="F1391" s="3" t="s">
        <v>1710</v>
      </c>
      <c r="G1391" s="3">
        <v>31</v>
      </c>
      <c r="H1391" s="3">
        <v>0</v>
      </c>
      <c r="I1391" s="3">
        <v>31</v>
      </c>
      <c r="J1391" s="3">
        <v>0</v>
      </c>
      <c r="K1391" s="3">
        <v>0</v>
      </c>
      <c r="L1391" s="3">
        <v>0</v>
      </c>
      <c r="M1391" s="3">
        <v>0</v>
      </c>
      <c r="N1391" s="3" t="s">
        <v>1711</v>
      </c>
      <c r="O1391" s="3">
        <v>0</v>
      </c>
      <c r="P1391" s="3">
        <v>0</v>
      </c>
      <c r="Q1391" s="3">
        <v>0</v>
      </c>
      <c r="R1391" s="3">
        <v>0</v>
      </c>
      <c r="S1391" s="3">
        <v>2</v>
      </c>
      <c r="T1391" s="3">
        <v>50</v>
      </c>
      <c r="U1391" s="3">
        <v>69</v>
      </c>
      <c r="V1391" s="3">
        <v>131</v>
      </c>
      <c r="W1391" s="3"/>
      <c r="X1391" s="3">
        <v>48.58</v>
      </c>
      <c r="Y1391" s="3">
        <v>28.99</v>
      </c>
      <c r="Z1391" s="3">
        <v>28.99</v>
      </c>
      <c r="AA1391" s="3">
        <v>0</v>
      </c>
      <c r="AB1391" s="3" t="s">
        <v>1713</v>
      </c>
      <c r="AC1391" s="3">
        <v>0</v>
      </c>
      <c r="AD1391" s="3">
        <v>0</v>
      </c>
      <c r="AE1391" s="3">
        <v>0</v>
      </c>
      <c r="AF1391" s="3">
        <v>0</v>
      </c>
      <c r="AG1391" s="3">
        <v>0</v>
      </c>
      <c r="AH1391" s="3">
        <v>9.52727272727272</v>
      </c>
      <c r="AI1391" s="3" t="s">
        <v>1800</v>
      </c>
      <c r="AJ1391" s="3" t="s">
        <v>1715</v>
      </c>
    </row>
    <row r="1392" spans="1:36">
      <c r="A1392" s="4">
        <v>43277</v>
      </c>
      <c r="B1392" s="3" t="s">
        <v>5923</v>
      </c>
      <c r="C1392" s="3" t="s">
        <v>5924</v>
      </c>
      <c r="D1392" s="3" t="s">
        <v>5925</v>
      </c>
      <c r="E1392" s="3" t="s">
        <v>5926</v>
      </c>
      <c r="F1392" s="3" t="s">
        <v>1710</v>
      </c>
      <c r="G1392" s="3">
        <v>15</v>
      </c>
      <c r="H1392" s="3">
        <v>0</v>
      </c>
      <c r="I1392" s="3">
        <v>15</v>
      </c>
      <c r="J1392" s="3">
        <v>0</v>
      </c>
      <c r="K1392" s="3">
        <v>0</v>
      </c>
      <c r="L1392" s="3">
        <v>0</v>
      </c>
      <c r="M1392" s="3">
        <v>0</v>
      </c>
      <c r="N1392" s="3" t="s">
        <v>1711</v>
      </c>
      <c r="O1392" s="3">
        <v>0</v>
      </c>
      <c r="P1392" s="3">
        <v>0</v>
      </c>
      <c r="Q1392" s="3">
        <v>0</v>
      </c>
      <c r="R1392" s="3">
        <v>0</v>
      </c>
      <c r="S1392" s="3">
        <v>0</v>
      </c>
      <c r="T1392" s="3">
        <v>0</v>
      </c>
      <c r="U1392" s="3">
        <v>0</v>
      </c>
      <c r="V1392" s="3">
        <v>0</v>
      </c>
      <c r="W1392" s="3" t="s">
        <v>1712</v>
      </c>
      <c r="X1392" s="3">
        <v>28.99</v>
      </c>
      <c r="Y1392" s="3">
        <v>28.99</v>
      </c>
      <c r="Z1392" s="3">
        <v>28.99</v>
      </c>
      <c r="AA1392" s="3">
        <v>0</v>
      </c>
      <c r="AB1392" s="3" t="s">
        <v>1713</v>
      </c>
      <c r="AC1392" s="3">
        <v>15</v>
      </c>
      <c r="AD1392" s="3">
        <v>28.99</v>
      </c>
      <c r="AE1392" s="3">
        <v>0</v>
      </c>
      <c r="AF1392" s="3">
        <v>0</v>
      </c>
      <c r="AG1392" s="3">
        <v>0</v>
      </c>
      <c r="AH1392" s="3">
        <v>0</v>
      </c>
      <c r="AI1392" s="3" t="s">
        <v>2065</v>
      </c>
      <c r="AJ1392" s="3" t="s">
        <v>1715</v>
      </c>
    </row>
    <row r="1393" spans="1:36">
      <c r="A1393" s="4">
        <v>43277</v>
      </c>
      <c r="B1393" s="3" t="s">
        <v>5927</v>
      </c>
      <c r="C1393" s="3" t="s">
        <v>5928</v>
      </c>
      <c r="D1393" s="3" t="s">
        <v>5929</v>
      </c>
      <c r="E1393" s="3" t="s">
        <v>1820</v>
      </c>
      <c r="F1393" s="3" t="s">
        <v>1710</v>
      </c>
      <c r="G1393" s="3">
        <v>10</v>
      </c>
      <c r="H1393" s="3">
        <v>0</v>
      </c>
      <c r="I1393" s="3">
        <v>10</v>
      </c>
      <c r="J1393" s="3">
        <v>0</v>
      </c>
      <c r="K1393" s="3">
        <v>0</v>
      </c>
      <c r="L1393" s="3">
        <v>0</v>
      </c>
      <c r="M1393" s="3">
        <v>0</v>
      </c>
      <c r="N1393" s="3" t="s">
        <v>1711</v>
      </c>
      <c r="O1393" s="3">
        <v>0</v>
      </c>
      <c r="P1393" s="3">
        <v>0</v>
      </c>
      <c r="Q1393" s="3">
        <v>0</v>
      </c>
      <c r="R1393" s="3">
        <v>0</v>
      </c>
      <c r="S1393" s="3">
        <v>0</v>
      </c>
      <c r="T1393" s="3">
        <v>0</v>
      </c>
      <c r="U1393" s="3">
        <v>0</v>
      </c>
      <c r="V1393" s="3">
        <v>0</v>
      </c>
      <c r="W1393" s="3" t="s">
        <v>1720</v>
      </c>
      <c r="X1393" s="3">
        <v>19.99</v>
      </c>
      <c r="Y1393" s="3">
        <v>19.99</v>
      </c>
      <c r="Z1393" s="3">
        <v>19.99</v>
      </c>
      <c r="AA1393" s="3">
        <v>0</v>
      </c>
      <c r="AB1393" s="3" t="s">
        <v>1721</v>
      </c>
      <c r="AC1393" s="3">
        <v>0</v>
      </c>
      <c r="AD1393" s="3">
        <v>15.99</v>
      </c>
      <c r="AE1393" s="3">
        <v>63</v>
      </c>
      <c r="AF1393" s="3">
        <v>0</v>
      </c>
      <c r="AG1393" s="3">
        <v>71.82189</v>
      </c>
      <c r="AH1393" s="3">
        <v>0</v>
      </c>
      <c r="AI1393" s="3" t="s">
        <v>1821</v>
      </c>
      <c r="AJ1393" s="3" t="s">
        <v>1715</v>
      </c>
    </row>
    <row r="1394" spans="1:36">
      <c r="A1394" s="4">
        <v>43277</v>
      </c>
      <c r="B1394" s="3" t="s">
        <v>5930</v>
      </c>
      <c r="C1394" s="3" t="s">
        <v>5931</v>
      </c>
      <c r="D1394" s="3" t="s">
        <v>5932</v>
      </c>
      <c r="E1394" s="3" t="s">
        <v>1820</v>
      </c>
      <c r="F1394" s="3" t="s">
        <v>1710</v>
      </c>
      <c r="G1394" s="3">
        <v>10</v>
      </c>
      <c r="H1394" s="3">
        <v>0</v>
      </c>
      <c r="I1394" s="3">
        <v>10</v>
      </c>
      <c r="J1394" s="3">
        <v>0</v>
      </c>
      <c r="K1394" s="3">
        <v>0</v>
      </c>
      <c r="L1394" s="3">
        <v>0</v>
      </c>
      <c r="M1394" s="3">
        <v>0</v>
      </c>
      <c r="N1394" s="3" t="s">
        <v>1711</v>
      </c>
      <c r="O1394" s="3">
        <v>0</v>
      </c>
      <c r="P1394" s="3">
        <v>0</v>
      </c>
      <c r="Q1394" s="3">
        <v>0</v>
      </c>
      <c r="R1394" s="3">
        <v>0</v>
      </c>
      <c r="S1394" s="3">
        <v>0</v>
      </c>
      <c r="T1394" s="3">
        <v>0</v>
      </c>
      <c r="U1394" s="3">
        <v>0</v>
      </c>
      <c r="V1394" s="3">
        <v>0</v>
      </c>
      <c r="W1394" s="3" t="s">
        <v>1720</v>
      </c>
      <c r="X1394" s="3">
        <v>17.99</v>
      </c>
      <c r="Y1394" s="3">
        <v>17.99</v>
      </c>
      <c r="Z1394" s="3">
        <v>17.99</v>
      </c>
      <c r="AA1394" s="3">
        <v>0</v>
      </c>
      <c r="AB1394" s="3" t="s">
        <v>1721</v>
      </c>
      <c r="AC1394" s="3">
        <v>0</v>
      </c>
      <c r="AD1394" s="3">
        <v>14.39</v>
      </c>
      <c r="AE1394" s="3">
        <v>63</v>
      </c>
      <c r="AF1394" s="3">
        <v>0</v>
      </c>
      <c r="AG1394" s="3">
        <v>71.35884</v>
      </c>
      <c r="AH1394" s="3">
        <v>0</v>
      </c>
      <c r="AI1394" s="3" t="s">
        <v>1821</v>
      </c>
      <c r="AJ1394" s="3" t="s">
        <v>1715</v>
      </c>
    </row>
    <row r="1395" spans="1:36">
      <c r="A1395" s="4">
        <v>43277</v>
      </c>
      <c r="B1395" s="3" t="s">
        <v>5933</v>
      </c>
      <c r="C1395" s="3" t="s">
        <v>5934</v>
      </c>
      <c r="D1395" s="3" t="s">
        <v>5935</v>
      </c>
      <c r="E1395" s="3" t="s">
        <v>1820</v>
      </c>
      <c r="F1395" s="3" t="s">
        <v>1710</v>
      </c>
      <c r="G1395" s="3">
        <v>10</v>
      </c>
      <c r="H1395" s="3">
        <v>0</v>
      </c>
      <c r="I1395" s="3">
        <v>10</v>
      </c>
      <c r="J1395" s="3">
        <v>0</v>
      </c>
      <c r="K1395" s="3">
        <v>0</v>
      </c>
      <c r="L1395" s="3">
        <v>0</v>
      </c>
      <c r="M1395" s="3">
        <v>0</v>
      </c>
      <c r="N1395" s="3" t="s">
        <v>1711</v>
      </c>
      <c r="O1395" s="3">
        <v>0</v>
      </c>
      <c r="P1395" s="3">
        <v>0</v>
      </c>
      <c r="Q1395" s="3">
        <v>0</v>
      </c>
      <c r="R1395" s="3">
        <v>0</v>
      </c>
      <c r="S1395" s="3">
        <v>0</v>
      </c>
      <c r="T1395" s="3">
        <v>0</v>
      </c>
      <c r="U1395" s="3">
        <v>0</v>
      </c>
      <c r="V1395" s="3">
        <v>0</v>
      </c>
      <c r="W1395" s="3" t="s">
        <v>1720</v>
      </c>
      <c r="X1395" s="3">
        <v>19.99</v>
      </c>
      <c r="Y1395" s="3">
        <v>19.99</v>
      </c>
      <c r="Z1395" s="3">
        <v>19.99</v>
      </c>
      <c r="AA1395" s="3">
        <v>0</v>
      </c>
      <c r="AB1395" s="3" t="s">
        <v>1721</v>
      </c>
      <c r="AC1395" s="3">
        <v>0</v>
      </c>
      <c r="AD1395" s="3">
        <v>15.99</v>
      </c>
      <c r="AE1395" s="3">
        <v>63</v>
      </c>
      <c r="AF1395" s="3">
        <v>0</v>
      </c>
      <c r="AG1395" s="3">
        <v>71.82189</v>
      </c>
      <c r="AH1395" s="3">
        <v>0</v>
      </c>
      <c r="AI1395" s="3" t="s">
        <v>1821</v>
      </c>
      <c r="AJ1395" s="3" t="s">
        <v>1715</v>
      </c>
    </row>
    <row r="1396" spans="1:36">
      <c r="A1396" s="4">
        <v>43277</v>
      </c>
      <c r="B1396" s="3" t="s">
        <v>1589</v>
      </c>
      <c r="C1396" s="3" t="s">
        <v>1590</v>
      </c>
      <c r="D1396" s="3" t="s">
        <v>1591</v>
      </c>
      <c r="E1396" s="3" t="s">
        <v>1592</v>
      </c>
      <c r="F1396" s="3" t="s">
        <v>1710</v>
      </c>
      <c r="G1396" s="3">
        <v>82</v>
      </c>
      <c r="H1396" s="3">
        <v>0</v>
      </c>
      <c r="I1396" s="3">
        <v>82</v>
      </c>
      <c r="J1396" s="3">
        <v>0</v>
      </c>
      <c r="K1396" s="3">
        <v>0</v>
      </c>
      <c r="L1396" s="3">
        <v>0</v>
      </c>
      <c r="M1396" s="3">
        <v>0</v>
      </c>
      <c r="N1396" s="3" t="s">
        <v>1711</v>
      </c>
      <c r="O1396" s="3">
        <v>0</v>
      </c>
      <c r="P1396" s="3">
        <v>0</v>
      </c>
      <c r="Q1396" s="3">
        <v>0</v>
      </c>
      <c r="R1396" s="3">
        <v>0</v>
      </c>
      <c r="S1396" s="3">
        <v>2</v>
      </c>
      <c r="T1396" s="3">
        <v>17</v>
      </c>
      <c r="U1396" s="3">
        <v>35</v>
      </c>
      <c r="V1396" s="3">
        <v>45</v>
      </c>
      <c r="W1396" s="3"/>
      <c r="X1396" s="3">
        <v>28.58</v>
      </c>
      <c r="Y1396" s="3">
        <v>28.58</v>
      </c>
      <c r="Z1396" s="3">
        <v>25.58</v>
      </c>
      <c r="AA1396" s="3">
        <v>0</v>
      </c>
      <c r="AB1396" s="3" t="s">
        <v>1713</v>
      </c>
      <c r="AC1396" s="3">
        <v>18</v>
      </c>
      <c r="AD1396" s="3">
        <v>28.58</v>
      </c>
      <c r="AE1396" s="3">
        <v>0</v>
      </c>
      <c r="AF1396" s="3">
        <v>0</v>
      </c>
      <c r="AG1396" s="3">
        <v>0</v>
      </c>
      <c r="AH1396" s="3">
        <v>1.5929203539823</v>
      </c>
      <c r="AI1396" s="3" t="s">
        <v>1734</v>
      </c>
      <c r="AJ1396" s="3" t="s">
        <v>1715</v>
      </c>
    </row>
    <row r="1397" spans="1:36">
      <c r="A1397" s="4">
        <v>43277</v>
      </c>
      <c r="B1397" s="3" t="s">
        <v>5936</v>
      </c>
      <c r="C1397" s="3" t="s">
        <v>5937</v>
      </c>
      <c r="D1397" s="3" t="s">
        <v>5938</v>
      </c>
      <c r="E1397" s="3" t="s">
        <v>5939</v>
      </c>
      <c r="F1397" s="3" t="s">
        <v>1710</v>
      </c>
      <c r="G1397" s="3">
        <v>97</v>
      </c>
      <c r="H1397" s="3">
        <v>0</v>
      </c>
      <c r="I1397" s="3">
        <v>4</v>
      </c>
      <c r="J1397" s="3">
        <v>7</v>
      </c>
      <c r="K1397" s="3">
        <v>86</v>
      </c>
      <c r="L1397" s="3">
        <v>0</v>
      </c>
      <c r="M1397" s="3">
        <v>0</v>
      </c>
      <c r="N1397" s="3" t="s">
        <v>1711</v>
      </c>
      <c r="O1397" s="3">
        <v>90</v>
      </c>
      <c r="P1397" s="3">
        <v>57.09</v>
      </c>
      <c r="Q1397" s="3">
        <v>0</v>
      </c>
      <c r="R1397" s="3">
        <v>0</v>
      </c>
      <c r="S1397" s="3">
        <v>0</v>
      </c>
      <c r="T1397" s="3">
        <v>1</v>
      </c>
      <c r="U1397" s="3">
        <v>2</v>
      </c>
      <c r="V1397" s="3">
        <v>7</v>
      </c>
      <c r="W1397" s="3"/>
      <c r="X1397" s="3">
        <v>16.99</v>
      </c>
      <c r="Y1397" s="3">
        <v>16.99</v>
      </c>
      <c r="Z1397" s="3">
        <v>16</v>
      </c>
      <c r="AA1397" s="3">
        <v>0</v>
      </c>
      <c r="AB1397" s="3" t="s">
        <v>1732</v>
      </c>
      <c r="AC1397" s="3">
        <v>91</v>
      </c>
      <c r="AD1397" s="3">
        <v>15.43</v>
      </c>
      <c r="AE1397" s="3">
        <v>49</v>
      </c>
      <c r="AF1397" s="3">
        <v>0</v>
      </c>
      <c r="AG1397" s="3">
        <v>1.121233</v>
      </c>
      <c r="AH1397" s="3">
        <v>0.0515653775322283</v>
      </c>
      <c r="AI1397" s="3" t="s">
        <v>5940</v>
      </c>
      <c r="AJ1397" s="3" t="s">
        <v>1715</v>
      </c>
    </row>
    <row r="1398" spans="1:36">
      <c r="A1398" s="4">
        <v>43277</v>
      </c>
      <c r="B1398" s="3" t="s">
        <v>5941</v>
      </c>
      <c r="C1398" s="3" t="s">
        <v>5942</v>
      </c>
      <c r="D1398" s="3" t="s">
        <v>5943</v>
      </c>
      <c r="E1398" s="3" t="s">
        <v>2495</v>
      </c>
      <c r="F1398" s="3" t="s">
        <v>1710</v>
      </c>
      <c r="G1398" s="3">
        <v>15</v>
      </c>
      <c r="H1398" s="3">
        <v>0</v>
      </c>
      <c r="I1398" s="3">
        <v>15</v>
      </c>
      <c r="J1398" s="3">
        <v>0</v>
      </c>
      <c r="K1398" s="3">
        <v>0</v>
      </c>
      <c r="L1398" s="3">
        <v>0</v>
      </c>
      <c r="M1398" s="3">
        <v>0</v>
      </c>
      <c r="N1398" s="3" t="s">
        <v>1711</v>
      </c>
      <c r="O1398" s="3">
        <v>0</v>
      </c>
      <c r="P1398" s="3">
        <v>0</v>
      </c>
      <c r="Q1398" s="3">
        <v>0</v>
      </c>
      <c r="R1398" s="3">
        <v>0</v>
      </c>
      <c r="S1398" s="3">
        <v>0</v>
      </c>
      <c r="T1398" s="3">
        <v>0</v>
      </c>
      <c r="U1398" s="3">
        <v>0</v>
      </c>
      <c r="V1398" s="3">
        <v>0</v>
      </c>
      <c r="W1398" s="3" t="s">
        <v>1720</v>
      </c>
      <c r="X1398" s="3">
        <v>15.99</v>
      </c>
      <c r="Y1398" s="3">
        <v>15.99</v>
      </c>
      <c r="Z1398" s="3">
        <v>15.99</v>
      </c>
      <c r="AA1398" s="3">
        <v>0</v>
      </c>
      <c r="AB1398" s="3" t="s">
        <v>1721</v>
      </c>
      <c r="AC1398" s="3">
        <v>0</v>
      </c>
      <c r="AD1398" s="3">
        <v>12.79</v>
      </c>
      <c r="AE1398" s="3">
        <v>63</v>
      </c>
      <c r="AF1398" s="3">
        <v>0</v>
      </c>
      <c r="AG1398" s="3">
        <v>160.761652</v>
      </c>
      <c r="AH1398" s="3">
        <v>0</v>
      </c>
      <c r="AI1398" s="3" t="s">
        <v>2758</v>
      </c>
      <c r="AJ1398" s="3" t="s">
        <v>1715</v>
      </c>
    </row>
    <row r="1399" spans="1:36">
      <c r="A1399" s="4">
        <v>43277</v>
      </c>
      <c r="B1399" s="3" t="s">
        <v>815</v>
      </c>
      <c r="C1399" s="3" t="s">
        <v>816</v>
      </c>
      <c r="D1399" s="3" t="s">
        <v>817</v>
      </c>
      <c r="E1399" s="3" t="s">
        <v>818</v>
      </c>
      <c r="F1399" s="3" t="s">
        <v>1710</v>
      </c>
      <c r="G1399" s="3">
        <v>10</v>
      </c>
      <c r="H1399" s="3">
        <v>0</v>
      </c>
      <c r="I1399" s="3">
        <v>9</v>
      </c>
      <c r="J1399" s="3">
        <v>1</v>
      </c>
      <c r="K1399" s="3">
        <v>0</v>
      </c>
      <c r="L1399" s="3">
        <v>0</v>
      </c>
      <c r="M1399" s="3">
        <v>0</v>
      </c>
      <c r="N1399" s="3" t="s">
        <v>1711</v>
      </c>
      <c r="O1399" s="3">
        <v>0</v>
      </c>
      <c r="P1399" s="3">
        <v>0</v>
      </c>
      <c r="Q1399" s="3">
        <v>0</v>
      </c>
      <c r="R1399" s="3">
        <v>0</v>
      </c>
      <c r="S1399" s="3">
        <v>3</v>
      </c>
      <c r="T1399" s="3">
        <v>9</v>
      </c>
      <c r="U1399" s="3">
        <v>12</v>
      </c>
      <c r="V1399" s="3">
        <v>14</v>
      </c>
      <c r="W1399" s="3"/>
      <c r="X1399" s="3">
        <v>38</v>
      </c>
      <c r="Y1399" s="3">
        <v>28.58</v>
      </c>
      <c r="Z1399" s="3">
        <v>28.58</v>
      </c>
      <c r="AA1399" s="3">
        <v>0</v>
      </c>
      <c r="AB1399" s="3" t="s">
        <v>1713</v>
      </c>
      <c r="AC1399" s="3">
        <v>5</v>
      </c>
      <c r="AD1399" s="3">
        <v>28.58</v>
      </c>
      <c r="AE1399" s="3">
        <v>0</v>
      </c>
      <c r="AF1399" s="3">
        <v>0</v>
      </c>
      <c r="AG1399" s="3">
        <v>0</v>
      </c>
      <c r="AH1399" s="3">
        <v>1.21739130434782</v>
      </c>
      <c r="AI1399" s="3" t="s">
        <v>2270</v>
      </c>
      <c r="AJ1399" s="3" t="s">
        <v>1715</v>
      </c>
    </row>
    <row r="1400" spans="1:36">
      <c r="A1400" s="4">
        <v>43277</v>
      </c>
      <c r="B1400" s="3" t="s">
        <v>1317</v>
      </c>
      <c r="C1400" s="3" t="s">
        <v>1318</v>
      </c>
      <c r="D1400" s="3" t="s">
        <v>1319</v>
      </c>
      <c r="E1400" s="3" t="s">
        <v>1320</v>
      </c>
      <c r="F1400" s="3" t="s">
        <v>1710</v>
      </c>
      <c r="G1400" s="3">
        <v>9</v>
      </c>
      <c r="H1400" s="3">
        <v>0</v>
      </c>
      <c r="I1400" s="3">
        <v>9</v>
      </c>
      <c r="J1400" s="3">
        <v>0</v>
      </c>
      <c r="K1400" s="3">
        <v>0</v>
      </c>
      <c r="L1400" s="3">
        <v>0</v>
      </c>
      <c r="M1400" s="3">
        <v>0</v>
      </c>
      <c r="N1400" s="3" t="s">
        <v>1711</v>
      </c>
      <c r="O1400" s="3">
        <v>0</v>
      </c>
      <c r="P1400" s="3">
        <v>0</v>
      </c>
      <c r="Q1400" s="3">
        <v>0</v>
      </c>
      <c r="R1400" s="3">
        <v>0</v>
      </c>
      <c r="S1400" s="3">
        <v>9</v>
      </c>
      <c r="T1400" s="3">
        <v>39</v>
      </c>
      <c r="U1400" s="3">
        <v>54</v>
      </c>
      <c r="V1400" s="3">
        <v>54</v>
      </c>
      <c r="W1400" s="3" t="s">
        <v>1712</v>
      </c>
      <c r="X1400" s="3">
        <v>18.99</v>
      </c>
      <c r="Y1400" s="3">
        <v>18.99</v>
      </c>
      <c r="Z1400" s="3">
        <v>18.99</v>
      </c>
      <c r="AA1400" s="3">
        <v>0</v>
      </c>
      <c r="AB1400" s="3" t="s">
        <v>1713</v>
      </c>
      <c r="AC1400" s="3">
        <v>17</v>
      </c>
      <c r="AD1400" s="3">
        <v>18.99</v>
      </c>
      <c r="AE1400" s="3">
        <v>0</v>
      </c>
      <c r="AF1400" s="3">
        <v>0</v>
      </c>
      <c r="AG1400" s="3">
        <v>0</v>
      </c>
      <c r="AH1400" s="3">
        <v>11.5714285714285</v>
      </c>
      <c r="AI1400" s="3" t="s">
        <v>5944</v>
      </c>
      <c r="AJ1400" s="3" t="s">
        <v>1715</v>
      </c>
    </row>
    <row r="1401" spans="1:36">
      <c r="A1401" s="4">
        <v>43277</v>
      </c>
      <c r="B1401" s="3" t="s">
        <v>5945</v>
      </c>
      <c r="C1401" s="3" t="s">
        <v>5946</v>
      </c>
      <c r="D1401" s="3" t="s">
        <v>5947</v>
      </c>
      <c r="E1401" s="3" t="s">
        <v>5948</v>
      </c>
      <c r="F1401" s="3" t="s">
        <v>1710</v>
      </c>
      <c r="G1401" s="3">
        <v>3</v>
      </c>
      <c r="H1401" s="3">
        <v>0</v>
      </c>
      <c r="I1401" s="3">
        <v>0</v>
      </c>
      <c r="J1401" s="3">
        <v>0</v>
      </c>
      <c r="K1401" s="3">
        <v>0</v>
      </c>
      <c r="L1401" s="3">
        <v>3</v>
      </c>
      <c r="M1401" s="3">
        <v>0</v>
      </c>
      <c r="N1401" s="3" t="s">
        <v>1711</v>
      </c>
      <c r="O1401" s="3">
        <v>0</v>
      </c>
      <c r="P1401" s="3">
        <v>0</v>
      </c>
      <c r="Q1401" s="3">
        <v>3</v>
      </c>
      <c r="R1401" s="3">
        <v>4.22</v>
      </c>
      <c r="S1401" s="3">
        <v>1</v>
      </c>
      <c r="T1401" s="3">
        <v>2</v>
      </c>
      <c r="U1401" s="3">
        <v>2</v>
      </c>
      <c r="V1401" s="3">
        <v>2</v>
      </c>
      <c r="W1401" s="3" t="s">
        <v>1712</v>
      </c>
      <c r="X1401" s="3">
        <v>15.99</v>
      </c>
      <c r="Y1401" s="3">
        <v>15.99</v>
      </c>
      <c r="Z1401" s="3">
        <v>15.55</v>
      </c>
      <c r="AA1401" s="3">
        <v>0</v>
      </c>
      <c r="AB1401" s="3" t="s">
        <v>1713</v>
      </c>
      <c r="AC1401" s="3">
        <v>3</v>
      </c>
      <c r="AD1401" s="3">
        <v>15.99</v>
      </c>
      <c r="AE1401" s="3">
        <v>0</v>
      </c>
      <c r="AF1401" s="3">
        <v>0</v>
      </c>
      <c r="AG1401" s="3">
        <v>0</v>
      </c>
      <c r="AH1401" s="3">
        <v>0.444444444444444</v>
      </c>
      <c r="AI1401" s="3" t="s">
        <v>2036</v>
      </c>
      <c r="AJ1401" s="3" t="s">
        <v>1715</v>
      </c>
    </row>
    <row r="1402" spans="1:36">
      <c r="A1402" s="4">
        <v>43277</v>
      </c>
      <c r="B1402" s="3" t="s">
        <v>5949</v>
      </c>
      <c r="C1402" s="3" t="s">
        <v>5950</v>
      </c>
      <c r="D1402" s="3" t="s">
        <v>5951</v>
      </c>
      <c r="E1402" s="3" t="s">
        <v>2577</v>
      </c>
      <c r="F1402" s="3" t="s">
        <v>1710</v>
      </c>
      <c r="G1402" s="3">
        <v>4</v>
      </c>
      <c r="H1402" s="3">
        <v>0</v>
      </c>
      <c r="I1402" s="3">
        <v>1</v>
      </c>
      <c r="J1402" s="3">
        <v>3</v>
      </c>
      <c r="K1402" s="3">
        <v>0</v>
      </c>
      <c r="L1402" s="3">
        <v>0</v>
      </c>
      <c r="M1402" s="3">
        <v>0</v>
      </c>
      <c r="N1402" s="3" t="s">
        <v>1711</v>
      </c>
      <c r="O1402" s="3">
        <v>3</v>
      </c>
      <c r="P1402" s="3">
        <v>5.27</v>
      </c>
      <c r="Q1402" s="3">
        <v>0</v>
      </c>
      <c r="R1402" s="3">
        <v>0</v>
      </c>
      <c r="S1402" s="3">
        <v>1</v>
      </c>
      <c r="T1402" s="3">
        <v>3</v>
      </c>
      <c r="U1402" s="3">
        <v>4</v>
      </c>
      <c r="V1402" s="3">
        <v>6</v>
      </c>
      <c r="W1402" s="3" t="s">
        <v>1720</v>
      </c>
      <c r="X1402" s="3">
        <v>17.99</v>
      </c>
      <c r="Y1402" s="3">
        <v>17.99</v>
      </c>
      <c r="Z1402" s="3">
        <v>17.99</v>
      </c>
      <c r="AA1402" s="3">
        <v>0</v>
      </c>
      <c r="AB1402" s="3" t="s">
        <v>1721</v>
      </c>
      <c r="AC1402" s="3">
        <v>4</v>
      </c>
      <c r="AD1402" s="3">
        <v>17.99</v>
      </c>
      <c r="AE1402" s="3">
        <v>0</v>
      </c>
      <c r="AF1402" s="3">
        <v>0</v>
      </c>
      <c r="AG1402" s="3">
        <v>0</v>
      </c>
      <c r="AH1402" s="3">
        <v>0.888888888888888</v>
      </c>
      <c r="AI1402" s="3" t="s">
        <v>5952</v>
      </c>
      <c r="AJ1402" s="3" t="s">
        <v>1783</v>
      </c>
    </row>
    <row r="1403" spans="1:36">
      <c r="A1403" s="4">
        <v>43277</v>
      </c>
      <c r="B1403" s="3" t="s">
        <v>5953</v>
      </c>
      <c r="C1403" s="3" t="s">
        <v>5954</v>
      </c>
      <c r="D1403" s="3" t="s">
        <v>5955</v>
      </c>
      <c r="E1403" s="3" t="s">
        <v>5956</v>
      </c>
      <c r="F1403" s="3" t="s">
        <v>1710</v>
      </c>
      <c r="G1403" s="3">
        <v>20</v>
      </c>
      <c r="H1403" s="3">
        <v>0</v>
      </c>
      <c r="I1403" s="3">
        <v>20</v>
      </c>
      <c r="J1403" s="3">
        <v>0</v>
      </c>
      <c r="K1403" s="3">
        <v>0</v>
      </c>
      <c r="L1403" s="3">
        <v>0</v>
      </c>
      <c r="M1403" s="3">
        <v>0</v>
      </c>
      <c r="N1403" s="3" t="s">
        <v>1711</v>
      </c>
      <c r="O1403" s="3">
        <v>0</v>
      </c>
      <c r="P1403" s="3">
        <v>0</v>
      </c>
      <c r="Q1403" s="3">
        <v>0</v>
      </c>
      <c r="R1403" s="3">
        <v>0</v>
      </c>
      <c r="S1403" s="3">
        <v>0</v>
      </c>
      <c r="T1403" s="3">
        <v>0</v>
      </c>
      <c r="U1403" s="3">
        <v>0</v>
      </c>
      <c r="V1403" s="3">
        <v>0</v>
      </c>
      <c r="W1403" s="3" t="s">
        <v>1712</v>
      </c>
      <c r="X1403" s="3">
        <v>31.99</v>
      </c>
      <c r="Y1403" s="3">
        <v>21.99</v>
      </c>
      <c r="Z1403" s="3">
        <v>21.99</v>
      </c>
      <c r="AA1403" s="3">
        <v>0</v>
      </c>
      <c r="AB1403" s="3" t="s">
        <v>1713</v>
      </c>
      <c r="AC1403" s="3">
        <v>0</v>
      </c>
      <c r="AD1403" s="3">
        <v>0</v>
      </c>
      <c r="AE1403" s="3">
        <v>0</v>
      </c>
      <c r="AF1403" s="3">
        <v>0</v>
      </c>
      <c r="AG1403" s="3">
        <v>0</v>
      </c>
      <c r="AH1403" s="3">
        <v>0</v>
      </c>
      <c r="AI1403" s="3" t="s">
        <v>1881</v>
      </c>
      <c r="AJ1403" s="3" t="s">
        <v>1715</v>
      </c>
    </row>
    <row r="1404" spans="1:36">
      <c r="A1404" s="4">
        <v>43277</v>
      </c>
      <c r="B1404" s="3" t="s">
        <v>1377</v>
      </c>
      <c r="C1404" s="3" t="s">
        <v>1378</v>
      </c>
      <c r="D1404" s="3" t="s">
        <v>1379</v>
      </c>
      <c r="E1404" s="3" t="s">
        <v>1380</v>
      </c>
      <c r="F1404" s="3" t="s">
        <v>1710</v>
      </c>
      <c r="G1404" s="3">
        <v>4</v>
      </c>
      <c r="H1404" s="3">
        <v>0</v>
      </c>
      <c r="I1404" s="3">
        <v>4</v>
      </c>
      <c r="J1404" s="3">
        <v>0</v>
      </c>
      <c r="K1404" s="3">
        <v>0</v>
      </c>
      <c r="L1404" s="3">
        <v>0</v>
      </c>
      <c r="M1404" s="3">
        <v>0</v>
      </c>
      <c r="N1404" s="3" t="s">
        <v>1711</v>
      </c>
      <c r="O1404" s="3">
        <v>0</v>
      </c>
      <c r="P1404" s="3">
        <v>0</v>
      </c>
      <c r="Q1404" s="3">
        <v>0</v>
      </c>
      <c r="R1404" s="3">
        <v>0</v>
      </c>
      <c r="S1404" s="3">
        <v>6</v>
      </c>
      <c r="T1404" s="3">
        <v>18</v>
      </c>
      <c r="U1404" s="3">
        <v>28</v>
      </c>
      <c r="V1404" s="3">
        <v>38</v>
      </c>
      <c r="W1404" s="3"/>
      <c r="X1404" s="3">
        <v>25.99</v>
      </c>
      <c r="Y1404" s="3">
        <v>25.99</v>
      </c>
      <c r="Z1404" s="3">
        <v>25.99</v>
      </c>
      <c r="AA1404" s="3">
        <v>0</v>
      </c>
      <c r="AB1404" s="3" t="s">
        <v>1713</v>
      </c>
      <c r="AC1404" s="3">
        <v>1</v>
      </c>
      <c r="AD1404" s="3">
        <v>25.99</v>
      </c>
      <c r="AE1404" s="3">
        <v>0</v>
      </c>
      <c r="AF1404" s="3">
        <v>0</v>
      </c>
      <c r="AG1404" s="3">
        <v>0</v>
      </c>
      <c r="AH1404" s="3">
        <v>10.8571428571428</v>
      </c>
      <c r="AI1404" s="3" t="s">
        <v>2351</v>
      </c>
      <c r="AJ1404" s="3" t="s">
        <v>1715</v>
      </c>
    </row>
    <row r="1405" spans="1:36">
      <c r="A1405" s="4">
        <v>43277</v>
      </c>
      <c r="B1405" s="3" t="s">
        <v>5957</v>
      </c>
      <c r="C1405" s="3" t="s">
        <v>5958</v>
      </c>
      <c r="D1405" s="3" t="s">
        <v>5959</v>
      </c>
      <c r="E1405" s="3" t="s">
        <v>5960</v>
      </c>
      <c r="F1405" s="3" t="s">
        <v>1710</v>
      </c>
      <c r="G1405" s="3">
        <v>45</v>
      </c>
      <c r="H1405" s="3">
        <v>0</v>
      </c>
      <c r="I1405" s="3">
        <v>1</v>
      </c>
      <c r="J1405" s="3">
        <v>15</v>
      </c>
      <c r="K1405" s="3">
        <v>29</v>
      </c>
      <c r="L1405" s="3">
        <v>0</v>
      </c>
      <c r="M1405" s="3">
        <v>0</v>
      </c>
      <c r="N1405" s="3" t="s">
        <v>1711</v>
      </c>
      <c r="O1405" s="3">
        <v>34</v>
      </c>
      <c r="P1405" s="3">
        <v>108.36</v>
      </c>
      <c r="Q1405" s="3">
        <v>0</v>
      </c>
      <c r="R1405" s="3">
        <v>0</v>
      </c>
      <c r="S1405" s="3">
        <v>0</v>
      </c>
      <c r="T1405" s="3">
        <v>5</v>
      </c>
      <c r="U1405" s="3">
        <v>11</v>
      </c>
      <c r="V1405" s="3">
        <v>16</v>
      </c>
      <c r="W1405" s="3"/>
      <c r="X1405" s="3">
        <v>19.99</v>
      </c>
      <c r="Y1405" s="3">
        <v>19.99</v>
      </c>
      <c r="Z1405" s="3">
        <v>19.99</v>
      </c>
      <c r="AA1405" s="3">
        <v>0</v>
      </c>
      <c r="AB1405" s="3" t="s">
        <v>1732</v>
      </c>
      <c r="AC1405" s="3">
        <v>19</v>
      </c>
      <c r="AD1405" s="3">
        <v>17.45</v>
      </c>
      <c r="AE1405" s="3">
        <v>49</v>
      </c>
      <c r="AF1405" s="3">
        <v>0</v>
      </c>
      <c r="AG1405" s="3">
        <v>15.335421</v>
      </c>
      <c r="AH1405" s="3">
        <v>0.188790560471976</v>
      </c>
      <c r="AI1405" s="3" t="s">
        <v>2708</v>
      </c>
      <c r="AJ1405" s="3" t="s">
        <v>1715</v>
      </c>
    </row>
    <row r="1406" spans="1:36">
      <c r="A1406" s="4">
        <v>43277</v>
      </c>
      <c r="B1406" s="3" t="s">
        <v>5961</v>
      </c>
      <c r="C1406" s="3" t="s">
        <v>5962</v>
      </c>
      <c r="D1406" s="3" t="s">
        <v>5963</v>
      </c>
      <c r="E1406" s="3" t="s">
        <v>2495</v>
      </c>
      <c r="F1406" s="3" t="s">
        <v>1710</v>
      </c>
      <c r="G1406" s="3">
        <v>15</v>
      </c>
      <c r="H1406" s="3">
        <v>0</v>
      </c>
      <c r="I1406" s="3">
        <v>15</v>
      </c>
      <c r="J1406" s="3">
        <v>0</v>
      </c>
      <c r="K1406" s="3">
        <v>0</v>
      </c>
      <c r="L1406" s="3">
        <v>0</v>
      </c>
      <c r="M1406" s="3">
        <v>0</v>
      </c>
      <c r="N1406" s="3" t="s">
        <v>1711</v>
      </c>
      <c r="O1406" s="3">
        <v>0</v>
      </c>
      <c r="P1406" s="3">
        <v>0</v>
      </c>
      <c r="Q1406" s="3">
        <v>0</v>
      </c>
      <c r="R1406" s="3">
        <v>0</v>
      </c>
      <c r="S1406" s="3">
        <v>0</v>
      </c>
      <c r="T1406" s="3">
        <v>0</v>
      </c>
      <c r="U1406" s="3">
        <v>0</v>
      </c>
      <c r="V1406" s="3">
        <v>0</v>
      </c>
      <c r="W1406" s="3" t="s">
        <v>1720</v>
      </c>
      <c r="X1406" s="3">
        <v>15.99</v>
      </c>
      <c r="Y1406" s="3">
        <v>15.99</v>
      </c>
      <c r="Z1406" s="3">
        <v>15.99</v>
      </c>
      <c r="AA1406" s="3">
        <v>0</v>
      </c>
      <c r="AB1406" s="3" t="s">
        <v>1721</v>
      </c>
      <c r="AC1406" s="3">
        <v>0</v>
      </c>
      <c r="AD1406" s="3">
        <v>12.79</v>
      </c>
      <c r="AE1406" s="3">
        <v>63</v>
      </c>
      <c r="AF1406" s="3">
        <v>0</v>
      </c>
      <c r="AG1406" s="3">
        <v>160.761652</v>
      </c>
      <c r="AH1406" s="3">
        <v>0</v>
      </c>
      <c r="AI1406" s="3" t="s">
        <v>2758</v>
      </c>
      <c r="AJ1406" s="3" t="s">
        <v>1715</v>
      </c>
    </row>
    <row r="1407" spans="1:36">
      <c r="A1407" s="4">
        <v>43277</v>
      </c>
      <c r="B1407" s="3" t="s">
        <v>5964</v>
      </c>
      <c r="C1407" s="3" t="s">
        <v>5965</v>
      </c>
      <c r="D1407" s="3" t="s">
        <v>5966</v>
      </c>
      <c r="E1407" s="3" t="s">
        <v>5567</v>
      </c>
      <c r="F1407" s="3" t="s">
        <v>1710</v>
      </c>
      <c r="G1407" s="3">
        <v>1</v>
      </c>
      <c r="H1407" s="3">
        <v>0</v>
      </c>
      <c r="I1407" s="3">
        <v>0</v>
      </c>
      <c r="J1407" s="3">
        <v>0</v>
      </c>
      <c r="K1407" s="3">
        <v>1</v>
      </c>
      <c r="L1407" s="3">
        <v>0</v>
      </c>
      <c r="M1407" s="3">
        <v>0</v>
      </c>
      <c r="N1407" s="3" t="s">
        <v>1711</v>
      </c>
      <c r="O1407" s="3">
        <v>1</v>
      </c>
      <c r="P1407" s="3">
        <v>0.01</v>
      </c>
      <c r="Q1407" s="3">
        <v>0</v>
      </c>
      <c r="R1407" s="3">
        <v>0</v>
      </c>
      <c r="S1407" s="3">
        <v>0</v>
      </c>
      <c r="T1407" s="3">
        <v>0</v>
      </c>
      <c r="U1407" s="3">
        <v>0</v>
      </c>
      <c r="V1407" s="3">
        <v>0</v>
      </c>
      <c r="W1407" s="3" t="s">
        <v>1720</v>
      </c>
      <c r="X1407" s="3">
        <v>15.99</v>
      </c>
      <c r="Y1407" s="3">
        <v>15.99</v>
      </c>
      <c r="Z1407" s="3">
        <v>15.99</v>
      </c>
      <c r="AA1407" s="3">
        <v>0</v>
      </c>
      <c r="AB1407" s="3" t="s">
        <v>1713</v>
      </c>
      <c r="AC1407" s="3">
        <v>1</v>
      </c>
      <c r="AD1407" s="3">
        <v>15.99</v>
      </c>
      <c r="AE1407" s="3">
        <v>0</v>
      </c>
      <c r="AF1407" s="3">
        <v>0</v>
      </c>
      <c r="AG1407" s="3">
        <v>0</v>
      </c>
      <c r="AH1407" s="3">
        <v>0</v>
      </c>
      <c r="AI1407" s="3" t="s">
        <v>1782</v>
      </c>
      <c r="AJ1407" s="3" t="s">
        <v>1783</v>
      </c>
    </row>
    <row r="1408" spans="1:36">
      <c r="A1408" s="4">
        <v>43277</v>
      </c>
      <c r="B1408" s="3" t="s">
        <v>5967</v>
      </c>
      <c r="C1408" s="3" t="s">
        <v>5968</v>
      </c>
      <c r="D1408" s="3" t="s">
        <v>5969</v>
      </c>
      <c r="E1408" s="3" t="s">
        <v>5970</v>
      </c>
      <c r="F1408" s="3" t="s">
        <v>1710</v>
      </c>
      <c r="G1408" s="3">
        <v>13</v>
      </c>
      <c r="H1408" s="3">
        <v>0</v>
      </c>
      <c r="I1408" s="3">
        <v>13</v>
      </c>
      <c r="J1408" s="3">
        <v>0</v>
      </c>
      <c r="K1408" s="3">
        <v>0</v>
      </c>
      <c r="L1408" s="3">
        <v>0</v>
      </c>
      <c r="M1408" s="3">
        <v>0</v>
      </c>
      <c r="N1408" s="3" t="s">
        <v>1711</v>
      </c>
      <c r="O1408" s="3">
        <v>0</v>
      </c>
      <c r="P1408" s="3">
        <v>0</v>
      </c>
      <c r="Q1408" s="3">
        <v>0</v>
      </c>
      <c r="R1408" s="3">
        <v>0</v>
      </c>
      <c r="S1408" s="3">
        <v>0</v>
      </c>
      <c r="T1408" s="3">
        <v>2</v>
      </c>
      <c r="U1408" s="3">
        <v>2</v>
      </c>
      <c r="V1408" s="3">
        <v>2</v>
      </c>
      <c r="W1408" s="3"/>
      <c r="X1408" s="3">
        <v>19.99</v>
      </c>
      <c r="Y1408" s="3">
        <v>19.99</v>
      </c>
      <c r="Z1408" s="3">
        <v>19.99</v>
      </c>
      <c r="AA1408" s="3">
        <v>0</v>
      </c>
      <c r="AB1408" s="3" t="s">
        <v>1713</v>
      </c>
      <c r="AC1408" s="3">
        <v>13</v>
      </c>
      <c r="AD1408" s="3">
        <v>19.99</v>
      </c>
      <c r="AE1408" s="3">
        <v>0</v>
      </c>
      <c r="AF1408" s="3">
        <v>0</v>
      </c>
      <c r="AG1408" s="3">
        <v>0</v>
      </c>
      <c r="AH1408" s="3">
        <v>0.142857142857142</v>
      </c>
      <c r="AI1408" s="3" t="s">
        <v>1919</v>
      </c>
      <c r="AJ1408" s="3" t="s">
        <v>1715</v>
      </c>
    </row>
    <row r="1409" spans="1:36">
      <c r="A1409" s="4">
        <v>43277</v>
      </c>
      <c r="B1409" s="3" t="s">
        <v>771</v>
      </c>
      <c r="C1409" s="3" t="s">
        <v>772</v>
      </c>
      <c r="D1409" s="3" t="s">
        <v>773</v>
      </c>
      <c r="E1409" s="3" t="s">
        <v>774</v>
      </c>
      <c r="F1409" s="3" t="s">
        <v>1710</v>
      </c>
      <c r="G1409" s="3">
        <v>33</v>
      </c>
      <c r="H1409" s="3">
        <v>0</v>
      </c>
      <c r="I1409" s="3">
        <v>33</v>
      </c>
      <c r="J1409" s="3">
        <v>0</v>
      </c>
      <c r="K1409" s="3">
        <v>0</v>
      </c>
      <c r="L1409" s="3">
        <v>0</v>
      </c>
      <c r="M1409" s="3">
        <v>0</v>
      </c>
      <c r="N1409" s="3" t="s">
        <v>1711</v>
      </c>
      <c r="O1409" s="3">
        <v>0</v>
      </c>
      <c r="P1409" s="3">
        <v>0</v>
      </c>
      <c r="Q1409" s="3">
        <v>0</v>
      </c>
      <c r="R1409" s="3">
        <v>0</v>
      </c>
      <c r="S1409" s="3">
        <v>6</v>
      </c>
      <c r="T1409" s="3">
        <v>40</v>
      </c>
      <c r="U1409" s="3">
        <v>88</v>
      </c>
      <c r="V1409" s="3">
        <v>129</v>
      </c>
      <c r="W1409" s="3"/>
      <c r="X1409" s="3">
        <v>42.88</v>
      </c>
      <c r="Y1409" s="3">
        <v>18.99</v>
      </c>
      <c r="Z1409" s="3">
        <v>18.99</v>
      </c>
      <c r="AA1409" s="3">
        <v>0</v>
      </c>
      <c r="AB1409" s="3" t="s">
        <v>1713</v>
      </c>
      <c r="AC1409" s="3">
        <v>34</v>
      </c>
      <c r="AD1409" s="3">
        <v>18.99</v>
      </c>
      <c r="AE1409" s="3">
        <v>0</v>
      </c>
      <c r="AF1409" s="3">
        <v>0</v>
      </c>
      <c r="AG1409" s="3">
        <v>0</v>
      </c>
      <c r="AH1409" s="3">
        <v>2.91525423728813</v>
      </c>
      <c r="AI1409" s="3" t="s">
        <v>1794</v>
      </c>
      <c r="AJ1409" s="3" t="s">
        <v>1715</v>
      </c>
    </row>
    <row r="1410" spans="1:36">
      <c r="A1410" s="4">
        <v>43277</v>
      </c>
      <c r="B1410" s="3" t="s">
        <v>132</v>
      </c>
      <c r="C1410" s="3" t="s">
        <v>133</v>
      </c>
      <c r="D1410" s="3" t="s">
        <v>134</v>
      </c>
      <c r="E1410" s="3" t="s">
        <v>135</v>
      </c>
      <c r="F1410" s="3" t="s">
        <v>1710</v>
      </c>
      <c r="G1410" s="3">
        <v>9</v>
      </c>
      <c r="H1410" s="3">
        <v>0</v>
      </c>
      <c r="I1410" s="3">
        <v>6</v>
      </c>
      <c r="J1410" s="3">
        <v>3</v>
      </c>
      <c r="K1410" s="3">
        <v>0</v>
      </c>
      <c r="L1410" s="3">
        <v>0</v>
      </c>
      <c r="M1410" s="3">
        <v>0</v>
      </c>
      <c r="N1410" s="3" t="s">
        <v>1711</v>
      </c>
      <c r="O1410" s="3">
        <v>0</v>
      </c>
      <c r="P1410" s="3">
        <v>0</v>
      </c>
      <c r="Q1410" s="3">
        <v>0</v>
      </c>
      <c r="R1410" s="3">
        <v>0</v>
      </c>
      <c r="S1410" s="3">
        <v>4</v>
      </c>
      <c r="T1410" s="3">
        <v>26</v>
      </c>
      <c r="U1410" s="3">
        <v>39</v>
      </c>
      <c r="V1410" s="3">
        <v>57</v>
      </c>
      <c r="W1410" s="3"/>
      <c r="X1410" s="3">
        <v>28.99</v>
      </c>
      <c r="Y1410" s="3">
        <v>14.99</v>
      </c>
      <c r="Z1410" s="3">
        <v>14.99</v>
      </c>
      <c r="AA1410" s="3">
        <v>0</v>
      </c>
      <c r="AB1410" s="3" t="s">
        <v>1713</v>
      </c>
      <c r="AC1410" s="3">
        <v>13</v>
      </c>
      <c r="AD1410" s="3">
        <v>14.99</v>
      </c>
      <c r="AE1410" s="3">
        <v>0</v>
      </c>
      <c r="AF1410" s="3">
        <v>0</v>
      </c>
      <c r="AG1410" s="3">
        <v>0</v>
      </c>
      <c r="AH1410" s="3">
        <v>1.56164383561643</v>
      </c>
      <c r="AI1410" s="3" t="s">
        <v>2467</v>
      </c>
      <c r="AJ1410" s="3" t="s">
        <v>1715</v>
      </c>
    </row>
    <row r="1411" spans="1:36">
      <c r="A1411" s="4">
        <v>43277</v>
      </c>
      <c r="B1411" s="3" t="s">
        <v>5971</v>
      </c>
      <c r="C1411" s="3" t="s">
        <v>5972</v>
      </c>
      <c r="D1411" s="3" t="s">
        <v>5973</v>
      </c>
      <c r="E1411" s="3" t="s">
        <v>5974</v>
      </c>
      <c r="F1411" s="3" t="s">
        <v>1710</v>
      </c>
      <c r="G1411" s="3">
        <v>1</v>
      </c>
      <c r="H1411" s="3">
        <v>0</v>
      </c>
      <c r="I1411" s="3">
        <v>1</v>
      </c>
      <c r="J1411" s="3">
        <v>0</v>
      </c>
      <c r="K1411" s="3">
        <v>0</v>
      </c>
      <c r="L1411" s="3">
        <v>0</v>
      </c>
      <c r="M1411" s="3">
        <v>0</v>
      </c>
      <c r="N1411" s="3" t="s">
        <v>1711</v>
      </c>
      <c r="O1411" s="3">
        <v>0</v>
      </c>
      <c r="P1411" s="3">
        <v>0</v>
      </c>
      <c r="Q1411" s="3">
        <v>0</v>
      </c>
      <c r="R1411" s="3">
        <v>0</v>
      </c>
      <c r="S1411" s="3">
        <v>4</v>
      </c>
      <c r="T1411" s="3">
        <v>14</v>
      </c>
      <c r="U1411" s="3">
        <v>17</v>
      </c>
      <c r="V1411" s="3">
        <v>23</v>
      </c>
      <c r="W1411" s="3"/>
      <c r="X1411" s="3">
        <v>19.99</v>
      </c>
      <c r="Y1411" s="3">
        <v>15.99</v>
      </c>
      <c r="Z1411" s="3">
        <v>15.99</v>
      </c>
      <c r="AA1411" s="3">
        <v>0</v>
      </c>
      <c r="AB1411" s="3" t="s">
        <v>1713</v>
      </c>
      <c r="AC1411" s="3">
        <v>0</v>
      </c>
      <c r="AD1411" s="3">
        <v>0</v>
      </c>
      <c r="AE1411" s="3">
        <v>0</v>
      </c>
      <c r="AF1411" s="3">
        <v>0</v>
      </c>
      <c r="AG1411" s="3">
        <v>0</v>
      </c>
      <c r="AH1411" s="3">
        <v>4.6</v>
      </c>
      <c r="AI1411" s="3" t="s">
        <v>1962</v>
      </c>
      <c r="AJ1411" s="3" t="s">
        <v>1715</v>
      </c>
    </row>
    <row r="1412" spans="1:36">
      <c r="A1412" s="4">
        <v>43277</v>
      </c>
      <c r="B1412" s="3" t="s">
        <v>5975</v>
      </c>
      <c r="C1412" s="3" t="s">
        <v>5976</v>
      </c>
      <c r="D1412" s="3" t="s">
        <v>5977</v>
      </c>
      <c r="E1412" s="3" t="s">
        <v>5978</v>
      </c>
      <c r="F1412" s="3" t="s">
        <v>1710</v>
      </c>
      <c r="G1412" s="3">
        <v>2</v>
      </c>
      <c r="H1412" s="3">
        <v>0</v>
      </c>
      <c r="I1412" s="3">
        <v>2</v>
      </c>
      <c r="J1412" s="3">
        <v>0</v>
      </c>
      <c r="K1412" s="3">
        <v>0</v>
      </c>
      <c r="L1412" s="3">
        <v>0</v>
      </c>
      <c r="M1412" s="3">
        <v>0</v>
      </c>
      <c r="N1412" s="3" t="s">
        <v>1711</v>
      </c>
      <c r="O1412" s="3">
        <v>0</v>
      </c>
      <c r="P1412" s="3">
        <v>0</v>
      </c>
      <c r="Q1412" s="3">
        <v>0</v>
      </c>
      <c r="R1412" s="3">
        <v>0</v>
      </c>
      <c r="S1412" s="3">
        <v>1</v>
      </c>
      <c r="T1412" s="3">
        <v>1</v>
      </c>
      <c r="U1412" s="3">
        <v>3</v>
      </c>
      <c r="V1412" s="3">
        <v>4</v>
      </c>
      <c r="W1412" s="3"/>
      <c r="X1412" s="3">
        <v>15.99</v>
      </c>
      <c r="Y1412" s="3">
        <v>15.99</v>
      </c>
      <c r="Z1412" s="3">
        <v>15.99</v>
      </c>
      <c r="AA1412" s="3">
        <v>0</v>
      </c>
      <c r="AB1412" s="3" t="s">
        <v>1713</v>
      </c>
      <c r="AC1412" s="3">
        <v>2</v>
      </c>
      <c r="AD1412" s="3">
        <v>15.99</v>
      </c>
      <c r="AE1412" s="3">
        <v>0</v>
      </c>
      <c r="AF1412" s="3">
        <v>0</v>
      </c>
      <c r="AG1412" s="3">
        <v>0</v>
      </c>
      <c r="AH1412" s="3">
        <v>2</v>
      </c>
      <c r="AI1412" s="3" t="s">
        <v>2542</v>
      </c>
      <c r="AJ1412" s="3" t="s">
        <v>1715</v>
      </c>
    </row>
    <row r="1413" spans="1:36">
      <c r="A1413" s="4">
        <v>43277</v>
      </c>
      <c r="B1413" s="3" t="s">
        <v>5979</v>
      </c>
      <c r="C1413" s="3" t="s">
        <v>5980</v>
      </c>
      <c r="D1413" s="3" t="s">
        <v>5981</v>
      </c>
      <c r="E1413" s="3" t="s">
        <v>5982</v>
      </c>
      <c r="F1413" s="3" t="s">
        <v>1710</v>
      </c>
      <c r="G1413" s="3">
        <v>22</v>
      </c>
      <c r="H1413" s="3">
        <v>0</v>
      </c>
      <c r="I1413" s="3">
        <v>5</v>
      </c>
      <c r="J1413" s="3">
        <v>8</v>
      </c>
      <c r="K1413" s="3">
        <v>9</v>
      </c>
      <c r="L1413" s="3">
        <v>0</v>
      </c>
      <c r="M1413" s="3">
        <v>0</v>
      </c>
      <c r="N1413" s="3" t="s">
        <v>1711</v>
      </c>
      <c r="O1413" s="3">
        <v>15</v>
      </c>
      <c r="P1413" s="3">
        <v>37.47</v>
      </c>
      <c r="Q1413" s="3">
        <v>0</v>
      </c>
      <c r="R1413" s="3">
        <v>0</v>
      </c>
      <c r="S1413" s="3">
        <v>0</v>
      </c>
      <c r="T1413" s="3">
        <v>5</v>
      </c>
      <c r="U1413" s="3">
        <v>15</v>
      </c>
      <c r="V1413" s="3">
        <v>29</v>
      </c>
      <c r="W1413" s="3"/>
      <c r="X1413" s="3">
        <v>19.99</v>
      </c>
      <c r="Y1413" s="3">
        <v>19.99</v>
      </c>
      <c r="Z1413" s="3">
        <v>19.99</v>
      </c>
      <c r="AA1413" s="3">
        <v>0</v>
      </c>
      <c r="AB1413" s="3" t="s">
        <v>1713</v>
      </c>
      <c r="AC1413" s="3">
        <v>22</v>
      </c>
      <c r="AD1413" s="3">
        <v>19.99</v>
      </c>
      <c r="AE1413" s="3">
        <v>0</v>
      </c>
      <c r="AF1413" s="3">
        <v>0</v>
      </c>
      <c r="AG1413" s="3">
        <v>0</v>
      </c>
      <c r="AH1413" s="3">
        <v>0.46215139442231</v>
      </c>
      <c r="AI1413" s="3" t="s">
        <v>2076</v>
      </c>
      <c r="AJ1413" s="3" t="s">
        <v>1715</v>
      </c>
    </row>
    <row r="1414" spans="1:36">
      <c r="A1414" s="4">
        <v>43277</v>
      </c>
      <c r="B1414" s="3" t="s">
        <v>5983</v>
      </c>
      <c r="C1414" s="3" t="s">
        <v>5984</v>
      </c>
      <c r="D1414" s="3" t="s">
        <v>5985</v>
      </c>
      <c r="E1414" s="3" t="s">
        <v>5986</v>
      </c>
      <c r="F1414" s="3" t="s">
        <v>1710</v>
      </c>
      <c r="G1414" s="3">
        <v>2</v>
      </c>
      <c r="H1414" s="3">
        <v>0</v>
      </c>
      <c r="I1414" s="3">
        <v>0</v>
      </c>
      <c r="J1414" s="3">
        <v>2</v>
      </c>
      <c r="K1414" s="3">
        <v>0</v>
      </c>
      <c r="L1414" s="3">
        <v>0</v>
      </c>
      <c r="M1414" s="3">
        <v>0</v>
      </c>
      <c r="N1414" s="3" t="s">
        <v>1711</v>
      </c>
      <c r="O1414" s="3">
        <v>0</v>
      </c>
      <c r="P1414" s="3">
        <v>0</v>
      </c>
      <c r="Q1414" s="3">
        <v>0</v>
      </c>
      <c r="R1414" s="3">
        <v>0</v>
      </c>
      <c r="S1414" s="3">
        <v>0</v>
      </c>
      <c r="T1414" s="3">
        <v>1</v>
      </c>
      <c r="U1414" s="3">
        <v>2</v>
      </c>
      <c r="V1414" s="3">
        <v>3</v>
      </c>
      <c r="W1414" s="3" t="s">
        <v>1712</v>
      </c>
      <c r="X1414" s="3">
        <v>19.99</v>
      </c>
      <c r="Y1414" s="3">
        <v>19.99</v>
      </c>
      <c r="Z1414" s="3">
        <v>19.99</v>
      </c>
      <c r="AA1414" s="3">
        <v>0</v>
      </c>
      <c r="AB1414" s="3" t="s">
        <v>1713</v>
      </c>
      <c r="AC1414" s="3">
        <v>2</v>
      </c>
      <c r="AD1414" s="3">
        <v>19.99</v>
      </c>
      <c r="AE1414" s="3">
        <v>0</v>
      </c>
      <c r="AF1414" s="3">
        <v>0</v>
      </c>
      <c r="AG1414" s="3">
        <v>0</v>
      </c>
      <c r="AH1414" s="3">
        <v>0.857142857142857</v>
      </c>
      <c r="AI1414" s="3" t="s">
        <v>5987</v>
      </c>
      <c r="AJ1414" s="3" t="s">
        <v>1715</v>
      </c>
    </row>
    <row r="1415" spans="1:36">
      <c r="A1415" s="4">
        <v>43277</v>
      </c>
      <c r="B1415" s="3" t="s">
        <v>603</v>
      </c>
      <c r="C1415" s="3" t="s">
        <v>604</v>
      </c>
      <c r="D1415" s="3" t="s">
        <v>605</v>
      </c>
      <c r="E1415" s="3" t="s">
        <v>606</v>
      </c>
      <c r="F1415" s="3" t="s">
        <v>1710</v>
      </c>
      <c r="G1415" s="3">
        <v>4</v>
      </c>
      <c r="H1415" s="3">
        <v>0</v>
      </c>
      <c r="I1415" s="3">
        <v>4</v>
      </c>
      <c r="J1415" s="3">
        <v>0</v>
      </c>
      <c r="K1415" s="3">
        <v>0</v>
      </c>
      <c r="L1415" s="3">
        <v>0</v>
      </c>
      <c r="M1415" s="3">
        <v>0</v>
      </c>
      <c r="N1415" s="3" t="s">
        <v>1711</v>
      </c>
      <c r="O1415" s="3">
        <v>0</v>
      </c>
      <c r="P1415" s="3">
        <v>0</v>
      </c>
      <c r="Q1415" s="3">
        <v>0</v>
      </c>
      <c r="R1415" s="3">
        <v>0</v>
      </c>
      <c r="S1415" s="3">
        <v>3</v>
      </c>
      <c r="T1415" s="3">
        <v>11</v>
      </c>
      <c r="U1415" s="3">
        <v>17</v>
      </c>
      <c r="V1415" s="3">
        <v>24</v>
      </c>
      <c r="W1415" s="3"/>
      <c r="X1415" s="3">
        <v>38</v>
      </c>
      <c r="Y1415" s="3">
        <v>15.58</v>
      </c>
      <c r="Z1415" s="3">
        <v>15.58</v>
      </c>
      <c r="AA1415" s="3">
        <v>0</v>
      </c>
      <c r="AB1415" s="3" t="s">
        <v>1713</v>
      </c>
      <c r="AC1415" s="3">
        <v>4</v>
      </c>
      <c r="AD1415" s="3">
        <v>15.58</v>
      </c>
      <c r="AE1415" s="3">
        <v>0</v>
      </c>
      <c r="AF1415" s="3">
        <v>0</v>
      </c>
      <c r="AG1415" s="3">
        <v>0</v>
      </c>
      <c r="AH1415" s="3">
        <v>1.92</v>
      </c>
      <c r="AI1415" s="3" t="s">
        <v>5988</v>
      </c>
      <c r="AJ1415" s="3" t="s">
        <v>1715</v>
      </c>
    </row>
    <row r="1416" spans="1:36">
      <c r="A1416" s="4">
        <v>43277</v>
      </c>
      <c r="B1416" s="3" t="s">
        <v>475</v>
      </c>
      <c r="C1416" s="3" t="s">
        <v>476</v>
      </c>
      <c r="D1416" s="3" t="s">
        <v>477</v>
      </c>
      <c r="E1416" s="3" t="s">
        <v>478</v>
      </c>
      <c r="F1416" s="3" t="s">
        <v>1710</v>
      </c>
      <c r="G1416" s="3">
        <v>91</v>
      </c>
      <c r="H1416" s="3">
        <v>0</v>
      </c>
      <c r="I1416" s="3">
        <v>91</v>
      </c>
      <c r="J1416" s="3">
        <v>0</v>
      </c>
      <c r="K1416" s="3">
        <v>0</v>
      </c>
      <c r="L1416" s="3">
        <v>0</v>
      </c>
      <c r="M1416" s="3">
        <v>0</v>
      </c>
      <c r="N1416" s="3" t="s">
        <v>1711</v>
      </c>
      <c r="O1416" s="3">
        <v>0</v>
      </c>
      <c r="P1416" s="3">
        <v>0</v>
      </c>
      <c r="Q1416" s="3">
        <v>0</v>
      </c>
      <c r="R1416" s="3">
        <v>0</v>
      </c>
      <c r="S1416" s="3">
        <v>24</v>
      </c>
      <c r="T1416" s="3">
        <v>102</v>
      </c>
      <c r="U1416" s="3">
        <v>177</v>
      </c>
      <c r="V1416" s="3">
        <v>256</v>
      </c>
      <c r="W1416" s="3"/>
      <c r="X1416" s="3">
        <v>48.58</v>
      </c>
      <c r="Y1416" s="3">
        <v>28.99</v>
      </c>
      <c r="Z1416" s="3">
        <v>28.99</v>
      </c>
      <c r="AA1416" s="3">
        <v>0</v>
      </c>
      <c r="AB1416" s="3" t="s">
        <v>1713</v>
      </c>
      <c r="AC1416" s="3">
        <v>99</v>
      </c>
      <c r="AD1416" s="3">
        <v>28.99</v>
      </c>
      <c r="AE1416" s="3">
        <v>0</v>
      </c>
      <c r="AF1416" s="3">
        <v>0</v>
      </c>
      <c r="AG1416" s="3">
        <v>0</v>
      </c>
      <c r="AH1416" s="3">
        <v>2.6806282722513</v>
      </c>
      <c r="AI1416" s="3" t="s">
        <v>1800</v>
      </c>
      <c r="AJ1416" s="3" t="s">
        <v>1715</v>
      </c>
    </row>
    <row r="1417" spans="1:36">
      <c r="A1417" s="4">
        <v>43277</v>
      </c>
      <c r="B1417" s="3" t="s">
        <v>5989</v>
      </c>
      <c r="C1417" s="3" t="s">
        <v>5990</v>
      </c>
      <c r="D1417" s="3" t="s">
        <v>5991</v>
      </c>
      <c r="E1417" s="3" t="s">
        <v>5992</v>
      </c>
      <c r="F1417" s="3" t="s">
        <v>1710</v>
      </c>
      <c r="G1417" s="3">
        <v>5</v>
      </c>
      <c r="H1417" s="3">
        <v>0</v>
      </c>
      <c r="I1417" s="3">
        <v>0</v>
      </c>
      <c r="J1417" s="3">
        <v>0</v>
      </c>
      <c r="K1417" s="3">
        <v>5</v>
      </c>
      <c r="L1417" s="3">
        <v>0</v>
      </c>
      <c r="M1417" s="3">
        <v>0</v>
      </c>
      <c r="N1417" s="3" t="s">
        <v>1711</v>
      </c>
      <c r="O1417" s="3">
        <v>5</v>
      </c>
      <c r="P1417" s="3">
        <v>6.52</v>
      </c>
      <c r="Q1417" s="3">
        <v>0</v>
      </c>
      <c r="R1417" s="3">
        <v>0</v>
      </c>
      <c r="S1417" s="3">
        <v>0</v>
      </c>
      <c r="T1417" s="3">
        <v>0</v>
      </c>
      <c r="U1417" s="3">
        <v>0</v>
      </c>
      <c r="V1417" s="3">
        <v>0</v>
      </c>
      <c r="W1417" s="3" t="s">
        <v>1720</v>
      </c>
      <c r="X1417" s="3">
        <v>17.99</v>
      </c>
      <c r="Y1417" s="3">
        <v>17.99</v>
      </c>
      <c r="Z1417" s="3">
        <v>17.99</v>
      </c>
      <c r="AA1417" s="3">
        <v>0</v>
      </c>
      <c r="AB1417" s="3" t="s">
        <v>1721</v>
      </c>
      <c r="AC1417" s="3">
        <v>0</v>
      </c>
      <c r="AD1417" s="3">
        <v>15.08</v>
      </c>
      <c r="AE1417" s="3">
        <v>182</v>
      </c>
      <c r="AF1417" s="3">
        <v>0</v>
      </c>
      <c r="AG1417" s="3">
        <v>108.625068</v>
      </c>
      <c r="AH1417" s="3">
        <v>0</v>
      </c>
      <c r="AI1417" s="3" t="s">
        <v>2165</v>
      </c>
      <c r="AJ1417" s="3" t="s">
        <v>1715</v>
      </c>
    </row>
    <row r="1418" spans="1:36">
      <c r="A1418" s="4">
        <v>43277</v>
      </c>
      <c r="B1418" s="3" t="s">
        <v>5993</v>
      </c>
      <c r="C1418" s="3" t="s">
        <v>5994</v>
      </c>
      <c r="D1418" s="3" t="s">
        <v>5995</v>
      </c>
      <c r="E1418" s="3" t="s">
        <v>311</v>
      </c>
      <c r="F1418" s="3" t="s">
        <v>1710</v>
      </c>
      <c r="G1418" s="3">
        <v>1</v>
      </c>
      <c r="H1418" s="3">
        <v>0</v>
      </c>
      <c r="I1418" s="3">
        <v>0</v>
      </c>
      <c r="J1418" s="3">
        <v>1</v>
      </c>
      <c r="K1418" s="3">
        <v>0</v>
      </c>
      <c r="L1418" s="3">
        <v>0</v>
      </c>
      <c r="M1418" s="3">
        <v>0</v>
      </c>
      <c r="N1418" s="3" t="s">
        <v>1711</v>
      </c>
      <c r="O1418" s="3">
        <v>1</v>
      </c>
      <c r="P1418" s="3">
        <v>1.95</v>
      </c>
      <c r="Q1418" s="3">
        <v>0</v>
      </c>
      <c r="R1418" s="3">
        <v>0</v>
      </c>
      <c r="S1418" s="3">
        <v>0</v>
      </c>
      <c r="T1418" s="3">
        <v>0</v>
      </c>
      <c r="U1418" s="3">
        <v>1</v>
      </c>
      <c r="V1418" s="3">
        <v>1</v>
      </c>
      <c r="W1418" s="3" t="s">
        <v>1712</v>
      </c>
      <c r="X1418" s="3">
        <v>15.99</v>
      </c>
      <c r="Y1418" s="3">
        <v>15.99</v>
      </c>
      <c r="Z1418" s="3">
        <v>15.99</v>
      </c>
      <c r="AA1418" s="3">
        <v>0</v>
      </c>
      <c r="AB1418" s="3" t="s">
        <v>1732</v>
      </c>
      <c r="AC1418" s="3">
        <v>0</v>
      </c>
      <c r="AD1418" s="3">
        <v>14.35</v>
      </c>
      <c r="AE1418" s="3">
        <v>98</v>
      </c>
      <c r="AF1418" s="3">
        <v>0</v>
      </c>
      <c r="AG1418" s="3">
        <v>28.432996</v>
      </c>
      <c r="AH1418" s="3">
        <v>0.666666666666666</v>
      </c>
      <c r="AI1418" s="3" t="s">
        <v>5996</v>
      </c>
      <c r="AJ1418" s="3" t="s">
        <v>1715</v>
      </c>
    </row>
    <row r="1419" spans="1:36">
      <c r="A1419" s="4">
        <v>43277</v>
      </c>
      <c r="B1419" s="3" t="s">
        <v>1601</v>
      </c>
      <c r="C1419" s="3" t="s">
        <v>1602</v>
      </c>
      <c r="D1419" s="3" t="s">
        <v>1603</v>
      </c>
      <c r="E1419" s="3" t="s">
        <v>1604</v>
      </c>
      <c r="F1419" s="3" t="s">
        <v>1710</v>
      </c>
      <c r="G1419" s="3">
        <v>98</v>
      </c>
      <c r="H1419" s="3">
        <v>0</v>
      </c>
      <c r="I1419" s="3">
        <v>98</v>
      </c>
      <c r="J1419" s="3">
        <v>0</v>
      </c>
      <c r="K1419" s="3">
        <v>0</v>
      </c>
      <c r="L1419" s="3">
        <v>0</v>
      </c>
      <c r="M1419" s="3">
        <v>0</v>
      </c>
      <c r="N1419" s="3" t="s">
        <v>1711</v>
      </c>
      <c r="O1419" s="3">
        <v>0</v>
      </c>
      <c r="P1419" s="3">
        <v>0</v>
      </c>
      <c r="Q1419" s="3">
        <v>0</v>
      </c>
      <c r="R1419" s="3">
        <v>0</v>
      </c>
      <c r="S1419" s="3">
        <v>42</v>
      </c>
      <c r="T1419" s="3">
        <v>191</v>
      </c>
      <c r="U1419" s="3">
        <v>347</v>
      </c>
      <c r="V1419" s="3">
        <v>465</v>
      </c>
      <c r="W1419" s="3"/>
      <c r="X1419" s="3">
        <v>40</v>
      </c>
      <c r="Y1419" s="3">
        <v>29.99</v>
      </c>
      <c r="Z1419" s="3">
        <v>29.99</v>
      </c>
      <c r="AA1419" s="3">
        <v>0</v>
      </c>
      <c r="AB1419" s="3" t="s">
        <v>1713</v>
      </c>
      <c r="AC1419" s="3">
        <v>103</v>
      </c>
      <c r="AD1419" s="3">
        <v>29.99</v>
      </c>
      <c r="AE1419" s="3">
        <v>0</v>
      </c>
      <c r="AF1419" s="3">
        <v>0</v>
      </c>
      <c r="AG1419" s="3">
        <v>0</v>
      </c>
      <c r="AH1419" s="3">
        <v>5.68807339449541</v>
      </c>
      <c r="AI1419" s="3" t="s">
        <v>2160</v>
      </c>
      <c r="AJ1419" s="3" t="s">
        <v>1715</v>
      </c>
    </row>
    <row r="1420" spans="1:36">
      <c r="A1420" s="4">
        <v>43277</v>
      </c>
      <c r="B1420" s="3" t="s">
        <v>5997</v>
      </c>
      <c r="C1420" s="3" t="s">
        <v>5998</v>
      </c>
      <c r="D1420" s="3" t="s">
        <v>5999</v>
      </c>
      <c r="E1420" s="3" t="s">
        <v>6000</v>
      </c>
      <c r="F1420" s="3" t="s">
        <v>1710</v>
      </c>
      <c r="G1420" s="3">
        <v>8</v>
      </c>
      <c r="H1420" s="3">
        <v>0</v>
      </c>
      <c r="I1420" s="3">
        <v>8</v>
      </c>
      <c r="J1420" s="3">
        <v>0</v>
      </c>
      <c r="K1420" s="3">
        <v>0</v>
      </c>
      <c r="L1420" s="3">
        <v>0</v>
      </c>
      <c r="M1420" s="3">
        <v>0</v>
      </c>
      <c r="N1420" s="3" t="s">
        <v>1711</v>
      </c>
      <c r="O1420" s="3">
        <v>0</v>
      </c>
      <c r="P1420" s="3">
        <v>0</v>
      </c>
      <c r="Q1420" s="3">
        <v>0</v>
      </c>
      <c r="R1420" s="3">
        <v>0</v>
      </c>
      <c r="S1420" s="3">
        <v>8</v>
      </c>
      <c r="T1420" s="3">
        <v>23</v>
      </c>
      <c r="U1420" s="3">
        <v>33</v>
      </c>
      <c r="V1420" s="3">
        <v>33</v>
      </c>
      <c r="W1420" s="3"/>
      <c r="X1420" s="3">
        <v>38</v>
      </c>
      <c r="Y1420" s="3">
        <v>25.58</v>
      </c>
      <c r="Z1420" s="3">
        <v>25.58</v>
      </c>
      <c r="AA1420" s="3">
        <v>0</v>
      </c>
      <c r="AB1420" s="3" t="s">
        <v>1713</v>
      </c>
      <c r="AC1420" s="3">
        <v>13</v>
      </c>
      <c r="AD1420" s="3">
        <v>25.58</v>
      </c>
      <c r="AE1420" s="3">
        <v>0</v>
      </c>
      <c r="AF1420" s="3">
        <v>0</v>
      </c>
      <c r="AG1420" s="3">
        <v>0</v>
      </c>
      <c r="AH1420" s="3">
        <v>4.95</v>
      </c>
      <c r="AI1420" s="3" t="s">
        <v>2203</v>
      </c>
      <c r="AJ1420" s="3" t="s">
        <v>1715</v>
      </c>
    </row>
    <row r="1421" spans="1:36">
      <c r="A1421" s="4">
        <v>43277</v>
      </c>
      <c r="B1421" s="3" t="s">
        <v>6001</v>
      </c>
      <c r="C1421" s="3" t="s">
        <v>6002</v>
      </c>
      <c r="D1421" s="3" t="s">
        <v>6003</v>
      </c>
      <c r="E1421" s="3" t="s">
        <v>3690</v>
      </c>
      <c r="F1421" s="3" t="s">
        <v>1710</v>
      </c>
      <c r="G1421" s="3">
        <v>11</v>
      </c>
      <c r="H1421" s="3">
        <v>0</v>
      </c>
      <c r="I1421" s="3">
        <v>0</v>
      </c>
      <c r="J1421" s="3">
        <v>0</v>
      </c>
      <c r="K1421" s="3">
        <v>11</v>
      </c>
      <c r="L1421" s="3">
        <v>0</v>
      </c>
      <c r="M1421" s="3">
        <v>0</v>
      </c>
      <c r="N1421" s="3" t="s">
        <v>1711</v>
      </c>
      <c r="O1421" s="3">
        <v>11</v>
      </c>
      <c r="P1421" s="3">
        <v>37.78</v>
      </c>
      <c r="Q1421" s="3">
        <v>0</v>
      </c>
      <c r="R1421" s="3">
        <v>0</v>
      </c>
      <c r="S1421" s="3">
        <v>0</v>
      </c>
      <c r="T1421" s="3">
        <v>0</v>
      </c>
      <c r="U1421" s="3">
        <v>0</v>
      </c>
      <c r="V1421" s="3">
        <v>1</v>
      </c>
      <c r="W1421" s="3" t="s">
        <v>1720</v>
      </c>
      <c r="X1421" s="3">
        <v>16.99</v>
      </c>
      <c r="Y1421" s="3">
        <v>16.99</v>
      </c>
      <c r="Z1421" s="3">
        <v>16.99</v>
      </c>
      <c r="AA1421" s="3">
        <v>0</v>
      </c>
      <c r="AB1421" s="3" t="s">
        <v>1721</v>
      </c>
      <c r="AC1421" s="3">
        <v>0</v>
      </c>
      <c r="AD1421" s="3">
        <v>13.59</v>
      </c>
      <c r="AE1421" s="3">
        <v>364</v>
      </c>
      <c r="AF1421" s="3">
        <v>0</v>
      </c>
      <c r="AG1421" s="3">
        <v>447.64431</v>
      </c>
      <c r="AH1421" s="3">
        <v>0.0888888888888888</v>
      </c>
      <c r="AI1421" s="3" t="s">
        <v>5444</v>
      </c>
      <c r="AJ1421" s="3" t="s">
        <v>1783</v>
      </c>
    </row>
    <row r="1422" spans="1:36">
      <c r="A1422" s="4">
        <v>43277</v>
      </c>
      <c r="B1422" s="3" t="s">
        <v>1647</v>
      </c>
      <c r="C1422" s="3" t="s">
        <v>1648</v>
      </c>
      <c r="D1422" s="3" t="s">
        <v>1649</v>
      </c>
      <c r="E1422" s="3" t="s">
        <v>1650</v>
      </c>
      <c r="F1422" s="3" t="s">
        <v>1710</v>
      </c>
      <c r="G1422" s="3">
        <v>2</v>
      </c>
      <c r="H1422" s="3">
        <v>0</v>
      </c>
      <c r="I1422" s="3">
        <v>2</v>
      </c>
      <c r="J1422" s="3">
        <v>0</v>
      </c>
      <c r="K1422" s="3">
        <v>0</v>
      </c>
      <c r="L1422" s="3">
        <v>0</v>
      </c>
      <c r="M1422" s="3">
        <v>0</v>
      </c>
      <c r="N1422" s="3" t="s">
        <v>1711</v>
      </c>
      <c r="O1422" s="3">
        <v>0</v>
      </c>
      <c r="P1422" s="3">
        <v>0</v>
      </c>
      <c r="Q1422" s="3">
        <v>0</v>
      </c>
      <c r="R1422" s="3">
        <v>0</v>
      </c>
      <c r="S1422" s="3">
        <v>11</v>
      </c>
      <c r="T1422" s="3">
        <v>44</v>
      </c>
      <c r="U1422" s="3">
        <v>102</v>
      </c>
      <c r="V1422" s="3">
        <v>123</v>
      </c>
      <c r="W1422" s="3"/>
      <c r="X1422" s="3"/>
      <c r="Y1422" s="3"/>
      <c r="Z1422" s="3">
        <v>-1</v>
      </c>
      <c r="AA1422" s="3">
        <v>-1</v>
      </c>
      <c r="AB1422" s="3" t="s">
        <v>1776</v>
      </c>
      <c r="AC1422" s="3">
        <v>8</v>
      </c>
      <c r="AD1422" s="3">
        <v>29.99</v>
      </c>
      <c r="AE1422" s="3">
        <v>0</v>
      </c>
      <c r="AF1422" s="3">
        <v>0</v>
      </c>
      <c r="AG1422" s="3">
        <v>0</v>
      </c>
      <c r="AH1422" s="3">
        <v>28.9411764705882</v>
      </c>
      <c r="AI1422" s="3" t="s">
        <v>6004</v>
      </c>
      <c r="AJ1422" s="3" t="s">
        <v>2616</v>
      </c>
    </row>
    <row r="1423" spans="1:36">
      <c r="A1423" s="4">
        <v>43277</v>
      </c>
      <c r="B1423" s="3" t="s">
        <v>6005</v>
      </c>
      <c r="C1423" s="3" t="s">
        <v>6006</v>
      </c>
      <c r="D1423" s="3" t="s">
        <v>6007</v>
      </c>
      <c r="E1423" s="3" t="s">
        <v>6008</v>
      </c>
      <c r="F1423" s="3" t="s">
        <v>1710</v>
      </c>
      <c r="G1423" s="3">
        <v>10</v>
      </c>
      <c r="H1423" s="3">
        <v>0</v>
      </c>
      <c r="I1423" s="3">
        <v>0</v>
      </c>
      <c r="J1423" s="3">
        <v>0</v>
      </c>
      <c r="K1423" s="3">
        <v>10</v>
      </c>
      <c r="L1423" s="3">
        <v>0</v>
      </c>
      <c r="M1423" s="3">
        <v>0</v>
      </c>
      <c r="N1423" s="3" t="s">
        <v>1711</v>
      </c>
      <c r="O1423" s="3">
        <v>10</v>
      </c>
      <c r="P1423" s="3">
        <v>0.07</v>
      </c>
      <c r="Q1423" s="3">
        <v>0</v>
      </c>
      <c r="R1423" s="3">
        <v>0</v>
      </c>
      <c r="S1423" s="3">
        <v>0</v>
      </c>
      <c r="T1423" s="3">
        <v>0</v>
      </c>
      <c r="U1423" s="3">
        <v>0</v>
      </c>
      <c r="V1423" s="3">
        <v>0</v>
      </c>
      <c r="W1423" s="3" t="s">
        <v>1720</v>
      </c>
      <c r="X1423" s="3">
        <v>18.99</v>
      </c>
      <c r="Y1423" s="3">
        <v>18.99</v>
      </c>
      <c r="Z1423" s="3">
        <v>18.99</v>
      </c>
      <c r="AA1423" s="3">
        <v>0</v>
      </c>
      <c r="AB1423" s="3" t="s">
        <v>1732</v>
      </c>
      <c r="AC1423" s="3">
        <v>0</v>
      </c>
      <c r="AD1423" s="3">
        <v>15.19</v>
      </c>
      <c r="AE1423" s="3">
        <v>63</v>
      </c>
      <c r="AF1423" s="3">
        <v>0</v>
      </c>
      <c r="AG1423" s="3">
        <v>5.148446</v>
      </c>
      <c r="AH1423" s="3">
        <v>0</v>
      </c>
      <c r="AI1423" s="3" t="s">
        <v>1782</v>
      </c>
      <c r="AJ1423" s="3" t="s">
        <v>1715</v>
      </c>
    </row>
    <row r="1424" spans="1:36">
      <c r="A1424" s="4">
        <v>43277</v>
      </c>
      <c r="B1424" s="3" t="s">
        <v>6009</v>
      </c>
      <c r="C1424" s="3" t="s">
        <v>6010</v>
      </c>
      <c r="D1424" s="3" t="s">
        <v>6011</v>
      </c>
      <c r="E1424" s="3" t="s">
        <v>3834</v>
      </c>
      <c r="F1424" s="3" t="s">
        <v>1710</v>
      </c>
      <c r="G1424" s="3">
        <v>3</v>
      </c>
      <c r="H1424" s="3">
        <v>0</v>
      </c>
      <c r="I1424" s="3">
        <v>0</v>
      </c>
      <c r="J1424" s="3">
        <v>1</v>
      </c>
      <c r="K1424" s="3">
        <v>2</v>
      </c>
      <c r="L1424" s="3">
        <v>0</v>
      </c>
      <c r="M1424" s="3">
        <v>0</v>
      </c>
      <c r="N1424" s="3" t="s">
        <v>1711</v>
      </c>
      <c r="O1424" s="3">
        <v>2</v>
      </c>
      <c r="P1424" s="3">
        <v>9.76</v>
      </c>
      <c r="Q1424" s="3">
        <v>0</v>
      </c>
      <c r="R1424" s="3">
        <v>0</v>
      </c>
      <c r="S1424" s="3">
        <v>0</v>
      </c>
      <c r="T1424" s="3">
        <v>0</v>
      </c>
      <c r="U1424" s="3">
        <v>0</v>
      </c>
      <c r="V1424" s="3">
        <v>0</v>
      </c>
      <c r="W1424" s="3" t="s">
        <v>1712</v>
      </c>
      <c r="X1424" s="3">
        <v>29.99</v>
      </c>
      <c r="Y1424" s="3">
        <v>29.99</v>
      </c>
      <c r="Z1424" s="3">
        <v>28.99</v>
      </c>
      <c r="AA1424" s="3">
        <v>0</v>
      </c>
      <c r="AB1424" s="3" t="s">
        <v>1732</v>
      </c>
      <c r="AC1424" s="3">
        <v>0</v>
      </c>
      <c r="AD1424" s="3">
        <v>26.85</v>
      </c>
      <c r="AE1424" s="3">
        <v>63</v>
      </c>
      <c r="AF1424" s="3">
        <v>0</v>
      </c>
      <c r="AG1424" s="3">
        <v>193.932368</v>
      </c>
      <c r="AH1424" s="3">
        <v>0</v>
      </c>
      <c r="AI1424" s="3" t="s">
        <v>2094</v>
      </c>
      <c r="AJ1424" s="3" t="s">
        <v>1715</v>
      </c>
    </row>
    <row r="1425" spans="1:36">
      <c r="A1425" s="4">
        <v>43277</v>
      </c>
      <c r="B1425" s="3" t="s">
        <v>6012</v>
      </c>
      <c r="C1425" s="3" t="s">
        <v>6013</v>
      </c>
      <c r="D1425" s="3" t="s">
        <v>6014</v>
      </c>
      <c r="E1425" s="3" t="s">
        <v>2495</v>
      </c>
      <c r="F1425" s="3" t="s">
        <v>1710</v>
      </c>
      <c r="G1425" s="3">
        <v>15</v>
      </c>
      <c r="H1425" s="3">
        <v>0</v>
      </c>
      <c r="I1425" s="3">
        <v>15</v>
      </c>
      <c r="J1425" s="3">
        <v>0</v>
      </c>
      <c r="K1425" s="3">
        <v>0</v>
      </c>
      <c r="L1425" s="3">
        <v>0</v>
      </c>
      <c r="M1425" s="3">
        <v>0</v>
      </c>
      <c r="N1425" s="3" t="s">
        <v>1711</v>
      </c>
      <c r="O1425" s="3">
        <v>0</v>
      </c>
      <c r="P1425" s="3">
        <v>0</v>
      </c>
      <c r="Q1425" s="3">
        <v>0</v>
      </c>
      <c r="R1425" s="3">
        <v>0</v>
      </c>
      <c r="S1425" s="3">
        <v>0</v>
      </c>
      <c r="T1425" s="3">
        <v>0</v>
      </c>
      <c r="U1425" s="3">
        <v>0</v>
      </c>
      <c r="V1425" s="3">
        <v>0</v>
      </c>
      <c r="W1425" s="3" t="s">
        <v>1720</v>
      </c>
      <c r="X1425" s="3">
        <v>15.99</v>
      </c>
      <c r="Y1425" s="3">
        <v>15.99</v>
      </c>
      <c r="Z1425" s="3">
        <v>15.99</v>
      </c>
      <c r="AA1425" s="3">
        <v>0</v>
      </c>
      <c r="AB1425" s="3" t="s">
        <v>1721</v>
      </c>
      <c r="AC1425" s="3">
        <v>0</v>
      </c>
      <c r="AD1425" s="3">
        <v>12.79</v>
      </c>
      <c r="AE1425" s="3">
        <v>63</v>
      </c>
      <c r="AF1425" s="3">
        <v>0</v>
      </c>
      <c r="AG1425" s="3">
        <v>160.761652</v>
      </c>
      <c r="AH1425" s="3">
        <v>0</v>
      </c>
      <c r="AI1425" s="3" t="s">
        <v>2496</v>
      </c>
      <c r="AJ1425" s="3" t="s">
        <v>1715</v>
      </c>
    </row>
    <row r="1426" spans="1:36">
      <c r="A1426" s="4">
        <v>43277</v>
      </c>
      <c r="B1426" s="3" t="s">
        <v>156</v>
      </c>
      <c r="C1426" s="3" t="s">
        <v>157</v>
      </c>
      <c r="D1426" s="3" t="s">
        <v>158</v>
      </c>
      <c r="E1426" s="3" t="s">
        <v>159</v>
      </c>
      <c r="F1426" s="3" t="s">
        <v>1710</v>
      </c>
      <c r="G1426" s="3">
        <v>23</v>
      </c>
      <c r="H1426" s="3">
        <v>0</v>
      </c>
      <c r="I1426" s="3">
        <v>23</v>
      </c>
      <c r="J1426" s="3">
        <v>0</v>
      </c>
      <c r="K1426" s="3">
        <v>0</v>
      </c>
      <c r="L1426" s="3">
        <v>0</v>
      </c>
      <c r="M1426" s="3">
        <v>0</v>
      </c>
      <c r="N1426" s="3" t="s">
        <v>1711</v>
      </c>
      <c r="O1426" s="3">
        <v>0</v>
      </c>
      <c r="P1426" s="3">
        <v>0</v>
      </c>
      <c r="Q1426" s="3">
        <v>0</v>
      </c>
      <c r="R1426" s="3">
        <v>0</v>
      </c>
      <c r="S1426" s="3">
        <v>13</v>
      </c>
      <c r="T1426" s="3">
        <v>31</v>
      </c>
      <c r="U1426" s="3">
        <v>72</v>
      </c>
      <c r="V1426" s="3">
        <v>100</v>
      </c>
      <c r="W1426" s="3"/>
      <c r="X1426" s="3">
        <v>28.99</v>
      </c>
      <c r="Y1426" s="3">
        <v>14.99</v>
      </c>
      <c r="Z1426" s="3">
        <v>14.99</v>
      </c>
      <c r="AA1426" s="3">
        <v>0</v>
      </c>
      <c r="AB1426" s="3" t="s">
        <v>1713</v>
      </c>
      <c r="AC1426" s="3">
        <v>29</v>
      </c>
      <c r="AD1426" s="3">
        <v>14.99</v>
      </c>
      <c r="AE1426" s="3">
        <v>0</v>
      </c>
      <c r="AF1426" s="3">
        <v>0</v>
      </c>
      <c r="AG1426" s="3">
        <v>0</v>
      </c>
      <c r="AH1426" s="3">
        <v>4.39560439560439</v>
      </c>
      <c r="AI1426" s="3" t="s">
        <v>2467</v>
      </c>
      <c r="AJ1426" s="3" t="s">
        <v>1715</v>
      </c>
    </row>
    <row r="1427" spans="1:36">
      <c r="A1427" s="4">
        <v>43277</v>
      </c>
      <c r="B1427" s="3" t="s">
        <v>6015</v>
      </c>
      <c r="C1427" s="3" t="s">
        <v>6016</v>
      </c>
      <c r="D1427" s="3" t="s">
        <v>6017</v>
      </c>
      <c r="E1427" s="3" t="s">
        <v>6018</v>
      </c>
      <c r="F1427" s="3" t="s">
        <v>1710</v>
      </c>
      <c r="G1427" s="3">
        <v>3</v>
      </c>
      <c r="H1427" s="3">
        <v>0</v>
      </c>
      <c r="I1427" s="3">
        <v>3</v>
      </c>
      <c r="J1427" s="3">
        <v>0</v>
      </c>
      <c r="K1427" s="3">
        <v>0</v>
      </c>
      <c r="L1427" s="3">
        <v>0</v>
      </c>
      <c r="M1427" s="3">
        <v>0</v>
      </c>
      <c r="N1427" s="3" t="s">
        <v>1711</v>
      </c>
      <c r="O1427" s="3">
        <v>0</v>
      </c>
      <c r="P1427" s="3">
        <v>0</v>
      </c>
      <c r="Q1427" s="3">
        <v>0</v>
      </c>
      <c r="R1427" s="3">
        <v>0</v>
      </c>
      <c r="S1427" s="3">
        <v>0</v>
      </c>
      <c r="T1427" s="3">
        <v>1</v>
      </c>
      <c r="U1427" s="3">
        <v>7</v>
      </c>
      <c r="V1427" s="3">
        <v>7</v>
      </c>
      <c r="W1427" s="3" t="s">
        <v>1712</v>
      </c>
      <c r="X1427" s="3">
        <v>19.99</v>
      </c>
      <c r="Y1427" s="3">
        <v>19.99</v>
      </c>
      <c r="Z1427" s="3">
        <v>19.99</v>
      </c>
      <c r="AA1427" s="3">
        <v>0</v>
      </c>
      <c r="AB1427" s="3" t="s">
        <v>1713</v>
      </c>
      <c r="AC1427" s="3">
        <v>3</v>
      </c>
      <c r="AD1427" s="3">
        <v>19.99</v>
      </c>
      <c r="AE1427" s="3">
        <v>0</v>
      </c>
      <c r="AF1427" s="3">
        <v>0</v>
      </c>
      <c r="AG1427" s="3">
        <v>0</v>
      </c>
      <c r="AH1427" s="3">
        <v>1.9090909090909</v>
      </c>
      <c r="AI1427" s="3" t="s">
        <v>1775</v>
      </c>
      <c r="AJ1427" s="3" t="s">
        <v>1715</v>
      </c>
    </row>
    <row r="1428" spans="1:36">
      <c r="A1428" s="4">
        <v>43277</v>
      </c>
      <c r="B1428" s="3" t="s">
        <v>6019</v>
      </c>
      <c r="C1428" s="3" t="s">
        <v>6020</v>
      </c>
      <c r="D1428" s="3" t="s">
        <v>6021</v>
      </c>
      <c r="E1428" s="3" t="s">
        <v>1755</v>
      </c>
      <c r="F1428" s="3" t="s">
        <v>1710</v>
      </c>
      <c r="G1428" s="3">
        <v>10</v>
      </c>
      <c r="H1428" s="3">
        <v>0</v>
      </c>
      <c r="I1428" s="3">
        <v>10</v>
      </c>
      <c r="J1428" s="3">
        <v>0</v>
      </c>
      <c r="K1428" s="3">
        <v>0</v>
      </c>
      <c r="L1428" s="3">
        <v>0</v>
      </c>
      <c r="M1428" s="3">
        <v>0</v>
      </c>
      <c r="N1428" s="3" t="s">
        <v>1711</v>
      </c>
      <c r="O1428" s="3">
        <v>0</v>
      </c>
      <c r="P1428" s="3">
        <v>0</v>
      </c>
      <c r="Q1428" s="3">
        <v>0</v>
      </c>
      <c r="R1428" s="3">
        <v>0</v>
      </c>
      <c r="S1428" s="3">
        <v>0</v>
      </c>
      <c r="T1428" s="3">
        <v>0</v>
      </c>
      <c r="U1428" s="3">
        <v>0</v>
      </c>
      <c r="V1428" s="3">
        <v>0</v>
      </c>
      <c r="W1428" s="3" t="s">
        <v>1720</v>
      </c>
      <c r="X1428" s="3">
        <v>15.99</v>
      </c>
      <c r="Y1428" s="3">
        <v>15.99</v>
      </c>
      <c r="Z1428" s="3">
        <v>15.99</v>
      </c>
      <c r="AA1428" s="3">
        <v>0</v>
      </c>
      <c r="AB1428" s="3" t="s">
        <v>1721</v>
      </c>
      <c r="AC1428" s="3">
        <v>10</v>
      </c>
      <c r="AD1428" s="3">
        <v>15.99</v>
      </c>
      <c r="AE1428" s="3">
        <v>0</v>
      </c>
      <c r="AF1428" s="3">
        <v>0</v>
      </c>
      <c r="AG1428" s="3">
        <v>0</v>
      </c>
      <c r="AH1428" s="3">
        <v>0</v>
      </c>
      <c r="AI1428" s="3" t="s">
        <v>1756</v>
      </c>
      <c r="AJ1428" s="3" t="s">
        <v>1715</v>
      </c>
    </row>
    <row r="1429" spans="1:36">
      <c r="A1429" s="4">
        <v>43277</v>
      </c>
      <c r="B1429" s="3" t="s">
        <v>6022</v>
      </c>
      <c r="C1429" s="3" t="s">
        <v>6023</v>
      </c>
      <c r="D1429" s="3" t="s">
        <v>6024</v>
      </c>
      <c r="E1429" s="3" t="s">
        <v>6025</v>
      </c>
      <c r="F1429" s="3" t="s">
        <v>1710</v>
      </c>
      <c r="G1429" s="3">
        <v>18</v>
      </c>
      <c r="H1429" s="3">
        <v>0</v>
      </c>
      <c r="I1429" s="3">
        <v>18</v>
      </c>
      <c r="J1429" s="3">
        <v>0</v>
      </c>
      <c r="K1429" s="3">
        <v>0</v>
      </c>
      <c r="L1429" s="3">
        <v>0</v>
      </c>
      <c r="M1429" s="3">
        <v>0</v>
      </c>
      <c r="N1429" s="3" t="s">
        <v>1711</v>
      </c>
      <c r="O1429" s="3">
        <v>0</v>
      </c>
      <c r="P1429" s="3">
        <v>0</v>
      </c>
      <c r="Q1429" s="3">
        <v>0</v>
      </c>
      <c r="R1429" s="3">
        <v>0</v>
      </c>
      <c r="S1429" s="3">
        <v>1</v>
      </c>
      <c r="T1429" s="3">
        <v>2</v>
      </c>
      <c r="U1429" s="3">
        <v>2</v>
      </c>
      <c r="V1429" s="3">
        <v>2</v>
      </c>
      <c r="W1429" s="3"/>
      <c r="X1429" s="3">
        <v>15.99</v>
      </c>
      <c r="Y1429" s="3">
        <v>15.99</v>
      </c>
      <c r="Z1429" s="3">
        <v>15.99</v>
      </c>
      <c r="AA1429" s="3">
        <v>0</v>
      </c>
      <c r="AB1429" s="3" t="s">
        <v>1713</v>
      </c>
      <c r="AC1429" s="3">
        <v>18</v>
      </c>
      <c r="AD1429" s="3">
        <v>15.99</v>
      </c>
      <c r="AE1429" s="3">
        <v>0</v>
      </c>
      <c r="AF1429" s="3">
        <v>0</v>
      </c>
      <c r="AG1429" s="3">
        <v>0</v>
      </c>
      <c r="AH1429" s="3">
        <v>0.108108108108108</v>
      </c>
      <c r="AI1429" s="3" t="s">
        <v>1881</v>
      </c>
      <c r="AJ1429" s="3" t="s">
        <v>1715</v>
      </c>
    </row>
    <row r="1430" spans="1:36">
      <c r="A1430" s="4">
        <v>43277</v>
      </c>
      <c r="B1430" s="3" t="s">
        <v>196</v>
      </c>
      <c r="C1430" s="3" t="s">
        <v>197</v>
      </c>
      <c r="D1430" s="3" t="s">
        <v>198</v>
      </c>
      <c r="E1430" s="3" t="s">
        <v>199</v>
      </c>
      <c r="F1430" s="3" t="s">
        <v>1710</v>
      </c>
      <c r="G1430" s="3">
        <v>71</v>
      </c>
      <c r="H1430" s="3">
        <v>0</v>
      </c>
      <c r="I1430" s="3">
        <v>71</v>
      </c>
      <c r="J1430" s="3">
        <v>0</v>
      </c>
      <c r="K1430" s="3">
        <v>0</v>
      </c>
      <c r="L1430" s="3">
        <v>0</v>
      </c>
      <c r="M1430" s="3">
        <v>0</v>
      </c>
      <c r="N1430" s="3" t="s">
        <v>1711</v>
      </c>
      <c r="O1430" s="3">
        <v>0</v>
      </c>
      <c r="P1430" s="3">
        <v>0</v>
      </c>
      <c r="Q1430" s="3">
        <v>0</v>
      </c>
      <c r="R1430" s="3">
        <v>0</v>
      </c>
      <c r="S1430" s="3">
        <v>41</v>
      </c>
      <c r="T1430" s="3">
        <v>138</v>
      </c>
      <c r="U1430" s="3">
        <v>244</v>
      </c>
      <c r="V1430" s="3">
        <v>363</v>
      </c>
      <c r="W1430" s="3"/>
      <c r="X1430" s="3">
        <v>28.99</v>
      </c>
      <c r="Y1430" s="3">
        <v>14.99</v>
      </c>
      <c r="Z1430" s="3">
        <v>14.99</v>
      </c>
      <c r="AA1430" s="3">
        <v>0</v>
      </c>
      <c r="AB1430" s="3" t="s">
        <v>1713</v>
      </c>
      <c r="AC1430" s="3">
        <v>94</v>
      </c>
      <c r="AD1430" s="3">
        <v>14.99</v>
      </c>
      <c r="AE1430" s="3">
        <v>0</v>
      </c>
      <c r="AF1430" s="3">
        <v>0</v>
      </c>
      <c r="AG1430" s="3">
        <v>0</v>
      </c>
      <c r="AH1430" s="3">
        <v>4.19653179190751</v>
      </c>
      <c r="AI1430" s="3" t="s">
        <v>2467</v>
      </c>
      <c r="AJ1430" s="3" t="s">
        <v>1715</v>
      </c>
    </row>
    <row r="1431" spans="1:36">
      <c r="A1431" s="4">
        <v>43277</v>
      </c>
      <c r="B1431" s="3" t="s">
        <v>6026</v>
      </c>
      <c r="C1431" s="3" t="s">
        <v>6027</v>
      </c>
      <c r="D1431" s="3" t="s">
        <v>6028</v>
      </c>
      <c r="E1431" s="3" t="s">
        <v>898</v>
      </c>
      <c r="F1431" s="3" t="s">
        <v>1710</v>
      </c>
      <c r="G1431" s="3">
        <v>9</v>
      </c>
      <c r="H1431" s="3">
        <v>0</v>
      </c>
      <c r="I1431" s="3">
        <v>9</v>
      </c>
      <c r="J1431" s="3">
        <v>0</v>
      </c>
      <c r="K1431" s="3">
        <v>0</v>
      </c>
      <c r="L1431" s="3">
        <v>0</v>
      </c>
      <c r="M1431" s="3">
        <v>0</v>
      </c>
      <c r="N1431" s="3" t="s">
        <v>1711</v>
      </c>
      <c r="O1431" s="3">
        <v>0</v>
      </c>
      <c r="P1431" s="3">
        <v>0</v>
      </c>
      <c r="Q1431" s="3">
        <v>0</v>
      </c>
      <c r="R1431" s="3">
        <v>0</v>
      </c>
      <c r="S1431" s="3">
        <v>0</v>
      </c>
      <c r="T1431" s="3">
        <v>1</v>
      </c>
      <c r="U1431" s="3">
        <v>1</v>
      </c>
      <c r="V1431" s="3">
        <v>1</v>
      </c>
      <c r="W1431" s="3" t="s">
        <v>1720</v>
      </c>
      <c r="X1431" s="3">
        <v>12.99</v>
      </c>
      <c r="Y1431" s="3">
        <v>12.99</v>
      </c>
      <c r="Z1431" s="3">
        <v>12.99</v>
      </c>
      <c r="AA1431" s="3">
        <v>0</v>
      </c>
      <c r="AB1431" s="3" t="s">
        <v>1721</v>
      </c>
      <c r="AC1431" s="3">
        <v>9</v>
      </c>
      <c r="AD1431" s="3">
        <v>15.99</v>
      </c>
      <c r="AE1431" s="3">
        <v>0</v>
      </c>
      <c r="AF1431" s="3">
        <v>0</v>
      </c>
      <c r="AG1431" s="3">
        <v>0</v>
      </c>
      <c r="AH1431" s="3">
        <v>0.111111111111111</v>
      </c>
      <c r="AI1431" s="3" t="s">
        <v>2022</v>
      </c>
      <c r="AJ1431" s="3" t="s">
        <v>1715</v>
      </c>
    </row>
    <row r="1432" spans="1:36">
      <c r="A1432" s="4">
        <v>43277</v>
      </c>
      <c r="B1432" s="3" t="s">
        <v>6029</v>
      </c>
      <c r="C1432" s="3" t="s">
        <v>6030</v>
      </c>
      <c r="D1432" s="3" t="s">
        <v>6031</v>
      </c>
      <c r="E1432" s="3" t="s">
        <v>1181</v>
      </c>
      <c r="F1432" s="3" t="s">
        <v>1710</v>
      </c>
      <c r="G1432" s="3">
        <v>11</v>
      </c>
      <c r="H1432" s="3">
        <v>0</v>
      </c>
      <c r="I1432" s="3">
        <v>11</v>
      </c>
      <c r="J1432" s="3">
        <v>0</v>
      </c>
      <c r="K1432" s="3">
        <v>0</v>
      </c>
      <c r="L1432" s="3">
        <v>0</v>
      </c>
      <c r="M1432" s="3">
        <v>0</v>
      </c>
      <c r="N1432" s="3" t="s">
        <v>1711</v>
      </c>
      <c r="O1432" s="3">
        <v>0</v>
      </c>
      <c r="P1432" s="3">
        <v>0</v>
      </c>
      <c r="Q1432" s="3">
        <v>0</v>
      </c>
      <c r="R1432" s="3">
        <v>0</v>
      </c>
      <c r="S1432" s="3">
        <v>1</v>
      </c>
      <c r="T1432" s="3">
        <v>13</v>
      </c>
      <c r="U1432" s="3">
        <v>16</v>
      </c>
      <c r="V1432" s="3">
        <v>16</v>
      </c>
      <c r="W1432" s="3"/>
      <c r="X1432" s="3">
        <v>39.99</v>
      </c>
      <c r="Y1432" s="3">
        <v>19.99</v>
      </c>
      <c r="Z1432" s="3">
        <v>19.99</v>
      </c>
      <c r="AA1432" s="3">
        <v>0</v>
      </c>
      <c r="AB1432" s="3" t="s">
        <v>1713</v>
      </c>
      <c r="AC1432" s="3">
        <v>1</v>
      </c>
      <c r="AD1432" s="3">
        <v>19.99</v>
      </c>
      <c r="AE1432" s="3">
        <v>0</v>
      </c>
      <c r="AF1432" s="3">
        <v>0</v>
      </c>
      <c r="AG1432" s="3">
        <v>0</v>
      </c>
      <c r="AH1432" s="3">
        <v>2.08695652173913</v>
      </c>
      <c r="AI1432" s="3" t="s">
        <v>2550</v>
      </c>
      <c r="AJ1432" s="3" t="s">
        <v>1715</v>
      </c>
    </row>
    <row r="1433" spans="1:36">
      <c r="A1433" s="4">
        <v>43277</v>
      </c>
      <c r="B1433" s="3" t="s">
        <v>216</v>
      </c>
      <c r="C1433" s="3" t="s">
        <v>217</v>
      </c>
      <c r="D1433" s="3" t="s">
        <v>218</v>
      </c>
      <c r="E1433" s="3" t="s">
        <v>219</v>
      </c>
      <c r="F1433" s="3" t="s">
        <v>1710</v>
      </c>
      <c r="G1433" s="3">
        <v>3</v>
      </c>
      <c r="H1433" s="3">
        <v>0</v>
      </c>
      <c r="I1433" s="3">
        <v>3</v>
      </c>
      <c r="J1433" s="3">
        <v>0</v>
      </c>
      <c r="K1433" s="3">
        <v>0</v>
      </c>
      <c r="L1433" s="3">
        <v>0</v>
      </c>
      <c r="M1433" s="3">
        <v>0</v>
      </c>
      <c r="N1433" s="3" t="s">
        <v>1711</v>
      </c>
      <c r="O1433" s="3">
        <v>0</v>
      </c>
      <c r="P1433" s="3">
        <v>0</v>
      </c>
      <c r="Q1433" s="3">
        <v>0</v>
      </c>
      <c r="R1433" s="3">
        <v>0</v>
      </c>
      <c r="S1433" s="3">
        <v>12</v>
      </c>
      <c r="T1433" s="3">
        <v>39</v>
      </c>
      <c r="U1433" s="3">
        <v>66</v>
      </c>
      <c r="V1433" s="3">
        <v>98</v>
      </c>
      <c r="W1433" s="3"/>
      <c r="X1433" s="3">
        <v>28.99</v>
      </c>
      <c r="Y1433" s="3">
        <v>14.99</v>
      </c>
      <c r="Z1433" s="3">
        <v>14.99</v>
      </c>
      <c r="AA1433" s="3">
        <v>0</v>
      </c>
      <c r="AB1433" s="3" t="s">
        <v>1713</v>
      </c>
      <c r="AC1433" s="3">
        <v>10</v>
      </c>
      <c r="AD1433" s="3">
        <v>14.99</v>
      </c>
      <c r="AE1433" s="3">
        <v>0</v>
      </c>
      <c r="AF1433" s="3">
        <v>0</v>
      </c>
      <c r="AG1433" s="3">
        <v>0</v>
      </c>
      <c r="AH1433" s="3">
        <v>3.69811320754717</v>
      </c>
      <c r="AI1433" s="3" t="s">
        <v>6032</v>
      </c>
      <c r="AJ1433" s="3" t="s">
        <v>1715</v>
      </c>
    </row>
    <row r="1434" spans="1:36">
      <c r="A1434" s="4">
        <v>43277</v>
      </c>
      <c r="B1434" s="3" t="s">
        <v>955</v>
      </c>
      <c r="C1434" s="3" t="s">
        <v>956</v>
      </c>
      <c r="D1434" s="3" t="s">
        <v>957</v>
      </c>
      <c r="E1434" s="3" t="s">
        <v>958</v>
      </c>
      <c r="F1434" s="3" t="s">
        <v>1710</v>
      </c>
      <c r="G1434" s="3">
        <v>9</v>
      </c>
      <c r="H1434" s="3">
        <v>0</v>
      </c>
      <c r="I1434" s="3">
        <v>9</v>
      </c>
      <c r="J1434" s="3">
        <v>0</v>
      </c>
      <c r="K1434" s="3">
        <v>0</v>
      </c>
      <c r="L1434" s="3">
        <v>0</v>
      </c>
      <c r="M1434" s="3">
        <v>0</v>
      </c>
      <c r="N1434" s="3" t="s">
        <v>1711</v>
      </c>
      <c r="O1434" s="3">
        <v>0</v>
      </c>
      <c r="P1434" s="3">
        <v>0</v>
      </c>
      <c r="Q1434" s="3">
        <v>0</v>
      </c>
      <c r="R1434" s="3">
        <v>0</v>
      </c>
      <c r="S1434" s="3">
        <v>2</v>
      </c>
      <c r="T1434" s="3">
        <v>9</v>
      </c>
      <c r="U1434" s="3">
        <v>17</v>
      </c>
      <c r="V1434" s="3">
        <v>17</v>
      </c>
      <c r="W1434" s="3"/>
      <c r="X1434" s="3">
        <v>15.99</v>
      </c>
      <c r="Y1434" s="3">
        <v>15.99</v>
      </c>
      <c r="Z1434" s="3">
        <v>15.99</v>
      </c>
      <c r="AA1434" s="3">
        <v>0</v>
      </c>
      <c r="AB1434" s="3" t="s">
        <v>1713</v>
      </c>
      <c r="AC1434" s="3">
        <v>10</v>
      </c>
      <c r="AD1434" s="3">
        <v>15.99</v>
      </c>
      <c r="AE1434" s="3">
        <v>0</v>
      </c>
      <c r="AF1434" s="3">
        <v>0</v>
      </c>
      <c r="AG1434" s="3">
        <v>0</v>
      </c>
      <c r="AH1434" s="3">
        <v>1.3076923076923</v>
      </c>
      <c r="AI1434" s="3" t="s">
        <v>1739</v>
      </c>
      <c r="AJ1434" s="3" t="s">
        <v>1715</v>
      </c>
    </row>
    <row r="1435" spans="1:36">
      <c r="A1435" s="4">
        <v>43277</v>
      </c>
      <c r="B1435" s="3" t="s">
        <v>1553</v>
      </c>
      <c r="C1435" s="3" t="s">
        <v>1554</v>
      </c>
      <c r="D1435" s="3" t="s">
        <v>1555</v>
      </c>
      <c r="E1435" s="3" t="s">
        <v>1556</v>
      </c>
      <c r="F1435" s="3" t="s">
        <v>1710</v>
      </c>
      <c r="G1435" s="3">
        <v>35</v>
      </c>
      <c r="H1435" s="3">
        <v>0</v>
      </c>
      <c r="I1435" s="3">
        <v>35</v>
      </c>
      <c r="J1435" s="3">
        <v>0</v>
      </c>
      <c r="K1435" s="3">
        <v>0</v>
      </c>
      <c r="L1435" s="3">
        <v>0</v>
      </c>
      <c r="M1435" s="3">
        <v>0</v>
      </c>
      <c r="N1435" s="3" t="s">
        <v>1711</v>
      </c>
      <c r="O1435" s="3">
        <v>0</v>
      </c>
      <c r="P1435" s="3">
        <v>0</v>
      </c>
      <c r="Q1435" s="3">
        <v>0</v>
      </c>
      <c r="R1435" s="3">
        <v>0</v>
      </c>
      <c r="S1435" s="3">
        <v>15</v>
      </c>
      <c r="T1435" s="3">
        <v>61</v>
      </c>
      <c r="U1435" s="3">
        <v>109</v>
      </c>
      <c r="V1435" s="3">
        <v>144</v>
      </c>
      <c r="W1435" s="3"/>
      <c r="X1435" s="3">
        <v>40</v>
      </c>
      <c r="Y1435" s="3">
        <v>29.99</v>
      </c>
      <c r="Z1435" s="3">
        <v>28</v>
      </c>
      <c r="AA1435" s="3">
        <v>0</v>
      </c>
      <c r="AB1435" s="3" t="s">
        <v>1713</v>
      </c>
      <c r="AC1435" s="3">
        <v>34</v>
      </c>
      <c r="AD1435" s="3">
        <v>29.99</v>
      </c>
      <c r="AE1435" s="3">
        <v>0</v>
      </c>
      <c r="AF1435" s="3">
        <v>0</v>
      </c>
      <c r="AG1435" s="3">
        <v>0</v>
      </c>
      <c r="AH1435" s="3">
        <v>4.46511627906976</v>
      </c>
      <c r="AI1435" s="3" t="s">
        <v>6033</v>
      </c>
      <c r="AJ1435" s="3" t="s">
        <v>1715</v>
      </c>
    </row>
    <row r="1436" spans="1:36">
      <c r="A1436" s="4">
        <v>43277</v>
      </c>
      <c r="B1436" s="3" t="s">
        <v>6034</v>
      </c>
      <c r="C1436" s="3" t="s">
        <v>6035</v>
      </c>
      <c r="D1436" s="3" t="s">
        <v>6036</v>
      </c>
      <c r="E1436" s="3" t="s">
        <v>4787</v>
      </c>
      <c r="F1436" s="3" t="s">
        <v>1710</v>
      </c>
      <c r="G1436" s="3">
        <v>21</v>
      </c>
      <c r="H1436" s="3">
        <v>0</v>
      </c>
      <c r="I1436" s="3">
        <v>10</v>
      </c>
      <c r="J1436" s="3">
        <v>11</v>
      </c>
      <c r="K1436" s="3">
        <v>0</v>
      </c>
      <c r="L1436" s="3">
        <v>0</v>
      </c>
      <c r="M1436" s="3">
        <v>0</v>
      </c>
      <c r="N1436" s="3" t="s">
        <v>1711</v>
      </c>
      <c r="O1436" s="3">
        <v>0</v>
      </c>
      <c r="P1436" s="3">
        <v>0</v>
      </c>
      <c r="Q1436" s="3">
        <v>0</v>
      </c>
      <c r="R1436" s="3">
        <v>0</v>
      </c>
      <c r="S1436" s="3">
        <v>1</v>
      </c>
      <c r="T1436" s="3">
        <v>10</v>
      </c>
      <c r="U1436" s="3">
        <v>28</v>
      </c>
      <c r="V1436" s="3">
        <v>53</v>
      </c>
      <c r="W1436" s="3"/>
      <c r="X1436" s="3">
        <v>27.99</v>
      </c>
      <c r="Y1436" s="3">
        <v>27.99</v>
      </c>
      <c r="Z1436" s="3">
        <v>25.99</v>
      </c>
      <c r="AA1436" s="3">
        <v>0</v>
      </c>
      <c r="AB1436" s="3" t="s">
        <v>1713</v>
      </c>
      <c r="AC1436" s="3">
        <v>21</v>
      </c>
      <c r="AD1436" s="3">
        <v>27.99</v>
      </c>
      <c r="AE1436" s="3">
        <v>0</v>
      </c>
      <c r="AF1436" s="3">
        <v>0</v>
      </c>
      <c r="AG1436" s="3">
        <v>0</v>
      </c>
      <c r="AH1436" s="3">
        <v>1.35031847133757</v>
      </c>
      <c r="AI1436" s="3" t="s">
        <v>2094</v>
      </c>
      <c r="AJ1436" s="3" t="s">
        <v>1715</v>
      </c>
    </row>
    <row r="1437" spans="1:36">
      <c r="A1437" s="4">
        <v>43277</v>
      </c>
      <c r="B1437" s="3" t="s">
        <v>6037</v>
      </c>
      <c r="C1437" s="3" t="s">
        <v>6038</v>
      </c>
      <c r="D1437" s="3" t="s">
        <v>6039</v>
      </c>
      <c r="E1437" s="3" t="s">
        <v>6040</v>
      </c>
      <c r="F1437" s="3" t="s">
        <v>1710</v>
      </c>
      <c r="G1437" s="3">
        <v>5</v>
      </c>
      <c r="H1437" s="3">
        <v>0</v>
      </c>
      <c r="I1437" s="3">
        <v>0</v>
      </c>
      <c r="J1437" s="3">
        <v>0</v>
      </c>
      <c r="K1437" s="3">
        <v>0</v>
      </c>
      <c r="L1437" s="3">
        <v>5</v>
      </c>
      <c r="M1437" s="3">
        <v>0</v>
      </c>
      <c r="N1437" s="3" t="s">
        <v>1711</v>
      </c>
      <c r="O1437" s="3">
        <v>5</v>
      </c>
      <c r="P1437" s="3">
        <v>0.03</v>
      </c>
      <c r="Q1437" s="3">
        <v>0</v>
      </c>
      <c r="R1437" s="3">
        <v>0</v>
      </c>
      <c r="S1437" s="3">
        <v>0</v>
      </c>
      <c r="T1437" s="3">
        <v>0</v>
      </c>
      <c r="U1437" s="3">
        <v>0</v>
      </c>
      <c r="V1437" s="3">
        <v>0</v>
      </c>
      <c r="W1437" s="3" t="s">
        <v>1720</v>
      </c>
      <c r="X1437" s="3">
        <v>15.88</v>
      </c>
      <c r="Y1437" s="3">
        <v>15.88</v>
      </c>
      <c r="Z1437" s="3">
        <v>15.88</v>
      </c>
      <c r="AA1437" s="3">
        <v>0</v>
      </c>
      <c r="AB1437" s="3" t="s">
        <v>1732</v>
      </c>
      <c r="AC1437" s="3">
        <v>0</v>
      </c>
      <c r="AD1437" s="3">
        <v>12.7</v>
      </c>
      <c r="AE1437" s="3">
        <v>63</v>
      </c>
      <c r="AF1437" s="3">
        <v>0</v>
      </c>
      <c r="AG1437" s="3">
        <v>2.214202</v>
      </c>
      <c r="AH1437" s="3">
        <v>0</v>
      </c>
      <c r="AI1437" s="3" t="s">
        <v>1782</v>
      </c>
      <c r="AJ1437" s="3" t="s">
        <v>1715</v>
      </c>
    </row>
    <row r="1438" spans="1:36">
      <c r="A1438" s="4">
        <v>43277</v>
      </c>
      <c r="B1438" s="3" t="s">
        <v>6041</v>
      </c>
      <c r="C1438" s="3" t="s">
        <v>6042</v>
      </c>
      <c r="D1438" s="3" t="s">
        <v>6043</v>
      </c>
      <c r="E1438" s="3" t="s">
        <v>6044</v>
      </c>
      <c r="F1438" s="3" t="s">
        <v>1710</v>
      </c>
      <c r="G1438" s="3">
        <v>3</v>
      </c>
      <c r="H1438" s="3">
        <v>0</v>
      </c>
      <c r="I1438" s="3">
        <v>0</v>
      </c>
      <c r="J1438" s="3">
        <v>3</v>
      </c>
      <c r="K1438" s="3">
        <v>0</v>
      </c>
      <c r="L1438" s="3">
        <v>0</v>
      </c>
      <c r="M1438" s="3">
        <v>0</v>
      </c>
      <c r="N1438" s="3" t="s">
        <v>1711</v>
      </c>
      <c r="O1438" s="3">
        <v>1</v>
      </c>
      <c r="P1438" s="3">
        <v>2.73</v>
      </c>
      <c r="Q1438" s="3">
        <v>0</v>
      </c>
      <c r="R1438" s="3">
        <v>0</v>
      </c>
      <c r="S1438" s="3">
        <v>0</v>
      </c>
      <c r="T1438" s="3">
        <v>0</v>
      </c>
      <c r="U1438" s="3">
        <v>2</v>
      </c>
      <c r="V1438" s="3">
        <v>11</v>
      </c>
      <c r="W1438" s="3" t="s">
        <v>1712</v>
      </c>
      <c r="X1438" s="3">
        <v>19.96</v>
      </c>
      <c r="Y1438" s="3">
        <v>19.99</v>
      </c>
      <c r="Z1438" s="3">
        <v>18.99</v>
      </c>
      <c r="AA1438" s="3">
        <v>0</v>
      </c>
      <c r="AB1438" s="3" t="s">
        <v>1732</v>
      </c>
      <c r="AC1438" s="3">
        <v>0</v>
      </c>
      <c r="AD1438" s="3">
        <v>14.24</v>
      </c>
      <c r="AE1438" s="3">
        <v>84</v>
      </c>
      <c r="AF1438" s="3">
        <v>0</v>
      </c>
      <c r="AG1438" s="3">
        <v>76.970657</v>
      </c>
      <c r="AH1438" s="3">
        <v>0.354838709677419</v>
      </c>
      <c r="AI1438" s="3" t="s">
        <v>6045</v>
      </c>
      <c r="AJ1438" s="3" t="s">
        <v>1783</v>
      </c>
    </row>
    <row r="1439" spans="1:36">
      <c r="A1439" s="4">
        <v>43277</v>
      </c>
      <c r="B1439" s="3" t="s">
        <v>6046</v>
      </c>
      <c r="C1439" s="3" t="s">
        <v>6047</v>
      </c>
      <c r="D1439" s="3" t="s">
        <v>6048</v>
      </c>
      <c r="E1439" s="3" t="s">
        <v>3178</v>
      </c>
      <c r="F1439" s="3" t="s">
        <v>1710</v>
      </c>
      <c r="G1439" s="3">
        <v>2</v>
      </c>
      <c r="H1439" s="3">
        <v>0</v>
      </c>
      <c r="I1439" s="3">
        <v>0</v>
      </c>
      <c r="J1439" s="3">
        <v>0</v>
      </c>
      <c r="K1439" s="3">
        <v>2</v>
      </c>
      <c r="L1439" s="3">
        <v>0</v>
      </c>
      <c r="M1439" s="3">
        <v>0</v>
      </c>
      <c r="N1439" s="3" t="s">
        <v>1711</v>
      </c>
      <c r="O1439" s="3">
        <v>2</v>
      </c>
      <c r="P1439" s="3">
        <v>0.01</v>
      </c>
      <c r="Q1439" s="3">
        <v>0</v>
      </c>
      <c r="R1439" s="3">
        <v>0</v>
      </c>
      <c r="S1439" s="3">
        <v>0</v>
      </c>
      <c r="T1439" s="3">
        <v>0</v>
      </c>
      <c r="U1439" s="3">
        <v>0</v>
      </c>
      <c r="V1439" s="3">
        <v>0</v>
      </c>
      <c r="W1439" s="3" t="s">
        <v>1720</v>
      </c>
      <c r="X1439" s="3">
        <v>18.99</v>
      </c>
      <c r="Y1439" s="3">
        <v>18.99</v>
      </c>
      <c r="Z1439" s="3">
        <v>18.99</v>
      </c>
      <c r="AA1439" s="3">
        <v>0</v>
      </c>
      <c r="AB1439" s="3" t="s">
        <v>1732</v>
      </c>
      <c r="AC1439" s="3">
        <v>0</v>
      </c>
      <c r="AD1439" s="3">
        <v>17.53</v>
      </c>
      <c r="AE1439" s="3">
        <v>175</v>
      </c>
      <c r="AF1439" s="3">
        <v>0</v>
      </c>
      <c r="AG1439" s="3">
        <v>20.81695</v>
      </c>
      <c r="AH1439" s="3">
        <v>0</v>
      </c>
      <c r="AI1439" s="3" t="s">
        <v>1782</v>
      </c>
      <c r="AJ1439" s="3" t="s">
        <v>1783</v>
      </c>
    </row>
    <row r="1440" spans="1:36">
      <c r="A1440" s="4">
        <v>43277</v>
      </c>
      <c r="B1440" s="3" t="s">
        <v>6049</v>
      </c>
      <c r="C1440" s="3" t="s">
        <v>6050</v>
      </c>
      <c r="D1440" s="3" t="s">
        <v>6051</v>
      </c>
      <c r="E1440" s="3" t="s">
        <v>2798</v>
      </c>
      <c r="F1440" s="3" t="s">
        <v>1710</v>
      </c>
      <c r="G1440" s="3">
        <v>1</v>
      </c>
      <c r="H1440" s="3">
        <v>0</v>
      </c>
      <c r="I1440" s="3">
        <v>0</v>
      </c>
      <c r="J1440" s="3">
        <v>1</v>
      </c>
      <c r="K1440" s="3">
        <v>0</v>
      </c>
      <c r="L1440" s="3">
        <v>0</v>
      </c>
      <c r="M1440" s="3">
        <v>0</v>
      </c>
      <c r="N1440" s="3" t="s">
        <v>1711</v>
      </c>
      <c r="O1440" s="3">
        <v>1</v>
      </c>
      <c r="P1440" s="3">
        <v>2.09</v>
      </c>
      <c r="Q1440" s="3">
        <v>0</v>
      </c>
      <c r="R1440" s="3">
        <v>0</v>
      </c>
      <c r="S1440" s="3">
        <v>0</v>
      </c>
      <c r="T1440" s="3">
        <v>0</v>
      </c>
      <c r="U1440" s="3">
        <v>0</v>
      </c>
      <c r="V1440" s="3">
        <v>0</v>
      </c>
      <c r="W1440" s="3" t="s">
        <v>1720</v>
      </c>
      <c r="X1440" s="3">
        <v>17.99</v>
      </c>
      <c r="Y1440" s="3">
        <v>17.99</v>
      </c>
      <c r="Z1440" s="3">
        <v>17.99</v>
      </c>
      <c r="AA1440" s="3">
        <v>0</v>
      </c>
      <c r="AB1440" s="3" t="s">
        <v>1721</v>
      </c>
      <c r="AC1440" s="3">
        <v>0</v>
      </c>
      <c r="AD1440" s="3">
        <v>17.02</v>
      </c>
      <c r="AE1440" s="3">
        <v>7</v>
      </c>
      <c r="AF1440" s="3">
        <v>0</v>
      </c>
      <c r="AG1440" s="3">
        <v>35.061045</v>
      </c>
      <c r="AH1440" s="3">
        <v>0</v>
      </c>
      <c r="AI1440" s="3" t="s">
        <v>6052</v>
      </c>
      <c r="AJ1440" s="3" t="s">
        <v>1783</v>
      </c>
    </row>
    <row r="1441" spans="1:36">
      <c r="A1441" s="4">
        <v>43277</v>
      </c>
      <c r="B1441" s="3" t="s">
        <v>6053</v>
      </c>
      <c r="C1441" s="3" t="s">
        <v>6054</v>
      </c>
      <c r="D1441" s="3" t="s">
        <v>6055</v>
      </c>
      <c r="E1441" s="3" t="s">
        <v>2605</v>
      </c>
      <c r="F1441" s="3" t="s">
        <v>1710</v>
      </c>
      <c r="G1441" s="3">
        <v>29</v>
      </c>
      <c r="H1441" s="3">
        <v>0</v>
      </c>
      <c r="I1441" s="3">
        <v>24</v>
      </c>
      <c r="J1441" s="3">
        <v>5</v>
      </c>
      <c r="K1441" s="3">
        <v>0</v>
      </c>
      <c r="L1441" s="3">
        <v>0</v>
      </c>
      <c r="M1441" s="3">
        <v>0</v>
      </c>
      <c r="N1441" s="3" t="s">
        <v>1711</v>
      </c>
      <c r="O1441" s="3">
        <v>0</v>
      </c>
      <c r="P1441" s="3">
        <v>0</v>
      </c>
      <c r="Q1441" s="3">
        <v>0</v>
      </c>
      <c r="R1441" s="3">
        <v>0</v>
      </c>
      <c r="S1441" s="3">
        <v>0</v>
      </c>
      <c r="T1441" s="3">
        <v>2</v>
      </c>
      <c r="U1441" s="3">
        <v>4</v>
      </c>
      <c r="V1441" s="3">
        <v>19</v>
      </c>
      <c r="W1441" s="3"/>
      <c r="X1441" s="3">
        <v>27.99</v>
      </c>
      <c r="Y1441" s="3">
        <v>27.99</v>
      </c>
      <c r="Z1441" s="3">
        <v>25.99</v>
      </c>
      <c r="AA1441" s="3">
        <v>0</v>
      </c>
      <c r="AB1441" s="3" t="s">
        <v>1713</v>
      </c>
      <c r="AC1441" s="3">
        <v>29</v>
      </c>
      <c r="AD1441" s="3">
        <v>27.99</v>
      </c>
      <c r="AE1441" s="3">
        <v>0</v>
      </c>
      <c r="AF1441" s="3">
        <v>0</v>
      </c>
      <c r="AG1441" s="3">
        <v>0</v>
      </c>
      <c r="AH1441" s="3">
        <v>0.660869565217391</v>
      </c>
      <c r="AI1441" s="3" t="s">
        <v>1831</v>
      </c>
      <c r="AJ1441" s="3" t="s">
        <v>1715</v>
      </c>
    </row>
    <row r="1442" spans="1:36">
      <c r="A1442" s="4">
        <v>43277</v>
      </c>
      <c r="B1442" s="3" t="s">
        <v>6056</v>
      </c>
      <c r="C1442" s="3" t="s">
        <v>6057</v>
      </c>
      <c r="D1442" s="3" t="s">
        <v>6058</v>
      </c>
      <c r="E1442" s="3" t="s">
        <v>6059</v>
      </c>
      <c r="F1442" s="3" t="s">
        <v>1710</v>
      </c>
      <c r="G1442" s="3">
        <v>6</v>
      </c>
      <c r="H1442" s="3">
        <v>0</v>
      </c>
      <c r="I1442" s="3">
        <v>6</v>
      </c>
      <c r="J1442" s="3">
        <v>0</v>
      </c>
      <c r="K1442" s="3">
        <v>0</v>
      </c>
      <c r="L1442" s="3">
        <v>0</v>
      </c>
      <c r="M1442" s="3">
        <v>0</v>
      </c>
      <c r="N1442" s="3" t="s">
        <v>1711</v>
      </c>
      <c r="O1442" s="3">
        <v>0</v>
      </c>
      <c r="P1442" s="3">
        <v>0</v>
      </c>
      <c r="Q1442" s="3">
        <v>0</v>
      </c>
      <c r="R1442" s="3">
        <v>0</v>
      </c>
      <c r="S1442" s="3">
        <v>1</v>
      </c>
      <c r="T1442" s="3">
        <v>3</v>
      </c>
      <c r="U1442" s="3">
        <v>4</v>
      </c>
      <c r="V1442" s="3">
        <v>7</v>
      </c>
      <c r="W1442" s="3"/>
      <c r="X1442" s="3">
        <v>19.99</v>
      </c>
      <c r="Y1442" s="3">
        <v>19.99</v>
      </c>
      <c r="Z1442" s="3">
        <v>19.99</v>
      </c>
      <c r="AA1442" s="3">
        <v>0</v>
      </c>
      <c r="AB1442" s="3" t="s">
        <v>1713</v>
      </c>
      <c r="AC1442" s="3">
        <v>5</v>
      </c>
      <c r="AD1442" s="3">
        <v>19.99</v>
      </c>
      <c r="AE1442" s="3">
        <v>0</v>
      </c>
      <c r="AF1442" s="3">
        <v>0</v>
      </c>
      <c r="AG1442" s="3">
        <v>0</v>
      </c>
      <c r="AH1442" s="3">
        <v>1.64705882352941</v>
      </c>
      <c r="AI1442" s="3" t="s">
        <v>6060</v>
      </c>
      <c r="AJ1442" s="3" t="s">
        <v>1715</v>
      </c>
    </row>
    <row r="1443" spans="1:36">
      <c r="A1443" s="4">
        <v>43277</v>
      </c>
      <c r="B1443" s="3" t="s">
        <v>6061</v>
      </c>
      <c r="C1443" s="3" t="s">
        <v>6062</v>
      </c>
      <c r="D1443" s="3" t="s">
        <v>6063</v>
      </c>
      <c r="E1443" s="3" t="s">
        <v>6064</v>
      </c>
      <c r="F1443" s="3" t="s">
        <v>1710</v>
      </c>
      <c r="G1443" s="3">
        <v>15</v>
      </c>
      <c r="H1443" s="3">
        <v>0</v>
      </c>
      <c r="I1443" s="3">
        <v>15</v>
      </c>
      <c r="J1443" s="3">
        <v>0</v>
      </c>
      <c r="K1443" s="3">
        <v>0</v>
      </c>
      <c r="L1443" s="3">
        <v>0</v>
      </c>
      <c r="M1443" s="3">
        <v>0</v>
      </c>
      <c r="N1443" s="3" t="s">
        <v>1711</v>
      </c>
      <c r="O1443" s="3">
        <v>0</v>
      </c>
      <c r="P1443" s="3">
        <v>0</v>
      </c>
      <c r="Q1443" s="3">
        <v>0</v>
      </c>
      <c r="R1443" s="3">
        <v>0</v>
      </c>
      <c r="S1443" s="3">
        <v>1</v>
      </c>
      <c r="T1443" s="3">
        <v>8</v>
      </c>
      <c r="U1443" s="3">
        <v>17</v>
      </c>
      <c r="V1443" s="3">
        <v>20</v>
      </c>
      <c r="W1443" s="3"/>
      <c r="X1443" s="3">
        <v>38.99</v>
      </c>
      <c r="Y1443" s="3">
        <v>19.99</v>
      </c>
      <c r="Z1443" s="3">
        <v>19.99</v>
      </c>
      <c r="AA1443" s="3">
        <v>0</v>
      </c>
      <c r="AB1443" s="3" t="s">
        <v>1713</v>
      </c>
      <c r="AC1443" s="3">
        <v>15</v>
      </c>
      <c r="AD1443" s="3">
        <v>19.99</v>
      </c>
      <c r="AE1443" s="3">
        <v>0</v>
      </c>
      <c r="AF1443" s="3">
        <v>0</v>
      </c>
      <c r="AG1443" s="3">
        <v>0</v>
      </c>
      <c r="AH1443" s="3">
        <v>2.35294117647058</v>
      </c>
      <c r="AI1443" s="3" t="s">
        <v>1891</v>
      </c>
      <c r="AJ1443" s="3" t="s">
        <v>1715</v>
      </c>
    </row>
    <row r="1444" spans="1:36">
      <c r="A1444" s="4">
        <v>43277</v>
      </c>
      <c r="B1444" s="3" t="s">
        <v>647</v>
      </c>
      <c r="C1444" s="3" t="s">
        <v>648</v>
      </c>
      <c r="D1444" s="3" t="s">
        <v>649</v>
      </c>
      <c r="E1444" s="3" t="s">
        <v>6065</v>
      </c>
      <c r="F1444" s="3" t="s">
        <v>1710</v>
      </c>
      <c r="G1444" s="3">
        <v>155</v>
      </c>
      <c r="H1444" s="3">
        <v>0</v>
      </c>
      <c r="I1444" s="3">
        <v>155</v>
      </c>
      <c r="J1444" s="3">
        <v>0</v>
      </c>
      <c r="K1444" s="3">
        <v>0</v>
      </c>
      <c r="L1444" s="3">
        <v>0</v>
      </c>
      <c r="M1444" s="3">
        <v>0</v>
      </c>
      <c r="N1444" s="3" t="s">
        <v>1711</v>
      </c>
      <c r="O1444" s="3">
        <v>0</v>
      </c>
      <c r="P1444" s="3">
        <v>0</v>
      </c>
      <c r="Q1444" s="3">
        <v>0</v>
      </c>
      <c r="R1444" s="3">
        <v>0</v>
      </c>
      <c r="S1444" s="3">
        <v>21</v>
      </c>
      <c r="T1444" s="3">
        <v>102</v>
      </c>
      <c r="U1444" s="3">
        <v>184</v>
      </c>
      <c r="V1444" s="3">
        <v>237</v>
      </c>
      <c r="W1444" s="3"/>
      <c r="X1444" s="3">
        <v>38</v>
      </c>
      <c r="Y1444" s="3">
        <v>28.58</v>
      </c>
      <c r="Z1444" s="3">
        <v>28</v>
      </c>
      <c r="AA1444" s="3">
        <v>0</v>
      </c>
      <c r="AB1444" s="3" t="s">
        <v>1713</v>
      </c>
      <c r="AC1444" s="3">
        <v>90</v>
      </c>
      <c r="AD1444" s="3">
        <v>28.58</v>
      </c>
      <c r="AE1444" s="3">
        <v>0</v>
      </c>
      <c r="AF1444" s="3">
        <v>0</v>
      </c>
      <c r="AG1444" s="3">
        <v>0</v>
      </c>
      <c r="AH1444" s="3">
        <v>4.9375</v>
      </c>
      <c r="AI1444" s="3" t="s">
        <v>1801</v>
      </c>
      <c r="AJ1444" s="3" t="s">
        <v>1715</v>
      </c>
    </row>
    <row r="1445" spans="1:36">
      <c r="A1445" s="4">
        <v>43277</v>
      </c>
      <c r="B1445" s="3" t="s">
        <v>6066</v>
      </c>
      <c r="C1445" s="3" t="s">
        <v>6067</v>
      </c>
      <c r="D1445" s="3" t="s">
        <v>6068</v>
      </c>
      <c r="E1445" s="3" t="s">
        <v>2577</v>
      </c>
      <c r="F1445" s="3" t="s">
        <v>1710</v>
      </c>
      <c r="G1445" s="3">
        <v>17</v>
      </c>
      <c r="H1445" s="3">
        <v>0</v>
      </c>
      <c r="I1445" s="3">
        <v>0</v>
      </c>
      <c r="J1445" s="3">
        <v>17</v>
      </c>
      <c r="K1445" s="3">
        <v>0</v>
      </c>
      <c r="L1445" s="3">
        <v>0</v>
      </c>
      <c r="M1445" s="3">
        <v>0</v>
      </c>
      <c r="N1445" s="3" t="s">
        <v>1711</v>
      </c>
      <c r="O1445" s="3">
        <v>17</v>
      </c>
      <c r="P1445" s="3">
        <v>28.24</v>
      </c>
      <c r="Q1445" s="3">
        <v>0</v>
      </c>
      <c r="R1445" s="3">
        <v>0</v>
      </c>
      <c r="S1445" s="3">
        <v>0</v>
      </c>
      <c r="T1445" s="3">
        <v>0</v>
      </c>
      <c r="U1445" s="3">
        <v>1</v>
      </c>
      <c r="V1445" s="3">
        <v>3</v>
      </c>
      <c r="W1445" s="3" t="s">
        <v>1720</v>
      </c>
      <c r="X1445" s="3">
        <v>17.99</v>
      </c>
      <c r="Y1445" s="3">
        <v>17.99</v>
      </c>
      <c r="Z1445" s="3">
        <v>17.99</v>
      </c>
      <c r="AA1445" s="3">
        <v>0</v>
      </c>
      <c r="AB1445" s="3" t="s">
        <v>1721</v>
      </c>
      <c r="AC1445" s="3">
        <v>0</v>
      </c>
      <c r="AD1445" s="3">
        <v>13.83</v>
      </c>
      <c r="AE1445" s="3">
        <v>308</v>
      </c>
      <c r="AF1445" s="3">
        <v>0</v>
      </c>
      <c r="AG1445" s="3">
        <v>387.069947</v>
      </c>
      <c r="AH1445" s="3">
        <v>0.166666666666666</v>
      </c>
      <c r="AI1445" s="3" t="s">
        <v>2850</v>
      </c>
      <c r="AJ1445" s="3" t="s">
        <v>1783</v>
      </c>
    </row>
    <row r="1446" spans="1:36">
      <c r="A1446" s="4">
        <v>43277</v>
      </c>
      <c r="B1446" s="3" t="s">
        <v>6069</v>
      </c>
      <c r="C1446" s="3" t="s">
        <v>6070</v>
      </c>
      <c r="D1446" s="3" t="s">
        <v>6071</v>
      </c>
      <c r="E1446" s="3" t="s">
        <v>1147</v>
      </c>
      <c r="F1446" s="3" t="s">
        <v>1710</v>
      </c>
      <c r="G1446" s="3">
        <v>5</v>
      </c>
      <c r="H1446" s="3">
        <v>0</v>
      </c>
      <c r="I1446" s="3">
        <v>5</v>
      </c>
      <c r="J1446" s="3">
        <v>0</v>
      </c>
      <c r="K1446" s="3">
        <v>0</v>
      </c>
      <c r="L1446" s="3">
        <v>0</v>
      </c>
      <c r="M1446" s="3">
        <v>0</v>
      </c>
      <c r="N1446" s="3" t="s">
        <v>1711</v>
      </c>
      <c r="O1446" s="3">
        <v>0</v>
      </c>
      <c r="P1446" s="3">
        <v>0</v>
      </c>
      <c r="Q1446" s="3">
        <v>0</v>
      </c>
      <c r="R1446" s="3">
        <v>0</v>
      </c>
      <c r="S1446" s="3">
        <v>1</v>
      </c>
      <c r="T1446" s="3">
        <v>7</v>
      </c>
      <c r="U1446" s="3">
        <v>11</v>
      </c>
      <c r="V1446" s="3">
        <v>11</v>
      </c>
      <c r="W1446" s="3"/>
      <c r="X1446" s="3">
        <v>19.99</v>
      </c>
      <c r="Y1446" s="3">
        <v>19.99</v>
      </c>
      <c r="Z1446" s="3">
        <v>19.99</v>
      </c>
      <c r="AA1446" s="3">
        <v>0</v>
      </c>
      <c r="AB1446" s="3" t="s">
        <v>1713</v>
      </c>
      <c r="AC1446" s="3">
        <v>5</v>
      </c>
      <c r="AD1446" s="3">
        <v>19.99</v>
      </c>
      <c r="AE1446" s="3">
        <v>0</v>
      </c>
      <c r="AF1446" s="3">
        <v>0</v>
      </c>
      <c r="AG1446" s="3">
        <v>0</v>
      </c>
      <c r="AH1446" s="3">
        <v>2.53846153846153</v>
      </c>
      <c r="AI1446" s="3" t="s">
        <v>3696</v>
      </c>
      <c r="AJ1446" s="3" t="s">
        <v>1715</v>
      </c>
    </row>
    <row r="1447" spans="1:36">
      <c r="A1447" s="4">
        <v>43277</v>
      </c>
      <c r="B1447" s="3" t="s">
        <v>6072</v>
      </c>
      <c r="C1447" s="3" t="s">
        <v>6073</v>
      </c>
      <c r="D1447" s="3" t="s">
        <v>6074</v>
      </c>
      <c r="E1447" s="3" t="s">
        <v>6075</v>
      </c>
      <c r="F1447" s="3" t="s">
        <v>1710</v>
      </c>
      <c r="G1447" s="3">
        <v>17</v>
      </c>
      <c r="H1447" s="3">
        <v>0</v>
      </c>
      <c r="I1447" s="3">
        <v>1</v>
      </c>
      <c r="J1447" s="3">
        <v>3</v>
      </c>
      <c r="K1447" s="3">
        <v>0</v>
      </c>
      <c r="L1447" s="3">
        <v>1</v>
      </c>
      <c r="M1447" s="3">
        <v>12</v>
      </c>
      <c r="N1447" s="3" t="s">
        <v>1711</v>
      </c>
      <c r="O1447" s="3">
        <v>2</v>
      </c>
      <c r="P1447" s="3">
        <v>1.69</v>
      </c>
      <c r="Q1447" s="3">
        <v>13</v>
      </c>
      <c r="R1447" s="3">
        <v>21.95</v>
      </c>
      <c r="S1447" s="3">
        <v>0</v>
      </c>
      <c r="T1447" s="3">
        <v>2</v>
      </c>
      <c r="U1447" s="3">
        <v>4</v>
      </c>
      <c r="V1447" s="3">
        <v>5</v>
      </c>
      <c r="W1447" s="3"/>
      <c r="X1447" s="3">
        <v>26.99</v>
      </c>
      <c r="Y1447" s="3">
        <v>20.99</v>
      </c>
      <c r="Z1447" s="3">
        <v>20.99</v>
      </c>
      <c r="AA1447" s="3">
        <v>0</v>
      </c>
      <c r="AB1447" s="3" t="s">
        <v>1713</v>
      </c>
      <c r="AC1447" s="3">
        <v>17</v>
      </c>
      <c r="AD1447" s="3">
        <v>20.99</v>
      </c>
      <c r="AE1447" s="3">
        <v>0</v>
      </c>
      <c r="AF1447" s="3">
        <v>0</v>
      </c>
      <c r="AG1447" s="3">
        <v>0</v>
      </c>
      <c r="AH1447" s="3">
        <v>0.256410256410256</v>
      </c>
      <c r="AI1447" s="3" t="s">
        <v>2983</v>
      </c>
      <c r="AJ1447" s="3" t="s">
        <v>1715</v>
      </c>
    </row>
    <row r="1448" spans="1:36">
      <c r="A1448" s="4">
        <v>43277</v>
      </c>
      <c r="B1448" s="3" t="s">
        <v>6076</v>
      </c>
      <c r="C1448" s="3" t="s">
        <v>6077</v>
      </c>
      <c r="D1448" s="3" t="s">
        <v>6078</v>
      </c>
      <c r="E1448" s="3" t="s">
        <v>6079</v>
      </c>
      <c r="F1448" s="3" t="s">
        <v>1710</v>
      </c>
      <c r="G1448" s="3">
        <v>21</v>
      </c>
      <c r="H1448" s="3">
        <v>0</v>
      </c>
      <c r="I1448" s="3">
        <v>0</v>
      </c>
      <c r="J1448" s="3">
        <v>21</v>
      </c>
      <c r="K1448" s="3">
        <v>0</v>
      </c>
      <c r="L1448" s="3">
        <v>0</v>
      </c>
      <c r="M1448" s="3">
        <v>0</v>
      </c>
      <c r="N1448" s="3" t="s">
        <v>1711</v>
      </c>
      <c r="O1448" s="3">
        <v>21</v>
      </c>
      <c r="P1448" s="3">
        <v>30.95</v>
      </c>
      <c r="Q1448" s="3">
        <v>0</v>
      </c>
      <c r="R1448" s="3">
        <v>0</v>
      </c>
      <c r="S1448" s="3">
        <v>0</v>
      </c>
      <c r="T1448" s="3">
        <v>0</v>
      </c>
      <c r="U1448" s="3">
        <v>0</v>
      </c>
      <c r="V1448" s="3">
        <v>0</v>
      </c>
      <c r="W1448" s="3" t="s">
        <v>1720</v>
      </c>
      <c r="X1448" s="3">
        <v>35</v>
      </c>
      <c r="Y1448" s="3">
        <v>15.99</v>
      </c>
      <c r="Z1448" s="3">
        <v>15.99</v>
      </c>
      <c r="AA1448" s="3">
        <v>0</v>
      </c>
      <c r="AB1448" s="3" t="s">
        <v>1732</v>
      </c>
      <c r="AC1448" s="3">
        <v>6</v>
      </c>
      <c r="AD1448" s="3">
        <v>14.2</v>
      </c>
      <c r="AE1448" s="3">
        <v>49</v>
      </c>
      <c r="AF1448" s="3">
        <v>0</v>
      </c>
      <c r="AG1448" s="3">
        <v>518.548488</v>
      </c>
      <c r="AH1448" s="3">
        <v>0</v>
      </c>
      <c r="AI1448" s="3" t="s">
        <v>1770</v>
      </c>
      <c r="AJ1448" s="3" t="s">
        <v>1715</v>
      </c>
    </row>
    <row r="1449" spans="1:36">
      <c r="A1449" s="4">
        <v>43277</v>
      </c>
      <c r="B1449" s="3" t="s">
        <v>6080</v>
      </c>
      <c r="C1449" s="3" t="s">
        <v>6081</v>
      </c>
      <c r="D1449" s="3" t="s">
        <v>6082</v>
      </c>
      <c r="E1449" s="3" t="s">
        <v>6083</v>
      </c>
      <c r="F1449" s="3" t="s">
        <v>1710</v>
      </c>
      <c r="G1449" s="3">
        <v>5</v>
      </c>
      <c r="H1449" s="3">
        <v>0</v>
      </c>
      <c r="I1449" s="3">
        <v>5</v>
      </c>
      <c r="J1449" s="3">
        <v>0</v>
      </c>
      <c r="K1449" s="3">
        <v>0</v>
      </c>
      <c r="L1449" s="3">
        <v>0</v>
      </c>
      <c r="M1449" s="3">
        <v>0</v>
      </c>
      <c r="N1449" s="3" t="s">
        <v>1711</v>
      </c>
      <c r="O1449" s="3">
        <v>0</v>
      </c>
      <c r="P1449" s="3">
        <v>0</v>
      </c>
      <c r="Q1449" s="3">
        <v>0</v>
      </c>
      <c r="R1449" s="3">
        <v>0</v>
      </c>
      <c r="S1449" s="3">
        <v>5</v>
      </c>
      <c r="T1449" s="3">
        <v>14</v>
      </c>
      <c r="U1449" s="3">
        <v>30</v>
      </c>
      <c r="V1449" s="3">
        <v>41</v>
      </c>
      <c r="W1449" s="3"/>
      <c r="X1449" s="3">
        <v>15.99</v>
      </c>
      <c r="Y1449" s="3">
        <v>15.99</v>
      </c>
      <c r="Z1449" s="3">
        <v>15.99</v>
      </c>
      <c r="AA1449" s="3">
        <v>0</v>
      </c>
      <c r="AB1449" s="3" t="s">
        <v>1713</v>
      </c>
      <c r="AC1449" s="3">
        <v>8</v>
      </c>
      <c r="AD1449" s="3">
        <v>15.99</v>
      </c>
      <c r="AE1449" s="3">
        <v>0</v>
      </c>
      <c r="AF1449" s="3">
        <v>0</v>
      </c>
      <c r="AG1449" s="3">
        <v>0</v>
      </c>
      <c r="AH1449" s="3">
        <v>9.46153846153846</v>
      </c>
      <c r="AI1449" s="3" t="s">
        <v>1881</v>
      </c>
      <c r="AJ1449" s="3" t="s">
        <v>1715</v>
      </c>
    </row>
    <row r="1450" spans="1:36">
      <c r="A1450" s="4">
        <v>43277</v>
      </c>
      <c r="B1450" s="3" t="s">
        <v>315</v>
      </c>
      <c r="C1450" s="3" t="s">
        <v>316</v>
      </c>
      <c r="D1450" s="3" t="s">
        <v>317</v>
      </c>
      <c r="E1450" s="3" t="s">
        <v>318</v>
      </c>
      <c r="F1450" s="3" t="s">
        <v>1710</v>
      </c>
      <c r="G1450" s="3">
        <v>6</v>
      </c>
      <c r="H1450" s="3">
        <v>0</v>
      </c>
      <c r="I1450" s="3">
        <v>0</v>
      </c>
      <c r="J1450" s="3">
        <v>1</v>
      </c>
      <c r="K1450" s="3">
        <v>0</v>
      </c>
      <c r="L1450" s="3">
        <v>5</v>
      </c>
      <c r="M1450" s="3">
        <v>0</v>
      </c>
      <c r="N1450" s="3" t="s">
        <v>1711</v>
      </c>
      <c r="O1450" s="3">
        <v>6</v>
      </c>
      <c r="P1450" s="3">
        <v>8.41</v>
      </c>
      <c r="Q1450" s="3">
        <v>0</v>
      </c>
      <c r="R1450" s="3">
        <v>0</v>
      </c>
      <c r="S1450" s="3">
        <v>1</v>
      </c>
      <c r="T1450" s="3">
        <v>3</v>
      </c>
      <c r="U1450" s="3">
        <v>3</v>
      </c>
      <c r="V1450" s="3">
        <v>6</v>
      </c>
      <c r="W1450" s="3" t="s">
        <v>1720</v>
      </c>
      <c r="X1450" s="3">
        <v>13.99</v>
      </c>
      <c r="Y1450" s="3">
        <v>13.99</v>
      </c>
      <c r="Z1450" s="3">
        <v>13.99</v>
      </c>
      <c r="AA1450" s="3">
        <v>0</v>
      </c>
      <c r="AB1450" s="3" t="s">
        <v>1721</v>
      </c>
      <c r="AC1450" s="3">
        <v>2</v>
      </c>
      <c r="AD1450" s="3">
        <v>12.81</v>
      </c>
      <c r="AE1450" s="3">
        <v>21</v>
      </c>
      <c r="AF1450" s="3">
        <v>0</v>
      </c>
      <c r="AG1450" s="3">
        <v>142.685974</v>
      </c>
      <c r="AH1450" s="3">
        <v>0.489795918367346</v>
      </c>
      <c r="AI1450" s="3" t="s">
        <v>6084</v>
      </c>
      <c r="AJ1450" s="3" t="s">
        <v>1783</v>
      </c>
    </row>
    <row r="1451" spans="1:36">
      <c r="A1451" s="4">
        <v>43277</v>
      </c>
      <c r="B1451" s="3" t="s">
        <v>6085</v>
      </c>
      <c r="C1451" s="3" t="s">
        <v>6086</v>
      </c>
      <c r="D1451" s="3" t="s">
        <v>6087</v>
      </c>
      <c r="E1451" s="3" t="s">
        <v>6088</v>
      </c>
      <c r="F1451" s="3" t="s">
        <v>1710</v>
      </c>
      <c r="G1451" s="3">
        <v>1</v>
      </c>
      <c r="H1451" s="3">
        <v>0</v>
      </c>
      <c r="I1451" s="3">
        <v>0</v>
      </c>
      <c r="J1451" s="3">
        <v>0</v>
      </c>
      <c r="K1451" s="3">
        <v>0</v>
      </c>
      <c r="L1451" s="3">
        <v>0</v>
      </c>
      <c r="M1451" s="3">
        <v>1</v>
      </c>
      <c r="N1451" s="3" t="s">
        <v>1711</v>
      </c>
      <c r="O1451" s="3">
        <v>0</v>
      </c>
      <c r="P1451" s="3">
        <v>0</v>
      </c>
      <c r="Q1451" s="3">
        <v>1</v>
      </c>
      <c r="R1451" s="3">
        <v>3.8</v>
      </c>
      <c r="S1451" s="3">
        <v>0</v>
      </c>
      <c r="T1451" s="3">
        <v>0</v>
      </c>
      <c r="U1451" s="3">
        <v>0</v>
      </c>
      <c r="V1451" s="3">
        <v>0</v>
      </c>
      <c r="W1451" s="3" t="s">
        <v>1720</v>
      </c>
      <c r="X1451" s="3">
        <v>16.99</v>
      </c>
      <c r="Y1451" s="3">
        <v>16.99</v>
      </c>
      <c r="Z1451" s="3">
        <v>16.99</v>
      </c>
      <c r="AA1451" s="3">
        <v>0</v>
      </c>
      <c r="AB1451" s="3" t="s">
        <v>1713</v>
      </c>
      <c r="AC1451" s="3">
        <v>1</v>
      </c>
      <c r="AD1451" s="3">
        <v>16.99</v>
      </c>
      <c r="AE1451" s="3">
        <v>0</v>
      </c>
      <c r="AF1451" s="3">
        <v>0</v>
      </c>
      <c r="AG1451" s="3">
        <v>0</v>
      </c>
      <c r="AH1451" s="3">
        <v>0</v>
      </c>
      <c r="AI1451" s="3" t="s">
        <v>3103</v>
      </c>
      <c r="AJ1451" s="3" t="s">
        <v>1715</v>
      </c>
    </row>
    <row r="1452" spans="1:36">
      <c r="A1452" s="4">
        <v>43277</v>
      </c>
      <c r="B1452" s="3" t="s">
        <v>1412</v>
      </c>
      <c r="C1452" s="3" t="s">
        <v>1413</v>
      </c>
      <c r="D1452" s="3" t="s">
        <v>1414</v>
      </c>
      <c r="E1452" s="3" t="s">
        <v>1380</v>
      </c>
      <c r="F1452" s="3" t="s">
        <v>1710</v>
      </c>
      <c r="G1452" s="3">
        <v>18</v>
      </c>
      <c r="H1452" s="3">
        <v>0</v>
      </c>
      <c r="I1452" s="3">
        <v>18</v>
      </c>
      <c r="J1452" s="3">
        <v>0</v>
      </c>
      <c r="K1452" s="3">
        <v>0</v>
      </c>
      <c r="L1452" s="3">
        <v>0</v>
      </c>
      <c r="M1452" s="3">
        <v>0</v>
      </c>
      <c r="N1452" s="3" t="s">
        <v>1711</v>
      </c>
      <c r="O1452" s="3">
        <v>0</v>
      </c>
      <c r="P1452" s="3">
        <v>0</v>
      </c>
      <c r="Q1452" s="3">
        <v>0</v>
      </c>
      <c r="R1452" s="3">
        <v>0</v>
      </c>
      <c r="S1452" s="3">
        <v>3</v>
      </c>
      <c r="T1452" s="3">
        <v>14</v>
      </c>
      <c r="U1452" s="3">
        <v>27</v>
      </c>
      <c r="V1452" s="3">
        <v>40</v>
      </c>
      <c r="W1452" s="3"/>
      <c r="X1452" s="3">
        <v>49.99</v>
      </c>
      <c r="Y1452" s="3">
        <v>25.99</v>
      </c>
      <c r="Z1452" s="3">
        <v>25.99</v>
      </c>
      <c r="AA1452" s="3">
        <v>0</v>
      </c>
      <c r="AB1452" s="3" t="s">
        <v>1713</v>
      </c>
      <c r="AC1452" s="3">
        <v>21</v>
      </c>
      <c r="AD1452" s="3">
        <v>25.99</v>
      </c>
      <c r="AE1452" s="3">
        <v>0</v>
      </c>
      <c r="AF1452" s="3">
        <v>0</v>
      </c>
      <c r="AG1452" s="3">
        <v>0</v>
      </c>
      <c r="AH1452" s="3">
        <v>4.21052631578947</v>
      </c>
      <c r="AI1452" s="3" t="s">
        <v>2351</v>
      </c>
      <c r="AJ1452" s="3" t="s">
        <v>1715</v>
      </c>
    </row>
    <row r="1453" spans="1:36">
      <c r="A1453" s="4">
        <v>43277</v>
      </c>
      <c r="B1453" s="3" t="s">
        <v>1477</v>
      </c>
      <c r="C1453" s="3" t="s">
        <v>1478</v>
      </c>
      <c r="D1453" s="3" t="s">
        <v>1479</v>
      </c>
      <c r="E1453" s="3" t="s">
        <v>1480</v>
      </c>
      <c r="F1453" s="3" t="s">
        <v>1710</v>
      </c>
      <c r="G1453" s="3">
        <v>15</v>
      </c>
      <c r="H1453" s="3">
        <v>0</v>
      </c>
      <c r="I1453" s="3">
        <v>15</v>
      </c>
      <c r="J1453" s="3">
        <v>0</v>
      </c>
      <c r="K1453" s="3">
        <v>0</v>
      </c>
      <c r="L1453" s="3">
        <v>0</v>
      </c>
      <c r="M1453" s="3">
        <v>0</v>
      </c>
      <c r="N1453" s="3" t="s">
        <v>1711</v>
      </c>
      <c r="O1453" s="3">
        <v>0</v>
      </c>
      <c r="P1453" s="3">
        <v>0</v>
      </c>
      <c r="Q1453" s="3">
        <v>0</v>
      </c>
      <c r="R1453" s="3">
        <v>0</v>
      </c>
      <c r="S1453" s="3">
        <v>5</v>
      </c>
      <c r="T1453" s="3">
        <v>19</v>
      </c>
      <c r="U1453" s="3">
        <v>27</v>
      </c>
      <c r="V1453" s="3">
        <v>27</v>
      </c>
      <c r="W1453" s="3"/>
      <c r="X1453" s="3">
        <v>38</v>
      </c>
      <c r="Y1453" s="3">
        <v>25.58</v>
      </c>
      <c r="Z1453" s="3">
        <v>25.58</v>
      </c>
      <c r="AA1453" s="3">
        <v>0</v>
      </c>
      <c r="AB1453" s="3" t="s">
        <v>1713</v>
      </c>
      <c r="AC1453" s="3">
        <v>18</v>
      </c>
      <c r="AD1453" s="3">
        <v>25.58</v>
      </c>
      <c r="AE1453" s="3">
        <v>0</v>
      </c>
      <c r="AF1453" s="3">
        <v>0</v>
      </c>
      <c r="AG1453" s="3">
        <v>0</v>
      </c>
      <c r="AH1453" s="3">
        <v>2.79310344827586</v>
      </c>
      <c r="AI1453" s="3" t="s">
        <v>2203</v>
      </c>
      <c r="AJ1453" s="3" t="s">
        <v>1715</v>
      </c>
    </row>
    <row r="1454" spans="1:36">
      <c r="A1454" s="4">
        <v>43277</v>
      </c>
      <c r="B1454" s="3" t="s">
        <v>6089</v>
      </c>
      <c r="C1454" s="3" t="s">
        <v>6090</v>
      </c>
      <c r="D1454" s="3" t="s">
        <v>6091</v>
      </c>
      <c r="E1454" s="3" t="s">
        <v>4910</v>
      </c>
      <c r="F1454" s="3" t="s">
        <v>1710</v>
      </c>
      <c r="G1454" s="3">
        <v>9</v>
      </c>
      <c r="H1454" s="3">
        <v>0</v>
      </c>
      <c r="I1454" s="3">
        <v>0</v>
      </c>
      <c r="J1454" s="3">
        <v>0</v>
      </c>
      <c r="K1454" s="3">
        <v>0</v>
      </c>
      <c r="L1454" s="3">
        <v>9</v>
      </c>
      <c r="M1454" s="3">
        <v>0</v>
      </c>
      <c r="N1454" s="3" t="s">
        <v>1711</v>
      </c>
      <c r="O1454" s="3">
        <v>9</v>
      </c>
      <c r="P1454" s="3">
        <v>0.06</v>
      </c>
      <c r="Q1454" s="3">
        <v>0</v>
      </c>
      <c r="R1454" s="3">
        <v>0</v>
      </c>
      <c r="S1454" s="3">
        <v>0</v>
      </c>
      <c r="T1454" s="3">
        <v>0</v>
      </c>
      <c r="U1454" s="3">
        <v>0</v>
      </c>
      <c r="V1454" s="3">
        <v>0</v>
      </c>
      <c r="W1454" s="3" t="s">
        <v>1720</v>
      </c>
      <c r="X1454" s="3">
        <v>15.99</v>
      </c>
      <c r="Y1454" s="3">
        <v>15.99</v>
      </c>
      <c r="Z1454" s="3">
        <v>15.99</v>
      </c>
      <c r="AA1454" s="3">
        <v>0</v>
      </c>
      <c r="AB1454" s="3" t="s">
        <v>1713</v>
      </c>
      <c r="AC1454" s="3">
        <v>9</v>
      </c>
      <c r="AD1454" s="3">
        <v>15.99</v>
      </c>
      <c r="AE1454" s="3">
        <v>0</v>
      </c>
      <c r="AF1454" s="3">
        <v>0</v>
      </c>
      <c r="AG1454" s="3">
        <v>0</v>
      </c>
      <c r="AH1454" s="3">
        <v>0</v>
      </c>
      <c r="AI1454" s="3" t="s">
        <v>1782</v>
      </c>
      <c r="AJ1454" s="3" t="s">
        <v>1783</v>
      </c>
    </row>
    <row r="1455" spans="1:36">
      <c r="A1455" s="4">
        <v>43277</v>
      </c>
      <c r="B1455" s="3" t="s">
        <v>6092</v>
      </c>
      <c r="C1455" s="3" t="s">
        <v>6093</v>
      </c>
      <c r="D1455" s="3" t="s">
        <v>6094</v>
      </c>
      <c r="E1455" s="3" t="s">
        <v>6095</v>
      </c>
      <c r="F1455" s="3" t="s">
        <v>1710</v>
      </c>
      <c r="G1455" s="3">
        <v>41</v>
      </c>
      <c r="H1455" s="3">
        <v>0</v>
      </c>
      <c r="I1455" s="3">
        <v>0</v>
      </c>
      <c r="J1455" s="3">
        <v>6</v>
      </c>
      <c r="K1455" s="3">
        <v>35</v>
      </c>
      <c r="L1455" s="3">
        <v>0</v>
      </c>
      <c r="M1455" s="3">
        <v>0</v>
      </c>
      <c r="N1455" s="3" t="s">
        <v>1711</v>
      </c>
      <c r="O1455" s="3">
        <v>40</v>
      </c>
      <c r="P1455" s="3">
        <v>68.35</v>
      </c>
      <c r="Q1455" s="3">
        <v>0</v>
      </c>
      <c r="R1455" s="3">
        <v>0</v>
      </c>
      <c r="S1455" s="3">
        <v>0</v>
      </c>
      <c r="T1455" s="3">
        <v>0</v>
      </c>
      <c r="U1455" s="3">
        <v>0</v>
      </c>
      <c r="V1455" s="3">
        <v>0</v>
      </c>
      <c r="W1455" s="3" t="s">
        <v>1720</v>
      </c>
      <c r="X1455" s="3">
        <v>18.99</v>
      </c>
      <c r="Y1455" s="3">
        <v>18.99</v>
      </c>
      <c r="Z1455" s="3">
        <v>18.99</v>
      </c>
      <c r="AA1455" s="3">
        <v>0</v>
      </c>
      <c r="AB1455" s="3" t="s">
        <v>1721</v>
      </c>
      <c r="AC1455" s="3">
        <v>0</v>
      </c>
      <c r="AD1455" s="3">
        <v>16.47</v>
      </c>
      <c r="AE1455" s="3">
        <v>168</v>
      </c>
      <c r="AF1455" s="3">
        <v>0</v>
      </c>
      <c r="AG1455" s="3">
        <v>1076.888289</v>
      </c>
      <c r="AH1455" s="3">
        <v>0</v>
      </c>
      <c r="AI1455" s="3" t="s">
        <v>1749</v>
      </c>
      <c r="AJ1455" s="3" t="s">
        <v>1715</v>
      </c>
    </row>
    <row r="1456" spans="1:36">
      <c r="A1456" s="4">
        <v>43277</v>
      </c>
      <c r="B1456" s="3" t="s">
        <v>6096</v>
      </c>
      <c r="C1456" s="3" t="s">
        <v>6097</v>
      </c>
      <c r="D1456" s="3" t="s">
        <v>6098</v>
      </c>
      <c r="E1456" s="3" t="s">
        <v>6099</v>
      </c>
      <c r="F1456" s="3" t="s">
        <v>1710</v>
      </c>
      <c r="G1456" s="3">
        <v>15</v>
      </c>
      <c r="H1456" s="3">
        <v>0</v>
      </c>
      <c r="I1456" s="3">
        <v>15</v>
      </c>
      <c r="J1456" s="3">
        <v>0</v>
      </c>
      <c r="K1456" s="3">
        <v>0</v>
      </c>
      <c r="L1456" s="3">
        <v>0</v>
      </c>
      <c r="M1456" s="3">
        <v>0</v>
      </c>
      <c r="N1456" s="3" t="s">
        <v>1711</v>
      </c>
      <c r="O1456" s="3">
        <v>0</v>
      </c>
      <c r="P1456" s="3">
        <v>0</v>
      </c>
      <c r="Q1456" s="3">
        <v>0</v>
      </c>
      <c r="R1456" s="3">
        <v>0</v>
      </c>
      <c r="S1456" s="3">
        <v>0</v>
      </c>
      <c r="T1456" s="3">
        <v>0</v>
      </c>
      <c r="U1456" s="3">
        <v>0</v>
      </c>
      <c r="V1456" s="3">
        <v>0</v>
      </c>
      <c r="W1456" s="3" t="s">
        <v>1712</v>
      </c>
      <c r="X1456" s="3">
        <v>19.99</v>
      </c>
      <c r="Y1456" s="3">
        <v>19.99</v>
      </c>
      <c r="Z1456" s="3">
        <v>19.99</v>
      </c>
      <c r="AA1456" s="3">
        <v>0</v>
      </c>
      <c r="AB1456" s="3" t="s">
        <v>1713</v>
      </c>
      <c r="AC1456" s="3">
        <v>15</v>
      </c>
      <c r="AD1456" s="3">
        <v>19.99</v>
      </c>
      <c r="AE1456" s="3">
        <v>0</v>
      </c>
      <c r="AF1456" s="3">
        <v>0</v>
      </c>
      <c r="AG1456" s="3">
        <v>0</v>
      </c>
      <c r="AH1456" s="3">
        <v>0</v>
      </c>
      <c r="AI1456" s="3" t="s">
        <v>6100</v>
      </c>
      <c r="AJ1456" s="3" t="s">
        <v>1715</v>
      </c>
    </row>
    <row r="1457" spans="1:36">
      <c r="A1457" s="4">
        <v>43277</v>
      </c>
      <c r="B1457" s="3" t="s">
        <v>6101</v>
      </c>
      <c r="C1457" s="3" t="s">
        <v>6102</v>
      </c>
      <c r="D1457" s="3" t="s">
        <v>6103</v>
      </c>
      <c r="E1457" s="3" t="s">
        <v>6104</v>
      </c>
      <c r="F1457" s="3" t="s">
        <v>1710</v>
      </c>
      <c r="G1457" s="3">
        <v>10</v>
      </c>
      <c r="H1457" s="3">
        <v>0</v>
      </c>
      <c r="I1457" s="3">
        <v>0</v>
      </c>
      <c r="J1457" s="3">
        <v>0</v>
      </c>
      <c r="K1457" s="3">
        <v>10</v>
      </c>
      <c r="L1457" s="3">
        <v>0</v>
      </c>
      <c r="M1457" s="3">
        <v>0</v>
      </c>
      <c r="N1457" s="3" t="s">
        <v>1711</v>
      </c>
      <c r="O1457" s="3">
        <v>10</v>
      </c>
      <c r="P1457" s="3">
        <v>15.63</v>
      </c>
      <c r="Q1457" s="3">
        <v>0</v>
      </c>
      <c r="R1457" s="3">
        <v>0</v>
      </c>
      <c r="S1457" s="3">
        <v>0</v>
      </c>
      <c r="T1457" s="3">
        <v>0</v>
      </c>
      <c r="U1457" s="3">
        <v>0</v>
      </c>
      <c r="V1457" s="3">
        <v>0</v>
      </c>
      <c r="W1457" s="3" t="s">
        <v>1720</v>
      </c>
      <c r="X1457" s="3">
        <v>18.99</v>
      </c>
      <c r="Y1457" s="3">
        <v>18.99</v>
      </c>
      <c r="Z1457" s="3">
        <v>18.99</v>
      </c>
      <c r="AA1457" s="3">
        <v>0</v>
      </c>
      <c r="AB1457" s="3" t="s">
        <v>1732</v>
      </c>
      <c r="AC1457" s="3">
        <v>0</v>
      </c>
      <c r="AD1457" s="3">
        <v>15.19</v>
      </c>
      <c r="AE1457" s="3">
        <v>63</v>
      </c>
      <c r="AF1457" s="3">
        <v>0</v>
      </c>
      <c r="AG1457" s="3">
        <v>184.935405</v>
      </c>
      <c r="AH1457" s="3">
        <v>0</v>
      </c>
      <c r="AI1457" s="3" t="s">
        <v>2002</v>
      </c>
      <c r="AJ1457" s="3" t="s">
        <v>1715</v>
      </c>
    </row>
    <row r="1458" spans="1:36">
      <c r="A1458" s="4">
        <v>43277</v>
      </c>
      <c r="B1458" s="3" t="s">
        <v>6105</v>
      </c>
      <c r="C1458" s="3" t="s">
        <v>6106</v>
      </c>
      <c r="D1458" s="3" t="s">
        <v>6107</v>
      </c>
      <c r="E1458" s="3" t="s">
        <v>2798</v>
      </c>
      <c r="F1458" s="3" t="s">
        <v>1710</v>
      </c>
      <c r="G1458" s="3">
        <v>9</v>
      </c>
      <c r="H1458" s="3">
        <v>0</v>
      </c>
      <c r="I1458" s="3">
        <v>0</v>
      </c>
      <c r="J1458" s="3">
        <v>1</v>
      </c>
      <c r="K1458" s="3">
        <v>8</v>
      </c>
      <c r="L1458" s="3">
        <v>0</v>
      </c>
      <c r="M1458" s="3">
        <v>0</v>
      </c>
      <c r="N1458" s="3" t="s">
        <v>1711</v>
      </c>
      <c r="O1458" s="3">
        <v>8</v>
      </c>
      <c r="P1458" s="3">
        <v>18.12</v>
      </c>
      <c r="Q1458" s="3">
        <v>0</v>
      </c>
      <c r="R1458" s="3">
        <v>0</v>
      </c>
      <c r="S1458" s="3">
        <v>0</v>
      </c>
      <c r="T1458" s="3">
        <v>1</v>
      </c>
      <c r="U1458" s="3">
        <v>2</v>
      </c>
      <c r="V1458" s="3">
        <v>3</v>
      </c>
      <c r="W1458" s="3"/>
      <c r="X1458" s="3">
        <v>15.99</v>
      </c>
      <c r="Y1458" s="3">
        <v>15.99</v>
      </c>
      <c r="Z1458" s="3">
        <v>15.99</v>
      </c>
      <c r="AA1458" s="3">
        <v>0</v>
      </c>
      <c r="AB1458" s="3" t="s">
        <v>1732</v>
      </c>
      <c r="AC1458" s="3">
        <v>0</v>
      </c>
      <c r="AD1458" s="3">
        <v>13.57</v>
      </c>
      <c r="AE1458" s="3">
        <v>189</v>
      </c>
      <c r="AF1458" s="3">
        <v>0</v>
      </c>
      <c r="AG1458" s="3">
        <v>258.017436</v>
      </c>
      <c r="AH1458" s="3">
        <v>0.285714285714285</v>
      </c>
      <c r="AI1458" s="3" t="s">
        <v>6108</v>
      </c>
      <c r="AJ1458" s="3" t="s">
        <v>1783</v>
      </c>
    </row>
    <row r="1459" spans="1:36">
      <c r="A1459" s="4">
        <v>43277</v>
      </c>
      <c r="B1459" s="3" t="s">
        <v>6109</v>
      </c>
      <c r="C1459" s="3" t="s">
        <v>6110</v>
      </c>
      <c r="D1459" s="3" t="s">
        <v>6111</v>
      </c>
      <c r="E1459" s="3" t="s">
        <v>6112</v>
      </c>
      <c r="F1459" s="3" t="s">
        <v>1710</v>
      </c>
      <c r="G1459" s="3">
        <v>23</v>
      </c>
      <c r="H1459" s="3">
        <v>0</v>
      </c>
      <c r="I1459" s="3">
        <v>23</v>
      </c>
      <c r="J1459" s="3">
        <v>0</v>
      </c>
      <c r="K1459" s="3">
        <v>0</v>
      </c>
      <c r="L1459" s="3">
        <v>0</v>
      </c>
      <c r="M1459" s="3">
        <v>0</v>
      </c>
      <c r="N1459" s="3" t="s">
        <v>1711</v>
      </c>
      <c r="O1459" s="3">
        <v>0</v>
      </c>
      <c r="P1459" s="3">
        <v>0</v>
      </c>
      <c r="Q1459" s="3">
        <v>0</v>
      </c>
      <c r="R1459" s="3">
        <v>0</v>
      </c>
      <c r="S1459" s="3">
        <v>1</v>
      </c>
      <c r="T1459" s="3">
        <v>12</v>
      </c>
      <c r="U1459" s="3">
        <v>18</v>
      </c>
      <c r="V1459" s="3">
        <v>25</v>
      </c>
      <c r="W1459" s="3"/>
      <c r="X1459" s="3">
        <v>38</v>
      </c>
      <c r="Y1459" s="3">
        <v>19.99</v>
      </c>
      <c r="Z1459" s="3">
        <v>19.99</v>
      </c>
      <c r="AA1459" s="3">
        <v>0</v>
      </c>
      <c r="AB1459" s="3" t="s">
        <v>1713</v>
      </c>
      <c r="AC1459" s="3">
        <v>22</v>
      </c>
      <c r="AD1459" s="3">
        <v>19.99</v>
      </c>
      <c r="AE1459" s="3">
        <v>0</v>
      </c>
      <c r="AF1459" s="3">
        <v>0</v>
      </c>
      <c r="AG1459" s="3">
        <v>0</v>
      </c>
      <c r="AH1459" s="3">
        <v>2.5</v>
      </c>
      <c r="AI1459" s="3" t="s">
        <v>6113</v>
      </c>
      <c r="AJ1459" s="3" t="s">
        <v>1715</v>
      </c>
    </row>
    <row r="1460" spans="1:36">
      <c r="A1460" s="4">
        <v>43277</v>
      </c>
      <c r="B1460" s="3" t="s">
        <v>6114</v>
      </c>
      <c r="C1460" s="3" t="s">
        <v>6115</v>
      </c>
      <c r="D1460" s="3" t="s">
        <v>6116</v>
      </c>
      <c r="E1460" s="3" t="s">
        <v>6117</v>
      </c>
      <c r="F1460" s="3" t="s">
        <v>1710</v>
      </c>
      <c r="G1460" s="3">
        <v>3</v>
      </c>
      <c r="H1460" s="3">
        <v>0</v>
      </c>
      <c r="I1460" s="3">
        <v>2</v>
      </c>
      <c r="J1460" s="3">
        <v>1</v>
      </c>
      <c r="K1460" s="3">
        <v>0</v>
      </c>
      <c r="L1460" s="3">
        <v>0</v>
      </c>
      <c r="M1460" s="3">
        <v>0</v>
      </c>
      <c r="N1460" s="3" t="s">
        <v>1711</v>
      </c>
      <c r="O1460" s="3">
        <v>0</v>
      </c>
      <c r="P1460" s="3">
        <v>0</v>
      </c>
      <c r="Q1460" s="3">
        <v>0</v>
      </c>
      <c r="R1460" s="3">
        <v>0</v>
      </c>
      <c r="S1460" s="3">
        <v>0</v>
      </c>
      <c r="T1460" s="3">
        <v>2</v>
      </c>
      <c r="U1460" s="3">
        <v>2</v>
      </c>
      <c r="V1460" s="3">
        <v>2</v>
      </c>
      <c r="W1460" s="3"/>
      <c r="X1460" s="3">
        <v>15.99</v>
      </c>
      <c r="Y1460" s="3">
        <v>15.99</v>
      </c>
      <c r="Z1460" s="3">
        <v>15.55</v>
      </c>
      <c r="AA1460" s="3">
        <v>0</v>
      </c>
      <c r="AB1460" s="3" t="s">
        <v>1732</v>
      </c>
      <c r="AC1460" s="3">
        <v>0</v>
      </c>
      <c r="AD1460" s="3">
        <v>13.33</v>
      </c>
      <c r="AE1460" s="3">
        <v>364</v>
      </c>
      <c r="AF1460" s="3">
        <v>0</v>
      </c>
      <c r="AG1460" s="3">
        <v>35.706108</v>
      </c>
      <c r="AH1460" s="3">
        <v>0.571428571428571</v>
      </c>
      <c r="AI1460" s="3" t="s">
        <v>2036</v>
      </c>
      <c r="AJ1460" s="3" t="s">
        <v>1715</v>
      </c>
    </row>
    <row r="1461" spans="1:36">
      <c r="A1461" s="4">
        <v>43277</v>
      </c>
      <c r="B1461" s="3" t="s">
        <v>403</v>
      </c>
      <c r="C1461" s="3" t="s">
        <v>404</v>
      </c>
      <c r="D1461" s="3" t="s">
        <v>405</v>
      </c>
      <c r="E1461" s="3" t="s">
        <v>406</v>
      </c>
      <c r="F1461" s="3" t="s">
        <v>1710</v>
      </c>
      <c r="G1461" s="3">
        <v>65</v>
      </c>
      <c r="H1461" s="3">
        <v>0</v>
      </c>
      <c r="I1461" s="3">
        <v>65</v>
      </c>
      <c r="J1461" s="3">
        <v>0</v>
      </c>
      <c r="K1461" s="3">
        <v>0</v>
      </c>
      <c r="L1461" s="3">
        <v>0</v>
      </c>
      <c r="M1461" s="3">
        <v>0</v>
      </c>
      <c r="N1461" s="3" t="s">
        <v>1711</v>
      </c>
      <c r="O1461" s="3">
        <v>0</v>
      </c>
      <c r="P1461" s="3">
        <v>0</v>
      </c>
      <c r="Q1461" s="3">
        <v>0</v>
      </c>
      <c r="R1461" s="3">
        <v>0</v>
      </c>
      <c r="S1461" s="3">
        <v>5</v>
      </c>
      <c r="T1461" s="3">
        <v>30</v>
      </c>
      <c r="U1461" s="3">
        <v>62</v>
      </c>
      <c r="V1461" s="3">
        <v>75</v>
      </c>
      <c r="W1461" s="3"/>
      <c r="X1461" s="3">
        <v>32.99</v>
      </c>
      <c r="Y1461" s="3">
        <v>28.58</v>
      </c>
      <c r="Z1461" s="3">
        <v>28.58</v>
      </c>
      <c r="AA1461" s="3">
        <v>0</v>
      </c>
      <c r="AB1461" s="3" t="s">
        <v>1713</v>
      </c>
      <c r="AC1461" s="3">
        <v>37</v>
      </c>
      <c r="AD1461" s="3">
        <v>28.58</v>
      </c>
      <c r="AE1461" s="3">
        <v>0</v>
      </c>
      <c r="AF1461" s="3">
        <v>0</v>
      </c>
      <c r="AG1461" s="3">
        <v>0</v>
      </c>
      <c r="AH1461" s="3">
        <v>3.19148936170212</v>
      </c>
      <c r="AI1461" s="3" t="s">
        <v>1734</v>
      </c>
      <c r="AJ1461" s="3" t="s">
        <v>1715</v>
      </c>
    </row>
    <row r="1462" spans="1:36">
      <c r="A1462" s="4">
        <v>43277</v>
      </c>
      <c r="B1462" s="3" t="s">
        <v>1569</v>
      </c>
      <c r="C1462" s="3" t="s">
        <v>1570</v>
      </c>
      <c r="D1462" s="3" t="s">
        <v>1571</v>
      </c>
      <c r="E1462" s="3" t="s">
        <v>1572</v>
      </c>
      <c r="F1462" s="3" t="s">
        <v>1710</v>
      </c>
      <c r="G1462" s="3">
        <v>2</v>
      </c>
      <c r="H1462" s="3">
        <v>0</v>
      </c>
      <c r="I1462" s="3">
        <v>2</v>
      </c>
      <c r="J1462" s="3">
        <v>0</v>
      </c>
      <c r="K1462" s="3">
        <v>0</v>
      </c>
      <c r="L1462" s="3">
        <v>0</v>
      </c>
      <c r="M1462" s="3">
        <v>0</v>
      </c>
      <c r="N1462" s="3" t="s">
        <v>1711</v>
      </c>
      <c r="O1462" s="3">
        <v>0</v>
      </c>
      <c r="P1462" s="3">
        <v>0</v>
      </c>
      <c r="Q1462" s="3">
        <v>0</v>
      </c>
      <c r="R1462" s="3">
        <v>0</v>
      </c>
      <c r="S1462" s="3">
        <v>5</v>
      </c>
      <c r="T1462" s="3">
        <v>39</v>
      </c>
      <c r="U1462" s="3">
        <v>98</v>
      </c>
      <c r="V1462" s="3">
        <v>114</v>
      </c>
      <c r="W1462" s="3"/>
      <c r="X1462" s="3"/>
      <c r="Y1462" s="3"/>
      <c r="Z1462" s="3">
        <v>-1</v>
      </c>
      <c r="AA1462" s="3">
        <v>-1</v>
      </c>
      <c r="AB1462" s="3" t="s">
        <v>1776</v>
      </c>
      <c r="AC1462" s="3">
        <v>0</v>
      </c>
      <c r="AD1462" s="3">
        <v>0</v>
      </c>
      <c r="AE1462" s="3">
        <v>0</v>
      </c>
      <c r="AF1462" s="3">
        <v>0</v>
      </c>
      <c r="AG1462" s="3">
        <v>0</v>
      </c>
      <c r="AH1462" s="3">
        <v>22.8</v>
      </c>
      <c r="AI1462" s="3" t="s">
        <v>6118</v>
      </c>
      <c r="AJ1462" s="3" t="s">
        <v>2616</v>
      </c>
    </row>
    <row r="1463" spans="1:36">
      <c r="A1463" s="4">
        <v>43277</v>
      </c>
      <c r="B1463" s="3" t="s">
        <v>643</v>
      </c>
      <c r="C1463" s="3" t="s">
        <v>644</v>
      </c>
      <c r="D1463" s="3" t="s">
        <v>645</v>
      </c>
      <c r="E1463" s="3" t="s">
        <v>6119</v>
      </c>
      <c r="F1463" s="3" t="s">
        <v>1710</v>
      </c>
      <c r="G1463" s="3">
        <v>27</v>
      </c>
      <c r="H1463" s="3">
        <v>0</v>
      </c>
      <c r="I1463" s="3">
        <v>27</v>
      </c>
      <c r="J1463" s="3">
        <v>0</v>
      </c>
      <c r="K1463" s="3">
        <v>0</v>
      </c>
      <c r="L1463" s="3">
        <v>0</v>
      </c>
      <c r="M1463" s="3">
        <v>0</v>
      </c>
      <c r="N1463" s="3" t="s">
        <v>1711</v>
      </c>
      <c r="O1463" s="3">
        <v>0</v>
      </c>
      <c r="P1463" s="3">
        <v>0</v>
      </c>
      <c r="Q1463" s="3">
        <v>0</v>
      </c>
      <c r="R1463" s="3">
        <v>0</v>
      </c>
      <c r="S1463" s="3">
        <v>5</v>
      </c>
      <c r="T1463" s="3">
        <v>14</v>
      </c>
      <c r="U1463" s="3">
        <v>29</v>
      </c>
      <c r="V1463" s="3">
        <v>40</v>
      </c>
      <c r="W1463" s="3"/>
      <c r="X1463" s="3">
        <v>38</v>
      </c>
      <c r="Y1463" s="3">
        <v>28.58</v>
      </c>
      <c r="Z1463" s="3">
        <v>28.58</v>
      </c>
      <c r="AA1463" s="3">
        <v>0</v>
      </c>
      <c r="AB1463" s="3" t="s">
        <v>1713</v>
      </c>
      <c r="AC1463" s="3">
        <v>29</v>
      </c>
      <c r="AD1463" s="3">
        <v>28.58</v>
      </c>
      <c r="AE1463" s="3">
        <v>0</v>
      </c>
      <c r="AF1463" s="3">
        <v>0</v>
      </c>
      <c r="AG1463" s="3">
        <v>0</v>
      </c>
      <c r="AH1463" s="3">
        <v>2.9090909090909</v>
      </c>
      <c r="AI1463" s="3" t="s">
        <v>2128</v>
      </c>
      <c r="AJ1463" s="3" t="s">
        <v>1715</v>
      </c>
    </row>
    <row r="1464" spans="1:36">
      <c r="A1464" s="4">
        <v>43277</v>
      </c>
      <c r="B1464" s="3" t="s">
        <v>1369</v>
      </c>
      <c r="C1464" s="3" t="s">
        <v>1370</v>
      </c>
      <c r="D1464" s="3" t="s">
        <v>1371</v>
      </c>
      <c r="E1464" s="3" t="s">
        <v>1372</v>
      </c>
      <c r="F1464" s="3" t="s">
        <v>1710</v>
      </c>
      <c r="G1464" s="3">
        <v>44</v>
      </c>
      <c r="H1464" s="3">
        <v>0</v>
      </c>
      <c r="I1464" s="3">
        <v>44</v>
      </c>
      <c r="J1464" s="3">
        <v>0</v>
      </c>
      <c r="K1464" s="3">
        <v>0</v>
      </c>
      <c r="L1464" s="3">
        <v>0</v>
      </c>
      <c r="M1464" s="3">
        <v>0</v>
      </c>
      <c r="N1464" s="3" t="s">
        <v>1711</v>
      </c>
      <c r="O1464" s="3">
        <v>0</v>
      </c>
      <c r="P1464" s="3">
        <v>0</v>
      </c>
      <c r="Q1464" s="3">
        <v>0</v>
      </c>
      <c r="R1464" s="3">
        <v>0</v>
      </c>
      <c r="S1464" s="3">
        <v>0</v>
      </c>
      <c r="T1464" s="3">
        <v>0</v>
      </c>
      <c r="U1464" s="3">
        <v>0</v>
      </c>
      <c r="V1464" s="3">
        <v>0</v>
      </c>
      <c r="W1464" s="3" t="s">
        <v>1712</v>
      </c>
      <c r="X1464" s="3">
        <v>20.99</v>
      </c>
      <c r="Y1464" s="3">
        <v>20.99</v>
      </c>
      <c r="Z1464" s="3">
        <v>20.99</v>
      </c>
      <c r="AA1464" s="3">
        <v>0</v>
      </c>
      <c r="AB1464" s="3" t="s">
        <v>1713</v>
      </c>
      <c r="AC1464" s="3">
        <v>0</v>
      </c>
      <c r="AD1464" s="3">
        <v>0</v>
      </c>
      <c r="AE1464" s="3">
        <v>0</v>
      </c>
      <c r="AF1464" s="3">
        <v>0</v>
      </c>
      <c r="AG1464" s="3">
        <v>0</v>
      </c>
      <c r="AH1464" s="3">
        <v>0</v>
      </c>
      <c r="AI1464" s="3" t="s">
        <v>2204</v>
      </c>
      <c r="AJ1464" s="3" t="s">
        <v>1715</v>
      </c>
    </row>
    <row r="1465" spans="1:36">
      <c r="A1465" s="4">
        <v>43277</v>
      </c>
      <c r="B1465" s="3" t="s">
        <v>1545</v>
      </c>
      <c r="C1465" s="3" t="s">
        <v>1546</v>
      </c>
      <c r="D1465" s="3" t="s">
        <v>1547</v>
      </c>
      <c r="E1465" s="3" t="s">
        <v>1548</v>
      </c>
      <c r="F1465" s="3" t="s">
        <v>1710</v>
      </c>
      <c r="G1465" s="3">
        <v>27</v>
      </c>
      <c r="H1465" s="3">
        <v>0</v>
      </c>
      <c r="I1465" s="3">
        <v>27</v>
      </c>
      <c r="J1465" s="3">
        <v>0</v>
      </c>
      <c r="K1465" s="3">
        <v>0</v>
      </c>
      <c r="L1465" s="3">
        <v>0</v>
      </c>
      <c r="M1465" s="3">
        <v>0</v>
      </c>
      <c r="N1465" s="3" t="s">
        <v>1711</v>
      </c>
      <c r="O1465" s="3">
        <v>0</v>
      </c>
      <c r="P1465" s="3">
        <v>0</v>
      </c>
      <c r="Q1465" s="3">
        <v>0</v>
      </c>
      <c r="R1465" s="3">
        <v>0</v>
      </c>
      <c r="S1465" s="3">
        <v>5</v>
      </c>
      <c r="T1465" s="3">
        <v>22</v>
      </c>
      <c r="U1465" s="3">
        <v>50</v>
      </c>
      <c r="V1465" s="3">
        <v>65</v>
      </c>
      <c r="W1465" s="3"/>
      <c r="X1465" s="3">
        <v>29.99</v>
      </c>
      <c r="Y1465" s="3">
        <v>29.99</v>
      </c>
      <c r="Z1465" s="3">
        <v>28</v>
      </c>
      <c r="AA1465" s="3">
        <v>0</v>
      </c>
      <c r="AB1465" s="3" t="s">
        <v>1713</v>
      </c>
      <c r="AC1465" s="3">
        <v>30</v>
      </c>
      <c r="AD1465" s="3">
        <v>29.99</v>
      </c>
      <c r="AE1465" s="3">
        <v>0</v>
      </c>
      <c r="AF1465" s="3">
        <v>0</v>
      </c>
      <c r="AG1465" s="3">
        <v>0</v>
      </c>
      <c r="AH1465" s="3">
        <v>4.0625</v>
      </c>
      <c r="AI1465" s="3" t="s">
        <v>4139</v>
      </c>
      <c r="AJ1465" s="3" t="s">
        <v>1715</v>
      </c>
    </row>
    <row r="1466" spans="1:36">
      <c r="A1466" s="4">
        <v>43277</v>
      </c>
      <c r="B1466" s="3" t="s">
        <v>6120</v>
      </c>
      <c r="C1466" s="3" t="s">
        <v>6121</v>
      </c>
      <c r="D1466" s="3" t="s">
        <v>6122</v>
      </c>
      <c r="E1466" s="3" t="s">
        <v>6123</v>
      </c>
      <c r="F1466" s="3" t="s">
        <v>1710</v>
      </c>
      <c r="G1466" s="3">
        <v>2</v>
      </c>
      <c r="H1466" s="3">
        <v>0</v>
      </c>
      <c r="I1466" s="3">
        <v>2</v>
      </c>
      <c r="J1466" s="3">
        <v>0</v>
      </c>
      <c r="K1466" s="3">
        <v>0</v>
      </c>
      <c r="L1466" s="3">
        <v>0</v>
      </c>
      <c r="M1466" s="3">
        <v>0</v>
      </c>
      <c r="N1466" s="3" t="s">
        <v>1711</v>
      </c>
      <c r="O1466" s="3">
        <v>0</v>
      </c>
      <c r="P1466" s="3">
        <v>0</v>
      </c>
      <c r="Q1466" s="3">
        <v>0</v>
      </c>
      <c r="R1466" s="3">
        <v>0</v>
      </c>
      <c r="S1466" s="3">
        <v>0</v>
      </c>
      <c r="T1466" s="3">
        <v>1</v>
      </c>
      <c r="U1466" s="3">
        <v>3</v>
      </c>
      <c r="V1466" s="3">
        <v>3</v>
      </c>
      <c r="W1466" s="3"/>
      <c r="X1466" s="3">
        <v>13.99</v>
      </c>
      <c r="Y1466" s="3">
        <v>13.99</v>
      </c>
      <c r="Z1466" s="3">
        <v>13.99</v>
      </c>
      <c r="AA1466" s="3">
        <v>0</v>
      </c>
      <c r="AB1466" s="3" t="s">
        <v>1713</v>
      </c>
      <c r="AC1466" s="3">
        <v>2</v>
      </c>
      <c r="AD1466" s="3">
        <v>13.99</v>
      </c>
      <c r="AE1466" s="3">
        <v>0</v>
      </c>
      <c r="AF1466" s="3">
        <v>0</v>
      </c>
      <c r="AG1466" s="3">
        <v>0</v>
      </c>
      <c r="AH1466" s="3">
        <v>1.2</v>
      </c>
      <c r="AI1466" s="3" t="s">
        <v>1905</v>
      </c>
      <c r="AJ1466" s="3" t="s">
        <v>1715</v>
      </c>
    </row>
    <row r="1467" spans="1:36">
      <c r="A1467" s="4">
        <v>43277</v>
      </c>
      <c r="B1467" s="3" t="s">
        <v>6124</v>
      </c>
      <c r="C1467" s="3" t="s">
        <v>6125</v>
      </c>
      <c r="D1467" s="3" t="s">
        <v>6126</v>
      </c>
      <c r="E1467" s="3" t="s">
        <v>6127</v>
      </c>
      <c r="F1467" s="3" t="s">
        <v>1710</v>
      </c>
      <c r="G1467" s="3">
        <v>1</v>
      </c>
      <c r="H1467" s="3">
        <v>0</v>
      </c>
      <c r="I1467" s="3">
        <v>0</v>
      </c>
      <c r="J1467" s="3">
        <v>0</v>
      </c>
      <c r="K1467" s="3">
        <v>1</v>
      </c>
      <c r="L1467" s="3">
        <v>0</v>
      </c>
      <c r="M1467" s="3">
        <v>0</v>
      </c>
      <c r="N1467" s="3" t="s">
        <v>1711</v>
      </c>
      <c r="O1467" s="3">
        <v>1</v>
      </c>
      <c r="P1467" s="3">
        <v>0.01</v>
      </c>
      <c r="Q1467" s="3">
        <v>0</v>
      </c>
      <c r="R1467" s="3">
        <v>0</v>
      </c>
      <c r="S1467" s="3">
        <v>0</v>
      </c>
      <c r="T1467" s="3">
        <v>0</v>
      </c>
      <c r="U1467" s="3">
        <v>0</v>
      </c>
      <c r="V1467" s="3">
        <v>1</v>
      </c>
      <c r="W1467" s="3" t="s">
        <v>1720</v>
      </c>
      <c r="X1467" s="3">
        <v>19.99</v>
      </c>
      <c r="Y1467" s="3">
        <v>19.99</v>
      </c>
      <c r="Z1467" s="3">
        <v>19.99</v>
      </c>
      <c r="AA1467" s="3">
        <v>0</v>
      </c>
      <c r="AB1467" s="3" t="s">
        <v>1721</v>
      </c>
      <c r="AC1467" s="3">
        <v>1</v>
      </c>
      <c r="AD1467" s="3">
        <v>19.99</v>
      </c>
      <c r="AE1467" s="3">
        <v>0</v>
      </c>
      <c r="AF1467" s="3">
        <v>0</v>
      </c>
      <c r="AG1467" s="3">
        <v>0</v>
      </c>
      <c r="AH1467" s="3">
        <v>0.8</v>
      </c>
      <c r="AI1467" s="3" t="s">
        <v>1782</v>
      </c>
      <c r="AJ1467" s="3" t="s">
        <v>1783</v>
      </c>
    </row>
    <row r="1468" spans="1:36">
      <c r="A1468" s="4">
        <v>43277</v>
      </c>
      <c r="B1468" s="3" t="s">
        <v>6128</v>
      </c>
      <c r="C1468" s="3" t="s">
        <v>6129</v>
      </c>
      <c r="D1468" s="3" t="s">
        <v>6130</v>
      </c>
      <c r="E1468" s="3" t="s">
        <v>6131</v>
      </c>
      <c r="F1468" s="3" t="s">
        <v>1710</v>
      </c>
      <c r="G1468" s="3">
        <v>21</v>
      </c>
      <c r="H1468" s="3">
        <v>0</v>
      </c>
      <c r="I1468" s="3">
        <v>10</v>
      </c>
      <c r="J1468" s="3">
        <v>6</v>
      </c>
      <c r="K1468" s="3">
        <v>0</v>
      </c>
      <c r="L1468" s="3">
        <v>0</v>
      </c>
      <c r="M1468" s="3">
        <v>5</v>
      </c>
      <c r="N1468" s="3" t="s">
        <v>1711</v>
      </c>
      <c r="O1468" s="3">
        <v>0</v>
      </c>
      <c r="P1468" s="3">
        <v>0</v>
      </c>
      <c r="Q1468" s="3">
        <v>5</v>
      </c>
      <c r="R1468" s="3">
        <v>12.16</v>
      </c>
      <c r="S1468" s="3">
        <v>0</v>
      </c>
      <c r="T1468" s="3">
        <v>0</v>
      </c>
      <c r="U1468" s="3">
        <v>0</v>
      </c>
      <c r="V1468" s="3">
        <v>1</v>
      </c>
      <c r="W1468" s="3" t="s">
        <v>1712</v>
      </c>
      <c r="X1468" s="3">
        <v>28.58</v>
      </c>
      <c r="Y1468" s="3">
        <v>28.58</v>
      </c>
      <c r="Z1468" s="3">
        <v>28.58</v>
      </c>
      <c r="AA1468" s="3">
        <v>0</v>
      </c>
      <c r="AB1468" s="3" t="s">
        <v>1732</v>
      </c>
      <c r="AC1468" s="3">
        <v>0</v>
      </c>
      <c r="AD1468" s="3">
        <v>21.28</v>
      </c>
      <c r="AE1468" s="3">
        <v>364</v>
      </c>
      <c r="AF1468" s="3">
        <v>0</v>
      </c>
      <c r="AG1468" s="3">
        <v>348.894494</v>
      </c>
      <c r="AH1468" s="3">
        <v>0.0816326530612244</v>
      </c>
      <c r="AI1468" s="3" t="s">
        <v>1761</v>
      </c>
      <c r="AJ1468" s="3" t="s">
        <v>1715</v>
      </c>
    </row>
    <row r="1469" spans="1:36">
      <c r="A1469" s="4">
        <v>43277</v>
      </c>
      <c r="B1469" s="3" t="s">
        <v>6132</v>
      </c>
      <c r="C1469" s="3" t="s">
        <v>6133</v>
      </c>
      <c r="D1469" s="3" t="s">
        <v>6134</v>
      </c>
      <c r="E1469" s="3" t="s">
        <v>2030</v>
      </c>
      <c r="F1469" s="3" t="s">
        <v>1710</v>
      </c>
      <c r="G1469" s="3">
        <v>2</v>
      </c>
      <c r="H1469" s="3">
        <v>0</v>
      </c>
      <c r="I1469" s="3">
        <v>0</v>
      </c>
      <c r="J1469" s="3">
        <v>0</v>
      </c>
      <c r="K1469" s="3">
        <v>2</v>
      </c>
      <c r="L1469" s="3">
        <v>0</v>
      </c>
      <c r="M1469" s="3">
        <v>0</v>
      </c>
      <c r="N1469" s="3" t="s">
        <v>1711</v>
      </c>
      <c r="O1469" s="3">
        <v>2</v>
      </c>
      <c r="P1469" s="3">
        <v>0.46</v>
      </c>
      <c r="Q1469" s="3">
        <v>0</v>
      </c>
      <c r="R1469" s="3">
        <v>0</v>
      </c>
      <c r="S1469" s="3">
        <v>0</v>
      </c>
      <c r="T1469" s="3">
        <v>0</v>
      </c>
      <c r="U1469" s="3">
        <v>0</v>
      </c>
      <c r="V1469" s="3">
        <v>0</v>
      </c>
      <c r="W1469" s="3" t="s">
        <v>1720</v>
      </c>
      <c r="X1469" s="3">
        <v>15.99</v>
      </c>
      <c r="Y1469" s="3">
        <v>15.99</v>
      </c>
      <c r="Z1469" s="3">
        <v>15.99</v>
      </c>
      <c r="AA1469" s="3">
        <v>0</v>
      </c>
      <c r="AB1469" s="3" t="s">
        <v>1732</v>
      </c>
      <c r="AC1469" s="3">
        <v>0</v>
      </c>
      <c r="AD1469" s="3">
        <v>12.79</v>
      </c>
      <c r="AE1469" s="3">
        <v>63</v>
      </c>
      <c r="AF1469" s="3">
        <v>0</v>
      </c>
      <c r="AG1469" s="3">
        <v>6.111187</v>
      </c>
      <c r="AH1469" s="3">
        <v>0</v>
      </c>
      <c r="AI1469" s="3" t="s">
        <v>2031</v>
      </c>
      <c r="AJ1469" s="3" t="s">
        <v>1715</v>
      </c>
    </row>
    <row r="1470" spans="1:36">
      <c r="A1470" s="4">
        <v>43277</v>
      </c>
      <c r="B1470" s="3" t="s">
        <v>6135</v>
      </c>
      <c r="C1470" s="3" t="s">
        <v>6136</v>
      </c>
      <c r="D1470" s="3" t="s">
        <v>6137</v>
      </c>
      <c r="E1470" s="3" t="s">
        <v>6138</v>
      </c>
      <c r="F1470" s="3" t="s">
        <v>1710</v>
      </c>
      <c r="G1470" s="3">
        <v>13</v>
      </c>
      <c r="H1470" s="3">
        <v>0</v>
      </c>
      <c r="I1470" s="3">
        <v>13</v>
      </c>
      <c r="J1470" s="3">
        <v>0</v>
      </c>
      <c r="K1470" s="3">
        <v>0</v>
      </c>
      <c r="L1470" s="3">
        <v>0</v>
      </c>
      <c r="M1470" s="3">
        <v>0</v>
      </c>
      <c r="N1470" s="3" t="s">
        <v>1711</v>
      </c>
      <c r="O1470" s="3">
        <v>0</v>
      </c>
      <c r="P1470" s="3">
        <v>0</v>
      </c>
      <c r="Q1470" s="3">
        <v>0</v>
      </c>
      <c r="R1470" s="3">
        <v>0</v>
      </c>
      <c r="S1470" s="3">
        <v>0</v>
      </c>
      <c r="T1470" s="3">
        <v>2</v>
      </c>
      <c r="U1470" s="3">
        <v>2</v>
      </c>
      <c r="V1470" s="3">
        <v>2</v>
      </c>
      <c r="W1470" s="3"/>
      <c r="X1470" s="3">
        <v>28.99</v>
      </c>
      <c r="Y1470" s="3">
        <v>28.99</v>
      </c>
      <c r="Z1470" s="3">
        <v>28.99</v>
      </c>
      <c r="AA1470" s="3">
        <v>0</v>
      </c>
      <c r="AB1470" s="3" t="s">
        <v>1713</v>
      </c>
      <c r="AC1470" s="3">
        <v>13</v>
      </c>
      <c r="AD1470" s="3">
        <v>28.99</v>
      </c>
      <c r="AE1470" s="3">
        <v>0</v>
      </c>
      <c r="AF1470" s="3">
        <v>0</v>
      </c>
      <c r="AG1470" s="3">
        <v>0</v>
      </c>
      <c r="AH1470" s="3">
        <v>0.153846153846153</v>
      </c>
      <c r="AI1470" s="3" t="s">
        <v>2065</v>
      </c>
      <c r="AJ1470" s="3" t="s">
        <v>1715</v>
      </c>
    </row>
    <row r="1471" spans="1:36">
      <c r="A1471" s="4">
        <v>43277</v>
      </c>
      <c r="B1471" s="3" t="s">
        <v>6139</v>
      </c>
      <c r="C1471" s="3" t="s">
        <v>6140</v>
      </c>
      <c r="D1471" s="3" t="s">
        <v>6141</v>
      </c>
      <c r="E1471" s="3" t="s">
        <v>6142</v>
      </c>
      <c r="F1471" s="3" t="s">
        <v>1710</v>
      </c>
      <c r="G1471" s="3">
        <v>1</v>
      </c>
      <c r="H1471" s="3">
        <v>0</v>
      </c>
      <c r="I1471" s="3">
        <v>0</v>
      </c>
      <c r="J1471" s="3">
        <v>0</v>
      </c>
      <c r="K1471" s="3">
        <v>0</v>
      </c>
      <c r="L1471" s="3">
        <v>1</v>
      </c>
      <c r="M1471" s="3">
        <v>0</v>
      </c>
      <c r="N1471" s="3" t="s">
        <v>1711</v>
      </c>
      <c r="O1471" s="3">
        <v>0</v>
      </c>
      <c r="P1471" s="3">
        <v>0</v>
      </c>
      <c r="Q1471" s="3">
        <v>1</v>
      </c>
      <c r="R1471" s="3">
        <v>1.41</v>
      </c>
      <c r="S1471" s="3">
        <v>0</v>
      </c>
      <c r="T1471" s="3">
        <v>1</v>
      </c>
      <c r="U1471" s="3">
        <v>2</v>
      </c>
      <c r="V1471" s="3">
        <v>2</v>
      </c>
      <c r="W1471" s="3"/>
      <c r="X1471" s="3">
        <v>15.99</v>
      </c>
      <c r="Y1471" s="3">
        <v>15.99</v>
      </c>
      <c r="Z1471" s="3">
        <v>15.55</v>
      </c>
      <c r="AA1471" s="3">
        <v>0</v>
      </c>
      <c r="AB1471" s="3" t="s">
        <v>1732</v>
      </c>
      <c r="AC1471" s="3">
        <v>0</v>
      </c>
      <c r="AD1471" s="3">
        <v>14.42</v>
      </c>
      <c r="AE1471" s="3">
        <v>224</v>
      </c>
      <c r="AF1471" s="3">
        <v>0</v>
      </c>
      <c r="AG1471" s="3">
        <v>13.809183</v>
      </c>
      <c r="AH1471" s="3">
        <v>0.888888888888888</v>
      </c>
      <c r="AI1471" s="3" t="s">
        <v>2036</v>
      </c>
      <c r="AJ1471" s="3" t="s">
        <v>1715</v>
      </c>
    </row>
    <row r="1472" spans="1:36">
      <c r="A1472" s="4">
        <v>43277</v>
      </c>
      <c r="B1472" s="3" t="s">
        <v>6143</v>
      </c>
      <c r="C1472" s="3" t="s">
        <v>6144</v>
      </c>
      <c r="D1472" s="3" t="s">
        <v>6145</v>
      </c>
      <c r="E1472" s="3" t="s">
        <v>6146</v>
      </c>
      <c r="F1472" s="3" t="s">
        <v>1710</v>
      </c>
      <c r="G1472" s="3">
        <v>4</v>
      </c>
      <c r="H1472" s="3">
        <v>0</v>
      </c>
      <c r="I1472" s="3">
        <v>0</v>
      </c>
      <c r="J1472" s="3">
        <v>0</v>
      </c>
      <c r="K1472" s="3">
        <v>4</v>
      </c>
      <c r="L1472" s="3">
        <v>0</v>
      </c>
      <c r="M1472" s="3">
        <v>0</v>
      </c>
      <c r="N1472" s="3" t="s">
        <v>1711</v>
      </c>
      <c r="O1472" s="3">
        <v>4</v>
      </c>
      <c r="P1472" s="3">
        <v>0.03</v>
      </c>
      <c r="Q1472" s="3">
        <v>0</v>
      </c>
      <c r="R1472" s="3">
        <v>0</v>
      </c>
      <c r="S1472" s="3">
        <v>0</v>
      </c>
      <c r="T1472" s="3">
        <v>0</v>
      </c>
      <c r="U1472" s="3">
        <v>0</v>
      </c>
      <c r="V1472" s="3">
        <v>0</v>
      </c>
      <c r="W1472" s="3" t="s">
        <v>1720</v>
      </c>
      <c r="X1472" s="3">
        <v>14.19</v>
      </c>
      <c r="Y1472" s="3">
        <v>14.19</v>
      </c>
      <c r="Z1472" s="3">
        <v>14.19</v>
      </c>
      <c r="AA1472" s="3">
        <v>0</v>
      </c>
      <c r="AB1472" s="3" t="s">
        <v>1732</v>
      </c>
      <c r="AC1472" s="3">
        <v>0</v>
      </c>
      <c r="AD1472" s="3">
        <v>11.87</v>
      </c>
      <c r="AE1472" s="3">
        <v>364</v>
      </c>
      <c r="AF1472" s="3">
        <v>0</v>
      </c>
      <c r="AG1472" s="3">
        <v>22.563624</v>
      </c>
      <c r="AH1472" s="3">
        <v>0</v>
      </c>
      <c r="AI1472" s="3" t="s">
        <v>1782</v>
      </c>
      <c r="AJ1472" s="3" t="s">
        <v>1783</v>
      </c>
    </row>
    <row r="1473" spans="1:36">
      <c r="A1473" s="4">
        <v>43277</v>
      </c>
      <c r="B1473" s="3" t="s">
        <v>6147</v>
      </c>
      <c r="C1473" s="3" t="s">
        <v>6148</v>
      </c>
      <c r="D1473" s="3" t="s">
        <v>6149</v>
      </c>
      <c r="E1473" s="3" t="s">
        <v>2495</v>
      </c>
      <c r="F1473" s="3" t="s">
        <v>1710</v>
      </c>
      <c r="G1473" s="3">
        <v>15</v>
      </c>
      <c r="H1473" s="3">
        <v>0</v>
      </c>
      <c r="I1473" s="3">
        <v>15</v>
      </c>
      <c r="J1473" s="3">
        <v>0</v>
      </c>
      <c r="K1473" s="3">
        <v>0</v>
      </c>
      <c r="L1473" s="3">
        <v>0</v>
      </c>
      <c r="M1473" s="3">
        <v>0</v>
      </c>
      <c r="N1473" s="3" t="s">
        <v>1711</v>
      </c>
      <c r="O1473" s="3">
        <v>0</v>
      </c>
      <c r="P1473" s="3">
        <v>0</v>
      </c>
      <c r="Q1473" s="3">
        <v>0</v>
      </c>
      <c r="R1473" s="3">
        <v>0</v>
      </c>
      <c r="S1473" s="3">
        <v>0</v>
      </c>
      <c r="T1473" s="3">
        <v>0</v>
      </c>
      <c r="U1473" s="3">
        <v>0</v>
      </c>
      <c r="V1473" s="3">
        <v>0</v>
      </c>
      <c r="W1473" s="3" t="s">
        <v>1720</v>
      </c>
      <c r="X1473" s="3">
        <v>15.99</v>
      </c>
      <c r="Y1473" s="3">
        <v>15.99</v>
      </c>
      <c r="Z1473" s="3">
        <v>15.99</v>
      </c>
      <c r="AA1473" s="3">
        <v>0</v>
      </c>
      <c r="AB1473" s="3" t="s">
        <v>1721</v>
      </c>
      <c r="AC1473" s="3">
        <v>0</v>
      </c>
      <c r="AD1473" s="3">
        <v>12.79</v>
      </c>
      <c r="AE1473" s="3">
        <v>63</v>
      </c>
      <c r="AF1473" s="3">
        <v>0</v>
      </c>
      <c r="AG1473" s="3">
        <v>160.761652</v>
      </c>
      <c r="AH1473" s="3">
        <v>0</v>
      </c>
      <c r="AI1473" s="3" t="s">
        <v>2758</v>
      </c>
      <c r="AJ1473" s="3" t="s">
        <v>1715</v>
      </c>
    </row>
    <row r="1474" spans="1:36">
      <c r="A1474" s="4">
        <v>43277</v>
      </c>
      <c r="B1474" s="3" t="s">
        <v>6150</v>
      </c>
      <c r="C1474" s="3" t="s">
        <v>6151</v>
      </c>
      <c r="D1474" s="3" t="s">
        <v>6152</v>
      </c>
      <c r="E1474" s="3" t="s">
        <v>6153</v>
      </c>
      <c r="F1474" s="3" t="s">
        <v>1710</v>
      </c>
      <c r="G1474" s="3">
        <v>28</v>
      </c>
      <c r="H1474" s="3">
        <v>0</v>
      </c>
      <c r="I1474" s="3">
        <v>28</v>
      </c>
      <c r="J1474" s="3">
        <v>0</v>
      </c>
      <c r="K1474" s="3">
        <v>0</v>
      </c>
      <c r="L1474" s="3">
        <v>0</v>
      </c>
      <c r="M1474" s="3">
        <v>0</v>
      </c>
      <c r="N1474" s="3" t="s">
        <v>1711</v>
      </c>
      <c r="O1474" s="3">
        <v>0</v>
      </c>
      <c r="P1474" s="3">
        <v>0</v>
      </c>
      <c r="Q1474" s="3">
        <v>0</v>
      </c>
      <c r="R1474" s="3">
        <v>0</v>
      </c>
      <c r="S1474" s="3">
        <v>1</v>
      </c>
      <c r="T1474" s="3">
        <v>6</v>
      </c>
      <c r="U1474" s="3">
        <v>8</v>
      </c>
      <c r="V1474" s="3">
        <v>8</v>
      </c>
      <c r="W1474" s="3"/>
      <c r="X1474" s="3">
        <v>29.99</v>
      </c>
      <c r="Y1474" s="3">
        <v>29.99</v>
      </c>
      <c r="Z1474" s="3">
        <v>29.99</v>
      </c>
      <c r="AA1474" s="3">
        <v>0</v>
      </c>
      <c r="AB1474" s="3" t="s">
        <v>1713</v>
      </c>
      <c r="AC1474" s="3">
        <v>9</v>
      </c>
      <c r="AD1474" s="3">
        <v>29.99</v>
      </c>
      <c r="AE1474" s="3">
        <v>0</v>
      </c>
      <c r="AF1474" s="3">
        <v>0</v>
      </c>
      <c r="AG1474" s="3">
        <v>0</v>
      </c>
      <c r="AH1474" s="3">
        <v>0.38095238095238</v>
      </c>
      <c r="AI1474" s="3" t="s">
        <v>2016</v>
      </c>
      <c r="AJ1474" s="3" t="s">
        <v>1715</v>
      </c>
    </row>
    <row r="1475" spans="1:36">
      <c r="A1475" s="4">
        <v>43277</v>
      </c>
      <c r="B1475" s="3" t="s">
        <v>6154</v>
      </c>
      <c r="C1475" s="3" t="s">
        <v>6155</v>
      </c>
      <c r="D1475" s="3" t="s">
        <v>6156</v>
      </c>
      <c r="E1475" s="3" t="s">
        <v>6157</v>
      </c>
      <c r="F1475" s="3" t="s">
        <v>1710</v>
      </c>
      <c r="G1475" s="3">
        <v>10</v>
      </c>
      <c r="H1475" s="3">
        <v>0</v>
      </c>
      <c r="I1475" s="3">
        <v>0</v>
      </c>
      <c r="J1475" s="3">
        <v>0</v>
      </c>
      <c r="K1475" s="3">
        <v>10</v>
      </c>
      <c r="L1475" s="3">
        <v>0</v>
      </c>
      <c r="M1475" s="3">
        <v>0</v>
      </c>
      <c r="N1475" s="3" t="s">
        <v>1711</v>
      </c>
      <c r="O1475" s="3">
        <v>10</v>
      </c>
      <c r="P1475" s="3">
        <v>12.12</v>
      </c>
      <c r="Q1475" s="3">
        <v>0</v>
      </c>
      <c r="R1475" s="3">
        <v>0</v>
      </c>
      <c r="S1475" s="3">
        <v>0</v>
      </c>
      <c r="T1475" s="3">
        <v>0</v>
      </c>
      <c r="U1475" s="3">
        <v>0</v>
      </c>
      <c r="V1475" s="3">
        <v>0</v>
      </c>
      <c r="W1475" s="3" t="s">
        <v>1720</v>
      </c>
      <c r="X1475" s="3">
        <v>17.99</v>
      </c>
      <c r="Y1475" s="3">
        <v>17.99</v>
      </c>
      <c r="Z1475" s="3">
        <v>17.99</v>
      </c>
      <c r="AA1475" s="3">
        <v>0</v>
      </c>
      <c r="AB1475" s="3" t="s">
        <v>1732</v>
      </c>
      <c r="AC1475" s="3">
        <v>0</v>
      </c>
      <c r="AD1475" s="3">
        <v>14.39</v>
      </c>
      <c r="AE1475" s="3">
        <v>63</v>
      </c>
      <c r="AF1475" s="3">
        <v>0</v>
      </c>
      <c r="AG1475" s="3">
        <v>144.192572</v>
      </c>
      <c r="AH1475" s="3">
        <v>0</v>
      </c>
      <c r="AI1475" s="3" t="s">
        <v>1996</v>
      </c>
      <c r="AJ1475" s="3" t="s">
        <v>1715</v>
      </c>
    </row>
    <row r="1476" spans="1:36">
      <c r="A1476" s="4">
        <v>43277</v>
      </c>
      <c r="B1476" s="3" t="s">
        <v>6158</v>
      </c>
      <c r="C1476" s="3" t="s">
        <v>6159</v>
      </c>
      <c r="D1476" s="3" t="s">
        <v>6160</v>
      </c>
      <c r="E1476" s="3" t="s">
        <v>1755</v>
      </c>
      <c r="F1476" s="3" t="s">
        <v>1710</v>
      </c>
      <c r="G1476" s="3">
        <v>10</v>
      </c>
      <c r="H1476" s="3">
        <v>0</v>
      </c>
      <c r="I1476" s="3">
        <v>10</v>
      </c>
      <c r="J1476" s="3">
        <v>0</v>
      </c>
      <c r="K1476" s="3">
        <v>0</v>
      </c>
      <c r="L1476" s="3">
        <v>0</v>
      </c>
      <c r="M1476" s="3">
        <v>0</v>
      </c>
      <c r="N1476" s="3" t="s">
        <v>1711</v>
      </c>
      <c r="O1476" s="3">
        <v>0</v>
      </c>
      <c r="P1476" s="3">
        <v>0</v>
      </c>
      <c r="Q1476" s="3">
        <v>0</v>
      </c>
      <c r="R1476" s="3">
        <v>0</v>
      </c>
      <c r="S1476" s="3">
        <v>0</v>
      </c>
      <c r="T1476" s="3">
        <v>0</v>
      </c>
      <c r="U1476" s="3">
        <v>0</v>
      </c>
      <c r="V1476" s="3">
        <v>0</v>
      </c>
      <c r="W1476" s="3" t="s">
        <v>1720</v>
      </c>
      <c r="X1476" s="3">
        <v>15.99</v>
      </c>
      <c r="Y1476" s="3">
        <v>15.99</v>
      </c>
      <c r="Z1476" s="3">
        <v>15.99</v>
      </c>
      <c r="AA1476" s="3">
        <v>0</v>
      </c>
      <c r="AB1476" s="3" t="s">
        <v>1721</v>
      </c>
      <c r="AC1476" s="3">
        <v>10</v>
      </c>
      <c r="AD1476" s="3">
        <v>15.99</v>
      </c>
      <c r="AE1476" s="3">
        <v>0</v>
      </c>
      <c r="AF1476" s="3">
        <v>0</v>
      </c>
      <c r="AG1476" s="3">
        <v>0</v>
      </c>
      <c r="AH1476" s="3">
        <v>0</v>
      </c>
      <c r="AI1476" s="3" t="s">
        <v>1756</v>
      </c>
      <c r="AJ1476" s="3" t="s">
        <v>1715</v>
      </c>
    </row>
    <row r="1477" spans="1:36">
      <c r="A1477" s="4">
        <v>43277</v>
      </c>
      <c r="B1477" s="3" t="s">
        <v>703</v>
      </c>
      <c r="C1477" s="3" t="s">
        <v>704</v>
      </c>
      <c r="D1477" s="3" t="s">
        <v>705</v>
      </c>
      <c r="E1477" s="3" t="s">
        <v>706</v>
      </c>
      <c r="F1477" s="3" t="s">
        <v>1710</v>
      </c>
      <c r="G1477" s="3">
        <v>14</v>
      </c>
      <c r="H1477" s="3">
        <v>0</v>
      </c>
      <c r="I1477" s="3">
        <v>14</v>
      </c>
      <c r="J1477" s="3">
        <v>0</v>
      </c>
      <c r="K1477" s="3">
        <v>0</v>
      </c>
      <c r="L1477" s="3">
        <v>0</v>
      </c>
      <c r="M1477" s="3">
        <v>0</v>
      </c>
      <c r="N1477" s="3" t="s">
        <v>1711</v>
      </c>
      <c r="O1477" s="3">
        <v>0</v>
      </c>
      <c r="P1477" s="3">
        <v>0</v>
      </c>
      <c r="Q1477" s="3">
        <v>0</v>
      </c>
      <c r="R1477" s="3">
        <v>0</v>
      </c>
      <c r="S1477" s="3">
        <v>4</v>
      </c>
      <c r="T1477" s="3">
        <v>17</v>
      </c>
      <c r="U1477" s="3">
        <v>30</v>
      </c>
      <c r="V1477" s="3">
        <v>45</v>
      </c>
      <c r="W1477" s="3"/>
      <c r="X1477" s="3">
        <v>38</v>
      </c>
      <c r="Y1477" s="3">
        <v>28.58</v>
      </c>
      <c r="Z1477" s="3">
        <v>28.58</v>
      </c>
      <c r="AA1477" s="3">
        <v>0</v>
      </c>
      <c r="AB1477" s="3" t="s">
        <v>1713</v>
      </c>
      <c r="AC1477" s="3">
        <v>6</v>
      </c>
      <c r="AD1477" s="3">
        <v>28.58</v>
      </c>
      <c r="AE1477" s="3">
        <v>0</v>
      </c>
      <c r="AF1477" s="3">
        <v>0</v>
      </c>
      <c r="AG1477" s="3">
        <v>0</v>
      </c>
      <c r="AH1477" s="3">
        <v>3.75</v>
      </c>
      <c r="AI1477" s="3" t="s">
        <v>6161</v>
      </c>
      <c r="AJ1477" s="3" t="s">
        <v>1715</v>
      </c>
    </row>
    <row r="1478" spans="1:36">
      <c r="A1478" s="4">
        <v>43277</v>
      </c>
      <c r="B1478" s="3" t="s">
        <v>6162</v>
      </c>
      <c r="C1478" s="3" t="s">
        <v>6163</v>
      </c>
      <c r="D1478" s="3" t="s">
        <v>6164</v>
      </c>
      <c r="E1478" s="3" t="s">
        <v>6165</v>
      </c>
      <c r="F1478" s="3" t="s">
        <v>1710</v>
      </c>
      <c r="G1478" s="3">
        <v>11</v>
      </c>
      <c r="H1478" s="3">
        <v>0</v>
      </c>
      <c r="I1478" s="3">
        <v>6</v>
      </c>
      <c r="J1478" s="3">
        <v>5</v>
      </c>
      <c r="K1478" s="3">
        <v>0</v>
      </c>
      <c r="L1478" s="3">
        <v>0</v>
      </c>
      <c r="M1478" s="3">
        <v>0</v>
      </c>
      <c r="N1478" s="3" t="s">
        <v>1711</v>
      </c>
      <c r="O1478" s="3">
        <v>0</v>
      </c>
      <c r="P1478" s="3">
        <v>0</v>
      </c>
      <c r="Q1478" s="3">
        <v>0</v>
      </c>
      <c r="R1478" s="3">
        <v>0</v>
      </c>
      <c r="S1478" s="3">
        <v>1</v>
      </c>
      <c r="T1478" s="3">
        <v>2</v>
      </c>
      <c r="U1478" s="3">
        <v>4</v>
      </c>
      <c r="V1478" s="3">
        <v>5</v>
      </c>
      <c r="W1478" s="3"/>
      <c r="X1478" s="3">
        <v>20.58</v>
      </c>
      <c r="Y1478" s="3">
        <v>20.58</v>
      </c>
      <c r="Z1478" s="3">
        <v>20.58</v>
      </c>
      <c r="AA1478" s="3">
        <v>0</v>
      </c>
      <c r="AB1478" s="3" t="s">
        <v>1713</v>
      </c>
      <c r="AC1478" s="3">
        <v>12</v>
      </c>
      <c r="AD1478" s="3">
        <v>20.58</v>
      </c>
      <c r="AE1478" s="3">
        <v>0</v>
      </c>
      <c r="AF1478" s="3">
        <v>0</v>
      </c>
      <c r="AG1478" s="3">
        <v>0</v>
      </c>
      <c r="AH1478" s="3">
        <v>0.476190476190476</v>
      </c>
      <c r="AI1478" s="3" t="s">
        <v>6166</v>
      </c>
      <c r="AJ1478" s="3" t="s">
        <v>1715</v>
      </c>
    </row>
    <row r="1479" spans="1:36">
      <c r="A1479" s="4">
        <v>43277</v>
      </c>
      <c r="B1479" s="3" t="s">
        <v>439</v>
      </c>
      <c r="C1479" s="3" t="s">
        <v>440</v>
      </c>
      <c r="D1479" s="3" t="s">
        <v>441</v>
      </c>
      <c r="E1479" s="3" t="s">
        <v>442</v>
      </c>
      <c r="F1479" s="3" t="s">
        <v>1710</v>
      </c>
      <c r="G1479" s="3">
        <v>33</v>
      </c>
      <c r="H1479" s="3">
        <v>0</v>
      </c>
      <c r="I1479" s="3">
        <v>33</v>
      </c>
      <c r="J1479" s="3">
        <v>0</v>
      </c>
      <c r="K1479" s="3">
        <v>0</v>
      </c>
      <c r="L1479" s="3">
        <v>0</v>
      </c>
      <c r="M1479" s="3">
        <v>0</v>
      </c>
      <c r="N1479" s="3" t="s">
        <v>1711</v>
      </c>
      <c r="O1479" s="3">
        <v>0</v>
      </c>
      <c r="P1479" s="3">
        <v>0</v>
      </c>
      <c r="Q1479" s="3">
        <v>0</v>
      </c>
      <c r="R1479" s="3">
        <v>0</v>
      </c>
      <c r="S1479" s="3">
        <v>9</v>
      </c>
      <c r="T1479" s="3">
        <v>26</v>
      </c>
      <c r="U1479" s="3">
        <v>28</v>
      </c>
      <c r="V1479" s="3">
        <v>38</v>
      </c>
      <c r="W1479" s="3"/>
      <c r="X1479" s="3">
        <v>32.99</v>
      </c>
      <c r="Y1479" s="3">
        <v>28.58</v>
      </c>
      <c r="Z1479" s="3">
        <v>28.58</v>
      </c>
      <c r="AA1479" s="3">
        <v>0</v>
      </c>
      <c r="AB1479" s="3" t="s">
        <v>1713</v>
      </c>
      <c r="AC1479" s="3">
        <v>13</v>
      </c>
      <c r="AD1479" s="3">
        <v>28.58</v>
      </c>
      <c r="AE1479" s="3">
        <v>0</v>
      </c>
      <c r="AF1479" s="3">
        <v>0</v>
      </c>
      <c r="AG1479" s="3">
        <v>0</v>
      </c>
      <c r="AH1479" s="3">
        <v>2.33846153846153</v>
      </c>
      <c r="AI1479" s="3" t="s">
        <v>1734</v>
      </c>
      <c r="AJ1479" s="3" t="s">
        <v>1715</v>
      </c>
    </row>
    <row r="1480" spans="1:36">
      <c r="A1480" s="4">
        <v>43277</v>
      </c>
      <c r="B1480" s="3" t="s">
        <v>419</v>
      </c>
      <c r="C1480" s="3" t="s">
        <v>420</v>
      </c>
      <c r="D1480" s="3" t="s">
        <v>421</v>
      </c>
      <c r="E1480" s="3" t="s">
        <v>422</v>
      </c>
      <c r="F1480" s="3" t="s">
        <v>1710</v>
      </c>
      <c r="G1480" s="3">
        <v>28</v>
      </c>
      <c r="H1480" s="3">
        <v>0</v>
      </c>
      <c r="I1480" s="3">
        <v>28</v>
      </c>
      <c r="J1480" s="3">
        <v>0</v>
      </c>
      <c r="K1480" s="3">
        <v>0</v>
      </c>
      <c r="L1480" s="3">
        <v>0</v>
      </c>
      <c r="M1480" s="3">
        <v>0</v>
      </c>
      <c r="N1480" s="3" t="s">
        <v>1711</v>
      </c>
      <c r="O1480" s="3">
        <v>0</v>
      </c>
      <c r="P1480" s="3">
        <v>0</v>
      </c>
      <c r="Q1480" s="3">
        <v>0</v>
      </c>
      <c r="R1480" s="3">
        <v>0</v>
      </c>
      <c r="S1480" s="3">
        <v>4</v>
      </c>
      <c r="T1480" s="3">
        <v>13</v>
      </c>
      <c r="U1480" s="3">
        <v>30</v>
      </c>
      <c r="V1480" s="3">
        <v>40</v>
      </c>
      <c r="W1480" s="3"/>
      <c r="X1480" s="3">
        <v>32.99</v>
      </c>
      <c r="Y1480" s="3">
        <v>28.58</v>
      </c>
      <c r="Z1480" s="3">
        <v>28.58</v>
      </c>
      <c r="AA1480" s="3">
        <v>0</v>
      </c>
      <c r="AB1480" s="3" t="s">
        <v>1713</v>
      </c>
      <c r="AC1480" s="3">
        <v>33</v>
      </c>
      <c r="AD1480" s="3">
        <v>28.58</v>
      </c>
      <c r="AE1480" s="3">
        <v>0</v>
      </c>
      <c r="AF1480" s="3">
        <v>0</v>
      </c>
      <c r="AG1480" s="3">
        <v>0</v>
      </c>
      <c r="AH1480" s="3">
        <v>3.47826086956521</v>
      </c>
      <c r="AI1480" s="3" t="s">
        <v>1734</v>
      </c>
      <c r="AJ1480" s="3" t="s">
        <v>1715</v>
      </c>
    </row>
    <row r="1481" spans="1:36">
      <c r="A1481" s="4">
        <v>43277</v>
      </c>
      <c r="B1481" s="3" t="s">
        <v>6167</v>
      </c>
      <c r="C1481" s="3" t="s">
        <v>6168</v>
      </c>
      <c r="D1481" s="3" t="s">
        <v>6169</v>
      </c>
      <c r="E1481" s="3" t="s">
        <v>6170</v>
      </c>
      <c r="F1481" s="3" t="s">
        <v>1710</v>
      </c>
      <c r="G1481" s="3">
        <v>10</v>
      </c>
      <c r="H1481" s="3">
        <v>0</v>
      </c>
      <c r="I1481" s="3">
        <v>10</v>
      </c>
      <c r="J1481" s="3">
        <v>0</v>
      </c>
      <c r="K1481" s="3">
        <v>0</v>
      </c>
      <c r="L1481" s="3">
        <v>0</v>
      </c>
      <c r="M1481" s="3">
        <v>0</v>
      </c>
      <c r="N1481" s="3" t="s">
        <v>1711</v>
      </c>
      <c r="O1481" s="3">
        <v>0</v>
      </c>
      <c r="P1481" s="3">
        <v>0</v>
      </c>
      <c r="Q1481" s="3">
        <v>0</v>
      </c>
      <c r="R1481" s="3">
        <v>0</v>
      </c>
      <c r="S1481" s="3">
        <v>0</v>
      </c>
      <c r="T1481" s="3">
        <v>3</v>
      </c>
      <c r="U1481" s="3">
        <v>10</v>
      </c>
      <c r="V1481" s="3">
        <v>10</v>
      </c>
      <c r="W1481" s="3"/>
      <c r="X1481" s="3">
        <v>18.99</v>
      </c>
      <c r="Y1481" s="3">
        <v>18.99</v>
      </c>
      <c r="Z1481" s="3">
        <v>18.99</v>
      </c>
      <c r="AA1481" s="3">
        <v>0</v>
      </c>
      <c r="AB1481" s="3" t="s">
        <v>1713</v>
      </c>
      <c r="AC1481" s="3">
        <v>10</v>
      </c>
      <c r="AD1481" s="3">
        <v>18.99</v>
      </c>
      <c r="AE1481" s="3">
        <v>0</v>
      </c>
      <c r="AF1481" s="3">
        <v>0</v>
      </c>
      <c r="AG1481" s="3">
        <v>0</v>
      </c>
      <c r="AH1481" s="3">
        <v>1.15384615384615</v>
      </c>
      <c r="AI1481" s="3" t="s">
        <v>1794</v>
      </c>
      <c r="AJ1481" s="3" t="s">
        <v>1715</v>
      </c>
    </row>
    <row r="1482" spans="1:36">
      <c r="A1482" s="4">
        <v>43277</v>
      </c>
      <c r="B1482" s="3" t="s">
        <v>6171</v>
      </c>
      <c r="C1482" s="3" t="s">
        <v>6172</v>
      </c>
      <c r="D1482" s="3" t="s">
        <v>6173</v>
      </c>
      <c r="E1482" s="3" t="s">
        <v>6174</v>
      </c>
      <c r="F1482" s="3" t="s">
        <v>1710</v>
      </c>
      <c r="G1482" s="3">
        <v>14</v>
      </c>
      <c r="H1482" s="3">
        <v>0</v>
      </c>
      <c r="I1482" s="3">
        <v>0</v>
      </c>
      <c r="J1482" s="3">
        <v>14</v>
      </c>
      <c r="K1482" s="3">
        <v>0</v>
      </c>
      <c r="L1482" s="3">
        <v>0</v>
      </c>
      <c r="M1482" s="3">
        <v>0</v>
      </c>
      <c r="N1482" s="3" t="s">
        <v>1711</v>
      </c>
      <c r="O1482" s="3">
        <v>1</v>
      </c>
      <c r="P1482" s="3">
        <v>0.84</v>
      </c>
      <c r="Q1482" s="3">
        <v>0</v>
      </c>
      <c r="R1482" s="3">
        <v>0</v>
      </c>
      <c r="S1482" s="3">
        <v>0</v>
      </c>
      <c r="T1482" s="3">
        <v>1</v>
      </c>
      <c r="U1482" s="3">
        <v>1</v>
      </c>
      <c r="V1482" s="3">
        <v>1</v>
      </c>
      <c r="W1482" s="3"/>
      <c r="X1482" s="3">
        <v>25.58</v>
      </c>
      <c r="Y1482" s="3">
        <v>25.58</v>
      </c>
      <c r="Z1482" s="3">
        <v>25.58</v>
      </c>
      <c r="AA1482" s="3">
        <v>0</v>
      </c>
      <c r="AB1482" s="3" t="s">
        <v>1732</v>
      </c>
      <c r="AC1482" s="3">
        <v>0</v>
      </c>
      <c r="AD1482" s="3">
        <v>19.72</v>
      </c>
      <c r="AE1482" s="3">
        <v>364</v>
      </c>
      <c r="AF1482" s="3">
        <v>0</v>
      </c>
      <c r="AG1482" s="3">
        <v>229.837133</v>
      </c>
      <c r="AH1482" s="3">
        <v>0.0816326530612244</v>
      </c>
      <c r="AI1482" s="3" t="s">
        <v>2128</v>
      </c>
      <c r="AJ1482" s="3" t="s">
        <v>1715</v>
      </c>
    </row>
    <row r="1483" spans="1:36">
      <c r="A1483" s="4">
        <v>43277</v>
      </c>
      <c r="B1483" s="3" t="s">
        <v>6175</v>
      </c>
      <c r="C1483" s="3" t="s">
        <v>6176</v>
      </c>
      <c r="D1483" s="3" t="s">
        <v>6177</v>
      </c>
      <c r="E1483" s="3" t="s">
        <v>6178</v>
      </c>
      <c r="F1483" s="3" t="s">
        <v>1710</v>
      </c>
      <c r="G1483" s="3">
        <v>4</v>
      </c>
      <c r="H1483" s="3">
        <v>0</v>
      </c>
      <c r="I1483" s="3">
        <v>0</v>
      </c>
      <c r="J1483" s="3">
        <v>4</v>
      </c>
      <c r="K1483" s="3">
        <v>0</v>
      </c>
      <c r="L1483" s="3">
        <v>0</v>
      </c>
      <c r="M1483" s="3">
        <v>0</v>
      </c>
      <c r="N1483" s="3" t="s">
        <v>1711</v>
      </c>
      <c r="O1483" s="3">
        <v>4</v>
      </c>
      <c r="P1483" s="3">
        <v>7.17</v>
      </c>
      <c r="Q1483" s="3">
        <v>0</v>
      </c>
      <c r="R1483" s="3">
        <v>0</v>
      </c>
      <c r="S1483" s="3">
        <v>0</v>
      </c>
      <c r="T1483" s="3">
        <v>0</v>
      </c>
      <c r="U1483" s="3">
        <v>0</v>
      </c>
      <c r="V1483" s="3">
        <v>0</v>
      </c>
      <c r="W1483" s="3" t="s">
        <v>1720</v>
      </c>
      <c r="X1483" s="3">
        <v>18.99</v>
      </c>
      <c r="Y1483" s="3">
        <v>18.99</v>
      </c>
      <c r="Z1483" s="3">
        <v>18.99</v>
      </c>
      <c r="AA1483" s="3">
        <v>0</v>
      </c>
      <c r="AB1483" s="3" t="s">
        <v>1721</v>
      </c>
      <c r="AC1483" s="3">
        <v>1</v>
      </c>
      <c r="AD1483" s="3">
        <v>17.54</v>
      </c>
      <c r="AE1483" s="3">
        <v>28</v>
      </c>
      <c r="AF1483" s="3">
        <v>0</v>
      </c>
      <c r="AG1483" s="3">
        <v>118.286558</v>
      </c>
      <c r="AH1483" s="3">
        <v>0</v>
      </c>
      <c r="AI1483" s="3" t="s">
        <v>2149</v>
      </c>
      <c r="AJ1483" s="3" t="s">
        <v>1715</v>
      </c>
    </row>
    <row r="1484" spans="1:36">
      <c r="A1484" s="4">
        <v>43277</v>
      </c>
      <c r="B1484" s="3" t="s">
        <v>6179</v>
      </c>
      <c r="C1484" s="3" t="s">
        <v>6180</v>
      </c>
      <c r="D1484" s="3" t="s">
        <v>6181</v>
      </c>
      <c r="E1484" s="3" t="s">
        <v>6182</v>
      </c>
      <c r="F1484" s="3" t="s">
        <v>1710</v>
      </c>
      <c r="G1484" s="3">
        <v>43</v>
      </c>
      <c r="H1484" s="3">
        <v>0</v>
      </c>
      <c r="I1484" s="3">
        <v>3</v>
      </c>
      <c r="J1484" s="3">
        <v>31</v>
      </c>
      <c r="K1484" s="3">
        <v>9</v>
      </c>
      <c r="L1484" s="3">
        <v>0</v>
      </c>
      <c r="M1484" s="3">
        <v>0</v>
      </c>
      <c r="N1484" s="3" t="s">
        <v>1711</v>
      </c>
      <c r="O1484" s="3">
        <v>36</v>
      </c>
      <c r="P1484" s="3">
        <v>119.85</v>
      </c>
      <c r="Q1484" s="3">
        <v>0</v>
      </c>
      <c r="R1484" s="3">
        <v>0</v>
      </c>
      <c r="S1484" s="3">
        <v>0</v>
      </c>
      <c r="T1484" s="3">
        <v>4</v>
      </c>
      <c r="U1484" s="3">
        <v>14</v>
      </c>
      <c r="V1484" s="3">
        <v>35</v>
      </c>
      <c r="W1484" s="3"/>
      <c r="X1484" s="3">
        <v>18.99</v>
      </c>
      <c r="Y1484" s="3">
        <v>18.99</v>
      </c>
      <c r="Z1484" s="3">
        <v>18.99</v>
      </c>
      <c r="AA1484" s="3">
        <v>0</v>
      </c>
      <c r="AB1484" s="3" t="s">
        <v>1732</v>
      </c>
      <c r="AC1484" s="3">
        <v>19</v>
      </c>
      <c r="AD1484" s="3">
        <v>15.66</v>
      </c>
      <c r="AE1484" s="3">
        <v>49</v>
      </c>
      <c r="AF1484" s="3">
        <v>0</v>
      </c>
      <c r="AG1484" s="3">
        <v>33.562445</v>
      </c>
      <c r="AH1484" s="3">
        <v>0.51660516605166</v>
      </c>
      <c r="AI1484" s="3" t="s">
        <v>6183</v>
      </c>
      <c r="AJ1484" s="3" t="s">
        <v>1715</v>
      </c>
    </row>
    <row r="1485" spans="1:36">
      <c r="A1485" s="4">
        <v>43277</v>
      </c>
      <c r="B1485" s="3" t="s">
        <v>1030</v>
      </c>
      <c r="C1485" s="3" t="s">
        <v>1031</v>
      </c>
      <c r="D1485" s="3" t="s">
        <v>1032</v>
      </c>
      <c r="E1485" s="3" t="s">
        <v>1033</v>
      </c>
      <c r="F1485" s="3" t="s">
        <v>1710</v>
      </c>
      <c r="G1485" s="3">
        <v>55</v>
      </c>
      <c r="H1485" s="3">
        <v>0</v>
      </c>
      <c r="I1485" s="3">
        <v>55</v>
      </c>
      <c r="J1485" s="3">
        <v>0</v>
      </c>
      <c r="K1485" s="3">
        <v>0</v>
      </c>
      <c r="L1485" s="3">
        <v>0</v>
      </c>
      <c r="M1485" s="3">
        <v>0</v>
      </c>
      <c r="N1485" s="3" t="s">
        <v>1711</v>
      </c>
      <c r="O1485" s="3">
        <v>0</v>
      </c>
      <c r="P1485" s="3">
        <v>0</v>
      </c>
      <c r="Q1485" s="3">
        <v>0</v>
      </c>
      <c r="R1485" s="3">
        <v>0</v>
      </c>
      <c r="S1485" s="3">
        <v>8</v>
      </c>
      <c r="T1485" s="3">
        <v>33</v>
      </c>
      <c r="U1485" s="3">
        <v>36</v>
      </c>
      <c r="V1485" s="3">
        <v>77</v>
      </c>
      <c r="W1485" s="3"/>
      <c r="X1485" s="3">
        <v>48.58</v>
      </c>
      <c r="Y1485" s="3">
        <v>28.99</v>
      </c>
      <c r="Z1485" s="3">
        <v>28.99</v>
      </c>
      <c r="AA1485" s="3">
        <v>0</v>
      </c>
      <c r="AB1485" s="3" t="s">
        <v>1713</v>
      </c>
      <c r="AC1485" s="3">
        <v>62</v>
      </c>
      <c r="AD1485" s="3">
        <v>28.99</v>
      </c>
      <c r="AE1485" s="3">
        <v>0</v>
      </c>
      <c r="AF1485" s="3">
        <v>0</v>
      </c>
      <c r="AG1485" s="3">
        <v>0</v>
      </c>
      <c r="AH1485" s="3">
        <v>4.10666666666666</v>
      </c>
      <c r="AI1485" s="3" t="s">
        <v>1800</v>
      </c>
      <c r="AJ1485" s="3" t="s">
        <v>1715</v>
      </c>
    </row>
    <row r="1486" spans="1:36">
      <c r="A1486" s="4">
        <v>43277</v>
      </c>
      <c r="B1486" s="3" t="s">
        <v>6184</v>
      </c>
      <c r="C1486" s="3" t="s">
        <v>6185</v>
      </c>
      <c r="D1486" s="3" t="s">
        <v>6186</v>
      </c>
      <c r="E1486" s="3" t="s">
        <v>6187</v>
      </c>
      <c r="F1486" s="3" t="s">
        <v>1710</v>
      </c>
      <c r="G1486" s="3">
        <v>11</v>
      </c>
      <c r="H1486" s="3">
        <v>0</v>
      </c>
      <c r="I1486" s="3">
        <v>10</v>
      </c>
      <c r="J1486" s="3">
        <v>1</v>
      </c>
      <c r="K1486" s="3">
        <v>0</v>
      </c>
      <c r="L1486" s="3">
        <v>0</v>
      </c>
      <c r="M1486" s="3">
        <v>0</v>
      </c>
      <c r="N1486" s="3" t="s">
        <v>1711</v>
      </c>
      <c r="O1486" s="3">
        <v>0</v>
      </c>
      <c r="P1486" s="3">
        <v>0</v>
      </c>
      <c r="Q1486" s="3">
        <v>0</v>
      </c>
      <c r="R1486" s="3">
        <v>0</v>
      </c>
      <c r="S1486" s="3">
        <v>1</v>
      </c>
      <c r="T1486" s="3">
        <v>6</v>
      </c>
      <c r="U1486" s="3">
        <v>10</v>
      </c>
      <c r="V1486" s="3">
        <v>13</v>
      </c>
      <c r="W1486" s="3"/>
      <c r="X1486" s="3">
        <v>25.58</v>
      </c>
      <c r="Y1486" s="3">
        <v>25.58</v>
      </c>
      <c r="Z1486" s="3">
        <v>25.58</v>
      </c>
      <c r="AA1486" s="3">
        <v>0</v>
      </c>
      <c r="AB1486" s="3" t="s">
        <v>1713</v>
      </c>
      <c r="AC1486" s="3">
        <v>12</v>
      </c>
      <c r="AD1486" s="3">
        <v>25.58</v>
      </c>
      <c r="AE1486" s="3">
        <v>0</v>
      </c>
      <c r="AF1486" s="3">
        <v>0</v>
      </c>
      <c r="AG1486" s="3">
        <v>0</v>
      </c>
      <c r="AH1486" s="3">
        <v>1.48571428571428</v>
      </c>
      <c r="AI1486" s="3" t="s">
        <v>1857</v>
      </c>
      <c r="AJ1486" s="3" t="s">
        <v>1715</v>
      </c>
    </row>
    <row r="1487" spans="1:36">
      <c r="A1487" s="4">
        <v>43277</v>
      </c>
      <c r="B1487" s="3" t="s">
        <v>6188</v>
      </c>
      <c r="C1487" s="3" t="s">
        <v>6189</v>
      </c>
      <c r="D1487" s="3" t="s">
        <v>6190</v>
      </c>
      <c r="E1487" s="3" t="s">
        <v>6191</v>
      </c>
      <c r="F1487" s="3" t="s">
        <v>1710</v>
      </c>
      <c r="G1487" s="3">
        <v>2</v>
      </c>
      <c r="H1487" s="3">
        <v>0</v>
      </c>
      <c r="I1487" s="3">
        <v>2</v>
      </c>
      <c r="J1487" s="3">
        <v>0</v>
      </c>
      <c r="K1487" s="3">
        <v>0</v>
      </c>
      <c r="L1487" s="3">
        <v>0</v>
      </c>
      <c r="M1487" s="3">
        <v>0</v>
      </c>
      <c r="N1487" s="3" t="s">
        <v>1711</v>
      </c>
      <c r="O1487" s="3">
        <v>0</v>
      </c>
      <c r="P1487" s="3">
        <v>0</v>
      </c>
      <c r="Q1487" s="3">
        <v>0</v>
      </c>
      <c r="R1487" s="3">
        <v>0</v>
      </c>
      <c r="S1487" s="3">
        <v>1</v>
      </c>
      <c r="T1487" s="3">
        <v>5</v>
      </c>
      <c r="U1487" s="3">
        <v>6</v>
      </c>
      <c r="V1487" s="3">
        <v>7</v>
      </c>
      <c r="W1487" s="3"/>
      <c r="X1487" s="3">
        <v>15.99</v>
      </c>
      <c r="Y1487" s="3">
        <v>15.99</v>
      </c>
      <c r="Z1487" s="3">
        <v>15.99</v>
      </c>
      <c r="AA1487" s="3">
        <v>0</v>
      </c>
      <c r="AB1487" s="3" t="s">
        <v>1713</v>
      </c>
      <c r="AC1487" s="3">
        <v>2</v>
      </c>
      <c r="AD1487" s="3">
        <v>15.99</v>
      </c>
      <c r="AE1487" s="3">
        <v>0</v>
      </c>
      <c r="AF1487" s="3">
        <v>0</v>
      </c>
      <c r="AG1487" s="3">
        <v>0</v>
      </c>
      <c r="AH1487" s="3">
        <v>1.47368421052631</v>
      </c>
      <c r="AI1487" s="3" t="s">
        <v>1962</v>
      </c>
      <c r="AJ1487" s="3" t="s">
        <v>1715</v>
      </c>
    </row>
    <row r="1488" spans="1:36">
      <c r="A1488" s="4">
        <v>43277</v>
      </c>
      <c r="B1488" s="3" t="s">
        <v>6192</v>
      </c>
      <c r="C1488" s="3" t="s">
        <v>6193</v>
      </c>
      <c r="D1488" s="3" t="s">
        <v>6194</v>
      </c>
      <c r="E1488" s="3" t="s">
        <v>2495</v>
      </c>
      <c r="F1488" s="3" t="s">
        <v>1710</v>
      </c>
      <c r="G1488" s="3">
        <v>15</v>
      </c>
      <c r="H1488" s="3">
        <v>0</v>
      </c>
      <c r="I1488" s="3">
        <v>15</v>
      </c>
      <c r="J1488" s="3">
        <v>0</v>
      </c>
      <c r="K1488" s="3">
        <v>0</v>
      </c>
      <c r="L1488" s="3">
        <v>0</v>
      </c>
      <c r="M1488" s="3">
        <v>0</v>
      </c>
      <c r="N1488" s="3" t="s">
        <v>1711</v>
      </c>
      <c r="O1488" s="3">
        <v>0</v>
      </c>
      <c r="P1488" s="3">
        <v>0</v>
      </c>
      <c r="Q1488" s="3">
        <v>0</v>
      </c>
      <c r="R1488" s="3">
        <v>0</v>
      </c>
      <c r="S1488" s="3">
        <v>0</v>
      </c>
      <c r="T1488" s="3">
        <v>0</v>
      </c>
      <c r="U1488" s="3">
        <v>0</v>
      </c>
      <c r="V1488" s="3">
        <v>0</v>
      </c>
      <c r="W1488" s="3" t="s">
        <v>1720</v>
      </c>
      <c r="X1488" s="3">
        <v>15.99</v>
      </c>
      <c r="Y1488" s="3">
        <v>15.99</v>
      </c>
      <c r="Z1488" s="3">
        <v>15.99</v>
      </c>
      <c r="AA1488" s="3">
        <v>0</v>
      </c>
      <c r="AB1488" s="3" t="s">
        <v>1721</v>
      </c>
      <c r="AC1488" s="3">
        <v>0</v>
      </c>
      <c r="AD1488" s="3">
        <v>12.79</v>
      </c>
      <c r="AE1488" s="3">
        <v>63</v>
      </c>
      <c r="AF1488" s="3">
        <v>0</v>
      </c>
      <c r="AG1488" s="3">
        <v>160.761652</v>
      </c>
      <c r="AH1488" s="3">
        <v>0</v>
      </c>
      <c r="AI1488" s="3" t="s">
        <v>2758</v>
      </c>
      <c r="AJ1488" s="3" t="s">
        <v>1715</v>
      </c>
    </row>
    <row r="1489" spans="1:36">
      <c r="A1489" s="4">
        <v>43277</v>
      </c>
      <c r="B1489" s="3" t="s">
        <v>6195</v>
      </c>
      <c r="C1489" s="3" t="s">
        <v>6196</v>
      </c>
      <c r="D1489" s="3" t="s">
        <v>6197</v>
      </c>
      <c r="E1489" s="3" t="s">
        <v>6198</v>
      </c>
      <c r="F1489" s="3" t="s">
        <v>1710</v>
      </c>
      <c r="G1489" s="3">
        <v>2</v>
      </c>
      <c r="H1489" s="3">
        <v>0</v>
      </c>
      <c r="I1489" s="3">
        <v>2</v>
      </c>
      <c r="J1489" s="3">
        <v>0</v>
      </c>
      <c r="K1489" s="3">
        <v>0</v>
      </c>
      <c r="L1489" s="3">
        <v>0</v>
      </c>
      <c r="M1489" s="3">
        <v>0</v>
      </c>
      <c r="N1489" s="3" t="s">
        <v>1711</v>
      </c>
      <c r="O1489" s="3">
        <v>0</v>
      </c>
      <c r="P1489" s="3">
        <v>0</v>
      </c>
      <c r="Q1489" s="3">
        <v>0</v>
      </c>
      <c r="R1489" s="3">
        <v>0</v>
      </c>
      <c r="S1489" s="3">
        <v>0</v>
      </c>
      <c r="T1489" s="3">
        <v>1</v>
      </c>
      <c r="U1489" s="3">
        <v>1</v>
      </c>
      <c r="V1489" s="3">
        <v>1</v>
      </c>
      <c r="W1489" s="3" t="s">
        <v>1712</v>
      </c>
      <c r="X1489" s="3">
        <v>15.99</v>
      </c>
      <c r="Y1489" s="3">
        <v>15.99</v>
      </c>
      <c r="Z1489" s="3">
        <v>15.99</v>
      </c>
      <c r="AA1489" s="3">
        <v>0</v>
      </c>
      <c r="AB1489" s="3" t="s">
        <v>1713</v>
      </c>
      <c r="AC1489" s="3">
        <v>2</v>
      </c>
      <c r="AD1489" s="3">
        <v>15.99</v>
      </c>
      <c r="AE1489" s="3">
        <v>0</v>
      </c>
      <c r="AF1489" s="3">
        <v>0</v>
      </c>
      <c r="AG1489" s="3">
        <v>0</v>
      </c>
      <c r="AH1489" s="3">
        <v>0.5</v>
      </c>
      <c r="AI1489" s="3" t="s">
        <v>2542</v>
      </c>
      <c r="AJ1489" s="3" t="s">
        <v>1715</v>
      </c>
    </row>
    <row r="1490" spans="1:36">
      <c r="A1490" s="4">
        <v>43277</v>
      </c>
      <c r="B1490" s="3" t="s">
        <v>6199</v>
      </c>
      <c r="C1490" s="3" t="s">
        <v>6200</v>
      </c>
      <c r="D1490" s="3" t="s">
        <v>6201</v>
      </c>
      <c r="E1490" s="3" t="s">
        <v>1985</v>
      </c>
      <c r="F1490" s="3" t="s">
        <v>1710</v>
      </c>
      <c r="G1490" s="3">
        <v>3</v>
      </c>
      <c r="H1490" s="3">
        <v>0</v>
      </c>
      <c r="I1490" s="3">
        <v>0</v>
      </c>
      <c r="J1490" s="3">
        <v>0</v>
      </c>
      <c r="K1490" s="3">
        <v>3</v>
      </c>
      <c r="L1490" s="3">
        <v>0</v>
      </c>
      <c r="M1490" s="3">
        <v>0</v>
      </c>
      <c r="N1490" s="3" t="s">
        <v>1711</v>
      </c>
      <c r="O1490" s="3">
        <v>3</v>
      </c>
      <c r="P1490" s="3">
        <v>5.27</v>
      </c>
      <c r="Q1490" s="3">
        <v>0</v>
      </c>
      <c r="R1490" s="3">
        <v>0</v>
      </c>
      <c r="S1490" s="3">
        <v>0</v>
      </c>
      <c r="T1490" s="3">
        <v>0</v>
      </c>
      <c r="U1490" s="3">
        <v>0</v>
      </c>
      <c r="V1490" s="3">
        <v>0</v>
      </c>
      <c r="W1490" s="3" t="s">
        <v>1720</v>
      </c>
      <c r="X1490" s="3">
        <v>18.99</v>
      </c>
      <c r="Y1490" s="3">
        <v>18.99</v>
      </c>
      <c r="Z1490" s="3">
        <v>18.99</v>
      </c>
      <c r="AA1490" s="3">
        <v>0</v>
      </c>
      <c r="AB1490" s="3" t="s">
        <v>1721</v>
      </c>
      <c r="AC1490" s="3">
        <v>0</v>
      </c>
      <c r="AD1490" s="3">
        <v>16.91</v>
      </c>
      <c r="AE1490" s="3">
        <v>119</v>
      </c>
      <c r="AF1490" s="3">
        <v>0</v>
      </c>
      <c r="AG1490" s="3">
        <v>87.730144</v>
      </c>
      <c r="AH1490" s="3">
        <v>0</v>
      </c>
      <c r="AI1490" s="3" t="s">
        <v>2733</v>
      </c>
      <c r="AJ1490" s="3" t="s">
        <v>1783</v>
      </c>
    </row>
    <row r="1491" spans="1:36">
      <c r="A1491" s="4">
        <v>43277</v>
      </c>
      <c r="B1491" s="3" t="s">
        <v>6202</v>
      </c>
      <c r="C1491" s="3" t="s">
        <v>6203</v>
      </c>
      <c r="D1491" s="3" t="s">
        <v>6204</v>
      </c>
      <c r="E1491" s="3" t="s">
        <v>4321</v>
      </c>
      <c r="F1491" s="3" t="s">
        <v>1710</v>
      </c>
      <c r="G1491" s="3">
        <v>2</v>
      </c>
      <c r="H1491" s="3">
        <v>0</v>
      </c>
      <c r="I1491" s="3">
        <v>2</v>
      </c>
      <c r="J1491" s="3">
        <v>0</v>
      </c>
      <c r="K1491" s="3">
        <v>0</v>
      </c>
      <c r="L1491" s="3">
        <v>0</v>
      </c>
      <c r="M1491" s="3">
        <v>0</v>
      </c>
      <c r="N1491" s="3" t="s">
        <v>1711</v>
      </c>
      <c r="O1491" s="3">
        <v>0</v>
      </c>
      <c r="P1491" s="3">
        <v>0</v>
      </c>
      <c r="Q1491" s="3">
        <v>0</v>
      </c>
      <c r="R1491" s="3">
        <v>0</v>
      </c>
      <c r="S1491" s="3">
        <v>0</v>
      </c>
      <c r="T1491" s="3">
        <v>0</v>
      </c>
      <c r="U1491" s="3">
        <v>0</v>
      </c>
      <c r="V1491" s="3">
        <v>0</v>
      </c>
      <c r="W1491" s="3" t="s">
        <v>1712</v>
      </c>
      <c r="X1491" s="3">
        <v>19.99</v>
      </c>
      <c r="Y1491" s="3">
        <v>19.99</v>
      </c>
      <c r="Z1491" s="3">
        <v>19.99</v>
      </c>
      <c r="AA1491" s="3">
        <v>0</v>
      </c>
      <c r="AB1491" s="3" t="s">
        <v>1732</v>
      </c>
      <c r="AC1491" s="3">
        <v>0</v>
      </c>
      <c r="AD1491" s="3">
        <v>15.99</v>
      </c>
      <c r="AE1491" s="3">
        <v>63</v>
      </c>
      <c r="AF1491" s="3">
        <v>0</v>
      </c>
      <c r="AG1491" s="3">
        <v>28.204907</v>
      </c>
      <c r="AH1491" s="3">
        <v>0</v>
      </c>
      <c r="AI1491" s="3" t="s">
        <v>2565</v>
      </c>
      <c r="AJ1491" s="3" t="s">
        <v>1715</v>
      </c>
    </row>
    <row r="1492" spans="1:36">
      <c r="A1492" s="4">
        <v>43277</v>
      </c>
      <c r="B1492" s="3" t="s">
        <v>6205</v>
      </c>
      <c r="C1492" s="3" t="s">
        <v>6206</v>
      </c>
      <c r="D1492" s="3" t="s">
        <v>6207</v>
      </c>
      <c r="E1492" s="3" t="s">
        <v>6208</v>
      </c>
      <c r="F1492" s="3" t="s">
        <v>1710</v>
      </c>
      <c r="G1492" s="3">
        <v>13</v>
      </c>
      <c r="H1492" s="3">
        <v>0</v>
      </c>
      <c r="I1492" s="3">
        <v>11</v>
      </c>
      <c r="J1492" s="3">
        <v>2</v>
      </c>
      <c r="K1492" s="3">
        <v>0</v>
      </c>
      <c r="L1492" s="3">
        <v>0</v>
      </c>
      <c r="M1492" s="3">
        <v>0</v>
      </c>
      <c r="N1492" s="3" t="s">
        <v>1711</v>
      </c>
      <c r="O1492" s="3">
        <v>0</v>
      </c>
      <c r="P1492" s="3">
        <v>0</v>
      </c>
      <c r="Q1492" s="3">
        <v>0</v>
      </c>
      <c r="R1492" s="3">
        <v>0</v>
      </c>
      <c r="S1492" s="3">
        <v>0</v>
      </c>
      <c r="T1492" s="3">
        <v>1</v>
      </c>
      <c r="U1492" s="3">
        <v>4</v>
      </c>
      <c r="V1492" s="3">
        <v>20</v>
      </c>
      <c r="W1492" s="3" t="s">
        <v>1712</v>
      </c>
      <c r="X1492" s="3">
        <v>27.99</v>
      </c>
      <c r="Y1492" s="3">
        <v>27.99</v>
      </c>
      <c r="Z1492" s="3">
        <v>25.99</v>
      </c>
      <c r="AA1492" s="3">
        <v>0</v>
      </c>
      <c r="AB1492" s="3" t="s">
        <v>1732</v>
      </c>
      <c r="AC1492" s="3">
        <v>0</v>
      </c>
      <c r="AD1492" s="3">
        <v>15.62</v>
      </c>
      <c r="AE1492" s="3">
        <v>42</v>
      </c>
      <c r="AF1492" s="3">
        <v>0</v>
      </c>
      <c r="AG1492" s="3">
        <v>327.284097</v>
      </c>
      <c r="AH1492" s="3">
        <v>1.40350877192982</v>
      </c>
      <c r="AI1492" s="3" t="s">
        <v>1831</v>
      </c>
      <c r="AJ1492" s="3" t="s">
        <v>1715</v>
      </c>
    </row>
    <row r="1493" spans="1:36">
      <c r="A1493" s="4">
        <v>43277</v>
      </c>
      <c r="B1493" s="3" t="s">
        <v>6209</v>
      </c>
      <c r="C1493" s="3" t="s">
        <v>6210</v>
      </c>
      <c r="D1493" s="3" t="s">
        <v>6211</v>
      </c>
      <c r="E1493" s="3" t="s">
        <v>6212</v>
      </c>
      <c r="F1493" s="3" t="s">
        <v>1710</v>
      </c>
      <c r="G1493" s="3">
        <v>12</v>
      </c>
      <c r="H1493" s="3">
        <v>0</v>
      </c>
      <c r="I1493" s="3">
        <v>0</v>
      </c>
      <c r="J1493" s="3">
        <v>12</v>
      </c>
      <c r="K1493" s="3">
        <v>0</v>
      </c>
      <c r="L1493" s="3">
        <v>0</v>
      </c>
      <c r="M1493" s="3">
        <v>0</v>
      </c>
      <c r="N1493" s="3" t="s">
        <v>1711</v>
      </c>
      <c r="O1493" s="3">
        <v>12</v>
      </c>
      <c r="P1493" s="3">
        <v>16.28</v>
      </c>
      <c r="Q1493" s="3">
        <v>0</v>
      </c>
      <c r="R1493" s="3">
        <v>0</v>
      </c>
      <c r="S1493" s="3">
        <v>0</v>
      </c>
      <c r="T1493" s="3">
        <v>0</v>
      </c>
      <c r="U1493" s="3">
        <v>0</v>
      </c>
      <c r="V1493" s="3">
        <v>1</v>
      </c>
      <c r="W1493" s="3" t="s">
        <v>1712</v>
      </c>
      <c r="X1493" s="3">
        <v>16.97</v>
      </c>
      <c r="Y1493" s="3">
        <v>19.99</v>
      </c>
      <c r="Z1493" s="3">
        <v>19.99</v>
      </c>
      <c r="AA1493" s="3">
        <v>0</v>
      </c>
      <c r="AB1493" s="3" t="s">
        <v>1732</v>
      </c>
      <c r="AC1493" s="3">
        <v>0</v>
      </c>
      <c r="AD1493" s="3">
        <v>18.07</v>
      </c>
      <c r="AE1493" s="3">
        <v>84</v>
      </c>
      <c r="AF1493" s="3">
        <v>0</v>
      </c>
      <c r="AG1493" s="3">
        <v>321.446483</v>
      </c>
      <c r="AH1493" s="3">
        <v>0.0816326530612244</v>
      </c>
      <c r="AI1493" s="3" t="s">
        <v>2049</v>
      </c>
      <c r="AJ1493" s="3" t="s">
        <v>1783</v>
      </c>
    </row>
    <row r="1494" spans="1:36">
      <c r="A1494" s="4">
        <v>43277</v>
      </c>
      <c r="B1494" s="3" t="s">
        <v>6213</v>
      </c>
      <c r="C1494" s="3" t="s">
        <v>6214</v>
      </c>
      <c r="D1494" s="3" t="s">
        <v>6215</v>
      </c>
      <c r="E1494" s="3" t="s">
        <v>6216</v>
      </c>
      <c r="F1494" s="3" t="s">
        <v>1710</v>
      </c>
      <c r="G1494" s="3">
        <v>14</v>
      </c>
      <c r="H1494" s="3">
        <v>0</v>
      </c>
      <c r="I1494" s="3">
        <v>14</v>
      </c>
      <c r="J1494" s="3">
        <v>0</v>
      </c>
      <c r="K1494" s="3">
        <v>0</v>
      </c>
      <c r="L1494" s="3">
        <v>0</v>
      </c>
      <c r="M1494" s="3">
        <v>0</v>
      </c>
      <c r="N1494" s="3" t="s">
        <v>1711</v>
      </c>
      <c r="O1494" s="3">
        <v>0</v>
      </c>
      <c r="P1494" s="3">
        <v>0</v>
      </c>
      <c r="Q1494" s="3">
        <v>0</v>
      </c>
      <c r="R1494" s="3">
        <v>0</v>
      </c>
      <c r="S1494" s="3">
        <v>4</v>
      </c>
      <c r="T1494" s="3">
        <v>10</v>
      </c>
      <c r="U1494" s="3">
        <v>20</v>
      </c>
      <c r="V1494" s="3">
        <v>30</v>
      </c>
      <c r="W1494" s="3"/>
      <c r="X1494" s="3">
        <v>38</v>
      </c>
      <c r="Y1494" s="3">
        <v>28.58</v>
      </c>
      <c r="Z1494" s="3">
        <v>28.58</v>
      </c>
      <c r="AA1494" s="3">
        <v>0</v>
      </c>
      <c r="AB1494" s="3" t="s">
        <v>1713</v>
      </c>
      <c r="AC1494" s="3">
        <v>1</v>
      </c>
      <c r="AD1494" s="3">
        <v>28.58</v>
      </c>
      <c r="AE1494" s="3">
        <v>0</v>
      </c>
      <c r="AF1494" s="3">
        <v>0</v>
      </c>
      <c r="AG1494" s="3">
        <v>0</v>
      </c>
      <c r="AH1494" s="3">
        <v>2.44897959183673</v>
      </c>
      <c r="AI1494" s="3" t="s">
        <v>2270</v>
      </c>
      <c r="AJ1494" s="3" t="s">
        <v>1715</v>
      </c>
    </row>
    <row r="1495" spans="1:36">
      <c r="A1495" s="4">
        <v>43277</v>
      </c>
      <c r="B1495" s="3" t="s">
        <v>1457</v>
      </c>
      <c r="C1495" s="3" t="s">
        <v>1458</v>
      </c>
      <c r="D1495" s="3" t="s">
        <v>1459</v>
      </c>
      <c r="E1495" s="3" t="s">
        <v>1460</v>
      </c>
      <c r="F1495" s="3" t="s">
        <v>1710</v>
      </c>
      <c r="G1495" s="3">
        <v>8</v>
      </c>
      <c r="H1495" s="3">
        <v>0</v>
      </c>
      <c r="I1495" s="3">
        <v>8</v>
      </c>
      <c r="J1495" s="3">
        <v>0</v>
      </c>
      <c r="K1495" s="3">
        <v>0</v>
      </c>
      <c r="L1495" s="3">
        <v>0</v>
      </c>
      <c r="M1495" s="3">
        <v>0</v>
      </c>
      <c r="N1495" s="3" t="s">
        <v>1711</v>
      </c>
      <c r="O1495" s="3">
        <v>0</v>
      </c>
      <c r="P1495" s="3">
        <v>0</v>
      </c>
      <c r="Q1495" s="3">
        <v>0</v>
      </c>
      <c r="R1495" s="3">
        <v>0</v>
      </c>
      <c r="S1495" s="3">
        <v>0</v>
      </c>
      <c r="T1495" s="3">
        <v>10</v>
      </c>
      <c r="U1495" s="3">
        <v>22</v>
      </c>
      <c r="V1495" s="3">
        <v>33</v>
      </c>
      <c r="W1495" s="3"/>
      <c r="X1495" s="3">
        <v>38</v>
      </c>
      <c r="Y1495" s="3">
        <v>25.58</v>
      </c>
      <c r="Z1495" s="3">
        <v>25.58</v>
      </c>
      <c r="AA1495" s="3">
        <v>0</v>
      </c>
      <c r="AB1495" s="3" t="s">
        <v>1713</v>
      </c>
      <c r="AC1495" s="3">
        <v>0</v>
      </c>
      <c r="AD1495" s="3">
        <v>0</v>
      </c>
      <c r="AE1495" s="3">
        <v>0</v>
      </c>
      <c r="AF1495" s="3">
        <v>0</v>
      </c>
      <c r="AG1495" s="3">
        <v>0</v>
      </c>
      <c r="AH1495" s="3">
        <v>3</v>
      </c>
      <c r="AI1495" s="3" t="s">
        <v>1857</v>
      </c>
      <c r="AJ1495" s="3" t="s">
        <v>1715</v>
      </c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124"/>
  <sheetViews>
    <sheetView zoomScale="115" zoomScaleNormal="115" topLeftCell="A3088" workbookViewId="0">
      <selection activeCell="R3124" sqref="R3124"/>
    </sheetView>
  </sheetViews>
  <sheetFormatPr defaultColWidth="9" defaultRowHeight="14.25"/>
  <cols>
    <col min="1" max="1" width="24" customWidth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1675</v>
      </c>
      <c r="F1" s="3" t="s">
        <v>1693</v>
      </c>
      <c r="G1" s="3" t="s">
        <v>6217</v>
      </c>
      <c r="H1" s="3" t="s">
        <v>6218</v>
      </c>
      <c r="I1" s="3" t="s">
        <v>6219</v>
      </c>
      <c r="J1" s="3" t="s">
        <v>6220</v>
      </c>
      <c r="K1" s="3" t="s">
        <v>6221</v>
      </c>
      <c r="L1" s="3" t="s">
        <v>6222</v>
      </c>
      <c r="M1" s="3" t="s">
        <v>6223</v>
      </c>
      <c r="N1" s="3" t="s">
        <v>6224</v>
      </c>
      <c r="O1" s="3" t="s">
        <v>6225</v>
      </c>
      <c r="P1" s="3" t="s">
        <v>6226</v>
      </c>
      <c r="Q1" s="3" t="s">
        <v>6227</v>
      </c>
      <c r="R1" s="3" t="s">
        <v>6228</v>
      </c>
    </row>
    <row r="2" spans="1:18">
      <c r="A2" s="3" t="s">
        <v>6229</v>
      </c>
      <c r="B2" s="3" t="s">
        <v>6230</v>
      </c>
      <c r="C2" s="3" t="s">
        <v>6231</v>
      </c>
      <c r="D2" s="3" t="s">
        <v>6232</v>
      </c>
      <c r="E2" s="3" t="s">
        <v>1710</v>
      </c>
      <c r="F2" s="3">
        <v>19.99</v>
      </c>
      <c r="G2" s="3" t="s">
        <v>6233</v>
      </c>
      <c r="H2" s="3"/>
      <c r="I2" s="3" t="s">
        <v>6234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0.12</v>
      </c>
      <c r="P2" s="3">
        <v>0</v>
      </c>
      <c r="Q2" s="3">
        <v>0</v>
      </c>
      <c r="R2" s="3">
        <v>0</v>
      </c>
    </row>
    <row r="3" spans="1:18">
      <c r="A3" s="3" t="s">
        <v>6235</v>
      </c>
      <c r="B3" s="3" t="s">
        <v>6236</v>
      </c>
      <c r="C3" s="3" t="s">
        <v>6237</v>
      </c>
      <c r="D3" s="3" t="s">
        <v>6238</v>
      </c>
      <c r="E3" s="3" t="s">
        <v>1710</v>
      </c>
      <c r="F3" s="3">
        <v>19.99</v>
      </c>
      <c r="G3" s="3" t="s">
        <v>6233</v>
      </c>
      <c r="H3" s="3"/>
      <c r="I3" s="3" t="s">
        <v>6234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0.1</v>
      </c>
      <c r="P3" s="3">
        <v>0</v>
      </c>
      <c r="Q3" s="3">
        <v>0</v>
      </c>
      <c r="R3" s="3">
        <v>0</v>
      </c>
    </row>
    <row r="4" spans="1:18">
      <c r="A4" s="3" t="s">
        <v>6239</v>
      </c>
      <c r="B4" s="3" t="s">
        <v>6240</v>
      </c>
      <c r="C4" s="3" t="s">
        <v>6241</v>
      </c>
      <c r="D4" s="3" t="s">
        <v>6242</v>
      </c>
      <c r="E4" s="3" t="s">
        <v>1710</v>
      </c>
      <c r="F4" s="3">
        <v>19.99</v>
      </c>
      <c r="G4" s="3" t="s">
        <v>6233</v>
      </c>
      <c r="H4" s="3"/>
      <c r="I4" s="3" t="s">
        <v>6234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0.06</v>
      </c>
      <c r="P4" s="3">
        <v>0</v>
      </c>
      <c r="Q4" s="3">
        <v>0</v>
      </c>
      <c r="R4" s="3">
        <v>0</v>
      </c>
    </row>
    <row r="5" spans="1:18">
      <c r="A5" s="3" t="s">
        <v>6243</v>
      </c>
      <c r="B5" s="3" t="s">
        <v>6244</v>
      </c>
      <c r="C5" s="3" t="s">
        <v>6245</v>
      </c>
      <c r="D5" s="3" t="s">
        <v>6246</v>
      </c>
      <c r="E5" s="3" t="s">
        <v>1710</v>
      </c>
      <c r="F5" s="3">
        <v>19.99</v>
      </c>
      <c r="G5" s="3" t="s">
        <v>6233</v>
      </c>
      <c r="H5" s="3"/>
      <c r="I5" s="3" t="s">
        <v>6234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0.12</v>
      </c>
      <c r="P5" s="3">
        <v>0</v>
      </c>
      <c r="Q5" s="3">
        <v>0</v>
      </c>
      <c r="R5" s="3">
        <v>0</v>
      </c>
    </row>
    <row r="6" spans="1:18">
      <c r="A6" s="3" t="s">
        <v>2885</v>
      </c>
      <c r="B6" s="3" t="s">
        <v>2886</v>
      </c>
      <c r="C6" s="3" t="s">
        <v>2887</v>
      </c>
      <c r="D6" s="3" t="s">
        <v>2888</v>
      </c>
      <c r="E6" s="3" t="s">
        <v>1710</v>
      </c>
      <c r="F6" s="3">
        <v>39.9</v>
      </c>
      <c r="G6" s="3" t="s">
        <v>6233</v>
      </c>
      <c r="H6" s="3"/>
      <c r="I6" s="3" t="s">
        <v>6234</v>
      </c>
      <c r="J6" s="3">
        <v>1</v>
      </c>
      <c r="K6" s="3">
        <v>1</v>
      </c>
      <c r="L6" s="3">
        <v>0</v>
      </c>
      <c r="M6" s="3">
        <v>0</v>
      </c>
      <c r="N6" s="3">
        <v>1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2543</v>
      </c>
      <c r="B7" s="3" t="s">
        <v>2544</v>
      </c>
      <c r="C7" s="3" t="s">
        <v>2545</v>
      </c>
      <c r="D7" s="3" t="s">
        <v>2546</v>
      </c>
      <c r="E7" s="3" t="s">
        <v>1710</v>
      </c>
      <c r="F7" s="3">
        <v>39.9</v>
      </c>
      <c r="G7" s="3" t="s">
        <v>6233</v>
      </c>
      <c r="H7" s="3"/>
      <c r="I7" s="3" t="s">
        <v>6234</v>
      </c>
      <c r="J7" s="3">
        <v>7</v>
      </c>
      <c r="K7" s="3">
        <v>5</v>
      </c>
      <c r="L7" s="3">
        <v>2</v>
      </c>
      <c r="M7" s="3">
        <v>0</v>
      </c>
      <c r="N7" s="3">
        <v>7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2525</v>
      </c>
      <c r="B8" s="3" t="s">
        <v>2526</v>
      </c>
      <c r="C8" s="3" t="s">
        <v>2527</v>
      </c>
      <c r="D8" s="3" t="s">
        <v>2528</v>
      </c>
      <c r="E8" s="3" t="s">
        <v>1710</v>
      </c>
      <c r="F8" s="3">
        <v>39.9</v>
      </c>
      <c r="G8" s="3" t="s">
        <v>6233</v>
      </c>
      <c r="H8" s="3"/>
      <c r="I8" s="3" t="s">
        <v>6234</v>
      </c>
      <c r="J8" s="3">
        <v>3</v>
      </c>
      <c r="K8" s="3">
        <v>3</v>
      </c>
      <c r="L8" s="3">
        <v>0</v>
      </c>
      <c r="M8" s="3">
        <v>0</v>
      </c>
      <c r="N8" s="3">
        <v>3</v>
      </c>
      <c r="O8" s="3">
        <v>0.07</v>
      </c>
      <c r="P8" s="3">
        <v>0</v>
      </c>
      <c r="Q8" s="3">
        <v>0</v>
      </c>
      <c r="R8" s="3">
        <v>0</v>
      </c>
    </row>
    <row r="9" spans="1:18">
      <c r="A9" s="3" t="s">
        <v>6247</v>
      </c>
      <c r="B9" s="3" t="s">
        <v>6248</v>
      </c>
      <c r="C9" s="3" t="s">
        <v>6249</v>
      </c>
      <c r="D9" s="3" t="s">
        <v>6250</v>
      </c>
      <c r="E9" s="3" t="s">
        <v>1710</v>
      </c>
      <c r="F9" s="3">
        <v>39.9</v>
      </c>
      <c r="G9" s="3" t="s">
        <v>6233</v>
      </c>
      <c r="H9" s="3"/>
      <c r="I9" s="3" t="s">
        <v>6234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0.07</v>
      </c>
      <c r="P9" s="3">
        <v>0</v>
      </c>
      <c r="Q9" s="3">
        <v>0</v>
      </c>
      <c r="R9" s="3">
        <v>0</v>
      </c>
    </row>
    <row r="10" spans="1:18">
      <c r="A10" s="3" t="s">
        <v>6251</v>
      </c>
      <c r="B10" s="3" t="s">
        <v>6252</v>
      </c>
      <c r="C10" s="3" t="s">
        <v>6253</v>
      </c>
      <c r="D10" s="3" t="s">
        <v>6254</v>
      </c>
      <c r="E10" s="3" t="s">
        <v>1710</v>
      </c>
      <c r="F10" s="3">
        <v>39.9</v>
      </c>
      <c r="G10" s="3" t="s">
        <v>6233</v>
      </c>
      <c r="H10" s="3"/>
      <c r="I10" s="3" t="s">
        <v>6234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0.07</v>
      </c>
      <c r="P10" s="3">
        <v>0</v>
      </c>
      <c r="Q10" s="3">
        <v>0</v>
      </c>
      <c r="R10" s="3">
        <v>0</v>
      </c>
    </row>
    <row r="11" spans="1:18">
      <c r="A11" s="3" t="s">
        <v>6255</v>
      </c>
      <c r="B11" s="3" t="s">
        <v>6256</v>
      </c>
      <c r="C11" s="3" t="s">
        <v>6257</v>
      </c>
      <c r="D11" s="3" t="s">
        <v>6258</v>
      </c>
      <c r="E11" s="3" t="s">
        <v>1710</v>
      </c>
      <c r="F11" s="3">
        <v>39.9</v>
      </c>
      <c r="G11" s="3" t="s">
        <v>6233</v>
      </c>
      <c r="H11" s="3"/>
      <c r="I11" s="3" t="s">
        <v>6234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0.07</v>
      </c>
      <c r="P11" s="3">
        <v>0</v>
      </c>
      <c r="Q11" s="3">
        <v>0</v>
      </c>
      <c r="R11" s="3">
        <v>0</v>
      </c>
    </row>
    <row r="12" spans="1:18">
      <c r="A12" s="3" t="s">
        <v>6259</v>
      </c>
      <c r="B12" s="3" t="s">
        <v>6260</v>
      </c>
      <c r="C12" s="3" t="s">
        <v>6261</v>
      </c>
      <c r="D12" s="3" t="s">
        <v>6262</v>
      </c>
      <c r="E12" s="3" t="s">
        <v>1710</v>
      </c>
      <c r="F12" s="3">
        <v>39.9</v>
      </c>
      <c r="G12" s="3" t="s">
        <v>6233</v>
      </c>
      <c r="H12" s="3"/>
      <c r="I12" s="3" t="s">
        <v>6234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0.07</v>
      </c>
      <c r="P12" s="3">
        <v>0</v>
      </c>
      <c r="Q12" s="3">
        <v>0</v>
      </c>
      <c r="R12" s="3">
        <v>0</v>
      </c>
    </row>
    <row r="13" spans="1:18">
      <c r="A13" s="3" t="s">
        <v>6263</v>
      </c>
      <c r="B13" s="3" t="s">
        <v>6264</v>
      </c>
      <c r="C13" s="3" t="s">
        <v>6265</v>
      </c>
      <c r="D13" s="3" t="s">
        <v>3581</v>
      </c>
      <c r="E13" s="3" t="s">
        <v>1710</v>
      </c>
      <c r="F13" s="3">
        <v>28.88</v>
      </c>
      <c r="G13" s="3" t="s">
        <v>6233</v>
      </c>
      <c r="H13" s="3"/>
      <c r="I13" s="3" t="s">
        <v>6234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0.06</v>
      </c>
      <c r="P13" s="3">
        <v>0</v>
      </c>
      <c r="Q13" s="3">
        <v>0</v>
      </c>
      <c r="R13" s="3">
        <v>0</v>
      </c>
    </row>
    <row r="14" spans="1:18">
      <c r="A14" s="3" t="s">
        <v>5760</v>
      </c>
      <c r="B14" s="3" t="s">
        <v>5761</v>
      </c>
      <c r="C14" s="3" t="s">
        <v>5762</v>
      </c>
      <c r="D14" s="3" t="s">
        <v>3581</v>
      </c>
      <c r="E14" s="3" t="s">
        <v>1710</v>
      </c>
      <c r="F14" s="3">
        <v>28.88</v>
      </c>
      <c r="G14" s="3" t="s">
        <v>6233</v>
      </c>
      <c r="H14" s="3"/>
      <c r="I14" s="3" t="s">
        <v>6234</v>
      </c>
      <c r="J14" s="3">
        <v>2</v>
      </c>
      <c r="K14" s="3">
        <v>2</v>
      </c>
      <c r="L14" s="3">
        <v>0</v>
      </c>
      <c r="M14" s="3">
        <v>0</v>
      </c>
      <c r="N14" s="3">
        <v>2</v>
      </c>
      <c r="O14" s="3">
        <v>0.06</v>
      </c>
      <c r="P14" s="3">
        <v>0</v>
      </c>
      <c r="Q14" s="3">
        <v>0</v>
      </c>
      <c r="R14" s="3">
        <v>0</v>
      </c>
    </row>
    <row r="15" spans="1:18">
      <c r="A15" s="3" t="s">
        <v>6266</v>
      </c>
      <c r="B15" s="3" t="s">
        <v>6267</v>
      </c>
      <c r="C15" s="3" t="s">
        <v>6268</v>
      </c>
      <c r="D15" s="3" t="s">
        <v>3581</v>
      </c>
      <c r="E15" s="3" t="s">
        <v>1710</v>
      </c>
      <c r="F15" s="3">
        <v>28.88</v>
      </c>
      <c r="G15" s="3" t="s">
        <v>6233</v>
      </c>
      <c r="H15" s="3"/>
      <c r="I15" s="3" t="s">
        <v>6234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0.06</v>
      </c>
      <c r="P15" s="3">
        <v>0</v>
      </c>
      <c r="Q15" s="3">
        <v>0</v>
      </c>
      <c r="R15" s="3">
        <v>0</v>
      </c>
    </row>
    <row r="16" spans="1:18">
      <c r="A16" s="3" t="s">
        <v>3578</v>
      </c>
      <c r="B16" s="3" t="s">
        <v>3579</v>
      </c>
      <c r="C16" s="3" t="s">
        <v>3580</v>
      </c>
      <c r="D16" s="3" t="s">
        <v>3581</v>
      </c>
      <c r="E16" s="3" t="s">
        <v>1710</v>
      </c>
      <c r="F16" s="3">
        <v>28.88</v>
      </c>
      <c r="G16" s="3" t="s">
        <v>6233</v>
      </c>
      <c r="H16" s="3"/>
      <c r="I16" s="3" t="s">
        <v>6234</v>
      </c>
      <c r="J16" s="3">
        <v>2</v>
      </c>
      <c r="K16" s="3">
        <v>2</v>
      </c>
      <c r="L16" s="3">
        <v>0</v>
      </c>
      <c r="M16" s="3">
        <v>0</v>
      </c>
      <c r="N16" s="3">
        <v>2</v>
      </c>
      <c r="O16" s="3">
        <v>0.06</v>
      </c>
      <c r="P16" s="3">
        <v>0</v>
      </c>
      <c r="Q16" s="3">
        <v>0</v>
      </c>
      <c r="R16" s="3">
        <v>0</v>
      </c>
    </row>
    <row r="17" spans="1:18">
      <c r="A17" s="3" t="s">
        <v>6269</v>
      </c>
      <c r="B17" s="3" t="s">
        <v>6270</v>
      </c>
      <c r="C17" s="3" t="s">
        <v>6271</v>
      </c>
      <c r="D17" s="3" t="s">
        <v>3581</v>
      </c>
      <c r="E17" s="3" t="s">
        <v>1710</v>
      </c>
      <c r="F17" s="3">
        <v>28.88</v>
      </c>
      <c r="G17" s="3" t="s">
        <v>6233</v>
      </c>
      <c r="H17" s="3"/>
      <c r="I17" s="3" t="s">
        <v>6234</v>
      </c>
      <c r="J17" s="3">
        <v>1</v>
      </c>
      <c r="K17" s="3">
        <v>0</v>
      </c>
      <c r="L17" s="3">
        <v>1</v>
      </c>
      <c r="M17" s="3">
        <v>0</v>
      </c>
      <c r="N17" s="3">
        <v>1</v>
      </c>
      <c r="O17" s="3">
        <v>0.06</v>
      </c>
      <c r="P17" s="3">
        <v>0</v>
      </c>
      <c r="Q17" s="3">
        <v>0</v>
      </c>
      <c r="R17" s="3">
        <v>0</v>
      </c>
    </row>
    <row r="18" spans="1:18">
      <c r="A18" s="3" t="s">
        <v>5803</v>
      </c>
      <c r="B18" s="3" t="s">
        <v>5804</v>
      </c>
      <c r="C18" s="3" t="s">
        <v>5805</v>
      </c>
      <c r="D18" s="3" t="s">
        <v>3581</v>
      </c>
      <c r="E18" s="3" t="s">
        <v>1710</v>
      </c>
      <c r="F18" s="3">
        <v>28.88</v>
      </c>
      <c r="G18" s="3" t="s">
        <v>6233</v>
      </c>
      <c r="H18" s="3"/>
      <c r="I18" s="3" t="s">
        <v>6234</v>
      </c>
      <c r="J18" s="3">
        <v>1</v>
      </c>
      <c r="K18" s="3">
        <v>1</v>
      </c>
      <c r="L18" s="3">
        <v>0</v>
      </c>
      <c r="M18" s="3">
        <v>0</v>
      </c>
      <c r="N18" s="3">
        <v>1</v>
      </c>
      <c r="O18" s="3">
        <v>0.06</v>
      </c>
      <c r="P18" s="3">
        <v>0</v>
      </c>
      <c r="Q18" s="3">
        <v>0</v>
      </c>
      <c r="R18" s="3">
        <v>0</v>
      </c>
    </row>
    <row r="19" spans="1:18">
      <c r="A19" s="3" t="s">
        <v>6272</v>
      </c>
      <c r="B19" s="3" t="s">
        <v>6273</v>
      </c>
      <c r="C19" s="3" t="s">
        <v>6274</v>
      </c>
      <c r="D19" s="3"/>
      <c r="E19" s="3" t="s">
        <v>6275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6276</v>
      </c>
      <c r="B20" s="3" t="s">
        <v>6277</v>
      </c>
      <c r="C20" s="3" t="s">
        <v>6278</v>
      </c>
      <c r="D20" s="3" t="s">
        <v>3581</v>
      </c>
      <c r="E20" s="3" t="s">
        <v>1710</v>
      </c>
      <c r="F20" s="3">
        <v>28.88</v>
      </c>
      <c r="G20" s="3" t="s">
        <v>6233</v>
      </c>
      <c r="H20" s="3"/>
      <c r="I20" s="3" t="s">
        <v>6234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0.06</v>
      </c>
      <c r="P20" s="3">
        <v>0</v>
      </c>
      <c r="Q20" s="3">
        <v>0</v>
      </c>
      <c r="R20" s="3">
        <v>0</v>
      </c>
    </row>
    <row r="21" spans="1:18">
      <c r="A21" s="3" t="s">
        <v>6279</v>
      </c>
      <c r="B21" s="3" t="s">
        <v>6280</v>
      </c>
      <c r="C21" s="3" t="s">
        <v>6281</v>
      </c>
      <c r="D21" s="3"/>
      <c r="E21" s="3" t="s">
        <v>6275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6282</v>
      </c>
      <c r="B22" s="3" t="s">
        <v>6283</v>
      </c>
      <c r="C22" s="3" t="s">
        <v>6284</v>
      </c>
      <c r="D22" s="3"/>
      <c r="E22" s="3" t="s">
        <v>6275</v>
      </c>
      <c r="F22" s="3"/>
      <c r="G22" s="3"/>
      <c r="H22" s="3"/>
      <c r="I22" s="3"/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/>
      <c r="P22" s="3">
        <v>0</v>
      </c>
      <c r="Q22" s="3">
        <v>0</v>
      </c>
      <c r="R22" s="3">
        <v>0</v>
      </c>
    </row>
    <row r="23" spans="1:18">
      <c r="A23" s="3" t="s">
        <v>6285</v>
      </c>
      <c r="B23" s="3" t="s">
        <v>6286</v>
      </c>
      <c r="C23" s="3" t="s">
        <v>6287</v>
      </c>
      <c r="D23" s="3"/>
      <c r="E23" s="3" t="s">
        <v>6275</v>
      </c>
      <c r="F23" s="3"/>
      <c r="G23" s="3"/>
      <c r="H23" s="3"/>
      <c r="I23" s="3"/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/>
      <c r="P23" s="3">
        <v>0</v>
      </c>
      <c r="Q23" s="3">
        <v>0</v>
      </c>
      <c r="R23" s="3">
        <v>0</v>
      </c>
    </row>
    <row r="24" spans="1:18">
      <c r="A24" s="3" t="s">
        <v>6288</v>
      </c>
      <c r="B24" s="3" t="s">
        <v>6289</v>
      </c>
      <c r="C24" s="3" t="s">
        <v>6290</v>
      </c>
      <c r="D24" s="3"/>
      <c r="E24" s="3" t="s">
        <v>6275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6291</v>
      </c>
      <c r="B25" s="3" t="s">
        <v>6292</v>
      </c>
      <c r="C25" s="3" t="s">
        <v>6293</v>
      </c>
      <c r="D25" s="3"/>
      <c r="E25" s="3" t="s">
        <v>6275</v>
      </c>
      <c r="F25" s="3"/>
      <c r="G25" s="3"/>
      <c r="H25" s="3"/>
      <c r="I25" s="3"/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6294</v>
      </c>
      <c r="B26" s="3" t="s">
        <v>6295</v>
      </c>
      <c r="C26" s="3" t="s">
        <v>6296</v>
      </c>
      <c r="D26" s="3"/>
      <c r="E26" s="3" t="s">
        <v>6275</v>
      </c>
      <c r="F26" s="3"/>
      <c r="G26" s="3"/>
      <c r="H26" s="3"/>
      <c r="I26" s="3"/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/>
      <c r="P26" s="3">
        <v>0</v>
      </c>
      <c r="Q26" s="3">
        <v>0</v>
      </c>
      <c r="R26" s="3">
        <v>0</v>
      </c>
    </row>
    <row r="27" spans="1:18">
      <c r="A27" s="3" t="s">
        <v>6297</v>
      </c>
      <c r="B27" s="3" t="s">
        <v>6298</v>
      </c>
      <c r="C27" s="3" t="s">
        <v>6299</v>
      </c>
      <c r="D27" s="3"/>
      <c r="E27" s="3" t="s">
        <v>6275</v>
      </c>
      <c r="F27" s="3"/>
      <c r="G27" s="3"/>
      <c r="H27" s="3"/>
      <c r="I27" s="3"/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/>
      <c r="P27" s="3">
        <v>0</v>
      </c>
      <c r="Q27" s="3">
        <v>0</v>
      </c>
      <c r="R27" s="3">
        <v>0</v>
      </c>
    </row>
    <row r="28" spans="1:18">
      <c r="A28" s="3" t="s">
        <v>6300</v>
      </c>
      <c r="B28" s="3" t="s">
        <v>6301</v>
      </c>
      <c r="C28" s="3" t="s">
        <v>6302</v>
      </c>
      <c r="D28" s="3"/>
      <c r="E28" s="3" t="s">
        <v>6275</v>
      </c>
      <c r="F28" s="3"/>
      <c r="G28" s="3"/>
      <c r="H28" s="3"/>
      <c r="I28" s="3"/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/>
      <c r="P28" s="3">
        <v>0</v>
      </c>
      <c r="Q28" s="3">
        <v>0</v>
      </c>
      <c r="R28" s="3">
        <v>0</v>
      </c>
    </row>
    <row r="29" spans="1:18">
      <c r="A29" s="3" t="s">
        <v>6303</v>
      </c>
      <c r="B29" s="3" t="s">
        <v>6304</v>
      </c>
      <c r="C29" s="3" t="s">
        <v>6305</v>
      </c>
      <c r="D29" s="3"/>
      <c r="E29" s="3" t="s">
        <v>6275</v>
      </c>
      <c r="F29" s="3"/>
      <c r="G29" s="3"/>
      <c r="H29" s="3"/>
      <c r="I29" s="3"/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/>
      <c r="P29" s="3">
        <v>0</v>
      </c>
      <c r="Q29" s="3">
        <v>0</v>
      </c>
      <c r="R29" s="3">
        <v>0</v>
      </c>
    </row>
    <row r="30" spans="1:18">
      <c r="A30" s="3" t="s">
        <v>6306</v>
      </c>
      <c r="B30" s="3" t="s">
        <v>6307</v>
      </c>
      <c r="C30" s="3" t="s">
        <v>6308</v>
      </c>
      <c r="D30" s="3"/>
      <c r="E30" s="3" t="s">
        <v>6275</v>
      </c>
      <c r="F30" s="3"/>
      <c r="G30" s="3"/>
      <c r="H30" s="3"/>
      <c r="I30" s="3"/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/>
      <c r="P30" s="3">
        <v>0</v>
      </c>
      <c r="Q30" s="3">
        <v>0</v>
      </c>
      <c r="R30" s="3">
        <v>0</v>
      </c>
    </row>
    <row r="31" spans="1:18">
      <c r="A31" s="3" t="s">
        <v>6309</v>
      </c>
      <c r="B31" s="3" t="s">
        <v>6310</v>
      </c>
      <c r="C31" s="3" t="s">
        <v>6311</v>
      </c>
      <c r="D31" s="3"/>
      <c r="E31" s="3" t="s">
        <v>6275</v>
      </c>
      <c r="F31" s="3"/>
      <c r="G31" s="3"/>
      <c r="H31" s="3"/>
      <c r="I31" s="3"/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/>
      <c r="P31" s="3">
        <v>0</v>
      </c>
      <c r="Q31" s="3">
        <v>0</v>
      </c>
      <c r="R31" s="3">
        <v>0</v>
      </c>
    </row>
    <row r="32" spans="1:18">
      <c r="A32" s="3" t="s">
        <v>6312</v>
      </c>
      <c r="B32" s="3" t="s">
        <v>6313</v>
      </c>
      <c r="C32" s="3" t="s">
        <v>6314</v>
      </c>
      <c r="D32" s="3"/>
      <c r="E32" s="3" t="s">
        <v>6275</v>
      </c>
      <c r="F32" s="3"/>
      <c r="G32" s="3"/>
      <c r="H32" s="3"/>
      <c r="I32" s="3"/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/>
      <c r="P32" s="3">
        <v>0</v>
      </c>
      <c r="Q32" s="3">
        <v>0</v>
      </c>
      <c r="R32" s="3">
        <v>0</v>
      </c>
    </row>
    <row r="33" spans="1:18">
      <c r="A33" s="3" t="s">
        <v>6315</v>
      </c>
      <c r="B33" s="3" t="s">
        <v>6316</v>
      </c>
      <c r="C33" s="3" t="s">
        <v>6317</v>
      </c>
      <c r="D33" s="3"/>
      <c r="E33" s="3" t="s">
        <v>6275</v>
      </c>
      <c r="F33" s="3"/>
      <c r="G33" s="3"/>
      <c r="H33" s="3"/>
      <c r="I33" s="3"/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/>
      <c r="P33" s="3">
        <v>0</v>
      </c>
      <c r="Q33" s="3">
        <v>0</v>
      </c>
      <c r="R33" s="3">
        <v>0</v>
      </c>
    </row>
    <row r="34" spans="1:18">
      <c r="A34" s="3" t="s">
        <v>6318</v>
      </c>
      <c r="B34" s="3" t="s">
        <v>6319</v>
      </c>
      <c r="C34" s="3" t="s">
        <v>6320</v>
      </c>
      <c r="D34" s="3"/>
      <c r="E34" s="3" t="s">
        <v>6275</v>
      </c>
      <c r="F34" s="3"/>
      <c r="G34" s="3"/>
      <c r="H34" s="3"/>
      <c r="I34" s="3"/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/>
      <c r="P34" s="3">
        <v>0</v>
      </c>
      <c r="Q34" s="3">
        <v>0</v>
      </c>
      <c r="R34" s="3">
        <v>0</v>
      </c>
    </row>
    <row r="35" spans="1:18">
      <c r="A35" s="3" t="s">
        <v>6321</v>
      </c>
      <c r="B35" s="3" t="s">
        <v>6322</v>
      </c>
      <c r="C35" s="3" t="s">
        <v>6323</v>
      </c>
      <c r="D35" s="3"/>
      <c r="E35" s="3" t="s">
        <v>6275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6324</v>
      </c>
      <c r="B36" s="3" t="s">
        <v>6325</v>
      </c>
      <c r="C36" s="3" t="s">
        <v>6326</v>
      </c>
      <c r="D36" s="3"/>
      <c r="E36" s="3" t="s">
        <v>6275</v>
      </c>
      <c r="F36" s="3"/>
      <c r="G36" s="3"/>
      <c r="H36" s="3"/>
      <c r="I36" s="3"/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/>
      <c r="P36" s="3">
        <v>0</v>
      </c>
      <c r="Q36" s="3">
        <v>0</v>
      </c>
      <c r="R36" s="3">
        <v>0</v>
      </c>
    </row>
    <row r="37" spans="1:18">
      <c r="A37" s="3" t="s">
        <v>6327</v>
      </c>
      <c r="B37" s="3" t="s">
        <v>6328</v>
      </c>
      <c r="C37" s="3" t="s">
        <v>6329</v>
      </c>
      <c r="D37" s="3"/>
      <c r="E37" s="3" t="s">
        <v>6275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6330</v>
      </c>
      <c r="B38" s="3" t="s">
        <v>6331</v>
      </c>
      <c r="C38" s="3" t="s">
        <v>6332</v>
      </c>
      <c r="D38" s="3"/>
      <c r="E38" s="3" t="s">
        <v>6275</v>
      </c>
      <c r="F38" s="3"/>
      <c r="G38" s="3"/>
      <c r="H38" s="3"/>
      <c r="I38" s="3"/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/>
      <c r="P38" s="3">
        <v>0</v>
      </c>
      <c r="Q38" s="3">
        <v>0</v>
      </c>
      <c r="R38" s="3">
        <v>0</v>
      </c>
    </row>
    <row r="39" spans="1:18">
      <c r="A39" s="3" t="s">
        <v>6333</v>
      </c>
      <c r="B39" s="3" t="s">
        <v>6334</v>
      </c>
      <c r="C39" s="3" t="s">
        <v>6335</v>
      </c>
      <c r="D39" s="3"/>
      <c r="E39" s="3" t="s">
        <v>6275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6336</v>
      </c>
      <c r="B40" s="3" t="s">
        <v>6337</v>
      </c>
      <c r="C40" s="3" t="s">
        <v>6338</v>
      </c>
      <c r="D40" s="3"/>
      <c r="E40" s="3" t="s">
        <v>6275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6339</v>
      </c>
      <c r="B41" s="3" t="s">
        <v>6340</v>
      </c>
      <c r="C41" s="3" t="s">
        <v>6341</v>
      </c>
      <c r="D41" s="3"/>
      <c r="E41" s="3" t="s">
        <v>6275</v>
      </c>
      <c r="F41" s="3"/>
      <c r="G41" s="3"/>
      <c r="H41" s="3"/>
      <c r="I41" s="3"/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/>
      <c r="P41" s="3">
        <v>0</v>
      </c>
      <c r="Q41" s="3">
        <v>0</v>
      </c>
      <c r="R41" s="3">
        <v>0</v>
      </c>
    </row>
    <row r="42" spans="1:18">
      <c r="A42" s="3" t="s">
        <v>6342</v>
      </c>
      <c r="B42" s="3" t="s">
        <v>6343</v>
      </c>
      <c r="C42" s="3" t="s">
        <v>6344</v>
      </c>
      <c r="D42" s="3"/>
      <c r="E42" s="3" t="s">
        <v>6275</v>
      </c>
      <c r="F42" s="3"/>
      <c r="G42" s="3"/>
      <c r="H42" s="3"/>
      <c r="I42" s="3"/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/>
      <c r="P42" s="3">
        <v>0</v>
      </c>
      <c r="Q42" s="3">
        <v>0</v>
      </c>
      <c r="R42" s="3">
        <v>0</v>
      </c>
    </row>
    <row r="43" spans="1:18">
      <c r="A43" s="3" t="s">
        <v>6345</v>
      </c>
      <c r="B43" s="3" t="s">
        <v>6346</v>
      </c>
      <c r="C43" s="3" t="s">
        <v>6347</v>
      </c>
      <c r="D43" s="3"/>
      <c r="E43" s="3" t="s">
        <v>6275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6348</v>
      </c>
      <c r="B44" s="3" t="s">
        <v>6349</v>
      </c>
      <c r="C44" s="3" t="s">
        <v>6350</v>
      </c>
      <c r="D44" s="3"/>
      <c r="E44" s="3" t="s">
        <v>6275</v>
      </c>
      <c r="F44" s="3"/>
      <c r="G44" s="3"/>
      <c r="H44" s="3"/>
      <c r="I44" s="3"/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/>
      <c r="P44" s="3">
        <v>0</v>
      </c>
      <c r="Q44" s="3">
        <v>0</v>
      </c>
      <c r="R44" s="3">
        <v>0</v>
      </c>
    </row>
    <row r="45" spans="1:18">
      <c r="A45" s="3" t="s">
        <v>6351</v>
      </c>
      <c r="B45" s="3" t="s">
        <v>6352</v>
      </c>
      <c r="C45" s="3" t="s">
        <v>6353</v>
      </c>
      <c r="D45" s="3"/>
      <c r="E45" s="3" t="s">
        <v>6275</v>
      </c>
      <c r="F45" s="3"/>
      <c r="G45" s="3"/>
      <c r="H45" s="3"/>
      <c r="I45" s="3"/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/>
      <c r="P45" s="3">
        <v>0</v>
      </c>
      <c r="Q45" s="3">
        <v>0</v>
      </c>
      <c r="R45" s="3">
        <v>0</v>
      </c>
    </row>
    <row r="46" spans="1:18">
      <c r="A46" s="3" t="s">
        <v>6354</v>
      </c>
      <c r="B46" s="3" t="s">
        <v>6355</v>
      </c>
      <c r="C46" s="3" t="s">
        <v>6356</v>
      </c>
      <c r="D46" s="3"/>
      <c r="E46" s="3" t="s">
        <v>6275</v>
      </c>
      <c r="F46" s="3"/>
      <c r="G46" s="3"/>
      <c r="H46" s="3"/>
      <c r="I46" s="3"/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/>
      <c r="P46" s="3">
        <v>0</v>
      </c>
      <c r="Q46" s="3">
        <v>0</v>
      </c>
      <c r="R46" s="3">
        <v>0</v>
      </c>
    </row>
    <row r="47" spans="1:18">
      <c r="A47" s="3" t="s">
        <v>6357</v>
      </c>
      <c r="B47" s="3" t="s">
        <v>6358</v>
      </c>
      <c r="C47" s="3" t="s">
        <v>6359</v>
      </c>
      <c r="D47" s="3"/>
      <c r="E47" s="3" t="s">
        <v>6275</v>
      </c>
      <c r="F47" s="3"/>
      <c r="G47" s="3"/>
      <c r="H47" s="3"/>
      <c r="I47" s="3"/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/>
      <c r="P47" s="3">
        <v>0</v>
      </c>
      <c r="Q47" s="3">
        <v>0</v>
      </c>
      <c r="R47" s="3">
        <v>0</v>
      </c>
    </row>
    <row r="48" spans="1:18">
      <c r="A48" s="3" t="s">
        <v>6360</v>
      </c>
      <c r="B48" s="3" t="s">
        <v>6361</v>
      </c>
      <c r="C48" s="3" t="s">
        <v>6362</v>
      </c>
      <c r="D48" s="3"/>
      <c r="E48" s="3" t="s">
        <v>6275</v>
      </c>
      <c r="F48" s="3"/>
      <c r="G48" s="3"/>
      <c r="H48" s="3"/>
      <c r="I48" s="3"/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/>
      <c r="P48" s="3">
        <v>0</v>
      </c>
      <c r="Q48" s="3">
        <v>0</v>
      </c>
      <c r="R48" s="3">
        <v>0</v>
      </c>
    </row>
    <row r="49" spans="1:18">
      <c r="A49" s="3" t="s">
        <v>6363</v>
      </c>
      <c r="B49" s="3" t="s">
        <v>6364</v>
      </c>
      <c r="C49" s="3" t="s">
        <v>6365</v>
      </c>
      <c r="D49" s="3"/>
      <c r="E49" s="3" t="s">
        <v>6275</v>
      </c>
      <c r="F49" s="3"/>
      <c r="G49" s="3"/>
      <c r="H49" s="3"/>
      <c r="I49" s="3"/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/>
      <c r="P49" s="3">
        <v>0</v>
      </c>
      <c r="Q49" s="3">
        <v>0</v>
      </c>
      <c r="R49" s="3">
        <v>0</v>
      </c>
    </row>
    <row r="50" spans="1:18">
      <c r="A50" s="3" t="s">
        <v>6366</v>
      </c>
      <c r="B50" s="3" t="s">
        <v>6367</v>
      </c>
      <c r="C50" s="3" t="s">
        <v>6368</v>
      </c>
      <c r="D50" s="3"/>
      <c r="E50" s="3" t="s">
        <v>6275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6369</v>
      </c>
      <c r="B51" s="3" t="s">
        <v>6370</v>
      </c>
      <c r="C51" s="3" t="s">
        <v>6371</v>
      </c>
      <c r="D51" s="3"/>
      <c r="E51" s="3" t="s">
        <v>6275</v>
      </c>
      <c r="F51" s="3"/>
      <c r="G51" s="3"/>
      <c r="H51" s="3"/>
      <c r="I51" s="3"/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/>
      <c r="P51" s="3">
        <v>0</v>
      </c>
      <c r="Q51" s="3">
        <v>0</v>
      </c>
      <c r="R51" s="3">
        <v>0</v>
      </c>
    </row>
    <row r="52" spans="1:18">
      <c r="A52" s="3" t="s">
        <v>6372</v>
      </c>
      <c r="B52" s="3" t="s">
        <v>6373</v>
      </c>
      <c r="C52" s="3" t="s">
        <v>6374</v>
      </c>
      <c r="D52" s="3"/>
      <c r="E52" s="3" t="s">
        <v>6275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6375</v>
      </c>
      <c r="B53" s="3" t="s">
        <v>6376</v>
      </c>
      <c r="C53" s="3" t="s">
        <v>6377</v>
      </c>
      <c r="D53" s="3"/>
      <c r="E53" s="3" t="s">
        <v>6275</v>
      </c>
      <c r="F53" s="3"/>
      <c r="G53" s="3"/>
      <c r="H53" s="3"/>
      <c r="I53" s="3"/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/>
      <c r="P53" s="3">
        <v>0</v>
      </c>
      <c r="Q53" s="3">
        <v>0</v>
      </c>
      <c r="R53" s="3">
        <v>0</v>
      </c>
    </row>
    <row r="54" spans="1:18">
      <c r="A54" s="3" t="s">
        <v>6378</v>
      </c>
      <c r="B54" s="3" t="s">
        <v>6379</v>
      </c>
      <c r="C54" s="3" t="s">
        <v>6380</v>
      </c>
      <c r="D54" s="3"/>
      <c r="E54" s="3" t="s">
        <v>6275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6381</v>
      </c>
      <c r="B55" s="3" t="s">
        <v>6382</v>
      </c>
      <c r="C55" s="3" t="s">
        <v>6383</v>
      </c>
      <c r="D55" s="3"/>
      <c r="E55" s="3" t="s">
        <v>6275</v>
      </c>
      <c r="F55" s="3"/>
      <c r="G55" s="3"/>
      <c r="H55" s="3"/>
      <c r="I55" s="3"/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/>
      <c r="P55" s="3">
        <v>0</v>
      </c>
      <c r="Q55" s="3">
        <v>0</v>
      </c>
      <c r="R55" s="3">
        <v>0</v>
      </c>
    </row>
    <row r="56" spans="1:18">
      <c r="A56" s="3" t="s">
        <v>6384</v>
      </c>
      <c r="B56" s="3" t="s">
        <v>6385</v>
      </c>
      <c r="C56" s="3" t="s">
        <v>6386</v>
      </c>
      <c r="D56" s="3"/>
      <c r="E56" s="3" t="s">
        <v>6275</v>
      </c>
      <c r="F56" s="3"/>
      <c r="G56" s="3"/>
      <c r="H56" s="3"/>
      <c r="I56" s="3"/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/>
      <c r="P56" s="3">
        <v>0</v>
      </c>
      <c r="Q56" s="3">
        <v>0</v>
      </c>
      <c r="R56" s="3">
        <v>0</v>
      </c>
    </row>
    <row r="57" spans="1:18">
      <c r="A57" s="3" t="s">
        <v>6387</v>
      </c>
      <c r="B57" s="3" t="s">
        <v>6388</v>
      </c>
      <c r="C57" s="3" t="s">
        <v>6389</v>
      </c>
      <c r="D57" s="3"/>
      <c r="E57" s="3" t="s">
        <v>6275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6390</v>
      </c>
      <c r="B58" s="3" t="s">
        <v>6391</v>
      </c>
      <c r="C58" s="3" t="s">
        <v>6392</v>
      </c>
      <c r="D58" s="3"/>
      <c r="E58" s="3" t="s">
        <v>6275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6393</v>
      </c>
      <c r="B59" s="3" t="s">
        <v>6394</v>
      </c>
      <c r="C59" s="3" t="s">
        <v>6395</v>
      </c>
      <c r="D59" s="3"/>
      <c r="E59" s="3" t="s">
        <v>6275</v>
      </c>
      <c r="F59" s="3"/>
      <c r="G59" s="3"/>
      <c r="H59" s="3"/>
      <c r="I59" s="3"/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/>
      <c r="P59" s="3">
        <v>0</v>
      </c>
      <c r="Q59" s="3">
        <v>0</v>
      </c>
      <c r="R59" s="3">
        <v>0</v>
      </c>
    </row>
    <row r="60" spans="1:18">
      <c r="A60" s="3" t="s">
        <v>6396</v>
      </c>
      <c r="B60" s="3" t="s">
        <v>6397</v>
      </c>
      <c r="C60" s="3" t="s">
        <v>6398</v>
      </c>
      <c r="D60" s="3"/>
      <c r="E60" s="3" t="s">
        <v>6275</v>
      </c>
      <c r="F60" s="3"/>
      <c r="G60" s="3"/>
      <c r="H60" s="3"/>
      <c r="I60" s="3"/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/>
      <c r="P60" s="3">
        <v>0</v>
      </c>
      <c r="Q60" s="3">
        <v>0</v>
      </c>
      <c r="R60" s="3">
        <v>0</v>
      </c>
    </row>
    <row r="61" spans="1:18">
      <c r="A61" s="3" t="s">
        <v>6399</v>
      </c>
      <c r="B61" s="3" t="s">
        <v>6400</v>
      </c>
      <c r="C61" s="3" t="s">
        <v>6401</v>
      </c>
      <c r="D61" s="3"/>
      <c r="E61" s="3" t="s">
        <v>6275</v>
      </c>
      <c r="F61" s="3"/>
      <c r="G61" s="3"/>
      <c r="H61" s="3"/>
      <c r="I61" s="3"/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/>
      <c r="P61" s="3">
        <v>0</v>
      </c>
      <c r="Q61" s="3">
        <v>0</v>
      </c>
      <c r="R61" s="3">
        <v>0</v>
      </c>
    </row>
    <row r="62" spans="1:18">
      <c r="A62" s="3" t="s">
        <v>6402</v>
      </c>
      <c r="B62" s="3" t="s">
        <v>6403</v>
      </c>
      <c r="C62" s="3" t="s">
        <v>6404</v>
      </c>
      <c r="D62" s="3"/>
      <c r="E62" s="3" t="s">
        <v>6275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6405</v>
      </c>
      <c r="B63" s="3" t="s">
        <v>6406</v>
      </c>
      <c r="C63" s="3" t="s">
        <v>6407</v>
      </c>
      <c r="D63" s="3"/>
      <c r="E63" s="3" t="s">
        <v>6275</v>
      </c>
      <c r="F63" s="3"/>
      <c r="G63" s="3"/>
      <c r="H63" s="3"/>
      <c r="I63" s="3"/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/>
      <c r="P63" s="3">
        <v>0</v>
      </c>
      <c r="Q63" s="3">
        <v>0</v>
      </c>
      <c r="R63" s="3">
        <v>0</v>
      </c>
    </row>
    <row r="64" spans="1:18">
      <c r="A64" s="3" t="s">
        <v>6408</v>
      </c>
      <c r="B64" s="3" t="s">
        <v>6409</v>
      </c>
      <c r="C64" s="3" t="s">
        <v>6410</v>
      </c>
      <c r="D64" s="3"/>
      <c r="E64" s="3" t="s">
        <v>6275</v>
      </c>
      <c r="F64" s="3"/>
      <c r="G64" s="3"/>
      <c r="H64" s="3"/>
      <c r="I64" s="3"/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/>
      <c r="P64" s="3">
        <v>0</v>
      </c>
      <c r="Q64" s="3">
        <v>0</v>
      </c>
      <c r="R64" s="3">
        <v>0</v>
      </c>
    </row>
    <row r="65" spans="1:18">
      <c r="A65" s="3" t="s">
        <v>6411</v>
      </c>
      <c r="B65" s="3" t="s">
        <v>6412</v>
      </c>
      <c r="C65" s="3" t="s">
        <v>6413</v>
      </c>
      <c r="D65" s="3"/>
      <c r="E65" s="3" t="s">
        <v>6275</v>
      </c>
      <c r="F65" s="3"/>
      <c r="G65" s="3"/>
      <c r="H65" s="3"/>
      <c r="I65" s="3"/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/>
      <c r="P65" s="3">
        <v>0</v>
      </c>
      <c r="Q65" s="3">
        <v>0</v>
      </c>
      <c r="R65" s="3">
        <v>0</v>
      </c>
    </row>
    <row r="66" spans="1:18">
      <c r="A66" s="3" t="s">
        <v>6414</v>
      </c>
      <c r="B66" s="3" t="s">
        <v>6415</v>
      </c>
      <c r="C66" s="3" t="s">
        <v>6416</v>
      </c>
      <c r="D66" s="3"/>
      <c r="E66" s="3" t="s">
        <v>6275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6417</v>
      </c>
      <c r="B67" s="3" t="s">
        <v>6418</v>
      </c>
      <c r="C67" s="3" t="s">
        <v>6419</v>
      </c>
      <c r="D67" s="3"/>
      <c r="E67" s="3" t="s">
        <v>6275</v>
      </c>
      <c r="F67" s="3"/>
      <c r="G67" s="3"/>
      <c r="H67" s="3"/>
      <c r="I67" s="3"/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/>
      <c r="P67" s="3">
        <v>0</v>
      </c>
      <c r="Q67" s="3">
        <v>0</v>
      </c>
      <c r="R67" s="3">
        <v>0</v>
      </c>
    </row>
    <row r="68" spans="1:18">
      <c r="A68" s="3" t="s">
        <v>6420</v>
      </c>
      <c r="B68" s="3" t="s">
        <v>6421</v>
      </c>
      <c r="C68" s="3" t="s">
        <v>6422</v>
      </c>
      <c r="D68" s="3"/>
      <c r="E68" s="3" t="s">
        <v>6275</v>
      </c>
      <c r="F68" s="3"/>
      <c r="G68" s="3"/>
      <c r="H68" s="3"/>
      <c r="I68" s="3"/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/>
      <c r="P68" s="3">
        <v>0</v>
      </c>
      <c r="Q68" s="3">
        <v>0</v>
      </c>
      <c r="R68" s="3">
        <v>0</v>
      </c>
    </row>
    <row r="69" spans="1:18">
      <c r="A69" s="3" t="s">
        <v>6423</v>
      </c>
      <c r="B69" s="3" t="s">
        <v>6424</v>
      </c>
      <c r="C69" s="3" t="s">
        <v>6425</v>
      </c>
      <c r="D69" s="3"/>
      <c r="E69" s="3" t="s">
        <v>6275</v>
      </c>
      <c r="F69" s="3"/>
      <c r="G69" s="3"/>
      <c r="H69" s="3"/>
      <c r="I69" s="3"/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/>
      <c r="P69" s="3">
        <v>0</v>
      </c>
      <c r="Q69" s="3">
        <v>0</v>
      </c>
      <c r="R69" s="3">
        <v>0</v>
      </c>
    </row>
    <row r="70" spans="1:18">
      <c r="A70" s="3" t="s">
        <v>6426</v>
      </c>
      <c r="B70" s="3" t="s">
        <v>6427</v>
      </c>
      <c r="C70" s="3" t="s">
        <v>6428</v>
      </c>
      <c r="D70" s="3"/>
      <c r="E70" s="3" t="s">
        <v>6275</v>
      </c>
      <c r="F70" s="3"/>
      <c r="G70" s="3"/>
      <c r="H70" s="3"/>
      <c r="I70" s="3"/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/>
      <c r="P70" s="3">
        <v>0</v>
      </c>
      <c r="Q70" s="3">
        <v>0</v>
      </c>
      <c r="R70" s="3">
        <v>0</v>
      </c>
    </row>
    <row r="71" spans="1:18">
      <c r="A71" s="3" t="s">
        <v>6429</v>
      </c>
      <c r="B71" s="3" t="s">
        <v>6430</v>
      </c>
      <c r="C71" s="3" t="s">
        <v>6431</v>
      </c>
      <c r="D71" s="3"/>
      <c r="E71" s="3" t="s">
        <v>6275</v>
      </c>
      <c r="F71" s="3"/>
      <c r="G71" s="3"/>
      <c r="H71" s="3"/>
      <c r="I71" s="3"/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/>
      <c r="P71" s="3">
        <v>0</v>
      </c>
      <c r="Q71" s="3">
        <v>0</v>
      </c>
      <c r="R71" s="3">
        <v>0</v>
      </c>
    </row>
    <row r="72" spans="1:18">
      <c r="A72" s="3" t="s">
        <v>6432</v>
      </c>
      <c r="B72" s="3" t="s">
        <v>6433</v>
      </c>
      <c r="C72" s="3" t="s">
        <v>6434</v>
      </c>
      <c r="D72" s="3"/>
      <c r="E72" s="3" t="s">
        <v>6275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6435</v>
      </c>
      <c r="B73" s="3" t="s">
        <v>6436</v>
      </c>
      <c r="C73" s="3" t="s">
        <v>6437</v>
      </c>
      <c r="D73" s="3"/>
      <c r="E73" s="3" t="s">
        <v>6275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6438</v>
      </c>
      <c r="B74" s="3" t="s">
        <v>6439</v>
      </c>
      <c r="C74" s="3" t="s">
        <v>6440</v>
      </c>
      <c r="D74" s="3"/>
      <c r="E74" s="3" t="s">
        <v>6275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6441</v>
      </c>
      <c r="B75" s="3" t="s">
        <v>6442</v>
      </c>
      <c r="C75" s="3" t="s">
        <v>6443</v>
      </c>
      <c r="D75" s="3"/>
      <c r="E75" s="3" t="s">
        <v>6275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6444</v>
      </c>
      <c r="B76" s="3" t="s">
        <v>6445</v>
      </c>
      <c r="C76" s="3" t="s">
        <v>6446</v>
      </c>
      <c r="D76" s="3"/>
      <c r="E76" s="3" t="s">
        <v>6275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6447</v>
      </c>
      <c r="B77" s="3" t="s">
        <v>6448</v>
      </c>
      <c r="C77" s="3" t="s">
        <v>6449</v>
      </c>
      <c r="D77" s="3"/>
      <c r="E77" s="3" t="s">
        <v>6275</v>
      </c>
      <c r="F77" s="3"/>
      <c r="G77" s="3"/>
      <c r="H77" s="3"/>
      <c r="I77" s="3"/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/>
      <c r="P77" s="3">
        <v>0</v>
      </c>
      <c r="Q77" s="3">
        <v>0</v>
      </c>
      <c r="R77" s="3">
        <v>0</v>
      </c>
    </row>
    <row r="78" spans="1:18">
      <c r="A78" s="3" t="s">
        <v>6450</v>
      </c>
      <c r="B78" s="3" t="s">
        <v>6451</v>
      </c>
      <c r="C78" s="3" t="s">
        <v>6452</v>
      </c>
      <c r="D78" s="3"/>
      <c r="E78" s="3" t="s">
        <v>6275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6453</v>
      </c>
      <c r="B79" s="3" t="s">
        <v>6454</v>
      </c>
      <c r="C79" s="3" t="s">
        <v>6455</v>
      </c>
      <c r="D79" s="3"/>
      <c r="E79" s="3" t="s">
        <v>6275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6456</v>
      </c>
      <c r="B80" s="3" t="s">
        <v>6457</v>
      </c>
      <c r="C80" s="3" t="s">
        <v>6458</v>
      </c>
      <c r="D80" s="3"/>
      <c r="E80" s="3" t="s">
        <v>6275</v>
      </c>
      <c r="F80" s="3"/>
      <c r="G80" s="3"/>
      <c r="H80" s="3"/>
      <c r="I80" s="3"/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/>
      <c r="P80" s="3">
        <v>0</v>
      </c>
      <c r="Q80" s="3">
        <v>0</v>
      </c>
      <c r="R80" s="3">
        <v>0</v>
      </c>
    </row>
    <row r="81" spans="1:18">
      <c r="A81" s="3" t="s">
        <v>6459</v>
      </c>
      <c r="B81" s="3" t="s">
        <v>6460</v>
      </c>
      <c r="C81" s="3" t="s">
        <v>6461</v>
      </c>
      <c r="D81" s="3"/>
      <c r="E81" s="3" t="s">
        <v>6275</v>
      </c>
      <c r="F81" s="3"/>
      <c r="G81" s="3"/>
      <c r="H81" s="3"/>
      <c r="I81" s="3"/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/>
      <c r="P81" s="3">
        <v>0</v>
      </c>
      <c r="Q81" s="3">
        <v>0</v>
      </c>
      <c r="R81" s="3">
        <v>0</v>
      </c>
    </row>
    <row r="82" spans="1:18">
      <c r="A82" s="3" t="s">
        <v>6462</v>
      </c>
      <c r="B82" s="3" t="s">
        <v>6463</v>
      </c>
      <c r="C82" s="3" t="s">
        <v>6464</v>
      </c>
      <c r="D82" s="3"/>
      <c r="E82" s="3" t="s">
        <v>6275</v>
      </c>
      <c r="F82" s="3"/>
      <c r="G82" s="3"/>
      <c r="H82" s="3"/>
      <c r="I82" s="3"/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/>
      <c r="P82" s="3">
        <v>0</v>
      </c>
      <c r="Q82" s="3">
        <v>0</v>
      </c>
      <c r="R82" s="3">
        <v>0</v>
      </c>
    </row>
    <row r="83" spans="1:18">
      <c r="A83" s="3" t="s">
        <v>6465</v>
      </c>
      <c r="B83" s="3" t="s">
        <v>6466</v>
      </c>
      <c r="C83" s="3" t="s">
        <v>6467</v>
      </c>
      <c r="D83" s="3"/>
      <c r="E83" s="3" t="s">
        <v>6275</v>
      </c>
      <c r="F83" s="3"/>
      <c r="G83" s="3"/>
      <c r="H83" s="3"/>
      <c r="I83" s="3"/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/>
      <c r="P83" s="3">
        <v>0</v>
      </c>
      <c r="Q83" s="3">
        <v>0</v>
      </c>
      <c r="R83" s="3">
        <v>0</v>
      </c>
    </row>
    <row r="84" spans="1:18">
      <c r="A84" s="3" t="s">
        <v>6468</v>
      </c>
      <c r="B84" s="3" t="s">
        <v>6469</v>
      </c>
      <c r="C84" s="3" t="s">
        <v>6470</v>
      </c>
      <c r="D84" s="3"/>
      <c r="E84" s="3" t="s">
        <v>6275</v>
      </c>
      <c r="F84" s="3"/>
      <c r="G84" s="3"/>
      <c r="H84" s="3"/>
      <c r="I84" s="3"/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/>
      <c r="P84" s="3">
        <v>0</v>
      </c>
      <c r="Q84" s="3">
        <v>0</v>
      </c>
      <c r="R84" s="3">
        <v>0</v>
      </c>
    </row>
    <row r="85" spans="1:18">
      <c r="A85" s="3" t="s">
        <v>6471</v>
      </c>
      <c r="B85" s="3" t="s">
        <v>6472</v>
      </c>
      <c r="C85" s="3" t="s">
        <v>6473</v>
      </c>
      <c r="D85" s="3"/>
      <c r="E85" s="3" t="s">
        <v>6275</v>
      </c>
      <c r="F85" s="3"/>
      <c r="G85" s="3"/>
      <c r="H85" s="3"/>
      <c r="I85" s="3"/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/>
      <c r="P85" s="3">
        <v>0</v>
      </c>
      <c r="Q85" s="3">
        <v>0</v>
      </c>
      <c r="R85" s="3">
        <v>0</v>
      </c>
    </row>
    <row r="86" spans="1:18">
      <c r="A86" s="3" t="s">
        <v>6474</v>
      </c>
      <c r="B86" s="3" t="s">
        <v>6475</v>
      </c>
      <c r="C86" s="3" t="s">
        <v>6476</v>
      </c>
      <c r="D86" s="3"/>
      <c r="E86" s="3" t="s">
        <v>6275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6477</v>
      </c>
      <c r="B87" s="3" t="s">
        <v>6478</v>
      </c>
      <c r="C87" s="3" t="s">
        <v>6479</v>
      </c>
      <c r="D87" s="3"/>
      <c r="E87" s="3" t="s">
        <v>6275</v>
      </c>
      <c r="F87" s="3"/>
      <c r="G87" s="3"/>
      <c r="H87" s="3"/>
      <c r="I87" s="3"/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/>
      <c r="P87" s="3">
        <v>0</v>
      </c>
      <c r="Q87" s="3">
        <v>0</v>
      </c>
      <c r="R87" s="3">
        <v>0</v>
      </c>
    </row>
    <row r="88" spans="1:18">
      <c r="A88" s="3" t="s">
        <v>6480</v>
      </c>
      <c r="B88" s="3" t="s">
        <v>6481</v>
      </c>
      <c r="C88" s="3" t="s">
        <v>6482</v>
      </c>
      <c r="D88" s="3"/>
      <c r="E88" s="3" t="s">
        <v>6275</v>
      </c>
      <c r="F88" s="3"/>
      <c r="G88" s="3"/>
      <c r="H88" s="3"/>
      <c r="I88" s="3"/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/>
      <c r="P88" s="3">
        <v>0</v>
      </c>
      <c r="Q88" s="3">
        <v>0</v>
      </c>
      <c r="R88" s="3">
        <v>0</v>
      </c>
    </row>
    <row r="89" spans="1:18">
      <c r="A89" s="3" t="s">
        <v>6483</v>
      </c>
      <c r="B89" s="3" t="s">
        <v>6484</v>
      </c>
      <c r="C89" s="3" t="s">
        <v>6485</v>
      </c>
      <c r="D89" s="3"/>
      <c r="E89" s="3" t="s">
        <v>6275</v>
      </c>
      <c r="F89" s="3"/>
      <c r="G89" s="3"/>
      <c r="H89" s="3"/>
      <c r="I89" s="3"/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/>
      <c r="P89" s="3">
        <v>0</v>
      </c>
      <c r="Q89" s="3">
        <v>0</v>
      </c>
      <c r="R89" s="3">
        <v>0</v>
      </c>
    </row>
    <row r="90" spans="1:18">
      <c r="A90" s="3" t="s">
        <v>6486</v>
      </c>
      <c r="B90" s="3" t="s">
        <v>6487</v>
      </c>
      <c r="C90" s="3" t="s">
        <v>6488</v>
      </c>
      <c r="D90" s="3"/>
      <c r="E90" s="3" t="s">
        <v>6275</v>
      </c>
      <c r="F90" s="3"/>
      <c r="G90" s="3"/>
      <c r="H90" s="3"/>
      <c r="I90" s="3"/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/>
      <c r="P90" s="3">
        <v>0</v>
      </c>
      <c r="Q90" s="3">
        <v>0</v>
      </c>
      <c r="R90" s="3">
        <v>0</v>
      </c>
    </row>
    <row r="91" spans="1:18">
      <c r="A91" s="3" t="s">
        <v>6489</v>
      </c>
      <c r="B91" s="3" t="s">
        <v>6490</v>
      </c>
      <c r="C91" s="3" t="s">
        <v>6491</v>
      </c>
      <c r="D91" s="3"/>
      <c r="E91" s="3" t="s">
        <v>6275</v>
      </c>
      <c r="F91" s="3"/>
      <c r="G91" s="3"/>
      <c r="H91" s="3"/>
      <c r="I91" s="3"/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/>
      <c r="P91" s="3">
        <v>0</v>
      </c>
      <c r="Q91" s="3">
        <v>0</v>
      </c>
      <c r="R91" s="3">
        <v>0</v>
      </c>
    </row>
    <row r="92" spans="1:18">
      <c r="A92" s="3" t="s">
        <v>6492</v>
      </c>
      <c r="B92" s="3" t="s">
        <v>6493</v>
      </c>
      <c r="C92" s="3" t="s">
        <v>6494</v>
      </c>
      <c r="D92" s="3"/>
      <c r="E92" s="3" t="s">
        <v>6275</v>
      </c>
      <c r="F92" s="3"/>
      <c r="G92" s="3"/>
      <c r="H92" s="3"/>
      <c r="I92" s="3"/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/>
      <c r="P92" s="3">
        <v>0</v>
      </c>
      <c r="Q92" s="3">
        <v>0</v>
      </c>
      <c r="R92" s="3">
        <v>0</v>
      </c>
    </row>
    <row r="93" spans="1:18">
      <c r="A93" s="3" t="s">
        <v>6495</v>
      </c>
      <c r="B93" s="3" t="s">
        <v>6496</v>
      </c>
      <c r="C93" s="3" t="s">
        <v>6497</v>
      </c>
      <c r="D93" s="3"/>
      <c r="E93" s="3" t="s">
        <v>6275</v>
      </c>
      <c r="F93" s="3"/>
      <c r="G93" s="3"/>
      <c r="H93" s="3"/>
      <c r="I93" s="3"/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/>
      <c r="P93" s="3">
        <v>0</v>
      </c>
      <c r="Q93" s="3">
        <v>0</v>
      </c>
      <c r="R93" s="3">
        <v>0</v>
      </c>
    </row>
    <row r="94" spans="1:18">
      <c r="A94" s="3" t="s">
        <v>6498</v>
      </c>
      <c r="B94" s="3" t="s">
        <v>6499</v>
      </c>
      <c r="C94" s="3" t="s">
        <v>6500</v>
      </c>
      <c r="D94" s="3"/>
      <c r="E94" s="3" t="s">
        <v>6275</v>
      </c>
      <c r="F94" s="3"/>
      <c r="G94" s="3"/>
      <c r="H94" s="3"/>
      <c r="I94" s="3"/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/>
      <c r="P94" s="3">
        <v>0</v>
      </c>
      <c r="Q94" s="3">
        <v>0</v>
      </c>
      <c r="R94" s="3">
        <v>0</v>
      </c>
    </row>
    <row r="95" spans="1:18">
      <c r="A95" s="3" t="s">
        <v>6501</v>
      </c>
      <c r="B95" s="3" t="s">
        <v>6502</v>
      </c>
      <c r="C95" s="3" t="s">
        <v>6503</v>
      </c>
      <c r="D95" s="3"/>
      <c r="E95" s="3" t="s">
        <v>6275</v>
      </c>
      <c r="F95" s="3"/>
      <c r="G95" s="3"/>
      <c r="H95" s="3"/>
      <c r="I95" s="3"/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/>
      <c r="P95" s="3">
        <v>0</v>
      </c>
      <c r="Q95" s="3">
        <v>0</v>
      </c>
      <c r="R95" s="3">
        <v>0</v>
      </c>
    </row>
    <row r="96" spans="1:18">
      <c r="A96" s="3" t="s">
        <v>6504</v>
      </c>
      <c r="B96" s="3" t="s">
        <v>6505</v>
      </c>
      <c r="C96" s="3" t="s">
        <v>6506</v>
      </c>
      <c r="D96" s="3"/>
      <c r="E96" s="3" t="s">
        <v>6275</v>
      </c>
      <c r="F96" s="3"/>
      <c r="G96" s="3"/>
      <c r="H96" s="3"/>
      <c r="I96" s="3"/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/>
      <c r="P96" s="3">
        <v>0</v>
      </c>
      <c r="Q96" s="3">
        <v>0</v>
      </c>
      <c r="R96" s="3">
        <v>0</v>
      </c>
    </row>
    <row r="97" spans="1:18">
      <c r="A97" s="3" t="s">
        <v>6507</v>
      </c>
      <c r="B97" s="3" t="s">
        <v>6508</v>
      </c>
      <c r="C97" s="3" t="s">
        <v>6509</v>
      </c>
      <c r="D97" s="3"/>
      <c r="E97" s="3" t="s">
        <v>6275</v>
      </c>
      <c r="F97" s="3"/>
      <c r="G97" s="3"/>
      <c r="H97" s="3"/>
      <c r="I97" s="3"/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/>
      <c r="P97" s="3">
        <v>0</v>
      </c>
      <c r="Q97" s="3">
        <v>0</v>
      </c>
      <c r="R97" s="3">
        <v>0</v>
      </c>
    </row>
    <row r="98" spans="1:18">
      <c r="A98" s="3" t="s">
        <v>6510</v>
      </c>
      <c r="B98" s="3" t="s">
        <v>6511</v>
      </c>
      <c r="C98" s="3" t="s">
        <v>6512</v>
      </c>
      <c r="D98" s="3"/>
      <c r="E98" s="3" t="s">
        <v>6275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6513</v>
      </c>
      <c r="B99" s="3" t="s">
        <v>6514</v>
      </c>
      <c r="C99" s="3" t="s">
        <v>6515</v>
      </c>
      <c r="D99" s="3"/>
      <c r="E99" s="3" t="s">
        <v>6275</v>
      </c>
      <c r="F99" s="3"/>
      <c r="G99" s="3"/>
      <c r="H99" s="3"/>
      <c r="I99" s="3"/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/>
      <c r="P99" s="3">
        <v>0</v>
      </c>
      <c r="Q99" s="3">
        <v>0</v>
      </c>
      <c r="R99" s="3">
        <v>0</v>
      </c>
    </row>
    <row r="100" spans="1:18">
      <c r="A100" s="3" t="s">
        <v>6516</v>
      </c>
      <c r="B100" s="3" t="s">
        <v>6517</v>
      </c>
      <c r="C100" s="3" t="s">
        <v>6518</v>
      </c>
      <c r="D100" s="3"/>
      <c r="E100" s="3" t="s">
        <v>6275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6519</v>
      </c>
      <c r="B101" s="3" t="s">
        <v>6520</v>
      </c>
      <c r="C101" s="3" t="s">
        <v>6521</v>
      </c>
      <c r="D101" s="3"/>
      <c r="E101" s="3" t="s">
        <v>6275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6522</v>
      </c>
      <c r="B102" s="3" t="s">
        <v>6523</v>
      </c>
      <c r="C102" s="3" t="s">
        <v>6524</v>
      </c>
      <c r="D102" s="3"/>
      <c r="E102" s="3" t="s">
        <v>6275</v>
      </c>
      <c r="F102" s="3"/>
      <c r="G102" s="3"/>
      <c r="H102" s="3"/>
      <c r="I102" s="3"/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/>
      <c r="P102" s="3">
        <v>0</v>
      </c>
      <c r="Q102" s="3">
        <v>0</v>
      </c>
      <c r="R102" s="3">
        <v>0</v>
      </c>
    </row>
    <row r="103" spans="1:18">
      <c r="A103" s="3" t="s">
        <v>6525</v>
      </c>
      <c r="B103" s="3" t="s">
        <v>6526</v>
      </c>
      <c r="C103" s="3" t="s">
        <v>6527</v>
      </c>
      <c r="D103" s="3"/>
      <c r="E103" s="3" t="s">
        <v>6275</v>
      </c>
      <c r="F103" s="3"/>
      <c r="G103" s="3"/>
      <c r="H103" s="3"/>
      <c r="I103" s="3"/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6528</v>
      </c>
      <c r="B104" s="3" t="s">
        <v>6529</v>
      </c>
      <c r="C104" s="3" t="s">
        <v>6530</v>
      </c>
      <c r="D104" s="3"/>
      <c r="E104" s="3" t="s">
        <v>6275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6531</v>
      </c>
      <c r="B105" s="3" t="s">
        <v>6532</v>
      </c>
      <c r="C105" s="3" t="s">
        <v>6533</v>
      </c>
      <c r="D105" s="3"/>
      <c r="E105" s="3" t="s">
        <v>6275</v>
      </c>
      <c r="F105" s="3"/>
      <c r="G105" s="3"/>
      <c r="H105" s="3"/>
      <c r="I105" s="3"/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/>
      <c r="P105" s="3">
        <v>0</v>
      </c>
      <c r="Q105" s="3">
        <v>0</v>
      </c>
      <c r="R105" s="3">
        <v>0</v>
      </c>
    </row>
    <row r="106" spans="1:18">
      <c r="A106" s="3" t="s">
        <v>6534</v>
      </c>
      <c r="B106" s="3" t="s">
        <v>6535</v>
      </c>
      <c r="C106" s="3" t="s">
        <v>6536</v>
      </c>
      <c r="D106" s="3"/>
      <c r="E106" s="3" t="s">
        <v>6275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6537</v>
      </c>
      <c r="B107" s="3" t="s">
        <v>6538</v>
      </c>
      <c r="C107" s="3" t="s">
        <v>6539</v>
      </c>
      <c r="D107" s="3"/>
      <c r="E107" s="3" t="s">
        <v>6275</v>
      </c>
      <c r="F107" s="3"/>
      <c r="G107" s="3"/>
      <c r="H107" s="3"/>
      <c r="I107" s="3"/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6540</v>
      </c>
      <c r="B108" s="3" t="s">
        <v>6541</v>
      </c>
      <c r="C108" s="3" t="s">
        <v>6542</v>
      </c>
      <c r="D108" s="3"/>
      <c r="E108" s="3" t="s">
        <v>6275</v>
      </c>
      <c r="F108" s="3"/>
      <c r="G108" s="3"/>
      <c r="H108" s="3"/>
      <c r="I108" s="3"/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6543</v>
      </c>
      <c r="B109" s="3" t="s">
        <v>6544</v>
      </c>
      <c r="C109" s="3" t="s">
        <v>6545</v>
      </c>
      <c r="D109" s="3"/>
      <c r="E109" s="3" t="s">
        <v>6275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6546</v>
      </c>
      <c r="B110" s="3" t="s">
        <v>6547</v>
      </c>
      <c r="C110" s="3" t="s">
        <v>6548</v>
      </c>
      <c r="D110" s="3"/>
      <c r="E110" s="3" t="s">
        <v>6275</v>
      </c>
      <c r="F110" s="3"/>
      <c r="G110" s="3"/>
      <c r="H110" s="3"/>
      <c r="I110" s="3"/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2879</v>
      </c>
      <c r="B111" s="3" t="s">
        <v>2880</v>
      </c>
      <c r="C111" s="3" t="s">
        <v>2881</v>
      </c>
      <c r="D111" s="3" t="s">
        <v>1815</v>
      </c>
      <c r="E111" s="3" t="s">
        <v>1710</v>
      </c>
      <c r="F111" s="3">
        <v>30</v>
      </c>
      <c r="G111" s="3" t="s">
        <v>6233</v>
      </c>
      <c r="H111" s="3"/>
      <c r="I111" s="3" t="s">
        <v>6234</v>
      </c>
      <c r="J111" s="3">
        <v>2</v>
      </c>
      <c r="K111" s="3">
        <v>2</v>
      </c>
      <c r="L111" s="3">
        <v>0</v>
      </c>
      <c r="M111" s="3">
        <v>0</v>
      </c>
      <c r="N111" s="3">
        <v>2</v>
      </c>
      <c r="O111" s="3">
        <v>0.08</v>
      </c>
      <c r="P111" s="3">
        <v>0</v>
      </c>
      <c r="Q111" s="3">
        <v>0</v>
      </c>
      <c r="R111" s="3">
        <v>0</v>
      </c>
    </row>
    <row r="112" spans="1:18">
      <c r="A112" s="3" t="s">
        <v>1812</v>
      </c>
      <c r="B112" s="3" t="s">
        <v>1813</v>
      </c>
      <c r="C112" s="3" t="s">
        <v>1814</v>
      </c>
      <c r="D112" s="3" t="s">
        <v>1815</v>
      </c>
      <c r="E112" s="3" t="s">
        <v>1710</v>
      </c>
      <c r="F112" s="3">
        <v>30</v>
      </c>
      <c r="G112" s="3" t="s">
        <v>6233</v>
      </c>
      <c r="H112" s="3"/>
      <c r="I112" s="3" t="s">
        <v>6234</v>
      </c>
      <c r="J112" s="3">
        <v>3</v>
      </c>
      <c r="K112" s="3">
        <v>3</v>
      </c>
      <c r="L112" s="3">
        <v>0</v>
      </c>
      <c r="M112" s="3">
        <v>0</v>
      </c>
      <c r="N112" s="3">
        <v>3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6549</v>
      </c>
      <c r="B113" s="3" t="s">
        <v>6550</v>
      </c>
      <c r="C113" s="3" t="s">
        <v>6551</v>
      </c>
      <c r="D113" s="3"/>
      <c r="E113" s="3" t="s">
        <v>6275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6552</v>
      </c>
      <c r="B114" s="3" t="s">
        <v>6553</v>
      </c>
      <c r="C114" s="3" t="s">
        <v>6554</v>
      </c>
      <c r="D114" s="3"/>
      <c r="E114" s="3" t="s">
        <v>6275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6555</v>
      </c>
      <c r="B115" s="3" t="s">
        <v>6556</v>
      </c>
      <c r="C115" s="3" t="s">
        <v>6557</v>
      </c>
      <c r="D115" s="3"/>
      <c r="E115" s="3" t="s">
        <v>6275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6558</v>
      </c>
      <c r="B116" s="3" t="s">
        <v>6559</v>
      </c>
      <c r="C116" s="3" t="s">
        <v>6560</v>
      </c>
      <c r="D116" s="3"/>
      <c r="E116" s="3" t="s">
        <v>6275</v>
      </c>
      <c r="F116" s="3"/>
      <c r="G116" s="3"/>
      <c r="H116" s="3"/>
      <c r="I116" s="3"/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6561</v>
      </c>
      <c r="B117" s="3" t="s">
        <v>6562</v>
      </c>
      <c r="C117" s="3" t="s">
        <v>6563</v>
      </c>
      <c r="D117" s="3"/>
      <c r="E117" s="3" t="s">
        <v>6275</v>
      </c>
      <c r="F117" s="3"/>
      <c r="G117" s="3"/>
      <c r="H117" s="3"/>
      <c r="I117" s="3"/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6564</v>
      </c>
      <c r="B118" s="3" t="s">
        <v>6565</v>
      </c>
      <c r="C118" s="3" t="s">
        <v>6566</v>
      </c>
      <c r="D118" s="3"/>
      <c r="E118" s="3" t="s">
        <v>6275</v>
      </c>
      <c r="F118" s="3"/>
      <c r="G118" s="3"/>
      <c r="H118" s="3"/>
      <c r="I118" s="3"/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/>
      <c r="P118" s="3">
        <v>0</v>
      </c>
      <c r="Q118" s="3">
        <v>0</v>
      </c>
      <c r="R118" s="3">
        <v>0</v>
      </c>
    </row>
    <row r="119" spans="1:18">
      <c r="A119" s="3" t="s">
        <v>4843</v>
      </c>
      <c r="B119" s="3" t="s">
        <v>4844</v>
      </c>
      <c r="C119" s="3" t="s">
        <v>4845</v>
      </c>
      <c r="D119" s="3" t="s">
        <v>1815</v>
      </c>
      <c r="E119" s="3" t="s">
        <v>1710</v>
      </c>
      <c r="F119" s="3">
        <v>30</v>
      </c>
      <c r="G119" s="3" t="s">
        <v>6233</v>
      </c>
      <c r="H119" s="3"/>
      <c r="I119" s="3" t="s">
        <v>6234</v>
      </c>
      <c r="J119" s="3">
        <v>3</v>
      </c>
      <c r="K119" s="3">
        <v>3</v>
      </c>
      <c r="L119" s="3">
        <v>0</v>
      </c>
      <c r="M119" s="3">
        <v>0</v>
      </c>
      <c r="N119" s="3">
        <v>3</v>
      </c>
      <c r="O119" s="3">
        <v>0.08</v>
      </c>
      <c r="P119" s="3">
        <v>0</v>
      </c>
      <c r="Q119" s="3">
        <v>0</v>
      </c>
      <c r="R119" s="3">
        <v>0</v>
      </c>
    </row>
    <row r="120" spans="1:18">
      <c r="A120" s="3" t="s">
        <v>6567</v>
      </c>
      <c r="B120" s="3" t="s">
        <v>6568</v>
      </c>
      <c r="C120" s="3" t="s">
        <v>6569</v>
      </c>
      <c r="D120" s="3"/>
      <c r="E120" s="3" t="s">
        <v>6275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6570</v>
      </c>
      <c r="B121" s="3" t="s">
        <v>6571</v>
      </c>
      <c r="C121" s="3" t="s">
        <v>6572</v>
      </c>
      <c r="D121" s="3"/>
      <c r="E121" s="3" t="s">
        <v>6275</v>
      </c>
      <c r="F121" s="3"/>
      <c r="G121" s="3"/>
      <c r="H121" s="3"/>
      <c r="I121" s="3"/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4395</v>
      </c>
      <c r="B122" s="3" t="s">
        <v>4396</v>
      </c>
      <c r="C122" s="3" t="s">
        <v>4397</v>
      </c>
      <c r="D122" s="3" t="s">
        <v>1815</v>
      </c>
      <c r="E122" s="3" t="s">
        <v>1710</v>
      </c>
      <c r="F122" s="3">
        <v>30</v>
      </c>
      <c r="G122" s="3" t="s">
        <v>6233</v>
      </c>
      <c r="H122" s="3"/>
      <c r="I122" s="3" t="s">
        <v>6234</v>
      </c>
      <c r="J122" s="3">
        <v>1</v>
      </c>
      <c r="K122" s="3">
        <v>1</v>
      </c>
      <c r="L122" s="3">
        <v>0</v>
      </c>
      <c r="M122" s="3">
        <v>0</v>
      </c>
      <c r="N122" s="3">
        <v>1</v>
      </c>
      <c r="O122" s="3">
        <v>0.07</v>
      </c>
      <c r="P122" s="3">
        <v>0</v>
      </c>
      <c r="Q122" s="3">
        <v>0</v>
      </c>
      <c r="R122" s="3">
        <v>0</v>
      </c>
    </row>
    <row r="123" spans="1:18">
      <c r="A123" s="3" t="s">
        <v>6573</v>
      </c>
      <c r="B123" s="3" t="s">
        <v>6574</v>
      </c>
      <c r="C123" s="3" t="s">
        <v>6575</v>
      </c>
      <c r="D123" s="3"/>
      <c r="E123" s="3" t="s">
        <v>6275</v>
      </c>
      <c r="F123" s="3"/>
      <c r="G123" s="3"/>
      <c r="H123" s="3"/>
      <c r="I123" s="3"/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6576</v>
      </c>
      <c r="B124" s="3" t="s">
        <v>6577</v>
      </c>
      <c r="C124" s="3" t="s">
        <v>6578</v>
      </c>
      <c r="D124" s="3"/>
      <c r="E124" s="3" t="s">
        <v>6275</v>
      </c>
      <c r="F124" s="3"/>
      <c r="G124" s="3"/>
      <c r="H124" s="3"/>
      <c r="I124" s="3"/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4929</v>
      </c>
      <c r="B125" s="3" t="s">
        <v>4930</v>
      </c>
      <c r="C125" s="3" t="s">
        <v>4931</v>
      </c>
      <c r="D125" s="3" t="s">
        <v>6579</v>
      </c>
      <c r="E125" s="3" t="s">
        <v>1710</v>
      </c>
      <c r="F125" s="3">
        <v>28.99</v>
      </c>
      <c r="G125" s="3" t="s">
        <v>6233</v>
      </c>
      <c r="H125" s="3"/>
      <c r="I125" s="3" t="s">
        <v>6234</v>
      </c>
      <c r="J125" s="3">
        <v>10</v>
      </c>
      <c r="K125" s="3">
        <v>10</v>
      </c>
      <c r="L125" s="3">
        <v>0</v>
      </c>
      <c r="M125" s="3">
        <v>0</v>
      </c>
      <c r="N125" s="3">
        <v>10</v>
      </c>
      <c r="O125" s="3">
        <v>0.06</v>
      </c>
      <c r="P125" s="3">
        <v>0</v>
      </c>
      <c r="Q125" s="3">
        <v>0</v>
      </c>
      <c r="R125" s="3">
        <v>0</v>
      </c>
    </row>
    <row r="126" spans="1:18">
      <c r="A126" s="3" t="s">
        <v>6580</v>
      </c>
      <c r="B126" s="3" t="s">
        <v>6581</v>
      </c>
      <c r="C126" s="3" t="s">
        <v>6582</v>
      </c>
      <c r="D126" s="3" t="s">
        <v>6583</v>
      </c>
      <c r="E126" s="3" t="s">
        <v>1710</v>
      </c>
      <c r="F126" s="3">
        <v>28.99</v>
      </c>
      <c r="G126" s="3" t="s">
        <v>6233</v>
      </c>
      <c r="H126" s="3"/>
      <c r="I126" s="3" t="s">
        <v>6234</v>
      </c>
      <c r="J126" s="3">
        <v>1</v>
      </c>
      <c r="K126" s="3">
        <v>0</v>
      </c>
      <c r="L126" s="3">
        <v>1</v>
      </c>
      <c r="M126" s="3">
        <v>0</v>
      </c>
      <c r="N126" s="3">
        <v>1</v>
      </c>
      <c r="O126" s="3">
        <v>0.06</v>
      </c>
      <c r="P126" s="3">
        <v>0</v>
      </c>
      <c r="Q126" s="3">
        <v>0</v>
      </c>
      <c r="R126" s="3">
        <v>0</v>
      </c>
    </row>
    <row r="127" spans="1:18">
      <c r="A127" s="3" t="s">
        <v>6584</v>
      </c>
      <c r="B127" s="3" t="s">
        <v>6585</v>
      </c>
      <c r="C127" s="3" t="s">
        <v>6586</v>
      </c>
      <c r="D127" s="3" t="s">
        <v>6587</v>
      </c>
      <c r="E127" s="3" t="s">
        <v>1710</v>
      </c>
      <c r="F127" s="3">
        <v>28.99</v>
      </c>
      <c r="G127" s="3" t="s">
        <v>6233</v>
      </c>
      <c r="H127" s="3"/>
      <c r="I127" s="3" t="s">
        <v>6234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0.01</v>
      </c>
      <c r="P127" s="3">
        <v>0</v>
      </c>
      <c r="Q127" s="3">
        <v>0</v>
      </c>
      <c r="R127" s="3">
        <v>0</v>
      </c>
    </row>
    <row r="128" spans="1:18">
      <c r="A128" s="3" t="s">
        <v>6588</v>
      </c>
      <c r="B128" s="3" t="s">
        <v>6589</v>
      </c>
      <c r="C128" s="3" t="s">
        <v>6590</v>
      </c>
      <c r="D128" s="3" t="s">
        <v>6591</v>
      </c>
      <c r="E128" s="3" t="s">
        <v>1710</v>
      </c>
      <c r="F128" s="3">
        <v>28.99</v>
      </c>
      <c r="G128" s="3" t="s">
        <v>6233</v>
      </c>
      <c r="H128" s="3"/>
      <c r="I128" s="3" t="s">
        <v>6234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0.01</v>
      </c>
      <c r="P128" s="3">
        <v>0</v>
      </c>
      <c r="Q128" s="3">
        <v>0</v>
      </c>
      <c r="R128" s="3">
        <v>0</v>
      </c>
    </row>
    <row r="129" spans="1:18">
      <c r="A129" s="3" t="s">
        <v>4092</v>
      </c>
      <c r="B129" s="3" t="s">
        <v>4093</v>
      </c>
      <c r="C129" s="3" t="s">
        <v>4094</v>
      </c>
      <c r="D129" s="3" t="s">
        <v>6592</v>
      </c>
      <c r="E129" s="3" t="s">
        <v>1710</v>
      </c>
      <c r="F129" s="3">
        <v>28.99</v>
      </c>
      <c r="G129" s="3" t="s">
        <v>6233</v>
      </c>
      <c r="H129" s="3"/>
      <c r="I129" s="3" t="s">
        <v>6234</v>
      </c>
      <c r="J129" s="3">
        <v>2</v>
      </c>
      <c r="K129" s="3">
        <v>2</v>
      </c>
      <c r="L129" s="3">
        <v>0</v>
      </c>
      <c r="M129" s="3">
        <v>0</v>
      </c>
      <c r="N129" s="3">
        <v>2</v>
      </c>
      <c r="O129" s="3">
        <v>0.06</v>
      </c>
      <c r="P129" s="3">
        <v>0</v>
      </c>
      <c r="Q129" s="3">
        <v>0</v>
      </c>
      <c r="R129" s="3">
        <v>0</v>
      </c>
    </row>
    <row r="130" spans="1:18">
      <c r="A130" s="3" t="s">
        <v>5814</v>
      </c>
      <c r="B130" s="3" t="s">
        <v>5815</v>
      </c>
      <c r="C130" s="3" t="s">
        <v>5816</v>
      </c>
      <c r="D130" s="3" t="s">
        <v>5817</v>
      </c>
      <c r="E130" s="3" t="s">
        <v>1710</v>
      </c>
      <c r="F130" s="3">
        <v>28.99</v>
      </c>
      <c r="G130" s="3" t="s">
        <v>6233</v>
      </c>
      <c r="H130" s="3"/>
      <c r="I130" s="3" t="s">
        <v>6234</v>
      </c>
      <c r="J130" s="3">
        <v>6</v>
      </c>
      <c r="K130" s="3">
        <v>5</v>
      </c>
      <c r="L130" s="3">
        <v>1</v>
      </c>
      <c r="M130" s="3">
        <v>0</v>
      </c>
      <c r="N130" s="3">
        <v>11</v>
      </c>
      <c r="O130" s="3">
        <v>0.06</v>
      </c>
      <c r="P130" s="3">
        <v>0</v>
      </c>
      <c r="Q130" s="3">
        <v>5</v>
      </c>
      <c r="R130" s="3">
        <v>0</v>
      </c>
    </row>
    <row r="131" spans="1:18">
      <c r="A131" s="3" t="s">
        <v>16</v>
      </c>
      <c r="B131" s="3" t="s">
        <v>17</v>
      </c>
      <c r="C131" s="3" t="s">
        <v>18</v>
      </c>
      <c r="D131" s="3" t="s">
        <v>19</v>
      </c>
      <c r="E131" s="3" t="s">
        <v>1710</v>
      </c>
      <c r="F131" s="3">
        <v>28.99</v>
      </c>
      <c r="G131" s="3" t="s">
        <v>6233</v>
      </c>
      <c r="H131" s="3"/>
      <c r="I131" s="3" t="s">
        <v>6234</v>
      </c>
      <c r="J131" s="3">
        <v>6</v>
      </c>
      <c r="K131" s="3">
        <v>3</v>
      </c>
      <c r="L131" s="3">
        <v>2</v>
      </c>
      <c r="M131" s="3">
        <v>1</v>
      </c>
      <c r="N131" s="3">
        <v>12</v>
      </c>
      <c r="O131" s="3">
        <v>0.06</v>
      </c>
      <c r="P131" s="3">
        <v>0</v>
      </c>
      <c r="Q131" s="3">
        <v>6</v>
      </c>
      <c r="R131" s="3">
        <v>0</v>
      </c>
    </row>
    <row r="132" spans="1:18">
      <c r="A132" s="3" t="s">
        <v>48</v>
      </c>
      <c r="B132" s="3" t="s">
        <v>49</v>
      </c>
      <c r="C132" s="3" t="s">
        <v>50</v>
      </c>
      <c r="D132" s="3" t="s">
        <v>51</v>
      </c>
      <c r="E132" s="3" t="s">
        <v>1710</v>
      </c>
      <c r="F132" s="3">
        <v>28.99</v>
      </c>
      <c r="G132" s="3" t="s">
        <v>6233</v>
      </c>
      <c r="H132" s="3"/>
      <c r="I132" s="3" t="s">
        <v>6234</v>
      </c>
      <c r="J132" s="3">
        <v>7</v>
      </c>
      <c r="K132" s="3">
        <v>6</v>
      </c>
      <c r="L132" s="3">
        <v>0</v>
      </c>
      <c r="M132" s="3">
        <v>1</v>
      </c>
      <c r="N132" s="3">
        <v>9</v>
      </c>
      <c r="O132" s="3">
        <v>0.06</v>
      </c>
      <c r="P132" s="3">
        <v>0</v>
      </c>
      <c r="Q132" s="3">
        <v>2</v>
      </c>
      <c r="R132" s="3">
        <v>0</v>
      </c>
    </row>
    <row r="133" spans="1:18">
      <c r="A133" s="3" t="s">
        <v>28</v>
      </c>
      <c r="B133" s="3" t="s">
        <v>29</v>
      </c>
      <c r="C133" s="3" t="s">
        <v>30</v>
      </c>
      <c r="D133" s="3" t="s">
        <v>31</v>
      </c>
      <c r="E133" s="3" t="s">
        <v>1710</v>
      </c>
      <c r="F133" s="3">
        <v>28.99</v>
      </c>
      <c r="G133" s="3" t="s">
        <v>6233</v>
      </c>
      <c r="H133" s="3"/>
      <c r="I133" s="3" t="s">
        <v>6234</v>
      </c>
      <c r="J133" s="3">
        <v>12</v>
      </c>
      <c r="K133" s="3">
        <v>9</v>
      </c>
      <c r="L133" s="3">
        <v>1</v>
      </c>
      <c r="M133" s="3">
        <v>2</v>
      </c>
      <c r="N133" s="3">
        <v>12</v>
      </c>
      <c r="O133" s="3">
        <v>0.06</v>
      </c>
      <c r="P133" s="3">
        <v>0</v>
      </c>
      <c r="Q133" s="3">
        <v>0</v>
      </c>
      <c r="R133" s="3">
        <v>0</v>
      </c>
    </row>
    <row r="134" spans="1:18">
      <c r="A134" s="3" t="s">
        <v>4698</v>
      </c>
      <c r="B134" s="3" t="s">
        <v>4699</v>
      </c>
      <c r="C134" s="3" t="s">
        <v>4700</v>
      </c>
      <c r="D134" s="3" t="s">
        <v>6593</v>
      </c>
      <c r="E134" s="3" t="s">
        <v>1710</v>
      </c>
      <c r="F134" s="3">
        <v>28.99</v>
      </c>
      <c r="G134" s="3" t="s">
        <v>6233</v>
      </c>
      <c r="H134" s="3"/>
      <c r="I134" s="3" t="s">
        <v>6234</v>
      </c>
      <c r="J134" s="3">
        <v>8</v>
      </c>
      <c r="K134" s="3">
        <v>8</v>
      </c>
      <c r="L134" s="3">
        <v>0</v>
      </c>
      <c r="M134" s="3">
        <v>0</v>
      </c>
      <c r="N134" s="3">
        <v>12</v>
      </c>
      <c r="O134" s="3">
        <v>0.06</v>
      </c>
      <c r="P134" s="3">
        <v>0</v>
      </c>
      <c r="Q134" s="3">
        <v>4</v>
      </c>
      <c r="R134" s="3">
        <v>0</v>
      </c>
    </row>
    <row r="135" spans="1:18">
      <c r="A135" s="3" t="s">
        <v>6594</v>
      </c>
      <c r="B135" s="3" t="s">
        <v>6595</v>
      </c>
      <c r="C135" s="3" t="s">
        <v>6596</v>
      </c>
      <c r="D135" s="3"/>
      <c r="E135" s="3" t="s">
        <v>6275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12</v>
      </c>
      <c r="B136" s="3" t="s">
        <v>13</v>
      </c>
      <c r="C136" s="3" t="s">
        <v>14</v>
      </c>
      <c r="D136" s="3" t="s">
        <v>15</v>
      </c>
      <c r="E136" s="3" t="s">
        <v>1710</v>
      </c>
      <c r="F136" s="3">
        <v>15.99</v>
      </c>
      <c r="G136" s="3" t="s">
        <v>6233</v>
      </c>
      <c r="H136" s="3"/>
      <c r="I136" s="3" t="s">
        <v>6234</v>
      </c>
      <c r="J136" s="3">
        <v>6</v>
      </c>
      <c r="K136" s="3">
        <v>4</v>
      </c>
      <c r="L136" s="3">
        <v>0</v>
      </c>
      <c r="M136" s="3">
        <v>2</v>
      </c>
      <c r="N136" s="3">
        <v>13</v>
      </c>
      <c r="O136" s="3">
        <v>0.06</v>
      </c>
      <c r="P136" s="3">
        <v>0</v>
      </c>
      <c r="Q136" s="3">
        <v>7</v>
      </c>
      <c r="R136" s="3">
        <v>0</v>
      </c>
    </row>
    <row r="137" spans="1:18">
      <c r="A137" s="3" t="s">
        <v>44</v>
      </c>
      <c r="B137" s="3" t="s">
        <v>45</v>
      </c>
      <c r="C137" s="3" t="s">
        <v>46</v>
      </c>
      <c r="D137" s="3" t="s">
        <v>47</v>
      </c>
      <c r="E137" s="3" t="s">
        <v>1710</v>
      </c>
      <c r="F137" s="3">
        <v>15.99</v>
      </c>
      <c r="G137" s="3" t="s">
        <v>6233</v>
      </c>
      <c r="H137" s="3"/>
      <c r="I137" s="3" t="s">
        <v>6234</v>
      </c>
      <c r="J137" s="3">
        <v>6</v>
      </c>
      <c r="K137" s="3">
        <v>0</v>
      </c>
      <c r="L137" s="3">
        <v>1</v>
      </c>
      <c r="M137" s="3">
        <v>5</v>
      </c>
      <c r="N137" s="3">
        <v>6</v>
      </c>
      <c r="O137" s="3">
        <v>0.06</v>
      </c>
      <c r="P137" s="3">
        <v>0</v>
      </c>
      <c r="Q137" s="3">
        <v>0</v>
      </c>
      <c r="R137" s="3">
        <v>0</v>
      </c>
    </row>
    <row r="138" spans="1:18">
      <c r="A138" s="3" t="s">
        <v>2659</v>
      </c>
      <c r="B138" s="3" t="s">
        <v>2660</v>
      </c>
      <c r="C138" s="3" t="s">
        <v>2661</v>
      </c>
      <c r="D138" s="3" t="s">
        <v>2662</v>
      </c>
      <c r="E138" s="3" t="s">
        <v>1710</v>
      </c>
      <c r="F138" s="3">
        <v>15.99</v>
      </c>
      <c r="G138" s="3" t="s">
        <v>6233</v>
      </c>
      <c r="H138" s="3"/>
      <c r="I138" s="3" t="s">
        <v>6234</v>
      </c>
      <c r="J138" s="3">
        <v>1</v>
      </c>
      <c r="K138" s="3">
        <v>0</v>
      </c>
      <c r="L138" s="3">
        <v>1</v>
      </c>
      <c r="M138" s="3">
        <v>0</v>
      </c>
      <c r="N138" s="3">
        <v>1</v>
      </c>
      <c r="O138" s="3">
        <v>0.06</v>
      </c>
      <c r="P138" s="3">
        <v>0</v>
      </c>
      <c r="Q138" s="3">
        <v>0</v>
      </c>
      <c r="R138" s="3">
        <v>0</v>
      </c>
    </row>
    <row r="139" spans="1:18">
      <c r="A139" s="3" t="s">
        <v>2403</v>
      </c>
      <c r="B139" s="3" t="s">
        <v>2404</v>
      </c>
      <c r="C139" s="3" t="s">
        <v>2405</v>
      </c>
      <c r="D139" s="3" t="s">
        <v>2406</v>
      </c>
      <c r="E139" s="3" t="s">
        <v>1710</v>
      </c>
      <c r="F139" s="3">
        <v>15.99</v>
      </c>
      <c r="G139" s="3" t="s">
        <v>6233</v>
      </c>
      <c r="H139" s="3"/>
      <c r="I139" s="3" t="s">
        <v>6234</v>
      </c>
      <c r="J139" s="3">
        <v>0</v>
      </c>
      <c r="K139" s="3">
        <v>0</v>
      </c>
      <c r="L139" s="3">
        <v>0</v>
      </c>
      <c r="M139" s="3">
        <v>0</v>
      </c>
      <c r="N139" s="3">
        <v>9</v>
      </c>
      <c r="O139" s="3">
        <v>0.06</v>
      </c>
      <c r="P139" s="3">
        <v>0</v>
      </c>
      <c r="Q139" s="3">
        <v>9</v>
      </c>
      <c r="R139" s="3">
        <v>0</v>
      </c>
    </row>
    <row r="140" spans="1:18">
      <c r="A140" s="3" t="s">
        <v>4238</v>
      </c>
      <c r="B140" s="3" t="s">
        <v>4239</v>
      </c>
      <c r="C140" s="3" t="s">
        <v>4240</v>
      </c>
      <c r="D140" s="3" t="s">
        <v>6597</v>
      </c>
      <c r="E140" s="3" t="s">
        <v>1710</v>
      </c>
      <c r="F140" s="3">
        <v>15.99</v>
      </c>
      <c r="G140" s="3" t="s">
        <v>6233</v>
      </c>
      <c r="H140" s="3"/>
      <c r="I140" s="3" t="s">
        <v>6234</v>
      </c>
      <c r="J140" s="3">
        <v>1</v>
      </c>
      <c r="K140" s="3">
        <v>0</v>
      </c>
      <c r="L140" s="3">
        <v>1</v>
      </c>
      <c r="M140" s="3">
        <v>0</v>
      </c>
      <c r="N140" s="3">
        <v>1</v>
      </c>
      <c r="O140" s="3">
        <v>0.06</v>
      </c>
      <c r="P140" s="3">
        <v>0</v>
      </c>
      <c r="Q140" s="3">
        <v>0</v>
      </c>
      <c r="R140" s="3">
        <v>0</v>
      </c>
    </row>
    <row r="141" spans="1:18">
      <c r="A141" s="3" t="s">
        <v>5580</v>
      </c>
      <c r="B141" s="3" t="s">
        <v>5581</v>
      </c>
      <c r="C141" s="3" t="s">
        <v>5582</v>
      </c>
      <c r="D141" s="3" t="s">
        <v>6598</v>
      </c>
      <c r="E141" s="3" t="s">
        <v>1710</v>
      </c>
      <c r="F141" s="3">
        <v>28.99</v>
      </c>
      <c r="G141" s="3" t="s">
        <v>6233</v>
      </c>
      <c r="H141" s="3"/>
      <c r="I141" s="3" t="s">
        <v>6234</v>
      </c>
      <c r="J141" s="3">
        <v>7</v>
      </c>
      <c r="K141" s="3">
        <v>7</v>
      </c>
      <c r="L141" s="3">
        <v>0</v>
      </c>
      <c r="M141" s="3">
        <v>0</v>
      </c>
      <c r="N141" s="3">
        <v>7</v>
      </c>
      <c r="O141" s="3">
        <v>0.06</v>
      </c>
      <c r="P141" s="3">
        <v>0</v>
      </c>
      <c r="Q141" s="3">
        <v>0</v>
      </c>
      <c r="R141" s="3">
        <v>0</v>
      </c>
    </row>
    <row r="142" spans="1:18">
      <c r="A142" s="3" t="s">
        <v>3142</v>
      </c>
      <c r="B142" s="3" t="s">
        <v>3143</v>
      </c>
      <c r="C142" s="3" t="s">
        <v>3144</v>
      </c>
      <c r="D142" s="3" t="s">
        <v>6599</v>
      </c>
      <c r="E142" s="3" t="s">
        <v>1710</v>
      </c>
      <c r="F142" s="3">
        <v>28.99</v>
      </c>
      <c r="G142" s="3" t="s">
        <v>6233</v>
      </c>
      <c r="H142" s="3"/>
      <c r="I142" s="3" t="s">
        <v>6234</v>
      </c>
      <c r="J142" s="3">
        <v>2</v>
      </c>
      <c r="K142" s="3">
        <v>2</v>
      </c>
      <c r="L142" s="3">
        <v>0</v>
      </c>
      <c r="M142" s="3">
        <v>0</v>
      </c>
      <c r="N142" s="3">
        <v>2</v>
      </c>
      <c r="O142" s="3">
        <v>0.06</v>
      </c>
      <c r="P142" s="3">
        <v>0</v>
      </c>
      <c r="Q142" s="3">
        <v>0</v>
      </c>
      <c r="R142" s="3">
        <v>0</v>
      </c>
    </row>
    <row r="143" spans="1:18">
      <c r="A143" s="3" t="s">
        <v>6600</v>
      </c>
      <c r="B143" s="3" t="s">
        <v>6601</v>
      </c>
      <c r="C143" s="3" t="s">
        <v>6602</v>
      </c>
      <c r="D143" s="3" t="s">
        <v>6603</v>
      </c>
      <c r="E143" s="3" t="s">
        <v>1710</v>
      </c>
      <c r="F143" s="3">
        <v>28.99</v>
      </c>
      <c r="G143" s="3" t="s">
        <v>6233</v>
      </c>
      <c r="H143" s="3"/>
      <c r="I143" s="3" t="s">
        <v>6234</v>
      </c>
      <c r="J143" s="3">
        <v>1</v>
      </c>
      <c r="K143" s="3">
        <v>0</v>
      </c>
      <c r="L143" s="3">
        <v>1</v>
      </c>
      <c r="M143" s="3">
        <v>0</v>
      </c>
      <c r="N143" s="3">
        <v>1</v>
      </c>
      <c r="O143" s="3">
        <v>0.06</v>
      </c>
      <c r="P143" s="3">
        <v>0</v>
      </c>
      <c r="Q143" s="3">
        <v>0</v>
      </c>
      <c r="R143" s="3">
        <v>0</v>
      </c>
    </row>
    <row r="144" spans="1:18">
      <c r="A144" s="3" t="s">
        <v>4253</v>
      </c>
      <c r="B144" s="3" t="s">
        <v>4254</v>
      </c>
      <c r="C144" s="3" t="s">
        <v>4255</v>
      </c>
      <c r="D144" s="3" t="s">
        <v>6604</v>
      </c>
      <c r="E144" s="3" t="s">
        <v>1710</v>
      </c>
      <c r="F144" s="3">
        <v>9.99</v>
      </c>
      <c r="G144" s="3" t="s">
        <v>6233</v>
      </c>
      <c r="H144" s="3"/>
      <c r="I144" s="3" t="s">
        <v>6234</v>
      </c>
      <c r="J144" s="3">
        <v>1</v>
      </c>
      <c r="K144" s="3">
        <v>0</v>
      </c>
      <c r="L144" s="3">
        <v>1</v>
      </c>
      <c r="M144" s="3">
        <v>0</v>
      </c>
      <c r="N144" s="3">
        <v>1</v>
      </c>
      <c r="O144" s="3">
        <v>0.03</v>
      </c>
      <c r="P144" s="3">
        <v>0</v>
      </c>
      <c r="Q144" s="3">
        <v>0</v>
      </c>
      <c r="R144" s="3">
        <v>0</v>
      </c>
    </row>
    <row r="145" spans="1:18">
      <c r="A145" s="3" t="s">
        <v>5268</v>
      </c>
      <c r="B145" s="3" t="s">
        <v>5269</v>
      </c>
      <c r="C145" s="3" t="s">
        <v>5270</v>
      </c>
      <c r="D145" s="3" t="s">
        <v>6605</v>
      </c>
      <c r="E145" s="3" t="s">
        <v>1710</v>
      </c>
      <c r="F145" s="3">
        <v>28.99</v>
      </c>
      <c r="G145" s="3" t="s">
        <v>6233</v>
      </c>
      <c r="H145" s="3"/>
      <c r="I145" s="3" t="s">
        <v>6234</v>
      </c>
      <c r="J145" s="3">
        <v>10</v>
      </c>
      <c r="K145" s="3">
        <v>10</v>
      </c>
      <c r="L145" s="3">
        <v>0</v>
      </c>
      <c r="M145" s="3">
        <v>0</v>
      </c>
      <c r="N145" s="3">
        <v>10</v>
      </c>
      <c r="O145" s="3">
        <v>0.01</v>
      </c>
      <c r="P145" s="3">
        <v>0</v>
      </c>
      <c r="Q145" s="3">
        <v>0</v>
      </c>
      <c r="R145" s="3">
        <v>0</v>
      </c>
    </row>
    <row r="146" spans="1:18">
      <c r="A146" s="3" t="s">
        <v>5856</v>
      </c>
      <c r="B146" s="3" t="s">
        <v>5857</v>
      </c>
      <c r="C146" s="3" t="s">
        <v>5858</v>
      </c>
      <c r="D146" s="3" t="s">
        <v>6606</v>
      </c>
      <c r="E146" s="3" t="s">
        <v>1710</v>
      </c>
      <c r="F146" s="3">
        <v>28.99</v>
      </c>
      <c r="G146" s="3" t="s">
        <v>6233</v>
      </c>
      <c r="H146" s="3"/>
      <c r="I146" s="3" t="s">
        <v>6234</v>
      </c>
      <c r="J146" s="3">
        <v>4</v>
      </c>
      <c r="K146" s="3">
        <v>4</v>
      </c>
      <c r="L146" s="3">
        <v>0</v>
      </c>
      <c r="M146" s="3">
        <v>0</v>
      </c>
      <c r="N146" s="3">
        <v>4</v>
      </c>
      <c r="O146" s="3">
        <v>0.06</v>
      </c>
      <c r="P146" s="3">
        <v>0</v>
      </c>
      <c r="Q146" s="3">
        <v>0</v>
      </c>
      <c r="R146" s="3">
        <v>0</v>
      </c>
    </row>
    <row r="147" spans="1:18">
      <c r="A147" s="3" t="s">
        <v>6607</v>
      </c>
      <c r="B147" s="3" t="s">
        <v>6608</v>
      </c>
      <c r="C147" s="3" t="s">
        <v>6609</v>
      </c>
      <c r="D147" s="3" t="s">
        <v>6610</v>
      </c>
      <c r="E147" s="3" t="s">
        <v>1710</v>
      </c>
      <c r="F147" s="3">
        <v>28.99</v>
      </c>
      <c r="G147" s="3" t="s">
        <v>6233</v>
      </c>
      <c r="H147" s="3"/>
      <c r="I147" s="3" t="s">
        <v>6234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0.06</v>
      </c>
      <c r="P147" s="3">
        <v>0</v>
      </c>
      <c r="Q147" s="3">
        <v>0</v>
      </c>
      <c r="R147" s="3">
        <v>0</v>
      </c>
    </row>
    <row r="148" spans="1:18">
      <c r="A148" s="3" t="s">
        <v>2856</v>
      </c>
      <c r="B148" s="3" t="s">
        <v>2857</v>
      </c>
      <c r="C148" s="3" t="s">
        <v>2858</v>
      </c>
      <c r="D148" s="3" t="s">
        <v>6611</v>
      </c>
      <c r="E148" s="3" t="s">
        <v>1710</v>
      </c>
      <c r="F148" s="3">
        <v>28.99</v>
      </c>
      <c r="G148" s="3" t="s">
        <v>6233</v>
      </c>
      <c r="H148" s="3"/>
      <c r="I148" s="3" t="s">
        <v>6234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0.06</v>
      </c>
      <c r="P148" s="3">
        <v>0</v>
      </c>
      <c r="Q148" s="3">
        <v>0</v>
      </c>
      <c r="R148" s="3">
        <v>0</v>
      </c>
    </row>
    <row r="149" spans="1:18">
      <c r="A149" s="3" t="s">
        <v>4498</v>
      </c>
      <c r="B149" s="3" t="s">
        <v>4499</v>
      </c>
      <c r="C149" s="3" t="s">
        <v>4500</v>
      </c>
      <c r="D149" s="3" t="s">
        <v>6612</v>
      </c>
      <c r="E149" s="3" t="s">
        <v>1710</v>
      </c>
      <c r="F149" s="3">
        <v>28.99</v>
      </c>
      <c r="G149" s="3" t="s">
        <v>6233</v>
      </c>
      <c r="H149" s="3"/>
      <c r="I149" s="3" t="s">
        <v>6234</v>
      </c>
      <c r="J149" s="3">
        <v>3</v>
      </c>
      <c r="K149" s="3">
        <v>3</v>
      </c>
      <c r="L149" s="3">
        <v>0</v>
      </c>
      <c r="M149" s="3">
        <v>0</v>
      </c>
      <c r="N149" s="3">
        <v>3</v>
      </c>
      <c r="O149" s="3">
        <v>0.06</v>
      </c>
      <c r="P149" s="3">
        <v>0</v>
      </c>
      <c r="Q149" s="3">
        <v>0</v>
      </c>
      <c r="R149" s="3">
        <v>0</v>
      </c>
    </row>
    <row r="150" spans="1:18">
      <c r="A150" s="3" t="s">
        <v>8</v>
      </c>
      <c r="B150" s="3" t="s">
        <v>9</v>
      </c>
      <c r="C150" s="3" t="s">
        <v>10</v>
      </c>
      <c r="D150" s="3" t="s">
        <v>2312</v>
      </c>
      <c r="E150" s="3" t="s">
        <v>1710</v>
      </c>
      <c r="F150" s="3">
        <v>28.99</v>
      </c>
      <c r="G150" s="3" t="s">
        <v>6233</v>
      </c>
      <c r="H150" s="3"/>
      <c r="I150" s="3" t="s">
        <v>6234</v>
      </c>
      <c r="J150" s="3">
        <v>2</v>
      </c>
      <c r="K150" s="3">
        <v>1</v>
      </c>
      <c r="L150" s="3">
        <v>0</v>
      </c>
      <c r="M150" s="3">
        <v>1</v>
      </c>
      <c r="N150" s="3">
        <v>2</v>
      </c>
      <c r="O150" s="3">
        <v>0.06</v>
      </c>
      <c r="P150" s="3">
        <v>0</v>
      </c>
      <c r="Q150" s="3">
        <v>0</v>
      </c>
      <c r="R150" s="3">
        <v>0</v>
      </c>
    </row>
    <row r="151" spans="1:18">
      <c r="A151" s="3" t="s">
        <v>5126</v>
      </c>
      <c r="B151" s="3" t="s">
        <v>5127</v>
      </c>
      <c r="C151" s="3" t="s">
        <v>5128</v>
      </c>
      <c r="D151" s="3" t="s">
        <v>5129</v>
      </c>
      <c r="E151" s="3" t="s">
        <v>1710</v>
      </c>
      <c r="F151" s="3">
        <v>28.99</v>
      </c>
      <c r="G151" s="3" t="s">
        <v>6233</v>
      </c>
      <c r="H151" s="3"/>
      <c r="I151" s="3" t="s">
        <v>6234</v>
      </c>
      <c r="J151" s="3">
        <v>4</v>
      </c>
      <c r="K151" s="3">
        <v>3</v>
      </c>
      <c r="L151" s="3">
        <v>1</v>
      </c>
      <c r="M151" s="3">
        <v>0</v>
      </c>
      <c r="N151" s="3">
        <v>4</v>
      </c>
      <c r="O151" s="3">
        <v>0.06</v>
      </c>
      <c r="P151" s="3">
        <v>0</v>
      </c>
      <c r="Q151" s="3">
        <v>0</v>
      </c>
      <c r="R151" s="3">
        <v>0</v>
      </c>
    </row>
    <row r="152" spans="1:18">
      <c r="A152" s="3" t="s">
        <v>3554</v>
      </c>
      <c r="B152" s="3" t="s">
        <v>3555</v>
      </c>
      <c r="C152" s="3" t="s">
        <v>3556</v>
      </c>
      <c r="D152" s="3" t="s">
        <v>6613</v>
      </c>
      <c r="E152" s="3" t="s">
        <v>1710</v>
      </c>
      <c r="F152" s="3">
        <v>28.99</v>
      </c>
      <c r="G152" s="3" t="s">
        <v>6233</v>
      </c>
      <c r="H152" s="3"/>
      <c r="I152" s="3" t="s">
        <v>6234</v>
      </c>
      <c r="J152" s="3">
        <v>8</v>
      </c>
      <c r="K152" s="3">
        <v>8</v>
      </c>
      <c r="L152" s="3">
        <v>0</v>
      </c>
      <c r="M152" s="3">
        <v>0</v>
      </c>
      <c r="N152" s="3">
        <v>8</v>
      </c>
      <c r="O152" s="3">
        <v>0.06</v>
      </c>
      <c r="P152" s="3">
        <v>0</v>
      </c>
      <c r="Q152" s="3">
        <v>0</v>
      </c>
      <c r="R152" s="3">
        <v>0</v>
      </c>
    </row>
    <row r="153" spans="1:18">
      <c r="A153" s="3" t="s">
        <v>4301</v>
      </c>
      <c r="B153" s="3" t="s">
        <v>4302</v>
      </c>
      <c r="C153" s="3" t="s">
        <v>4303</v>
      </c>
      <c r="D153" s="3" t="s">
        <v>6614</v>
      </c>
      <c r="E153" s="3" t="s">
        <v>1710</v>
      </c>
      <c r="F153" s="3">
        <v>28.99</v>
      </c>
      <c r="G153" s="3" t="s">
        <v>6233</v>
      </c>
      <c r="H153" s="3"/>
      <c r="I153" s="3" t="s">
        <v>6234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0.06</v>
      </c>
      <c r="P153" s="3">
        <v>0</v>
      </c>
      <c r="Q153" s="3">
        <v>0</v>
      </c>
      <c r="R153" s="3">
        <v>0</v>
      </c>
    </row>
    <row r="154" spans="1:18">
      <c r="A154" s="3" t="s">
        <v>6139</v>
      </c>
      <c r="B154" s="3" t="s">
        <v>6140</v>
      </c>
      <c r="C154" s="3" t="s">
        <v>6141</v>
      </c>
      <c r="D154" s="3" t="s">
        <v>6615</v>
      </c>
      <c r="E154" s="3" t="s">
        <v>1710</v>
      </c>
      <c r="F154" s="3">
        <v>28.99</v>
      </c>
      <c r="G154" s="3" t="s">
        <v>6233</v>
      </c>
      <c r="H154" s="3"/>
      <c r="I154" s="3" t="s">
        <v>6234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0.06</v>
      </c>
      <c r="P154" s="3">
        <v>0</v>
      </c>
      <c r="Q154" s="3">
        <v>0</v>
      </c>
      <c r="R154" s="3">
        <v>0</v>
      </c>
    </row>
    <row r="155" spans="1:18">
      <c r="A155" s="3" t="s">
        <v>5945</v>
      </c>
      <c r="B155" s="3" t="s">
        <v>5946</v>
      </c>
      <c r="C155" s="3" t="s">
        <v>5947</v>
      </c>
      <c r="D155" s="3" t="s">
        <v>6616</v>
      </c>
      <c r="E155" s="3" t="s">
        <v>1710</v>
      </c>
      <c r="F155" s="3">
        <v>28.99</v>
      </c>
      <c r="G155" s="3" t="s">
        <v>6233</v>
      </c>
      <c r="H155" s="3"/>
      <c r="I155" s="3" t="s">
        <v>6234</v>
      </c>
      <c r="J155" s="3">
        <v>4</v>
      </c>
      <c r="K155" s="3">
        <v>4</v>
      </c>
      <c r="L155" s="3">
        <v>0</v>
      </c>
      <c r="M155" s="3">
        <v>0</v>
      </c>
      <c r="N155" s="3">
        <v>4</v>
      </c>
      <c r="O155" s="3">
        <v>0.06</v>
      </c>
      <c r="P155" s="3">
        <v>0</v>
      </c>
      <c r="Q155" s="3">
        <v>0</v>
      </c>
      <c r="R155" s="3">
        <v>0</v>
      </c>
    </row>
    <row r="156" spans="1:18">
      <c r="A156" s="3" t="s">
        <v>20</v>
      </c>
      <c r="B156" s="3" t="s">
        <v>21</v>
      </c>
      <c r="C156" s="3" t="s">
        <v>22</v>
      </c>
      <c r="D156" s="3" t="s">
        <v>23</v>
      </c>
      <c r="E156" s="3" t="s">
        <v>1710</v>
      </c>
      <c r="F156" s="3">
        <v>28.99</v>
      </c>
      <c r="G156" s="3" t="s">
        <v>6233</v>
      </c>
      <c r="H156" s="3"/>
      <c r="I156" s="3" t="s">
        <v>6234</v>
      </c>
      <c r="J156" s="3">
        <v>8</v>
      </c>
      <c r="K156" s="3">
        <v>7</v>
      </c>
      <c r="L156" s="3">
        <v>0</v>
      </c>
      <c r="M156" s="3">
        <v>1</v>
      </c>
      <c r="N156" s="3">
        <v>8</v>
      </c>
      <c r="O156" s="3">
        <v>0.06</v>
      </c>
      <c r="P156" s="3">
        <v>0</v>
      </c>
      <c r="Q156" s="3">
        <v>0</v>
      </c>
      <c r="R156" s="3">
        <v>0</v>
      </c>
    </row>
    <row r="157" spans="1:18">
      <c r="A157" s="3" t="s">
        <v>6617</v>
      </c>
      <c r="B157" s="3" t="s">
        <v>6618</v>
      </c>
      <c r="C157" s="3" t="s">
        <v>6619</v>
      </c>
      <c r="D157" s="3" t="s">
        <v>6620</v>
      </c>
      <c r="E157" s="3" t="s">
        <v>1710</v>
      </c>
      <c r="F157" s="3">
        <v>28.99</v>
      </c>
      <c r="G157" s="3" t="s">
        <v>6233</v>
      </c>
      <c r="H157" s="3"/>
      <c r="I157" s="3" t="s">
        <v>6234</v>
      </c>
      <c r="J157" s="3">
        <v>1</v>
      </c>
      <c r="K157" s="3">
        <v>0</v>
      </c>
      <c r="L157" s="3">
        <v>1</v>
      </c>
      <c r="M157" s="3">
        <v>0</v>
      </c>
      <c r="N157" s="3">
        <v>33</v>
      </c>
      <c r="O157" s="3">
        <v>0.06</v>
      </c>
      <c r="P157" s="3">
        <v>0</v>
      </c>
      <c r="Q157" s="3">
        <v>32</v>
      </c>
      <c r="R157" s="3">
        <v>0</v>
      </c>
    </row>
    <row r="158" spans="1:18">
      <c r="A158" s="3" t="s">
        <v>32</v>
      </c>
      <c r="B158" s="3" t="s">
        <v>33</v>
      </c>
      <c r="C158" s="3" t="s">
        <v>34</v>
      </c>
      <c r="D158" s="3" t="s">
        <v>35</v>
      </c>
      <c r="E158" s="3" t="s">
        <v>1710</v>
      </c>
      <c r="F158" s="3">
        <v>28.99</v>
      </c>
      <c r="G158" s="3" t="s">
        <v>6233</v>
      </c>
      <c r="H158" s="3"/>
      <c r="I158" s="3" t="s">
        <v>6234</v>
      </c>
      <c r="J158" s="3">
        <v>7</v>
      </c>
      <c r="K158" s="3">
        <v>4</v>
      </c>
      <c r="L158" s="3">
        <v>1</v>
      </c>
      <c r="M158" s="3">
        <v>2</v>
      </c>
      <c r="N158" s="3">
        <v>20</v>
      </c>
      <c r="O158" s="3">
        <v>0.06</v>
      </c>
      <c r="P158" s="3">
        <v>0</v>
      </c>
      <c r="Q158" s="3">
        <v>13</v>
      </c>
      <c r="R158" s="3">
        <v>0</v>
      </c>
    </row>
    <row r="159" spans="1:18">
      <c r="A159" s="3" t="s">
        <v>52</v>
      </c>
      <c r="B159" s="3" t="s">
        <v>53</v>
      </c>
      <c r="C159" s="3" t="s">
        <v>54</v>
      </c>
      <c r="D159" s="3" t="s">
        <v>55</v>
      </c>
      <c r="E159" s="3" t="s">
        <v>1710</v>
      </c>
      <c r="F159" s="3">
        <v>28.99</v>
      </c>
      <c r="G159" s="3" t="s">
        <v>6233</v>
      </c>
      <c r="H159" s="3"/>
      <c r="I159" s="3" t="s">
        <v>6234</v>
      </c>
      <c r="J159" s="3">
        <v>17</v>
      </c>
      <c r="K159" s="3">
        <v>0</v>
      </c>
      <c r="L159" s="3">
        <v>1</v>
      </c>
      <c r="M159" s="3">
        <v>16</v>
      </c>
      <c r="N159" s="3">
        <v>68</v>
      </c>
      <c r="O159" s="3">
        <v>0.06</v>
      </c>
      <c r="P159" s="3">
        <v>0</v>
      </c>
      <c r="Q159" s="3">
        <v>51</v>
      </c>
      <c r="R159" s="3">
        <v>0</v>
      </c>
    </row>
    <row r="160" spans="1:18">
      <c r="A160" s="3" t="s">
        <v>40</v>
      </c>
      <c r="B160" s="3" t="s">
        <v>41</v>
      </c>
      <c r="C160" s="3" t="s">
        <v>42</v>
      </c>
      <c r="D160" s="3" t="s">
        <v>3739</v>
      </c>
      <c r="E160" s="3" t="s">
        <v>1710</v>
      </c>
      <c r="F160" s="3">
        <v>28.99</v>
      </c>
      <c r="G160" s="3" t="s">
        <v>6233</v>
      </c>
      <c r="H160" s="3"/>
      <c r="I160" s="3" t="s">
        <v>6234</v>
      </c>
      <c r="J160" s="3">
        <v>4</v>
      </c>
      <c r="K160" s="3">
        <v>0</v>
      </c>
      <c r="L160" s="3">
        <v>3</v>
      </c>
      <c r="M160" s="3">
        <v>1</v>
      </c>
      <c r="N160" s="3">
        <v>4</v>
      </c>
      <c r="O160" s="3">
        <v>0.06</v>
      </c>
      <c r="P160" s="3">
        <v>0</v>
      </c>
      <c r="Q160" s="3">
        <v>0</v>
      </c>
      <c r="R160" s="3">
        <v>0</v>
      </c>
    </row>
    <row r="161" spans="1:18">
      <c r="A161" s="3" t="s">
        <v>2032</v>
      </c>
      <c r="B161" s="3" t="s">
        <v>2033</v>
      </c>
      <c r="C161" s="3" t="s">
        <v>2034</v>
      </c>
      <c r="D161" s="3" t="s">
        <v>6621</v>
      </c>
      <c r="E161" s="3" t="s">
        <v>1710</v>
      </c>
      <c r="F161" s="3">
        <v>28.99</v>
      </c>
      <c r="G161" s="3" t="s">
        <v>6233</v>
      </c>
      <c r="H161" s="3"/>
      <c r="I161" s="3" t="s">
        <v>6234</v>
      </c>
      <c r="J161" s="3">
        <v>11</v>
      </c>
      <c r="K161" s="3">
        <v>10</v>
      </c>
      <c r="L161" s="3">
        <v>1</v>
      </c>
      <c r="M161" s="3">
        <v>0</v>
      </c>
      <c r="N161" s="3">
        <v>11</v>
      </c>
      <c r="O161" s="3">
        <v>0.06</v>
      </c>
      <c r="P161" s="3">
        <v>0</v>
      </c>
      <c r="Q161" s="3">
        <v>0</v>
      </c>
      <c r="R161" s="3">
        <v>0</v>
      </c>
    </row>
    <row r="162" spans="1:18">
      <c r="A162" s="3" t="s">
        <v>5793</v>
      </c>
      <c r="B162" s="3" t="s">
        <v>5794</v>
      </c>
      <c r="C162" s="3" t="s">
        <v>5795</v>
      </c>
      <c r="D162" s="3" t="s">
        <v>5796</v>
      </c>
      <c r="E162" s="3" t="s">
        <v>1710</v>
      </c>
      <c r="F162" s="3">
        <v>28.99</v>
      </c>
      <c r="G162" s="3" t="s">
        <v>6233</v>
      </c>
      <c r="H162" s="3"/>
      <c r="I162" s="3" t="s">
        <v>6234</v>
      </c>
      <c r="J162" s="3">
        <v>1</v>
      </c>
      <c r="K162" s="3">
        <v>0</v>
      </c>
      <c r="L162" s="3">
        <v>1</v>
      </c>
      <c r="M162" s="3">
        <v>0</v>
      </c>
      <c r="N162" s="3">
        <v>1</v>
      </c>
      <c r="O162" s="3">
        <v>0.06</v>
      </c>
      <c r="P162" s="3">
        <v>0</v>
      </c>
      <c r="Q162" s="3">
        <v>0</v>
      </c>
      <c r="R162" s="3">
        <v>0</v>
      </c>
    </row>
    <row r="163" spans="1:18">
      <c r="A163" s="3" t="s">
        <v>24</v>
      </c>
      <c r="B163" s="3" t="s">
        <v>25</v>
      </c>
      <c r="C163" s="3" t="s">
        <v>26</v>
      </c>
      <c r="D163" s="3" t="s">
        <v>27</v>
      </c>
      <c r="E163" s="3" t="s">
        <v>1710</v>
      </c>
      <c r="F163" s="3">
        <v>28.99</v>
      </c>
      <c r="G163" s="3" t="s">
        <v>6233</v>
      </c>
      <c r="H163" s="3"/>
      <c r="I163" s="3" t="s">
        <v>6234</v>
      </c>
      <c r="J163" s="3">
        <v>18</v>
      </c>
      <c r="K163" s="3">
        <v>16</v>
      </c>
      <c r="L163" s="3">
        <v>0</v>
      </c>
      <c r="M163" s="3">
        <v>2</v>
      </c>
      <c r="N163" s="3">
        <v>18</v>
      </c>
      <c r="O163" s="3">
        <v>0.01</v>
      </c>
      <c r="P163" s="3">
        <v>0</v>
      </c>
      <c r="Q163" s="3">
        <v>0</v>
      </c>
      <c r="R163" s="3">
        <v>0</v>
      </c>
    </row>
    <row r="164" spans="1:18">
      <c r="A164" s="3" t="s">
        <v>3350</v>
      </c>
      <c r="B164" s="3" t="s">
        <v>3351</v>
      </c>
      <c r="C164" s="3" t="s">
        <v>3352</v>
      </c>
      <c r="D164" s="3" t="s">
        <v>3353</v>
      </c>
      <c r="E164" s="3" t="s">
        <v>1710</v>
      </c>
      <c r="F164" s="3">
        <v>28.99</v>
      </c>
      <c r="G164" s="3" t="s">
        <v>6233</v>
      </c>
      <c r="H164" s="3"/>
      <c r="I164" s="3" t="s">
        <v>6234</v>
      </c>
      <c r="J164" s="3">
        <v>9</v>
      </c>
      <c r="K164" s="3">
        <v>8</v>
      </c>
      <c r="L164" s="3">
        <v>1</v>
      </c>
      <c r="M164" s="3">
        <v>0</v>
      </c>
      <c r="N164" s="3">
        <v>9</v>
      </c>
      <c r="O164" s="3">
        <v>0.06</v>
      </c>
      <c r="P164" s="3">
        <v>0</v>
      </c>
      <c r="Q164" s="3">
        <v>0</v>
      </c>
      <c r="R164" s="3">
        <v>0</v>
      </c>
    </row>
    <row r="165" spans="1:18">
      <c r="A165" s="3" t="s">
        <v>2451</v>
      </c>
      <c r="B165" s="3" t="s">
        <v>2452</v>
      </c>
      <c r="C165" s="3" t="s">
        <v>2453</v>
      </c>
      <c r="D165" s="3" t="s">
        <v>2454</v>
      </c>
      <c r="E165" s="3" t="s">
        <v>1710</v>
      </c>
      <c r="F165" s="3">
        <v>28.99</v>
      </c>
      <c r="G165" s="3" t="s">
        <v>6233</v>
      </c>
      <c r="H165" s="3"/>
      <c r="I165" s="3" t="s">
        <v>6234</v>
      </c>
      <c r="J165" s="3">
        <v>3</v>
      </c>
      <c r="K165" s="3">
        <v>1</v>
      </c>
      <c r="L165" s="3">
        <v>2</v>
      </c>
      <c r="M165" s="3">
        <v>0</v>
      </c>
      <c r="N165" s="3">
        <v>3</v>
      </c>
      <c r="O165" s="3">
        <v>0.06</v>
      </c>
      <c r="P165" s="3">
        <v>0</v>
      </c>
      <c r="Q165" s="3">
        <v>0</v>
      </c>
      <c r="R165" s="3">
        <v>0</v>
      </c>
    </row>
    <row r="166" spans="1:18">
      <c r="A166" s="3" t="s">
        <v>2183</v>
      </c>
      <c r="B166" s="3" t="s">
        <v>2184</v>
      </c>
      <c r="C166" s="3" t="s">
        <v>2185</v>
      </c>
      <c r="D166" s="3" t="s">
        <v>6606</v>
      </c>
      <c r="E166" s="3" t="s">
        <v>1710</v>
      </c>
      <c r="F166" s="3">
        <v>28.99</v>
      </c>
      <c r="G166" s="3" t="s">
        <v>6233</v>
      </c>
      <c r="H166" s="3"/>
      <c r="I166" s="3" t="s">
        <v>6234</v>
      </c>
      <c r="J166" s="3">
        <v>4</v>
      </c>
      <c r="K166" s="3">
        <v>4</v>
      </c>
      <c r="L166" s="3">
        <v>0</v>
      </c>
      <c r="M166" s="3">
        <v>0</v>
      </c>
      <c r="N166" s="3">
        <v>4</v>
      </c>
      <c r="O166" s="3">
        <v>0.06</v>
      </c>
      <c r="P166" s="3">
        <v>0</v>
      </c>
      <c r="Q166" s="3">
        <v>0</v>
      </c>
      <c r="R166" s="3">
        <v>0</v>
      </c>
    </row>
    <row r="167" spans="1:18">
      <c r="A167" s="3" t="s">
        <v>6622</v>
      </c>
      <c r="B167" s="3" t="s">
        <v>6623</v>
      </c>
      <c r="C167" s="3" t="s">
        <v>6624</v>
      </c>
      <c r="D167" s="3" t="s">
        <v>6625</v>
      </c>
      <c r="E167" s="3" t="s">
        <v>1710</v>
      </c>
      <c r="F167" s="3">
        <v>28.99</v>
      </c>
      <c r="G167" s="3" t="s">
        <v>6233</v>
      </c>
      <c r="H167" s="3"/>
      <c r="I167" s="3" t="s">
        <v>6234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0.06</v>
      </c>
      <c r="P167" s="3">
        <v>0</v>
      </c>
      <c r="Q167" s="3">
        <v>0</v>
      </c>
      <c r="R167" s="3">
        <v>0</v>
      </c>
    </row>
    <row r="168" spans="1:18">
      <c r="A168" s="3" t="s">
        <v>3517</v>
      </c>
      <c r="B168" s="3" t="s">
        <v>3518</v>
      </c>
      <c r="C168" s="3" t="s">
        <v>3519</v>
      </c>
      <c r="D168" s="3" t="s">
        <v>6611</v>
      </c>
      <c r="E168" s="3" t="s">
        <v>1710</v>
      </c>
      <c r="F168" s="3">
        <v>28.99</v>
      </c>
      <c r="G168" s="3" t="s">
        <v>6233</v>
      </c>
      <c r="H168" s="3"/>
      <c r="I168" s="3" t="s">
        <v>6234</v>
      </c>
      <c r="J168" s="3">
        <v>1</v>
      </c>
      <c r="K168" s="3">
        <v>1</v>
      </c>
      <c r="L168" s="3">
        <v>0</v>
      </c>
      <c r="M168" s="3">
        <v>0</v>
      </c>
      <c r="N168" s="3">
        <v>1</v>
      </c>
      <c r="O168" s="3">
        <v>0.06</v>
      </c>
      <c r="P168" s="3">
        <v>0</v>
      </c>
      <c r="Q168" s="3">
        <v>0</v>
      </c>
      <c r="R168" s="3">
        <v>0</v>
      </c>
    </row>
    <row r="169" spans="1:18">
      <c r="A169" s="3" t="s">
        <v>3500</v>
      </c>
      <c r="B169" s="3" t="s">
        <v>3501</v>
      </c>
      <c r="C169" s="3" t="s">
        <v>3502</v>
      </c>
      <c r="D169" s="3" t="s">
        <v>6612</v>
      </c>
      <c r="E169" s="3" t="s">
        <v>1710</v>
      </c>
      <c r="F169" s="3">
        <v>28.99</v>
      </c>
      <c r="G169" s="3" t="s">
        <v>6233</v>
      </c>
      <c r="H169" s="3"/>
      <c r="I169" s="3" t="s">
        <v>6234</v>
      </c>
      <c r="J169" s="3">
        <v>8</v>
      </c>
      <c r="K169" s="3">
        <v>8</v>
      </c>
      <c r="L169" s="3">
        <v>0</v>
      </c>
      <c r="M169" s="3">
        <v>0</v>
      </c>
      <c r="N169" s="3">
        <v>8</v>
      </c>
      <c r="O169" s="3">
        <v>0.06</v>
      </c>
      <c r="P169" s="3">
        <v>0</v>
      </c>
      <c r="Q169" s="3">
        <v>0</v>
      </c>
      <c r="R169" s="3">
        <v>0</v>
      </c>
    </row>
    <row r="170" spans="1:18">
      <c r="A170" s="3" t="s">
        <v>3558</v>
      </c>
      <c r="B170" s="3" t="s">
        <v>3559</v>
      </c>
      <c r="C170" s="3" t="s">
        <v>3560</v>
      </c>
      <c r="D170" s="3" t="s">
        <v>2312</v>
      </c>
      <c r="E170" s="3" t="s">
        <v>1710</v>
      </c>
      <c r="F170" s="3">
        <v>28.99</v>
      </c>
      <c r="G170" s="3" t="s">
        <v>6233</v>
      </c>
      <c r="H170" s="3"/>
      <c r="I170" s="3" t="s">
        <v>6234</v>
      </c>
      <c r="J170" s="3">
        <v>3</v>
      </c>
      <c r="K170" s="3">
        <v>3</v>
      </c>
      <c r="L170" s="3">
        <v>0</v>
      </c>
      <c r="M170" s="3">
        <v>0</v>
      </c>
      <c r="N170" s="3">
        <v>3</v>
      </c>
      <c r="O170" s="3">
        <v>0.06</v>
      </c>
      <c r="P170" s="3">
        <v>0</v>
      </c>
      <c r="Q170" s="3">
        <v>0</v>
      </c>
      <c r="R170" s="3">
        <v>0</v>
      </c>
    </row>
    <row r="171" spans="1:18">
      <c r="A171" s="3" t="s">
        <v>3735</v>
      </c>
      <c r="B171" s="3" t="s">
        <v>3736</v>
      </c>
      <c r="C171" s="3" t="s">
        <v>3737</v>
      </c>
      <c r="D171" s="3" t="s">
        <v>6626</v>
      </c>
      <c r="E171" s="3" t="s">
        <v>1710</v>
      </c>
      <c r="F171" s="3">
        <v>28.99</v>
      </c>
      <c r="G171" s="3" t="s">
        <v>6233</v>
      </c>
      <c r="H171" s="3"/>
      <c r="I171" s="3" t="s">
        <v>6234</v>
      </c>
      <c r="J171" s="3">
        <v>3</v>
      </c>
      <c r="K171" s="3">
        <v>3</v>
      </c>
      <c r="L171" s="3">
        <v>0</v>
      </c>
      <c r="M171" s="3">
        <v>0</v>
      </c>
      <c r="N171" s="3">
        <v>3</v>
      </c>
      <c r="O171" s="3">
        <v>0.06</v>
      </c>
      <c r="P171" s="3">
        <v>0</v>
      </c>
      <c r="Q171" s="3">
        <v>0</v>
      </c>
      <c r="R171" s="3">
        <v>0</v>
      </c>
    </row>
    <row r="172" spans="1:18">
      <c r="A172" s="3" t="s">
        <v>5228</v>
      </c>
      <c r="B172" s="3" t="s">
        <v>5229</v>
      </c>
      <c r="C172" s="3" t="s">
        <v>5230</v>
      </c>
      <c r="D172" s="3" t="s">
        <v>5231</v>
      </c>
      <c r="E172" s="3" t="s">
        <v>1710</v>
      </c>
      <c r="F172" s="3">
        <v>28.99</v>
      </c>
      <c r="G172" s="3" t="s">
        <v>6233</v>
      </c>
      <c r="H172" s="3"/>
      <c r="I172" s="3" t="s">
        <v>6234</v>
      </c>
      <c r="J172" s="3">
        <v>9</v>
      </c>
      <c r="K172" s="3">
        <v>9</v>
      </c>
      <c r="L172" s="3">
        <v>0</v>
      </c>
      <c r="M172" s="3">
        <v>0</v>
      </c>
      <c r="N172" s="3">
        <v>9</v>
      </c>
      <c r="O172" s="3">
        <v>0.06</v>
      </c>
      <c r="P172" s="3">
        <v>0</v>
      </c>
      <c r="Q172" s="3">
        <v>0</v>
      </c>
      <c r="R172" s="3">
        <v>0</v>
      </c>
    </row>
    <row r="173" spans="1:18">
      <c r="A173" s="3" t="s">
        <v>6627</v>
      </c>
      <c r="B173" s="3" t="s">
        <v>6628</v>
      </c>
      <c r="C173" s="3" t="s">
        <v>6629</v>
      </c>
      <c r="D173" s="3" t="s">
        <v>6630</v>
      </c>
      <c r="E173" s="3" t="s">
        <v>1710</v>
      </c>
      <c r="F173" s="3">
        <v>28.99</v>
      </c>
      <c r="G173" s="3" t="s">
        <v>6233</v>
      </c>
      <c r="H173" s="3"/>
      <c r="I173" s="3" t="s">
        <v>6234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0.06</v>
      </c>
      <c r="P173" s="3">
        <v>0</v>
      </c>
      <c r="Q173" s="3">
        <v>0</v>
      </c>
      <c r="R173" s="3">
        <v>0</v>
      </c>
    </row>
    <row r="174" spans="1:18">
      <c r="A174" s="3" t="s">
        <v>2921</v>
      </c>
      <c r="B174" s="3" t="s">
        <v>2922</v>
      </c>
      <c r="C174" s="3" t="s">
        <v>2923</v>
      </c>
      <c r="D174" s="3" t="s">
        <v>6631</v>
      </c>
      <c r="E174" s="3" t="s">
        <v>1710</v>
      </c>
      <c r="F174" s="3">
        <v>28.99</v>
      </c>
      <c r="G174" s="3" t="s">
        <v>6233</v>
      </c>
      <c r="H174" s="3"/>
      <c r="I174" s="3" t="s">
        <v>6234</v>
      </c>
      <c r="J174" s="3">
        <v>7</v>
      </c>
      <c r="K174" s="3">
        <v>7</v>
      </c>
      <c r="L174" s="3">
        <v>0</v>
      </c>
      <c r="M174" s="3">
        <v>0</v>
      </c>
      <c r="N174" s="3">
        <v>7</v>
      </c>
      <c r="O174" s="3">
        <v>0.06</v>
      </c>
      <c r="P174" s="3">
        <v>0</v>
      </c>
      <c r="Q174" s="3">
        <v>0</v>
      </c>
      <c r="R174" s="3">
        <v>0</v>
      </c>
    </row>
    <row r="175" spans="1:18">
      <c r="A175" s="3" t="s">
        <v>6114</v>
      </c>
      <c r="B175" s="3" t="s">
        <v>6115</v>
      </c>
      <c r="C175" s="3" t="s">
        <v>6116</v>
      </c>
      <c r="D175" s="3" t="s">
        <v>6632</v>
      </c>
      <c r="E175" s="3" t="s">
        <v>1710</v>
      </c>
      <c r="F175" s="3">
        <v>28.99</v>
      </c>
      <c r="G175" s="3" t="s">
        <v>6233</v>
      </c>
      <c r="H175" s="3"/>
      <c r="I175" s="3" t="s">
        <v>6234</v>
      </c>
      <c r="J175" s="3">
        <v>3</v>
      </c>
      <c r="K175" s="3">
        <v>3</v>
      </c>
      <c r="L175" s="3">
        <v>0</v>
      </c>
      <c r="M175" s="3">
        <v>0</v>
      </c>
      <c r="N175" s="3">
        <v>3</v>
      </c>
      <c r="O175" s="3">
        <v>0.06</v>
      </c>
      <c r="P175" s="3">
        <v>0</v>
      </c>
      <c r="Q175" s="3">
        <v>0</v>
      </c>
      <c r="R175" s="3">
        <v>0</v>
      </c>
    </row>
    <row r="176" spans="1:18">
      <c r="A176" s="3" t="s">
        <v>2296</v>
      </c>
      <c r="B176" s="3" t="s">
        <v>2297</v>
      </c>
      <c r="C176" s="3" t="s">
        <v>2298</v>
      </c>
      <c r="D176" s="3" t="s">
        <v>6633</v>
      </c>
      <c r="E176" s="3" t="s">
        <v>1710</v>
      </c>
      <c r="F176" s="3">
        <v>28.99</v>
      </c>
      <c r="G176" s="3" t="s">
        <v>6233</v>
      </c>
      <c r="H176" s="3"/>
      <c r="I176" s="3" t="s">
        <v>6234</v>
      </c>
      <c r="J176" s="3">
        <v>6</v>
      </c>
      <c r="K176" s="3">
        <v>6</v>
      </c>
      <c r="L176" s="3">
        <v>0</v>
      </c>
      <c r="M176" s="3">
        <v>0</v>
      </c>
      <c r="N176" s="3">
        <v>6</v>
      </c>
      <c r="O176" s="3">
        <v>0.06</v>
      </c>
      <c r="P176" s="3">
        <v>0</v>
      </c>
      <c r="Q176" s="3">
        <v>0</v>
      </c>
      <c r="R176" s="3">
        <v>0</v>
      </c>
    </row>
    <row r="177" spans="1:18">
      <c r="A177" s="3" t="s">
        <v>36</v>
      </c>
      <c r="B177" s="3" t="s">
        <v>37</v>
      </c>
      <c r="C177" s="3" t="s">
        <v>38</v>
      </c>
      <c r="D177" s="3" t="s">
        <v>39</v>
      </c>
      <c r="E177" s="3" t="s">
        <v>1710</v>
      </c>
      <c r="F177" s="3">
        <v>28.99</v>
      </c>
      <c r="G177" s="3" t="s">
        <v>6233</v>
      </c>
      <c r="H177" s="3"/>
      <c r="I177" s="3" t="s">
        <v>6234</v>
      </c>
      <c r="J177" s="3">
        <v>9</v>
      </c>
      <c r="K177" s="3">
        <v>6</v>
      </c>
      <c r="L177" s="3">
        <v>1</v>
      </c>
      <c r="M177" s="3">
        <v>2</v>
      </c>
      <c r="N177" s="3">
        <v>9</v>
      </c>
      <c r="O177" s="3">
        <v>0.06</v>
      </c>
      <c r="P177" s="3">
        <v>0</v>
      </c>
      <c r="Q177" s="3">
        <v>0</v>
      </c>
      <c r="R177" s="3">
        <v>0</v>
      </c>
    </row>
    <row r="178" spans="1:18">
      <c r="A178" s="3" t="s">
        <v>4973</v>
      </c>
      <c r="B178" s="3" t="s">
        <v>4974</v>
      </c>
      <c r="C178" s="3" t="s">
        <v>4975</v>
      </c>
      <c r="D178" s="3" t="s">
        <v>4976</v>
      </c>
      <c r="E178" s="3" t="s">
        <v>1710</v>
      </c>
      <c r="F178" s="3">
        <v>28.99</v>
      </c>
      <c r="G178" s="3" t="s">
        <v>6233</v>
      </c>
      <c r="H178" s="3"/>
      <c r="I178" s="3" t="s">
        <v>6234</v>
      </c>
      <c r="J178" s="3">
        <v>13</v>
      </c>
      <c r="K178" s="3">
        <v>10</v>
      </c>
      <c r="L178" s="3">
        <v>3</v>
      </c>
      <c r="M178" s="3">
        <v>0</v>
      </c>
      <c r="N178" s="3">
        <v>17</v>
      </c>
      <c r="O178" s="3">
        <v>0.06</v>
      </c>
      <c r="P178" s="3">
        <v>0</v>
      </c>
      <c r="Q178" s="3">
        <v>4</v>
      </c>
      <c r="R178" s="3">
        <v>0</v>
      </c>
    </row>
    <row r="179" spans="1:18">
      <c r="A179" s="3" t="s">
        <v>4348</v>
      </c>
      <c r="B179" s="3" t="s">
        <v>4349</v>
      </c>
      <c r="C179" s="3" t="s">
        <v>4350</v>
      </c>
      <c r="D179" s="3" t="s">
        <v>6634</v>
      </c>
      <c r="E179" s="3" t="s">
        <v>1710</v>
      </c>
      <c r="F179" s="3">
        <v>28.99</v>
      </c>
      <c r="G179" s="3" t="s">
        <v>6233</v>
      </c>
      <c r="H179" s="3"/>
      <c r="I179" s="3" t="s">
        <v>6234</v>
      </c>
      <c r="J179" s="3">
        <v>9</v>
      </c>
      <c r="K179" s="3">
        <v>8</v>
      </c>
      <c r="L179" s="3">
        <v>1</v>
      </c>
      <c r="M179" s="3">
        <v>0</v>
      </c>
      <c r="N179" s="3">
        <v>9</v>
      </c>
      <c r="O179" s="3">
        <v>0.06</v>
      </c>
      <c r="P179" s="3">
        <v>0</v>
      </c>
      <c r="Q179" s="3">
        <v>0</v>
      </c>
      <c r="R179" s="3">
        <v>0</v>
      </c>
    </row>
    <row r="180" spans="1:18">
      <c r="A180" s="3" t="s">
        <v>64</v>
      </c>
      <c r="B180" s="3" t="s">
        <v>65</v>
      </c>
      <c r="C180" s="3" t="s">
        <v>66</v>
      </c>
      <c r="D180" s="3" t="s">
        <v>67</v>
      </c>
      <c r="E180" s="3" t="s">
        <v>1710</v>
      </c>
      <c r="F180" s="3">
        <v>28.99</v>
      </c>
      <c r="G180" s="3" t="s">
        <v>6233</v>
      </c>
      <c r="H180" s="3"/>
      <c r="I180" s="3" t="s">
        <v>6234</v>
      </c>
      <c r="J180" s="3">
        <v>8</v>
      </c>
      <c r="K180" s="3">
        <v>3</v>
      </c>
      <c r="L180" s="3">
        <v>0</v>
      </c>
      <c r="M180" s="3">
        <v>5</v>
      </c>
      <c r="N180" s="3">
        <v>8</v>
      </c>
      <c r="O180" s="3">
        <v>0.06</v>
      </c>
      <c r="P180" s="3">
        <v>0</v>
      </c>
      <c r="Q180" s="3">
        <v>0</v>
      </c>
      <c r="R180" s="3">
        <v>0</v>
      </c>
    </row>
    <row r="181" spans="1:18">
      <c r="A181" s="3" t="s">
        <v>4213</v>
      </c>
      <c r="B181" s="3" t="s">
        <v>4214</v>
      </c>
      <c r="C181" s="3" t="s">
        <v>4215</v>
      </c>
      <c r="D181" s="3" t="s">
        <v>6635</v>
      </c>
      <c r="E181" s="3" t="s">
        <v>1710</v>
      </c>
      <c r="F181" s="3">
        <v>28.99</v>
      </c>
      <c r="G181" s="3" t="s">
        <v>6233</v>
      </c>
      <c r="H181" s="3"/>
      <c r="I181" s="3" t="s">
        <v>6234</v>
      </c>
      <c r="J181" s="3">
        <v>0</v>
      </c>
      <c r="K181" s="3">
        <v>0</v>
      </c>
      <c r="L181" s="3">
        <v>0</v>
      </c>
      <c r="M181" s="3">
        <v>0</v>
      </c>
      <c r="N181" s="3">
        <v>5</v>
      </c>
      <c r="O181" s="3">
        <v>0.06</v>
      </c>
      <c r="P181" s="3">
        <v>0</v>
      </c>
      <c r="Q181" s="3">
        <v>5</v>
      </c>
      <c r="R181" s="3">
        <v>0</v>
      </c>
    </row>
    <row r="182" spans="1:18">
      <c r="A182" s="3" t="s">
        <v>84</v>
      </c>
      <c r="B182" s="3" t="s">
        <v>85</v>
      </c>
      <c r="C182" s="3" t="s">
        <v>86</v>
      </c>
      <c r="D182" s="3" t="s">
        <v>87</v>
      </c>
      <c r="E182" s="3" t="s">
        <v>1710</v>
      </c>
      <c r="F182" s="3">
        <v>28.99</v>
      </c>
      <c r="G182" s="3" t="s">
        <v>6233</v>
      </c>
      <c r="H182" s="3"/>
      <c r="I182" s="3" t="s">
        <v>6234</v>
      </c>
      <c r="J182" s="3">
        <v>20</v>
      </c>
      <c r="K182" s="3">
        <v>18</v>
      </c>
      <c r="L182" s="3">
        <v>1</v>
      </c>
      <c r="M182" s="3">
        <v>1</v>
      </c>
      <c r="N182" s="3">
        <v>28</v>
      </c>
      <c r="O182" s="3">
        <v>0.06</v>
      </c>
      <c r="P182" s="3">
        <v>0</v>
      </c>
      <c r="Q182" s="3">
        <v>8</v>
      </c>
      <c r="R182" s="3">
        <v>0</v>
      </c>
    </row>
    <row r="183" spans="1:18">
      <c r="A183" s="3" t="s">
        <v>72</v>
      </c>
      <c r="B183" s="3" t="s">
        <v>73</v>
      </c>
      <c r="C183" s="3" t="s">
        <v>74</v>
      </c>
      <c r="D183" s="3" t="s">
        <v>2174</v>
      </c>
      <c r="E183" s="3" t="s">
        <v>1710</v>
      </c>
      <c r="F183" s="3">
        <v>28.99</v>
      </c>
      <c r="G183" s="3" t="s">
        <v>6233</v>
      </c>
      <c r="H183" s="3"/>
      <c r="I183" s="3" t="s">
        <v>6234</v>
      </c>
      <c r="J183" s="3">
        <v>15</v>
      </c>
      <c r="K183" s="3">
        <v>13</v>
      </c>
      <c r="L183" s="3">
        <v>1</v>
      </c>
      <c r="M183" s="3">
        <v>1</v>
      </c>
      <c r="N183" s="3">
        <v>19</v>
      </c>
      <c r="O183" s="3">
        <v>0.06</v>
      </c>
      <c r="P183" s="3">
        <v>0</v>
      </c>
      <c r="Q183" s="3">
        <v>4</v>
      </c>
      <c r="R183" s="3">
        <v>0</v>
      </c>
    </row>
    <row r="184" spans="1:18">
      <c r="A184" s="3" t="s">
        <v>2471</v>
      </c>
      <c r="B184" s="3" t="s">
        <v>2472</v>
      </c>
      <c r="C184" s="3" t="s">
        <v>2473</v>
      </c>
      <c r="D184" s="3" t="s">
        <v>6636</v>
      </c>
      <c r="E184" s="3" t="s">
        <v>1710</v>
      </c>
      <c r="F184" s="3">
        <v>28.99</v>
      </c>
      <c r="G184" s="3" t="s">
        <v>6233</v>
      </c>
      <c r="H184" s="3"/>
      <c r="I184" s="3" t="s">
        <v>6234</v>
      </c>
      <c r="J184" s="3">
        <v>25</v>
      </c>
      <c r="K184" s="3">
        <v>24</v>
      </c>
      <c r="L184" s="3">
        <v>1</v>
      </c>
      <c r="M184" s="3">
        <v>0</v>
      </c>
      <c r="N184" s="3">
        <v>25</v>
      </c>
      <c r="O184" s="3">
        <v>0.06</v>
      </c>
      <c r="P184" s="3">
        <v>0</v>
      </c>
      <c r="Q184" s="3">
        <v>0</v>
      </c>
      <c r="R184" s="3">
        <v>0</v>
      </c>
    </row>
    <row r="185" spans="1:18">
      <c r="A185" s="3" t="s">
        <v>68</v>
      </c>
      <c r="B185" s="3" t="s">
        <v>69</v>
      </c>
      <c r="C185" s="3" t="s">
        <v>70</v>
      </c>
      <c r="D185" s="3" t="s">
        <v>71</v>
      </c>
      <c r="E185" s="3" t="s">
        <v>1710</v>
      </c>
      <c r="F185" s="3">
        <v>28.99</v>
      </c>
      <c r="G185" s="3" t="s">
        <v>6233</v>
      </c>
      <c r="H185" s="3"/>
      <c r="I185" s="3" t="s">
        <v>6234</v>
      </c>
      <c r="J185" s="3">
        <v>16</v>
      </c>
      <c r="K185" s="3">
        <v>11</v>
      </c>
      <c r="L185" s="3">
        <v>4</v>
      </c>
      <c r="M185" s="3">
        <v>1</v>
      </c>
      <c r="N185" s="3">
        <v>16</v>
      </c>
      <c r="O185" s="3">
        <v>0.06</v>
      </c>
      <c r="P185" s="3">
        <v>0</v>
      </c>
      <c r="Q185" s="3">
        <v>0</v>
      </c>
      <c r="R185" s="3">
        <v>0</v>
      </c>
    </row>
    <row r="186" spans="1:18">
      <c r="A186" s="3" t="s">
        <v>4330</v>
      </c>
      <c r="B186" s="3" t="s">
        <v>4331</v>
      </c>
      <c r="C186" s="3" t="s">
        <v>4332</v>
      </c>
      <c r="D186" s="3" t="s">
        <v>4333</v>
      </c>
      <c r="E186" s="3" t="s">
        <v>1710</v>
      </c>
      <c r="F186" s="3">
        <v>28.99</v>
      </c>
      <c r="G186" s="3" t="s">
        <v>6233</v>
      </c>
      <c r="H186" s="3"/>
      <c r="I186" s="3" t="s">
        <v>6234</v>
      </c>
      <c r="J186" s="3">
        <v>9</v>
      </c>
      <c r="K186" s="3">
        <v>9</v>
      </c>
      <c r="L186" s="3">
        <v>0</v>
      </c>
      <c r="M186" s="3">
        <v>0</v>
      </c>
      <c r="N186" s="3">
        <v>9</v>
      </c>
      <c r="O186" s="3">
        <v>0.06</v>
      </c>
      <c r="P186" s="3">
        <v>0</v>
      </c>
      <c r="Q186" s="3">
        <v>0</v>
      </c>
      <c r="R186" s="3">
        <v>0</v>
      </c>
    </row>
    <row r="187" spans="1:18">
      <c r="A187" s="3" t="s">
        <v>2214</v>
      </c>
      <c r="B187" s="3" t="s">
        <v>2215</v>
      </c>
      <c r="C187" s="3" t="s">
        <v>2216</v>
      </c>
      <c r="D187" s="3" t="s">
        <v>6637</v>
      </c>
      <c r="E187" s="3" t="s">
        <v>1710</v>
      </c>
      <c r="F187" s="3">
        <v>28.99</v>
      </c>
      <c r="G187" s="3" t="s">
        <v>6233</v>
      </c>
      <c r="H187" s="3"/>
      <c r="I187" s="3" t="s">
        <v>6234</v>
      </c>
      <c r="J187" s="3">
        <v>5</v>
      </c>
      <c r="K187" s="3">
        <v>5</v>
      </c>
      <c r="L187" s="3">
        <v>0</v>
      </c>
      <c r="M187" s="3">
        <v>0</v>
      </c>
      <c r="N187" s="3">
        <v>5</v>
      </c>
      <c r="O187" s="3">
        <v>0.06</v>
      </c>
      <c r="P187" s="3">
        <v>0</v>
      </c>
      <c r="Q187" s="3">
        <v>0</v>
      </c>
      <c r="R187" s="3">
        <v>0</v>
      </c>
    </row>
    <row r="188" spans="1:18">
      <c r="A188" s="3" t="s">
        <v>6638</v>
      </c>
      <c r="B188" s="3" t="s">
        <v>6639</v>
      </c>
      <c r="C188" s="3" t="s">
        <v>6640</v>
      </c>
      <c r="D188" s="3" t="s">
        <v>6641</v>
      </c>
      <c r="E188" s="3" t="s">
        <v>1710</v>
      </c>
      <c r="F188" s="3">
        <v>28.99</v>
      </c>
      <c r="G188" s="3" t="s">
        <v>6233</v>
      </c>
      <c r="H188" s="3"/>
      <c r="I188" s="3" t="s">
        <v>6234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0.06</v>
      </c>
      <c r="P188" s="3">
        <v>0</v>
      </c>
      <c r="Q188" s="3">
        <v>0</v>
      </c>
      <c r="R188" s="3">
        <v>0</v>
      </c>
    </row>
    <row r="189" spans="1:18">
      <c r="A189" s="3" t="s">
        <v>56</v>
      </c>
      <c r="B189" s="3" t="s">
        <v>57</v>
      </c>
      <c r="C189" s="3" t="s">
        <v>58</v>
      </c>
      <c r="D189" s="3" t="s">
        <v>59</v>
      </c>
      <c r="E189" s="3" t="s">
        <v>1710</v>
      </c>
      <c r="F189" s="3">
        <v>28.99</v>
      </c>
      <c r="G189" s="3" t="s">
        <v>6233</v>
      </c>
      <c r="H189" s="3"/>
      <c r="I189" s="3" t="s">
        <v>6234</v>
      </c>
      <c r="J189" s="3">
        <v>7</v>
      </c>
      <c r="K189" s="3">
        <v>3</v>
      </c>
      <c r="L189" s="3">
        <v>2</v>
      </c>
      <c r="M189" s="3">
        <v>2</v>
      </c>
      <c r="N189" s="3">
        <v>22</v>
      </c>
      <c r="O189" s="3">
        <v>0.01</v>
      </c>
      <c r="P189" s="3">
        <v>0</v>
      </c>
      <c r="Q189" s="3">
        <v>15</v>
      </c>
      <c r="R189" s="3">
        <v>0</v>
      </c>
    </row>
    <row r="190" spans="1:18">
      <c r="A190" s="3" t="s">
        <v>2583</v>
      </c>
      <c r="B190" s="3" t="s">
        <v>2584</v>
      </c>
      <c r="C190" s="3" t="s">
        <v>2585</v>
      </c>
      <c r="D190" s="3" t="s">
        <v>6642</v>
      </c>
      <c r="E190" s="3" t="s">
        <v>1710</v>
      </c>
      <c r="F190" s="3">
        <v>28.99</v>
      </c>
      <c r="G190" s="3" t="s">
        <v>6233</v>
      </c>
      <c r="H190" s="3"/>
      <c r="I190" s="3" t="s">
        <v>6234</v>
      </c>
      <c r="J190" s="3">
        <v>2</v>
      </c>
      <c r="K190" s="3">
        <v>0</v>
      </c>
      <c r="L190" s="3">
        <v>2</v>
      </c>
      <c r="M190" s="3">
        <v>0</v>
      </c>
      <c r="N190" s="3">
        <v>12</v>
      </c>
      <c r="O190" s="3">
        <v>0.06</v>
      </c>
      <c r="P190" s="3">
        <v>0</v>
      </c>
      <c r="Q190" s="3">
        <v>10</v>
      </c>
      <c r="R190" s="3">
        <v>0</v>
      </c>
    </row>
    <row r="191" spans="1:18">
      <c r="A191" s="3" t="s">
        <v>80</v>
      </c>
      <c r="B191" s="3" t="s">
        <v>81</v>
      </c>
      <c r="C191" s="3" t="s">
        <v>82</v>
      </c>
      <c r="D191" s="3" t="s">
        <v>83</v>
      </c>
      <c r="E191" s="3" t="s">
        <v>1710</v>
      </c>
      <c r="F191" s="3">
        <v>28.99</v>
      </c>
      <c r="G191" s="3" t="s">
        <v>6233</v>
      </c>
      <c r="H191" s="3"/>
      <c r="I191" s="3" t="s">
        <v>6234</v>
      </c>
      <c r="J191" s="3">
        <v>5</v>
      </c>
      <c r="K191" s="3">
        <v>0</v>
      </c>
      <c r="L191" s="3">
        <v>2</v>
      </c>
      <c r="M191" s="3">
        <v>3</v>
      </c>
      <c r="N191" s="3">
        <v>15</v>
      </c>
      <c r="O191" s="3">
        <v>0.06</v>
      </c>
      <c r="P191" s="3">
        <v>0</v>
      </c>
      <c r="Q191" s="3">
        <v>10</v>
      </c>
      <c r="R191" s="3">
        <v>0</v>
      </c>
    </row>
    <row r="192" spans="1:18">
      <c r="A192" s="3" t="s">
        <v>88</v>
      </c>
      <c r="B192" s="3" t="s">
        <v>89</v>
      </c>
      <c r="C192" s="3" t="s">
        <v>90</v>
      </c>
      <c r="D192" s="3" t="s">
        <v>91</v>
      </c>
      <c r="E192" s="3" t="s">
        <v>1710</v>
      </c>
      <c r="F192" s="3">
        <v>28.99</v>
      </c>
      <c r="G192" s="3" t="s">
        <v>6233</v>
      </c>
      <c r="H192" s="3"/>
      <c r="I192" s="3" t="s">
        <v>6234</v>
      </c>
      <c r="J192" s="3">
        <v>2</v>
      </c>
      <c r="K192" s="3">
        <v>0</v>
      </c>
      <c r="L192" s="3">
        <v>0</v>
      </c>
      <c r="M192" s="3">
        <v>2</v>
      </c>
      <c r="N192" s="3">
        <v>2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60</v>
      </c>
      <c r="B193" s="3" t="s">
        <v>61</v>
      </c>
      <c r="C193" s="3" t="s">
        <v>62</v>
      </c>
      <c r="D193" s="3" t="s">
        <v>63</v>
      </c>
      <c r="E193" s="3" t="s">
        <v>1710</v>
      </c>
      <c r="F193" s="3">
        <v>28.99</v>
      </c>
      <c r="G193" s="3" t="s">
        <v>6233</v>
      </c>
      <c r="H193" s="3"/>
      <c r="I193" s="3" t="s">
        <v>6234</v>
      </c>
      <c r="J193" s="3">
        <v>13</v>
      </c>
      <c r="K193" s="3">
        <v>10</v>
      </c>
      <c r="L193" s="3">
        <v>1</v>
      </c>
      <c r="M193" s="3">
        <v>2</v>
      </c>
      <c r="N193" s="3">
        <v>25</v>
      </c>
      <c r="O193" s="3">
        <v>0.06</v>
      </c>
      <c r="P193" s="3">
        <v>0</v>
      </c>
      <c r="Q193" s="3">
        <v>12</v>
      </c>
      <c r="R193" s="3">
        <v>0</v>
      </c>
    </row>
    <row r="194" spans="1:18">
      <c r="A194" s="3" t="s">
        <v>6643</v>
      </c>
      <c r="B194" s="3" t="s">
        <v>6644</v>
      </c>
      <c r="C194" s="3" t="s">
        <v>6645</v>
      </c>
      <c r="D194" s="3"/>
      <c r="E194" s="3" t="s">
        <v>6275</v>
      </c>
      <c r="F194" s="3"/>
      <c r="G194" s="3"/>
      <c r="H194" s="3"/>
      <c r="I194" s="3"/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6646</v>
      </c>
      <c r="B195" s="3" t="s">
        <v>6647</v>
      </c>
      <c r="C195" s="3" t="s">
        <v>6648</v>
      </c>
      <c r="D195" s="3"/>
      <c r="E195" s="3" t="s">
        <v>6275</v>
      </c>
      <c r="F195" s="3"/>
      <c r="G195" s="3"/>
      <c r="H195" s="3"/>
      <c r="I195" s="3"/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6649</v>
      </c>
      <c r="B196" s="3" t="s">
        <v>6650</v>
      </c>
      <c r="C196" s="3" t="s">
        <v>6651</v>
      </c>
      <c r="D196" s="3"/>
      <c r="E196" s="3" t="s">
        <v>6275</v>
      </c>
      <c r="F196" s="3"/>
      <c r="G196" s="3"/>
      <c r="H196" s="3"/>
      <c r="I196" s="3"/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6652</v>
      </c>
      <c r="B197" s="3" t="s">
        <v>6653</v>
      </c>
      <c r="C197" s="3" t="s">
        <v>6654</v>
      </c>
      <c r="D197" s="3"/>
      <c r="E197" s="3" t="s">
        <v>6275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6655</v>
      </c>
      <c r="B198" s="3" t="s">
        <v>6656</v>
      </c>
      <c r="C198" s="3" t="s">
        <v>6657</v>
      </c>
      <c r="D198" s="3"/>
      <c r="E198" s="3" t="s">
        <v>6275</v>
      </c>
      <c r="F198" s="3"/>
      <c r="G198" s="3"/>
      <c r="H198" s="3"/>
      <c r="I198" s="3"/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6658</v>
      </c>
      <c r="B199" s="3" t="s">
        <v>6659</v>
      </c>
      <c r="C199" s="3" t="s">
        <v>6660</v>
      </c>
      <c r="D199" s="3"/>
      <c r="E199" s="3" t="s">
        <v>6275</v>
      </c>
      <c r="F199" s="3"/>
      <c r="G199" s="3"/>
      <c r="H199" s="3"/>
      <c r="I199" s="3"/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6661</v>
      </c>
      <c r="B200" s="3" t="s">
        <v>6662</v>
      </c>
      <c r="C200" s="3" t="s">
        <v>6663</v>
      </c>
      <c r="D200" s="3"/>
      <c r="E200" s="3" t="s">
        <v>6275</v>
      </c>
      <c r="F200" s="3"/>
      <c r="G200" s="3"/>
      <c r="H200" s="3"/>
      <c r="I200" s="3"/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6664</v>
      </c>
      <c r="B201" s="3" t="s">
        <v>6665</v>
      </c>
      <c r="C201" s="3" t="s">
        <v>6666</v>
      </c>
      <c r="D201" s="3"/>
      <c r="E201" s="3" t="s">
        <v>6275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6667</v>
      </c>
      <c r="B202" s="3" t="s">
        <v>6668</v>
      </c>
      <c r="C202" s="3" t="s">
        <v>6669</v>
      </c>
      <c r="D202" s="3"/>
      <c r="E202" s="3" t="s">
        <v>6275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6670</v>
      </c>
      <c r="B203" s="3" t="s">
        <v>6671</v>
      </c>
      <c r="C203" s="3" t="s">
        <v>6672</v>
      </c>
      <c r="D203" s="3"/>
      <c r="E203" s="3" t="s">
        <v>6275</v>
      </c>
      <c r="F203" s="3"/>
      <c r="G203" s="3"/>
      <c r="H203" s="3"/>
      <c r="I203" s="3"/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6673</v>
      </c>
      <c r="B204" s="3" t="s">
        <v>6674</v>
      </c>
      <c r="C204" s="3" t="s">
        <v>6675</v>
      </c>
      <c r="D204" s="3"/>
      <c r="E204" s="3" t="s">
        <v>6275</v>
      </c>
      <c r="F204" s="3"/>
      <c r="G204" s="3"/>
      <c r="H204" s="3"/>
      <c r="I204" s="3"/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6676</v>
      </c>
      <c r="B205" s="3" t="s">
        <v>6677</v>
      </c>
      <c r="C205" s="3" t="s">
        <v>6678</v>
      </c>
      <c r="D205" s="3"/>
      <c r="E205" s="3" t="s">
        <v>6275</v>
      </c>
      <c r="F205" s="3"/>
      <c r="G205" s="3"/>
      <c r="H205" s="3"/>
      <c r="I205" s="3"/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/>
      <c r="P205" s="3">
        <v>0</v>
      </c>
      <c r="Q205" s="3">
        <v>0</v>
      </c>
      <c r="R205" s="3">
        <v>0</v>
      </c>
    </row>
    <row r="206" spans="1:18">
      <c r="A206" s="3" t="s">
        <v>6679</v>
      </c>
      <c r="B206" s="3" t="s">
        <v>6680</v>
      </c>
      <c r="C206" s="3" t="s">
        <v>6681</v>
      </c>
      <c r="D206" s="3"/>
      <c r="E206" s="3" t="s">
        <v>6275</v>
      </c>
      <c r="F206" s="3"/>
      <c r="G206" s="3"/>
      <c r="H206" s="3"/>
      <c r="I206" s="3"/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6682</v>
      </c>
      <c r="B207" s="3" t="s">
        <v>6683</v>
      </c>
      <c r="C207" s="3" t="s">
        <v>6684</v>
      </c>
      <c r="D207" s="3"/>
      <c r="E207" s="3" t="s">
        <v>6275</v>
      </c>
      <c r="F207" s="3"/>
      <c r="G207" s="3"/>
      <c r="H207" s="3"/>
      <c r="I207" s="3"/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6685</v>
      </c>
      <c r="B208" s="3" t="s">
        <v>6686</v>
      </c>
      <c r="C208" s="3" t="s">
        <v>6687</v>
      </c>
      <c r="D208" s="3"/>
      <c r="E208" s="3" t="s">
        <v>6275</v>
      </c>
      <c r="F208" s="3"/>
      <c r="G208" s="3"/>
      <c r="H208" s="3"/>
      <c r="I208" s="3"/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6688</v>
      </c>
      <c r="B209" s="3" t="s">
        <v>6689</v>
      </c>
      <c r="C209" s="3" t="s">
        <v>6690</v>
      </c>
      <c r="D209" s="3"/>
      <c r="E209" s="3" t="s">
        <v>6275</v>
      </c>
      <c r="F209" s="3"/>
      <c r="G209" s="3"/>
      <c r="H209" s="3"/>
      <c r="I209" s="3"/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6691</v>
      </c>
      <c r="B210" s="3" t="s">
        <v>6692</v>
      </c>
      <c r="C210" s="3" t="s">
        <v>6693</v>
      </c>
      <c r="D210" s="3"/>
      <c r="E210" s="3" t="s">
        <v>6275</v>
      </c>
      <c r="F210" s="3"/>
      <c r="G210" s="3"/>
      <c r="H210" s="3"/>
      <c r="I210" s="3"/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6694</v>
      </c>
      <c r="B211" s="3" t="s">
        <v>6695</v>
      </c>
      <c r="C211" s="3" t="s">
        <v>6696</v>
      </c>
      <c r="D211" s="3"/>
      <c r="E211" s="3" t="s">
        <v>6275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6697</v>
      </c>
      <c r="B212" s="3" t="s">
        <v>6698</v>
      </c>
      <c r="C212" s="3" t="s">
        <v>6699</v>
      </c>
      <c r="D212" s="3"/>
      <c r="E212" s="3" t="s">
        <v>6275</v>
      </c>
      <c r="F212" s="3"/>
      <c r="G212" s="3"/>
      <c r="H212" s="3"/>
      <c r="I212" s="3"/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6700</v>
      </c>
      <c r="B213" s="3" t="s">
        <v>6701</v>
      </c>
      <c r="C213" s="3" t="s">
        <v>6702</v>
      </c>
      <c r="D213" s="3"/>
      <c r="E213" s="3" t="s">
        <v>6275</v>
      </c>
      <c r="F213" s="3"/>
      <c r="G213" s="3"/>
      <c r="H213" s="3"/>
      <c r="I213" s="3"/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6703</v>
      </c>
      <c r="B214" s="3" t="s">
        <v>6704</v>
      </c>
      <c r="C214" s="3" t="s">
        <v>6705</v>
      </c>
      <c r="D214" s="3"/>
      <c r="E214" s="3" t="s">
        <v>6275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6706</v>
      </c>
      <c r="B215" s="3" t="s">
        <v>6707</v>
      </c>
      <c r="C215" s="3" t="s">
        <v>6708</v>
      </c>
      <c r="D215" s="3"/>
      <c r="E215" s="3" t="s">
        <v>6275</v>
      </c>
      <c r="F215" s="3"/>
      <c r="G215" s="3"/>
      <c r="H215" s="3"/>
      <c r="I215" s="3"/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6709</v>
      </c>
      <c r="B216" s="3" t="s">
        <v>6710</v>
      </c>
      <c r="C216" s="3" t="s">
        <v>6711</v>
      </c>
      <c r="D216" s="3"/>
      <c r="E216" s="3" t="s">
        <v>6275</v>
      </c>
      <c r="F216" s="3"/>
      <c r="G216" s="3"/>
      <c r="H216" s="3"/>
      <c r="I216" s="3"/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6712</v>
      </c>
      <c r="B217" s="3" t="s">
        <v>6713</v>
      </c>
      <c r="C217" s="3" t="s">
        <v>6714</v>
      </c>
      <c r="D217" s="3"/>
      <c r="E217" s="3" t="s">
        <v>6275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6715</v>
      </c>
      <c r="B218" s="3" t="s">
        <v>6716</v>
      </c>
      <c r="C218" s="3" t="s">
        <v>6717</v>
      </c>
      <c r="D218" s="3"/>
      <c r="E218" s="3" t="s">
        <v>6275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6718</v>
      </c>
      <c r="B219" s="3" t="s">
        <v>6719</v>
      </c>
      <c r="C219" s="3" t="s">
        <v>6720</v>
      </c>
      <c r="D219" s="3"/>
      <c r="E219" s="3" t="s">
        <v>6275</v>
      </c>
      <c r="F219" s="3"/>
      <c r="G219" s="3"/>
      <c r="H219" s="3"/>
      <c r="I219" s="3"/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6721</v>
      </c>
      <c r="B220" s="3" t="s">
        <v>6722</v>
      </c>
      <c r="C220" s="3" t="s">
        <v>6723</v>
      </c>
      <c r="D220" s="3"/>
      <c r="E220" s="3" t="s">
        <v>6275</v>
      </c>
      <c r="F220" s="3"/>
      <c r="G220" s="3"/>
      <c r="H220" s="3"/>
      <c r="I220" s="3"/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6724</v>
      </c>
      <c r="B221" s="3" t="s">
        <v>6725</v>
      </c>
      <c r="C221" s="3" t="s">
        <v>6726</v>
      </c>
      <c r="D221" s="3"/>
      <c r="E221" s="3" t="s">
        <v>6275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6727</v>
      </c>
      <c r="B222" s="3" t="s">
        <v>6728</v>
      </c>
      <c r="C222" s="3" t="s">
        <v>6729</v>
      </c>
      <c r="D222" s="3"/>
      <c r="E222" s="3" t="s">
        <v>6275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6730</v>
      </c>
      <c r="B223" s="3" t="s">
        <v>6731</v>
      </c>
      <c r="C223" s="3" t="s">
        <v>6732</v>
      </c>
      <c r="D223" s="3"/>
      <c r="E223" s="3" t="s">
        <v>6275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6733</v>
      </c>
      <c r="B224" s="3" t="s">
        <v>6734</v>
      </c>
      <c r="C224" s="3" t="s">
        <v>6735</v>
      </c>
      <c r="D224" s="3"/>
      <c r="E224" s="3" t="s">
        <v>6275</v>
      </c>
      <c r="F224" s="3"/>
      <c r="G224" s="3"/>
      <c r="H224" s="3"/>
      <c r="I224" s="3"/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6736</v>
      </c>
      <c r="B225" s="3" t="s">
        <v>6737</v>
      </c>
      <c r="C225" s="3" t="s">
        <v>6738</v>
      </c>
      <c r="D225" s="3"/>
      <c r="E225" s="3" t="s">
        <v>6275</v>
      </c>
      <c r="F225" s="3"/>
      <c r="G225" s="3"/>
      <c r="H225" s="3"/>
      <c r="I225" s="3"/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6739</v>
      </c>
      <c r="B226" s="3" t="s">
        <v>6740</v>
      </c>
      <c r="C226" s="3" t="s">
        <v>6741</v>
      </c>
      <c r="D226" s="3"/>
      <c r="E226" s="3" t="s">
        <v>6275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6742</v>
      </c>
      <c r="B227" s="3" t="s">
        <v>6743</v>
      </c>
      <c r="C227" s="3" t="s">
        <v>6744</v>
      </c>
      <c r="D227" s="3"/>
      <c r="E227" s="3" t="s">
        <v>6275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6745</v>
      </c>
      <c r="B228" s="3" t="s">
        <v>6746</v>
      </c>
      <c r="C228" s="3" t="s">
        <v>6747</v>
      </c>
      <c r="D228" s="3"/>
      <c r="E228" s="3" t="s">
        <v>6275</v>
      </c>
      <c r="F228" s="3"/>
      <c r="G228" s="3"/>
      <c r="H228" s="3"/>
      <c r="I228" s="3"/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6748</v>
      </c>
      <c r="B229" s="3" t="s">
        <v>6749</v>
      </c>
      <c r="C229" s="3" t="s">
        <v>6750</v>
      </c>
      <c r="D229" s="3"/>
      <c r="E229" s="3" t="s">
        <v>6275</v>
      </c>
      <c r="F229" s="3"/>
      <c r="G229" s="3"/>
      <c r="H229" s="3"/>
      <c r="I229" s="3"/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6751</v>
      </c>
      <c r="B230" s="3" t="s">
        <v>6752</v>
      </c>
      <c r="C230" s="3" t="s">
        <v>6753</v>
      </c>
      <c r="D230" s="3"/>
      <c r="E230" s="3" t="s">
        <v>6275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6754</v>
      </c>
      <c r="B231" s="3" t="s">
        <v>6755</v>
      </c>
      <c r="C231" s="3" t="s">
        <v>6756</v>
      </c>
      <c r="D231" s="3"/>
      <c r="E231" s="3" t="s">
        <v>6275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6757</v>
      </c>
      <c r="B232" s="3" t="s">
        <v>6758</v>
      </c>
      <c r="C232" s="3" t="s">
        <v>6759</v>
      </c>
      <c r="D232" s="3"/>
      <c r="E232" s="3" t="s">
        <v>6275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6760</v>
      </c>
      <c r="B233" s="3" t="s">
        <v>6761</v>
      </c>
      <c r="C233" s="3" t="s">
        <v>6762</v>
      </c>
      <c r="D233" s="3"/>
      <c r="E233" s="3" t="s">
        <v>6275</v>
      </c>
      <c r="F233" s="3"/>
      <c r="G233" s="3"/>
      <c r="H233" s="3"/>
      <c r="I233" s="3"/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6763</v>
      </c>
      <c r="B234" s="3" t="s">
        <v>6764</v>
      </c>
      <c r="C234" s="3" t="s">
        <v>6765</v>
      </c>
      <c r="D234" s="3"/>
      <c r="E234" s="3" t="s">
        <v>6275</v>
      </c>
      <c r="F234" s="3"/>
      <c r="G234" s="3"/>
      <c r="H234" s="3"/>
      <c r="I234" s="3"/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6766</v>
      </c>
      <c r="B235" s="3" t="s">
        <v>6767</v>
      </c>
      <c r="C235" s="3" t="s">
        <v>6768</v>
      </c>
      <c r="D235" s="3"/>
      <c r="E235" s="3" t="s">
        <v>6275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2716</v>
      </c>
      <c r="B236" s="3" t="s">
        <v>2717</v>
      </c>
      <c r="C236" s="3" t="s">
        <v>2718</v>
      </c>
      <c r="D236" s="3" t="s">
        <v>2719</v>
      </c>
      <c r="E236" s="3" t="s">
        <v>1710</v>
      </c>
      <c r="F236" s="3">
        <v>13.99</v>
      </c>
      <c r="G236" s="3" t="s">
        <v>6233</v>
      </c>
      <c r="H236" s="3"/>
      <c r="I236" s="3" t="s">
        <v>6234</v>
      </c>
      <c r="J236" s="3">
        <v>4</v>
      </c>
      <c r="K236" s="3">
        <v>4</v>
      </c>
      <c r="L236" s="3">
        <v>0</v>
      </c>
      <c r="M236" s="3">
        <v>0</v>
      </c>
      <c r="N236" s="3">
        <v>4</v>
      </c>
      <c r="O236" s="3">
        <v>0.03</v>
      </c>
      <c r="P236" s="3">
        <v>0</v>
      </c>
      <c r="Q236" s="3">
        <v>0</v>
      </c>
      <c r="R236" s="3">
        <v>0</v>
      </c>
    </row>
    <row r="237" spans="1:18">
      <c r="A237" s="3" t="s">
        <v>6769</v>
      </c>
      <c r="B237" s="3" t="s">
        <v>6770</v>
      </c>
      <c r="C237" s="3" t="s">
        <v>6771</v>
      </c>
      <c r="D237" s="3" t="s">
        <v>6772</v>
      </c>
      <c r="E237" s="3" t="s">
        <v>1710</v>
      </c>
      <c r="F237" s="3">
        <v>13.99</v>
      </c>
      <c r="G237" s="3" t="s">
        <v>6233</v>
      </c>
      <c r="H237" s="3"/>
      <c r="I237" s="3" t="s">
        <v>6234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</row>
    <row r="238" spans="1:18">
      <c r="A238" s="3" t="s">
        <v>6773</v>
      </c>
      <c r="B238" s="3" t="s">
        <v>6774</v>
      </c>
      <c r="C238" s="3" t="s">
        <v>6775</v>
      </c>
      <c r="D238" s="3" t="s">
        <v>6776</v>
      </c>
      <c r="E238" s="3" t="s">
        <v>1710</v>
      </c>
      <c r="F238" s="3">
        <v>13.99</v>
      </c>
      <c r="G238" s="3" t="s">
        <v>6233</v>
      </c>
      <c r="H238" s="3"/>
      <c r="I238" s="3" t="s">
        <v>6234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</row>
    <row r="239" spans="1:18">
      <c r="A239" s="3" t="s">
        <v>6777</v>
      </c>
      <c r="B239" s="3" t="s">
        <v>6778</v>
      </c>
      <c r="C239" s="3" t="s">
        <v>6779</v>
      </c>
      <c r="D239" s="3" t="s">
        <v>6780</v>
      </c>
      <c r="E239" s="3" t="s">
        <v>1710</v>
      </c>
      <c r="F239" s="3">
        <v>13.99</v>
      </c>
      <c r="G239" s="3" t="s">
        <v>6233</v>
      </c>
      <c r="H239" s="3"/>
      <c r="I239" s="3" t="s">
        <v>6234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</row>
    <row r="240" spans="1:18">
      <c r="A240" s="3" t="s">
        <v>6781</v>
      </c>
      <c r="B240" s="3" t="s">
        <v>6782</v>
      </c>
      <c r="C240" s="3" t="s">
        <v>6783</v>
      </c>
      <c r="D240" s="3" t="s">
        <v>6784</v>
      </c>
      <c r="E240" s="3" t="s">
        <v>1710</v>
      </c>
      <c r="F240" s="3">
        <v>13.99</v>
      </c>
      <c r="G240" s="3" t="s">
        <v>6233</v>
      </c>
      <c r="H240" s="3"/>
      <c r="I240" s="3" t="s">
        <v>6234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</row>
    <row r="241" spans="1:18">
      <c r="A241" s="3" t="s">
        <v>4383</v>
      </c>
      <c r="B241" s="3" t="s">
        <v>4384</v>
      </c>
      <c r="C241" s="3" t="s">
        <v>4385</v>
      </c>
      <c r="D241" s="3" t="s">
        <v>4386</v>
      </c>
      <c r="E241" s="3" t="s">
        <v>1710</v>
      </c>
      <c r="F241" s="3">
        <v>15.99</v>
      </c>
      <c r="G241" s="3" t="s">
        <v>6233</v>
      </c>
      <c r="H241" s="3"/>
      <c r="I241" s="3" t="s">
        <v>6234</v>
      </c>
      <c r="J241" s="3">
        <v>1</v>
      </c>
      <c r="K241" s="3">
        <v>1</v>
      </c>
      <c r="L241" s="3">
        <v>0</v>
      </c>
      <c r="M241" s="3">
        <v>0</v>
      </c>
      <c r="N241" s="3">
        <v>1</v>
      </c>
      <c r="O241" s="3">
        <v>0.02</v>
      </c>
      <c r="P241" s="3">
        <v>0</v>
      </c>
      <c r="Q241" s="3">
        <v>0</v>
      </c>
      <c r="R241" s="3">
        <v>0</v>
      </c>
    </row>
    <row r="242" spans="1:18">
      <c r="A242" s="3" t="s">
        <v>4644</v>
      </c>
      <c r="B242" s="3" t="s">
        <v>4645</v>
      </c>
      <c r="C242" s="3" t="s">
        <v>4646</v>
      </c>
      <c r="D242" s="3" t="s">
        <v>4647</v>
      </c>
      <c r="E242" s="3" t="s">
        <v>1710</v>
      </c>
      <c r="F242" s="3">
        <v>15.99</v>
      </c>
      <c r="G242" s="3" t="s">
        <v>6233</v>
      </c>
      <c r="H242" s="3"/>
      <c r="I242" s="3" t="s">
        <v>6234</v>
      </c>
      <c r="J242" s="3">
        <v>2</v>
      </c>
      <c r="K242" s="3">
        <v>2</v>
      </c>
      <c r="L242" s="3">
        <v>0</v>
      </c>
      <c r="M242" s="3">
        <v>0</v>
      </c>
      <c r="N242" s="3">
        <v>2</v>
      </c>
      <c r="O242" s="3">
        <v>0.03</v>
      </c>
      <c r="P242" s="3">
        <v>0</v>
      </c>
      <c r="Q242" s="3">
        <v>0</v>
      </c>
      <c r="R242" s="3">
        <v>0</v>
      </c>
    </row>
    <row r="243" spans="1:18">
      <c r="A243" s="3" t="s">
        <v>2511</v>
      </c>
      <c r="B243" s="3" t="s">
        <v>2512</v>
      </c>
      <c r="C243" s="3" t="s">
        <v>2513</v>
      </c>
      <c r="D243" s="3" t="s">
        <v>2514</v>
      </c>
      <c r="E243" s="3" t="s">
        <v>1710</v>
      </c>
      <c r="F243" s="3">
        <v>15.99</v>
      </c>
      <c r="G243" s="3" t="s">
        <v>6233</v>
      </c>
      <c r="H243" s="3"/>
      <c r="I243" s="3" t="s">
        <v>6234</v>
      </c>
      <c r="J243" s="3">
        <v>2</v>
      </c>
      <c r="K243" s="3">
        <v>2</v>
      </c>
      <c r="L243" s="3">
        <v>0</v>
      </c>
      <c r="M243" s="3">
        <v>0</v>
      </c>
      <c r="N243" s="3">
        <v>2</v>
      </c>
      <c r="O243" s="3">
        <v>0.03</v>
      </c>
      <c r="P243" s="3">
        <v>0</v>
      </c>
      <c r="Q243" s="3">
        <v>0</v>
      </c>
      <c r="R243" s="3">
        <v>0</v>
      </c>
    </row>
    <row r="244" spans="1:18">
      <c r="A244" s="3" t="s">
        <v>6195</v>
      </c>
      <c r="B244" s="3" t="s">
        <v>6196</v>
      </c>
      <c r="C244" s="3" t="s">
        <v>6197</v>
      </c>
      <c r="D244" s="3" t="s">
        <v>6198</v>
      </c>
      <c r="E244" s="3" t="s">
        <v>1710</v>
      </c>
      <c r="F244" s="3">
        <v>15.99</v>
      </c>
      <c r="G244" s="3" t="s">
        <v>6233</v>
      </c>
      <c r="H244" s="3"/>
      <c r="I244" s="3" t="s">
        <v>6234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>
        <v>0.03</v>
      </c>
      <c r="P244" s="3">
        <v>0</v>
      </c>
      <c r="Q244" s="3">
        <v>0</v>
      </c>
      <c r="R244" s="3">
        <v>0</v>
      </c>
    </row>
    <row r="245" spans="1:18">
      <c r="A245" s="3" t="s">
        <v>3014</v>
      </c>
      <c r="B245" s="3" t="s">
        <v>3015</v>
      </c>
      <c r="C245" s="3" t="s">
        <v>3016</v>
      </c>
      <c r="D245" s="3" t="s">
        <v>3017</v>
      </c>
      <c r="E245" s="3" t="s">
        <v>1710</v>
      </c>
      <c r="F245" s="3">
        <v>15.99</v>
      </c>
      <c r="G245" s="3" t="s">
        <v>6233</v>
      </c>
      <c r="H245" s="3"/>
      <c r="I245" s="3" t="s">
        <v>6234</v>
      </c>
      <c r="J245" s="3">
        <v>3</v>
      </c>
      <c r="K245" s="3">
        <v>3</v>
      </c>
      <c r="L245" s="3">
        <v>0</v>
      </c>
      <c r="M245" s="3">
        <v>0</v>
      </c>
      <c r="N245" s="3">
        <v>3</v>
      </c>
      <c r="O245" s="3">
        <v>0.02</v>
      </c>
      <c r="P245" s="3">
        <v>0</v>
      </c>
      <c r="Q245" s="3">
        <v>0</v>
      </c>
      <c r="R245" s="3">
        <v>0</v>
      </c>
    </row>
    <row r="246" spans="1:18">
      <c r="A246" s="3" t="s">
        <v>6785</v>
      </c>
      <c r="B246" s="3" t="s">
        <v>6786</v>
      </c>
      <c r="C246" s="3" t="s">
        <v>6787</v>
      </c>
      <c r="D246" s="3" t="s">
        <v>6788</v>
      </c>
      <c r="E246" s="3" t="s">
        <v>1710</v>
      </c>
      <c r="F246" s="3">
        <v>13.99</v>
      </c>
      <c r="G246" s="3" t="s">
        <v>6233</v>
      </c>
      <c r="H246" s="3"/>
      <c r="I246" s="3" t="s">
        <v>6234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</row>
    <row r="247" spans="1:18">
      <c r="A247" s="3" t="s">
        <v>6789</v>
      </c>
      <c r="B247" s="3" t="s">
        <v>6790</v>
      </c>
      <c r="C247" s="3" t="s">
        <v>6791</v>
      </c>
      <c r="D247" s="3" t="s">
        <v>6792</v>
      </c>
      <c r="E247" s="3" t="s">
        <v>1710</v>
      </c>
      <c r="F247" s="3">
        <v>13.99</v>
      </c>
      <c r="G247" s="3" t="s">
        <v>6233</v>
      </c>
      <c r="H247" s="3"/>
      <c r="I247" s="3" t="s">
        <v>6234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</row>
    <row r="248" spans="1:18">
      <c r="A248" s="3" t="s">
        <v>6793</v>
      </c>
      <c r="B248" s="3" t="s">
        <v>6794</v>
      </c>
      <c r="C248" s="3" t="s">
        <v>6795</v>
      </c>
      <c r="D248" s="3" t="s">
        <v>6796</v>
      </c>
      <c r="E248" s="3" t="s">
        <v>1710</v>
      </c>
      <c r="F248" s="3">
        <v>13.99</v>
      </c>
      <c r="G248" s="3" t="s">
        <v>6233</v>
      </c>
      <c r="H248" s="3"/>
      <c r="I248" s="3" t="s">
        <v>6234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</row>
    <row r="249" spans="1:18">
      <c r="A249" s="3" t="s">
        <v>6797</v>
      </c>
      <c r="B249" s="3" t="s">
        <v>6798</v>
      </c>
      <c r="C249" s="3" t="s">
        <v>6799</v>
      </c>
      <c r="D249" s="3" t="s">
        <v>6800</v>
      </c>
      <c r="E249" s="3" t="s">
        <v>1710</v>
      </c>
      <c r="F249" s="3">
        <v>13.99</v>
      </c>
      <c r="G249" s="3" t="s">
        <v>6233</v>
      </c>
      <c r="H249" s="3"/>
      <c r="I249" s="3" t="s">
        <v>6234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</row>
    <row r="250" spans="1:18">
      <c r="A250" s="3" t="s">
        <v>6801</v>
      </c>
      <c r="B250" s="3" t="s">
        <v>6802</v>
      </c>
      <c r="C250" s="3" t="s">
        <v>6803</v>
      </c>
      <c r="D250" s="3" t="s">
        <v>6804</v>
      </c>
      <c r="E250" s="3" t="s">
        <v>1710</v>
      </c>
      <c r="F250" s="3">
        <v>13.99</v>
      </c>
      <c r="G250" s="3" t="s">
        <v>6233</v>
      </c>
      <c r="H250" s="3"/>
      <c r="I250" s="3" t="s">
        <v>6234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</row>
    <row r="251" spans="1:18">
      <c r="A251" s="3" t="s">
        <v>5366</v>
      </c>
      <c r="B251" s="3" t="s">
        <v>5367</v>
      </c>
      <c r="C251" s="3" t="s">
        <v>5368</v>
      </c>
      <c r="D251" s="3" t="s">
        <v>5369</v>
      </c>
      <c r="E251" s="3" t="s">
        <v>1710</v>
      </c>
      <c r="F251" s="3">
        <v>15.99</v>
      </c>
      <c r="G251" s="3" t="s">
        <v>6233</v>
      </c>
      <c r="H251" s="3"/>
      <c r="I251" s="3" t="s">
        <v>6234</v>
      </c>
      <c r="J251" s="3">
        <v>5</v>
      </c>
      <c r="K251" s="3">
        <v>5</v>
      </c>
      <c r="L251" s="3">
        <v>0</v>
      </c>
      <c r="M251" s="3">
        <v>0</v>
      </c>
      <c r="N251" s="3">
        <v>5</v>
      </c>
      <c r="O251" s="3">
        <v>0.03</v>
      </c>
      <c r="P251" s="3">
        <v>0</v>
      </c>
      <c r="Q251" s="3">
        <v>0</v>
      </c>
      <c r="R251" s="3">
        <v>0</v>
      </c>
    </row>
    <row r="252" spans="1:18">
      <c r="A252" s="3" t="s">
        <v>3044</v>
      </c>
      <c r="B252" s="3" t="s">
        <v>3045</v>
      </c>
      <c r="C252" s="3" t="s">
        <v>3046</v>
      </c>
      <c r="D252" s="3" t="s">
        <v>3047</v>
      </c>
      <c r="E252" s="3" t="s">
        <v>1710</v>
      </c>
      <c r="F252" s="3">
        <v>15.99</v>
      </c>
      <c r="G252" s="3" t="s">
        <v>6233</v>
      </c>
      <c r="H252" s="3"/>
      <c r="I252" s="3" t="s">
        <v>6234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0.03</v>
      </c>
      <c r="P252" s="3">
        <v>0</v>
      </c>
      <c r="Q252" s="3">
        <v>0</v>
      </c>
      <c r="R252" s="3">
        <v>0</v>
      </c>
    </row>
    <row r="253" spans="1:18">
      <c r="A253" s="3" t="s">
        <v>2725</v>
      </c>
      <c r="B253" s="3" t="s">
        <v>2726</v>
      </c>
      <c r="C253" s="3" t="s">
        <v>2727</v>
      </c>
      <c r="D253" s="3" t="s">
        <v>2728</v>
      </c>
      <c r="E253" s="3" t="s">
        <v>1710</v>
      </c>
      <c r="F253" s="3">
        <v>15.99</v>
      </c>
      <c r="G253" s="3" t="s">
        <v>6233</v>
      </c>
      <c r="H253" s="3"/>
      <c r="I253" s="3" t="s">
        <v>6234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0.03</v>
      </c>
      <c r="P253" s="3">
        <v>0</v>
      </c>
      <c r="Q253" s="3">
        <v>0</v>
      </c>
      <c r="R253" s="3">
        <v>0</v>
      </c>
    </row>
    <row r="254" spans="1:18">
      <c r="A254" s="3" t="s">
        <v>5526</v>
      </c>
      <c r="B254" s="3" t="s">
        <v>5527</v>
      </c>
      <c r="C254" s="3" t="s">
        <v>5528</v>
      </c>
      <c r="D254" s="3" t="s">
        <v>5529</v>
      </c>
      <c r="E254" s="3" t="s">
        <v>1710</v>
      </c>
      <c r="F254" s="3">
        <v>15.99</v>
      </c>
      <c r="G254" s="3" t="s">
        <v>6233</v>
      </c>
      <c r="H254" s="3"/>
      <c r="I254" s="3" t="s">
        <v>6234</v>
      </c>
      <c r="J254" s="3">
        <v>3</v>
      </c>
      <c r="K254" s="3">
        <v>2</v>
      </c>
      <c r="L254" s="3">
        <v>1</v>
      </c>
      <c r="M254" s="3">
        <v>0</v>
      </c>
      <c r="N254" s="3">
        <v>3</v>
      </c>
      <c r="O254" s="3">
        <v>0.03</v>
      </c>
      <c r="P254" s="3">
        <v>0</v>
      </c>
      <c r="Q254" s="3">
        <v>0</v>
      </c>
      <c r="R254" s="3">
        <v>0</v>
      </c>
    </row>
    <row r="255" spans="1:18">
      <c r="A255" s="3" t="s">
        <v>3958</v>
      </c>
      <c r="B255" s="3" t="s">
        <v>3959</v>
      </c>
      <c r="C255" s="3" t="s">
        <v>3960</v>
      </c>
      <c r="D255" s="3" t="s">
        <v>3961</v>
      </c>
      <c r="E255" s="3" t="s">
        <v>1710</v>
      </c>
      <c r="F255" s="3">
        <v>15.99</v>
      </c>
      <c r="G255" s="3" t="s">
        <v>6233</v>
      </c>
      <c r="H255" s="3"/>
      <c r="I255" s="3" t="s">
        <v>6234</v>
      </c>
      <c r="J255" s="3">
        <v>7</v>
      </c>
      <c r="K255" s="3">
        <v>6</v>
      </c>
      <c r="L255" s="3">
        <v>1</v>
      </c>
      <c r="M255" s="3">
        <v>0</v>
      </c>
      <c r="N255" s="3">
        <v>7</v>
      </c>
      <c r="O255" s="3">
        <v>0.03</v>
      </c>
      <c r="P255" s="3">
        <v>0</v>
      </c>
      <c r="Q255" s="3">
        <v>0</v>
      </c>
      <c r="R255" s="3">
        <v>0</v>
      </c>
    </row>
    <row r="256" spans="1:18">
      <c r="A256" s="3" t="s">
        <v>3914</v>
      </c>
      <c r="B256" s="3" t="s">
        <v>3915</v>
      </c>
      <c r="C256" s="3" t="s">
        <v>3916</v>
      </c>
      <c r="D256" s="3" t="s">
        <v>3917</v>
      </c>
      <c r="E256" s="3" t="s">
        <v>1710</v>
      </c>
      <c r="F256" s="3">
        <v>15.99</v>
      </c>
      <c r="G256" s="3" t="s">
        <v>6233</v>
      </c>
      <c r="H256" s="3"/>
      <c r="I256" s="3" t="s">
        <v>6234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0.03</v>
      </c>
      <c r="P256" s="3">
        <v>0</v>
      </c>
      <c r="Q256" s="3">
        <v>0</v>
      </c>
      <c r="R256" s="3">
        <v>0</v>
      </c>
    </row>
    <row r="257" spans="1:18">
      <c r="A257" s="3" t="s">
        <v>3239</v>
      </c>
      <c r="B257" s="3" t="s">
        <v>3240</v>
      </c>
      <c r="C257" s="3" t="s">
        <v>3241</v>
      </c>
      <c r="D257" s="3" t="s">
        <v>3242</v>
      </c>
      <c r="E257" s="3" t="s">
        <v>1710</v>
      </c>
      <c r="F257" s="3">
        <v>15.99</v>
      </c>
      <c r="G257" s="3" t="s">
        <v>6233</v>
      </c>
      <c r="H257" s="3"/>
      <c r="I257" s="3" t="s">
        <v>6234</v>
      </c>
      <c r="J257" s="3">
        <v>2</v>
      </c>
      <c r="K257" s="3">
        <v>1</v>
      </c>
      <c r="L257" s="3">
        <v>1</v>
      </c>
      <c r="M257" s="3">
        <v>0</v>
      </c>
      <c r="N257" s="3">
        <v>2</v>
      </c>
      <c r="O257" s="3">
        <v>0.03</v>
      </c>
      <c r="P257" s="3">
        <v>0</v>
      </c>
      <c r="Q257" s="3">
        <v>0</v>
      </c>
      <c r="R257" s="3">
        <v>0</v>
      </c>
    </row>
    <row r="258" spans="1:18">
      <c r="A258" s="3" t="s">
        <v>3127</v>
      </c>
      <c r="B258" s="3" t="s">
        <v>3128</v>
      </c>
      <c r="C258" s="3" t="s">
        <v>3129</v>
      </c>
      <c r="D258" s="3" t="s">
        <v>3130</v>
      </c>
      <c r="E258" s="3" t="s">
        <v>1710</v>
      </c>
      <c r="F258" s="3">
        <v>15.99</v>
      </c>
      <c r="G258" s="3" t="s">
        <v>6233</v>
      </c>
      <c r="H258" s="3"/>
      <c r="I258" s="3" t="s">
        <v>6234</v>
      </c>
      <c r="J258" s="3">
        <v>5</v>
      </c>
      <c r="K258" s="3">
        <v>5</v>
      </c>
      <c r="L258" s="3">
        <v>0</v>
      </c>
      <c r="M258" s="3">
        <v>0</v>
      </c>
      <c r="N258" s="3">
        <v>5</v>
      </c>
      <c r="O258" s="3">
        <v>0.03</v>
      </c>
      <c r="P258" s="3">
        <v>0</v>
      </c>
      <c r="Q258" s="3">
        <v>0</v>
      </c>
      <c r="R258" s="3">
        <v>0</v>
      </c>
    </row>
    <row r="259" spans="1:18">
      <c r="A259" s="3" t="s">
        <v>2538</v>
      </c>
      <c r="B259" s="3" t="s">
        <v>2539</v>
      </c>
      <c r="C259" s="3" t="s">
        <v>2540</v>
      </c>
      <c r="D259" s="3" t="s">
        <v>2541</v>
      </c>
      <c r="E259" s="3" t="s">
        <v>1710</v>
      </c>
      <c r="F259" s="3">
        <v>15.99</v>
      </c>
      <c r="G259" s="3" t="s">
        <v>6233</v>
      </c>
      <c r="H259" s="3"/>
      <c r="I259" s="3" t="s">
        <v>6234</v>
      </c>
      <c r="J259" s="3">
        <v>6</v>
      </c>
      <c r="K259" s="3">
        <v>6</v>
      </c>
      <c r="L259" s="3">
        <v>0</v>
      </c>
      <c r="M259" s="3">
        <v>0</v>
      </c>
      <c r="N259" s="3">
        <v>6</v>
      </c>
      <c r="O259" s="3">
        <v>0.03</v>
      </c>
      <c r="P259" s="3">
        <v>0</v>
      </c>
      <c r="Q259" s="3">
        <v>0</v>
      </c>
      <c r="R259" s="3">
        <v>0</v>
      </c>
    </row>
    <row r="260" spans="1:18">
      <c r="A260" s="3" t="s">
        <v>4326</v>
      </c>
      <c r="B260" s="3" t="s">
        <v>4327</v>
      </c>
      <c r="C260" s="3" t="s">
        <v>4328</v>
      </c>
      <c r="D260" s="3" t="s">
        <v>4329</v>
      </c>
      <c r="E260" s="3" t="s">
        <v>1710</v>
      </c>
      <c r="F260" s="3">
        <v>15.99</v>
      </c>
      <c r="G260" s="3" t="s">
        <v>6233</v>
      </c>
      <c r="H260" s="3"/>
      <c r="I260" s="3" t="s">
        <v>6234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0.03</v>
      </c>
      <c r="P260" s="3">
        <v>0</v>
      </c>
      <c r="Q260" s="3">
        <v>0</v>
      </c>
      <c r="R260" s="3">
        <v>0</v>
      </c>
    </row>
    <row r="261" spans="1:18">
      <c r="A261" s="3" t="s">
        <v>5975</v>
      </c>
      <c r="B261" s="3" t="s">
        <v>5976</v>
      </c>
      <c r="C261" s="3" t="s">
        <v>5977</v>
      </c>
      <c r="D261" s="3" t="s">
        <v>5978</v>
      </c>
      <c r="E261" s="3" t="s">
        <v>1710</v>
      </c>
      <c r="F261" s="3">
        <v>15.99</v>
      </c>
      <c r="G261" s="3" t="s">
        <v>6233</v>
      </c>
      <c r="H261" s="3"/>
      <c r="I261" s="3" t="s">
        <v>6234</v>
      </c>
      <c r="J261" s="3">
        <v>1</v>
      </c>
      <c r="K261" s="3">
        <v>0</v>
      </c>
      <c r="L261" s="3">
        <v>1</v>
      </c>
      <c r="M261" s="3">
        <v>0</v>
      </c>
      <c r="N261" s="3">
        <v>1</v>
      </c>
      <c r="O261" s="3">
        <v>0.03</v>
      </c>
      <c r="P261" s="3">
        <v>0</v>
      </c>
      <c r="Q261" s="3">
        <v>0</v>
      </c>
      <c r="R261" s="3">
        <v>0</v>
      </c>
    </row>
    <row r="262" spans="1:18">
      <c r="A262" s="3" t="s">
        <v>2889</v>
      </c>
      <c r="B262" s="3" t="s">
        <v>2890</v>
      </c>
      <c r="C262" s="3" t="s">
        <v>2891</v>
      </c>
      <c r="D262" s="3" t="s">
        <v>2892</v>
      </c>
      <c r="E262" s="3" t="s">
        <v>1710</v>
      </c>
      <c r="F262" s="3">
        <v>15.99</v>
      </c>
      <c r="G262" s="3" t="s">
        <v>6233</v>
      </c>
      <c r="H262" s="3"/>
      <c r="I262" s="3" t="s">
        <v>6234</v>
      </c>
      <c r="J262" s="3">
        <v>1</v>
      </c>
      <c r="K262" s="3">
        <v>1</v>
      </c>
      <c r="L262" s="3">
        <v>0</v>
      </c>
      <c r="M262" s="3">
        <v>0</v>
      </c>
      <c r="N262" s="3">
        <v>1</v>
      </c>
      <c r="O262" s="3">
        <v>0.02</v>
      </c>
      <c r="P262" s="3">
        <v>0</v>
      </c>
      <c r="Q262" s="3">
        <v>0</v>
      </c>
      <c r="R262" s="3">
        <v>0</v>
      </c>
    </row>
    <row r="263" spans="1:18">
      <c r="A263" s="3" t="s">
        <v>2100</v>
      </c>
      <c r="B263" s="3" t="s">
        <v>2101</v>
      </c>
      <c r="C263" s="3" t="s">
        <v>2102</v>
      </c>
      <c r="D263" s="3" t="s">
        <v>2103</v>
      </c>
      <c r="E263" s="3" t="s">
        <v>1710</v>
      </c>
      <c r="F263" s="3">
        <v>15.99</v>
      </c>
      <c r="G263" s="3" t="s">
        <v>6233</v>
      </c>
      <c r="H263" s="3"/>
      <c r="I263" s="3" t="s">
        <v>6234</v>
      </c>
      <c r="J263" s="3">
        <v>1</v>
      </c>
      <c r="K263" s="3">
        <v>1</v>
      </c>
      <c r="L263" s="3">
        <v>0</v>
      </c>
      <c r="M263" s="3">
        <v>0</v>
      </c>
      <c r="N263" s="3">
        <v>1</v>
      </c>
      <c r="O263" s="3">
        <v>0.02</v>
      </c>
      <c r="P263" s="3">
        <v>0</v>
      </c>
      <c r="Q263" s="3">
        <v>0</v>
      </c>
      <c r="R263" s="3">
        <v>0</v>
      </c>
    </row>
    <row r="264" spans="1:18">
      <c r="A264" s="3" t="s">
        <v>4073</v>
      </c>
      <c r="B264" s="3" t="s">
        <v>4074</v>
      </c>
      <c r="C264" s="3" t="s">
        <v>4075</v>
      </c>
      <c r="D264" s="3" t="s">
        <v>4076</v>
      </c>
      <c r="E264" s="3" t="s">
        <v>1710</v>
      </c>
      <c r="F264" s="3">
        <v>15.99</v>
      </c>
      <c r="G264" s="3" t="s">
        <v>6233</v>
      </c>
      <c r="H264" s="3"/>
      <c r="I264" s="3" t="s">
        <v>6234</v>
      </c>
      <c r="J264" s="3">
        <v>2</v>
      </c>
      <c r="K264" s="3">
        <v>2</v>
      </c>
      <c r="L264" s="3">
        <v>0</v>
      </c>
      <c r="M264" s="3">
        <v>0</v>
      </c>
      <c r="N264" s="3">
        <v>2</v>
      </c>
      <c r="O264" s="3">
        <v>0.03</v>
      </c>
      <c r="P264" s="3">
        <v>0</v>
      </c>
      <c r="Q264" s="3">
        <v>0</v>
      </c>
      <c r="R264" s="3">
        <v>0</v>
      </c>
    </row>
    <row r="265" spans="1:18">
      <c r="A265" s="3" t="s">
        <v>5394</v>
      </c>
      <c r="B265" s="3" t="s">
        <v>5395</v>
      </c>
      <c r="C265" s="3" t="s">
        <v>5396</v>
      </c>
      <c r="D265" s="3" t="s">
        <v>5397</v>
      </c>
      <c r="E265" s="3" t="s">
        <v>1710</v>
      </c>
      <c r="F265" s="3">
        <v>15.99</v>
      </c>
      <c r="G265" s="3" t="s">
        <v>6233</v>
      </c>
      <c r="H265" s="3"/>
      <c r="I265" s="3" t="s">
        <v>6234</v>
      </c>
      <c r="J265" s="3">
        <v>4</v>
      </c>
      <c r="K265" s="3">
        <v>4</v>
      </c>
      <c r="L265" s="3">
        <v>0</v>
      </c>
      <c r="M265" s="3">
        <v>0</v>
      </c>
      <c r="N265" s="3">
        <v>4</v>
      </c>
      <c r="O265" s="3">
        <v>0.03</v>
      </c>
      <c r="P265" s="3">
        <v>0</v>
      </c>
      <c r="Q265" s="3">
        <v>0</v>
      </c>
      <c r="R265" s="3">
        <v>0</v>
      </c>
    </row>
    <row r="266" spans="1:18">
      <c r="A266" s="3" t="s">
        <v>76</v>
      </c>
      <c r="B266" s="3" t="s">
        <v>77</v>
      </c>
      <c r="C266" s="3" t="s">
        <v>78</v>
      </c>
      <c r="D266" s="3" t="s">
        <v>79</v>
      </c>
      <c r="E266" s="3" t="s">
        <v>1710</v>
      </c>
      <c r="F266" s="3">
        <v>13.99</v>
      </c>
      <c r="G266" s="3" t="s">
        <v>6233</v>
      </c>
      <c r="H266" s="3"/>
      <c r="I266" s="3" t="s">
        <v>6234</v>
      </c>
      <c r="J266" s="3">
        <v>4</v>
      </c>
      <c r="K266" s="3">
        <v>3</v>
      </c>
      <c r="L266" s="3">
        <v>0</v>
      </c>
      <c r="M266" s="3">
        <v>1</v>
      </c>
      <c r="N266" s="3">
        <v>4</v>
      </c>
      <c r="O266" s="3">
        <v>0.02</v>
      </c>
      <c r="P266" s="3">
        <v>0</v>
      </c>
      <c r="Q266" s="3">
        <v>0</v>
      </c>
      <c r="R266" s="3">
        <v>0</v>
      </c>
    </row>
    <row r="267" spans="1:18">
      <c r="A267" s="3" t="s">
        <v>2780</v>
      </c>
      <c r="B267" s="3" t="s">
        <v>2781</v>
      </c>
      <c r="C267" s="3" t="s">
        <v>2782</v>
      </c>
      <c r="D267" s="3" t="s">
        <v>2783</v>
      </c>
      <c r="E267" s="3" t="s">
        <v>1710</v>
      </c>
      <c r="F267" s="3">
        <v>13.99</v>
      </c>
      <c r="G267" s="3" t="s">
        <v>6233</v>
      </c>
      <c r="H267" s="3"/>
      <c r="I267" s="3" t="s">
        <v>6234</v>
      </c>
      <c r="J267" s="3">
        <v>1</v>
      </c>
      <c r="K267" s="3">
        <v>1</v>
      </c>
      <c r="L267" s="3">
        <v>0</v>
      </c>
      <c r="M267" s="3">
        <v>0</v>
      </c>
      <c r="N267" s="3">
        <v>1</v>
      </c>
      <c r="O267" s="3">
        <v>0.03</v>
      </c>
      <c r="P267" s="3">
        <v>0</v>
      </c>
      <c r="Q267" s="3">
        <v>0</v>
      </c>
      <c r="R267" s="3">
        <v>0</v>
      </c>
    </row>
    <row r="268" spans="1:18">
      <c r="A268" s="3" t="s">
        <v>5387</v>
      </c>
      <c r="B268" s="3" t="s">
        <v>5388</v>
      </c>
      <c r="C268" s="3" t="s">
        <v>5389</v>
      </c>
      <c r="D268" s="3" t="s">
        <v>5390</v>
      </c>
      <c r="E268" s="3" t="s">
        <v>1710</v>
      </c>
      <c r="F268" s="3">
        <v>9.99</v>
      </c>
      <c r="G268" s="3" t="s">
        <v>6233</v>
      </c>
      <c r="H268" s="3"/>
      <c r="I268" s="3" t="s">
        <v>6234</v>
      </c>
      <c r="J268" s="3">
        <v>2</v>
      </c>
      <c r="K268" s="3">
        <v>2</v>
      </c>
      <c r="L268" s="3">
        <v>0</v>
      </c>
      <c r="M268" s="3">
        <v>0</v>
      </c>
      <c r="N268" s="3">
        <v>2</v>
      </c>
      <c r="O268" s="3">
        <v>0.03</v>
      </c>
      <c r="P268" s="3">
        <v>0</v>
      </c>
      <c r="Q268" s="3">
        <v>0</v>
      </c>
      <c r="R268" s="3">
        <v>0</v>
      </c>
    </row>
    <row r="269" spans="1:18">
      <c r="A269" s="3" t="s">
        <v>4081</v>
      </c>
      <c r="B269" s="3" t="s">
        <v>4082</v>
      </c>
      <c r="C269" s="3" t="s">
        <v>4083</v>
      </c>
      <c r="D269" s="3" t="s">
        <v>4084</v>
      </c>
      <c r="E269" s="3" t="s">
        <v>1710</v>
      </c>
      <c r="F269" s="3">
        <v>13.99</v>
      </c>
      <c r="G269" s="3" t="s">
        <v>6233</v>
      </c>
      <c r="H269" s="3"/>
      <c r="I269" s="3" t="s">
        <v>6234</v>
      </c>
      <c r="J269" s="3">
        <v>2</v>
      </c>
      <c r="K269" s="3">
        <v>2</v>
      </c>
      <c r="L269" s="3">
        <v>0</v>
      </c>
      <c r="M269" s="3">
        <v>0</v>
      </c>
      <c r="N269" s="3">
        <v>2</v>
      </c>
      <c r="O269" s="3">
        <v>0.03</v>
      </c>
      <c r="P269" s="3">
        <v>0</v>
      </c>
      <c r="Q269" s="3">
        <v>0</v>
      </c>
      <c r="R269" s="3">
        <v>0</v>
      </c>
    </row>
    <row r="270" spans="1:18">
      <c r="A270" s="3" t="s">
        <v>2342</v>
      </c>
      <c r="B270" s="3" t="s">
        <v>2343</v>
      </c>
      <c r="C270" s="3" t="s">
        <v>2344</v>
      </c>
      <c r="D270" s="3" t="s">
        <v>2345</v>
      </c>
      <c r="E270" s="3" t="s">
        <v>1710</v>
      </c>
      <c r="F270" s="3">
        <v>13.99</v>
      </c>
      <c r="G270" s="3" t="s">
        <v>6233</v>
      </c>
      <c r="H270" s="3"/>
      <c r="I270" s="3" t="s">
        <v>6234</v>
      </c>
      <c r="J270" s="3">
        <v>3</v>
      </c>
      <c r="K270" s="3">
        <v>3</v>
      </c>
      <c r="L270" s="3">
        <v>0</v>
      </c>
      <c r="M270" s="3">
        <v>0</v>
      </c>
      <c r="N270" s="3">
        <v>3</v>
      </c>
      <c r="O270" s="3">
        <v>0.02</v>
      </c>
      <c r="P270" s="3">
        <v>0</v>
      </c>
      <c r="Q270" s="3">
        <v>0</v>
      </c>
      <c r="R270" s="3">
        <v>0</v>
      </c>
    </row>
    <row r="271" spans="1:18">
      <c r="A271" s="3" t="s">
        <v>6805</v>
      </c>
      <c r="B271" s="3" t="s">
        <v>6806</v>
      </c>
      <c r="C271" s="3" t="s">
        <v>6807</v>
      </c>
      <c r="D271" s="3" t="s">
        <v>6808</v>
      </c>
      <c r="E271" s="3" t="s">
        <v>1710</v>
      </c>
      <c r="F271" s="3">
        <v>15.99</v>
      </c>
      <c r="G271" s="3" t="s">
        <v>6233</v>
      </c>
      <c r="H271" s="3"/>
      <c r="I271" s="3" t="s">
        <v>6234</v>
      </c>
      <c r="J271" s="3">
        <v>2</v>
      </c>
      <c r="K271" s="3">
        <v>0</v>
      </c>
      <c r="L271" s="3">
        <v>2</v>
      </c>
      <c r="M271" s="3">
        <v>0</v>
      </c>
      <c r="N271" s="3">
        <v>2</v>
      </c>
      <c r="O271" s="3">
        <v>0.03</v>
      </c>
      <c r="P271" s="3">
        <v>0</v>
      </c>
      <c r="Q271" s="3">
        <v>0</v>
      </c>
      <c r="R271" s="3">
        <v>0</v>
      </c>
    </row>
    <row r="272" spans="1:18">
      <c r="A272" s="3" t="s">
        <v>6809</v>
      </c>
      <c r="B272" s="3" t="s">
        <v>6810</v>
      </c>
      <c r="C272" s="3" t="s">
        <v>6811</v>
      </c>
      <c r="D272" s="3" t="s">
        <v>6812</v>
      </c>
      <c r="E272" s="3" t="s">
        <v>1710</v>
      </c>
      <c r="F272" s="3">
        <v>15.99</v>
      </c>
      <c r="G272" s="3" t="s">
        <v>6233</v>
      </c>
      <c r="H272" s="3"/>
      <c r="I272" s="3" t="s">
        <v>6234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0.03</v>
      </c>
      <c r="P272" s="3">
        <v>0</v>
      </c>
      <c r="Q272" s="3">
        <v>0</v>
      </c>
      <c r="R272" s="3">
        <v>0</v>
      </c>
    </row>
    <row r="273" spans="1:18">
      <c r="A273" s="3" t="s">
        <v>6813</v>
      </c>
      <c r="B273" s="3" t="s">
        <v>6814</v>
      </c>
      <c r="C273" s="3" t="s">
        <v>6815</v>
      </c>
      <c r="D273" s="3" t="s">
        <v>6816</v>
      </c>
      <c r="E273" s="3" t="s">
        <v>1710</v>
      </c>
      <c r="F273" s="3">
        <v>15.99</v>
      </c>
      <c r="G273" s="3" t="s">
        <v>6233</v>
      </c>
      <c r="H273" s="3"/>
      <c r="I273" s="3" t="s">
        <v>6234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0.03</v>
      </c>
      <c r="P273" s="3">
        <v>0</v>
      </c>
      <c r="Q273" s="3">
        <v>0</v>
      </c>
      <c r="R273" s="3">
        <v>0</v>
      </c>
    </row>
    <row r="274" spans="1:18">
      <c r="A274" s="3" t="s">
        <v>6817</v>
      </c>
      <c r="B274" s="3" t="s">
        <v>6818</v>
      </c>
      <c r="C274" s="3" t="s">
        <v>6819</v>
      </c>
      <c r="D274" s="3" t="s">
        <v>6820</v>
      </c>
      <c r="E274" s="3" t="s">
        <v>1710</v>
      </c>
      <c r="F274" s="3">
        <v>15.99</v>
      </c>
      <c r="G274" s="3" t="s">
        <v>6233</v>
      </c>
      <c r="H274" s="3"/>
      <c r="I274" s="3" t="s">
        <v>6234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0.03</v>
      </c>
      <c r="P274" s="3">
        <v>0</v>
      </c>
      <c r="Q274" s="3">
        <v>0</v>
      </c>
      <c r="R274" s="3">
        <v>0</v>
      </c>
    </row>
    <row r="275" spans="1:18">
      <c r="A275" s="3" t="s">
        <v>6821</v>
      </c>
      <c r="B275" s="3" t="s">
        <v>6822</v>
      </c>
      <c r="C275" s="3" t="s">
        <v>6823</v>
      </c>
      <c r="D275" s="3" t="s">
        <v>6824</v>
      </c>
      <c r="E275" s="3" t="s">
        <v>1710</v>
      </c>
      <c r="F275" s="3">
        <v>15.99</v>
      </c>
      <c r="G275" s="3" t="s">
        <v>6233</v>
      </c>
      <c r="H275" s="3"/>
      <c r="I275" s="3" t="s">
        <v>6234</v>
      </c>
      <c r="J275" s="3">
        <v>1</v>
      </c>
      <c r="K275" s="3">
        <v>0</v>
      </c>
      <c r="L275" s="3">
        <v>1</v>
      </c>
      <c r="M275" s="3">
        <v>0</v>
      </c>
      <c r="N275" s="3">
        <v>1</v>
      </c>
      <c r="O275" s="3">
        <v>0.03</v>
      </c>
      <c r="P275" s="3">
        <v>0</v>
      </c>
      <c r="Q275" s="3">
        <v>0</v>
      </c>
      <c r="R275" s="3">
        <v>0</v>
      </c>
    </row>
    <row r="276" spans="1:18">
      <c r="A276" s="3" t="s">
        <v>6825</v>
      </c>
      <c r="B276" s="3" t="s">
        <v>6826</v>
      </c>
      <c r="C276" s="3" t="s">
        <v>6827</v>
      </c>
      <c r="D276" s="3" t="s">
        <v>6828</v>
      </c>
      <c r="E276" s="3" t="s">
        <v>1710</v>
      </c>
      <c r="F276" s="3">
        <v>15.99</v>
      </c>
      <c r="G276" s="3" t="s">
        <v>6233</v>
      </c>
      <c r="H276" s="3"/>
      <c r="I276" s="3" t="s">
        <v>6234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0.1</v>
      </c>
      <c r="P276" s="3">
        <v>0</v>
      </c>
      <c r="Q276" s="3">
        <v>0</v>
      </c>
      <c r="R276" s="3">
        <v>0</v>
      </c>
    </row>
    <row r="277" spans="1:18">
      <c r="A277" s="3" t="s">
        <v>4002</v>
      </c>
      <c r="B277" s="3" t="s">
        <v>4003</v>
      </c>
      <c r="C277" s="3" t="s">
        <v>4004</v>
      </c>
      <c r="D277" s="3" t="s">
        <v>4005</v>
      </c>
      <c r="E277" s="3" t="s">
        <v>1710</v>
      </c>
      <c r="F277" s="3">
        <v>30</v>
      </c>
      <c r="G277" s="3" t="s">
        <v>6233</v>
      </c>
      <c r="H277" s="3"/>
      <c r="I277" s="3" t="s">
        <v>6234</v>
      </c>
      <c r="J277" s="3">
        <v>3</v>
      </c>
      <c r="K277" s="3">
        <v>3</v>
      </c>
      <c r="L277" s="3">
        <v>0</v>
      </c>
      <c r="M277" s="3">
        <v>0</v>
      </c>
      <c r="N277" s="3">
        <v>3</v>
      </c>
      <c r="O277" s="3">
        <v>0.1</v>
      </c>
      <c r="P277" s="3">
        <v>0</v>
      </c>
      <c r="Q277" s="3">
        <v>0</v>
      </c>
      <c r="R277" s="3">
        <v>0</v>
      </c>
    </row>
    <row r="278" spans="1:18">
      <c r="A278" s="3" t="s">
        <v>6829</v>
      </c>
      <c r="B278" s="3" t="s">
        <v>6830</v>
      </c>
      <c r="C278" s="3" t="s">
        <v>6831</v>
      </c>
      <c r="D278" s="3" t="s">
        <v>4005</v>
      </c>
      <c r="E278" s="3" t="s">
        <v>1710</v>
      </c>
      <c r="F278" s="3">
        <v>15.99</v>
      </c>
      <c r="G278" s="3" t="s">
        <v>6233</v>
      </c>
      <c r="H278" s="3"/>
      <c r="I278" s="3" t="s">
        <v>6234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0.1</v>
      </c>
      <c r="P278" s="3">
        <v>0</v>
      </c>
      <c r="Q278" s="3">
        <v>0</v>
      </c>
      <c r="R278" s="3">
        <v>0</v>
      </c>
    </row>
    <row r="279" spans="1:18">
      <c r="A279" s="3" t="s">
        <v>6832</v>
      </c>
      <c r="B279" s="3" t="s">
        <v>6833</v>
      </c>
      <c r="C279" s="3" t="s">
        <v>1653</v>
      </c>
      <c r="D279" s="3" t="s">
        <v>1654</v>
      </c>
      <c r="E279" s="3" t="s">
        <v>1710</v>
      </c>
      <c r="F279" s="3">
        <v>40</v>
      </c>
      <c r="G279" s="3" t="s">
        <v>6233</v>
      </c>
      <c r="H279" s="3"/>
      <c r="I279" s="3" t="s">
        <v>6234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0.18</v>
      </c>
      <c r="P279" s="3">
        <v>0</v>
      </c>
      <c r="Q279" s="3">
        <v>0</v>
      </c>
      <c r="R279" s="3">
        <v>0</v>
      </c>
    </row>
    <row r="280" spans="1:18">
      <c r="A280" s="3" t="s">
        <v>6834</v>
      </c>
      <c r="B280" s="3" t="s">
        <v>6835</v>
      </c>
      <c r="C280" s="3" t="s">
        <v>1610</v>
      </c>
      <c r="D280" s="3" t="s">
        <v>1611</v>
      </c>
      <c r="E280" s="3" t="s">
        <v>1710</v>
      </c>
      <c r="F280" s="3">
        <v>40</v>
      </c>
      <c r="G280" s="3" t="s">
        <v>6233</v>
      </c>
      <c r="H280" s="3"/>
      <c r="I280" s="3" t="s">
        <v>6234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0.11</v>
      </c>
      <c r="P280" s="3">
        <v>0</v>
      </c>
      <c r="Q280" s="3">
        <v>0</v>
      </c>
      <c r="R280" s="3">
        <v>0</v>
      </c>
    </row>
    <row r="281" spans="1:18">
      <c r="A281" s="3" t="s">
        <v>6836</v>
      </c>
      <c r="B281" s="3" t="s">
        <v>6837</v>
      </c>
      <c r="C281" s="3" t="s">
        <v>1579</v>
      </c>
      <c r="D281" s="3" t="s">
        <v>1580</v>
      </c>
      <c r="E281" s="3" t="s">
        <v>1710</v>
      </c>
      <c r="F281" s="3">
        <v>40</v>
      </c>
      <c r="G281" s="3" t="s">
        <v>6233</v>
      </c>
      <c r="H281" s="3"/>
      <c r="I281" s="3" t="s">
        <v>6234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0.04</v>
      </c>
      <c r="P281" s="3">
        <v>0</v>
      </c>
      <c r="Q281" s="3">
        <v>0</v>
      </c>
      <c r="R281" s="3">
        <v>0</v>
      </c>
    </row>
    <row r="282" spans="1:18">
      <c r="A282" s="3" t="s">
        <v>6838</v>
      </c>
      <c r="B282" s="3" t="s">
        <v>6839</v>
      </c>
      <c r="C282" s="3" t="s">
        <v>6840</v>
      </c>
      <c r="D282" s="3" t="s">
        <v>6841</v>
      </c>
      <c r="E282" s="3" t="s">
        <v>1710</v>
      </c>
      <c r="F282" s="3">
        <v>29.99</v>
      </c>
      <c r="G282" s="3" t="s">
        <v>6233</v>
      </c>
      <c r="H282" s="3"/>
      <c r="I282" s="3" t="s">
        <v>6234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0.07</v>
      </c>
      <c r="P282" s="3">
        <v>0</v>
      </c>
      <c r="Q282" s="3">
        <v>0</v>
      </c>
      <c r="R282" s="3">
        <v>0</v>
      </c>
    </row>
    <row r="283" spans="1:18">
      <c r="A283" s="3" t="s">
        <v>6842</v>
      </c>
      <c r="B283" s="3" t="s">
        <v>6843</v>
      </c>
      <c r="C283" s="3" t="s">
        <v>6844</v>
      </c>
      <c r="D283" s="3" t="s">
        <v>6845</v>
      </c>
      <c r="E283" s="3" t="s">
        <v>1710</v>
      </c>
      <c r="F283" s="3">
        <v>14.88</v>
      </c>
      <c r="G283" s="3" t="s">
        <v>6233</v>
      </c>
      <c r="H283" s="3"/>
      <c r="I283" s="3" t="s">
        <v>6234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0.03</v>
      </c>
      <c r="P283" s="3">
        <v>0</v>
      </c>
      <c r="Q283" s="3">
        <v>0</v>
      </c>
      <c r="R283" s="3">
        <v>0</v>
      </c>
    </row>
    <row r="284" spans="1:18">
      <c r="A284" s="3" t="s">
        <v>3889</v>
      </c>
      <c r="B284" s="3" t="s">
        <v>3890</v>
      </c>
      <c r="C284" s="3" t="s">
        <v>3891</v>
      </c>
      <c r="D284" s="3" t="s">
        <v>3892</v>
      </c>
      <c r="E284" s="3" t="s">
        <v>1710</v>
      </c>
      <c r="F284" s="3">
        <v>14.88</v>
      </c>
      <c r="G284" s="3" t="s">
        <v>6233</v>
      </c>
      <c r="H284" s="3"/>
      <c r="I284" s="3" t="s">
        <v>6234</v>
      </c>
      <c r="J284" s="3">
        <v>4</v>
      </c>
      <c r="K284" s="3">
        <v>4</v>
      </c>
      <c r="L284" s="3">
        <v>0</v>
      </c>
      <c r="M284" s="3">
        <v>0</v>
      </c>
      <c r="N284" s="3">
        <v>4</v>
      </c>
      <c r="O284" s="3">
        <v>0.1</v>
      </c>
      <c r="P284" s="3">
        <v>0</v>
      </c>
      <c r="Q284" s="3">
        <v>0</v>
      </c>
      <c r="R284" s="3">
        <v>0</v>
      </c>
    </row>
    <row r="285" spans="1:18">
      <c r="A285" s="3" t="s">
        <v>6846</v>
      </c>
      <c r="B285" s="3" t="s">
        <v>6847</v>
      </c>
      <c r="C285" s="3" t="s">
        <v>6848</v>
      </c>
      <c r="D285" s="3" t="s">
        <v>6849</v>
      </c>
      <c r="E285" s="3" t="s">
        <v>1710</v>
      </c>
      <c r="F285" s="3">
        <v>14.88</v>
      </c>
      <c r="G285" s="3" t="s">
        <v>6233</v>
      </c>
      <c r="H285" s="3"/>
      <c r="I285" s="3" t="s">
        <v>6234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0.09</v>
      </c>
      <c r="P285" s="3">
        <v>0</v>
      </c>
      <c r="Q285" s="3">
        <v>0</v>
      </c>
      <c r="R285" s="3">
        <v>0</v>
      </c>
    </row>
    <row r="286" spans="1:18">
      <c r="A286" s="3" t="s">
        <v>4482</v>
      </c>
      <c r="B286" s="3" t="s">
        <v>4483</v>
      </c>
      <c r="C286" s="3" t="s">
        <v>4484</v>
      </c>
      <c r="D286" s="3" t="s">
        <v>4485</v>
      </c>
      <c r="E286" s="3" t="s">
        <v>1710</v>
      </c>
      <c r="F286" s="3">
        <v>25.99</v>
      </c>
      <c r="G286" s="3" t="s">
        <v>6233</v>
      </c>
      <c r="H286" s="3"/>
      <c r="I286" s="3" t="s">
        <v>6234</v>
      </c>
      <c r="J286" s="3">
        <v>2</v>
      </c>
      <c r="K286" s="3">
        <v>2</v>
      </c>
      <c r="L286" s="3">
        <v>0</v>
      </c>
      <c r="M286" s="3">
        <v>0</v>
      </c>
      <c r="N286" s="3">
        <v>2</v>
      </c>
      <c r="O286" s="3">
        <v>0.33</v>
      </c>
      <c r="P286" s="3">
        <v>0</v>
      </c>
      <c r="Q286" s="3">
        <v>0</v>
      </c>
      <c r="R286" s="3">
        <v>0</v>
      </c>
    </row>
    <row r="287" spans="1:18">
      <c r="A287" s="3" t="s">
        <v>4730</v>
      </c>
      <c r="B287" s="3" t="s">
        <v>4731</v>
      </c>
      <c r="C287" s="3" t="s">
        <v>4732</v>
      </c>
      <c r="D287" s="3" t="s">
        <v>4733</v>
      </c>
      <c r="E287" s="3" t="s">
        <v>1710</v>
      </c>
      <c r="F287" s="3">
        <v>25.99</v>
      </c>
      <c r="G287" s="3" t="s">
        <v>6233</v>
      </c>
      <c r="H287" s="3"/>
      <c r="I287" s="3" t="s">
        <v>6234</v>
      </c>
      <c r="J287" s="3">
        <v>2</v>
      </c>
      <c r="K287" s="3">
        <v>2</v>
      </c>
      <c r="L287" s="3">
        <v>0</v>
      </c>
      <c r="M287" s="3">
        <v>0</v>
      </c>
      <c r="N287" s="3">
        <v>2</v>
      </c>
      <c r="O287" s="3">
        <v>0.33</v>
      </c>
      <c r="P287" s="3">
        <v>0</v>
      </c>
      <c r="Q287" s="3">
        <v>0</v>
      </c>
      <c r="R287" s="3">
        <v>0</v>
      </c>
    </row>
    <row r="288" spans="1:18">
      <c r="A288" s="3" t="s">
        <v>2830</v>
      </c>
      <c r="B288" s="3" t="s">
        <v>2831</v>
      </c>
      <c r="C288" s="3" t="s">
        <v>2832</v>
      </c>
      <c r="D288" s="3" t="s">
        <v>2833</v>
      </c>
      <c r="E288" s="3" t="s">
        <v>1710</v>
      </c>
      <c r="F288" s="3">
        <v>25.99</v>
      </c>
      <c r="G288" s="3" t="s">
        <v>6233</v>
      </c>
      <c r="H288" s="3"/>
      <c r="I288" s="3" t="s">
        <v>6234</v>
      </c>
      <c r="J288" s="3">
        <v>1</v>
      </c>
      <c r="K288" s="3">
        <v>1</v>
      </c>
      <c r="L288" s="3">
        <v>0</v>
      </c>
      <c r="M288" s="3">
        <v>0</v>
      </c>
      <c r="N288" s="3">
        <v>1</v>
      </c>
      <c r="O288" s="3">
        <v>0.33</v>
      </c>
      <c r="P288" s="3">
        <v>0</v>
      </c>
      <c r="Q288" s="3">
        <v>0</v>
      </c>
      <c r="R288" s="3">
        <v>0</v>
      </c>
    </row>
    <row r="289" spans="1:18">
      <c r="A289" s="3" t="s">
        <v>3329</v>
      </c>
      <c r="B289" s="3" t="s">
        <v>3330</v>
      </c>
      <c r="C289" s="3" t="s">
        <v>3331</v>
      </c>
      <c r="D289" s="3" t="s">
        <v>3332</v>
      </c>
      <c r="E289" s="3" t="s">
        <v>1710</v>
      </c>
      <c r="F289" s="3">
        <v>25.99</v>
      </c>
      <c r="G289" s="3" t="s">
        <v>6233</v>
      </c>
      <c r="H289" s="3"/>
      <c r="I289" s="3" t="s">
        <v>6234</v>
      </c>
      <c r="J289" s="3">
        <v>1</v>
      </c>
      <c r="K289" s="3">
        <v>1</v>
      </c>
      <c r="L289" s="3">
        <v>0</v>
      </c>
      <c r="M289" s="3">
        <v>0</v>
      </c>
      <c r="N289" s="3">
        <v>1</v>
      </c>
      <c r="O289" s="3">
        <v>0.33</v>
      </c>
      <c r="P289" s="3">
        <v>0</v>
      </c>
      <c r="Q289" s="3">
        <v>0</v>
      </c>
      <c r="R289" s="3">
        <v>0</v>
      </c>
    </row>
    <row r="290" spans="1:18">
      <c r="A290" s="3" t="s">
        <v>6850</v>
      </c>
      <c r="B290" s="3" t="s">
        <v>6851</v>
      </c>
      <c r="C290" s="3" t="s">
        <v>6852</v>
      </c>
      <c r="D290" s="3" t="s">
        <v>6853</v>
      </c>
      <c r="E290" s="3" t="s">
        <v>1710</v>
      </c>
      <c r="F290" s="3">
        <v>25.99</v>
      </c>
      <c r="G290" s="3" t="s">
        <v>6233</v>
      </c>
      <c r="H290" s="3"/>
      <c r="I290" s="3" t="s">
        <v>6234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0.33</v>
      </c>
      <c r="P290" s="3">
        <v>0</v>
      </c>
      <c r="Q290" s="3">
        <v>0</v>
      </c>
      <c r="R290" s="3">
        <v>0</v>
      </c>
    </row>
    <row r="291" spans="1:18">
      <c r="A291" s="3" t="s">
        <v>6854</v>
      </c>
      <c r="B291" s="3" t="s">
        <v>6855</v>
      </c>
      <c r="C291" s="3" t="s">
        <v>6856</v>
      </c>
      <c r="D291" s="3" t="s">
        <v>6857</v>
      </c>
      <c r="E291" s="3" t="s">
        <v>1710</v>
      </c>
      <c r="F291" s="3">
        <v>25.99</v>
      </c>
      <c r="G291" s="3" t="s">
        <v>6233</v>
      </c>
      <c r="H291" s="3"/>
      <c r="I291" s="3" t="s">
        <v>6234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0.33</v>
      </c>
      <c r="P291" s="3">
        <v>0</v>
      </c>
      <c r="Q291" s="3">
        <v>0</v>
      </c>
      <c r="R291" s="3">
        <v>0</v>
      </c>
    </row>
    <row r="292" spans="1:18">
      <c r="A292" s="3" t="s">
        <v>5635</v>
      </c>
      <c r="B292" s="3" t="s">
        <v>5636</v>
      </c>
      <c r="C292" s="3" t="s">
        <v>5637</v>
      </c>
      <c r="D292" s="3" t="s">
        <v>5638</v>
      </c>
      <c r="E292" s="3" t="s">
        <v>1710</v>
      </c>
      <c r="F292" s="3">
        <v>18.99</v>
      </c>
      <c r="G292" s="3" t="s">
        <v>6233</v>
      </c>
      <c r="H292" s="3"/>
      <c r="I292" s="3" t="s">
        <v>6234</v>
      </c>
      <c r="J292" s="3">
        <v>1</v>
      </c>
      <c r="K292" s="3">
        <v>1</v>
      </c>
      <c r="L292" s="3">
        <v>0</v>
      </c>
      <c r="M292" s="3">
        <v>0</v>
      </c>
      <c r="N292" s="3">
        <v>1</v>
      </c>
      <c r="O292" s="3">
        <v>0.12</v>
      </c>
      <c r="P292" s="3">
        <v>0</v>
      </c>
      <c r="Q292" s="3">
        <v>0</v>
      </c>
      <c r="R292" s="3">
        <v>0</v>
      </c>
    </row>
    <row r="293" spans="1:18">
      <c r="A293" s="3" t="s">
        <v>3387</v>
      </c>
      <c r="B293" s="3" t="s">
        <v>3388</v>
      </c>
      <c r="C293" s="3" t="s">
        <v>3389</v>
      </c>
      <c r="D293" s="3" t="s">
        <v>3390</v>
      </c>
      <c r="E293" s="3" t="s">
        <v>1710</v>
      </c>
      <c r="F293" s="3">
        <v>13.99</v>
      </c>
      <c r="G293" s="3" t="s">
        <v>6233</v>
      </c>
      <c r="H293" s="3"/>
      <c r="I293" s="3" t="s">
        <v>6234</v>
      </c>
      <c r="J293" s="3">
        <v>1</v>
      </c>
      <c r="K293" s="3">
        <v>1</v>
      </c>
      <c r="L293" s="3">
        <v>0</v>
      </c>
      <c r="M293" s="3">
        <v>0</v>
      </c>
      <c r="N293" s="3">
        <v>1</v>
      </c>
      <c r="O293" s="3">
        <v>0.12</v>
      </c>
      <c r="P293" s="3">
        <v>0</v>
      </c>
      <c r="Q293" s="3">
        <v>0</v>
      </c>
      <c r="R293" s="3">
        <v>0</v>
      </c>
    </row>
    <row r="294" spans="1:18">
      <c r="A294" s="3" t="s">
        <v>5130</v>
      </c>
      <c r="B294" s="3" t="s">
        <v>5131</v>
      </c>
      <c r="C294" s="3" t="s">
        <v>5132</v>
      </c>
      <c r="D294" s="3" t="s">
        <v>5133</v>
      </c>
      <c r="E294" s="3" t="s">
        <v>1710</v>
      </c>
      <c r="F294" s="3">
        <v>18.99</v>
      </c>
      <c r="G294" s="3" t="s">
        <v>6233</v>
      </c>
      <c r="H294" s="3"/>
      <c r="I294" s="3" t="s">
        <v>6234</v>
      </c>
      <c r="J294" s="3">
        <v>5</v>
      </c>
      <c r="K294" s="3">
        <v>5</v>
      </c>
      <c r="L294" s="3">
        <v>0</v>
      </c>
      <c r="M294" s="3">
        <v>0</v>
      </c>
      <c r="N294" s="3">
        <v>5</v>
      </c>
      <c r="O294" s="3">
        <v>0.12</v>
      </c>
      <c r="P294" s="3">
        <v>0</v>
      </c>
      <c r="Q294" s="3">
        <v>0</v>
      </c>
      <c r="R294" s="3">
        <v>0</v>
      </c>
    </row>
    <row r="295" spans="1:18">
      <c r="A295" s="3" t="s">
        <v>4188</v>
      </c>
      <c r="B295" s="3" t="s">
        <v>4189</v>
      </c>
      <c r="C295" s="3" t="s">
        <v>4190</v>
      </c>
      <c r="D295" s="3" t="s">
        <v>4191</v>
      </c>
      <c r="E295" s="3" t="s">
        <v>1710</v>
      </c>
      <c r="F295" s="3">
        <v>18.99</v>
      </c>
      <c r="G295" s="3" t="s">
        <v>6233</v>
      </c>
      <c r="H295" s="3"/>
      <c r="I295" s="3" t="s">
        <v>6234</v>
      </c>
      <c r="J295" s="3">
        <v>3</v>
      </c>
      <c r="K295" s="3">
        <v>3</v>
      </c>
      <c r="L295" s="3">
        <v>0</v>
      </c>
      <c r="M295" s="3">
        <v>0</v>
      </c>
      <c r="N295" s="3">
        <v>3</v>
      </c>
      <c r="O295" s="3">
        <v>0.12</v>
      </c>
      <c r="P295" s="3">
        <v>0</v>
      </c>
      <c r="Q295" s="3">
        <v>0</v>
      </c>
      <c r="R295" s="3">
        <v>0</v>
      </c>
    </row>
    <row r="296" spans="1:18">
      <c r="A296" s="3" t="s">
        <v>4249</v>
      </c>
      <c r="B296" s="3" t="s">
        <v>4250</v>
      </c>
      <c r="C296" s="3" t="s">
        <v>4251</v>
      </c>
      <c r="D296" s="3" t="s">
        <v>4252</v>
      </c>
      <c r="E296" s="3" t="s">
        <v>1710</v>
      </c>
      <c r="F296" s="3">
        <v>18.99</v>
      </c>
      <c r="G296" s="3" t="s">
        <v>6233</v>
      </c>
      <c r="H296" s="3"/>
      <c r="I296" s="3" t="s">
        <v>6234</v>
      </c>
      <c r="J296" s="3">
        <v>8</v>
      </c>
      <c r="K296" s="3">
        <v>8</v>
      </c>
      <c r="L296" s="3">
        <v>0</v>
      </c>
      <c r="M296" s="3">
        <v>0</v>
      </c>
      <c r="N296" s="3">
        <v>8</v>
      </c>
      <c r="O296" s="3">
        <v>0.12</v>
      </c>
      <c r="P296" s="3">
        <v>0</v>
      </c>
      <c r="Q296" s="3">
        <v>0</v>
      </c>
      <c r="R296" s="3">
        <v>0</v>
      </c>
    </row>
    <row r="297" spans="1:18">
      <c r="A297" s="3" t="s">
        <v>2394</v>
      </c>
      <c r="B297" s="3" t="s">
        <v>2395</v>
      </c>
      <c r="C297" s="3" t="s">
        <v>2396</v>
      </c>
      <c r="D297" s="3" t="s">
        <v>2397</v>
      </c>
      <c r="E297" s="3" t="s">
        <v>1710</v>
      </c>
      <c r="F297" s="3">
        <v>18.99</v>
      </c>
      <c r="G297" s="3" t="s">
        <v>6233</v>
      </c>
      <c r="H297" s="3"/>
      <c r="I297" s="3" t="s">
        <v>6234</v>
      </c>
      <c r="J297" s="3">
        <v>6</v>
      </c>
      <c r="K297" s="3">
        <v>6</v>
      </c>
      <c r="L297" s="3">
        <v>0</v>
      </c>
      <c r="M297" s="3">
        <v>0</v>
      </c>
      <c r="N297" s="3">
        <v>6</v>
      </c>
      <c r="O297" s="3">
        <v>0.12</v>
      </c>
      <c r="P297" s="3">
        <v>0</v>
      </c>
      <c r="Q297" s="3">
        <v>0</v>
      </c>
      <c r="R297" s="3">
        <v>0</v>
      </c>
    </row>
    <row r="298" spans="1:18">
      <c r="A298" s="3" t="s">
        <v>3391</v>
      </c>
      <c r="B298" s="3" t="s">
        <v>3392</v>
      </c>
      <c r="C298" s="3" t="s">
        <v>3393</v>
      </c>
      <c r="D298" s="3" t="s">
        <v>3394</v>
      </c>
      <c r="E298" s="3" t="s">
        <v>1710</v>
      </c>
      <c r="F298" s="3">
        <v>18.99</v>
      </c>
      <c r="G298" s="3" t="s">
        <v>6233</v>
      </c>
      <c r="H298" s="3"/>
      <c r="I298" s="3" t="s">
        <v>6234</v>
      </c>
      <c r="J298" s="3">
        <v>9</v>
      </c>
      <c r="K298" s="3">
        <v>9</v>
      </c>
      <c r="L298" s="3">
        <v>0</v>
      </c>
      <c r="M298" s="3">
        <v>0</v>
      </c>
      <c r="N298" s="3">
        <v>9</v>
      </c>
      <c r="O298" s="3">
        <v>0.12</v>
      </c>
      <c r="P298" s="3">
        <v>0</v>
      </c>
      <c r="Q298" s="3">
        <v>0</v>
      </c>
      <c r="R298" s="3">
        <v>0</v>
      </c>
    </row>
    <row r="299" spans="1:18">
      <c r="A299" s="3" t="s">
        <v>4581</v>
      </c>
      <c r="B299" s="3" t="s">
        <v>4582</v>
      </c>
      <c r="C299" s="3" t="s">
        <v>4583</v>
      </c>
      <c r="D299" s="3" t="s">
        <v>4584</v>
      </c>
      <c r="E299" s="3" t="s">
        <v>1710</v>
      </c>
      <c r="F299" s="3">
        <v>18.99</v>
      </c>
      <c r="G299" s="3" t="s">
        <v>6233</v>
      </c>
      <c r="H299" s="3"/>
      <c r="I299" s="3" t="s">
        <v>6234</v>
      </c>
      <c r="J299" s="3">
        <v>8</v>
      </c>
      <c r="K299" s="3">
        <v>8</v>
      </c>
      <c r="L299" s="3">
        <v>0</v>
      </c>
      <c r="M299" s="3">
        <v>0</v>
      </c>
      <c r="N299" s="3">
        <v>8</v>
      </c>
      <c r="O299" s="3">
        <v>0.12</v>
      </c>
      <c r="P299" s="3">
        <v>0</v>
      </c>
      <c r="Q299" s="3">
        <v>0</v>
      </c>
      <c r="R299" s="3">
        <v>0</v>
      </c>
    </row>
    <row r="300" spans="1:18">
      <c r="A300" s="3" t="s">
        <v>4828</v>
      </c>
      <c r="B300" s="3" t="s">
        <v>4829</v>
      </c>
      <c r="C300" s="3" t="s">
        <v>4830</v>
      </c>
      <c r="D300" s="3" t="s">
        <v>4831</v>
      </c>
      <c r="E300" s="3" t="s">
        <v>1710</v>
      </c>
      <c r="F300" s="3">
        <v>18.99</v>
      </c>
      <c r="G300" s="3" t="s">
        <v>6233</v>
      </c>
      <c r="H300" s="3"/>
      <c r="I300" s="3" t="s">
        <v>6234</v>
      </c>
      <c r="J300" s="3">
        <v>6</v>
      </c>
      <c r="K300" s="3">
        <v>6</v>
      </c>
      <c r="L300" s="3">
        <v>0</v>
      </c>
      <c r="M300" s="3">
        <v>0</v>
      </c>
      <c r="N300" s="3">
        <v>6</v>
      </c>
      <c r="O300" s="3">
        <v>0.12</v>
      </c>
      <c r="P300" s="3">
        <v>0</v>
      </c>
      <c r="Q300" s="3">
        <v>0</v>
      </c>
      <c r="R300" s="3">
        <v>0</v>
      </c>
    </row>
    <row r="301" spans="1:18">
      <c r="A301" s="3" t="s">
        <v>5002</v>
      </c>
      <c r="B301" s="3" t="s">
        <v>5003</v>
      </c>
      <c r="C301" s="3" t="s">
        <v>5004</v>
      </c>
      <c r="D301" s="3" t="s">
        <v>5005</v>
      </c>
      <c r="E301" s="3" t="s">
        <v>1710</v>
      </c>
      <c r="F301" s="3">
        <v>18.99</v>
      </c>
      <c r="G301" s="3" t="s">
        <v>6233</v>
      </c>
      <c r="H301" s="3"/>
      <c r="I301" s="3" t="s">
        <v>6234</v>
      </c>
      <c r="J301" s="3">
        <v>4</v>
      </c>
      <c r="K301" s="3">
        <v>4</v>
      </c>
      <c r="L301" s="3">
        <v>0</v>
      </c>
      <c r="M301" s="3">
        <v>0</v>
      </c>
      <c r="N301" s="3">
        <v>4</v>
      </c>
      <c r="O301" s="3">
        <v>0.12</v>
      </c>
      <c r="P301" s="3">
        <v>0</v>
      </c>
      <c r="Q301" s="3">
        <v>0</v>
      </c>
      <c r="R301" s="3">
        <v>0</v>
      </c>
    </row>
    <row r="302" spans="1:18">
      <c r="A302" s="3" t="s">
        <v>4294</v>
      </c>
      <c r="B302" s="3" t="s">
        <v>4295</v>
      </c>
      <c r="C302" s="3" t="s">
        <v>4296</v>
      </c>
      <c r="D302" s="3" t="s">
        <v>4297</v>
      </c>
      <c r="E302" s="3" t="s">
        <v>1710</v>
      </c>
      <c r="F302" s="3">
        <v>18.99</v>
      </c>
      <c r="G302" s="3" t="s">
        <v>6233</v>
      </c>
      <c r="H302" s="3"/>
      <c r="I302" s="3" t="s">
        <v>6234</v>
      </c>
      <c r="J302" s="3">
        <v>11</v>
      </c>
      <c r="K302" s="3">
        <v>11</v>
      </c>
      <c r="L302" s="3">
        <v>0</v>
      </c>
      <c r="M302" s="3">
        <v>0</v>
      </c>
      <c r="N302" s="3">
        <v>11</v>
      </c>
      <c r="O302" s="3">
        <v>0.12</v>
      </c>
      <c r="P302" s="3">
        <v>0</v>
      </c>
      <c r="Q302" s="3">
        <v>0</v>
      </c>
      <c r="R302" s="3">
        <v>0</v>
      </c>
    </row>
    <row r="303" spans="1:18">
      <c r="A303" s="3" t="s">
        <v>92</v>
      </c>
      <c r="B303" s="3" t="s">
        <v>93</v>
      </c>
      <c r="C303" s="3" t="s">
        <v>94</v>
      </c>
      <c r="D303" s="3" t="s">
        <v>95</v>
      </c>
      <c r="E303" s="3" t="s">
        <v>1710</v>
      </c>
      <c r="F303" s="3">
        <v>18.99</v>
      </c>
      <c r="G303" s="3" t="s">
        <v>6233</v>
      </c>
      <c r="H303" s="3"/>
      <c r="I303" s="3" t="s">
        <v>6234</v>
      </c>
      <c r="J303" s="3">
        <v>3</v>
      </c>
      <c r="K303" s="3">
        <v>2</v>
      </c>
      <c r="L303" s="3">
        <v>0</v>
      </c>
      <c r="M303" s="3">
        <v>1</v>
      </c>
      <c r="N303" s="3">
        <v>3</v>
      </c>
      <c r="O303" s="3">
        <v>0.12</v>
      </c>
      <c r="P303" s="3">
        <v>0</v>
      </c>
      <c r="Q303" s="3">
        <v>0</v>
      </c>
      <c r="R303" s="3">
        <v>0</v>
      </c>
    </row>
    <row r="304" spans="1:18">
      <c r="A304" s="3" t="s">
        <v>3520</v>
      </c>
      <c r="B304" s="3" t="s">
        <v>3521</v>
      </c>
      <c r="C304" s="3" t="s">
        <v>3522</v>
      </c>
      <c r="D304" s="3" t="s">
        <v>3523</v>
      </c>
      <c r="E304" s="3" t="s">
        <v>1710</v>
      </c>
      <c r="F304" s="3">
        <v>18.99</v>
      </c>
      <c r="G304" s="3" t="s">
        <v>6233</v>
      </c>
      <c r="H304" s="3"/>
      <c r="I304" s="3" t="s">
        <v>6234</v>
      </c>
      <c r="J304" s="3">
        <v>1</v>
      </c>
      <c r="K304" s="3">
        <v>1</v>
      </c>
      <c r="L304" s="3">
        <v>0</v>
      </c>
      <c r="M304" s="3">
        <v>0</v>
      </c>
      <c r="N304" s="3">
        <v>1</v>
      </c>
      <c r="O304" s="3">
        <v>0.12</v>
      </c>
      <c r="P304" s="3">
        <v>0</v>
      </c>
      <c r="Q304" s="3">
        <v>0</v>
      </c>
      <c r="R304" s="3">
        <v>0</v>
      </c>
    </row>
    <row r="305" spans="1:18">
      <c r="A305" s="3" t="s">
        <v>4265</v>
      </c>
      <c r="B305" s="3" t="s">
        <v>4266</v>
      </c>
      <c r="C305" s="3" t="s">
        <v>4267</v>
      </c>
      <c r="D305" s="3" t="s">
        <v>4268</v>
      </c>
      <c r="E305" s="3" t="s">
        <v>1710</v>
      </c>
      <c r="F305" s="3">
        <v>18.99</v>
      </c>
      <c r="G305" s="3" t="s">
        <v>6233</v>
      </c>
      <c r="H305" s="3"/>
      <c r="I305" s="3" t="s">
        <v>6234</v>
      </c>
      <c r="J305" s="3">
        <v>3</v>
      </c>
      <c r="K305" s="3">
        <v>3</v>
      </c>
      <c r="L305" s="3">
        <v>0</v>
      </c>
      <c r="M305" s="3">
        <v>0</v>
      </c>
      <c r="N305" s="3">
        <v>3</v>
      </c>
      <c r="O305" s="3">
        <v>0.12</v>
      </c>
      <c r="P305" s="3">
        <v>0</v>
      </c>
      <c r="Q305" s="3">
        <v>0</v>
      </c>
      <c r="R305" s="3">
        <v>0</v>
      </c>
    </row>
    <row r="306" spans="1:18">
      <c r="A306" s="3" t="s">
        <v>2475</v>
      </c>
      <c r="B306" s="3" t="s">
        <v>2476</v>
      </c>
      <c r="C306" s="3" t="s">
        <v>2477</v>
      </c>
      <c r="D306" s="3" t="s">
        <v>2478</v>
      </c>
      <c r="E306" s="3" t="s">
        <v>1710</v>
      </c>
      <c r="F306" s="3">
        <v>18.99</v>
      </c>
      <c r="G306" s="3" t="s">
        <v>6233</v>
      </c>
      <c r="H306" s="3"/>
      <c r="I306" s="3" t="s">
        <v>6234</v>
      </c>
      <c r="J306" s="3">
        <v>3</v>
      </c>
      <c r="K306" s="3">
        <v>3</v>
      </c>
      <c r="L306" s="3">
        <v>0</v>
      </c>
      <c r="M306" s="3">
        <v>0</v>
      </c>
      <c r="N306" s="3">
        <v>3</v>
      </c>
      <c r="O306" s="3">
        <v>0.12</v>
      </c>
      <c r="P306" s="3">
        <v>0</v>
      </c>
      <c r="Q306" s="3">
        <v>0</v>
      </c>
      <c r="R306" s="3">
        <v>0</v>
      </c>
    </row>
    <row r="307" spans="1:18">
      <c r="A307" s="3" t="s">
        <v>6858</v>
      </c>
      <c r="B307" s="3" t="s">
        <v>6859</v>
      </c>
      <c r="C307" s="3" t="s">
        <v>6860</v>
      </c>
      <c r="D307" s="3" t="s">
        <v>6861</v>
      </c>
      <c r="E307" s="3" t="s">
        <v>1710</v>
      </c>
      <c r="F307" s="3">
        <v>35</v>
      </c>
      <c r="G307" s="3" t="s">
        <v>6233</v>
      </c>
      <c r="H307" s="3"/>
      <c r="I307" s="3" t="s">
        <v>6234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0.05</v>
      </c>
      <c r="P307" s="3">
        <v>0</v>
      </c>
      <c r="Q307" s="3">
        <v>0</v>
      </c>
      <c r="R307" s="3">
        <v>0</v>
      </c>
    </row>
    <row r="308" spans="1:18">
      <c r="A308" s="3" t="s">
        <v>5170</v>
      </c>
      <c r="B308" s="3" t="s">
        <v>5171</v>
      </c>
      <c r="C308" s="3" t="s">
        <v>5172</v>
      </c>
      <c r="D308" s="3" t="s">
        <v>5173</v>
      </c>
      <c r="E308" s="3" t="s">
        <v>1710</v>
      </c>
      <c r="F308" s="3">
        <v>35</v>
      </c>
      <c r="G308" s="3" t="s">
        <v>6233</v>
      </c>
      <c r="H308" s="3"/>
      <c r="I308" s="3" t="s">
        <v>6234</v>
      </c>
      <c r="J308" s="3">
        <v>1</v>
      </c>
      <c r="K308" s="3">
        <v>1</v>
      </c>
      <c r="L308" s="3">
        <v>0</v>
      </c>
      <c r="M308" s="3">
        <v>0</v>
      </c>
      <c r="N308" s="3">
        <v>1</v>
      </c>
      <c r="O308" s="3">
        <v>0.05</v>
      </c>
      <c r="P308" s="3">
        <v>0</v>
      </c>
      <c r="Q308" s="3">
        <v>0</v>
      </c>
      <c r="R308" s="3">
        <v>0</v>
      </c>
    </row>
    <row r="309" spans="1:18">
      <c r="A309" s="3" t="s">
        <v>2652</v>
      </c>
      <c r="B309" s="3" t="s">
        <v>2653</v>
      </c>
      <c r="C309" s="3" t="s">
        <v>2654</v>
      </c>
      <c r="D309" s="3" t="s">
        <v>2655</v>
      </c>
      <c r="E309" s="3" t="s">
        <v>1710</v>
      </c>
      <c r="F309" s="3">
        <v>35</v>
      </c>
      <c r="G309" s="3" t="s">
        <v>6233</v>
      </c>
      <c r="H309" s="3"/>
      <c r="I309" s="3" t="s">
        <v>6234</v>
      </c>
      <c r="J309" s="3">
        <v>2</v>
      </c>
      <c r="K309" s="3">
        <v>2</v>
      </c>
      <c r="L309" s="3">
        <v>0</v>
      </c>
      <c r="M309" s="3">
        <v>0</v>
      </c>
      <c r="N309" s="3">
        <v>2</v>
      </c>
      <c r="O309" s="3">
        <v>0.05</v>
      </c>
      <c r="P309" s="3">
        <v>0</v>
      </c>
      <c r="Q309" s="3">
        <v>0</v>
      </c>
      <c r="R309" s="3">
        <v>0</v>
      </c>
    </row>
    <row r="310" spans="1:18">
      <c r="A310" s="3" t="s">
        <v>5883</v>
      </c>
      <c r="B310" s="3" t="s">
        <v>5884</v>
      </c>
      <c r="C310" s="3" t="s">
        <v>5885</v>
      </c>
      <c r="D310" s="3" t="s">
        <v>5886</v>
      </c>
      <c r="E310" s="3" t="s">
        <v>1710</v>
      </c>
      <c r="F310" s="3">
        <v>35</v>
      </c>
      <c r="G310" s="3" t="s">
        <v>6233</v>
      </c>
      <c r="H310" s="3"/>
      <c r="I310" s="3" t="s">
        <v>6234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0.05</v>
      </c>
      <c r="P310" s="3">
        <v>0</v>
      </c>
      <c r="Q310" s="3">
        <v>0</v>
      </c>
      <c r="R310" s="3">
        <v>0</v>
      </c>
    </row>
    <row r="311" spans="1:18">
      <c r="A311" s="3" t="s">
        <v>6862</v>
      </c>
      <c r="B311" s="3" t="s">
        <v>6863</v>
      </c>
      <c r="C311" s="3" t="s">
        <v>6864</v>
      </c>
      <c r="D311" s="3" t="s">
        <v>6865</v>
      </c>
      <c r="E311" s="3" t="s">
        <v>1710</v>
      </c>
      <c r="F311" s="3">
        <v>35</v>
      </c>
      <c r="G311" s="3" t="s">
        <v>6233</v>
      </c>
      <c r="H311" s="3"/>
      <c r="I311" s="3" t="s">
        <v>6234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0.05</v>
      </c>
      <c r="P311" s="3">
        <v>0</v>
      </c>
      <c r="Q311" s="3">
        <v>0</v>
      </c>
      <c r="R311" s="3">
        <v>0</v>
      </c>
    </row>
    <row r="312" spans="1:18">
      <c r="A312" s="3" t="s">
        <v>6866</v>
      </c>
      <c r="B312" s="3" t="s">
        <v>6867</v>
      </c>
      <c r="C312" s="3" t="s">
        <v>6868</v>
      </c>
      <c r="D312" s="3" t="s">
        <v>6869</v>
      </c>
      <c r="E312" s="3" t="s">
        <v>1710</v>
      </c>
      <c r="F312" s="3">
        <v>35</v>
      </c>
      <c r="G312" s="3" t="s">
        <v>6233</v>
      </c>
      <c r="H312" s="3"/>
      <c r="I312" s="3" t="s">
        <v>6234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0.05</v>
      </c>
      <c r="P312" s="3">
        <v>0</v>
      </c>
      <c r="Q312" s="3">
        <v>0</v>
      </c>
      <c r="R312" s="3">
        <v>0</v>
      </c>
    </row>
    <row r="313" spans="1:18">
      <c r="A313" s="3" t="s">
        <v>6870</v>
      </c>
      <c r="B313" s="3" t="s">
        <v>6871</v>
      </c>
      <c r="C313" s="3" t="s">
        <v>6872</v>
      </c>
      <c r="D313" s="3" t="s">
        <v>6873</v>
      </c>
      <c r="E313" s="3" t="s">
        <v>1710</v>
      </c>
      <c r="F313" s="3">
        <v>35</v>
      </c>
      <c r="G313" s="3" t="s">
        <v>6233</v>
      </c>
      <c r="H313" s="3"/>
      <c r="I313" s="3" t="s">
        <v>6234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0.05</v>
      </c>
      <c r="P313" s="3">
        <v>0</v>
      </c>
      <c r="Q313" s="3">
        <v>0</v>
      </c>
      <c r="R313" s="3">
        <v>0</v>
      </c>
    </row>
    <row r="314" spans="1:18">
      <c r="A314" s="3" t="s">
        <v>3626</v>
      </c>
      <c r="B314" s="3" t="s">
        <v>3627</v>
      </c>
      <c r="C314" s="3" t="s">
        <v>3628</v>
      </c>
      <c r="D314" s="3" t="s">
        <v>3629</v>
      </c>
      <c r="E314" s="3" t="s">
        <v>1710</v>
      </c>
      <c r="F314" s="3">
        <v>35</v>
      </c>
      <c r="G314" s="3" t="s">
        <v>6233</v>
      </c>
      <c r="H314" s="3"/>
      <c r="I314" s="3" t="s">
        <v>6234</v>
      </c>
      <c r="J314" s="3">
        <v>5</v>
      </c>
      <c r="K314" s="3">
        <v>5</v>
      </c>
      <c r="L314" s="3">
        <v>0</v>
      </c>
      <c r="M314" s="3">
        <v>0</v>
      </c>
      <c r="N314" s="3">
        <v>5</v>
      </c>
      <c r="O314" s="3">
        <v>0.05</v>
      </c>
      <c r="P314" s="3">
        <v>0</v>
      </c>
      <c r="Q314" s="3">
        <v>0</v>
      </c>
      <c r="R314" s="3">
        <v>0</v>
      </c>
    </row>
    <row r="315" spans="1:18">
      <c r="A315" s="3" t="s">
        <v>2737</v>
      </c>
      <c r="B315" s="3" t="s">
        <v>2738</v>
      </c>
      <c r="C315" s="3" t="s">
        <v>2739</v>
      </c>
      <c r="D315" s="3" t="s">
        <v>2740</v>
      </c>
      <c r="E315" s="3" t="s">
        <v>1710</v>
      </c>
      <c r="F315" s="3">
        <v>35</v>
      </c>
      <c r="G315" s="3" t="s">
        <v>6233</v>
      </c>
      <c r="H315" s="3"/>
      <c r="I315" s="3" t="s">
        <v>6234</v>
      </c>
      <c r="J315" s="3">
        <v>5</v>
      </c>
      <c r="K315" s="3">
        <v>5</v>
      </c>
      <c r="L315" s="3">
        <v>0</v>
      </c>
      <c r="M315" s="3">
        <v>0</v>
      </c>
      <c r="N315" s="3">
        <v>5</v>
      </c>
      <c r="O315" s="3">
        <v>0.05</v>
      </c>
      <c r="P315" s="3">
        <v>0</v>
      </c>
      <c r="Q315" s="3">
        <v>0</v>
      </c>
      <c r="R315" s="3">
        <v>0</v>
      </c>
    </row>
    <row r="316" spans="1:18">
      <c r="A316" s="3" t="s">
        <v>4103</v>
      </c>
      <c r="B316" s="3" t="s">
        <v>4104</v>
      </c>
      <c r="C316" s="3" t="s">
        <v>4105</v>
      </c>
      <c r="D316" s="3" t="s">
        <v>4106</v>
      </c>
      <c r="E316" s="3" t="s">
        <v>1710</v>
      </c>
      <c r="F316" s="3">
        <v>35</v>
      </c>
      <c r="G316" s="3" t="s">
        <v>6233</v>
      </c>
      <c r="H316" s="3"/>
      <c r="I316" s="3" t="s">
        <v>6234</v>
      </c>
      <c r="J316" s="3">
        <v>4</v>
      </c>
      <c r="K316" s="3">
        <v>3</v>
      </c>
      <c r="L316" s="3">
        <v>1</v>
      </c>
      <c r="M316" s="3">
        <v>0</v>
      </c>
      <c r="N316" s="3">
        <v>4</v>
      </c>
      <c r="O316" s="3">
        <v>0.05</v>
      </c>
      <c r="P316" s="3">
        <v>0</v>
      </c>
      <c r="Q316" s="3">
        <v>0</v>
      </c>
      <c r="R316" s="3">
        <v>0</v>
      </c>
    </row>
    <row r="317" spans="1:18">
      <c r="A317" s="3" t="s">
        <v>6874</v>
      </c>
      <c r="B317" s="3" t="s">
        <v>6875</v>
      </c>
      <c r="C317" s="3" t="s">
        <v>6876</v>
      </c>
      <c r="D317" s="3"/>
      <c r="E317" s="3" t="s">
        <v>6275</v>
      </c>
      <c r="F317" s="3"/>
      <c r="G317" s="3"/>
      <c r="H317" s="3"/>
      <c r="I317" s="3"/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6877</v>
      </c>
      <c r="B318" s="3" t="s">
        <v>6878</v>
      </c>
      <c r="C318" s="3" t="s">
        <v>6879</v>
      </c>
      <c r="D318" s="3"/>
      <c r="E318" s="3" t="s">
        <v>6275</v>
      </c>
      <c r="F318" s="3"/>
      <c r="G318" s="3"/>
      <c r="H318" s="3"/>
      <c r="I318" s="3"/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6880</v>
      </c>
      <c r="B319" s="3" t="s">
        <v>6881</v>
      </c>
      <c r="C319" s="3" t="s">
        <v>6882</v>
      </c>
      <c r="D319" s="3"/>
      <c r="E319" s="3" t="s">
        <v>6275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6883</v>
      </c>
      <c r="B320" s="3" t="s">
        <v>6884</v>
      </c>
      <c r="C320" s="3" t="s">
        <v>6885</v>
      </c>
      <c r="D320" s="3"/>
      <c r="E320" s="3" t="s">
        <v>6275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6886</v>
      </c>
      <c r="B321" s="3" t="s">
        <v>6887</v>
      </c>
      <c r="C321" s="3" t="s">
        <v>6888</v>
      </c>
      <c r="D321" s="3"/>
      <c r="E321" s="3" t="s">
        <v>6275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6889</v>
      </c>
      <c r="B322" s="3" t="s">
        <v>6890</v>
      </c>
      <c r="C322" s="3" t="s">
        <v>6891</v>
      </c>
      <c r="D322" s="3" t="s">
        <v>6892</v>
      </c>
      <c r="E322" s="3" t="s">
        <v>1710</v>
      </c>
      <c r="F322" s="3">
        <v>35</v>
      </c>
      <c r="G322" s="3" t="s">
        <v>6233</v>
      </c>
      <c r="H322" s="3"/>
      <c r="I322" s="3" t="s">
        <v>6234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0.05</v>
      </c>
      <c r="P322" s="3">
        <v>0</v>
      </c>
      <c r="Q322" s="3">
        <v>0</v>
      </c>
      <c r="R322" s="3">
        <v>0</v>
      </c>
    </row>
    <row r="323" spans="1:18">
      <c r="A323" s="3" t="s">
        <v>3761</v>
      </c>
      <c r="B323" s="3" t="s">
        <v>3762</v>
      </c>
      <c r="C323" s="3" t="s">
        <v>3763</v>
      </c>
      <c r="D323" s="3" t="s">
        <v>3764</v>
      </c>
      <c r="E323" s="3" t="s">
        <v>1710</v>
      </c>
      <c r="F323" s="3">
        <v>35</v>
      </c>
      <c r="G323" s="3" t="s">
        <v>6233</v>
      </c>
      <c r="H323" s="3"/>
      <c r="I323" s="3" t="s">
        <v>6234</v>
      </c>
      <c r="J323" s="3">
        <v>2</v>
      </c>
      <c r="K323" s="3">
        <v>2</v>
      </c>
      <c r="L323" s="3">
        <v>0</v>
      </c>
      <c r="M323" s="3">
        <v>0</v>
      </c>
      <c r="N323" s="3">
        <v>2</v>
      </c>
      <c r="O323" s="3">
        <v>0.05</v>
      </c>
      <c r="P323" s="3">
        <v>0</v>
      </c>
      <c r="Q323" s="3">
        <v>0</v>
      </c>
      <c r="R323" s="3">
        <v>0</v>
      </c>
    </row>
    <row r="324" spans="1:18">
      <c r="A324" s="3" t="s">
        <v>1963</v>
      </c>
      <c r="B324" s="3" t="s">
        <v>1964</v>
      </c>
      <c r="C324" s="3" t="s">
        <v>1965</v>
      </c>
      <c r="D324" s="3" t="s">
        <v>1966</v>
      </c>
      <c r="E324" s="3" t="s">
        <v>1710</v>
      </c>
      <c r="F324" s="3">
        <v>35</v>
      </c>
      <c r="G324" s="3" t="s">
        <v>6233</v>
      </c>
      <c r="H324" s="3"/>
      <c r="I324" s="3" t="s">
        <v>6234</v>
      </c>
      <c r="J324" s="3">
        <v>5</v>
      </c>
      <c r="K324" s="3">
        <v>5</v>
      </c>
      <c r="L324" s="3">
        <v>0</v>
      </c>
      <c r="M324" s="3">
        <v>0</v>
      </c>
      <c r="N324" s="3">
        <v>5</v>
      </c>
      <c r="O324" s="3">
        <v>0.05</v>
      </c>
      <c r="P324" s="3">
        <v>0</v>
      </c>
      <c r="Q324" s="3">
        <v>0</v>
      </c>
      <c r="R324" s="3">
        <v>0</v>
      </c>
    </row>
    <row r="325" spans="1:18">
      <c r="A325" s="3" t="s">
        <v>2156</v>
      </c>
      <c r="B325" s="3" t="s">
        <v>2157</v>
      </c>
      <c r="C325" s="3" t="s">
        <v>2158</v>
      </c>
      <c r="D325" s="3" t="s">
        <v>2159</v>
      </c>
      <c r="E325" s="3" t="s">
        <v>1710</v>
      </c>
      <c r="F325" s="3">
        <v>35</v>
      </c>
      <c r="G325" s="3" t="s">
        <v>6233</v>
      </c>
      <c r="H325" s="3"/>
      <c r="I325" s="3" t="s">
        <v>6234</v>
      </c>
      <c r="J325" s="3">
        <v>5</v>
      </c>
      <c r="K325" s="3">
        <v>5</v>
      </c>
      <c r="L325" s="3">
        <v>0</v>
      </c>
      <c r="M325" s="3">
        <v>0</v>
      </c>
      <c r="N325" s="3">
        <v>5</v>
      </c>
      <c r="O325" s="3">
        <v>0.05</v>
      </c>
      <c r="P325" s="3">
        <v>0</v>
      </c>
      <c r="Q325" s="3">
        <v>0</v>
      </c>
      <c r="R325" s="3">
        <v>0</v>
      </c>
    </row>
    <row r="326" spans="1:18">
      <c r="A326" s="3" t="s">
        <v>2008</v>
      </c>
      <c r="B326" s="3" t="s">
        <v>2009</v>
      </c>
      <c r="C326" s="3" t="s">
        <v>2010</v>
      </c>
      <c r="D326" s="3" t="s">
        <v>2011</v>
      </c>
      <c r="E326" s="3" t="s">
        <v>1710</v>
      </c>
      <c r="F326" s="3">
        <v>35</v>
      </c>
      <c r="G326" s="3" t="s">
        <v>6233</v>
      </c>
      <c r="H326" s="3"/>
      <c r="I326" s="3" t="s">
        <v>6234</v>
      </c>
      <c r="J326" s="3">
        <v>5</v>
      </c>
      <c r="K326" s="3">
        <v>5</v>
      </c>
      <c r="L326" s="3">
        <v>0</v>
      </c>
      <c r="M326" s="3">
        <v>0</v>
      </c>
      <c r="N326" s="3">
        <v>5</v>
      </c>
      <c r="O326" s="3">
        <v>0.05</v>
      </c>
      <c r="P326" s="3">
        <v>0</v>
      </c>
      <c r="Q326" s="3">
        <v>0</v>
      </c>
      <c r="R326" s="3">
        <v>0</v>
      </c>
    </row>
    <row r="327" spans="1:18">
      <c r="A327" s="3" t="s">
        <v>6893</v>
      </c>
      <c r="B327" s="3" t="s">
        <v>6894</v>
      </c>
      <c r="C327" s="3" t="s">
        <v>6895</v>
      </c>
      <c r="D327" s="3" t="s">
        <v>6896</v>
      </c>
      <c r="E327" s="3" t="s">
        <v>1710</v>
      </c>
      <c r="F327" s="3">
        <v>35</v>
      </c>
      <c r="G327" s="3" t="s">
        <v>6233</v>
      </c>
      <c r="H327" s="3"/>
      <c r="I327" s="3" t="s">
        <v>6234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0.05</v>
      </c>
      <c r="P327" s="3">
        <v>0</v>
      </c>
      <c r="Q327" s="3">
        <v>0</v>
      </c>
      <c r="R327" s="3">
        <v>0</v>
      </c>
    </row>
    <row r="328" spans="1:18">
      <c r="A328" s="3" t="s">
        <v>5675</v>
      </c>
      <c r="B328" s="3" t="s">
        <v>5676</v>
      </c>
      <c r="C328" s="3" t="s">
        <v>5677</v>
      </c>
      <c r="D328" s="3" t="s">
        <v>5678</v>
      </c>
      <c r="E328" s="3" t="s">
        <v>1710</v>
      </c>
      <c r="F328" s="3">
        <v>35</v>
      </c>
      <c r="G328" s="3" t="s">
        <v>6233</v>
      </c>
      <c r="H328" s="3"/>
      <c r="I328" s="3" t="s">
        <v>6234</v>
      </c>
      <c r="J328" s="3">
        <v>3</v>
      </c>
      <c r="K328" s="3">
        <v>3</v>
      </c>
      <c r="L328" s="3">
        <v>0</v>
      </c>
      <c r="M328" s="3">
        <v>0</v>
      </c>
      <c r="N328" s="3">
        <v>3</v>
      </c>
      <c r="O328" s="3">
        <v>0.05</v>
      </c>
      <c r="P328" s="3">
        <v>0</v>
      </c>
      <c r="Q328" s="3">
        <v>0</v>
      </c>
      <c r="R328" s="3">
        <v>0</v>
      </c>
    </row>
    <row r="329" spans="1:18">
      <c r="A329" s="3" t="s">
        <v>2166</v>
      </c>
      <c r="B329" s="3" t="s">
        <v>2167</v>
      </c>
      <c r="C329" s="3" t="s">
        <v>2168</v>
      </c>
      <c r="D329" s="3" t="s">
        <v>2169</v>
      </c>
      <c r="E329" s="3" t="s">
        <v>1710</v>
      </c>
      <c r="F329" s="3">
        <v>35</v>
      </c>
      <c r="G329" s="3" t="s">
        <v>6233</v>
      </c>
      <c r="H329" s="3"/>
      <c r="I329" s="3" t="s">
        <v>6234</v>
      </c>
      <c r="J329" s="3">
        <v>3</v>
      </c>
      <c r="K329" s="3">
        <v>3</v>
      </c>
      <c r="L329" s="3">
        <v>0</v>
      </c>
      <c r="M329" s="3">
        <v>0</v>
      </c>
      <c r="N329" s="3">
        <v>3</v>
      </c>
      <c r="O329" s="3">
        <v>0.05</v>
      </c>
      <c r="P329" s="3">
        <v>0</v>
      </c>
      <c r="Q329" s="3">
        <v>0</v>
      </c>
      <c r="R329" s="3">
        <v>0</v>
      </c>
    </row>
    <row r="330" spans="1:18">
      <c r="A330" s="3" t="s">
        <v>2077</v>
      </c>
      <c r="B330" s="3" t="s">
        <v>2078</v>
      </c>
      <c r="C330" s="3" t="s">
        <v>2079</v>
      </c>
      <c r="D330" s="3" t="s">
        <v>2080</v>
      </c>
      <c r="E330" s="3" t="s">
        <v>1710</v>
      </c>
      <c r="F330" s="3">
        <v>35</v>
      </c>
      <c r="G330" s="3" t="s">
        <v>6233</v>
      </c>
      <c r="H330" s="3"/>
      <c r="I330" s="3" t="s">
        <v>6234</v>
      </c>
      <c r="J330" s="3">
        <v>4</v>
      </c>
      <c r="K330" s="3">
        <v>4</v>
      </c>
      <c r="L330" s="3">
        <v>0</v>
      </c>
      <c r="M330" s="3">
        <v>0</v>
      </c>
      <c r="N330" s="3">
        <v>4</v>
      </c>
      <c r="O330" s="3">
        <v>0.05</v>
      </c>
      <c r="P330" s="3">
        <v>0</v>
      </c>
      <c r="Q330" s="3">
        <v>0</v>
      </c>
      <c r="R330" s="3">
        <v>0</v>
      </c>
    </row>
    <row r="331" spans="1:18">
      <c r="A331" s="3" t="s">
        <v>4455</v>
      </c>
      <c r="B331" s="3" t="s">
        <v>4456</v>
      </c>
      <c r="C331" s="3" t="s">
        <v>4457</v>
      </c>
      <c r="D331" s="3" t="s">
        <v>4458</v>
      </c>
      <c r="E331" s="3" t="s">
        <v>1710</v>
      </c>
      <c r="F331" s="3">
        <v>35</v>
      </c>
      <c r="G331" s="3" t="s">
        <v>6233</v>
      </c>
      <c r="H331" s="3"/>
      <c r="I331" s="3" t="s">
        <v>6234</v>
      </c>
      <c r="J331" s="3">
        <v>2</v>
      </c>
      <c r="K331" s="3">
        <v>2</v>
      </c>
      <c r="L331" s="3">
        <v>0</v>
      </c>
      <c r="M331" s="3">
        <v>0</v>
      </c>
      <c r="N331" s="3">
        <v>2</v>
      </c>
      <c r="O331" s="3">
        <v>0.05</v>
      </c>
      <c r="P331" s="3">
        <v>0</v>
      </c>
      <c r="Q331" s="3">
        <v>0</v>
      </c>
      <c r="R331" s="3">
        <v>0</v>
      </c>
    </row>
    <row r="332" spans="1:18">
      <c r="A332" s="3" t="s">
        <v>6897</v>
      </c>
      <c r="B332" s="3" t="s">
        <v>6898</v>
      </c>
      <c r="C332" s="3" t="s">
        <v>6899</v>
      </c>
      <c r="D332" s="3"/>
      <c r="E332" s="3" t="s">
        <v>6275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6900</v>
      </c>
      <c r="B333" s="3" t="s">
        <v>6901</v>
      </c>
      <c r="C333" s="3" t="s">
        <v>6902</v>
      </c>
      <c r="D333" s="3"/>
      <c r="E333" s="3" t="s">
        <v>6275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6903</v>
      </c>
      <c r="B334" s="3" t="s">
        <v>6904</v>
      </c>
      <c r="C334" s="3" t="s">
        <v>6905</v>
      </c>
      <c r="D334" s="3"/>
      <c r="E334" s="3" t="s">
        <v>6275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6906</v>
      </c>
      <c r="B335" s="3" t="s">
        <v>6907</v>
      </c>
      <c r="C335" s="3" t="s">
        <v>6908</v>
      </c>
      <c r="D335" s="3"/>
      <c r="E335" s="3" t="s">
        <v>6275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6909</v>
      </c>
      <c r="B336" s="3" t="s">
        <v>6910</v>
      </c>
      <c r="C336" s="3" t="s">
        <v>6911</v>
      </c>
      <c r="D336" s="3"/>
      <c r="E336" s="3" t="s">
        <v>6275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6912</v>
      </c>
      <c r="B337" s="3" t="s">
        <v>6913</v>
      </c>
      <c r="C337" s="3" t="s">
        <v>6914</v>
      </c>
      <c r="D337" s="3"/>
      <c r="E337" s="3" t="s">
        <v>6275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6915</v>
      </c>
      <c r="B338" s="3" t="s">
        <v>6916</v>
      </c>
      <c r="C338" s="3" t="s">
        <v>6917</v>
      </c>
      <c r="D338" s="3"/>
      <c r="E338" s="3" t="s">
        <v>6275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6918</v>
      </c>
      <c r="B339" s="3" t="s">
        <v>6919</v>
      </c>
      <c r="C339" s="3" t="s">
        <v>6920</v>
      </c>
      <c r="D339" s="3"/>
      <c r="E339" s="3" t="s">
        <v>6275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6921</v>
      </c>
      <c r="B340" s="3" t="s">
        <v>6922</v>
      </c>
      <c r="C340" s="3" t="s">
        <v>6923</v>
      </c>
      <c r="D340" s="3"/>
      <c r="E340" s="3" t="s">
        <v>6275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6924</v>
      </c>
      <c r="B341" s="3" t="s">
        <v>6925</v>
      </c>
      <c r="C341" s="3" t="s">
        <v>6926</v>
      </c>
      <c r="D341" s="3"/>
      <c r="E341" s="3" t="s">
        <v>6275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6927</v>
      </c>
      <c r="B342" s="3" t="s">
        <v>6928</v>
      </c>
      <c r="C342" s="3" t="s">
        <v>6929</v>
      </c>
      <c r="D342" s="3"/>
      <c r="E342" s="3" t="s">
        <v>6275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6930</v>
      </c>
      <c r="B343" s="3" t="s">
        <v>6931</v>
      </c>
      <c r="C343" s="3" t="s">
        <v>6932</v>
      </c>
      <c r="D343" s="3"/>
      <c r="E343" s="3" t="s">
        <v>6275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6933</v>
      </c>
      <c r="B344" s="3" t="s">
        <v>6934</v>
      </c>
      <c r="C344" s="3" t="s">
        <v>6935</v>
      </c>
      <c r="D344" s="3"/>
      <c r="E344" s="3" t="s">
        <v>6275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6936</v>
      </c>
      <c r="B345" s="3" t="s">
        <v>6937</v>
      </c>
      <c r="C345" s="3" t="s">
        <v>6938</v>
      </c>
      <c r="D345" s="3"/>
      <c r="E345" s="3" t="s">
        <v>6275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6939</v>
      </c>
      <c r="B346" s="3" t="s">
        <v>6940</v>
      </c>
      <c r="C346" s="3" t="s">
        <v>6941</v>
      </c>
      <c r="D346" s="3"/>
      <c r="E346" s="3" t="s">
        <v>6275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6942</v>
      </c>
      <c r="B347" s="3" t="s">
        <v>6943</v>
      </c>
      <c r="C347" s="3" t="s">
        <v>6944</v>
      </c>
      <c r="D347" s="3"/>
      <c r="E347" s="3" t="s">
        <v>6275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6945</v>
      </c>
      <c r="B348" s="3" t="s">
        <v>6946</v>
      </c>
      <c r="C348" s="3" t="s">
        <v>6947</v>
      </c>
      <c r="D348" s="3"/>
      <c r="E348" s="3" t="s">
        <v>6275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6948</v>
      </c>
      <c r="B349" s="3" t="s">
        <v>6949</v>
      </c>
      <c r="C349" s="3" t="s">
        <v>6950</v>
      </c>
      <c r="D349" s="3"/>
      <c r="E349" s="3" t="s">
        <v>6275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6951</v>
      </c>
      <c r="B350" s="3" t="s">
        <v>6952</v>
      </c>
      <c r="C350" s="3" t="s">
        <v>6953</v>
      </c>
      <c r="D350" s="3"/>
      <c r="E350" s="3" t="s">
        <v>6275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6954</v>
      </c>
      <c r="B351" s="3" t="s">
        <v>6955</v>
      </c>
      <c r="C351" s="3" t="s">
        <v>6956</v>
      </c>
      <c r="D351" s="3"/>
      <c r="E351" s="3" t="s">
        <v>6275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6957</v>
      </c>
      <c r="B352" s="3" t="s">
        <v>6958</v>
      </c>
      <c r="C352" s="3" t="s">
        <v>6959</v>
      </c>
      <c r="D352" s="3"/>
      <c r="E352" s="3" t="s">
        <v>6275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6960</v>
      </c>
      <c r="B353" s="3" t="s">
        <v>6961</v>
      </c>
      <c r="C353" s="3" t="s">
        <v>6962</v>
      </c>
      <c r="D353" s="3"/>
      <c r="E353" s="3" t="s">
        <v>6275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6963</v>
      </c>
      <c r="B354" s="3" t="s">
        <v>6964</v>
      </c>
      <c r="C354" s="3" t="s">
        <v>6965</v>
      </c>
      <c r="D354" s="3"/>
      <c r="E354" s="3" t="s">
        <v>6275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6966</v>
      </c>
      <c r="B355" s="3" t="s">
        <v>6967</v>
      </c>
      <c r="C355" s="3" t="s">
        <v>6968</v>
      </c>
      <c r="D355" s="3"/>
      <c r="E355" s="3" t="s">
        <v>6275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6969</v>
      </c>
      <c r="B356" s="3" t="s">
        <v>6970</v>
      </c>
      <c r="C356" s="3" t="s">
        <v>6971</v>
      </c>
      <c r="D356" s="3"/>
      <c r="E356" s="3" t="s">
        <v>6275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4619</v>
      </c>
      <c r="B357" s="3" t="s">
        <v>4620</v>
      </c>
      <c r="C357" s="3" t="s">
        <v>4621</v>
      </c>
      <c r="D357" s="3" t="s">
        <v>4622</v>
      </c>
      <c r="E357" s="3" t="s">
        <v>1710</v>
      </c>
      <c r="F357" s="3">
        <v>35</v>
      </c>
      <c r="G357" s="3" t="s">
        <v>6233</v>
      </c>
      <c r="H357" s="3"/>
      <c r="I357" s="3" t="s">
        <v>6234</v>
      </c>
      <c r="J357" s="3">
        <v>74</v>
      </c>
      <c r="K357" s="3">
        <v>74</v>
      </c>
      <c r="L357" s="3">
        <v>0</v>
      </c>
      <c r="M357" s="3">
        <v>0</v>
      </c>
      <c r="N357" s="3">
        <v>74</v>
      </c>
      <c r="O357" s="3">
        <v>0.05</v>
      </c>
      <c r="P357" s="3">
        <v>0</v>
      </c>
      <c r="Q357" s="3">
        <v>0</v>
      </c>
      <c r="R357" s="3">
        <v>0</v>
      </c>
    </row>
    <row r="358" spans="1:18">
      <c r="A358" s="3" t="s">
        <v>6972</v>
      </c>
      <c r="B358" s="3" t="s">
        <v>6973</v>
      </c>
      <c r="C358" s="3" t="s">
        <v>4621</v>
      </c>
      <c r="D358" s="3"/>
      <c r="E358" s="3" t="s">
        <v>6275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5550</v>
      </c>
      <c r="B359" s="3" t="s">
        <v>5551</v>
      </c>
      <c r="C359" s="3" t="s">
        <v>5552</v>
      </c>
      <c r="D359" s="3" t="s">
        <v>5553</v>
      </c>
      <c r="E359" s="3" t="s">
        <v>1710</v>
      </c>
      <c r="F359" s="3">
        <v>35</v>
      </c>
      <c r="G359" s="3" t="s">
        <v>6233</v>
      </c>
      <c r="H359" s="3"/>
      <c r="I359" s="3" t="s">
        <v>6234</v>
      </c>
      <c r="J359" s="3">
        <v>96</v>
      </c>
      <c r="K359" s="3">
        <v>90</v>
      </c>
      <c r="L359" s="3">
        <v>6</v>
      </c>
      <c r="M359" s="3">
        <v>0</v>
      </c>
      <c r="N359" s="3">
        <v>96</v>
      </c>
      <c r="O359" s="3">
        <v>0.14</v>
      </c>
      <c r="P359" s="3">
        <v>0</v>
      </c>
      <c r="Q359" s="3">
        <v>0</v>
      </c>
      <c r="R359" s="3">
        <v>0</v>
      </c>
    </row>
    <row r="360" spans="1:18">
      <c r="A360" s="3" t="s">
        <v>104</v>
      </c>
      <c r="B360" s="3" t="s">
        <v>105</v>
      </c>
      <c r="C360" s="3" t="s">
        <v>106</v>
      </c>
      <c r="D360" s="3" t="s">
        <v>107</v>
      </c>
      <c r="E360" s="3" t="s">
        <v>1710</v>
      </c>
      <c r="F360" s="3">
        <v>35</v>
      </c>
      <c r="G360" s="3" t="s">
        <v>6233</v>
      </c>
      <c r="H360" s="3"/>
      <c r="I360" s="3" t="s">
        <v>6234</v>
      </c>
      <c r="J360" s="3">
        <v>210</v>
      </c>
      <c r="K360" s="3">
        <v>208</v>
      </c>
      <c r="L360" s="3">
        <v>0</v>
      </c>
      <c r="M360" s="3">
        <v>2</v>
      </c>
      <c r="N360" s="3">
        <v>210</v>
      </c>
      <c r="O360" s="3">
        <v>0.05</v>
      </c>
      <c r="P360" s="3">
        <v>0</v>
      </c>
      <c r="Q360" s="3">
        <v>0</v>
      </c>
      <c r="R360" s="3">
        <v>0</v>
      </c>
    </row>
    <row r="361" spans="1:18">
      <c r="A361" s="3" t="s">
        <v>3160</v>
      </c>
      <c r="B361" s="3" t="s">
        <v>3161</v>
      </c>
      <c r="C361" s="3" t="s">
        <v>3162</v>
      </c>
      <c r="D361" s="3" t="s">
        <v>3163</v>
      </c>
      <c r="E361" s="3" t="s">
        <v>1710</v>
      </c>
      <c r="F361" s="3">
        <v>35</v>
      </c>
      <c r="G361" s="3" t="s">
        <v>6233</v>
      </c>
      <c r="H361" s="3"/>
      <c r="I361" s="3" t="s">
        <v>6234</v>
      </c>
      <c r="J361" s="3">
        <v>94</v>
      </c>
      <c r="K361" s="3">
        <v>94</v>
      </c>
      <c r="L361" s="3">
        <v>0</v>
      </c>
      <c r="M361" s="3">
        <v>0</v>
      </c>
      <c r="N361" s="3">
        <v>94</v>
      </c>
      <c r="O361" s="3">
        <v>0.07</v>
      </c>
      <c r="P361" s="3">
        <v>0</v>
      </c>
      <c r="Q361" s="3">
        <v>0</v>
      </c>
      <c r="R361" s="3">
        <v>0</v>
      </c>
    </row>
    <row r="362" spans="1:18">
      <c r="A362" s="3" t="s">
        <v>6974</v>
      </c>
      <c r="B362" s="3" t="s">
        <v>6975</v>
      </c>
      <c r="C362" s="3" t="s">
        <v>3162</v>
      </c>
      <c r="D362" s="3"/>
      <c r="E362" s="3" t="s">
        <v>6275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4526</v>
      </c>
      <c r="B363" s="3" t="s">
        <v>4527</v>
      </c>
      <c r="C363" s="3" t="s">
        <v>4528</v>
      </c>
      <c r="D363" s="3" t="s">
        <v>4529</v>
      </c>
      <c r="E363" s="3" t="s">
        <v>1710</v>
      </c>
      <c r="F363" s="3">
        <v>35</v>
      </c>
      <c r="G363" s="3" t="s">
        <v>6233</v>
      </c>
      <c r="H363" s="3"/>
      <c r="I363" s="3" t="s">
        <v>6234</v>
      </c>
      <c r="J363" s="3">
        <v>88</v>
      </c>
      <c r="K363" s="3">
        <v>88</v>
      </c>
      <c r="L363" s="3">
        <v>0</v>
      </c>
      <c r="M363" s="3">
        <v>0</v>
      </c>
      <c r="N363" s="3">
        <v>88</v>
      </c>
      <c r="O363" s="3">
        <v>0.05</v>
      </c>
      <c r="P363" s="3">
        <v>0</v>
      </c>
      <c r="Q363" s="3">
        <v>0</v>
      </c>
      <c r="R363" s="3">
        <v>0</v>
      </c>
    </row>
    <row r="364" spans="1:18">
      <c r="A364" s="3" t="s">
        <v>6976</v>
      </c>
      <c r="B364" s="3" t="s">
        <v>6977</v>
      </c>
      <c r="C364" s="3" t="s">
        <v>4528</v>
      </c>
      <c r="D364" s="3"/>
      <c r="E364" s="3" t="s">
        <v>6275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4057</v>
      </c>
      <c r="B365" s="3" t="s">
        <v>4058</v>
      </c>
      <c r="C365" s="3" t="s">
        <v>4059</v>
      </c>
      <c r="D365" s="3" t="s">
        <v>4060</v>
      </c>
      <c r="E365" s="3" t="s">
        <v>1710</v>
      </c>
      <c r="F365" s="3">
        <v>35</v>
      </c>
      <c r="G365" s="3" t="s">
        <v>6233</v>
      </c>
      <c r="H365" s="3"/>
      <c r="I365" s="3" t="s">
        <v>6234</v>
      </c>
      <c r="J365" s="3">
        <v>135</v>
      </c>
      <c r="K365" s="3">
        <v>135</v>
      </c>
      <c r="L365" s="3">
        <v>0</v>
      </c>
      <c r="M365" s="3">
        <v>0</v>
      </c>
      <c r="N365" s="3">
        <v>135</v>
      </c>
      <c r="O365" s="3">
        <v>0.05</v>
      </c>
      <c r="P365" s="3">
        <v>0</v>
      </c>
      <c r="Q365" s="3">
        <v>0</v>
      </c>
      <c r="R365" s="3">
        <v>0</v>
      </c>
    </row>
    <row r="366" spans="1:18">
      <c r="A366" s="3" t="s">
        <v>6978</v>
      </c>
      <c r="B366" s="3" t="s">
        <v>6979</v>
      </c>
      <c r="C366" s="3" t="s">
        <v>4059</v>
      </c>
      <c r="D366" s="3"/>
      <c r="E366" s="3" t="s">
        <v>6275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5698</v>
      </c>
      <c r="B367" s="3" t="s">
        <v>5699</v>
      </c>
      <c r="C367" s="3" t="s">
        <v>5700</v>
      </c>
      <c r="D367" s="3" t="s">
        <v>5701</v>
      </c>
      <c r="E367" s="3" t="s">
        <v>1710</v>
      </c>
      <c r="F367" s="3">
        <v>35</v>
      </c>
      <c r="G367" s="3" t="s">
        <v>6233</v>
      </c>
      <c r="H367" s="3"/>
      <c r="I367" s="3" t="s">
        <v>6234</v>
      </c>
      <c r="J367" s="3">
        <v>85</v>
      </c>
      <c r="K367" s="3">
        <v>85</v>
      </c>
      <c r="L367" s="3">
        <v>0</v>
      </c>
      <c r="M367" s="3">
        <v>0</v>
      </c>
      <c r="N367" s="3">
        <v>85</v>
      </c>
      <c r="O367" s="3">
        <v>0.05</v>
      </c>
      <c r="P367" s="3">
        <v>0</v>
      </c>
      <c r="Q367" s="3">
        <v>0</v>
      </c>
      <c r="R367" s="3">
        <v>0</v>
      </c>
    </row>
    <row r="368" spans="1:18">
      <c r="A368" s="3" t="s">
        <v>2617</v>
      </c>
      <c r="B368" s="3" t="s">
        <v>2618</v>
      </c>
      <c r="C368" s="3" t="s">
        <v>2619</v>
      </c>
      <c r="D368" s="3" t="s">
        <v>2620</v>
      </c>
      <c r="E368" s="3" t="s">
        <v>1710</v>
      </c>
      <c r="F368" s="3">
        <v>35</v>
      </c>
      <c r="G368" s="3" t="s">
        <v>6233</v>
      </c>
      <c r="H368" s="3"/>
      <c r="I368" s="3" t="s">
        <v>6234</v>
      </c>
      <c r="J368" s="3">
        <v>85</v>
      </c>
      <c r="K368" s="3">
        <v>85</v>
      </c>
      <c r="L368" s="3">
        <v>0</v>
      </c>
      <c r="M368" s="3">
        <v>0</v>
      </c>
      <c r="N368" s="3">
        <v>85</v>
      </c>
      <c r="O368" s="3">
        <v>0.05</v>
      </c>
      <c r="P368" s="3">
        <v>0</v>
      </c>
      <c r="Q368" s="3">
        <v>0</v>
      </c>
      <c r="R368" s="3">
        <v>0</v>
      </c>
    </row>
    <row r="369" spans="1:18">
      <c r="A369" s="3" t="s">
        <v>4407</v>
      </c>
      <c r="B369" s="3" t="s">
        <v>4408</v>
      </c>
      <c r="C369" s="3" t="s">
        <v>4409</v>
      </c>
      <c r="D369" s="3" t="s">
        <v>4410</v>
      </c>
      <c r="E369" s="3" t="s">
        <v>1710</v>
      </c>
      <c r="F369" s="3">
        <v>35</v>
      </c>
      <c r="G369" s="3" t="s">
        <v>6233</v>
      </c>
      <c r="H369" s="3"/>
      <c r="I369" s="3" t="s">
        <v>6234</v>
      </c>
      <c r="J369" s="3">
        <v>113</v>
      </c>
      <c r="K369" s="3">
        <v>113</v>
      </c>
      <c r="L369" s="3">
        <v>0</v>
      </c>
      <c r="M369" s="3">
        <v>0</v>
      </c>
      <c r="N369" s="3">
        <v>113</v>
      </c>
      <c r="O369" s="3">
        <v>0.08</v>
      </c>
      <c r="P369" s="3">
        <v>0</v>
      </c>
      <c r="Q369" s="3">
        <v>0</v>
      </c>
      <c r="R369" s="3">
        <v>0</v>
      </c>
    </row>
    <row r="370" spans="1:18">
      <c r="A370" s="3" t="s">
        <v>1929</v>
      </c>
      <c r="B370" s="3" t="s">
        <v>1930</v>
      </c>
      <c r="C370" s="3" t="s">
        <v>1931</v>
      </c>
      <c r="D370" s="3" t="s">
        <v>1932</v>
      </c>
      <c r="E370" s="3" t="s">
        <v>1710</v>
      </c>
      <c r="F370" s="3">
        <v>35</v>
      </c>
      <c r="G370" s="3" t="s">
        <v>6233</v>
      </c>
      <c r="H370" s="3"/>
      <c r="I370" s="3" t="s">
        <v>6234</v>
      </c>
      <c r="J370" s="3">
        <v>113</v>
      </c>
      <c r="K370" s="3">
        <v>113</v>
      </c>
      <c r="L370" s="3">
        <v>0</v>
      </c>
      <c r="M370" s="3">
        <v>0</v>
      </c>
      <c r="N370" s="3">
        <v>113</v>
      </c>
      <c r="O370" s="3">
        <v>0.05</v>
      </c>
      <c r="P370" s="3">
        <v>0</v>
      </c>
      <c r="Q370" s="3">
        <v>0</v>
      </c>
      <c r="R370" s="3">
        <v>0</v>
      </c>
    </row>
    <row r="371" spans="1:18">
      <c r="A371" s="3" t="s">
        <v>2317</v>
      </c>
      <c r="B371" s="3" t="s">
        <v>2318</v>
      </c>
      <c r="C371" s="3" t="s">
        <v>2319</v>
      </c>
      <c r="D371" s="3" t="s">
        <v>2320</v>
      </c>
      <c r="E371" s="3" t="s">
        <v>1710</v>
      </c>
      <c r="F371" s="3">
        <v>35</v>
      </c>
      <c r="G371" s="3" t="s">
        <v>6233</v>
      </c>
      <c r="H371" s="3"/>
      <c r="I371" s="3" t="s">
        <v>6234</v>
      </c>
      <c r="J371" s="3">
        <v>13</v>
      </c>
      <c r="K371" s="3">
        <v>13</v>
      </c>
      <c r="L371" s="3">
        <v>0</v>
      </c>
      <c r="M371" s="3">
        <v>0</v>
      </c>
      <c r="N371" s="3">
        <v>13</v>
      </c>
      <c r="O371" s="3">
        <v>0.05</v>
      </c>
      <c r="P371" s="3">
        <v>0</v>
      </c>
      <c r="Q371" s="3">
        <v>0</v>
      </c>
      <c r="R371" s="3">
        <v>0</v>
      </c>
    </row>
    <row r="372" spans="1:18">
      <c r="A372" s="3" t="s">
        <v>2557</v>
      </c>
      <c r="B372" s="3" t="s">
        <v>2558</v>
      </c>
      <c r="C372" s="3" t="s">
        <v>2559</v>
      </c>
      <c r="D372" s="3" t="s">
        <v>2320</v>
      </c>
      <c r="E372" s="3" t="s">
        <v>1710</v>
      </c>
      <c r="F372" s="3">
        <v>35</v>
      </c>
      <c r="G372" s="3" t="s">
        <v>6233</v>
      </c>
      <c r="H372" s="3"/>
      <c r="I372" s="3" t="s">
        <v>6234</v>
      </c>
      <c r="J372" s="3">
        <v>78</v>
      </c>
      <c r="K372" s="3">
        <v>78</v>
      </c>
      <c r="L372" s="3">
        <v>0</v>
      </c>
      <c r="M372" s="3">
        <v>0</v>
      </c>
      <c r="N372" s="3">
        <v>78</v>
      </c>
      <c r="O372" s="3">
        <v>0.05</v>
      </c>
      <c r="P372" s="3">
        <v>0</v>
      </c>
      <c r="Q372" s="3">
        <v>0</v>
      </c>
      <c r="R372" s="3">
        <v>0</v>
      </c>
    </row>
    <row r="373" spans="1:18">
      <c r="A373" s="3" t="s">
        <v>3407</v>
      </c>
      <c r="B373" s="3" t="s">
        <v>3408</v>
      </c>
      <c r="C373" s="3" t="s">
        <v>3409</v>
      </c>
      <c r="D373" s="3" t="s">
        <v>3410</v>
      </c>
      <c r="E373" s="3" t="s">
        <v>1710</v>
      </c>
      <c r="F373" s="3">
        <v>35</v>
      </c>
      <c r="G373" s="3" t="s">
        <v>6233</v>
      </c>
      <c r="H373" s="3"/>
      <c r="I373" s="3" t="s">
        <v>6234</v>
      </c>
      <c r="J373" s="3">
        <v>92</v>
      </c>
      <c r="K373" s="3">
        <v>92</v>
      </c>
      <c r="L373" s="3">
        <v>0</v>
      </c>
      <c r="M373" s="3">
        <v>0</v>
      </c>
      <c r="N373" s="3">
        <v>92</v>
      </c>
      <c r="O373" s="3">
        <v>0.05</v>
      </c>
      <c r="P373" s="3">
        <v>0</v>
      </c>
      <c r="Q373" s="3">
        <v>0</v>
      </c>
      <c r="R373" s="3">
        <v>0</v>
      </c>
    </row>
    <row r="374" spans="1:18">
      <c r="A374" s="3" t="s">
        <v>1920</v>
      </c>
      <c r="B374" s="3" t="s">
        <v>1921</v>
      </c>
      <c r="C374" s="3" t="s">
        <v>1922</v>
      </c>
      <c r="D374" s="3" t="s">
        <v>1923</v>
      </c>
      <c r="E374" s="3" t="s">
        <v>1710</v>
      </c>
      <c r="F374" s="3">
        <v>35</v>
      </c>
      <c r="G374" s="3" t="s">
        <v>6233</v>
      </c>
      <c r="H374" s="3"/>
      <c r="I374" s="3" t="s">
        <v>6234</v>
      </c>
      <c r="J374" s="3">
        <v>112</v>
      </c>
      <c r="K374" s="3">
        <v>112</v>
      </c>
      <c r="L374" s="3">
        <v>0</v>
      </c>
      <c r="M374" s="3">
        <v>0</v>
      </c>
      <c r="N374" s="3">
        <v>112</v>
      </c>
      <c r="O374" s="3">
        <v>0.05</v>
      </c>
      <c r="P374" s="3">
        <v>0</v>
      </c>
      <c r="Q374" s="3">
        <v>0</v>
      </c>
      <c r="R374" s="3">
        <v>0</v>
      </c>
    </row>
    <row r="375" spans="1:18">
      <c r="A375" s="3" t="s">
        <v>6980</v>
      </c>
      <c r="B375" s="3" t="s">
        <v>6981</v>
      </c>
      <c r="C375" s="3" t="s">
        <v>1922</v>
      </c>
      <c r="D375" s="3"/>
      <c r="E375" s="3" t="s">
        <v>6275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108</v>
      </c>
      <c r="B376" s="3" t="s">
        <v>109</v>
      </c>
      <c r="C376" s="3" t="s">
        <v>110</v>
      </c>
      <c r="D376" s="3" t="s">
        <v>111</v>
      </c>
      <c r="E376" s="3" t="s">
        <v>1710</v>
      </c>
      <c r="F376" s="3">
        <v>35</v>
      </c>
      <c r="G376" s="3" t="s">
        <v>6233</v>
      </c>
      <c r="H376" s="3"/>
      <c r="I376" s="3" t="s">
        <v>6234</v>
      </c>
      <c r="J376" s="3">
        <v>67</v>
      </c>
      <c r="K376" s="3">
        <v>57</v>
      </c>
      <c r="L376" s="3">
        <v>8</v>
      </c>
      <c r="M376" s="3">
        <v>2</v>
      </c>
      <c r="N376" s="3">
        <v>67</v>
      </c>
      <c r="O376" s="3">
        <v>0.05</v>
      </c>
      <c r="P376" s="3">
        <v>0</v>
      </c>
      <c r="Q376" s="3">
        <v>0</v>
      </c>
      <c r="R376" s="3">
        <v>0</v>
      </c>
    </row>
    <row r="377" spans="1:18">
      <c r="A377" s="3" t="s">
        <v>6982</v>
      </c>
      <c r="B377" s="3" t="s">
        <v>6983</v>
      </c>
      <c r="C377" s="3" t="s">
        <v>110</v>
      </c>
      <c r="D377" s="3"/>
      <c r="E377" s="3" t="s">
        <v>6275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96</v>
      </c>
      <c r="B378" s="3" t="s">
        <v>97</v>
      </c>
      <c r="C378" s="3" t="s">
        <v>98</v>
      </c>
      <c r="D378" s="3" t="s">
        <v>99</v>
      </c>
      <c r="E378" s="3" t="s">
        <v>1710</v>
      </c>
      <c r="F378" s="3">
        <v>35</v>
      </c>
      <c r="G378" s="3" t="s">
        <v>6233</v>
      </c>
      <c r="H378" s="3"/>
      <c r="I378" s="3" t="s">
        <v>6234</v>
      </c>
      <c r="J378" s="3">
        <v>116</v>
      </c>
      <c r="K378" s="3">
        <v>115</v>
      </c>
      <c r="L378" s="3">
        <v>0</v>
      </c>
      <c r="M378" s="3">
        <v>1</v>
      </c>
      <c r="N378" s="3">
        <v>116</v>
      </c>
      <c r="O378" s="3">
        <v>0.08</v>
      </c>
      <c r="P378" s="3">
        <v>0</v>
      </c>
      <c r="Q378" s="3">
        <v>0</v>
      </c>
      <c r="R378" s="3">
        <v>0</v>
      </c>
    </row>
    <row r="379" spans="1:18">
      <c r="A379" s="3" t="s">
        <v>3844</v>
      </c>
      <c r="B379" s="3" t="s">
        <v>3845</v>
      </c>
      <c r="C379" s="3" t="s">
        <v>3846</v>
      </c>
      <c r="D379" s="3" t="s">
        <v>3847</v>
      </c>
      <c r="E379" s="3" t="s">
        <v>1710</v>
      </c>
      <c r="F379" s="3">
        <v>35</v>
      </c>
      <c r="G379" s="3" t="s">
        <v>6233</v>
      </c>
      <c r="H379" s="3"/>
      <c r="I379" s="3" t="s">
        <v>6234</v>
      </c>
      <c r="J379" s="3">
        <v>104</v>
      </c>
      <c r="K379" s="3">
        <v>104</v>
      </c>
      <c r="L379" s="3">
        <v>0</v>
      </c>
      <c r="M379" s="3">
        <v>0</v>
      </c>
      <c r="N379" s="3">
        <v>104</v>
      </c>
      <c r="O379" s="3">
        <v>0.05</v>
      </c>
      <c r="P379" s="3">
        <v>0</v>
      </c>
      <c r="Q379" s="3">
        <v>0</v>
      </c>
      <c r="R379" s="3">
        <v>0</v>
      </c>
    </row>
    <row r="380" spans="1:18">
      <c r="A380" s="3" t="s">
        <v>4648</v>
      </c>
      <c r="B380" s="3" t="s">
        <v>4649</v>
      </c>
      <c r="C380" s="3" t="s">
        <v>4650</v>
      </c>
      <c r="D380" s="3" t="s">
        <v>4651</v>
      </c>
      <c r="E380" s="3" t="s">
        <v>1710</v>
      </c>
      <c r="F380" s="3">
        <v>35</v>
      </c>
      <c r="G380" s="3" t="s">
        <v>6233</v>
      </c>
      <c r="H380" s="3"/>
      <c r="I380" s="3" t="s">
        <v>6234</v>
      </c>
      <c r="J380" s="3">
        <v>47</v>
      </c>
      <c r="K380" s="3">
        <v>47</v>
      </c>
      <c r="L380" s="3">
        <v>0</v>
      </c>
      <c r="M380" s="3">
        <v>0</v>
      </c>
      <c r="N380" s="3">
        <v>47</v>
      </c>
      <c r="O380" s="3">
        <v>0.05</v>
      </c>
      <c r="P380" s="3">
        <v>0</v>
      </c>
      <c r="Q380" s="3">
        <v>0</v>
      </c>
      <c r="R380" s="3">
        <v>0</v>
      </c>
    </row>
    <row r="381" spans="1:18">
      <c r="A381" s="3" t="s">
        <v>6984</v>
      </c>
      <c r="B381" s="3" t="s">
        <v>6985</v>
      </c>
      <c r="C381" s="3" t="s">
        <v>4650</v>
      </c>
      <c r="D381" s="3"/>
      <c r="E381" s="3" t="s">
        <v>6275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3678</v>
      </c>
      <c r="B382" s="3" t="s">
        <v>3679</v>
      </c>
      <c r="C382" s="3" t="s">
        <v>3680</v>
      </c>
      <c r="D382" s="3" t="s">
        <v>3681</v>
      </c>
      <c r="E382" s="3" t="s">
        <v>1710</v>
      </c>
      <c r="F382" s="3">
        <v>35</v>
      </c>
      <c r="G382" s="3" t="s">
        <v>6233</v>
      </c>
      <c r="H382" s="3"/>
      <c r="I382" s="3" t="s">
        <v>6234</v>
      </c>
      <c r="J382" s="3">
        <v>73</v>
      </c>
      <c r="K382" s="3">
        <v>73</v>
      </c>
      <c r="L382" s="3">
        <v>0</v>
      </c>
      <c r="M382" s="3">
        <v>0</v>
      </c>
      <c r="N382" s="3">
        <v>73</v>
      </c>
      <c r="O382" s="3">
        <v>0.03</v>
      </c>
      <c r="P382" s="3">
        <v>0</v>
      </c>
      <c r="Q382" s="3">
        <v>0</v>
      </c>
      <c r="R382" s="3">
        <v>0</v>
      </c>
    </row>
    <row r="383" spans="1:18">
      <c r="A383" s="3" t="s">
        <v>6986</v>
      </c>
      <c r="B383" s="3" t="s">
        <v>6987</v>
      </c>
      <c r="C383" s="3" t="s">
        <v>3680</v>
      </c>
      <c r="D383" s="3"/>
      <c r="E383" s="3" t="s">
        <v>6275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3474</v>
      </c>
      <c r="B384" s="3" t="s">
        <v>3475</v>
      </c>
      <c r="C384" s="3" t="s">
        <v>3476</v>
      </c>
      <c r="D384" s="3" t="s">
        <v>3477</v>
      </c>
      <c r="E384" s="3" t="s">
        <v>1710</v>
      </c>
      <c r="F384" s="3">
        <v>35</v>
      </c>
      <c r="G384" s="3" t="s">
        <v>6233</v>
      </c>
      <c r="H384" s="3"/>
      <c r="I384" s="3" t="s">
        <v>6234</v>
      </c>
      <c r="J384" s="3">
        <v>103</v>
      </c>
      <c r="K384" s="3">
        <v>102</v>
      </c>
      <c r="L384" s="3">
        <v>1</v>
      </c>
      <c r="M384" s="3">
        <v>0</v>
      </c>
      <c r="N384" s="3">
        <v>103</v>
      </c>
      <c r="O384" s="3">
        <v>0.05</v>
      </c>
      <c r="P384" s="3">
        <v>0</v>
      </c>
      <c r="Q384" s="3">
        <v>0</v>
      </c>
      <c r="R384" s="3">
        <v>0</v>
      </c>
    </row>
    <row r="385" spans="1:18">
      <c r="A385" s="3" t="s">
        <v>5588</v>
      </c>
      <c r="B385" s="3" t="s">
        <v>5589</v>
      </c>
      <c r="C385" s="3" t="s">
        <v>5590</v>
      </c>
      <c r="D385" s="3" t="s">
        <v>5591</v>
      </c>
      <c r="E385" s="3" t="s">
        <v>1710</v>
      </c>
      <c r="F385" s="3">
        <v>35</v>
      </c>
      <c r="G385" s="3" t="s">
        <v>6233</v>
      </c>
      <c r="H385" s="3"/>
      <c r="I385" s="3" t="s">
        <v>6234</v>
      </c>
      <c r="J385" s="3">
        <v>106</v>
      </c>
      <c r="K385" s="3">
        <v>94</v>
      </c>
      <c r="L385" s="3">
        <v>12</v>
      </c>
      <c r="M385" s="3">
        <v>0</v>
      </c>
      <c r="N385" s="3">
        <v>106</v>
      </c>
      <c r="O385" s="3">
        <v>0.05</v>
      </c>
      <c r="P385" s="3">
        <v>0</v>
      </c>
      <c r="Q385" s="3">
        <v>0</v>
      </c>
      <c r="R385" s="3">
        <v>0</v>
      </c>
    </row>
    <row r="386" spans="1:18">
      <c r="A386" s="3" t="s">
        <v>100</v>
      </c>
      <c r="B386" s="3" t="s">
        <v>101</v>
      </c>
      <c r="C386" s="3" t="s">
        <v>102</v>
      </c>
      <c r="D386" s="3" t="s">
        <v>103</v>
      </c>
      <c r="E386" s="3" t="s">
        <v>1710</v>
      </c>
      <c r="F386" s="3">
        <v>35</v>
      </c>
      <c r="G386" s="3" t="s">
        <v>6233</v>
      </c>
      <c r="H386" s="3"/>
      <c r="I386" s="3" t="s">
        <v>6234</v>
      </c>
      <c r="J386" s="3">
        <v>104</v>
      </c>
      <c r="K386" s="3">
        <v>103</v>
      </c>
      <c r="L386" s="3">
        <v>0</v>
      </c>
      <c r="M386" s="3">
        <v>1</v>
      </c>
      <c r="N386" s="3">
        <v>104</v>
      </c>
      <c r="O386" s="3">
        <v>0.09</v>
      </c>
      <c r="P386" s="3">
        <v>0</v>
      </c>
      <c r="Q386" s="3">
        <v>0</v>
      </c>
      <c r="R386" s="3">
        <v>0</v>
      </c>
    </row>
    <row r="387" spans="1:18">
      <c r="A387" s="3" t="s">
        <v>5702</v>
      </c>
      <c r="B387" s="3" t="s">
        <v>5703</v>
      </c>
      <c r="C387" s="3" t="s">
        <v>5704</v>
      </c>
      <c r="D387" s="3" t="s">
        <v>5705</v>
      </c>
      <c r="E387" s="3" t="s">
        <v>1710</v>
      </c>
      <c r="F387" s="3">
        <v>35</v>
      </c>
      <c r="G387" s="3" t="s">
        <v>6233</v>
      </c>
      <c r="H387" s="3"/>
      <c r="I387" s="3" t="s">
        <v>6234</v>
      </c>
      <c r="J387" s="3">
        <v>118</v>
      </c>
      <c r="K387" s="3">
        <v>118</v>
      </c>
      <c r="L387" s="3">
        <v>0</v>
      </c>
      <c r="M387" s="3">
        <v>0</v>
      </c>
      <c r="N387" s="3">
        <v>118</v>
      </c>
      <c r="O387" s="3">
        <v>0.05</v>
      </c>
      <c r="P387" s="3">
        <v>0</v>
      </c>
      <c r="Q387" s="3">
        <v>0</v>
      </c>
      <c r="R387" s="3">
        <v>0</v>
      </c>
    </row>
    <row r="388" spans="1:18">
      <c r="A388" s="3" t="s">
        <v>4938</v>
      </c>
      <c r="B388" s="3" t="s">
        <v>4939</v>
      </c>
      <c r="C388" s="3" t="s">
        <v>4940</v>
      </c>
      <c r="D388" s="3" t="s">
        <v>4941</v>
      </c>
      <c r="E388" s="3" t="s">
        <v>1710</v>
      </c>
      <c r="F388" s="3">
        <v>35</v>
      </c>
      <c r="G388" s="3" t="s">
        <v>6233</v>
      </c>
      <c r="H388" s="3"/>
      <c r="I388" s="3" t="s">
        <v>6234</v>
      </c>
      <c r="J388" s="3">
        <v>68</v>
      </c>
      <c r="K388" s="3">
        <v>68</v>
      </c>
      <c r="L388" s="3">
        <v>0</v>
      </c>
      <c r="M388" s="3">
        <v>0</v>
      </c>
      <c r="N388" s="3">
        <v>68</v>
      </c>
      <c r="O388" s="3">
        <v>0.05</v>
      </c>
      <c r="P388" s="3">
        <v>0</v>
      </c>
      <c r="Q388" s="3">
        <v>0</v>
      </c>
      <c r="R388" s="3">
        <v>0</v>
      </c>
    </row>
    <row r="389" spans="1:18">
      <c r="A389" s="3" t="s">
        <v>4640</v>
      </c>
      <c r="B389" s="3" t="s">
        <v>4641</v>
      </c>
      <c r="C389" s="3" t="s">
        <v>4642</v>
      </c>
      <c r="D389" s="3" t="s">
        <v>4643</v>
      </c>
      <c r="E389" s="3" t="s">
        <v>1710</v>
      </c>
      <c r="F389" s="3">
        <v>35</v>
      </c>
      <c r="G389" s="3" t="s">
        <v>6233</v>
      </c>
      <c r="H389" s="3"/>
      <c r="I389" s="3" t="s">
        <v>6234</v>
      </c>
      <c r="J389" s="3">
        <v>129</v>
      </c>
      <c r="K389" s="3">
        <v>127</v>
      </c>
      <c r="L389" s="3">
        <v>2</v>
      </c>
      <c r="M389" s="3">
        <v>0</v>
      </c>
      <c r="N389" s="3">
        <v>129</v>
      </c>
      <c r="O389" s="3">
        <v>0.05</v>
      </c>
      <c r="P389" s="3">
        <v>0</v>
      </c>
      <c r="Q389" s="3">
        <v>0</v>
      </c>
      <c r="R389" s="3">
        <v>0</v>
      </c>
    </row>
    <row r="390" spans="1:18">
      <c r="A390" s="3" t="s">
        <v>6988</v>
      </c>
      <c r="B390" s="3" t="s">
        <v>6989</v>
      </c>
      <c r="C390" s="3" t="s">
        <v>6990</v>
      </c>
      <c r="D390" s="3"/>
      <c r="E390" s="3" t="s">
        <v>6275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6991</v>
      </c>
      <c r="B391" s="3" t="s">
        <v>6992</v>
      </c>
      <c r="C391" s="3" t="s">
        <v>6993</v>
      </c>
      <c r="D391" s="3"/>
      <c r="E391" s="3" t="s">
        <v>6275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3533</v>
      </c>
      <c r="B392" s="3" t="s">
        <v>3534</v>
      </c>
      <c r="C392" s="3" t="s">
        <v>3535</v>
      </c>
      <c r="D392" s="3" t="s">
        <v>3536</v>
      </c>
      <c r="E392" s="3" t="s">
        <v>1710</v>
      </c>
      <c r="F392" s="3">
        <v>35</v>
      </c>
      <c r="G392" s="3" t="s">
        <v>6233</v>
      </c>
      <c r="H392" s="3"/>
      <c r="I392" s="3" t="s">
        <v>6234</v>
      </c>
      <c r="J392" s="3">
        <v>1</v>
      </c>
      <c r="K392" s="3">
        <v>1</v>
      </c>
      <c r="L392" s="3">
        <v>0</v>
      </c>
      <c r="M392" s="3">
        <v>0</v>
      </c>
      <c r="N392" s="3">
        <v>1</v>
      </c>
      <c r="O392" s="3">
        <v>0.11</v>
      </c>
      <c r="P392" s="3">
        <v>0</v>
      </c>
      <c r="Q392" s="3">
        <v>0</v>
      </c>
      <c r="R392" s="3">
        <v>0</v>
      </c>
    </row>
    <row r="393" spans="1:18">
      <c r="A393" s="3" t="s">
        <v>5283</v>
      </c>
      <c r="B393" s="3" t="s">
        <v>5284</v>
      </c>
      <c r="C393" s="3" t="s">
        <v>5285</v>
      </c>
      <c r="D393" s="3" t="s">
        <v>5286</v>
      </c>
      <c r="E393" s="3" t="s">
        <v>1710</v>
      </c>
      <c r="F393" s="3">
        <v>35</v>
      </c>
      <c r="G393" s="3" t="s">
        <v>6233</v>
      </c>
      <c r="H393" s="3"/>
      <c r="I393" s="3" t="s">
        <v>6234</v>
      </c>
      <c r="J393" s="3">
        <v>1</v>
      </c>
      <c r="K393" s="3">
        <v>1</v>
      </c>
      <c r="L393" s="3">
        <v>0</v>
      </c>
      <c r="M393" s="3">
        <v>0</v>
      </c>
      <c r="N393" s="3">
        <v>1</v>
      </c>
      <c r="O393" s="3">
        <v>0.11</v>
      </c>
      <c r="P393" s="3">
        <v>0</v>
      </c>
      <c r="Q393" s="3">
        <v>0</v>
      </c>
      <c r="R393" s="3">
        <v>0</v>
      </c>
    </row>
    <row r="394" spans="1:18">
      <c r="A394" s="3" t="s">
        <v>6994</v>
      </c>
      <c r="B394" s="3" t="s">
        <v>6995</v>
      </c>
      <c r="C394" s="3" t="s">
        <v>6996</v>
      </c>
      <c r="D394" s="3"/>
      <c r="E394" s="3" t="s">
        <v>6275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6997</v>
      </c>
      <c r="B395" s="3" t="s">
        <v>6998</v>
      </c>
      <c r="C395" s="3" t="s">
        <v>6999</v>
      </c>
      <c r="D395" s="3"/>
      <c r="E395" s="3" t="s">
        <v>6275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7000</v>
      </c>
      <c r="B396" s="3" t="s">
        <v>7001</v>
      </c>
      <c r="C396" s="3" t="s">
        <v>3600</v>
      </c>
      <c r="D396" s="3"/>
      <c r="E396" s="3" t="s">
        <v>6275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7002</v>
      </c>
      <c r="B397" s="3" t="s">
        <v>7003</v>
      </c>
      <c r="C397" s="3" t="s">
        <v>7004</v>
      </c>
      <c r="D397" s="3"/>
      <c r="E397" s="3" t="s">
        <v>6275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7005</v>
      </c>
      <c r="B398" s="3" t="s">
        <v>7006</v>
      </c>
      <c r="C398" s="3" t="s">
        <v>3851</v>
      </c>
      <c r="D398" s="3"/>
      <c r="E398" s="3" t="s">
        <v>6275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7007</v>
      </c>
      <c r="B399" s="3" t="s">
        <v>7008</v>
      </c>
      <c r="C399" s="3" t="s">
        <v>7009</v>
      </c>
      <c r="D399" s="3"/>
      <c r="E399" s="3" t="s">
        <v>6275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7010</v>
      </c>
      <c r="B400" s="3" t="s">
        <v>7011</v>
      </c>
      <c r="C400" s="3" t="s">
        <v>7012</v>
      </c>
      <c r="D400" s="3"/>
      <c r="E400" s="3" t="s">
        <v>6275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3343</v>
      </c>
      <c r="B401" s="3" t="s">
        <v>3344</v>
      </c>
      <c r="C401" s="3" t="s">
        <v>3345</v>
      </c>
      <c r="D401" s="3" t="s">
        <v>3346</v>
      </c>
      <c r="E401" s="3" t="s">
        <v>1710</v>
      </c>
      <c r="F401" s="3">
        <v>33.99</v>
      </c>
      <c r="G401" s="3" t="s">
        <v>6233</v>
      </c>
      <c r="H401" s="3"/>
      <c r="I401" s="3" t="s">
        <v>6234</v>
      </c>
      <c r="J401" s="3">
        <v>1</v>
      </c>
      <c r="K401" s="3">
        <v>1</v>
      </c>
      <c r="L401" s="3">
        <v>0</v>
      </c>
      <c r="M401" s="3">
        <v>0</v>
      </c>
      <c r="N401" s="3">
        <v>1</v>
      </c>
      <c r="O401" s="3">
        <v>0.17</v>
      </c>
      <c r="P401" s="3">
        <v>0</v>
      </c>
      <c r="Q401" s="3">
        <v>0</v>
      </c>
      <c r="R401" s="3">
        <v>0</v>
      </c>
    </row>
    <row r="402" spans="1:18">
      <c r="A402" s="3" t="s">
        <v>6085</v>
      </c>
      <c r="B402" s="3" t="s">
        <v>6086</v>
      </c>
      <c r="C402" s="3" t="s">
        <v>6087</v>
      </c>
      <c r="D402" s="3" t="s">
        <v>6088</v>
      </c>
      <c r="E402" s="3" t="s">
        <v>1710</v>
      </c>
      <c r="F402" s="3">
        <v>33.99</v>
      </c>
      <c r="G402" s="3" t="s">
        <v>6233</v>
      </c>
      <c r="H402" s="3"/>
      <c r="I402" s="3" t="s">
        <v>6234</v>
      </c>
      <c r="J402" s="3">
        <v>1</v>
      </c>
      <c r="K402" s="3">
        <v>1</v>
      </c>
      <c r="L402" s="3">
        <v>0</v>
      </c>
      <c r="M402" s="3">
        <v>0</v>
      </c>
      <c r="N402" s="3">
        <v>1</v>
      </c>
      <c r="O402" s="3">
        <v>0.17</v>
      </c>
      <c r="P402" s="3">
        <v>0</v>
      </c>
      <c r="Q402" s="3">
        <v>0</v>
      </c>
      <c r="R402" s="3">
        <v>0</v>
      </c>
    </row>
    <row r="403" spans="1:18">
      <c r="A403" s="3" t="s">
        <v>4861</v>
      </c>
      <c r="B403" s="3" t="s">
        <v>4862</v>
      </c>
      <c r="C403" s="3" t="s">
        <v>4863</v>
      </c>
      <c r="D403" s="3" t="s">
        <v>4864</v>
      </c>
      <c r="E403" s="3" t="s">
        <v>1710</v>
      </c>
      <c r="F403" s="3">
        <v>33.99</v>
      </c>
      <c r="G403" s="3" t="s">
        <v>6233</v>
      </c>
      <c r="H403" s="3"/>
      <c r="I403" s="3" t="s">
        <v>6234</v>
      </c>
      <c r="J403" s="3">
        <v>1</v>
      </c>
      <c r="K403" s="3">
        <v>1</v>
      </c>
      <c r="L403" s="3">
        <v>0</v>
      </c>
      <c r="M403" s="3">
        <v>0</v>
      </c>
      <c r="N403" s="3">
        <v>1</v>
      </c>
      <c r="O403" s="3">
        <v>0.17</v>
      </c>
      <c r="P403" s="3">
        <v>0</v>
      </c>
      <c r="Q403" s="3">
        <v>0</v>
      </c>
      <c r="R403" s="3">
        <v>0</v>
      </c>
    </row>
    <row r="404" spans="1:18">
      <c r="A404" s="3" t="s">
        <v>3099</v>
      </c>
      <c r="B404" s="3" t="s">
        <v>3100</v>
      </c>
      <c r="C404" s="3" t="s">
        <v>3101</v>
      </c>
      <c r="D404" s="3" t="s">
        <v>3102</v>
      </c>
      <c r="E404" s="3" t="s">
        <v>1710</v>
      </c>
      <c r="F404" s="3">
        <v>33.99</v>
      </c>
      <c r="G404" s="3" t="s">
        <v>6233</v>
      </c>
      <c r="H404" s="3"/>
      <c r="I404" s="3" t="s">
        <v>6234</v>
      </c>
      <c r="J404" s="3">
        <v>1</v>
      </c>
      <c r="K404" s="3">
        <v>1</v>
      </c>
      <c r="L404" s="3">
        <v>0</v>
      </c>
      <c r="M404" s="3">
        <v>0</v>
      </c>
      <c r="N404" s="3">
        <v>1</v>
      </c>
      <c r="O404" s="3">
        <v>0.17</v>
      </c>
      <c r="P404" s="3">
        <v>0</v>
      </c>
      <c r="Q404" s="3">
        <v>0</v>
      </c>
      <c r="R404" s="3">
        <v>0</v>
      </c>
    </row>
    <row r="405" spans="1:18">
      <c r="A405" s="3" t="s">
        <v>5879</v>
      </c>
      <c r="B405" s="3" t="s">
        <v>5880</v>
      </c>
      <c r="C405" s="3" t="s">
        <v>5881</v>
      </c>
      <c r="D405" s="3" t="s">
        <v>5882</v>
      </c>
      <c r="E405" s="3" t="s">
        <v>1710</v>
      </c>
      <c r="F405" s="3">
        <v>33.99</v>
      </c>
      <c r="G405" s="3" t="s">
        <v>6233</v>
      </c>
      <c r="H405" s="3"/>
      <c r="I405" s="3" t="s">
        <v>6234</v>
      </c>
      <c r="J405" s="3">
        <v>2</v>
      </c>
      <c r="K405" s="3">
        <v>2</v>
      </c>
      <c r="L405" s="3">
        <v>0</v>
      </c>
      <c r="M405" s="3">
        <v>0</v>
      </c>
      <c r="N405" s="3">
        <v>2</v>
      </c>
      <c r="O405" s="3">
        <v>0.17</v>
      </c>
      <c r="P405" s="3">
        <v>0</v>
      </c>
      <c r="Q405" s="3">
        <v>0</v>
      </c>
      <c r="R405" s="3">
        <v>0</v>
      </c>
    </row>
    <row r="406" spans="1:18">
      <c r="A406" s="3" t="s">
        <v>5683</v>
      </c>
      <c r="B406" s="3" t="s">
        <v>5684</v>
      </c>
      <c r="C406" s="3" t="s">
        <v>5685</v>
      </c>
      <c r="D406" s="3" t="s">
        <v>7013</v>
      </c>
      <c r="E406" s="3" t="s">
        <v>1710</v>
      </c>
      <c r="F406" s="3">
        <v>33.99</v>
      </c>
      <c r="G406" s="3" t="s">
        <v>6233</v>
      </c>
      <c r="H406" s="3"/>
      <c r="I406" s="3" t="s">
        <v>6234</v>
      </c>
      <c r="J406" s="3">
        <v>2</v>
      </c>
      <c r="K406" s="3">
        <v>2</v>
      </c>
      <c r="L406" s="3">
        <v>0</v>
      </c>
      <c r="M406" s="3">
        <v>0</v>
      </c>
      <c r="N406" s="3">
        <v>2</v>
      </c>
      <c r="O406" s="3">
        <v>0.17</v>
      </c>
      <c r="P406" s="3">
        <v>0</v>
      </c>
      <c r="Q406" s="3">
        <v>0</v>
      </c>
      <c r="R406" s="3">
        <v>0</v>
      </c>
    </row>
    <row r="407" spans="1:18">
      <c r="A407" s="3" t="s">
        <v>3866</v>
      </c>
      <c r="B407" s="3" t="s">
        <v>3867</v>
      </c>
      <c r="C407" s="3" t="s">
        <v>3868</v>
      </c>
      <c r="D407" s="3" t="s">
        <v>3869</v>
      </c>
      <c r="E407" s="3" t="s">
        <v>1710</v>
      </c>
      <c r="F407" s="3">
        <v>33.99</v>
      </c>
      <c r="G407" s="3" t="s">
        <v>6233</v>
      </c>
      <c r="H407" s="3"/>
      <c r="I407" s="3" t="s">
        <v>6234</v>
      </c>
      <c r="J407" s="3">
        <v>1</v>
      </c>
      <c r="K407" s="3">
        <v>1</v>
      </c>
      <c r="L407" s="3">
        <v>0</v>
      </c>
      <c r="M407" s="3">
        <v>0</v>
      </c>
      <c r="N407" s="3">
        <v>1</v>
      </c>
      <c r="O407" s="3">
        <v>0.06</v>
      </c>
      <c r="P407" s="3">
        <v>0</v>
      </c>
      <c r="Q407" s="3">
        <v>0</v>
      </c>
      <c r="R407" s="3">
        <v>0</v>
      </c>
    </row>
    <row r="408" spans="1:18">
      <c r="A408" s="3" t="s">
        <v>5666</v>
      </c>
      <c r="B408" s="3" t="s">
        <v>5667</v>
      </c>
      <c r="C408" s="3" t="s">
        <v>5668</v>
      </c>
      <c r="D408" s="3" t="s">
        <v>1936</v>
      </c>
      <c r="E408" s="3" t="s">
        <v>1710</v>
      </c>
      <c r="F408" s="3">
        <v>30.99</v>
      </c>
      <c r="G408" s="3" t="s">
        <v>6233</v>
      </c>
      <c r="H408" s="3"/>
      <c r="I408" s="3" t="s">
        <v>6234</v>
      </c>
      <c r="J408" s="3">
        <v>1</v>
      </c>
      <c r="K408" s="3">
        <v>1</v>
      </c>
      <c r="L408" s="3">
        <v>0</v>
      </c>
      <c r="M408" s="3">
        <v>0</v>
      </c>
      <c r="N408" s="3">
        <v>1</v>
      </c>
      <c r="O408" s="3">
        <v>0.06</v>
      </c>
      <c r="P408" s="3">
        <v>0</v>
      </c>
      <c r="Q408" s="3">
        <v>0</v>
      </c>
      <c r="R408" s="3">
        <v>0</v>
      </c>
    </row>
    <row r="409" spans="1:18">
      <c r="A409" s="3" t="s">
        <v>5417</v>
      </c>
      <c r="B409" s="3" t="s">
        <v>5418</v>
      </c>
      <c r="C409" s="3" t="s">
        <v>5419</v>
      </c>
      <c r="D409" s="3" t="s">
        <v>3297</v>
      </c>
      <c r="E409" s="3" t="s">
        <v>1710</v>
      </c>
      <c r="F409" s="3">
        <v>30.99</v>
      </c>
      <c r="G409" s="3" t="s">
        <v>6233</v>
      </c>
      <c r="H409" s="3"/>
      <c r="I409" s="3" t="s">
        <v>6234</v>
      </c>
      <c r="J409" s="3">
        <v>3</v>
      </c>
      <c r="K409" s="3">
        <v>3</v>
      </c>
      <c r="L409" s="3">
        <v>0</v>
      </c>
      <c r="M409" s="3">
        <v>0</v>
      </c>
      <c r="N409" s="3">
        <v>3</v>
      </c>
      <c r="O409" s="3">
        <v>0.06</v>
      </c>
      <c r="P409" s="3">
        <v>0</v>
      </c>
      <c r="Q409" s="3">
        <v>0</v>
      </c>
      <c r="R409" s="3">
        <v>0</v>
      </c>
    </row>
    <row r="410" spans="1:18">
      <c r="A410" s="3" t="s">
        <v>1868</v>
      </c>
      <c r="B410" s="3" t="s">
        <v>1869</v>
      </c>
      <c r="C410" s="3" t="s">
        <v>1870</v>
      </c>
      <c r="D410" s="3" t="s">
        <v>1871</v>
      </c>
      <c r="E410" s="3" t="s">
        <v>1710</v>
      </c>
      <c r="F410" s="3">
        <v>30.99</v>
      </c>
      <c r="G410" s="3" t="s">
        <v>6233</v>
      </c>
      <c r="H410" s="3"/>
      <c r="I410" s="3" t="s">
        <v>6234</v>
      </c>
      <c r="J410" s="3">
        <v>1</v>
      </c>
      <c r="K410" s="3">
        <v>1</v>
      </c>
      <c r="L410" s="3">
        <v>0</v>
      </c>
      <c r="M410" s="3">
        <v>0</v>
      </c>
      <c r="N410" s="3">
        <v>1</v>
      </c>
      <c r="O410" s="3">
        <v>0.06</v>
      </c>
      <c r="P410" s="3">
        <v>0</v>
      </c>
      <c r="Q410" s="3">
        <v>0</v>
      </c>
      <c r="R410" s="3">
        <v>0</v>
      </c>
    </row>
    <row r="411" spans="1:18">
      <c r="A411" s="3" t="s">
        <v>4748</v>
      </c>
      <c r="B411" s="3" t="s">
        <v>4749</v>
      </c>
      <c r="C411" s="3" t="s">
        <v>4750</v>
      </c>
      <c r="D411" s="3" t="s">
        <v>1936</v>
      </c>
      <c r="E411" s="3" t="s">
        <v>1710</v>
      </c>
      <c r="F411" s="3">
        <v>30.99</v>
      </c>
      <c r="G411" s="3" t="s">
        <v>6233</v>
      </c>
      <c r="H411" s="3"/>
      <c r="I411" s="3" t="s">
        <v>6234</v>
      </c>
      <c r="J411" s="3">
        <v>3</v>
      </c>
      <c r="K411" s="3">
        <v>3</v>
      </c>
      <c r="L411" s="3">
        <v>0</v>
      </c>
      <c r="M411" s="3">
        <v>0</v>
      </c>
      <c r="N411" s="3">
        <v>3</v>
      </c>
      <c r="O411" s="3">
        <v>0.06</v>
      </c>
      <c r="P411" s="3">
        <v>0</v>
      </c>
      <c r="Q411" s="3">
        <v>0</v>
      </c>
      <c r="R411" s="3">
        <v>0</v>
      </c>
    </row>
    <row r="412" spans="1:18">
      <c r="A412" s="3" t="s">
        <v>3294</v>
      </c>
      <c r="B412" s="3" t="s">
        <v>3295</v>
      </c>
      <c r="C412" s="3" t="s">
        <v>3296</v>
      </c>
      <c r="D412" s="3" t="s">
        <v>3297</v>
      </c>
      <c r="E412" s="3" t="s">
        <v>1710</v>
      </c>
      <c r="F412" s="3">
        <v>30.99</v>
      </c>
      <c r="G412" s="3" t="s">
        <v>6233</v>
      </c>
      <c r="H412" s="3"/>
      <c r="I412" s="3" t="s">
        <v>6234</v>
      </c>
      <c r="J412" s="3">
        <v>6</v>
      </c>
      <c r="K412" s="3">
        <v>6</v>
      </c>
      <c r="L412" s="3">
        <v>0</v>
      </c>
      <c r="M412" s="3">
        <v>0</v>
      </c>
      <c r="N412" s="3">
        <v>6</v>
      </c>
      <c r="O412" s="3">
        <v>0.06</v>
      </c>
      <c r="P412" s="3">
        <v>0</v>
      </c>
      <c r="Q412" s="3">
        <v>0</v>
      </c>
      <c r="R412" s="3">
        <v>0</v>
      </c>
    </row>
    <row r="413" spans="1:18">
      <c r="A413" s="3" t="s">
        <v>3379</v>
      </c>
      <c r="B413" s="3" t="s">
        <v>3380</v>
      </c>
      <c r="C413" s="3" t="s">
        <v>3381</v>
      </c>
      <c r="D413" s="3" t="s">
        <v>3297</v>
      </c>
      <c r="E413" s="3" t="s">
        <v>1710</v>
      </c>
      <c r="F413" s="3">
        <v>30.99</v>
      </c>
      <c r="G413" s="3" t="s">
        <v>6233</v>
      </c>
      <c r="H413" s="3"/>
      <c r="I413" s="3" t="s">
        <v>6234</v>
      </c>
      <c r="J413" s="3">
        <v>7</v>
      </c>
      <c r="K413" s="3">
        <v>7</v>
      </c>
      <c r="L413" s="3">
        <v>0</v>
      </c>
      <c r="M413" s="3">
        <v>0</v>
      </c>
      <c r="N413" s="3">
        <v>7</v>
      </c>
      <c r="O413" s="3">
        <v>0.06</v>
      </c>
      <c r="P413" s="3">
        <v>0</v>
      </c>
      <c r="Q413" s="3">
        <v>0</v>
      </c>
      <c r="R413" s="3">
        <v>0</v>
      </c>
    </row>
    <row r="414" spans="1:18">
      <c r="A414" s="3" t="s">
        <v>2709</v>
      </c>
      <c r="B414" s="3" t="s">
        <v>2710</v>
      </c>
      <c r="C414" s="3" t="s">
        <v>2711</v>
      </c>
      <c r="D414" s="3" t="s">
        <v>1936</v>
      </c>
      <c r="E414" s="3" t="s">
        <v>1710</v>
      </c>
      <c r="F414" s="3">
        <v>30.99</v>
      </c>
      <c r="G414" s="3" t="s">
        <v>6233</v>
      </c>
      <c r="H414" s="3"/>
      <c r="I414" s="3" t="s">
        <v>6234</v>
      </c>
      <c r="J414" s="3">
        <v>2</v>
      </c>
      <c r="K414" s="3">
        <v>2</v>
      </c>
      <c r="L414" s="3">
        <v>0</v>
      </c>
      <c r="M414" s="3">
        <v>0</v>
      </c>
      <c r="N414" s="3">
        <v>2</v>
      </c>
      <c r="O414" s="3">
        <v>0.06</v>
      </c>
      <c r="P414" s="3">
        <v>0</v>
      </c>
      <c r="Q414" s="3">
        <v>0</v>
      </c>
      <c r="R414" s="3">
        <v>0</v>
      </c>
    </row>
    <row r="415" spans="1:18">
      <c r="A415" s="3" t="s">
        <v>7014</v>
      </c>
      <c r="B415" s="3" t="s">
        <v>7015</v>
      </c>
      <c r="C415" s="3" t="s">
        <v>7016</v>
      </c>
      <c r="D415" s="3"/>
      <c r="E415" s="3" t="s">
        <v>6275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7017</v>
      </c>
      <c r="B416" s="3" t="s">
        <v>7018</v>
      </c>
      <c r="C416" s="3" t="s">
        <v>7019</v>
      </c>
      <c r="D416" s="3"/>
      <c r="E416" s="3" t="s">
        <v>6275</v>
      </c>
      <c r="F416" s="3"/>
      <c r="G416" s="3"/>
      <c r="H416" s="3"/>
      <c r="I416" s="3"/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/>
      <c r="P416" s="3">
        <v>0</v>
      </c>
      <c r="Q416" s="3">
        <v>0</v>
      </c>
      <c r="R416" s="3">
        <v>0</v>
      </c>
    </row>
    <row r="417" spans="1:18">
      <c r="A417" s="3" t="s">
        <v>2468</v>
      </c>
      <c r="B417" s="3" t="s">
        <v>2469</v>
      </c>
      <c r="C417" s="3" t="s">
        <v>2470</v>
      </c>
      <c r="D417" s="3" t="s">
        <v>1936</v>
      </c>
      <c r="E417" s="3" t="s">
        <v>1710</v>
      </c>
      <c r="F417" s="3">
        <v>30.99</v>
      </c>
      <c r="G417" s="3" t="s">
        <v>6233</v>
      </c>
      <c r="H417" s="3"/>
      <c r="I417" s="3" t="s">
        <v>6234</v>
      </c>
      <c r="J417" s="3">
        <v>5</v>
      </c>
      <c r="K417" s="3">
        <v>5</v>
      </c>
      <c r="L417" s="3">
        <v>0</v>
      </c>
      <c r="M417" s="3">
        <v>0</v>
      </c>
      <c r="N417" s="3">
        <v>5</v>
      </c>
      <c r="O417" s="3">
        <v>0.06</v>
      </c>
      <c r="P417" s="3">
        <v>0</v>
      </c>
      <c r="Q417" s="3">
        <v>0</v>
      </c>
      <c r="R417" s="3">
        <v>0</v>
      </c>
    </row>
    <row r="418" spans="1:18">
      <c r="A418" s="3" t="s">
        <v>2554</v>
      </c>
      <c r="B418" s="3" t="s">
        <v>2555</v>
      </c>
      <c r="C418" s="3" t="s">
        <v>2556</v>
      </c>
      <c r="D418" s="3" t="s">
        <v>1936</v>
      </c>
      <c r="E418" s="3" t="s">
        <v>1710</v>
      </c>
      <c r="F418" s="3">
        <v>30.99</v>
      </c>
      <c r="G418" s="3" t="s">
        <v>6233</v>
      </c>
      <c r="H418" s="3"/>
      <c r="I418" s="3" t="s">
        <v>6234</v>
      </c>
      <c r="J418" s="3">
        <v>3</v>
      </c>
      <c r="K418" s="3">
        <v>3</v>
      </c>
      <c r="L418" s="3">
        <v>0</v>
      </c>
      <c r="M418" s="3">
        <v>0</v>
      </c>
      <c r="N418" s="3">
        <v>3</v>
      </c>
      <c r="O418" s="3">
        <v>0.06</v>
      </c>
      <c r="P418" s="3">
        <v>0</v>
      </c>
      <c r="Q418" s="3">
        <v>0</v>
      </c>
      <c r="R418" s="3">
        <v>0</v>
      </c>
    </row>
    <row r="419" spans="1:18">
      <c r="A419" s="3" t="s">
        <v>4128</v>
      </c>
      <c r="B419" s="3" t="s">
        <v>4129</v>
      </c>
      <c r="C419" s="3" t="s">
        <v>4130</v>
      </c>
      <c r="D419" s="3" t="s">
        <v>1936</v>
      </c>
      <c r="E419" s="3" t="s">
        <v>1710</v>
      </c>
      <c r="F419" s="3">
        <v>30.99</v>
      </c>
      <c r="G419" s="3" t="s">
        <v>6233</v>
      </c>
      <c r="H419" s="3"/>
      <c r="I419" s="3" t="s">
        <v>6234</v>
      </c>
      <c r="J419" s="3">
        <v>4</v>
      </c>
      <c r="K419" s="3">
        <v>4</v>
      </c>
      <c r="L419" s="3">
        <v>0</v>
      </c>
      <c r="M419" s="3">
        <v>0</v>
      </c>
      <c r="N419" s="3">
        <v>4</v>
      </c>
      <c r="O419" s="3">
        <v>0.06</v>
      </c>
      <c r="P419" s="3">
        <v>0</v>
      </c>
      <c r="Q419" s="3">
        <v>0</v>
      </c>
      <c r="R419" s="3">
        <v>0</v>
      </c>
    </row>
    <row r="420" spans="1:18">
      <c r="A420" s="3" t="s">
        <v>7020</v>
      </c>
      <c r="B420" s="3" t="s">
        <v>7021</v>
      </c>
      <c r="C420" s="3" t="s">
        <v>7022</v>
      </c>
      <c r="D420" s="3"/>
      <c r="E420" s="3" t="s">
        <v>6275</v>
      </c>
      <c r="F420" s="3"/>
      <c r="G420" s="3"/>
      <c r="H420" s="3"/>
      <c r="I420" s="3"/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/>
      <c r="P420" s="3">
        <v>0</v>
      </c>
      <c r="Q420" s="3">
        <v>0</v>
      </c>
      <c r="R420" s="3">
        <v>0</v>
      </c>
    </row>
    <row r="421" spans="1:18">
      <c r="A421" s="3" t="s">
        <v>4713</v>
      </c>
      <c r="B421" s="3" t="s">
        <v>4714</v>
      </c>
      <c r="C421" s="3" t="s">
        <v>4715</v>
      </c>
      <c r="D421" s="3" t="s">
        <v>4716</v>
      </c>
      <c r="E421" s="3" t="s">
        <v>1710</v>
      </c>
      <c r="F421" s="3">
        <v>30.99</v>
      </c>
      <c r="G421" s="3" t="s">
        <v>6233</v>
      </c>
      <c r="H421" s="3"/>
      <c r="I421" s="3" t="s">
        <v>6234</v>
      </c>
      <c r="J421" s="3">
        <v>5</v>
      </c>
      <c r="K421" s="3">
        <v>5</v>
      </c>
      <c r="L421" s="3">
        <v>0</v>
      </c>
      <c r="M421" s="3">
        <v>0</v>
      </c>
      <c r="N421" s="3">
        <v>5</v>
      </c>
      <c r="O421" s="3">
        <v>0.06</v>
      </c>
      <c r="P421" s="3">
        <v>0</v>
      </c>
      <c r="Q421" s="3">
        <v>0</v>
      </c>
      <c r="R421" s="3">
        <v>0</v>
      </c>
    </row>
    <row r="422" spans="1:18">
      <c r="A422" s="3" t="s">
        <v>1836</v>
      </c>
      <c r="B422" s="3" t="s">
        <v>1837</v>
      </c>
      <c r="C422" s="3" t="s">
        <v>1838</v>
      </c>
      <c r="D422" s="3" t="s">
        <v>1839</v>
      </c>
      <c r="E422" s="3" t="s">
        <v>1710</v>
      </c>
      <c r="F422" s="3">
        <v>30.99</v>
      </c>
      <c r="G422" s="3" t="s">
        <v>6233</v>
      </c>
      <c r="H422" s="3"/>
      <c r="I422" s="3" t="s">
        <v>6234</v>
      </c>
      <c r="J422" s="3">
        <v>6</v>
      </c>
      <c r="K422" s="3">
        <v>6</v>
      </c>
      <c r="L422" s="3">
        <v>0</v>
      </c>
      <c r="M422" s="3">
        <v>0</v>
      </c>
      <c r="N422" s="3">
        <v>6</v>
      </c>
      <c r="O422" s="3">
        <v>0.06</v>
      </c>
      <c r="P422" s="3">
        <v>0</v>
      </c>
      <c r="Q422" s="3">
        <v>0</v>
      </c>
      <c r="R422" s="3">
        <v>0</v>
      </c>
    </row>
    <row r="423" spans="1:18">
      <c r="A423" s="3" t="s">
        <v>2434</v>
      </c>
      <c r="B423" s="3" t="s">
        <v>2435</v>
      </c>
      <c r="C423" s="3" t="s">
        <v>2436</v>
      </c>
      <c r="D423" s="3" t="s">
        <v>2437</v>
      </c>
      <c r="E423" s="3" t="s">
        <v>1710</v>
      </c>
      <c r="F423" s="3">
        <v>30.99</v>
      </c>
      <c r="G423" s="3" t="s">
        <v>6233</v>
      </c>
      <c r="H423" s="3"/>
      <c r="I423" s="3" t="s">
        <v>6234</v>
      </c>
      <c r="J423" s="3">
        <v>4</v>
      </c>
      <c r="K423" s="3">
        <v>4</v>
      </c>
      <c r="L423" s="3">
        <v>0</v>
      </c>
      <c r="M423" s="3">
        <v>0</v>
      </c>
      <c r="N423" s="3">
        <v>4</v>
      </c>
      <c r="O423" s="3">
        <v>0.06</v>
      </c>
      <c r="P423" s="3">
        <v>0</v>
      </c>
      <c r="Q423" s="3">
        <v>0</v>
      </c>
      <c r="R423" s="3">
        <v>0</v>
      </c>
    </row>
    <row r="424" spans="1:18">
      <c r="A424" s="3" t="s">
        <v>1933</v>
      </c>
      <c r="B424" s="3" t="s">
        <v>1934</v>
      </c>
      <c r="C424" s="3" t="s">
        <v>1935</v>
      </c>
      <c r="D424" s="3" t="s">
        <v>1936</v>
      </c>
      <c r="E424" s="3" t="s">
        <v>1710</v>
      </c>
      <c r="F424" s="3">
        <v>30.99</v>
      </c>
      <c r="G424" s="3" t="s">
        <v>6233</v>
      </c>
      <c r="H424" s="3"/>
      <c r="I424" s="3" t="s">
        <v>6234</v>
      </c>
      <c r="J424" s="3">
        <v>2</v>
      </c>
      <c r="K424" s="3">
        <v>2</v>
      </c>
      <c r="L424" s="3">
        <v>0</v>
      </c>
      <c r="M424" s="3">
        <v>0</v>
      </c>
      <c r="N424" s="3">
        <v>2</v>
      </c>
      <c r="O424" s="3">
        <v>0.06</v>
      </c>
      <c r="P424" s="3">
        <v>0</v>
      </c>
      <c r="Q424" s="3">
        <v>0</v>
      </c>
      <c r="R424" s="3">
        <v>0</v>
      </c>
    </row>
    <row r="425" spans="1:18">
      <c r="A425" s="3" t="s">
        <v>7023</v>
      </c>
      <c r="B425" s="3" t="s">
        <v>7024</v>
      </c>
      <c r="C425" s="3" t="s">
        <v>7025</v>
      </c>
      <c r="D425" s="3" t="s">
        <v>3297</v>
      </c>
      <c r="E425" s="3" t="s">
        <v>1710</v>
      </c>
      <c r="F425" s="3">
        <v>30.99</v>
      </c>
      <c r="G425" s="3" t="s">
        <v>6233</v>
      </c>
      <c r="H425" s="3"/>
      <c r="I425" s="3" t="s">
        <v>6234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0.06</v>
      </c>
      <c r="P425" s="3">
        <v>0</v>
      </c>
      <c r="Q425" s="3">
        <v>0</v>
      </c>
      <c r="R425" s="3">
        <v>0</v>
      </c>
    </row>
    <row r="426" spans="1:18">
      <c r="A426" s="3" t="s">
        <v>7026</v>
      </c>
      <c r="B426" s="3" t="s">
        <v>7027</v>
      </c>
      <c r="C426" s="3" t="s">
        <v>7028</v>
      </c>
      <c r="D426" s="3" t="s">
        <v>7029</v>
      </c>
      <c r="E426" s="3" t="s">
        <v>1710</v>
      </c>
      <c r="F426" s="3">
        <v>30.99</v>
      </c>
      <c r="G426" s="3" t="s">
        <v>6233</v>
      </c>
      <c r="H426" s="3"/>
      <c r="I426" s="3" t="s">
        <v>6234</v>
      </c>
      <c r="J426" s="3">
        <v>1</v>
      </c>
      <c r="K426" s="3">
        <v>1</v>
      </c>
      <c r="L426" s="3">
        <v>0</v>
      </c>
      <c r="M426" s="3">
        <v>0</v>
      </c>
      <c r="N426" s="3">
        <v>1</v>
      </c>
      <c r="O426" s="3">
        <v>0.06</v>
      </c>
      <c r="P426" s="3">
        <v>0</v>
      </c>
      <c r="Q426" s="3">
        <v>0</v>
      </c>
      <c r="R426" s="3">
        <v>0</v>
      </c>
    </row>
    <row r="427" spans="1:18">
      <c r="A427" s="3" t="s">
        <v>5887</v>
      </c>
      <c r="B427" s="3" t="s">
        <v>5888</v>
      </c>
      <c r="C427" s="3" t="s">
        <v>5889</v>
      </c>
      <c r="D427" s="3" t="s">
        <v>5890</v>
      </c>
      <c r="E427" s="3" t="s">
        <v>1710</v>
      </c>
      <c r="F427" s="3">
        <v>30.99</v>
      </c>
      <c r="G427" s="3" t="s">
        <v>6233</v>
      </c>
      <c r="H427" s="3"/>
      <c r="I427" s="3" t="s">
        <v>6234</v>
      </c>
      <c r="J427" s="3">
        <v>6</v>
      </c>
      <c r="K427" s="3">
        <v>6</v>
      </c>
      <c r="L427" s="3">
        <v>0</v>
      </c>
      <c r="M427" s="3">
        <v>0</v>
      </c>
      <c r="N427" s="3">
        <v>6</v>
      </c>
      <c r="O427" s="3">
        <v>0.06</v>
      </c>
      <c r="P427" s="3">
        <v>0</v>
      </c>
      <c r="Q427" s="3">
        <v>0</v>
      </c>
      <c r="R427" s="3">
        <v>0</v>
      </c>
    </row>
    <row r="428" spans="1:18">
      <c r="A428" s="3" t="s">
        <v>3634</v>
      </c>
      <c r="B428" s="3" t="s">
        <v>3635</v>
      </c>
      <c r="C428" s="3" t="s">
        <v>3636</v>
      </c>
      <c r="D428" s="3" t="s">
        <v>2724</v>
      </c>
      <c r="E428" s="3" t="s">
        <v>1710</v>
      </c>
      <c r="F428" s="3">
        <v>18.99</v>
      </c>
      <c r="G428" s="3" t="s">
        <v>6233</v>
      </c>
      <c r="H428" s="3"/>
      <c r="I428" s="3" t="s">
        <v>6234</v>
      </c>
      <c r="J428" s="3">
        <v>3</v>
      </c>
      <c r="K428" s="3">
        <v>3</v>
      </c>
      <c r="L428" s="3">
        <v>0</v>
      </c>
      <c r="M428" s="3">
        <v>0</v>
      </c>
      <c r="N428" s="3">
        <v>3</v>
      </c>
      <c r="O428" s="3">
        <v>0.1</v>
      </c>
      <c r="P428" s="3">
        <v>0</v>
      </c>
      <c r="Q428" s="3">
        <v>0</v>
      </c>
      <c r="R428" s="3">
        <v>0</v>
      </c>
    </row>
    <row r="429" spans="1:18">
      <c r="A429" s="3" t="s">
        <v>2721</v>
      </c>
      <c r="B429" s="3" t="s">
        <v>2722</v>
      </c>
      <c r="C429" s="3" t="s">
        <v>2723</v>
      </c>
      <c r="D429" s="3" t="s">
        <v>2724</v>
      </c>
      <c r="E429" s="3" t="s">
        <v>1710</v>
      </c>
      <c r="F429" s="3">
        <v>18.99</v>
      </c>
      <c r="G429" s="3" t="s">
        <v>6233</v>
      </c>
      <c r="H429" s="3"/>
      <c r="I429" s="3" t="s">
        <v>6234</v>
      </c>
      <c r="J429" s="3">
        <v>1</v>
      </c>
      <c r="K429" s="3">
        <v>1</v>
      </c>
      <c r="L429" s="3">
        <v>0</v>
      </c>
      <c r="M429" s="3">
        <v>0</v>
      </c>
      <c r="N429" s="3">
        <v>1</v>
      </c>
      <c r="O429" s="3">
        <v>0.1</v>
      </c>
      <c r="P429" s="3">
        <v>0</v>
      </c>
      <c r="Q429" s="3">
        <v>0</v>
      </c>
      <c r="R429" s="3">
        <v>0</v>
      </c>
    </row>
    <row r="430" spans="1:18">
      <c r="A430" s="3" t="s">
        <v>5074</v>
      </c>
      <c r="B430" s="3" t="s">
        <v>5075</v>
      </c>
      <c r="C430" s="3" t="s">
        <v>5076</v>
      </c>
      <c r="D430" s="3" t="s">
        <v>5077</v>
      </c>
      <c r="E430" s="3" t="s">
        <v>1710</v>
      </c>
      <c r="F430" s="3">
        <v>18.99</v>
      </c>
      <c r="G430" s="3" t="s">
        <v>6233</v>
      </c>
      <c r="H430" s="3"/>
      <c r="I430" s="3" t="s">
        <v>6234</v>
      </c>
      <c r="J430" s="3">
        <v>5</v>
      </c>
      <c r="K430" s="3">
        <v>5</v>
      </c>
      <c r="L430" s="3">
        <v>0</v>
      </c>
      <c r="M430" s="3">
        <v>0</v>
      </c>
      <c r="N430" s="3">
        <v>5</v>
      </c>
      <c r="O430" s="3">
        <v>0.1</v>
      </c>
      <c r="P430" s="3">
        <v>0</v>
      </c>
      <c r="Q430" s="3">
        <v>0</v>
      </c>
      <c r="R430" s="3">
        <v>0</v>
      </c>
    </row>
    <row r="431" spans="1:18">
      <c r="A431" s="3" t="s">
        <v>3542</v>
      </c>
      <c r="B431" s="3" t="s">
        <v>3543</v>
      </c>
      <c r="C431" s="3" t="s">
        <v>3544</v>
      </c>
      <c r="D431" s="3" t="s">
        <v>3545</v>
      </c>
      <c r="E431" s="3" t="s">
        <v>1710</v>
      </c>
      <c r="F431" s="3">
        <v>18.99</v>
      </c>
      <c r="G431" s="3" t="s">
        <v>6233</v>
      </c>
      <c r="H431" s="3"/>
      <c r="I431" s="3" t="s">
        <v>6234</v>
      </c>
      <c r="J431" s="3">
        <v>6</v>
      </c>
      <c r="K431" s="3">
        <v>6</v>
      </c>
      <c r="L431" s="3">
        <v>0</v>
      </c>
      <c r="M431" s="3">
        <v>0</v>
      </c>
      <c r="N431" s="3">
        <v>6</v>
      </c>
      <c r="O431" s="3">
        <v>0.08</v>
      </c>
      <c r="P431" s="3">
        <v>0</v>
      </c>
      <c r="Q431" s="3">
        <v>0</v>
      </c>
      <c r="R431" s="3">
        <v>0</v>
      </c>
    </row>
    <row r="432" spans="1:18">
      <c r="A432" s="3" t="s">
        <v>5785</v>
      </c>
      <c r="B432" s="3" t="s">
        <v>5786</v>
      </c>
      <c r="C432" s="3" t="s">
        <v>5787</v>
      </c>
      <c r="D432" s="3" t="s">
        <v>5788</v>
      </c>
      <c r="E432" s="3" t="s">
        <v>1710</v>
      </c>
      <c r="F432" s="3">
        <v>18.99</v>
      </c>
      <c r="G432" s="3" t="s">
        <v>6233</v>
      </c>
      <c r="H432" s="3"/>
      <c r="I432" s="3" t="s">
        <v>6234</v>
      </c>
      <c r="J432" s="3">
        <v>1</v>
      </c>
      <c r="K432" s="3">
        <v>1</v>
      </c>
      <c r="L432" s="3">
        <v>0</v>
      </c>
      <c r="M432" s="3">
        <v>0</v>
      </c>
      <c r="N432" s="3">
        <v>1</v>
      </c>
      <c r="O432" s="3">
        <v>0.1</v>
      </c>
      <c r="P432" s="3">
        <v>0</v>
      </c>
      <c r="Q432" s="3">
        <v>0</v>
      </c>
      <c r="R432" s="3">
        <v>0</v>
      </c>
    </row>
    <row r="433" spans="1:18">
      <c r="A433" s="3" t="s">
        <v>1852</v>
      </c>
      <c r="B433" s="3" t="s">
        <v>1853</v>
      </c>
      <c r="C433" s="3" t="s">
        <v>1854</v>
      </c>
      <c r="D433" s="3" t="s">
        <v>1855</v>
      </c>
      <c r="E433" s="3" t="s">
        <v>1710</v>
      </c>
      <c r="F433" s="3">
        <v>18.99</v>
      </c>
      <c r="G433" s="3" t="s">
        <v>6233</v>
      </c>
      <c r="H433" s="3"/>
      <c r="I433" s="3" t="s">
        <v>6234</v>
      </c>
      <c r="J433" s="3">
        <v>3</v>
      </c>
      <c r="K433" s="3">
        <v>3</v>
      </c>
      <c r="L433" s="3">
        <v>0</v>
      </c>
      <c r="M433" s="3">
        <v>0</v>
      </c>
      <c r="N433" s="3">
        <v>3</v>
      </c>
      <c r="O433" s="3">
        <v>0.1</v>
      </c>
      <c r="P433" s="3">
        <v>0</v>
      </c>
      <c r="Q433" s="3">
        <v>0</v>
      </c>
      <c r="R433" s="3">
        <v>0</v>
      </c>
    </row>
    <row r="434" spans="1:18">
      <c r="A434" s="3" t="s">
        <v>2313</v>
      </c>
      <c r="B434" s="3" t="s">
        <v>2314</v>
      </c>
      <c r="C434" s="3" t="s">
        <v>2315</v>
      </c>
      <c r="D434" s="3" t="s">
        <v>1855</v>
      </c>
      <c r="E434" s="3" t="s">
        <v>1710</v>
      </c>
      <c r="F434" s="3">
        <v>18.99</v>
      </c>
      <c r="G434" s="3" t="s">
        <v>6233</v>
      </c>
      <c r="H434" s="3"/>
      <c r="I434" s="3" t="s">
        <v>6234</v>
      </c>
      <c r="J434" s="3">
        <v>3</v>
      </c>
      <c r="K434" s="3">
        <v>3</v>
      </c>
      <c r="L434" s="3">
        <v>0</v>
      </c>
      <c r="M434" s="3">
        <v>0</v>
      </c>
      <c r="N434" s="3">
        <v>3</v>
      </c>
      <c r="O434" s="3">
        <v>0.1</v>
      </c>
      <c r="P434" s="3">
        <v>0</v>
      </c>
      <c r="Q434" s="3">
        <v>0</v>
      </c>
      <c r="R434" s="3">
        <v>0</v>
      </c>
    </row>
    <row r="435" spans="1:18">
      <c r="A435" s="3" t="s">
        <v>4201</v>
      </c>
      <c r="B435" s="3" t="s">
        <v>4202</v>
      </c>
      <c r="C435" s="3" t="s">
        <v>4203</v>
      </c>
      <c r="D435" s="3" t="s">
        <v>1855</v>
      </c>
      <c r="E435" s="3" t="s">
        <v>1710</v>
      </c>
      <c r="F435" s="3">
        <v>18.99</v>
      </c>
      <c r="G435" s="3" t="s">
        <v>6233</v>
      </c>
      <c r="H435" s="3"/>
      <c r="I435" s="3" t="s">
        <v>6234</v>
      </c>
      <c r="J435" s="3">
        <v>5</v>
      </c>
      <c r="K435" s="3">
        <v>5</v>
      </c>
      <c r="L435" s="3">
        <v>0</v>
      </c>
      <c r="M435" s="3">
        <v>0</v>
      </c>
      <c r="N435" s="3">
        <v>5</v>
      </c>
      <c r="O435" s="3">
        <v>0.1</v>
      </c>
      <c r="P435" s="3">
        <v>0</v>
      </c>
      <c r="Q435" s="3">
        <v>0</v>
      </c>
      <c r="R435" s="3">
        <v>0</v>
      </c>
    </row>
    <row r="436" spans="1:18">
      <c r="A436" s="3" t="s">
        <v>4088</v>
      </c>
      <c r="B436" s="3" t="s">
        <v>4089</v>
      </c>
      <c r="C436" s="3" t="s">
        <v>4090</v>
      </c>
      <c r="D436" s="3" t="s">
        <v>4091</v>
      </c>
      <c r="E436" s="3" t="s">
        <v>1710</v>
      </c>
      <c r="F436" s="3">
        <v>15.88</v>
      </c>
      <c r="G436" s="3" t="s">
        <v>6233</v>
      </c>
      <c r="H436" s="3"/>
      <c r="I436" s="3" t="s">
        <v>6234</v>
      </c>
      <c r="J436" s="3">
        <v>1</v>
      </c>
      <c r="K436" s="3">
        <v>1</v>
      </c>
      <c r="L436" s="3">
        <v>0</v>
      </c>
      <c r="M436" s="3">
        <v>0</v>
      </c>
      <c r="N436" s="3">
        <v>1</v>
      </c>
      <c r="O436" s="3">
        <v>0</v>
      </c>
      <c r="P436" s="3">
        <v>0</v>
      </c>
      <c r="Q436" s="3">
        <v>0</v>
      </c>
      <c r="R436" s="3">
        <v>0</v>
      </c>
    </row>
    <row r="437" spans="1:18">
      <c r="A437" s="3" t="s">
        <v>3943</v>
      </c>
      <c r="B437" s="3" t="s">
        <v>3944</v>
      </c>
      <c r="C437" s="3" t="s">
        <v>3945</v>
      </c>
      <c r="D437" s="3" t="s">
        <v>3946</v>
      </c>
      <c r="E437" s="3" t="s">
        <v>1710</v>
      </c>
      <c r="F437" s="3">
        <v>15.88</v>
      </c>
      <c r="G437" s="3" t="s">
        <v>6233</v>
      </c>
      <c r="H437" s="3"/>
      <c r="I437" s="3" t="s">
        <v>6234</v>
      </c>
      <c r="J437" s="3">
        <v>2</v>
      </c>
      <c r="K437" s="3">
        <v>2</v>
      </c>
      <c r="L437" s="3">
        <v>0</v>
      </c>
      <c r="M437" s="3">
        <v>0</v>
      </c>
      <c r="N437" s="3">
        <v>2</v>
      </c>
      <c r="O437" s="3">
        <v>0</v>
      </c>
      <c r="P437" s="3">
        <v>0</v>
      </c>
      <c r="Q437" s="3">
        <v>0</v>
      </c>
      <c r="R437" s="3">
        <v>0</v>
      </c>
    </row>
    <row r="438" spans="1:18">
      <c r="A438" s="3" t="s">
        <v>6037</v>
      </c>
      <c r="B438" s="3" t="s">
        <v>6038</v>
      </c>
      <c r="C438" s="3" t="s">
        <v>6039</v>
      </c>
      <c r="D438" s="3" t="s">
        <v>6040</v>
      </c>
      <c r="E438" s="3" t="s">
        <v>1710</v>
      </c>
      <c r="F438" s="3">
        <v>15.88</v>
      </c>
      <c r="G438" s="3" t="s">
        <v>6233</v>
      </c>
      <c r="H438" s="3"/>
      <c r="I438" s="3" t="s">
        <v>6234</v>
      </c>
      <c r="J438" s="3">
        <v>5</v>
      </c>
      <c r="K438" s="3">
        <v>5</v>
      </c>
      <c r="L438" s="3">
        <v>0</v>
      </c>
      <c r="M438" s="3">
        <v>0</v>
      </c>
      <c r="N438" s="3">
        <v>5</v>
      </c>
      <c r="O438" s="3">
        <v>0</v>
      </c>
      <c r="P438" s="3">
        <v>0</v>
      </c>
      <c r="Q438" s="3">
        <v>0</v>
      </c>
      <c r="R438" s="3">
        <v>0</v>
      </c>
    </row>
    <row r="439" spans="1:18">
      <c r="A439" s="3" t="s">
        <v>2134</v>
      </c>
      <c r="B439" s="3" t="s">
        <v>2135</v>
      </c>
      <c r="C439" s="3" t="s">
        <v>2136</v>
      </c>
      <c r="D439" s="3" t="s">
        <v>2137</v>
      </c>
      <c r="E439" s="3" t="s">
        <v>1710</v>
      </c>
      <c r="F439" s="3">
        <v>15.88</v>
      </c>
      <c r="G439" s="3" t="s">
        <v>6233</v>
      </c>
      <c r="H439" s="3"/>
      <c r="I439" s="3" t="s">
        <v>6234</v>
      </c>
      <c r="J439" s="3">
        <v>5</v>
      </c>
      <c r="K439" s="3">
        <v>5</v>
      </c>
      <c r="L439" s="3">
        <v>0</v>
      </c>
      <c r="M439" s="3">
        <v>0</v>
      </c>
      <c r="N439" s="3">
        <v>5</v>
      </c>
      <c r="O439" s="3">
        <v>0</v>
      </c>
      <c r="P439" s="3">
        <v>0</v>
      </c>
      <c r="Q439" s="3">
        <v>0</v>
      </c>
      <c r="R439" s="3">
        <v>0</v>
      </c>
    </row>
    <row r="440" spans="1:18">
      <c r="A440" s="3" t="s">
        <v>4135</v>
      </c>
      <c r="B440" s="3" t="s">
        <v>4136</v>
      </c>
      <c r="C440" s="3" t="s">
        <v>4137</v>
      </c>
      <c r="D440" s="3" t="s">
        <v>4138</v>
      </c>
      <c r="E440" s="3" t="s">
        <v>1710</v>
      </c>
      <c r="F440" s="3">
        <v>15.88</v>
      </c>
      <c r="G440" s="3" t="s">
        <v>6233</v>
      </c>
      <c r="H440" s="3"/>
      <c r="I440" s="3" t="s">
        <v>6234</v>
      </c>
      <c r="J440" s="3">
        <v>4</v>
      </c>
      <c r="K440" s="3">
        <v>4</v>
      </c>
      <c r="L440" s="3">
        <v>0</v>
      </c>
      <c r="M440" s="3">
        <v>0</v>
      </c>
      <c r="N440" s="3">
        <v>4</v>
      </c>
      <c r="O440" s="3">
        <v>0</v>
      </c>
      <c r="P440" s="3">
        <v>0</v>
      </c>
      <c r="Q440" s="3">
        <v>0</v>
      </c>
      <c r="R440" s="3">
        <v>0</v>
      </c>
    </row>
    <row r="441" spans="1:18">
      <c r="A441" s="3" t="s">
        <v>2304</v>
      </c>
      <c r="B441" s="3" t="s">
        <v>2305</v>
      </c>
      <c r="C441" s="3" t="s">
        <v>2306</v>
      </c>
      <c r="D441" s="3" t="s">
        <v>2307</v>
      </c>
      <c r="E441" s="3" t="s">
        <v>1710</v>
      </c>
      <c r="F441" s="3">
        <v>39.99</v>
      </c>
      <c r="G441" s="3" t="s">
        <v>6233</v>
      </c>
      <c r="H441" s="3"/>
      <c r="I441" s="3" t="s">
        <v>6234</v>
      </c>
      <c r="J441" s="3">
        <v>12</v>
      </c>
      <c r="K441" s="3">
        <v>12</v>
      </c>
      <c r="L441" s="3">
        <v>0</v>
      </c>
      <c r="M441" s="3">
        <v>0</v>
      </c>
      <c r="N441" s="3">
        <v>12</v>
      </c>
      <c r="O441" s="3">
        <v>0.12</v>
      </c>
      <c r="P441" s="3">
        <v>0</v>
      </c>
      <c r="Q441" s="3">
        <v>0</v>
      </c>
      <c r="R441" s="3">
        <v>0</v>
      </c>
    </row>
    <row r="442" spans="1:18">
      <c r="A442" s="3" t="s">
        <v>3871</v>
      </c>
      <c r="B442" s="3" t="s">
        <v>3872</v>
      </c>
      <c r="C442" s="3" t="s">
        <v>3873</v>
      </c>
      <c r="D442" s="3" t="s">
        <v>3874</v>
      </c>
      <c r="E442" s="3" t="s">
        <v>1710</v>
      </c>
      <c r="F442" s="3">
        <v>39.99</v>
      </c>
      <c r="G442" s="3" t="s">
        <v>6233</v>
      </c>
      <c r="H442" s="3"/>
      <c r="I442" s="3" t="s">
        <v>6234</v>
      </c>
      <c r="J442" s="3">
        <v>12</v>
      </c>
      <c r="K442" s="3">
        <v>12</v>
      </c>
      <c r="L442" s="3">
        <v>0</v>
      </c>
      <c r="M442" s="3">
        <v>0</v>
      </c>
      <c r="N442" s="3">
        <v>12</v>
      </c>
      <c r="O442" s="3">
        <v>0.12</v>
      </c>
      <c r="P442" s="3">
        <v>0</v>
      </c>
      <c r="Q442" s="3">
        <v>0</v>
      </c>
      <c r="R442" s="3">
        <v>0</v>
      </c>
    </row>
    <row r="443" spans="1:18">
      <c r="A443" s="3" t="s">
        <v>2996</v>
      </c>
      <c r="B443" s="3" t="s">
        <v>2997</v>
      </c>
      <c r="C443" s="3" t="s">
        <v>2998</v>
      </c>
      <c r="D443" s="3" t="s">
        <v>2999</v>
      </c>
      <c r="E443" s="3" t="s">
        <v>1710</v>
      </c>
      <c r="F443" s="3">
        <v>39.99</v>
      </c>
      <c r="G443" s="3" t="s">
        <v>6233</v>
      </c>
      <c r="H443" s="3"/>
      <c r="I443" s="3" t="s">
        <v>6234</v>
      </c>
      <c r="J443" s="3">
        <v>12</v>
      </c>
      <c r="K443" s="3">
        <v>12</v>
      </c>
      <c r="L443" s="3">
        <v>0</v>
      </c>
      <c r="M443" s="3">
        <v>0</v>
      </c>
      <c r="N443" s="3">
        <v>12</v>
      </c>
      <c r="O443" s="3">
        <v>0.12</v>
      </c>
      <c r="P443" s="3">
        <v>0</v>
      </c>
      <c r="Q443" s="3">
        <v>0</v>
      </c>
      <c r="R443" s="3">
        <v>0</v>
      </c>
    </row>
    <row r="444" spans="1:18">
      <c r="A444" s="3" t="s">
        <v>1847</v>
      </c>
      <c r="B444" s="3" t="s">
        <v>1848</v>
      </c>
      <c r="C444" s="3" t="s">
        <v>1849</v>
      </c>
      <c r="D444" s="3" t="s">
        <v>1850</v>
      </c>
      <c r="E444" s="3" t="s">
        <v>1710</v>
      </c>
      <c r="F444" s="3">
        <v>39.99</v>
      </c>
      <c r="G444" s="3" t="s">
        <v>6233</v>
      </c>
      <c r="H444" s="3"/>
      <c r="I444" s="3" t="s">
        <v>6234</v>
      </c>
      <c r="J444" s="3">
        <v>7</v>
      </c>
      <c r="K444" s="3">
        <v>7</v>
      </c>
      <c r="L444" s="3">
        <v>0</v>
      </c>
      <c r="M444" s="3">
        <v>0</v>
      </c>
      <c r="N444" s="3">
        <v>7</v>
      </c>
      <c r="O444" s="3">
        <v>0.12</v>
      </c>
      <c r="P444" s="3">
        <v>0</v>
      </c>
      <c r="Q444" s="3">
        <v>0</v>
      </c>
      <c r="R444" s="3">
        <v>0</v>
      </c>
    </row>
    <row r="445" spans="1:18">
      <c r="A445" s="3" t="s">
        <v>4599</v>
      </c>
      <c r="B445" s="3" t="s">
        <v>4600</v>
      </c>
      <c r="C445" s="3" t="s">
        <v>4601</v>
      </c>
      <c r="D445" s="3" t="s">
        <v>4602</v>
      </c>
      <c r="E445" s="3" t="s">
        <v>1710</v>
      </c>
      <c r="F445" s="3">
        <v>39.99</v>
      </c>
      <c r="G445" s="3" t="s">
        <v>6233</v>
      </c>
      <c r="H445" s="3"/>
      <c r="I445" s="3" t="s">
        <v>6234</v>
      </c>
      <c r="J445" s="3">
        <v>10</v>
      </c>
      <c r="K445" s="3">
        <v>10</v>
      </c>
      <c r="L445" s="3">
        <v>0</v>
      </c>
      <c r="M445" s="3">
        <v>0</v>
      </c>
      <c r="N445" s="3">
        <v>10</v>
      </c>
      <c r="O445" s="3">
        <v>0.12</v>
      </c>
      <c r="P445" s="3">
        <v>0</v>
      </c>
      <c r="Q445" s="3">
        <v>0</v>
      </c>
      <c r="R445" s="3">
        <v>0</v>
      </c>
    </row>
    <row r="446" spans="1:18">
      <c r="A446" s="3" t="s">
        <v>2280</v>
      </c>
      <c r="B446" s="3" t="s">
        <v>2281</v>
      </c>
      <c r="C446" s="3" t="s">
        <v>2282</v>
      </c>
      <c r="D446" s="3" t="s">
        <v>2283</v>
      </c>
      <c r="E446" s="3" t="s">
        <v>1710</v>
      </c>
      <c r="F446" s="3">
        <v>39.99</v>
      </c>
      <c r="G446" s="3" t="s">
        <v>6233</v>
      </c>
      <c r="H446" s="3"/>
      <c r="I446" s="3" t="s">
        <v>6234</v>
      </c>
      <c r="J446" s="3">
        <v>9</v>
      </c>
      <c r="K446" s="3">
        <v>9</v>
      </c>
      <c r="L446" s="3">
        <v>0</v>
      </c>
      <c r="M446" s="3">
        <v>0</v>
      </c>
      <c r="N446" s="3">
        <v>9</v>
      </c>
      <c r="O446" s="3">
        <v>0.12</v>
      </c>
      <c r="P446" s="3">
        <v>0</v>
      </c>
      <c r="Q446" s="3">
        <v>0</v>
      </c>
      <c r="R446" s="3">
        <v>0</v>
      </c>
    </row>
    <row r="447" spans="1:18">
      <c r="A447" s="3" t="s">
        <v>3637</v>
      </c>
      <c r="B447" s="3" t="s">
        <v>3638</v>
      </c>
      <c r="C447" s="3" t="s">
        <v>3639</v>
      </c>
      <c r="D447" s="3" t="s">
        <v>3640</v>
      </c>
      <c r="E447" s="3" t="s">
        <v>1710</v>
      </c>
      <c r="F447" s="3">
        <v>39.99</v>
      </c>
      <c r="G447" s="3" t="s">
        <v>6233</v>
      </c>
      <c r="H447" s="3"/>
      <c r="I447" s="3" t="s">
        <v>6234</v>
      </c>
      <c r="J447" s="3">
        <v>12</v>
      </c>
      <c r="K447" s="3">
        <v>12</v>
      </c>
      <c r="L447" s="3">
        <v>0</v>
      </c>
      <c r="M447" s="3">
        <v>0</v>
      </c>
      <c r="N447" s="3">
        <v>12</v>
      </c>
      <c r="O447" s="3">
        <v>0.12</v>
      </c>
      <c r="P447" s="3">
        <v>0</v>
      </c>
      <c r="Q447" s="3">
        <v>0</v>
      </c>
      <c r="R447" s="3">
        <v>0</v>
      </c>
    </row>
    <row r="448" spans="1:18">
      <c r="A448" s="3" t="s">
        <v>5571</v>
      </c>
      <c r="B448" s="3" t="s">
        <v>5572</v>
      </c>
      <c r="C448" s="3" t="s">
        <v>5573</v>
      </c>
      <c r="D448" s="3" t="s">
        <v>5574</v>
      </c>
      <c r="E448" s="3" t="s">
        <v>1710</v>
      </c>
      <c r="F448" s="3">
        <v>39.99</v>
      </c>
      <c r="G448" s="3" t="s">
        <v>6233</v>
      </c>
      <c r="H448" s="3"/>
      <c r="I448" s="3" t="s">
        <v>6234</v>
      </c>
      <c r="J448" s="3">
        <v>11</v>
      </c>
      <c r="K448" s="3">
        <v>11</v>
      </c>
      <c r="L448" s="3">
        <v>0</v>
      </c>
      <c r="M448" s="3">
        <v>0</v>
      </c>
      <c r="N448" s="3">
        <v>11</v>
      </c>
      <c r="O448" s="3">
        <v>0.12</v>
      </c>
      <c r="P448" s="3">
        <v>0</v>
      </c>
      <c r="Q448" s="3">
        <v>0</v>
      </c>
      <c r="R448" s="3">
        <v>0</v>
      </c>
    </row>
    <row r="449" spans="1:18">
      <c r="A449" s="3" t="s">
        <v>2195</v>
      </c>
      <c r="B449" s="3" t="s">
        <v>2196</v>
      </c>
      <c r="C449" s="3" t="s">
        <v>2197</v>
      </c>
      <c r="D449" s="3" t="s">
        <v>2198</v>
      </c>
      <c r="E449" s="3" t="s">
        <v>1710</v>
      </c>
      <c r="F449" s="3">
        <v>39.99</v>
      </c>
      <c r="G449" s="3" t="s">
        <v>6233</v>
      </c>
      <c r="H449" s="3"/>
      <c r="I449" s="3" t="s">
        <v>6234</v>
      </c>
      <c r="J449" s="3">
        <v>9</v>
      </c>
      <c r="K449" s="3">
        <v>9</v>
      </c>
      <c r="L449" s="3">
        <v>0</v>
      </c>
      <c r="M449" s="3">
        <v>0</v>
      </c>
      <c r="N449" s="3">
        <v>9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4196</v>
      </c>
      <c r="B450" s="3" t="s">
        <v>4197</v>
      </c>
      <c r="C450" s="3" t="s">
        <v>4198</v>
      </c>
      <c r="D450" s="3" t="s">
        <v>4199</v>
      </c>
      <c r="E450" s="3" t="s">
        <v>1710</v>
      </c>
      <c r="F450" s="3">
        <v>39.99</v>
      </c>
      <c r="G450" s="3" t="s">
        <v>6233</v>
      </c>
      <c r="H450" s="3"/>
      <c r="I450" s="3" t="s">
        <v>6234</v>
      </c>
      <c r="J450" s="3">
        <v>10</v>
      </c>
      <c r="K450" s="3">
        <v>10</v>
      </c>
      <c r="L450" s="3">
        <v>0</v>
      </c>
      <c r="M450" s="3">
        <v>0</v>
      </c>
      <c r="N450" s="3">
        <v>10</v>
      </c>
      <c r="O450" s="3">
        <v>0.12</v>
      </c>
      <c r="P450" s="3">
        <v>0</v>
      </c>
      <c r="Q450" s="3">
        <v>0</v>
      </c>
      <c r="R450" s="3">
        <v>0</v>
      </c>
    </row>
    <row r="451" spans="1:18">
      <c r="A451" s="3" t="s">
        <v>1967</v>
      </c>
      <c r="B451" s="3" t="s">
        <v>1968</v>
      </c>
      <c r="C451" s="3" t="s">
        <v>1969</v>
      </c>
      <c r="D451" s="3" t="s">
        <v>1970</v>
      </c>
      <c r="E451" s="3" t="s">
        <v>1710</v>
      </c>
      <c r="F451" s="3">
        <v>39.99</v>
      </c>
      <c r="G451" s="3" t="s">
        <v>6233</v>
      </c>
      <c r="H451" s="3"/>
      <c r="I451" s="3" t="s">
        <v>6234</v>
      </c>
      <c r="J451" s="3">
        <v>5</v>
      </c>
      <c r="K451" s="3">
        <v>5</v>
      </c>
      <c r="L451" s="3">
        <v>0</v>
      </c>
      <c r="M451" s="3">
        <v>0</v>
      </c>
      <c r="N451" s="3">
        <v>5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4360</v>
      </c>
      <c r="B452" s="3" t="s">
        <v>4361</v>
      </c>
      <c r="C452" s="3" t="s">
        <v>4362</v>
      </c>
      <c r="D452" s="3" t="s">
        <v>4363</v>
      </c>
      <c r="E452" s="3" t="s">
        <v>1710</v>
      </c>
      <c r="F452" s="3">
        <v>39.99</v>
      </c>
      <c r="G452" s="3" t="s">
        <v>6233</v>
      </c>
      <c r="H452" s="3"/>
      <c r="I452" s="3" t="s">
        <v>6234</v>
      </c>
      <c r="J452" s="3">
        <v>6</v>
      </c>
      <c r="K452" s="3">
        <v>6</v>
      </c>
      <c r="L452" s="3">
        <v>0</v>
      </c>
      <c r="M452" s="3">
        <v>0</v>
      </c>
      <c r="N452" s="3">
        <v>6</v>
      </c>
      <c r="O452" s="3">
        <v>0.12</v>
      </c>
      <c r="P452" s="3">
        <v>0</v>
      </c>
      <c r="Q452" s="3">
        <v>0</v>
      </c>
      <c r="R452" s="3">
        <v>0</v>
      </c>
    </row>
    <row r="453" spans="1:18">
      <c r="A453" s="3" t="s">
        <v>5859</v>
      </c>
      <c r="B453" s="3" t="s">
        <v>5860</v>
      </c>
      <c r="C453" s="3" t="s">
        <v>5861</v>
      </c>
      <c r="D453" s="3" t="s">
        <v>5862</v>
      </c>
      <c r="E453" s="3" t="s">
        <v>1710</v>
      </c>
      <c r="F453" s="3">
        <v>39.99</v>
      </c>
      <c r="G453" s="3" t="s">
        <v>6233</v>
      </c>
      <c r="H453" s="3"/>
      <c r="I453" s="3" t="s">
        <v>6234</v>
      </c>
      <c r="J453" s="3">
        <v>5</v>
      </c>
      <c r="K453" s="3">
        <v>5</v>
      </c>
      <c r="L453" s="3">
        <v>0</v>
      </c>
      <c r="M453" s="3">
        <v>0</v>
      </c>
      <c r="N453" s="3">
        <v>5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4168</v>
      </c>
      <c r="B454" s="3" t="s">
        <v>4169</v>
      </c>
      <c r="C454" s="3" t="s">
        <v>4170</v>
      </c>
      <c r="D454" s="3" t="s">
        <v>4171</v>
      </c>
      <c r="E454" s="3" t="s">
        <v>1710</v>
      </c>
      <c r="F454" s="3">
        <v>39.99</v>
      </c>
      <c r="G454" s="3" t="s">
        <v>6233</v>
      </c>
      <c r="H454" s="3"/>
      <c r="I454" s="3" t="s">
        <v>6234</v>
      </c>
      <c r="J454" s="3">
        <v>8</v>
      </c>
      <c r="K454" s="3">
        <v>8</v>
      </c>
      <c r="L454" s="3">
        <v>0</v>
      </c>
      <c r="M454" s="3">
        <v>0</v>
      </c>
      <c r="N454" s="3">
        <v>8</v>
      </c>
      <c r="O454" s="3">
        <v>0.12</v>
      </c>
      <c r="P454" s="3">
        <v>0</v>
      </c>
      <c r="Q454" s="3">
        <v>0</v>
      </c>
      <c r="R454" s="3">
        <v>0</v>
      </c>
    </row>
    <row r="455" spans="1:18">
      <c r="A455" s="3" t="s">
        <v>4277</v>
      </c>
      <c r="B455" s="3" t="s">
        <v>4278</v>
      </c>
      <c r="C455" s="3" t="s">
        <v>4279</v>
      </c>
      <c r="D455" s="3" t="s">
        <v>4280</v>
      </c>
      <c r="E455" s="3" t="s">
        <v>1710</v>
      </c>
      <c r="F455" s="3">
        <v>39.99</v>
      </c>
      <c r="G455" s="3" t="s">
        <v>6233</v>
      </c>
      <c r="H455" s="3"/>
      <c r="I455" s="3" t="s">
        <v>6234</v>
      </c>
      <c r="J455" s="3">
        <v>8</v>
      </c>
      <c r="K455" s="3">
        <v>8</v>
      </c>
      <c r="L455" s="3">
        <v>0</v>
      </c>
      <c r="M455" s="3">
        <v>0</v>
      </c>
      <c r="N455" s="3">
        <v>8</v>
      </c>
      <c r="O455" s="3">
        <v>0.12</v>
      </c>
      <c r="P455" s="3">
        <v>0</v>
      </c>
      <c r="Q455" s="3">
        <v>0</v>
      </c>
      <c r="R455" s="3">
        <v>0</v>
      </c>
    </row>
    <row r="456" spans="1:18">
      <c r="A456" s="3" t="s">
        <v>3987</v>
      </c>
      <c r="B456" s="3" t="s">
        <v>3988</v>
      </c>
      <c r="C456" s="3" t="s">
        <v>3989</v>
      </c>
      <c r="D456" s="3" t="s">
        <v>3990</v>
      </c>
      <c r="E456" s="3" t="s">
        <v>1710</v>
      </c>
      <c r="F456" s="3">
        <v>39.99</v>
      </c>
      <c r="G456" s="3" t="s">
        <v>6233</v>
      </c>
      <c r="H456" s="3"/>
      <c r="I456" s="3" t="s">
        <v>6234</v>
      </c>
      <c r="J456" s="3">
        <v>7</v>
      </c>
      <c r="K456" s="3">
        <v>7</v>
      </c>
      <c r="L456" s="3">
        <v>0</v>
      </c>
      <c r="M456" s="3">
        <v>0</v>
      </c>
      <c r="N456" s="3">
        <v>7</v>
      </c>
      <c r="O456" s="3">
        <v>0.12</v>
      </c>
      <c r="P456" s="3">
        <v>0</v>
      </c>
      <c r="Q456" s="3">
        <v>0</v>
      </c>
      <c r="R456" s="3">
        <v>0</v>
      </c>
    </row>
    <row r="457" spans="1:18">
      <c r="A457" s="3" t="s">
        <v>3740</v>
      </c>
      <c r="B457" s="3" t="s">
        <v>3741</v>
      </c>
      <c r="C457" s="3" t="s">
        <v>3742</v>
      </c>
      <c r="D457" s="3" t="s">
        <v>3743</v>
      </c>
      <c r="E457" s="3" t="s">
        <v>1710</v>
      </c>
      <c r="F457" s="3">
        <v>39.99</v>
      </c>
      <c r="G457" s="3" t="s">
        <v>6233</v>
      </c>
      <c r="H457" s="3"/>
      <c r="I457" s="3" t="s">
        <v>6234</v>
      </c>
      <c r="J457" s="3">
        <v>9</v>
      </c>
      <c r="K457" s="3">
        <v>9</v>
      </c>
      <c r="L457" s="3">
        <v>0</v>
      </c>
      <c r="M457" s="3">
        <v>0</v>
      </c>
      <c r="N457" s="3">
        <v>9</v>
      </c>
      <c r="O457" s="3">
        <v>0</v>
      </c>
      <c r="P457" s="3">
        <v>0</v>
      </c>
      <c r="Q457" s="3">
        <v>0</v>
      </c>
      <c r="R457" s="3">
        <v>0</v>
      </c>
    </row>
    <row r="458" spans="1:18">
      <c r="A458" s="3" t="s">
        <v>3131</v>
      </c>
      <c r="B458" s="3" t="s">
        <v>3132</v>
      </c>
      <c r="C458" s="3" t="s">
        <v>3133</v>
      </c>
      <c r="D458" s="3" t="s">
        <v>3134</v>
      </c>
      <c r="E458" s="3" t="s">
        <v>1710</v>
      </c>
      <c r="F458" s="3">
        <v>39.99</v>
      </c>
      <c r="G458" s="3" t="s">
        <v>6233</v>
      </c>
      <c r="H458" s="3"/>
      <c r="I458" s="3" t="s">
        <v>6234</v>
      </c>
      <c r="J458" s="3">
        <v>2</v>
      </c>
      <c r="K458" s="3">
        <v>2</v>
      </c>
      <c r="L458" s="3">
        <v>0</v>
      </c>
      <c r="M458" s="3">
        <v>0</v>
      </c>
      <c r="N458" s="3">
        <v>2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3403</v>
      </c>
      <c r="B459" s="3" t="s">
        <v>3404</v>
      </c>
      <c r="C459" s="3" t="s">
        <v>3405</v>
      </c>
      <c r="D459" s="3" t="s">
        <v>3406</v>
      </c>
      <c r="E459" s="3" t="s">
        <v>1710</v>
      </c>
      <c r="F459" s="3">
        <v>39.99</v>
      </c>
      <c r="G459" s="3" t="s">
        <v>6233</v>
      </c>
      <c r="H459" s="3"/>
      <c r="I459" s="3" t="s">
        <v>6234</v>
      </c>
      <c r="J459" s="3">
        <v>7</v>
      </c>
      <c r="K459" s="3">
        <v>7</v>
      </c>
      <c r="L459" s="3">
        <v>0</v>
      </c>
      <c r="M459" s="3">
        <v>0</v>
      </c>
      <c r="N459" s="3">
        <v>7</v>
      </c>
      <c r="O459" s="3">
        <v>0.12</v>
      </c>
      <c r="P459" s="3">
        <v>0</v>
      </c>
      <c r="Q459" s="3">
        <v>0</v>
      </c>
      <c r="R459" s="3">
        <v>0</v>
      </c>
    </row>
    <row r="460" spans="1:18">
      <c r="A460" s="3" t="s">
        <v>2371</v>
      </c>
      <c r="B460" s="3" t="s">
        <v>2372</v>
      </c>
      <c r="C460" s="3" t="s">
        <v>2373</v>
      </c>
      <c r="D460" s="3" t="s">
        <v>2374</v>
      </c>
      <c r="E460" s="3" t="s">
        <v>1710</v>
      </c>
      <c r="F460" s="3">
        <v>39.99</v>
      </c>
      <c r="G460" s="3" t="s">
        <v>6233</v>
      </c>
      <c r="H460" s="3"/>
      <c r="I460" s="3" t="s">
        <v>6234</v>
      </c>
      <c r="J460" s="3">
        <v>6</v>
      </c>
      <c r="K460" s="3">
        <v>6</v>
      </c>
      <c r="L460" s="3">
        <v>0</v>
      </c>
      <c r="M460" s="3">
        <v>0</v>
      </c>
      <c r="N460" s="3">
        <v>6</v>
      </c>
      <c r="O460" s="3">
        <v>0.12</v>
      </c>
      <c r="P460" s="3">
        <v>0</v>
      </c>
      <c r="Q460" s="3">
        <v>0</v>
      </c>
      <c r="R460" s="3">
        <v>0</v>
      </c>
    </row>
    <row r="461" spans="1:18">
      <c r="A461" s="3" t="s">
        <v>2607</v>
      </c>
      <c r="B461" s="3" t="s">
        <v>2608</v>
      </c>
      <c r="C461" s="3" t="s">
        <v>2609</v>
      </c>
      <c r="D461" s="3" t="s">
        <v>2610</v>
      </c>
      <c r="E461" s="3" t="s">
        <v>1710</v>
      </c>
      <c r="F461" s="3">
        <v>39.99</v>
      </c>
      <c r="G461" s="3" t="s">
        <v>6233</v>
      </c>
      <c r="H461" s="3"/>
      <c r="I461" s="3" t="s">
        <v>6234</v>
      </c>
      <c r="J461" s="3">
        <v>8</v>
      </c>
      <c r="K461" s="3">
        <v>8</v>
      </c>
      <c r="L461" s="3">
        <v>0</v>
      </c>
      <c r="M461" s="3">
        <v>0</v>
      </c>
      <c r="N461" s="3">
        <v>8</v>
      </c>
      <c r="O461" s="3">
        <v>0.12</v>
      </c>
      <c r="P461" s="3">
        <v>0</v>
      </c>
      <c r="Q461" s="3">
        <v>0</v>
      </c>
      <c r="R461" s="3">
        <v>0</v>
      </c>
    </row>
    <row r="462" spans="1:18">
      <c r="A462" s="3" t="s">
        <v>2308</v>
      </c>
      <c r="B462" s="3" t="s">
        <v>2309</v>
      </c>
      <c r="C462" s="3" t="s">
        <v>2310</v>
      </c>
      <c r="D462" s="3" t="s">
        <v>2311</v>
      </c>
      <c r="E462" s="3" t="s">
        <v>1710</v>
      </c>
      <c r="F462" s="3">
        <v>39.99</v>
      </c>
      <c r="G462" s="3" t="s">
        <v>6233</v>
      </c>
      <c r="H462" s="3"/>
      <c r="I462" s="3" t="s">
        <v>6234</v>
      </c>
      <c r="J462" s="3">
        <v>8</v>
      </c>
      <c r="K462" s="3">
        <v>8</v>
      </c>
      <c r="L462" s="3">
        <v>0</v>
      </c>
      <c r="M462" s="3">
        <v>0</v>
      </c>
      <c r="N462" s="3">
        <v>8</v>
      </c>
      <c r="O462" s="3">
        <v>0.12</v>
      </c>
      <c r="P462" s="3">
        <v>0</v>
      </c>
      <c r="Q462" s="3">
        <v>0</v>
      </c>
      <c r="R462" s="3">
        <v>0</v>
      </c>
    </row>
    <row r="463" spans="1:18">
      <c r="A463" s="3" t="s">
        <v>3816</v>
      </c>
      <c r="B463" s="3" t="s">
        <v>3817</v>
      </c>
      <c r="C463" s="3" t="s">
        <v>3818</v>
      </c>
      <c r="D463" s="3" t="s">
        <v>3819</v>
      </c>
      <c r="E463" s="3" t="s">
        <v>1710</v>
      </c>
      <c r="F463" s="3">
        <v>39.99</v>
      </c>
      <c r="G463" s="3" t="s">
        <v>6233</v>
      </c>
      <c r="H463" s="3"/>
      <c r="I463" s="3" t="s">
        <v>6234</v>
      </c>
      <c r="J463" s="3">
        <v>13</v>
      </c>
      <c r="K463" s="3">
        <v>13</v>
      </c>
      <c r="L463" s="3">
        <v>0</v>
      </c>
      <c r="M463" s="3">
        <v>0</v>
      </c>
      <c r="N463" s="3">
        <v>13</v>
      </c>
      <c r="O463" s="3">
        <v>0.12</v>
      </c>
      <c r="P463" s="3">
        <v>0</v>
      </c>
      <c r="Q463" s="3">
        <v>0</v>
      </c>
      <c r="R463" s="3">
        <v>0</v>
      </c>
    </row>
    <row r="464" spans="1:18">
      <c r="A464" s="3" t="s">
        <v>3839</v>
      </c>
      <c r="B464" s="3" t="s">
        <v>3840</v>
      </c>
      <c r="C464" s="3" t="s">
        <v>3841</v>
      </c>
      <c r="D464" s="3" t="s">
        <v>3842</v>
      </c>
      <c r="E464" s="3" t="s">
        <v>1710</v>
      </c>
      <c r="F464" s="3">
        <v>39.99</v>
      </c>
      <c r="G464" s="3" t="s">
        <v>6233</v>
      </c>
      <c r="H464" s="3"/>
      <c r="I464" s="3" t="s">
        <v>6234</v>
      </c>
      <c r="J464" s="3">
        <v>14</v>
      </c>
      <c r="K464" s="3">
        <v>14</v>
      </c>
      <c r="L464" s="3">
        <v>0</v>
      </c>
      <c r="M464" s="3">
        <v>0</v>
      </c>
      <c r="N464" s="3">
        <v>14</v>
      </c>
      <c r="O464" s="3">
        <v>0.12</v>
      </c>
      <c r="P464" s="3">
        <v>0</v>
      </c>
      <c r="Q464" s="3">
        <v>0</v>
      </c>
      <c r="R464" s="3">
        <v>0</v>
      </c>
    </row>
    <row r="465" spans="1:18">
      <c r="A465" s="3" t="s">
        <v>2378</v>
      </c>
      <c r="B465" s="3" t="s">
        <v>2379</v>
      </c>
      <c r="C465" s="3" t="s">
        <v>2380</v>
      </c>
      <c r="D465" s="3" t="s">
        <v>2381</v>
      </c>
      <c r="E465" s="3" t="s">
        <v>1710</v>
      </c>
      <c r="F465" s="3">
        <v>39.99</v>
      </c>
      <c r="G465" s="3" t="s">
        <v>6233</v>
      </c>
      <c r="H465" s="3"/>
      <c r="I465" s="3" t="s">
        <v>6234</v>
      </c>
      <c r="J465" s="3">
        <v>8</v>
      </c>
      <c r="K465" s="3">
        <v>8</v>
      </c>
      <c r="L465" s="3">
        <v>0</v>
      </c>
      <c r="M465" s="3">
        <v>0</v>
      </c>
      <c r="N465" s="3">
        <v>8</v>
      </c>
      <c r="O465" s="3">
        <v>0.12</v>
      </c>
      <c r="P465" s="3">
        <v>0</v>
      </c>
      <c r="Q465" s="3">
        <v>0</v>
      </c>
      <c r="R465" s="3">
        <v>0</v>
      </c>
    </row>
    <row r="466" spans="1:18">
      <c r="A466" s="3" t="s">
        <v>3802</v>
      </c>
      <c r="B466" s="3" t="s">
        <v>3803</v>
      </c>
      <c r="C466" s="3" t="s">
        <v>3804</v>
      </c>
      <c r="D466" s="3" t="s">
        <v>3601</v>
      </c>
      <c r="E466" s="3" t="s">
        <v>1710</v>
      </c>
      <c r="F466" s="3">
        <v>30</v>
      </c>
      <c r="G466" s="3" t="s">
        <v>6233</v>
      </c>
      <c r="H466" s="3"/>
      <c r="I466" s="3" t="s">
        <v>6234</v>
      </c>
      <c r="J466" s="3">
        <v>11</v>
      </c>
      <c r="K466" s="3">
        <v>11</v>
      </c>
      <c r="L466" s="3">
        <v>0</v>
      </c>
      <c r="M466" s="3">
        <v>0</v>
      </c>
      <c r="N466" s="3">
        <v>11</v>
      </c>
      <c r="O466" s="3">
        <v>0.12</v>
      </c>
      <c r="P466" s="3">
        <v>0</v>
      </c>
      <c r="Q466" s="3">
        <v>0</v>
      </c>
      <c r="R466" s="3">
        <v>0</v>
      </c>
    </row>
    <row r="467" spans="1:18">
      <c r="A467" s="3" t="s">
        <v>3878</v>
      </c>
      <c r="B467" s="3" t="s">
        <v>3879</v>
      </c>
      <c r="C467" s="3" t="s">
        <v>3880</v>
      </c>
      <c r="D467" s="3" t="s">
        <v>3881</v>
      </c>
      <c r="E467" s="3" t="s">
        <v>1710</v>
      </c>
      <c r="F467" s="3">
        <v>30</v>
      </c>
      <c r="G467" s="3" t="s">
        <v>6233</v>
      </c>
      <c r="H467" s="3"/>
      <c r="I467" s="3" t="s">
        <v>6234</v>
      </c>
      <c r="J467" s="3">
        <v>1</v>
      </c>
      <c r="K467" s="3">
        <v>1</v>
      </c>
      <c r="L467" s="3">
        <v>0</v>
      </c>
      <c r="M467" s="3">
        <v>0</v>
      </c>
      <c r="N467" s="3">
        <v>1</v>
      </c>
      <c r="O467" s="3">
        <v>0.12</v>
      </c>
      <c r="P467" s="3">
        <v>0</v>
      </c>
      <c r="Q467" s="3">
        <v>0</v>
      </c>
      <c r="R467" s="3">
        <v>0</v>
      </c>
    </row>
    <row r="468" spans="1:18">
      <c r="A468" s="3" t="s">
        <v>7030</v>
      </c>
      <c r="B468" s="3" t="s">
        <v>7031</v>
      </c>
      <c r="C468" s="3" t="s">
        <v>7032</v>
      </c>
      <c r="D468" s="3" t="s">
        <v>7033</v>
      </c>
      <c r="E468" s="3" t="s">
        <v>1710</v>
      </c>
      <c r="F468" s="3">
        <v>30</v>
      </c>
      <c r="G468" s="3" t="s">
        <v>6233</v>
      </c>
      <c r="H468" s="3"/>
      <c r="I468" s="3" t="s">
        <v>6234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0.12</v>
      </c>
      <c r="P468" s="3">
        <v>0</v>
      </c>
      <c r="Q468" s="3">
        <v>0</v>
      </c>
      <c r="R468" s="3">
        <v>0</v>
      </c>
    </row>
    <row r="469" spans="1:18">
      <c r="A469" s="3" t="s">
        <v>7034</v>
      </c>
      <c r="B469" s="3" t="s">
        <v>7035</v>
      </c>
      <c r="C469" s="3" t="s">
        <v>7036</v>
      </c>
      <c r="D469" s="3" t="s">
        <v>7037</v>
      </c>
      <c r="E469" s="3" t="s">
        <v>1710</v>
      </c>
      <c r="F469" s="3">
        <v>30</v>
      </c>
      <c r="G469" s="3" t="s">
        <v>6233</v>
      </c>
      <c r="H469" s="3"/>
      <c r="I469" s="3" t="s">
        <v>6234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0.12</v>
      </c>
      <c r="P469" s="3">
        <v>0</v>
      </c>
      <c r="Q469" s="3">
        <v>0</v>
      </c>
      <c r="R469" s="3">
        <v>0</v>
      </c>
    </row>
    <row r="470" spans="1:18">
      <c r="A470" s="3" t="s">
        <v>7038</v>
      </c>
      <c r="B470" s="3" t="s">
        <v>7039</v>
      </c>
      <c r="C470" s="3" t="s">
        <v>6999</v>
      </c>
      <c r="D470" s="3" t="s">
        <v>7040</v>
      </c>
      <c r="E470" s="3" t="s">
        <v>1710</v>
      </c>
      <c r="F470" s="3">
        <v>30</v>
      </c>
      <c r="G470" s="3" t="s">
        <v>6233</v>
      </c>
      <c r="H470" s="3"/>
      <c r="I470" s="3" t="s">
        <v>6234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0.12</v>
      </c>
      <c r="P470" s="3">
        <v>0</v>
      </c>
      <c r="Q470" s="3">
        <v>0</v>
      </c>
      <c r="R470" s="3">
        <v>0</v>
      </c>
    </row>
    <row r="471" spans="1:18">
      <c r="A471" s="3" t="s">
        <v>3598</v>
      </c>
      <c r="B471" s="3" t="s">
        <v>3599</v>
      </c>
      <c r="C471" s="3" t="s">
        <v>3600</v>
      </c>
      <c r="D471" s="3" t="s">
        <v>3601</v>
      </c>
      <c r="E471" s="3" t="s">
        <v>1710</v>
      </c>
      <c r="F471" s="3">
        <v>30</v>
      </c>
      <c r="G471" s="3" t="s">
        <v>6233</v>
      </c>
      <c r="H471" s="3"/>
      <c r="I471" s="3" t="s">
        <v>6234</v>
      </c>
      <c r="J471" s="3">
        <v>1</v>
      </c>
      <c r="K471" s="3">
        <v>1</v>
      </c>
      <c r="L471" s="3">
        <v>0</v>
      </c>
      <c r="M471" s="3">
        <v>0</v>
      </c>
      <c r="N471" s="3">
        <v>1</v>
      </c>
      <c r="O471" s="3">
        <v>0.12</v>
      </c>
      <c r="P471" s="3">
        <v>0</v>
      </c>
      <c r="Q471" s="3">
        <v>0</v>
      </c>
      <c r="R471" s="3">
        <v>0</v>
      </c>
    </row>
    <row r="472" spans="1:18">
      <c r="A472" s="3" t="s">
        <v>5235</v>
      </c>
      <c r="B472" s="3" t="s">
        <v>5236</v>
      </c>
      <c r="C472" s="3" t="s">
        <v>5237</v>
      </c>
      <c r="D472" s="3" t="s">
        <v>3601</v>
      </c>
      <c r="E472" s="3" t="s">
        <v>1710</v>
      </c>
      <c r="F472" s="3">
        <v>19.99</v>
      </c>
      <c r="G472" s="3" t="s">
        <v>6233</v>
      </c>
      <c r="H472" s="3"/>
      <c r="I472" s="3" t="s">
        <v>6234</v>
      </c>
      <c r="J472" s="3">
        <v>3</v>
      </c>
      <c r="K472" s="3">
        <v>3</v>
      </c>
      <c r="L472" s="3">
        <v>0</v>
      </c>
      <c r="M472" s="3">
        <v>0</v>
      </c>
      <c r="N472" s="3">
        <v>3</v>
      </c>
      <c r="O472" s="3">
        <v>0.12</v>
      </c>
      <c r="P472" s="3">
        <v>0</v>
      </c>
      <c r="Q472" s="3">
        <v>0</v>
      </c>
      <c r="R472" s="3">
        <v>0</v>
      </c>
    </row>
    <row r="473" spans="1:18">
      <c r="A473" s="3" t="s">
        <v>3849</v>
      </c>
      <c r="B473" s="3" t="s">
        <v>3850</v>
      </c>
      <c r="C473" s="3" t="s">
        <v>3851</v>
      </c>
      <c r="D473" s="3" t="s">
        <v>3601</v>
      </c>
      <c r="E473" s="3" t="s">
        <v>1710</v>
      </c>
      <c r="F473" s="3">
        <v>30</v>
      </c>
      <c r="G473" s="3" t="s">
        <v>6233</v>
      </c>
      <c r="H473" s="3"/>
      <c r="I473" s="3" t="s">
        <v>6234</v>
      </c>
      <c r="J473" s="3">
        <v>2</v>
      </c>
      <c r="K473" s="3">
        <v>2</v>
      </c>
      <c r="L473" s="3">
        <v>0</v>
      </c>
      <c r="M473" s="3">
        <v>0</v>
      </c>
      <c r="N473" s="3">
        <v>2</v>
      </c>
      <c r="O473" s="3">
        <v>0.12</v>
      </c>
      <c r="P473" s="3">
        <v>0</v>
      </c>
      <c r="Q473" s="3">
        <v>0</v>
      </c>
      <c r="R473" s="3">
        <v>0</v>
      </c>
    </row>
    <row r="474" spans="1:18">
      <c r="A474" s="3" t="s">
        <v>4767</v>
      </c>
      <c r="B474" s="3" t="s">
        <v>4768</v>
      </c>
      <c r="C474" s="3" t="s">
        <v>4769</v>
      </c>
      <c r="D474" s="3" t="s">
        <v>3601</v>
      </c>
      <c r="E474" s="3" t="s">
        <v>1710</v>
      </c>
      <c r="F474" s="3">
        <v>30</v>
      </c>
      <c r="G474" s="3" t="s">
        <v>6233</v>
      </c>
      <c r="H474" s="3"/>
      <c r="I474" s="3" t="s">
        <v>6234</v>
      </c>
      <c r="J474" s="3">
        <v>1</v>
      </c>
      <c r="K474" s="3">
        <v>1</v>
      </c>
      <c r="L474" s="3">
        <v>0</v>
      </c>
      <c r="M474" s="3">
        <v>0</v>
      </c>
      <c r="N474" s="3">
        <v>1</v>
      </c>
      <c r="O474" s="3">
        <v>0.12</v>
      </c>
      <c r="P474" s="3">
        <v>0</v>
      </c>
      <c r="Q474" s="3">
        <v>0</v>
      </c>
      <c r="R474" s="3">
        <v>0</v>
      </c>
    </row>
    <row r="475" spans="1:18">
      <c r="A475" s="3" t="s">
        <v>7041</v>
      </c>
      <c r="B475" s="3" t="s">
        <v>7042</v>
      </c>
      <c r="C475" s="3" t="s">
        <v>7043</v>
      </c>
      <c r="D475" s="3" t="s">
        <v>7044</v>
      </c>
      <c r="E475" s="3" t="s">
        <v>1710</v>
      </c>
      <c r="F475" s="3">
        <v>9.99</v>
      </c>
      <c r="G475" s="3" t="s">
        <v>6233</v>
      </c>
      <c r="H475" s="3"/>
      <c r="I475" s="3" t="s">
        <v>6234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0.11</v>
      </c>
      <c r="P475" s="3">
        <v>0</v>
      </c>
      <c r="Q475" s="3">
        <v>0</v>
      </c>
      <c r="R475" s="3">
        <v>0</v>
      </c>
    </row>
    <row r="476" spans="1:18">
      <c r="A476" s="3" t="s">
        <v>7045</v>
      </c>
      <c r="B476" s="3" t="s">
        <v>7046</v>
      </c>
      <c r="C476" s="3" t="s">
        <v>7047</v>
      </c>
      <c r="D476" s="3" t="s">
        <v>7044</v>
      </c>
      <c r="E476" s="3" t="s">
        <v>1710</v>
      </c>
      <c r="F476" s="3">
        <v>9.99</v>
      </c>
      <c r="G476" s="3" t="s">
        <v>6233</v>
      </c>
      <c r="H476" s="3"/>
      <c r="I476" s="3" t="s">
        <v>6234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0.11</v>
      </c>
      <c r="P476" s="3">
        <v>0</v>
      </c>
      <c r="Q476" s="3">
        <v>0</v>
      </c>
      <c r="R476" s="3">
        <v>0</v>
      </c>
    </row>
    <row r="477" spans="1:18">
      <c r="A477" s="3" t="s">
        <v>7048</v>
      </c>
      <c r="B477" s="3" t="s">
        <v>7049</v>
      </c>
      <c r="C477" s="3" t="s">
        <v>7050</v>
      </c>
      <c r="D477" s="3"/>
      <c r="E477" s="3" t="s">
        <v>6275</v>
      </c>
      <c r="F477" s="3"/>
      <c r="G477" s="3"/>
      <c r="H477" s="3"/>
      <c r="I477" s="3"/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/>
      <c r="P477" s="3">
        <v>0</v>
      </c>
      <c r="Q477" s="3">
        <v>0</v>
      </c>
      <c r="R477" s="3">
        <v>0</v>
      </c>
    </row>
    <row r="478" spans="1:18">
      <c r="A478" s="3" t="s">
        <v>7051</v>
      </c>
      <c r="B478" s="3" t="s">
        <v>7052</v>
      </c>
      <c r="C478" s="3" t="s">
        <v>7053</v>
      </c>
      <c r="D478" s="3"/>
      <c r="E478" s="3" t="s">
        <v>6275</v>
      </c>
      <c r="F478" s="3"/>
      <c r="G478" s="3"/>
      <c r="H478" s="3"/>
      <c r="I478" s="3"/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/>
      <c r="P478" s="3">
        <v>0</v>
      </c>
      <c r="Q478" s="3">
        <v>0</v>
      </c>
      <c r="R478" s="3">
        <v>0</v>
      </c>
    </row>
    <row r="479" spans="1:18">
      <c r="A479" s="3" t="s">
        <v>5452</v>
      </c>
      <c r="B479" s="3" t="s">
        <v>5453</v>
      </c>
      <c r="C479" s="3" t="s">
        <v>5454</v>
      </c>
      <c r="D479" s="3" t="s">
        <v>3507</v>
      </c>
      <c r="E479" s="3" t="s">
        <v>1710</v>
      </c>
      <c r="F479" s="3">
        <v>49.99</v>
      </c>
      <c r="G479" s="3" t="s">
        <v>6233</v>
      </c>
      <c r="H479" s="3"/>
      <c r="I479" s="3" t="s">
        <v>6234</v>
      </c>
      <c r="J479" s="3">
        <v>2</v>
      </c>
      <c r="K479" s="3">
        <v>2</v>
      </c>
      <c r="L479" s="3">
        <v>0</v>
      </c>
      <c r="M479" s="3">
        <v>0</v>
      </c>
      <c r="N479" s="3">
        <v>2</v>
      </c>
      <c r="O479" s="3">
        <v>0.07</v>
      </c>
      <c r="P479" s="3">
        <v>0</v>
      </c>
      <c r="Q479" s="3">
        <v>0</v>
      </c>
      <c r="R479" s="3">
        <v>0</v>
      </c>
    </row>
    <row r="480" spans="1:18">
      <c r="A480" s="3" t="s">
        <v>4945</v>
      </c>
      <c r="B480" s="3" t="s">
        <v>4946</v>
      </c>
      <c r="C480" s="3" t="s">
        <v>4947</v>
      </c>
      <c r="D480" s="3" t="s">
        <v>3507</v>
      </c>
      <c r="E480" s="3" t="s">
        <v>1710</v>
      </c>
      <c r="F480" s="3">
        <v>49.99</v>
      </c>
      <c r="G480" s="3" t="s">
        <v>6233</v>
      </c>
      <c r="H480" s="3"/>
      <c r="I480" s="3" t="s">
        <v>6234</v>
      </c>
      <c r="J480" s="3">
        <v>1</v>
      </c>
      <c r="K480" s="3">
        <v>1</v>
      </c>
      <c r="L480" s="3">
        <v>0</v>
      </c>
      <c r="M480" s="3">
        <v>0</v>
      </c>
      <c r="N480" s="3">
        <v>1</v>
      </c>
      <c r="O480" s="3">
        <v>0.07</v>
      </c>
      <c r="P480" s="3">
        <v>0</v>
      </c>
      <c r="Q480" s="3">
        <v>0</v>
      </c>
      <c r="R480" s="3">
        <v>0</v>
      </c>
    </row>
    <row r="481" spans="1:18">
      <c r="A481" s="3" t="s">
        <v>7054</v>
      </c>
      <c r="B481" s="3" t="s">
        <v>7055</v>
      </c>
      <c r="C481" s="3" t="s">
        <v>7056</v>
      </c>
      <c r="D481" s="3" t="s">
        <v>3507</v>
      </c>
      <c r="E481" s="3" t="s">
        <v>1710</v>
      </c>
      <c r="F481" s="3">
        <v>49.99</v>
      </c>
      <c r="G481" s="3" t="s">
        <v>6233</v>
      </c>
      <c r="H481" s="3"/>
      <c r="I481" s="3" t="s">
        <v>6234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0.07</v>
      </c>
      <c r="P481" s="3">
        <v>0</v>
      </c>
      <c r="Q481" s="3">
        <v>0</v>
      </c>
      <c r="R481" s="3">
        <v>0</v>
      </c>
    </row>
    <row r="482" spans="1:18">
      <c r="A482" s="3" t="s">
        <v>3504</v>
      </c>
      <c r="B482" s="3" t="s">
        <v>3505</v>
      </c>
      <c r="C482" s="3" t="s">
        <v>3506</v>
      </c>
      <c r="D482" s="3" t="s">
        <v>3507</v>
      </c>
      <c r="E482" s="3" t="s">
        <v>1710</v>
      </c>
      <c r="F482" s="3">
        <v>49.99</v>
      </c>
      <c r="G482" s="3" t="s">
        <v>6233</v>
      </c>
      <c r="H482" s="3"/>
      <c r="I482" s="3" t="s">
        <v>6234</v>
      </c>
      <c r="J482" s="3">
        <v>2</v>
      </c>
      <c r="K482" s="3">
        <v>2</v>
      </c>
      <c r="L482" s="3">
        <v>0</v>
      </c>
      <c r="M482" s="3">
        <v>0</v>
      </c>
      <c r="N482" s="3">
        <v>2</v>
      </c>
      <c r="O482" s="3">
        <v>0.07</v>
      </c>
      <c r="P482" s="3">
        <v>0</v>
      </c>
      <c r="Q482" s="3">
        <v>0</v>
      </c>
      <c r="R482" s="3">
        <v>0</v>
      </c>
    </row>
    <row r="483" spans="1:18">
      <c r="A483" s="3" t="s">
        <v>4999</v>
      </c>
      <c r="B483" s="3" t="s">
        <v>5000</v>
      </c>
      <c r="C483" s="3" t="s">
        <v>5001</v>
      </c>
      <c r="D483" s="3" t="s">
        <v>3507</v>
      </c>
      <c r="E483" s="3" t="s">
        <v>1710</v>
      </c>
      <c r="F483" s="3">
        <v>49.99</v>
      </c>
      <c r="G483" s="3" t="s">
        <v>6233</v>
      </c>
      <c r="H483" s="3"/>
      <c r="I483" s="3" t="s">
        <v>6234</v>
      </c>
      <c r="J483" s="3">
        <v>3</v>
      </c>
      <c r="K483" s="3">
        <v>3</v>
      </c>
      <c r="L483" s="3">
        <v>0</v>
      </c>
      <c r="M483" s="3">
        <v>0</v>
      </c>
      <c r="N483" s="3">
        <v>3</v>
      </c>
      <c r="O483" s="3">
        <v>0.07</v>
      </c>
      <c r="P483" s="3">
        <v>0</v>
      </c>
      <c r="Q483" s="3">
        <v>0</v>
      </c>
      <c r="R483" s="3">
        <v>0</v>
      </c>
    </row>
    <row r="484" spans="1:18">
      <c r="A484" s="3" t="s">
        <v>4120</v>
      </c>
      <c r="B484" s="3" t="s">
        <v>4121</v>
      </c>
      <c r="C484" s="3" t="s">
        <v>4122</v>
      </c>
      <c r="D484" s="3" t="s">
        <v>4123</v>
      </c>
      <c r="E484" s="3" t="s">
        <v>1710</v>
      </c>
      <c r="F484" s="3">
        <v>35</v>
      </c>
      <c r="G484" s="3" t="s">
        <v>6233</v>
      </c>
      <c r="H484" s="3"/>
      <c r="I484" s="3" t="s">
        <v>6234</v>
      </c>
      <c r="J484" s="3">
        <v>73</v>
      </c>
      <c r="K484" s="3">
        <v>73</v>
      </c>
      <c r="L484" s="3">
        <v>0</v>
      </c>
      <c r="M484" s="3">
        <v>0</v>
      </c>
      <c r="N484" s="3">
        <v>73</v>
      </c>
      <c r="O484" s="3">
        <v>0.05</v>
      </c>
      <c r="P484" s="3">
        <v>0</v>
      </c>
      <c r="Q484" s="3">
        <v>0</v>
      </c>
      <c r="R484" s="3">
        <v>0</v>
      </c>
    </row>
    <row r="485" spans="1:18">
      <c r="A485" s="3" t="s">
        <v>3454</v>
      </c>
      <c r="B485" s="3" t="s">
        <v>3455</v>
      </c>
      <c r="C485" s="3" t="s">
        <v>3456</v>
      </c>
      <c r="D485" s="3" t="s">
        <v>3457</v>
      </c>
      <c r="E485" s="3" t="s">
        <v>1710</v>
      </c>
      <c r="F485" s="3">
        <v>35</v>
      </c>
      <c r="G485" s="3" t="s">
        <v>6233</v>
      </c>
      <c r="H485" s="3"/>
      <c r="I485" s="3" t="s">
        <v>6234</v>
      </c>
      <c r="J485" s="3">
        <v>79</v>
      </c>
      <c r="K485" s="3">
        <v>79</v>
      </c>
      <c r="L485" s="3">
        <v>0</v>
      </c>
      <c r="M485" s="3">
        <v>0</v>
      </c>
      <c r="N485" s="3">
        <v>79</v>
      </c>
      <c r="O485" s="3">
        <v>0.05</v>
      </c>
      <c r="P485" s="3">
        <v>0</v>
      </c>
      <c r="Q485" s="3">
        <v>0</v>
      </c>
      <c r="R485" s="3">
        <v>0</v>
      </c>
    </row>
    <row r="486" spans="1:18">
      <c r="A486" s="3" t="s">
        <v>2917</v>
      </c>
      <c r="B486" s="3" t="s">
        <v>2918</v>
      </c>
      <c r="C486" s="3" t="s">
        <v>2919</v>
      </c>
      <c r="D486" s="3" t="s">
        <v>2920</v>
      </c>
      <c r="E486" s="3" t="s">
        <v>1710</v>
      </c>
      <c r="F486" s="3">
        <v>35</v>
      </c>
      <c r="G486" s="3" t="s">
        <v>6233</v>
      </c>
      <c r="H486" s="3"/>
      <c r="I486" s="3" t="s">
        <v>6234</v>
      </c>
      <c r="J486" s="3">
        <v>66</v>
      </c>
      <c r="K486" s="3">
        <v>66</v>
      </c>
      <c r="L486" s="3">
        <v>0</v>
      </c>
      <c r="M486" s="3">
        <v>0</v>
      </c>
      <c r="N486" s="3">
        <v>66</v>
      </c>
      <c r="O486" s="3">
        <v>0.05</v>
      </c>
      <c r="P486" s="3">
        <v>0</v>
      </c>
      <c r="Q486" s="3">
        <v>0</v>
      </c>
      <c r="R486" s="3">
        <v>0</v>
      </c>
    </row>
    <row r="487" spans="1:18">
      <c r="A487" s="3" t="s">
        <v>3023</v>
      </c>
      <c r="B487" s="3" t="s">
        <v>3024</v>
      </c>
      <c r="C487" s="3" t="s">
        <v>3025</v>
      </c>
      <c r="D487" s="3" t="s">
        <v>3026</v>
      </c>
      <c r="E487" s="3" t="s">
        <v>1710</v>
      </c>
      <c r="F487" s="3">
        <v>35</v>
      </c>
      <c r="G487" s="3" t="s">
        <v>6233</v>
      </c>
      <c r="H487" s="3"/>
      <c r="I487" s="3" t="s">
        <v>6234</v>
      </c>
      <c r="J487" s="3">
        <v>63</v>
      </c>
      <c r="K487" s="3">
        <v>63</v>
      </c>
      <c r="L487" s="3">
        <v>0</v>
      </c>
      <c r="M487" s="3">
        <v>0</v>
      </c>
      <c r="N487" s="3">
        <v>63</v>
      </c>
      <c r="O487" s="3">
        <v>0.05</v>
      </c>
      <c r="P487" s="3">
        <v>0</v>
      </c>
      <c r="Q487" s="3">
        <v>0</v>
      </c>
      <c r="R487" s="3">
        <v>0</v>
      </c>
    </row>
    <row r="488" spans="1:18">
      <c r="A488" s="3" t="s">
        <v>5316</v>
      </c>
      <c r="B488" s="3" t="s">
        <v>5317</v>
      </c>
      <c r="C488" s="3" t="s">
        <v>5318</v>
      </c>
      <c r="D488" s="3" t="s">
        <v>5319</v>
      </c>
      <c r="E488" s="3" t="s">
        <v>1710</v>
      </c>
      <c r="F488" s="3">
        <v>35</v>
      </c>
      <c r="G488" s="3" t="s">
        <v>6233</v>
      </c>
      <c r="H488" s="3"/>
      <c r="I488" s="3" t="s">
        <v>6234</v>
      </c>
      <c r="J488" s="3">
        <v>53</v>
      </c>
      <c r="K488" s="3">
        <v>53</v>
      </c>
      <c r="L488" s="3">
        <v>0</v>
      </c>
      <c r="M488" s="3">
        <v>0</v>
      </c>
      <c r="N488" s="3">
        <v>53</v>
      </c>
      <c r="O488" s="3">
        <v>0.05</v>
      </c>
      <c r="P488" s="3">
        <v>0</v>
      </c>
      <c r="Q488" s="3">
        <v>0</v>
      </c>
      <c r="R488" s="3">
        <v>0</v>
      </c>
    </row>
    <row r="489" spans="1:18">
      <c r="A489" s="3" t="s">
        <v>5649</v>
      </c>
      <c r="B489" s="3" t="s">
        <v>5650</v>
      </c>
      <c r="C489" s="3" t="s">
        <v>5651</v>
      </c>
      <c r="D489" s="3" t="s">
        <v>5652</v>
      </c>
      <c r="E489" s="3" t="s">
        <v>1710</v>
      </c>
      <c r="F489" s="3">
        <v>35</v>
      </c>
      <c r="G489" s="3" t="s">
        <v>6233</v>
      </c>
      <c r="H489" s="3"/>
      <c r="I489" s="3" t="s">
        <v>6234</v>
      </c>
      <c r="J489" s="3">
        <v>85</v>
      </c>
      <c r="K489" s="3">
        <v>85</v>
      </c>
      <c r="L489" s="3">
        <v>0</v>
      </c>
      <c r="M489" s="3">
        <v>0</v>
      </c>
      <c r="N489" s="3">
        <v>85</v>
      </c>
      <c r="O489" s="3">
        <v>0.05</v>
      </c>
      <c r="P489" s="3">
        <v>0</v>
      </c>
      <c r="Q489" s="3">
        <v>0</v>
      </c>
      <c r="R489" s="3">
        <v>0</v>
      </c>
    </row>
    <row r="490" spans="1:18">
      <c r="A490" s="3" t="s">
        <v>5709</v>
      </c>
      <c r="B490" s="3" t="s">
        <v>5710</v>
      </c>
      <c r="C490" s="3" t="s">
        <v>5711</v>
      </c>
      <c r="D490" s="3" t="s">
        <v>5712</v>
      </c>
      <c r="E490" s="3" t="s">
        <v>1710</v>
      </c>
      <c r="F490" s="3">
        <v>16.99</v>
      </c>
      <c r="G490" s="3" t="s">
        <v>6233</v>
      </c>
      <c r="H490" s="3"/>
      <c r="I490" s="3" t="s">
        <v>6234</v>
      </c>
      <c r="J490" s="3">
        <v>56</v>
      </c>
      <c r="K490" s="3">
        <v>56</v>
      </c>
      <c r="L490" s="3">
        <v>0</v>
      </c>
      <c r="M490" s="3">
        <v>0</v>
      </c>
      <c r="N490" s="3">
        <v>56</v>
      </c>
      <c r="O490" s="3">
        <v>0.05</v>
      </c>
      <c r="P490" s="3">
        <v>0</v>
      </c>
      <c r="Q490" s="3">
        <v>0</v>
      </c>
      <c r="R490" s="3">
        <v>0</v>
      </c>
    </row>
    <row r="491" spans="1:18">
      <c r="A491" s="3" t="s">
        <v>1728</v>
      </c>
      <c r="B491" s="3" t="s">
        <v>1729</v>
      </c>
      <c r="C491" s="3" t="s">
        <v>1730</v>
      </c>
      <c r="D491" s="3" t="s">
        <v>1731</v>
      </c>
      <c r="E491" s="3" t="s">
        <v>1710</v>
      </c>
      <c r="F491" s="3">
        <v>35</v>
      </c>
      <c r="G491" s="3" t="s">
        <v>6233</v>
      </c>
      <c r="H491" s="3"/>
      <c r="I491" s="3" t="s">
        <v>6234</v>
      </c>
      <c r="J491" s="3">
        <v>91</v>
      </c>
      <c r="K491" s="3">
        <v>91</v>
      </c>
      <c r="L491" s="3">
        <v>0</v>
      </c>
      <c r="M491" s="3">
        <v>0</v>
      </c>
      <c r="N491" s="3">
        <v>91</v>
      </c>
      <c r="O491" s="3">
        <v>0.1</v>
      </c>
      <c r="P491" s="3">
        <v>0</v>
      </c>
      <c r="Q491" s="3">
        <v>0</v>
      </c>
      <c r="R491" s="3">
        <v>0</v>
      </c>
    </row>
    <row r="492" spans="1:18">
      <c r="A492" s="3" t="s">
        <v>2800</v>
      </c>
      <c r="B492" s="3" t="s">
        <v>2801</v>
      </c>
      <c r="C492" s="3" t="s">
        <v>2802</v>
      </c>
      <c r="D492" s="3" t="s">
        <v>2803</v>
      </c>
      <c r="E492" s="3" t="s">
        <v>1710</v>
      </c>
      <c r="F492" s="3">
        <v>35</v>
      </c>
      <c r="G492" s="3" t="s">
        <v>6233</v>
      </c>
      <c r="H492" s="3"/>
      <c r="I492" s="3" t="s">
        <v>6234</v>
      </c>
      <c r="J492" s="3">
        <v>125</v>
      </c>
      <c r="K492" s="3">
        <v>125</v>
      </c>
      <c r="L492" s="3">
        <v>0</v>
      </c>
      <c r="M492" s="3">
        <v>0</v>
      </c>
      <c r="N492" s="3">
        <v>125</v>
      </c>
      <c r="O492" s="3">
        <v>0.06</v>
      </c>
      <c r="P492" s="3">
        <v>0</v>
      </c>
      <c r="Q492" s="3">
        <v>0</v>
      </c>
      <c r="R492" s="3">
        <v>0</v>
      </c>
    </row>
    <row r="493" spans="1:18">
      <c r="A493" s="3" t="s">
        <v>5220</v>
      </c>
      <c r="B493" s="3" t="s">
        <v>5221</v>
      </c>
      <c r="C493" s="3" t="s">
        <v>5222</v>
      </c>
      <c r="D493" s="3" t="s">
        <v>5223</v>
      </c>
      <c r="E493" s="3" t="s">
        <v>1710</v>
      </c>
      <c r="F493" s="3">
        <v>35</v>
      </c>
      <c r="G493" s="3" t="s">
        <v>6233</v>
      </c>
      <c r="H493" s="3"/>
      <c r="I493" s="3" t="s">
        <v>6234</v>
      </c>
      <c r="J493" s="3">
        <v>51</v>
      </c>
      <c r="K493" s="3">
        <v>51</v>
      </c>
      <c r="L493" s="3">
        <v>0</v>
      </c>
      <c r="M493" s="3">
        <v>0</v>
      </c>
      <c r="N493" s="3">
        <v>51</v>
      </c>
      <c r="O493" s="3">
        <v>0.05</v>
      </c>
      <c r="P493" s="3">
        <v>0</v>
      </c>
      <c r="Q493" s="3">
        <v>0</v>
      </c>
      <c r="R493" s="3">
        <v>0</v>
      </c>
    </row>
    <row r="494" spans="1:18">
      <c r="A494" s="3" t="s">
        <v>5612</v>
      </c>
      <c r="B494" s="3" t="s">
        <v>5613</v>
      </c>
      <c r="C494" s="3" t="s">
        <v>5614</v>
      </c>
      <c r="D494" s="3" t="s">
        <v>5615</v>
      </c>
      <c r="E494" s="3" t="s">
        <v>1710</v>
      </c>
      <c r="F494" s="3">
        <v>35</v>
      </c>
      <c r="G494" s="3" t="s">
        <v>6233</v>
      </c>
      <c r="H494" s="3"/>
      <c r="I494" s="3" t="s">
        <v>6234</v>
      </c>
      <c r="J494" s="3">
        <v>67</v>
      </c>
      <c r="K494" s="3">
        <v>67</v>
      </c>
      <c r="L494" s="3">
        <v>0</v>
      </c>
      <c r="M494" s="3">
        <v>0</v>
      </c>
      <c r="N494" s="3">
        <v>67</v>
      </c>
      <c r="O494" s="3">
        <v>0.05</v>
      </c>
      <c r="P494" s="3">
        <v>0</v>
      </c>
      <c r="Q494" s="3">
        <v>0</v>
      </c>
      <c r="R494" s="3">
        <v>0</v>
      </c>
    </row>
    <row r="495" spans="1:18">
      <c r="A495" s="3" t="s">
        <v>5010</v>
      </c>
      <c r="B495" s="3" t="s">
        <v>5011</v>
      </c>
      <c r="C495" s="3" t="s">
        <v>5012</v>
      </c>
      <c r="D495" s="3" t="s">
        <v>5013</v>
      </c>
      <c r="E495" s="3" t="s">
        <v>1710</v>
      </c>
      <c r="F495" s="3">
        <v>35</v>
      </c>
      <c r="G495" s="3" t="s">
        <v>6233</v>
      </c>
      <c r="H495" s="3"/>
      <c r="I495" s="3" t="s">
        <v>6234</v>
      </c>
      <c r="J495" s="3">
        <v>63</v>
      </c>
      <c r="K495" s="3">
        <v>63</v>
      </c>
      <c r="L495" s="3">
        <v>0</v>
      </c>
      <c r="M495" s="3">
        <v>0</v>
      </c>
      <c r="N495" s="3">
        <v>63</v>
      </c>
      <c r="O495" s="3">
        <v>0.05</v>
      </c>
      <c r="P495" s="3">
        <v>0</v>
      </c>
      <c r="Q495" s="3">
        <v>0</v>
      </c>
      <c r="R495" s="3">
        <v>0</v>
      </c>
    </row>
    <row r="496" spans="1:18">
      <c r="A496" s="3" t="s">
        <v>2874</v>
      </c>
      <c r="B496" s="3" t="s">
        <v>2875</v>
      </c>
      <c r="C496" s="3" t="s">
        <v>2876</v>
      </c>
      <c r="D496" s="3" t="s">
        <v>2877</v>
      </c>
      <c r="E496" s="3" t="s">
        <v>1710</v>
      </c>
      <c r="F496" s="3">
        <v>35</v>
      </c>
      <c r="G496" s="3" t="s">
        <v>6233</v>
      </c>
      <c r="H496" s="3"/>
      <c r="I496" s="3" t="s">
        <v>6234</v>
      </c>
      <c r="J496" s="3">
        <v>91</v>
      </c>
      <c r="K496" s="3">
        <v>91</v>
      </c>
      <c r="L496" s="3">
        <v>0</v>
      </c>
      <c r="M496" s="3">
        <v>0</v>
      </c>
      <c r="N496" s="3">
        <v>91</v>
      </c>
      <c r="O496" s="3">
        <v>0.09</v>
      </c>
      <c r="P496" s="3">
        <v>0</v>
      </c>
      <c r="Q496" s="3">
        <v>0</v>
      </c>
      <c r="R496" s="3">
        <v>0</v>
      </c>
    </row>
    <row r="497" spans="1:18">
      <c r="A497" s="3" t="s">
        <v>5806</v>
      </c>
      <c r="B497" s="3" t="s">
        <v>5807</v>
      </c>
      <c r="C497" s="3" t="s">
        <v>5808</v>
      </c>
      <c r="D497" s="3" t="s">
        <v>5809</v>
      </c>
      <c r="E497" s="3" t="s">
        <v>1710</v>
      </c>
      <c r="F497" s="3">
        <v>35</v>
      </c>
      <c r="G497" s="3" t="s">
        <v>6233</v>
      </c>
      <c r="H497" s="3"/>
      <c r="I497" s="3" t="s">
        <v>6234</v>
      </c>
      <c r="J497" s="3">
        <v>69</v>
      </c>
      <c r="K497" s="3">
        <v>69</v>
      </c>
      <c r="L497" s="3">
        <v>0</v>
      </c>
      <c r="M497" s="3">
        <v>0</v>
      </c>
      <c r="N497" s="3">
        <v>69</v>
      </c>
      <c r="O497" s="3">
        <v>0.1</v>
      </c>
      <c r="P497" s="3">
        <v>0</v>
      </c>
      <c r="Q497" s="3">
        <v>0</v>
      </c>
      <c r="R497" s="3">
        <v>0</v>
      </c>
    </row>
    <row r="498" spans="1:18">
      <c r="A498" s="3" t="s">
        <v>5362</v>
      </c>
      <c r="B498" s="3" t="s">
        <v>5363</v>
      </c>
      <c r="C498" s="3" t="s">
        <v>5364</v>
      </c>
      <c r="D498" s="3" t="s">
        <v>5365</v>
      </c>
      <c r="E498" s="3" t="s">
        <v>1710</v>
      </c>
      <c r="F498" s="3">
        <v>35</v>
      </c>
      <c r="G498" s="3" t="s">
        <v>6233</v>
      </c>
      <c r="H498" s="3"/>
      <c r="I498" s="3" t="s">
        <v>6234</v>
      </c>
      <c r="J498" s="3">
        <v>47</v>
      </c>
      <c r="K498" s="3">
        <v>47</v>
      </c>
      <c r="L498" s="3">
        <v>0</v>
      </c>
      <c r="M498" s="3">
        <v>0</v>
      </c>
      <c r="N498" s="3">
        <v>47</v>
      </c>
      <c r="O498" s="3">
        <v>0.05</v>
      </c>
      <c r="P498" s="3">
        <v>0</v>
      </c>
      <c r="Q498" s="3">
        <v>0</v>
      </c>
      <c r="R498" s="3">
        <v>0</v>
      </c>
    </row>
    <row r="499" spans="1:18">
      <c r="A499" s="3" t="s">
        <v>5121</v>
      </c>
      <c r="B499" s="3" t="s">
        <v>5122</v>
      </c>
      <c r="C499" s="3" t="s">
        <v>5123</v>
      </c>
      <c r="D499" s="3" t="s">
        <v>5124</v>
      </c>
      <c r="E499" s="3" t="s">
        <v>1710</v>
      </c>
      <c r="F499" s="3">
        <v>35</v>
      </c>
      <c r="G499" s="3" t="s">
        <v>6233</v>
      </c>
      <c r="H499" s="3"/>
      <c r="I499" s="3" t="s">
        <v>6234</v>
      </c>
      <c r="J499" s="3">
        <v>71</v>
      </c>
      <c r="K499" s="3">
        <v>71</v>
      </c>
      <c r="L499" s="3">
        <v>0</v>
      </c>
      <c r="M499" s="3">
        <v>0</v>
      </c>
      <c r="N499" s="3">
        <v>71</v>
      </c>
      <c r="O499" s="3">
        <v>0.08</v>
      </c>
      <c r="P499" s="3">
        <v>0</v>
      </c>
      <c r="Q499" s="3">
        <v>0</v>
      </c>
      <c r="R499" s="3">
        <v>0</v>
      </c>
    </row>
    <row r="500" spans="1:18">
      <c r="A500" s="3" t="s">
        <v>2744</v>
      </c>
      <c r="B500" s="3" t="s">
        <v>2745</v>
      </c>
      <c r="C500" s="3" t="s">
        <v>2746</v>
      </c>
      <c r="D500" s="3" t="s">
        <v>2747</v>
      </c>
      <c r="E500" s="3" t="s">
        <v>1710</v>
      </c>
      <c r="F500" s="3">
        <v>35</v>
      </c>
      <c r="G500" s="3" t="s">
        <v>6233</v>
      </c>
      <c r="H500" s="3"/>
      <c r="I500" s="3" t="s">
        <v>6234</v>
      </c>
      <c r="J500" s="3">
        <v>77</v>
      </c>
      <c r="K500" s="3">
        <v>77</v>
      </c>
      <c r="L500" s="3">
        <v>0</v>
      </c>
      <c r="M500" s="3">
        <v>0</v>
      </c>
      <c r="N500" s="3">
        <v>77</v>
      </c>
      <c r="O500" s="3">
        <v>0.07</v>
      </c>
      <c r="P500" s="3">
        <v>0</v>
      </c>
      <c r="Q500" s="3">
        <v>0</v>
      </c>
      <c r="R500" s="3">
        <v>0</v>
      </c>
    </row>
    <row r="501" spans="1:18">
      <c r="A501" s="3" t="s">
        <v>112</v>
      </c>
      <c r="B501" s="3" t="s">
        <v>113</v>
      </c>
      <c r="C501" s="3" t="s">
        <v>114</v>
      </c>
      <c r="D501" s="3" t="s">
        <v>115</v>
      </c>
      <c r="E501" s="3" t="s">
        <v>1710</v>
      </c>
      <c r="F501" s="3">
        <v>35</v>
      </c>
      <c r="G501" s="3" t="s">
        <v>6233</v>
      </c>
      <c r="H501" s="3"/>
      <c r="I501" s="3" t="s">
        <v>6234</v>
      </c>
      <c r="J501" s="3">
        <v>136</v>
      </c>
      <c r="K501" s="3">
        <v>134</v>
      </c>
      <c r="L501" s="3">
        <v>0</v>
      </c>
      <c r="M501" s="3">
        <v>2</v>
      </c>
      <c r="N501" s="3">
        <v>136</v>
      </c>
      <c r="O501" s="3">
        <v>0.05</v>
      </c>
      <c r="P501" s="3">
        <v>0</v>
      </c>
      <c r="Q501" s="3">
        <v>0</v>
      </c>
      <c r="R501" s="3">
        <v>0</v>
      </c>
    </row>
    <row r="502" spans="1:18">
      <c r="A502" s="3" t="s">
        <v>2352</v>
      </c>
      <c r="B502" s="3" t="s">
        <v>2353</v>
      </c>
      <c r="C502" s="3" t="s">
        <v>2354</v>
      </c>
      <c r="D502" s="3" t="s">
        <v>2355</v>
      </c>
      <c r="E502" s="3" t="s">
        <v>1710</v>
      </c>
      <c r="F502" s="3">
        <v>35</v>
      </c>
      <c r="G502" s="3" t="s">
        <v>6233</v>
      </c>
      <c r="H502" s="3"/>
      <c r="I502" s="3" t="s">
        <v>6234</v>
      </c>
      <c r="J502" s="3">
        <v>74</v>
      </c>
      <c r="K502" s="3">
        <v>74</v>
      </c>
      <c r="L502" s="3">
        <v>0</v>
      </c>
      <c r="M502" s="3">
        <v>0</v>
      </c>
      <c r="N502" s="3">
        <v>74</v>
      </c>
      <c r="O502" s="3">
        <v>0.05</v>
      </c>
      <c r="P502" s="3">
        <v>0</v>
      </c>
      <c r="Q502" s="3">
        <v>0</v>
      </c>
      <c r="R502" s="3">
        <v>0</v>
      </c>
    </row>
    <row r="503" spans="1:18">
      <c r="A503" s="3" t="s">
        <v>3336</v>
      </c>
      <c r="B503" s="3" t="s">
        <v>3337</v>
      </c>
      <c r="C503" s="3" t="s">
        <v>3338</v>
      </c>
      <c r="D503" s="3" t="s">
        <v>3339</v>
      </c>
      <c r="E503" s="3" t="s">
        <v>1710</v>
      </c>
      <c r="F503" s="3">
        <v>35</v>
      </c>
      <c r="G503" s="3" t="s">
        <v>6233</v>
      </c>
      <c r="H503" s="3"/>
      <c r="I503" s="3" t="s">
        <v>6234</v>
      </c>
      <c r="J503" s="3">
        <v>147</v>
      </c>
      <c r="K503" s="3">
        <v>147</v>
      </c>
      <c r="L503" s="3">
        <v>0</v>
      </c>
      <c r="M503" s="3">
        <v>0</v>
      </c>
      <c r="N503" s="3">
        <v>147</v>
      </c>
      <c r="O503" s="3">
        <v>0.05</v>
      </c>
      <c r="P503" s="3">
        <v>0</v>
      </c>
      <c r="Q503" s="3">
        <v>0</v>
      </c>
      <c r="R503" s="3">
        <v>0</v>
      </c>
    </row>
    <row r="504" spans="1:18">
      <c r="A504" s="3" t="s">
        <v>2407</v>
      </c>
      <c r="B504" s="3" t="s">
        <v>2408</v>
      </c>
      <c r="C504" s="3" t="s">
        <v>2409</v>
      </c>
      <c r="D504" s="3" t="s">
        <v>2410</v>
      </c>
      <c r="E504" s="3" t="s">
        <v>1710</v>
      </c>
      <c r="F504" s="3">
        <v>35</v>
      </c>
      <c r="G504" s="3" t="s">
        <v>6233</v>
      </c>
      <c r="H504" s="3"/>
      <c r="I504" s="3" t="s">
        <v>6234</v>
      </c>
      <c r="J504" s="3">
        <v>138</v>
      </c>
      <c r="K504" s="3">
        <v>138</v>
      </c>
      <c r="L504" s="3">
        <v>0</v>
      </c>
      <c r="M504" s="3">
        <v>0</v>
      </c>
      <c r="N504" s="3">
        <v>138</v>
      </c>
      <c r="O504" s="3">
        <v>0.05</v>
      </c>
      <c r="P504" s="3">
        <v>0</v>
      </c>
      <c r="Q504" s="3">
        <v>0</v>
      </c>
      <c r="R504" s="3">
        <v>0</v>
      </c>
    </row>
    <row r="505" spans="1:18">
      <c r="A505" s="3" t="s">
        <v>4754</v>
      </c>
      <c r="B505" s="3" t="s">
        <v>4755</v>
      </c>
      <c r="C505" s="3" t="s">
        <v>4756</v>
      </c>
      <c r="D505" s="3" t="s">
        <v>4757</v>
      </c>
      <c r="E505" s="3" t="s">
        <v>1710</v>
      </c>
      <c r="F505" s="3">
        <v>35</v>
      </c>
      <c r="G505" s="3" t="s">
        <v>6233</v>
      </c>
      <c r="H505" s="3"/>
      <c r="I505" s="3" t="s">
        <v>6234</v>
      </c>
      <c r="J505" s="3">
        <v>112</v>
      </c>
      <c r="K505" s="3">
        <v>112</v>
      </c>
      <c r="L505" s="3">
        <v>0</v>
      </c>
      <c r="M505" s="3">
        <v>0</v>
      </c>
      <c r="N505" s="3">
        <v>112</v>
      </c>
      <c r="O505" s="3">
        <v>0.05</v>
      </c>
      <c r="P505" s="3">
        <v>0</v>
      </c>
      <c r="Q505" s="3">
        <v>0</v>
      </c>
      <c r="R505" s="3">
        <v>0</v>
      </c>
    </row>
    <row r="506" spans="1:18">
      <c r="A506" s="3" t="s">
        <v>5936</v>
      </c>
      <c r="B506" s="3" t="s">
        <v>5937</v>
      </c>
      <c r="C506" s="3" t="s">
        <v>5938</v>
      </c>
      <c r="D506" s="3" t="s">
        <v>5939</v>
      </c>
      <c r="E506" s="3" t="s">
        <v>1710</v>
      </c>
      <c r="F506" s="3">
        <v>35</v>
      </c>
      <c r="G506" s="3" t="s">
        <v>6233</v>
      </c>
      <c r="H506" s="3"/>
      <c r="I506" s="3" t="s">
        <v>6234</v>
      </c>
      <c r="J506" s="3">
        <v>97</v>
      </c>
      <c r="K506" s="3">
        <v>97</v>
      </c>
      <c r="L506" s="3">
        <v>0</v>
      </c>
      <c r="M506" s="3">
        <v>0</v>
      </c>
      <c r="N506" s="3">
        <v>97</v>
      </c>
      <c r="O506" s="3">
        <v>0.06</v>
      </c>
      <c r="P506" s="3">
        <v>0</v>
      </c>
      <c r="Q506" s="3">
        <v>0</v>
      </c>
      <c r="R506" s="3">
        <v>0</v>
      </c>
    </row>
    <row r="507" spans="1:18">
      <c r="A507" s="3" t="s">
        <v>4181</v>
      </c>
      <c r="B507" s="3" t="s">
        <v>4182</v>
      </c>
      <c r="C507" s="3" t="s">
        <v>4183</v>
      </c>
      <c r="D507" s="3" t="s">
        <v>4184</v>
      </c>
      <c r="E507" s="3" t="s">
        <v>1710</v>
      </c>
      <c r="F507" s="3">
        <v>35</v>
      </c>
      <c r="G507" s="3" t="s">
        <v>6233</v>
      </c>
      <c r="H507" s="3"/>
      <c r="I507" s="3" t="s">
        <v>6234</v>
      </c>
      <c r="J507" s="3">
        <v>46</v>
      </c>
      <c r="K507" s="3">
        <v>46</v>
      </c>
      <c r="L507" s="3">
        <v>0</v>
      </c>
      <c r="M507" s="3">
        <v>0</v>
      </c>
      <c r="N507" s="3">
        <v>46</v>
      </c>
      <c r="O507" s="3">
        <v>0.05</v>
      </c>
      <c r="P507" s="3">
        <v>0</v>
      </c>
      <c r="Q507" s="3">
        <v>0</v>
      </c>
      <c r="R507" s="3">
        <v>0</v>
      </c>
    </row>
    <row r="508" spans="1:18">
      <c r="A508" s="3" t="s">
        <v>4387</v>
      </c>
      <c r="B508" s="3" t="s">
        <v>4388</v>
      </c>
      <c r="C508" s="3" t="s">
        <v>4389</v>
      </c>
      <c r="D508" s="3" t="s">
        <v>4390</v>
      </c>
      <c r="E508" s="3" t="s">
        <v>1710</v>
      </c>
      <c r="F508" s="3">
        <v>35</v>
      </c>
      <c r="G508" s="3" t="s">
        <v>6233</v>
      </c>
      <c r="H508" s="3"/>
      <c r="I508" s="3" t="s">
        <v>6234</v>
      </c>
      <c r="J508" s="3">
        <v>47</v>
      </c>
      <c r="K508" s="3">
        <v>41</v>
      </c>
      <c r="L508" s="3">
        <v>6</v>
      </c>
      <c r="M508" s="3">
        <v>0</v>
      </c>
      <c r="N508" s="3">
        <v>47</v>
      </c>
      <c r="O508" s="3">
        <v>0.05</v>
      </c>
      <c r="P508" s="3">
        <v>0</v>
      </c>
      <c r="Q508" s="3">
        <v>0</v>
      </c>
      <c r="R508" s="3">
        <v>0</v>
      </c>
    </row>
    <row r="509" spans="1:18">
      <c r="A509" s="3" t="s">
        <v>4434</v>
      </c>
      <c r="B509" s="3" t="s">
        <v>4435</v>
      </c>
      <c r="C509" s="3" t="s">
        <v>4436</v>
      </c>
      <c r="D509" s="3" t="s">
        <v>4437</v>
      </c>
      <c r="E509" s="3" t="s">
        <v>1710</v>
      </c>
      <c r="F509" s="3">
        <v>35</v>
      </c>
      <c r="G509" s="3" t="s">
        <v>6233</v>
      </c>
      <c r="H509" s="3"/>
      <c r="I509" s="3" t="s">
        <v>6234</v>
      </c>
      <c r="J509" s="3">
        <v>54</v>
      </c>
      <c r="K509" s="3">
        <v>54</v>
      </c>
      <c r="L509" s="3">
        <v>0</v>
      </c>
      <c r="M509" s="3">
        <v>0</v>
      </c>
      <c r="N509" s="3">
        <v>54</v>
      </c>
      <c r="O509" s="3">
        <v>0.05</v>
      </c>
      <c r="P509" s="3">
        <v>0</v>
      </c>
      <c r="Q509" s="3">
        <v>0</v>
      </c>
      <c r="R509" s="3">
        <v>0</v>
      </c>
    </row>
    <row r="510" spans="1:18">
      <c r="A510" s="3" t="s">
        <v>4375</v>
      </c>
      <c r="B510" s="3" t="s">
        <v>4376</v>
      </c>
      <c r="C510" s="3" t="s">
        <v>4377</v>
      </c>
      <c r="D510" s="3" t="s">
        <v>4378</v>
      </c>
      <c r="E510" s="3" t="s">
        <v>1710</v>
      </c>
      <c r="F510" s="3">
        <v>35</v>
      </c>
      <c r="G510" s="3" t="s">
        <v>6233</v>
      </c>
      <c r="H510" s="3"/>
      <c r="I510" s="3" t="s">
        <v>6234</v>
      </c>
      <c r="J510" s="3">
        <v>35</v>
      </c>
      <c r="K510" s="3">
        <v>35</v>
      </c>
      <c r="L510" s="3">
        <v>0</v>
      </c>
      <c r="M510" s="3">
        <v>0</v>
      </c>
      <c r="N510" s="3">
        <v>35</v>
      </c>
      <c r="O510" s="3">
        <v>0.05</v>
      </c>
      <c r="P510" s="3">
        <v>0</v>
      </c>
      <c r="Q510" s="3">
        <v>0</v>
      </c>
      <c r="R510" s="3">
        <v>0</v>
      </c>
    </row>
    <row r="511" spans="1:18">
      <c r="A511" s="3" t="s">
        <v>5045</v>
      </c>
      <c r="B511" s="3" t="s">
        <v>5046</v>
      </c>
      <c r="C511" s="3" t="s">
        <v>5047</v>
      </c>
      <c r="D511" s="3" t="s">
        <v>5048</v>
      </c>
      <c r="E511" s="3" t="s">
        <v>1710</v>
      </c>
      <c r="F511" s="3">
        <v>35</v>
      </c>
      <c r="G511" s="3" t="s">
        <v>6233</v>
      </c>
      <c r="H511" s="3"/>
      <c r="I511" s="3" t="s">
        <v>6234</v>
      </c>
      <c r="J511" s="3">
        <v>20</v>
      </c>
      <c r="K511" s="3">
        <v>20</v>
      </c>
      <c r="L511" s="3">
        <v>0</v>
      </c>
      <c r="M511" s="3">
        <v>0</v>
      </c>
      <c r="N511" s="3">
        <v>20</v>
      </c>
      <c r="O511" s="3">
        <v>0.05</v>
      </c>
      <c r="P511" s="3">
        <v>0</v>
      </c>
      <c r="Q511" s="3">
        <v>0</v>
      </c>
      <c r="R511" s="3">
        <v>0</v>
      </c>
    </row>
    <row r="512" spans="1:18">
      <c r="A512" s="3" t="s">
        <v>3482</v>
      </c>
      <c r="B512" s="3" t="s">
        <v>3483</v>
      </c>
      <c r="C512" s="3" t="s">
        <v>3484</v>
      </c>
      <c r="D512" s="3" t="s">
        <v>3485</v>
      </c>
      <c r="E512" s="3" t="s">
        <v>1710</v>
      </c>
      <c r="F512" s="3">
        <v>35</v>
      </c>
      <c r="G512" s="3" t="s">
        <v>6233</v>
      </c>
      <c r="H512" s="3"/>
      <c r="I512" s="3" t="s">
        <v>6234</v>
      </c>
      <c r="J512" s="3">
        <v>39</v>
      </c>
      <c r="K512" s="3">
        <v>39</v>
      </c>
      <c r="L512" s="3">
        <v>0</v>
      </c>
      <c r="M512" s="3">
        <v>0</v>
      </c>
      <c r="N512" s="3">
        <v>39</v>
      </c>
      <c r="O512" s="3">
        <v>0.05</v>
      </c>
      <c r="P512" s="3">
        <v>0</v>
      </c>
      <c r="Q512" s="3">
        <v>0</v>
      </c>
      <c r="R512" s="3">
        <v>0</v>
      </c>
    </row>
    <row r="513" spans="1:18">
      <c r="A513" s="3" t="s">
        <v>5825</v>
      </c>
      <c r="B513" s="3" t="s">
        <v>5826</v>
      </c>
      <c r="C513" s="3" t="s">
        <v>5827</v>
      </c>
      <c r="D513" s="3" t="s">
        <v>5828</v>
      </c>
      <c r="E513" s="3" t="s">
        <v>1710</v>
      </c>
      <c r="F513" s="3">
        <v>35</v>
      </c>
      <c r="G513" s="3" t="s">
        <v>6233</v>
      </c>
      <c r="H513" s="3"/>
      <c r="I513" s="3" t="s">
        <v>6234</v>
      </c>
      <c r="J513" s="3">
        <v>40</v>
      </c>
      <c r="K513" s="3">
        <v>39</v>
      </c>
      <c r="L513" s="3">
        <v>1</v>
      </c>
      <c r="M513" s="3">
        <v>0</v>
      </c>
      <c r="N513" s="3">
        <v>40</v>
      </c>
      <c r="O513" s="3">
        <v>0.05</v>
      </c>
      <c r="P513" s="3">
        <v>0</v>
      </c>
      <c r="Q513" s="3">
        <v>0</v>
      </c>
      <c r="R513" s="3">
        <v>0</v>
      </c>
    </row>
    <row r="514" spans="1:18">
      <c r="A514" s="3" t="s">
        <v>2904</v>
      </c>
      <c r="B514" s="3" t="s">
        <v>2905</v>
      </c>
      <c r="C514" s="3" t="s">
        <v>2906</v>
      </c>
      <c r="D514" s="3" t="s">
        <v>2907</v>
      </c>
      <c r="E514" s="3" t="s">
        <v>1710</v>
      </c>
      <c r="F514" s="3">
        <v>35</v>
      </c>
      <c r="G514" s="3" t="s">
        <v>6233</v>
      </c>
      <c r="H514" s="3"/>
      <c r="I514" s="3" t="s">
        <v>6234</v>
      </c>
      <c r="J514" s="3">
        <v>48</v>
      </c>
      <c r="K514" s="3">
        <v>48</v>
      </c>
      <c r="L514" s="3">
        <v>0</v>
      </c>
      <c r="M514" s="3">
        <v>0</v>
      </c>
      <c r="N514" s="3">
        <v>48</v>
      </c>
      <c r="O514" s="3">
        <v>0.05</v>
      </c>
      <c r="P514" s="3">
        <v>0</v>
      </c>
      <c r="Q514" s="3">
        <v>0</v>
      </c>
      <c r="R514" s="3">
        <v>0</v>
      </c>
    </row>
    <row r="515" spans="1:18">
      <c r="A515" s="3" t="s">
        <v>2667</v>
      </c>
      <c r="B515" s="3" t="s">
        <v>2668</v>
      </c>
      <c r="C515" s="3" t="s">
        <v>2669</v>
      </c>
      <c r="D515" s="3" t="s">
        <v>2670</v>
      </c>
      <c r="E515" s="3" t="s">
        <v>1710</v>
      </c>
      <c r="F515" s="3">
        <v>35</v>
      </c>
      <c r="G515" s="3" t="s">
        <v>6233</v>
      </c>
      <c r="H515" s="3"/>
      <c r="I515" s="3" t="s">
        <v>6234</v>
      </c>
      <c r="J515" s="3">
        <v>79</v>
      </c>
      <c r="K515" s="3">
        <v>79</v>
      </c>
      <c r="L515" s="3">
        <v>0</v>
      </c>
      <c r="M515" s="3">
        <v>0</v>
      </c>
      <c r="N515" s="3">
        <v>79</v>
      </c>
      <c r="O515" s="3">
        <v>0.05</v>
      </c>
      <c r="P515" s="3">
        <v>0</v>
      </c>
      <c r="Q515" s="3">
        <v>0</v>
      </c>
      <c r="R515" s="3">
        <v>0</v>
      </c>
    </row>
    <row r="516" spans="1:18">
      <c r="A516" s="3" t="s">
        <v>3614</v>
      </c>
      <c r="B516" s="3" t="s">
        <v>3615</v>
      </c>
      <c r="C516" s="3" t="s">
        <v>3616</v>
      </c>
      <c r="D516" s="3" t="s">
        <v>3617</v>
      </c>
      <c r="E516" s="3" t="s">
        <v>1710</v>
      </c>
      <c r="F516" s="3">
        <v>35</v>
      </c>
      <c r="G516" s="3" t="s">
        <v>6233</v>
      </c>
      <c r="H516" s="3"/>
      <c r="I516" s="3" t="s">
        <v>6234</v>
      </c>
      <c r="J516" s="3">
        <v>55</v>
      </c>
      <c r="K516" s="3">
        <v>55</v>
      </c>
      <c r="L516" s="3">
        <v>0</v>
      </c>
      <c r="M516" s="3">
        <v>0</v>
      </c>
      <c r="N516" s="3">
        <v>55</v>
      </c>
      <c r="O516" s="3">
        <v>0.05</v>
      </c>
      <c r="P516" s="3">
        <v>0</v>
      </c>
      <c r="Q516" s="3">
        <v>0</v>
      </c>
      <c r="R516" s="3">
        <v>0</v>
      </c>
    </row>
    <row r="517" spans="1:18">
      <c r="A517" s="3" t="s">
        <v>4865</v>
      </c>
      <c r="B517" s="3" t="s">
        <v>4866</v>
      </c>
      <c r="C517" s="3" t="s">
        <v>4867</v>
      </c>
      <c r="D517" s="3" t="s">
        <v>4868</v>
      </c>
      <c r="E517" s="3" t="s">
        <v>1710</v>
      </c>
      <c r="F517" s="3">
        <v>35</v>
      </c>
      <c r="G517" s="3" t="s">
        <v>6233</v>
      </c>
      <c r="H517" s="3"/>
      <c r="I517" s="3" t="s">
        <v>6234</v>
      </c>
      <c r="J517" s="3">
        <v>62</v>
      </c>
      <c r="K517" s="3">
        <v>62</v>
      </c>
      <c r="L517" s="3">
        <v>0</v>
      </c>
      <c r="M517" s="3">
        <v>0</v>
      </c>
      <c r="N517" s="3">
        <v>62</v>
      </c>
      <c r="O517" s="3">
        <v>0.05</v>
      </c>
      <c r="P517" s="3">
        <v>0</v>
      </c>
      <c r="Q517" s="3">
        <v>0</v>
      </c>
      <c r="R517" s="3">
        <v>0</v>
      </c>
    </row>
    <row r="518" spans="1:18">
      <c r="A518" s="3" t="s">
        <v>3428</v>
      </c>
      <c r="B518" s="3" t="s">
        <v>3429</v>
      </c>
      <c r="C518" s="3" t="s">
        <v>3430</v>
      </c>
      <c r="D518" s="3" t="s">
        <v>3431</v>
      </c>
      <c r="E518" s="3" t="s">
        <v>1710</v>
      </c>
      <c r="F518" s="3">
        <v>35</v>
      </c>
      <c r="G518" s="3" t="s">
        <v>6233</v>
      </c>
      <c r="H518" s="3"/>
      <c r="I518" s="3" t="s">
        <v>6234</v>
      </c>
      <c r="J518" s="3">
        <v>105</v>
      </c>
      <c r="K518" s="3">
        <v>105</v>
      </c>
      <c r="L518" s="3">
        <v>0</v>
      </c>
      <c r="M518" s="3">
        <v>0</v>
      </c>
      <c r="N518" s="3">
        <v>105</v>
      </c>
      <c r="O518" s="3">
        <v>0.05</v>
      </c>
      <c r="P518" s="3">
        <v>0</v>
      </c>
      <c r="Q518" s="3">
        <v>0</v>
      </c>
      <c r="R518" s="3">
        <v>0</v>
      </c>
    </row>
    <row r="519" spans="1:18">
      <c r="A519" s="3" t="s">
        <v>3027</v>
      </c>
      <c r="B519" s="3" t="s">
        <v>3028</v>
      </c>
      <c r="C519" s="3" t="s">
        <v>3029</v>
      </c>
      <c r="D519" s="3" t="s">
        <v>3030</v>
      </c>
      <c r="E519" s="3" t="s">
        <v>1710</v>
      </c>
      <c r="F519" s="3">
        <v>35</v>
      </c>
      <c r="G519" s="3" t="s">
        <v>6233</v>
      </c>
      <c r="H519" s="3"/>
      <c r="I519" s="3" t="s">
        <v>6234</v>
      </c>
      <c r="J519" s="3">
        <v>51</v>
      </c>
      <c r="K519" s="3">
        <v>51</v>
      </c>
      <c r="L519" s="3">
        <v>0</v>
      </c>
      <c r="M519" s="3">
        <v>0</v>
      </c>
      <c r="N519" s="3">
        <v>51</v>
      </c>
      <c r="O519" s="3">
        <v>0.05</v>
      </c>
      <c r="P519" s="3">
        <v>0</v>
      </c>
      <c r="Q519" s="3">
        <v>0</v>
      </c>
      <c r="R519" s="3">
        <v>0</v>
      </c>
    </row>
    <row r="520" spans="1:18">
      <c r="A520" s="3" t="s">
        <v>4662</v>
      </c>
      <c r="B520" s="3" t="s">
        <v>4663</v>
      </c>
      <c r="C520" s="3" t="s">
        <v>4664</v>
      </c>
      <c r="D520" s="3" t="s">
        <v>7057</v>
      </c>
      <c r="E520" s="3" t="s">
        <v>1710</v>
      </c>
      <c r="F520" s="3">
        <v>18.99</v>
      </c>
      <c r="G520" s="3" t="s">
        <v>6233</v>
      </c>
      <c r="H520" s="3"/>
      <c r="I520" s="3" t="s">
        <v>6234</v>
      </c>
      <c r="J520" s="3">
        <v>2</v>
      </c>
      <c r="K520" s="3">
        <v>2</v>
      </c>
      <c r="L520" s="3">
        <v>0</v>
      </c>
      <c r="M520" s="3">
        <v>0</v>
      </c>
      <c r="N520" s="3">
        <v>2</v>
      </c>
      <c r="O520" s="3">
        <v>0.16</v>
      </c>
      <c r="P520" s="3">
        <v>0</v>
      </c>
      <c r="Q520" s="3">
        <v>0</v>
      </c>
      <c r="R520" s="3">
        <v>0</v>
      </c>
    </row>
    <row r="521" spans="1:18">
      <c r="A521" s="3" t="s">
        <v>6092</v>
      </c>
      <c r="B521" s="3" t="s">
        <v>6093</v>
      </c>
      <c r="C521" s="3" t="s">
        <v>6094</v>
      </c>
      <c r="D521" s="3" t="s">
        <v>7058</v>
      </c>
      <c r="E521" s="3" t="s">
        <v>1710</v>
      </c>
      <c r="F521" s="3">
        <v>18.99</v>
      </c>
      <c r="G521" s="3" t="s">
        <v>6233</v>
      </c>
      <c r="H521" s="3"/>
      <c r="I521" s="3" t="s">
        <v>6234</v>
      </c>
      <c r="J521" s="3">
        <v>41</v>
      </c>
      <c r="K521" s="3">
        <v>41</v>
      </c>
      <c r="L521" s="3">
        <v>0</v>
      </c>
      <c r="M521" s="3">
        <v>0</v>
      </c>
      <c r="N521" s="3">
        <v>41</v>
      </c>
      <c r="O521" s="3">
        <v>0.15</v>
      </c>
      <c r="P521" s="3">
        <v>0</v>
      </c>
      <c r="Q521" s="3">
        <v>0</v>
      </c>
      <c r="R521" s="3">
        <v>0</v>
      </c>
    </row>
    <row r="522" spans="1:18">
      <c r="A522" s="3" t="s">
        <v>2382</v>
      </c>
      <c r="B522" s="3" t="s">
        <v>2383</v>
      </c>
      <c r="C522" s="3" t="s">
        <v>2384</v>
      </c>
      <c r="D522" s="3" t="s">
        <v>7059</v>
      </c>
      <c r="E522" s="3" t="s">
        <v>1710</v>
      </c>
      <c r="F522" s="3">
        <v>18.99</v>
      </c>
      <c r="G522" s="3" t="s">
        <v>6233</v>
      </c>
      <c r="H522" s="3"/>
      <c r="I522" s="3" t="s">
        <v>6234</v>
      </c>
      <c r="J522" s="3">
        <v>32</v>
      </c>
      <c r="K522" s="3">
        <v>32</v>
      </c>
      <c r="L522" s="3">
        <v>0</v>
      </c>
      <c r="M522" s="3">
        <v>0</v>
      </c>
      <c r="N522" s="3">
        <v>32</v>
      </c>
      <c r="O522" s="3">
        <v>0.15</v>
      </c>
      <c r="P522" s="3">
        <v>0</v>
      </c>
      <c r="Q522" s="3">
        <v>0</v>
      </c>
      <c r="R522" s="3">
        <v>0</v>
      </c>
    </row>
    <row r="523" spans="1:18">
      <c r="A523" s="3" t="s">
        <v>1723</v>
      </c>
      <c r="B523" s="3" t="s">
        <v>1724</v>
      </c>
      <c r="C523" s="3" t="s">
        <v>1725</v>
      </c>
      <c r="D523" s="3" t="s">
        <v>7060</v>
      </c>
      <c r="E523" s="3" t="s">
        <v>1710</v>
      </c>
      <c r="F523" s="3">
        <v>18.99</v>
      </c>
      <c r="G523" s="3" t="s">
        <v>6233</v>
      </c>
      <c r="H523" s="3"/>
      <c r="I523" s="3" t="s">
        <v>6234</v>
      </c>
      <c r="J523" s="3">
        <v>48</v>
      </c>
      <c r="K523" s="3">
        <v>48</v>
      </c>
      <c r="L523" s="3">
        <v>0</v>
      </c>
      <c r="M523" s="3">
        <v>0</v>
      </c>
      <c r="N523" s="3">
        <v>48</v>
      </c>
      <c r="O523" s="3">
        <v>0.15</v>
      </c>
      <c r="P523" s="3">
        <v>0</v>
      </c>
      <c r="Q523" s="3">
        <v>0</v>
      </c>
      <c r="R523" s="3">
        <v>0</v>
      </c>
    </row>
    <row r="524" spans="1:18">
      <c r="A524" s="3" t="s">
        <v>3766</v>
      </c>
      <c r="B524" s="3" t="s">
        <v>3767</v>
      </c>
      <c r="C524" s="3" t="s">
        <v>3768</v>
      </c>
      <c r="D524" s="3" t="s">
        <v>7061</v>
      </c>
      <c r="E524" s="3" t="s">
        <v>1710</v>
      </c>
      <c r="F524" s="3">
        <v>18.99</v>
      </c>
      <c r="G524" s="3" t="s">
        <v>6233</v>
      </c>
      <c r="H524" s="3"/>
      <c r="I524" s="3" t="s">
        <v>6234</v>
      </c>
      <c r="J524" s="3">
        <v>48</v>
      </c>
      <c r="K524" s="3">
        <v>48</v>
      </c>
      <c r="L524" s="3">
        <v>0</v>
      </c>
      <c r="M524" s="3">
        <v>0</v>
      </c>
      <c r="N524" s="3">
        <v>48</v>
      </c>
      <c r="O524" s="3">
        <v>0.15</v>
      </c>
      <c r="P524" s="3">
        <v>0</v>
      </c>
      <c r="Q524" s="3">
        <v>0</v>
      </c>
      <c r="R524" s="3">
        <v>0</v>
      </c>
    </row>
    <row r="525" spans="1:18">
      <c r="A525" s="3" t="s">
        <v>2809</v>
      </c>
      <c r="B525" s="3" t="s">
        <v>2810</v>
      </c>
      <c r="C525" s="3" t="s">
        <v>2811</v>
      </c>
      <c r="D525" s="3" t="s">
        <v>7062</v>
      </c>
      <c r="E525" s="3" t="s">
        <v>1710</v>
      </c>
      <c r="F525" s="3">
        <v>18.99</v>
      </c>
      <c r="G525" s="3" t="s">
        <v>6233</v>
      </c>
      <c r="H525" s="3"/>
      <c r="I525" s="3" t="s">
        <v>6234</v>
      </c>
      <c r="J525" s="3">
        <v>2</v>
      </c>
      <c r="K525" s="3">
        <v>2</v>
      </c>
      <c r="L525" s="3">
        <v>0</v>
      </c>
      <c r="M525" s="3">
        <v>0</v>
      </c>
      <c r="N525" s="3">
        <v>2</v>
      </c>
      <c r="O525" s="3">
        <v>0.15</v>
      </c>
      <c r="P525" s="3">
        <v>0</v>
      </c>
      <c r="Q525" s="3">
        <v>0</v>
      </c>
      <c r="R525" s="3">
        <v>0</v>
      </c>
    </row>
    <row r="526" spans="1:18">
      <c r="A526" s="3" t="s">
        <v>3263</v>
      </c>
      <c r="B526" s="3" t="s">
        <v>3264</v>
      </c>
      <c r="C526" s="3" t="s">
        <v>3265</v>
      </c>
      <c r="D526" s="3" t="s">
        <v>7063</v>
      </c>
      <c r="E526" s="3" t="s">
        <v>1710</v>
      </c>
      <c r="F526" s="3">
        <v>18.99</v>
      </c>
      <c r="G526" s="3" t="s">
        <v>6233</v>
      </c>
      <c r="H526" s="3"/>
      <c r="I526" s="3" t="s">
        <v>6234</v>
      </c>
      <c r="J526" s="3">
        <v>3</v>
      </c>
      <c r="K526" s="3">
        <v>3</v>
      </c>
      <c r="L526" s="3">
        <v>0</v>
      </c>
      <c r="M526" s="3">
        <v>0</v>
      </c>
      <c r="N526" s="3">
        <v>3</v>
      </c>
      <c r="O526" s="3">
        <v>0.15</v>
      </c>
      <c r="P526" s="3">
        <v>0</v>
      </c>
      <c r="Q526" s="3">
        <v>0</v>
      </c>
      <c r="R526" s="3">
        <v>0</v>
      </c>
    </row>
    <row r="527" spans="1:18">
      <c r="A527" s="3" t="s">
        <v>5069</v>
      </c>
      <c r="B527" s="3" t="s">
        <v>5070</v>
      </c>
      <c r="C527" s="3" t="s">
        <v>5071</v>
      </c>
      <c r="D527" s="3" t="s">
        <v>7064</v>
      </c>
      <c r="E527" s="3" t="s">
        <v>1710</v>
      </c>
      <c r="F527" s="3">
        <v>18.99</v>
      </c>
      <c r="G527" s="3" t="s">
        <v>6233</v>
      </c>
      <c r="H527" s="3"/>
      <c r="I527" s="3" t="s">
        <v>6234</v>
      </c>
      <c r="J527" s="3">
        <v>12</v>
      </c>
      <c r="K527" s="3">
        <v>12</v>
      </c>
      <c r="L527" s="3">
        <v>0</v>
      </c>
      <c r="M527" s="3">
        <v>0</v>
      </c>
      <c r="N527" s="3">
        <v>12</v>
      </c>
      <c r="O527" s="3">
        <v>0.13</v>
      </c>
      <c r="P527" s="3">
        <v>0</v>
      </c>
      <c r="Q527" s="3">
        <v>0</v>
      </c>
      <c r="R527" s="3">
        <v>0</v>
      </c>
    </row>
    <row r="528" spans="1:18">
      <c r="A528" s="3" t="s">
        <v>1745</v>
      </c>
      <c r="B528" s="3" t="s">
        <v>1746</v>
      </c>
      <c r="C528" s="3" t="s">
        <v>1747</v>
      </c>
      <c r="D528" s="3" t="s">
        <v>7065</v>
      </c>
      <c r="E528" s="3" t="s">
        <v>1710</v>
      </c>
      <c r="F528" s="3">
        <v>18.99</v>
      </c>
      <c r="G528" s="3" t="s">
        <v>6233</v>
      </c>
      <c r="H528" s="3"/>
      <c r="I528" s="3" t="s">
        <v>6234</v>
      </c>
      <c r="J528" s="3">
        <v>14</v>
      </c>
      <c r="K528" s="3">
        <v>14</v>
      </c>
      <c r="L528" s="3">
        <v>0</v>
      </c>
      <c r="M528" s="3">
        <v>0</v>
      </c>
      <c r="N528" s="3">
        <v>14</v>
      </c>
      <c r="O528" s="3">
        <v>0.15</v>
      </c>
      <c r="P528" s="3">
        <v>0</v>
      </c>
      <c r="Q528" s="3">
        <v>0</v>
      </c>
      <c r="R528" s="3">
        <v>0</v>
      </c>
    </row>
    <row r="529" spans="1:18">
      <c r="A529" s="3" t="s">
        <v>7066</v>
      </c>
      <c r="B529" s="3" t="s">
        <v>7067</v>
      </c>
      <c r="C529" s="3" t="s">
        <v>7068</v>
      </c>
      <c r="D529" s="3" t="s">
        <v>7069</v>
      </c>
      <c r="E529" s="3" t="s">
        <v>1710</v>
      </c>
      <c r="F529" s="3">
        <v>18.99</v>
      </c>
      <c r="G529" s="3" t="s">
        <v>6233</v>
      </c>
      <c r="H529" s="3"/>
      <c r="I529" s="3" t="s">
        <v>6234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0.16</v>
      </c>
      <c r="P529" s="3">
        <v>0</v>
      </c>
      <c r="Q529" s="3">
        <v>0</v>
      </c>
      <c r="R529" s="3">
        <v>0</v>
      </c>
    </row>
    <row r="530" spans="1:18">
      <c r="A530" s="3" t="s">
        <v>7070</v>
      </c>
      <c r="B530" s="3" t="s">
        <v>7071</v>
      </c>
      <c r="C530" s="3" t="s">
        <v>7072</v>
      </c>
      <c r="D530" s="3" t="s">
        <v>7073</v>
      </c>
      <c r="E530" s="3" t="s">
        <v>1710</v>
      </c>
      <c r="F530" s="3">
        <v>18.99</v>
      </c>
      <c r="G530" s="3" t="s">
        <v>6233</v>
      </c>
      <c r="H530" s="3"/>
      <c r="I530" s="3" t="s">
        <v>6234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0.15</v>
      </c>
      <c r="P530" s="3">
        <v>0</v>
      </c>
      <c r="Q530" s="3">
        <v>0</v>
      </c>
      <c r="R530" s="3">
        <v>0</v>
      </c>
    </row>
    <row r="531" spans="1:18">
      <c r="A531" s="3" t="s">
        <v>6175</v>
      </c>
      <c r="B531" s="3" t="s">
        <v>6176</v>
      </c>
      <c r="C531" s="3" t="s">
        <v>6177</v>
      </c>
      <c r="D531" s="3" t="s">
        <v>7074</v>
      </c>
      <c r="E531" s="3" t="s">
        <v>1710</v>
      </c>
      <c r="F531" s="3">
        <v>18.99</v>
      </c>
      <c r="G531" s="3" t="s">
        <v>6233</v>
      </c>
      <c r="H531" s="3"/>
      <c r="I531" s="3" t="s">
        <v>6234</v>
      </c>
      <c r="J531" s="3">
        <v>4</v>
      </c>
      <c r="K531" s="3">
        <v>4</v>
      </c>
      <c r="L531" s="3">
        <v>0</v>
      </c>
      <c r="M531" s="3">
        <v>0</v>
      </c>
      <c r="N531" s="3">
        <v>4</v>
      </c>
      <c r="O531" s="3">
        <v>0.16</v>
      </c>
      <c r="P531" s="3">
        <v>0</v>
      </c>
      <c r="Q531" s="3">
        <v>0</v>
      </c>
      <c r="R531" s="3">
        <v>0</v>
      </c>
    </row>
    <row r="532" spans="1:18">
      <c r="A532" s="3" t="s">
        <v>2145</v>
      </c>
      <c r="B532" s="3" t="s">
        <v>2146</v>
      </c>
      <c r="C532" s="3" t="s">
        <v>2147</v>
      </c>
      <c r="D532" s="3" t="s">
        <v>7075</v>
      </c>
      <c r="E532" s="3" t="s">
        <v>1710</v>
      </c>
      <c r="F532" s="3">
        <v>18.99</v>
      </c>
      <c r="G532" s="3" t="s">
        <v>6233</v>
      </c>
      <c r="H532" s="3"/>
      <c r="I532" s="3" t="s">
        <v>6234</v>
      </c>
      <c r="J532" s="3">
        <v>1</v>
      </c>
      <c r="K532" s="3">
        <v>1</v>
      </c>
      <c r="L532" s="3">
        <v>0</v>
      </c>
      <c r="M532" s="3">
        <v>0</v>
      </c>
      <c r="N532" s="3">
        <v>1</v>
      </c>
      <c r="O532" s="3">
        <v>0.16</v>
      </c>
      <c r="P532" s="3">
        <v>0</v>
      </c>
      <c r="Q532" s="3">
        <v>0</v>
      </c>
      <c r="R532" s="3">
        <v>0</v>
      </c>
    </row>
    <row r="533" spans="1:18">
      <c r="A533" s="3" t="s">
        <v>2161</v>
      </c>
      <c r="B533" s="3" t="s">
        <v>2162</v>
      </c>
      <c r="C533" s="3" t="s">
        <v>2163</v>
      </c>
      <c r="D533" s="3" t="s">
        <v>2164</v>
      </c>
      <c r="E533" s="3" t="s">
        <v>1710</v>
      </c>
      <c r="F533" s="3">
        <v>39.99</v>
      </c>
      <c r="G533" s="3" t="s">
        <v>6233</v>
      </c>
      <c r="H533" s="3"/>
      <c r="I533" s="3" t="s">
        <v>6234</v>
      </c>
      <c r="J533" s="3">
        <v>8</v>
      </c>
      <c r="K533" s="3">
        <v>8</v>
      </c>
      <c r="L533" s="3">
        <v>0</v>
      </c>
      <c r="M533" s="3">
        <v>0</v>
      </c>
      <c r="N533" s="3">
        <v>8</v>
      </c>
      <c r="O533" s="3">
        <v>0.12</v>
      </c>
      <c r="P533" s="3">
        <v>0</v>
      </c>
      <c r="Q533" s="3">
        <v>0</v>
      </c>
      <c r="R533" s="3">
        <v>0</v>
      </c>
    </row>
    <row r="534" spans="1:18">
      <c r="A534" s="3" t="s">
        <v>2503</v>
      </c>
      <c r="B534" s="3" t="s">
        <v>2504</v>
      </c>
      <c r="C534" s="3" t="s">
        <v>2505</v>
      </c>
      <c r="D534" s="3" t="s">
        <v>2506</v>
      </c>
      <c r="E534" s="3" t="s">
        <v>1710</v>
      </c>
      <c r="F534" s="3">
        <v>39.99</v>
      </c>
      <c r="G534" s="3" t="s">
        <v>6233</v>
      </c>
      <c r="H534" s="3"/>
      <c r="I534" s="3" t="s">
        <v>6234</v>
      </c>
      <c r="J534" s="3">
        <v>2</v>
      </c>
      <c r="K534" s="3">
        <v>2</v>
      </c>
      <c r="L534" s="3">
        <v>0</v>
      </c>
      <c r="M534" s="3">
        <v>0</v>
      </c>
      <c r="N534" s="3">
        <v>2</v>
      </c>
      <c r="O534" s="3">
        <v>0.05</v>
      </c>
      <c r="P534" s="3">
        <v>0</v>
      </c>
      <c r="Q534" s="3">
        <v>0</v>
      </c>
      <c r="R534" s="3">
        <v>0</v>
      </c>
    </row>
    <row r="535" spans="1:18">
      <c r="A535" s="3" t="s">
        <v>5345</v>
      </c>
      <c r="B535" s="3" t="s">
        <v>5346</v>
      </c>
      <c r="C535" s="3" t="s">
        <v>5347</v>
      </c>
      <c r="D535" s="3" t="s">
        <v>5348</v>
      </c>
      <c r="E535" s="3" t="s">
        <v>1710</v>
      </c>
      <c r="F535" s="3">
        <v>39.99</v>
      </c>
      <c r="G535" s="3" t="s">
        <v>6233</v>
      </c>
      <c r="H535" s="3"/>
      <c r="I535" s="3" t="s">
        <v>6234</v>
      </c>
      <c r="J535" s="3">
        <v>7</v>
      </c>
      <c r="K535" s="3">
        <v>7</v>
      </c>
      <c r="L535" s="3">
        <v>0</v>
      </c>
      <c r="M535" s="3">
        <v>0</v>
      </c>
      <c r="N535" s="3">
        <v>7</v>
      </c>
      <c r="O535" s="3">
        <v>0.12</v>
      </c>
      <c r="P535" s="3">
        <v>0</v>
      </c>
      <c r="Q535" s="3">
        <v>0</v>
      </c>
      <c r="R535" s="3">
        <v>0</v>
      </c>
    </row>
    <row r="536" spans="1:18">
      <c r="A536" s="3" t="s">
        <v>3302</v>
      </c>
      <c r="B536" s="3" t="s">
        <v>3303</v>
      </c>
      <c r="C536" s="3" t="s">
        <v>3304</v>
      </c>
      <c r="D536" s="3" t="s">
        <v>3305</v>
      </c>
      <c r="E536" s="3" t="s">
        <v>1710</v>
      </c>
      <c r="F536" s="3">
        <v>39.99</v>
      </c>
      <c r="G536" s="3" t="s">
        <v>6233</v>
      </c>
      <c r="H536" s="3"/>
      <c r="I536" s="3" t="s">
        <v>6234</v>
      </c>
      <c r="J536" s="3">
        <v>6</v>
      </c>
      <c r="K536" s="3">
        <v>6</v>
      </c>
      <c r="L536" s="3">
        <v>0</v>
      </c>
      <c r="M536" s="3">
        <v>0</v>
      </c>
      <c r="N536" s="3">
        <v>6</v>
      </c>
      <c r="O536" s="3">
        <v>0.05</v>
      </c>
      <c r="P536" s="3">
        <v>0</v>
      </c>
      <c r="Q536" s="3">
        <v>0</v>
      </c>
      <c r="R536" s="3">
        <v>0</v>
      </c>
    </row>
    <row r="537" spans="1:18">
      <c r="A537" s="3" t="s">
        <v>4448</v>
      </c>
      <c r="B537" s="3" t="s">
        <v>4449</v>
      </c>
      <c r="C537" s="3" t="s">
        <v>4450</v>
      </c>
      <c r="D537" s="3" t="s">
        <v>4451</v>
      </c>
      <c r="E537" s="3" t="s">
        <v>1710</v>
      </c>
      <c r="F537" s="3">
        <v>39.99</v>
      </c>
      <c r="G537" s="3" t="s">
        <v>6233</v>
      </c>
      <c r="H537" s="3"/>
      <c r="I537" s="3" t="s">
        <v>6234</v>
      </c>
      <c r="J537" s="3">
        <v>3</v>
      </c>
      <c r="K537" s="3">
        <v>3</v>
      </c>
      <c r="L537" s="3">
        <v>0</v>
      </c>
      <c r="M537" s="3">
        <v>0</v>
      </c>
      <c r="N537" s="3">
        <v>3</v>
      </c>
      <c r="O537" s="3">
        <v>0.12</v>
      </c>
      <c r="P537" s="3">
        <v>0</v>
      </c>
      <c r="Q537" s="3">
        <v>0</v>
      </c>
      <c r="R537" s="3">
        <v>0</v>
      </c>
    </row>
    <row r="538" spans="1:18">
      <c r="A538" s="3" t="s">
        <v>4585</v>
      </c>
      <c r="B538" s="3" t="s">
        <v>4586</v>
      </c>
      <c r="C538" s="3" t="s">
        <v>4587</v>
      </c>
      <c r="D538" s="3" t="s">
        <v>4588</v>
      </c>
      <c r="E538" s="3" t="s">
        <v>1710</v>
      </c>
      <c r="F538" s="3">
        <v>39.99</v>
      </c>
      <c r="G538" s="3" t="s">
        <v>6233</v>
      </c>
      <c r="H538" s="3"/>
      <c r="I538" s="3" t="s">
        <v>6234</v>
      </c>
      <c r="J538" s="3">
        <v>1</v>
      </c>
      <c r="K538" s="3">
        <v>1</v>
      </c>
      <c r="L538" s="3">
        <v>0</v>
      </c>
      <c r="M538" s="3">
        <v>0</v>
      </c>
      <c r="N538" s="3">
        <v>1</v>
      </c>
      <c r="O538" s="3">
        <v>0.12</v>
      </c>
      <c r="P538" s="3">
        <v>0</v>
      </c>
      <c r="Q538" s="3">
        <v>0</v>
      </c>
      <c r="R538" s="3">
        <v>0</v>
      </c>
    </row>
    <row r="539" spans="1:18">
      <c r="A539" s="3" t="s">
        <v>4744</v>
      </c>
      <c r="B539" s="3" t="s">
        <v>4745</v>
      </c>
      <c r="C539" s="3" t="s">
        <v>4746</v>
      </c>
      <c r="D539" s="3" t="s">
        <v>4747</v>
      </c>
      <c r="E539" s="3" t="s">
        <v>1710</v>
      </c>
      <c r="F539" s="3">
        <v>39.99</v>
      </c>
      <c r="G539" s="3" t="s">
        <v>6233</v>
      </c>
      <c r="H539" s="3"/>
      <c r="I539" s="3" t="s">
        <v>6234</v>
      </c>
      <c r="J539" s="3">
        <v>3</v>
      </c>
      <c r="K539" s="3">
        <v>3</v>
      </c>
      <c r="L539" s="3">
        <v>0</v>
      </c>
      <c r="M539" s="3">
        <v>0</v>
      </c>
      <c r="N539" s="3">
        <v>3</v>
      </c>
      <c r="O539" s="3">
        <v>0.12</v>
      </c>
      <c r="P539" s="3">
        <v>0</v>
      </c>
      <c r="Q539" s="3">
        <v>0</v>
      </c>
      <c r="R539" s="3">
        <v>0</v>
      </c>
    </row>
    <row r="540" spans="1:18">
      <c r="A540" s="3" t="s">
        <v>5989</v>
      </c>
      <c r="B540" s="3" t="s">
        <v>5990</v>
      </c>
      <c r="C540" s="3" t="s">
        <v>5991</v>
      </c>
      <c r="D540" s="3" t="s">
        <v>5992</v>
      </c>
      <c r="E540" s="3" t="s">
        <v>1710</v>
      </c>
      <c r="F540" s="3">
        <v>39.99</v>
      </c>
      <c r="G540" s="3" t="s">
        <v>6233</v>
      </c>
      <c r="H540" s="3"/>
      <c r="I540" s="3" t="s">
        <v>6234</v>
      </c>
      <c r="J540" s="3">
        <v>5</v>
      </c>
      <c r="K540" s="3">
        <v>5</v>
      </c>
      <c r="L540" s="3">
        <v>0</v>
      </c>
      <c r="M540" s="3">
        <v>0</v>
      </c>
      <c r="N540" s="3">
        <v>5</v>
      </c>
      <c r="O540" s="3">
        <v>0.12</v>
      </c>
      <c r="P540" s="3">
        <v>0</v>
      </c>
      <c r="Q540" s="3">
        <v>0</v>
      </c>
      <c r="R540" s="3">
        <v>0</v>
      </c>
    </row>
    <row r="541" spans="1:18">
      <c r="A541" s="3" t="s">
        <v>4995</v>
      </c>
      <c r="B541" s="3" t="s">
        <v>4996</v>
      </c>
      <c r="C541" s="3" t="s">
        <v>4997</v>
      </c>
      <c r="D541" s="3" t="s">
        <v>4998</v>
      </c>
      <c r="E541" s="3" t="s">
        <v>1710</v>
      </c>
      <c r="F541" s="3">
        <v>39.99</v>
      </c>
      <c r="G541" s="3" t="s">
        <v>6233</v>
      </c>
      <c r="H541" s="3"/>
      <c r="I541" s="3" t="s">
        <v>6234</v>
      </c>
      <c r="J541" s="3">
        <v>8</v>
      </c>
      <c r="K541" s="3">
        <v>8</v>
      </c>
      <c r="L541" s="3">
        <v>0</v>
      </c>
      <c r="M541" s="3">
        <v>0</v>
      </c>
      <c r="N541" s="3">
        <v>8</v>
      </c>
      <c r="O541" s="3">
        <v>0</v>
      </c>
      <c r="P541" s="3">
        <v>0</v>
      </c>
      <c r="Q541" s="3">
        <v>0</v>
      </c>
      <c r="R541" s="3">
        <v>0</v>
      </c>
    </row>
    <row r="542" spans="1:18">
      <c r="A542" s="3" t="s">
        <v>4012</v>
      </c>
      <c r="B542" s="3" t="s">
        <v>4013</v>
      </c>
      <c r="C542" s="3" t="s">
        <v>4014</v>
      </c>
      <c r="D542" s="3" t="s">
        <v>4015</v>
      </c>
      <c r="E542" s="3" t="s">
        <v>1710</v>
      </c>
      <c r="F542" s="3">
        <v>39.99</v>
      </c>
      <c r="G542" s="3" t="s">
        <v>6233</v>
      </c>
      <c r="H542" s="3"/>
      <c r="I542" s="3" t="s">
        <v>6234</v>
      </c>
      <c r="J542" s="3">
        <v>1</v>
      </c>
      <c r="K542" s="3">
        <v>1</v>
      </c>
      <c r="L542" s="3">
        <v>0</v>
      </c>
      <c r="M542" s="3">
        <v>0</v>
      </c>
      <c r="N542" s="3">
        <v>1</v>
      </c>
      <c r="O542" s="3">
        <v>0.12</v>
      </c>
      <c r="P542" s="3">
        <v>0</v>
      </c>
      <c r="Q542" s="3">
        <v>0</v>
      </c>
      <c r="R542" s="3">
        <v>0</v>
      </c>
    </row>
    <row r="543" spans="1:18">
      <c r="A543" s="3" t="s">
        <v>7076</v>
      </c>
      <c r="B543" s="3" t="s">
        <v>7077</v>
      </c>
      <c r="C543" s="3" t="s">
        <v>2306</v>
      </c>
      <c r="D543" s="3"/>
      <c r="E543" s="3" t="s">
        <v>6275</v>
      </c>
      <c r="F543" s="3"/>
      <c r="G543" s="3"/>
      <c r="H543" s="3"/>
      <c r="I543" s="3"/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/>
      <c r="P543" s="3">
        <v>0</v>
      </c>
      <c r="Q543" s="3">
        <v>0</v>
      </c>
      <c r="R543" s="3">
        <v>0</v>
      </c>
    </row>
    <row r="544" spans="1:18">
      <c r="A544" s="3" t="s">
        <v>7078</v>
      </c>
      <c r="B544" s="3" t="s">
        <v>7079</v>
      </c>
      <c r="C544" s="3" t="s">
        <v>3873</v>
      </c>
      <c r="D544" s="3"/>
      <c r="E544" s="3" t="s">
        <v>6275</v>
      </c>
      <c r="F544" s="3"/>
      <c r="G544" s="3"/>
      <c r="H544" s="3"/>
      <c r="I544" s="3"/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/>
      <c r="P544" s="3">
        <v>0</v>
      </c>
      <c r="Q544" s="3">
        <v>0</v>
      </c>
      <c r="R544" s="3">
        <v>0</v>
      </c>
    </row>
    <row r="545" spans="1:18">
      <c r="A545" s="3" t="s">
        <v>7080</v>
      </c>
      <c r="B545" s="3" t="s">
        <v>7081</v>
      </c>
      <c r="C545" s="3" t="s">
        <v>2998</v>
      </c>
      <c r="D545" s="3"/>
      <c r="E545" s="3" t="s">
        <v>6275</v>
      </c>
      <c r="F545" s="3"/>
      <c r="G545" s="3"/>
      <c r="H545" s="3"/>
      <c r="I545" s="3"/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/>
      <c r="P545" s="3">
        <v>0</v>
      </c>
      <c r="Q545" s="3">
        <v>0</v>
      </c>
      <c r="R545" s="3">
        <v>0</v>
      </c>
    </row>
    <row r="546" spans="1:18">
      <c r="A546" s="3" t="s">
        <v>7082</v>
      </c>
      <c r="B546" s="3" t="s">
        <v>7083</v>
      </c>
      <c r="C546" s="3" t="s">
        <v>4601</v>
      </c>
      <c r="D546" s="3"/>
      <c r="E546" s="3" t="s">
        <v>6275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7084</v>
      </c>
      <c r="B547" s="3" t="s">
        <v>7085</v>
      </c>
      <c r="C547" s="3" t="s">
        <v>5132</v>
      </c>
      <c r="D547" s="3"/>
      <c r="E547" s="3" t="s">
        <v>6275</v>
      </c>
      <c r="F547" s="3"/>
      <c r="G547" s="3"/>
      <c r="H547" s="3"/>
      <c r="I547" s="3"/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/>
      <c r="P547" s="3">
        <v>0</v>
      </c>
      <c r="Q547" s="3">
        <v>0</v>
      </c>
      <c r="R547" s="3">
        <v>0</v>
      </c>
    </row>
    <row r="548" spans="1:18">
      <c r="A548" s="3" t="s">
        <v>7086</v>
      </c>
      <c r="B548" s="3" t="s">
        <v>7087</v>
      </c>
      <c r="C548" s="3" t="s">
        <v>2396</v>
      </c>
      <c r="D548" s="3"/>
      <c r="E548" s="3" t="s">
        <v>6275</v>
      </c>
      <c r="F548" s="3"/>
      <c r="G548" s="3"/>
      <c r="H548" s="3"/>
      <c r="I548" s="3"/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/>
      <c r="P548" s="3">
        <v>0</v>
      </c>
      <c r="Q548" s="3">
        <v>0</v>
      </c>
      <c r="R548" s="3">
        <v>0</v>
      </c>
    </row>
    <row r="549" spans="1:18">
      <c r="A549" s="3" t="s">
        <v>7088</v>
      </c>
      <c r="B549" s="3" t="s">
        <v>7089</v>
      </c>
      <c r="C549" s="3" t="s">
        <v>3393</v>
      </c>
      <c r="D549" s="3"/>
      <c r="E549" s="3" t="s">
        <v>6275</v>
      </c>
      <c r="F549" s="3"/>
      <c r="G549" s="3"/>
      <c r="H549" s="3"/>
      <c r="I549" s="3"/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/>
      <c r="P549" s="3">
        <v>0</v>
      </c>
      <c r="Q549" s="3">
        <v>0</v>
      </c>
      <c r="R549" s="3">
        <v>0</v>
      </c>
    </row>
    <row r="550" spans="1:18">
      <c r="A550" s="3" t="s">
        <v>7090</v>
      </c>
      <c r="B550" s="3" t="s">
        <v>7091</v>
      </c>
      <c r="C550" s="3" t="s">
        <v>4583</v>
      </c>
      <c r="D550" s="3"/>
      <c r="E550" s="3" t="s">
        <v>6275</v>
      </c>
      <c r="F550" s="3"/>
      <c r="G550" s="3"/>
      <c r="H550" s="3"/>
      <c r="I550" s="3"/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/>
      <c r="P550" s="3">
        <v>0</v>
      </c>
      <c r="Q550" s="3">
        <v>0</v>
      </c>
      <c r="R550" s="3">
        <v>0</v>
      </c>
    </row>
    <row r="551" spans="1:18">
      <c r="A551" s="3" t="s">
        <v>7092</v>
      </c>
      <c r="B551" s="3" t="s">
        <v>7093</v>
      </c>
      <c r="C551" s="3" t="s">
        <v>5004</v>
      </c>
      <c r="D551" s="3"/>
      <c r="E551" s="3" t="s">
        <v>6275</v>
      </c>
      <c r="F551" s="3"/>
      <c r="G551" s="3"/>
      <c r="H551" s="3"/>
      <c r="I551" s="3"/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/>
      <c r="P551" s="3">
        <v>0</v>
      </c>
      <c r="Q551" s="3">
        <v>0</v>
      </c>
      <c r="R551" s="3">
        <v>0</v>
      </c>
    </row>
    <row r="552" spans="1:18">
      <c r="A552" s="3" t="s">
        <v>7094</v>
      </c>
      <c r="B552" s="3" t="s">
        <v>7095</v>
      </c>
      <c r="C552" s="3" t="s">
        <v>4296</v>
      </c>
      <c r="D552" s="3"/>
      <c r="E552" s="3" t="s">
        <v>6275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7096</v>
      </c>
      <c r="B553" s="3" t="s">
        <v>7097</v>
      </c>
      <c r="C553" s="3" t="s">
        <v>3522</v>
      </c>
      <c r="D553" s="3"/>
      <c r="E553" s="3" t="s">
        <v>6275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7098</v>
      </c>
      <c r="B554" s="3" t="s">
        <v>7099</v>
      </c>
      <c r="C554" s="3" t="s">
        <v>4267</v>
      </c>
      <c r="D554" s="3"/>
      <c r="E554" s="3" t="s">
        <v>6275</v>
      </c>
      <c r="F554" s="3"/>
      <c r="G554" s="3"/>
      <c r="H554" s="3"/>
      <c r="I554" s="3"/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/>
      <c r="P554" s="3">
        <v>0</v>
      </c>
      <c r="Q554" s="3">
        <v>0</v>
      </c>
      <c r="R554" s="3">
        <v>0</v>
      </c>
    </row>
    <row r="555" spans="1:18">
      <c r="A555" s="3" t="s">
        <v>7100</v>
      </c>
      <c r="B555" s="3" t="s">
        <v>7101</v>
      </c>
      <c r="C555" s="3" t="s">
        <v>5262</v>
      </c>
      <c r="D555" s="3"/>
      <c r="E555" s="3" t="s">
        <v>6275</v>
      </c>
      <c r="F555" s="3"/>
      <c r="G555" s="3"/>
      <c r="H555" s="3"/>
      <c r="I555" s="3"/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/>
      <c r="P555" s="3">
        <v>0</v>
      </c>
      <c r="Q555" s="3">
        <v>0</v>
      </c>
      <c r="R555" s="3">
        <v>0</v>
      </c>
    </row>
    <row r="556" spans="1:18">
      <c r="A556" s="3" t="s">
        <v>7102</v>
      </c>
      <c r="B556" s="3" t="s">
        <v>7103</v>
      </c>
      <c r="C556" s="3" t="s">
        <v>6156</v>
      </c>
      <c r="D556" s="3"/>
      <c r="E556" s="3" t="s">
        <v>6275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7104</v>
      </c>
      <c r="B557" s="3" t="s">
        <v>7105</v>
      </c>
      <c r="C557" s="3" t="s">
        <v>2242</v>
      </c>
      <c r="D557" s="3"/>
      <c r="E557" s="3" t="s">
        <v>6275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7106</v>
      </c>
      <c r="B558" s="3" t="s">
        <v>7107</v>
      </c>
      <c r="C558" s="3" t="s">
        <v>5035</v>
      </c>
      <c r="D558" s="3"/>
      <c r="E558" s="3" t="s">
        <v>6275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7108</v>
      </c>
      <c r="B559" s="3" t="s">
        <v>7109</v>
      </c>
      <c r="C559" s="3" t="s">
        <v>2952</v>
      </c>
      <c r="D559" s="3"/>
      <c r="E559" s="3" t="s">
        <v>6275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7110</v>
      </c>
      <c r="B560" s="3" t="s">
        <v>7111</v>
      </c>
      <c r="C560" s="3" t="s">
        <v>1994</v>
      </c>
      <c r="D560" s="3"/>
      <c r="E560" s="3" t="s">
        <v>6275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7112</v>
      </c>
      <c r="B561" s="3" t="s">
        <v>7113</v>
      </c>
      <c r="C561" s="3" t="s">
        <v>2523</v>
      </c>
      <c r="D561" s="3"/>
      <c r="E561" s="3" t="s">
        <v>6275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7114</v>
      </c>
      <c r="B562" s="3" t="s">
        <v>7115</v>
      </c>
      <c r="C562" s="3" t="s">
        <v>5281</v>
      </c>
      <c r="D562" s="3"/>
      <c r="E562" s="3" t="s">
        <v>6275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7116</v>
      </c>
      <c r="B563" s="3" t="s">
        <v>7117</v>
      </c>
      <c r="C563" s="3" t="s">
        <v>5326</v>
      </c>
      <c r="D563" s="3"/>
      <c r="E563" s="3" t="s">
        <v>6275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7118</v>
      </c>
      <c r="B564" s="3" t="s">
        <v>7119</v>
      </c>
      <c r="C564" s="3" t="s">
        <v>2327</v>
      </c>
      <c r="D564" s="3"/>
      <c r="E564" s="3" t="s">
        <v>6275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7120</v>
      </c>
      <c r="B565" s="3" t="s">
        <v>7121</v>
      </c>
      <c r="C565" s="3" t="s">
        <v>7122</v>
      </c>
      <c r="D565" s="3"/>
      <c r="E565" s="3" t="s">
        <v>6275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7123</v>
      </c>
      <c r="B566" s="3" t="s">
        <v>7124</v>
      </c>
      <c r="C566" s="3" t="s">
        <v>7125</v>
      </c>
      <c r="D566" s="3"/>
      <c r="E566" s="3" t="s">
        <v>6275</v>
      </c>
      <c r="F566" s="3"/>
      <c r="G566" s="3"/>
      <c r="H566" s="3"/>
      <c r="I566" s="3"/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/>
      <c r="P566" s="3">
        <v>0</v>
      </c>
      <c r="Q566" s="3">
        <v>0</v>
      </c>
      <c r="R566" s="3">
        <v>0</v>
      </c>
    </row>
    <row r="567" spans="1:18">
      <c r="A567" s="3" t="s">
        <v>7126</v>
      </c>
      <c r="B567" s="3" t="s">
        <v>7127</v>
      </c>
      <c r="C567" s="3" t="s">
        <v>7128</v>
      </c>
      <c r="D567" s="3"/>
      <c r="E567" s="3" t="s">
        <v>6275</v>
      </c>
      <c r="F567" s="3"/>
      <c r="G567" s="3"/>
      <c r="H567" s="3"/>
      <c r="I567" s="3"/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/>
      <c r="P567" s="3">
        <v>0</v>
      </c>
      <c r="Q567" s="3">
        <v>0</v>
      </c>
      <c r="R567" s="3">
        <v>0</v>
      </c>
    </row>
    <row r="568" spans="1:18">
      <c r="A568" s="3" t="s">
        <v>7129</v>
      </c>
      <c r="B568" s="3" t="s">
        <v>7130</v>
      </c>
      <c r="C568" s="3" t="s">
        <v>7131</v>
      </c>
      <c r="D568" s="3"/>
      <c r="E568" s="3" t="s">
        <v>6275</v>
      </c>
      <c r="F568" s="3"/>
      <c r="G568" s="3"/>
      <c r="H568" s="3"/>
      <c r="I568" s="3"/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/>
      <c r="P568" s="3">
        <v>0</v>
      </c>
      <c r="Q568" s="3">
        <v>0</v>
      </c>
      <c r="R568" s="3">
        <v>0</v>
      </c>
    </row>
    <row r="569" spans="1:18">
      <c r="A569" s="3" t="s">
        <v>7132</v>
      </c>
      <c r="B569" s="3" t="s">
        <v>7133</v>
      </c>
      <c r="C569" s="3" t="s">
        <v>7134</v>
      </c>
      <c r="D569" s="3"/>
      <c r="E569" s="3" t="s">
        <v>6275</v>
      </c>
      <c r="F569" s="3"/>
      <c r="G569" s="3"/>
      <c r="H569" s="3"/>
      <c r="I569" s="3"/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/>
      <c r="P569" s="3">
        <v>0</v>
      </c>
      <c r="Q569" s="3">
        <v>0</v>
      </c>
      <c r="R569" s="3">
        <v>0</v>
      </c>
    </row>
    <row r="570" spans="1:18">
      <c r="A570" s="3" t="s">
        <v>7135</v>
      </c>
      <c r="B570" s="3" t="s">
        <v>7136</v>
      </c>
      <c r="C570" s="3" t="s">
        <v>7137</v>
      </c>
      <c r="D570" s="3"/>
      <c r="E570" s="3" t="s">
        <v>6275</v>
      </c>
      <c r="F570" s="3"/>
      <c r="G570" s="3"/>
      <c r="H570" s="3"/>
      <c r="I570" s="3"/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/>
      <c r="P570" s="3">
        <v>0</v>
      </c>
      <c r="Q570" s="3">
        <v>0</v>
      </c>
      <c r="R570" s="3">
        <v>0</v>
      </c>
    </row>
    <row r="571" spans="1:18">
      <c r="A571" s="3" t="s">
        <v>7138</v>
      </c>
      <c r="B571" s="3" t="s">
        <v>7139</v>
      </c>
      <c r="C571" s="3" t="s">
        <v>7140</v>
      </c>
      <c r="D571" s="3"/>
      <c r="E571" s="3" t="s">
        <v>6275</v>
      </c>
      <c r="F571" s="3"/>
      <c r="G571" s="3"/>
      <c r="H571" s="3"/>
      <c r="I571" s="3"/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/>
      <c r="P571" s="3">
        <v>0</v>
      </c>
      <c r="Q571" s="3">
        <v>0</v>
      </c>
      <c r="R571" s="3">
        <v>0</v>
      </c>
    </row>
    <row r="572" spans="1:18">
      <c r="A572" s="3" t="s">
        <v>7141</v>
      </c>
      <c r="B572" s="3" t="s">
        <v>7142</v>
      </c>
      <c r="C572" s="3" t="s">
        <v>7143</v>
      </c>
      <c r="D572" s="3"/>
      <c r="E572" s="3" t="s">
        <v>6275</v>
      </c>
      <c r="F572" s="3"/>
      <c r="G572" s="3"/>
      <c r="H572" s="3"/>
      <c r="I572" s="3"/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/>
      <c r="P572" s="3">
        <v>0</v>
      </c>
      <c r="Q572" s="3">
        <v>0</v>
      </c>
      <c r="R572" s="3">
        <v>0</v>
      </c>
    </row>
    <row r="573" spans="1:18">
      <c r="A573" s="3" t="s">
        <v>7144</v>
      </c>
      <c r="B573" s="3" t="s">
        <v>7145</v>
      </c>
      <c r="C573" s="3" t="s">
        <v>7146</v>
      </c>
      <c r="D573" s="3"/>
      <c r="E573" s="3" t="s">
        <v>6275</v>
      </c>
      <c r="F573" s="3"/>
      <c r="G573" s="3"/>
      <c r="H573" s="3"/>
      <c r="I573" s="3"/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/>
      <c r="P573" s="3">
        <v>0</v>
      </c>
      <c r="Q573" s="3">
        <v>0</v>
      </c>
      <c r="R573" s="3">
        <v>0</v>
      </c>
    </row>
    <row r="574" spans="1:18">
      <c r="A574" s="3" t="s">
        <v>7147</v>
      </c>
      <c r="B574" s="3" t="s">
        <v>7148</v>
      </c>
      <c r="C574" s="3" t="s">
        <v>7149</v>
      </c>
      <c r="D574" s="3"/>
      <c r="E574" s="3" t="s">
        <v>6275</v>
      </c>
      <c r="F574" s="3"/>
      <c r="G574" s="3"/>
      <c r="H574" s="3"/>
      <c r="I574" s="3"/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/>
      <c r="P574" s="3">
        <v>0</v>
      </c>
      <c r="Q574" s="3">
        <v>0</v>
      </c>
      <c r="R574" s="3">
        <v>0</v>
      </c>
    </row>
    <row r="575" spans="1:18">
      <c r="A575" s="3" t="s">
        <v>7150</v>
      </c>
      <c r="B575" s="3" t="s">
        <v>7151</v>
      </c>
      <c r="C575" s="3" t="s">
        <v>7152</v>
      </c>
      <c r="D575" s="3"/>
      <c r="E575" s="3" t="s">
        <v>6275</v>
      </c>
      <c r="F575" s="3"/>
      <c r="G575" s="3"/>
      <c r="H575" s="3"/>
      <c r="I575" s="3"/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/>
      <c r="P575" s="3">
        <v>0</v>
      </c>
      <c r="Q575" s="3">
        <v>0</v>
      </c>
      <c r="R575" s="3">
        <v>0</v>
      </c>
    </row>
    <row r="576" spans="1:18">
      <c r="A576" s="3" t="s">
        <v>7153</v>
      </c>
      <c r="B576" s="3" t="s">
        <v>7154</v>
      </c>
      <c r="C576" s="3" t="s">
        <v>7155</v>
      </c>
      <c r="D576" s="3" t="s">
        <v>1755</v>
      </c>
      <c r="E576" s="3" t="s">
        <v>1710</v>
      </c>
      <c r="F576" s="3">
        <v>39.99</v>
      </c>
      <c r="G576" s="3" t="s">
        <v>6233</v>
      </c>
      <c r="H576" s="3"/>
      <c r="I576" s="3" t="s">
        <v>6234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0.03</v>
      </c>
      <c r="P576" s="3">
        <v>0</v>
      </c>
      <c r="Q576" s="3">
        <v>0</v>
      </c>
      <c r="R576" s="3">
        <v>0</v>
      </c>
    </row>
    <row r="577" spans="1:18">
      <c r="A577" s="3" t="s">
        <v>7156</v>
      </c>
      <c r="B577" s="3" t="s">
        <v>7157</v>
      </c>
      <c r="C577" s="3" t="s">
        <v>7158</v>
      </c>
      <c r="D577" s="3" t="s">
        <v>1755</v>
      </c>
      <c r="E577" s="3" t="s">
        <v>1710</v>
      </c>
      <c r="F577" s="3">
        <v>39.99</v>
      </c>
      <c r="G577" s="3" t="s">
        <v>6233</v>
      </c>
      <c r="H577" s="3"/>
      <c r="I577" s="3" t="s">
        <v>6234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0.03</v>
      </c>
      <c r="P577" s="3">
        <v>0</v>
      </c>
      <c r="Q577" s="3">
        <v>0</v>
      </c>
      <c r="R577" s="3">
        <v>0</v>
      </c>
    </row>
    <row r="578" spans="1:18">
      <c r="A578" s="3" t="s">
        <v>7159</v>
      </c>
      <c r="B578" s="3" t="s">
        <v>7160</v>
      </c>
      <c r="C578" s="3" t="s">
        <v>7161</v>
      </c>
      <c r="D578" s="3" t="s">
        <v>1755</v>
      </c>
      <c r="E578" s="3" t="s">
        <v>1710</v>
      </c>
      <c r="F578" s="3">
        <v>39.99</v>
      </c>
      <c r="G578" s="3" t="s">
        <v>6233</v>
      </c>
      <c r="H578" s="3"/>
      <c r="I578" s="3" t="s">
        <v>6234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0.03</v>
      </c>
      <c r="P578" s="3">
        <v>0</v>
      </c>
      <c r="Q578" s="3">
        <v>0</v>
      </c>
      <c r="R578" s="3">
        <v>0</v>
      </c>
    </row>
    <row r="579" spans="1:18">
      <c r="A579" s="3" t="s">
        <v>7162</v>
      </c>
      <c r="B579" s="3" t="s">
        <v>7163</v>
      </c>
      <c r="C579" s="3" t="s">
        <v>7164</v>
      </c>
      <c r="D579" s="3" t="s">
        <v>1755</v>
      </c>
      <c r="E579" s="3" t="s">
        <v>1710</v>
      </c>
      <c r="F579" s="3">
        <v>39.99</v>
      </c>
      <c r="G579" s="3" t="s">
        <v>6233</v>
      </c>
      <c r="H579" s="3"/>
      <c r="I579" s="3" t="s">
        <v>6234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0.03</v>
      </c>
      <c r="P579" s="3">
        <v>0</v>
      </c>
      <c r="Q579" s="3">
        <v>0</v>
      </c>
      <c r="R579" s="3">
        <v>0</v>
      </c>
    </row>
    <row r="580" spans="1:18">
      <c r="A580" s="3" t="s">
        <v>7165</v>
      </c>
      <c r="B580" s="3" t="s">
        <v>7166</v>
      </c>
      <c r="C580" s="3" t="s">
        <v>7167</v>
      </c>
      <c r="D580" s="3" t="s">
        <v>1755</v>
      </c>
      <c r="E580" s="3" t="s">
        <v>1710</v>
      </c>
      <c r="F580" s="3">
        <v>39.99</v>
      </c>
      <c r="G580" s="3" t="s">
        <v>6233</v>
      </c>
      <c r="H580" s="3"/>
      <c r="I580" s="3" t="s">
        <v>6234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0.03</v>
      </c>
      <c r="P580" s="3">
        <v>0</v>
      </c>
      <c r="Q580" s="3">
        <v>0</v>
      </c>
      <c r="R580" s="3">
        <v>0</v>
      </c>
    </row>
    <row r="581" spans="1:18">
      <c r="A581" s="3" t="s">
        <v>7168</v>
      </c>
      <c r="B581" s="3" t="s">
        <v>7169</v>
      </c>
      <c r="C581" s="3" t="s">
        <v>7170</v>
      </c>
      <c r="D581" s="3" t="s">
        <v>1755</v>
      </c>
      <c r="E581" s="3" t="s">
        <v>1710</v>
      </c>
      <c r="F581" s="3">
        <v>39.99</v>
      </c>
      <c r="G581" s="3" t="s">
        <v>6233</v>
      </c>
      <c r="H581" s="3"/>
      <c r="I581" s="3" t="s">
        <v>6234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0.03</v>
      </c>
      <c r="P581" s="3">
        <v>0</v>
      </c>
      <c r="Q581" s="3">
        <v>0</v>
      </c>
      <c r="R581" s="3">
        <v>0</v>
      </c>
    </row>
    <row r="582" spans="1:18">
      <c r="A582" s="3" t="s">
        <v>7171</v>
      </c>
      <c r="B582" s="3" t="s">
        <v>7172</v>
      </c>
      <c r="C582" s="3" t="s">
        <v>7173</v>
      </c>
      <c r="D582" s="3" t="s">
        <v>1755</v>
      </c>
      <c r="E582" s="3" t="s">
        <v>1710</v>
      </c>
      <c r="F582" s="3">
        <v>39.99</v>
      </c>
      <c r="G582" s="3" t="s">
        <v>6233</v>
      </c>
      <c r="H582" s="3"/>
      <c r="I582" s="3" t="s">
        <v>6234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0.03</v>
      </c>
      <c r="P582" s="3">
        <v>0</v>
      </c>
      <c r="Q582" s="3">
        <v>0</v>
      </c>
      <c r="R582" s="3">
        <v>0</v>
      </c>
    </row>
    <row r="583" spans="1:18">
      <c r="A583" s="3" t="s">
        <v>7174</v>
      </c>
      <c r="B583" s="3" t="s">
        <v>7175</v>
      </c>
      <c r="C583" s="3" t="s">
        <v>7176</v>
      </c>
      <c r="D583" s="3" t="s">
        <v>1755</v>
      </c>
      <c r="E583" s="3" t="s">
        <v>1710</v>
      </c>
      <c r="F583" s="3">
        <v>39.99</v>
      </c>
      <c r="G583" s="3" t="s">
        <v>6233</v>
      </c>
      <c r="H583" s="3"/>
      <c r="I583" s="3" t="s">
        <v>6234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0.03</v>
      </c>
      <c r="P583" s="3">
        <v>0</v>
      </c>
      <c r="Q583" s="3">
        <v>0</v>
      </c>
      <c r="R583" s="3">
        <v>0</v>
      </c>
    </row>
    <row r="584" spans="1:18">
      <c r="A584" s="3" t="s">
        <v>7177</v>
      </c>
      <c r="B584" s="3" t="s">
        <v>7178</v>
      </c>
      <c r="C584" s="3" t="s">
        <v>7179</v>
      </c>
      <c r="D584" s="3" t="s">
        <v>1755</v>
      </c>
      <c r="E584" s="3" t="s">
        <v>1710</v>
      </c>
      <c r="F584" s="3">
        <v>39.99</v>
      </c>
      <c r="G584" s="3" t="s">
        <v>6233</v>
      </c>
      <c r="H584" s="3"/>
      <c r="I584" s="3" t="s">
        <v>6234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0.03</v>
      </c>
      <c r="P584" s="3">
        <v>0</v>
      </c>
      <c r="Q584" s="3">
        <v>0</v>
      </c>
      <c r="R584" s="3">
        <v>0</v>
      </c>
    </row>
    <row r="585" spans="1:18">
      <c r="A585" s="3" t="s">
        <v>7180</v>
      </c>
      <c r="B585" s="3" t="s">
        <v>7181</v>
      </c>
      <c r="C585" s="3" t="s">
        <v>7182</v>
      </c>
      <c r="D585" s="3" t="s">
        <v>1755</v>
      </c>
      <c r="E585" s="3" t="s">
        <v>1710</v>
      </c>
      <c r="F585" s="3">
        <v>39.99</v>
      </c>
      <c r="G585" s="3" t="s">
        <v>6233</v>
      </c>
      <c r="H585" s="3"/>
      <c r="I585" s="3" t="s">
        <v>6234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0.03</v>
      </c>
      <c r="P585" s="3">
        <v>0</v>
      </c>
      <c r="Q585" s="3">
        <v>0</v>
      </c>
      <c r="R585" s="3">
        <v>0</v>
      </c>
    </row>
    <row r="586" spans="1:18">
      <c r="A586" s="3" t="s">
        <v>7183</v>
      </c>
      <c r="B586" s="3" t="s">
        <v>7184</v>
      </c>
      <c r="C586" s="3" t="s">
        <v>7185</v>
      </c>
      <c r="D586" s="3" t="s">
        <v>1755</v>
      </c>
      <c r="E586" s="3" t="s">
        <v>1710</v>
      </c>
      <c r="F586" s="3">
        <v>39.99</v>
      </c>
      <c r="G586" s="3" t="s">
        <v>6233</v>
      </c>
      <c r="H586" s="3"/>
      <c r="I586" s="3" t="s">
        <v>6234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0.03</v>
      </c>
      <c r="P586" s="3">
        <v>0</v>
      </c>
      <c r="Q586" s="3">
        <v>0</v>
      </c>
      <c r="R586" s="3">
        <v>0</v>
      </c>
    </row>
    <row r="587" spans="1:18">
      <c r="A587" s="3" t="s">
        <v>7186</v>
      </c>
      <c r="B587" s="3" t="s">
        <v>7187</v>
      </c>
      <c r="C587" s="3" t="s">
        <v>7188</v>
      </c>
      <c r="D587" s="3" t="s">
        <v>1755</v>
      </c>
      <c r="E587" s="3" t="s">
        <v>1710</v>
      </c>
      <c r="F587" s="3">
        <v>39.99</v>
      </c>
      <c r="G587" s="3" t="s">
        <v>6233</v>
      </c>
      <c r="H587" s="3"/>
      <c r="I587" s="3" t="s">
        <v>6234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0.03</v>
      </c>
      <c r="P587" s="3">
        <v>0</v>
      </c>
      <c r="Q587" s="3">
        <v>0</v>
      </c>
      <c r="R587" s="3">
        <v>0</v>
      </c>
    </row>
    <row r="588" spans="1:18">
      <c r="A588" s="3" t="s">
        <v>4065</v>
      </c>
      <c r="B588" s="3" t="s">
        <v>4066</v>
      </c>
      <c r="C588" s="3" t="s">
        <v>4067</v>
      </c>
      <c r="D588" s="3" t="s">
        <v>1755</v>
      </c>
      <c r="E588" s="3" t="s">
        <v>1710</v>
      </c>
      <c r="F588" s="3">
        <v>39.99</v>
      </c>
      <c r="G588" s="3" t="s">
        <v>6233</v>
      </c>
      <c r="H588" s="3"/>
      <c r="I588" s="3" t="s">
        <v>6234</v>
      </c>
      <c r="J588" s="3">
        <v>9</v>
      </c>
      <c r="K588" s="3">
        <v>9</v>
      </c>
      <c r="L588" s="3">
        <v>0</v>
      </c>
      <c r="M588" s="3">
        <v>0</v>
      </c>
      <c r="N588" s="3">
        <v>9</v>
      </c>
      <c r="O588" s="3">
        <v>0.06</v>
      </c>
      <c r="P588" s="3">
        <v>0</v>
      </c>
      <c r="Q588" s="3">
        <v>0</v>
      </c>
      <c r="R588" s="3">
        <v>0</v>
      </c>
    </row>
    <row r="589" spans="1:18">
      <c r="A589" s="3" t="s">
        <v>3062</v>
      </c>
      <c r="B589" s="3" t="s">
        <v>3063</v>
      </c>
      <c r="C589" s="3" t="s">
        <v>3064</v>
      </c>
      <c r="D589" s="3" t="s">
        <v>1755</v>
      </c>
      <c r="E589" s="3" t="s">
        <v>1710</v>
      </c>
      <c r="F589" s="3">
        <v>39.99</v>
      </c>
      <c r="G589" s="3" t="s">
        <v>6233</v>
      </c>
      <c r="H589" s="3"/>
      <c r="I589" s="3" t="s">
        <v>6234</v>
      </c>
      <c r="J589" s="3">
        <v>10</v>
      </c>
      <c r="K589" s="3">
        <v>10</v>
      </c>
      <c r="L589" s="3">
        <v>0</v>
      </c>
      <c r="M589" s="3">
        <v>0</v>
      </c>
      <c r="N589" s="3">
        <v>10</v>
      </c>
      <c r="O589" s="3">
        <v>0.06</v>
      </c>
      <c r="P589" s="3">
        <v>0</v>
      </c>
      <c r="Q589" s="3">
        <v>0</v>
      </c>
      <c r="R589" s="3">
        <v>0</v>
      </c>
    </row>
    <row r="590" spans="1:18">
      <c r="A590" s="3" t="s">
        <v>5626</v>
      </c>
      <c r="B590" s="3" t="s">
        <v>5627</v>
      </c>
      <c r="C590" s="3" t="s">
        <v>5628</v>
      </c>
      <c r="D590" s="3" t="s">
        <v>1755</v>
      </c>
      <c r="E590" s="3" t="s">
        <v>1710</v>
      </c>
      <c r="F590" s="3">
        <v>39.99</v>
      </c>
      <c r="G590" s="3" t="s">
        <v>6233</v>
      </c>
      <c r="H590" s="3"/>
      <c r="I590" s="3" t="s">
        <v>6234</v>
      </c>
      <c r="J590" s="3">
        <v>10</v>
      </c>
      <c r="K590" s="3">
        <v>10</v>
      </c>
      <c r="L590" s="3">
        <v>0</v>
      </c>
      <c r="M590" s="3">
        <v>0</v>
      </c>
      <c r="N590" s="3">
        <v>10</v>
      </c>
      <c r="O590" s="3">
        <v>0.06</v>
      </c>
      <c r="P590" s="3">
        <v>0</v>
      </c>
      <c r="Q590" s="3">
        <v>0</v>
      </c>
      <c r="R590" s="3">
        <v>0</v>
      </c>
    </row>
    <row r="591" spans="1:18">
      <c r="A591" s="3" t="s">
        <v>6158</v>
      </c>
      <c r="B591" s="3" t="s">
        <v>6159</v>
      </c>
      <c r="C591" s="3" t="s">
        <v>6160</v>
      </c>
      <c r="D591" s="3" t="s">
        <v>1755</v>
      </c>
      <c r="E591" s="3" t="s">
        <v>1710</v>
      </c>
      <c r="F591" s="3">
        <v>39.99</v>
      </c>
      <c r="G591" s="3" t="s">
        <v>6233</v>
      </c>
      <c r="H591" s="3"/>
      <c r="I591" s="3" t="s">
        <v>6234</v>
      </c>
      <c r="J591" s="3">
        <v>10</v>
      </c>
      <c r="K591" s="3">
        <v>10</v>
      </c>
      <c r="L591" s="3">
        <v>0</v>
      </c>
      <c r="M591" s="3">
        <v>0</v>
      </c>
      <c r="N591" s="3">
        <v>10</v>
      </c>
      <c r="O591" s="3">
        <v>0.06</v>
      </c>
      <c r="P591" s="3">
        <v>0</v>
      </c>
      <c r="Q591" s="3">
        <v>0</v>
      </c>
      <c r="R591" s="3">
        <v>0</v>
      </c>
    </row>
    <row r="592" spans="1:18">
      <c r="A592" s="3" t="s">
        <v>6019</v>
      </c>
      <c r="B592" s="3" t="s">
        <v>6020</v>
      </c>
      <c r="C592" s="3" t="s">
        <v>6021</v>
      </c>
      <c r="D592" s="3" t="s">
        <v>1755</v>
      </c>
      <c r="E592" s="3" t="s">
        <v>1710</v>
      </c>
      <c r="F592" s="3">
        <v>39.99</v>
      </c>
      <c r="G592" s="3" t="s">
        <v>6233</v>
      </c>
      <c r="H592" s="3"/>
      <c r="I592" s="3" t="s">
        <v>6234</v>
      </c>
      <c r="J592" s="3">
        <v>10</v>
      </c>
      <c r="K592" s="3">
        <v>10</v>
      </c>
      <c r="L592" s="3">
        <v>0</v>
      </c>
      <c r="M592" s="3">
        <v>0</v>
      </c>
      <c r="N592" s="3">
        <v>10</v>
      </c>
      <c r="O592" s="3">
        <v>0.06</v>
      </c>
      <c r="P592" s="3">
        <v>0</v>
      </c>
      <c r="Q592" s="3">
        <v>0</v>
      </c>
      <c r="R592" s="3">
        <v>0</v>
      </c>
    </row>
    <row r="593" spans="1:18">
      <c r="A593" s="3" t="s">
        <v>2671</v>
      </c>
      <c r="B593" s="3" t="s">
        <v>2672</v>
      </c>
      <c r="C593" s="3" t="s">
        <v>2673</v>
      </c>
      <c r="D593" s="3" t="s">
        <v>1755</v>
      </c>
      <c r="E593" s="3" t="s">
        <v>1710</v>
      </c>
      <c r="F593" s="3">
        <v>39.99</v>
      </c>
      <c r="G593" s="3" t="s">
        <v>6233</v>
      </c>
      <c r="H593" s="3"/>
      <c r="I593" s="3" t="s">
        <v>6234</v>
      </c>
      <c r="J593" s="3">
        <v>10</v>
      </c>
      <c r="K593" s="3">
        <v>10</v>
      </c>
      <c r="L593" s="3">
        <v>0</v>
      </c>
      <c r="M593" s="3">
        <v>0</v>
      </c>
      <c r="N593" s="3">
        <v>10</v>
      </c>
      <c r="O593" s="3">
        <v>0.06</v>
      </c>
      <c r="P593" s="3">
        <v>0</v>
      </c>
      <c r="Q593" s="3">
        <v>0</v>
      </c>
      <c r="R593" s="3">
        <v>0</v>
      </c>
    </row>
    <row r="594" spans="1:18">
      <c r="A594" s="3" t="s">
        <v>5508</v>
      </c>
      <c r="B594" s="3" t="s">
        <v>5509</v>
      </c>
      <c r="C594" s="3" t="s">
        <v>5510</v>
      </c>
      <c r="D594" s="3" t="s">
        <v>1755</v>
      </c>
      <c r="E594" s="3" t="s">
        <v>1710</v>
      </c>
      <c r="F594" s="3">
        <v>39.99</v>
      </c>
      <c r="G594" s="3" t="s">
        <v>6233</v>
      </c>
      <c r="H594" s="3"/>
      <c r="I594" s="3" t="s">
        <v>6234</v>
      </c>
      <c r="J594" s="3">
        <v>8</v>
      </c>
      <c r="K594" s="3">
        <v>8</v>
      </c>
      <c r="L594" s="3">
        <v>0</v>
      </c>
      <c r="M594" s="3">
        <v>0</v>
      </c>
      <c r="N594" s="3">
        <v>8</v>
      </c>
      <c r="O594" s="3">
        <v>0.06</v>
      </c>
      <c r="P594" s="3">
        <v>0</v>
      </c>
      <c r="Q594" s="3">
        <v>0</v>
      </c>
      <c r="R594" s="3">
        <v>0</v>
      </c>
    </row>
    <row r="595" spans="1:18">
      <c r="A595" s="3" t="s">
        <v>1752</v>
      </c>
      <c r="B595" s="3" t="s">
        <v>1753</v>
      </c>
      <c r="C595" s="3" t="s">
        <v>1754</v>
      </c>
      <c r="D595" s="3" t="s">
        <v>1755</v>
      </c>
      <c r="E595" s="3" t="s">
        <v>1710</v>
      </c>
      <c r="F595" s="3">
        <v>39.99</v>
      </c>
      <c r="G595" s="3" t="s">
        <v>6233</v>
      </c>
      <c r="H595" s="3"/>
      <c r="I595" s="3" t="s">
        <v>6234</v>
      </c>
      <c r="J595" s="3">
        <v>10</v>
      </c>
      <c r="K595" s="3">
        <v>10</v>
      </c>
      <c r="L595" s="3">
        <v>0</v>
      </c>
      <c r="M595" s="3">
        <v>0</v>
      </c>
      <c r="N595" s="3">
        <v>10</v>
      </c>
      <c r="O595" s="3">
        <v>0.06</v>
      </c>
      <c r="P595" s="3">
        <v>0</v>
      </c>
      <c r="Q595" s="3">
        <v>0</v>
      </c>
      <c r="R595" s="3">
        <v>0</v>
      </c>
    </row>
    <row r="596" spans="1:18">
      <c r="A596" s="3" t="s">
        <v>3243</v>
      </c>
      <c r="B596" s="3" t="s">
        <v>3244</v>
      </c>
      <c r="C596" s="3" t="s">
        <v>3245</v>
      </c>
      <c r="D596" s="3" t="s">
        <v>1755</v>
      </c>
      <c r="E596" s="3" t="s">
        <v>1710</v>
      </c>
      <c r="F596" s="3">
        <v>39.99</v>
      </c>
      <c r="G596" s="3" t="s">
        <v>6233</v>
      </c>
      <c r="H596" s="3"/>
      <c r="I596" s="3" t="s">
        <v>6234</v>
      </c>
      <c r="J596" s="3">
        <v>10</v>
      </c>
      <c r="K596" s="3">
        <v>10</v>
      </c>
      <c r="L596" s="3">
        <v>0</v>
      </c>
      <c r="M596" s="3">
        <v>0</v>
      </c>
      <c r="N596" s="3">
        <v>10</v>
      </c>
      <c r="O596" s="3">
        <v>0.06</v>
      </c>
      <c r="P596" s="3">
        <v>0</v>
      </c>
      <c r="Q596" s="3">
        <v>0</v>
      </c>
      <c r="R596" s="3">
        <v>0</v>
      </c>
    </row>
    <row r="597" spans="1:18">
      <c r="A597" s="3" t="s">
        <v>5349</v>
      </c>
      <c r="B597" s="3" t="s">
        <v>5350</v>
      </c>
      <c r="C597" s="3" t="s">
        <v>5351</v>
      </c>
      <c r="D597" s="3" t="s">
        <v>1755</v>
      </c>
      <c r="E597" s="3" t="s">
        <v>1710</v>
      </c>
      <c r="F597" s="3">
        <v>39.99</v>
      </c>
      <c r="G597" s="3" t="s">
        <v>6233</v>
      </c>
      <c r="H597" s="3"/>
      <c r="I597" s="3" t="s">
        <v>6234</v>
      </c>
      <c r="J597" s="3">
        <v>10</v>
      </c>
      <c r="K597" s="3">
        <v>10</v>
      </c>
      <c r="L597" s="3">
        <v>0</v>
      </c>
      <c r="M597" s="3">
        <v>0</v>
      </c>
      <c r="N597" s="3">
        <v>10</v>
      </c>
      <c r="O597" s="3">
        <v>0.06</v>
      </c>
      <c r="P597" s="3">
        <v>0</v>
      </c>
      <c r="Q597" s="3">
        <v>0</v>
      </c>
      <c r="R597" s="3">
        <v>0</v>
      </c>
    </row>
    <row r="598" spans="1:18">
      <c r="A598" s="3" t="s">
        <v>4096</v>
      </c>
      <c r="B598" s="3" t="s">
        <v>4097</v>
      </c>
      <c r="C598" s="3" t="s">
        <v>4098</v>
      </c>
      <c r="D598" s="3" t="s">
        <v>1755</v>
      </c>
      <c r="E598" s="3" t="s">
        <v>1710</v>
      </c>
      <c r="F598" s="3">
        <v>39.99</v>
      </c>
      <c r="G598" s="3" t="s">
        <v>6233</v>
      </c>
      <c r="H598" s="3"/>
      <c r="I598" s="3" t="s">
        <v>6234</v>
      </c>
      <c r="J598" s="3">
        <v>10</v>
      </c>
      <c r="K598" s="3">
        <v>10</v>
      </c>
      <c r="L598" s="3">
        <v>0</v>
      </c>
      <c r="M598" s="3">
        <v>0</v>
      </c>
      <c r="N598" s="3">
        <v>10</v>
      </c>
      <c r="O598" s="3">
        <v>0.06</v>
      </c>
      <c r="P598" s="3">
        <v>0</v>
      </c>
      <c r="Q598" s="3">
        <v>0</v>
      </c>
      <c r="R598" s="3">
        <v>0</v>
      </c>
    </row>
    <row r="599" spans="1:18">
      <c r="A599" s="3" t="s">
        <v>5160</v>
      </c>
      <c r="B599" s="3" t="s">
        <v>5161</v>
      </c>
      <c r="C599" s="3" t="s">
        <v>5162</v>
      </c>
      <c r="D599" s="3" t="s">
        <v>1755</v>
      </c>
      <c r="E599" s="3" t="s">
        <v>1710</v>
      </c>
      <c r="F599" s="3">
        <v>39.99</v>
      </c>
      <c r="G599" s="3" t="s">
        <v>6233</v>
      </c>
      <c r="H599" s="3"/>
      <c r="I599" s="3" t="s">
        <v>6234</v>
      </c>
      <c r="J599" s="3">
        <v>10</v>
      </c>
      <c r="K599" s="3">
        <v>10</v>
      </c>
      <c r="L599" s="3">
        <v>0</v>
      </c>
      <c r="M599" s="3">
        <v>0</v>
      </c>
      <c r="N599" s="3">
        <v>10</v>
      </c>
      <c r="O599" s="3">
        <v>0.06</v>
      </c>
      <c r="P599" s="3">
        <v>0</v>
      </c>
      <c r="Q599" s="3">
        <v>0</v>
      </c>
      <c r="R599" s="3">
        <v>0</v>
      </c>
    </row>
    <row r="600" spans="1:18">
      <c r="A600" s="3" t="s">
        <v>4898</v>
      </c>
      <c r="B600" s="3" t="s">
        <v>4899</v>
      </c>
      <c r="C600" s="3" t="s">
        <v>4900</v>
      </c>
      <c r="D600" s="3" t="s">
        <v>1755</v>
      </c>
      <c r="E600" s="3" t="s">
        <v>1710</v>
      </c>
      <c r="F600" s="3">
        <v>39.99</v>
      </c>
      <c r="G600" s="3" t="s">
        <v>6233</v>
      </c>
      <c r="H600" s="3"/>
      <c r="I600" s="3" t="s">
        <v>6234</v>
      </c>
      <c r="J600" s="3">
        <v>9</v>
      </c>
      <c r="K600" s="3">
        <v>9</v>
      </c>
      <c r="L600" s="3">
        <v>0</v>
      </c>
      <c r="M600" s="3">
        <v>0</v>
      </c>
      <c r="N600" s="3">
        <v>9</v>
      </c>
      <c r="O600" s="3">
        <v>0.06</v>
      </c>
      <c r="P600" s="3">
        <v>0</v>
      </c>
      <c r="Q600" s="3">
        <v>0</v>
      </c>
      <c r="R600" s="3">
        <v>0</v>
      </c>
    </row>
    <row r="601" spans="1:18">
      <c r="A601" s="3" t="s">
        <v>5733</v>
      </c>
      <c r="B601" s="3" t="s">
        <v>5734</v>
      </c>
      <c r="C601" s="3" t="s">
        <v>5735</v>
      </c>
      <c r="D601" s="3" t="s">
        <v>1755</v>
      </c>
      <c r="E601" s="3" t="s">
        <v>1710</v>
      </c>
      <c r="F601" s="3">
        <v>39.99</v>
      </c>
      <c r="G601" s="3" t="s">
        <v>6233</v>
      </c>
      <c r="H601" s="3"/>
      <c r="I601" s="3" t="s">
        <v>6234</v>
      </c>
      <c r="J601" s="3">
        <v>10</v>
      </c>
      <c r="K601" s="3">
        <v>10</v>
      </c>
      <c r="L601" s="3">
        <v>0</v>
      </c>
      <c r="M601" s="3">
        <v>0</v>
      </c>
      <c r="N601" s="3">
        <v>10</v>
      </c>
      <c r="O601" s="3">
        <v>0.06</v>
      </c>
      <c r="P601" s="3">
        <v>0</v>
      </c>
      <c r="Q601" s="3">
        <v>0</v>
      </c>
      <c r="R601" s="3">
        <v>0</v>
      </c>
    </row>
    <row r="602" spans="1:18">
      <c r="A602" s="3" t="s">
        <v>5118</v>
      </c>
      <c r="B602" s="3" t="s">
        <v>5119</v>
      </c>
      <c r="C602" s="3" t="s">
        <v>5120</v>
      </c>
      <c r="D602" s="3" t="s">
        <v>1755</v>
      </c>
      <c r="E602" s="3" t="s">
        <v>1710</v>
      </c>
      <c r="F602" s="3">
        <v>39.99</v>
      </c>
      <c r="G602" s="3" t="s">
        <v>6233</v>
      </c>
      <c r="H602" s="3"/>
      <c r="I602" s="3" t="s">
        <v>6234</v>
      </c>
      <c r="J602" s="3">
        <v>10</v>
      </c>
      <c r="K602" s="3">
        <v>10</v>
      </c>
      <c r="L602" s="3">
        <v>0</v>
      </c>
      <c r="M602" s="3">
        <v>0</v>
      </c>
      <c r="N602" s="3">
        <v>10</v>
      </c>
      <c r="O602" s="3">
        <v>0.06</v>
      </c>
      <c r="P602" s="3">
        <v>0</v>
      </c>
      <c r="Q602" s="3">
        <v>0</v>
      </c>
      <c r="R602" s="3">
        <v>0</v>
      </c>
    </row>
    <row r="603" spans="1:18">
      <c r="A603" s="3" t="s">
        <v>3347</v>
      </c>
      <c r="B603" s="3" t="s">
        <v>3348</v>
      </c>
      <c r="C603" s="3" t="s">
        <v>3349</v>
      </c>
      <c r="D603" s="3" t="s">
        <v>1755</v>
      </c>
      <c r="E603" s="3" t="s">
        <v>1710</v>
      </c>
      <c r="F603" s="3">
        <v>39.99</v>
      </c>
      <c r="G603" s="3" t="s">
        <v>6233</v>
      </c>
      <c r="H603" s="3"/>
      <c r="I603" s="3" t="s">
        <v>6234</v>
      </c>
      <c r="J603" s="3">
        <v>10</v>
      </c>
      <c r="K603" s="3">
        <v>10</v>
      </c>
      <c r="L603" s="3">
        <v>0</v>
      </c>
      <c r="M603" s="3">
        <v>0</v>
      </c>
      <c r="N603" s="3">
        <v>10</v>
      </c>
      <c r="O603" s="3">
        <v>0.06</v>
      </c>
      <c r="P603" s="3">
        <v>0</v>
      </c>
      <c r="Q603" s="3">
        <v>0</v>
      </c>
      <c r="R603" s="3">
        <v>0</v>
      </c>
    </row>
    <row r="604" spans="1:18">
      <c r="A604" s="3" t="s">
        <v>1941</v>
      </c>
      <c r="B604" s="3" t="s">
        <v>1942</v>
      </c>
      <c r="C604" s="3" t="s">
        <v>1943</v>
      </c>
      <c r="D604" s="3" t="s">
        <v>1755</v>
      </c>
      <c r="E604" s="3" t="s">
        <v>1710</v>
      </c>
      <c r="F604" s="3">
        <v>39.99</v>
      </c>
      <c r="G604" s="3" t="s">
        <v>6233</v>
      </c>
      <c r="H604" s="3"/>
      <c r="I604" s="3" t="s">
        <v>6234</v>
      </c>
      <c r="J604" s="3">
        <v>10</v>
      </c>
      <c r="K604" s="3">
        <v>10</v>
      </c>
      <c r="L604" s="3">
        <v>0</v>
      </c>
      <c r="M604" s="3">
        <v>0</v>
      </c>
      <c r="N604" s="3">
        <v>10</v>
      </c>
      <c r="O604" s="3">
        <v>0.06</v>
      </c>
      <c r="P604" s="3">
        <v>0</v>
      </c>
      <c r="Q604" s="3">
        <v>0</v>
      </c>
      <c r="R604" s="3">
        <v>0</v>
      </c>
    </row>
    <row r="605" spans="1:18">
      <c r="A605" s="3" t="s">
        <v>5818</v>
      </c>
      <c r="B605" s="3" t="s">
        <v>5819</v>
      </c>
      <c r="C605" s="3" t="s">
        <v>5820</v>
      </c>
      <c r="D605" s="3" t="s">
        <v>1755</v>
      </c>
      <c r="E605" s="3" t="s">
        <v>1710</v>
      </c>
      <c r="F605" s="3">
        <v>39.99</v>
      </c>
      <c r="G605" s="3" t="s">
        <v>6233</v>
      </c>
      <c r="H605" s="3"/>
      <c r="I605" s="3" t="s">
        <v>6234</v>
      </c>
      <c r="J605" s="3">
        <v>10</v>
      </c>
      <c r="K605" s="3">
        <v>10</v>
      </c>
      <c r="L605" s="3">
        <v>0</v>
      </c>
      <c r="M605" s="3">
        <v>0</v>
      </c>
      <c r="N605" s="3">
        <v>10</v>
      </c>
      <c r="O605" s="3">
        <v>0.06</v>
      </c>
      <c r="P605" s="3">
        <v>0</v>
      </c>
      <c r="Q605" s="3">
        <v>0</v>
      </c>
      <c r="R605" s="3">
        <v>0</v>
      </c>
    </row>
    <row r="606" spans="1:18">
      <c r="A606" s="3" t="s">
        <v>4440</v>
      </c>
      <c r="B606" s="3" t="s">
        <v>4441</v>
      </c>
      <c r="C606" s="3" t="s">
        <v>4442</v>
      </c>
      <c r="D606" s="3" t="s">
        <v>1755</v>
      </c>
      <c r="E606" s="3" t="s">
        <v>1710</v>
      </c>
      <c r="F606" s="3">
        <v>39.99</v>
      </c>
      <c r="G606" s="3" t="s">
        <v>6233</v>
      </c>
      <c r="H606" s="3"/>
      <c r="I606" s="3" t="s">
        <v>6234</v>
      </c>
      <c r="J606" s="3">
        <v>10</v>
      </c>
      <c r="K606" s="3">
        <v>10</v>
      </c>
      <c r="L606" s="3">
        <v>0</v>
      </c>
      <c r="M606" s="3">
        <v>0</v>
      </c>
      <c r="N606" s="3">
        <v>10</v>
      </c>
      <c r="O606" s="3">
        <v>0.06</v>
      </c>
      <c r="P606" s="3">
        <v>0</v>
      </c>
      <c r="Q606" s="3">
        <v>0</v>
      </c>
      <c r="R606" s="3">
        <v>0</v>
      </c>
    </row>
    <row r="607" spans="1:18">
      <c r="A607" s="3" t="s">
        <v>5420</v>
      </c>
      <c r="B607" s="3" t="s">
        <v>5421</v>
      </c>
      <c r="C607" s="3" t="s">
        <v>5422</v>
      </c>
      <c r="D607" s="3" t="s">
        <v>1755</v>
      </c>
      <c r="E607" s="3" t="s">
        <v>1710</v>
      </c>
      <c r="F607" s="3">
        <v>39.99</v>
      </c>
      <c r="G607" s="3" t="s">
        <v>6233</v>
      </c>
      <c r="H607" s="3"/>
      <c r="I607" s="3" t="s">
        <v>6234</v>
      </c>
      <c r="J607" s="3">
        <v>10</v>
      </c>
      <c r="K607" s="3">
        <v>10</v>
      </c>
      <c r="L607" s="3">
        <v>0</v>
      </c>
      <c r="M607" s="3">
        <v>0</v>
      </c>
      <c r="N607" s="3">
        <v>10</v>
      </c>
      <c r="O607" s="3">
        <v>0.06</v>
      </c>
      <c r="P607" s="3">
        <v>0</v>
      </c>
      <c r="Q607" s="3">
        <v>0</v>
      </c>
      <c r="R607" s="3">
        <v>0</v>
      </c>
    </row>
    <row r="608" spans="1:18">
      <c r="A608" s="3" t="s">
        <v>5078</v>
      </c>
      <c r="B608" s="3" t="s">
        <v>5079</v>
      </c>
      <c r="C608" s="3" t="s">
        <v>5080</v>
      </c>
      <c r="D608" s="3" t="s">
        <v>1755</v>
      </c>
      <c r="E608" s="3" t="s">
        <v>1710</v>
      </c>
      <c r="F608" s="3">
        <v>39.99</v>
      </c>
      <c r="G608" s="3" t="s">
        <v>6233</v>
      </c>
      <c r="H608" s="3"/>
      <c r="I608" s="3" t="s">
        <v>6234</v>
      </c>
      <c r="J608" s="3">
        <v>10</v>
      </c>
      <c r="K608" s="3">
        <v>10</v>
      </c>
      <c r="L608" s="3">
        <v>0</v>
      </c>
      <c r="M608" s="3">
        <v>0</v>
      </c>
      <c r="N608" s="3">
        <v>10</v>
      </c>
      <c r="O608" s="3">
        <v>0.06</v>
      </c>
      <c r="P608" s="3">
        <v>0</v>
      </c>
      <c r="Q608" s="3">
        <v>0</v>
      </c>
      <c r="R608" s="3">
        <v>0</v>
      </c>
    </row>
    <row r="609" spans="1:18">
      <c r="A609" s="3" t="s">
        <v>2301</v>
      </c>
      <c r="B609" s="3" t="s">
        <v>2302</v>
      </c>
      <c r="C609" s="3" t="s">
        <v>2303</v>
      </c>
      <c r="D609" s="3" t="s">
        <v>1755</v>
      </c>
      <c r="E609" s="3" t="s">
        <v>1710</v>
      </c>
      <c r="F609" s="3">
        <v>39.99</v>
      </c>
      <c r="G609" s="3" t="s">
        <v>6233</v>
      </c>
      <c r="H609" s="3"/>
      <c r="I609" s="3" t="s">
        <v>6234</v>
      </c>
      <c r="J609" s="3">
        <v>10</v>
      </c>
      <c r="K609" s="3">
        <v>10</v>
      </c>
      <c r="L609" s="3">
        <v>0</v>
      </c>
      <c r="M609" s="3">
        <v>0</v>
      </c>
      <c r="N609" s="3">
        <v>10</v>
      </c>
      <c r="O609" s="3">
        <v>0.06</v>
      </c>
      <c r="P609" s="3">
        <v>0</v>
      </c>
      <c r="Q609" s="3">
        <v>0</v>
      </c>
      <c r="R609" s="3">
        <v>0</v>
      </c>
    </row>
    <row r="610" spans="1:18">
      <c r="A610" s="3" t="s">
        <v>5207</v>
      </c>
      <c r="B610" s="3" t="s">
        <v>5208</v>
      </c>
      <c r="C610" s="3" t="s">
        <v>5209</v>
      </c>
      <c r="D610" s="3" t="s">
        <v>1755</v>
      </c>
      <c r="E610" s="3" t="s">
        <v>1710</v>
      </c>
      <c r="F610" s="3">
        <v>39.99</v>
      </c>
      <c r="G610" s="3" t="s">
        <v>6233</v>
      </c>
      <c r="H610" s="3"/>
      <c r="I610" s="3" t="s">
        <v>6234</v>
      </c>
      <c r="J610" s="3">
        <v>10</v>
      </c>
      <c r="K610" s="3">
        <v>10</v>
      </c>
      <c r="L610" s="3">
        <v>0</v>
      </c>
      <c r="M610" s="3">
        <v>0</v>
      </c>
      <c r="N610" s="3">
        <v>10</v>
      </c>
      <c r="O610" s="3">
        <v>0.06</v>
      </c>
      <c r="P610" s="3">
        <v>0</v>
      </c>
      <c r="Q610" s="3">
        <v>0</v>
      </c>
      <c r="R610" s="3">
        <v>0</v>
      </c>
    </row>
    <row r="611" spans="1:18">
      <c r="A611" s="3" t="s">
        <v>5672</v>
      </c>
      <c r="B611" s="3" t="s">
        <v>5673</v>
      </c>
      <c r="C611" s="3" t="s">
        <v>5674</v>
      </c>
      <c r="D611" s="3" t="s">
        <v>1755</v>
      </c>
      <c r="E611" s="3" t="s">
        <v>1710</v>
      </c>
      <c r="F611" s="3">
        <v>39.99</v>
      </c>
      <c r="G611" s="3" t="s">
        <v>6233</v>
      </c>
      <c r="H611" s="3"/>
      <c r="I611" s="3" t="s">
        <v>6234</v>
      </c>
      <c r="J611" s="3">
        <v>10</v>
      </c>
      <c r="K611" s="3">
        <v>10</v>
      </c>
      <c r="L611" s="3">
        <v>0</v>
      </c>
      <c r="M611" s="3">
        <v>0</v>
      </c>
      <c r="N611" s="3">
        <v>10</v>
      </c>
      <c r="O611" s="3">
        <v>0.06</v>
      </c>
      <c r="P611" s="3">
        <v>0</v>
      </c>
      <c r="Q611" s="3">
        <v>0</v>
      </c>
      <c r="R611" s="3">
        <v>0</v>
      </c>
    </row>
    <row r="612" spans="1:18">
      <c r="A612" s="3" t="s">
        <v>7189</v>
      </c>
      <c r="B612" s="3" t="s">
        <v>7190</v>
      </c>
      <c r="C612" s="3" t="s">
        <v>7191</v>
      </c>
      <c r="D612" s="3" t="s">
        <v>1755</v>
      </c>
      <c r="E612" s="3" t="s">
        <v>1710</v>
      </c>
      <c r="F612" s="3">
        <v>39.99</v>
      </c>
      <c r="G612" s="3" t="s">
        <v>6233</v>
      </c>
      <c r="H612" s="3"/>
      <c r="I612" s="3" t="s">
        <v>6234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0.03</v>
      </c>
      <c r="P612" s="3">
        <v>0</v>
      </c>
      <c r="Q612" s="3">
        <v>0</v>
      </c>
      <c r="R612" s="3">
        <v>0</v>
      </c>
    </row>
    <row r="613" spans="1:18">
      <c r="A613" s="3" t="s">
        <v>7192</v>
      </c>
      <c r="B613" s="3" t="s">
        <v>7193</v>
      </c>
      <c r="C613" s="3" t="s">
        <v>7194</v>
      </c>
      <c r="D613" s="3" t="s">
        <v>1755</v>
      </c>
      <c r="E613" s="3" t="s">
        <v>1710</v>
      </c>
      <c r="F613" s="3">
        <v>39.99</v>
      </c>
      <c r="G613" s="3" t="s">
        <v>6233</v>
      </c>
      <c r="H613" s="3"/>
      <c r="I613" s="3" t="s">
        <v>6234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0.03</v>
      </c>
      <c r="P613" s="3">
        <v>0</v>
      </c>
      <c r="Q613" s="3">
        <v>0</v>
      </c>
      <c r="R613" s="3">
        <v>0</v>
      </c>
    </row>
    <row r="614" spans="1:18">
      <c r="A614" s="3" t="s">
        <v>7195</v>
      </c>
      <c r="B614" s="3" t="s">
        <v>7196</v>
      </c>
      <c r="C614" s="3" t="s">
        <v>7197</v>
      </c>
      <c r="D614" s="3" t="s">
        <v>1755</v>
      </c>
      <c r="E614" s="3" t="s">
        <v>1710</v>
      </c>
      <c r="F614" s="3">
        <v>39.99</v>
      </c>
      <c r="G614" s="3" t="s">
        <v>6233</v>
      </c>
      <c r="H614" s="3"/>
      <c r="I614" s="3" t="s">
        <v>6234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0.03</v>
      </c>
      <c r="P614" s="3">
        <v>0</v>
      </c>
      <c r="Q614" s="3">
        <v>0</v>
      </c>
      <c r="R614" s="3">
        <v>0</v>
      </c>
    </row>
    <row r="615" spans="1:18">
      <c r="A615" s="3" t="s">
        <v>7198</v>
      </c>
      <c r="B615" s="3" t="s">
        <v>7199</v>
      </c>
      <c r="C615" s="3" t="s">
        <v>7200</v>
      </c>
      <c r="D615" s="3" t="s">
        <v>1755</v>
      </c>
      <c r="E615" s="3" t="s">
        <v>1710</v>
      </c>
      <c r="F615" s="3">
        <v>39.99</v>
      </c>
      <c r="G615" s="3" t="s">
        <v>6233</v>
      </c>
      <c r="H615" s="3"/>
      <c r="I615" s="3" t="s">
        <v>6234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0.03</v>
      </c>
      <c r="P615" s="3">
        <v>0</v>
      </c>
      <c r="Q615" s="3">
        <v>0</v>
      </c>
      <c r="R615" s="3">
        <v>0</v>
      </c>
    </row>
    <row r="616" spans="1:18">
      <c r="A616" s="3" t="s">
        <v>7201</v>
      </c>
      <c r="B616" s="3" t="s">
        <v>7202</v>
      </c>
      <c r="C616" s="3" t="s">
        <v>7203</v>
      </c>
      <c r="D616" s="3" t="s">
        <v>1755</v>
      </c>
      <c r="E616" s="3" t="s">
        <v>1710</v>
      </c>
      <c r="F616" s="3">
        <v>39.99</v>
      </c>
      <c r="G616" s="3" t="s">
        <v>6233</v>
      </c>
      <c r="H616" s="3"/>
      <c r="I616" s="3" t="s">
        <v>6234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0.03</v>
      </c>
      <c r="P616" s="3">
        <v>0</v>
      </c>
      <c r="Q616" s="3">
        <v>0</v>
      </c>
      <c r="R616" s="3">
        <v>0</v>
      </c>
    </row>
    <row r="617" spans="1:18">
      <c r="A617" s="3" t="s">
        <v>7204</v>
      </c>
      <c r="B617" s="3" t="s">
        <v>7205</v>
      </c>
      <c r="C617" s="3" t="s">
        <v>7206</v>
      </c>
      <c r="D617" s="3" t="s">
        <v>1755</v>
      </c>
      <c r="E617" s="3" t="s">
        <v>1710</v>
      </c>
      <c r="F617" s="3">
        <v>39.99</v>
      </c>
      <c r="G617" s="3" t="s">
        <v>6233</v>
      </c>
      <c r="H617" s="3"/>
      <c r="I617" s="3" t="s">
        <v>6234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0.03</v>
      </c>
      <c r="P617" s="3">
        <v>0</v>
      </c>
      <c r="Q617" s="3">
        <v>0</v>
      </c>
      <c r="R617" s="3">
        <v>0</v>
      </c>
    </row>
    <row r="618" spans="1:18">
      <c r="A618" s="3" t="s">
        <v>4246</v>
      </c>
      <c r="B618" s="3" t="s">
        <v>4247</v>
      </c>
      <c r="C618" s="3" t="s">
        <v>4248</v>
      </c>
      <c r="D618" s="3" t="s">
        <v>2495</v>
      </c>
      <c r="E618" s="3" t="s">
        <v>1710</v>
      </c>
      <c r="F618" s="3">
        <v>15.99</v>
      </c>
      <c r="G618" s="3" t="s">
        <v>6233</v>
      </c>
      <c r="H618" s="3"/>
      <c r="I618" s="3" t="s">
        <v>6234</v>
      </c>
      <c r="J618" s="3">
        <v>15</v>
      </c>
      <c r="K618" s="3">
        <v>15</v>
      </c>
      <c r="L618" s="3">
        <v>0</v>
      </c>
      <c r="M618" s="3">
        <v>0</v>
      </c>
      <c r="N618" s="3">
        <v>15</v>
      </c>
      <c r="O618" s="3">
        <v>0.09</v>
      </c>
      <c r="P618" s="3">
        <v>0</v>
      </c>
      <c r="Q618" s="3">
        <v>0</v>
      </c>
      <c r="R618" s="3">
        <v>0</v>
      </c>
    </row>
    <row r="619" spans="1:18">
      <c r="A619" s="3" t="s">
        <v>6192</v>
      </c>
      <c r="B619" s="3" t="s">
        <v>6193</v>
      </c>
      <c r="C619" s="3" t="s">
        <v>6194</v>
      </c>
      <c r="D619" s="3" t="s">
        <v>2495</v>
      </c>
      <c r="E619" s="3" t="s">
        <v>1710</v>
      </c>
      <c r="F619" s="3">
        <v>15.99</v>
      </c>
      <c r="G619" s="3" t="s">
        <v>6233</v>
      </c>
      <c r="H619" s="3"/>
      <c r="I619" s="3" t="s">
        <v>6234</v>
      </c>
      <c r="J619" s="3">
        <v>15</v>
      </c>
      <c r="K619" s="3">
        <v>15</v>
      </c>
      <c r="L619" s="3">
        <v>0</v>
      </c>
      <c r="M619" s="3">
        <v>0</v>
      </c>
      <c r="N619" s="3">
        <v>15</v>
      </c>
      <c r="O619" s="3">
        <v>0.09</v>
      </c>
      <c r="P619" s="3">
        <v>0</v>
      </c>
      <c r="Q619" s="3">
        <v>0</v>
      </c>
      <c r="R619" s="3">
        <v>0</v>
      </c>
    </row>
    <row r="620" spans="1:18">
      <c r="A620" s="3" t="s">
        <v>5941</v>
      </c>
      <c r="B620" s="3" t="s">
        <v>5942</v>
      </c>
      <c r="C620" s="3" t="s">
        <v>5943</v>
      </c>
      <c r="D620" s="3" t="s">
        <v>2495</v>
      </c>
      <c r="E620" s="3" t="s">
        <v>1710</v>
      </c>
      <c r="F620" s="3">
        <v>15.99</v>
      </c>
      <c r="G620" s="3" t="s">
        <v>6233</v>
      </c>
      <c r="H620" s="3"/>
      <c r="I620" s="3" t="s">
        <v>6234</v>
      </c>
      <c r="J620" s="3">
        <v>15</v>
      </c>
      <c r="K620" s="3">
        <v>15</v>
      </c>
      <c r="L620" s="3">
        <v>0</v>
      </c>
      <c r="M620" s="3">
        <v>0</v>
      </c>
      <c r="N620" s="3">
        <v>15</v>
      </c>
      <c r="O620" s="3">
        <v>0.09</v>
      </c>
      <c r="P620" s="3">
        <v>0</v>
      </c>
      <c r="Q620" s="3">
        <v>0</v>
      </c>
      <c r="R620" s="3">
        <v>0</v>
      </c>
    </row>
    <row r="621" spans="1:18">
      <c r="A621" s="3" t="s">
        <v>6012</v>
      </c>
      <c r="B621" s="3" t="s">
        <v>6013</v>
      </c>
      <c r="C621" s="3" t="s">
        <v>6014</v>
      </c>
      <c r="D621" s="3" t="s">
        <v>2495</v>
      </c>
      <c r="E621" s="3" t="s">
        <v>1710</v>
      </c>
      <c r="F621" s="3">
        <v>15.99</v>
      </c>
      <c r="G621" s="3" t="s">
        <v>6233</v>
      </c>
      <c r="H621" s="3"/>
      <c r="I621" s="3" t="s">
        <v>6234</v>
      </c>
      <c r="J621" s="3">
        <v>15</v>
      </c>
      <c r="K621" s="3">
        <v>15</v>
      </c>
      <c r="L621" s="3">
        <v>0</v>
      </c>
      <c r="M621" s="3">
        <v>0</v>
      </c>
      <c r="N621" s="3">
        <v>15</v>
      </c>
      <c r="O621" s="3">
        <v>0.09</v>
      </c>
      <c r="P621" s="3">
        <v>0</v>
      </c>
      <c r="Q621" s="3">
        <v>0</v>
      </c>
      <c r="R621" s="3">
        <v>0</v>
      </c>
    </row>
    <row r="622" spans="1:18">
      <c r="A622" s="3" t="s">
        <v>4508</v>
      </c>
      <c r="B622" s="3" t="s">
        <v>4509</v>
      </c>
      <c r="C622" s="3" t="s">
        <v>4510</v>
      </c>
      <c r="D622" s="3" t="s">
        <v>2495</v>
      </c>
      <c r="E622" s="3" t="s">
        <v>1710</v>
      </c>
      <c r="F622" s="3">
        <v>15.99</v>
      </c>
      <c r="G622" s="3" t="s">
        <v>6233</v>
      </c>
      <c r="H622" s="3"/>
      <c r="I622" s="3" t="s">
        <v>6234</v>
      </c>
      <c r="J622" s="3">
        <v>15</v>
      </c>
      <c r="K622" s="3">
        <v>15</v>
      </c>
      <c r="L622" s="3">
        <v>0</v>
      </c>
      <c r="M622" s="3">
        <v>0</v>
      </c>
      <c r="N622" s="3">
        <v>15</v>
      </c>
      <c r="O622" s="3">
        <v>0.09</v>
      </c>
      <c r="P622" s="3">
        <v>0</v>
      </c>
      <c r="Q622" s="3">
        <v>0</v>
      </c>
      <c r="R622" s="3">
        <v>0</v>
      </c>
    </row>
    <row r="623" spans="1:18">
      <c r="A623" s="3" t="s">
        <v>5295</v>
      </c>
      <c r="B623" s="3" t="s">
        <v>5296</v>
      </c>
      <c r="C623" s="3" t="s">
        <v>5297</v>
      </c>
      <c r="D623" s="3" t="s">
        <v>2495</v>
      </c>
      <c r="E623" s="3" t="s">
        <v>1710</v>
      </c>
      <c r="F623" s="3">
        <v>15.99</v>
      </c>
      <c r="G623" s="3" t="s">
        <v>6233</v>
      </c>
      <c r="H623" s="3"/>
      <c r="I623" s="3" t="s">
        <v>6234</v>
      </c>
      <c r="J623" s="3">
        <v>15</v>
      </c>
      <c r="K623" s="3">
        <v>15</v>
      </c>
      <c r="L623" s="3">
        <v>0</v>
      </c>
      <c r="M623" s="3">
        <v>0</v>
      </c>
      <c r="N623" s="3">
        <v>15</v>
      </c>
      <c r="O623" s="3">
        <v>0.09</v>
      </c>
      <c r="P623" s="3">
        <v>0</v>
      </c>
      <c r="Q623" s="3">
        <v>0</v>
      </c>
      <c r="R623" s="3">
        <v>0</v>
      </c>
    </row>
    <row r="624" spans="1:18">
      <c r="A624" s="3" t="s">
        <v>5482</v>
      </c>
      <c r="B624" s="3" t="s">
        <v>5483</v>
      </c>
      <c r="C624" s="3" t="s">
        <v>5484</v>
      </c>
      <c r="D624" s="3" t="s">
        <v>2495</v>
      </c>
      <c r="E624" s="3" t="s">
        <v>1710</v>
      </c>
      <c r="F624" s="3">
        <v>15.99</v>
      </c>
      <c r="G624" s="3" t="s">
        <v>6233</v>
      </c>
      <c r="H624" s="3"/>
      <c r="I624" s="3" t="s">
        <v>6234</v>
      </c>
      <c r="J624" s="3">
        <v>15</v>
      </c>
      <c r="K624" s="3">
        <v>15</v>
      </c>
      <c r="L624" s="3">
        <v>0</v>
      </c>
      <c r="M624" s="3">
        <v>0</v>
      </c>
      <c r="N624" s="3">
        <v>15</v>
      </c>
      <c r="O624" s="3">
        <v>0.09</v>
      </c>
      <c r="P624" s="3">
        <v>0</v>
      </c>
      <c r="Q624" s="3">
        <v>0</v>
      </c>
      <c r="R624" s="3">
        <v>0</v>
      </c>
    </row>
    <row r="625" spans="1:18">
      <c r="A625" s="3" t="s">
        <v>5961</v>
      </c>
      <c r="B625" s="3" t="s">
        <v>5962</v>
      </c>
      <c r="C625" s="3" t="s">
        <v>5963</v>
      </c>
      <c r="D625" s="3" t="s">
        <v>2495</v>
      </c>
      <c r="E625" s="3" t="s">
        <v>1710</v>
      </c>
      <c r="F625" s="3">
        <v>15.99</v>
      </c>
      <c r="G625" s="3" t="s">
        <v>6233</v>
      </c>
      <c r="H625" s="3"/>
      <c r="I625" s="3" t="s">
        <v>6234</v>
      </c>
      <c r="J625" s="3">
        <v>15</v>
      </c>
      <c r="K625" s="3">
        <v>15</v>
      </c>
      <c r="L625" s="3">
        <v>0</v>
      </c>
      <c r="M625" s="3">
        <v>0</v>
      </c>
      <c r="N625" s="3">
        <v>15</v>
      </c>
      <c r="O625" s="3">
        <v>0.09</v>
      </c>
      <c r="P625" s="3">
        <v>0</v>
      </c>
      <c r="Q625" s="3">
        <v>0</v>
      </c>
      <c r="R625" s="3">
        <v>0</v>
      </c>
    </row>
    <row r="626" spans="1:18">
      <c r="A626" s="3" t="s">
        <v>3940</v>
      </c>
      <c r="B626" s="3" t="s">
        <v>3941</v>
      </c>
      <c r="C626" s="3" t="s">
        <v>3942</v>
      </c>
      <c r="D626" s="3" t="s">
        <v>2495</v>
      </c>
      <c r="E626" s="3" t="s">
        <v>1710</v>
      </c>
      <c r="F626" s="3">
        <v>15.99</v>
      </c>
      <c r="G626" s="3" t="s">
        <v>6233</v>
      </c>
      <c r="H626" s="3"/>
      <c r="I626" s="3" t="s">
        <v>6234</v>
      </c>
      <c r="J626" s="3">
        <v>15</v>
      </c>
      <c r="K626" s="3">
        <v>15</v>
      </c>
      <c r="L626" s="3">
        <v>0</v>
      </c>
      <c r="M626" s="3">
        <v>0</v>
      </c>
      <c r="N626" s="3">
        <v>15</v>
      </c>
      <c r="O626" s="3">
        <v>0.09</v>
      </c>
      <c r="P626" s="3">
        <v>0</v>
      </c>
      <c r="Q626" s="3">
        <v>0</v>
      </c>
      <c r="R626" s="3">
        <v>0</v>
      </c>
    </row>
    <row r="627" spans="1:18">
      <c r="A627" s="3" t="s">
        <v>3551</v>
      </c>
      <c r="B627" s="3" t="s">
        <v>3552</v>
      </c>
      <c r="C627" s="3" t="s">
        <v>3553</v>
      </c>
      <c r="D627" s="3" t="s">
        <v>2495</v>
      </c>
      <c r="E627" s="3" t="s">
        <v>1710</v>
      </c>
      <c r="F627" s="3">
        <v>15.99</v>
      </c>
      <c r="G627" s="3" t="s">
        <v>6233</v>
      </c>
      <c r="H627" s="3"/>
      <c r="I627" s="3" t="s">
        <v>6234</v>
      </c>
      <c r="J627" s="3">
        <v>15</v>
      </c>
      <c r="K627" s="3">
        <v>15</v>
      </c>
      <c r="L627" s="3">
        <v>0</v>
      </c>
      <c r="M627" s="3">
        <v>0</v>
      </c>
      <c r="N627" s="3">
        <v>15</v>
      </c>
      <c r="O627" s="3">
        <v>0.09</v>
      </c>
      <c r="P627" s="3">
        <v>0</v>
      </c>
      <c r="Q627" s="3">
        <v>0</v>
      </c>
      <c r="R627" s="3">
        <v>0</v>
      </c>
    </row>
    <row r="628" spans="1:18">
      <c r="A628" s="3" t="s">
        <v>2765</v>
      </c>
      <c r="B628" s="3" t="s">
        <v>2766</v>
      </c>
      <c r="C628" s="3" t="s">
        <v>2767</v>
      </c>
      <c r="D628" s="3" t="s">
        <v>2495</v>
      </c>
      <c r="E628" s="3" t="s">
        <v>1710</v>
      </c>
      <c r="F628" s="3">
        <v>15.99</v>
      </c>
      <c r="G628" s="3" t="s">
        <v>6233</v>
      </c>
      <c r="H628" s="3"/>
      <c r="I628" s="3" t="s">
        <v>6234</v>
      </c>
      <c r="J628" s="3">
        <v>15</v>
      </c>
      <c r="K628" s="3">
        <v>15</v>
      </c>
      <c r="L628" s="3">
        <v>0</v>
      </c>
      <c r="M628" s="3">
        <v>0</v>
      </c>
      <c r="N628" s="3">
        <v>15</v>
      </c>
      <c r="O628" s="3">
        <v>0.09</v>
      </c>
      <c r="P628" s="3">
        <v>0</v>
      </c>
      <c r="Q628" s="3">
        <v>0</v>
      </c>
      <c r="R628" s="3">
        <v>0</v>
      </c>
    </row>
    <row r="629" spans="1:18">
      <c r="A629" s="3" t="s">
        <v>5460</v>
      </c>
      <c r="B629" s="3" t="s">
        <v>5461</v>
      </c>
      <c r="C629" s="3" t="s">
        <v>5462</v>
      </c>
      <c r="D629" s="3" t="s">
        <v>2495</v>
      </c>
      <c r="E629" s="3" t="s">
        <v>1710</v>
      </c>
      <c r="F629" s="3">
        <v>15.99</v>
      </c>
      <c r="G629" s="3" t="s">
        <v>6233</v>
      </c>
      <c r="H629" s="3"/>
      <c r="I629" s="3" t="s">
        <v>6234</v>
      </c>
      <c r="J629" s="3">
        <v>15</v>
      </c>
      <c r="K629" s="3">
        <v>15</v>
      </c>
      <c r="L629" s="3">
        <v>0</v>
      </c>
      <c r="M629" s="3">
        <v>0</v>
      </c>
      <c r="N629" s="3">
        <v>15</v>
      </c>
      <c r="O629" s="3">
        <v>0.09</v>
      </c>
      <c r="P629" s="3">
        <v>0</v>
      </c>
      <c r="Q629" s="3">
        <v>0</v>
      </c>
      <c r="R629" s="3">
        <v>0</v>
      </c>
    </row>
    <row r="630" spans="1:18">
      <c r="A630" s="3" t="s">
        <v>5038</v>
      </c>
      <c r="B630" s="3" t="s">
        <v>5039</v>
      </c>
      <c r="C630" s="3" t="s">
        <v>5040</v>
      </c>
      <c r="D630" s="3" t="s">
        <v>2495</v>
      </c>
      <c r="E630" s="3" t="s">
        <v>1710</v>
      </c>
      <c r="F630" s="3">
        <v>15.99</v>
      </c>
      <c r="G630" s="3" t="s">
        <v>6233</v>
      </c>
      <c r="H630" s="3"/>
      <c r="I630" s="3" t="s">
        <v>6234</v>
      </c>
      <c r="J630" s="3">
        <v>15</v>
      </c>
      <c r="K630" s="3">
        <v>15</v>
      </c>
      <c r="L630" s="3">
        <v>0</v>
      </c>
      <c r="M630" s="3">
        <v>0</v>
      </c>
      <c r="N630" s="3">
        <v>15</v>
      </c>
      <c r="O630" s="3">
        <v>0.09</v>
      </c>
      <c r="P630" s="3">
        <v>0</v>
      </c>
      <c r="Q630" s="3">
        <v>0</v>
      </c>
      <c r="R630" s="3">
        <v>0</v>
      </c>
    </row>
    <row r="631" spans="1:18">
      <c r="A631" s="3" t="s">
        <v>4702</v>
      </c>
      <c r="B631" s="3" t="s">
        <v>4703</v>
      </c>
      <c r="C631" s="3" t="s">
        <v>4704</v>
      </c>
      <c r="D631" s="3" t="s">
        <v>2495</v>
      </c>
      <c r="E631" s="3" t="s">
        <v>1710</v>
      </c>
      <c r="F631" s="3">
        <v>15.99</v>
      </c>
      <c r="G631" s="3" t="s">
        <v>6233</v>
      </c>
      <c r="H631" s="3"/>
      <c r="I631" s="3" t="s">
        <v>6234</v>
      </c>
      <c r="J631" s="3">
        <v>15</v>
      </c>
      <c r="K631" s="3">
        <v>15</v>
      </c>
      <c r="L631" s="3">
        <v>0</v>
      </c>
      <c r="M631" s="3">
        <v>0</v>
      </c>
      <c r="N631" s="3">
        <v>15</v>
      </c>
      <c r="O631" s="3">
        <v>0.09</v>
      </c>
      <c r="P631" s="3">
        <v>0</v>
      </c>
      <c r="Q631" s="3">
        <v>0</v>
      </c>
      <c r="R631" s="3">
        <v>0</v>
      </c>
    </row>
    <row r="632" spans="1:18">
      <c r="A632" s="3" t="s">
        <v>4298</v>
      </c>
      <c r="B632" s="3" t="s">
        <v>4299</v>
      </c>
      <c r="C632" s="3" t="s">
        <v>4300</v>
      </c>
      <c r="D632" s="3" t="s">
        <v>2495</v>
      </c>
      <c r="E632" s="3" t="s">
        <v>1710</v>
      </c>
      <c r="F632" s="3">
        <v>15.99</v>
      </c>
      <c r="G632" s="3" t="s">
        <v>6233</v>
      </c>
      <c r="H632" s="3"/>
      <c r="I632" s="3" t="s">
        <v>6234</v>
      </c>
      <c r="J632" s="3">
        <v>15</v>
      </c>
      <c r="K632" s="3">
        <v>15</v>
      </c>
      <c r="L632" s="3">
        <v>0</v>
      </c>
      <c r="M632" s="3">
        <v>0</v>
      </c>
      <c r="N632" s="3">
        <v>15</v>
      </c>
      <c r="O632" s="3">
        <v>0.09</v>
      </c>
      <c r="P632" s="3">
        <v>0</v>
      </c>
      <c r="Q632" s="3">
        <v>0</v>
      </c>
      <c r="R632" s="3">
        <v>0</v>
      </c>
    </row>
    <row r="633" spans="1:18">
      <c r="A633" s="3" t="s">
        <v>5445</v>
      </c>
      <c r="B633" s="3" t="s">
        <v>5446</v>
      </c>
      <c r="C633" s="3" t="s">
        <v>5447</v>
      </c>
      <c r="D633" s="3" t="s">
        <v>2495</v>
      </c>
      <c r="E633" s="3" t="s">
        <v>1710</v>
      </c>
      <c r="F633" s="3">
        <v>15.99</v>
      </c>
      <c r="G633" s="3" t="s">
        <v>6233</v>
      </c>
      <c r="H633" s="3"/>
      <c r="I633" s="3" t="s">
        <v>6234</v>
      </c>
      <c r="J633" s="3">
        <v>15</v>
      </c>
      <c r="K633" s="3">
        <v>15</v>
      </c>
      <c r="L633" s="3">
        <v>0</v>
      </c>
      <c r="M633" s="3">
        <v>0</v>
      </c>
      <c r="N633" s="3">
        <v>15</v>
      </c>
      <c r="O633" s="3">
        <v>0.09</v>
      </c>
      <c r="P633" s="3">
        <v>0</v>
      </c>
      <c r="Q633" s="3">
        <v>0</v>
      </c>
      <c r="R633" s="3">
        <v>0</v>
      </c>
    </row>
    <row r="634" spans="1:18">
      <c r="A634" s="3" t="s">
        <v>6147</v>
      </c>
      <c r="B634" s="3" t="s">
        <v>6148</v>
      </c>
      <c r="C634" s="3" t="s">
        <v>6149</v>
      </c>
      <c r="D634" s="3" t="s">
        <v>2495</v>
      </c>
      <c r="E634" s="3" t="s">
        <v>1710</v>
      </c>
      <c r="F634" s="3">
        <v>15.99</v>
      </c>
      <c r="G634" s="3" t="s">
        <v>6233</v>
      </c>
      <c r="H634" s="3"/>
      <c r="I634" s="3" t="s">
        <v>6234</v>
      </c>
      <c r="J634" s="3">
        <v>15</v>
      </c>
      <c r="K634" s="3">
        <v>15</v>
      </c>
      <c r="L634" s="3">
        <v>0</v>
      </c>
      <c r="M634" s="3">
        <v>0</v>
      </c>
      <c r="N634" s="3">
        <v>15</v>
      </c>
      <c r="O634" s="3">
        <v>0.09</v>
      </c>
      <c r="P634" s="3">
        <v>0</v>
      </c>
      <c r="Q634" s="3">
        <v>0</v>
      </c>
      <c r="R634" s="3">
        <v>0</v>
      </c>
    </row>
    <row r="635" spans="1:18">
      <c r="A635" s="3" t="s">
        <v>5107</v>
      </c>
      <c r="B635" s="3" t="s">
        <v>5108</v>
      </c>
      <c r="C635" s="3" t="s">
        <v>5109</v>
      </c>
      <c r="D635" s="3" t="s">
        <v>2495</v>
      </c>
      <c r="E635" s="3" t="s">
        <v>1710</v>
      </c>
      <c r="F635" s="3">
        <v>15.99</v>
      </c>
      <c r="G635" s="3" t="s">
        <v>6233</v>
      </c>
      <c r="H635" s="3"/>
      <c r="I635" s="3" t="s">
        <v>6234</v>
      </c>
      <c r="J635" s="3">
        <v>15</v>
      </c>
      <c r="K635" s="3">
        <v>15</v>
      </c>
      <c r="L635" s="3">
        <v>0</v>
      </c>
      <c r="M635" s="3">
        <v>0</v>
      </c>
      <c r="N635" s="3">
        <v>15</v>
      </c>
      <c r="O635" s="3">
        <v>0.09</v>
      </c>
      <c r="P635" s="3">
        <v>0</v>
      </c>
      <c r="Q635" s="3">
        <v>0</v>
      </c>
      <c r="R635" s="3">
        <v>0</v>
      </c>
    </row>
    <row r="636" spans="1:18">
      <c r="A636" s="3" t="s">
        <v>7207</v>
      </c>
      <c r="B636" s="3" t="s">
        <v>7208</v>
      </c>
      <c r="C636" s="3" t="s">
        <v>7209</v>
      </c>
      <c r="D636" s="3" t="s">
        <v>2495</v>
      </c>
      <c r="E636" s="3" t="s">
        <v>1710</v>
      </c>
      <c r="F636" s="3">
        <v>15.99</v>
      </c>
      <c r="G636" s="3" t="s">
        <v>6233</v>
      </c>
      <c r="H636" s="3"/>
      <c r="I636" s="3" t="s">
        <v>6234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</row>
    <row r="637" spans="1:18">
      <c r="A637" s="3" t="s">
        <v>7210</v>
      </c>
      <c r="B637" s="3" t="s">
        <v>7211</v>
      </c>
      <c r="C637" s="3" t="s">
        <v>7212</v>
      </c>
      <c r="D637" s="3" t="s">
        <v>2495</v>
      </c>
      <c r="E637" s="3" t="s">
        <v>1710</v>
      </c>
      <c r="F637" s="3">
        <v>15.99</v>
      </c>
      <c r="G637" s="3" t="s">
        <v>6233</v>
      </c>
      <c r="H637" s="3"/>
      <c r="I637" s="3" t="s">
        <v>6234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</row>
    <row r="638" spans="1:18">
      <c r="A638" s="3" t="s">
        <v>7213</v>
      </c>
      <c r="B638" s="3" t="s">
        <v>7214</v>
      </c>
      <c r="C638" s="3" t="s">
        <v>7215</v>
      </c>
      <c r="D638" s="3" t="s">
        <v>7216</v>
      </c>
      <c r="E638" s="3" t="s">
        <v>1710</v>
      </c>
      <c r="F638" s="3">
        <v>15.99</v>
      </c>
      <c r="G638" s="3" t="s">
        <v>6233</v>
      </c>
      <c r="H638" s="3"/>
      <c r="I638" s="3" t="s">
        <v>6234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</row>
    <row r="639" spans="1:18">
      <c r="A639" s="3" t="s">
        <v>7217</v>
      </c>
      <c r="B639" s="3" t="s">
        <v>7218</v>
      </c>
      <c r="C639" s="3" t="s">
        <v>7219</v>
      </c>
      <c r="D639" s="3" t="s">
        <v>2495</v>
      </c>
      <c r="E639" s="3" t="s">
        <v>1710</v>
      </c>
      <c r="F639" s="3">
        <v>15.99</v>
      </c>
      <c r="G639" s="3" t="s">
        <v>6233</v>
      </c>
      <c r="H639" s="3"/>
      <c r="I639" s="3" t="s">
        <v>6234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</row>
    <row r="640" spans="1:18">
      <c r="A640" s="3" t="s">
        <v>7220</v>
      </c>
      <c r="B640" s="3" t="s">
        <v>7221</v>
      </c>
      <c r="C640" s="3" t="s">
        <v>7222</v>
      </c>
      <c r="D640" s="3" t="s">
        <v>2495</v>
      </c>
      <c r="E640" s="3" t="s">
        <v>1710</v>
      </c>
      <c r="F640" s="3">
        <v>15.99</v>
      </c>
      <c r="G640" s="3" t="s">
        <v>6233</v>
      </c>
      <c r="H640" s="3"/>
      <c r="I640" s="3" t="s">
        <v>6234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</row>
    <row r="641" spans="1:18">
      <c r="A641" s="3" t="s">
        <v>7223</v>
      </c>
      <c r="B641" s="3" t="s">
        <v>7224</v>
      </c>
      <c r="C641" s="3" t="s">
        <v>7225</v>
      </c>
      <c r="D641" s="3" t="s">
        <v>2495</v>
      </c>
      <c r="E641" s="3" t="s">
        <v>1710</v>
      </c>
      <c r="F641" s="3">
        <v>15.99</v>
      </c>
      <c r="G641" s="3" t="s">
        <v>6233</v>
      </c>
      <c r="H641" s="3"/>
      <c r="I641" s="3" t="s">
        <v>6234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</row>
    <row r="642" spans="1:18">
      <c r="A642" s="3" t="s">
        <v>7226</v>
      </c>
      <c r="B642" s="3" t="s">
        <v>7227</v>
      </c>
      <c r="C642" s="3" t="s">
        <v>7228</v>
      </c>
      <c r="D642" s="3" t="s">
        <v>7216</v>
      </c>
      <c r="E642" s="3" t="s">
        <v>1710</v>
      </c>
      <c r="F642" s="3">
        <v>15.99</v>
      </c>
      <c r="G642" s="3" t="s">
        <v>6233</v>
      </c>
      <c r="H642" s="3"/>
      <c r="I642" s="3" t="s">
        <v>6234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</row>
    <row r="643" spans="1:18">
      <c r="A643" s="3" t="s">
        <v>7229</v>
      </c>
      <c r="B643" s="3" t="s">
        <v>7230</v>
      </c>
      <c r="C643" s="3" t="s">
        <v>7231</v>
      </c>
      <c r="D643" s="3" t="s">
        <v>2495</v>
      </c>
      <c r="E643" s="3" t="s">
        <v>1710</v>
      </c>
      <c r="F643" s="3">
        <v>15.99</v>
      </c>
      <c r="G643" s="3" t="s">
        <v>6233</v>
      </c>
      <c r="H643" s="3"/>
      <c r="I643" s="3" t="s">
        <v>6234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</row>
    <row r="644" spans="1:18">
      <c r="A644" s="3" t="s">
        <v>7232</v>
      </c>
      <c r="B644" s="3" t="s">
        <v>7233</v>
      </c>
      <c r="C644" s="3" t="s">
        <v>7234</v>
      </c>
      <c r="D644" s="3" t="s">
        <v>2495</v>
      </c>
      <c r="E644" s="3" t="s">
        <v>1710</v>
      </c>
      <c r="F644" s="3">
        <v>15.99</v>
      </c>
      <c r="G644" s="3" t="s">
        <v>6233</v>
      </c>
      <c r="H644" s="3"/>
      <c r="I644" s="3" t="s">
        <v>6234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</row>
    <row r="645" spans="1:18">
      <c r="A645" s="3" t="s">
        <v>7235</v>
      </c>
      <c r="B645" s="3" t="s">
        <v>7236</v>
      </c>
      <c r="C645" s="3" t="s">
        <v>7237</v>
      </c>
      <c r="D645" s="3" t="s">
        <v>2495</v>
      </c>
      <c r="E645" s="3" t="s">
        <v>1710</v>
      </c>
      <c r="F645" s="3">
        <v>15.99</v>
      </c>
      <c r="G645" s="3" t="s">
        <v>6233</v>
      </c>
      <c r="H645" s="3"/>
      <c r="I645" s="3" t="s">
        <v>6234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3">
        <v>0</v>
      </c>
      <c r="Q645" s="3">
        <v>0</v>
      </c>
      <c r="R645" s="3">
        <v>0</v>
      </c>
    </row>
    <row r="646" spans="1:18">
      <c r="A646" s="3" t="s">
        <v>7238</v>
      </c>
      <c r="B646" s="3" t="s">
        <v>7239</v>
      </c>
      <c r="C646" s="3" t="s">
        <v>7240</v>
      </c>
      <c r="D646" s="3" t="s">
        <v>2495</v>
      </c>
      <c r="E646" s="3" t="s">
        <v>1710</v>
      </c>
      <c r="F646" s="3">
        <v>15.99</v>
      </c>
      <c r="G646" s="3" t="s">
        <v>6233</v>
      </c>
      <c r="H646" s="3"/>
      <c r="I646" s="3" t="s">
        <v>6234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</row>
    <row r="647" spans="1:18">
      <c r="A647" s="3" t="s">
        <v>7241</v>
      </c>
      <c r="B647" s="3" t="s">
        <v>7242</v>
      </c>
      <c r="C647" s="3" t="s">
        <v>7243</v>
      </c>
      <c r="D647" s="3" t="s">
        <v>2495</v>
      </c>
      <c r="E647" s="3" t="s">
        <v>1710</v>
      </c>
      <c r="F647" s="3">
        <v>15.99</v>
      </c>
      <c r="G647" s="3" t="s">
        <v>6233</v>
      </c>
      <c r="H647" s="3"/>
      <c r="I647" s="3" t="s">
        <v>6234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</row>
    <row r="648" spans="1:18">
      <c r="A648" s="3" t="s">
        <v>4353</v>
      </c>
      <c r="B648" s="3" t="s">
        <v>4354</v>
      </c>
      <c r="C648" s="3" t="s">
        <v>4355</v>
      </c>
      <c r="D648" s="3" t="s">
        <v>2495</v>
      </c>
      <c r="E648" s="3" t="s">
        <v>1710</v>
      </c>
      <c r="F648" s="3">
        <v>15.99</v>
      </c>
      <c r="G648" s="3" t="s">
        <v>6233</v>
      </c>
      <c r="H648" s="3"/>
      <c r="I648" s="3" t="s">
        <v>6234</v>
      </c>
      <c r="J648" s="3">
        <v>15</v>
      </c>
      <c r="K648" s="3">
        <v>15</v>
      </c>
      <c r="L648" s="3">
        <v>0</v>
      </c>
      <c r="M648" s="3">
        <v>0</v>
      </c>
      <c r="N648" s="3">
        <v>15</v>
      </c>
      <c r="O648" s="3">
        <v>0.09</v>
      </c>
      <c r="P648" s="3">
        <v>0</v>
      </c>
      <c r="Q648" s="3">
        <v>0</v>
      </c>
      <c r="R648" s="3">
        <v>0</v>
      </c>
    </row>
    <row r="649" spans="1:18">
      <c r="A649" s="3" t="s">
        <v>3087</v>
      </c>
      <c r="B649" s="3" t="s">
        <v>3088</v>
      </c>
      <c r="C649" s="3" t="s">
        <v>3089</v>
      </c>
      <c r="D649" s="3" t="s">
        <v>2495</v>
      </c>
      <c r="E649" s="3" t="s">
        <v>1710</v>
      </c>
      <c r="F649" s="3">
        <v>15.99</v>
      </c>
      <c r="G649" s="3" t="s">
        <v>6233</v>
      </c>
      <c r="H649" s="3"/>
      <c r="I649" s="3" t="s">
        <v>6234</v>
      </c>
      <c r="J649" s="3">
        <v>15</v>
      </c>
      <c r="K649" s="3">
        <v>15</v>
      </c>
      <c r="L649" s="3">
        <v>0</v>
      </c>
      <c r="M649" s="3">
        <v>0</v>
      </c>
      <c r="N649" s="3">
        <v>15</v>
      </c>
      <c r="O649" s="3">
        <v>0.09</v>
      </c>
      <c r="P649" s="3">
        <v>0</v>
      </c>
      <c r="Q649" s="3">
        <v>0</v>
      </c>
      <c r="R649" s="3">
        <v>0</v>
      </c>
    </row>
    <row r="650" spans="1:18">
      <c r="A650" s="3" t="s">
        <v>5643</v>
      </c>
      <c r="B650" s="3" t="s">
        <v>5644</v>
      </c>
      <c r="C650" s="3" t="s">
        <v>5645</v>
      </c>
      <c r="D650" s="3" t="s">
        <v>2495</v>
      </c>
      <c r="E650" s="3" t="s">
        <v>1710</v>
      </c>
      <c r="F650" s="3">
        <v>15.99</v>
      </c>
      <c r="G650" s="3" t="s">
        <v>6233</v>
      </c>
      <c r="H650" s="3"/>
      <c r="I650" s="3" t="s">
        <v>6234</v>
      </c>
      <c r="J650" s="3">
        <v>15</v>
      </c>
      <c r="K650" s="3">
        <v>15</v>
      </c>
      <c r="L650" s="3">
        <v>0</v>
      </c>
      <c r="M650" s="3">
        <v>0</v>
      </c>
      <c r="N650" s="3">
        <v>15</v>
      </c>
      <c r="O650" s="3">
        <v>0.09</v>
      </c>
      <c r="P650" s="3">
        <v>0</v>
      </c>
      <c r="Q650" s="3">
        <v>0</v>
      </c>
      <c r="R650" s="3">
        <v>0</v>
      </c>
    </row>
    <row r="651" spans="1:18">
      <c r="A651" s="3" t="s">
        <v>4566</v>
      </c>
      <c r="B651" s="3" t="s">
        <v>4567</v>
      </c>
      <c r="C651" s="3" t="s">
        <v>4568</v>
      </c>
      <c r="D651" s="3" t="s">
        <v>2495</v>
      </c>
      <c r="E651" s="3" t="s">
        <v>1710</v>
      </c>
      <c r="F651" s="3">
        <v>15.99</v>
      </c>
      <c r="G651" s="3" t="s">
        <v>6233</v>
      </c>
      <c r="H651" s="3"/>
      <c r="I651" s="3" t="s">
        <v>6234</v>
      </c>
      <c r="J651" s="3">
        <v>14</v>
      </c>
      <c r="K651" s="3">
        <v>14</v>
      </c>
      <c r="L651" s="3">
        <v>0</v>
      </c>
      <c r="M651" s="3">
        <v>0</v>
      </c>
      <c r="N651" s="3">
        <v>14</v>
      </c>
      <c r="O651" s="3">
        <v>0.09</v>
      </c>
      <c r="P651" s="3">
        <v>0</v>
      </c>
      <c r="Q651" s="3">
        <v>0</v>
      </c>
      <c r="R651" s="3">
        <v>0</v>
      </c>
    </row>
    <row r="652" spans="1:18">
      <c r="A652" s="3" t="s">
        <v>2492</v>
      </c>
      <c r="B652" s="3" t="s">
        <v>2493</v>
      </c>
      <c r="C652" s="3" t="s">
        <v>2494</v>
      </c>
      <c r="D652" s="3" t="s">
        <v>2495</v>
      </c>
      <c r="E652" s="3" t="s">
        <v>1710</v>
      </c>
      <c r="F652" s="3">
        <v>15.99</v>
      </c>
      <c r="G652" s="3" t="s">
        <v>6233</v>
      </c>
      <c r="H652" s="3"/>
      <c r="I652" s="3" t="s">
        <v>6234</v>
      </c>
      <c r="J652" s="3">
        <v>15</v>
      </c>
      <c r="K652" s="3">
        <v>15</v>
      </c>
      <c r="L652" s="3">
        <v>0</v>
      </c>
      <c r="M652" s="3">
        <v>0</v>
      </c>
      <c r="N652" s="3">
        <v>15</v>
      </c>
      <c r="O652" s="3">
        <v>0.09</v>
      </c>
      <c r="P652" s="3">
        <v>0</v>
      </c>
      <c r="Q652" s="3">
        <v>0</v>
      </c>
      <c r="R652" s="3">
        <v>0</v>
      </c>
    </row>
    <row r="653" spans="1:18">
      <c r="A653" s="3" t="s">
        <v>4879</v>
      </c>
      <c r="B653" s="3" t="s">
        <v>4880</v>
      </c>
      <c r="C653" s="3" t="s">
        <v>4881</v>
      </c>
      <c r="D653" s="3" t="s">
        <v>2495</v>
      </c>
      <c r="E653" s="3" t="s">
        <v>1710</v>
      </c>
      <c r="F653" s="3">
        <v>15.99</v>
      </c>
      <c r="G653" s="3" t="s">
        <v>6233</v>
      </c>
      <c r="H653" s="3"/>
      <c r="I653" s="3" t="s">
        <v>6234</v>
      </c>
      <c r="J653" s="3">
        <v>15</v>
      </c>
      <c r="K653" s="3">
        <v>15</v>
      </c>
      <c r="L653" s="3">
        <v>0</v>
      </c>
      <c r="M653" s="3">
        <v>0</v>
      </c>
      <c r="N653" s="3">
        <v>15</v>
      </c>
      <c r="O653" s="3">
        <v>0.09</v>
      </c>
      <c r="P653" s="3">
        <v>0</v>
      </c>
      <c r="Q653" s="3">
        <v>0</v>
      </c>
      <c r="R653" s="3">
        <v>0</v>
      </c>
    </row>
    <row r="654" spans="1:18">
      <c r="A654" s="3" t="s">
        <v>2755</v>
      </c>
      <c r="B654" s="3" t="s">
        <v>2756</v>
      </c>
      <c r="C654" s="3" t="s">
        <v>2757</v>
      </c>
      <c r="D654" s="3" t="s">
        <v>2495</v>
      </c>
      <c r="E654" s="3" t="s">
        <v>1710</v>
      </c>
      <c r="F654" s="3">
        <v>15.99</v>
      </c>
      <c r="G654" s="3" t="s">
        <v>6233</v>
      </c>
      <c r="H654" s="3"/>
      <c r="I654" s="3" t="s">
        <v>6234</v>
      </c>
      <c r="J654" s="3">
        <v>15</v>
      </c>
      <c r="K654" s="3">
        <v>15</v>
      </c>
      <c r="L654" s="3">
        <v>0</v>
      </c>
      <c r="M654" s="3">
        <v>0</v>
      </c>
      <c r="N654" s="3">
        <v>15</v>
      </c>
      <c r="O654" s="3">
        <v>0.09</v>
      </c>
      <c r="P654" s="3">
        <v>0</v>
      </c>
      <c r="Q654" s="3">
        <v>0</v>
      </c>
      <c r="R654" s="3">
        <v>0</v>
      </c>
    </row>
    <row r="655" spans="1:18">
      <c r="A655" s="3" t="s">
        <v>3995</v>
      </c>
      <c r="B655" s="3" t="s">
        <v>3996</v>
      </c>
      <c r="C655" s="3" t="s">
        <v>3997</v>
      </c>
      <c r="D655" s="3" t="s">
        <v>2495</v>
      </c>
      <c r="E655" s="3" t="s">
        <v>1710</v>
      </c>
      <c r="F655" s="3">
        <v>15.99</v>
      </c>
      <c r="G655" s="3" t="s">
        <v>6233</v>
      </c>
      <c r="H655" s="3"/>
      <c r="I655" s="3" t="s">
        <v>6234</v>
      </c>
      <c r="J655" s="3">
        <v>15</v>
      </c>
      <c r="K655" s="3">
        <v>15</v>
      </c>
      <c r="L655" s="3">
        <v>0</v>
      </c>
      <c r="M655" s="3">
        <v>0</v>
      </c>
      <c r="N655" s="3">
        <v>15</v>
      </c>
      <c r="O655" s="3">
        <v>0.09</v>
      </c>
      <c r="P655" s="3">
        <v>0</v>
      </c>
      <c r="Q655" s="3">
        <v>0</v>
      </c>
      <c r="R655" s="3">
        <v>0</v>
      </c>
    </row>
    <row r="656" spans="1:18">
      <c r="A656" s="3" t="s">
        <v>4379</v>
      </c>
      <c r="B656" s="3" t="s">
        <v>4380</v>
      </c>
      <c r="C656" s="3" t="s">
        <v>4381</v>
      </c>
      <c r="D656" s="3" t="s">
        <v>2495</v>
      </c>
      <c r="E656" s="3" t="s">
        <v>1710</v>
      </c>
      <c r="F656" s="3">
        <v>15.99</v>
      </c>
      <c r="G656" s="3" t="s">
        <v>6233</v>
      </c>
      <c r="H656" s="3"/>
      <c r="I656" s="3" t="s">
        <v>6234</v>
      </c>
      <c r="J656" s="3">
        <v>15</v>
      </c>
      <c r="K656" s="3">
        <v>15</v>
      </c>
      <c r="L656" s="3">
        <v>0</v>
      </c>
      <c r="M656" s="3">
        <v>0</v>
      </c>
      <c r="N656" s="3">
        <v>15</v>
      </c>
      <c r="O656" s="3">
        <v>0.09</v>
      </c>
      <c r="P656" s="3">
        <v>0</v>
      </c>
      <c r="Q656" s="3">
        <v>0</v>
      </c>
      <c r="R656" s="3">
        <v>0</v>
      </c>
    </row>
    <row r="657" spans="1:18">
      <c r="A657" s="3" t="s">
        <v>4054</v>
      </c>
      <c r="B657" s="3" t="s">
        <v>4055</v>
      </c>
      <c r="C657" s="3" t="s">
        <v>4056</v>
      </c>
      <c r="D657" s="3" t="s">
        <v>2495</v>
      </c>
      <c r="E657" s="3" t="s">
        <v>1710</v>
      </c>
      <c r="F657" s="3">
        <v>15.99</v>
      </c>
      <c r="G657" s="3" t="s">
        <v>6233</v>
      </c>
      <c r="H657" s="3"/>
      <c r="I657" s="3" t="s">
        <v>6234</v>
      </c>
      <c r="J657" s="3">
        <v>15</v>
      </c>
      <c r="K657" s="3">
        <v>15</v>
      </c>
      <c r="L657" s="3">
        <v>0</v>
      </c>
      <c r="M657" s="3">
        <v>0</v>
      </c>
      <c r="N657" s="3">
        <v>15</v>
      </c>
      <c r="O657" s="3">
        <v>0.09</v>
      </c>
      <c r="P657" s="3">
        <v>0</v>
      </c>
      <c r="Q657" s="3">
        <v>0</v>
      </c>
      <c r="R657" s="3">
        <v>0</v>
      </c>
    </row>
    <row r="658" spans="1:18">
      <c r="A658" s="3" t="s">
        <v>5310</v>
      </c>
      <c r="B658" s="3" t="s">
        <v>5311</v>
      </c>
      <c r="C658" s="3" t="s">
        <v>5312</v>
      </c>
      <c r="D658" s="3" t="s">
        <v>2495</v>
      </c>
      <c r="E658" s="3" t="s">
        <v>1710</v>
      </c>
      <c r="F658" s="3">
        <v>15.99</v>
      </c>
      <c r="G658" s="3" t="s">
        <v>6233</v>
      </c>
      <c r="H658" s="3"/>
      <c r="I658" s="3" t="s">
        <v>6234</v>
      </c>
      <c r="J658" s="3">
        <v>15</v>
      </c>
      <c r="K658" s="3">
        <v>15</v>
      </c>
      <c r="L658" s="3">
        <v>0</v>
      </c>
      <c r="M658" s="3">
        <v>0</v>
      </c>
      <c r="N658" s="3">
        <v>15</v>
      </c>
      <c r="O658" s="3">
        <v>0.09</v>
      </c>
      <c r="P658" s="3">
        <v>0</v>
      </c>
      <c r="Q658" s="3">
        <v>0</v>
      </c>
      <c r="R658" s="3">
        <v>0</v>
      </c>
    </row>
    <row r="659" spans="1:18">
      <c r="A659" s="3" t="s">
        <v>4085</v>
      </c>
      <c r="B659" s="3" t="s">
        <v>4086</v>
      </c>
      <c r="C659" s="3" t="s">
        <v>4087</v>
      </c>
      <c r="D659" s="3" t="s">
        <v>2495</v>
      </c>
      <c r="E659" s="3" t="s">
        <v>1710</v>
      </c>
      <c r="F659" s="3">
        <v>15.99</v>
      </c>
      <c r="G659" s="3" t="s">
        <v>6233</v>
      </c>
      <c r="H659" s="3"/>
      <c r="I659" s="3" t="s">
        <v>6234</v>
      </c>
      <c r="J659" s="3">
        <v>14</v>
      </c>
      <c r="K659" s="3">
        <v>14</v>
      </c>
      <c r="L659" s="3">
        <v>0</v>
      </c>
      <c r="M659" s="3">
        <v>0</v>
      </c>
      <c r="N659" s="3">
        <v>14</v>
      </c>
      <c r="O659" s="3">
        <v>0.09</v>
      </c>
      <c r="P659" s="3">
        <v>0</v>
      </c>
      <c r="Q659" s="3">
        <v>0</v>
      </c>
      <c r="R659" s="3">
        <v>0</v>
      </c>
    </row>
    <row r="660" spans="1:18">
      <c r="A660" s="3" t="s">
        <v>3757</v>
      </c>
      <c r="B660" s="3" t="s">
        <v>3758</v>
      </c>
      <c r="C660" s="3" t="s">
        <v>3759</v>
      </c>
      <c r="D660" s="3" t="s">
        <v>3760</v>
      </c>
      <c r="E660" s="3" t="s">
        <v>1710</v>
      </c>
      <c r="F660" s="3">
        <v>35</v>
      </c>
      <c r="G660" s="3" t="s">
        <v>6233</v>
      </c>
      <c r="H660" s="3"/>
      <c r="I660" s="3" t="s">
        <v>6234</v>
      </c>
      <c r="J660" s="3">
        <v>3</v>
      </c>
      <c r="K660" s="3">
        <v>3</v>
      </c>
      <c r="L660" s="3">
        <v>0</v>
      </c>
      <c r="M660" s="3">
        <v>0</v>
      </c>
      <c r="N660" s="3">
        <v>3</v>
      </c>
      <c r="O660" s="3">
        <v>0.13</v>
      </c>
      <c r="P660" s="3">
        <v>0</v>
      </c>
      <c r="Q660" s="3">
        <v>0</v>
      </c>
      <c r="R660" s="3">
        <v>0</v>
      </c>
    </row>
    <row r="661" spans="1:18">
      <c r="A661" s="3" t="s">
        <v>4258</v>
      </c>
      <c r="B661" s="3" t="s">
        <v>4259</v>
      </c>
      <c r="C661" s="3" t="s">
        <v>4260</v>
      </c>
      <c r="D661" s="3" t="s">
        <v>4261</v>
      </c>
      <c r="E661" s="3" t="s">
        <v>1710</v>
      </c>
      <c r="F661" s="3">
        <v>35</v>
      </c>
      <c r="G661" s="3" t="s">
        <v>6233</v>
      </c>
      <c r="H661" s="3"/>
      <c r="I661" s="3" t="s">
        <v>6234</v>
      </c>
      <c r="J661" s="3">
        <v>41</v>
      </c>
      <c r="K661" s="3">
        <v>41</v>
      </c>
      <c r="L661" s="3">
        <v>0</v>
      </c>
      <c r="M661" s="3">
        <v>0</v>
      </c>
      <c r="N661" s="3">
        <v>41</v>
      </c>
      <c r="O661" s="3">
        <v>0.13</v>
      </c>
      <c r="P661" s="3">
        <v>0</v>
      </c>
      <c r="Q661" s="3">
        <v>0</v>
      </c>
      <c r="R661" s="3">
        <v>0</v>
      </c>
    </row>
    <row r="662" spans="1:18">
      <c r="A662" s="3" t="s">
        <v>3470</v>
      </c>
      <c r="B662" s="3" t="s">
        <v>3471</v>
      </c>
      <c r="C662" s="3" t="s">
        <v>3472</v>
      </c>
      <c r="D662" s="3" t="s">
        <v>3473</v>
      </c>
      <c r="E662" s="3" t="s">
        <v>1710</v>
      </c>
      <c r="F662" s="3">
        <v>35</v>
      </c>
      <c r="G662" s="3" t="s">
        <v>6233</v>
      </c>
      <c r="H662" s="3"/>
      <c r="I662" s="3" t="s">
        <v>6234</v>
      </c>
      <c r="J662" s="3">
        <v>26</v>
      </c>
      <c r="K662" s="3">
        <v>26</v>
      </c>
      <c r="L662" s="3">
        <v>0</v>
      </c>
      <c r="M662" s="3">
        <v>0</v>
      </c>
      <c r="N662" s="3">
        <v>26</v>
      </c>
      <c r="O662" s="3">
        <v>0.13</v>
      </c>
      <c r="P662" s="3">
        <v>0</v>
      </c>
      <c r="Q662" s="3">
        <v>0</v>
      </c>
      <c r="R662" s="3">
        <v>0</v>
      </c>
    </row>
    <row r="663" spans="1:18">
      <c r="A663" s="3" t="s">
        <v>4726</v>
      </c>
      <c r="B663" s="3" t="s">
        <v>4727</v>
      </c>
      <c r="C663" s="3" t="s">
        <v>4728</v>
      </c>
      <c r="D663" s="3" t="s">
        <v>4729</v>
      </c>
      <c r="E663" s="3" t="s">
        <v>1710</v>
      </c>
      <c r="F663" s="3">
        <v>35</v>
      </c>
      <c r="G663" s="3" t="s">
        <v>6233</v>
      </c>
      <c r="H663" s="3"/>
      <c r="I663" s="3" t="s">
        <v>6234</v>
      </c>
      <c r="J663" s="3">
        <v>19</v>
      </c>
      <c r="K663" s="3">
        <v>19</v>
      </c>
      <c r="L663" s="3">
        <v>0</v>
      </c>
      <c r="M663" s="3">
        <v>0</v>
      </c>
      <c r="N663" s="3">
        <v>19</v>
      </c>
      <c r="O663" s="3">
        <v>0.13</v>
      </c>
      <c r="P663" s="3">
        <v>0</v>
      </c>
      <c r="Q663" s="3">
        <v>0</v>
      </c>
      <c r="R663" s="3">
        <v>0</v>
      </c>
    </row>
    <row r="664" spans="1:18">
      <c r="A664" s="3" t="s">
        <v>3355</v>
      </c>
      <c r="B664" s="3" t="s">
        <v>3356</v>
      </c>
      <c r="C664" s="3" t="s">
        <v>3357</v>
      </c>
      <c r="D664" s="3" t="s">
        <v>3358</v>
      </c>
      <c r="E664" s="3" t="s">
        <v>1710</v>
      </c>
      <c r="F664" s="3">
        <v>35</v>
      </c>
      <c r="G664" s="3" t="s">
        <v>6233</v>
      </c>
      <c r="H664" s="3"/>
      <c r="I664" s="3" t="s">
        <v>6234</v>
      </c>
      <c r="J664" s="3">
        <v>33</v>
      </c>
      <c r="K664" s="3">
        <v>33</v>
      </c>
      <c r="L664" s="3">
        <v>0</v>
      </c>
      <c r="M664" s="3">
        <v>0</v>
      </c>
      <c r="N664" s="3">
        <v>33</v>
      </c>
      <c r="O664" s="3">
        <v>0.13</v>
      </c>
      <c r="P664" s="3">
        <v>0</v>
      </c>
      <c r="Q664" s="3">
        <v>0</v>
      </c>
      <c r="R664" s="3">
        <v>0</v>
      </c>
    </row>
    <row r="665" spans="1:18">
      <c r="A665" s="3" t="s">
        <v>4322</v>
      </c>
      <c r="B665" s="3" t="s">
        <v>4323</v>
      </c>
      <c r="C665" s="3" t="s">
        <v>4324</v>
      </c>
      <c r="D665" s="3" t="s">
        <v>4325</v>
      </c>
      <c r="E665" s="3" t="s">
        <v>1710</v>
      </c>
      <c r="F665" s="3">
        <v>35</v>
      </c>
      <c r="G665" s="3" t="s">
        <v>6233</v>
      </c>
      <c r="H665" s="3"/>
      <c r="I665" s="3" t="s">
        <v>6234</v>
      </c>
      <c r="J665" s="3">
        <v>35</v>
      </c>
      <c r="K665" s="3">
        <v>35</v>
      </c>
      <c r="L665" s="3">
        <v>0</v>
      </c>
      <c r="M665" s="3">
        <v>0</v>
      </c>
      <c r="N665" s="3">
        <v>35</v>
      </c>
      <c r="O665" s="3">
        <v>0.13</v>
      </c>
      <c r="P665" s="3">
        <v>0</v>
      </c>
      <c r="Q665" s="3">
        <v>0</v>
      </c>
      <c r="R665" s="3">
        <v>0</v>
      </c>
    </row>
    <row r="666" spans="1:18">
      <c r="A666" s="3" t="s">
        <v>3370</v>
      </c>
      <c r="B666" s="3" t="s">
        <v>3371</v>
      </c>
      <c r="C666" s="3" t="s">
        <v>3372</v>
      </c>
      <c r="D666" s="3" t="s">
        <v>3373</v>
      </c>
      <c r="E666" s="3" t="s">
        <v>1710</v>
      </c>
      <c r="F666" s="3">
        <v>35</v>
      </c>
      <c r="G666" s="3" t="s">
        <v>6233</v>
      </c>
      <c r="H666" s="3"/>
      <c r="I666" s="3" t="s">
        <v>6234</v>
      </c>
      <c r="J666" s="3">
        <v>40</v>
      </c>
      <c r="K666" s="3">
        <v>40</v>
      </c>
      <c r="L666" s="3">
        <v>0</v>
      </c>
      <c r="M666" s="3">
        <v>0</v>
      </c>
      <c r="N666" s="3">
        <v>40</v>
      </c>
      <c r="O666" s="3">
        <v>0.13</v>
      </c>
      <c r="P666" s="3">
        <v>0</v>
      </c>
      <c r="Q666" s="3">
        <v>0</v>
      </c>
      <c r="R666" s="3">
        <v>0</v>
      </c>
    </row>
    <row r="667" spans="1:18">
      <c r="A667" s="3" t="s">
        <v>4035</v>
      </c>
      <c r="B667" s="3" t="s">
        <v>4036</v>
      </c>
      <c r="C667" s="3" t="s">
        <v>4037</v>
      </c>
      <c r="D667" s="3" t="s">
        <v>4038</v>
      </c>
      <c r="E667" s="3" t="s">
        <v>1710</v>
      </c>
      <c r="F667" s="3">
        <v>35</v>
      </c>
      <c r="G667" s="3" t="s">
        <v>6233</v>
      </c>
      <c r="H667" s="3"/>
      <c r="I667" s="3" t="s">
        <v>6234</v>
      </c>
      <c r="J667" s="3">
        <v>33</v>
      </c>
      <c r="K667" s="3">
        <v>33</v>
      </c>
      <c r="L667" s="3">
        <v>0</v>
      </c>
      <c r="M667" s="3">
        <v>0</v>
      </c>
      <c r="N667" s="3">
        <v>33</v>
      </c>
      <c r="O667" s="3">
        <v>0.13</v>
      </c>
      <c r="P667" s="3">
        <v>0</v>
      </c>
      <c r="Q667" s="3">
        <v>0</v>
      </c>
      <c r="R667" s="3">
        <v>0</v>
      </c>
    </row>
    <row r="668" spans="1:18">
      <c r="A668" s="3" t="s">
        <v>4921</v>
      </c>
      <c r="B668" s="3" t="s">
        <v>4922</v>
      </c>
      <c r="C668" s="3" t="s">
        <v>4923</v>
      </c>
      <c r="D668" s="3" t="s">
        <v>4924</v>
      </c>
      <c r="E668" s="3" t="s">
        <v>1710</v>
      </c>
      <c r="F668" s="3">
        <v>35</v>
      </c>
      <c r="G668" s="3" t="s">
        <v>6233</v>
      </c>
      <c r="H668" s="3"/>
      <c r="I668" s="3" t="s">
        <v>6234</v>
      </c>
      <c r="J668" s="3">
        <v>32</v>
      </c>
      <c r="K668" s="3">
        <v>32</v>
      </c>
      <c r="L668" s="3">
        <v>0</v>
      </c>
      <c r="M668" s="3">
        <v>0</v>
      </c>
      <c r="N668" s="3">
        <v>32</v>
      </c>
      <c r="O668" s="3">
        <v>0.13</v>
      </c>
      <c r="P668" s="3">
        <v>0</v>
      </c>
      <c r="Q668" s="3">
        <v>0</v>
      </c>
      <c r="R668" s="3">
        <v>0</v>
      </c>
    </row>
    <row r="669" spans="1:18">
      <c r="A669" s="3" t="s">
        <v>2813</v>
      </c>
      <c r="B669" s="3" t="s">
        <v>2814</v>
      </c>
      <c r="C669" s="3" t="s">
        <v>2815</v>
      </c>
      <c r="D669" s="3" t="s">
        <v>2816</v>
      </c>
      <c r="E669" s="3" t="s">
        <v>1710</v>
      </c>
      <c r="F669" s="3">
        <v>35</v>
      </c>
      <c r="G669" s="3" t="s">
        <v>6233</v>
      </c>
      <c r="H669" s="3"/>
      <c r="I669" s="3" t="s">
        <v>6234</v>
      </c>
      <c r="J669" s="3">
        <v>30</v>
      </c>
      <c r="K669" s="3">
        <v>30</v>
      </c>
      <c r="L669" s="3">
        <v>0</v>
      </c>
      <c r="M669" s="3">
        <v>0</v>
      </c>
      <c r="N669" s="3">
        <v>30</v>
      </c>
      <c r="O669" s="3">
        <v>0.13</v>
      </c>
      <c r="P669" s="3">
        <v>0</v>
      </c>
      <c r="Q669" s="3">
        <v>0</v>
      </c>
      <c r="R669" s="3">
        <v>0</v>
      </c>
    </row>
    <row r="670" spans="1:18">
      <c r="A670" s="3" t="s">
        <v>3509</v>
      </c>
      <c r="B670" s="3" t="s">
        <v>3510</v>
      </c>
      <c r="C670" s="3" t="s">
        <v>3511</v>
      </c>
      <c r="D670" s="3" t="s">
        <v>3512</v>
      </c>
      <c r="E670" s="3" t="s">
        <v>1710</v>
      </c>
      <c r="F670" s="3">
        <v>35</v>
      </c>
      <c r="G670" s="3" t="s">
        <v>6233</v>
      </c>
      <c r="H670" s="3"/>
      <c r="I670" s="3" t="s">
        <v>6234</v>
      </c>
      <c r="J670" s="3">
        <v>79</v>
      </c>
      <c r="K670" s="3">
        <v>79</v>
      </c>
      <c r="L670" s="3">
        <v>0</v>
      </c>
      <c r="M670" s="3">
        <v>0</v>
      </c>
      <c r="N670" s="3">
        <v>79</v>
      </c>
      <c r="O670" s="3">
        <v>0.13</v>
      </c>
      <c r="P670" s="3">
        <v>0</v>
      </c>
      <c r="Q670" s="3">
        <v>0</v>
      </c>
      <c r="R670" s="3">
        <v>0</v>
      </c>
    </row>
    <row r="671" spans="1:18">
      <c r="A671" s="3" t="s">
        <v>2175</v>
      </c>
      <c r="B671" s="3" t="s">
        <v>2176</v>
      </c>
      <c r="C671" s="3" t="s">
        <v>2177</v>
      </c>
      <c r="D671" s="3" t="s">
        <v>2178</v>
      </c>
      <c r="E671" s="3" t="s">
        <v>1710</v>
      </c>
      <c r="F671" s="3">
        <v>35</v>
      </c>
      <c r="G671" s="3" t="s">
        <v>6233</v>
      </c>
      <c r="H671" s="3"/>
      <c r="I671" s="3" t="s">
        <v>6234</v>
      </c>
      <c r="J671" s="3">
        <v>15</v>
      </c>
      <c r="K671" s="3">
        <v>15</v>
      </c>
      <c r="L671" s="3">
        <v>0</v>
      </c>
      <c r="M671" s="3">
        <v>0</v>
      </c>
      <c r="N671" s="3">
        <v>15</v>
      </c>
      <c r="O671" s="3">
        <v>0.13</v>
      </c>
      <c r="P671" s="3">
        <v>0</v>
      </c>
      <c r="Q671" s="3">
        <v>0</v>
      </c>
      <c r="R671" s="3">
        <v>0</v>
      </c>
    </row>
    <row r="672" spans="1:18">
      <c r="A672" s="3" t="s">
        <v>6076</v>
      </c>
      <c r="B672" s="3" t="s">
        <v>6077</v>
      </c>
      <c r="C672" s="3" t="s">
        <v>6078</v>
      </c>
      <c r="D672" s="3" t="s">
        <v>6079</v>
      </c>
      <c r="E672" s="3" t="s">
        <v>1710</v>
      </c>
      <c r="F672" s="3">
        <v>35</v>
      </c>
      <c r="G672" s="3" t="s">
        <v>6233</v>
      </c>
      <c r="H672" s="3"/>
      <c r="I672" s="3" t="s">
        <v>6234</v>
      </c>
      <c r="J672" s="3">
        <v>21</v>
      </c>
      <c r="K672" s="3">
        <v>21</v>
      </c>
      <c r="L672" s="3">
        <v>0</v>
      </c>
      <c r="M672" s="3">
        <v>0</v>
      </c>
      <c r="N672" s="3">
        <v>21</v>
      </c>
      <c r="O672" s="3">
        <v>0.13</v>
      </c>
      <c r="P672" s="3">
        <v>0</v>
      </c>
      <c r="Q672" s="3">
        <v>0</v>
      </c>
      <c r="R672" s="3">
        <v>0</v>
      </c>
    </row>
    <row r="673" spans="1:18">
      <c r="A673" s="3" t="s">
        <v>1766</v>
      </c>
      <c r="B673" s="3" t="s">
        <v>1767</v>
      </c>
      <c r="C673" s="3" t="s">
        <v>1768</v>
      </c>
      <c r="D673" s="3" t="s">
        <v>1769</v>
      </c>
      <c r="E673" s="3" t="s">
        <v>1710</v>
      </c>
      <c r="F673" s="3">
        <v>35</v>
      </c>
      <c r="G673" s="3" t="s">
        <v>6233</v>
      </c>
      <c r="H673" s="3"/>
      <c r="I673" s="3" t="s">
        <v>6234</v>
      </c>
      <c r="J673" s="3">
        <v>21</v>
      </c>
      <c r="K673" s="3">
        <v>21</v>
      </c>
      <c r="L673" s="3">
        <v>0</v>
      </c>
      <c r="M673" s="3">
        <v>0</v>
      </c>
      <c r="N673" s="3">
        <v>21</v>
      </c>
      <c r="O673" s="3">
        <v>0.13</v>
      </c>
      <c r="P673" s="3">
        <v>0</v>
      </c>
      <c r="Q673" s="3">
        <v>0</v>
      </c>
      <c r="R673" s="3">
        <v>0</v>
      </c>
    </row>
    <row r="674" spans="1:18">
      <c r="A674" s="3" t="s">
        <v>4832</v>
      </c>
      <c r="B674" s="3" t="s">
        <v>4833</v>
      </c>
      <c r="C674" s="3" t="s">
        <v>4834</v>
      </c>
      <c r="D674" s="3" t="s">
        <v>4835</v>
      </c>
      <c r="E674" s="3" t="s">
        <v>1710</v>
      </c>
      <c r="F674" s="3">
        <v>35</v>
      </c>
      <c r="G674" s="3" t="s">
        <v>6233</v>
      </c>
      <c r="H674" s="3"/>
      <c r="I674" s="3" t="s">
        <v>6234</v>
      </c>
      <c r="J674" s="3">
        <v>16</v>
      </c>
      <c r="K674" s="3">
        <v>16</v>
      </c>
      <c r="L674" s="3">
        <v>0</v>
      </c>
      <c r="M674" s="3">
        <v>0</v>
      </c>
      <c r="N674" s="3">
        <v>16</v>
      </c>
      <c r="O674" s="3">
        <v>0.13</v>
      </c>
      <c r="P674" s="3">
        <v>0</v>
      </c>
      <c r="Q674" s="3">
        <v>0</v>
      </c>
      <c r="R674" s="3">
        <v>0</v>
      </c>
    </row>
    <row r="675" spans="1:18">
      <c r="A675" s="3" t="s">
        <v>4099</v>
      </c>
      <c r="B675" s="3" t="s">
        <v>4100</v>
      </c>
      <c r="C675" s="3" t="s">
        <v>4101</v>
      </c>
      <c r="D675" s="3" t="s">
        <v>4102</v>
      </c>
      <c r="E675" s="3" t="s">
        <v>1710</v>
      </c>
      <c r="F675" s="3">
        <v>35</v>
      </c>
      <c r="G675" s="3" t="s">
        <v>6233</v>
      </c>
      <c r="H675" s="3"/>
      <c r="I675" s="3" t="s">
        <v>6234</v>
      </c>
      <c r="J675" s="3">
        <v>24</v>
      </c>
      <c r="K675" s="3">
        <v>24</v>
      </c>
      <c r="L675" s="3">
        <v>0</v>
      </c>
      <c r="M675" s="3">
        <v>0</v>
      </c>
      <c r="N675" s="3">
        <v>24</v>
      </c>
      <c r="O675" s="3">
        <v>0.13</v>
      </c>
      <c r="P675" s="3">
        <v>0</v>
      </c>
      <c r="Q675" s="3">
        <v>0</v>
      </c>
      <c r="R675" s="3">
        <v>0</v>
      </c>
    </row>
    <row r="676" spans="1:18">
      <c r="A676" s="3" t="s">
        <v>2700</v>
      </c>
      <c r="B676" s="3" t="s">
        <v>2701</v>
      </c>
      <c r="C676" s="3" t="s">
        <v>2702</v>
      </c>
      <c r="D676" s="3" t="s">
        <v>2703</v>
      </c>
      <c r="E676" s="3" t="s">
        <v>1710</v>
      </c>
      <c r="F676" s="3">
        <v>35</v>
      </c>
      <c r="G676" s="3" t="s">
        <v>6233</v>
      </c>
      <c r="H676" s="3"/>
      <c r="I676" s="3" t="s">
        <v>6234</v>
      </c>
      <c r="J676" s="3">
        <v>24</v>
      </c>
      <c r="K676" s="3">
        <v>24</v>
      </c>
      <c r="L676" s="3">
        <v>0</v>
      </c>
      <c r="M676" s="3">
        <v>0</v>
      </c>
      <c r="N676" s="3">
        <v>24</v>
      </c>
      <c r="O676" s="3">
        <v>0.13</v>
      </c>
      <c r="P676" s="3">
        <v>0</v>
      </c>
      <c r="Q676" s="3">
        <v>0</v>
      </c>
      <c r="R676" s="3">
        <v>0</v>
      </c>
    </row>
    <row r="677" spans="1:18">
      <c r="A677" s="3" t="s">
        <v>5511</v>
      </c>
      <c r="B677" s="3" t="s">
        <v>5512</v>
      </c>
      <c r="C677" s="3" t="s">
        <v>5513</v>
      </c>
      <c r="D677" s="3" t="s">
        <v>5514</v>
      </c>
      <c r="E677" s="3" t="s">
        <v>1710</v>
      </c>
      <c r="F677" s="3">
        <v>35</v>
      </c>
      <c r="G677" s="3" t="s">
        <v>6233</v>
      </c>
      <c r="H677" s="3"/>
      <c r="I677" s="3" t="s">
        <v>6234</v>
      </c>
      <c r="J677" s="3">
        <v>24</v>
      </c>
      <c r="K677" s="3">
        <v>24</v>
      </c>
      <c r="L677" s="3">
        <v>0</v>
      </c>
      <c r="M677" s="3">
        <v>0</v>
      </c>
      <c r="N677" s="3">
        <v>24</v>
      </c>
      <c r="O677" s="3">
        <v>0.13</v>
      </c>
      <c r="P677" s="3">
        <v>0</v>
      </c>
      <c r="Q677" s="3">
        <v>0</v>
      </c>
      <c r="R677" s="3">
        <v>0</v>
      </c>
    </row>
    <row r="678" spans="1:18">
      <c r="A678" s="3" t="s">
        <v>5379</v>
      </c>
      <c r="B678" s="3" t="s">
        <v>5380</v>
      </c>
      <c r="C678" s="3" t="s">
        <v>5381</v>
      </c>
      <c r="D678" s="3" t="s">
        <v>5382</v>
      </c>
      <c r="E678" s="3" t="s">
        <v>1710</v>
      </c>
      <c r="F678" s="3">
        <v>35</v>
      </c>
      <c r="G678" s="3" t="s">
        <v>6233</v>
      </c>
      <c r="H678" s="3"/>
      <c r="I678" s="3" t="s">
        <v>6234</v>
      </c>
      <c r="J678" s="3">
        <v>20</v>
      </c>
      <c r="K678" s="3">
        <v>20</v>
      </c>
      <c r="L678" s="3">
        <v>0</v>
      </c>
      <c r="M678" s="3">
        <v>0</v>
      </c>
      <c r="N678" s="3">
        <v>20</v>
      </c>
      <c r="O678" s="3">
        <v>0.13</v>
      </c>
      <c r="P678" s="3">
        <v>0</v>
      </c>
      <c r="Q678" s="3">
        <v>0</v>
      </c>
      <c r="R678" s="3">
        <v>0</v>
      </c>
    </row>
    <row r="679" spans="1:18">
      <c r="A679" s="3" t="s">
        <v>3947</v>
      </c>
      <c r="B679" s="3" t="s">
        <v>3948</v>
      </c>
      <c r="C679" s="3" t="s">
        <v>3949</v>
      </c>
      <c r="D679" s="3" t="s">
        <v>3950</v>
      </c>
      <c r="E679" s="3" t="s">
        <v>1710</v>
      </c>
      <c r="F679" s="3">
        <v>35</v>
      </c>
      <c r="G679" s="3" t="s">
        <v>6233</v>
      </c>
      <c r="H679" s="3"/>
      <c r="I679" s="3" t="s">
        <v>6234</v>
      </c>
      <c r="J679" s="3">
        <v>18</v>
      </c>
      <c r="K679" s="3">
        <v>18</v>
      </c>
      <c r="L679" s="3">
        <v>0</v>
      </c>
      <c r="M679" s="3">
        <v>0</v>
      </c>
      <c r="N679" s="3">
        <v>18</v>
      </c>
      <c r="O679" s="3">
        <v>0.13</v>
      </c>
      <c r="P679" s="3">
        <v>0</v>
      </c>
      <c r="Q679" s="3">
        <v>0</v>
      </c>
      <c r="R679" s="3">
        <v>0</v>
      </c>
    </row>
    <row r="680" spans="1:18">
      <c r="A680" s="3" t="s">
        <v>7244</v>
      </c>
      <c r="B680" s="3" t="s">
        <v>7245</v>
      </c>
      <c r="C680" s="3" t="s">
        <v>7246</v>
      </c>
      <c r="D680" s="3" t="s">
        <v>7247</v>
      </c>
      <c r="E680" s="3" t="s">
        <v>1710</v>
      </c>
      <c r="F680" s="3">
        <v>13.99</v>
      </c>
      <c r="G680" s="3" t="s">
        <v>6233</v>
      </c>
      <c r="H680" s="3"/>
      <c r="I680" s="3" t="s">
        <v>6234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0.05</v>
      </c>
      <c r="P680" s="3">
        <v>0</v>
      </c>
      <c r="Q680" s="3">
        <v>0</v>
      </c>
      <c r="R680" s="3">
        <v>0</v>
      </c>
    </row>
    <row r="681" spans="1:18">
      <c r="A681" s="3" t="s">
        <v>7248</v>
      </c>
      <c r="B681" s="3" t="s">
        <v>7249</v>
      </c>
      <c r="C681" s="3" t="s">
        <v>7250</v>
      </c>
      <c r="D681" s="3" t="s">
        <v>7251</v>
      </c>
      <c r="E681" s="3" t="s">
        <v>1710</v>
      </c>
      <c r="F681" s="3">
        <v>13.99</v>
      </c>
      <c r="G681" s="3" t="s">
        <v>6233</v>
      </c>
      <c r="H681" s="3"/>
      <c r="I681" s="3" t="s">
        <v>6234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0.05</v>
      </c>
      <c r="P681" s="3">
        <v>0</v>
      </c>
      <c r="Q681" s="3">
        <v>0</v>
      </c>
      <c r="R681" s="3">
        <v>0</v>
      </c>
    </row>
    <row r="682" spans="1:18">
      <c r="A682" s="3" t="s">
        <v>2037</v>
      </c>
      <c r="B682" s="3" t="s">
        <v>2038</v>
      </c>
      <c r="C682" s="3" t="s">
        <v>2039</v>
      </c>
      <c r="D682" s="3" t="s">
        <v>2040</v>
      </c>
      <c r="E682" s="3" t="s">
        <v>1710</v>
      </c>
      <c r="F682" s="3">
        <v>13.99</v>
      </c>
      <c r="G682" s="3" t="s">
        <v>6233</v>
      </c>
      <c r="H682" s="3"/>
      <c r="I682" s="3" t="s">
        <v>6234</v>
      </c>
      <c r="J682" s="3">
        <v>1</v>
      </c>
      <c r="K682" s="3">
        <v>1</v>
      </c>
      <c r="L682" s="3">
        <v>0</v>
      </c>
      <c r="M682" s="3">
        <v>0</v>
      </c>
      <c r="N682" s="3">
        <v>1</v>
      </c>
      <c r="O682" s="3">
        <v>0.05</v>
      </c>
      <c r="P682" s="3">
        <v>0</v>
      </c>
      <c r="Q682" s="3">
        <v>0</v>
      </c>
      <c r="R682" s="3">
        <v>0</v>
      </c>
    </row>
    <row r="683" spans="1:18">
      <c r="A683" s="3" t="s">
        <v>7252</v>
      </c>
      <c r="B683" s="3" t="s">
        <v>7253</v>
      </c>
      <c r="C683" s="3" t="s">
        <v>7254</v>
      </c>
      <c r="D683" s="3" t="s">
        <v>7255</v>
      </c>
      <c r="E683" s="3" t="s">
        <v>1710</v>
      </c>
      <c r="F683" s="3">
        <v>13.99</v>
      </c>
      <c r="G683" s="3" t="s">
        <v>6233</v>
      </c>
      <c r="H683" s="3"/>
      <c r="I683" s="3" t="s">
        <v>6234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0.05</v>
      </c>
      <c r="P683" s="3">
        <v>0</v>
      </c>
      <c r="Q683" s="3">
        <v>0</v>
      </c>
      <c r="R683" s="3">
        <v>0</v>
      </c>
    </row>
    <row r="684" spans="1:18">
      <c r="A684" s="3" t="s">
        <v>7256</v>
      </c>
      <c r="B684" s="3" t="s">
        <v>7257</v>
      </c>
      <c r="C684" s="3" t="s">
        <v>7258</v>
      </c>
      <c r="D684" s="3" t="s">
        <v>7259</v>
      </c>
      <c r="E684" s="3" t="s">
        <v>1710</v>
      </c>
      <c r="F684" s="3">
        <v>13.99</v>
      </c>
      <c r="G684" s="3" t="s">
        <v>6233</v>
      </c>
      <c r="H684" s="3"/>
      <c r="I684" s="3" t="s">
        <v>6234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0.05</v>
      </c>
      <c r="P684" s="3">
        <v>0</v>
      </c>
      <c r="Q684" s="3">
        <v>0</v>
      </c>
      <c r="R684" s="3">
        <v>0</v>
      </c>
    </row>
    <row r="685" spans="1:18">
      <c r="A685" s="3" t="s">
        <v>2227</v>
      </c>
      <c r="B685" s="3" t="s">
        <v>2228</v>
      </c>
      <c r="C685" s="3" t="s">
        <v>2229</v>
      </c>
      <c r="D685" s="3" t="s">
        <v>2230</v>
      </c>
      <c r="E685" s="3" t="s">
        <v>1710</v>
      </c>
      <c r="F685" s="3">
        <v>13.99</v>
      </c>
      <c r="G685" s="3" t="s">
        <v>6233</v>
      </c>
      <c r="H685" s="3"/>
      <c r="I685" s="3" t="s">
        <v>6234</v>
      </c>
      <c r="J685" s="3">
        <v>3</v>
      </c>
      <c r="K685" s="3">
        <v>3</v>
      </c>
      <c r="L685" s="3">
        <v>0</v>
      </c>
      <c r="M685" s="3">
        <v>0</v>
      </c>
      <c r="N685" s="3">
        <v>3</v>
      </c>
      <c r="O685" s="3">
        <v>0.05</v>
      </c>
      <c r="P685" s="3">
        <v>0</v>
      </c>
      <c r="Q685" s="3">
        <v>0</v>
      </c>
      <c r="R685" s="3">
        <v>0</v>
      </c>
    </row>
    <row r="686" spans="1:18">
      <c r="A686" s="3" t="s">
        <v>2958</v>
      </c>
      <c r="B686" s="3" t="s">
        <v>2959</v>
      </c>
      <c r="C686" s="3" t="s">
        <v>2960</v>
      </c>
      <c r="D686" s="3" t="s">
        <v>2961</v>
      </c>
      <c r="E686" s="3" t="s">
        <v>1710</v>
      </c>
      <c r="F686" s="3">
        <v>13.99</v>
      </c>
      <c r="G686" s="3" t="s">
        <v>6233</v>
      </c>
      <c r="H686" s="3"/>
      <c r="I686" s="3" t="s">
        <v>6234</v>
      </c>
      <c r="J686" s="3">
        <v>5</v>
      </c>
      <c r="K686" s="3">
        <v>5</v>
      </c>
      <c r="L686" s="3">
        <v>0</v>
      </c>
      <c r="M686" s="3">
        <v>0</v>
      </c>
      <c r="N686" s="3">
        <v>5</v>
      </c>
      <c r="O686" s="3">
        <v>0.05</v>
      </c>
      <c r="P686" s="3">
        <v>0</v>
      </c>
      <c r="Q686" s="3">
        <v>0</v>
      </c>
      <c r="R686" s="3">
        <v>0</v>
      </c>
    </row>
    <row r="687" spans="1:18">
      <c r="A687" s="3" t="s">
        <v>3692</v>
      </c>
      <c r="B687" s="3" t="s">
        <v>3693</v>
      </c>
      <c r="C687" s="3" t="s">
        <v>3694</v>
      </c>
      <c r="D687" s="3" t="s">
        <v>3695</v>
      </c>
      <c r="E687" s="3" t="s">
        <v>1710</v>
      </c>
      <c r="F687" s="3">
        <v>13.99</v>
      </c>
      <c r="G687" s="3" t="s">
        <v>6233</v>
      </c>
      <c r="H687" s="3"/>
      <c r="I687" s="3" t="s">
        <v>6234</v>
      </c>
      <c r="J687" s="3">
        <v>4</v>
      </c>
      <c r="K687" s="3">
        <v>4</v>
      </c>
      <c r="L687" s="3">
        <v>0</v>
      </c>
      <c r="M687" s="3">
        <v>0</v>
      </c>
      <c r="N687" s="3">
        <v>4</v>
      </c>
      <c r="O687" s="3">
        <v>0.05</v>
      </c>
      <c r="P687" s="3">
        <v>0</v>
      </c>
      <c r="Q687" s="3">
        <v>0</v>
      </c>
      <c r="R687" s="3">
        <v>0</v>
      </c>
    </row>
    <row r="688" spans="1:18">
      <c r="A688" s="3" t="s">
        <v>2187</v>
      </c>
      <c r="B688" s="3" t="s">
        <v>2188</v>
      </c>
      <c r="C688" s="3" t="s">
        <v>2189</v>
      </c>
      <c r="D688" s="3" t="s">
        <v>2190</v>
      </c>
      <c r="E688" s="3" t="s">
        <v>1710</v>
      </c>
      <c r="F688" s="3">
        <v>13.99</v>
      </c>
      <c r="G688" s="3" t="s">
        <v>6233</v>
      </c>
      <c r="H688" s="3"/>
      <c r="I688" s="3" t="s">
        <v>6234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</row>
    <row r="689" spans="1:18">
      <c r="A689" s="3" t="s">
        <v>7260</v>
      </c>
      <c r="B689" s="3" t="s">
        <v>7261</v>
      </c>
      <c r="C689" s="3" t="s">
        <v>7262</v>
      </c>
      <c r="D689" s="3" t="s">
        <v>7263</v>
      </c>
      <c r="E689" s="3" t="s">
        <v>1710</v>
      </c>
      <c r="F689" s="3">
        <v>13.99</v>
      </c>
      <c r="G689" s="3" t="s">
        <v>6233</v>
      </c>
      <c r="H689" s="3"/>
      <c r="I689" s="3" t="s">
        <v>6234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0.05</v>
      </c>
      <c r="P689" s="3">
        <v>0</v>
      </c>
      <c r="Q689" s="3">
        <v>0</v>
      </c>
      <c r="R689" s="3">
        <v>0</v>
      </c>
    </row>
    <row r="690" spans="1:18">
      <c r="A690" s="3" t="s">
        <v>7264</v>
      </c>
      <c r="B690" s="3" t="s">
        <v>7265</v>
      </c>
      <c r="C690" s="3" t="s">
        <v>7266</v>
      </c>
      <c r="D690" s="3" t="s">
        <v>7267</v>
      </c>
      <c r="E690" s="3" t="s">
        <v>1710</v>
      </c>
      <c r="F690" s="3">
        <v>13.99</v>
      </c>
      <c r="G690" s="3" t="s">
        <v>6233</v>
      </c>
      <c r="H690" s="3"/>
      <c r="I690" s="3" t="s">
        <v>6234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0.05</v>
      </c>
      <c r="P690" s="3">
        <v>0</v>
      </c>
      <c r="Q690" s="3">
        <v>0</v>
      </c>
      <c r="R690" s="3">
        <v>0</v>
      </c>
    </row>
    <row r="691" spans="1:18">
      <c r="A691" s="3" t="s">
        <v>6120</v>
      </c>
      <c r="B691" s="3" t="s">
        <v>6121</v>
      </c>
      <c r="C691" s="3" t="s">
        <v>6122</v>
      </c>
      <c r="D691" s="3" t="s">
        <v>6123</v>
      </c>
      <c r="E691" s="3" t="s">
        <v>1710</v>
      </c>
      <c r="F691" s="3">
        <v>13.99</v>
      </c>
      <c r="G691" s="3" t="s">
        <v>6233</v>
      </c>
      <c r="H691" s="3"/>
      <c r="I691" s="3" t="s">
        <v>6234</v>
      </c>
      <c r="J691" s="3">
        <v>2</v>
      </c>
      <c r="K691" s="3">
        <v>2</v>
      </c>
      <c r="L691" s="3">
        <v>0</v>
      </c>
      <c r="M691" s="3">
        <v>0</v>
      </c>
      <c r="N691" s="3">
        <v>2</v>
      </c>
      <c r="O691" s="3">
        <v>0.05</v>
      </c>
      <c r="P691" s="3">
        <v>0</v>
      </c>
      <c r="Q691" s="3">
        <v>0</v>
      </c>
      <c r="R691" s="3">
        <v>0</v>
      </c>
    </row>
    <row r="692" spans="1:18">
      <c r="A692" s="3" t="s">
        <v>5494</v>
      </c>
      <c r="B692" s="3" t="s">
        <v>5495</v>
      </c>
      <c r="C692" s="3" t="s">
        <v>5496</v>
      </c>
      <c r="D692" s="3" t="s">
        <v>5497</v>
      </c>
      <c r="E692" s="3" t="s">
        <v>1710</v>
      </c>
      <c r="F692" s="3">
        <v>13.99</v>
      </c>
      <c r="G692" s="3" t="s">
        <v>6233</v>
      </c>
      <c r="H692" s="3"/>
      <c r="I692" s="3" t="s">
        <v>6234</v>
      </c>
      <c r="J692" s="3">
        <v>3</v>
      </c>
      <c r="K692" s="3">
        <v>3</v>
      </c>
      <c r="L692" s="3">
        <v>0</v>
      </c>
      <c r="M692" s="3">
        <v>0</v>
      </c>
      <c r="N692" s="3">
        <v>3</v>
      </c>
      <c r="O692" s="3">
        <v>0.05</v>
      </c>
      <c r="P692" s="3">
        <v>0</v>
      </c>
      <c r="Q692" s="3">
        <v>0</v>
      </c>
      <c r="R692" s="3">
        <v>0</v>
      </c>
    </row>
    <row r="693" spans="1:18">
      <c r="A693" s="3" t="s">
        <v>1901</v>
      </c>
      <c r="B693" s="3" t="s">
        <v>1902</v>
      </c>
      <c r="C693" s="3" t="s">
        <v>1903</v>
      </c>
      <c r="D693" s="3" t="s">
        <v>1904</v>
      </c>
      <c r="E693" s="3" t="s">
        <v>1710</v>
      </c>
      <c r="F693" s="3">
        <v>13.99</v>
      </c>
      <c r="G693" s="3" t="s">
        <v>6233</v>
      </c>
      <c r="H693" s="3"/>
      <c r="I693" s="3" t="s">
        <v>6234</v>
      </c>
      <c r="J693" s="3">
        <v>1</v>
      </c>
      <c r="K693" s="3">
        <v>1</v>
      </c>
      <c r="L693" s="3">
        <v>0</v>
      </c>
      <c r="M693" s="3">
        <v>0</v>
      </c>
      <c r="N693" s="3">
        <v>1</v>
      </c>
      <c r="O693" s="3">
        <v>0.05</v>
      </c>
      <c r="P693" s="3">
        <v>0</v>
      </c>
      <c r="Q693" s="3">
        <v>0</v>
      </c>
      <c r="R693" s="3">
        <v>0</v>
      </c>
    </row>
    <row r="694" spans="1:18">
      <c r="A694" s="3" t="s">
        <v>7268</v>
      </c>
      <c r="B694" s="3" t="s">
        <v>7269</v>
      </c>
      <c r="C694" s="3" t="s">
        <v>7270</v>
      </c>
      <c r="D694" s="3" t="s">
        <v>7271</v>
      </c>
      <c r="E694" s="3" t="s">
        <v>1710</v>
      </c>
      <c r="F694" s="3">
        <v>13.99</v>
      </c>
      <c r="G694" s="3" t="s">
        <v>6233</v>
      </c>
      <c r="H694" s="3"/>
      <c r="I694" s="3" t="s">
        <v>6234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0.05</v>
      </c>
      <c r="P694" s="3">
        <v>0</v>
      </c>
      <c r="Q694" s="3">
        <v>0</v>
      </c>
      <c r="R694" s="3">
        <v>0</v>
      </c>
    </row>
    <row r="695" spans="1:18">
      <c r="A695" s="3" t="s">
        <v>7272</v>
      </c>
      <c r="B695" s="3" t="s">
        <v>7273</v>
      </c>
      <c r="C695" s="3" t="s">
        <v>7274</v>
      </c>
      <c r="D695" s="3" t="s">
        <v>7275</v>
      </c>
      <c r="E695" s="3" t="s">
        <v>1710</v>
      </c>
      <c r="F695" s="3">
        <v>13.99</v>
      </c>
      <c r="G695" s="3" t="s">
        <v>6233</v>
      </c>
      <c r="H695" s="3"/>
      <c r="I695" s="3" t="s">
        <v>6234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0.05</v>
      </c>
      <c r="P695" s="3">
        <v>0</v>
      </c>
      <c r="Q695" s="3">
        <v>0</v>
      </c>
      <c r="R695" s="3">
        <v>0</v>
      </c>
    </row>
    <row r="696" spans="1:18">
      <c r="A696" s="3" t="s">
        <v>3184</v>
      </c>
      <c r="B696" s="3" t="s">
        <v>3185</v>
      </c>
      <c r="C696" s="3" t="s">
        <v>3186</v>
      </c>
      <c r="D696" s="3" t="s">
        <v>3187</v>
      </c>
      <c r="E696" s="3" t="s">
        <v>1710</v>
      </c>
      <c r="F696" s="3">
        <v>13.99</v>
      </c>
      <c r="G696" s="3" t="s">
        <v>6233</v>
      </c>
      <c r="H696" s="3"/>
      <c r="I696" s="3" t="s">
        <v>6234</v>
      </c>
      <c r="J696" s="3">
        <v>1</v>
      </c>
      <c r="K696" s="3">
        <v>1</v>
      </c>
      <c r="L696" s="3">
        <v>0</v>
      </c>
      <c r="M696" s="3">
        <v>0</v>
      </c>
      <c r="N696" s="3">
        <v>1</v>
      </c>
      <c r="O696" s="3">
        <v>0.05</v>
      </c>
      <c r="P696" s="3">
        <v>0</v>
      </c>
      <c r="Q696" s="3">
        <v>0</v>
      </c>
      <c r="R696" s="3">
        <v>0</v>
      </c>
    </row>
    <row r="697" spans="1:18">
      <c r="A697" s="3" t="s">
        <v>7276</v>
      </c>
      <c r="B697" s="3" t="s">
        <v>7277</v>
      </c>
      <c r="C697" s="3" t="s">
        <v>7278</v>
      </c>
      <c r="D697" s="3" t="s">
        <v>7279</v>
      </c>
      <c r="E697" s="3" t="s">
        <v>1710</v>
      </c>
      <c r="F697" s="3">
        <v>13.99</v>
      </c>
      <c r="G697" s="3" t="s">
        <v>6233</v>
      </c>
      <c r="H697" s="3"/>
      <c r="I697" s="3" t="s">
        <v>6234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0.05</v>
      </c>
      <c r="P697" s="3">
        <v>0</v>
      </c>
      <c r="Q697" s="3">
        <v>0</v>
      </c>
      <c r="R697" s="3">
        <v>0</v>
      </c>
    </row>
    <row r="698" spans="1:18">
      <c r="A698" s="3" t="s">
        <v>7280</v>
      </c>
      <c r="B698" s="3" t="s">
        <v>7281</v>
      </c>
      <c r="C698" s="3" t="s">
        <v>7282</v>
      </c>
      <c r="D698" s="3"/>
      <c r="E698" s="3" t="s">
        <v>6275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7283</v>
      </c>
      <c r="B699" s="3" t="s">
        <v>7284</v>
      </c>
      <c r="C699" s="3" t="s">
        <v>7285</v>
      </c>
      <c r="D699" s="3" t="s">
        <v>7286</v>
      </c>
      <c r="E699" s="3" t="s">
        <v>1710</v>
      </c>
      <c r="F699" s="3">
        <v>13.99</v>
      </c>
      <c r="G699" s="3" t="s">
        <v>6233</v>
      </c>
      <c r="H699" s="3"/>
      <c r="I699" s="3" t="s">
        <v>6234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0.05</v>
      </c>
      <c r="P699" s="3">
        <v>0</v>
      </c>
      <c r="Q699" s="3">
        <v>0</v>
      </c>
      <c r="R699" s="3">
        <v>0</v>
      </c>
    </row>
    <row r="700" spans="1:18">
      <c r="A700" s="3" t="s">
        <v>7287</v>
      </c>
      <c r="B700" s="3" t="s">
        <v>7288</v>
      </c>
      <c r="C700" s="3" t="s">
        <v>7289</v>
      </c>
      <c r="D700" s="3" t="s">
        <v>7290</v>
      </c>
      <c r="E700" s="3" t="s">
        <v>1710</v>
      </c>
      <c r="F700" s="3">
        <v>13.99</v>
      </c>
      <c r="G700" s="3" t="s">
        <v>6233</v>
      </c>
      <c r="H700" s="3"/>
      <c r="I700" s="3" t="s">
        <v>6234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0.05</v>
      </c>
      <c r="P700" s="3">
        <v>0</v>
      </c>
      <c r="Q700" s="3">
        <v>0</v>
      </c>
      <c r="R700" s="3">
        <v>0</v>
      </c>
    </row>
    <row r="701" spans="1:18">
      <c r="A701" s="3" t="s">
        <v>4209</v>
      </c>
      <c r="B701" s="3" t="s">
        <v>4210</v>
      </c>
      <c r="C701" s="3" t="s">
        <v>4211</v>
      </c>
      <c r="D701" s="3" t="s">
        <v>4212</v>
      </c>
      <c r="E701" s="3" t="s">
        <v>1710</v>
      </c>
      <c r="F701" s="3">
        <v>13.99</v>
      </c>
      <c r="G701" s="3" t="s">
        <v>6233</v>
      </c>
      <c r="H701" s="3"/>
      <c r="I701" s="3" t="s">
        <v>6234</v>
      </c>
      <c r="J701" s="3">
        <v>1</v>
      </c>
      <c r="K701" s="3">
        <v>1</v>
      </c>
      <c r="L701" s="3">
        <v>0</v>
      </c>
      <c r="M701" s="3">
        <v>0</v>
      </c>
      <c r="N701" s="3">
        <v>1</v>
      </c>
      <c r="O701" s="3">
        <v>0.05</v>
      </c>
      <c r="P701" s="3">
        <v>0</v>
      </c>
      <c r="Q701" s="3">
        <v>0</v>
      </c>
      <c r="R701" s="3">
        <v>0</v>
      </c>
    </row>
    <row r="702" spans="1:18">
      <c r="A702" s="3" t="s">
        <v>4969</v>
      </c>
      <c r="B702" s="3" t="s">
        <v>4970</v>
      </c>
      <c r="C702" s="3" t="s">
        <v>4971</v>
      </c>
      <c r="D702" s="3" t="s">
        <v>4972</v>
      </c>
      <c r="E702" s="3" t="s">
        <v>1710</v>
      </c>
      <c r="F702" s="3">
        <v>13.99</v>
      </c>
      <c r="G702" s="3" t="s">
        <v>6233</v>
      </c>
      <c r="H702" s="3"/>
      <c r="I702" s="3" t="s">
        <v>6234</v>
      </c>
      <c r="J702" s="3">
        <v>1</v>
      </c>
      <c r="K702" s="3">
        <v>1</v>
      </c>
      <c r="L702" s="3">
        <v>0</v>
      </c>
      <c r="M702" s="3">
        <v>0</v>
      </c>
      <c r="N702" s="3">
        <v>1</v>
      </c>
      <c r="O702" s="3">
        <v>0.05</v>
      </c>
      <c r="P702" s="3">
        <v>0</v>
      </c>
      <c r="Q702" s="3">
        <v>0</v>
      </c>
      <c r="R702" s="3">
        <v>0</v>
      </c>
    </row>
    <row r="703" spans="1:18">
      <c r="A703" s="3" t="s">
        <v>7291</v>
      </c>
      <c r="B703" s="3" t="s">
        <v>7292</v>
      </c>
      <c r="C703" s="3" t="s">
        <v>7293</v>
      </c>
      <c r="D703" s="3"/>
      <c r="E703" s="3" t="s">
        <v>6275</v>
      </c>
      <c r="F703" s="3"/>
      <c r="G703" s="3"/>
      <c r="H703" s="3"/>
      <c r="I703" s="3"/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/>
      <c r="P703" s="3">
        <v>0</v>
      </c>
      <c r="Q703" s="3">
        <v>0</v>
      </c>
      <c r="R703" s="3">
        <v>0</v>
      </c>
    </row>
    <row r="704" spans="1:18">
      <c r="A704" s="3" t="s">
        <v>7294</v>
      </c>
      <c r="B704" s="3" t="s">
        <v>7295</v>
      </c>
      <c r="C704" s="3" t="s">
        <v>7296</v>
      </c>
      <c r="D704" s="3"/>
      <c r="E704" s="3" t="s">
        <v>6275</v>
      </c>
      <c r="F704" s="3"/>
      <c r="G704" s="3"/>
      <c r="H704" s="3"/>
      <c r="I704" s="3"/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7297</v>
      </c>
      <c r="B705" s="3" t="s">
        <v>7298</v>
      </c>
      <c r="C705" s="3" t="s">
        <v>7299</v>
      </c>
      <c r="D705" s="3"/>
      <c r="E705" s="3" t="s">
        <v>6275</v>
      </c>
      <c r="F705" s="3"/>
      <c r="G705" s="3"/>
      <c r="H705" s="3"/>
      <c r="I705" s="3"/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/>
      <c r="P705" s="3">
        <v>0</v>
      </c>
      <c r="Q705" s="3">
        <v>0</v>
      </c>
      <c r="R705" s="3">
        <v>0</v>
      </c>
    </row>
    <row r="706" spans="1:18">
      <c r="A706" s="3" t="s">
        <v>7300</v>
      </c>
      <c r="B706" s="3" t="s">
        <v>7301</v>
      </c>
      <c r="C706" s="3" t="s">
        <v>7302</v>
      </c>
      <c r="D706" s="3"/>
      <c r="E706" s="3" t="s">
        <v>6275</v>
      </c>
      <c r="F706" s="3"/>
      <c r="G706" s="3"/>
      <c r="H706" s="3"/>
      <c r="I706" s="3"/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/>
      <c r="P706" s="3">
        <v>0</v>
      </c>
      <c r="Q706" s="3">
        <v>0</v>
      </c>
      <c r="R706" s="3">
        <v>0</v>
      </c>
    </row>
    <row r="707" spans="1:18">
      <c r="A707" s="3" t="s">
        <v>7303</v>
      </c>
      <c r="B707" s="3" t="s">
        <v>7304</v>
      </c>
      <c r="C707" s="3" t="s">
        <v>7305</v>
      </c>
      <c r="D707" s="3" t="s">
        <v>7306</v>
      </c>
      <c r="E707" s="3" t="s">
        <v>1710</v>
      </c>
      <c r="F707" s="3">
        <v>39.99</v>
      </c>
      <c r="G707" s="3" t="s">
        <v>6233</v>
      </c>
      <c r="H707" s="3"/>
      <c r="I707" s="3" t="s">
        <v>6234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0.12</v>
      </c>
      <c r="P707" s="3">
        <v>0</v>
      </c>
      <c r="Q707" s="3">
        <v>0</v>
      </c>
      <c r="R707" s="3">
        <v>0</v>
      </c>
    </row>
    <row r="708" spans="1:18">
      <c r="A708" s="3" t="s">
        <v>7307</v>
      </c>
      <c r="B708" s="3" t="s">
        <v>7308</v>
      </c>
      <c r="C708" s="3" t="s">
        <v>7309</v>
      </c>
      <c r="D708" s="3" t="s">
        <v>7310</v>
      </c>
      <c r="E708" s="3" t="s">
        <v>1710</v>
      </c>
      <c r="F708" s="3">
        <v>14.99</v>
      </c>
      <c r="G708" s="3" t="s">
        <v>6233</v>
      </c>
      <c r="H708" s="3"/>
      <c r="I708" s="3" t="s">
        <v>6234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0.12</v>
      </c>
      <c r="P708" s="3">
        <v>0</v>
      </c>
      <c r="Q708" s="3">
        <v>0</v>
      </c>
      <c r="R708" s="3">
        <v>0</v>
      </c>
    </row>
    <row r="709" spans="1:18">
      <c r="A709" s="3" t="s">
        <v>7311</v>
      </c>
      <c r="B709" s="3" t="s">
        <v>7312</v>
      </c>
      <c r="C709" s="3" t="s">
        <v>7313</v>
      </c>
      <c r="D709" s="3"/>
      <c r="E709" s="3" t="s">
        <v>6275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7314</v>
      </c>
      <c r="B710" s="3" t="s">
        <v>7315</v>
      </c>
      <c r="C710" s="3" t="s">
        <v>4122</v>
      </c>
      <c r="D710" s="3"/>
      <c r="E710" s="3" t="s">
        <v>6275</v>
      </c>
      <c r="F710" s="3"/>
      <c r="G710" s="3"/>
      <c r="H710" s="3"/>
      <c r="I710" s="3"/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7316</v>
      </c>
      <c r="B711" s="3" t="s">
        <v>7317</v>
      </c>
      <c r="C711" s="3" t="s">
        <v>3456</v>
      </c>
      <c r="D711" s="3"/>
      <c r="E711" s="3" t="s">
        <v>6275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7318</v>
      </c>
      <c r="B712" s="3" t="s">
        <v>7319</v>
      </c>
      <c r="C712" s="3" t="s">
        <v>2919</v>
      </c>
      <c r="D712" s="3"/>
      <c r="E712" s="3" t="s">
        <v>6275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7320</v>
      </c>
      <c r="B713" s="3" t="s">
        <v>7321</v>
      </c>
      <c r="C713" s="3" t="s">
        <v>3025</v>
      </c>
      <c r="D713" s="3"/>
      <c r="E713" s="3" t="s">
        <v>6275</v>
      </c>
      <c r="F713" s="3"/>
      <c r="G713" s="3"/>
      <c r="H713" s="3"/>
      <c r="I713" s="3"/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/>
      <c r="P713" s="3">
        <v>0</v>
      </c>
      <c r="Q713" s="3">
        <v>0</v>
      </c>
      <c r="R713" s="3">
        <v>0</v>
      </c>
    </row>
    <row r="714" spans="1:18">
      <c r="A714" s="3" t="s">
        <v>7322</v>
      </c>
      <c r="B714" s="3" t="s">
        <v>7323</v>
      </c>
      <c r="C714" s="3" t="s">
        <v>5318</v>
      </c>
      <c r="D714" s="3"/>
      <c r="E714" s="3" t="s">
        <v>6275</v>
      </c>
      <c r="F714" s="3"/>
      <c r="G714" s="3"/>
      <c r="H714" s="3"/>
      <c r="I714" s="3"/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/>
      <c r="P714" s="3">
        <v>0</v>
      </c>
      <c r="Q714" s="3">
        <v>0</v>
      </c>
      <c r="R714" s="3">
        <v>0</v>
      </c>
    </row>
    <row r="715" spans="1:18">
      <c r="A715" s="3" t="s">
        <v>7324</v>
      </c>
      <c r="B715" s="3" t="s">
        <v>7325</v>
      </c>
      <c r="C715" s="3" t="s">
        <v>5651</v>
      </c>
      <c r="D715" s="3"/>
      <c r="E715" s="3" t="s">
        <v>6275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7326</v>
      </c>
      <c r="B716" s="3" t="s">
        <v>7327</v>
      </c>
      <c r="C716" s="3" t="s">
        <v>5711</v>
      </c>
      <c r="D716" s="3"/>
      <c r="E716" s="3" t="s">
        <v>6275</v>
      </c>
      <c r="F716" s="3"/>
      <c r="G716" s="3"/>
      <c r="H716" s="3"/>
      <c r="I716" s="3"/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/>
      <c r="P716" s="3">
        <v>0</v>
      </c>
      <c r="Q716" s="3">
        <v>0</v>
      </c>
      <c r="R716" s="3">
        <v>0</v>
      </c>
    </row>
    <row r="717" spans="1:18">
      <c r="A717" s="3" t="s">
        <v>7328</v>
      </c>
      <c r="B717" s="3" t="s">
        <v>7329</v>
      </c>
      <c r="C717" s="3" t="s">
        <v>2802</v>
      </c>
      <c r="D717" s="3"/>
      <c r="E717" s="3" t="s">
        <v>6275</v>
      </c>
      <c r="F717" s="3"/>
      <c r="G717" s="3"/>
      <c r="H717" s="3"/>
      <c r="I717" s="3"/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/>
      <c r="P717" s="3">
        <v>0</v>
      </c>
      <c r="Q717" s="3">
        <v>0</v>
      </c>
      <c r="R717" s="3">
        <v>0</v>
      </c>
    </row>
    <row r="718" spans="1:18">
      <c r="A718" s="3" t="s">
        <v>7330</v>
      </c>
      <c r="B718" s="3" t="s">
        <v>7331</v>
      </c>
      <c r="C718" s="3" t="s">
        <v>5222</v>
      </c>
      <c r="D718" s="3"/>
      <c r="E718" s="3" t="s">
        <v>6275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7332</v>
      </c>
      <c r="B719" s="3" t="s">
        <v>7333</v>
      </c>
      <c r="C719" s="3" t="s">
        <v>5614</v>
      </c>
      <c r="D719" s="3"/>
      <c r="E719" s="3" t="s">
        <v>6275</v>
      </c>
      <c r="F719" s="3"/>
      <c r="G719" s="3"/>
      <c r="H719" s="3"/>
      <c r="I719" s="3"/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/>
      <c r="P719" s="3">
        <v>0</v>
      </c>
      <c r="Q719" s="3">
        <v>0</v>
      </c>
      <c r="R719" s="3">
        <v>0</v>
      </c>
    </row>
    <row r="720" spans="1:18">
      <c r="A720" s="3" t="s">
        <v>7334</v>
      </c>
      <c r="B720" s="3" t="s">
        <v>7335</v>
      </c>
      <c r="C720" s="3" t="s">
        <v>5012</v>
      </c>
      <c r="D720" s="3"/>
      <c r="E720" s="3" t="s">
        <v>6275</v>
      </c>
      <c r="F720" s="3"/>
      <c r="G720" s="3"/>
      <c r="H720" s="3"/>
      <c r="I720" s="3"/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/>
      <c r="P720" s="3">
        <v>0</v>
      </c>
      <c r="Q720" s="3">
        <v>0</v>
      </c>
      <c r="R720" s="3">
        <v>0</v>
      </c>
    </row>
    <row r="721" spans="1:18">
      <c r="A721" s="3" t="s">
        <v>7336</v>
      </c>
      <c r="B721" s="3" t="s">
        <v>7337</v>
      </c>
      <c r="C721" s="3" t="s">
        <v>5808</v>
      </c>
      <c r="D721" s="3"/>
      <c r="E721" s="3" t="s">
        <v>6275</v>
      </c>
      <c r="F721" s="3"/>
      <c r="G721" s="3"/>
      <c r="H721" s="3"/>
      <c r="I721" s="3"/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/>
      <c r="P721" s="3">
        <v>0</v>
      </c>
      <c r="Q721" s="3">
        <v>0</v>
      </c>
      <c r="R721" s="3">
        <v>0</v>
      </c>
    </row>
    <row r="722" spans="1:18">
      <c r="A722" s="3" t="s">
        <v>7338</v>
      </c>
      <c r="B722" s="3" t="s">
        <v>7339</v>
      </c>
      <c r="C722" s="3" t="s">
        <v>5364</v>
      </c>
      <c r="D722" s="3"/>
      <c r="E722" s="3" t="s">
        <v>6275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7340</v>
      </c>
      <c r="B723" s="3" t="s">
        <v>7341</v>
      </c>
      <c r="C723" s="3" t="s">
        <v>5123</v>
      </c>
      <c r="D723" s="3"/>
      <c r="E723" s="3" t="s">
        <v>6275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7342</v>
      </c>
      <c r="B724" s="3" t="s">
        <v>7343</v>
      </c>
      <c r="C724" s="3" t="s">
        <v>2746</v>
      </c>
      <c r="D724" s="3"/>
      <c r="E724" s="3" t="s">
        <v>6275</v>
      </c>
      <c r="F724" s="3"/>
      <c r="G724" s="3"/>
      <c r="H724" s="3"/>
      <c r="I724" s="3"/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7344</v>
      </c>
      <c r="B725" s="3" t="s">
        <v>7345</v>
      </c>
      <c r="C725" s="3" t="s">
        <v>114</v>
      </c>
      <c r="D725" s="3"/>
      <c r="E725" s="3" t="s">
        <v>6275</v>
      </c>
      <c r="F725" s="3"/>
      <c r="G725" s="3"/>
      <c r="H725" s="3"/>
      <c r="I725" s="3"/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/>
      <c r="P725" s="3">
        <v>0</v>
      </c>
      <c r="Q725" s="3">
        <v>0</v>
      </c>
      <c r="R725" s="3">
        <v>0</v>
      </c>
    </row>
    <row r="726" spans="1:18">
      <c r="A726" s="3" t="s">
        <v>7346</v>
      </c>
      <c r="B726" s="3" t="s">
        <v>7347</v>
      </c>
      <c r="C726" s="3" t="s">
        <v>5552</v>
      </c>
      <c r="D726" s="3"/>
      <c r="E726" s="3" t="s">
        <v>6275</v>
      </c>
      <c r="F726" s="3"/>
      <c r="G726" s="3"/>
      <c r="H726" s="3"/>
      <c r="I726" s="3"/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/>
      <c r="P726" s="3">
        <v>0</v>
      </c>
      <c r="Q726" s="3">
        <v>0</v>
      </c>
      <c r="R726" s="3">
        <v>0</v>
      </c>
    </row>
    <row r="727" spans="1:18">
      <c r="A727" s="3" t="s">
        <v>7348</v>
      </c>
      <c r="B727" s="3" t="s">
        <v>7349</v>
      </c>
      <c r="C727" s="3" t="s">
        <v>4059</v>
      </c>
      <c r="D727" s="3"/>
      <c r="E727" s="3" t="s">
        <v>6275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7350</v>
      </c>
      <c r="B728" s="3" t="s">
        <v>7351</v>
      </c>
      <c r="C728" s="3" t="s">
        <v>106</v>
      </c>
      <c r="D728" s="3"/>
      <c r="E728" s="3" t="s">
        <v>6275</v>
      </c>
      <c r="F728" s="3"/>
      <c r="G728" s="3"/>
      <c r="H728" s="3"/>
      <c r="I728" s="3"/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/>
      <c r="P728" s="3">
        <v>0</v>
      </c>
      <c r="Q728" s="3">
        <v>0</v>
      </c>
      <c r="R728" s="3">
        <v>0</v>
      </c>
    </row>
    <row r="729" spans="1:18">
      <c r="A729" s="3" t="s">
        <v>7352</v>
      </c>
      <c r="B729" s="3" t="s">
        <v>7353</v>
      </c>
      <c r="C729" s="3" t="s">
        <v>3162</v>
      </c>
      <c r="D729" s="3"/>
      <c r="E729" s="3" t="s">
        <v>6275</v>
      </c>
      <c r="F729" s="3"/>
      <c r="G729" s="3"/>
      <c r="H729" s="3"/>
      <c r="I729" s="3"/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/>
      <c r="P729" s="3">
        <v>0</v>
      </c>
      <c r="Q729" s="3">
        <v>0</v>
      </c>
      <c r="R729" s="3">
        <v>0</v>
      </c>
    </row>
    <row r="730" spans="1:18">
      <c r="A730" s="3" t="s">
        <v>7354</v>
      </c>
      <c r="B730" s="3" t="s">
        <v>7355</v>
      </c>
      <c r="C730" s="3" t="s">
        <v>4621</v>
      </c>
      <c r="D730" s="3"/>
      <c r="E730" s="3" t="s">
        <v>6275</v>
      </c>
      <c r="F730" s="3"/>
      <c r="G730" s="3"/>
      <c r="H730" s="3"/>
      <c r="I730" s="3"/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/>
      <c r="P730" s="3">
        <v>0</v>
      </c>
      <c r="Q730" s="3">
        <v>0</v>
      </c>
      <c r="R730" s="3">
        <v>0</v>
      </c>
    </row>
    <row r="731" spans="1:18">
      <c r="A731" s="3" t="s">
        <v>7356</v>
      </c>
      <c r="B731" s="3" t="s">
        <v>7357</v>
      </c>
      <c r="C731" s="3" t="s">
        <v>4528</v>
      </c>
      <c r="D731" s="3"/>
      <c r="E731" s="3" t="s">
        <v>6275</v>
      </c>
      <c r="F731" s="3"/>
      <c r="G731" s="3"/>
      <c r="H731" s="3"/>
      <c r="I731" s="3"/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/>
      <c r="P731" s="3">
        <v>0</v>
      </c>
      <c r="Q731" s="3">
        <v>0</v>
      </c>
      <c r="R731" s="3">
        <v>0</v>
      </c>
    </row>
    <row r="732" spans="1:18">
      <c r="A732" s="3" t="s">
        <v>7358</v>
      </c>
      <c r="B732" s="3" t="s">
        <v>7359</v>
      </c>
      <c r="C732" s="3" t="s">
        <v>2354</v>
      </c>
      <c r="D732" s="3"/>
      <c r="E732" s="3" t="s">
        <v>6275</v>
      </c>
      <c r="F732" s="3"/>
      <c r="G732" s="3"/>
      <c r="H732" s="3"/>
      <c r="I732" s="3"/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7360</v>
      </c>
      <c r="B733" s="3" t="s">
        <v>7361</v>
      </c>
      <c r="C733" s="3" t="s">
        <v>2409</v>
      </c>
      <c r="D733" s="3"/>
      <c r="E733" s="3" t="s">
        <v>6275</v>
      </c>
      <c r="F733" s="3"/>
      <c r="G733" s="3"/>
      <c r="H733" s="3"/>
      <c r="I733" s="3"/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/>
      <c r="P733" s="3">
        <v>0</v>
      </c>
      <c r="Q733" s="3">
        <v>0</v>
      </c>
      <c r="R733" s="3">
        <v>0</v>
      </c>
    </row>
    <row r="734" spans="1:18">
      <c r="A734" s="3" t="s">
        <v>7362</v>
      </c>
      <c r="B734" s="3" t="s">
        <v>7363</v>
      </c>
      <c r="C734" s="3" t="s">
        <v>4756</v>
      </c>
      <c r="D734" s="3"/>
      <c r="E734" s="3" t="s">
        <v>6275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7364</v>
      </c>
      <c r="B735" s="3" t="s">
        <v>7365</v>
      </c>
      <c r="C735" s="3" t="s">
        <v>5938</v>
      </c>
      <c r="D735" s="3"/>
      <c r="E735" s="3" t="s">
        <v>6275</v>
      </c>
      <c r="F735" s="3"/>
      <c r="G735" s="3"/>
      <c r="H735" s="3"/>
      <c r="I735" s="3"/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/>
      <c r="P735" s="3">
        <v>0</v>
      </c>
      <c r="Q735" s="3">
        <v>0</v>
      </c>
      <c r="R735" s="3">
        <v>0</v>
      </c>
    </row>
    <row r="736" spans="1:18">
      <c r="A736" s="3" t="s">
        <v>7366</v>
      </c>
      <c r="B736" s="3" t="s">
        <v>7367</v>
      </c>
      <c r="C736" s="3" t="s">
        <v>4183</v>
      </c>
      <c r="D736" s="3"/>
      <c r="E736" s="3" t="s">
        <v>6275</v>
      </c>
      <c r="F736" s="3"/>
      <c r="G736" s="3"/>
      <c r="H736" s="3"/>
      <c r="I736" s="3"/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/>
      <c r="P736" s="3">
        <v>0</v>
      </c>
      <c r="Q736" s="3">
        <v>0</v>
      </c>
      <c r="R736" s="3">
        <v>0</v>
      </c>
    </row>
    <row r="737" spans="1:18">
      <c r="A737" s="3" t="s">
        <v>7368</v>
      </c>
      <c r="B737" s="3" t="s">
        <v>7369</v>
      </c>
      <c r="C737" s="3" t="s">
        <v>2619</v>
      </c>
      <c r="D737" s="3"/>
      <c r="E737" s="3" t="s">
        <v>6275</v>
      </c>
      <c r="F737" s="3"/>
      <c r="G737" s="3"/>
      <c r="H737" s="3"/>
      <c r="I737" s="3"/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/>
      <c r="P737" s="3">
        <v>0</v>
      </c>
      <c r="Q737" s="3">
        <v>0</v>
      </c>
      <c r="R737" s="3">
        <v>0</v>
      </c>
    </row>
    <row r="738" spans="1:18">
      <c r="A738" s="3" t="s">
        <v>7370</v>
      </c>
      <c r="B738" s="3" t="s">
        <v>7371</v>
      </c>
      <c r="C738" s="3" t="s">
        <v>3409</v>
      </c>
      <c r="D738" s="3"/>
      <c r="E738" s="3" t="s">
        <v>6275</v>
      </c>
      <c r="F738" s="3"/>
      <c r="G738" s="3"/>
      <c r="H738" s="3"/>
      <c r="I738" s="3"/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/>
      <c r="P738" s="3">
        <v>0</v>
      </c>
      <c r="Q738" s="3">
        <v>0</v>
      </c>
      <c r="R738" s="3">
        <v>0</v>
      </c>
    </row>
    <row r="739" spans="1:18">
      <c r="A739" s="3" t="s">
        <v>7372</v>
      </c>
      <c r="B739" s="3" t="s">
        <v>7373</v>
      </c>
      <c r="C739" s="3" t="s">
        <v>4409</v>
      </c>
      <c r="D739" s="3"/>
      <c r="E739" s="3" t="s">
        <v>6275</v>
      </c>
      <c r="F739" s="3"/>
      <c r="G739" s="3"/>
      <c r="H739" s="3"/>
      <c r="I739" s="3"/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/>
      <c r="P739" s="3">
        <v>0</v>
      </c>
      <c r="Q739" s="3">
        <v>0</v>
      </c>
      <c r="R739" s="3">
        <v>0</v>
      </c>
    </row>
    <row r="740" spans="1:18">
      <c r="A740" s="3" t="s">
        <v>7374</v>
      </c>
      <c r="B740" s="3" t="s">
        <v>7375</v>
      </c>
      <c r="C740" s="3" t="s">
        <v>1931</v>
      </c>
      <c r="D740" s="3"/>
      <c r="E740" s="3" t="s">
        <v>6275</v>
      </c>
      <c r="F740" s="3"/>
      <c r="G740" s="3"/>
      <c r="H740" s="3"/>
      <c r="I740" s="3"/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/>
      <c r="P740" s="3">
        <v>0</v>
      </c>
      <c r="Q740" s="3">
        <v>0</v>
      </c>
      <c r="R740" s="3">
        <v>0</v>
      </c>
    </row>
    <row r="741" spans="1:18">
      <c r="A741" s="3" t="s">
        <v>7376</v>
      </c>
      <c r="B741" s="3" t="s">
        <v>7377</v>
      </c>
      <c r="C741" s="3" t="s">
        <v>5700</v>
      </c>
      <c r="D741" s="3"/>
      <c r="E741" s="3" t="s">
        <v>6275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7378</v>
      </c>
      <c r="B742" s="3" t="s">
        <v>7379</v>
      </c>
      <c r="C742" s="3" t="s">
        <v>2319</v>
      </c>
      <c r="D742" s="3"/>
      <c r="E742" s="3" t="s">
        <v>6275</v>
      </c>
      <c r="F742" s="3"/>
      <c r="G742" s="3"/>
      <c r="H742" s="3"/>
      <c r="I742" s="3"/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/>
      <c r="P742" s="3">
        <v>0</v>
      </c>
      <c r="Q742" s="3">
        <v>0</v>
      </c>
      <c r="R742" s="3">
        <v>0</v>
      </c>
    </row>
    <row r="743" spans="1:18">
      <c r="A743" s="3" t="s">
        <v>7380</v>
      </c>
      <c r="B743" s="3" t="s">
        <v>7381</v>
      </c>
      <c r="C743" s="3" t="s">
        <v>110</v>
      </c>
      <c r="D743" s="3"/>
      <c r="E743" s="3" t="s">
        <v>6275</v>
      </c>
      <c r="F743" s="3"/>
      <c r="G743" s="3"/>
      <c r="H743" s="3"/>
      <c r="I743" s="3"/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/>
      <c r="P743" s="3">
        <v>0</v>
      </c>
      <c r="Q743" s="3">
        <v>0</v>
      </c>
      <c r="R743" s="3">
        <v>0</v>
      </c>
    </row>
    <row r="744" spans="1:18">
      <c r="A744" s="3" t="s">
        <v>7382</v>
      </c>
      <c r="B744" s="3" t="s">
        <v>7383</v>
      </c>
      <c r="C744" s="3" t="s">
        <v>3680</v>
      </c>
      <c r="D744" s="3"/>
      <c r="E744" s="3" t="s">
        <v>6275</v>
      </c>
      <c r="F744" s="3"/>
      <c r="G744" s="3"/>
      <c r="H744" s="3"/>
      <c r="I744" s="3"/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/>
      <c r="P744" s="3">
        <v>0</v>
      </c>
      <c r="Q744" s="3">
        <v>0</v>
      </c>
      <c r="R744" s="3">
        <v>0</v>
      </c>
    </row>
    <row r="745" spans="1:18">
      <c r="A745" s="3" t="s">
        <v>7384</v>
      </c>
      <c r="B745" s="3" t="s">
        <v>7385</v>
      </c>
      <c r="C745" s="3" t="s">
        <v>98</v>
      </c>
      <c r="D745" s="3"/>
      <c r="E745" s="3" t="s">
        <v>6275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7386</v>
      </c>
      <c r="B746" s="3" t="s">
        <v>7387</v>
      </c>
      <c r="C746" s="3" t="s">
        <v>3846</v>
      </c>
      <c r="D746" s="3"/>
      <c r="E746" s="3" t="s">
        <v>6275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7388</v>
      </c>
      <c r="B747" s="3" t="s">
        <v>7389</v>
      </c>
      <c r="C747" s="3" t="s">
        <v>1922</v>
      </c>
      <c r="D747" s="3"/>
      <c r="E747" s="3" t="s">
        <v>6275</v>
      </c>
      <c r="F747" s="3"/>
      <c r="G747" s="3"/>
      <c r="H747" s="3"/>
      <c r="I747" s="3"/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/>
      <c r="P747" s="3">
        <v>0</v>
      </c>
      <c r="Q747" s="3">
        <v>0</v>
      </c>
      <c r="R747" s="3">
        <v>0</v>
      </c>
    </row>
    <row r="748" spans="1:18">
      <c r="A748" s="3" t="s">
        <v>7390</v>
      </c>
      <c r="B748" s="3" t="s">
        <v>7391</v>
      </c>
      <c r="C748" s="3" t="s">
        <v>4650</v>
      </c>
      <c r="D748" s="3"/>
      <c r="E748" s="3" t="s">
        <v>6275</v>
      </c>
      <c r="F748" s="3"/>
      <c r="G748" s="3"/>
      <c r="H748" s="3"/>
      <c r="I748" s="3"/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/>
      <c r="P748" s="3">
        <v>0</v>
      </c>
      <c r="Q748" s="3">
        <v>0</v>
      </c>
      <c r="R748" s="3">
        <v>0</v>
      </c>
    </row>
    <row r="749" spans="1:18">
      <c r="A749" s="3" t="s">
        <v>7392</v>
      </c>
      <c r="B749" s="3" t="s">
        <v>7393</v>
      </c>
      <c r="C749" s="3" t="s">
        <v>4389</v>
      </c>
      <c r="D749" s="3"/>
      <c r="E749" s="3" t="s">
        <v>6275</v>
      </c>
      <c r="F749" s="3"/>
      <c r="G749" s="3"/>
      <c r="H749" s="3"/>
      <c r="I749" s="3"/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/>
      <c r="P749" s="3">
        <v>0</v>
      </c>
      <c r="Q749" s="3">
        <v>0</v>
      </c>
      <c r="R749" s="3">
        <v>0</v>
      </c>
    </row>
    <row r="750" spans="1:18">
      <c r="A750" s="3" t="s">
        <v>7394</v>
      </c>
      <c r="B750" s="3" t="s">
        <v>7395</v>
      </c>
      <c r="C750" s="3" t="s">
        <v>4436</v>
      </c>
      <c r="D750" s="3"/>
      <c r="E750" s="3" t="s">
        <v>6275</v>
      </c>
      <c r="F750" s="3"/>
      <c r="G750" s="3"/>
      <c r="H750" s="3"/>
      <c r="I750" s="3"/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/>
      <c r="P750" s="3">
        <v>0</v>
      </c>
      <c r="Q750" s="3">
        <v>0</v>
      </c>
      <c r="R750" s="3">
        <v>0</v>
      </c>
    </row>
    <row r="751" spans="1:18">
      <c r="A751" s="3" t="s">
        <v>7396</v>
      </c>
      <c r="B751" s="3" t="s">
        <v>7397</v>
      </c>
      <c r="C751" s="3" t="s">
        <v>4377</v>
      </c>
      <c r="D751" s="3"/>
      <c r="E751" s="3" t="s">
        <v>6275</v>
      </c>
      <c r="F751" s="3"/>
      <c r="G751" s="3"/>
      <c r="H751" s="3"/>
      <c r="I751" s="3"/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/>
      <c r="P751" s="3">
        <v>0</v>
      </c>
      <c r="Q751" s="3">
        <v>0</v>
      </c>
      <c r="R751" s="3">
        <v>0</v>
      </c>
    </row>
    <row r="752" spans="1:18">
      <c r="A752" s="3" t="s">
        <v>7398</v>
      </c>
      <c r="B752" s="3" t="s">
        <v>7399</v>
      </c>
      <c r="C752" s="3" t="s">
        <v>5047</v>
      </c>
      <c r="D752" s="3"/>
      <c r="E752" s="3" t="s">
        <v>6275</v>
      </c>
      <c r="F752" s="3"/>
      <c r="G752" s="3"/>
      <c r="H752" s="3"/>
      <c r="I752" s="3"/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/>
      <c r="P752" s="3">
        <v>0</v>
      </c>
      <c r="Q752" s="3">
        <v>0</v>
      </c>
      <c r="R752" s="3">
        <v>0</v>
      </c>
    </row>
    <row r="753" spans="1:18">
      <c r="A753" s="3" t="s">
        <v>7400</v>
      </c>
      <c r="B753" s="3" t="s">
        <v>7401</v>
      </c>
      <c r="C753" s="3" t="s">
        <v>3484</v>
      </c>
      <c r="D753" s="3"/>
      <c r="E753" s="3" t="s">
        <v>6275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7402</v>
      </c>
      <c r="B754" s="3" t="s">
        <v>7403</v>
      </c>
      <c r="C754" s="3" t="s">
        <v>5827</v>
      </c>
      <c r="D754" s="3"/>
      <c r="E754" s="3" t="s">
        <v>6275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7404</v>
      </c>
      <c r="B755" s="3" t="s">
        <v>7405</v>
      </c>
      <c r="C755" s="3" t="s">
        <v>5590</v>
      </c>
      <c r="D755" s="3"/>
      <c r="E755" s="3" t="s">
        <v>6275</v>
      </c>
      <c r="F755" s="3"/>
      <c r="G755" s="3"/>
      <c r="H755" s="3"/>
      <c r="I755" s="3"/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/>
      <c r="P755" s="3">
        <v>0</v>
      </c>
      <c r="Q755" s="3">
        <v>0</v>
      </c>
      <c r="R755" s="3">
        <v>0</v>
      </c>
    </row>
    <row r="756" spans="1:18">
      <c r="A756" s="3" t="s">
        <v>7406</v>
      </c>
      <c r="B756" s="3" t="s">
        <v>7407</v>
      </c>
      <c r="C756" s="3" t="s">
        <v>4642</v>
      </c>
      <c r="D756" s="3"/>
      <c r="E756" s="3" t="s">
        <v>6275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7408</v>
      </c>
      <c r="B757" s="3" t="s">
        <v>7409</v>
      </c>
      <c r="C757" s="3" t="s">
        <v>102</v>
      </c>
      <c r="D757" s="3"/>
      <c r="E757" s="3" t="s">
        <v>6275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7410</v>
      </c>
      <c r="B758" s="3" t="s">
        <v>7411</v>
      </c>
      <c r="C758" s="3" t="s">
        <v>5704</v>
      </c>
      <c r="D758" s="3"/>
      <c r="E758" s="3" t="s">
        <v>6275</v>
      </c>
      <c r="F758" s="3"/>
      <c r="G758" s="3"/>
      <c r="H758" s="3"/>
      <c r="I758" s="3"/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/>
      <c r="P758" s="3">
        <v>0</v>
      </c>
      <c r="Q758" s="3">
        <v>0</v>
      </c>
      <c r="R758" s="3">
        <v>0</v>
      </c>
    </row>
    <row r="759" spans="1:18">
      <c r="A759" s="3" t="s">
        <v>7412</v>
      </c>
      <c r="B759" s="3" t="s">
        <v>7413</v>
      </c>
      <c r="C759" s="3" t="s">
        <v>3476</v>
      </c>
      <c r="D759" s="3"/>
      <c r="E759" s="3" t="s">
        <v>6275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7414</v>
      </c>
      <c r="B760" s="3" t="s">
        <v>7415</v>
      </c>
      <c r="C760" s="3" t="s">
        <v>4940</v>
      </c>
      <c r="D760" s="3"/>
      <c r="E760" s="3" t="s">
        <v>6275</v>
      </c>
      <c r="F760" s="3"/>
      <c r="G760" s="3"/>
      <c r="H760" s="3"/>
      <c r="I760" s="3"/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/>
      <c r="P760" s="3">
        <v>0</v>
      </c>
      <c r="Q760" s="3">
        <v>0</v>
      </c>
      <c r="R760" s="3">
        <v>0</v>
      </c>
    </row>
    <row r="761" spans="1:18">
      <c r="A761" s="3" t="s">
        <v>7416</v>
      </c>
      <c r="B761" s="3" t="s">
        <v>7417</v>
      </c>
      <c r="C761" s="3" t="s">
        <v>2906</v>
      </c>
      <c r="D761" s="3"/>
      <c r="E761" s="3" t="s">
        <v>6275</v>
      </c>
      <c r="F761" s="3"/>
      <c r="G761" s="3"/>
      <c r="H761" s="3"/>
      <c r="I761" s="3"/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7418</v>
      </c>
      <c r="B762" s="3" t="s">
        <v>7419</v>
      </c>
      <c r="C762" s="3" t="s">
        <v>2669</v>
      </c>
      <c r="D762" s="3"/>
      <c r="E762" s="3" t="s">
        <v>6275</v>
      </c>
      <c r="F762" s="3"/>
      <c r="G762" s="3"/>
      <c r="H762" s="3"/>
      <c r="I762" s="3"/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/>
      <c r="P762" s="3">
        <v>0</v>
      </c>
      <c r="Q762" s="3">
        <v>0</v>
      </c>
      <c r="R762" s="3">
        <v>0</v>
      </c>
    </row>
    <row r="763" spans="1:18">
      <c r="A763" s="3" t="s">
        <v>7420</v>
      </c>
      <c r="B763" s="3" t="s">
        <v>7421</v>
      </c>
      <c r="C763" s="3" t="s">
        <v>4867</v>
      </c>
      <c r="D763" s="3"/>
      <c r="E763" s="3" t="s">
        <v>6275</v>
      </c>
      <c r="F763" s="3"/>
      <c r="G763" s="3"/>
      <c r="H763" s="3"/>
      <c r="I763" s="3"/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/>
      <c r="P763" s="3">
        <v>0</v>
      </c>
      <c r="Q763" s="3">
        <v>0</v>
      </c>
      <c r="R763" s="3">
        <v>0</v>
      </c>
    </row>
    <row r="764" spans="1:18">
      <c r="A764" s="3" t="s">
        <v>7422</v>
      </c>
      <c r="B764" s="3" t="s">
        <v>7423</v>
      </c>
      <c r="C764" s="3" t="s">
        <v>3430</v>
      </c>
      <c r="D764" s="3"/>
      <c r="E764" s="3" t="s">
        <v>6275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7424</v>
      </c>
      <c r="B765" s="3" t="s">
        <v>7425</v>
      </c>
      <c r="C765" s="3" t="s">
        <v>3029</v>
      </c>
      <c r="D765" s="3"/>
      <c r="E765" s="3" t="s">
        <v>6275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5260</v>
      </c>
      <c r="B766" s="3" t="s">
        <v>5261</v>
      </c>
      <c r="C766" s="3" t="s">
        <v>5262</v>
      </c>
      <c r="D766" s="3" t="s">
        <v>5263</v>
      </c>
      <c r="E766" s="3" t="s">
        <v>1710</v>
      </c>
      <c r="F766" s="3">
        <v>30</v>
      </c>
      <c r="G766" s="3" t="s">
        <v>6233</v>
      </c>
      <c r="H766" s="3"/>
      <c r="I766" s="3" t="s">
        <v>6234</v>
      </c>
      <c r="J766" s="3">
        <v>10</v>
      </c>
      <c r="K766" s="3">
        <v>10</v>
      </c>
      <c r="L766" s="3">
        <v>0</v>
      </c>
      <c r="M766" s="3">
        <v>0</v>
      </c>
      <c r="N766" s="3">
        <v>10</v>
      </c>
      <c r="O766" s="3">
        <v>0.11</v>
      </c>
      <c r="P766" s="3">
        <v>0</v>
      </c>
      <c r="Q766" s="3">
        <v>0</v>
      </c>
      <c r="R766" s="3">
        <v>0</v>
      </c>
    </row>
    <row r="767" spans="1:18">
      <c r="A767" s="3" t="s">
        <v>6154</v>
      </c>
      <c r="B767" s="3" t="s">
        <v>6155</v>
      </c>
      <c r="C767" s="3" t="s">
        <v>6156</v>
      </c>
      <c r="D767" s="3" t="s">
        <v>6157</v>
      </c>
      <c r="E767" s="3" t="s">
        <v>1710</v>
      </c>
      <c r="F767" s="3">
        <v>30</v>
      </c>
      <c r="G767" s="3" t="s">
        <v>6233</v>
      </c>
      <c r="H767" s="3"/>
      <c r="I767" s="3" t="s">
        <v>6234</v>
      </c>
      <c r="J767" s="3">
        <v>10</v>
      </c>
      <c r="K767" s="3">
        <v>10</v>
      </c>
      <c r="L767" s="3">
        <v>0</v>
      </c>
      <c r="M767" s="3">
        <v>0</v>
      </c>
      <c r="N767" s="3">
        <v>10</v>
      </c>
      <c r="O767" s="3">
        <v>0.11</v>
      </c>
      <c r="P767" s="3">
        <v>0</v>
      </c>
      <c r="Q767" s="3">
        <v>0</v>
      </c>
      <c r="R767" s="3">
        <v>0</v>
      </c>
    </row>
    <row r="768" spans="1:18">
      <c r="A768" s="3" t="s">
        <v>2240</v>
      </c>
      <c r="B768" s="3" t="s">
        <v>2241</v>
      </c>
      <c r="C768" s="3" t="s">
        <v>2242</v>
      </c>
      <c r="D768" s="3" t="s">
        <v>2243</v>
      </c>
      <c r="E768" s="3" t="s">
        <v>1710</v>
      </c>
      <c r="F768" s="3">
        <v>30</v>
      </c>
      <c r="G768" s="3" t="s">
        <v>6233</v>
      </c>
      <c r="H768" s="3"/>
      <c r="I768" s="3" t="s">
        <v>6234</v>
      </c>
      <c r="J768" s="3">
        <v>8</v>
      </c>
      <c r="K768" s="3">
        <v>8</v>
      </c>
      <c r="L768" s="3">
        <v>0</v>
      </c>
      <c r="M768" s="3">
        <v>0</v>
      </c>
      <c r="N768" s="3">
        <v>8</v>
      </c>
      <c r="O768" s="3">
        <v>0.11</v>
      </c>
      <c r="P768" s="3">
        <v>0</v>
      </c>
      <c r="Q768" s="3">
        <v>0</v>
      </c>
      <c r="R768" s="3">
        <v>0</v>
      </c>
    </row>
    <row r="769" spans="1:18">
      <c r="A769" s="3" t="s">
        <v>5033</v>
      </c>
      <c r="B769" s="3" t="s">
        <v>5034</v>
      </c>
      <c r="C769" s="3" t="s">
        <v>5035</v>
      </c>
      <c r="D769" s="3" t="s">
        <v>5036</v>
      </c>
      <c r="E769" s="3" t="s">
        <v>1710</v>
      </c>
      <c r="F769" s="3">
        <v>30</v>
      </c>
      <c r="G769" s="3" t="s">
        <v>6233</v>
      </c>
      <c r="H769" s="3"/>
      <c r="I769" s="3" t="s">
        <v>6234</v>
      </c>
      <c r="J769" s="3">
        <v>8</v>
      </c>
      <c r="K769" s="3">
        <v>8</v>
      </c>
      <c r="L769" s="3">
        <v>0</v>
      </c>
      <c r="M769" s="3">
        <v>0</v>
      </c>
      <c r="N769" s="3">
        <v>8</v>
      </c>
      <c r="O769" s="3">
        <v>0.11</v>
      </c>
      <c r="P769" s="3">
        <v>0</v>
      </c>
      <c r="Q769" s="3">
        <v>0</v>
      </c>
      <c r="R769" s="3">
        <v>0</v>
      </c>
    </row>
    <row r="770" spans="1:18">
      <c r="A770" s="3" t="s">
        <v>2950</v>
      </c>
      <c r="B770" s="3" t="s">
        <v>2951</v>
      </c>
      <c r="C770" s="3" t="s">
        <v>2952</v>
      </c>
      <c r="D770" s="3" t="s">
        <v>2953</v>
      </c>
      <c r="E770" s="3" t="s">
        <v>1710</v>
      </c>
      <c r="F770" s="3">
        <v>30</v>
      </c>
      <c r="G770" s="3" t="s">
        <v>6233</v>
      </c>
      <c r="H770" s="3"/>
      <c r="I770" s="3" t="s">
        <v>6234</v>
      </c>
      <c r="J770" s="3">
        <v>9</v>
      </c>
      <c r="K770" s="3">
        <v>9</v>
      </c>
      <c r="L770" s="3">
        <v>0</v>
      </c>
      <c r="M770" s="3">
        <v>0</v>
      </c>
      <c r="N770" s="3">
        <v>9</v>
      </c>
      <c r="O770" s="3">
        <v>0.11</v>
      </c>
      <c r="P770" s="3">
        <v>0</v>
      </c>
      <c r="Q770" s="3">
        <v>0</v>
      </c>
      <c r="R770" s="3">
        <v>0</v>
      </c>
    </row>
    <row r="771" spans="1:18">
      <c r="A771" s="3" t="s">
        <v>1992</v>
      </c>
      <c r="B771" s="3" t="s">
        <v>1993</v>
      </c>
      <c r="C771" s="3" t="s">
        <v>1994</v>
      </c>
      <c r="D771" s="3" t="s">
        <v>1995</v>
      </c>
      <c r="E771" s="3" t="s">
        <v>1710</v>
      </c>
      <c r="F771" s="3">
        <v>30</v>
      </c>
      <c r="G771" s="3" t="s">
        <v>6233</v>
      </c>
      <c r="H771" s="3"/>
      <c r="I771" s="3" t="s">
        <v>6234</v>
      </c>
      <c r="J771" s="3">
        <v>9</v>
      </c>
      <c r="K771" s="3">
        <v>9</v>
      </c>
      <c r="L771" s="3">
        <v>0</v>
      </c>
      <c r="M771" s="3">
        <v>0</v>
      </c>
      <c r="N771" s="3">
        <v>9</v>
      </c>
      <c r="O771" s="3">
        <v>0.11</v>
      </c>
      <c r="P771" s="3">
        <v>0</v>
      </c>
      <c r="Q771" s="3">
        <v>0</v>
      </c>
      <c r="R771" s="3">
        <v>0</v>
      </c>
    </row>
    <row r="772" spans="1:18">
      <c r="A772" s="3" t="s">
        <v>2521</v>
      </c>
      <c r="B772" s="3" t="s">
        <v>2522</v>
      </c>
      <c r="C772" s="3" t="s">
        <v>2523</v>
      </c>
      <c r="D772" s="3" t="s">
        <v>2524</v>
      </c>
      <c r="E772" s="3" t="s">
        <v>1710</v>
      </c>
      <c r="F772" s="3">
        <v>30</v>
      </c>
      <c r="G772" s="3" t="s">
        <v>6233</v>
      </c>
      <c r="H772" s="3"/>
      <c r="I772" s="3" t="s">
        <v>6234</v>
      </c>
      <c r="J772" s="3">
        <v>8</v>
      </c>
      <c r="K772" s="3">
        <v>8</v>
      </c>
      <c r="L772" s="3">
        <v>0</v>
      </c>
      <c r="M772" s="3">
        <v>0</v>
      </c>
      <c r="N772" s="3">
        <v>8</v>
      </c>
      <c r="O772" s="3">
        <v>0.11</v>
      </c>
      <c r="P772" s="3">
        <v>0</v>
      </c>
      <c r="Q772" s="3">
        <v>0</v>
      </c>
      <c r="R772" s="3">
        <v>0</v>
      </c>
    </row>
    <row r="773" spans="1:18">
      <c r="A773" s="3" t="s">
        <v>5279</v>
      </c>
      <c r="B773" s="3" t="s">
        <v>5280</v>
      </c>
      <c r="C773" s="3" t="s">
        <v>5281</v>
      </c>
      <c r="D773" s="3" t="s">
        <v>5282</v>
      </c>
      <c r="E773" s="3" t="s">
        <v>1710</v>
      </c>
      <c r="F773" s="3">
        <v>30</v>
      </c>
      <c r="G773" s="3" t="s">
        <v>6233</v>
      </c>
      <c r="H773" s="3"/>
      <c r="I773" s="3" t="s">
        <v>6234</v>
      </c>
      <c r="J773" s="3">
        <v>9</v>
      </c>
      <c r="K773" s="3">
        <v>9</v>
      </c>
      <c r="L773" s="3">
        <v>0</v>
      </c>
      <c r="M773" s="3">
        <v>0</v>
      </c>
      <c r="N773" s="3">
        <v>9</v>
      </c>
      <c r="O773" s="3">
        <v>0.11</v>
      </c>
      <c r="P773" s="3">
        <v>0</v>
      </c>
      <c r="Q773" s="3">
        <v>0</v>
      </c>
      <c r="R773" s="3">
        <v>0</v>
      </c>
    </row>
    <row r="774" spans="1:18">
      <c r="A774" s="3" t="s">
        <v>5324</v>
      </c>
      <c r="B774" s="3" t="s">
        <v>5325</v>
      </c>
      <c r="C774" s="3" t="s">
        <v>5326</v>
      </c>
      <c r="D774" s="3" t="s">
        <v>5327</v>
      </c>
      <c r="E774" s="3" t="s">
        <v>1710</v>
      </c>
      <c r="F774" s="3">
        <v>30</v>
      </c>
      <c r="G774" s="3" t="s">
        <v>6233</v>
      </c>
      <c r="H774" s="3"/>
      <c r="I774" s="3" t="s">
        <v>6234</v>
      </c>
      <c r="J774" s="3">
        <v>9</v>
      </c>
      <c r="K774" s="3">
        <v>9</v>
      </c>
      <c r="L774" s="3">
        <v>0</v>
      </c>
      <c r="M774" s="3">
        <v>0</v>
      </c>
      <c r="N774" s="3">
        <v>9</v>
      </c>
      <c r="O774" s="3">
        <v>0.11</v>
      </c>
      <c r="P774" s="3">
        <v>0</v>
      </c>
      <c r="Q774" s="3">
        <v>0</v>
      </c>
      <c r="R774" s="3">
        <v>0</v>
      </c>
    </row>
    <row r="775" spans="1:18">
      <c r="A775" s="3" t="s">
        <v>2325</v>
      </c>
      <c r="B775" s="3" t="s">
        <v>2326</v>
      </c>
      <c r="C775" s="3" t="s">
        <v>2327</v>
      </c>
      <c r="D775" s="3" t="s">
        <v>2328</v>
      </c>
      <c r="E775" s="3" t="s">
        <v>1710</v>
      </c>
      <c r="F775" s="3">
        <v>30</v>
      </c>
      <c r="G775" s="3" t="s">
        <v>6233</v>
      </c>
      <c r="H775" s="3"/>
      <c r="I775" s="3" t="s">
        <v>6234</v>
      </c>
      <c r="J775" s="3">
        <v>9</v>
      </c>
      <c r="K775" s="3">
        <v>9</v>
      </c>
      <c r="L775" s="3">
        <v>0</v>
      </c>
      <c r="M775" s="3">
        <v>0</v>
      </c>
      <c r="N775" s="3">
        <v>9</v>
      </c>
      <c r="O775" s="3">
        <v>0.11</v>
      </c>
      <c r="P775" s="3">
        <v>0</v>
      </c>
      <c r="Q775" s="3">
        <v>0</v>
      </c>
      <c r="R775" s="3">
        <v>0</v>
      </c>
    </row>
    <row r="776" spans="1:18">
      <c r="A776" s="3" t="s">
        <v>6005</v>
      </c>
      <c r="B776" s="3" t="s">
        <v>6006</v>
      </c>
      <c r="C776" s="3" t="s">
        <v>6007</v>
      </c>
      <c r="D776" s="3" t="s">
        <v>6008</v>
      </c>
      <c r="E776" s="3" t="s">
        <v>1710</v>
      </c>
      <c r="F776" s="3">
        <v>18.99</v>
      </c>
      <c r="G776" s="3" t="s">
        <v>6233</v>
      </c>
      <c r="H776" s="3"/>
      <c r="I776" s="3" t="s">
        <v>6234</v>
      </c>
      <c r="J776" s="3">
        <v>10</v>
      </c>
      <c r="K776" s="3">
        <v>10</v>
      </c>
      <c r="L776" s="3">
        <v>0</v>
      </c>
      <c r="M776" s="3">
        <v>0</v>
      </c>
      <c r="N776" s="3">
        <v>10</v>
      </c>
      <c r="O776" s="3">
        <v>0</v>
      </c>
      <c r="P776" s="3">
        <v>0</v>
      </c>
      <c r="Q776" s="3">
        <v>0</v>
      </c>
      <c r="R776" s="3">
        <v>0</v>
      </c>
    </row>
    <row r="777" spans="1:18">
      <c r="A777" s="3" t="s">
        <v>5448</v>
      </c>
      <c r="B777" s="3" t="s">
        <v>5449</v>
      </c>
      <c r="C777" s="3" t="s">
        <v>5450</v>
      </c>
      <c r="D777" s="3" t="s">
        <v>5451</v>
      </c>
      <c r="E777" s="3" t="s">
        <v>1710</v>
      </c>
      <c r="F777" s="3">
        <v>18.99</v>
      </c>
      <c r="G777" s="3" t="s">
        <v>6233</v>
      </c>
      <c r="H777" s="3"/>
      <c r="I777" s="3" t="s">
        <v>6234</v>
      </c>
      <c r="J777" s="3">
        <v>10</v>
      </c>
      <c r="K777" s="3">
        <v>10</v>
      </c>
      <c r="L777" s="3">
        <v>0</v>
      </c>
      <c r="M777" s="3">
        <v>0</v>
      </c>
      <c r="N777" s="3">
        <v>10</v>
      </c>
      <c r="O777" s="3">
        <v>0.14</v>
      </c>
      <c r="P777" s="3">
        <v>0</v>
      </c>
      <c r="Q777" s="3">
        <v>0</v>
      </c>
      <c r="R777" s="3">
        <v>0</v>
      </c>
    </row>
    <row r="778" spans="1:18">
      <c r="A778" s="3" t="s">
        <v>5272</v>
      </c>
      <c r="B778" s="3" t="s">
        <v>5273</v>
      </c>
      <c r="C778" s="3" t="s">
        <v>5274</v>
      </c>
      <c r="D778" s="3" t="s">
        <v>5275</v>
      </c>
      <c r="E778" s="3" t="s">
        <v>1710</v>
      </c>
      <c r="F778" s="3">
        <v>18.99</v>
      </c>
      <c r="G778" s="3" t="s">
        <v>6233</v>
      </c>
      <c r="H778" s="3"/>
      <c r="I778" s="3" t="s">
        <v>6234</v>
      </c>
      <c r="J778" s="3">
        <v>10</v>
      </c>
      <c r="K778" s="3">
        <v>10</v>
      </c>
      <c r="L778" s="3">
        <v>0</v>
      </c>
      <c r="M778" s="3">
        <v>0</v>
      </c>
      <c r="N778" s="3">
        <v>10</v>
      </c>
      <c r="O778" s="3">
        <v>0.14</v>
      </c>
      <c r="P778" s="3">
        <v>0</v>
      </c>
      <c r="Q778" s="3">
        <v>0</v>
      </c>
      <c r="R778" s="3">
        <v>0</v>
      </c>
    </row>
    <row r="779" spans="1:18">
      <c r="A779" s="3" t="s">
        <v>6101</v>
      </c>
      <c r="B779" s="3" t="s">
        <v>6102</v>
      </c>
      <c r="C779" s="3" t="s">
        <v>6103</v>
      </c>
      <c r="D779" s="3" t="s">
        <v>6104</v>
      </c>
      <c r="E779" s="3" t="s">
        <v>1710</v>
      </c>
      <c r="F779" s="3">
        <v>18.99</v>
      </c>
      <c r="G779" s="3" t="s">
        <v>6233</v>
      </c>
      <c r="H779" s="3"/>
      <c r="I779" s="3" t="s">
        <v>6234</v>
      </c>
      <c r="J779" s="3">
        <v>10</v>
      </c>
      <c r="K779" s="3">
        <v>10</v>
      </c>
      <c r="L779" s="3">
        <v>0</v>
      </c>
      <c r="M779" s="3">
        <v>0</v>
      </c>
      <c r="N779" s="3">
        <v>10</v>
      </c>
      <c r="O779" s="3">
        <v>0.14</v>
      </c>
      <c r="P779" s="3">
        <v>0</v>
      </c>
      <c r="Q779" s="3">
        <v>0</v>
      </c>
      <c r="R779" s="3">
        <v>0</v>
      </c>
    </row>
    <row r="780" spans="1:18">
      <c r="A780" s="3" t="s">
        <v>4336</v>
      </c>
      <c r="B780" s="3" t="s">
        <v>4337</v>
      </c>
      <c r="C780" s="3" t="s">
        <v>4338</v>
      </c>
      <c r="D780" s="3" t="s">
        <v>4339</v>
      </c>
      <c r="E780" s="3" t="s">
        <v>1710</v>
      </c>
      <c r="F780" s="3">
        <v>18.99</v>
      </c>
      <c r="G780" s="3" t="s">
        <v>6233</v>
      </c>
      <c r="H780" s="3"/>
      <c r="I780" s="3" t="s">
        <v>6234</v>
      </c>
      <c r="J780" s="3">
        <v>10</v>
      </c>
      <c r="K780" s="3">
        <v>10</v>
      </c>
      <c r="L780" s="3">
        <v>0</v>
      </c>
      <c r="M780" s="3">
        <v>0</v>
      </c>
      <c r="N780" s="3">
        <v>10</v>
      </c>
      <c r="O780" s="3">
        <v>0.14</v>
      </c>
      <c r="P780" s="3">
        <v>0</v>
      </c>
      <c r="Q780" s="3">
        <v>0</v>
      </c>
      <c r="R780" s="3">
        <v>0</v>
      </c>
    </row>
    <row r="781" spans="1:18">
      <c r="A781" s="3" t="s">
        <v>3395</v>
      </c>
      <c r="B781" s="3" t="s">
        <v>3396</v>
      </c>
      <c r="C781" s="3" t="s">
        <v>3397</v>
      </c>
      <c r="D781" s="3" t="s">
        <v>3398</v>
      </c>
      <c r="E781" s="3" t="s">
        <v>1710</v>
      </c>
      <c r="F781" s="3">
        <v>18.99</v>
      </c>
      <c r="G781" s="3" t="s">
        <v>6233</v>
      </c>
      <c r="H781" s="3"/>
      <c r="I781" s="3" t="s">
        <v>6234</v>
      </c>
      <c r="J781" s="3">
        <v>9</v>
      </c>
      <c r="K781" s="3">
        <v>9</v>
      </c>
      <c r="L781" s="3">
        <v>0</v>
      </c>
      <c r="M781" s="3">
        <v>0</v>
      </c>
      <c r="N781" s="3">
        <v>9</v>
      </c>
      <c r="O781" s="3">
        <v>0.14</v>
      </c>
      <c r="P781" s="3">
        <v>0</v>
      </c>
      <c r="Q781" s="3">
        <v>0</v>
      </c>
      <c r="R781" s="3">
        <v>0</v>
      </c>
    </row>
    <row r="782" spans="1:18">
      <c r="A782" s="3" t="s">
        <v>5781</v>
      </c>
      <c r="B782" s="3" t="s">
        <v>5782</v>
      </c>
      <c r="C782" s="3" t="s">
        <v>5783</v>
      </c>
      <c r="D782" s="3" t="s">
        <v>5784</v>
      </c>
      <c r="E782" s="3" t="s">
        <v>1710</v>
      </c>
      <c r="F782" s="3">
        <v>18.99</v>
      </c>
      <c r="G782" s="3" t="s">
        <v>6233</v>
      </c>
      <c r="H782" s="3"/>
      <c r="I782" s="3" t="s">
        <v>6234</v>
      </c>
      <c r="J782" s="3">
        <v>10</v>
      </c>
      <c r="K782" s="3">
        <v>10</v>
      </c>
      <c r="L782" s="3">
        <v>0</v>
      </c>
      <c r="M782" s="3">
        <v>0</v>
      </c>
      <c r="N782" s="3">
        <v>10</v>
      </c>
      <c r="O782" s="3">
        <v>0.14</v>
      </c>
      <c r="P782" s="3">
        <v>0</v>
      </c>
      <c r="Q782" s="3">
        <v>0</v>
      </c>
      <c r="R782" s="3">
        <v>0</v>
      </c>
    </row>
    <row r="783" spans="1:18">
      <c r="A783" s="3" t="s">
        <v>1998</v>
      </c>
      <c r="B783" s="3" t="s">
        <v>1999</v>
      </c>
      <c r="C783" s="3" t="s">
        <v>2000</v>
      </c>
      <c r="D783" s="3" t="s">
        <v>2001</v>
      </c>
      <c r="E783" s="3" t="s">
        <v>1710</v>
      </c>
      <c r="F783" s="3">
        <v>18.99</v>
      </c>
      <c r="G783" s="3" t="s">
        <v>6233</v>
      </c>
      <c r="H783" s="3"/>
      <c r="I783" s="3" t="s">
        <v>6234</v>
      </c>
      <c r="J783" s="3">
        <v>9</v>
      </c>
      <c r="K783" s="3">
        <v>9</v>
      </c>
      <c r="L783" s="3">
        <v>0</v>
      </c>
      <c r="M783" s="3">
        <v>0</v>
      </c>
      <c r="N783" s="3">
        <v>9</v>
      </c>
      <c r="O783" s="3">
        <v>0.14</v>
      </c>
      <c r="P783" s="3">
        <v>0</v>
      </c>
      <c r="Q783" s="3">
        <v>0</v>
      </c>
      <c r="R783" s="3">
        <v>0</v>
      </c>
    </row>
    <row r="784" spans="1:18">
      <c r="A784" s="3" t="s">
        <v>5576</v>
      </c>
      <c r="B784" s="3" t="s">
        <v>5577</v>
      </c>
      <c r="C784" s="3" t="s">
        <v>5578</v>
      </c>
      <c r="D784" s="3" t="s">
        <v>5579</v>
      </c>
      <c r="E784" s="3" t="s">
        <v>1710</v>
      </c>
      <c r="F784" s="3">
        <v>18.99</v>
      </c>
      <c r="G784" s="3" t="s">
        <v>6233</v>
      </c>
      <c r="H784" s="3"/>
      <c r="I784" s="3" t="s">
        <v>6234</v>
      </c>
      <c r="J784" s="3">
        <v>9</v>
      </c>
      <c r="K784" s="3">
        <v>9</v>
      </c>
      <c r="L784" s="3">
        <v>0</v>
      </c>
      <c r="M784" s="3">
        <v>0</v>
      </c>
      <c r="N784" s="3">
        <v>9</v>
      </c>
      <c r="O784" s="3">
        <v>0.14</v>
      </c>
      <c r="P784" s="3">
        <v>0</v>
      </c>
      <c r="Q784" s="3">
        <v>0</v>
      </c>
      <c r="R784" s="3">
        <v>0</v>
      </c>
    </row>
    <row r="785" spans="1:18">
      <c r="A785" s="3" t="s">
        <v>2041</v>
      </c>
      <c r="B785" s="3" t="s">
        <v>2042</v>
      </c>
      <c r="C785" s="3" t="s">
        <v>2043</v>
      </c>
      <c r="D785" s="3" t="s">
        <v>2044</v>
      </c>
      <c r="E785" s="3" t="s">
        <v>1710</v>
      </c>
      <c r="F785" s="3">
        <v>18.99</v>
      </c>
      <c r="G785" s="3" t="s">
        <v>6233</v>
      </c>
      <c r="H785" s="3"/>
      <c r="I785" s="3" t="s">
        <v>6234</v>
      </c>
      <c r="J785" s="3">
        <v>10</v>
      </c>
      <c r="K785" s="3">
        <v>10</v>
      </c>
      <c r="L785" s="3">
        <v>0</v>
      </c>
      <c r="M785" s="3">
        <v>0</v>
      </c>
      <c r="N785" s="3">
        <v>10</v>
      </c>
      <c r="O785" s="3">
        <v>0.14</v>
      </c>
      <c r="P785" s="3">
        <v>0</v>
      </c>
      <c r="Q785" s="3">
        <v>0</v>
      </c>
      <c r="R785" s="3">
        <v>0</v>
      </c>
    </row>
    <row r="786" spans="1:18">
      <c r="A786" s="3" t="s">
        <v>2678</v>
      </c>
      <c r="B786" s="3" t="s">
        <v>2679</v>
      </c>
      <c r="C786" s="3" t="s">
        <v>2680</v>
      </c>
      <c r="D786" s="3" t="s">
        <v>2681</v>
      </c>
      <c r="E786" s="3" t="s">
        <v>1710</v>
      </c>
      <c r="F786" s="3">
        <v>18.99</v>
      </c>
      <c r="G786" s="3" t="s">
        <v>6233</v>
      </c>
      <c r="H786" s="3"/>
      <c r="I786" s="3" t="s">
        <v>6234</v>
      </c>
      <c r="J786" s="3">
        <v>9</v>
      </c>
      <c r="K786" s="3">
        <v>9</v>
      </c>
      <c r="L786" s="3">
        <v>0</v>
      </c>
      <c r="M786" s="3">
        <v>0</v>
      </c>
      <c r="N786" s="3">
        <v>9</v>
      </c>
      <c r="O786" s="3">
        <v>0.14</v>
      </c>
      <c r="P786" s="3">
        <v>0</v>
      </c>
      <c r="Q786" s="3">
        <v>0</v>
      </c>
      <c r="R786" s="3">
        <v>0</v>
      </c>
    </row>
    <row r="787" spans="1:18">
      <c r="A787" s="3" t="s">
        <v>3991</v>
      </c>
      <c r="B787" s="3" t="s">
        <v>3992</v>
      </c>
      <c r="C787" s="3" t="s">
        <v>3993</v>
      </c>
      <c r="D787" s="3" t="s">
        <v>3994</v>
      </c>
      <c r="E787" s="3" t="s">
        <v>1710</v>
      </c>
      <c r="F787" s="3">
        <v>18.99</v>
      </c>
      <c r="G787" s="3" t="s">
        <v>6233</v>
      </c>
      <c r="H787" s="3"/>
      <c r="I787" s="3" t="s">
        <v>6234</v>
      </c>
      <c r="J787" s="3">
        <v>9</v>
      </c>
      <c r="K787" s="3">
        <v>9</v>
      </c>
      <c r="L787" s="3">
        <v>0</v>
      </c>
      <c r="M787" s="3">
        <v>0</v>
      </c>
      <c r="N787" s="3">
        <v>9</v>
      </c>
      <c r="O787" s="3">
        <v>0.14</v>
      </c>
      <c r="P787" s="3">
        <v>0</v>
      </c>
      <c r="Q787" s="3">
        <v>0</v>
      </c>
      <c r="R787" s="3">
        <v>0</v>
      </c>
    </row>
    <row r="788" spans="1:18">
      <c r="A788" s="3" t="s">
        <v>2826</v>
      </c>
      <c r="B788" s="3" t="s">
        <v>2827</v>
      </c>
      <c r="C788" s="3" t="s">
        <v>2828</v>
      </c>
      <c r="D788" s="3" t="s">
        <v>2829</v>
      </c>
      <c r="E788" s="3" t="s">
        <v>1710</v>
      </c>
      <c r="F788" s="3">
        <v>18.99</v>
      </c>
      <c r="G788" s="3" t="s">
        <v>6233</v>
      </c>
      <c r="H788" s="3"/>
      <c r="I788" s="3" t="s">
        <v>6234</v>
      </c>
      <c r="J788" s="3">
        <v>10</v>
      </c>
      <c r="K788" s="3">
        <v>10</v>
      </c>
      <c r="L788" s="3">
        <v>0</v>
      </c>
      <c r="M788" s="3">
        <v>0</v>
      </c>
      <c r="N788" s="3">
        <v>10</v>
      </c>
      <c r="O788" s="3">
        <v>0</v>
      </c>
      <c r="P788" s="3">
        <v>0</v>
      </c>
      <c r="Q788" s="3">
        <v>0</v>
      </c>
      <c r="R788" s="3">
        <v>0</v>
      </c>
    </row>
    <row r="789" spans="1:18">
      <c r="A789" s="3" t="s">
        <v>2455</v>
      </c>
      <c r="B789" s="3" t="s">
        <v>2456</v>
      </c>
      <c r="C789" s="3" t="s">
        <v>2457</v>
      </c>
      <c r="D789" s="3" t="s">
        <v>2458</v>
      </c>
      <c r="E789" s="3" t="s">
        <v>1710</v>
      </c>
      <c r="F789" s="3">
        <v>18.99</v>
      </c>
      <c r="G789" s="3" t="s">
        <v>6233</v>
      </c>
      <c r="H789" s="3"/>
      <c r="I789" s="3" t="s">
        <v>6234</v>
      </c>
      <c r="J789" s="3">
        <v>10</v>
      </c>
      <c r="K789" s="3">
        <v>10</v>
      </c>
      <c r="L789" s="3">
        <v>0</v>
      </c>
      <c r="M789" s="3">
        <v>0</v>
      </c>
      <c r="N789" s="3">
        <v>10</v>
      </c>
      <c r="O789" s="3">
        <v>0.14</v>
      </c>
      <c r="P789" s="3">
        <v>0</v>
      </c>
      <c r="Q789" s="3">
        <v>0</v>
      </c>
      <c r="R789" s="3">
        <v>0</v>
      </c>
    </row>
    <row r="790" spans="1:18">
      <c r="A790" s="3" t="s">
        <v>5475</v>
      </c>
      <c r="B790" s="3" t="s">
        <v>5476</v>
      </c>
      <c r="C790" s="3" t="s">
        <v>5477</v>
      </c>
      <c r="D790" s="3" t="s">
        <v>5478</v>
      </c>
      <c r="E790" s="3" t="s">
        <v>1710</v>
      </c>
      <c r="F790" s="3">
        <v>18.99</v>
      </c>
      <c r="G790" s="3" t="s">
        <v>6233</v>
      </c>
      <c r="H790" s="3"/>
      <c r="I790" s="3" t="s">
        <v>6234</v>
      </c>
      <c r="J790" s="3">
        <v>9</v>
      </c>
      <c r="K790" s="3">
        <v>9</v>
      </c>
      <c r="L790" s="3">
        <v>0</v>
      </c>
      <c r="M790" s="3">
        <v>0</v>
      </c>
      <c r="N790" s="3">
        <v>9</v>
      </c>
      <c r="O790" s="3">
        <v>0.14</v>
      </c>
      <c r="P790" s="3">
        <v>0</v>
      </c>
      <c r="Q790" s="3">
        <v>0</v>
      </c>
      <c r="R790" s="3">
        <v>0</v>
      </c>
    </row>
    <row r="791" spans="1:18">
      <c r="A791" s="3" t="s">
        <v>4847</v>
      </c>
      <c r="B791" s="3" t="s">
        <v>4848</v>
      </c>
      <c r="C791" s="3" t="s">
        <v>4849</v>
      </c>
      <c r="D791" s="3" t="s">
        <v>4850</v>
      </c>
      <c r="E791" s="3" t="s">
        <v>1710</v>
      </c>
      <c r="F791" s="3">
        <v>18.99</v>
      </c>
      <c r="G791" s="3" t="s">
        <v>6233</v>
      </c>
      <c r="H791" s="3"/>
      <c r="I791" s="3" t="s">
        <v>6234</v>
      </c>
      <c r="J791" s="3">
        <v>10</v>
      </c>
      <c r="K791" s="3">
        <v>10</v>
      </c>
      <c r="L791" s="3">
        <v>0</v>
      </c>
      <c r="M791" s="3">
        <v>0</v>
      </c>
      <c r="N791" s="3">
        <v>10</v>
      </c>
      <c r="O791" s="3">
        <v>0</v>
      </c>
      <c r="P791" s="3">
        <v>0</v>
      </c>
      <c r="Q791" s="3">
        <v>0</v>
      </c>
      <c r="R791" s="3">
        <v>0</v>
      </c>
    </row>
    <row r="792" spans="1:18">
      <c r="A792" s="3" t="s">
        <v>7426</v>
      </c>
      <c r="B792" s="3" t="s">
        <v>7427</v>
      </c>
      <c r="C792" s="3" t="s">
        <v>7428</v>
      </c>
      <c r="D792" s="3" t="s">
        <v>7429</v>
      </c>
      <c r="E792" s="3" t="s">
        <v>1710</v>
      </c>
      <c r="F792" s="3">
        <v>9.99</v>
      </c>
      <c r="G792" s="3" t="s">
        <v>6233</v>
      </c>
      <c r="H792" s="3"/>
      <c r="I792" s="3" t="s">
        <v>6234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>
        <v>0.04</v>
      </c>
      <c r="P792" s="3">
        <v>0</v>
      </c>
      <c r="Q792" s="3">
        <v>0</v>
      </c>
      <c r="R792" s="3">
        <v>0</v>
      </c>
    </row>
    <row r="793" spans="1:18">
      <c r="A793" s="3" t="s">
        <v>5299</v>
      </c>
      <c r="B793" s="3" t="s">
        <v>5300</v>
      </c>
      <c r="C793" s="3" t="s">
        <v>5301</v>
      </c>
      <c r="D793" s="3" t="s">
        <v>5302</v>
      </c>
      <c r="E793" s="3" t="s">
        <v>1710</v>
      </c>
      <c r="F793" s="3">
        <v>9.99</v>
      </c>
      <c r="G793" s="3" t="s">
        <v>6233</v>
      </c>
      <c r="H793" s="3"/>
      <c r="I793" s="3" t="s">
        <v>6234</v>
      </c>
      <c r="J793" s="3">
        <v>2</v>
      </c>
      <c r="K793" s="3">
        <v>2</v>
      </c>
      <c r="L793" s="3">
        <v>0</v>
      </c>
      <c r="M793" s="3">
        <v>0</v>
      </c>
      <c r="N793" s="3">
        <v>2</v>
      </c>
      <c r="O793" s="3">
        <v>0.04</v>
      </c>
      <c r="P793" s="3">
        <v>0</v>
      </c>
      <c r="Q793" s="3">
        <v>0</v>
      </c>
      <c r="R793" s="3">
        <v>0</v>
      </c>
    </row>
    <row r="794" spans="1:18">
      <c r="A794" s="3" t="s">
        <v>4077</v>
      </c>
      <c r="B794" s="3" t="s">
        <v>4078</v>
      </c>
      <c r="C794" s="3" t="s">
        <v>4079</v>
      </c>
      <c r="D794" s="3"/>
      <c r="E794" s="3" t="s">
        <v>6275</v>
      </c>
      <c r="F794" s="3"/>
      <c r="G794" s="3"/>
      <c r="H794" s="3"/>
      <c r="I794" s="3"/>
      <c r="J794" s="3">
        <v>1</v>
      </c>
      <c r="K794" s="3">
        <v>1</v>
      </c>
      <c r="L794" s="3">
        <v>0</v>
      </c>
      <c r="M794" s="3">
        <v>0</v>
      </c>
      <c r="N794" s="3">
        <v>1</v>
      </c>
      <c r="O794" s="3"/>
      <c r="P794" s="3">
        <v>0</v>
      </c>
      <c r="Q794" s="3">
        <v>0</v>
      </c>
      <c r="R794" s="3">
        <v>0</v>
      </c>
    </row>
    <row r="795" spans="1:18">
      <c r="A795" s="3" t="s">
        <v>7430</v>
      </c>
      <c r="B795" s="3" t="s">
        <v>7431</v>
      </c>
      <c r="C795" s="3" t="s">
        <v>7432</v>
      </c>
      <c r="D795" s="3"/>
      <c r="E795" s="3" t="s">
        <v>6275</v>
      </c>
      <c r="F795" s="3"/>
      <c r="G795" s="3"/>
      <c r="H795" s="3"/>
      <c r="I795" s="3"/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/>
      <c r="P795" s="3">
        <v>0</v>
      </c>
      <c r="Q795" s="3">
        <v>0</v>
      </c>
      <c r="R795" s="3">
        <v>0</v>
      </c>
    </row>
    <row r="796" spans="1:18">
      <c r="A796" s="3" t="s">
        <v>7433</v>
      </c>
      <c r="B796" s="3" t="s">
        <v>7434</v>
      </c>
      <c r="C796" s="3" t="s">
        <v>7435</v>
      </c>
      <c r="D796" s="3"/>
      <c r="E796" s="3" t="s">
        <v>6275</v>
      </c>
      <c r="F796" s="3"/>
      <c r="G796" s="3"/>
      <c r="H796" s="3"/>
      <c r="I796" s="3"/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/>
      <c r="P796" s="3">
        <v>0</v>
      </c>
      <c r="Q796" s="3">
        <v>0</v>
      </c>
      <c r="R796" s="3">
        <v>0</v>
      </c>
    </row>
    <row r="797" spans="1:18">
      <c r="A797" s="3" t="s">
        <v>7436</v>
      </c>
      <c r="B797" s="3" t="s">
        <v>7437</v>
      </c>
      <c r="C797" s="3" t="s">
        <v>7438</v>
      </c>
      <c r="D797" s="3"/>
      <c r="E797" s="3" t="s">
        <v>6275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7439</v>
      </c>
      <c r="B798" s="3" t="s">
        <v>7440</v>
      </c>
      <c r="C798" s="3" t="s">
        <v>7441</v>
      </c>
      <c r="D798" s="3"/>
      <c r="E798" s="3" t="s">
        <v>6275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2611</v>
      </c>
      <c r="B799" s="3" t="s">
        <v>2612</v>
      </c>
      <c r="C799" s="3" t="s">
        <v>2613</v>
      </c>
      <c r="D799" s="3"/>
      <c r="E799" s="3" t="s">
        <v>6275</v>
      </c>
      <c r="F799" s="3"/>
      <c r="G799" s="3"/>
      <c r="H799" s="3"/>
      <c r="I799" s="3"/>
      <c r="J799" s="3">
        <v>1</v>
      </c>
      <c r="K799" s="3">
        <v>1</v>
      </c>
      <c r="L799" s="3">
        <v>0</v>
      </c>
      <c r="M799" s="3">
        <v>0</v>
      </c>
      <c r="N799" s="3">
        <v>1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7442</v>
      </c>
      <c r="B800" s="3" t="s">
        <v>7443</v>
      </c>
      <c r="C800" s="3" t="s">
        <v>7444</v>
      </c>
      <c r="D800" s="3"/>
      <c r="E800" s="3" t="s">
        <v>6275</v>
      </c>
      <c r="F800" s="3"/>
      <c r="G800" s="3"/>
      <c r="H800" s="3"/>
      <c r="I800" s="3"/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/>
      <c r="P800" s="3">
        <v>0</v>
      </c>
      <c r="Q800" s="3">
        <v>0</v>
      </c>
      <c r="R800" s="3">
        <v>0</v>
      </c>
    </row>
    <row r="801" spans="1:18">
      <c r="A801" s="3" t="s">
        <v>7445</v>
      </c>
      <c r="B801" s="3" t="s">
        <v>7446</v>
      </c>
      <c r="C801" s="3" t="s">
        <v>7447</v>
      </c>
      <c r="D801" s="3"/>
      <c r="E801" s="3" t="s">
        <v>6275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7448</v>
      </c>
      <c r="B802" s="3" t="s">
        <v>7449</v>
      </c>
      <c r="C802" s="3" t="s">
        <v>7450</v>
      </c>
      <c r="D802" s="3"/>
      <c r="E802" s="3" t="s">
        <v>6275</v>
      </c>
      <c r="F802" s="3"/>
      <c r="G802" s="3"/>
      <c r="H802" s="3"/>
      <c r="I802" s="3"/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/>
      <c r="P802" s="3">
        <v>0</v>
      </c>
      <c r="Q802" s="3">
        <v>0</v>
      </c>
      <c r="R802" s="3">
        <v>0</v>
      </c>
    </row>
    <row r="803" spans="1:18">
      <c r="A803" s="3" t="s">
        <v>2865</v>
      </c>
      <c r="B803" s="3" t="s">
        <v>2866</v>
      </c>
      <c r="C803" s="3" t="s">
        <v>2867</v>
      </c>
      <c r="D803" s="3"/>
      <c r="E803" s="3" t="s">
        <v>6275</v>
      </c>
      <c r="F803" s="3"/>
      <c r="G803" s="3"/>
      <c r="H803" s="3"/>
      <c r="I803" s="3"/>
      <c r="J803" s="3">
        <v>1</v>
      </c>
      <c r="K803" s="3">
        <v>1</v>
      </c>
      <c r="L803" s="3">
        <v>0</v>
      </c>
      <c r="M803" s="3">
        <v>0</v>
      </c>
      <c r="N803" s="3">
        <v>1</v>
      </c>
      <c r="O803" s="3"/>
      <c r="P803" s="3">
        <v>0</v>
      </c>
      <c r="Q803" s="3">
        <v>0</v>
      </c>
      <c r="R803" s="3">
        <v>0</v>
      </c>
    </row>
    <row r="804" spans="1:18">
      <c r="A804" s="3" t="s">
        <v>7451</v>
      </c>
      <c r="B804" s="3" t="s">
        <v>7452</v>
      </c>
      <c r="C804" s="3" t="s">
        <v>7453</v>
      </c>
      <c r="D804" s="3"/>
      <c r="E804" s="3" t="s">
        <v>6275</v>
      </c>
      <c r="F804" s="3"/>
      <c r="G804" s="3"/>
      <c r="H804" s="3"/>
      <c r="I804" s="3"/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/>
      <c r="P804" s="3">
        <v>0</v>
      </c>
      <c r="Q804" s="3">
        <v>0</v>
      </c>
      <c r="R804" s="3">
        <v>0</v>
      </c>
    </row>
    <row r="805" spans="1:18">
      <c r="A805" s="3" t="s">
        <v>5658</v>
      </c>
      <c r="B805" s="3" t="s">
        <v>5659</v>
      </c>
      <c r="C805" s="3" t="s">
        <v>5660</v>
      </c>
      <c r="D805" s="3" t="s">
        <v>2030</v>
      </c>
      <c r="E805" s="3" t="s">
        <v>1710</v>
      </c>
      <c r="F805" s="3">
        <v>35</v>
      </c>
      <c r="G805" s="3" t="s">
        <v>6233</v>
      </c>
      <c r="H805" s="3"/>
      <c r="I805" s="3" t="s">
        <v>6234</v>
      </c>
      <c r="J805" s="3">
        <v>2</v>
      </c>
      <c r="K805" s="3">
        <v>2</v>
      </c>
      <c r="L805" s="3">
        <v>0</v>
      </c>
      <c r="M805" s="3">
        <v>0</v>
      </c>
      <c r="N805" s="3">
        <v>2</v>
      </c>
      <c r="O805" s="3">
        <v>0.02</v>
      </c>
      <c r="P805" s="3">
        <v>0</v>
      </c>
      <c r="Q805" s="3">
        <v>0</v>
      </c>
      <c r="R805" s="3">
        <v>0</v>
      </c>
    </row>
    <row r="806" spans="1:18">
      <c r="A806" s="3" t="s">
        <v>7454</v>
      </c>
      <c r="B806" s="3" t="s">
        <v>7455</v>
      </c>
      <c r="C806" s="3" t="s">
        <v>7456</v>
      </c>
      <c r="D806" s="3" t="s">
        <v>2030</v>
      </c>
      <c r="E806" s="3" t="s">
        <v>1710</v>
      </c>
      <c r="F806" s="3">
        <v>35</v>
      </c>
      <c r="G806" s="3" t="s">
        <v>6233</v>
      </c>
      <c r="H806" s="3"/>
      <c r="I806" s="3" t="s">
        <v>6234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0.02</v>
      </c>
      <c r="P806" s="3">
        <v>0</v>
      </c>
      <c r="Q806" s="3">
        <v>0</v>
      </c>
      <c r="R806" s="3">
        <v>0</v>
      </c>
    </row>
    <row r="807" spans="1:18">
      <c r="A807" s="3" t="s">
        <v>3306</v>
      </c>
      <c r="B807" s="3" t="s">
        <v>3307</v>
      </c>
      <c r="C807" s="3" t="s">
        <v>3308</v>
      </c>
      <c r="D807" s="3" t="s">
        <v>2030</v>
      </c>
      <c r="E807" s="3" t="s">
        <v>1710</v>
      </c>
      <c r="F807" s="3">
        <v>35</v>
      </c>
      <c r="G807" s="3" t="s">
        <v>6233</v>
      </c>
      <c r="H807" s="3"/>
      <c r="I807" s="3" t="s">
        <v>6234</v>
      </c>
      <c r="J807" s="3">
        <v>5</v>
      </c>
      <c r="K807" s="3">
        <v>5</v>
      </c>
      <c r="L807" s="3">
        <v>0</v>
      </c>
      <c r="M807" s="3">
        <v>0</v>
      </c>
      <c r="N807" s="3">
        <v>5</v>
      </c>
      <c r="O807" s="3">
        <v>0.02</v>
      </c>
      <c r="P807" s="3">
        <v>0</v>
      </c>
      <c r="Q807" s="3">
        <v>0</v>
      </c>
      <c r="R807" s="3">
        <v>0</v>
      </c>
    </row>
    <row r="808" spans="1:18">
      <c r="A808" s="3" t="s">
        <v>4161</v>
      </c>
      <c r="B808" s="3" t="s">
        <v>4162</v>
      </c>
      <c r="C808" s="3" t="s">
        <v>4163</v>
      </c>
      <c r="D808" s="3" t="s">
        <v>2030</v>
      </c>
      <c r="E808" s="3" t="s">
        <v>1710</v>
      </c>
      <c r="F808" s="3">
        <v>35</v>
      </c>
      <c r="G808" s="3" t="s">
        <v>6233</v>
      </c>
      <c r="H808" s="3"/>
      <c r="I808" s="3" t="s">
        <v>6234</v>
      </c>
      <c r="J808" s="3">
        <v>5</v>
      </c>
      <c r="K808" s="3">
        <v>5</v>
      </c>
      <c r="L808" s="3">
        <v>0</v>
      </c>
      <c r="M808" s="3">
        <v>0</v>
      </c>
      <c r="N808" s="3">
        <v>5</v>
      </c>
      <c r="O808" s="3">
        <v>0.02</v>
      </c>
      <c r="P808" s="3">
        <v>0</v>
      </c>
      <c r="Q808" s="3">
        <v>0</v>
      </c>
      <c r="R808" s="3">
        <v>0</v>
      </c>
    </row>
    <row r="809" spans="1:18">
      <c r="A809" s="3" t="s">
        <v>7457</v>
      </c>
      <c r="B809" s="3" t="s">
        <v>7458</v>
      </c>
      <c r="C809" s="3" t="s">
        <v>7459</v>
      </c>
      <c r="D809" s="3" t="s">
        <v>2030</v>
      </c>
      <c r="E809" s="3" t="s">
        <v>1710</v>
      </c>
      <c r="F809" s="3">
        <v>35</v>
      </c>
      <c r="G809" s="3" t="s">
        <v>6233</v>
      </c>
      <c r="H809" s="3"/>
      <c r="I809" s="3" t="s">
        <v>6234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0.02</v>
      </c>
      <c r="P809" s="3">
        <v>0</v>
      </c>
      <c r="Q809" s="3">
        <v>0</v>
      </c>
      <c r="R809" s="3">
        <v>0</v>
      </c>
    </row>
    <row r="810" spans="1:18">
      <c r="A810" s="3" t="s">
        <v>2777</v>
      </c>
      <c r="B810" s="3" t="s">
        <v>2778</v>
      </c>
      <c r="C810" s="3" t="s">
        <v>2779</v>
      </c>
      <c r="D810" s="3" t="s">
        <v>2030</v>
      </c>
      <c r="E810" s="3" t="s">
        <v>1710</v>
      </c>
      <c r="F810" s="3">
        <v>35</v>
      </c>
      <c r="G810" s="3" t="s">
        <v>6233</v>
      </c>
      <c r="H810" s="3"/>
      <c r="I810" s="3" t="s">
        <v>6234</v>
      </c>
      <c r="J810" s="3">
        <v>1</v>
      </c>
      <c r="K810" s="3">
        <v>1</v>
      </c>
      <c r="L810" s="3">
        <v>0</v>
      </c>
      <c r="M810" s="3">
        <v>0</v>
      </c>
      <c r="N810" s="3">
        <v>1</v>
      </c>
      <c r="O810" s="3">
        <v>0.02</v>
      </c>
      <c r="P810" s="3">
        <v>0</v>
      </c>
      <c r="Q810" s="3">
        <v>0</v>
      </c>
      <c r="R810" s="3">
        <v>0</v>
      </c>
    </row>
    <row r="811" spans="1:18">
      <c r="A811" s="3" t="s">
        <v>2843</v>
      </c>
      <c r="B811" s="3" t="s">
        <v>2844</v>
      </c>
      <c r="C811" s="3" t="s">
        <v>2845</v>
      </c>
      <c r="D811" s="3" t="s">
        <v>2030</v>
      </c>
      <c r="E811" s="3" t="s">
        <v>1710</v>
      </c>
      <c r="F811" s="3">
        <v>35</v>
      </c>
      <c r="G811" s="3" t="s">
        <v>6233</v>
      </c>
      <c r="H811" s="3"/>
      <c r="I811" s="3" t="s">
        <v>6234</v>
      </c>
      <c r="J811" s="3">
        <v>2</v>
      </c>
      <c r="K811" s="3">
        <v>2</v>
      </c>
      <c r="L811" s="3">
        <v>0</v>
      </c>
      <c r="M811" s="3">
        <v>0</v>
      </c>
      <c r="N811" s="3">
        <v>2</v>
      </c>
      <c r="O811" s="3">
        <v>0.02</v>
      </c>
      <c r="P811" s="3">
        <v>0</v>
      </c>
      <c r="Q811" s="3">
        <v>0</v>
      </c>
      <c r="R811" s="3">
        <v>0</v>
      </c>
    </row>
    <row r="812" spans="1:18">
      <c r="A812" s="3" t="s">
        <v>4603</v>
      </c>
      <c r="B812" s="3" t="s">
        <v>4604</v>
      </c>
      <c r="C812" s="3" t="s">
        <v>4605</v>
      </c>
      <c r="D812" s="3" t="s">
        <v>2030</v>
      </c>
      <c r="E812" s="3" t="s">
        <v>1710</v>
      </c>
      <c r="F812" s="3">
        <v>35</v>
      </c>
      <c r="G812" s="3" t="s">
        <v>6233</v>
      </c>
      <c r="H812" s="3"/>
      <c r="I812" s="3" t="s">
        <v>6234</v>
      </c>
      <c r="J812" s="3">
        <v>2</v>
      </c>
      <c r="K812" s="3">
        <v>2</v>
      </c>
      <c r="L812" s="3">
        <v>0</v>
      </c>
      <c r="M812" s="3">
        <v>0</v>
      </c>
      <c r="N812" s="3">
        <v>2</v>
      </c>
      <c r="O812" s="3">
        <v>0.02</v>
      </c>
      <c r="P812" s="3">
        <v>0</v>
      </c>
      <c r="Q812" s="3">
        <v>0</v>
      </c>
      <c r="R812" s="3">
        <v>0</v>
      </c>
    </row>
    <row r="813" spans="1:18">
      <c r="A813" s="3" t="s">
        <v>7460</v>
      </c>
      <c r="B813" s="3" t="s">
        <v>7461</v>
      </c>
      <c r="C813" s="3" t="s">
        <v>7462</v>
      </c>
      <c r="D813" s="3" t="s">
        <v>2030</v>
      </c>
      <c r="E813" s="3" t="s">
        <v>1710</v>
      </c>
      <c r="F813" s="3">
        <v>35</v>
      </c>
      <c r="G813" s="3" t="s">
        <v>6233</v>
      </c>
      <c r="H813" s="3"/>
      <c r="I813" s="3" t="s">
        <v>6234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0.02</v>
      </c>
      <c r="P813" s="3">
        <v>0</v>
      </c>
      <c r="Q813" s="3">
        <v>0</v>
      </c>
      <c r="R813" s="3">
        <v>0</v>
      </c>
    </row>
    <row r="814" spans="1:18">
      <c r="A814" s="3" t="s">
        <v>5720</v>
      </c>
      <c r="B814" s="3" t="s">
        <v>5721</v>
      </c>
      <c r="C814" s="3" t="s">
        <v>5722</v>
      </c>
      <c r="D814" s="3" t="s">
        <v>2030</v>
      </c>
      <c r="E814" s="3" t="s">
        <v>1710</v>
      </c>
      <c r="F814" s="3">
        <v>35</v>
      </c>
      <c r="G814" s="3" t="s">
        <v>6233</v>
      </c>
      <c r="H814" s="3"/>
      <c r="I814" s="3" t="s">
        <v>6234</v>
      </c>
      <c r="J814" s="3">
        <v>2</v>
      </c>
      <c r="K814" s="3">
        <v>2</v>
      </c>
      <c r="L814" s="3">
        <v>0</v>
      </c>
      <c r="M814" s="3">
        <v>0</v>
      </c>
      <c r="N814" s="3">
        <v>2</v>
      </c>
      <c r="O814" s="3">
        <v>0.02</v>
      </c>
      <c r="P814" s="3">
        <v>0</v>
      </c>
      <c r="Q814" s="3">
        <v>0</v>
      </c>
      <c r="R814" s="3">
        <v>0</v>
      </c>
    </row>
    <row r="815" spans="1:18">
      <c r="A815" s="3" t="s">
        <v>4235</v>
      </c>
      <c r="B815" s="3" t="s">
        <v>4236</v>
      </c>
      <c r="C815" s="3" t="s">
        <v>4237</v>
      </c>
      <c r="D815" s="3" t="s">
        <v>2030</v>
      </c>
      <c r="E815" s="3" t="s">
        <v>1710</v>
      </c>
      <c r="F815" s="3">
        <v>35</v>
      </c>
      <c r="G815" s="3" t="s">
        <v>6233</v>
      </c>
      <c r="H815" s="3"/>
      <c r="I815" s="3" t="s">
        <v>6234</v>
      </c>
      <c r="J815" s="3">
        <v>2</v>
      </c>
      <c r="K815" s="3">
        <v>2</v>
      </c>
      <c r="L815" s="3">
        <v>0</v>
      </c>
      <c r="M815" s="3">
        <v>0</v>
      </c>
      <c r="N815" s="3">
        <v>2</v>
      </c>
      <c r="O815" s="3">
        <v>0.02</v>
      </c>
      <c r="P815" s="3">
        <v>0</v>
      </c>
      <c r="Q815" s="3">
        <v>0</v>
      </c>
      <c r="R815" s="3">
        <v>0</v>
      </c>
    </row>
    <row r="816" spans="1:18">
      <c r="A816" s="3" t="s">
        <v>3209</v>
      </c>
      <c r="B816" s="3" t="s">
        <v>3210</v>
      </c>
      <c r="C816" s="3" t="s">
        <v>3211</v>
      </c>
      <c r="D816" s="3" t="s">
        <v>2030</v>
      </c>
      <c r="E816" s="3" t="s">
        <v>1710</v>
      </c>
      <c r="F816" s="3">
        <v>35</v>
      </c>
      <c r="G816" s="3" t="s">
        <v>6233</v>
      </c>
      <c r="H816" s="3"/>
      <c r="I816" s="3" t="s">
        <v>6234</v>
      </c>
      <c r="J816" s="3">
        <v>1</v>
      </c>
      <c r="K816" s="3">
        <v>1</v>
      </c>
      <c r="L816" s="3">
        <v>0</v>
      </c>
      <c r="M816" s="3">
        <v>0</v>
      </c>
      <c r="N816" s="3">
        <v>1</v>
      </c>
      <c r="O816" s="3">
        <v>0.02</v>
      </c>
      <c r="P816" s="3">
        <v>0</v>
      </c>
      <c r="Q816" s="3">
        <v>0</v>
      </c>
      <c r="R816" s="3">
        <v>0</v>
      </c>
    </row>
    <row r="817" spans="1:18">
      <c r="A817" s="3" t="s">
        <v>6132</v>
      </c>
      <c r="B817" s="3" t="s">
        <v>6133</v>
      </c>
      <c r="C817" s="3" t="s">
        <v>6134</v>
      </c>
      <c r="D817" s="3" t="s">
        <v>2030</v>
      </c>
      <c r="E817" s="3" t="s">
        <v>1710</v>
      </c>
      <c r="F817" s="3">
        <v>35</v>
      </c>
      <c r="G817" s="3" t="s">
        <v>6233</v>
      </c>
      <c r="H817" s="3"/>
      <c r="I817" s="3" t="s">
        <v>6234</v>
      </c>
      <c r="J817" s="3">
        <v>2</v>
      </c>
      <c r="K817" s="3">
        <v>2</v>
      </c>
      <c r="L817" s="3">
        <v>0</v>
      </c>
      <c r="M817" s="3">
        <v>0</v>
      </c>
      <c r="N817" s="3">
        <v>2</v>
      </c>
      <c r="O817" s="3">
        <v>0.02</v>
      </c>
      <c r="P817" s="3">
        <v>0</v>
      </c>
      <c r="Q817" s="3">
        <v>0</v>
      </c>
      <c r="R817" s="3">
        <v>0</v>
      </c>
    </row>
    <row r="818" spans="1:18">
      <c r="A818" s="3" t="s">
        <v>2027</v>
      </c>
      <c r="B818" s="3" t="s">
        <v>2028</v>
      </c>
      <c r="C818" s="3" t="s">
        <v>2029</v>
      </c>
      <c r="D818" s="3" t="s">
        <v>2030</v>
      </c>
      <c r="E818" s="3" t="s">
        <v>1710</v>
      </c>
      <c r="F818" s="3">
        <v>35</v>
      </c>
      <c r="G818" s="3" t="s">
        <v>6233</v>
      </c>
      <c r="H818" s="3"/>
      <c r="I818" s="3" t="s">
        <v>6234</v>
      </c>
      <c r="J818" s="3">
        <v>1</v>
      </c>
      <c r="K818" s="3">
        <v>1</v>
      </c>
      <c r="L818" s="3">
        <v>0</v>
      </c>
      <c r="M818" s="3">
        <v>0</v>
      </c>
      <c r="N818" s="3">
        <v>1</v>
      </c>
      <c r="O818" s="3">
        <v>0.02</v>
      </c>
      <c r="P818" s="3">
        <v>0</v>
      </c>
      <c r="Q818" s="3">
        <v>0</v>
      </c>
      <c r="R818" s="3">
        <v>0</v>
      </c>
    </row>
    <row r="819" spans="1:18">
      <c r="A819" s="3" t="s">
        <v>2463</v>
      </c>
      <c r="B819" s="3" t="s">
        <v>2464</v>
      </c>
      <c r="C819" s="3" t="s">
        <v>2465</v>
      </c>
      <c r="D819" s="3" t="s">
        <v>119</v>
      </c>
      <c r="E819" s="3" t="s">
        <v>1710</v>
      </c>
      <c r="F819" s="3">
        <v>16.08</v>
      </c>
      <c r="G819" s="3" t="s">
        <v>6233</v>
      </c>
      <c r="H819" s="3"/>
      <c r="I819" s="3" t="s">
        <v>6234</v>
      </c>
      <c r="J819" s="3">
        <v>25</v>
      </c>
      <c r="K819" s="3">
        <v>25</v>
      </c>
      <c r="L819" s="3">
        <v>0</v>
      </c>
      <c r="M819" s="3">
        <v>0</v>
      </c>
      <c r="N819" s="3">
        <v>25</v>
      </c>
      <c r="O819" s="3">
        <v>0.07</v>
      </c>
      <c r="P819" s="3">
        <v>0</v>
      </c>
      <c r="Q819" s="3">
        <v>0</v>
      </c>
      <c r="R819" s="3">
        <v>0</v>
      </c>
    </row>
    <row r="820" spans="1:18">
      <c r="A820" s="3" t="s">
        <v>3382</v>
      </c>
      <c r="B820" s="3" t="s">
        <v>3383</v>
      </c>
      <c r="C820" s="3" t="s">
        <v>3384</v>
      </c>
      <c r="D820" s="3" t="s">
        <v>3385</v>
      </c>
      <c r="E820" s="3" t="s">
        <v>1710</v>
      </c>
      <c r="F820" s="3">
        <v>16.08</v>
      </c>
      <c r="G820" s="3" t="s">
        <v>6233</v>
      </c>
      <c r="H820" s="3"/>
      <c r="I820" s="3" t="s">
        <v>6234</v>
      </c>
      <c r="J820" s="3">
        <v>22</v>
      </c>
      <c r="K820" s="3">
        <v>22</v>
      </c>
      <c r="L820" s="3">
        <v>0</v>
      </c>
      <c r="M820" s="3">
        <v>0</v>
      </c>
      <c r="N820" s="3">
        <v>22</v>
      </c>
      <c r="O820" s="3">
        <v>0.06</v>
      </c>
      <c r="P820" s="3">
        <v>0</v>
      </c>
      <c r="Q820" s="3">
        <v>0</v>
      </c>
      <c r="R820" s="3">
        <v>0</v>
      </c>
    </row>
    <row r="821" spans="1:18">
      <c r="A821" s="3" t="s">
        <v>4305</v>
      </c>
      <c r="B821" s="3" t="s">
        <v>4306</v>
      </c>
      <c r="C821" s="3" t="s">
        <v>4307</v>
      </c>
      <c r="D821" s="3" t="s">
        <v>119</v>
      </c>
      <c r="E821" s="3" t="s">
        <v>1710</v>
      </c>
      <c r="F821" s="3">
        <v>16.08</v>
      </c>
      <c r="G821" s="3" t="s">
        <v>6233</v>
      </c>
      <c r="H821" s="3"/>
      <c r="I821" s="3" t="s">
        <v>6234</v>
      </c>
      <c r="J821" s="3">
        <v>51</v>
      </c>
      <c r="K821" s="3">
        <v>50</v>
      </c>
      <c r="L821" s="3">
        <v>1</v>
      </c>
      <c r="M821" s="3">
        <v>0</v>
      </c>
      <c r="N821" s="3">
        <v>51</v>
      </c>
      <c r="O821" s="3">
        <v>0.06</v>
      </c>
      <c r="P821" s="3">
        <v>0</v>
      </c>
      <c r="Q821" s="3">
        <v>0</v>
      </c>
      <c r="R821" s="3">
        <v>0</v>
      </c>
    </row>
    <row r="822" spans="1:18">
      <c r="A822" s="3" t="s">
        <v>5600</v>
      </c>
      <c r="B822" s="3" t="s">
        <v>5601</v>
      </c>
      <c r="C822" s="3" t="s">
        <v>5602</v>
      </c>
      <c r="D822" s="3" t="s">
        <v>5603</v>
      </c>
      <c r="E822" s="3" t="s">
        <v>1710</v>
      </c>
      <c r="F822" s="3">
        <v>16.08</v>
      </c>
      <c r="G822" s="3" t="s">
        <v>6233</v>
      </c>
      <c r="H822" s="3"/>
      <c r="I822" s="3" t="s">
        <v>6234</v>
      </c>
      <c r="J822" s="3">
        <v>89</v>
      </c>
      <c r="K822" s="3">
        <v>88</v>
      </c>
      <c r="L822" s="3">
        <v>1</v>
      </c>
      <c r="M822" s="3">
        <v>0</v>
      </c>
      <c r="N822" s="3">
        <v>89</v>
      </c>
      <c r="O822" s="3">
        <v>0.07</v>
      </c>
      <c r="P822" s="3">
        <v>0</v>
      </c>
      <c r="Q822" s="3">
        <v>0</v>
      </c>
      <c r="R822" s="3">
        <v>0</v>
      </c>
    </row>
    <row r="823" spans="1:18">
      <c r="A823" s="3" t="s">
        <v>116</v>
      </c>
      <c r="B823" s="3" t="s">
        <v>117</v>
      </c>
      <c r="C823" s="3" t="s">
        <v>118</v>
      </c>
      <c r="D823" s="3" t="s">
        <v>119</v>
      </c>
      <c r="E823" s="3" t="s">
        <v>1710</v>
      </c>
      <c r="F823" s="3">
        <v>16.08</v>
      </c>
      <c r="G823" s="3" t="s">
        <v>6233</v>
      </c>
      <c r="H823" s="3"/>
      <c r="I823" s="3" t="s">
        <v>6234</v>
      </c>
      <c r="J823" s="3">
        <v>29</v>
      </c>
      <c r="K823" s="3">
        <v>28</v>
      </c>
      <c r="L823" s="3">
        <v>0</v>
      </c>
      <c r="M823" s="3">
        <v>1</v>
      </c>
      <c r="N823" s="3">
        <v>29</v>
      </c>
      <c r="O823" s="3">
        <v>0.07</v>
      </c>
      <c r="P823" s="3">
        <v>0</v>
      </c>
      <c r="Q823" s="3">
        <v>0</v>
      </c>
      <c r="R823" s="3">
        <v>0</v>
      </c>
    </row>
    <row r="824" spans="1:18">
      <c r="A824" s="3" t="s">
        <v>2928</v>
      </c>
      <c r="B824" s="3" t="s">
        <v>2929</v>
      </c>
      <c r="C824" s="3" t="s">
        <v>2930</v>
      </c>
      <c r="D824" s="3" t="s">
        <v>2931</v>
      </c>
      <c r="E824" s="3" t="s">
        <v>1710</v>
      </c>
      <c r="F824" s="3">
        <v>16.08</v>
      </c>
      <c r="G824" s="3" t="s">
        <v>6233</v>
      </c>
      <c r="H824" s="3"/>
      <c r="I824" s="3" t="s">
        <v>6234</v>
      </c>
      <c r="J824" s="3">
        <v>71</v>
      </c>
      <c r="K824" s="3">
        <v>62</v>
      </c>
      <c r="L824" s="3">
        <v>9</v>
      </c>
      <c r="M824" s="3">
        <v>0</v>
      </c>
      <c r="N824" s="3">
        <v>71</v>
      </c>
      <c r="O824" s="3">
        <v>0.07</v>
      </c>
      <c r="P824" s="3">
        <v>0</v>
      </c>
      <c r="Q824" s="3">
        <v>0</v>
      </c>
      <c r="R824" s="3">
        <v>0</v>
      </c>
    </row>
    <row r="825" spans="1:18">
      <c r="A825" s="3" t="s">
        <v>7463</v>
      </c>
      <c r="B825" s="3" t="s">
        <v>7464</v>
      </c>
      <c r="C825" s="3" t="s">
        <v>7465</v>
      </c>
      <c r="D825" s="3" t="s">
        <v>2364</v>
      </c>
      <c r="E825" s="3" t="s">
        <v>1710</v>
      </c>
      <c r="F825" s="3">
        <v>29.79</v>
      </c>
      <c r="G825" s="3" t="s">
        <v>6233</v>
      </c>
      <c r="H825" s="3"/>
      <c r="I825" s="3" t="s">
        <v>6234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0.06</v>
      </c>
      <c r="P825" s="3">
        <v>0</v>
      </c>
      <c r="Q825" s="3">
        <v>0</v>
      </c>
      <c r="R825" s="3">
        <v>0</v>
      </c>
    </row>
    <row r="826" spans="1:18">
      <c r="A826" s="3" t="s">
        <v>3215</v>
      </c>
      <c r="B826" s="3" t="s">
        <v>3216</v>
      </c>
      <c r="C826" s="3" t="s">
        <v>3217</v>
      </c>
      <c r="D826" s="3" t="s">
        <v>2364</v>
      </c>
      <c r="E826" s="3" t="s">
        <v>1710</v>
      </c>
      <c r="F826" s="3">
        <v>29.79</v>
      </c>
      <c r="G826" s="3" t="s">
        <v>6233</v>
      </c>
      <c r="H826" s="3"/>
      <c r="I826" s="3" t="s">
        <v>6234</v>
      </c>
      <c r="J826" s="3">
        <v>3</v>
      </c>
      <c r="K826" s="3">
        <v>3</v>
      </c>
      <c r="L826" s="3">
        <v>0</v>
      </c>
      <c r="M826" s="3">
        <v>0</v>
      </c>
      <c r="N826" s="3">
        <v>3</v>
      </c>
      <c r="O826" s="3">
        <v>0.05</v>
      </c>
      <c r="P826" s="3">
        <v>0</v>
      </c>
      <c r="Q826" s="3">
        <v>0</v>
      </c>
      <c r="R826" s="3">
        <v>0</v>
      </c>
    </row>
    <row r="827" spans="1:18">
      <c r="A827" s="3" t="s">
        <v>2361</v>
      </c>
      <c r="B827" s="3" t="s">
        <v>2362</v>
      </c>
      <c r="C827" s="3" t="s">
        <v>2363</v>
      </c>
      <c r="D827" s="3" t="s">
        <v>2364</v>
      </c>
      <c r="E827" s="3" t="s">
        <v>1710</v>
      </c>
      <c r="F827" s="3">
        <v>29.79</v>
      </c>
      <c r="G827" s="3" t="s">
        <v>6233</v>
      </c>
      <c r="H827" s="3"/>
      <c r="I827" s="3" t="s">
        <v>6234</v>
      </c>
      <c r="J827" s="3">
        <v>4</v>
      </c>
      <c r="K827" s="3">
        <v>4</v>
      </c>
      <c r="L827" s="3">
        <v>0</v>
      </c>
      <c r="M827" s="3">
        <v>0</v>
      </c>
      <c r="N827" s="3">
        <v>4</v>
      </c>
      <c r="O827" s="3">
        <v>0.05</v>
      </c>
      <c r="P827" s="3">
        <v>0</v>
      </c>
      <c r="Q827" s="3">
        <v>0</v>
      </c>
      <c r="R827" s="3">
        <v>0</v>
      </c>
    </row>
    <row r="828" spans="1:18">
      <c r="A828" s="3" t="s">
        <v>5391</v>
      </c>
      <c r="B828" s="3" t="s">
        <v>5392</v>
      </c>
      <c r="C828" s="3" t="s">
        <v>5393</v>
      </c>
      <c r="D828" s="3" t="s">
        <v>2364</v>
      </c>
      <c r="E828" s="3" t="s">
        <v>1710</v>
      </c>
      <c r="F828" s="3">
        <v>29.79</v>
      </c>
      <c r="G828" s="3" t="s">
        <v>6233</v>
      </c>
      <c r="H828" s="3"/>
      <c r="I828" s="3" t="s">
        <v>6234</v>
      </c>
      <c r="J828" s="3">
        <v>3</v>
      </c>
      <c r="K828" s="3">
        <v>3</v>
      </c>
      <c r="L828" s="3">
        <v>0</v>
      </c>
      <c r="M828" s="3">
        <v>0</v>
      </c>
      <c r="N828" s="3">
        <v>3</v>
      </c>
      <c r="O828" s="3">
        <v>0.05</v>
      </c>
      <c r="P828" s="3">
        <v>0</v>
      </c>
      <c r="Q828" s="3">
        <v>0</v>
      </c>
      <c r="R828" s="3">
        <v>0</v>
      </c>
    </row>
    <row r="829" spans="1:18">
      <c r="A829" s="3" t="s">
        <v>3276</v>
      </c>
      <c r="B829" s="3" t="s">
        <v>3277</v>
      </c>
      <c r="C829" s="3" t="s">
        <v>3278</v>
      </c>
      <c r="D829" s="3" t="s">
        <v>2364</v>
      </c>
      <c r="E829" s="3" t="s">
        <v>1710</v>
      </c>
      <c r="F829" s="3">
        <v>29.79</v>
      </c>
      <c r="G829" s="3" t="s">
        <v>6233</v>
      </c>
      <c r="H829" s="3"/>
      <c r="I829" s="3" t="s">
        <v>6234</v>
      </c>
      <c r="J829" s="3">
        <v>1</v>
      </c>
      <c r="K829" s="3">
        <v>1</v>
      </c>
      <c r="L829" s="3">
        <v>0</v>
      </c>
      <c r="M829" s="3">
        <v>0</v>
      </c>
      <c r="N829" s="3">
        <v>1</v>
      </c>
      <c r="O829" s="3">
        <v>0.05</v>
      </c>
      <c r="P829" s="3">
        <v>0</v>
      </c>
      <c r="Q829" s="3">
        <v>0</v>
      </c>
      <c r="R829" s="3">
        <v>0</v>
      </c>
    </row>
    <row r="830" spans="1:18">
      <c r="A830" s="3" t="s">
        <v>3728</v>
      </c>
      <c r="B830" s="3" t="s">
        <v>3729</v>
      </c>
      <c r="C830" s="3" t="s">
        <v>3730</v>
      </c>
      <c r="D830" s="3" t="s">
        <v>2364</v>
      </c>
      <c r="E830" s="3" t="s">
        <v>1710</v>
      </c>
      <c r="F830" s="3">
        <v>29.79</v>
      </c>
      <c r="G830" s="3" t="s">
        <v>6233</v>
      </c>
      <c r="H830" s="3"/>
      <c r="I830" s="3" t="s">
        <v>6234</v>
      </c>
      <c r="J830" s="3">
        <v>2</v>
      </c>
      <c r="K830" s="3">
        <v>2</v>
      </c>
      <c r="L830" s="3">
        <v>0</v>
      </c>
      <c r="M830" s="3">
        <v>0</v>
      </c>
      <c r="N830" s="3">
        <v>2</v>
      </c>
      <c r="O830" s="3">
        <v>0.06</v>
      </c>
      <c r="P830" s="3">
        <v>0</v>
      </c>
      <c r="Q830" s="3">
        <v>0</v>
      </c>
      <c r="R830" s="3">
        <v>0</v>
      </c>
    </row>
    <row r="831" spans="1:18">
      <c r="A831" s="3" t="s">
        <v>3318</v>
      </c>
      <c r="B831" s="3" t="s">
        <v>3319</v>
      </c>
      <c r="C831" s="3" t="s">
        <v>3320</v>
      </c>
      <c r="D831" s="3" t="s">
        <v>2364</v>
      </c>
      <c r="E831" s="3" t="s">
        <v>1710</v>
      </c>
      <c r="F831" s="3">
        <v>29.79</v>
      </c>
      <c r="G831" s="3" t="s">
        <v>6233</v>
      </c>
      <c r="H831" s="3"/>
      <c r="I831" s="3" t="s">
        <v>6234</v>
      </c>
      <c r="J831" s="3">
        <v>1</v>
      </c>
      <c r="K831" s="3">
        <v>1</v>
      </c>
      <c r="L831" s="3">
        <v>0</v>
      </c>
      <c r="M831" s="3">
        <v>0</v>
      </c>
      <c r="N831" s="3">
        <v>1</v>
      </c>
      <c r="O831" s="3">
        <v>0.05</v>
      </c>
      <c r="P831" s="3">
        <v>0</v>
      </c>
      <c r="Q831" s="3">
        <v>0</v>
      </c>
      <c r="R831" s="3">
        <v>0</v>
      </c>
    </row>
    <row r="832" spans="1:18">
      <c r="A832" s="3" t="s">
        <v>4751</v>
      </c>
      <c r="B832" s="3" t="s">
        <v>4752</v>
      </c>
      <c r="C832" s="3" t="s">
        <v>4753</v>
      </c>
      <c r="D832" s="3" t="s">
        <v>2364</v>
      </c>
      <c r="E832" s="3" t="s">
        <v>1710</v>
      </c>
      <c r="F832" s="3">
        <v>29.79</v>
      </c>
      <c r="G832" s="3" t="s">
        <v>6233</v>
      </c>
      <c r="H832" s="3"/>
      <c r="I832" s="3" t="s">
        <v>6234</v>
      </c>
      <c r="J832" s="3">
        <v>2</v>
      </c>
      <c r="K832" s="3">
        <v>2</v>
      </c>
      <c r="L832" s="3">
        <v>0</v>
      </c>
      <c r="M832" s="3">
        <v>0</v>
      </c>
      <c r="N832" s="3">
        <v>2</v>
      </c>
      <c r="O832" s="3">
        <v>0.05</v>
      </c>
      <c r="P832" s="3">
        <v>0</v>
      </c>
      <c r="Q832" s="3">
        <v>0</v>
      </c>
      <c r="R832" s="3">
        <v>0</v>
      </c>
    </row>
    <row r="833" spans="1:18">
      <c r="A833" s="3" t="s">
        <v>2530</v>
      </c>
      <c r="B833" s="3" t="s">
        <v>2531</v>
      </c>
      <c r="C833" s="3" t="s">
        <v>2532</v>
      </c>
      <c r="D833" s="3" t="s">
        <v>2364</v>
      </c>
      <c r="E833" s="3" t="s">
        <v>1710</v>
      </c>
      <c r="F833" s="3">
        <v>29.79</v>
      </c>
      <c r="G833" s="3" t="s">
        <v>6233</v>
      </c>
      <c r="H833" s="3"/>
      <c r="I833" s="3" t="s">
        <v>6234</v>
      </c>
      <c r="J833" s="3">
        <v>1</v>
      </c>
      <c r="K833" s="3">
        <v>1</v>
      </c>
      <c r="L833" s="3">
        <v>0</v>
      </c>
      <c r="M833" s="3">
        <v>0</v>
      </c>
      <c r="N833" s="3">
        <v>1</v>
      </c>
      <c r="O833" s="3">
        <v>0.06</v>
      </c>
      <c r="P833" s="3">
        <v>0</v>
      </c>
      <c r="Q833" s="3">
        <v>0</v>
      </c>
      <c r="R833" s="3">
        <v>0</v>
      </c>
    </row>
    <row r="834" spans="1:18">
      <c r="A834" s="3" t="s">
        <v>7466</v>
      </c>
      <c r="B834" s="3" t="s">
        <v>7467</v>
      </c>
      <c r="C834" s="3" t="s">
        <v>7468</v>
      </c>
      <c r="D834" s="3"/>
      <c r="E834" s="3" t="s">
        <v>6275</v>
      </c>
      <c r="F834" s="3"/>
      <c r="G834" s="3"/>
      <c r="H834" s="3"/>
      <c r="I834" s="3"/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/>
      <c r="P834" s="3">
        <v>0</v>
      </c>
      <c r="Q834" s="3">
        <v>0</v>
      </c>
      <c r="R834" s="3">
        <v>0</v>
      </c>
    </row>
    <row r="835" spans="1:18">
      <c r="A835" s="3" t="s">
        <v>7469</v>
      </c>
      <c r="B835" s="3" t="s">
        <v>7470</v>
      </c>
      <c r="C835" s="3" t="s">
        <v>7471</v>
      </c>
      <c r="D835" s="3"/>
      <c r="E835" s="3" t="s">
        <v>6275</v>
      </c>
      <c r="F835" s="3"/>
      <c r="G835" s="3"/>
      <c r="H835" s="3"/>
      <c r="I835" s="3"/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/>
      <c r="P835" s="3">
        <v>0</v>
      </c>
      <c r="Q835" s="3">
        <v>0</v>
      </c>
      <c r="R835" s="3">
        <v>0</v>
      </c>
    </row>
    <row r="836" spans="1:18">
      <c r="A836" s="3" t="s">
        <v>7472</v>
      </c>
      <c r="B836" s="3" t="s">
        <v>7473</v>
      </c>
      <c r="C836" s="3" t="s">
        <v>7474</v>
      </c>
      <c r="D836" s="3"/>
      <c r="E836" s="3" t="s">
        <v>6275</v>
      </c>
      <c r="F836" s="3"/>
      <c r="G836" s="3"/>
      <c r="H836" s="3"/>
      <c r="I836" s="3"/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/>
      <c r="P836" s="3">
        <v>0</v>
      </c>
      <c r="Q836" s="3">
        <v>0</v>
      </c>
      <c r="R836" s="3">
        <v>0</v>
      </c>
    </row>
    <row r="837" spans="1:18">
      <c r="A837" s="3" t="s">
        <v>7475</v>
      </c>
      <c r="B837" s="3" t="s">
        <v>7476</v>
      </c>
      <c r="C837" s="3" t="s">
        <v>7477</v>
      </c>
      <c r="D837" s="3"/>
      <c r="E837" s="3" t="s">
        <v>6275</v>
      </c>
      <c r="F837" s="3"/>
      <c r="G837" s="3"/>
      <c r="H837" s="3"/>
      <c r="I837" s="3"/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/>
      <c r="P837" s="3">
        <v>0</v>
      </c>
      <c r="Q837" s="3">
        <v>0</v>
      </c>
      <c r="R837" s="3">
        <v>0</v>
      </c>
    </row>
    <row r="838" spans="1:18">
      <c r="A838" s="3" t="s">
        <v>7478</v>
      </c>
      <c r="B838" s="3" t="s">
        <v>7479</v>
      </c>
      <c r="C838" s="3" t="s">
        <v>7480</v>
      </c>
      <c r="D838" s="3"/>
      <c r="E838" s="3" t="s">
        <v>6275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7481</v>
      </c>
      <c r="B839" s="3" t="s">
        <v>7482</v>
      </c>
      <c r="C839" s="3" t="s">
        <v>7483</v>
      </c>
      <c r="D839" s="3"/>
      <c r="E839" s="3" t="s">
        <v>6275</v>
      </c>
      <c r="F839" s="3"/>
      <c r="G839" s="3"/>
      <c r="H839" s="3"/>
      <c r="I839" s="3"/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/>
      <c r="P839" s="3">
        <v>0</v>
      </c>
      <c r="Q839" s="3">
        <v>0</v>
      </c>
      <c r="R839" s="3">
        <v>0</v>
      </c>
    </row>
    <row r="840" spans="1:18">
      <c r="A840" s="3" t="s">
        <v>7484</v>
      </c>
      <c r="B840" s="3" t="s">
        <v>7485</v>
      </c>
      <c r="C840" s="3" t="s">
        <v>7486</v>
      </c>
      <c r="D840" s="3"/>
      <c r="E840" s="3" t="s">
        <v>6275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7487</v>
      </c>
      <c r="B841" s="3" t="s">
        <v>7488</v>
      </c>
      <c r="C841" s="3" t="s">
        <v>7489</v>
      </c>
      <c r="D841" s="3"/>
      <c r="E841" s="3" t="s">
        <v>6275</v>
      </c>
      <c r="F841" s="3"/>
      <c r="G841" s="3"/>
      <c r="H841" s="3"/>
      <c r="I841" s="3"/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/>
      <c r="P841" s="3">
        <v>0</v>
      </c>
      <c r="Q841" s="3">
        <v>0</v>
      </c>
      <c r="R841" s="3">
        <v>0</v>
      </c>
    </row>
    <row r="842" spans="1:18">
      <c r="A842" s="3" t="s">
        <v>4886</v>
      </c>
      <c r="B842" s="3" t="s">
        <v>4887</v>
      </c>
      <c r="C842" s="3" t="s">
        <v>4888</v>
      </c>
      <c r="D842" s="3" t="s">
        <v>4889</v>
      </c>
      <c r="E842" s="3" t="s">
        <v>1710</v>
      </c>
      <c r="F842" s="3">
        <v>21.99</v>
      </c>
      <c r="G842" s="3" t="s">
        <v>6233</v>
      </c>
      <c r="H842" s="3"/>
      <c r="I842" s="3" t="s">
        <v>6234</v>
      </c>
      <c r="J842" s="3">
        <v>2</v>
      </c>
      <c r="K842" s="3">
        <v>2</v>
      </c>
      <c r="L842" s="3">
        <v>0</v>
      </c>
      <c r="M842" s="3">
        <v>0</v>
      </c>
      <c r="N842" s="3">
        <v>2</v>
      </c>
      <c r="O842" s="3">
        <v>0.19</v>
      </c>
      <c r="P842" s="3">
        <v>0</v>
      </c>
      <c r="Q842" s="3">
        <v>0</v>
      </c>
      <c r="R842" s="3">
        <v>0</v>
      </c>
    </row>
    <row r="843" spans="1:18">
      <c r="A843" s="3" t="s">
        <v>2209</v>
      </c>
      <c r="B843" s="3" t="s">
        <v>2210</v>
      </c>
      <c r="C843" s="3" t="s">
        <v>2211</v>
      </c>
      <c r="D843" s="3" t="s">
        <v>2212</v>
      </c>
      <c r="E843" s="3" t="s">
        <v>1710</v>
      </c>
      <c r="F843" s="3">
        <v>21.99</v>
      </c>
      <c r="G843" s="3" t="s">
        <v>6233</v>
      </c>
      <c r="H843" s="3"/>
      <c r="I843" s="3" t="s">
        <v>6234</v>
      </c>
      <c r="J843" s="3">
        <v>4</v>
      </c>
      <c r="K843" s="3">
        <v>4</v>
      </c>
      <c r="L843" s="3">
        <v>0</v>
      </c>
      <c r="M843" s="3">
        <v>0</v>
      </c>
      <c r="N843" s="3">
        <v>4</v>
      </c>
      <c r="O843" s="3">
        <v>0.18</v>
      </c>
      <c r="P843" s="3">
        <v>0</v>
      </c>
      <c r="Q843" s="3">
        <v>0</v>
      </c>
      <c r="R843" s="3">
        <v>0</v>
      </c>
    </row>
    <row r="844" spans="1:18">
      <c r="A844" s="3" t="s">
        <v>5409</v>
      </c>
      <c r="B844" s="3" t="s">
        <v>5410</v>
      </c>
      <c r="C844" s="3" t="s">
        <v>5411</v>
      </c>
      <c r="D844" s="3" t="s">
        <v>5412</v>
      </c>
      <c r="E844" s="3" t="s">
        <v>1710</v>
      </c>
      <c r="F844" s="3">
        <v>21.99</v>
      </c>
      <c r="G844" s="3" t="s">
        <v>6233</v>
      </c>
      <c r="H844" s="3"/>
      <c r="I844" s="3" t="s">
        <v>6234</v>
      </c>
      <c r="J844" s="3">
        <v>5</v>
      </c>
      <c r="K844" s="3">
        <v>5</v>
      </c>
      <c r="L844" s="3">
        <v>0</v>
      </c>
      <c r="M844" s="3">
        <v>0</v>
      </c>
      <c r="N844" s="3">
        <v>5</v>
      </c>
      <c r="O844" s="3">
        <v>0.17</v>
      </c>
      <c r="P844" s="3">
        <v>0</v>
      </c>
      <c r="Q844" s="3">
        <v>0</v>
      </c>
      <c r="R844" s="3">
        <v>0</v>
      </c>
    </row>
    <row r="845" spans="1:18">
      <c r="A845" s="3" t="s">
        <v>7490</v>
      </c>
      <c r="B845" s="3" t="s">
        <v>7491</v>
      </c>
      <c r="C845" s="3" t="s">
        <v>7492</v>
      </c>
      <c r="D845" s="3" t="s">
        <v>7493</v>
      </c>
      <c r="E845" s="3" t="s">
        <v>1710</v>
      </c>
      <c r="F845" s="3">
        <v>20.99</v>
      </c>
      <c r="G845" s="3" t="s">
        <v>6233</v>
      </c>
      <c r="H845" s="3"/>
      <c r="I845" s="3" t="s">
        <v>6234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0.18</v>
      </c>
      <c r="P845" s="3">
        <v>0</v>
      </c>
      <c r="Q845" s="3">
        <v>0</v>
      </c>
      <c r="R845" s="3">
        <v>0</v>
      </c>
    </row>
    <row r="846" spans="1:18">
      <c r="A846" s="3" t="s">
        <v>7494</v>
      </c>
      <c r="B846" s="3" t="s">
        <v>7495</v>
      </c>
      <c r="C846" s="3" t="s">
        <v>7496</v>
      </c>
      <c r="D846" s="3" t="s">
        <v>7497</v>
      </c>
      <c r="E846" s="3" t="s">
        <v>1710</v>
      </c>
      <c r="F846" s="3">
        <v>21.99</v>
      </c>
      <c r="G846" s="3" t="s">
        <v>6233</v>
      </c>
      <c r="H846" s="3"/>
      <c r="I846" s="3" t="s">
        <v>6234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0.22</v>
      </c>
      <c r="P846" s="3">
        <v>0</v>
      </c>
      <c r="Q846" s="3">
        <v>0</v>
      </c>
      <c r="R846" s="3">
        <v>0</v>
      </c>
    </row>
    <row r="847" spans="1:18">
      <c r="A847" s="3" t="s">
        <v>1802</v>
      </c>
      <c r="B847" s="3" t="s">
        <v>1803</v>
      </c>
      <c r="C847" s="3" t="s">
        <v>1804</v>
      </c>
      <c r="D847" s="3" t="s">
        <v>1805</v>
      </c>
      <c r="E847" s="3" t="s">
        <v>1710</v>
      </c>
      <c r="F847" s="3">
        <v>17.99</v>
      </c>
      <c r="G847" s="3" t="s">
        <v>6233</v>
      </c>
      <c r="H847" s="3"/>
      <c r="I847" s="3" t="s">
        <v>6234</v>
      </c>
      <c r="J847" s="3">
        <v>2</v>
      </c>
      <c r="K847" s="3">
        <v>2</v>
      </c>
      <c r="L847" s="3">
        <v>0</v>
      </c>
      <c r="M847" s="3">
        <v>0</v>
      </c>
      <c r="N847" s="3">
        <v>2</v>
      </c>
      <c r="O847" s="3">
        <v>0.22</v>
      </c>
      <c r="P847" s="3">
        <v>0</v>
      </c>
      <c r="Q847" s="3">
        <v>0</v>
      </c>
      <c r="R847" s="3">
        <v>0</v>
      </c>
    </row>
    <row r="848" spans="1:18">
      <c r="A848" s="3" t="s">
        <v>2975</v>
      </c>
      <c r="B848" s="3" t="s">
        <v>2976</v>
      </c>
      <c r="C848" s="3" t="s">
        <v>2977</v>
      </c>
      <c r="D848" s="3" t="s">
        <v>1805</v>
      </c>
      <c r="E848" s="3" t="s">
        <v>1710</v>
      </c>
      <c r="F848" s="3">
        <v>17.99</v>
      </c>
      <c r="G848" s="3" t="s">
        <v>6233</v>
      </c>
      <c r="H848" s="3"/>
      <c r="I848" s="3" t="s">
        <v>6234</v>
      </c>
      <c r="J848" s="3">
        <v>2</v>
      </c>
      <c r="K848" s="3">
        <v>2</v>
      </c>
      <c r="L848" s="3">
        <v>0</v>
      </c>
      <c r="M848" s="3">
        <v>0</v>
      </c>
      <c r="N848" s="3">
        <v>2</v>
      </c>
      <c r="O848" s="3">
        <v>0.17</v>
      </c>
      <c r="P848" s="3">
        <v>0</v>
      </c>
      <c r="Q848" s="3">
        <v>0</v>
      </c>
      <c r="R848" s="3">
        <v>0</v>
      </c>
    </row>
    <row r="849" spans="1:18">
      <c r="A849" s="3" t="s">
        <v>4652</v>
      </c>
      <c r="B849" s="3" t="s">
        <v>4653</v>
      </c>
      <c r="C849" s="3" t="s">
        <v>4654</v>
      </c>
      <c r="D849" s="3" t="s">
        <v>1805</v>
      </c>
      <c r="E849" s="3" t="s">
        <v>1710</v>
      </c>
      <c r="F849" s="3">
        <v>17.99</v>
      </c>
      <c r="G849" s="3" t="s">
        <v>6233</v>
      </c>
      <c r="H849" s="3"/>
      <c r="I849" s="3" t="s">
        <v>6234</v>
      </c>
      <c r="J849" s="3">
        <v>3</v>
      </c>
      <c r="K849" s="3">
        <v>3</v>
      </c>
      <c r="L849" s="3">
        <v>0</v>
      </c>
      <c r="M849" s="3">
        <v>0</v>
      </c>
      <c r="N849" s="3">
        <v>3</v>
      </c>
      <c r="O849" s="3">
        <v>0.17</v>
      </c>
      <c r="P849" s="3">
        <v>0</v>
      </c>
      <c r="Q849" s="3">
        <v>0</v>
      </c>
      <c r="R849" s="3">
        <v>0</v>
      </c>
    </row>
    <row r="850" spans="1:18">
      <c r="A850" s="3" t="s">
        <v>3561</v>
      </c>
      <c r="B850" s="3" t="s">
        <v>3562</v>
      </c>
      <c r="C850" s="3" t="s">
        <v>3563</v>
      </c>
      <c r="D850" s="3" t="s">
        <v>1805</v>
      </c>
      <c r="E850" s="3" t="s">
        <v>1710</v>
      </c>
      <c r="F850" s="3">
        <v>17.99</v>
      </c>
      <c r="G850" s="3" t="s">
        <v>6233</v>
      </c>
      <c r="H850" s="3"/>
      <c r="I850" s="3" t="s">
        <v>6234</v>
      </c>
      <c r="J850" s="3">
        <v>3</v>
      </c>
      <c r="K850" s="3">
        <v>3</v>
      </c>
      <c r="L850" s="3">
        <v>0</v>
      </c>
      <c r="M850" s="3">
        <v>0</v>
      </c>
      <c r="N850" s="3">
        <v>3</v>
      </c>
      <c r="O850" s="3">
        <v>0.19</v>
      </c>
      <c r="P850" s="3">
        <v>0</v>
      </c>
      <c r="Q850" s="3">
        <v>0</v>
      </c>
      <c r="R850" s="3">
        <v>0</v>
      </c>
    </row>
    <row r="851" spans="1:18">
      <c r="A851" s="3" t="s">
        <v>3280</v>
      </c>
      <c r="B851" s="3" t="s">
        <v>3281</v>
      </c>
      <c r="C851" s="3" t="s">
        <v>3282</v>
      </c>
      <c r="D851" s="3" t="s">
        <v>1805</v>
      </c>
      <c r="E851" s="3" t="s">
        <v>1710</v>
      </c>
      <c r="F851" s="3">
        <v>17.99</v>
      </c>
      <c r="G851" s="3" t="s">
        <v>6233</v>
      </c>
      <c r="H851" s="3"/>
      <c r="I851" s="3" t="s">
        <v>6234</v>
      </c>
      <c r="J851" s="3">
        <v>8</v>
      </c>
      <c r="K851" s="3">
        <v>8</v>
      </c>
      <c r="L851" s="3">
        <v>0</v>
      </c>
      <c r="M851" s="3">
        <v>0</v>
      </c>
      <c r="N851" s="3">
        <v>8</v>
      </c>
      <c r="O851" s="3">
        <v>0.29</v>
      </c>
      <c r="P851" s="3">
        <v>0</v>
      </c>
      <c r="Q851" s="3">
        <v>0</v>
      </c>
      <c r="R851" s="3">
        <v>0</v>
      </c>
    </row>
    <row r="852" spans="1:18">
      <c r="A852" s="3" t="s">
        <v>3059</v>
      </c>
      <c r="B852" s="3" t="s">
        <v>3060</v>
      </c>
      <c r="C852" s="3" t="s">
        <v>3061</v>
      </c>
      <c r="D852" s="3" t="s">
        <v>1805</v>
      </c>
      <c r="E852" s="3" t="s">
        <v>1710</v>
      </c>
      <c r="F852" s="3">
        <v>15.99</v>
      </c>
      <c r="G852" s="3" t="s">
        <v>6233</v>
      </c>
      <c r="H852" s="3"/>
      <c r="I852" s="3" t="s">
        <v>6234</v>
      </c>
      <c r="J852" s="3">
        <v>7</v>
      </c>
      <c r="K852" s="3">
        <v>7</v>
      </c>
      <c r="L852" s="3">
        <v>0</v>
      </c>
      <c r="M852" s="3">
        <v>0</v>
      </c>
      <c r="N852" s="3">
        <v>7</v>
      </c>
      <c r="O852" s="3">
        <v>0.17</v>
      </c>
      <c r="P852" s="3">
        <v>0</v>
      </c>
      <c r="Q852" s="3">
        <v>0</v>
      </c>
      <c r="R852" s="3">
        <v>0</v>
      </c>
    </row>
    <row r="853" spans="1:18">
      <c r="A853" s="3" t="s">
        <v>7498</v>
      </c>
      <c r="B853" s="3" t="s">
        <v>7499</v>
      </c>
      <c r="C853" s="3" t="s">
        <v>7500</v>
      </c>
      <c r="D853" s="3" t="s">
        <v>1805</v>
      </c>
      <c r="E853" s="3" t="s">
        <v>1710</v>
      </c>
      <c r="F853" s="3">
        <v>17.99</v>
      </c>
      <c r="G853" s="3" t="s">
        <v>6233</v>
      </c>
      <c r="H853" s="3"/>
      <c r="I853" s="3" t="s">
        <v>6234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0.38</v>
      </c>
      <c r="P853" s="3">
        <v>0</v>
      </c>
      <c r="Q853" s="3">
        <v>0</v>
      </c>
      <c r="R853" s="3">
        <v>0</v>
      </c>
    </row>
    <row r="854" spans="1:18">
      <c r="A854" s="3" t="s">
        <v>2421</v>
      </c>
      <c r="B854" s="3" t="s">
        <v>2422</v>
      </c>
      <c r="C854" s="3" t="s">
        <v>2423</v>
      </c>
      <c r="D854" s="3" t="s">
        <v>1805</v>
      </c>
      <c r="E854" s="3" t="s">
        <v>1710</v>
      </c>
      <c r="F854" s="3">
        <v>17.99</v>
      </c>
      <c r="G854" s="3" t="s">
        <v>6233</v>
      </c>
      <c r="H854" s="3"/>
      <c r="I854" s="3" t="s">
        <v>6234</v>
      </c>
      <c r="J854" s="3">
        <v>2</v>
      </c>
      <c r="K854" s="3">
        <v>2</v>
      </c>
      <c r="L854" s="3">
        <v>0</v>
      </c>
      <c r="M854" s="3">
        <v>0</v>
      </c>
      <c r="N854" s="3">
        <v>2</v>
      </c>
      <c r="O854" s="3">
        <v>0.18</v>
      </c>
      <c r="P854" s="3">
        <v>0</v>
      </c>
      <c r="Q854" s="3">
        <v>0</v>
      </c>
      <c r="R854" s="3">
        <v>0</v>
      </c>
    </row>
    <row r="855" spans="1:18">
      <c r="A855" s="3" t="s">
        <v>5239</v>
      </c>
      <c r="B855" s="3" t="s">
        <v>5240</v>
      </c>
      <c r="C855" s="3" t="s">
        <v>5241</v>
      </c>
      <c r="D855" s="3" t="s">
        <v>1805</v>
      </c>
      <c r="E855" s="3" t="s">
        <v>1710</v>
      </c>
      <c r="F855" s="3">
        <v>17.99</v>
      </c>
      <c r="G855" s="3" t="s">
        <v>6233</v>
      </c>
      <c r="H855" s="3"/>
      <c r="I855" s="3" t="s">
        <v>6234</v>
      </c>
      <c r="J855" s="3">
        <v>4</v>
      </c>
      <c r="K855" s="3">
        <v>4</v>
      </c>
      <c r="L855" s="3">
        <v>0</v>
      </c>
      <c r="M855" s="3">
        <v>0</v>
      </c>
      <c r="N855" s="3">
        <v>4</v>
      </c>
      <c r="O855" s="3">
        <v>0.17</v>
      </c>
      <c r="P855" s="3">
        <v>0</v>
      </c>
      <c r="Q855" s="3">
        <v>0</v>
      </c>
      <c r="R855" s="3">
        <v>0</v>
      </c>
    </row>
    <row r="856" spans="1:18">
      <c r="A856" s="3" t="s">
        <v>4659</v>
      </c>
      <c r="B856" s="3" t="s">
        <v>4660</v>
      </c>
      <c r="C856" s="3" t="s">
        <v>4661</v>
      </c>
      <c r="D856" s="3" t="s">
        <v>1805</v>
      </c>
      <c r="E856" s="3" t="s">
        <v>1710</v>
      </c>
      <c r="F856" s="3">
        <v>17.99</v>
      </c>
      <c r="G856" s="3" t="s">
        <v>6233</v>
      </c>
      <c r="H856" s="3"/>
      <c r="I856" s="3" t="s">
        <v>6234</v>
      </c>
      <c r="J856" s="3">
        <v>2</v>
      </c>
      <c r="K856" s="3">
        <v>2</v>
      </c>
      <c r="L856" s="3">
        <v>0</v>
      </c>
      <c r="M856" s="3">
        <v>0</v>
      </c>
      <c r="N856" s="3">
        <v>2</v>
      </c>
      <c r="O856" s="3">
        <v>0.17</v>
      </c>
      <c r="P856" s="3">
        <v>0</v>
      </c>
      <c r="Q856" s="3">
        <v>0</v>
      </c>
      <c r="R856" s="3">
        <v>0</v>
      </c>
    </row>
    <row r="857" spans="1:18">
      <c r="A857" s="3" t="s">
        <v>2119</v>
      </c>
      <c r="B857" s="3" t="s">
        <v>2120</v>
      </c>
      <c r="C857" s="3" t="s">
        <v>2121</v>
      </c>
      <c r="D857" s="3" t="s">
        <v>1805</v>
      </c>
      <c r="E857" s="3" t="s">
        <v>1710</v>
      </c>
      <c r="F857" s="3">
        <v>17.99</v>
      </c>
      <c r="G857" s="3" t="s">
        <v>6233</v>
      </c>
      <c r="H857" s="3"/>
      <c r="I857" s="3" t="s">
        <v>6234</v>
      </c>
      <c r="J857" s="3">
        <v>1</v>
      </c>
      <c r="K857" s="3">
        <v>1</v>
      </c>
      <c r="L857" s="3">
        <v>0</v>
      </c>
      <c r="M857" s="3">
        <v>0</v>
      </c>
      <c r="N857" s="3">
        <v>1</v>
      </c>
      <c r="O857" s="3">
        <v>0.2</v>
      </c>
      <c r="P857" s="3">
        <v>0</v>
      </c>
      <c r="Q857" s="3">
        <v>0</v>
      </c>
      <c r="R857" s="3">
        <v>0</v>
      </c>
    </row>
    <row r="858" spans="1:18">
      <c r="A858" s="3" t="s">
        <v>7501</v>
      </c>
      <c r="B858" s="3" t="s">
        <v>7502</v>
      </c>
      <c r="C858" s="3" t="s">
        <v>7503</v>
      </c>
      <c r="D858" s="3" t="s">
        <v>7504</v>
      </c>
      <c r="E858" s="3" t="s">
        <v>1710</v>
      </c>
      <c r="F858" s="3">
        <v>39.99</v>
      </c>
      <c r="G858" s="3" t="s">
        <v>6233</v>
      </c>
      <c r="H858" s="3"/>
      <c r="I858" s="3" t="s">
        <v>6234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0.27</v>
      </c>
      <c r="P858" s="3">
        <v>0</v>
      </c>
      <c r="Q858" s="3">
        <v>0</v>
      </c>
      <c r="R858" s="3">
        <v>0</v>
      </c>
    </row>
    <row r="859" spans="1:18">
      <c r="A859" s="3" t="s">
        <v>2347</v>
      </c>
      <c r="B859" s="3" t="s">
        <v>2348</v>
      </c>
      <c r="C859" s="3" t="s">
        <v>2349</v>
      </c>
      <c r="D859" s="3" t="s">
        <v>2350</v>
      </c>
      <c r="E859" s="3" t="s">
        <v>1710</v>
      </c>
      <c r="F859" s="3">
        <v>39.99</v>
      </c>
      <c r="G859" s="3" t="s">
        <v>6233</v>
      </c>
      <c r="H859" s="3"/>
      <c r="I859" s="3" t="s">
        <v>6234</v>
      </c>
      <c r="J859" s="3">
        <v>2</v>
      </c>
      <c r="K859" s="3">
        <v>2</v>
      </c>
      <c r="L859" s="3">
        <v>0</v>
      </c>
      <c r="M859" s="3">
        <v>0</v>
      </c>
      <c r="N859" s="3">
        <v>2</v>
      </c>
      <c r="O859" s="3">
        <v>0.27</v>
      </c>
      <c r="P859" s="3">
        <v>0</v>
      </c>
      <c r="Q859" s="3">
        <v>0</v>
      </c>
      <c r="R859" s="3">
        <v>0</v>
      </c>
    </row>
    <row r="860" spans="1:18">
      <c r="A860" s="3" t="s">
        <v>3906</v>
      </c>
      <c r="B860" s="3" t="s">
        <v>3907</v>
      </c>
      <c r="C860" s="3" t="s">
        <v>3908</v>
      </c>
      <c r="D860" s="3" t="s">
        <v>3909</v>
      </c>
      <c r="E860" s="3" t="s">
        <v>1710</v>
      </c>
      <c r="F860" s="3">
        <v>39.99</v>
      </c>
      <c r="G860" s="3" t="s">
        <v>6233</v>
      </c>
      <c r="H860" s="3"/>
      <c r="I860" s="3" t="s">
        <v>6234</v>
      </c>
      <c r="J860" s="3">
        <v>3</v>
      </c>
      <c r="K860" s="3">
        <v>3</v>
      </c>
      <c r="L860" s="3">
        <v>0</v>
      </c>
      <c r="M860" s="3">
        <v>0</v>
      </c>
      <c r="N860" s="3">
        <v>3</v>
      </c>
      <c r="O860" s="3">
        <v>0.27</v>
      </c>
      <c r="P860" s="3">
        <v>0</v>
      </c>
      <c r="Q860" s="3">
        <v>0</v>
      </c>
      <c r="R860" s="3">
        <v>0</v>
      </c>
    </row>
    <row r="861" spans="1:18">
      <c r="A861" s="3" t="s">
        <v>3156</v>
      </c>
      <c r="B861" s="3" t="s">
        <v>3157</v>
      </c>
      <c r="C861" s="3" t="s">
        <v>3158</v>
      </c>
      <c r="D861" s="3" t="s">
        <v>3159</v>
      </c>
      <c r="E861" s="3" t="s">
        <v>1710</v>
      </c>
      <c r="F861" s="3">
        <v>39.99</v>
      </c>
      <c r="G861" s="3" t="s">
        <v>6233</v>
      </c>
      <c r="H861" s="3"/>
      <c r="I861" s="3" t="s">
        <v>6234</v>
      </c>
      <c r="J861" s="3">
        <v>6</v>
      </c>
      <c r="K861" s="3">
        <v>6</v>
      </c>
      <c r="L861" s="3">
        <v>0</v>
      </c>
      <c r="M861" s="3">
        <v>0</v>
      </c>
      <c r="N861" s="3">
        <v>6</v>
      </c>
      <c r="O861" s="3">
        <v>0.27</v>
      </c>
      <c r="P861" s="3">
        <v>0</v>
      </c>
      <c r="Q861" s="3">
        <v>0</v>
      </c>
      <c r="R861" s="3">
        <v>0</v>
      </c>
    </row>
    <row r="862" spans="1:18">
      <c r="A862" s="3" t="s">
        <v>3231</v>
      </c>
      <c r="B862" s="3" t="s">
        <v>3232</v>
      </c>
      <c r="C862" s="3" t="s">
        <v>3233</v>
      </c>
      <c r="D862" s="3" t="s">
        <v>3234</v>
      </c>
      <c r="E862" s="3" t="s">
        <v>1710</v>
      </c>
      <c r="F862" s="3">
        <v>39.99</v>
      </c>
      <c r="G862" s="3" t="s">
        <v>6233</v>
      </c>
      <c r="H862" s="3"/>
      <c r="I862" s="3" t="s">
        <v>6234</v>
      </c>
      <c r="J862" s="3">
        <v>5</v>
      </c>
      <c r="K862" s="3">
        <v>5</v>
      </c>
      <c r="L862" s="3">
        <v>0</v>
      </c>
      <c r="M862" s="3">
        <v>0</v>
      </c>
      <c r="N862" s="3">
        <v>5</v>
      </c>
      <c r="O862" s="3">
        <v>0.27</v>
      </c>
      <c r="P862" s="3">
        <v>0</v>
      </c>
      <c r="Q862" s="3">
        <v>0</v>
      </c>
      <c r="R862" s="3">
        <v>0</v>
      </c>
    </row>
    <row r="863" spans="1:18">
      <c r="A863" s="3" t="s">
        <v>4313</v>
      </c>
      <c r="B863" s="3" t="s">
        <v>4314</v>
      </c>
      <c r="C863" s="3" t="s">
        <v>4315</v>
      </c>
      <c r="D863" s="3" t="s">
        <v>4316</v>
      </c>
      <c r="E863" s="3" t="s">
        <v>1710</v>
      </c>
      <c r="F863" s="3">
        <v>39.99</v>
      </c>
      <c r="G863" s="3" t="s">
        <v>6233</v>
      </c>
      <c r="H863" s="3"/>
      <c r="I863" s="3" t="s">
        <v>6234</v>
      </c>
      <c r="J863" s="3">
        <v>5</v>
      </c>
      <c r="K863" s="3">
        <v>5</v>
      </c>
      <c r="L863" s="3">
        <v>0</v>
      </c>
      <c r="M863" s="3">
        <v>0</v>
      </c>
      <c r="N863" s="3">
        <v>5</v>
      </c>
      <c r="O863" s="3">
        <v>0.27</v>
      </c>
      <c r="P863" s="3">
        <v>0</v>
      </c>
      <c r="Q863" s="3">
        <v>0</v>
      </c>
      <c r="R863" s="3">
        <v>0</v>
      </c>
    </row>
    <row r="864" spans="1:18">
      <c r="A864" s="3" t="s">
        <v>2191</v>
      </c>
      <c r="B864" s="3" t="s">
        <v>2192</v>
      </c>
      <c r="C864" s="3" t="s">
        <v>2193</v>
      </c>
      <c r="D864" s="3" t="s">
        <v>2194</v>
      </c>
      <c r="E864" s="3" t="s">
        <v>1710</v>
      </c>
      <c r="F864" s="3">
        <v>39.99</v>
      </c>
      <c r="G864" s="3" t="s">
        <v>6233</v>
      </c>
      <c r="H864" s="3"/>
      <c r="I864" s="3" t="s">
        <v>6234</v>
      </c>
      <c r="J864" s="3">
        <v>1</v>
      </c>
      <c r="K864" s="3">
        <v>1</v>
      </c>
      <c r="L864" s="3">
        <v>0</v>
      </c>
      <c r="M864" s="3">
        <v>0</v>
      </c>
      <c r="N864" s="3">
        <v>1</v>
      </c>
      <c r="O864" s="3">
        <v>0.27</v>
      </c>
      <c r="P864" s="3">
        <v>0</v>
      </c>
      <c r="Q864" s="3">
        <v>0</v>
      </c>
      <c r="R864" s="3">
        <v>0</v>
      </c>
    </row>
    <row r="865" spans="1:18">
      <c r="A865" s="3" t="s">
        <v>3075</v>
      </c>
      <c r="B865" s="3" t="s">
        <v>3076</v>
      </c>
      <c r="C865" s="3" t="s">
        <v>3077</v>
      </c>
      <c r="D865" s="3" t="s">
        <v>3078</v>
      </c>
      <c r="E865" s="3" t="s">
        <v>1710</v>
      </c>
      <c r="F865" s="3">
        <v>39.99</v>
      </c>
      <c r="G865" s="3" t="s">
        <v>6233</v>
      </c>
      <c r="H865" s="3"/>
      <c r="I865" s="3" t="s">
        <v>6234</v>
      </c>
      <c r="J865" s="3">
        <v>4</v>
      </c>
      <c r="K865" s="3">
        <v>4</v>
      </c>
      <c r="L865" s="3">
        <v>0</v>
      </c>
      <c r="M865" s="3">
        <v>0</v>
      </c>
      <c r="N865" s="3">
        <v>4</v>
      </c>
      <c r="O865" s="3">
        <v>0.27</v>
      </c>
      <c r="P865" s="3">
        <v>0</v>
      </c>
      <c r="Q865" s="3">
        <v>0</v>
      </c>
      <c r="R865" s="3">
        <v>0</v>
      </c>
    </row>
    <row r="866" spans="1:18">
      <c r="A866" s="3" t="s">
        <v>1953</v>
      </c>
      <c r="B866" s="3" t="s">
        <v>1954</v>
      </c>
      <c r="C866" s="3" t="s">
        <v>1955</v>
      </c>
      <c r="D866" s="3" t="s">
        <v>1956</v>
      </c>
      <c r="E866" s="3" t="s">
        <v>1710</v>
      </c>
      <c r="F866" s="3">
        <v>39.99</v>
      </c>
      <c r="G866" s="3" t="s">
        <v>6233</v>
      </c>
      <c r="H866" s="3"/>
      <c r="I866" s="3" t="s">
        <v>6234</v>
      </c>
      <c r="J866" s="3">
        <v>6</v>
      </c>
      <c r="K866" s="3">
        <v>6</v>
      </c>
      <c r="L866" s="3">
        <v>0</v>
      </c>
      <c r="M866" s="3">
        <v>0</v>
      </c>
      <c r="N866" s="3">
        <v>6</v>
      </c>
      <c r="O866" s="3">
        <v>0.27</v>
      </c>
      <c r="P866" s="3">
        <v>0</v>
      </c>
      <c r="Q866" s="3">
        <v>0</v>
      </c>
      <c r="R866" s="3">
        <v>0</v>
      </c>
    </row>
    <row r="867" spans="1:18">
      <c r="A867" s="3" t="s">
        <v>3574</v>
      </c>
      <c r="B867" s="3" t="s">
        <v>3575</v>
      </c>
      <c r="C867" s="3" t="s">
        <v>3576</v>
      </c>
      <c r="D867" s="3" t="s">
        <v>3577</v>
      </c>
      <c r="E867" s="3" t="s">
        <v>1710</v>
      </c>
      <c r="F867" s="3">
        <v>39.99</v>
      </c>
      <c r="G867" s="3" t="s">
        <v>6233</v>
      </c>
      <c r="H867" s="3"/>
      <c r="I867" s="3" t="s">
        <v>6234</v>
      </c>
      <c r="J867" s="3">
        <v>3</v>
      </c>
      <c r="K867" s="3">
        <v>3</v>
      </c>
      <c r="L867" s="3">
        <v>0</v>
      </c>
      <c r="M867" s="3">
        <v>0</v>
      </c>
      <c r="N867" s="3">
        <v>3</v>
      </c>
      <c r="O867" s="3">
        <v>0.27</v>
      </c>
      <c r="P867" s="3">
        <v>0</v>
      </c>
      <c r="Q867" s="3">
        <v>0</v>
      </c>
      <c r="R867" s="3">
        <v>0</v>
      </c>
    </row>
    <row r="868" spans="1:18">
      <c r="A868" s="3" t="s">
        <v>3036</v>
      </c>
      <c r="B868" s="3" t="s">
        <v>3037</v>
      </c>
      <c r="C868" s="3" t="s">
        <v>3038</v>
      </c>
      <c r="D868" s="3" t="s">
        <v>3039</v>
      </c>
      <c r="E868" s="3" t="s">
        <v>1710</v>
      </c>
      <c r="F868" s="3">
        <v>39.99</v>
      </c>
      <c r="G868" s="3" t="s">
        <v>6233</v>
      </c>
      <c r="H868" s="3"/>
      <c r="I868" s="3" t="s">
        <v>6234</v>
      </c>
      <c r="J868" s="3">
        <v>3</v>
      </c>
      <c r="K868" s="3">
        <v>3</v>
      </c>
      <c r="L868" s="3">
        <v>0</v>
      </c>
      <c r="M868" s="3">
        <v>0</v>
      </c>
      <c r="N868" s="3">
        <v>3</v>
      </c>
      <c r="O868" s="3">
        <v>0.27</v>
      </c>
      <c r="P868" s="3">
        <v>0</v>
      </c>
      <c r="Q868" s="3">
        <v>0</v>
      </c>
      <c r="R868" s="3">
        <v>0</v>
      </c>
    </row>
    <row r="869" spans="1:18">
      <c r="A869" s="3" t="s">
        <v>1873</v>
      </c>
      <c r="B869" s="3" t="s">
        <v>1874</v>
      </c>
      <c r="C869" s="3" t="s">
        <v>1875</v>
      </c>
      <c r="D869" s="3" t="s">
        <v>1876</v>
      </c>
      <c r="E869" s="3" t="s">
        <v>1710</v>
      </c>
      <c r="F869" s="3">
        <v>39.99</v>
      </c>
      <c r="G869" s="3" t="s">
        <v>6233</v>
      </c>
      <c r="H869" s="3"/>
      <c r="I869" s="3" t="s">
        <v>6234</v>
      </c>
      <c r="J869" s="3">
        <v>4</v>
      </c>
      <c r="K869" s="3">
        <v>4</v>
      </c>
      <c r="L869" s="3">
        <v>0</v>
      </c>
      <c r="M869" s="3">
        <v>0</v>
      </c>
      <c r="N869" s="3">
        <v>4</v>
      </c>
      <c r="O869" s="3">
        <v>0.27</v>
      </c>
      <c r="P869" s="3">
        <v>0</v>
      </c>
      <c r="Q869" s="3">
        <v>0</v>
      </c>
      <c r="R869" s="3">
        <v>0</v>
      </c>
    </row>
    <row r="870" spans="1:18">
      <c r="A870" s="3" t="s">
        <v>2111</v>
      </c>
      <c r="B870" s="3" t="s">
        <v>2112</v>
      </c>
      <c r="C870" s="3" t="s">
        <v>2113</v>
      </c>
      <c r="D870" s="3" t="s">
        <v>2114</v>
      </c>
      <c r="E870" s="3" t="s">
        <v>1710</v>
      </c>
      <c r="F870" s="3">
        <v>39.99</v>
      </c>
      <c r="G870" s="3" t="s">
        <v>6233</v>
      </c>
      <c r="H870" s="3"/>
      <c r="I870" s="3" t="s">
        <v>6234</v>
      </c>
      <c r="J870" s="3">
        <v>4</v>
      </c>
      <c r="K870" s="3">
        <v>4</v>
      </c>
      <c r="L870" s="3">
        <v>0</v>
      </c>
      <c r="M870" s="3">
        <v>0</v>
      </c>
      <c r="N870" s="3">
        <v>4</v>
      </c>
      <c r="O870" s="3">
        <v>0.27</v>
      </c>
      <c r="P870" s="3">
        <v>0</v>
      </c>
      <c r="Q870" s="3">
        <v>0</v>
      </c>
      <c r="R870" s="3">
        <v>0</v>
      </c>
    </row>
    <row r="871" spans="1:18">
      <c r="A871" s="3" t="s">
        <v>2488</v>
      </c>
      <c r="B871" s="3" t="s">
        <v>2489</v>
      </c>
      <c r="C871" s="3" t="s">
        <v>2490</v>
      </c>
      <c r="D871" s="3" t="s">
        <v>2491</v>
      </c>
      <c r="E871" s="3" t="s">
        <v>1710</v>
      </c>
      <c r="F871" s="3">
        <v>39.99</v>
      </c>
      <c r="G871" s="3" t="s">
        <v>6233</v>
      </c>
      <c r="H871" s="3"/>
      <c r="I871" s="3" t="s">
        <v>6234</v>
      </c>
      <c r="J871" s="3">
        <v>6</v>
      </c>
      <c r="K871" s="3">
        <v>6</v>
      </c>
      <c r="L871" s="3">
        <v>0</v>
      </c>
      <c r="M871" s="3">
        <v>0</v>
      </c>
      <c r="N871" s="3">
        <v>6</v>
      </c>
      <c r="O871" s="3">
        <v>0.27</v>
      </c>
      <c r="P871" s="3">
        <v>0</v>
      </c>
      <c r="Q871" s="3">
        <v>0</v>
      </c>
      <c r="R871" s="3">
        <v>0</v>
      </c>
    </row>
    <row r="872" spans="1:18">
      <c r="A872" s="3" t="s">
        <v>3478</v>
      </c>
      <c r="B872" s="3" t="s">
        <v>3479</v>
      </c>
      <c r="C872" s="3" t="s">
        <v>3480</v>
      </c>
      <c r="D872" s="3" t="s">
        <v>3481</v>
      </c>
      <c r="E872" s="3" t="s">
        <v>1710</v>
      </c>
      <c r="F872" s="3">
        <v>39.99</v>
      </c>
      <c r="G872" s="3" t="s">
        <v>6233</v>
      </c>
      <c r="H872" s="3"/>
      <c r="I872" s="3" t="s">
        <v>6234</v>
      </c>
      <c r="J872" s="3">
        <v>8</v>
      </c>
      <c r="K872" s="3">
        <v>8</v>
      </c>
      <c r="L872" s="3">
        <v>0</v>
      </c>
      <c r="M872" s="3">
        <v>0</v>
      </c>
      <c r="N872" s="3">
        <v>8</v>
      </c>
      <c r="O872" s="3">
        <v>0.27</v>
      </c>
      <c r="P872" s="3">
        <v>0</v>
      </c>
      <c r="Q872" s="3">
        <v>0</v>
      </c>
      <c r="R872" s="3">
        <v>0</v>
      </c>
    </row>
    <row r="873" spans="1:18">
      <c r="A873" s="3" t="s">
        <v>1716</v>
      </c>
      <c r="B873" s="3" t="s">
        <v>1717</v>
      </c>
      <c r="C873" s="3" t="s">
        <v>1718</v>
      </c>
      <c r="D873" s="3" t="s">
        <v>1719</v>
      </c>
      <c r="E873" s="3" t="s">
        <v>1710</v>
      </c>
      <c r="F873" s="3">
        <v>39.99</v>
      </c>
      <c r="G873" s="3" t="s">
        <v>6233</v>
      </c>
      <c r="H873" s="3"/>
      <c r="I873" s="3" t="s">
        <v>6234</v>
      </c>
      <c r="J873" s="3">
        <v>8</v>
      </c>
      <c r="K873" s="3">
        <v>7</v>
      </c>
      <c r="L873" s="3">
        <v>1</v>
      </c>
      <c r="M873" s="3">
        <v>0</v>
      </c>
      <c r="N873" s="3">
        <v>8</v>
      </c>
      <c r="O873" s="3">
        <v>0.27</v>
      </c>
      <c r="P873" s="3">
        <v>0</v>
      </c>
      <c r="Q873" s="3">
        <v>0</v>
      </c>
      <c r="R873" s="3">
        <v>0</v>
      </c>
    </row>
    <row r="874" spans="1:18">
      <c r="A874" s="3" t="s">
        <v>2066</v>
      </c>
      <c r="B874" s="3" t="s">
        <v>2067</v>
      </c>
      <c r="C874" s="3" t="s">
        <v>2068</v>
      </c>
      <c r="D874" s="3" t="s">
        <v>2069</v>
      </c>
      <c r="E874" s="3" t="s">
        <v>1710</v>
      </c>
      <c r="F874" s="3">
        <v>39.99</v>
      </c>
      <c r="G874" s="3" t="s">
        <v>6233</v>
      </c>
      <c r="H874" s="3"/>
      <c r="I874" s="3" t="s">
        <v>6234</v>
      </c>
      <c r="J874" s="3">
        <v>9</v>
      </c>
      <c r="K874" s="3">
        <v>9</v>
      </c>
      <c r="L874" s="3">
        <v>0</v>
      </c>
      <c r="M874" s="3">
        <v>0</v>
      </c>
      <c r="N874" s="3">
        <v>9</v>
      </c>
      <c r="O874" s="3">
        <v>0.27</v>
      </c>
      <c r="P874" s="3">
        <v>0</v>
      </c>
      <c r="Q874" s="3">
        <v>0</v>
      </c>
      <c r="R874" s="3">
        <v>0</v>
      </c>
    </row>
    <row r="875" spans="1:18">
      <c r="A875" s="3" t="s">
        <v>4948</v>
      </c>
      <c r="B875" s="3" t="s">
        <v>4949</v>
      </c>
      <c r="C875" s="3" t="s">
        <v>4950</v>
      </c>
      <c r="D875" s="3" t="s">
        <v>4951</v>
      </c>
      <c r="E875" s="3" t="s">
        <v>1710</v>
      </c>
      <c r="F875" s="3">
        <v>39.99</v>
      </c>
      <c r="G875" s="3" t="s">
        <v>6233</v>
      </c>
      <c r="H875" s="3"/>
      <c r="I875" s="3" t="s">
        <v>6234</v>
      </c>
      <c r="J875" s="3">
        <v>8</v>
      </c>
      <c r="K875" s="3">
        <v>8</v>
      </c>
      <c r="L875" s="3">
        <v>0</v>
      </c>
      <c r="M875" s="3">
        <v>0</v>
      </c>
      <c r="N875" s="3">
        <v>8</v>
      </c>
      <c r="O875" s="3">
        <v>0.27</v>
      </c>
      <c r="P875" s="3">
        <v>0</v>
      </c>
      <c r="Q875" s="3">
        <v>0</v>
      </c>
      <c r="R875" s="3">
        <v>0</v>
      </c>
    </row>
    <row r="876" spans="1:18">
      <c r="A876" s="3" t="s">
        <v>7505</v>
      </c>
      <c r="B876" s="3" t="s">
        <v>7506</v>
      </c>
      <c r="C876" s="3" t="s">
        <v>7507</v>
      </c>
      <c r="D876" s="3" t="s">
        <v>7508</v>
      </c>
      <c r="E876" s="3" t="s">
        <v>1710</v>
      </c>
      <c r="F876" s="3">
        <v>39.99</v>
      </c>
      <c r="G876" s="3" t="s">
        <v>6233</v>
      </c>
      <c r="H876" s="3"/>
      <c r="I876" s="3" t="s">
        <v>6234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0.27</v>
      </c>
      <c r="P876" s="3">
        <v>0</v>
      </c>
      <c r="Q876" s="3">
        <v>0</v>
      </c>
      <c r="R876" s="3">
        <v>0</v>
      </c>
    </row>
    <row r="877" spans="1:18">
      <c r="A877" s="3" t="s">
        <v>7509</v>
      </c>
      <c r="B877" s="3" t="s">
        <v>7510</v>
      </c>
      <c r="C877" s="3" t="s">
        <v>7511</v>
      </c>
      <c r="D877" s="3"/>
      <c r="E877" s="3" t="s">
        <v>6275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3524</v>
      </c>
      <c r="B878" s="3" t="s">
        <v>3525</v>
      </c>
      <c r="C878" s="3" t="s">
        <v>3526</v>
      </c>
      <c r="D878" s="3" t="s">
        <v>3527</v>
      </c>
      <c r="E878" s="3" t="s">
        <v>1710</v>
      </c>
      <c r="F878" s="3">
        <v>12.99</v>
      </c>
      <c r="G878" s="3" t="s">
        <v>6233</v>
      </c>
      <c r="H878" s="3"/>
      <c r="I878" s="3" t="s">
        <v>6234</v>
      </c>
      <c r="J878" s="3">
        <v>9</v>
      </c>
      <c r="K878" s="3">
        <v>9</v>
      </c>
      <c r="L878" s="3">
        <v>0</v>
      </c>
      <c r="M878" s="3">
        <v>0</v>
      </c>
      <c r="N878" s="3">
        <v>9</v>
      </c>
      <c r="O878" s="3">
        <v>0.1</v>
      </c>
      <c r="P878" s="3">
        <v>0</v>
      </c>
      <c r="Q878" s="3">
        <v>0</v>
      </c>
      <c r="R878" s="3">
        <v>0</v>
      </c>
    </row>
    <row r="879" spans="1:18">
      <c r="A879" s="3" t="s">
        <v>7512</v>
      </c>
      <c r="B879" s="3" t="s">
        <v>7513</v>
      </c>
      <c r="C879" s="3" t="s">
        <v>7514</v>
      </c>
      <c r="D879" s="3" t="s">
        <v>3773</v>
      </c>
      <c r="E879" s="3" t="s">
        <v>1710</v>
      </c>
      <c r="F879" s="3">
        <v>12.99</v>
      </c>
      <c r="G879" s="3" t="s">
        <v>6233</v>
      </c>
      <c r="H879" s="3"/>
      <c r="I879" s="3" t="s">
        <v>6234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0.1</v>
      </c>
      <c r="P879" s="3">
        <v>0</v>
      </c>
      <c r="Q879" s="3">
        <v>0</v>
      </c>
      <c r="R879" s="3">
        <v>0</v>
      </c>
    </row>
    <row r="880" spans="1:18">
      <c r="A880" s="3" t="s">
        <v>7515</v>
      </c>
      <c r="B880" s="3" t="s">
        <v>7516</v>
      </c>
      <c r="C880" s="3" t="s">
        <v>7517</v>
      </c>
      <c r="D880" s="3" t="s">
        <v>3773</v>
      </c>
      <c r="E880" s="3" t="s">
        <v>1710</v>
      </c>
      <c r="F880" s="3">
        <v>12.99</v>
      </c>
      <c r="G880" s="3" t="s">
        <v>6233</v>
      </c>
      <c r="H880" s="3"/>
      <c r="I880" s="3" t="s">
        <v>6234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0.1</v>
      </c>
      <c r="P880" s="3">
        <v>0</v>
      </c>
      <c r="Q880" s="3">
        <v>0</v>
      </c>
      <c r="R880" s="3">
        <v>0</v>
      </c>
    </row>
    <row r="881" spans="1:18">
      <c r="A881" s="3" t="s">
        <v>7518</v>
      </c>
      <c r="B881" s="3" t="s">
        <v>7519</v>
      </c>
      <c r="C881" s="3" t="s">
        <v>7520</v>
      </c>
      <c r="D881" s="3" t="s">
        <v>3773</v>
      </c>
      <c r="E881" s="3" t="s">
        <v>1710</v>
      </c>
      <c r="F881" s="3">
        <v>12.99</v>
      </c>
      <c r="G881" s="3" t="s">
        <v>6233</v>
      </c>
      <c r="H881" s="3"/>
      <c r="I881" s="3" t="s">
        <v>6234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0.1</v>
      </c>
      <c r="P881" s="3">
        <v>0</v>
      </c>
      <c r="Q881" s="3">
        <v>0</v>
      </c>
      <c r="R881" s="3">
        <v>0</v>
      </c>
    </row>
    <row r="882" spans="1:18">
      <c r="A882" s="3" t="s">
        <v>3770</v>
      </c>
      <c r="B882" s="3" t="s">
        <v>3771</v>
      </c>
      <c r="C882" s="3" t="s">
        <v>3772</v>
      </c>
      <c r="D882" s="3" t="s">
        <v>3773</v>
      </c>
      <c r="E882" s="3" t="s">
        <v>1710</v>
      </c>
      <c r="F882" s="3">
        <v>12.99</v>
      </c>
      <c r="G882" s="3" t="s">
        <v>6233</v>
      </c>
      <c r="H882" s="3"/>
      <c r="I882" s="3" t="s">
        <v>6234</v>
      </c>
      <c r="J882" s="3">
        <v>1</v>
      </c>
      <c r="K882" s="3">
        <v>1</v>
      </c>
      <c r="L882" s="3">
        <v>0</v>
      </c>
      <c r="M882" s="3">
        <v>0</v>
      </c>
      <c r="N882" s="3">
        <v>1</v>
      </c>
      <c r="O882" s="3">
        <v>0.1</v>
      </c>
      <c r="P882" s="3">
        <v>0</v>
      </c>
      <c r="Q882" s="3">
        <v>0</v>
      </c>
      <c r="R882" s="3">
        <v>0</v>
      </c>
    </row>
    <row r="883" spans="1:18">
      <c r="A883" s="3" t="s">
        <v>7521</v>
      </c>
      <c r="B883" s="3" t="s">
        <v>7522</v>
      </c>
      <c r="C883" s="3" t="s">
        <v>7523</v>
      </c>
      <c r="D883" s="3"/>
      <c r="E883" s="3" t="s">
        <v>6275</v>
      </c>
      <c r="F883" s="3"/>
      <c r="G883" s="3"/>
      <c r="H883" s="3"/>
      <c r="I883" s="3"/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/>
      <c r="P883" s="3">
        <v>0</v>
      </c>
      <c r="Q883" s="3">
        <v>0</v>
      </c>
      <c r="R883" s="3">
        <v>0</v>
      </c>
    </row>
    <row r="884" spans="1:18">
      <c r="A884" s="3" t="s">
        <v>5663</v>
      </c>
      <c r="B884" s="3" t="s">
        <v>5664</v>
      </c>
      <c r="C884" s="3" t="s">
        <v>5665</v>
      </c>
      <c r="D884" s="3" t="s">
        <v>3773</v>
      </c>
      <c r="E884" s="3" t="s">
        <v>1710</v>
      </c>
      <c r="F884" s="3">
        <v>12.99</v>
      </c>
      <c r="G884" s="3" t="s">
        <v>6233</v>
      </c>
      <c r="H884" s="3"/>
      <c r="I884" s="3" t="s">
        <v>6234</v>
      </c>
      <c r="J884" s="3">
        <v>2</v>
      </c>
      <c r="K884" s="3">
        <v>2</v>
      </c>
      <c r="L884" s="3">
        <v>0</v>
      </c>
      <c r="M884" s="3">
        <v>0</v>
      </c>
      <c r="N884" s="3">
        <v>2</v>
      </c>
      <c r="O884" s="3">
        <v>0.1</v>
      </c>
      <c r="P884" s="3">
        <v>0</v>
      </c>
      <c r="Q884" s="3">
        <v>0</v>
      </c>
      <c r="R884" s="3">
        <v>0</v>
      </c>
    </row>
    <row r="885" spans="1:18">
      <c r="A885" s="3" t="s">
        <v>7524</v>
      </c>
      <c r="B885" s="3" t="s">
        <v>7525</v>
      </c>
      <c r="C885" s="3" t="s">
        <v>7526</v>
      </c>
      <c r="D885" s="3"/>
      <c r="E885" s="3" t="s">
        <v>6275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7527</v>
      </c>
      <c r="B886" s="3" t="s">
        <v>7528</v>
      </c>
      <c r="C886" s="3" t="s">
        <v>122</v>
      </c>
      <c r="D886" s="3"/>
      <c r="E886" s="3" t="s">
        <v>6275</v>
      </c>
      <c r="F886" s="3"/>
      <c r="G886" s="3"/>
      <c r="H886" s="3"/>
      <c r="I886" s="3"/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/>
      <c r="P886" s="3">
        <v>0</v>
      </c>
      <c r="Q886" s="3">
        <v>0</v>
      </c>
      <c r="R886" s="3">
        <v>0</v>
      </c>
    </row>
    <row r="887" spans="1:18">
      <c r="A887" s="3" t="s">
        <v>7529</v>
      </c>
      <c r="B887" s="3" t="s">
        <v>7530</v>
      </c>
      <c r="C887" s="3" t="s">
        <v>2224</v>
      </c>
      <c r="D887" s="3"/>
      <c r="E887" s="3" t="s">
        <v>6275</v>
      </c>
      <c r="F887" s="3"/>
      <c r="G887" s="3"/>
      <c r="H887" s="3"/>
      <c r="I887" s="3"/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/>
      <c r="P887" s="3">
        <v>0</v>
      </c>
      <c r="Q887" s="3">
        <v>0</v>
      </c>
      <c r="R887" s="3">
        <v>0</v>
      </c>
    </row>
    <row r="888" spans="1:18">
      <c r="A888" s="3" t="s">
        <v>7531</v>
      </c>
      <c r="B888" s="3" t="s">
        <v>7532</v>
      </c>
      <c r="C888" s="3" t="s">
        <v>2433</v>
      </c>
      <c r="D888" s="3"/>
      <c r="E888" s="3" t="s">
        <v>6275</v>
      </c>
      <c r="F888" s="3"/>
      <c r="G888" s="3"/>
      <c r="H888" s="3"/>
      <c r="I888" s="3"/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/>
      <c r="P888" s="3">
        <v>0</v>
      </c>
      <c r="Q888" s="3">
        <v>0</v>
      </c>
      <c r="R888" s="3">
        <v>0</v>
      </c>
    </row>
    <row r="889" spans="1:18">
      <c r="A889" s="3" t="s">
        <v>7533</v>
      </c>
      <c r="B889" s="3" t="s">
        <v>7534</v>
      </c>
      <c r="C889" s="3" t="s">
        <v>5570</v>
      </c>
      <c r="D889" s="3"/>
      <c r="E889" s="3" t="s">
        <v>6275</v>
      </c>
      <c r="F889" s="3"/>
      <c r="G889" s="3"/>
      <c r="H889" s="3"/>
      <c r="I889" s="3"/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/>
      <c r="P889" s="3">
        <v>0</v>
      </c>
      <c r="Q889" s="3">
        <v>0</v>
      </c>
      <c r="R889" s="3">
        <v>0</v>
      </c>
    </row>
    <row r="890" spans="1:18">
      <c r="A890" s="3" t="s">
        <v>7535</v>
      </c>
      <c r="B890" s="3" t="s">
        <v>7536</v>
      </c>
      <c r="C890" s="3" t="s">
        <v>3155</v>
      </c>
      <c r="D890" s="3"/>
      <c r="E890" s="3" t="s">
        <v>6275</v>
      </c>
      <c r="F890" s="3"/>
      <c r="G890" s="3"/>
      <c r="H890" s="3"/>
      <c r="I890" s="3"/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7537</v>
      </c>
      <c r="B891" s="3" t="s">
        <v>7538</v>
      </c>
      <c r="C891" s="3" t="s">
        <v>7539</v>
      </c>
      <c r="D891" s="3" t="s">
        <v>7540</v>
      </c>
      <c r="E891" s="3" t="s">
        <v>1710</v>
      </c>
      <c r="F891" s="3">
        <v>32.99</v>
      </c>
      <c r="G891" s="3" t="s">
        <v>6233</v>
      </c>
      <c r="H891" s="3"/>
      <c r="I891" s="3" t="s">
        <v>6234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0.13</v>
      </c>
      <c r="P891" s="3">
        <v>0</v>
      </c>
      <c r="Q891" s="3">
        <v>0</v>
      </c>
      <c r="R891" s="3">
        <v>0</v>
      </c>
    </row>
    <row r="892" spans="1:18">
      <c r="A892" s="3" t="s">
        <v>7541</v>
      </c>
      <c r="B892" s="3" t="s">
        <v>7542</v>
      </c>
      <c r="C892" s="3" t="s">
        <v>7543</v>
      </c>
      <c r="D892" s="3" t="s">
        <v>7540</v>
      </c>
      <c r="E892" s="3" t="s">
        <v>1710</v>
      </c>
      <c r="F892" s="3">
        <v>32.99</v>
      </c>
      <c r="G892" s="3" t="s">
        <v>6233</v>
      </c>
      <c r="H892" s="3"/>
      <c r="I892" s="3" t="s">
        <v>6234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0.13</v>
      </c>
      <c r="P892" s="3">
        <v>0</v>
      </c>
      <c r="Q892" s="3">
        <v>0</v>
      </c>
      <c r="R892" s="3">
        <v>0</v>
      </c>
    </row>
    <row r="893" spans="1:18">
      <c r="A893" s="3" t="s">
        <v>7544</v>
      </c>
      <c r="B893" s="3" t="s">
        <v>7545</v>
      </c>
      <c r="C893" s="3" t="s">
        <v>7546</v>
      </c>
      <c r="D893" s="3" t="s">
        <v>7547</v>
      </c>
      <c r="E893" s="3" t="s">
        <v>1710</v>
      </c>
      <c r="F893" s="3">
        <v>35</v>
      </c>
      <c r="G893" s="3" t="s">
        <v>6233</v>
      </c>
      <c r="H893" s="3"/>
      <c r="I893" s="3" t="s">
        <v>6234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0.16</v>
      </c>
      <c r="P893" s="3">
        <v>0</v>
      </c>
      <c r="Q893" s="3">
        <v>0</v>
      </c>
      <c r="R893" s="3">
        <v>0</v>
      </c>
    </row>
    <row r="894" spans="1:18">
      <c r="A894" s="3" t="s">
        <v>120</v>
      </c>
      <c r="B894" s="3" t="s">
        <v>121</v>
      </c>
      <c r="C894" s="3" t="s">
        <v>122</v>
      </c>
      <c r="D894" s="3" t="s">
        <v>123</v>
      </c>
      <c r="E894" s="3" t="s">
        <v>1710</v>
      </c>
      <c r="F894" s="3">
        <v>12.99</v>
      </c>
      <c r="G894" s="3" t="s">
        <v>6233</v>
      </c>
      <c r="H894" s="3"/>
      <c r="I894" s="3" t="s">
        <v>6234</v>
      </c>
      <c r="J894" s="3">
        <v>2</v>
      </c>
      <c r="K894" s="3">
        <v>1</v>
      </c>
      <c r="L894" s="3">
        <v>0</v>
      </c>
      <c r="M894" s="3">
        <v>1</v>
      </c>
      <c r="N894" s="3">
        <v>2</v>
      </c>
      <c r="O894" s="3">
        <v>0.13</v>
      </c>
      <c r="P894" s="3">
        <v>0</v>
      </c>
      <c r="Q894" s="3">
        <v>0</v>
      </c>
      <c r="R894" s="3">
        <v>0</v>
      </c>
    </row>
    <row r="895" spans="1:18">
      <c r="A895" s="3" t="s">
        <v>2222</v>
      </c>
      <c r="B895" s="3" t="s">
        <v>2223</v>
      </c>
      <c r="C895" s="3" t="s">
        <v>2224</v>
      </c>
      <c r="D895" s="3" t="s">
        <v>2225</v>
      </c>
      <c r="E895" s="3" t="s">
        <v>1710</v>
      </c>
      <c r="F895" s="3">
        <v>12.99</v>
      </c>
      <c r="G895" s="3" t="s">
        <v>6233</v>
      </c>
      <c r="H895" s="3"/>
      <c r="I895" s="3" t="s">
        <v>6234</v>
      </c>
      <c r="J895" s="3">
        <v>7</v>
      </c>
      <c r="K895" s="3">
        <v>7</v>
      </c>
      <c r="L895" s="3">
        <v>0</v>
      </c>
      <c r="M895" s="3">
        <v>0</v>
      </c>
      <c r="N895" s="3">
        <v>7</v>
      </c>
      <c r="O895" s="3">
        <v>0.13</v>
      </c>
      <c r="P895" s="3">
        <v>0</v>
      </c>
      <c r="Q895" s="3">
        <v>0</v>
      </c>
      <c r="R895" s="3">
        <v>0</v>
      </c>
    </row>
    <row r="896" spans="1:18">
      <c r="A896" s="3" t="s">
        <v>2431</v>
      </c>
      <c r="B896" s="3" t="s">
        <v>2432</v>
      </c>
      <c r="C896" s="3" t="s">
        <v>2433</v>
      </c>
      <c r="D896" s="3" t="s">
        <v>2225</v>
      </c>
      <c r="E896" s="3" t="s">
        <v>1710</v>
      </c>
      <c r="F896" s="3">
        <v>12.99</v>
      </c>
      <c r="G896" s="3" t="s">
        <v>6233</v>
      </c>
      <c r="H896" s="3"/>
      <c r="I896" s="3" t="s">
        <v>6234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0.13</v>
      </c>
      <c r="P896" s="3">
        <v>0</v>
      </c>
      <c r="Q896" s="3">
        <v>0</v>
      </c>
      <c r="R896" s="3">
        <v>0</v>
      </c>
    </row>
    <row r="897" spans="1:18">
      <c r="A897" s="3" t="s">
        <v>5568</v>
      </c>
      <c r="B897" s="3" t="s">
        <v>5569</v>
      </c>
      <c r="C897" s="3" t="s">
        <v>5570</v>
      </c>
      <c r="D897" s="3" t="s">
        <v>2225</v>
      </c>
      <c r="E897" s="3" t="s">
        <v>1710</v>
      </c>
      <c r="F897" s="3">
        <v>12.99</v>
      </c>
      <c r="G897" s="3" t="s">
        <v>6233</v>
      </c>
      <c r="H897" s="3"/>
      <c r="I897" s="3" t="s">
        <v>6234</v>
      </c>
      <c r="J897" s="3">
        <v>8</v>
      </c>
      <c r="K897" s="3">
        <v>8</v>
      </c>
      <c r="L897" s="3">
        <v>0</v>
      </c>
      <c r="M897" s="3">
        <v>0</v>
      </c>
      <c r="N897" s="3">
        <v>8</v>
      </c>
      <c r="O897" s="3">
        <v>0.13</v>
      </c>
      <c r="P897" s="3">
        <v>0</v>
      </c>
      <c r="Q897" s="3">
        <v>0</v>
      </c>
      <c r="R897" s="3">
        <v>0</v>
      </c>
    </row>
    <row r="898" spans="1:18">
      <c r="A898" s="3" t="s">
        <v>3153</v>
      </c>
      <c r="B898" s="3" t="s">
        <v>3154</v>
      </c>
      <c r="C898" s="3" t="s">
        <v>3155</v>
      </c>
      <c r="D898" s="3" t="s">
        <v>2225</v>
      </c>
      <c r="E898" s="3" t="s">
        <v>1710</v>
      </c>
      <c r="F898" s="3">
        <v>12.99</v>
      </c>
      <c r="G898" s="3" t="s">
        <v>6233</v>
      </c>
      <c r="H898" s="3"/>
      <c r="I898" s="3" t="s">
        <v>6234</v>
      </c>
      <c r="J898" s="3">
        <v>23</v>
      </c>
      <c r="K898" s="3">
        <v>23</v>
      </c>
      <c r="L898" s="3">
        <v>0</v>
      </c>
      <c r="M898" s="3">
        <v>0</v>
      </c>
      <c r="N898" s="3">
        <v>23</v>
      </c>
      <c r="O898" s="3">
        <v>0.13</v>
      </c>
      <c r="P898" s="3">
        <v>0</v>
      </c>
      <c r="Q898" s="3">
        <v>0</v>
      </c>
      <c r="R898" s="3">
        <v>0</v>
      </c>
    </row>
    <row r="899" spans="1:18">
      <c r="A899" s="3" t="s">
        <v>3188</v>
      </c>
      <c r="B899" s="3" t="s">
        <v>3189</v>
      </c>
      <c r="C899" s="3" t="s">
        <v>3190</v>
      </c>
      <c r="D899" s="3" t="s">
        <v>2225</v>
      </c>
      <c r="E899" s="3" t="s">
        <v>1710</v>
      </c>
      <c r="F899" s="3">
        <v>12.99</v>
      </c>
      <c r="G899" s="3" t="s">
        <v>6233</v>
      </c>
      <c r="H899" s="3"/>
      <c r="I899" s="3" t="s">
        <v>6234</v>
      </c>
      <c r="J899" s="3">
        <v>11</v>
      </c>
      <c r="K899" s="3">
        <v>11</v>
      </c>
      <c r="L899" s="3">
        <v>0</v>
      </c>
      <c r="M899" s="3">
        <v>0</v>
      </c>
      <c r="N899" s="3">
        <v>11</v>
      </c>
      <c r="O899" s="3">
        <v>0.13</v>
      </c>
      <c r="P899" s="3">
        <v>0</v>
      </c>
      <c r="Q899" s="3">
        <v>0</v>
      </c>
      <c r="R899" s="3">
        <v>0</v>
      </c>
    </row>
    <row r="900" spans="1:18">
      <c r="A900" s="3" t="s">
        <v>7548</v>
      </c>
      <c r="B900" s="3" t="s">
        <v>7549</v>
      </c>
      <c r="C900" s="3" t="s">
        <v>7550</v>
      </c>
      <c r="D900" s="3" t="s">
        <v>7551</v>
      </c>
      <c r="E900" s="3" t="s">
        <v>1710</v>
      </c>
      <c r="F900" s="3">
        <v>25</v>
      </c>
      <c r="G900" s="3" t="s">
        <v>6233</v>
      </c>
      <c r="H900" s="3"/>
      <c r="I900" s="3" t="s">
        <v>6234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0.17</v>
      </c>
      <c r="P900" s="3">
        <v>0</v>
      </c>
      <c r="Q900" s="3">
        <v>0</v>
      </c>
      <c r="R900" s="3">
        <v>0</v>
      </c>
    </row>
    <row r="901" spans="1:18">
      <c r="A901" s="3" t="s">
        <v>7552</v>
      </c>
      <c r="B901" s="3" t="s">
        <v>7553</v>
      </c>
      <c r="C901" s="3" t="s">
        <v>7554</v>
      </c>
      <c r="D901" s="3"/>
      <c r="E901" s="3" t="s">
        <v>6275</v>
      </c>
      <c r="F901" s="3"/>
      <c r="G901" s="3"/>
      <c r="H901" s="3"/>
      <c r="I901" s="3"/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/>
      <c r="P901" s="3">
        <v>0</v>
      </c>
      <c r="Q901" s="3">
        <v>0</v>
      </c>
      <c r="R901" s="3">
        <v>0</v>
      </c>
    </row>
    <row r="902" spans="1:18">
      <c r="A902" s="3" t="s">
        <v>7555</v>
      </c>
      <c r="B902" s="3" t="s">
        <v>7556</v>
      </c>
      <c r="C902" s="3" t="s">
        <v>126</v>
      </c>
      <c r="D902" s="3"/>
      <c r="E902" s="3" t="s">
        <v>6275</v>
      </c>
      <c r="F902" s="3"/>
      <c r="G902" s="3"/>
      <c r="H902" s="3"/>
      <c r="I902" s="3"/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/>
      <c r="P902" s="3">
        <v>0</v>
      </c>
      <c r="Q902" s="3">
        <v>0</v>
      </c>
      <c r="R902" s="3">
        <v>0</v>
      </c>
    </row>
    <row r="903" spans="1:18">
      <c r="A903" s="3" t="s">
        <v>7557</v>
      </c>
      <c r="B903" s="3" t="s">
        <v>7558</v>
      </c>
      <c r="C903" s="3" t="s">
        <v>7559</v>
      </c>
      <c r="D903" s="3"/>
      <c r="E903" s="3" t="s">
        <v>6275</v>
      </c>
      <c r="F903" s="3"/>
      <c r="G903" s="3"/>
      <c r="H903" s="3"/>
      <c r="I903" s="3"/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/>
      <c r="P903" s="3">
        <v>0</v>
      </c>
      <c r="Q903" s="3">
        <v>0</v>
      </c>
      <c r="R903" s="3">
        <v>0</v>
      </c>
    </row>
    <row r="904" spans="1:18">
      <c r="A904" s="3" t="s">
        <v>7560</v>
      </c>
      <c r="B904" s="3" t="s">
        <v>7561</v>
      </c>
      <c r="C904" s="3" t="s">
        <v>7562</v>
      </c>
      <c r="D904" s="3"/>
      <c r="E904" s="3" t="s">
        <v>6275</v>
      </c>
      <c r="F904" s="3"/>
      <c r="G904" s="3"/>
      <c r="H904" s="3"/>
      <c r="I904" s="3"/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/>
      <c r="P904" s="3">
        <v>0</v>
      </c>
      <c r="Q904" s="3">
        <v>0</v>
      </c>
      <c r="R904" s="3">
        <v>0</v>
      </c>
    </row>
    <row r="905" spans="1:18">
      <c r="A905" s="3" t="s">
        <v>7563</v>
      </c>
      <c r="B905" s="3" t="s">
        <v>7564</v>
      </c>
      <c r="C905" s="3" t="s">
        <v>7565</v>
      </c>
      <c r="D905" s="3"/>
      <c r="E905" s="3" t="s">
        <v>6275</v>
      </c>
      <c r="F905" s="3"/>
      <c r="G905" s="3"/>
      <c r="H905" s="3"/>
      <c r="I905" s="3"/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/>
      <c r="P905" s="3">
        <v>0</v>
      </c>
      <c r="Q905" s="3">
        <v>0</v>
      </c>
      <c r="R905" s="3">
        <v>0</v>
      </c>
    </row>
    <row r="906" spans="1:18">
      <c r="A906" s="3" t="s">
        <v>7566</v>
      </c>
      <c r="B906" s="3" t="s">
        <v>7567</v>
      </c>
      <c r="C906" s="3" t="s">
        <v>7568</v>
      </c>
      <c r="D906" s="3"/>
      <c r="E906" s="3" t="s">
        <v>6275</v>
      </c>
      <c r="F906" s="3"/>
      <c r="G906" s="3"/>
      <c r="H906" s="3"/>
      <c r="I906" s="3"/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/>
      <c r="P906" s="3">
        <v>0</v>
      </c>
      <c r="Q906" s="3">
        <v>0</v>
      </c>
      <c r="R906" s="3">
        <v>0</v>
      </c>
    </row>
    <row r="907" spans="1:18">
      <c r="A907" s="3" t="s">
        <v>7569</v>
      </c>
      <c r="B907" s="3" t="s">
        <v>7570</v>
      </c>
      <c r="C907" s="3" t="s">
        <v>7571</v>
      </c>
      <c r="D907" s="3"/>
      <c r="E907" s="3" t="s">
        <v>6275</v>
      </c>
      <c r="F907" s="3"/>
      <c r="G907" s="3"/>
      <c r="H907" s="3"/>
      <c r="I907" s="3"/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/>
      <c r="P907" s="3">
        <v>0</v>
      </c>
      <c r="Q907" s="3">
        <v>0</v>
      </c>
      <c r="R907" s="3">
        <v>0</v>
      </c>
    </row>
    <row r="908" spans="1:18">
      <c r="A908" s="3" t="s">
        <v>7572</v>
      </c>
      <c r="B908" s="3" t="s">
        <v>7573</v>
      </c>
      <c r="C908" s="3" t="s">
        <v>7574</v>
      </c>
      <c r="D908" s="3"/>
      <c r="E908" s="3" t="s">
        <v>6275</v>
      </c>
      <c r="F908" s="3"/>
      <c r="G908" s="3"/>
      <c r="H908" s="3"/>
      <c r="I908" s="3"/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/>
      <c r="P908" s="3">
        <v>0</v>
      </c>
      <c r="Q908" s="3">
        <v>0</v>
      </c>
      <c r="R908" s="3">
        <v>0</v>
      </c>
    </row>
    <row r="909" spans="1:18">
      <c r="A909" s="3" t="s">
        <v>7575</v>
      </c>
      <c r="B909" s="3" t="s">
        <v>7576</v>
      </c>
      <c r="C909" s="3" t="s">
        <v>7577</v>
      </c>
      <c r="D909" s="3"/>
      <c r="E909" s="3" t="s">
        <v>6275</v>
      </c>
      <c r="F909" s="3"/>
      <c r="G909" s="3"/>
      <c r="H909" s="3"/>
      <c r="I909" s="3"/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/>
      <c r="P909" s="3">
        <v>0</v>
      </c>
      <c r="Q909" s="3">
        <v>0</v>
      </c>
      <c r="R909" s="3">
        <v>0</v>
      </c>
    </row>
    <row r="910" spans="1:18">
      <c r="A910" s="3" t="s">
        <v>7578</v>
      </c>
      <c r="B910" s="3" t="s">
        <v>7579</v>
      </c>
      <c r="C910" s="3" t="s">
        <v>7580</v>
      </c>
      <c r="D910" s="3"/>
      <c r="E910" s="3" t="s">
        <v>6275</v>
      </c>
      <c r="F910" s="3"/>
      <c r="G910" s="3"/>
      <c r="H910" s="3"/>
      <c r="I910" s="3"/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/>
      <c r="P910" s="3">
        <v>0</v>
      </c>
      <c r="Q910" s="3">
        <v>0</v>
      </c>
      <c r="R910" s="3">
        <v>0</v>
      </c>
    </row>
    <row r="911" spans="1:18">
      <c r="A911" s="3" t="s">
        <v>7581</v>
      </c>
      <c r="B911" s="3" t="s">
        <v>7582</v>
      </c>
      <c r="C911" s="3" t="s">
        <v>7554</v>
      </c>
      <c r="D911" s="3" t="s">
        <v>7583</v>
      </c>
      <c r="E911" s="3" t="s">
        <v>1710</v>
      </c>
      <c r="F911" s="3">
        <v>16.99</v>
      </c>
      <c r="G911" s="3" t="s">
        <v>6233</v>
      </c>
      <c r="H911" s="3"/>
      <c r="I911" s="3" t="s">
        <v>6234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0.05</v>
      </c>
      <c r="P911" s="3">
        <v>0</v>
      </c>
      <c r="Q911" s="3">
        <v>0</v>
      </c>
      <c r="R911" s="3">
        <v>0</v>
      </c>
    </row>
    <row r="912" spans="1:18">
      <c r="A912" s="3" t="s">
        <v>124</v>
      </c>
      <c r="B912" s="3" t="s">
        <v>125</v>
      </c>
      <c r="C912" s="3" t="s">
        <v>126</v>
      </c>
      <c r="D912" s="3" t="s">
        <v>127</v>
      </c>
      <c r="E912" s="3" t="s">
        <v>1710</v>
      </c>
      <c r="F912" s="3">
        <v>16.99</v>
      </c>
      <c r="G912" s="3" t="s">
        <v>6233</v>
      </c>
      <c r="H912" s="3"/>
      <c r="I912" s="3" t="s">
        <v>6234</v>
      </c>
      <c r="J912" s="3">
        <v>3</v>
      </c>
      <c r="K912" s="3">
        <v>2</v>
      </c>
      <c r="L912" s="3">
        <v>0</v>
      </c>
      <c r="M912" s="3">
        <v>1</v>
      </c>
      <c r="N912" s="3">
        <v>3</v>
      </c>
      <c r="O912" s="3">
        <v>0.05</v>
      </c>
      <c r="P912" s="3">
        <v>0</v>
      </c>
      <c r="Q912" s="3">
        <v>0</v>
      </c>
      <c r="R912" s="3">
        <v>0</v>
      </c>
    </row>
    <row r="913" spans="1:18">
      <c r="A913" s="3" t="s">
        <v>7584</v>
      </c>
      <c r="B913" s="3" t="s">
        <v>7585</v>
      </c>
      <c r="C913" s="3" t="s">
        <v>134</v>
      </c>
      <c r="D913" s="3"/>
      <c r="E913" s="3" t="s">
        <v>6275</v>
      </c>
      <c r="F913" s="3"/>
      <c r="G913" s="3"/>
      <c r="H913" s="3"/>
      <c r="I913" s="3"/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/>
      <c r="P913" s="3">
        <v>0</v>
      </c>
      <c r="Q913" s="3">
        <v>0</v>
      </c>
      <c r="R913" s="3">
        <v>0</v>
      </c>
    </row>
    <row r="914" spans="1:18">
      <c r="A914" s="3" t="s">
        <v>7586</v>
      </c>
      <c r="B914" s="3" t="s">
        <v>7587</v>
      </c>
      <c r="C914" s="3" t="s">
        <v>138</v>
      </c>
      <c r="D914" s="3"/>
      <c r="E914" s="3" t="s">
        <v>6275</v>
      </c>
      <c r="F914" s="3"/>
      <c r="G914" s="3"/>
      <c r="H914" s="3"/>
      <c r="I914" s="3"/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/>
      <c r="P914" s="3">
        <v>0</v>
      </c>
      <c r="Q914" s="3">
        <v>0</v>
      </c>
      <c r="R914" s="3">
        <v>0</v>
      </c>
    </row>
    <row r="915" spans="1:18">
      <c r="A915" s="3" t="s">
        <v>7588</v>
      </c>
      <c r="B915" s="3" t="s">
        <v>7589</v>
      </c>
      <c r="C915" s="3" t="s">
        <v>246</v>
      </c>
      <c r="D915" s="3"/>
      <c r="E915" s="3" t="s">
        <v>6275</v>
      </c>
      <c r="F915" s="3"/>
      <c r="G915" s="3"/>
      <c r="H915" s="3"/>
      <c r="I915" s="3"/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/>
      <c r="P915" s="3">
        <v>0</v>
      </c>
      <c r="Q915" s="3">
        <v>0</v>
      </c>
      <c r="R915" s="3">
        <v>0</v>
      </c>
    </row>
    <row r="916" spans="1:18">
      <c r="A916" s="3" t="s">
        <v>7590</v>
      </c>
      <c r="B916" s="3" t="s">
        <v>7591</v>
      </c>
      <c r="C916" s="3" t="s">
        <v>5473</v>
      </c>
      <c r="D916" s="3"/>
      <c r="E916" s="3" t="s">
        <v>6275</v>
      </c>
      <c r="F916" s="3"/>
      <c r="G916" s="3"/>
      <c r="H916" s="3"/>
      <c r="I916" s="3"/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/>
      <c r="P916" s="3">
        <v>0</v>
      </c>
      <c r="Q916" s="3">
        <v>0</v>
      </c>
      <c r="R916" s="3">
        <v>0</v>
      </c>
    </row>
    <row r="917" spans="1:18">
      <c r="A917" s="3" t="s">
        <v>7592</v>
      </c>
      <c r="B917" s="3" t="s">
        <v>7593</v>
      </c>
      <c r="C917" s="3" t="s">
        <v>130</v>
      </c>
      <c r="D917" s="3"/>
      <c r="E917" s="3" t="s">
        <v>6275</v>
      </c>
      <c r="F917" s="3"/>
      <c r="G917" s="3"/>
      <c r="H917" s="3"/>
      <c r="I917" s="3"/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/>
      <c r="P917" s="3">
        <v>0</v>
      </c>
      <c r="Q917" s="3">
        <v>0</v>
      </c>
      <c r="R917" s="3">
        <v>0</v>
      </c>
    </row>
    <row r="918" spans="1:18">
      <c r="A918" s="3" t="s">
        <v>7594</v>
      </c>
      <c r="B918" s="3" t="s">
        <v>7595</v>
      </c>
      <c r="C918" s="3" t="s">
        <v>146</v>
      </c>
      <c r="D918" s="3"/>
      <c r="E918" s="3" t="s">
        <v>6275</v>
      </c>
      <c r="F918" s="3"/>
      <c r="G918" s="3"/>
      <c r="H918" s="3"/>
      <c r="I918" s="3"/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/>
      <c r="P918" s="3">
        <v>0</v>
      </c>
      <c r="Q918" s="3">
        <v>0</v>
      </c>
      <c r="R918" s="3">
        <v>0</v>
      </c>
    </row>
    <row r="919" spans="1:18">
      <c r="A919" s="3" t="s">
        <v>7596</v>
      </c>
      <c r="B919" s="3" t="s">
        <v>7597</v>
      </c>
      <c r="C919" s="3" t="s">
        <v>242</v>
      </c>
      <c r="D919" s="3"/>
      <c r="E919" s="3" t="s">
        <v>6275</v>
      </c>
      <c r="F919" s="3"/>
      <c r="G919" s="3"/>
      <c r="H919" s="3"/>
      <c r="I919" s="3"/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/>
      <c r="P919" s="3">
        <v>0</v>
      </c>
      <c r="Q919" s="3">
        <v>0</v>
      </c>
      <c r="R919" s="3">
        <v>0</v>
      </c>
    </row>
    <row r="920" spans="1:18">
      <c r="A920" s="3" t="s">
        <v>7598</v>
      </c>
      <c r="B920" s="3" t="s">
        <v>7599</v>
      </c>
      <c r="C920" s="3" t="s">
        <v>178</v>
      </c>
      <c r="D920" s="3"/>
      <c r="E920" s="3" t="s">
        <v>6275</v>
      </c>
      <c r="F920" s="3"/>
      <c r="G920" s="3"/>
      <c r="H920" s="3"/>
      <c r="I920" s="3"/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/>
      <c r="P920" s="3">
        <v>0</v>
      </c>
      <c r="Q920" s="3">
        <v>0</v>
      </c>
      <c r="R920" s="3">
        <v>0</v>
      </c>
    </row>
    <row r="921" spans="1:18">
      <c r="A921" s="3" t="s">
        <v>7600</v>
      </c>
      <c r="B921" s="3" t="s">
        <v>7601</v>
      </c>
      <c r="C921" s="3" t="s">
        <v>198</v>
      </c>
      <c r="D921" s="3"/>
      <c r="E921" s="3" t="s">
        <v>6275</v>
      </c>
      <c r="F921" s="3"/>
      <c r="G921" s="3"/>
      <c r="H921" s="3"/>
      <c r="I921" s="3"/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/>
      <c r="P921" s="3">
        <v>0</v>
      </c>
      <c r="Q921" s="3">
        <v>0</v>
      </c>
      <c r="R921" s="3">
        <v>0</v>
      </c>
    </row>
    <row r="922" spans="1:18">
      <c r="A922" s="3" t="s">
        <v>7602</v>
      </c>
      <c r="B922" s="3" t="s">
        <v>7603</v>
      </c>
      <c r="C922" s="3" t="s">
        <v>4777</v>
      </c>
      <c r="D922" s="3"/>
      <c r="E922" s="3" t="s">
        <v>6275</v>
      </c>
      <c r="F922" s="3"/>
      <c r="G922" s="3"/>
      <c r="H922" s="3"/>
      <c r="I922" s="3"/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/>
      <c r="P922" s="3">
        <v>0</v>
      </c>
      <c r="Q922" s="3">
        <v>0</v>
      </c>
      <c r="R922" s="3">
        <v>0</v>
      </c>
    </row>
    <row r="923" spans="1:18">
      <c r="A923" s="3" t="s">
        <v>7604</v>
      </c>
      <c r="B923" s="3" t="s">
        <v>7605</v>
      </c>
      <c r="C923" s="3" t="s">
        <v>186</v>
      </c>
      <c r="D923" s="3"/>
      <c r="E923" s="3" t="s">
        <v>6275</v>
      </c>
      <c r="F923" s="3"/>
      <c r="G923" s="3"/>
      <c r="H923" s="3"/>
      <c r="I923" s="3"/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/>
      <c r="P923" s="3">
        <v>0</v>
      </c>
      <c r="Q923" s="3">
        <v>0</v>
      </c>
      <c r="R923" s="3">
        <v>0</v>
      </c>
    </row>
    <row r="924" spans="1:18">
      <c r="A924" s="3" t="s">
        <v>7606</v>
      </c>
      <c r="B924" s="3" t="s">
        <v>7607</v>
      </c>
      <c r="C924" s="3" t="s">
        <v>194</v>
      </c>
      <c r="D924" s="3"/>
      <c r="E924" s="3" t="s">
        <v>6275</v>
      </c>
      <c r="F924" s="3"/>
      <c r="G924" s="3"/>
      <c r="H924" s="3"/>
      <c r="I924" s="3"/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/>
      <c r="P924" s="3">
        <v>0</v>
      </c>
      <c r="Q924" s="3">
        <v>0</v>
      </c>
      <c r="R924" s="3">
        <v>0</v>
      </c>
    </row>
    <row r="925" spans="1:18">
      <c r="A925" s="3" t="s">
        <v>7608</v>
      </c>
      <c r="B925" s="3" t="s">
        <v>7609</v>
      </c>
      <c r="C925" s="3" t="s">
        <v>5916</v>
      </c>
      <c r="D925" s="3"/>
      <c r="E925" s="3" t="s">
        <v>6275</v>
      </c>
      <c r="F925" s="3"/>
      <c r="G925" s="3"/>
      <c r="H925" s="3"/>
      <c r="I925" s="3"/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/>
      <c r="P925" s="3">
        <v>0</v>
      </c>
      <c r="Q925" s="3">
        <v>0</v>
      </c>
      <c r="R925" s="3">
        <v>0</v>
      </c>
    </row>
    <row r="926" spans="1:18">
      <c r="A926" s="3" t="s">
        <v>7610</v>
      </c>
      <c r="B926" s="3" t="s">
        <v>7611</v>
      </c>
      <c r="C926" s="3" t="s">
        <v>166</v>
      </c>
      <c r="D926" s="3"/>
      <c r="E926" s="3" t="s">
        <v>6275</v>
      </c>
      <c r="F926" s="3"/>
      <c r="G926" s="3"/>
      <c r="H926" s="3"/>
      <c r="I926" s="3"/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/>
      <c r="P926" s="3">
        <v>0</v>
      </c>
      <c r="Q926" s="3">
        <v>0</v>
      </c>
      <c r="R926" s="3">
        <v>0</v>
      </c>
    </row>
    <row r="927" spans="1:18">
      <c r="A927" s="3" t="s">
        <v>7612</v>
      </c>
      <c r="B927" s="3" t="s">
        <v>7613</v>
      </c>
      <c r="C927" s="3" t="s">
        <v>210</v>
      </c>
      <c r="D927" s="3"/>
      <c r="E927" s="3" t="s">
        <v>6275</v>
      </c>
      <c r="F927" s="3"/>
      <c r="G927" s="3"/>
      <c r="H927" s="3"/>
      <c r="I927" s="3"/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/>
      <c r="P927" s="3">
        <v>0</v>
      </c>
      <c r="Q927" s="3">
        <v>0</v>
      </c>
      <c r="R927" s="3">
        <v>0</v>
      </c>
    </row>
    <row r="928" spans="1:18">
      <c r="A928" s="3" t="s">
        <v>7614</v>
      </c>
      <c r="B928" s="3" t="s">
        <v>7615</v>
      </c>
      <c r="C928" s="3" t="s">
        <v>162</v>
      </c>
      <c r="D928" s="3"/>
      <c r="E928" s="3" t="s">
        <v>6275</v>
      </c>
      <c r="F928" s="3"/>
      <c r="G928" s="3"/>
      <c r="H928" s="3"/>
      <c r="I928" s="3"/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/>
      <c r="P928" s="3">
        <v>0</v>
      </c>
      <c r="Q928" s="3">
        <v>0</v>
      </c>
      <c r="R928" s="3">
        <v>0</v>
      </c>
    </row>
    <row r="929" spans="1:18">
      <c r="A929" s="3" t="s">
        <v>7616</v>
      </c>
      <c r="B929" s="3" t="s">
        <v>7617</v>
      </c>
      <c r="C929" s="3" t="s">
        <v>2676</v>
      </c>
      <c r="D929" s="3"/>
      <c r="E929" s="3" t="s">
        <v>6275</v>
      </c>
      <c r="F929" s="3"/>
      <c r="G929" s="3"/>
      <c r="H929" s="3"/>
      <c r="I929" s="3"/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/>
      <c r="P929" s="3">
        <v>0</v>
      </c>
      <c r="Q929" s="3">
        <v>0</v>
      </c>
      <c r="R929" s="3">
        <v>0</v>
      </c>
    </row>
    <row r="930" spans="1:18">
      <c r="A930" s="3" t="s">
        <v>7618</v>
      </c>
      <c r="B930" s="3" t="s">
        <v>7619</v>
      </c>
      <c r="C930" s="3" t="s">
        <v>218</v>
      </c>
      <c r="D930" s="3"/>
      <c r="E930" s="3" t="s">
        <v>6275</v>
      </c>
      <c r="F930" s="3"/>
      <c r="G930" s="3"/>
      <c r="H930" s="3"/>
      <c r="I930" s="3"/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/>
      <c r="P930" s="3">
        <v>0</v>
      </c>
      <c r="Q930" s="3">
        <v>0</v>
      </c>
      <c r="R930" s="3">
        <v>0</v>
      </c>
    </row>
    <row r="931" spans="1:18">
      <c r="A931" s="3" t="s">
        <v>7620</v>
      </c>
      <c r="B931" s="3" t="s">
        <v>7621</v>
      </c>
      <c r="C931" s="3" t="s">
        <v>174</v>
      </c>
      <c r="D931" s="3"/>
      <c r="E931" s="3" t="s">
        <v>6275</v>
      </c>
      <c r="F931" s="3"/>
      <c r="G931" s="3"/>
      <c r="H931" s="3"/>
      <c r="I931" s="3"/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/>
      <c r="P931" s="3">
        <v>0</v>
      </c>
      <c r="Q931" s="3">
        <v>0</v>
      </c>
      <c r="R931" s="3">
        <v>0</v>
      </c>
    </row>
    <row r="932" spans="1:18">
      <c r="A932" s="3" t="s">
        <v>7622</v>
      </c>
      <c r="B932" s="3" t="s">
        <v>7623</v>
      </c>
      <c r="C932" s="3" t="s">
        <v>170</v>
      </c>
      <c r="D932" s="3"/>
      <c r="E932" s="3" t="s">
        <v>6275</v>
      </c>
      <c r="F932" s="3"/>
      <c r="G932" s="3"/>
      <c r="H932" s="3"/>
      <c r="I932" s="3"/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/>
      <c r="P932" s="3">
        <v>0</v>
      </c>
      <c r="Q932" s="3">
        <v>0</v>
      </c>
      <c r="R932" s="3">
        <v>0</v>
      </c>
    </row>
    <row r="933" spans="1:18">
      <c r="A933" s="3" t="s">
        <v>7624</v>
      </c>
      <c r="B933" s="3" t="s">
        <v>7625</v>
      </c>
      <c r="C933" s="3" t="s">
        <v>158</v>
      </c>
      <c r="D933" s="3"/>
      <c r="E933" s="3" t="s">
        <v>6275</v>
      </c>
      <c r="F933" s="3"/>
      <c r="G933" s="3"/>
      <c r="H933" s="3"/>
      <c r="I933" s="3"/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/>
      <c r="P933" s="3">
        <v>0</v>
      </c>
      <c r="Q933" s="3">
        <v>0</v>
      </c>
      <c r="R933" s="3">
        <v>0</v>
      </c>
    </row>
    <row r="934" spans="1:18">
      <c r="A934" s="3" t="s">
        <v>7626</v>
      </c>
      <c r="B934" s="3" t="s">
        <v>7627</v>
      </c>
      <c r="C934" s="3" t="s">
        <v>222</v>
      </c>
      <c r="D934" s="3"/>
      <c r="E934" s="3" t="s">
        <v>6275</v>
      </c>
      <c r="F934" s="3"/>
      <c r="G934" s="3"/>
      <c r="H934" s="3"/>
      <c r="I934" s="3"/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/>
      <c r="P934" s="3">
        <v>0</v>
      </c>
      <c r="Q934" s="3">
        <v>0</v>
      </c>
      <c r="R934" s="3">
        <v>0</v>
      </c>
    </row>
    <row r="935" spans="1:18">
      <c r="A935" s="3" t="s">
        <v>7628</v>
      </c>
      <c r="B935" s="3" t="s">
        <v>7629</v>
      </c>
      <c r="C935" s="3" t="s">
        <v>214</v>
      </c>
      <c r="D935" s="3"/>
      <c r="E935" s="3" t="s">
        <v>6275</v>
      </c>
      <c r="F935" s="3"/>
      <c r="G935" s="3"/>
      <c r="H935" s="3"/>
      <c r="I935" s="3"/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/>
      <c r="P935" s="3">
        <v>0</v>
      </c>
      <c r="Q935" s="3">
        <v>0</v>
      </c>
      <c r="R935" s="3">
        <v>0</v>
      </c>
    </row>
    <row r="936" spans="1:18">
      <c r="A936" s="3" t="s">
        <v>7630</v>
      </c>
      <c r="B936" s="3" t="s">
        <v>7631</v>
      </c>
      <c r="C936" s="3" t="s">
        <v>206</v>
      </c>
      <c r="D936" s="3"/>
      <c r="E936" s="3" t="s">
        <v>6275</v>
      </c>
      <c r="F936" s="3"/>
      <c r="G936" s="3"/>
      <c r="H936" s="3"/>
      <c r="I936" s="3"/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/>
      <c r="P936" s="3">
        <v>0</v>
      </c>
      <c r="Q936" s="3">
        <v>0</v>
      </c>
      <c r="R936" s="3">
        <v>0</v>
      </c>
    </row>
    <row r="937" spans="1:18">
      <c r="A937" s="3" t="s">
        <v>7632</v>
      </c>
      <c r="B937" s="3" t="s">
        <v>7633</v>
      </c>
      <c r="C937" s="3" t="s">
        <v>154</v>
      </c>
      <c r="D937" s="3"/>
      <c r="E937" s="3" t="s">
        <v>6275</v>
      </c>
      <c r="F937" s="3"/>
      <c r="G937" s="3"/>
      <c r="H937" s="3"/>
      <c r="I937" s="3"/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/>
      <c r="P937" s="3">
        <v>0</v>
      </c>
      <c r="Q937" s="3">
        <v>0</v>
      </c>
      <c r="R937" s="3">
        <v>0</v>
      </c>
    </row>
    <row r="938" spans="1:18">
      <c r="A938" s="3" t="s">
        <v>7634</v>
      </c>
      <c r="B938" s="3" t="s">
        <v>7635</v>
      </c>
      <c r="C938" s="3" t="s">
        <v>3807</v>
      </c>
      <c r="D938" s="3"/>
      <c r="E938" s="3" t="s">
        <v>6275</v>
      </c>
      <c r="F938" s="3"/>
      <c r="G938" s="3"/>
      <c r="H938" s="3"/>
      <c r="I938" s="3"/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/>
      <c r="P938" s="3">
        <v>0</v>
      </c>
      <c r="Q938" s="3">
        <v>0</v>
      </c>
      <c r="R938" s="3">
        <v>0</v>
      </c>
    </row>
    <row r="939" spans="1:18">
      <c r="A939" s="3" t="s">
        <v>7636</v>
      </c>
      <c r="B939" s="3" t="s">
        <v>7637</v>
      </c>
      <c r="C939" s="3" t="s">
        <v>150</v>
      </c>
      <c r="D939" s="3"/>
      <c r="E939" s="3" t="s">
        <v>6275</v>
      </c>
      <c r="F939" s="3"/>
      <c r="G939" s="3"/>
      <c r="H939" s="3"/>
      <c r="I939" s="3"/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/>
      <c r="P939" s="3">
        <v>0</v>
      </c>
      <c r="Q939" s="3">
        <v>0</v>
      </c>
      <c r="R939" s="3">
        <v>0</v>
      </c>
    </row>
    <row r="940" spans="1:18">
      <c r="A940" s="3" t="s">
        <v>7638</v>
      </c>
      <c r="B940" s="3" t="s">
        <v>7639</v>
      </c>
      <c r="C940" s="3" t="s">
        <v>3071</v>
      </c>
      <c r="D940" s="3"/>
      <c r="E940" s="3" t="s">
        <v>6275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7640</v>
      </c>
      <c r="B941" s="3" t="s">
        <v>7641</v>
      </c>
      <c r="C941" s="3" t="s">
        <v>7642</v>
      </c>
      <c r="D941" s="3" t="s">
        <v>7643</v>
      </c>
      <c r="E941" s="3" t="s">
        <v>1710</v>
      </c>
      <c r="F941" s="3">
        <v>35</v>
      </c>
      <c r="G941" s="3" t="s">
        <v>6233</v>
      </c>
      <c r="H941" s="3"/>
      <c r="I941" s="3" t="s">
        <v>6234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</row>
    <row r="942" spans="1:18">
      <c r="A942" s="3" t="s">
        <v>2674</v>
      </c>
      <c r="B942" s="3" t="s">
        <v>2675</v>
      </c>
      <c r="C942" s="3" t="s">
        <v>2676</v>
      </c>
      <c r="D942" s="3" t="s">
        <v>2677</v>
      </c>
      <c r="E942" s="3" t="s">
        <v>1710</v>
      </c>
      <c r="F942" s="3">
        <v>28.99</v>
      </c>
      <c r="G942" s="3" t="s">
        <v>6233</v>
      </c>
      <c r="H942" s="3"/>
      <c r="I942" s="3" t="s">
        <v>6234</v>
      </c>
      <c r="J942" s="3">
        <v>11</v>
      </c>
      <c r="K942" s="3">
        <v>11</v>
      </c>
      <c r="L942" s="3">
        <v>0</v>
      </c>
      <c r="M942" s="3">
        <v>0</v>
      </c>
      <c r="N942" s="3">
        <v>11</v>
      </c>
      <c r="O942" s="3">
        <v>0.02</v>
      </c>
      <c r="P942" s="3">
        <v>0</v>
      </c>
      <c r="Q942" s="3">
        <v>0</v>
      </c>
      <c r="R942" s="3">
        <v>0</v>
      </c>
    </row>
    <row r="943" spans="1:18">
      <c r="A943" s="3" t="s">
        <v>140</v>
      </c>
      <c r="B943" s="3" t="s">
        <v>141</v>
      </c>
      <c r="C943" s="3" t="s">
        <v>142</v>
      </c>
      <c r="D943" s="3" t="s">
        <v>143</v>
      </c>
      <c r="E943" s="3" t="s">
        <v>1710</v>
      </c>
      <c r="F943" s="3">
        <v>28.99</v>
      </c>
      <c r="G943" s="3" t="s">
        <v>6233</v>
      </c>
      <c r="H943" s="3"/>
      <c r="I943" s="3" t="s">
        <v>6234</v>
      </c>
      <c r="J943" s="3">
        <v>9</v>
      </c>
      <c r="K943" s="3">
        <v>7</v>
      </c>
      <c r="L943" s="3">
        <v>0</v>
      </c>
      <c r="M943" s="3">
        <v>2</v>
      </c>
      <c r="N943" s="3">
        <v>9</v>
      </c>
      <c r="O943" s="3">
        <v>0.02</v>
      </c>
      <c r="P943" s="3">
        <v>0</v>
      </c>
      <c r="Q943" s="3">
        <v>0</v>
      </c>
      <c r="R943" s="3">
        <v>0</v>
      </c>
    </row>
    <row r="944" spans="1:18">
      <c r="A944" s="3" t="s">
        <v>5463</v>
      </c>
      <c r="B944" s="3" t="s">
        <v>5464</v>
      </c>
      <c r="C944" s="3" t="s">
        <v>5465</v>
      </c>
      <c r="D944" s="3" t="s">
        <v>5466</v>
      </c>
      <c r="E944" s="3" t="s">
        <v>1710</v>
      </c>
      <c r="F944" s="3">
        <v>28.99</v>
      </c>
      <c r="G944" s="3" t="s">
        <v>6233</v>
      </c>
      <c r="H944" s="3"/>
      <c r="I944" s="3" t="s">
        <v>6234</v>
      </c>
      <c r="J944" s="3">
        <v>7</v>
      </c>
      <c r="K944" s="3">
        <v>6</v>
      </c>
      <c r="L944" s="3">
        <v>1</v>
      </c>
      <c r="M944" s="3">
        <v>0</v>
      </c>
      <c r="N944" s="3">
        <v>7</v>
      </c>
      <c r="O944" s="3">
        <v>0.02</v>
      </c>
      <c r="P944" s="3">
        <v>0</v>
      </c>
      <c r="Q944" s="3">
        <v>0</v>
      </c>
      <c r="R944" s="3">
        <v>0</v>
      </c>
    </row>
    <row r="945" spans="1:18">
      <c r="A945" s="3" t="s">
        <v>5341</v>
      </c>
      <c r="B945" s="3" t="s">
        <v>5342</v>
      </c>
      <c r="C945" s="3" t="s">
        <v>5343</v>
      </c>
      <c r="D945" s="3" t="s">
        <v>5344</v>
      </c>
      <c r="E945" s="3" t="s">
        <v>1710</v>
      </c>
      <c r="F945" s="3">
        <v>28.99</v>
      </c>
      <c r="G945" s="3" t="s">
        <v>6233</v>
      </c>
      <c r="H945" s="3"/>
      <c r="I945" s="3" t="s">
        <v>6234</v>
      </c>
      <c r="J945" s="3">
        <v>9</v>
      </c>
      <c r="K945" s="3">
        <v>9</v>
      </c>
      <c r="L945" s="3">
        <v>0</v>
      </c>
      <c r="M945" s="3">
        <v>0</v>
      </c>
      <c r="N945" s="3">
        <v>9</v>
      </c>
      <c r="O945" s="3">
        <v>0.02</v>
      </c>
      <c r="P945" s="3">
        <v>0</v>
      </c>
      <c r="Q945" s="3">
        <v>0</v>
      </c>
      <c r="R945" s="3">
        <v>0</v>
      </c>
    </row>
    <row r="946" spans="1:18">
      <c r="A946" s="3" t="s">
        <v>7644</v>
      </c>
      <c r="B946" s="3" t="s">
        <v>7645</v>
      </c>
      <c r="C946" s="3" t="s">
        <v>7646</v>
      </c>
      <c r="D946" s="3" t="s">
        <v>7647</v>
      </c>
      <c r="E946" s="3" t="s">
        <v>1710</v>
      </c>
      <c r="F946" s="3">
        <v>28.99</v>
      </c>
      <c r="G946" s="3" t="s">
        <v>6233</v>
      </c>
      <c r="H946" s="3"/>
      <c r="I946" s="3" t="s">
        <v>6234</v>
      </c>
      <c r="J946" s="3">
        <v>1</v>
      </c>
      <c r="K946" s="3">
        <v>0</v>
      </c>
      <c r="L946" s="3">
        <v>1</v>
      </c>
      <c r="M946" s="3">
        <v>0</v>
      </c>
      <c r="N946" s="3">
        <v>1</v>
      </c>
      <c r="O946" s="3">
        <v>0.02</v>
      </c>
      <c r="P946" s="3">
        <v>0</v>
      </c>
      <c r="Q946" s="3">
        <v>0</v>
      </c>
      <c r="R946" s="3">
        <v>0</v>
      </c>
    </row>
    <row r="947" spans="1:18">
      <c r="A947" s="3" t="s">
        <v>7648</v>
      </c>
      <c r="B947" s="3" t="s">
        <v>7649</v>
      </c>
      <c r="C947" s="3" t="s">
        <v>7650</v>
      </c>
      <c r="D947" s="3" t="s">
        <v>7651</v>
      </c>
      <c r="E947" s="3" t="s">
        <v>1710</v>
      </c>
      <c r="F947" s="3">
        <v>28.99</v>
      </c>
      <c r="G947" s="3" t="s">
        <v>6233</v>
      </c>
      <c r="H947" s="3"/>
      <c r="I947" s="3" t="s">
        <v>6234</v>
      </c>
      <c r="J947" s="3">
        <v>1</v>
      </c>
      <c r="K947" s="3">
        <v>1</v>
      </c>
      <c r="L947" s="3">
        <v>0</v>
      </c>
      <c r="M947" s="3">
        <v>0</v>
      </c>
      <c r="N947" s="3">
        <v>1</v>
      </c>
      <c r="O947" s="3">
        <v>0.02</v>
      </c>
      <c r="P947" s="3">
        <v>0</v>
      </c>
      <c r="Q947" s="3">
        <v>0</v>
      </c>
      <c r="R947" s="3">
        <v>0</v>
      </c>
    </row>
    <row r="948" spans="1:18">
      <c r="A948" s="3" t="s">
        <v>5423</v>
      </c>
      <c r="B948" s="3" t="s">
        <v>5424</v>
      </c>
      <c r="C948" s="3" t="s">
        <v>5425</v>
      </c>
      <c r="D948" s="3" t="s">
        <v>5426</v>
      </c>
      <c r="E948" s="3" t="s">
        <v>1710</v>
      </c>
      <c r="F948" s="3">
        <v>28.99</v>
      </c>
      <c r="G948" s="3" t="s">
        <v>6233</v>
      </c>
      <c r="H948" s="3"/>
      <c r="I948" s="3" t="s">
        <v>6234</v>
      </c>
      <c r="J948" s="3">
        <v>15</v>
      </c>
      <c r="K948" s="3">
        <v>15</v>
      </c>
      <c r="L948" s="3">
        <v>0</v>
      </c>
      <c r="M948" s="3">
        <v>0</v>
      </c>
      <c r="N948" s="3">
        <v>15</v>
      </c>
      <c r="O948" s="3">
        <v>0.02</v>
      </c>
      <c r="P948" s="3">
        <v>0</v>
      </c>
      <c r="Q948" s="3">
        <v>0</v>
      </c>
      <c r="R948" s="3">
        <v>0</v>
      </c>
    </row>
    <row r="949" spans="1:18">
      <c r="A949" s="3" t="s">
        <v>144</v>
      </c>
      <c r="B949" s="3" t="s">
        <v>145</v>
      </c>
      <c r="C949" s="3" t="s">
        <v>146</v>
      </c>
      <c r="D949" s="3" t="s">
        <v>147</v>
      </c>
      <c r="E949" s="3" t="s">
        <v>1710</v>
      </c>
      <c r="F949" s="3">
        <v>28.99</v>
      </c>
      <c r="G949" s="3" t="s">
        <v>6233</v>
      </c>
      <c r="H949" s="3"/>
      <c r="I949" s="3" t="s">
        <v>6234</v>
      </c>
      <c r="J949" s="3">
        <v>10</v>
      </c>
      <c r="K949" s="3">
        <v>9</v>
      </c>
      <c r="L949" s="3">
        <v>0</v>
      </c>
      <c r="M949" s="3">
        <v>1</v>
      </c>
      <c r="N949" s="3">
        <v>15</v>
      </c>
      <c r="O949" s="3">
        <v>0.02</v>
      </c>
      <c r="P949" s="3">
        <v>0</v>
      </c>
      <c r="Q949" s="3">
        <v>5</v>
      </c>
      <c r="R949" s="3">
        <v>0</v>
      </c>
    </row>
    <row r="950" spans="1:18">
      <c r="A950" s="3" t="s">
        <v>136</v>
      </c>
      <c r="B950" s="3" t="s">
        <v>137</v>
      </c>
      <c r="C950" s="3" t="s">
        <v>138</v>
      </c>
      <c r="D950" s="3" t="s">
        <v>139</v>
      </c>
      <c r="E950" s="3" t="s">
        <v>1710</v>
      </c>
      <c r="F950" s="3">
        <v>28.99</v>
      </c>
      <c r="G950" s="3" t="s">
        <v>6233</v>
      </c>
      <c r="H950" s="3"/>
      <c r="I950" s="3" t="s">
        <v>6234</v>
      </c>
      <c r="J950" s="3">
        <v>38</v>
      </c>
      <c r="K950" s="3">
        <v>35</v>
      </c>
      <c r="L950" s="3">
        <v>0</v>
      </c>
      <c r="M950" s="3">
        <v>3</v>
      </c>
      <c r="N950" s="3">
        <v>38</v>
      </c>
      <c r="O950" s="3">
        <v>0.02</v>
      </c>
      <c r="P950" s="3">
        <v>0</v>
      </c>
      <c r="Q950" s="3">
        <v>0</v>
      </c>
      <c r="R950" s="3">
        <v>0</v>
      </c>
    </row>
    <row r="951" spans="1:18">
      <c r="A951" s="3" t="s">
        <v>128</v>
      </c>
      <c r="B951" s="3" t="s">
        <v>129</v>
      </c>
      <c r="C951" s="3" t="s">
        <v>130</v>
      </c>
      <c r="D951" s="3" t="s">
        <v>131</v>
      </c>
      <c r="E951" s="3" t="s">
        <v>1710</v>
      </c>
      <c r="F951" s="3">
        <v>28.99</v>
      </c>
      <c r="G951" s="3" t="s">
        <v>6233</v>
      </c>
      <c r="H951" s="3"/>
      <c r="I951" s="3" t="s">
        <v>6234</v>
      </c>
      <c r="J951" s="3">
        <v>8</v>
      </c>
      <c r="K951" s="3">
        <v>7</v>
      </c>
      <c r="L951" s="3">
        <v>0</v>
      </c>
      <c r="M951" s="3">
        <v>1</v>
      </c>
      <c r="N951" s="3">
        <v>18</v>
      </c>
      <c r="O951" s="3">
        <v>0.02</v>
      </c>
      <c r="P951" s="3">
        <v>0</v>
      </c>
      <c r="Q951" s="3">
        <v>10</v>
      </c>
      <c r="R951" s="3">
        <v>0</v>
      </c>
    </row>
    <row r="952" spans="1:18">
      <c r="A952" s="3" t="s">
        <v>132</v>
      </c>
      <c r="B952" s="3" t="s">
        <v>133</v>
      </c>
      <c r="C952" s="3" t="s">
        <v>134</v>
      </c>
      <c r="D952" s="3" t="s">
        <v>135</v>
      </c>
      <c r="E952" s="3" t="s">
        <v>1710</v>
      </c>
      <c r="F952" s="3">
        <v>28.99</v>
      </c>
      <c r="G952" s="3" t="s">
        <v>6233</v>
      </c>
      <c r="H952" s="3"/>
      <c r="I952" s="3" t="s">
        <v>6234</v>
      </c>
      <c r="J952" s="3">
        <v>3</v>
      </c>
      <c r="K952" s="3">
        <v>0</v>
      </c>
      <c r="L952" s="3">
        <v>0</v>
      </c>
      <c r="M952" s="3">
        <v>3</v>
      </c>
      <c r="N952" s="3">
        <v>3</v>
      </c>
      <c r="O952" s="3">
        <v>0.02</v>
      </c>
      <c r="P952" s="3">
        <v>0</v>
      </c>
      <c r="Q952" s="3">
        <v>0</v>
      </c>
      <c r="R952" s="3">
        <v>0</v>
      </c>
    </row>
    <row r="953" spans="1:18">
      <c r="A953" s="3" t="s">
        <v>5471</v>
      </c>
      <c r="B953" s="3" t="s">
        <v>5472</v>
      </c>
      <c r="C953" s="3" t="s">
        <v>5473</v>
      </c>
      <c r="D953" s="3" t="s">
        <v>5474</v>
      </c>
      <c r="E953" s="3" t="s">
        <v>1710</v>
      </c>
      <c r="F953" s="3">
        <v>28.99</v>
      </c>
      <c r="G953" s="3" t="s">
        <v>6233</v>
      </c>
      <c r="H953" s="3"/>
      <c r="I953" s="3" t="s">
        <v>6234</v>
      </c>
      <c r="J953" s="3">
        <v>32</v>
      </c>
      <c r="K953" s="3">
        <v>32</v>
      </c>
      <c r="L953" s="3">
        <v>0</v>
      </c>
      <c r="M953" s="3">
        <v>0</v>
      </c>
      <c r="N953" s="3">
        <v>36</v>
      </c>
      <c r="O953" s="3">
        <v>0.02</v>
      </c>
      <c r="P953" s="3">
        <v>0</v>
      </c>
      <c r="Q953" s="3">
        <v>4</v>
      </c>
      <c r="R953" s="3">
        <v>0</v>
      </c>
    </row>
    <row r="954" spans="1:18">
      <c r="A954" s="3" t="s">
        <v>244</v>
      </c>
      <c r="B954" s="3" t="s">
        <v>245</v>
      </c>
      <c r="C954" s="3" t="s">
        <v>246</v>
      </c>
      <c r="D954" s="3" t="s">
        <v>247</v>
      </c>
      <c r="E954" s="3" t="s">
        <v>1710</v>
      </c>
      <c r="F954" s="3">
        <v>28.99</v>
      </c>
      <c r="G954" s="3" t="s">
        <v>6233</v>
      </c>
      <c r="H954" s="3"/>
      <c r="I954" s="3" t="s">
        <v>6234</v>
      </c>
      <c r="J954" s="3">
        <v>5</v>
      </c>
      <c r="K954" s="3">
        <v>3</v>
      </c>
      <c r="L954" s="3">
        <v>0</v>
      </c>
      <c r="M954" s="3">
        <v>2</v>
      </c>
      <c r="N954" s="3">
        <v>15</v>
      </c>
      <c r="O954" s="3">
        <v>0.02</v>
      </c>
      <c r="P954" s="3">
        <v>0</v>
      </c>
      <c r="Q954" s="3">
        <v>10</v>
      </c>
      <c r="R954" s="3">
        <v>0</v>
      </c>
    </row>
    <row r="955" spans="1:18">
      <c r="A955" s="3" t="s">
        <v>184</v>
      </c>
      <c r="B955" s="3" t="s">
        <v>185</v>
      </c>
      <c r="C955" s="3" t="s">
        <v>186</v>
      </c>
      <c r="D955" s="3" t="s">
        <v>187</v>
      </c>
      <c r="E955" s="3" t="s">
        <v>1710</v>
      </c>
      <c r="F955" s="3">
        <v>28.99</v>
      </c>
      <c r="G955" s="3" t="s">
        <v>6233</v>
      </c>
      <c r="H955" s="3"/>
      <c r="I955" s="3" t="s">
        <v>6234</v>
      </c>
      <c r="J955" s="3">
        <v>43</v>
      </c>
      <c r="K955" s="3">
        <v>40</v>
      </c>
      <c r="L955" s="3">
        <v>1</v>
      </c>
      <c r="M955" s="3">
        <v>2</v>
      </c>
      <c r="N955" s="3">
        <v>124</v>
      </c>
      <c r="O955" s="3">
        <v>0.02</v>
      </c>
      <c r="P955" s="3">
        <v>0</v>
      </c>
      <c r="Q955" s="3">
        <v>81</v>
      </c>
      <c r="R955" s="3">
        <v>0</v>
      </c>
    </row>
    <row r="956" spans="1:18">
      <c r="A956" s="3" t="s">
        <v>176</v>
      </c>
      <c r="B956" s="3" t="s">
        <v>177</v>
      </c>
      <c r="C956" s="3" t="s">
        <v>178</v>
      </c>
      <c r="D956" s="3" t="s">
        <v>179</v>
      </c>
      <c r="E956" s="3" t="s">
        <v>1710</v>
      </c>
      <c r="F956" s="3">
        <v>28.99</v>
      </c>
      <c r="G956" s="3" t="s">
        <v>6233</v>
      </c>
      <c r="H956" s="3"/>
      <c r="I956" s="3" t="s">
        <v>6234</v>
      </c>
      <c r="J956" s="3">
        <v>114</v>
      </c>
      <c r="K956" s="3">
        <v>61</v>
      </c>
      <c r="L956" s="3">
        <v>0</v>
      </c>
      <c r="M956" s="3">
        <v>53</v>
      </c>
      <c r="N956" s="3">
        <v>248</v>
      </c>
      <c r="O956" s="3">
        <v>0.02</v>
      </c>
      <c r="P956" s="3">
        <v>0</v>
      </c>
      <c r="Q956" s="3">
        <v>134</v>
      </c>
      <c r="R956" s="3">
        <v>0</v>
      </c>
    </row>
    <row r="957" spans="1:18">
      <c r="A957" s="3" t="s">
        <v>4775</v>
      </c>
      <c r="B957" s="3" t="s">
        <v>4776</v>
      </c>
      <c r="C957" s="3" t="s">
        <v>4777</v>
      </c>
      <c r="D957" s="3" t="s">
        <v>4778</v>
      </c>
      <c r="E957" s="3" t="s">
        <v>1710</v>
      </c>
      <c r="F957" s="3">
        <v>28.99</v>
      </c>
      <c r="G957" s="3" t="s">
        <v>6233</v>
      </c>
      <c r="H957" s="3"/>
      <c r="I957" s="3" t="s">
        <v>6234</v>
      </c>
      <c r="J957" s="3">
        <v>1</v>
      </c>
      <c r="K957" s="3">
        <v>0</v>
      </c>
      <c r="L957" s="3">
        <v>1</v>
      </c>
      <c r="M957" s="3">
        <v>0</v>
      </c>
      <c r="N957" s="3">
        <v>121</v>
      </c>
      <c r="O957" s="3">
        <v>0.02</v>
      </c>
      <c r="P957" s="3">
        <v>0</v>
      </c>
      <c r="Q957" s="3">
        <v>120</v>
      </c>
      <c r="R957" s="3">
        <v>0</v>
      </c>
    </row>
    <row r="958" spans="1:18">
      <c r="A958" s="3" t="s">
        <v>240</v>
      </c>
      <c r="B958" s="3" t="s">
        <v>241</v>
      </c>
      <c r="C958" s="3" t="s">
        <v>242</v>
      </c>
      <c r="D958" s="3" t="s">
        <v>243</v>
      </c>
      <c r="E958" s="3" t="s">
        <v>1710</v>
      </c>
      <c r="F958" s="3">
        <v>28.99</v>
      </c>
      <c r="G958" s="3" t="s">
        <v>6233</v>
      </c>
      <c r="H958" s="3"/>
      <c r="I958" s="3" t="s">
        <v>6234</v>
      </c>
      <c r="J958" s="3">
        <v>3</v>
      </c>
      <c r="K958" s="3">
        <v>0</v>
      </c>
      <c r="L958" s="3">
        <v>1</v>
      </c>
      <c r="M958" s="3">
        <v>2</v>
      </c>
      <c r="N958" s="3">
        <v>131</v>
      </c>
      <c r="O958" s="3">
        <v>0.02</v>
      </c>
      <c r="P958" s="3">
        <v>0</v>
      </c>
      <c r="Q958" s="3">
        <v>128</v>
      </c>
      <c r="R958" s="3">
        <v>0</v>
      </c>
    </row>
    <row r="959" spans="1:18">
      <c r="A959" s="3" t="s">
        <v>188</v>
      </c>
      <c r="B959" s="3" t="s">
        <v>189</v>
      </c>
      <c r="C959" s="3" t="s">
        <v>190</v>
      </c>
      <c r="D959" s="3" t="s">
        <v>191</v>
      </c>
      <c r="E959" s="3" t="s">
        <v>1710</v>
      </c>
      <c r="F959" s="3">
        <v>28.99</v>
      </c>
      <c r="G959" s="3" t="s">
        <v>6233</v>
      </c>
      <c r="H959" s="3"/>
      <c r="I959" s="3" t="s">
        <v>6234</v>
      </c>
      <c r="J959" s="3">
        <v>72</v>
      </c>
      <c r="K959" s="3">
        <v>38</v>
      </c>
      <c r="L959" s="3">
        <v>3</v>
      </c>
      <c r="M959" s="3">
        <v>31</v>
      </c>
      <c r="N959" s="3">
        <v>170</v>
      </c>
      <c r="O959" s="3">
        <v>0.07</v>
      </c>
      <c r="P959" s="3">
        <v>0</v>
      </c>
      <c r="Q959" s="3">
        <v>98</v>
      </c>
      <c r="R959" s="3">
        <v>0</v>
      </c>
    </row>
    <row r="960" spans="1:18">
      <c r="A960" s="3" t="s">
        <v>196</v>
      </c>
      <c r="B960" s="3" t="s">
        <v>197</v>
      </c>
      <c r="C960" s="3" t="s">
        <v>198</v>
      </c>
      <c r="D960" s="3" t="s">
        <v>199</v>
      </c>
      <c r="E960" s="3" t="s">
        <v>1710</v>
      </c>
      <c r="F960" s="3">
        <v>28.99</v>
      </c>
      <c r="G960" s="3" t="s">
        <v>6233</v>
      </c>
      <c r="H960" s="3"/>
      <c r="I960" s="3" t="s">
        <v>6234</v>
      </c>
      <c r="J960" s="3">
        <v>68</v>
      </c>
      <c r="K960" s="3">
        <v>58</v>
      </c>
      <c r="L960" s="3">
        <v>0</v>
      </c>
      <c r="M960" s="3">
        <v>10</v>
      </c>
      <c r="N960" s="3">
        <v>158</v>
      </c>
      <c r="O960" s="3">
        <v>0.02</v>
      </c>
      <c r="P960" s="3">
        <v>0</v>
      </c>
      <c r="Q960" s="3">
        <v>90</v>
      </c>
      <c r="R960" s="3">
        <v>0</v>
      </c>
    </row>
    <row r="961" spans="1:18">
      <c r="A961" s="3" t="s">
        <v>200</v>
      </c>
      <c r="B961" s="3" t="s">
        <v>201</v>
      </c>
      <c r="C961" s="3" t="s">
        <v>202</v>
      </c>
      <c r="D961" s="3" t="s">
        <v>203</v>
      </c>
      <c r="E961" s="3" t="s">
        <v>1710</v>
      </c>
      <c r="F961" s="3">
        <v>14.99</v>
      </c>
      <c r="G961" s="3" t="s">
        <v>6233</v>
      </c>
      <c r="H961" s="3"/>
      <c r="I961" s="3" t="s">
        <v>6234</v>
      </c>
      <c r="J961" s="3">
        <v>19</v>
      </c>
      <c r="K961" s="3">
        <v>16</v>
      </c>
      <c r="L961" s="3">
        <v>0</v>
      </c>
      <c r="M961" s="3">
        <v>3</v>
      </c>
      <c r="N961" s="3">
        <v>19</v>
      </c>
      <c r="O961" s="3">
        <v>0.02</v>
      </c>
      <c r="P961" s="3">
        <v>0</v>
      </c>
      <c r="Q961" s="3">
        <v>0</v>
      </c>
      <c r="R961" s="3">
        <v>0</v>
      </c>
    </row>
    <row r="962" spans="1:18">
      <c r="A962" s="3" t="s">
        <v>4430</v>
      </c>
      <c r="B962" s="3" t="s">
        <v>4431</v>
      </c>
      <c r="C962" s="3" t="s">
        <v>4432</v>
      </c>
      <c r="D962" s="3" t="s">
        <v>4433</v>
      </c>
      <c r="E962" s="3" t="s">
        <v>1710</v>
      </c>
      <c r="F962" s="3">
        <v>14.99</v>
      </c>
      <c r="G962" s="3" t="s">
        <v>6233</v>
      </c>
      <c r="H962" s="3"/>
      <c r="I962" s="3" t="s">
        <v>6234</v>
      </c>
      <c r="J962" s="3">
        <v>28</v>
      </c>
      <c r="K962" s="3">
        <v>28</v>
      </c>
      <c r="L962" s="3">
        <v>0</v>
      </c>
      <c r="M962" s="3">
        <v>0</v>
      </c>
      <c r="N962" s="3">
        <v>28</v>
      </c>
      <c r="O962" s="3">
        <v>0.02</v>
      </c>
      <c r="P962" s="3">
        <v>0</v>
      </c>
      <c r="Q962" s="3">
        <v>0</v>
      </c>
      <c r="R962" s="3">
        <v>0</v>
      </c>
    </row>
    <row r="963" spans="1:18">
      <c r="A963" s="3" t="s">
        <v>236</v>
      </c>
      <c r="B963" s="3" t="s">
        <v>237</v>
      </c>
      <c r="C963" s="3" t="s">
        <v>238</v>
      </c>
      <c r="D963" s="3" t="s">
        <v>239</v>
      </c>
      <c r="E963" s="3" t="s">
        <v>1710</v>
      </c>
      <c r="F963" s="3">
        <v>14.99</v>
      </c>
      <c r="G963" s="3" t="s">
        <v>6233</v>
      </c>
      <c r="H963" s="3"/>
      <c r="I963" s="3" t="s">
        <v>6234</v>
      </c>
      <c r="J963" s="3">
        <v>16</v>
      </c>
      <c r="K963" s="3">
        <v>15</v>
      </c>
      <c r="L963" s="3">
        <v>0</v>
      </c>
      <c r="M963" s="3">
        <v>1</v>
      </c>
      <c r="N963" s="3">
        <v>16</v>
      </c>
      <c r="O963" s="3">
        <v>0.02</v>
      </c>
      <c r="P963" s="3">
        <v>0</v>
      </c>
      <c r="Q963" s="3">
        <v>0</v>
      </c>
      <c r="R963" s="3">
        <v>0</v>
      </c>
    </row>
    <row r="964" spans="1:18">
      <c r="A964" s="3" t="s">
        <v>5919</v>
      </c>
      <c r="B964" s="3" t="s">
        <v>5920</v>
      </c>
      <c r="C964" s="3" t="s">
        <v>5921</v>
      </c>
      <c r="D964" s="3" t="s">
        <v>5922</v>
      </c>
      <c r="E964" s="3" t="s">
        <v>1710</v>
      </c>
      <c r="F964" s="3">
        <v>14.99</v>
      </c>
      <c r="G964" s="3" t="s">
        <v>6233</v>
      </c>
      <c r="H964" s="3"/>
      <c r="I964" s="3" t="s">
        <v>6234</v>
      </c>
      <c r="J964" s="3">
        <v>20</v>
      </c>
      <c r="K964" s="3">
        <v>20</v>
      </c>
      <c r="L964" s="3">
        <v>0</v>
      </c>
      <c r="M964" s="3">
        <v>0</v>
      </c>
      <c r="N964" s="3">
        <v>20</v>
      </c>
      <c r="O964" s="3">
        <v>0.02</v>
      </c>
      <c r="P964" s="3">
        <v>0</v>
      </c>
      <c r="Q964" s="3">
        <v>0</v>
      </c>
      <c r="R964" s="3">
        <v>0</v>
      </c>
    </row>
    <row r="965" spans="1:18">
      <c r="A965" s="3" t="s">
        <v>4511</v>
      </c>
      <c r="B965" s="3" t="s">
        <v>4512</v>
      </c>
      <c r="C965" s="3" t="s">
        <v>4513</v>
      </c>
      <c r="D965" s="3" t="s">
        <v>4514</v>
      </c>
      <c r="E965" s="3" t="s">
        <v>1710</v>
      </c>
      <c r="F965" s="3">
        <v>14.99</v>
      </c>
      <c r="G965" s="3" t="s">
        <v>6233</v>
      </c>
      <c r="H965" s="3"/>
      <c r="I965" s="3" t="s">
        <v>6234</v>
      </c>
      <c r="J965" s="3">
        <v>23</v>
      </c>
      <c r="K965" s="3">
        <v>23</v>
      </c>
      <c r="L965" s="3">
        <v>0</v>
      </c>
      <c r="M965" s="3">
        <v>0</v>
      </c>
      <c r="N965" s="3">
        <v>23</v>
      </c>
      <c r="O965" s="3">
        <v>0.02</v>
      </c>
      <c r="P965" s="3">
        <v>0</v>
      </c>
      <c r="Q965" s="3">
        <v>0</v>
      </c>
      <c r="R965" s="3">
        <v>0</v>
      </c>
    </row>
    <row r="966" spans="1:18">
      <c r="A966" s="3" t="s">
        <v>3040</v>
      </c>
      <c r="B966" s="3" t="s">
        <v>3041</v>
      </c>
      <c r="C966" s="3" t="s">
        <v>3042</v>
      </c>
      <c r="D966" s="3" t="s">
        <v>3043</v>
      </c>
      <c r="E966" s="3" t="s">
        <v>1710</v>
      </c>
      <c r="F966" s="3">
        <v>14.99</v>
      </c>
      <c r="G966" s="3" t="s">
        <v>6233</v>
      </c>
      <c r="H966" s="3"/>
      <c r="I966" s="3" t="s">
        <v>6234</v>
      </c>
      <c r="J966" s="3">
        <v>25</v>
      </c>
      <c r="K966" s="3">
        <v>25</v>
      </c>
      <c r="L966" s="3">
        <v>0</v>
      </c>
      <c r="M966" s="3">
        <v>0</v>
      </c>
      <c r="N966" s="3">
        <v>25</v>
      </c>
      <c r="O966" s="3">
        <v>0.02</v>
      </c>
      <c r="P966" s="3">
        <v>0</v>
      </c>
      <c r="Q966" s="3">
        <v>0</v>
      </c>
      <c r="R966" s="3">
        <v>0</v>
      </c>
    </row>
    <row r="967" spans="1:18">
      <c r="A967" s="3" t="s">
        <v>224</v>
      </c>
      <c r="B967" s="3" t="s">
        <v>225</v>
      </c>
      <c r="C967" s="3" t="s">
        <v>226</v>
      </c>
      <c r="D967" s="3" t="s">
        <v>227</v>
      </c>
      <c r="E967" s="3" t="s">
        <v>1710</v>
      </c>
      <c r="F967" s="3">
        <v>14.99</v>
      </c>
      <c r="G967" s="3" t="s">
        <v>6233</v>
      </c>
      <c r="H967" s="3"/>
      <c r="I967" s="3" t="s">
        <v>6234</v>
      </c>
      <c r="J967" s="3">
        <v>29</v>
      </c>
      <c r="K967" s="3">
        <v>28</v>
      </c>
      <c r="L967" s="3">
        <v>0</v>
      </c>
      <c r="M967" s="3">
        <v>1</v>
      </c>
      <c r="N967" s="3">
        <v>29</v>
      </c>
      <c r="O967" s="3">
        <v>0.02</v>
      </c>
      <c r="P967" s="3">
        <v>0</v>
      </c>
      <c r="Q967" s="3">
        <v>0</v>
      </c>
      <c r="R967" s="3">
        <v>0</v>
      </c>
    </row>
    <row r="968" spans="1:18">
      <c r="A968" s="3" t="s">
        <v>228</v>
      </c>
      <c r="B968" s="3" t="s">
        <v>229</v>
      </c>
      <c r="C968" s="3" t="s">
        <v>230</v>
      </c>
      <c r="D968" s="3" t="s">
        <v>231</v>
      </c>
      <c r="E968" s="3" t="s">
        <v>1710</v>
      </c>
      <c r="F968" s="3">
        <v>14.99</v>
      </c>
      <c r="G968" s="3" t="s">
        <v>6233</v>
      </c>
      <c r="H968" s="3"/>
      <c r="I968" s="3" t="s">
        <v>6234</v>
      </c>
      <c r="J968" s="3">
        <v>30</v>
      </c>
      <c r="K968" s="3">
        <v>29</v>
      </c>
      <c r="L968" s="3">
        <v>0</v>
      </c>
      <c r="M968" s="3">
        <v>1</v>
      </c>
      <c r="N968" s="3">
        <v>30</v>
      </c>
      <c r="O968" s="3">
        <v>0.02</v>
      </c>
      <c r="P968" s="3">
        <v>0</v>
      </c>
      <c r="Q968" s="3">
        <v>0</v>
      </c>
      <c r="R968" s="3">
        <v>0</v>
      </c>
    </row>
    <row r="969" spans="1:18">
      <c r="A969" s="3" t="s">
        <v>7652</v>
      </c>
      <c r="B969" s="3" t="s">
        <v>7653</v>
      </c>
      <c r="C969" s="3" t="s">
        <v>7654</v>
      </c>
      <c r="D969" s="3" t="s">
        <v>7655</v>
      </c>
      <c r="E969" s="3" t="s">
        <v>1710</v>
      </c>
      <c r="F969" s="3">
        <v>14.99</v>
      </c>
      <c r="G969" s="3" t="s">
        <v>6233</v>
      </c>
      <c r="H969" s="3"/>
      <c r="I969" s="3" t="s">
        <v>6234</v>
      </c>
      <c r="J969" s="3">
        <v>30</v>
      </c>
      <c r="K969" s="3">
        <v>30</v>
      </c>
      <c r="L969" s="3">
        <v>0</v>
      </c>
      <c r="M969" s="3">
        <v>0</v>
      </c>
      <c r="N969" s="3">
        <v>30</v>
      </c>
      <c r="O969" s="3">
        <v>0.02</v>
      </c>
      <c r="P969" s="3">
        <v>0</v>
      </c>
      <c r="Q969" s="3">
        <v>0</v>
      </c>
      <c r="R969" s="3">
        <v>0</v>
      </c>
    </row>
    <row r="970" spans="1:18">
      <c r="A970" s="3" t="s">
        <v>7656</v>
      </c>
      <c r="B970" s="3" t="s">
        <v>7657</v>
      </c>
      <c r="C970" s="3" t="s">
        <v>7658</v>
      </c>
      <c r="D970" s="3" t="s">
        <v>7659</v>
      </c>
      <c r="E970" s="3" t="s">
        <v>1710</v>
      </c>
      <c r="F970" s="3">
        <v>14.99</v>
      </c>
      <c r="G970" s="3" t="s">
        <v>6233</v>
      </c>
      <c r="H970" s="3"/>
      <c r="I970" s="3" t="s">
        <v>6234</v>
      </c>
      <c r="J970" s="3">
        <v>30</v>
      </c>
      <c r="K970" s="3">
        <v>30</v>
      </c>
      <c r="L970" s="3">
        <v>0</v>
      </c>
      <c r="M970" s="3">
        <v>0</v>
      </c>
      <c r="N970" s="3">
        <v>30</v>
      </c>
      <c r="O970" s="3">
        <v>0.02</v>
      </c>
      <c r="P970" s="3">
        <v>0</v>
      </c>
      <c r="Q970" s="3">
        <v>0</v>
      </c>
      <c r="R970" s="3">
        <v>0</v>
      </c>
    </row>
    <row r="971" spans="1:18">
      <c r="A971" s="3" t="s">
        <v>7660</v>
      </c>
      <c r="B971" s="3" t="s">
        <v>7661</v>
      </c>
      <c r="C971" s="3" t="s">
        <v>7662</v>
      </c>
      <c r="D971" s="3" t="s">
        <v>7663</v>
      </c>
      <c r="E971" s="3" t="s">
        <v>1710</v>
      </c>
      <c r="F971" s="3">
        <v>14.99</v>
      </c>
      <c r="G971" s="3" t="s">
        <v>6233</v>
      </c>
      <c r="H971" s="3"/>
      <c r="I971" s="3" t="s">
        <v>6234</v>
      </c>
      <c r="J971" s="3">
        <v>30</v>
      </c>
      <c r="K971" s="3">
        <v>30</v>
      </c>
      <c r="L971" s="3">
        <v>0</v>
      </c>
      <c r="M971" s="3">
        <v>0</v>
      </c>
      <c r="N971" s="3">
        <v>30</v>
      </c>
      <c r="O971" s="3">
        <v>0.02</v>
      </c>
      <c r="P971" s="3">
        <v>0</v>
      </c>
      <c r="Q971" s="3">
        <v>0</v>
      </c>
      <c r="R971" s="3">
        <v>0</v>
      </c>
    </row>
    <row r="972" spans="1:18">
      <c r="A972" s="3" t="s">
        <v>7664</v>
      </c>
      <c r="B972" s="3" t="s">
        <v>7665</v>
      </c>
      <c r="C972" s="3" t="s">
        <v>7666</v>
      </c>
      <c r="D972" s="3" t="s">
        <v>7667</v>
      </c>
      <c r="E972" s="3" t="s">
        <v>1710</v>
      </c>
      <c r="F972" s="3">
        <v>14.99</v>
      </c>
      <c r="G972" s="3" t="s">
        <v>6233</v>
      </c>
      <c r="H972" s="3"/>
      <c r="I972" s="3" t="s">
        <v>6234</v>
      </c>
      <c r="J972" s="3">
        <v>30</v>
      </c>
      <c r="K972" s="3">
        <v>30</v>
      </c>
      <c r="L972" s="3">
        <v>0</v>
      </c>
      <c r="M972" s="3">
        <v>0</v>
      </c>
      <c r="N972" s="3">
        <v>30</v>
      </c>
      <c r="O972" s="3">
        <v>0.02</v>
      </c>
      <c r="P972" s="3">
        <v>0</v>
      </c>
      <c r="Q972" s="3">
        <v>0</v>
      </c>
      <c r="R972" s="3">
        <v>0</v>
      </c>
    </row>
    <row r="973" spans="1:18">
      <c r="A973" s="3" t="s">
        <v>5914</v>
      </c>
      <c r="B973" s="3" t="s">
        <v>5915</v>
      </c>
      <c r="C973" s="3" t="s">
        <v>5916</v>
      </c>
      <c r="D973" s="3" t="s">
        <v>5917</v>
      </c>
      <c r="E973" s="3" t="s">
        <v>1710</v>
      </c>
      <c r="F973" s="3">
        <v>28.99</v>
      </c>
      <c r="G973" s="3" t="s">
        <v>6233</v>
      </c>
      <c r="H973" s="3"/>
      <c r="I973" s="3" t="s">
        <v>6234</v>
      </c>
      <c r="J973" s="3">
        <v>15</v>
      </c>
      <c r="K973" s="3">
        <v>15</v>
      </c>
      <c r="L973" s="3">
        <v>0</v>
      </c>
      <c r="M973" s="3">
        <v>0</v>
      </c>
      <c r="N973" s="3">
        <v>16</v>
      </c>
      <c r="O973" s="3">
        <v>0.04</v>
      </c>
      <c r="P973" s="3">
        <v>0</v>
      </c>
      <c r="Q973" s="3">
        <v>1</v>
      </c>
      <c r="R973" s="3">
        <v>0</v>
      </c>
    </row>
    <row r="974" spans="1:18">
      <c r="A974" s="3" t="s">
        <v>160</v>
      </c>
      <c r="B974" s="3" t="s">
        <v>161</v>
      </c>
      <c r="C974" s="3" t="s">
        <v>162</v>
      </c>
      <c r="D974" s="3" t="s">
        <v>163</v>
      </c>
      <c r="E974" s="3" t="s">
        <v>1710</v>
      </c>
      <c r="F974" s="3">
        <v>28.99</v>
      </c>
      <c r="G974" s="3" t="s">
        <v>6233</v>
      </c>
      <c r="H974" s="3"/>
      <c r="I974" s="3" t="s">
        <v>6234</v>
      </c>
      <c r="J974" s="3">
        <v>3</v>
      </c>
      <c r="K974" s="3">
        <v>2</v>
      </c>
      <c r="L974" s="3">
        <v>0</v>
      </c>
      <c r="M974" s="3">
        <v>1</v>
      </c>
      <c r="N974" s="3">
        <v>23</v>
      </c>
      <c r="O974" s="3">
        <v>0.02</v>
      </c>
      <c r="P974" s="3">
        <v>0</v>
      </c>
      <c r="Q974" s="3">
        <v>15</v>
      </c>
      <c r="R974" s="3">
        <v>5</v>
      </c>
    </row>
    <row r="975" spans="1:18">
      <c r="A975" s="3" t="s">
        <v>192</v>
      </c>
      <c r="B975" s="3" t="s">
        <v>193</v>
      </c>
      <c r="C975" s="3" t="s">
        <v>194</v>
      </c>
      <c r="D975" s="3" t="s">
        <v>195</v>
      </c>
      <c r="E975" s="3" t="s">
        <v>1710</v>
      </c>
      <c r="F975" s="3">
        <v>28.99</v>
      </c>
      <c r="G975" s="3" t="s">
        <v>6233</v>
      </c>
      <c r="H975" s="3"/>
      <c r="I975" s="3" t="s">
        <v>6234</v>
      </c>
      <c r="J975" s="3">
        <v>8</v>
      </c>
      <c r="K975" s="3">
        <v>6</v>
      </c>
      <c r="L975" s="3">
        <v>0</v>
      </c>
      <c r="M975" s="3">
        <v>2</v>
      </c>
      <c r="N975" s="3">
        <v>22</v>
      </c>
      <c r="O975" s="3">
        <v>0.06</v>
      </c>
      <c r="P975" s="3">
        <v>0</v>
      </c>
      <c r="Q975" s="3">
        <v>14</v>
      </c>
      <c r="R975" s="3">
        <v>0</v>
      </c>
    </row>
    <row r="976" spans="1:18">
      <c r="A976" s="3" t="s">
        <v>208</v>
      </c>
      <c r="B976" s="3" t="s">
        <v>209</v>
      </c>
      <c r="C976" s="3" t="s">
        <v>210</v>
      </c>
      <c r="D976" s="3" t="s">
        <v>211</v>
      </c>
      <c r="E976" s="3" t="s">
        <v>1710</v>
      </c>
      <c r="F976" s="3">
        <v>28.99</v>
      </c>
      <c r="G976" s="3" t="s">
        <v>6233</v>
      </c>
      <c r="H976" s="3"/>
      <c r="I976" s="3" t="s">
        <v>6234</v>
      </c>
      <c r="J976" s="3">
        <v>5</v>
      </c>
      <c r="K976" s="3">
        <v>0</v>
      </c>
      <c r="L976" s="3">
        <v>0</v>
      </c>
      <c r="M976" s="3">
        <v>5</v>
      </c>
      <c r="N976" s="3">
        <v>24</v>
      </c>
      <c r="O976" s="3">
        <v>0.15</v>
      </c>
      <c r="P976" s="3">
        <v>0</v>
      </c>
      <c r="Q976" s="3">
        <v>19</v>
      </c>
      <c r="R976" s="3">
        <v>0</v>
      </c>
    </row>
    <row r="977" spans="1:18">
      <c r="A977" s="3" t="s">
        <v>164</v>
      </c>
      <c r="B977" s="3" t="s">
        <v>165</v>
      </c>
      <c r="C977" s="3" t="s">
        <v>166</v>
      </c>
      <c r="D977" s="3" t="s">
        <v>167</v>
      </c>
      <c r="E977" s="3" t="s">
        <v>1710</v>
      </c>
      <c r="F977" s="3">
        <v>28.99</v>
      </c>
      <c r="G977" s="3" t="s">
        <v>6233</v>
      </c>
      <c r="H977" s="3"/>
      <c r="I977" s="3" t="s">
        <v>6234</v>
      </c>
      <c r="J977" s="3">
        <v>8</v>
      </c>
      <c r="K977" s="3">
        <v>6</v>
      </c>
      <c r="L977" s="3">
        <v>1</v>
      </c>
      <c r="M977" s="3">
        <v>1</v>
      </c>
      <c r="N977" s="3">
        <v>28</v>
      </c>
      <c r="O977" s="3">
        <v>0.05</v>
      </c>
      <c r="P977" s="3">
        <v>0</v>
      </c>
      <c r="Q977" s="3">
        <v>5</v>
      </c>
      <c r="R977" s="3">
        <v>15</v>
      </c>
    </row>
    <row r="978" spans="1:18">
      <c r="A978" s="3" t="s">
        <v>220</v>
      </c>
      <c r="B978" s="3" t="s">
        <v>221</v>
      </c>
      <c r="C978" s="3" t="s">
        <v>222</v>
      </c>
      <c r="D978" s="3" t="s">
        <v>223</v>
      </c>
      <c r="E978" s="3" t="s">
        <v>1710</v>
      </c>
      <c r="F978" s="3">
        <v>28.99</v>
      </c>
      <c r="G978" s="3" t="s">
        <v>6233</v>
      </c>
      <c r="H978" s="3"/>
      <c r="I978" s="3" t="s">
        <v>6234</v>
      </c>
      <c r="J978" s="3">
        <v>32</v>
      </c>
      <c r="K978" s="3">
        <v>31</v>
      </c>
      <c r="L978" s="3">
        <v>0</v>
      </c>
      <c r="M978" s="3">
        <v>1</v>
      </c>
      <c r="N978" s="3">
        <v>38</v>
      </c>
      <c r="O978" s="3">
        <v>0.02</v>
      </c>
      <c r="P978" s="3">
        <v>0</v>
      </c>
      <c r="Q978" s="3">
        <v>6</v>
      </c>
      <c r="R978" s="3">
        <v>0</v>
      </c>
    </row>
    <row r="979" spans="1:18">
      <c r="A979" s="3" t="s">
        <v>172</v>
      </c>
      <c r="B979" s="3" t="s">
        <v>173</v>
      </c>
      <c r="C979" s="3" t="s">
        <v>174</v>
      </c>
      <c r="D979" s="3" t="s">
        <v>175</v>
      </c>
      <c r="E979" s="3" t="s">
        <v>1710</v>
      </c>
      <c r="F979" s="3">
        <v>28.99</v>
      </c>
      <c r="G979" s="3" t="s">
        <v>6233</v>
      </c>
      <c r="H979" s="3"/>
      <c r="I979" s="3" t="s">
        <v>6234</v>
      </c>
      <c r="J979" s="3">
        <v>18</v>
      </c>
      <c r="K979" s="3">
        <v>10</v>
      </c>
      <c r="L979" s="3">
        <v>1</v>
      </c>
      <c r="M979" s="3">
        <v>7</v>
      </c>
      <c r="N979" s="3">
        <v>32</v>
      </c>
      <c r="O979" s="3">
        <v>0.02</v>
      </c>
      <c r="P979" s="3">
        <v>0</v>
      </c>
      <c r="Q979" s="3">
        <v>14</v>
      </c>
      <c r="R979" s="3">
        <v>0</v>
      </c>
    </row>
    <row r="980" spans="1:18">
      <c r="A980" s="3" t="s">
        <v>156</v>
      </c>
      <c r="B980" s="3" t="s">
        <v>157</v>
      </c>
      <c r="C980" s="3" t="s">
        <v>158</v>
      </c>
      <c r="D980" s="3" t="s">
        <v>159</v>
      </c>
      <c r="E980" s="3" t="s">
        <v>1710</v>
      </c>
      <c r="F980" s="3">
        <v>28.99</v>
      </c>
      <c r="G980" s="3" t="s">
        <v>6233</v>
      </c>
      <c r="H980" s="3"/>
      <c r="I980" s="3" t="s">
        <v>6234</v>
      </c>
      <c r="J980" s="3">
        <v>15</v>
      </c>
      <c r="K980" s="3">
        <v>7</v>
      </c>
      <c r="L980" s="3">
        <v>0</v>
      </c>
      <c r="M980" s="3">
        <v>8</v>
      </c>
      <c r="N980" s="3">
        <v>25</v>
      </c>
      <c r="O980" s="3">
        <v>0.02</v>
      </c>
      <c r="P980" s="3">
        <v>0</v>
      </c>
      <c r="Q980" s="3">
        <v>10</v>
      </c>
      <c r="R980" s="3">
        <v>0</v>
      </c>
    </row>
    <row r="981" spans="1:18">
      <c r="A981" s="3" t="s">
        <v>216</v>
      </c>
      <c r="B981" s="3" t="s">
        <v>217</v>
      </c>
      <c r="C981" s="3" t="s">
        <v>218</v>
      </c>
      <c r="D981" s="3" t="s">
        <v>219</v>
      </c>
      <c r="E981" s="3" t="s">
        <v>1710</v>
      </c>
      <c r="F981" s="3">
        <v>28.99</v>
      </c>
      <c r="G981" s="3" t="s">
        <v>6233</v>
      </c>
      <c r="H981" s="3"/>
      <c r="I981" s="3" t="s">
        <v>6234</v>
      </c>
      <c r="J981" s="3">
        <v>2</v>
      </c>
      <c r="K981" s="3">
        <v>0</v>
      </c>
      <c r="L981" s="3">
        <v>0</v>
      </c>
      <c r="M981" s="3">
        <v>2</v>
      </c>
      <c r="N981" s="3">
        <v>67</v>
      </c>
      <c r="O981" s="3">
        <v>0.06</v>
      </c>
      <c r="P981" s="3">
        <v>0</v>
      </c>
      <c r="Q981" s="3">
        <v>65</v>
      </c>
      <c r="R981" s="3">
        <v>0</v>
      </c>
    </row>
    <row r="982" spans="1:18">
      <c r="A982" s="3" t="s">
        <v>168</v>
      </c>
      <c r="B982" s="3" t="s">
        <v>169</v>
      </c>
      <c r="C982" s="3" t="s">
        <v>170</v>
      </c>
      <c r="D982" s="3" t="s">
        <v>171</v>
      </c>
      <c r="E982" s="3" t="s">
        <v>1710</v>
      </c>
      <c r="F982" s="3">
        <v>28.99</v>
      </c>
      <c r="G982" s="3" t="s">
        <v>6233</v>
      </c>
      <c r="H982" s="3"/>
      <c r="I982" s="3" t="s">
        <v>6234</v>
      </c>
      <c r="J982" s="3">
        <v>61</v>
      </c>
      <c r="K982" s="3">
        <v>57</v>
      </c>
      <c r="L982" s="3">
        <v>1</v>
      </c>
      <c r="M982" s="3">
        <v>3</v>
      </c>
      <c r="N982" s="3">
        <v>83</v>
      </c>
      <c r="O982" s="3">
        <v>0.02</v>
      </c>
      <c r="P982" s="3">
        <v>0</v>
      </c>
      <c r="Q982" s="3">
        <v>22</v>
      </c>
      <c r="R982" s="3">
        <v>0</v>
      </c>
    </row>
    <row r="983" spans="1:18">
      <c r="A983" s="3" t="s">
        <v>180</v>
      </c>
      <c r="B983" s="3" t="s">
        <v>181</v>
      </c>
      <c r="C983" s="3" t="s">
        <v>182</v>
      </c>
      <c r="D983" s="3" t="s">
        <v>183</v>
      </c>
      <c r="E983" s="3" t="s">
        <v>1710</v>
      </c>
      <c r="F983" s="3">
        <v>28.99</v>
      </c>
      <c r="G983" s="3" t="s">
        <v>6233</v>
      </c>
      <c r="H983" s="3"/>
      <c r="I983" s="3" t="s">
        <v>6234</v>
      </c>
      <c r="J983" s="3">
        <v>16</v>
      </c>
      <c r="K983" s="3">
        <v>11</v>
      </c>
      <c r="L983" s="3">
        <v>0</v>
      </c>
      <c r="M983" s="3">
        <v>5</v>
      </c>
      <c r="N983" s="3">
        <v>41</v>
      </c>
      <c r="O983" s="3">
        <v>0.02</v>
      </c>
      <c r="P983" s="3">
        <v>0</v>
      </c>
      <c r="Q983" s="3">
        <v>25</v>
      </c>
      <c r="R983" s="3">
        <v>0</v>
      </c>
    </row>
    <row r="984" spans="1:18">
      <c r="A984" s="3" t="s">
        <v>212</v>
      </c>
      <c r="B984" s="3" t="s">
        <v>213</v>
      </c>
      <c r="C984" s="3" t="s">
        <v>214</v>
      </c>
      <c r="D984" s="3" t="s">
        <v>215</v>
      </c>
      <c r="E984" s="3" t="s">
        <v>1710</v>
      </c>
      <c r="F984" s="3">
        <v>28.99</v>
      </c>
      <c r="G984" s="3" t="s">
        <v>6233</v>
      </c>
      <c r="H984" s="3"/>
      <c r="I984" s="3" t="s">
        <v>6234</v>
      </c>
      <c r="J984" s="3">
        <v>1</v>
      </c>
      <c r="K984" s="3">
        <v>0</v>
      </c>
      <c r="L984" s="3">
        <v>0</v>
      </c>
      <c r="M984" s="3">
        <v>1</v>
      </c>
      <c r="N984" s="3">
        <v>8</v>
      </c>
      <c r="O984" s="3">
        <v>0.02</v>
      </c>
      <c r="P984" s="3">
        <v>0</v>
      </c>
      <c r="Q984" s="3">
        <v>7</v>
      </c>
      <c r="R984" s="3">
        <v>0</v>
      </c>
    </row>
    <row r="985" spans="1:18">
      <c r="A985" s="3" t="s">
        <v>204</v>
      </c>
      <c r="B985" s="3" t="s">
        <v>205</v>
      </c>
      <c r="C985" s="3" t="s">
        <v>206</v>
      </c>
      <c r="D985" s="3" t="s">
        <v>207</v>
      </c>
      <c r="E985" s="3" t="s">
        <v>1710</v>
      </c>
      <c r="F985" s="3">
        <v>28.99</v>
      </c>
      <c r="G985" s="3" t="s">
        <v>6233</v>
      </c>
      <c r="H985" s="3"/>
      <c r="I985" s="3" t="s">
        <v>6234</v>
      </c>
      <c r="J985" s="3">
        <v>19</v>
      </c>
      <c r="K985" s="3">
        <v>18</v>
      </c>
      <c r="L985" s="3">
        <v>0</v>
      </c>
      <c r="M985" s="3">
        <v>1</v>
      </c>
      <c r="N985" s="3">
        <v>44</v>
      </c>
      <c r="O985" s="3">
        <v>0.02</v>
      </c>
      <c r="P985" s="3">
        <v>0</v>
      </c>
      <c r="Q985" s="3">
        <v>25</v>
      </c>
      <c r="R985" s="3">
        <v>0</v>
      </c>
    </row>
    <row r="986" spans="1:18">
      <c r="A986" s="3" t="s">
        <v>152</v>
      </c>
      <c r="B986" s="3" t="s">
        <v>153</v>
      </c>
      <c r="C986" s="3" t="s">
        <v>154</v>
      </c>
      <c r="D986" s="3" t="s">
        <v>155</v>
      </c>
      <c r="E986" s="3" t="s">
        <v>1710</v>
      </c>
      <c r="F986" s="3">
        <v>28.99</v>
      </c>
      <c r="G986" s="3" t="s">
        <v>6233</v>
      </c>
      <c r="H986" s="3"/>
      <c r="I986" s="3" t="s">
        <v>6234</v>
      </c>
      <c r="J986" s="3">
        <v>10</v>
      </c>
      <c r="K986" s="3">
        <v>5</v>
      </c>
      <c r="L986" s="3">
        <v>0</v>
      </c>
      <c r="M986" s="3">
        <v>5</v>
      </c>
      <c r="N986" s="3">
        <v>17</v>
      </c>
      <c r="O986" s="3">
        <v>0.02</v>
      </c>
      <c r="P986" s="3">
        <v>0</v>
      </c>
      <c r="Q986" s="3">
        <v>7</v>
      </c>
      <c r="R986" s="3">
        <v>0</v>
      </c>
    </row>
    <row r="987" spans="1:18">
      <c r="A987" s="3" t="s">
        <v>3805</v>
      </c>
      <c r="B987" s="3" t="s">
        <v>3806</v>
      </c>
      <c r="C987" s="3" t="s">
        <v>3807</v>
      </c>
      <c r="D987" s="3" t="s">
        <v>3808</v>
      </c>
      <c r="E987" s="3" t="s">
        <v>1710</v>
      </c>
      <c r="F987" s="3">
        <v>28.99</v>
      </c>
      <c r="G987" s="3" t="s">
        <v>6233</v>
      </c>
      <c r="H987" s="3"/>
      <c r="I987" s="3" t="s">
        <v>6234</v>
      </c>
      <c r="J987" s="3">
        <v>19</v>
      </c>
      <c r="K987" s="3">
        <v>18</v>
      </c>
      <c r="L987" s="3">
        <v>1</v>
      </c>
      <c r="M987" s="3">
        <v>0</v>
      </c>
      <c r="N987" s="3">
        <v>27</v>
      </c>
      <c r="O987" s="3">
        <v>0.02</v>
      </c>
      <c r="P987" s="3">
        <v>0</v>
      </c>
      <c r="Q987" s="3">
        <v>8</v>
      </c>
      <c r="R987" s="3">
        <v>0</v>
      </c>
    </row>
    <row r="988" spans="1:18">
      <c r="A988" s="3" t="s">
        <v>148</v>
      </c>
      <c r="B988" s="3" t="s">
        <v>149</v>
      </c>
      <c r="C988" s="3" t="s">
        <v>150</v>
      </c>
      <c r="D988" s="3" t="s">
        <v>151</v>
      </c>
      <c r="E988" s="3" t="s">
        <v>1710</v>
      </c>
      <c r="F988" s="3">
        <v>28.99</v>
      </c>
      <c r="G988" s="3" t="s">
        <v>6233</v>
      </c>
      <c r="H988" s="3"/>
      <c r="I988" s="3" t="s">
        <v>6234</v>
      </c>
      <c r="J988" s="3">
        <v>17</v>
      </c>
      <c r="K988" s="3">
        <v>14</v>
      </c>
      <c r="L988" s="3">
        <v>1</v>
      </c>
      <c r="M988" s="3">
        <v>2</v>
      </c>
      <c r="N988" s="3">
        <v>27</v>
      </c>
      <c r="O988" s="3">
        <v>0.02</v>
      </c>
      <c r="P988" s="3">
        <v>0</v>
      </c>
      <c r="Q988" s="3">
        <v>10</v>
      </c>
      <c r="R988" s="3">
        <v>0</v>
      </c>
    </row>
    <row r="989" spans="1:18">
      <c r="A989" s="3" t="s">
        <v>3069</v>
      </c>
      <c r="B989" s="3" t="s">
        <v>3070</v>
      </c>
      <c r="C989" s="3" t="s">
        <v>3071</v>
      </c>
      <c r="D989" s="3" t="s">
        <v>3072</v>
      </c>
      <c r="E989" s="3" t="s">
        <v>1710</v>
      </c>
      <c r="F989" s="3">
        <v>28.99</v>
      </c>
      <c r="G989" s="3" t="s">
        <v>6233</v>
      </c>
      <c r="H989" s="3"/>
      <c r="I989" s="3" t="s">
        <v>6234</v>
      </c>
      <c r="J989" s="3">
        <v>7</v>
      </c>
      <c r="K989" s="3">
        <v>7</v>
      </c>
      <c r="L989" s="3">
        <v>0</v>
      </c>
      <c r="M989" s="3">
        <v>0</v>
      </c>
      <c r="N989" s="3">
        <v>12</v>
      </c>
      <c r="O989" s="3">
        <v>0.02</v>
      </c>
      <c r="P989" s="3">
        <v>0</v>
      </c>
      <c r="Q989" s="3">
        <v>5</v>
      </c>
      <c r="R989" s="3">
        <v>0</v>
      </c>
    </row>
    <row r="990" spans="1:18">
      <c r="A990" s="3" t="s">
        <v>232</v>
      </c>
      <c r="B990" s="3" t="s">
        <v>233</v>
      </c>
      <c r="C990" s="3" t="s">
        <v>234</v>
      </c>
      <c r="D990" s="3" t="s">
        <v>235</v>
      </c>
      <c r="E990" s="3" t="s">
        <v>1710</v>
      </c>
      <c r="F990" s="3">
        <v>14.99</v>
      </c>
      <c r="G990" s="3" t="s">
        <v>6233</v>
      </c>
      <c r="H990" s="3"/>
      <c r="I990" s="3" t="s">
        <v>6234</v>
      </c>
      <c r="J990" s="3">
        <v>10</v>
      </c>
      <c r="K990" s="3">
        <v>0</v>
      </c>
      <c r="L990" s="3">
        <v>0</v>
      </c>
      <c r="M990" s="3">
        <v>10</v>
      </c>
      <c r="N990" s="3">
        <v>30</v>
      </c>
      <c r="O990" s="3">
        <v>0.04</v>
      </c>
      <c r="P990" s="3">
        <v>0</v>
      </c>
      <c r="Q990" s="3">
        <v>0</v>
      </c>
      <c r="R990" s="3">
        <v>20</v>
      </c>
    </row>
    <row r="991" spans="1:18">
      <c r="A991" s="3" t="s">
        <v>7668</v>
      </c>
      <c r="B991" s="3" t="s">
        <v>7669</v>
      </c>
      <c r="C991" s="3" t="s">
        <v>7670</v>
      </c>
      <c r="D991" s="3" t="s">
        <v>7671</v>
      </c>
      <c r="E991" s="3" t="s">
        <v>1710</v>
      </c>
      <c r="F991" s="3">
        <v>20.99</v>
      </c>
      <c r="G991" s="3" t="s">
        <v>6234</v>
      </c>
      <c r="H991" s="3">
        <v>0</v>
      </c>
      <c r="I991" s="3" t="s">
        <v>6233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0.07</v>
      </c>
      <c r="P991" s="3">
        <v>0</v>
      </c>
      <c r="Q991" s="3">
        <v>0</v>
      </c>
      <c r="R991" s="3">
        <v>0</v>
      </c>
    </row>
    <row r="992" spans="1:18">
      <c r="A992" s="3" t="s">
        <v>7672</v>
      </c>
      <c r="B992" s="3" t="s">
        <v>7673</v>
      </c>
      <c r="C992" s="3" t="s">
        <v>7674</v>
      </c>
      <c r="D992" s="3"/>
      <c r="E992" s="3" t="s">
        <v>6275</v>
      </c>
      <c r="F992" s="3"/>
      <c r="G992" s="3"/>
      <c r="H992" s="3"/>
      <c r="I992" s="3"/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/>
      <c r="P992" s="3">
        <v>0</v>
      </c>
      <c r="Q992" s="3">
        <v>0</v>
      </c>
      <c r="R992" s="3">
        <v>0</v>
      </c>
    </row>
    <row r="993" spans="1:18">
      <c r="A993" s="3" t="s">
        <v>7675</v>
      </c>
      <c r="B993" s="3" t="s">
        <v>7676</v>
      </c>
      <c r="C993" s="3" t="s">
        <v>7677</v>
      </c>
      <c r="D993" s="3"/>
      <c r="E993" s="3" t="s">
        <v>6275</v>
      </c>
      <c r="F993" s="3"/>
      <c r="G993" s="3"/>
      <c r="H993" s="3"/>
      <c r="I993" s="3"/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/>
      <c r="P993" s="3">
        <v>0</v>
      </c>
      <c r="Q993" s="3">
        <v>0</v>
      </c>
      <c r="R993" s="3">
        <v>0</v>
      </c>
    </row>
    <row r="994" spans="1:18">
      <c r="A994" s="3" t="s">
        <v>7678</v>
      </c>
      <c r="B994" s="3" t="s">
        <v>7679</v>
      </c>
      <c r="C994" s="3" t="s">
        <v>7680</v>
      </c>
      <c r="D994" s="3" t="s">
        <v>7681</v>
      </c>
      <c r="E994" s="3" t="s">
        <v>1710</v>
      </c>
      <c r="F994" s="3">
        <v>20.99</v>
      </c>
      <c r="G994" s="3" t="s">
        <v>6234</v>
      </c>
      <c r="H994" s="3">
        <v>0</v>
      </c>
      <c r="I994" s="3" t="s">
        <v>6233</v>
      </c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>
        <v>0.06</v>
      </c>
      <c r="P994" s="3">
        <v>0</v>
      </c>
      <c r="Q994" s="3">
        <v>0</v>
      </c>
      <c r="R994" s="3">
        <v>0</v>
      </c>
    </row>
    <row r="995" spans="1:18">
      <c r="A995" s="3" t="s">
        <v>7682</v>
      </c>
      <c r="B995" s="3" t="s">
        <v>7683</v>
      </c>
      <c r="C995" s="3" t="s">
        <v>7684</v>
      </c>
      <c r="D995" s="3"/>
      <c r="E995" s="3" t="s">
        <v>6275</v>
      </c>
      <c r="F995" s="3"/>
      <c r="G995" s="3"/>
      <c r="H995" s="3"/>
      <c r="I995" s="3"/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/>
      <c r="P995" s="3">
        <v>0</v>
      </c>
      <c r="Q995" s="3">
        <v>0</v>
      </c>
      <c r="R995" s="3">
        <v>0</v>
      </c>
    </row>
    <row r="996" spans="1:18">
      <c r="A996" s="3" t="s">
        <v>7685</v>
      </c>
      <c r="B996" s="3" t="s">
        <v>7686</v>
      </c>
      <c r="C996" s="3" t="s">
        <v>7687</v>
      </c>
      <c r="D996" s="3"/>
      <c r="E996" s="3" t="s">
        <v>6275</v>
      </c>
      <c r="F996" s="3"/>
      <c r="G996" s="3"/>
      <c r="H996" s="3"/>
      <c r="I996" s="3"/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/>
      <c r="P996" s="3">
        <v>0</v>
      </c>
      <c r="Q996" s="3">
        <v>0</v>
      </c>
      <c r="R996" s="3">
        <v>0</v>
      </c>
    </row>
    <row r="997" spans="1:18">
      <c r="A997" s="3" t="s">
        <v>5498</v>
      </c>
      <c r="B997" s="3" t="s">
        <v>5499</v>
      </c>
      <c r="C997" s="3" t="s">
        <v>5500</v>
      </c>
      <c r="D997" s="3" t="s">
        <v>3838</v>
      </c>
      <c r="E997" s="3" t="s">
        <v>1710</v>
      </c>
      <c r="F997" s="3">
        <v>29.99</v>
      </c>
      <c r="G997" s="3" t="s">
        <v>6233</v>
      </c>
      <c r="H997" s="3"/>
      <c r="I997" s="3" t="s">
        <v>6234</v>
      </c>
      <c r="J997" s="3">
        <v>4</v>
      </c>
      <c r="K997" s="3">
        <v>4</v>
      </c>
      <c r="L997" s="3">
        <v>0</v>
      </c>
      <c r="M997" s="3">
        <v>0</v>
      </c>
      <c r="N997" s="3">
        <v>4</v>
      </c>
      <c r="O997" s="3">
        <v>0.32</v>
      </c>
      <c r="P997" s="3">
        <v>0</v>
      </c>
      <c r="Q997" s="3">
        <v>0</v>
      </c>
      <c r="R997" s="3">
        <v>0</v>
      </c>
    </row>
    <row r="998" spans="1:18">
      <c r="A998" s="3" t="s">
        <v>5115</v>
      </c>
      <c r="B998" s="3" t="s">
        <v>5116</v>
      </c>
      <c r="C998" s="3" t="s">
        <v>5117</v>
      </c>
      <c r="D998" s="3" t="s">
        <v>2487</v>
      </c>
      <c r="E998" s="3" t="s">
        <v>1710</v>
      </c>
      <c r="F998" s="3">
        <v>29.99</v>
      </c>
      <c r="G998" s="3" t="s">
        <v>6233</v>
      </c>
      <c r="H998" s="3"/>
      <c r="I998" s="3" t="s">
        <v>6234</v>
      </c>
      <c r="J998" s="3">
        <v>3</v>
      </c>
      <c r="K998" s="3">
        <v>3</v>
      </c>
      <c r="L998" s="3">
        <v>0</v>
      </c>
      <c r="M998" s="3">
        <v>0</v>
      </c>
      <c r="N998" s="3">
        <v>3</v>
      </c>
      <c r="O998" s="3">
        <v>0.43</v>
      </c>
      <c r="P998" s="3">
        <v>0</v>
      </c>
      <c r="Q998" s="3">
        <v>0</v>
      </c>
      <c r="R998" s="3">
        <v>0</v>
      </c>
    </row>
    <row r="999" spans="1:18">
      <c r="A999" s="3" t="s">
        <v>3425</v>
      </c>
      <c r="B999" s="3" t="s">
        <v>3426</v>
      </c>
      <c r="C999" s="3" t="s">
        <v>3427</v>
      </c>
      <c r="D999" s="3" t="s">
        <v>3402</v>
      </c>
      <c r="E999" s="3" t="s">
        <v>1710</v>
      </c>
      <c r="F999" s="3">
        <v>29.99</v>
      </c>
      <c r="G999" s="3" t="s">
        <v>6233</v>
      </c>
      <c r="H999" s="3"/>
      <c r="I999" s="3" t="s">
        <v>6234</v>
      </c>
      <c r="J999" s="3">
        <v>4</v>
      </c>
      <c r="K999" s="3">
        <v>4</v>
      </c>
      <c r="L999" s="3">
        <v>0</v>
      </c>
      <c r="M999" s="3">
        <v>0</v>
      </c>
      <c r="N999" s="3">
        <v>4</v>
      </c>
      <c r="O999" s="3">
        <v>0.32</v>
      </c>
      <c r="P999" s="3">
        <v>0</v>
      </c>
      <c r="Q999" s="3">
        <v>0</v>
      </c>
      <c r="R999" s="3">
        <v>0</v>
      </c>
    </row>
    <row r="1000" spans="1:18">
      <c r="A1000" s="3" t="s">
        <v>5153</v>
      </c>
      <c r="B1000" s="3" t="s">
        <v>5154</v>
      </c>
      <c r="C1000" s="3" t="s">
        <v>5155</v>
      </c>
      <c r="D1000" s="3" t="s">
        <v>255</v>
      </c>
      <c r="E1000" s="3" t="s">
        <v>1710</v>
      </c>
      <c r="F1000" s="3">
        <v>29.99</v>
      </c>
      <c r="G1000" s="3" t="s">
        <v>6233</v>
      </c>
      <c r="H1000" s="3"/>
      <c r="I1000" s="3" t="s">
        <v>6234</v>
      </c>
      <c r="J1000" s="3">
        <v>2</v>
      </c>
      <c r="K1000" s="3">
        <v>2</v>
      </c>
      <c r="L1000" s="3">
        <v>0</v>
      </c>
      <c r="M1000" s="3">
        <v>0</v>
      </c>
      <c r="N1000" s="3">
        <v>2</v>
      </c>
      <c r="O1000" s="3">
        <v>0.32</v>
      </c>
      <c r="P1000" s="3">
        <v>0</v>
      </c>
      <c r="Q1000" s="3">
        <v>0</v>
      </c>
      <c r="R1000" s="3">
        <v>0</v>
      </c>
    </row>
    <row r="1001" spans="1:18">
      <c r="A1001" s="3" t="s">
        <v>3835</v>
      </c>
      <c r="B1001" s="3" t="s">
        <v>3836</v>
      </c>
      <c r="C1001" s="3" t="s">
        <v>3837</v>
      </c>
      <c r="D1001" s="3" t="s">
        <v>3838</v>
      </c>
      <c r="E1001" s="3" t="s">
        <v>1710</v>
      </c>
      <c r="F1001" s="3">
        <v>29.99</v>
      </c>
      <c r="G1001" s="3" t="s">
        <v>6233</v>
      </c>
      <c r="H1001" s="3"/>
      <c r="I1001" s="3" t="s">
        <v>6234</v>
      </c>
      <c r="J1001" s="3">
        <v>3</v>
      </c>
      <c r="K1001" s="3">
        <v>3</v>
      </c>
      <c r="L1001" s="3">
        <v>0</v>
      </c>
      <c r="M1001" s="3">
        <v>0</v>
      </c>
      <c r="N1001" s="3">
        <v>3</v>
      </c>
      <c r="O1001" s="3">
        <v>0.43</v>
      </c>
      <c r="P1001" s="3">
        <v>0</v>
      </c>
      <c r="Q1001" s="3">
        <v>0</v>
      </c>
      <c r="R1001" s="3">
        <v>0</v>
      </c>
    </row>
    <row r="1002" spans="1:18">
      <c r="A1002" s="3" t="s">
        <v>2484</v>
      </c>
      <c r="B1002" s="3" t="s">
        <v>2485</v>
      </c>
      <c r="C1002" s="3" t="s">
        <v>2486</v>
      </c>
      <c r="D1002" s="3" t="s">
        <v>2487</v>
      </c>
      <c r="E1002" s="3" t="s">
        <v>1710</v>
      </c>
      <c r="F1002" s="3">
        <v>29.99</v>
      </c>
      <c r="G1002" s="3" t="s">
        <v>6233</v>
      </c>
      <c r="H1002" s="3"/>
      <c r="I1002" s="3" t="s">
        <v>6234</v>
      </c>
      <c r="J1002" s="3">
        <v>6</v>
      </c>
      <c r="K1002" s="3">
        <v>6</v>
      </c>
      <c r="L1002" s="3">
        <v>0</v>
      </c>
      <c r="M1002" s="3">
        <v>0</v>
      </c>
      <c r="N1002" s="3">
        <v>6</v>
      </c>
      <c r="O1002" s="3">
        <v>0.43</v>
      </c>
      <c r="P1002" s="3">
        <v>0</v>
      </c>
      <c r="Q1002" s="3">
        <v>0</v>
      </c>
      <c r="R1002" s="3">
        <v>0</v>
      </c>
    </row>
    <row r="1003" spans="1:18">
      <c r="A1003" s="3" t="s">
        <v>3623</v>
      </c>
      <c r="B1003" s="3" t="s">
        <v>3624</v>
      </c>
      <c r="C1003" s="3" t="s">
        <v>3625</v>
      </c>
      <c r="D1003" s="3" t="s">
        <v>3402</v>
      </c>
      <c r="E1003" s="3" t="s">
        <v>1710</v>
      </c>
      <c r="F1003" s="3">
        <v>29.99</v>
      </c>
      <c r="G1003" s="3" t="s">
        <v>6233</v>
      </c>
      <c r="H1003" s="3"/>
      <c r="I1003" s="3" t="s">
        <v>6234</v>
      </c>
      <c r="J1003" s="3">
        <v>5</v>
      </c>
      <c r="K1003" s="3">
        <v>5</v>
      </c>
      <c r="L1003" s="3">
        <v>0</v>
      </c>
      <c r="M1003" s="3">
        <v>0</v>
      </c>
      <c r="N1003" s="3">
        <v>5</v>
      </c>
      <c r="O1003" s="3">
        <v>0.32</v>
      </c>
      <c r="P1003" s="3">
        <v>0</v>
      </c>
      <c r="Q1003" s="3">
        <v>0</v>
      </c>
      <c r="R1003" s="3">
        <v>0</v>
      </c>
    </row>
    <row r="1004" spans="1:18">
      <c r="A1004" s="3" t="s">
        <v>5834</v>
      </c>
      <c r="B1004" s="3" t="s">
        <v>5835</v>
      </c>
      <c r="C1004" s="3" t="s">
        <v>5836</v>
      </c>
      <c r="D1004" s="3" t="s">
        <v>255</v>
      </c>
      <c r="E1004" s="3" t="s">
        <v>1710</v>
      </c>
      <c r="F1004" s="3">
        <v>29.99</v>
      </c>
      <c r="G1004" s="3" t="s">
        <v>6233</v>
      </c>
      <c r="H1004" s="3"/>
      <c r="I1004" s="3" t="s">
        <v>6234</v>
      </c>
      <c r="J1004" s="3">
        <v>4</v>
      </c>
      <c r="K1004" s="3">
        <v>4</v>
      </c>
      <c r="L1004" s="3">
        <v>0</v>
      </c>
      <c r="M1004" s="3">
        <v>0</v>
      </c>
      <c r="N1004" s="3">
        <v>4</v>
      </c>
      <c r="O1004" s="3">
        <v>0.43</v>
      </c>
      <c r="P1004" s="3">
        <v>0</v>
      </c>
      <c r="Q1004" s="3">
        <v>0</v>
      </c>
      <c r="R1004" s="3">
        <v>0</v>
      </c>
    </row>
    <row r="1005" spans="1:18">
      <c r="A1005" s="3" t="s">
        <v>2631</v>
      </c>
      <c r="B1005" s="3" t="s">
        <v>2632</v>
      </c>
      <c r="C1005" s="3" t="s">
        <v>2633</v>
      </c>
      <c r="D1005" s="3" t="s">
        <v>2487</v>
      </c>
      <c r="E1005" s="3" t="s">
        <v>1710</v>
      </c>
      <c r="F1005" s="3">
        <v>29.99</v>
      </c>
      <c r="G1005" s="3" t="s">
        <v>6233</v>
      </c>
      <c r="H1005" s="3"/>
      <c r="I1005" s="3" t="s">
        <v>6234</v>
      </c>
      <c r="J1005" s="3">
        <v>5</v>
      </c>
      <c r="K1005" s="3">
        <v>5</v>
      </c>
      <c r="L1005" s="3">
        <v>0</v>
      </c>
      <c r="M1005" s="3">
        <v>0</v>
      </c>
      <c r="N1005" s="3">
        <v>5</v>
      </c>
      <c r="O1005" s="3">
        <v>0.43</v>
      </c>
      <c r="P1005" s="3">
        <v>0</v>
      </c>
      <c r="Q1005" s="3">
        <v>0</v>
      </c>
      <c r="R1005" s="3">
        <v>0</v>
      </c>
    </row>
    <row r="1006" spans="1:18">
      <c r="A1006" s="3" t="s">
        <v>3399</v>
      </c>
      <c r="B1006" s="3" t="s">
        <v>3400</v>
      </c>
      <c r="C1006" s="3" t="s">
        <v>3401</v>
      </c>
      <c r="D1006" s="3" t="s">
        <v>3402</v>
      </c>
      <c r="E1006" s="3" t="s">
        <v>1710</v>
      </c>
      <c r="F1006" s="3">
        <v>29.99</v>
      </c>
      <c r="G1006" s="3" t="s">
        <v>6233</v>
      </c>
      <c r="H1006" s="3"/>
      <c r="I1006" s="3" t="s">
        <v>6234</v>
      </c>
      <c r="J1006" s="3">
        <v>2</v>
      </c>
      <c r="K1006" s="3">
        <v>2</v>
      </c>
      <c r="L1006" s="3">
        <v>0</v>
      </c>
      <c r="M1006" s="3">
        <v>0</v>
      </c>
      <c r="N1006" s="3">
        <v>2</v>
      </c>
      <c r="O1006" s="3">
        <v>0.43</v>
      </c>
      <c r="P1006" s="3">
        <v>0</v>
      </c>
      <c r="Q1006" s="3">
        <v>0</v>
      </c>
      <c r="R1006" s="3">
        <v>0</v>
      </c>
    </row>
    <row r="1007" spans="1:18">
      <c r="A1007" s="3" t="s">
        <v>252</v>
      </c>
      <c r="B1007" s="3" t="s">
        <v>253</v>
      </c>
      <c r="C1007" s="3" t="s">
        <v>254</v>
      </c>
      <c r="D1007" s="3" t="s">
        <v>255</v>
      </c>
      <c r="E1007" s="3" t="s">
        <v>1710</v>
      </c>
      <c r="F1007" s="3">
        <v>29.99</v>
      </c>
      <c r="G1007" s="3" t="s">
        <v>6233</v>
      </c>
      <c r="H1007" s="3"/>
      <c r="I1007" s="3" t="s">
        <v>6234</v>
      </c>
      <c r="J1007" s="3">
        <v>3</v>
      </c>
      <c r="K1007" s="3">
        <v>2</v>
      </c>
      <c r="L1007" s="3">
        <v>0</v>
      </c>
      <c r="M1007" s="3">
        <v>1</v>
      </c>
      <c r="N1007" s="3">
        <v>3</v>
      </c>
      <c r="O1007" s="3">
        <v>0.55</v>
      </c>
      <c r="P1007" s="3">
        <v>0</v>
      </c>
      <c r="Q1007" s="3">
        <v>0</v>
      </c>
      <c r="R1007" s="3">
        <v>0</v>
      </c>
    </row>
    <row r="1008" spans="1:18">
      <c r="A1008" s="3" t="s">
        <v>4143</v>
      </c>
      <c r="B1008" s="3" t="s">
        <v>4144</v>
      </c>
      <c r="C1008" s="3" t="s">
        <v>4145</v>
      </c>
      <c r="D1008" s="3" t="s">
        <v>3838</v>
      </c>
      <c r="E1008" s="3" t="s">
        <v>1710</v>
      </c>
      <c r="F1008" s="3">
        <v>29.99</v>
      </c>
      <c r="G1008" s="3" t="s">
        <v>6233</v>
      </c>
      <c r="H1008" s="3"/>
      <c r="I1008" s="3" t="s">
        <v>6234</v>
      </c>
      <c r="J1008" s="3">
        <v>4</v>
      </c>
      <c r="K1008" s="3">
        <v>4</v>
      </c>
      <c r="L1008" s="3">
        <v>0</v>
      </c>
      <c r="M1008" s="3">
        <v>0</v>
      </c>
      <c r="N1008" s="3">
        <v>4</v>
      </c>
      <c r="O1008" s="3">
        <v>0.43</v>
      </c>
      <c r="P1008" s="3">
        <v>0</v>
      </c>
      <c r="Q1008" s="3">
        <v>0</v>
      </c>
      <c r="R1008" s="3">
        <v>0</v>
      </c>
    </row>
    <row r="1009" spans="1:18">
      <c r="A1009" s="3" t="s">
        <v>4690</v>
      </c>
      <c r="B1009" s="3" t="s">
        <v>4691</v>
      </c>
      <c r="C1009" s="3" t="s">
        <v>4692</v>
      </c>
      <c r="D1009" s="3" t="s">
        <v>3838</v>
      </c>
      <c r="E1009" s="3" t="s">
        <v>1710</v>
      </c>
      <c r="F1009" s="3">
        <v>29.99</v>
      </c>
      <c r="G1009" s="3" t="s">
        <v>6233</v>
      </c>
      <c r="H1009" s="3"/>
      <c r="I1009" s="3" t="s">
        <v>6234</v>
      </c>
      <c r="J1009" s="3">
        <v>3</v>
      </c>
      <c r="K1009" s="3">
        <v>3</v>
      </c>
      <c r="L1009" s="3">
        <v>0</v>
      </c>
      <c r="M1009" s="3">
        <v>0</v>
      </c>
      <c r="N1009" s="3">
        <v>3</v>
      </c>
      <c r="O1009" s="3">
        <v>0.43</v>
      </c>
      <c r="P1009" s="3">
        <v>0</v>
      </c>
      <c r="Q1009" s="3">
        <v>0</v>
      </c>
      <c r="R1009" s="3">
        <v>0</v>
      </c>
    </row>
    <row r="1010" spans="1:18">
      <c r="A1010" s="3" t="s">
        <v>3333</v>
      </c>
      <c r="B1010" s="3" t="s">
        <v>3334</v>
      </c>
      <c r="C1010" s="3" t="s">
        <v>3335</v>
      </c>
      <c r="D1010" s="3" t="s">
        <v>2487</v>
      </c>
      <c r="E1010" s="3" t="s">
        <v>1710</v>
      </c>
      <c r="F1010" s="3">
        <v>29.99</v>
      </c>
      <c r="G1010" s="3" t="s">
        <v>6233</v>
      </c>
      <c r="H1010" s="3"/>
      <c r="I1010" s="3" t="s">
        <v>6234</v>
      </c>
      <c r="J1010" s="3">
        <v>2</v>
      </c>
      <c r="K1010" s="3">
        <v>2</v>
      </c>
      <c r="L1010" s="3">
        <v>0</v>
      </c>
      <c r="M1010" s="3">
        <v>0</v>
      </c>
      <c r="N1010" s="3">
        <v>2</v>
      </c>
      <c r="O1010" s="3">
        <v>0.43</v>
      </c>
      <c r="P1010" s="3">
        <v>0</v>
      </c>
      <c r="Q1010" s="3">
        <v>0</v>
      </c>
      <c r="R1010" s="3">
        <v>0</v>
      </c>
    </row>
    <row r="1011" spans="1:18">
      <c r="A1011" s="3" t="s">
        <v>4465</v>
      </c>
      <c r="B1011" s="3" t="s">
        <v>4466</v>
      </c>
      <c r="C1011" s="3" t="s">
        <v>4467</v>
      </c>
      <c r="D1011" s="3" t="s">
        <v>3402</v>
      </c>
      <c r="E1011" s="3" t="s">
        <v>1710</v>
      </c>
      <c r="F1011" s="3">
        <v>29.99</v>
      </c>
      <c r="G1011" s="3" t="s">
        <v>6233</v>
      </c>
      <c r="H1011" s="3"/>
      <c r="I1011" s="3" t="s">
        <v>6234</v>
      </c>
      <c r="J1011" s="3">
        <v>4</v>
      </c>
      <c r="K1011" s="3">
        <v>4</v>
      </c>
      <c r="L1011" s="3">
        <v>0</v>
      </c>
      <c r="M1011" s="3">
        <v>0</v>
      </c>
      <c r="N1011" s="3">
        <v>4</v>
      </c>
      <c r="O1011" s="3">
        <v>0.43</v>
      </c>
      <c r="P1011" s="3">
        <v>0</v>
      </c>
      <c r="Q1011" s="3">
        <v>0</v>
      </c>
      <c r="R1011" s="3">
        <v>0</v>
      </c>
    </row>
    <row r="1012" spans="1:18">
      <c r="A1012" s="3" t="s">
        <v>2087</v>
      </c>
      <c r="B1012" s="3" t="s">
        <v>2088</v>
      </c>
      <c r="C1012" s="3" t="s">
        <v>2089</v>
      </c>
      <c r="D1012" s="3" t="s">
        <v>255</v>
      </c>
      <c r="E1012" s="3" t="s">
        <v>1710</v>
      </c>
      <c r="F1012" s="3">
        <v>29.99</v>
      </c>
      <c r="G1012" s="3" t="s">
        <v>6233</v>
      </c>
      <c r="H1012" s="3"/>
      <c r="I1012" s="3" t="s">
        <v>6234</v>
      </c>
      <c r="J1012" s="3">
        <v>3</v>
      </c>
      <c r="K1012" s="3">
        <v>3</v>
      </c>
      <c r="L1012" s="3">
        <v>0</v>
      </c>
      <c r="M1012" s="3">
        <v>0</v>
      </c>
      <c r="N1012" s="3">
        <v>3</v>
      </c>
      <c r="O1012" s="3">
        <v>0.32</v>
      </c>
      <c r="P1012" s="3">
        <v>0</v>
      </c>
      <c r="Q1012" s="3">
        <v>0</v>
      </c>
      <c r="R1012" s="3">
        <v>0</v>
      </c>
    </row>
    <row r="1013" spans="1:18">
      <c r="A1013" s="3" t="s">
        <v>4736</v>
      </c>
      <c r="B1013" s="3" t="s">
        <v>4737</v>
      </c>
      <c r="C1013" s="3" t="s">
        <v>4738</v>
      </c>
      <c r="D1013" s="3" t="s">
        <v>4739</v>
      </c>
      <c r="E1013" s="3" t="s">
        <v>1710</v>
      </c>
      <c r="F1013" s="3">
        <v>29.99</v>
      </c>
      <c r="G1013" s="3" t="s">
        <v>6233</v>
      </c>
      <c r="H1013" s="3"/>
      <c r="I1013" s="3" t="s">
        <v>6234</v>
      </c>
      <c r="J1013" s="3">
        <v>3</v>
      </c>
      <c r="K1013" s="3">
        <v>3</v>
      </c>
      <c r="L1013" s="3">
        <v>0</v>
      </c>
      <c r="M1013" s="3">
        <v>0</v>
      </c>
      <c r="N1013" s="3">
        <v>3</v>
      </c>
      <c r="O1013" s="3">
        <v>0.32</v>
      </c>
      <c r="P1013" s="3">
        <v>0</v>
      </c>
      <c r="Q1013" s="3">
        <v>0</v>
      </c>
      <c r="R1013" s="3">
        <v>0</v>
      </c>
    </row>
    <row r="1014" spans="1:18">
      <c r="A1014" s="3" t="s">
        <v>6009</v>
      </c>
      <c r="B1014" s="3" t="s">
        <v>6010</v>
      </c>
      <c r="C1014" s="3" t="s">
        <v>6011</v>
      </c>
      <c r="D1014" s="3" t="s">
        <v>3834</v>
      </c>
      <c r="E1014" s="3" t="s">
        <v>1710</v>
      </c>
      <c r="F1014" s="3">
        <v>29.99</v>
      </c>
      <c r="G1014" s="3" t="s">
        <v>6233</v>
      </c>
      <c r="H1014" s="3"/>
      <c r="I1014" s="3" t="s">
        <v>6234</v>
      </c>
      <c r="J1014" s="3">
        <v>3</v>
      </c>
      <c r="K1014" s="3">
        <v>3</v>
      </c>
      <c r="L1014" s="3">
        <v>0</v>
      </c>
      <c r="M1014" s="3">
        <v>0</v>
      </c>
      <c r="N1014" s="3">
        <v>3</v>
      </c>
      <c r="O1014" s="3">
        <v>0.43</v>
      </c>
      <c r="P1014" s="3">
        <v>0</v>
      </c>
      <c r="Q1014" s="3">
        <v>0</v>
      </c>
      <c r="R1014" s="3">
        <v>0</v>
      </c>
    </row>
    <row r="1015" spans="1:18">
      <c r="A1015" s="3" t="s">
        <v>5694</v>
      </c>
      <c r="B1015" s="3" t="s">
        <v>5695</v>
      </c>
      <c r="C1015" s="3" t="s">
        <v>5696</v>
      </c>
      <c r="D1015" s="3" t="s">
        <v>4920</v>
      </c>
      <c r="E1015" s="3" t="s">
        <v>1710</v>
      </c>
      <c r="F1015" s="3">
        <v>29.99</v>
      </c>
      <c r="G1015" s="3" t="s">
        <v>6233</v>
      </c>
      <c r="H1015" s="3"/>
      <c r="I1015" s="3" t="s">
        <v>6234</v>
      </c>
      <c r="J1015" s="3">
        <v>3</v>
      </c>
      <c r="K1015" s="3">
        <v>3</v>
      </c>
      <c r="L1015" s="3">
        <v>0</v>
      </c>
      <c r="M1015" s="3">
        <v>0</v>
      </c>
      <c r="N1015" s="3">
        <v>3</v>
      </c>
      <c r="O1015" s="3">
        <v>0.32</v>
      </c>
      <c r="P1015" s="3">
        <v>0</v>
      </c>
      <c r="Q1015" s="3">
        <v>0</v>
      </c>
      <c r="R1015" s="3">
        <v>0</v>
      </c>
    </row>
    <row r="1016" spans="1:18">
      <c r="A1016" s="3" t="s">
        <v>5797</v>
      </c>
      <c r="B1016" s="3" t="s">
        <v>5798</v>
      </c>
      <c r="C1016" s="3" t="s">
        <v>5799</v>
      </c>
      <c r="D1016" s="3" t="s">
        <v>2402</v>
      </c>
      <c r="E1016" s="3" t="s">
        <v>1710</v>
      </c>
      <c r="F1016" s="3">
        <v>29.99</v>
      </c>
      <c r="G1016" s="3" t="s">
        <v>6233</v>
      </c>
      <c r="H1016" s="3"/>
      <c r="I1016" s="3" t="s">
        <v>6234</v>
      </c>
      <c r="J1016" s="3">
        <v>6</v>
      </c>
      <c r="K1016" s="3">
        <v>6</v>
      </c>
      <c r="L1016" s="3">
        <v>0</v>
      </c>
      <c r="M1016" s="3">
        <v>0</v>
      </c>
      <c r="N1016" s="3">
        <v>6</v>
      </c>
      <c r="O1016" s="3">
        <v>0.32</v>
      </c>
      <c r="P1016" s="3">
        <v>0</v>
      </c>
      <c r="Q1016" s="3">
        <v>0</v>
      </c>
      <c r="R1016" s="3">
        <v>0</v>
      </c>
    </row>
    <row r="1017" spans="1:18">
      <c r="A1017" s="3" t="s">
        <v>4805</v>
      </c>
      <c r="B1017" s="3" t="s">
        <v>4806</v>
      </c>
      <c r="C1017" s="3" t="s">
        <v>4807</v>
      </c>
      <c r="D1017" s="3" t="s">
        <v>4739</v>
      </c>
      <c r="E1017" s="3" t="s">
        <v>1710</v>
      </c>
      <c r="F1017" s="3">
        <v>29.99</v>
      </c>
      <c r="G1017" s="3" t="s">
        <v>6233</v>
      </c>
      <c r="H1017" s="3"/>
      <c r="I1017" s="3" t="s">
        <v>6234</v>
      </c>
      <c r="J1017" s="3">
        <v>4</v>
      </c>
      <c r="K1017" s="3">
        <v>4</v>
      </c>
      <c r="L1017" s="3">
        <v>0</v>
      </c>
      <c r="M1017" s="3">
        <v>0</v>
      </c>
      <c r="N1017" s="3">
        <v>4</v>
      </c>
      <c r="O1017" s="3">
        <v>0.32</v>
      </c>
      <c r="P1017" s="3">
        <v>0</v>
      </c>
      <c r="Q1017" s="3">
        <v>0</v>
      </c>
      <c r="R1017" s="3">
        <v>0</v>
      </c>
    </row>
    <row r="1018" spans="1:18">
      <c r="A1018" s="3" t="s">
        <v>3831</v>
      </c>
      <c r="B1018" s="3" t="s">
        <v>3832</v>
      </c>
      <c r="C1018" s="3" t="s">
        <v>3833</v>
      </c>
      <c r="D1018" s="3" t="s">
        <v>3834</v>
      </c>
      <c r="E1018" s="3" t="s">
        <v>1710</v>
      </c>
      <c r="F1018" s="3">
        <v>29.99</v>
      </c>
      <c r="G1018" s="3" t="s">
        <v>6233</v>
      </c>
      <c r="H1018" s="3"/>
      <c r="I1018" s="3" t="s">
        <v>6234</v>
      </c>
      <c r="J1018" s="3">
        <v>3</v>
      </c>
      <c r="K1018" s="3">
        <v>3</v>
      </c>
      <c r="L1018" s="3">
        <v>0</v>
      </c>
      <c r="M1018" s="3">
        <v>0</v>
      </c>
      <c r="N1018" s="3">
        <v>3</v>
      </c>
      <c r="O1018" s="3">
        <v>0.43</v>
      </c>
      <c r="P1018" s="3">
        <v>0</v>
      </c>
      <c r="Q1018" s="3">
        <v>0</v>
      </c>
      <c r="R1018" s="3">
        <v>0</v>
      </c>
    </row>
    <row r="1019" spans="1:18">
      <c r="A1019" s="3" t="s">
        <v>4917</v>
      </c>
      <c r="B1019" s="3" t="s">
        <v>4918</v>
      </c>
      <c r="C1019" s="3" t="s">
        <v>4919</v>
      </c>
      <c r="D1019" s="3" t="s">
        <v>4920</v>
      </c>
      <c r="E1019" s="3" t="s">
        <v>1710</v>
      </c>
      <c r="F1019" s="3">
        <v>29.99</v>
      </c>
      <c r="G1019" s="3" t="s">
        <v>6233</v>
      </c>
      <c r="H1019" s="3"/>
      <c r="I1019" s="3" t="s">
        <v>6234</v>
      </c>
      <c r="J1019" s="3">
        <v>4</v>
      </c>
      <c r="K1019" s="3">
        <v>4</v>
      </c>
      <c r="L1019" s="3">
        <v>0</v>
      </c>
      <c r="M1019" s="3">
        <v>0</v>
      </c>
      <c r="N1019" s="3">
        <v>4</v>
      </c>
      <c r="O1019" s="3">
        <v>0.43</v>
      </c>
      <c r="P1019" s="3">
        <v>0</v>
      </c>
      <c r="Q1019" s="3">
        <v>0</v>
      </c>
      <c r="R1019" s="3">
        <v>0</v>
      </c>
    </row>
    <row r="1020" spans="1:18">
      <c r="A1020" s="3" t="s">
        <v>2399</v>
      </c>
      <c r="B1020" s="3" t="s">
        <v>2400</v>
      </c>
      <c r="C1020" s="3" t="s">
        <v>2401</v>
      </c>
      <c r="D1020" s="3" t="s">
        <v>2402</v>
      </c>
      <c r="E1020" s="3" t="s">
        <v>1710</v>
      </c>
      <c r="F1020" s="3">
        <v>29.99</v>
      </c>
      <c r="G1020" s="3" t="s">
        <v>6233</v>
      </c>
      <c r="H1020" s="3"/>
      <c r="I1020" s="3" t="s">
        <v>6234</v>
      </c>
      <c r="J1020" s="3">
        <v>4</v>
      </c>
      <c r="K1020" s="3">
        <v>4</v>
      </c>
      <c r="L1020" s="3">
        <v>0</v>
      </c>
      <c r="M1020" s="3">
        <v>0</v>
      </c>
      <c r="N1020" s="3">
        <v>4</v>
      </c>
      <c r="O1020" s="3">
        <v>0.43</v>
      </c>
      <c r="P1020" s="3">
        <v>0</v>
      </c>
      <c r="Q1020" s="3">
        <v>0</v>
      </c>
      <c r="R1020" s="3">
        <v>0</v>
      </c>
    </row>
    <row r="1021" spans="1:18">
      <c r="A1021" s="3" t="s">
        <v>7688</v>
      </c>
      <c r="B1021" s="3" t="s">
        <v>7689</v>
      </c>
      <c r="C1021" s="3" t="s">
        <v>7690</v>
      </c>
      <c r="D1021" s="3" t="s">
        <v>7691</v>
      </c>
      <c r="E1021" s="3" t="s">
        <v>1710</v>
      </c>
      <c r="F1021" s="3">
        <v>59.99</v>
      </c>
      <c r="G1021" s="3" t="s">
        <v>6233</v>
      </c>
      <c r="H1021" s="3"/>
      <c r="I1021" s="3" t="s">
        <v>6234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0.32</v>
      </c>
      <c r="P1021" s="3">
        <v>0</v>
      </c>
      <c r="Q1021" s="3">
        <v>0</v>
      </c>
      <c r="R1021" s="3">
        <v>0</v>
      </c>
    </row>
    <row r="1022" spans="1:18">
      <c r="A1022" s="3" t="s">
        <v>6205</v>
      </c>
      <c r="B1022" s="3" t="s">
        <v>6206</v>
      </c>
      <c r="C1022" s="3" t="s">
        <v>6207</v>
      </c>
      <c r="D1022" s="3" t="s">
        <v>6208</v>
      </c>
      <c r="E1022" s="3" t="s">
        <v>1710</v>
      </c>
      <c r="F1022" s="3">
        <v>59.99</v>
      </c>
      <c r="G1022" s="3" t="s">
        <v>6233</v>
      </c>
      <c r="H1022" s="3"/>
      <c r="I1022" s="3" t="s">
        <v>6234</v>
      </c>
      <c r="J1022" s="3">
        <v>13</v>
      </c>
      <c r="K1022" s="3">
        <v>13</v>
      </c>
      <c r="L1022" s="3">
        <v>0</v>
      </c>
      <c r="M1022" s="3">
        <v>0</v>
      </c>
      <c r="N1022" s="3">
        <v>13</v>
      </c>
      <c r="O1022" s="3">
        <v>0.32</v>
      </c>
      <c r="P1022" s="3">
        <v>0</v>
      </c>
      <c r="Q1022" s="3">
        <v>0</v>
      </c>
      <c r="R1022" s="3">
        <v>0</v>
      </c>
    </row>
    <row r="1023" spans="1:18">
      <c r="A1023" s="3" t="s">
        <v>4344</v>
      </c>
      <c r="B1023" s="3" t="s">
        <v>4345</v>
      </c>
      <c r="C1023" s="3" t="s">
        <v>4346</v>
      </c>
      <c r="D1023" s="3" t="s">
        <v>4347</v>
      </c>
      <c r="E1023" s="3" t="s">
        <v>1710</v>
      </c>
      <c r="F1023" s="3">
        <v>59.99</v>
      </c>
      <c r="G1023" s="3" t="s">
        <v>6233</v>
      </c>
      <c r="H1023" s="3"/>
      <c r="I1023" s="3" t="s">
        <v>6234</v>
      </c>
      <c r="J1023" s="3">
        <v>14</v>
      </c>
      <c r="K1023" s="3">
        <v>14</v>
      </c>
      <c r="L1023" s="3">
        <v>0</v>
      </c>
      <c r="M1023" s="3">
        <v>0</v>
      </c>
      <c r="N1023" s="3">
        <v>14</v>
      </c>
      <c r="O1023" s="3">
        <v>0.32</v>
      </c>
      <c r="P1023" s="3">
        <v>0</v>
      </c>
      <c r="Q1023" s="3">
        <v>0</v>
      </c>
      <c r="R1023" s="3">
        <v>0</v>
      </c>
    </row>
    <row r="1024" spans="1:18">
      <c r="A1024" s="3" t="s">
        <v>4495</v>
      </c>
      <c r="B1024" s="3" t="s">
        <v>4496</v>
      </c>
      <c r="C1024" s="3" t="s">
        <v>4497</v>
      </c>
      <c r="D1024" s="3" t="s">
        <v>1940</v>
      </c>
      <c r="E1024" s="3" t="s">
        <v>1710</v>
      </c>
      <c r="F1024" s="3">
        <v>59.99</v>
      </c>
      <c r="G1024" s="3" t="s">
        <v>6233</v>
      </c>
      <c r="H1024" s="3"/>
      <c r="I1024" s="3" t="s">
        <v>6234</v>
      </c>
      <c r="J1024" s="3">
        <v>15</v>
      </c>
      <c r="K1024" s="3">
        <v>15</v>
      </c>
      <c r="L1024" s="3">
        <v>0</v>
      </c>
      <c r="M1024" s="3">
        <v>0</v>
      </c>
      <c r="N1024" s="3">
        <v>15</v>
      </c>
      <c r="O1024" s="3">
        <v>0.32</v>
      </c>
      <c r="P1024" s="3">
        <v>0</v>
      </c>
      <c r="Q1024" s="3">
        <v>0</v>
      </c>
      <c r="R1024" s="3">
        <v>0</v>
      </c>
    </row>
    <row r="1025" spans="1:18">
      <c r="A1025" s="3" t="s">
        <v>7692</v>
      </c>
      <c r="B1025" s="3" t="s">
        <v>7693</v>
      </c>
      <c r="C1025" s="3" t="s">
        <v>7694</v>
      </c>
      <c r="D1025" s="3" t="s">
        <v>4150</v>
      </c>
      <c r="E1025" s="3" t="s">
        <v>1710</v>
      </c>
      <c r="F1025" s="3">
        <v>59.99</v>
      </c>
      <c r="G1025" s="3" t="s">
        <v>6233</v>
      </c>
      <c r="H1025" s="3"/>
      <c r="I1025" s="3" t="s">
        <v>6234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0.32</v>
      </c>
      <c r="P1025" s="3">
        <v>0</v>
      </c>
      <c r="Q1025" s="3">
        <v>0</v>
      </c>
      <c r="R1025" s="3">
        <v>0</v>
      </c>
    </row>
    <row r="1026" spans="1:18">
      <c r="A1026" s="3" t="s">
        <v>5687</v>
      </c>
      <c r="B1026" s="3" t="s">
        <v>5688</v>
      </c>
      <c r="C1026" s="3" t="s">
        <v>5689</v>
      </c>
      <c r="D1026" s="3" t="s">
        <v>4697</v>
      </c>
      <c r="E1026" s="3" t="s">
        <v>1710</v>
      </c>
      <c r="F1026" s="3">
        <v>59.99</v>
      </c>
      <c r="G1026" s="3" t="s">
        <v>6233</v>
      </c>
      <c r="H1026" s="3"/>
      <c r="I1026" s="3" t="s">
        <v>6234</v>
      </c>
      <c r="J1026" s="3">
        <v>21</v>
      </c>
      <c r="K1026" s="3">
        <v>21</v>
      </c>
      <c r="L1026" s="3">
        <v>0</v>
      </c>
      <c r="M1026" s="3">
        <v>0</v>
      </c>
      <c r="N1026" s="3">
        <v>21</v>
      </c>
      <c r="O1026" s="3">
        <v>0.32</v>
      </c>
      <c r="P1026" s="3">
        <v>0</v>
      </c>
      <c r="Q1026" s="3">
        <v>0</v>
      </c>
      <c r="R1026" s="3">
        <v>0</v>
      </c>
    </row>
    <row r="1027" spans="1:18">
      <c r="A1027" s="3" t="s">
        <v>4987</v>
      </c>
      <c r="B1027" s="3" t="s">
        <v>4988</v>
      </c>
      <c r="C1027" s="3" t="s">
        <v>4989</v>
      </c>
      <c r="D1027" s="3" t="s">
        <v>3621</v>
      </c>
      <c r="E1027" s="3" t="s">
        <v>1710</v>
      </c>
      <c r="F1027" s="3">
        <v>59.99</v>
      </c>
      <c r="G1027" s="3" t="s">
        <v>6233</v>
      </c>
      <c r="H1027" s="3"/>
      <c r="I1027" s="3" t="s">
        <v>6234</v>
      </c>
      <c r="J1027" s="3">
        <v>9</v>
      </c>
      <c r="K1027" s="3">
        <v>9</v>
      </c>
      <c r="L1027" s="3">
        <v>0</v>
      </c>
      <c r="M1027" s="3">
        <v>0</v>
      </c>
      <c r="N1027" s="3">
        <v>9</v>
      </c>
      <c r="O1027" s="3">
        <v>0.32</v>
      </c>
      <c r="P1027" s="3">
        <v>0</v>
      </c>
      <c r="Q1027" s="3">
        <v>0</v>
      </c>
      <c r="R1027" s="3">
        <v>0</v>
      </c>
    </row>
    <row r="1028" spans="1:18">
      <c r="A1028" s="3" t="s">
        <v>6053</v>
      </c>
      <c r="B1028" s="3" t="s">
        <v>6054</v>
      </c>
      <c r="C1028" s="3" t="s">
        <v>6055</v>
      </c>
      <c r="D1028" s="3" t="s">
        <v>2605</v>
      </c>
      <c r="E1028" s="3" t="s">
        <v>1710</v>
      </c>
      <c r="F1028" s="3">
        <v>59.99</v>
      </c>
      <c r="G1028" s="3" t="s">
        <v>6233</v>
      </c>
      <c r="H1028" s="3"/>
      <c r="I1028" s="3" t="s">
        <v>6234</v>
      </c>
      <c r="J1028" s="3">
        <v>28</v>
      </c>
      <c r="K1028" s="3">
        <v>28</v>
      </c>
      <c r="L1028" s="3">
        <v>0</v>
      </c>
      <c r="M1028" s="3">
        <v>0</v>
      </c>
      <c r="N1028" s="3">
        <v>28</v>
      </c>
      <c r="O1028" s="3">
        <v>0.32</v>
      </c>
      <c r="P1028" s="3">
        <v>0</v>
      </c>
      <c r="Q1028" s="3">
        <v>0</v>
      </c>
      <c r="R1028" s="3">
        <v>0</v>
      </c>
    </row>
    <row r="1029" spans="1:18">
      <c r="A1029" s="3" t="s">
        <v>7695</v>
      </c>
      <c r="B1029" s="3" t="s">
        <v>7696</v>
      </c>
      <c r="C1029" s="3" t="s">
        <v>7697</v>
      </c>
      <c r="D1029" s="3" t="s">
        <v>4518</v>
      </c>
      <c r="E1029" s="3" t="s">
        <v>1710</v>
      </c>
      <c r="F1029" s="3">
        <v>59.99</v>
      </c>
      <c r="G1029" s="3" t="s">
        <v>6233</v>
      </c>
      <c r="H1029" s="3"/>
      <c r="I1029" s="3" t="s">
        <v>6234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0.32</v>
      </c>
      <c r="P1029" s="3">
        <v>0</v>
      </c>
      <c r="Q1029" s="3">
        <v>0</v>
      </c>
      <c r="R1029" s="3">
        <v>0</v>
      </c>
    </row>
    <row r="1030" spans="1:18">
      <c r="A1030" s="3" t="s">
        <v>7698</v>
      </c>
      <c r="B1030" s="3" t="s">
        <v>7699</v>
      </c>
      <c r="C1030" s="3" t="s">
        <v>7700</v>
      </c>
      <c r="D1030" s="3" t="s">
        <v>2287</v>
      </c>
      <c r="E1030" s="3" t="s">
        <v>1710</v>
      </c>
      <c r="F1030" s="3">
        <v>59.99</v>
      </c>
      <c r="G1030" s="3" t="s">
        <v>6233</v>
      </c>
      <c r="H1030" s="3"/>
      <c r="I1030" s="3" t="s">
        <v>6234</v>
      </c>
      <c r="J1030" s="3">
        <v>1</v>
      </c>
      <c r="K1030" s="3">
        <v>0</v>
      </c>
      <c r="L1030" s="3">
        <v>1</v>
      </c>
      <c r="M1030" s="3">
        <v>0</v>
      </c>
      <c r="N1030" s="3">
        <v>1</v>
      </c>
      <c r="O1030" s="3">
        <v>0.32</v>
      </c>
      <c r="P1030" s="3">
        <v>0</v>
      </c>
      <c r="Q1030" s="3">
        <v>0</v>
      </c>
      <c r="R1030" s="3">
        <v>0</v>
      </c>
    </row>
    <row r="1031" spans="1:18">
      <c r="A1031" s="3" t="s">
        <v>3697</v>
      </c>
      <c r="B1031" s="3" t="s">
        <v>3698</v>
      </c>
      <c r="C1031" s="3" t="s">
        <v>3699</v>
      </c>
      <c r="D1031" s="3" t="s">
        <v>3700</v>
      </c>
      <c r="E1031" s="3" t="s">
        <v>1710</v>
      </c>
      <c r="F1031" s="3">
        <v>59.99</v>
      </c>
      <c r="G1031" s="3" t="s">
        <v>6233</v>
      </c>
      <c r="H1031" s="3"/>
      <c r="I1031" s="3" t="s">
        <v>6234</v>
      </c>
      <c r="J1031" s="3">
        <v>36</v>
      </c>
      <c r="K1031" s="3">
        <v>36</v>
      </c>
      <c r="L1031" s="3">
        <v>0</v>
      </c>
      <c r="M1031" s="3">
        <v>0</v>
      </c>
      <c r="N1031" s="3">
        <v>36</v>
      </c>
      <c r="O1031" s="3">
        <v>0.32</v>
      </c>
      <c r="P1031" s="3">
        <v>0</v>
      </c>
      <c r="Q1031" s="3">
        <v>0</v>
      </c>
      <c r="R1031" s="3">
        <v>0</v>
      </c>
    </row>
    <row r="1032" spans="1:18">
      <c r="A1032" s="3" t="s">
        <v>256</v>
      </c>
      <c r="B1032" s="3" t="s">
        <v>257</v>
      </c>
      <c r="C1032" s="3" t="s">
        <v>258</v>
      </c>
      <c r="D1032" s="3" t="s">
        <v>259</v>
      </c>
      <c r="E1032" s="3" t="s">
        <v>1710</v>
      </c>
      <c r="F1032" s="3">
        <v>59.99</v>
      </c>
      <c r="G1032" s="3" t="s">
        <v>6233</v>
      </c>
      <c r="H1032" s="3"/>
      <c r="I1032" s="3" t="s">
        <v>6234</v>
      </c>
      <c r="J1032" s="3">
        <v>41</v>
      </c>
      <c r="K1032" s="3">
        <v>39</v>
      </c>
      <c r="L1032" s="3">
        <v>0</v>
      </c>
      <c r="M1032" s="3">
        <v>2</v>
      </c>
      <c r="N1032" s="3">
        <v>41</v>
      </c>
      <c r="O1032" s="3">
        <v>0.32</v>
      </c>
      <c r="P1032" s="3">
        <v>0</v>
      </c>
      <c r="Q1032" s="3">
        <v>0</v>
      </c>
      <c r="R1032" s="3">
        <v>0</v>
      </c>
    </row>
    <row r="1033" spans="1:18">
      <c r="A1033" s="3" t="s">
        <v>5217</v>
      </c>
      <c r="B1033" s="3" t="s">
        <v>5218</v>
      </c>
      <c r="C1033" s="3" t="s">
        <v>5219</v>
      </c>
      <c r="D1033" s="3" t="s">
        <v>4347</v>
      </c>
      <c r="E1033" s="3" t="s">
        <v>1710</v>
      </c>
      <c r="F1033" s="3">
        <v>59.99</v>
      </c>
      <c r="G1033" s="3" t="s">
        <v>6233</v>
      </c>
      <c r="H1033" s="3"/>
      <c r="I1033" s="3" t="s">
        <v>6234</v>
      </c>
      <c r="J1033" s="3">
        <v>42</v>
      </c>
      <c r="K1033" s="3">
        <v>42</v>
      </c>
      <c r="L1033" s="3">
        <v>0</v>
      </c>
      <c r="M1033" s="3">
        <v>0</v>
      </c>
      <c r="N1033" s="3">
        <v>42</v>
      </c>
      <c r="O1033" s="3">
        <v>0.32</v>
      </c>
      <c r="P1033" s="3">
        <v>0</v>
      </c>
      <c r="Q1033" s="3">
        <v>0</v>
      </c>
      <c r="R1033" s="3">
        <v>0</v>
      </c>
    </row>
    <row r="1034" spans="1:18">
      <c r="A1034" s="3" t="s">
        <v>4589</v>
      </c>
      <c r="B1034" s="3" t="s">
        <v>4590</v>
      </c>
      <c r="C1034" s="3" t="s">
        <v>4591</v>
      </c>
      <c r="D1034" s="3" t="s">
        <v>1940</v>
      </c>
      <c r="E1034" s="3" t="s">
        <v>1710</v>
      </c>
      <c r="F1034" s="3">
        <v>59.99</v>
      </c>
      <c r="G1034" s="3" t="s">
        <v>6233</v>
      </c>
      <c r="H1034" s="3"/>
      <c r="I1034" s="3" t="s">
        <v>6234</v>
      </c>
      <c r="J1034" s="3">
        <v>19</v>
      </c>
      <c r="K1034" s="3">
        <v>19</v>
      </c>
      <c r="L1034" s="3">
        <v>0</v>
      </c>
      <c r="M1034" s="3">
        <v>0</v>
      </c>
      <c r="N1034" s="3">
        <v>19</v>
      </c>
      <c r="O1034" s="3">
        <v>0.32</v>
      </c>
      <c r="P1034" s="3">
        <v>0</v>
      </c>
      <c r="Q1034" s="3">
        <v>0</v>
      </c>
      <c r="R1034" s="3">
        <v>0</v>
      </c>
    </row>
    <row r="1035" spans="1:18">
      <c r="A1035" s="3" t="s">
        <v>4519</v>
      </c>
      <c r="B1035" s="3" t="s">
        <v>4520</v>
      </c>
      <c r="C1035" s="3" t="s">
        <v>4521</v>
      </c>
      <c r="D1035" s="3" t="s">
        <v>4150</v>
      </c>
      <c r="E1035" s="3" t="s">
        <v>1710</v>
      </c>
      <c r="F1035" s="3">
        <v>59.99</v>
      </c>
      <c r="G1035" s="3" t="s">
        <v>6233</v>
      </c>
      <c r="H1035" s="3"/>
      <c r="I1035" s="3" t="s">
        <v>6234</v>
      </c>
      <c r="J1035" s="3">
        <v>11</v>
      </c>
      <c r="K1035" s="3">
        <v>11</v>
      </c>
      <c r="L1035" s="3">
        <v>0</v>
      </c>
      <c r="M1035" s="3">
        <v>0</v>
      </c>
      <c r="N1035" s="3">
        <v>11</v>
      </c>
      <c r="O1035" s="3">
        <v>0.32</v>
      </c>
      <c r="P1035" s="3">
        <v>0</v>
      </c>
      <c r="Q1035" s="3">
        <v>0</v>
      </c>
      <c r="R1035" s="3">
        <v>0</v>
      </c>
    </row>
    <row r="1036" spans="1:18">
      <c r="A1036" s="3" t="s">
        <v>5144</v>
      </c>
      <c r="B1036" s="3" t="s">
        <v>5145</v>
      </c>
      <c r="C1036" s="3" t="s">
        <v>5146</v>
      </c>
      <c r="D1036" s="3" t="s">
        <v>4697</v>
      </c>
      <c r="E1036" s="3" t="s">
        <v>1710</v>
      </c>
      <c r="F1036" s="3">
        <v>59.99</v>
      </c>
      <c r="G1036" s="3" t="s">
        <v>6233</v>
      </c>
      <c r="H1036" s="3"/>
      <c r="I1036" s="3" t="s">
        <v>6234</v>
      </c>
      <c r="J1036" s="3">
        <v>59</v>
      </c>
      <c r="K1036" s="3">
        <v>59</v>
      </c>
      <c r="L1036" s="3">
        <v>0</v>
      </c>
      <c r="M1036" s="3">
        <v>0</v>
      </c>
      <c r="N1036" s="3">
        <v>59</v>
      </c>
      <c r="O1036" s="3">
        <v>0.32</v>
      </c>
      <c r="P1036" s="3">
        <v>0</v>
      </c>
      <c r="Q1036" s="3">
        <v>0</v>
      </c>
      <c r="R1036" s="3">
        <v>0</v>
      </c>
    </row>
    <row r="1037" spans="1:18">
      <c r="A1037" s="3" t="s">
        <v>5029</v>
      </c>
      <c r="B1037" s="3" t="s">
        <v>5030</v>
      </c>
      <c r="C1037" s="3" t="s">
        <v>5031</v>
      </c>
      <c r="D1037" s="3" t="s">
        <v>3621</v>
      </c>
      <c r="E1037" s="3" t="s">
        <v>1710</v>
      </c>
      <c r="F1037" s="3">
        <v>59.99</v>
      </c>
      <c r="G1037" s="3" t="s">
        <v>6233</v>
      </c>
      <c r="H1037" s="3"/>
      <c r="I1037" s="3" t="s">
        <v>6234</v>
      </c>
      <c r="J1037" s="3">
        <v>17</v>
      </c>
      <c r="K1037" s="3">
        <v>17</v>
      </c>
      <c r="L1037" s="3">
        <v>0</v>
      </c>
      <c r="M1037" s="3">
        <v>0</v>
      </c>
      <c r="N1037" s="3">
        <v>17</v>
      </c>
      <c r="O1037" s="3">
        <v>0.32</v>
      </c>
      <c r="P1037" s="3">
        <v>0</v>
      </c>
      <c r="Q1037" s="3">
        <v>0</v>
      </c>
      <c r="R1037" s="3">
        <v>0</v>
      </c>
    </row>
    <row r="1038" spans="1:18">
      <c r="A1038" s="3" t="s">
        <v>4577</v>
      </c>
      <c r="B1038" s="3" t="s">
        <v>4578</v>
      </c>
      <c r="C1038" s="3" t="s">
        <v>4579</v>
      </c>
      <c r="D1038" s="3" t="s">
        <v>2605</v>
      </c>
      <c r="E1038" s="3" t="s">
        <v>1710</v>
      </c>
      <c r="F1038" s="3">
        <v>59.99</v>
      </c>
      <c r="G1038" s="3" t="s">
        <v>6233</v>
      </c>
      <c r="H1038" s="3"/>
      <c r="I1038" s="3" t="s">
        <v>6234</v>
      </c>
      <c r="J1038" s="3">
        <v>61</v>
      </c>
      <c r="K1038" s="3">
        <v>61</v>
      </c>
      <c r="L1038" s="3">
        <v>0</v>
      </c>
      <c r="M1038" s="3">
        <v>0</v>
      </c>
      <c r="N1038" s="3">
        <v>61</v>
      </c>
      <c r="O1038" s="3">
        <v>0.32</v>
      </c>
      <c r="P1038" s="3">
        <v>0</v>
      </c>
      <c r="Q1038" s="3">
        <v>0</v>
      </c>
      <c r="R1038" s="3">
        <v>0</v>
      </c>
    </row>
    <row r="1039" spans="1:18">
      <c r="A1039" s="3" t="s">
        <v>5800</v>
      </c>
      <c r="B1039" s="3" t="s">
        <v>5801</v>
      </c>
      <c r="C1039" s="3" t="s">
        <v>5802</v>
      </c>
      <c r="D1039" s="3" t="s">
        <v>4518</v>
      </c>
      <c r="E1039" s="3" t="s">
        <v>1710</v>
      </c>
      <c r="F1039" s="3">
        <v>59.99</v>
      </c>
      <c r="G1039" s="3" t="s">
        <v>6233</v>
      </c>
      <c r="H1039" s="3"/>
      <c r="I1039" s="3" t="s">
        <v>6234</v>
      </c>
      <c r="J1039" s="3">
        <v>34</v>
      </c>
      <c r="K1039" s="3">
        <v>34</v>
      </c>
      <c r="L1039" s="3">
        <v>0</v>
      </c>
      <c r="M1039" s="3">
        <v>0</v>
      </c>
      <c r="N1039" s="3">
        <v>34</v>
      </c>
      <c r="O1039" s="3">
        <v>0.32</v>
      </c>
      <c r="P1039" s="3">
        <v>0</v>
      </c>
      <c r="Q1039" s="3">
        <v>0</v>
      </c>
      <c r="R1039" s="3">
        <v>0</v>
      </c>
    </row>
    <row r="1040" spans="1:18">
      <c r="A1040" s="3" t="s">
        <v>3753</v>
      </c>
      <c r="B1040" s="3" t="s">
        <v>3754</v>
      </c>
      <c r="C1040" s="3" t="s">
        <v>3755</v>
      </c>
      <c r="D1040" s="3" t="s">
        <v>2287</v>
      </c>
      <c r="E1040" s="3" t="s">
        <v>1710</v>
      </c>
      <c r="F1040" s="3">
        <v>59.99</v>
      </c>
      <c r="G1040" s="3" t="s">
        <v>6233</v>
      </c>
      <c r="H1040" s="3"/>
      <c r="I1040" s="3" t="s">
        <v>6234</v>
      </c>
      <c r="J1040" s="3">
        <v>21</v>
      </c>
      <c r="K1040" s="3">
        <v>21</v>
      </c>
      <c r="L1040" s="3">
        <v>0</v>
      </c>
      <c r="M1040" s="3">
        <v>0</v>
      </c>
      <c r="N1040" s="3">
        <v>21</v>
      </c>
      <c r="O1040" s="3">
        <v>0.32</v>
      </c>
      <c r="P1040" s="3">
        <v>0</v>
      </c>
      <c r="Q1040" s="3">
        <v>0</v>
      </c>
      <c r="R1040" s="3">
        <v>0</v>
      </c>
    </row>
    <row r="1041" spans="1:18">
      <c r="A1041" s="3" t="s">
        <v>3246</v>
      </c>
      <c r="B1041" s="3" t="s">
        <v>3247</v>
      </c>
      <c r="C1041" s="3" t="s">
        <v>3248</v>
      </c>
      <c r="D1041" s="3" t="s">
        <v>3249</v>
      </c>
      <c r="E1041" s="3" t="s">
        <v>1710</v>
      </c>
      <c r="F1041" s="3">
        <v>59.99</v>
      </c>
      <c r="G1041" s="3" t="s">
        <v>6233</v>
      </c>
      <c r="H1041" s="3"/>
      <c r="I1041" s="3" t="s">
        <v>6234</v>
      </c>
      <c r="J1041" s="3">
        <v>12</v>
      </c>
      <c r="K1041" s="3">
        <v>12</v>
      </c>
      <c r="L1041" s="3">
        <v>0</v>
      </c>
      <c r="M1041" s="3">
        <v>0</v>
      </c>
      <c r="N1041" s="3">
        <v>12</v>
      </c>
      <c r="O1041" s="3">
        <v>0.32</v>
      </c>
      <c r="P1041" s="3">
        <v>0</v>
      </c>
      <c r="Q1041" s="3">
        <v>0</v>
      </c>
      <c r="R1041" s="3">
        <v>0</v>
      </c>
    </row>
    <row r="1042" spans="1:18">
      <c r="A1042" s="3" t="s">
        <v>2591</v>
      </c>
      <c r="B1042" s="3" t="s">
        <v>2592</v>
      </c>
      <c r="C1042" s="3" t="s">
        <v>2593</v>
      </c>
      <c r="D1042" s="3" t="s">
        <v>259</v>
      </c>
      <c r="E1042" s="3" t="s">
        <v>1710</v>
      </c>
      <c r="F1042" s="3">
        <v>59.99</v>
      </c>
      <c r="G1042" s="3" t="s">
        <v>6233</v>
      </c>
      <c r="H1042" s="3"/>
      <c r="I1042" s="3" t="s">
        <v>6234</v>
      </c>
      <c r="J1042" s="3">
        <v>27</v>
      </c>
      <c r="K1042" s="3">
        <v>27</v>
      </c>
      <c r="L1042" s="3">
        <v>0</v>
      </c>
      <c r="M1042" s="3">
        <v>0</v>
      </c>
      <c r="N1042" s="3">
        <v>27</v>
      </c>
      <c r="O1042" s="3">
        <v>0.32</v>
      </c>
      <c r="P1042" s="3">
        <v>0</v>
      </c>
      <c r="Q1042" s="3">
        <v>0</v>
      </c>
      <c r="R1042" s="3">
        <v>0</v>
      </c>
    </row>
    <row r="1043" spans="1:18">
      <c r="A1043" s="3" t="s">
        <v>4501</v>
      </c>
      <c r="B1043" s="3" t="s">
        <v>4502</v>
      </c>
      <c r="C1043" s="3" t="s">
        <v>4503</v>
      </c>
      <c r="D1043" s="3" t="s">
        <v>4347</v>
      </c>
      <c r="E1043" s="3" t="s">
        <v>1710</v>
      </c>
      <c r="F1043" s="3">
        <v>59.99</v>
      </c>
      <c r="G1043" s="3" t="s">
        <v>6233</v>
      </c>
      <c r="H1043" s="3"/>
      <c r="I1043" s="3" t="s">
        <v>6234</v>
      </c>
      <c r="J1043" s="3">
        <v>53</v>
      </c>
      <c r="K1043" s="3">
        <v>53</v>
      </c>
      <c r="L1043" s="3">
        <v>0</v>
      </c>
      <c r="M1043" s="3">
        <v>0</v>
      </c>
      <c r="N1043" s="3">
        <v>53</v>
      </c>
      <c r="O1043" s="3">
        <v>0.32</v>
      </c>
      <c r="P1043" s="3">
        <v>0</v>
      </c>
      <c r="Q1043" s="3">
        <v>0</v>
      </c>
      <c r="R1043" s="3">
        <v>0</v>
      </c>
    </row>
    <row r="1044" spans="1:18">
      <c r="A1044" s="3" t="s">
        <v>1937</v>
      </c>
      <c r="B1044" s="3" t="s">
        <v>1938</v>
      </c>
      <c r="C1044" s="3" t="s">
        <v>1939</v>
      </c>
      <c r="D1044" s="3" t="s">
        <v>1940</v>
      </c>
      <c r="E1044" s="3" t="s">
        <v>1710</v>
      </c>
      <c r="F1044" s="3">
        <v>59.99</v>
      </c>
      <c r="G1044" s="3" t="s">
        <v>6233</v>
      </c>
      <c r="H1044" s="3"/>
      <c r="I1044" s="3" t="s">
        <v>6234</v>
      </c>
      <c r="J1044" s="3">
        <v>13</v>
      </c>
      <c r="K1044" s="3">
        <v>13</v>
      </c>
      <c r="L1044" s="3">
        <v>0</v>
      </c>
      <c r="M1044" s="3">
        <v>0</v>
      </c>
      <c r="N1044" s="3">
        <v>13</v>
      </c>
      <c r="O1044" s="3">
        <v>0.32</v>
      </c>
      <c r="P1044" s="3">
        <v>0</v>
      </c>
      <c r="Q1044" s="3">
        <v>0</v>
      </c>
      <c r="R1044" s="3">
        <v>0</v>
      </c>
    </row>
    <row r="1045" spans="1:18">
      <c r="A1045" s="3" t="s">
        <v>4147</v>
      </c>
      <c r="B1045" s="3" t="s">
        <v>4148</v>
      </c>
      <c r="C1045" s="3" t="s">
        <v>4149</v>
      </c>
      <c r="D1045" s="3" t="s">
        <v>4150</v>
      </c>
      <c r="E1045" s="3" t="s">
        <v>1710</v>
      </c>
      <c r="F1045" s="3">
        <v>59.99</v>
      </c>
      <c r="G1045" s="3" t="s">
        <v>6233</v>
      </c>
      <c r="H1045" s="3"/>
      <c r="I1045" s="3" t="s">
        <v>6234</v>
      </c>
      <c r="J1045" s="3">
        <v>1</v>
      </c>
      <c r="K1045" s="3">
        <v>1</v>
      </c>
      <c r="L1045" s="3">
        <v>0</v>
      </c>
      <c r="M1045" s="3">
        <v>0</v>
      </c>
      <c r="N1045" s="3">
        <v>1</v>
      </c>
      <c r="O1045" s="3">
        <v>0.32</v>
      </c>
      <c r="P1045" s="3">
        <v>0</v>
      </c>
      <c r="Q1045" s="3">
        <v>0</v>
      </c>
      <c r="R1045" s="3">
        <v>0</v>
      </c>
    </row>
    <row r="1046" spans="1:18">
      <c r="A1046" s="3" t="s">
        <v>4694</v>
      </c>
      <c r="B1046" s="3" t="s">
        <v>4695</v>
      </c>
      <c r="C1046" s="3" t="s">
        <v>4696</v>
      </c>
      <c r="D1046" s="3" t="s">
        <v>4697</v>
      </c>
      <c r="E1046" s="3" t="s">
        <v>1710</v>
      </c>
      <c r="F1046" s="3">
        <v>59.99</v>
      </c>
      <c r="G1046" s="3" t="s">
        <v>6233</v>
      </c>
      <c r="H1046" s="3"/>
      <c r="I1046" s="3" t="s">
        <v>6234</v>
      </c>
      <c r="J1046" s="3">
        <v>41</v>
      </c>
      <c r="K1046" s="3">
        <v>41</v>
      </c>
      <c r="L1046" s="3">
        <v>0</v>
      </c>
      <c r="M1046" s="3">
        <v>0</v>
      </c>
      <c r="N1046" s="3">
        <v>41</v>
      </c>
      <c r="O1046" s="3">
        <v>0.32</v>
      </c>
      <c r="P1046" s="3">
        <v>0</v>
      </c>
      <c r="Q1046" s="3">
        <v>0</v>
      </c>
      <c r="R1046" s="3">
        <v>0</v>
      </c>
    </row>
    <row r="1047" spans="1:18">
      <c r="A1047" s="3" t="s">
        <v>3618</v>
      </c>
      <c r="B1047" s="3" t="s">
        <v>3619</v>
      </c>
      <c r="C1047" s="3" t="s">
        <v>3620</v>
      </c>
      <c r="D1047" s="3" t="s">
        <v>3621</v>
      </c>
      <c r="E1047" s="3" t="s">
        <v>1710</v>
      </c>
      <c r="F1047" s="3">
        <v>59.99</v>
      </c>
      <c r="G1047" s="3" t="s">
        <v>6233</v>
      </c>
      <c r="H1047" s="3"/>
      <c r="I1047" s="3" t="s">
        <v>6234</v>
      </c>
      <c r="J1047" s="3">
        <v>8</v>
      </c>
      <c r="K1047" s="3">
        <v>8</v>
      </c>
      <c r="L1047" s="3">
        <v>0</v>
      </c>
      <c r="M1047" s="3">
        <v>0</v>
      </c>
      <c r="N1047" s="3">
        <v>8</v>
      </c>
      <c r="O1047" s="3">
        <v>0.32</v>
      </c>
      <c r="P1047" s="3">
        <v>0</v>
      </c>
      <c r="Q1047" s="3">
        <v>0</v>
      </c>
      <c r="R1047" s="3">
        <v>0</v>
      </c>
    </row>
    <row r="1048" spans="1:18">
      <c r="A1048" s="3" t="s">
        <v>2602</v>
      </c>
      <c r="B1048" s="3" t="s">
        <v>2603</v>
      </c>
      <c r="C1048" s="3" t="s">
        <v>2604</v>
      </c>
      <c r="D1048" s="3" t="s">
        <v>2605</v>
      </c>
      <c r="E1048" s="3" t="s">
        <v>1710</v>
      </c>
      <c r="F1048" s="3">
        <v>59.99</v>
      </c>
      <c r="G1048" s="3" t="s">
        <v>6233</v>
      </c>
      <c r="H1048" s="3"/>
      <c r="I1048" s="3" t="s">
        <v>6234</v>
      </c>
      <c r="J1048" s="3">
        <v>7</v>
      </c>
      <c r="K1048" s="3">
        <v>7</v>
      </c>
      <c r="L1048" s="3">
        <v>0</v>
      </c>
      <c r="M1048" s="3">
        <v>0</v>
      </c>
      <c r="N1048" s="3">
        <v>12</v>
      </c>
      <c r="O1048" s="3">
        <v>0.32</v>
      </c>
      <c r="P1048" s="3">
        <v>0</v>
      </c>
      <c r="Q1048" s="3">
        <v>5</v>
      </c>
      <c r="R1048" s="3">
        <v>0</v>
      </c>
    </row>
    <row r="1049" spans="1:18">
      <c r="A1049" s="3" t="s">
        <v>4515</v>
      </c>
      <c r="B1049" s="3" t="s">
        <v>4516</v>
      </c>
      <c r="C1049" s="3" t="s">
        <v>4517</v>
      </c>
      <c r="D1049" s="3" t="s">
        <v>4518</v>
      </c>
      <c r="E1049" s="3" t="s">
        <v>1710</v>
      </c>
      <c r="F1049" s="3">
        <v>59.99</v>
      </c>
      <c r="G1049" s="3" t="s">
        <v>6233</v>
      </c>
      <c r="H1049" s="3"/>
      <c r="I1049" s="3" t="s">
        <v>6234</v>
      </c>
      <c r="J1049" s="3">
        <v>14</v>
      </c>
      <c r="K1049" s="3">
        <v>14</v>
      </c>
      <c r="L1049" s="3">
        <v>0</v>
      </c>
      <c r="M1049" s="3">
        <v>0</v>
      </c>
      <c r="N1049" s="3">
        <v>14</v>
      </c>
      <c r="O1049" s="3">
        <v>0.32</v>
      </c>
      <c r="P1049" s="3">
        <v>0</v>
      </c>
      <c r="Q1049" s="3">
        <v>0</v>
      </c>
      <c r="R1049" s="3">
        <v>0</v>
      </c>
    </row>
    <row r="1050" spans="1:18">
      <c r="A1050" s="3" t="s">
        <v>2284</v>
      </c>
      <c r="B1050" s="3" t="s">
        <v>2285</v>
      </c>
      <c r="C1050" s="3" t="s">
        <v>2286</v>
      </c>
      <c r="D1050" s="3" t="s">
        <v>2287</v>
      </c>
      <c r="E1050" s="3" t="s">
        <v>1710</v>
      </c>
      <c r="F1050" s="3">
        <v>59.99</v>
      </c>
      <c r="G1050" s="3" t="s">
        <v>6233</v>
      </c>
      <c r="H1050" s="3"/>
      <c r="I1050" s="3" t="s">
        <v>6234</v>
      </c>
      <c r="J1050" s="3">
        <v>6</v>
      </c>
      <c r="K1050" s="3">
        <v>6</v>
      </c>
      <c r="L1050" s="3">
        <v>0</v>
      </c>
      <c r="M1050" s="3">
        <v>0</v>
      </c>
      <c r="N1050" s="3">
        <v>11</v>
      </c>
      <c r="O1050" s="3">
        <v>0.32</v>
      </c>
      <c r="P1050" s="3">
        <v>0</v>
      </c>
      <c r="Q1050" s="3">
        <v>5</v>
      </c>
      <c r="R1050" s="3">
        <v>0</v>
      </c>
    </row>
    <row r="1051" spans="1:18">
      <c r="A1051" s="3" t="s">
        <v>7701</v>
      </c>
      <c r="B1051" s="3" t="s">
        <v>7702</v>
      </c>
      <c r="C1051" s="3" t="s">
        <v>7703</v>
      </c>
      <c r="D1051" s="3" t="s">
        <v>4787</v>
      </c>
      <c r="E1051" s="3" t="s">
        <v>1710</v>
      </c>
      <c r="F1051" s="3">
        <v>59.99</v>
      </c>
      <c r="G1051" s="3" t="s">
        <v>6233</v>
      </c>
      <c r="H1051" s="3"/>
      <c r="I1051" s="3" t="s">
        <v>6234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0.43</v>
      </c>
      <c r="P1051" s="3">
        <v>0</v>
      </c>
      <c r="Q1051" s="3">
        <v>0</v>
      </c>
      <c r="R1051" s="3">
        <v>0</v>
      </c>
    </row>
    <row r="1052" spans="1:18">
      <c r="A1052" s="3" t="s">
        <v>7704</v>
      </c>
      <c r="B1052" s="3" t="s">
        <v>7705</v>
      </c>
      <c r="C1052" s="3" t="s">
        <v>7706</v>
      </c>
      <c r="D1052" s="3" t="s">
        <v>263</v>
      </c>
      <c r="E1052" s="3" t="s">
        <v>1710</v>
      </c>
      <c r="F1052" s="3">
        <v>59.99</v>
      </c>
      <c r="G1052" s="3" t="s">
        <v>6233</v>
      </c>
      <c r="H1052" s="3"/>
      <c r="I1052" s="3" t="s">
        <v>6234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0.43</v>
      </c>
      <c r="P1052" s="3">
        <v>0</v>
      </c>
      <c r="Q1052" s="3">
        <v>0</v>
      </c>
      <c r="R1052" s="3">
        <v>0</v>
      </c>
    </row>
    <row r="1053" spans="1:18">
      <c r="A1053" s="3" t="s">
        <v>5062</v>
      </c>
      <c r="B1053" s="3" t="s">
        <v>5063</v>
      </c>
      <c r="C1053" s="3" t="s">
        <v>5064</v>
      </c>
      <c r="D1053" s="3" t="s">
        <v>251</v>
      </c>
      <c r="E1053" s="3" t="s">
        <v>1710</v>
      </c>
      <c r="F1053" s="3">
        <v>59.99</v>
      </c>
      <c r="G1053" s="3" t="s">
        <v>6233</v>
      </c>
      <c r="H1053" s="3"/>
      <c r="I1053" s="3" t="s">
        <v>6234</v>
      </c>
      <c r="J1053" s="3">
        <v>5</v>
      </c>
      <c r="K1053" s="3">
        <v>5</v>
      </c>
      <c r="L1053" s="3">
        <v>0</v>
      </c>
      <c r="M1053" s="3">
        <v>0</v>
      </c>
      <c r="N1053" s="3">
        <v>5</v>
      </c>
      <c r="O1053" s="3">
        <v>0.43</v>
      </c>
      <c r="P1053" s="3">
        <v>0</v>
      </c>
      <c r="Q1053" s="3">
        <v>0</v>
      </c>
      <c r="R1053" s="3">
        <v>0</v>
      </c>
    </row>
    <row r="1054" spans="1:18">
      <c r="A1054" s="3" t="s">
        <v>5026</v>
      </c>
      <c r="B1054" s="3" t="s">
        <v>5027</v>
      </c>
      <c r="C1054" s="3" t="s">
        <v>5028</v>
      </c>
      <c r="D1054" s="3" t="s">
        <v>1830</v>
      </c>
      <c r="E1054" s="3" t="s">
        <v>1710</v>
      </c>
      <c r="F1054" s="3">
        <v>59.99</v>
      </c>
      <c r="G1054" s="3" t="s">
        <v>6233</v>
      </c>
      <c r="H1054" s="3"/>
      <c r="I1054" s="3" t="s">
        <v>6234</v>
      </c>
      <c r="J1054" s="3">
        <v>12</v>
      </c>
      <c r="K1054" s="3">
        <v>12</v>
      </c>
      <c r="L1054" s="3">
        <v>0</v>
      </c>
      <c r="M1054" s="3">
        <v>0</v>
      </c>
      <c r="N1054" s="3">
        <v>12</v>
      </c>
      <c r="O1054" s="3">
        <v>0.32</v>
      </c>
      <c r="P1054" s="3">
        <v>0</v>
      </c>
      <c r="Q1054" s="3">
        <v>0</v>
      </c>
      <c r="R1054" s="3">
        <v>0</v>
      </c>
    </row>
    <row r="1055" spans="1:18">
      <c r="A1055" s="3" t="s">
        <v>3212</v>
      </c>
      <c r="B1055" s="3" t="s">
        <v>3213</v>
      </c>
      <c r="C1055" s="3" t="s">
        <v>3214</v>
      </c>
      <c r="D1055" s="3" t="s">
        <v>2324</v>
      </c>
      <c r="E1055" s="3" t="s">
        <v>1710</v>
      </c>
      <c r="F1055" s="3">
        <v>59.99</v>
      </c>
      <c r="G1055" s="3" t="s">
        <v>6233</v>
      </c>
      <c r="H1055" s="3"/>
      <c r="I1055" s="3" t="s">
        <v>6234</v>
      </c>
      <c r="J1055" s="3">
        <v>10</v>
      </c>
      <c r="K1055" s="3">
        <v>10</v>
      </c>
      <c r="L1055" s="3">
        <v>0</v>
      </c>
      <c r="M1055" s="3">
        <v>0</v>
      </c>
      <c r="N1055" s="3">
        <v>10</v>
      </c>
      <c r="O1055" s="3">
        <v>0.32</v>
      </c>
      <c r="P1055" s="3">
        <v>0</v>
      </c>
      <c r="Q1055" s="3">
        <v>0</v>
      </c>
      <c r="R1055" s="3">
        <v>0</v>
      </c>
    </row>
    <row r="1056" spans="1:18">
      <c r="A1056" s="3" t="s">
        <v>4758</v>
      </c>
      <c r="B1056" s="3" t="s">
        <v>4759</v>
      </c>
      <c r="C1056" s="3" t="s">
        <v>4760</v>
      </c>
      <c r="D1056" s="3" t="s">
        <v>2842</v>
      </c>
      <c r="E1056" s="3" t="s">
        <v>1710</v>
      </c>
      <c r="F1056" s="3">
        <v>59.99</v>
      </c>
      <c r="G1056" s="3" t="s">
        <v>6233</v>
      </c>
      <c r="H1056" s="3"/>
      <c r="I1056" s="3" t="s">
        <v>6234</v>
      </c>
      <c r="J1056" s="3">
        <v>14</v>
      </c>
      <c r="K1056" s="3">
        <v>14</v>
      </c>
      <c r="L1056" s="3">
        <v>0</v>
      </c>
      <c r="M1056" s="3">
        <v>0</v>
      </c>
      <c r="N1056" s="3">
        <v>14</v>
      </c>
      <c r="O1056" s="3">
        <v>0.07</v>
      </c>
      <c r="P1056" s="3">
        <v>0</v>
      </c>
      <c r="Q1056" s="3">
        <v>0</v>
      </c>
      <c r="R1056" s="3">
        <v>0</v>
      </c>
    </row>
    <row r="1057" spans="1:18">
      <c r="A1057" s="3" t="s">
        <v>2925</v>
      </c>
      <c r="B1057" s="3" t="s">
        <v>2926</v>
      </c>
      <c r="C1057" s="3" t="s">
        <v>2927</v>
      </c>
      <c r="D1057" s="3" t="s">
        <v>2637</v>
      </c>
      <c r="E1057" s="3" t="s">
        <v>1710</v>
      </c>
      <c r="F1057" s="3">
        <v>59.99</v>
      </c>
      <c r="G1057" s="3" t="s">
        <v>6233</v>
      </c>
      <c r="H1057" s="3"/>
      <c r="I1057" s="3" t="s">
        <v>6234</v>
      </c>
      <c r="J1057" s="3">
        <v>15</v>
      </c>
      <c r="K1057" s="3">
        <v>15</v>
      </c>
      <c r="L1057" s="3">
        <v>0</v>
      </c>
      <c r="M1057" s="3">
        <v>0</v>
      </c>
      <c r="N1057" s="3">
        <v>15</v>
      </c>
      <c r="O1057" s="3">
        <v>0.32</v>
      </c>
      <c r="P1057" s="3">
        <v>0</v>
      </c>
      <c r="Q1057" s="3">
        <v>0</v>
      </c>
      <c r="R1057" s="3">
        <v>0</v>
      </c>
    </row>
    <row r="1058" spans="1:18">
      <c r="A1058" s="3" t="s">
        <v>3149</v>
      </c>
      <c r="B1058" s="3" t="s">
        <v>3150</v>
      </c>
      <c r="C1058" s="3" t="s">
        <v>3151</v>
      </c>
      <c r="D1058" s="3" t="s">
        <v>3152</v>
      </c>
      <c r="E1058" s="3" t="s">
        <v>1710</v>
      </c>
      <c r="F1058" s="3">
        <v>59.99</v>
      </c>
      <c r="G1058" s="3" t="s">
        <v>6233</v>
      </c>
      <c r="H1058" s="3"/>
      <c r="I1058" s="3" t="s">
        <v>6234</v>
      </c>
      <c r="J1058" s="3">
        <v>18</v>
      </c>
      <c r="K1058" s="3">
        <v>18</v>
      </c>
      <c r="L1058" s="3">
        <v>0</v>
      </c>
      <c r="M1058" s="3">
        <v>0</v>
      </c>
      <c r="N1058" s="3">
        <v>18</v>
      </c>
      <c r="O1058" s="3">
        <v>0.43</v>
      </c>
      <c r="P1058" s="3">
        <v>0</v>
      </c>
      <c r="Q1058" s="3">
        <v>0</v>
      </c>
      <c r="R1058" s="3">
        <v>0</v>
      </c>
    </row>
    <row r="1059" spans="1:18">
      <c r="A1059" s="3" t="s">
        <v>2090</v>
      </c>
      <c r="B1059" s="3" t="s">
        <v>2091</v>
      </c>
      <c r="C1059" s="3" t="s">
        <v>2092</v>
      </c>
      <c r="D1059" s="3" t="s">
        <v>2093</v>
      </c>
      <c r="E1059" s="3" t="s">
        <v>1710</v>
      </c>
      <c r="F1059" s="3">
        <v>59.99</v>
      </c>
      <c r="G1059" s="3" t="s">
        <v>6233</v>
      </c>
      <c r="H1059" s="3"/>
      <c r="I1059" s="3" t="s">
        <v>6234</v>
      </c>
      <c r="J1059" s="3">
        <v>12</v>
      </c>
      <c r="K1059" s="3">
        <v>12</v>
      </c>
      <c r="L1059" s="3">
        <v>0</v>
      </c>
      <c r="M1059" s="3">
        <v>0</v>
      </c>
      <c r="N1059" s="3">
        <v>12</v>
      </c>
      <c r="O1059" s="3">
        <v>0.43</v>
      </c>
      <c r="P1059" s="3">
        <v>0</v>
      </c>
      <c r="Q1059" s="3">
        <v>0</v>
      </c>
      <c r="R1059" s="3">
        <v>0</v>
      </c>
    </row>
    <row r="1060" spans="1:18">
      <c r="A1060" s="3" t="s">
        <v>6034</v>
      </c>
      <c r="B1060" s="3" t="s">
        <v>6035</v>
      </c>
      <c r="C1060" s="3" t="s">
        <v>6036</v>
      </c>
      <c r="D1060" s="3" t="s">
        <v>4787</v>
      </c>
      <c r="E1060" s="3" t="s">
        <v>1710</v>
      </c>
      <c r="F1060" s="3">
        <v>59.99</v>
      </c>
      <c r="G1060" s="3" t="s">
        <v>6233</v>
      </c>
      <c r="H1060" s="3"/>
      <c r="I1060" s="3" t="s">
        <v>6234</v>
      </c>
      <c r="J1060" s="3">
        <v>20</v>
      </c>
      <c r="K1060" s="3">
        <v>20</v>
      </c>
      <c r="L1060" s="3">
        <v>0</v>
      </c>
      <c r="M1060" s="3">
        <v>0</v>
      </c>
      <c r="N1060" s="3">
        <v>20</v>
      </c>
      <c r="O1060" s="3">
        <v>0.43</v>
      </c>
      <c r="P1060" s="3">
        <v>0</v>
      </c>
      <c r="Q1060" s="3">
        <v>0</v>
      </c>
      <c r="R1060" s="3">
        <v>0</v>
      </c>
    </row>
    <row r="1061" spans="1:18">
      <c r="A1061" s="3" t="s">
        <v>260</v>
      </c>
      <c r="B1061" s="3" t="s">
        <v>261</v>
      </c>
      <c r="C1061" s="3" t="s">
        <v>262</v>
      </c>
      <c r="D1061" s="3" t="s">
        <v>263</v>
      </c>
      <c r="E1061" s="3" t="s">
        <v>1710</v>
      </c>
      <c r="F1061" s="3">
        <v>59.99</v>
      </c>
      <c r="G1061" s="3" t="s">
        <v>6233</v>
      </c>
      <c r="H1061" s="3"/>
      <c r="I1061" s="3" t="s">
        <v>6234</v>
      </c>
      <c r="J1061" s="3">
        <v>15</v>
      </c>
      <c r="K1061" s="3">
        <v>14</v>
      </c>
      <c r="L1061" s="3">
        <v>0</v>
      </c>
      <c r="M1061" s="3">
        <v>1</v>
      </c>
      <c r="N1061" s="3">
        <v>20</v>
      </c>
      <c r="O1061" s="3">
        <v>0.43</v>
      </c>
      <c r="P1061" s="3">
        <v>0</v>
      </c>
      <c r="Q1061" s="3">
        <v>5</v>
      </c>
      <c r="R1061" s="3">
        <v>0</v>
      </c>
    </row>
    <row r="1062" spans="1:18">
      <c r="A1062" s="3" t="s">
        <v>2993</v>
      </c>
      <c r="B1062" s="3" t="s">
        <v>2994</v>
      </c>
      <c r="C1062" s="3" t="s">
        <v>2995</v>
      </c>
      <c r="D1062" s="3" t="s">
        <v>251</v>
      </c>
      <c r="E1062" s="3" t="s">
        <v>1710</v>
      </c>
      <c r="F1062" s="3">
        <v>59.99</v>
      </c>
      <c r="G1062" s="3" t="s">
        <v>6233</v>
      </c>
      <c r="H1062" s="3"/>
      <c r="I1062" s="3" t="s">
        <v>6234</v>
      </c>
      <c r="J1062" s="3">
        <v>16</v>
      </c>
      <c r="K1062" s="3">
        <v>16</v>
      </c>
      <c r="L1062" s="3">
        <v>0</v>
      </c>
      <c r="M1062" s="3">
        <v>0</v>
      </c>
      <c r="N1062" s="3">
        <v>16</v>
      </c>
      <c r="O1062" s="3">
        <v>0.43</v>
      </c>
      <c r="P1062" s="3">
        <v>0</v>
      </c>
      <c r="Q1062" s="3">
        <v>0</v>
      </c>
      <c r="R1062" s="3">
        <v>0</v>
      </c>
    </row>
    <row r="1063" spans="1:18">
      <c r="A1063" s="3" t="s">
        <v>1827</v>
      </c>
      <c r="B1063" s="3" t="s">
        <v>1828</v>
      </c>
      <c r="C1063" s="3" t="s">
        <v>1829</v>
      </c>
      <c r="D1063" s="3" t="s">
        <v>1830</v>
      </c>
      <c r="E1063" s="3" t="s">
        <v>1710</v>
      </c>
      <c r="F1063" s="3">
        <v>59.99</v>
      </c>
      <c r="G1063" s="3" t="s">
        <v>6233</v>
      </c>
      <c r="H1063" s="3"/>
      <c r="I1063" s="3" t="s">
        <v>6234</v>
      </c>
      <c r="J1063" s="3">
        <v>11</v>
      </c>
      <c r="K1063" s="3">
        <v>11</v>
      </c>
      <c r="L1063" s="3">
        <v>0</v>
      </c>
      <c r="M1063" s="3">
        <v>0</v>
      </c>
      <c r="N1063" s="3">
        <v>11</v>
      </c>
      <c r="O1063" s="3">
        <v>0.32</v>
      </c>
      <c r="P1063" s="3">
        <v>0</v>
      </c>
      <c r="Q1063" s="3">
        <v>0</v>
      </c>
      <c r="R1063" s="3">
        <v>0</v>
      </c>
    </row>
    <row r="1064" spans="1:18">
      <c r="A1064" s="3" t="s">
        <v>4140</v>
      </c>
      <c r="B1064" s="3" t="s">
        <v>4141</v>
      </c>
      <c r="C1064" s="3" t="s">
        <v>4142</v>
      </c>
      <c r="D1064" s="3" t="s">
        <v>2324</v>
      </c>
      <c r="E1064" s="3" t="s">
        <v>1710</v>
      </c>
      <c r="F1064" s="3">
        <v>59.99</v>
      </c>
      <c r="G1064" s="3" t="s">
        <v>6233</v>
      </c>
      <c r="H1064" s="3"/>
      <c r="I1064" s="3" t="s">
        <v>6234</v>
      </c>
      <c r="J1064" s="3">
        <v>11</v>
      </c>
      <c r="K1064" s="3">
        <v>11</v>
      </c>
      <c r="L1064" s="3">
        <v>0</v>
      </c>
      <c r="M1064" s="3">
        <v>0</v>
      </c>
      <c r="N1064" s="3">
        <v>11</v>
      </c>
      <c r="O1064" s="3">
        <v>0.32</v>
      </c>
      <c r="P1064" s="3">
        <v>0</v>
      </c>
      <c r="Q1064" s="3">
        <v>0</v>
      </c>
      <c r="R1064" s="3">
        <v>0</v>
      </c>
    </row>
    <row r="1065" spans="1:18">
      <c r="A1065" s="3" t="s">
        <v>2839</v>
      </c>
      <c r="B1065" s="3" t="s">
        <v>2840</v>
      </c>
      <c r="C1065" s="3" t="s">
        <v>2841</v>
      </c>
      <c r="D1065" s="3" t="s">
        <v>2842</v>
      </c>
      <c r="E1065" s="3" t="s">
        <v>1710</v>
      </c>
      <c r="F1065" s="3">
        <v>59.99</v>
      </c>
      <c r="G1065" s="3" t="s">
        <v>6233</v>
      </c>
      <c r="H1065" s="3"/>
      <c r="I1065" s="3" t="s">
        <v>6234</v>
      </c>
      <c r="J1065" s="3">
        <v>38</v>
      </c>
      <c r="K1065" s="3">
        <v>38</v>
      </c>
      <c r="L1065" s="3">
        <v>0</v>
      </c>
      <c r="M1065" s="3">
        <v>0</v>
      </c>
      <c r="N1065" s="3">
        <v>38</v>
      </c>
      <c r="O1065" s="3">
        <v>0.32</v>
      </c>
      <c r="P1065" s="3">
        <v>0</v>
      </c>
      <c r="Q1065" s="3">
        <v>0</v>
      </c>
      <c r="R1065" s="3">
        <v>0</v>
      </c>
    </row>
    <row r="1066" spans="1:18">
      <c r="A1066" s="3" t="s">
        <v>2634</v>
      </c>
      <c r="B1066" s="3" t="s">
        <v>2635</v>
      </c>
      <c r="C1066" s="3" t="s">
        <v>2636</v>
      </c>
      <c r="D1066" s="3" t="s">
        <v>2637</v>
      </c>
      <c r="E1066" s="3" t="s">
        <v>1710</v>
      </c>
      <c r="F1066" s="3">
        <v>59.99</v>
      </c>
      <c r="G1066" s="3" t="s">
        <v>6233</v>
      </c>
      <c r="H1066" s="3"/>
      <c r="I1066" s="3" t="s">
        <v>6234</v>
      </c>
      <c r="J1066" s="3">
        <v>13</v>
      </c>
      <c r="K1066" s="3">
        <v>13</v>
      </c>
      <c r="L1066" s="3">
        <v>0</v>
      </c>
      <c r="M1066" s="3">
        <v>0</v>
      </c>
      <c r="N1066" s="3">
        <v>13</v>
      </c>
      <c r="O1066" s="3">
        <v>0.32</v>
      </c>
      <c r="P1066" s="3">
        <v>0</v>
      </c>
      <c r="Q1066" s="3">
        <v>0</v>
      </c>
      <c r="R1066" s="3">
        <v>0</v>
      </c>
    </row>
    <row r="1067" spans="1:18">
      <c r="A1067" s="3" t="s">
        <v>3796</v>
      </c>
      <c r="B1067" s="3" t="s">
        <v>3797</v>
      </c>
      <c r="C1067" s="3" t="s">
        <v>3798</v>
      </c>
      <c r="D1067" s="3" t="s">
        <v>3152</v>
      </c>
      <c r="E1067" s="3" t="s">
        <v>1710</v>
      </c>
      <c r="F1067" s="3">
        <v>59.99</v>
      </c>
      <c r="G1067" s="3" t="s">
        <v>6233</v>
      </c>
      <c r="H1067" s="3"/>
      <c r="I1067" s="3" t="s">
        <v>6234</v>
      </c>
      <c r="J1067" s="3">
        <v>57</v>
      </c>
      <c r="K1067" s="3">
        <v>57</v>
      </c>
      <c r="L1067" s="3">
        <v>0</v>
      </c>
      <c r="M1067" s="3">
        <v>0</v>
      </c>
      <c r="N1067" s="3">
        <v>57</v>
      </c>
      <c r="O1067" s="3">
        <v>0.43</v>
      </c>
      <c r="P1067" s="3">
        <v>0</v>
      </c>
      <c r="Q1067" s="3">
        <v>0</v>
      </c>
      <c r="R1067" s="3">
        <v>0</v>
      </c>
    </row>
    <row r="1068" spans="1:18">
      <c r="A1068" s="3" t="s">
        <v>5706</v>
      </c>
      <c r="B1068" s="3" t="s">
        <v>5707</v>
      </c>
      <c r="C1068" s="3" t="s">
        <v>5708</v>
      </c>
      <c r="D1068" s="3" t="s">
        <v>2093</v>
      </c>
      <c r="E1068" s="3" t="s">
        <v>1710</v>
      </c>
      <c r="F1068" s="3">
        <v>59.99</v>
      </c>
      <c r="G1068" s="3" t="s">
        <v>6233</v>
      </c>
      <c r="H1068" s="3"/>
      <c r="I1068" s="3" t="s">
        <v>6234</v>
      </c>
      <c r="J1068" s="3">
        <v>14</v>
      </c>
      <c r="K1068" s="3">
        <v>14</v>
      </c>
      <c r="L1068" s="3">
        <v>0</v>
      </c>
      <c r="M1068" s="3">
        <v>0</v>
      </c>
      <c r="N1068" s="3">
        <v>19</v>
      </c>
      <c r="O1068" s="3">
        <v>0.43</v>
      </c>
      <c r="P1068" s="3">
        <v>0</v>
      </c>
      <c r="Q1068" s="3">
        <v>5</v>
      </c>
      <c r="R1068" s="3">
        <v>0</v>
      </c>
    </row>
    <row r="1069" spans="1:18">
      <c r="A1069" s="3" t="s">
        <v>7707</v>
      </c>
      <c r="B1069" s="3" t="s">
        <v>7708</v>
      </c>
      <c r="C1069" s="3" t="s">
        <v>7709</v>
      </c>
      <c r="D1069" s="3" t="s">
        <v>7710</v>
      </c>
      <c r="E1069" s="3" t="s">
        <v>1710</v>
      </c>
      <c r="F1069" s="3">
        <v>59.99</v>
      </c>
      <c r="G1069" s="3" t="s">
        <v>6233</v>
      </c>
      <c r="H1069" s="3"/>
      <c r="I1069" s="3" t="s">
        <v>6234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0.43</v>
      </c>
      <c r="P1069" s="3">
        <v>0</v>
      </c>
      <c r="Q1069" s="3">
        <v>0</v>
      </c>
      <c r="R1069" s="3">
        <v>0</v>
      </c>
    </row>
    <row r="1070" spans="1:18">
      <c r="A1070" s="3" t="s">
        <v>4784</v>
      </c>
      <c r="B1070" s="3" t="s">
        <v>4785</v>
      </c>
      <c r="C1070" s="3" t="s">
        <v>4786</v>
      </c>
      <c r="D1070" s="3" t="s">
        <v>4787</v>
      </c>
      <c r="E1070" s="3" t="s">
        <v>1710</v>
      </c>
      <c r="F1070" s="3">
        <v>59.99</v>
      </c>
      <c r="G1070" s="3" t="s">
        <v>6233</v>
      </c>
      <c r="H1070" s="3"/>
      <c r="I1070" s="3" t="s">
        <v>6234</v>
      </c>
      <c r="J1070" s="3">
        <v>8</v>
      </c>
      <c r="K1070" s="3">
        <v>8</v>
      </c>
      <c r="L1070" s="3">
        <v>0</v>
      </c>
      <c r="M1070" s="3">
        <v>0</v>
      </c>
      <c r="N1070" s="3">
        <v>8</v>
      </c>
      <c r="O1070" s="3">
        <v>0.43</v>
      </c>
      <c r="P1070" s="3">
        <v>0</v>
      </c>
      <c r="Q1070" s="3">
        <v>0</v>
      </c>
      <c r="R1070" s="3">
        <v>0</v>
      </c>
    </row>
    <row r="1071" spans="1:18">
      <c r="A1071" s="3" t="s">
        <v>2656</v>
      </c>
      <c r="B1071" s="3" t="s">
        <v>2657</v>
      </c>
      <c r="C1071" s="3" t="s">
        <v>2658</v>
      </c>
      <c r="D1071" s="3" t="s">
        <v>263</v>
      </c>
      <c r="E1071" s="3" t="s">
        <v>1710</v>
      </c>
      <c r="F1071" s="3">
        <v>59.99</v>
      </c>
      <c r="G1071" s="3" t="s">
        <v>6233</v>
      </c>
      <c r="H1071" s="3"/>
      <c r="I1071" s="3" t="s">
        <v>6234</v>
      </c>
      <c r="J1071" s="3">
        <v>39</v>
      </c>
      <c r="K1071" s="3">
        <v>38</v>
      </c>
      <c r="L1071" s="3">
        <v>1</v>
      </c>
      <c r="M1071" s="3">
        <v>0</v>
      </c>
      <c r="N1071" s="3">
        <v>39</v>
      </c>
      <c r="O1071" s="3">
        <v>0.43</v>
      </c>
      <c r="P1071" s="3">
        <v>0</v>
      </c>
      <c r="Q1071" s="3">
        <v>0</v>
      </c>
      <c r="R1071" s="3">
        <v>0</v>
      </c>
    </row>
    <row r="1072" spans="1:18">
      <c r="A1072" s="3" t="s">
        <v>248</v>
      </c>
      <c r="B1072" s="3" t="s">
        <v>249</v>
      </c>
      <c r="C1072" s="3" t="s">
        <v>250</v>
      </c>
      <c r="D1072" s="3" t="s">
        <v>251</v>
      </c>
      <c r="E1072" s="3" t="s">
        <v>1710</v>
      </c>
      <c r="F1072" s="3">
        <v>59.99</v>
      </c>
      <c r="G1072" s="3" t="s">
        <v>6233</v>
      </c>
      <c r="H1072" s="3"/>
      <c r="I1072" s="3" t="s">
        <v>6234</v>
      </c>
      <c r="J1072" s="3">
        <v>39</v>
      </c>
      <c r="K1072" s="3">
        <v>37</v>
      </c>
      <c r="L1072" s="3">
        <v>0</v>
      </c>
      <c r="M1072" s="3">
        <v>2</v>
      </c>
      <c r="N1072" s="3">
        <v>39</v>
      </c>
      <c r="O1072" s="3">
        <v>0.43</v>
      </c>
      <c r="P1072" s="3">
        <v>0</v>
      </c>
      <c r="Q1072" s="3">
        <v>0</v>
      </c>
      <c r="R1072" s="3">
        <v>0</v>
      </c>
    </row>
    <row r="1073" spans="1:18">
      <c r="A1073" s="3" t="s">
        <v>3135</v>
      </c>
      <c r="B1073" s="3" t="s">
        <v>3136</v>
      </c>
      <c r="C1073" s="3" t="s">
        <v>3137</v>
      </c>
      <c r="D1073" s="3" t="s">
        <v>1830</v>
      </c>
      <c r="E1073" s="3" t="s">
        <v>1710</v>
      </c>
      <c r="F1073" s="3">
        <v>59.99</v>
      </c>
      <c r="G1073" s="3" t="s">
        <v>6233</v>
      </c>
      <c r="H1073" s="3"/>
      <c r="I1073" s="3" t="s">
        <v>6234</v>
      </c>
      <c r="J1073" s="3">
        <v>12</v>
      </c>
      <c r="K1073" s="3">
        <v>12</v>
      </c>
      <c r="L1073" s="3">
        <v>0</v>
      </c>
      <c r="M1073" s="3">
        <v>0</v>
      </c>
      <c r="N1073" s="3">
        <v>12</v>
      </c>
      <c r="O1073" s="3">
        <v>0.32</v>
      </c>
      <c r="P1073" s="3">
        <v>0</v>
      </c>
      <c r="Q1073" s="3">
        <v>0</v>
      </c>
      <c r="R1073" s="3">
        <v>0</v>
      </c>
    </row>
    <row r="1074" spans="1:18">
      <c r="A1074" s="3" t="s">
        <v>2321</v>
      </c>
      <c r="B1074" s="3" t="s">
        <v>2322</v>
      </c>
      <c r="C1074" s="3" t="s">
        <v>2323</v>
      </c>
      <c r="D1074" s="3" t="s">
        <v>2324</v>
      </c>
      <c r="E1074" s="3" t="s">
        <v>1710</v>
      </c>
      <c r="F1074" s="3">
        <v>59.99</v>
      </c>
      <c r="G1074" s="3" t="s">
        <v>6233</v>
      </c>
      <c r="H1074" s="3"/>
      <c r="I1074" s="3" t="s">
        <v>6234</v>
      </c>
      <c r="J1074" s="3">
        <v>12</v>
      </c>
      <c r="K1074" s="3">
        <v>12</v>
      </c>
      <c r="L1074" s="3">
        <v>0</v>
      </c>
      <c r="M1074" s="3">
        <v>0</v>
      </c>
      <c r="N1074" s="3">
        <v>12</v>
      </c>
      <c r="O1074" s="3">
        <v>0.32</v>
      </c>
      <c r="P1074" s="3">
        <v>0</v>
      </c>
      <c r="Q1074" s="3">
        <v>0</v>
      </c>
      <c r="R1074" s="3">
        <v>0</v>
      </c>
    </row>
    <row r="1075" spans="1:18">
      <c r="A1075" s="3" t="s">
        <v>4158</v>
      </c>
      <c r="B1075" s="3" t="s">
        <v>4159</v>
      </c>
      <c r="C1075" s="3" t="s">
        <v>4160</v>
      </c>
      <c r="D1075" s="3" t="s">
        <v>2842</v>
      </c>
      <c r="E1075" s="3" t="s">
        <v>1710</v>
      </c>
      <c r="F1075" s="3">
        <v>59.99</v>
      </c>
      <c r="G1075" s="3" t="s">
        <v>6233</v>
      </c>
      <c r="H1075" s="3"/>
      <c r="I1075" s="3" t="s">
        <v>6234</v>
      </c>
      <c r="J1075" s="3">
        <v>36</v>
      </c>
      <c r="K1075" s="3">
        <v>36</v>
      </c>
      <c r="L1075" s="3">
        <v>0</v>
      </c>
      <c r="M1075" s="3">
        <v>0</v>
      </c>
      <c r="N1075" s="3">
        <v>36</v>
      </c>
      <c r="O1075" s="3">
        <v>0.43</v>
      </c>
      <c r="P1075" s="3">
        <v>0</v>
      </c>
      <c r="Q1075" s="3">
        <v>0</v>
      </c>
      <c r="R1075" s="3">
        <v>0</v>
      </c>
    </row>
    <row r="1076" spans="1:18">
      <c r="A1076" s="3" t="s">
        <v>3048</v>
      </c>
      <c r="B1076" s="3" t="s">
        <v>3049</v>
      </c>
      <c r="C1076" s="3" t="s">
        <v>3050</v>
      </c>
      <c r="D1076" s="3" t="s">
        <v>2637</v>
      </c>
      <c r="E1076" s="3" t="s">
        <v>1710</v>
      </c>
      <c r="F1076" s="3">
        <v>59.99</v>
      </c>
      <c r="G1076" s="3" t="s">
        <v>6233</v>
      </c>
      <c r="H1076" s="3"/>
      <c r="I1076" s="3" t="s">
        <v>6234</v>
      </c>
      <c r="J1076" s="3">
        <v>2</v>
      </c>
      <c r="K1076" s="3">
        <v>2</v>
      </c>
      <c r="L1076" s="3">
        <v>0</v>
      </c>
      <c r="M1076" s="3">
        <v>0</v>
      </c>
      <c r="N1076" s="3">
        <v>2</v>
      </c>
      <c r="O1076" s="3">
        <v>0.32</v>
      </c>
      <c r="P1076" s="3">
        <v>0</v>
      </c>
      <c r="Q1076" s="3">
        <v>0</v>
      </c>
      <c r="R1076" s="3">
        <v>0</v>
      </c>
    </row>
    <row r="1077" spans="1:18">
      <c r="A1077" s="3" t="s">
        <v>5629</v>
      </c>
      <c r="B1077" s="3" t="s">
        <v>5630</v>
      </c>
      <c r="C1077" s="3" t="s">
        <v>5631</v>
      </c>
      <c r="D1077" s="3" t="s">
        <v>3152</v>
      </c>
      <c r="E1077" s="3" t="s">
        <v>1710</v>
      </c>
      <c r="F1077" s="3">
        <v>59.99</v>
      </c>
      <c r="G1077" s="3" t="s">
        <v>6233</v>
      </c>
      <c r="H1077" s="3"/>
      <c r="I1077" s="3" t="s">
        <v>6234</v>
      </c>
      <c r="J1077" s="3">
        <v>20</v>
      </c>
      <c r="K1077" s="3">
        <v>20</v>
      </c>
      <c r="L1077" s="3">
        <v>0</v>
      </c>
      <c r="M1077" s="3">
        <v>0</v>
      </c>
      <c r="N1077" s="3">
        <v>20</v>
      </c>
      <c r="O1077" s="3">
        <v>0.32</v>
      </c>
      <c r="P1077" s="3">
        <v>0</v>
      </c>
      <c r="Q1077" s="3">
        <v>0</v>
      </c>
      <c r="R1077" s="3">
        <v>0</v>
      </c>
    </row>
    <row r="1078" spans="1:18">
      <c r="A1078" s="3" t="s">
        <v>5053</v>
      </c>
      <c r="B1078" s="3" t="s">
        <v>5054</v>
      </c>
      <c r="C1078" s="3" t="s">
        <v>5055</v>
      </c>
      <c r="D1078" s="3" t="s">
        <v>2093</v>
      </c>
      <c r="E1078" s="3" t="s">
        <v>1710</v>
      </c>
      <c r="F1078" s="3">
        <v>59.99</v>
      </c>
      <c r="G1078" s="3" t="s">
        <v>6233</v>
      </c>
      <c r="H1078" s="3"/>
      <c r="I1078" s="3" t="s">
        <v>6234</v>
      </c>
      <c r="J1078" s="3">
        <v>6</v>
      </c>
      <c r="K1078" s="3">
        <v>6</v>
      </c>
      <c r="L1078" s="3">
        <v>0</v>
      </c>
      <c r="M1078" s="3">
        <v>0</v>
      </c>
      <c r="N1078" s="3">
        <v>11</v>
      </c>
      <c r="O1078" s="3">
        <v>0.43</v>
      </c>
      <c r="P1078" s="3">
        <v>0</v>
      </c>
      <c r="Q1078" s="3">
        <v>5</v>
      </c>
      <c r="R1078" s="3">
        <v>0</v>
      </c>
    </row>
    <row r="1079" spans="1:18">
      <c r="A1079" s="3" t="s">
        <v>7711</v>
      </c>
      <c r="B1079" s="3" t="s">
        <v>7712</v>
      </c>
      <c r="C1079" s="3" t="s">
        <v>7713</v>
      </c>
      <c r="D1079" s="3" t="s">
        <v>7710</v>
      </c>
      <c r="E1079" s="3" t="s">
        <v>1710</v>
      </c>
      <c r="F1079" s="3">
        <v>59.99</v>
      </c>
      <c r="G1079" s="3" t="s">
        <v>6233</v>
      </c>
      <c r="H1079" s="3"/>
      <c r="I1079" s="3" t="s">
        <v>6234</v>
      </c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>
        <v>0.43</v>
      </c>
      <c r="P1079" s="3">
        <v>0</v>
      </c>
      <c r="Q1079" s="3">
        <v>0</v>
      </c>
      <c r="R1079" s="3">
        <v>0</v>
      </c>
    </row>
    <row r="1080" spans="1:18">
      <c r="A1080" s="3" t="s">
        <v>7714</v>
      </c>
      <c r="B1080" s="3" t="s">
        <v>7715</v>
      </c>
      <c r="C1080" s="3" t="s">
        <v>7716</v>
      </c>
      <c r="D1080" s="3" t="s">
        <v>2098</v>
      </c>
      <c r="E1080" s="3" t="s">
        <v>1710</v>
      </c>
      <c r="F1080" s="3">
        <v>15.99</v>
      </c>
      <c r="G1080" s="3" t="s">
        <v>6233</v>
      </c>
      <c r="H1080" s="3"/>
      <c r="I1080" s="3" t="s">
        <v>6234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0.44</v>
      </c>
      <c r="P1080" s="3">
        <v>0</v>
      </c>
      <c r="Q1080" s="3">
        <v>0</v>
      </c>
      <c r="R1080" s="3">
        <v>0</v>
      </c>
    </row>
    <row r="1081" spans="1:18">
      <c r="A1081" s="3" t="s">
        <v>7717</v>
      </c>
      <c r="B1081" s="3" t="s">
        <v>7718</v>
      </c>
      <c r="C1081" s="3" t="s">
        <v>7719</v>
      </c>
      <c r="D1081" s="3"/>
      <c r="E1081" s="3" t="s">
        <v>6275</v>
      </c>
      <c r="F1081" s="3"/>
      <c r="G1081" s="3"/>
      <c r="H1081" s="3"/>
      <c r="I1081" s="3"/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7720</v>
      </c>
      <c r="B1082" s="3" t="s">
        <v>7721</v>
      </c>
      <c r="C1082" s="3" t="s">
        <v>7722</v>
      </c>
      <c r="D1082" s="3"/>
      <c r="E1082" s="3" t="s">
        <v>6275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7723</v>
      </c>
      <c r="B1083" s="3" t="s">
        <v>7724</v>
      </c>
      <c r="C1083" s="3" t="s">
        <v>7725</v>
      </c>
      <c r="D1083" s="3"/>
      <c r="E1083" s="3" t="s">
        <v>6275</v>
      </c>
      <c r="F1083" s="3"/>
      <c r="G1083" s="3"/>
      <c r="H1083" s="3"/>
      <c r="I1083" s="3"/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7726</v>
      </c>
      <c r="B1084" s="3" t="s">
        <v>7727</v>
      </c>
      <c r="C1084" s="3" t="s">
        <v>7728</v>
      </c>
      <c r="D1084" s="3"/>
      <c r="E1084" s="3" t="s">
        <v>6275</v>
      </c>
      <c r="F1084" s="3"/>
      <c r="G1084" s="3"/>
      <c r="H1084" s="3"/>
      <c r="I1084" s="3"/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7729</v>
      </c>
      <c r="B1085" s="3" t="s">
        <v>7730</v>
      </c>
      <c r="C1085" s="3" t="s">
        <v>7731</v>
      </c>
      <c r="D1085" s="3"/>
      <c r="E1085" s="3" t="s">
        <v>6275</v>
      </c>
      <c r="F1085" s="3"/>
      <c r="G1085" s="3"/>
      <c r="H1085" s="3"/>
      <c r="I1085" s="3"/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2095</v>
      </c>
      <c r="B1086" s="3" t="s">
        <v>2096</v>
      </c>
      <c r="C1086" s="3" t="s">
        <v>2097</v>
      </c>
      <c r="D1086" s="3" t="s">
        <v>2098</v>
      </c>
      <c r="E1086" s="3" t="s">
        <v>1710</v>
      </c>
      <c r="F1086" s="3">
        <v>15.99</v>
      </c>
      <c r="G1086" s="3" t="s">
        <v>6233</v>
      </c>
      <c r="H1086" s="3"/>
      <c r="I1086" s="3" t="s">
        <v>6234</v>
      </c>
      <c r="J1086" s="3">
        <v>6</v>
      </c>
      <c r="K1086" s="3">
        <v>6</v>
      </c>
      <c r="L1086" s="3">
        <v>0</v>
      </c>
      <c r="M1086" s="3">
        <v>0</v>
      </c>
      <c r="N1086" s="3">
        <v>6</v>
      </c>
      <c r="O1086" s="3">
        <v>0.42</v>
      </c>
      <c r="P1086" s="3">
        <v>0</v>
      </c>
      <c r="Q1086" s="3">
        <v>0</v>
      </c>
      <c r="R1086" s="3">
        <v>0</v>
      </c>
    </row>
    <row r="1087" spans="1:18">
      <c r="A1087" s="3" t="s">
        <v>7732</v>
      </c>
      <c r="B1087" s="3" t="s">
        <v>7733</v>
      </c>
      <c r="C1087" s="3" t="s">
        <v>7734</v>
      </c>
      <c r="D1087" s="3"/>
      <c r="E1087" s="3" t="s">
        <v>6275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7735</v>
      </c>
      <c r="B1088" s="3" t="s">
        <v>7736</v>
      </c>
      <c r="C1088" s="3" t="s">
        <v>7737</v>
      </c>
      <c r="D1088" s="3" t="s">
        <v>7738</v>
      </c>
      <c r="E1088" s="3" t="s">
        <v>1710</v>
      </c>
      <c r="F1088" s="3">
        <v>15.99</v>
      </c>
      <c r="G1088" s="3" t="s">
        <v>6233</v>
      </c>
      <c r="H1088" s="3"/>
      <c r="I1088" s="3" t="s">
        <v>6234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0.29</v>
      </c>
      <c r="P1088" s="3">
        <v>0</v>
      </c>
      <c r="Q1088" s="3">
        <v>0</v>
      </c>
      <c r="R1088" s="3">
        <v>0</v>
      </c>
    </row>
    <row r="1089" spans="1:18">
      <c r="A1089" s="3" t="s">
        <v>3445</v>
      </c>
      <c r="B1089" s="3" t="s">
        <v>3446</v>
      </c>
      <c r="C1089" s="3" t="s">
        <v>3447</v>
      </c>
      <c r="D1089" s="3" t="s">
        <v>3448</v>
      </c>
      <c r="E1089" s="3" t="s">
        <v>1710</v>
      </c>
      <c r="F1089" s="3">
        <v>39.9</v>
      </c>
      <c r="G1089" s="3" t="s">
        <v>6233</v>
      </c>
      <c r="H1089" s="3"/>
      <c r="I1089" s="3" t="s">
        <v>6234</v>
      </c>
      <c r="J1089" s="3">
        <v>2</v>
      </c>
      <c r="K1089" s="3">
        <v>2</v>
      </c>
      <c r="L1089" s="3">
        <v>0</v>
      </c>
      <c r="M1089" s="3">
        <v>0</v>
      </c>
      <c r="N1089" s="3">
        <v>2</v>
      </c>
      <c r="O1089" s="3">
        <v>0.07</v>
      </c>
      <c r="P1089" s="3">
        <v>0</v>
      </c>
      <c r="Q1089" s="3">
        <v>0</v>
      </c>
      <c r="R1089" s="3">
        <v>0</v>
      </c>
    </row>
    <row r="1090" spans="1:18">
      <c r="A1090" s="3" t="s">
        <v>5100</v>
      </c>
      <c r="B1090" s="3" t="s">
        <v>5101</v>
      </c>
      <c r="C1090" s="3" t="s">
        <v>5102</v>
      </c>
      <c r="D1090" s="3" t="s">
        <v>5103</v>
      </c>
      <c r="E1090" s="3" t="s">
        <v>1710</v>
      </c>
      <c r="F1090" s="3">
        <v>39.9</v>
      </c>
      <c r="G1090" s="3" t="s">
        <v>6233</v>
      </c>
      <c r="H1090" s="3"/>
      <c r="I1090" s="3" t="s">
        <v>6234</v>
      </c>
      <c r="J1090" s="3">
        <v>7</v>
      </c>
      <c r="K1090" s="3">
        <v>6</v>
      </c>
      <c r="L1090" s="3">
        <v>1</v>
      </c>
      <c r="M1090" s="3">
        <v>0</v>
      </c>
      <c r="N1090" s="3">
        <v>7</v>
      </c>
      <c r="O1090" s="3">
        <v>0.07</v>
      </c>
      <c r="P1090" s="3">
        <v>0</v>
      </c>
      <c r="Q1090" s="3">
        <v>0</v>
      </c>
      <c r="R1090" s="3">
        <v>0</v>
      </c>
    </row>
    <row r="1091" spans="1:18">
      <c r="A1091" s="3" t="s">
        <v>4960</v>
      </c>
      <c r="B1091" s="3" t="s">
        <v>4961</v>
      </c>
      <c r="C1091" s="3" t="s">
        <v>4962</v>
      </c>
      <c r="D1091" s="3" t="s">
        <v>4963</v>
      </c>
      <c r="E1091" s="3" t="s">
        <v>1710</v>
      </c>
      <c r="F1091" s="3">
        <v>39.9</v>
      </c>
      <c r="G1091" s="3" t="s">
        <v>6233</v>
      </c>
      <c r="H1091" s="3"/>
      <c r="I1091" s="3" t="s">
        <v>6234</v>
      </c>
      <c r="J1091" s="3">
        <v>1</v>
      </c>
      <c r="K1091" s="3">
        <v>1</v>
      </c>
      <c r="L1091" s="3">
        <v>0</v>
      </c>
      <c r="M1091" s="3">
        <v>0</v>
      </c>
      <c r="N1091" s="3">
        <v>1</v>
      </c>
      <c r="O1091" s="3">
        <v>0.07</v>
      </c>
      <c r="P1091" s="3">
        <v>0</v>
      </c>
      <c r="Q1091" s="3">
        <v>0</v>
      </c>
      <c r="R1091" s="3">
        <v>0</v>
      </c>
    </row>
    <row r="1092" spans="1:18">
      <c r="A1092" s="3" t="s">
        <v>3415</v>
      </c>
      <c r="B1092" s="3" t="s">
        <v>3416</v>
      </c>
      <c r="C1092" s="3" t="s">
        <v>3417</v>
      </c>
      <c r="D1092" s="3" t="s">
        <v>3418</v>
      </c>
      <c r="E1092" s="3" t="s">
        <v>1710</v>
      </c>
      <c r="F1092" s="3">
        <v>39.9</v>
      </c>
      <c r="G1092" s="3" t="s">
        <v>6233</v>
      </c>
      <c r="H1092" s="3"/>
      <c r="I1092" s="3" t="s">
        <v>6234</v>
      </c>
      <c r="J1092" s="3">
        <v>1</v>
      </c>
      <c r="K1092" s="3">
        <v>1</v>
      </c>
      <c r="L1092" s="3">
        <v>0</v>
      </c>
      <c r="M1092" s="3">
        <v>0</v>
      </c>
      <c r="N1092" s="3">
        <v>1</v>
      </c>
      <c r="O1092" s="3">
        <v>0.07</v>
      </c>
      <c r="P1092" s="3">
        <v>0</v>
      </c>
      <c r="Q1092" s="3">
        <v>0</v>
      </c>
      <c r="R1092" s="3">
        <v>0</v>
      </c>
    </row>
    <row r="1093" spans="1:18">
      <c r="A1093" s="3" t="s">
        <v>7739</v>
      </c>
      <c r="B1093" s="3" t="s">
        <v>7740</v>
      </c>
      <c r="C1093" s="3" t="s">
        <v>7741</v>
      </c>
      <c r="D1093" s="3" t="s">
        <v>7742</v>
      </c>
      <c r="E1093" s="3" t="s">
        <v>1710</v>
      </c>
      <c r="F1093" s="3">
        <v>39.9</v>
      </c>
      <c r="G1093" s="3" t="s">
        <v>6233</v>
      </c>
      <c r="H1093" s="3"/>
      <c r="I1093" s="3" t="s">
        <v>6234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0.07</v>
      </c>
      <c r="P1093" s="3">
        <v>0</v>
      </c>
      <c r="Q1093" s="3">
        <v>0</v>
      </c>
      <c r="R1093" s="3">
        <v>0</v>
      </c>
    </row>
    <row r="1094" spans="1:18">
      <c r="A1094" s="3" t="s">
        <v>7743</v>
      </c>
      <c r="B1094" s="3" t="s">
        <v>7744</v>
      </c>
      <c r="C1094" s="3" t="s">
        <v>7745</v>
      </c>
      <c r="D1094" s="3" t="s">
        <v>7746</v>
      </c>
      <c r="E1094" s="3" t="s">
        <v>1710</v>
      </c>
      <c r="F1094" s="3">
        <v>39.99</v>
      </c>
      <c r="G1094" s="3" t="s">
        <v>6233</v>
      </c>
      <c r="H1094" s="3"/>
      <c r="I1094" s="3" t="s">
        <v>6234</v>
      </c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>
        <v>0.07</v>
      </c>
      <c r="P1094" s="3">
        <v>0</v>
      </c>
      <c r="Q1094" s="3">
        <v>0</v>
      </c>
      <c r="R1094" s="3">
        <v>0</v>
      </c>
    </row>
    <row r="1095" spans="1:18">
      <c r="A1095" s="3" t="s">
        <v>3366</v>
      </c>
      <c r="B1095" s="3" t="s">
        <v>3367</v>
      </c>
      <c r="C1095" s="3" t="s">
        <v>3368</v>
      </c>
      <c r="D1095" s="3" t="s">
        <v>3369</v>
      </c>
      <c r="E1095" s="3" t="s">
        <v>1710</v>
      </c>
      <c r="F1095" s="3">
        <v>28.88</v>
      </c>
      <c r="G1095" s="3" t="s">
        <v>6233</v>
      </c>
      <c r="H1095" s="3"/>
      <c r="I1095" s="3" t="s">
        <v>6234</v>
      </c>
      <c r="J1095" s="3">
        <v>1</v>
      </c>
      <c r="K1095" s="3">
        <v>1</v>
      </c>
      <c r="L1095" s="3">
        <v>0</v>
      </c>
      <c r="M1095" s="3">
        <v>0</v>
      </c>
      <c r="N1095" s="3">
        <v>1</v>
      </c>
      <c r="O1095" s="3">
        <v>0.06</v>
      </c>
      <c r="P1095" s="3">
        <v>0</v>
      </c>
      <c r="Q1095" s="3">
        <v>0</v>
      </c>
      <c r="R1095" s="3">
        <v>0</v>
      </c>
    </row>
    <row r="1096" spans="1:18">
      <c r="A1096" s="3" t="s">
        <v>7747</v>
      </c>
      <c r="B1096" s="3" t="s">
        <v>7748</v>
      </c>
      <c r="C1096" s="3" t="s">
        <v>7749</v>
      </c>
      <c r="D1096" s="3" t="s">
        <v>3369</v>
      </c>
      <c r="E1096" s="3" t="s">
        <v>1710</v>
      </c>
      <c r="F1096" s="3">
        <v>28.88</v>
      </c>
      <c r="G1096" s="3" t="s">
        <v>6233</v>
      </c>
      <c r="H1096" s="3"/>
      <c r="I1096" s="3" t="s">
        <v>6234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0.06</v>
      </c>
      <c r="P1096" s="3">
        <v>0</v>
      </c>
      <c r="Q1096" s="3">
        <v>0</v>
      </c>
      <c r="R1096" s="3">
        <v>0</v>
      </c>
    </row>
    <row r="1097" spans="1:18">
      <c r="A1097" s="3" t="s">
        <v>7750</v>
      </c>
      <c r="B1097" s="3" t="s">
        <v>7751</v>
      </c>
      <c r="C1097" s="3" t="s">
        <v>7752</v>
      </c>
      <c r="D1097" s="3"/>
      <c r="E1097" s="3" t="s">
        <v>6275</v>
      </c>
      <c r="F1097" s="3"/>
      <c r="G1097" s="3"/>
      <c r="H1097" s="3"/>
      <c r="I1097" s="3"/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1822</v>
      </c>
      <c r="B1098" s="3" t="s">
        <v>1823</v>
      </c>
      <c r="C1098" s="3" t="s">
        <v>1824</v>
      </c>
      <c r="D1098" s="3" t="s">
        <v>1825</v>
      </c>
      <c r="E1098" s="3" t="s">
        <v>1710</v>
      </c>
      <c r="F1098" s="3">
        <v>28.88</v>
      </c>
      <c r="G1098" s="3" t="s">
        <v>6233</v>
      </c>
      <c r="H1098" s="3"/>
      <c r="I1098" s="3" t="s">
        <v>6234</v>
      </c>
      <c r="J1098" s="3">
        <v>2</v>
      </c>
      <c r="K1098" s="3">
        <v>2</v>
      </c>
      <c r="L1098" s="3">
        <v>0</v>
      </c>
      <c r="M1098" s="3">
        <v>0</v>
      </c>
      <c r="N1098" s="3">
        <v>2</v>
      </c>
      <c r="O1098" s="3">
        <v>0.06</v>
      </c>
      <c r="P1098" s="3">
        <v>0</v>
      </c>
      <c r="Q1098" s="3">
        <v>0</v>
      </c>
      <c r="R1098" s="3">
        <v>0</v>
      </c>
    </row>
    <row r="1099" spans="1:18">
      <c r="A1099" s="3" t="s">
        <v>7753</v>
      </c>
      <c r="B1099" s="3" t="s">
        <v>7754</v>
      </c>
      <c r="C1099" s="3" t="s">
        <v>7755</v>
      </c>
      <c r="D1099" s="3"/>
      <c r="E1099" s="3" t="s">
        <v>6275</v>
      </c>
      <c r="F1099" s="3"/>
      <c r="G1099" s="3"/>
      <c r="H1099" s="3"/>
      <c r="I1099" s="3"/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7756</v>
      </c>
      <c r="B1100" s="3" t="s">
        <v>7757</v>
      </c>
      <c r="C1100" s="3" t="s">
        <v>7758</v>
      </c>
      <c r="D1100" s="3"/>
      <c r="E1100" s="3" t="s">
        <v>6275</v>
      </c>
      <c r="F1100" s="3"/>
      <c r="G1100" s="3"/>
      <c r="H1100" s="3"/>
      <c r="I1100" s="3"/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7759</v>
      </c>
      <c r="B1101" s="3" t="s">
        <v>7760</v>
      </c>
      <c r="C1101" s="3" t="s">
        <v>7761</v>
      </c>
      <c r="D1101" s="3" t="s">
        <v>7762</v>
      </c>
      <c r="E1101" s="3" t="s">
        <v>1710</v>
      </c>
      <c r="F1101" s="3">
        <v>27.39</v>
      </c>
      <c r="G1101" s="3" t="s">
        <v>6233</v>
      </c>
      <c r="H1101" s="3"/>
      <c r="I1101" s="3" t="s">
        <v>6234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0.11</v>
      </c>
      <c r="P1101" s="3">
        <v>0</v>
      </c>
      <c r="Q1101" s="3">
        <v>0</v>
      </c>
      <c r="R1101" s="3">
        <v>0</v>
      </c>
    </row>
    <row r="1102" spans="1:18">
      <c r="A1102" s="3" t="s">
        <v>7763</v>
      </c>
      <c r="B1102" s="3" t="s">
        <v>7764</v>
      </c>
      <c r="C1102" s="3" t="s">
        <v>7765</v>
      </c>
      <c r="D1102" s="3" t="s">
        <v>7766</v>
      </c>
      <c r="F1102" s="3">
        <v>35</v>
      </c>
      <c r="G1102" s="3" t="s">
        <v>6233</v>
      </c>
      <c r="H1102" s="3"/>
      <c r="I1102" s="3" t="s">
        <v>6234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0.09</v>
      </c>
      <c r="P1102" s="3">
        <v>0</v>
      </c>
      <c r="Q1102" s="3">
        <v>0</v>
      </c>
      <c r="R1102" s="3">
        <v>0</v>
      </c>
    </row>
    <row r="1103" spans="1:18">
      <c r="A1103" s="3" t="s">
        <v>7767</v>
      </c>
      <c r="B1103" s="3" t="s">
        <v>7768</v>
      </c>
      <c r="C1103" s="3" t="s">
        <v>7769</v>
      </c>
      <c r="D1103" s="3" t="s">
        <v>7770</v>
      </c>
      <c r="E1103" s="3" t="s">
        <v>1710</v>
      </c>
      <c r="F1103" s="3">
        <v>35</v>
      </c>
      <c r="G1103" s="3" t="s">
        <v>6233</v>
      </c>
      <c r="H1103" s="3"/>
      <c r="I1103" s="3" t="s">
        <v>6234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0.05</v>
      </c>
      <c r="P1103" s="3">
        <v>0</v>
      </c>
      <c r="Q1103" s="3">
        <v>0</v>
      </c>
      <c r="R1103" s="3">
        <v>0</v>
      </c>
    </row>
    <row r="1104" spans="1:18">
      <c r="A1104" s="3" t="s">
        <v>7771</v>
      </c>
      <c r="B1104" s="3" t="s">
        <v>7772</v>
      </c>
      <c r="C1104" s="3" t="s">
        <v>7773</v>
      </c>
      <c r="D1104" s="3" t="s">
        <v>7774</v>
      </c>
      <c r="E1104" s="3" t="s">
        <v>1710</v>
      </c>
      <c r="F1104" s="3">
        <v>35</v>
      </c>
      <c r="G1104" s="3" t="s">
        <v>6233</v>
      </c>
      <c r="H1104" s="3"/>
      <c r="I1104" s="3" t="s">
        <v>6234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0.09</v>
      </c>
      <c r="P1104" s="3">
        <v>0</v>
      </c>
      <c r="Q1104" s="3">
        <v>0</v>
      </c>
      <c r="R1104" s="3">
        <v>0</v>
      </c>
    </row>
    <row r="1105" spans="1:18">
      <c r="A1105" s="3" t="s">
        <v>7775</v>
      </c>
      <c r="B1105" s="3" t="s">
        <v>7776</v>
      </c>
      <c r="C1105" s="3" t="s">
        <v>7777</v>
      </c>
      <c r="D1105" s="3"/>
      <c r="E1105" s="3" t="s">
        <v>6275</v>
      </c>
      <c r="F1105" s="3"/>
      <c r="G1105" s="3"/>
      <c r="H1105" s="3"/>
      <c r="I1105" s="3"/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/>
      <c r="P1105" s="3">
        <v>0</v>
      </c>
      <c r="Q1105" s="3">
        <v>0</v>
      </c>
      <c r="R1105" s="3">
        <v>0</v>
      </c>
    </row>
    <row r="1106" spans="1:18">
      <c r="A1106" s="3" t="s">
        <v>5199</v>
      </c>
      <c r="B1106" s="3" t="s">
        <v>5200</v>
      </c>
      <c r="C1106" s="3" t="s">
        <v>5201</v>
      </c>
      <c r="D1106" s="3" t="s">
        <v>5202</v>
      </c>
      <c r="E1106" s="3" t="s">
        <v>1710</v>
      </c>
      <c r="F1106" s="3">
        <v>30</v>
      </c>
      <c r="G1106" s="3" t="s">
        <v>6233</v>
      </c>
      <c r="H1106" s="3"/>
      <c r="I1106" s="3" t="s">
        <v>6234</v>
      </c>
      <c r="J1106" s="3">
        <v>1</v>
      </c>
      <c r="K1106" s="3">
        <v>1</v>
      </c>
      <c r="L1106" s="3">
        <v>0</v>
      </c>
      <c r="M1106" s="3">
        <v>0</v>
      </c>
      <c r="N1106" s="3">
        <v>1</v>
      </c>
      <c r="O1106" s="3">
        <v>0.07</v>
      </c>
      <c r="P1106" s="3">
        <v>0</v>
      </c>
      <c r="Q1106" s="3">
        <v>0</v>
      </c>
      <c r="R1106" s="3">
        <v>0</v>
      </c>
    </row>
    <row r="1107" spans="1:18">
      <c r="A1107" s="3" t="s">
        <v>7778</v>
      </c>
      <c r="B1107" s="3" t="s">
        <v>7779</v>
      </c>
      <c r="C1107" s="3" t="s">
        <v>7780</v>
      </c>
      <c r="D1107" s="3" t="s">
        <v>7781</v>
      </c>
      <c r="E1107" s="3" t="s">
        <v>1710</v>
      </c>
      <c r="F1107" s="3">
        <v>30</v>
      </c>
      <c r="G1107" s="3" t="s">
        <v>6233</v>
      </c>
      <c r="H1107" s="3"/>
      <c r="I1107" s="3" t="s">
        <v>6234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0.09</v>
      </c>
      <c r="P1107" s="3">
        <v>0</v>
      </c>
      <c r="Q1107" s="3">
        <v>0</v>
      </c>
      <c r="R1107" s="3">
        <v>0</v>
      </c>
    </row>
    <row r="1108" spans="1:18">
      <c r="A1108" s="3" t="s">
        <v>7782</v>
      </c>
      <c r="B1108" s="3" t="s">
        <v>7783</v>
      </c>
      <c r="C1108" s="3" t="s">
        <v>7784</v>
      </c>
      <c r="D1108" s="3" t="s">
        <v>7785</v>
      </c>
      <c r="E1108" s="3" t="s">
        <v>1710</v>
      </c>
      <c r="F1108" s="3">
        <v>30</v>
      </c>
      <c r="G1108" s="3" t="s">
        <v>6233</v>
      </c>
      <c r="H1108" s="3"/>
      <c r="I1108" s="3" t="s">
        <v>6234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0.03</v>
      </c>
      <c r="P1108" s="3">
        <v>0</v>
      </c>
      <c r="Q1108" s="3">
        <v>0</v>
      </c>
      <c r="R1108" s="3">
        <v>0</v>
      </c>
    </row>
    <row r="1109" spans="1:18">
      <c r="A1109" s="3" t="s">
        <v>7786</v>
      </c>
      <c r="B1109" s="3" t="s">
        <v>7787</v>
      </c>
      <c r="C1109" s="3" t="s">
        <v>7788</v>
      </c>
      <c r="D1109" s="3" t="s">
        <v>7789</v>
      </c>
      <c r="E1109" s="3" t="s">
        <v>1710</v>
      </c>
      <c r="F1109" s="3">
        <v>29.65</v>
      </c>
      <c r="G1109" s="3" t="s">
        <v>6233</v>
      </c>
      <c r="H1109" s="3"/>
      <c r="I1109" s="3" t="s">
        <v>6234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0.14</v>
      </c>
      <c r="P1109" s="3">
        <v>0</v>
      </c>
      <c r="Q1109" s="3">
        <v>0</v>
      </c>
      <c r="R1109" s="3">
        <v>0</v>
      </c>
    </row>
    <row r="1110" spans="1:18">
      <c r="A1110" s="3" t="s">
        <v>5736</v>
      </c>
      <c r="B1110" s="3" t="s">
        <v>5737</v>
      </c>
      <c r="C1110" s="3" t="s">
        <v>5738</v>
      </c>
      <c r="D1110" s="3" t="s">
        <v>5739</v>
      </c>
      <c r="E1110" s="3" t="s">
        <v>1710</v>
      </c>
      <c r="F1110" s="3">
        <v>30</v>
      </c>
      <c r="G1110" s="3" t="s">
        <v>6233</v>
      </c>
      <c r="H1110" s="3"/>
      <c r="I1110" s="3" t="s">
        <v>6234</v>
      </c>
      <c r="J1110" s="3">
        <v>4</v>
      </c>
      <c r="K1110" s="3">
        <v>3</v>
      </c>
      <c r="L1110" s="3">
        <v>1</v>
      </c>
      <c r="M1110" s="3">
        <v>0</v>
      </c>
      <c r="N1110" s="3">
        <v>4</v>
      </c>
      <c r="O1110" s="3">
        <v>0.08</v>
      </c>
      <c r="P1110" s="3">
        <v>0</v>
      </c>
      <c r="Q1110" s="3">
        <v>0</v>
      </c>
      <c r="R1110" s="3">
        <v>0</v>
      </c>
    </row>
    <row r="1111" spans="1:18">
      <c r="A1111" s="3" t="s">
        <v>3079</v>
      </c>
      <c r="B1111" s="3" t="s">
        <v>3080</v>
      </c>
      <c r="C1111" s="3" t="s">
        <v>3081</v>
      </c>
      <c r="D1111" s="3" t="s">
        <v>1895</v>
      </c>
      <c r="E1111" s="3" t="s">
        <v>1710</v>
      </c>
      <c r="F1111" s="3">
        <v>16.99</v>
      </c>
      <c r="G1111" s="3" t="s">
        <v>6233</v>
      </c>
      <c r="H1111" s="3"/>
      <c r="I1111" s="3" t="s">
        <v>6234</v>
      </c>
      <c r="J1111" s="3">
        <v>1</v>
      </c>
      <c r="K1111" s="3">
        <v>1</v>
      </c>
      <c r="L1111" s="3">
        <v>0</v>
      </c>
      <c r="M1111" s="3">
        <v>0</v>
      </c>
      <c r="N1111" s="3">
        <v>1</v>
      </c>
      <c r="O1111" s="3">
        <v>0.13</v>
      </c>
      <c r="P1111" s="3">
        <v>0</v>
      </c>
      <c r="Q1111" s="3">
        <v>0</v>
      </c>
      <c r="R1111" s="3">
        <v>0</v>
      </c>
    </row>
    <row r="1112" spans="1:18">
      <c r="A1112" s="3" t="s">
        <v>7790</v>
      </c>
      <c r="B1112" s="3" t="s">
        <v>7791</v>
      </c>
      <c r="C1112" s="3" t="s">
        <v>7792</v>
      </c>
      <c r="D1112" s="3" t="s">
        <v>7793</v>
      </c>
      <c r="E1112" s="3" t="s">
        <v>1710</v>
      </c>
      <c r="F1112" s="3">
        <v>18.99</v>
      </c>
      <c r="G1112" s="3" t="s">
        <v>6233</v>
      </c>
      <c r="H1112" s="3"/>
      <c r="I1112" s="3" t="s">
        <v>6234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0.27</v>
      </c>
      <c r="P1112" s="3">
        <v>0</v>
      </c>
      <c r="Q1112" s="3">
        <v>0</v>
      </c>
      <c r="R1112" s="3">
        <v>0</v>
      </c>
    </row>
    <row r="1113" spans="1:18">
      <c r="A1113" s="3" t="s">
        <v>7794</v>
      </c>
      <c r="B1113" s="3" t="s">
        <v>7795</v>
      </c>
      <c r="C1113" s="3" t="s">
        <v>5959</v>
      </c>
      <c r="D1113" s="3" t="s">
        <v>5960</v>
      </c>
      <c r="E1113" s="3" t="s">
        <v>1710</v>
      </c>
      <c r="F1113" s="3">
        <v>18.99</v>
      </c>
      <c r="G1113" s="3" t="s">
        <v>6234</v>
      </c>
      <c r="H1113" s="3">
        <v>0</v>
      </c>
      <c r="I1113" s="3" t="s">
        <v>6233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0.28</v>
      </c>
      <c r="P1113" s="3">
        <v>0</v>
      </c>
      <c r="Q1113" s="3">
        <v>0</v>
      </c>
      <c r="R1113" s="3">
        <v>0</v>
      </c>
    </row>
    <row r="1114" spans="1:18">
      <c r="A1114" s="3" t="s">
        <v>7796</v>
      </c>
      <c r="B1114" s="3" t="s">
        <v>7797</v>
      </c>
      <c r="C1114" s="3" t="s">
        <v>2910</v>
      </c>
      <c r="D1114" s="3" t="s">
        <v>2911</v>
      </c>
      <c r="E1114" s="3" t="s">
        <v>1710</v>
      </c>
      <c r="F1114" s="3">
        <v>18.99</v>
      </c>
      <c r="G1114" s="3" t="s">
        <v>6233</v>
      </c>
      <c r="H1114" s="3"/>
      <c r="I1114" s="3" t="s">
        <v>6234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0.16</v>
      </c>
      <c r="P1114" s="3">
        <v>0</v>
      </c>
      <c r="Q1114" s="3">
        <v>0</v>
      </c>
      <c r="R1114" s="3">
        <v>0</v>
      </c>
    </row>
    <row r="1115" spans="1:18">
      <c r="A1115" s="3" t="s">
        <v>280</v>
      </c>
      <c r="B1115" s="3" t="s">
        <v>281</v>
      </c>
      <c r="C1115" s="3" t="s">
        <v>282</v>
      </c>
      <c r="D1115" s="3" t="s">
        <v>283</v>
      </c>
      <c r="E1115" s="3" t="s">
        <v>1710</v>
      </c>
      <c r="F1115" s="3">
        <v>19.99</v>
      </c>
      <c r="G1115" s="3" t="s">
        <v>6233</v>
      </c>
      <c r="H1115" s="3"/>
      <c r="I1115" s="3" t="s">
        <v>6234</v>
      </c>
      <c r="J1115" s="3">
        <v>11</v>
      </c>
      <c r="K1115" s="3">
        <v>10</v>
      </c>
      <c r="L1115" s="3">
        <v>0</v>
      </c>
      <c r="M1115" s="3">
        <v>1</v>
      </c>
      <c r="N1115" s="3">
        <v>11</v>
      </c>
      <c r="O1115" s="3">
        <v>0.13</v>
      </c>
      <c r="P1115" s="3">
        <v>0</v>
      </c>
      <c r="Q1115" s="3">
        <v>0</v>
      </c>
      <c r="R1115" s="3">
        <v>0</v>
      </c>
    </row>
    <row r="1116" spans="1:18">
      <c r="A1116" s="3" t="s">
        <v>3204</v>
      </c>
      <c r="B1116" s="3" t="s">
        <v>3205</v>
      </c>
      <c r="C1116" s="3" t="s">
        <v>3206</v>
      </c>
      <c r="D1116" s="3" t="s">
        <v>3207</v>
      </c>
      <c r="E1116" s="3" t="s">
        <v>1710</v>
      </c>
      <c r="F1116" s="3">
        <v>19.99</v>
      </c>
      <c r="G1116" s="3" t="s">
        <v>6233</v>
      </c>
      <c r="H1116" s="3"/>
      <c r="I1116" s="3" t="s">
        <v>6234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0.24</v>
      </c>
      <c r="P1116" s="3">
        <v>0</v>
      </c>
      <c r="Q1116" s="3">
        <v>0</v>
      </c>
      <c r="R1116" s="3">
        <v>0</v>
      </c>
    </row>
    <row r="1117" spans="1:18">
      <c r="A1117" s="3" t="s">
        <v>7798</v>
      </c>
      <c r="B1117" s="3" t="s">
        <v>7799</v>
      </c>
      <c r="C1117" s="3" t="s">
        <v>7800</v>
      </c>
      <c r="D1117" s="3" t="s">
        <v>7801</v>
      </c>
      <c r="E1117" s="3" t="s">
        <v>1710</v>
      </c>
      <c r="F1117" s="3">
        <v>19.99</v>
      </c>
      <c r="G1117" s="3" t="s">
        <v>6233</v>
      </c>
      <c r="H1117" s="3"/>
      <c r="I1117" s="3" t="s">
        <v>6234</v>
      </c>
      <c r="J1117" s="3">
        <v>10</v>
      </c>
      <c r="K1117" s="3">
        <v>10</v>
      </c>
      <c r="L1117" s="3">
        <v>0</v>
      </c>
      <c r="M1117" s="3">
        <v>0</v>
      </c>
      <c r="N1117" s="3">
        <v>10</v>
      </c>
      <c r="O1117" s="3">
        <v>0.22</v>
      </c>
      <c r="P1117" s="3">
        <v>0</v>
      </c>
      <c r="Q1117" s="3">
        <v>0</v>
      </c>
      <c r="R1117" s="3">
        <v>0</v>
      </c>
    </row>
    <row r="1118" spans="1:18">
      <c r="A1118" s="3" t="s">
        <v>268</v>
      </c>
      <c r="B1118" s="3" t="s">
        <v>269</v>
      </c>
      <c r="C1118" s="3" t="s">
        <v>270</v>
      </c>
      <c r="D1118" s="3" t="s">
        <v>271</v>
      </c>
      <c r="E1118" s="3" t="s">
        <v>1710</v>
      </c>
      <c r="F1118" s="3">
        <v>15.99</v>
      </c>
      <c r="G1118" s="3" t="s">
        <v>6233</v>
      </c>
      <c r="H1118" s="3"/>
      <c r="I1118" s="3" t="s">
        <v>6234</v>
      </c>
      <c r="J1118" s="3">
        <v>31</v>
      </c>
      <c r="K1118" s="3">
        <v>30</v>
      </c>
      <c r="L1118" s="3">
        <v>0</v>
      </c>
      <c r="M1118" s="3">
        <v>1</v>
      </c>
      <c r="N1118" s="3">
        <v>31</v>
      </c>
      <c r="O1118" s="3">
        <v>0.2</v>
      </c>
      <c r="P1118" s="3">
        <v>0</v>
      </c>
      <c r="Q1118" s="3">
        <v>0</v>
      </c>
      <c r="R1118" s="3">
        <v>0</v>
      </c>
    </row>
    <row r="1119" spans="1:18">
      <c r="A1119" s="3" t="s">
        <v>2356</v>
      </c>
      <c r="B1119" s="3" t="s">
        <v>2357</v>
      </c>
      <c r="C1119" s="3" t="s">
        <v>2358</v>
      </c>
      <c r="D1119" s="3" t="s">
        <v>2359</v>
      </c>
      <c r="E1119" s="3" t="s">
        <v>1710</v>
      </c>
      <c r="F1119" s="3">
        <v>15.99</v>
      </c>
      <c r="G1119" s="3" t="s">
        <v>6233</v>
      </c>
      <c r="H1119" s="3"/>
      <c r="I1119" s="3" t="s">
        <v>6234</v>
      </c>
      <c r="J1119" s="3">
        <v>32</v>
      </c>
      <c r="K1119" s="3">
        <v>32</v>
      </c>
      <c r="L1119" s="3">
        <v>0</v>
      </c>
      <c r="M1119" s="3">
        <v>0</v>
      </c>
      <c r="N1119" s="3">
        <v>32</v>
      </c>
      <c r="O1119" s="3">
        <v>0.2</v>
      </c>
      <c r="P1119" s="3">
        <v>0</v>
      </c>
      <c r="Q1119" s="3">
        <v>0</v>
      </c>
      <c r="R1119" s="3">
        <v>0</v>
      </c>
    </row>
    <row r="1120" spans="1:18">
      <c r="A1120" s="3" t="s">
        <v>4490</v>
      </c>
      <c r="B1120" s="3" t="s">
        <v>4491</v>
      </c>
      <c r="C1120" s="3" t="s">
        <v>4492</v>
      </c>
      <c r="D1120" s="3" t="s">
        <v>4493</v>
      </c>
      <c r="E1120" s="3" t="s">
        <v>1710</v>
      </c>
      <c r="F1120" s="3">
        <v>18.99</v>
      </c>
      <c r="G1120" s="3" t="s">
        <v>6233</v>
      </c>
      <c r="H1120" s="3"/>
      <c r="I1120" s="3" t="s">
        <v>6234</v>
      </c>
      <c r="J1120" s="3">
        <v>10</v>
      </c>
      <c r="K1120" s="3">
        <v>10</v>
      </c>
      <c r="L1120" s="3">
        <v>0</v>
      </c>
      <c r="M1120" s="3">
        <v>0</v>
      </c>
      <c r="N1120" s="3">
        <v>10</v>
      </c>
      <c r="O1120" s="3">
        <v>0.24</v>
      </c>
      <c r="P1120" s="3">
        <v>0</v>
      </c>
      <c r="Q1120" s="3">
        <v>0</v>
      </c>
      <c r="R1120" s="3">
        <v>0</v>
      </c>
    </row>
    <row r="1121" spans="1:18">
      <c r="A1121" s="3" t="s">
        <v>288</v>
      </c>
      <c r="B1121" s="3" t="s">
        <v>289</v>
      </c>
      <c r="C1121" s="3" t="s">
        <v>290</v>
      </c>
      <c r="D1121" s="3" t="s">
        <v>291</v>
      </c>
      <c r="E1121" s="3" t="s">
        <v>1710</v>
      </c>
      <c r="F1121" s="3">
        <v>16.99</v>
      </c>
      <c r="G1121" s="3" t="s">
        <v>6233</v>
      </c>
      <c r="H1121" s="3"/>
      <c r="I1121" s="3" t="s">
        <v>6234</v>
      </c>
      <c r="J1121" s="3">
        <v>11</v>
      </c>
      <c r="K1121" s="3">
        <v>9</v>
      </c>
      <c r="L1121" s="3">
        <v>1</v>
      </c>
      <c r="M1121" s="3">
        <v>1</v>
      </c>
      <c r="N1121" s="3">
        <v>11</v>
      </c>
      <c r="O1121" s="3">
        <v>0.22</v>
      </c>
      <c r="P1121" s="3">
        <v>0</v>
      </c>
      <c r="Q1121" s="3">
        <v>0</v>
      </c>
      <c r="R1121" s="3">
        <v>0</v>
      </c>
    </row>
    <row r="1122" spans="1:18">
      <c r="A1122" s="3" t="s">
        <v>296</v>
      </c>
      <c r="B1122" s="3" t="s">
        <v>297</v>
      </c>
      <c r="C1122" s="3" t="s">
        <v>298</v>
      </c>
      <c r="D1122" s="3" t="s">
        <v>299</v>
      </c>
      <c r="E1122" s="3" t="s">
        <v>1710</v>
      </c>
      <c r="F1122" s="3">
        <v>16.99</v>
      </c>
      <c r="G1122" s="3" t="s">
        <v>6233</v>
      </c>
      <c r="H1122" s="3"/>
      <c r="I1122" s="3" t="s">
        <v>6234</v>
      </c>
      <c r="J1122" s="3">
        <v>25</v>
      </c>
      <c r="K1122" s="3">
        <v>24</v>
      </c>
      <c r="L1122" s="3">
        <v>0</v>
      </c>
      <c r="M1122" s="3">
        <v>1</v>
      </c>
      <c r="N1122" s="3">
        <v>25</v>
      </c>
      <c r="O1122" s="3">
        <v>0.23</v>
      </c>
      <c r="P1122" s="3">
        <v>0</v>
      </c>
      <c r="Q1122" s="3">
        <v>0</v>
      </c>
      <c r="R1122" s="3">
        <v>0</v>
      </c>
    </row>
    <row r="1123" spans="1:18">
      <c r="A1123" s="3" t="s">
        <v>3885</v>
      </c>
      <c r="B1123" s="3" t="s">
        <v>3886</v>
      </c>
      <c r="C1123" s="3" t="s">
        <v>3887</v>
      </c>
      <c r="D1123" s="3" t="s">
        <v>3888</v>
      </c>
      <c r="E1123" s="3" t="s">
        <v>1710</v>
      </c>
      <c r="F1123" s="3">
        <v>16.99</v>
      </c>
      <c r="G1123" s="3" t="s">
        <v>6233</v>
      </c>
      <c r="H1123" s="3"/>
      <c r="I1123" s="3" t="s">
        <v>6234</v>
      </c>
      <c r="J1123" s="3">
        <v>18</v>
      </c>
      <c r="K1123" s="3">
        <v>18</v>
      </c>
      <c r="L1123" s="3">
        <v>0</v>
      </c>
      <c r="M1123" s="3">
        <v>0</v>
      </c>
      <c r="N1123" s="3">
        <v>18</v>
      </c>
      <c r="O1123" s="3">
        <v>0.2</v>
      </c>
      <c r="P1123" s="3">
        <v>0</v>
      </c>
      <c r="Q1123" s="3">
        <v>0</v>
      </c>
      <c r="R1123" s="3">
        <v>0</v>
      </c>
    </row>
    <row r="1124" spans="1:18">
      <c r="A1124" s="3" t="s">
        <v>4721</v>
      </c>
      <c r="B1124" s="3" t="s">
        <v>4722</v>
      </c>
      <c r="C1124" s="3" t="s">
        <v>4723</v>
      </c>
      <c r="D1124" s="3" t="s">
        <v>4724</v>
      </c>
      <c r="E1124" s="3" t="s">
        <v>1710</v>
      </c>
      <c r="F1124" s="3">
        <v>16.99</v>
      </c>
      <c r="G1124" s="3" t="s">
        <v>6233</v>
      </c>
      <c r="H1124" s="3"/>
      <c r="I1124" s="3" t="s">
        <v>6234</v>
      </c>
      <c r="J1124" s="3">
        <v>8</v>
      </c>
      <c r="K1124" s="3">
        <v>8</v>
      </c>
      <c r="L1124" s="3">
        <v>0</v>
      </c>
      <c r="M1124" s="3">
        <v>0</v>
      </c>
      <c r="N1124" s="3">
        <v>8</v>
      </c>
      <c r="O1124" s="3">
        <v>0.17</v>
      </c>
      <c r="P1124" s="3">
        <v>0</v>
      </c>
      <c r="Q1124" s="3">
        <v>0</v>
      </c>
      <c r="R1124" s="3">
        <v>0</v>
      </c>
    </row>
    <row r="1125" spans="1:18">
      <c r="A1125" s="3" t="s">
        <v>6179</v>
      </c>
      <c r="B1125" s="3" t="s">
        <v>6180</v>
      </c>
      <c r="C1125" s="3" t="s">
        <v>6181</v>
      </c>
      <c r="D1125" s="3" t="s">
        <v>6182</v>
      </c>
      <c r="E1125" s="3" t="s">
        <v>1710</v>
      </c>
      <c r="F1125" s="3">
        <v>18.99</v>
      </c>
      <c r="G1125" s="3" t="s">
        <v>6233</v>
      </c>
      <c r="H1125" s="3"/>
      <c r="I1125" s="3" t="s">
        <v>6234</v>
      </c>
      <c r="J1125" s="3">
        <v>43</v>
      </c>
      <c r="K1125" s="3">
        <v>43</v>
      </c>
      <c r="L1125" s="3">
        <v>0</v>
      </c>
      <c r="M1125" s="3">
        <v>0</v>
      </c>
      <c r="N1125" s="3">
        <v>43</v>
      </c>
      <c r="O1125" s="3">
        <v>0.3</v>
      </c>
      <c r="P1125" s="3">
        <v>0</v>
      </c>
      <c r="Q1125" s="3">
        <v>0</v>
      </c>
      <c r="R1125" s="3">
        <v>0</v>
      </c>
    </row>
    <row r="1126" spans="1:18">
      <c r="A1126" s="3" t="s">
        <v>292</v>
      </c>
      <c r="B1126" s="3" t="s">
        <v>293</v>
      </c>
      <c r="C1126" s="3" t="s">
        <v>294</v>
      </c>
      <c r="D1126" s="3" t="s">
        <v>295</v>
      </c>
      <c r="E1126" s="3" t="s">
        <v>1710</v>
      </c>
      <c r="F1126" s="3">
        <v>19.99</v>
      </c>
      <c r="G1126" s="3" t="s">
        <v>6233</v>
      </c>
      <c r="H1126" s="3"/>
      <c r="I1126" s="3" t="s">
        <v>6234</v>
      </c>
      <c r="J1126" s="3">
        <v>25</v>
      </c>
      <c r="K1126" s="3">
        <v>22</v>
      </c>
      <c r="L1126" s="3">
        <v>1</v>
      </c>
      <c r="M1126" s="3">
        <v>2</v>
      </c>
      <c r="N1126" s="3">
        <v>25</v>
      </c>
      <c r="O1126" s="3">
        <v>0.29</v>
      </c>
      <c r="P1126" s="3">
        <v>0</v>
      </c>
      <c r="Q1126" s="3">
        <v>0</v>
      </c>
      <c r="R1126" s="3">
        <v>0</v>
      </c>
    </row>
    <row r="1127" spans="1:18">
      <c r="A1127" s="3" t="s">
        <v>4269</v>
      </c>
      <c r="B1127" s="3" t="s">
        <v>4270</v>
      </c>
      <c r="C1127" s="3" t="s">
        <v>4271</v>
      </c>
      <c r="D1127" s="3" t="s">
        <v>4272</v>
      </c>
      <c r="E1127" s="3" t="s">
        <v>1710</v>
      </c>
      <c r="F1127" s="3">
        <v>19.99</v>
      </c>
      <c r="G1127" s="3" t="s">
        <v>6233</v>
      </c>
      <c r="H1127" s="3"/>
      <c r="I1127" s="3" t="s">
        <v>6234</v>
      </c>
      <c r="J1127" s="3">
        <v>81</v>
      </c>
      <c r="K1127" s="3">
        <v>81</v>
      </c>
      <c r="L1127" s="3">
        <v>0</v>
      </c>
      <c r="M1127" s="3">
        <v>0</v>
      </c>
      <c r="N1127" s="3">
        <v>81</v>
      </c>
      <c r="O1127" s="3">
        <v>0.14</v>
      </c>
      <c r="P1127" s="3">
        <v>0</v>
      </c>
      <c r="Q1127" s="3">
        <v>0</v>
      </c>
      <c r="R1127" s="3">
        <v>0</v>
      </c>
    </row>
    <row r="1128" spans="1:18">
      <c r="A1128" s="3" t="s">
        <v>5957</v>
      </c>
      <c r="B1128" s="3" t="s">
        <v>5958</v>
      </c>
      <c r="C1128" s="3" t="s">
        <v>5959</v>
      </c>
      <c r="D1128" s="3" t="s">
        <v>5960</v>
      </c>
      <c r="E1128" s="3" t="s">
        <v>1710</v>
      </c>
      <c r="F1128" s="3">
        <v>19.99</v>
      </c>
      <c r="G1128" s="3" t="s">
        <v>6233</v>
      </c>
      <c r="H1128" s="3"/>
      <c r="I1128" s="3" t="s">
        <v>6234</v>
      </c>
      <c r="J1128" s="3">
        <v>44</v>
      </c>
      <c r="K1128" s="3">
        <v>44</v>
      </c>
      <c r="L1128" s="3">
        <v>0</v>
      </c>
      <c r="M1128" s="3">
        <v>0</v>
      </c>
      <c r="N1128" s="3">
        <v>44</v>
      </c>
      <c r="O1128" s="3">
        <v>0.28</v>
      </c>
      <c r="P1128" s="3">
        <v>0</v>
      </c>
      <c r="Q1128" s="3">
        <v>0</v>
      </c>
      <c r="R1128" s="3">
        <v>0</v>
      </c>
    </row>
    <row r="1129" spans="1:18">
      <c r="A1129" s="3" t="s">
        <v>276</v>
      </c>
      <c r="B1129" s="3" t="s">
        <v>277</v>
      </c>
      <c r="C1129" s="3" t="s">
        <v>278</v>
      </c>
      <c r="D1129" s="3" t="s">
        <v>279</v>
      </c>
      <c r="E1129" s="3" t="s">
        <v>1710</v>
      </c>
      <c r="F1129" s="3">
        <v>19.99</v>
      </c>
      <c r="G1129" s="3" t="s">
        <v>6233</v>
      </c>
      <c r="H1129" s="3"/>
      <c r="I1129" s="3" t="s">
        <v>6234</v>
      </c>
      <c r="J1129" s="3">
        <v>25</v>
      </c>
      <c r="K1129" s="3">
        <v>22</v>
      </c>
      <c r="L1129" s="3">
        <v>1</v>
      </c>
      <c r="M1129" s="3">
        <v>2</v>
      </c>
      <c r="N1129" s="3">
        <v>39</v>
      </c>
      <c r="O1129" s="3">
        <v>0.06</v>
      </c>
      <c r="P1129" s="3">
        <v>14</v>
      </c>
      <c r="Q1129" s="3">
        <v>0</v>
      </c>
      <c r="R1129" s="3">
        <v>0</v>
      </c>
    </row>
    <row r="1130" spans="1:18">
      <c r="A1130" s="3" t="s">
        <v>7802</v>
      </c>
      <c r="B1130" s="3" t="s">
        <v>7803</v>
      </c>
      <c r="C1130" s="3" t="s">
        <v>7804</v>
      </c>
      <c r="D1130" s="3" t="s">
        <v>7805</v>
      </c>
      <c r="E1130" s="3" t="s">
        <v>1710</v>
      </c>
      <c r="F1130" s="3">
        <v>18.99</v>
      </c>
      <c r="G1130" s="3" t="s">
        <v>6233</v>
      </c>
      <c r="H1130" s="3"/>
      <c r="I1130" s="3" t="s">
        <v>6234</v>
      </c>
      <c r="J1130" s="3">
        <v>5</v>
      </c>
      <c r="K1130" s="3">
        <v>5</v>
      </c>
      <c r="L1130" s="3">
        <v>0</v>
      </c>
      <c r="M1130" s="3">
        <v>0</v>
      </c>
      <c r="N1130" s="3">
        <v>5</v>
      </c>
      <c r="O1130" s="3">
        <v>0.22</v>
      </c>
      <c r="P1130" s="3">
        <v>0</v>
      </c>
      <c r="Q1130" s="3">
        <v>0</v>
      </c>
      <c r="R1130" s="3">
        <v>0</v>
      </c>
    </row>
    <row r="1131" spans="1:18">
      <c r="A1131" s="3" t="s">
        <v>6056</v>
      </c>
      <c r="B1131" s="3" t="s">
        <v>6057</v>
      </c>
      <c r="C1131" s="3" t="s">
        <v>6058</v>
      </c>
      <c r="D1131" s="3" t="s">
        <v>6059</v>
      </c>
      <c r="E1131" s="3" t="s">
        <v>1710</v>
      </c>
      <c r="F1131" s="3">
        <v>19.99</v>
      </c>
      <c r="G1131" s="3" t="s">
        <v>6233</v>
      </c>
      <c r="H1131" s="3"/>
      <c r="I1131" s="3" t="s">
        <v>6234</v>
      </c>
      <c r="J1131" s="3">
        <v>10</v>
      </c>
      <c r="K1131" s="3">
        <v>10</v>
      </c>
      <c r="L1131" s="3">
        <v>0</v>
      </c>
      <c r="M1131" s="3">
        <v>0</v>
      </c>
      <c r="N1131" s="3">
        <v>10</v>
      </c>
      <c r="O1131" s="3">
        <v>0.21</v>
      </c>
      <c r="P1131" s="3">
        <v>0</v>
      </c>
      <c r="Q1131" s="3">
        <v>0</v>
      </c>
      <c r="R1131" s="3">
        <v>0</v>
      </c>
    </row>
    <row r="1132" spans="1:18">
      <c r="A1132" s="3" t="s">
        <v>5501</v>
      </c>
      <c r="B1132" s="3" t="s">
        <v>5502</v>
      </c>
      <c r="C1132" s="3" t="s">
        <v>5503</v>
      </c>
      <c r="D1132" s="3" t="s">
        <v>5504</v>
      </c>
      <c r="E1132" s="3" t="s">
        <v>1710</v>
      </c>
      <c r="F1132" s="3">
        <v>19.99</v>
      </c>
      <c r="G1132" s="3" t="s">
        <v>6233</v>
      </c>
      <c r="H1132" s="3"/>
      <c r="I1132" s="3" t="s">
        <v>6234</v>
      </c>
      <c r="J1132" s="3">
        <v>9</v>
      </c>
      <c r="K1132" s="3">
        <v>9</v>
      </c>
      <c r="L1132" s="3">
        <v>0</v>
      </c>
      <c r="M1132" s="3">
        <v>0</v>
      </c>
      <c r="N1132" s="3">
        <v>9</v>
      </c>
      <c r="O1132" s="3">
        <v>0.28</v>
      </c>
      <c r="P1132" s="3">
        <v>0</v>
      </c>
      <c r="Q1132" s="3">
        <v>0</v>
      </c>
      <c r="R1132" s="3">
        <v>0</v>
      </c>
    </row>
    <row r="1133" spans="1:18">
      <c r="A1133" s="3" t="s">
        <v>304</v>
      </c>
      <c r="B1133" s="3" t="s">
        <v>305</v>
      </c>
      <c r="C1133" s="3" t="s">
        <v>306</v>
      </c>
      <c r="D1133" s="3" t="s">
        <v>307</v>
      </c>
      <c r="E1133" s="3" t="s">
        <v>1710</v>
      </c>
      <c r="F1133" s="3">
        <v>12.99</v>
      </c>
      <c r="G1133" s="3" t="s">
        <v>6233</v>
      </c>
      <c r="H1133" s="3"/>
      <c r="I1133" s="3" t="s">
        <v>6234</v>
      </c>
      <c r="J1133" s="3">
        <v>10</v>
      </c>
      <c r="K1133" s="3">
        <v>9</v>
      </c>
      <c r="L1133" s="3">
        <v>0</v>
      </c>
      <c r="M1133" s="3">
        <v>1</v>
      </c>
      <c r="N1133" s="3">
        <v>10</v>
      </c>
      <c r="O1133" s="3">
        <v>0.18</v>
      </c>
      <c r="P1133" s="3">
        <v>0</v>
      </c>
      <c r="Q1133" s="3">
        <v>0</v>
      </c>
      <c r="R1133" s="3">
        <v>0</v>
      </c>
    </row>
    <row r="1134" spans="1:18">
      <c r="A1134" s="3" t="s">
        <v>3570</v>
      </c>
      <c r="B1134" s="3" t="s">
        <v>3571</v>
      </c>
      <c r="C1134" s="3" t="s">
        <v>3572</v>
      </c>
      <c r="D1134" s="3" t="s">
        <v>3573</v>
      </c>
      <c r="E1134" s="3" t="s">
        <v>1710</v>
      </c>
      <c r="F1134" s="3">
        <v>18.99</v>
      </c>
      <c r="G1134" s="3" t="s">
        <v>6233</v>
      </c>
      <c r="H1134" s="3"/>
      <c r="I1134" s="3" t="s">
        <v>6234</v>
      </c>
      <c r="J1134" s="3">
        <v>7</v>
      </c>
      <c r="K1134" s="3">
        <v>7</v>
      </c>
      <c r="L1134" s="3">
        <v>0</v>
      </c>
      <c r="M1134" s="3">
        <v>0</v>
      </c>
      <c r="N1134" s="3">
        <v>7</v>
      </c>
      <c r="O1134" s="3">
        <v>0.28</v>
      </c>
      <c r="P1134" s="3">
        <v>0</v>
      </c>
      <c r="Q1134" s="3">
        <v>0</v>
      </c>
      <c r="R1134" s="3">
        <v>0</v>
      </c>
    </row>
    <row r="1135" spans="1:18">
      <c r="A1135" s="3" t="s">
        <v>5892</v>
      </c>
      <c r="B1135" s="3" t="s">
        <v>5893</v>
      </c>
      <c r="C1135" s="3" t="s">
        <v>5894</v>
      </c>
      <c r="D1135" s="3" t="s">
        <v>5895</v>
      </c>
      <c r="E1135" s="3" t="s">
        <v>1710</v>
      </c>
      <c r="F1135" s="3">
        <v>17.99</v>
      </c>
      <c r="G1135" s="3" t="s">
        <v>6233</v>
      </c>
      <c r="H1135" s="3"/>
      <c r="I1135" s="3" t="s">
        <v>6234</v>
      </c>
      <c r="J1135" s="3">
        <v>25</v>
      </c>
      <c r="K1135" s="3">
        <v>25</v>
      </c>
      <c r="L1135" s="3">
        <v>0</v>
      </c>
      <c r="M1135" s="3">
        <v>0</v>
      </c>
      <c r="N1135" s="3">
        <v>25</v>
      </c>
      <c r="O1135" s="3">
        <v>0.23</v>
      </c>
      <c r="P1135" s="3">
        <v>0</v>
      </c>
      <c r="Q1135" s="3">
        <v>0</v>
      </c>
      <c r="R1135" s="3">
        <v>0</v>
      </c>
    </row>
    <row r="1136" spans="1:18">
      <c r="A1136" s="3" t="s">
        <v>3055</v>
      </c>
      <c r="B1136" s="3" t="s">
        <v>3056</v>
      </c>
      <c r="C1136" s="3" t="s">
        <v>3057</v>
      </c>
      <c r="D1136" s="3" t="s">
        <v>3058</v>
      </c>
      <c r="E1136" s="3" t="s">
        <v>1710</v>
      </c>
      <c r="F1136" s="3">
        <v>17.99</v>
      </c>
      <c r="G1136" s="3" t="s">
        <v>6233</v>
      </c>
      <c r="H1136" s="3"/>
      <c r="I1136" s="3" t="s">
        <v>6234</v>
      </c>
      <c r="J1136" s="3">
        <v>23</v>
      </c>
      <c r="K1136" s="3">
        <v>23</v>
      </c>
      <c r="L1136" s="3">
        <v>0</v>
      </c>
      <c r="M1136" s="3">
        <v>0</v>
      </c>
      <c r="N1136" s="3">
        <v>23</v>
      </c>
      <c r="O1136" s="3">
        <v>0.28</v>
      </c>
      <c r="P1136" s="3">
        <v>0</v>
      </c>
      <c r="Q1136" s="3">
        <v>0</v>
      </c>
      <c r="R1136" s="3">
        <v>0</v>
      </c>
    </row>
    <row r="1137" spans="1:18">
      <c r="A1137" s="3" t="s">
        <v>5979</v>
      </c>
      <c r="B1137" s="3" t="s">
        <v>5980</v>
      </c>
      <c r="C1137" s="3" t="s">
        <v>5981</v>
      </c>
      <c r="D1137" s="3" t="s">
        <v>5982</v>
      </c>
      <c r="E1137" s="3" t="s">
        <v>1710</v>
      </c>
      <c r="F1137" s="3">
        <v>19.99</v>
      </c>
      <c r="G1137" s="3" t="s">
        <v>6233</v>
      </c>
      <c r="H1137" s="3"/>
      <c r="I1137" s="3" t="s">
        <v>6234</v>
      </c>
      <c r="J1137" s="3">
        <v>22</v>
      </c>
      <c r="K1137" s="3">
        <v>21</v>
      </c>
      <c r="L1137" s="3">
        <v>1</v>
      </c>
      <c r="M1137" s="3">
        <v>0</v>
      </c>
      <c r="N1137" s="3">
        <v>22</v>
      </c>
      <c r="O1137" s="3">
        <v>0.22</v>
      </c>
      <c r="P1137" s="3">
        <v>0</v>
      </c>
      <c r="Q1137" s="3">
        <v>0</v>
      </c>
      <c r="R1137" s="3">
        <v>0</v>
      </c>
    </row>
    <row r="1138" spans="1:18">
      <c r="A1138" s="3" t="s">
        <v>2908</v>
      </c>
      <c r="B1138" s="3" t="s">
        <v>2909</v>
      </c>
      <c r="C1138" s="3" t="s">
        <v>2910</v>
      </c>
      <c r="D1138" s="3" t="s">
        <v>2911</v>
      </c>
      <c r="E1138" s="3" t="s">
        <v>1710</v>
      </c>
      <c r="F1138" s="3">
        <v>19.99</v>
      </c>
      <c r="G1138" s="3" t="s">
        <v>6233</v>
      </c>
      <c r="H1138" s="3"/>
      <c r="I1138" s="3" t="s">
        <v>6234</v>
      </c>
      <c r="J1138" s="3">
        <v>45</v>
      </c>
      <c r="K1138" s="3">
        <v>45</v>
      </c>
      <c r="L1138" s="3">
        <v>0</v>
      </c>
      <c r="M1138" s="3">
        <v>0</v>
      </c>
      <c r="N1138" s="3">
        <v>45</v>
      </c>
      <c r="O1138" s="3">
        <v>0.16</v>
      </c>
      <c r="P1138" s="3">
        <v>0</v>
      </c>
      <c r="Q1138" s="3">
        <v>0</v>
      </c>
      <c r="R1138" s="3">
        <v>0</v>
      </c>
    </row>
    <row r="1139" spans="1:18">
      <c r="A1139" s="3" t="s">
        <v>2704</v>
      </c>
      <c r="B1139" s="3" t="s">
        <v>2705</v>
      </c>
      <c r="C1139" s="3" t="s">
        <v>2706</v>
      </c>
      <c r="D1139" s="3" t="s">
        <v>2707</v>
      </c>
      <c r="E1139" s="3" t="s">
        <v>1710</v>
      </c>
      <c r="F1139" s="3">
        <v>19.99</v>
      </c>
      <c r="G1139" s="3" t="s">
        <v>6233</v>
      </c>
      <c r="H1139" s="3"/>
      <c r="I1139" s="3" t="s">
        <v>6234</v>
      </c>
      <c r="J1139" s="3">
        <v>8</v>
      </c>
      <c r="K1139" s="3">
        <v>8</v>
      </c>
      <c r="L1139" s="3">
        <v>0</v>
      </c>
      <c r="M1139" s="3">
        <v>0</v>
      </c>
      <c r="N1139" s="3">
        <v>8</v>
      </c>
      <c r="O1139" s="3">
        <v>0.28</v>
      </c>
      <c r="P1139" s="3">
        <v>0</v>
      </c>
      <c r="Q1139" s="3">
        <v>0</v>
      </c>
      <c r="R1139" s="3">
        <v>0</v>
      </c>
    </row>
    <row r="1140" spans="1:18">
      <c r="A1140" s="3" t="s">
        <v>3656</v>
      </c>
      <c r="B1140" s="3" t="s">
        <v>3657</v>
      </c>
      <c r="C1140" s="3" t="s">
        <v>3658</v>
      </c>
      <c r="D1140" s="3" t="s">
        <v>3659</v>
      </c>
      <c r="E1140" s="3" t="s">
        <v>1710</v>
      </c>
      <c r="F1140" s="3">
        <v>19.99</v>
      </c>
      <c r="G1140" s="3" t="s">
        <v>6233</v>
      </c>
      <c r="H1140" s="3"/>
      <c r="I1140" s="3" t="s">
        <v>6234</v>
      </c>
      <c r="J1140" s="3">
        <v>4</v>
      </c>
      <c r="K1140" s="3">
        <v>4</v>
      </c>
      <c r="L1140" s="3">
        <v>0</v>
      </c>
      <c r="M1140" s="3">
        <v>0</v>
      </c>
      <c r="N1140" s="3">
        <v>4</v>
      </c>
      <c r="O1140" s="3">
        <v>0.12</v>
      </c>
      <c r="P1140" s="3">
        <v>0</v>
      </c>
      <c r="Q1140" s="3">
        <v>0</v>
      </c>
      <c r="R1140" s="3">
        <v>0</v>
      </c>
    </row>
    <row r="1141" spans="1:18">
      <c r="A1141" s="3" t="s">
        <v>4816</v>
      </c>
      <c r="B1141" s="3" t="s">
        <v>4817</v>
      </c>
      <c r="C1141" s="3" t="s">
        <v>4818</v>
      </c>
      <c r="D1141" s="3" t="s">
        <v>4819</v>
      </c>
      <c r="E1141" s="3" t="s">
        <v>1710</v>
      </c>
      <c r="F1141" s="3">
        <v>15.99</v>
      </c>
      <c r="G1141" s="3" t="s">
        <v>6233</v>
      </c>
      <c r="H1141" s="3"/>
      <c r="I1141" s="3" t="s">
        <v>6234</v>
      </c>
      <c r="J1141" s="3">
        <v>3</v>
      </c>
      <c r="K1141" s="3">
        <v>3</v>
      </c>
      <c r="L1141" s="3">
        <v>0</v>
      </c>
      <c r="M1141" s="3">
        <v>0</v>
      </c>
      <c r="N1141" s="3">
        <v>3</v>
      </c>
      <c r="O1141" s="3">
        <v>0.12</v>
      </c>
      <c r="P1141" s="3">
        <v>0</v>
      </c>
      <c r="Q1141" s="3">
        <v>0</v>
      </c>
      <c r="R1141" s="3">
        <v>0</v>
      </c>
    </row>
    <row r="1142" spans="1:18">
      <c r="A1142" s="3" t="s">
        <v>3828</v>
      </c>
      <c r="B1142" s="3" t="s">
        <v>3829</v>
      </c>
      <c r="C1142" s="3" t="s">
        <v>3830</v>
      </c>
      <c r="D1142" s="3" t="s">
        <v>2255</v>
      </c>
      <c r="E1142" s="3" t="s">
        <v>1710</v>
      </c>
      <c r="F1142" s="3">
        <v>32.99</v>
      </c>
      <c r="G1142" s="3" t="s">
        <v>6233</v>
      </c>
      <c r="H1142" s="3"/>
      <c r="I1142" s="3" t="s">
        <v>6234</v>
      </c>
      <c r="J1142" s="3">
        <v>16</v>
      </c>
      <c r="K1142" s="3">
        <v>16</v>
      </c>
      <c r="L1142" s="3">
        <v>0</v>
      </c>
      <c r="M1142" s="3">
        <v>0</v>
      </c>
      <c r="N1142" s="3">
        <v>16</v>
      </c>
      <c r="O1142" s="3">
        <v>0.12</v>
      </c>
      <c r="P1142" s="3">
        <v>0</v>
      </c>
      <c r="Q1142" s="3">
        <v>0</v>
      </c>
      <c r="R1142" s="3">
        <v>0</v>
      </c>
    </row>
    <row r="1143" spans="1:18">
      <c r="A1143" s="3" t="s">
        <v>2252</v>
      </c>
      <c r="B1143" s="3" t="s">
        <v>2253</v>
      </c>
      <c r="C1143" s="3" t="s">
        <v>2254</v>
      </c>
      <c r="D1143" s="3" t="s">
        <v>2255</v>
      </c>
      <c r="E1143" s="3" t="s">
        <v>1710</v>
      </c>
      <c r="F1143" s="3">
        <v>32.99</v>
      </c>
      <c r="G1143" s="3" t="s">
        <v>6233</v>
      </c>
      <c r="H1143" s="3"/>
      <c r="I1143" s="3" t="s">
        <v>6234</v>
      </c>
      <c r="J1143" s="3">
        <v>32</v>
      </c>
      <c r="K1143" s="3">
        <v>32</v>
      </c>
      <c r="L1143" s="3">
        <v>0</v>
      </c>
      <c r="M1143" s="3">
        <v>0</v>
      </c>
      <c r="N1143" s="3">
        <v>32</v>
      </c>
      <c r="O1143" s="3">
        <v>0.08</v>
      </c>
      <c r="P1143" s="3">
        <v>0</v>
      </c>
      <c r="Q1143" s="3">
        <v>0</v>
      </c>
      <c r="R1143" s="3">
        <v>0</v>
      </c>
    </row>
    <row r="1144" spans="1:18">
      <c r="A1144" s="3" t="s">
        <v>7806</v>
      </c>
      <c r="B1144" s="3" t="s">
        <v>7807</v>
      </c>
      <c r="C1144" s="3" t="s">
        <v>7808</v>
      </c>
      <c r="D1144" s="3" t="s">
        <v>2255</v>
      </c>
      <c r="E1144" s="3" t="s">
        <v>1710</v>
      </c>
      <c r="F1144" s="3">
        <v>32.99</v>
      </c>
      <c r="G1144" s="3" t="s">
        <v>6233</v>
      </c>
      <c r="H1144" s="3"/>
      <c r="I1144" s="3" t="s">
        <v>6234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0.06</v>
      </c>
      <c r="P1144" s="3">
        <v>0</v>
      </c>
      <c r="Q1144" s="3">
        <v>0</v>
      </c>
      <c r="R1144" s="3">
        <v>0</v>
      </c>
    </row>
    <row r="1145" spans="1:18">
      <c r="A1145" s="3" t="s">
        <v>3272</v>
      </c>
      <c r="B1145" s="3" t="s">
        <v>3273</v>
      </c>
      <c r="C1145" s="3" t="s">
        <v>3274</v>
      </c>
      <c r="D1145" s="3" t="s">
        <v>2255</v>
      </c>
      <c r="E1145" s="3" t="s">
        <v>1710</v>
      </c>
      <c r="F1145" s="3">
        <v>32.99</v>
      </c>
      <c r="G1145" s="3" t="s">
        <v>6233</v>
      </c>
      <c r="H1145" s="3"/>
      <c r="I1145" s="3" t="s">
        <v>6234</v>
      </c>
      <c r="J1145" s="3">
        <v>8</v>
      </c>
      <c r="K1145" s="3">
        <v>8</v>
      </c>
      <c r="L1145" s="3">
        <v>0</v>
      </c>
      <c r="M1145" s="3">
        <v>0</v>
      </c>
      <c r="N1145" s="3">
        <v>8</v>
      </c>
      <c r="O1145" s="3">
        <v>0.12</v>
      </c>
      <c r="P1145" s="3">
        <v>0</v>
      </c>
      <c r="Q1145" s="3">
        <v>0</v>
      </c>
      <c r="R1145" s="3">
        <v>0</v>
      </c>
    </row>
    <row r="1146" spans="1:18">
      <c r="A1146" s="3" t="s">
        <v>7809</v>
      </c>
      <c r="B1146" s="3" t="s">
        <v>7810</v>
      </c>
      <c r="C1146" s="3" t="s">
        <v>7811</v>
      </c>
      <c r="D1146" s="3" t="s">
        <v>2255</v>
      </c>
      <c r="E1146" s="3" t="s">
        <v>1710</v>
      </c>
      <c r="F1146" s="3">
        <v>32.99</v>
      </c>
      <c r="G1146" s="3" t="s">
        <v>6233</v>
      </c>
      <c r="H1146" s="3"/>
      <c r="I1146" s="3" t="s">
        <v>6234</v>
      </c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>
        <v>0.04</v>
      </c>
      <c r="P1146" s="3">
        <v>0</v>
      </c>
      <c r="Q1146" s="3">
        <v>0</v>
      </c>
      <c r="R1146" s="3">
        <v>0</v>
      </c>
    </row>
    <row r="1147" spans="1:18">
      <c r="A1147" s="3" t="s">
        <v>7812</v>
      </c>
      <c r="B1147" s="3" t="s">
        <v>7813</v>
      </c>
      <c r="C1147" s="3" t="s">
        <v>7814</v>
      </c>
      <c r="D1147" s="3" t="s">
        <v>2255</v>
      </c>
      <c r="E1147" s="3" t="s">
        <v>1710</v>
      </c>
      <c r="F1147" s="3">
        <v>32.99</v>
      </c>
      <c r="G1147" s="3" t="s">
        <v>6233</v>
      </c>
      <c r="H1147" s="3"/>
      <c r="I1147" s="3" t="s">
        <v>6234</v>
      </c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>
        <v>0.06</v>
      </c>
      <c r="P1147" s="3">
        <v>0</v>
      </c>
      <c r="Q1147" s="3">
        <v>0</v>
      </c>
      <c r="R1147" s="3">
        <v>0</v>
      </c>
    </row>
    <row r="1148" spans="1:18">
      <c r="A1148" s="3" t="s">
        <v>3610</v>
      </c>
      <c r="B1148" s="3" t="s">
        <v>3611</v>
      </c>
      <c r="C1148" s="3" t="s">
        <v>3612</v>
      </c>
      <c r="D1148" s="3" t="s">
        <v>3613</v>
      </c>
      <c r="E1148" s="3" t="s">
        <v>1710</v>
      </c>
      <c r="F1148" s="3">
        <v>31.2</v>
      </c>
      <c r="G1148" s="3" t="s">
        <v>6233</v>
      </c>
      <c r="H1148" s="3"/>
      <c r="I1148" s="3" t="s">
        <v>6234</v>
      </c>
      <c r="J1148" s="3">
        <v>27</v>
      </c>
      <c r="K1148" s="3">
        <v>27</v>
      </c>
      <c r="L1148" s="3">
        <v>0</v>
      </c>
      <c r="M1148" s="3">
        <v>0</v>
      </c>
      <c r="N1148" s="3">
        <v>27</v>
      </c>
      <c r="O1148" s="3">
        <v>0.12</v>
      </c>
      <c r="P1148" s="3">
        <v>0</v>
      </c>
      <c r="Q1148" s="3">
        <v>0</v>
      </c>
      <c r="R1148" s="3">
        <v>0</v>
      </c>
    </row>
    <row r="1149" spans="1:18">
      <c r="A1149" s="3" t="s">
        <v>2245</v>
      </c>
      <c r="B1149" s="3" t="s">
        <v>2246</v>
      </c>
      <c r="C1149" s="3" t="s">
        <v>2247</v>
      </c>
      <c r="D1149" s="3" t="s">
        <v>2248</v>
      </c>
      <c r="E1149" s="3" t="s">
        <v>1710</v>
      </c>
      <c r="F1149" s="3">
        <v>31.2</v>
      </c>
      <c r="G1149" s="3" t="s">
        <v>6233</v>
      </c>
      <c r="H1149" s="3"/>
      <c r="I1149" s="3" t="s">
        <v>6234</v>
      </c>
      <c r="J1149" s="3">
        <v>34</v>
      </c>
      <c r="K1149" s="3">
        <v>34</v>
      </c>
      <c r="L1149" s="3">
        <v>0</v>
      </c>
      <c r="M1149" s="3">
        <v>0</v>
      </c>
      <c r="N1149" s="3">
        <v>34</v>
      </c>
      <c r="O1149" s="3">
        <v>0.04</v>
      </c>
      <c r="P1149" s="3">
        <v>0</v>
      </c>
      <c r="Q1149" s="3">
        <v>0</v>
      </c>
      <c r="R1149" s="3">
        <v>0</v>
      </c>
    </row>
    <row r="1150" spans="1:18">
      <c r="A1150" s="3" t="s">
        <v>264</v>
      </c>
      <c r="B1150" s="3" t="s">
        <v>265</v>
      </c>
      <c r="C1150" s="3" t="s">
        <v>266</v>
      </c>
      <c r="D1150" s="3" t="s">
        <v>267</v>
      </c>
      <c r="E1150" s="3" t="s">
        <v>1710</v>
      </c>
      <c r="F1150" s="3">
        <v>31.2</v>
      </c>
      <c r="G1150" s="3" t="s">
        <v>6233</v>
      </c>
      <c r="H1150" s="3"/>
      <c r="I1150" s="3" t="s">
        <v>6234</v>
      </c>
      <c r="J1150" s="3">
        <v>66</v>
      </c>
      <c r="K1150" s="3">
        <v>64</v>
      </c>
      <c r="L1150" s="3">
        <v>0</v>
      </c>
      <c r="M1150" s="3">
        <v>2</v>
      </c>
      <c r="N1150" s="3">
        <v>66</v>
      </c>
      <c r="O1150" s="3">
        <v>0.12</v>
      </c>
      <c r="P1150" s="3">
        <v>0</v>
      </c>
      <c r="Q1150" s="3">
        <v>0</v>
      </c>
      <c r="R1150" s="3">
        <v>0</v>
      </c>
    </row>
    <row r="1151" spans="1:18">
      <c r="A1151" s="3" t="s">
        <v>284</v>
      </c>
      <c r="B1151" s="3" t="s">
        <v>285</v>
      </c>
      <c r="C1151" s="3" t="s">
        <v>286</v>
      </c>
      <c r="D1151" s="3" t="s">
        <v>287</v>
      </c>
      <c r="E1151" s="3" t="s">
        <v>1710</v>
      </c>
      <c r="F1151" s="3">
        <v>32.99</v>
      </c>
      <c r="G1151" s="3" t="s">
        <v>6233</v>
      </c>
      <c r="H1151" s="3"/>
      <c r="I1151" s="3" t="s">
        <v>6234</v>
      </c>
      <c r="J1151" s="3">
        <v>24</v>
      </c>
      <c r="K1151" s="3">
        <v>22</v>
      </c>
      <c r="L1151" s="3">
        <v>0</v>
      </c>
      <c r="M1151" s="3">
        <v>2</v>
      </c>
      <c r="N1151" s="3">
        <v>24</v>
      </c>
      <c r="O1151" s="3">
        <v>0.12</v>
      </c>
      <c r="P1151" s="3">
        <v>0</v>
      </c>
      <c r="Q1151" s="3">
        <v>0</v>
      </c>
      <c r="R1151" s="3">
        <v>0</v>
      </c>
    </row>
    <row r="1152" spans="1:18">
      <c r="A1152" s="3" t="s">
        <v>7815</v>
      </c>
      <c r="B1152" s="3" t="s">
        <v>7816</v>
      </c>
      <c r="C1152" s="3" t="s">
        <v>7817</v>
      </c>
      <c r="D1152" s="3" t="s">
        <v>7818</v>
      </c>
      <c r="E1152" s="3" t="s">
        <v>1710</v>
      </c>
      <c r="F1152" s="3">
        <v>32.99</v>
      </c>
      <c r="G1152" s="3" t="s">
        <v>6233</v>
      </c>
      <c r="H1152" s="3"/>
      <c r="I1152" s="3" t="s">
        <v>6234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0.12</v>
      </c>
      <c r="P1152" s="3">
        <v>0</v>
      </c>
      <c r="Q1152" s="3">
        <v>0</v>
      </c>
      <c r="R1152" s="3">
        <v>0</v>
      </c>
    </row>
    <row r="1153" spans="1:18">
      <c r="A1153" s="3" t="s">
        <v>7819</v>
      </c>
      <c r="B1153" s="3" t="s">
        <v>7820</v>
      </c>
      <c r="C1153" s="3" t="s">
        <v>7821</v>
      </c>
      <c r="D1153" s="3" t="s">
        <v>7822</v>
      </c>
      <c r="E1153" s="3" t="s">
        <v>1710</v>
      </c>
      <c r="F1153" s="3">
        <v>32.99</v>
      </c>
      <c r="G1153" s="3" t="s">
        <v>6233</v>
      </c>
      <c r="H1153" s="3"/>
      <c r="I1153" s="3" t="s">
        <v>6234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0.12</v>
      </c>
      <c r="P1153" s="3">
        <v>0</v>
      </c>
      <c r="Q1153" s="3">
        <v>0</v>
      </c>
      <c r="R1153" s="3">
        <v>0</v>
      </c>
    </row>
    <row r="1154" spans="1:18">
      <c r="A1154" s="3" t="s">
        <v>5191</v>
      </c>
      <c r="B1154" s="3" t="s">
        <v>5192</v>
      </c>
      <c r="C1154" s="3" t="s">
        <v>5193</v>
      </c>
      <c r="D1154" s="3" t="s">
        <v>5194</v>
      </c>
      <c r="E1154" s="3" t="s">
        <v>1710</v>
      </c>
      <c r="F1154" s="3">
        <v>32.99</v>
      </c>
      <c r="G1154" s="3" t="s">
        <v>6233</v>
      </c>
      <c r="H1154" s="3"/>
      <c r="I1154" s="3" t="s">
        <v>6234</v>
      </c>
      <c r="J1154" s="3">
        <v>12</v>
      </c>
      <c r="K1154" s="3">
        <v>11</v>
      </c>
      <c r="L1154" s="3">
        <v>1</v>
      </c>
      <c r="M1154" s="3">
        <v>0</v>
      </c>
      <c r="N1154" s="3">
        <v>12</v>
      </c>
      <c r="O1154" s="3">
        <v>0.15</v>
      </c>
      <c r="P1154" s="3">
        <v>0</v>
      </c>
      <c r="Q1154" s="3">
        <v>0</v>
      </c>
      <c r="R1154" s="3">
        <v>0</v>
      </c>
    </row>
    <row r="1155" spans="1:18">
      <c r="A1155" s="3" t="s">
        <v>7823</v>
      </c>
      <c r="B1155" s="3" t="s">
        <v>7824</v>
      </c>
      <c r="C1155" s="3" t="s">
        <v>7825</v>
      </c>
      <c r="D1155" s="3" t="s">
        <v>7826</v>
      </c>
      <c r="E1155" s="3" t="s">
        <v>1710</v>
      </c>
      <c r="F1155" s="3">
        <v>32.99</v>
      </c>
      <c r="G1155" s="3" t="s">
        <v>6233</v>
      </c>
      <c r="H1155" s="3"/>
      <c r="I1155" s="3" t="s">
        <v>6234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0.12</v>
      </c>
      <c r="P1155" s="3">
        <v>0</v>
      </c>
      <c r="Q1155" s="3">
        <v>0</v>
      </c>
      <c r="R1155" s="3">
        <v>0</v>
      </c>
    </row>
    <row r="1156" spans="1:18">
      <c r="A1156" s="3" t="s">
        <v>272</v>
      </c>
      <c r="B1156" s="3" t="s">
        <v>273</v>
      </c>
      <c r="C1156" s="3" t="s">
        <v>274</v>
      </c>
      <c r="D1156" s="3" t="s">
        <v>275</v>
      </c>
      <c r="E1156" s="3" t="s">
        <v>1710</v>
      </c>
      <c r="F1156" s="3">
        <v>32.99</v>
      </c>
      <c r="G1156" s="3" t="s">
        <v>6233</v>
      </c>
      <c r="H1156" s="3"/>
      <c r="I1156" s="3" t="s">
        <v>6234</v>
      </c>
      <c r="J1156" s="3">
        <v>34</v>
      </c>
      <c r="K1156" s="3">
        <v>33</v>
      </c>
      <c r="L1156" s="3">
        <v>0</v>
      </c>
      <c r="M1156" s="3">
        <v>1</v>
      </c>
      <c r="N1156" s="3">
        <v>34</v>
      </c>
      <c r="O1156" s="3">
        <v>0.12</v>
      </c>
      <c r="P1156" s="3">
        <v>0</v>
      </c>
      <c r="Q1156" s="3">
        <v>0</v>
      </c>
      <c r="R1156" s="3">
        <v>0</v>
      </c>
    </row>
    <row r="1157" spans="1:18">
      <c r="A1157" s="3" t="s">
        <v>300</v>
      </c>
      <c r="B1157" s="3" t="s">
        <v>301</v>
      </c>
      <c r="C1157" s="3" t="s">
        <v>302</v>
      </c>
      <c r="D1157" s="3" t="s">
        <v>303</v>
      </c>
      <c r="E1157" s="3" t="s">
        <v>1710</v>
      </c>
      <c r="F1157" s="3">
        <v>32.99</v>
      </c>
      <c r="G1157" s="3" t="s">
        <v>6233</v>
      </c>
      <c r="H1157" s="3"/>
      <c r="I1157" s="3" t="s">
        <v>6234</v>
      </c>
      <c r="J1157" s="3">
        <v>8</v>
      </c>
      <c r="K1157" s="3">
        <v>3</v>
      </c>
      <c r="L1157" s="3">
        <v>0</v>
      </c>
      <c r="M1157" s="3">
        <v>5</v>
      </c>
      <c r="N1157" s="3">
        <v>20</v>
      </c>
      <c r="O1157" s="3">
        <v>0.12</v>
      </c>
      <c r="P1157" s="3">
        <v>12</v>
      </c>
      <c r="Q1157" s="3">
        <v>0</v>
      </c>
      <c r="R1157" s="3">
        <v>0</v>
      </c>
    </row>
    <row r="1158" spans="1:18">
      <c r="A1158" s="3" t="s">
        <v>1924</v>
      </c>
      <c r="B1158" s="3" t="s">
        <v>1925</v>
      </c>
      <c r="C1158" s="3" t="s">
        <v>1926</v>
      </c>
      <c r="D1158" s="3" t="s">
        <v>1927</v>
      </c>
      <c r="E1158" s="3" t="s">
        <v>1710</v>
      </c>
      <c r="F1158" s="3">
        <v>15.88</v>
      </c>
      <c r="G1158" s="3" t="s">
        <v>6233</v>
      </c>
      <c r="H1158" s="3"/>
      <c r="I1158" s="3" t="s">
        <v>6234</v>
      </c>
      <c r="J1158" s="3">
        <v>9</v>
      </c>
      <c r="K1158" s="3">
        <v>9</v>
      </c>
      <c r="L1158" s="3">
        <v>0</v>
      </c>
      <c r="M1158" s="3">
        <v>0</v>
      </c>
      <c r="N1158" s="3">
        <v>9</v>
      </c>
      <c r="O1158" s="3">
        <v>0.1</v>
      </c>
      <c r="P1158" s="3">
        <v>0</v>
      </c>
      <c r="Q1158" s="3">
        <v>0</v>
      </c>
      <c r="R1158" s="3">
        <v>0</v>
      </c>
    </row>
    <row r="1159" spans="1:18">
      <c r="A1159" s="3" t="s">
        <v>7827</v>
      </c>
      <c r="B1159" s="3" t="s">
        <v>7828</v>
      </c>
      <c r="C1159" s="3" t="s">
        <v>7829</v>
      </c>
      <c r="D1159" s="3" t="s">
        <v>7830</v>
      </c>
      <c r="E1159" s="3" t="s">
        <v>1710</v>
      </c>
      <c r="F1159" s="3">
        <v>28.99</v>
      </c>
      <c r="G1159" s="3" t="s">
        <v>6233</v>
      </c>
      <c r="H1159" s="3"/>
      <c r="I1159" s="3" t="s">
        <v>6234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0.12</v>
      </c>
      <c r="P1159" s="3">
        <v>0</v>
      </c>
      <c r="Q1159" s="3">
        <v>0</v>
      </c>
      <c r="R1159" s="3">
        <v>0</v>
      </c>
    </row>
    <row r="1160" spans="1:18">
      <c r="A1160" s="3" t="s">
        <v>7831</v>
      </c>
      <c r="B1160" s="3" t="s">
        <v>7832</v>
      </c>
      <c r="C1160" s="3" t="s">
        <v>7833</v>
      </c>
      <c r="D1160" s="3" t="s">
        <v>7834</v>
      </c>
      <c r="E1160" s="3" t="s">
        <v>1710</v>
      </c>
      <c r="F1160" s="3">
        <v>15.98</v>
      </c>
      <c r="G1160" s="3" t="s">
        <v>6233</v>
      </c>
      <c r="H1160" s="3"/>
      <c r="I1160" s="3" t="s">
        <v>6234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0.25</v>
      </c>
      <c r="P1160" s="3">
        <v>0</v>
      </c>
      <c r="Q1160" s="3">
        <v>0</v>
      </c>
      <c r="R1160" s="3">
        <v>0</v>
      </c>
    </row>
    <row r="1161" spans="1:18">
      <c r="A1161" s="3" t="s">
        <v>5654</v>
      </c>
      <c r="B1161" s="3" t="s">
        <v>5655</v>
      </c>
      <c r="C1161" s="3" t="s">
        <v>5656</v>
      </c>
      <c r="D1161" s="3" t="s">
        <v>7835</v>
      </c>
      <c r="F1161" s="3">
        <v>28.99</v>
      </c>
      <c r="G1161" s="3" t="s">
        <v>6233</v>
      </c>
      <c r="H1161" s="3"/>
      <c r="I1161" s="3" t="s">
        <v>6234</v>
      </c>
      <c r="J1161" s="3">
        <v>2</v>
      </c>
      <c r="K1161" s="3">
        <v>2</v>
      </c>
      <c r="L1161" s="3">
        <v>0</v>
      </c>
      <c r="M1161" s="3">
        <v>0</v>
      </c>
      <c r="N1161" s="3">
        <v>2</v>
      </c>
      <c r="O1161" s="3">
        <v>0.07</v>
      </c>
      <c r="P1161" s="3">
        <v>0</v>
      </c>
      <c r="Q1161" s="3">
        <v>0</v>
      </c>
      <c r="R1161" s="3">
        <v>0</v>
      </c>
    </row>
    <row r="1162" spans="1:18">
      <c r="A1162" s="3" t="s">
        <v>4007</v>
      </c>
      <c r="B1162" s="3" t="s">
        <v>4008</v>
      </c>
      <c r="C1162" s="3" t="s">
        <v>4009</v>
      </c>
      <c r="D1162" s="3" t="s">
        <v>7835</v>
      </c>
      <c r="F1162" s="3">
        <v>28.99</v>
      </c>
      <c r="G1162" s="3" t="s">
        <v>6233</v>
      </c>
      <c r="H1162" s="3"/>
      <c r="I1162" s="3" t="s">
        <v>6234</v>
      </c>
      <c r="J1162" s="3">
        <v>1</v>
      </c>
      <c r="K1162" s="3">
        <v>1</v>
      </c>
      <c r="L1162" s="3">
        <v>0</v>
      </c>
      <c r="M1162" s="3">
        <v>0</v>
      </c>
      <c r="N1162" s="3">
        <v>1</v>
      </c>
      <c r="O1162" s="3">
        <v>0.16</v>
      </c>
      <c r="P1162" s="3">
        <v>0</v>
      </c>
      <c r="Q1162" s="3">
        <v>0</v>
      </c>
      <c r="R1162" s="3">
        <v>0</v>
      </c>
    </row>
    <row r="1163" spans="1:18">
      <c r="A1163" s="3" t="s">
        <v>7836</v>
      </c>
      <c r="B1163" s="3" t="s">
        <v>7837</v>
      </c>
      <c r="C1163" s="3" t="s">
        <v>7838</v>
      </c>
      <c r="D1163" s="3" t="s">
        <v>7839</v>
      </c>
      <c r="F1163" s="3">
        <v>28.99</v>
      </c>
      <c r="G1163" s="3" t="s">
        <v>6233</v>
      </c>
      <c r="H1163" s="3"/>
      <c r="I1163" s="3" t="s">
        <v>6234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0.16</v>
      </c>
      <c r="P1163" s="3">
        <v>0</v>
      </c>
      <c r="Q1163" s="3">
        <v>0</v>
      </c>
      <c r="R1163" s="3">
        <v>0</v>
      </c>
    </row>
    <row r="1164" spans="1:18">
      <c r="A1164" s="3" t="s">
        <v>3652</v>
      </c>
      <c r="B1164" s="3" t="s">
        <v>3653</v>
      </c>
      <c r="C1164" s="3" t="s">
        <v>3654</v>
      </c>
      <c r="D1164" s="3" t="s">
        <v>3655</v>
      </c>
      <c r="E1164" s="3" t="s">
        <v>1710</v>
      </c>
      <c r="F1164" s="3">
        <v>15.99</v>
      </c>
      <c r="G1164" s="3" t="s">
        <v>6233</v>
      </c>
      <c r="H1164" s="3"/>
      <c r="I1164" s="3" t="s">
        <v>6234</v>
      </c>
      <c r="J1164" s="3">
        <v>1</v>
      </c>
      <c r="K1164" s="3">
        <v>1</v>
      </c>
      <c r="L1164" s="3">
        <v>0</v>
      </c>
      <c r="M1164" s="3">
        <v>0</v>
      </c>
      <c r="N1164" s="3">
        <v>1</v>
      </c>
      <c r="O1164" s="3">
        <v>0</v>
      </c>
      <c r="P1164" s="3">
        <v>0</v>
      </c>
      <c r="Q1164" s="3">
        <v>0</v>
      </c>
      <c r="R1164" s="3">
        <v>0</v>
      </c>
    </row>
    <row r="1165" spans="1:18">
      <c r="A1165" s="3" t="s">
        <v>4556</v>
      </c>
      <c r="B1165" s="3" t="s">
        <v>4557</v>
      </c>
      <c r="C1165" s="3" t="s">
        <v>4558</v>
      </c>
      <c r="D1165" s="3" t="s">
        <v>4559</v>
      </c>
      <c r="E1165" s="3" t="s">
        <v>1710</v>
      </c>
      <c r="F1165" s="3">
        <v>15.99</v>
      </c>
      <c r="G1165" s="3" t="s">
        <v>6233</v>
      </c>
      <c r="H1165" s="3"/>
      <c r="I1165" s="3" t="s">
        <v>6234</v>
      </c>
      <c r="J1165" s="3">
        <v>1</v>
      </c>
      <c r="K1165" s="3">
        <v>1</v>
      </c>
      <c r="L1165" s="3">
        <v>0</v>
      </c>
      <c r="M1165" s="3">
        <v>0</v>
      </c>
      <c r="N1165" s="3">
        <v>1</v>
      </c>
      <c r="O1165" s="3">
        <v>0.07</v>
      </c>
      <c r="P1165" s="3">
        <v>0</v>
      </c>
      <c r="Q1165" s="3">
        <v>0</v>
      </c>
      <c r="R1165" s="3">
        <v>0</v>
      </c>
    </row>
    <row r="1166" spans="1:18">
      <c r="A1166" s="3" t="s">
        <v>5564</v>
      </c>
      <c r="B1166" s="3" t="s">
        <v>5565</v>
      </c>
      <c r="C1166" s="3" t="s">
        <v>5566</v>
      </c>
      <c r="D1166" s="3" t="s">
        <v>5567</v>
      </c>
      <c r="E1166" s="3" t="s">
        <v>1710</v>
      </c>
      <c r="F1166" s="3">
        <v>15.99</v>
      </c>
      <c r="G1166" s="3" t="s">
        <v>6233</v>
      </c>
      <c r="H1166" s="3"/>
      <c r="I1166" s="3" t="s">
        <v>6234</v>
      </c>
      <c r="J1166" s="3">
        <v>1</v>
      </c>
      <c r="K1166" s="3">
        <v>1</v>
      </c>
      <c r="L1166" s="3">
        <v>0</v>
      </c>
      <c r="M1166" s="3">
        <v>0</v>
      </c>
      <c r="N1166" s="3">
        <v>1</v>
      </c>
      <c r="O1166" s="3">
        <v>0</v>
      </c>
      <c r="P1166" s="3">
        <v>0</v>
      </c>
      <c r="Q1166" s="3">
        <v>0</v>
      </c>
      <c r="R1166" s="3">
        <v>0</v>
      </c>
    </row>
    <row r="1167" spans="1:18">
      <c r="A1167" s="3" t="s">
        <v>5964</v>
      </c>
      <c r="B1167" s="3" t="s">
        <v>5965</v>
      </c>
      <c r="C1167" s="3" t="s">
        <v>5966</v>
      </c>
      <c r="D1167" s="3" t="s">
        <v>5567</v>
      </c>
      <c r="E1167" s="3" t="s">
        <v>1710</v>
      </c>
      <c r="F1167" s="3">
        <v>15.99</v>
      </c>
      <c r="G1167" s="3" t="s">
        <v>6233</v>
      </c>
      <c r="H1167" s="3"/>
      <c r="I1167" s="3" t="s">
        <v>6234</v>
      </c>
      <c r="J1167" s="3">
        <v>1</v>
      </c>
      <c r="K1167" s="3">
        <v>1</v>
      </c>
      <c r="L1167" s="3">
        <v>0</v>
      </c>
      <c r="M1167" s="3">
        <v>0</v>
      </c>
      <c r="N1167" s="3">
        <v>1</v>
      </c>
      <c r="O1167" s="3">
        <v>0</v>
      </c>
      <c r="P1167" s="3">
        <v>0</v>
      </c>
      <c r="Q1167" s="3">
        <v>0</v>
      </c>
      <c r="R1167" s="3">
        <v>0</v>
      </c>
    </row>
    <row r="1168" spans="1:18">
      <c r="A1168" s="3" t="s">
        <v>5264</v>
      </c>
      <c r="B1168" s="3" t="s">
        <v>5265</v>
      </c>
      <c r="C1168" s="3" t="s">
        <v>5266</v>
      </c>
      <c r="D1168" s="3" t="s">
        <v>5267</v>
      </c>
      <c r="E1168" s="3" t="s">
        <v>1710</v>
      </c>
      <c r="F1168" s="3">
        <v>15.99</v>
      </c>
      <c r="G1168" s="3" t="s">
        <v>6233</v>
      </c>
      <c r="H1168" s="3"/>
      <c r="I1168" s="3" t="s">
        <v>6234</v>
      </c>
      <c r="J1168" s="3">
        <v>1</v>
      </c>
      <c r="K1168" s="3">
        <v>1</v>
      </c>
      <c r="L1168" s="3">
        <v>0</v>
      </c>
      <c r="M1168" s="3">
        <v>0</v>
      </c>
      <c r="N1168" s="3">
        <v>1</v>
      </c>
      <c r="O1168" s="3">
        <v>0.1</v>
      </c>
      <c r="P1168" s="3">
        <v>0</v>
      </c>
      <c r="Q1168" s="3">
        <v>0</v>
      </c>
      <c r="R1168" s="3">
        <v>0</v>
      </c>
    </row>
    <row r="1169" spans="1:18">
      <c r="A1169" s="3" t="s">
        <v>2411</v>
      </c>
      <c r="B1169" s="3" t="s">
        <v>2412</v>
      </c>
      <c r="C1169" s="3" t="s">
        <v>2413</v>
      </c>
      <c r="D1169" s="3" t="s">
        <v>2414</v>
      </c>
      <c r="E1169" s="3" t="s">
        <v>1710</v>
      </c>
      <c r="F1169" s="3">
        <v>19.99</v>
      </c>
      <c r="G1169" s="3" t="s">
        <v>6233</v>
      </c>
      <c r="H1169" s="3"/>
      <c r="I1169" s="3" t="s">
        <v>6234</v>
      </c>
      <c r="J1169" s="3">
        <v>1</v>
      </c>
      <c r="K1169" s="3">
        <v>1</v>
      </c>
      <c r="L1169" s="3">
        <v>0</v>
      </c>
      <c r="M1169" s="3">
        <v>0</v>
      </c>
      <c r="N1169" s="3">
        <v>1</v>
      </c>
      <c r="O1169" s="3">
        <v>0.38</v>
      </c>
      <c r="P1169" s="3">
        <v>0</v>
      </c>
      <c r="Q1169" s="3">
        <v>0</v>
      </c>
      <c r="R1169" s="3">
        <v>0</v>
      </c>
    </row>
    <row r="1170" spans="1:18">
      <c r="A1170" s="3" t="s">
        <v>3018</v>
      </c>
      <c r="B1170" s="3" t="s">
        <v>3019</v>
      </c>
      <c r="C1170" s="3" t="s">
        <v>3020</v>
      </c>
      <c r="D1170" s="3" t="s">
        <v>3021</v>
      </c>
      <c r="E1170" s="3" t="s">
        <v>1710</v>
      </c>
      <c r="F1170" s="3">
        <v>19.99</v>
      </c>
      <c r="G1170" s="3" t="s">
        <v>6233</v>
      </c>
      <c r="H1170" s="3"/>
      <c r="I1170" s="3" t="s">
        <v>6234</v>
      </c>
      <c r="J1170" s="3">
        <v>6</v>
      </c>
      <c r="K1170" s="3">
        <v>6</v>
      </c>
      <c r="L1170" s="3">
        <v>0</v>
      </c>
      <c r="M1170" s="3">
        <v>0</v>
      </c>
      <c r="N1170" s="3">
        <v>6</v>
      </c>
      <c r="O1170" s="3">
        <v>0.13</v>
      </c>
      <c r="P1170" s="3">
        <v>0</v>
      </c>
      <c r="Q1170" s="3">
        <v>0</v>
      </c>
      <c r="R1170" s="3">
        <v>0</v>
      </c>
    </row>
    <row r="1171" spans="1:18">
      <c r="A1171" s="3" t="s">
        <v>7840</v>
      </c>
      <c r="B1171" s="3" t="s">
        <v>7841</v>
      </c>
      <c r="C1171" s="3" t="s">
        <v>7842</v>
      </c>
      <c r="D1171" s="3" t="s">
        <v>7843</v>
      </c>
      <c r="E1171" s="3" t="s">
        <v>1710</v>
      </c>
      <c r="F1171" s="3">
        <v>19.99</v>
      </c>
      <c r="G1171" s="3" t="s">
        <v>6233</v>
      </c>
      <c r="H1171" s="3"/>
      <c r="I1171" s="3" t="s">
        <v>6234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0.24</v>
      </c>
      <c r="P1171" s="3">
        <v>0</v>
      </c>
      <c r="Q1171" s="3">
        <v>0</v>
      </c>
      <c r="R1171" s="3">
        <v>0</v>
      </c>
    </row>
    <row r="1172" spans="1:18">
      <c r="A1172" s="3" t="s">
        <v>7844</v>
      </c>
      <c r="B1172" s="3" t="s">
        <v>7845</v>
      </c>
      <c r="C1172" s="3" t="s">
        <v>7846</v>
      </c>
      <c r="D1172" s="3"/>
      <c r="E1172" s="3" t="s">
        <v>6275</v>
      </c>
      <c r="F1172" s="3"/>
      <c r="G1172" s="3"/>
      <c r="H1172" s="3"/>
      <c r="I1172" s="3"/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/>
      <c r="P1172" s="3">
        <v>0</v>
      </c>
      <c r="Q1172" s="3">
        <v>0</v>
      </c>
      <c r="R1172" s="3">
        <v>0</v>
      </c>
    </row>
    <row r="1173" spans="1:18">
      <c r="A1173" s="3" t="s">
        <v>7847</v>
      </c>
      <c r="B1173" s="3" t="s">
        <v>7848</v>
      </c>
      <c r="C1173" s="3" t="s">
        <v>7849</v>
      </c>
      <c r="D1173" s="3"/>
      <c r="E1173" s="3" t="s">
        <v>6275</v>
      </c>
      <c r="F1173" s="3"/>
      <c r="G1173" s="3"/>
      <c r="H1173" s="3"/>
      <c r="I1173" s="3"/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/>
      <c r="P1173" s="3">
        <v>0</v>
      </c>
      <c r="Q1173" s="3">
        <v>0</v>
      </c>
      <c r="R1173" s="3">
        <v>0</v>
      </c>
    </row>
    <row r="1174" spans="1:18">
      <c r="A1174" s="3" t="s">
        <v>7850</v>
      </c>
      <c r="B1174" s="3" t="s">
        <v>7851</v>
      </c>
      <c r="C1174" s="3" t="s">
        <v>7852</v>
      </c>
      <c r="D1174" s="3"/>
      <c r="E1174" s="3" t="s">
        <v>6275</v>
      </c>
      <c r="F1174" s="3"/>
      <c r="G1174" s="3"/>
      <c r="H1174" s="3"/>
      <c r="I1174" s="3"/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/>
      <c r="P1174" s="3">
        <v>0</v>
      </c>
      <c r="Q1174" s="3">
        <v>0</v>
      </c>
      <c r="R1174" s="3">
        <v>0</v>
      </c>
    </row>
    <row r="1175" spans="1:18">
      <c r="A1175" s="3" t="s">
        <v>1778</v>
      </c>
      <c r="B1175" s="3" t="s">
        <v>1779</v>
      </c>
      <c r="C1175" s="3" t="s">
        <v>1780</v>
      </c>
      <c r="D1175" s="3" t="s">
        <v>1781</v>
      </c>
      <c r="E1175" s="3" t="s">
        <v>1710</v>
      </c>
      <c r="F1175" s="3">
        <v>15.99</v>
      </c>
      <c r="G1175" s="3" t="s">
        <v>6233</v>
      </c>
      <c r="H1175" s="3"/>
      <c r="I1175" s="3" t="s">
        <v>6234</v>
      </c>
      <c r="J1175" s="3">
        <v>1</v>
      </c>
      <c r="K1175" s="3">
        <v>1</v>
      </c>
      <c r="L1175" s="3">
        <v>0</v>
      </c>
      <c r="M1175" s="3">
        <v>0</v>
      </c>
      <c r="N1175" s="3">
        <v>1</v>
      </c>
      <c r="O1175" s="3">
        <v>0</v>
      </c>
      <c r="P1175" s="3">
        <v>0</v>
      </c>
      <c r="Q1175" s="3">
        <v>0</v>
      </c>
      <c r="R1175" s="3">
        <v>0</v>
      </c>
    </row>
    <row r="1176" spans="1:18">
      <c r="A1176" s="3" t="s">
        <v>5844</v>
      </c>
      <c r="B1176" s="3" t="s">
        <v>5845</v>
      </c>
      <c r="C1176" s="3" t="s">
        <v>5846</v>
      </c>
      <c r="D1176" s="3" t="s">
        <v>5847</v>
      </c>
      <c r="E1176" s="3" t="s">
        <v>1710</v>
      </c>
      <c r="F1176" s="3">
        <v>15.99</v>
      </c>
      <c r="G1176" s="3" t="s">
        <v>6233</v>
      </c>
      <c r="H1176" s="3"/>
      <c r="I1176" s="3" t="s">
        <v>6234</v>
      </c>
      <c r="J1176" s="3">
        <v>2</v>
      </c>
      <c r="K1176" s="3">
        <v>2</v>
      </c>
      <c r="L1176" s="3">
        <v>0</v>
      </c>
      <c r="M1176" s="3">
        <v>0</v>
      </c>
      <c r="N1176" s="3">
        <v>2</v>
      </c>
      <c r="O1176" s="3">
        <v>0</v>
      </c>
      <c r="P1176" s="3">
        <v>0</v>
      </c>
      <c r="Q1176" s="3">
        <v>0</v>
      </c>
      <c r="R1176" s="3">
        <v>0</v>
      </c>
    </row>
    <row r="1177" spans="1:18">
      <c r="A1177" s="3" t="s">
        <v>7853</v>
      </c>
      <c r="B1177" s="3" t="s">
        <v>7854</v>
      </c>
      <c r="C1177" s="3" t="s">
        <v>7855</v>
      </c>
      <c r="D1177" s="3"/>
      <c r="E1177" s="3" t="s">
        <v>6275</v>
      </c>
      <c r="F1177" s="3"/>
      <c r="G1177" s="3"/>
      <c r="H1177" s="3"/>
      <c r="I1177" s="3"/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/>
      <c r="P1177" s="3">
        <v>0</v>
      </c>
      <c r="Q1177" s="3">
        <v>0</v>
      </c>
      <c r="R1177" s="3">
        <v>0</v>
      </c>
    </row>
    <row r="1178" spans="1:18">
      <c r="A1178" s="3" t="s">
        <v>7856</v>
      </c>
      <c r="B1178" s="3" t="s">
        <v>7857</v>
      </c>
      <c r="C1178" s="3" t="s">
        <v>7858</v>
      </c>
      <c r="D1178" s="3"/>
      <c r="E1178" s="3" t="s">
        <v>6275</v>
      </c>
      <c r="F1178" s="3"/>
      <c r="G1178" s="3"/>
      <c r="H1178" s="3"/>
      <c r="I1178" s="3"/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/>
      <c r="P1178" s="3">
        <v>0</v>
      </c>
      <c r="Q1178" s="3">
        <v>0</v>
      </c>
      <c r="R1178" s="3">
        <v>0</v>
      </c>
    </row>
    <row r="1179" spans="1:18">
      <c r="A1179" s="3" t="s">
        <v>7859</v>
      </c>
      <c r="B1179" s="3" t="s">
        <v>7860</v>
      </c>
      <c r="C1179" s="3" t="s">
        <v>7861</v>
      </c>
      <c r="D1179" s="3"/>
      <c r="E1179" s="3" t="s">
        <v>6275</v>
      </c>
      <c r="F1179" s="3"/>
      <c r="G1179" s="3"/>
      <c r="H1179" s="3"/>
      <c r="I1179" s="3"/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/>
      <c r="P1179" s="3">
        <v>0</v>
      </c>
      <c r="Q1179" s="3">
        <v>0</v>
      </c>
      <c r="R1179" s="3">
        <v>0</v>
      </c>
    </row>
    <row r="1180" spans="1:18">
      <c r="A1180" s="3" t="s">
        <v>7862</v>
      </c>
      <c r="B1180" s="3" t="s">
        <v>7863</v>
      </c>
      <c r="C1180" s="3" t="s">
        <v>7864</v>
      </c>
      <c r="D1180" s="3"/>
      <c r="E1180" s="3" t="s">
        <v>6275</v>
      </c>
      <c r="F1180" s="3"/>
      <c r="G1180" s="3"/>
      <c r="H1180" s="3"/>
      <c r="I1180" s="3"/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/>
      <c r="P1180" s="3">
        <v>0</v>
      </c>
      <c r="Q1180" s="3">
        <v>0</v>
      </c>
      <c r="R1180" s="3">
        <v>0</v>
      </c>
    </row>
    <row r="1181" spans="1:18">
      <c r="A1181" s="3" t="s">
        <v>7865</v>
      </c>
      <c r="B1181" s="3" t="s">
        <v>7866</v>
      </c>
      <c r="C1181" s="3" t="s">
        <v>7867</v>
      </c>
      <c r="D1181" s="3" t="s">
        <v>7868</v>
      </c>
      <c r="E1181" s="3" t="s">
        <v>1710</v>
      </c>
      <c r="F1181" s="3">
        <v>22.99</v>
      </c>
      <c r="G1181" s="3" t="s">
        <v>6233</v>
      </c>
      <c r="H1181" s="3"/>
      <c r="I1181" s="3" t="s">
        <v>6234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0.36</v>
      </c>
      <c r="P1181" s="3">
        <v>0</v>
      </c>
      <c r="Q1181" s="3">
        <v>0</v>
      </c>
      <c r="R1181" s="3">
        <v>0</v>
      </c>
    </row>
    <row r="1182" spans="1:18">
      <c r="A1182" s="3" t="s">
        <v>7869</v>
      </c>
      <c r="B1182" s="3" t="s">
        <v>7870</v>
      </c>
      <c r="C1182" s="3" t="s">
        <v>7871</v>
      </c>
      <c r="D1182" s="3" t="s">
        <v>7868</v>
      </c>
      <c r="E1182" s="3" t="s">
        <v>1710</v>
      </c>
      <c r="F1182" s="3">
        <v>29.99</v>
      </c>
      <c r="G1182" s="3" t="s">
        <v>6233</v>
      </c>
      <c r="H1182" s="3"/>
      <c r="I1182" s="3" t="s">
        <v>6234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0.47</v>
      </c>
      <c r="P1182" s="3">
        <v>0</v>
      </c>
      <c r="Q1182" s="3">
        <v>0</v>
      </c>
      <c r="R1182" s="3">
        <v>0</v>
      </c>
    </row>
    <row r="1183" spans="1:18">
      <c r="A1183" s="3" t="s">
        <v>7872</v>
      </c>
      <c r="B1183" s="3" t="s">
        <v>7873</v>
      </c>
      <c r="C1183" s="3" t="s">
        <v>7874</v>
      </c>
      <c r="D1183" s="3"/>
      <c r="E1183" s="3" t="s">
        <v>6275</v>
      </c>
      <c r="F1183" s="3"/>
      <c r="G1183" s="3"/>
      <c r="H1183" s="3"/>
      <c r="I1183" s="3"/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/>
      <c r="P1183" s="3">
        <v>0</v>
      </c>
      <c r="Q1183" s="3">
        <v>0</v>
      </c>
      <c r="R1183" s="3">
        <v>0</v>
      </c>
    </row>
    <row r="1184" spans="1:18">
      <c r="A1184" s="3" t="s">
        <v>7875</v>
      </c>
      <c r="B1184" s="3" t="s">
        <v>7876</v>
      </c>
      <c r="C1184" s="3" t="s">
        <v>7877</v>
      </c>
      <c r="D1184" s="3"/>
      <c r="E1184" s="3" t="s">
        <v>6275</v>
      </c>
      <c r="F1184" s="3"/>
      <c r="G1184" s="3"/>
      <c r="H1184" s="3"/>
      <c r="I1184" s="3"/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/>
      <c r="P1184" s="3">
        <v>0</v>
      </c>
      <c r="Q1184" s="3">
        <v>0</v>
      </c>
      <c r="R1184" s="3">
        <v>0</v>
      </c>
    </row>
    <row r="1185" spans="1:18">
      <c r="A1185" s="3" t="s">
        <v>3966</v>
      </c>
      <c r="B1185" s="3" t="s">
        <v>3967</v>
      </c>
      <c r="C1185" s="3" t="s">
        <v>3968</v>
      </c>
      <c r="D1185" s="3" t="s">
        <v>1810</v>
      </c>
      <c r="E1185" s="3" t="s">
        <v>1710</v>
      </c>
      <c r="F1185" s="3">
        <v>15.99</v>
      </c>
      <c r="G1185" s="3" t="s">
        <v>6233</v>
      </c>
      <c r="H1185" s="3"/>
      <c r="I1185" s="3" t="s">
        <v>6234</v>
      </c>
      <c r="J1185" s="3">
        <v>2</v>
      </c>
      <c r="K1185" s="3">
        <v>2</v>
      </c>
      <c r="L1185" s="3">
        <v>0</v>
      </c>
      <c r="M1185" s="3">
        <v>0</v>
      </c>
      <c r="N1185" s="3">
        <v>2</v>
      </c>
      <c r="O1185" s="3">
        <v>0.1</v>
      </c>
      <c r="P1185" s="3">
        <v>0</v>
      </c>
      <c r="Q1185" s="3">
        <v>0</v>
      </c>
      <c r="R1185" s="3">
        <v>0</v>
      </c>
    </row>
    <row r="1186" spans="1:18">
      <c r="A1186" s="3" t="s">
        <v>1807</v>
      </c>
      <c r="B1186" s="3" t="s">
        <v>1808</v>
      </c>
      <c r="C1186" s="3" t="s">
        <v>1809</v>
      </c>
      <c r="D1186" s="3" t="s">
        <v>1810</v>
      </c>
      <c r="E1186" s="3" t="s">
        <v>1710</v>
      </c>
      <c r="F1186" s="3">
        <v>15.99</v>
      </c>
      <c r="G1186" s="3" t="s">
        <v>6233</v>
      </c>
      <c r="H1186" s="3"/>
      <c r="I1186" s="3" t="s">
        <v>6234</v>
      </c>
      <c r="J1186" s="3">
        <v>4</v>
      </c>
      <c r="K1186" s="3">
        <v>4</v>
      </c>
      <c r="L1186" s="3">
        <v>0</v>
      </c>
      <c r="M1186" s="3">
        <v>0</v>
      </c>
      <c r="N1186" s="3">
        <v>4</v>
      </c>
      <c r="O1186" s="3">
        <v>0.12</v>
      </c>
      <c r="P1186" s="3">
        <v>0</v>
      </c>
      <c r="Q1186" s="3">
        <v>0</v>
      </c>
      <c r="R1186" s="3">
        <v>0</v>
      </c>
    </row>
    <row r="1187" spans="1:18">
      <c r="A1187" s="3" t="s">
        <v>7878</v>
      </c>
      <c r="B1187" s="3" t="s">
        <v>7879</v>
      </c>
      <c r="C1187" s="3" t="s">
        <v>7880</v>
      </c>
      <c r="D1187" s="3" t="s">
        <v>1810</v>
      </c>
      <c r="E1187" s="3" t="s">
        <v>1710</v>
      </c>
      <c r="F1187" s="3">
        <v>15.99</v>
      </c>
      <c r="G1187" s="3" t="s">
        <v>6233</v>
      </c>
      <c r="H1187" s="3"/>
      <c r="I1187" s="3" t="s">
        <v>6234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0.14</v>
      </c>
      <c r="P1187" s="3">
        <v>0</v>
      </c>
      <c r="Q1187" s="3">
        <v>0</v>
      </c>
      <c r="R1187" s="3">
        <v>0</v>
      </c>
    </row>
    <row r="1188" spans="1:18">
      <c r="A1188" s="3" t="s">
        <v>3603</v>
      </c>
      <c r="B1188" s="3" t="s">
        <v>3604</v>
      </c>
      <c r="C1188" s="3" t="s">
        <v>3605</v>
      </c>
      <c r="D1188" s="3" t="s">
        <v>1810</v>
      </c>
      <c r="E1188" s="3" t="s">
        <v>1710</v>
      </c>
      <c r="F1188" s="3">
        <v>15.99</v>
      </c>
      <c r="G1188" s="3" t="s">
        <v>6233</v>
      </c>
      <c r="H1188" s="3"/>
      <c r="I1188" s="3" t="s">
        <v>6234</v>
      </c>
      <c r="J1188" s="3">
        <v>3</v>
      </c>
      <c r="K1188" s="3">
        <v>3</v>
      </c>
      <c r="L1188" s="3">
        <v>0</v>
      </c>
      <c r="M1188" s="3">
        <v>0</v>
      </c>
      <c r="N1188" s="3">
        <v>3</v>
      </c>
      <c r="O1188" s="3">
        <v>0.17</v>
      </c>
      <c r="P1188" s="3">
        <v>0</v>
      </c>
      <c r="Q1188" s="3">
        <v>0</v>
      </c>
      <c r="R1188" s="3">
        <v>0</v>
      </c>
    </row>
    <row r="1189" spans="1:18">
      <c r="A1189" s="3" t="s">
        <v>7881</v>
      </c>
      <c r="B1189" s="3" t="s">
        <v>7882</v>
      </c>
      <c r="C1189" s="3" t="s">
        <v>7883</v>
      </c>
      <c r="D1189" s="3" t="s">
        <v>1810</v>
      </c>
      <c r="E1189" s="3" t="s">
        <v>1710</v>
      </c>
      <c r="F1189" s="3">
        <v>15.99</v>
      </c>
      <c r="G1189" s="3" t="s">
        <v>6233</v>
      </c>
      <c r="H1189" s="3"/>
      <c r="I1189" s="3" t="s">
        <v>6234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0.2</v>
      </c>
      <c r="P1189" s="3">
        <v>0</v>
      </c>
      <c r="Q1189" s="3">
        <v>0</v>
      </c>
      <c r="R1189" s="3">
        <v>0</v>
      </c>
    </row>
    <row r="1190" spans="1:18">
      <c r="A1190" s="3" t="s">
        <v>4875</v>
      </c>
      <c r="B1190" s="3" t="s">
        <v>4876</v>
      </c>
      <c r="C1190" s="3" t="s">
        <v>4877</v>
      </c>
      <c r="D1190" s="3" t="s">
        <v>1810</v>
      </c>
      <c r="E1190" s="3" t="s">
        <v>1710</v>
      </c>
      <c r="F1190" s="3">
        <v>15.99</v>
      </c>
      <c r="G1190" s="3" t="s">
        <v>6233</v>
      </c>
      <c r="H1190" s="3"/>
      <c r="I1190" s="3" t="s">
        <v>6234</v>
      </c>
      <c r="J1190" s="3">
        <v>2</v>
      </c>
      <c r="K1190" s="3">
        <v>2</v>
      </c>
      <c r="L1190" s="3">
        <v>0</v>
      </c>
      <c r="M1190" s="3">
        <v>0</v>
      </c>
      <c r="N1190" s="3">
        <v>2</v>
      </c>
      <c r="O1190" s="3">
        <v>0.08</v>
      </c>
      <c r="P1190" s="3">
        <v>0</v>
      </c>
      <c r="Q1190" s="3">
        <v>0</v>
      </c>
      <c r="R1190" s="3">
        <v>0</v>
      </c>
    </row>
    <row r="1191" spans="1:18">
      <c r="A1191" s="3" t="s">
        <v>3665</v>
      </c>
      <c r="B1191" s="3" t="s">
        <v>3666</v>
      </c>
      <c r="C1191" s="3" t="s">
        <v>3667</v>
      </c>
      <c r="D1191" s="3" t="s">
        <v>3668</v>
      </c>
      <c r="E1191" s="3" t="s">
        <v>1710</v>
      </c>
      <c r="F1191" s="3">
        <v>22.99</v>
      </c>
      <c r="G1191" s="3" t="s">
        <v>6233</v>
      </c>
      <c r="H1191" s="3"/>
      <c r="I1191" s="3" t="s">
        <v>6234</v>
      </c>
      <c r="J1191" s="3">
        <v>1</v>
      </c>
      <c r="K1191" s="3">
        <v>1</v>
      </c>
      <c r="L1191" s="3">
        <v>0</v>
      </c>
      <c r="M1191" s="3">
        <v>0</v>
      </c>
      <c r="N1191" s="3">
        <v>1</v>
      </c>
      <c r="O1191" s="3">
        <v>0.42</v>
      </c>
      <c r="P1191" s="3">
        <v>0</v>
      </c>
      <c r="Q1191" s="3">
        <v>0</v>
      </c>
      <c r="R1191" s="3">
        <v>0</v>
      </c>
    </row>
    <row r="1192" spans="1:18">
      <c r="A1192" s="3" t="s">
        <v>3774</v>
      </c>
      <c r="B1192" s="3" t="s">
        <v>3775</v>
      </c>
      <c r="C1192" s="3" t="s">
        <v>3776</v>
      </c>
      <c r="D1192" s="3" t="s">
        <v>3668</v>
      </c>
      <c r="E1192" s="3" t="s">
        <v>1710</v>
      </c>
      <c r="F1192" s="3">
        <v>22.99</v>
      </c>
      <c r="G1192" s="3" t="s">
        <v>6233</v>
      </c>
      <c r="H1192" s="3"/>
      <c r="I1192" s="3" t="s">
        <v>6234</v>
      </c>
      <c r="J1192" s="3">
        <v>1</v>
      </c>
      <c r="K1192" s="3">
        <v>1</v>
      </c>
      <c r="L1192" s="3">
        <v>0</v>
      </c>
      <c r="M1192" s="3">
        <v>0</v>
      </c>
      <c r="N1192" s="3">
        <v>1</v>
      </c>
      <c r="O1192" s="3">
        <v>0.44</v>
      </c>
      <c r="P1192" s="3">
        <v>0</v>
      </c>
      <c r="Q1192" s="3">
        <v>0</v>
      </c>
      <c r="R1192" s="3">
        <v>0</v>
      </c>
    </row>
    <row r="1193" spans="1:18">
      <c r="A1193" s="3" t="s">
        <v>7884</v>
      </c>
      <c r="B1193" s="3" t="s">
        <v>7885</v>
      </c>
      <c r="C1193" s="3" t="s">
        <v>7886</v>
      </c>
      <c r="D1193" s="3" t="s">
        <v>311</v>
      </c>
      <c r="E1193" s="3" t="s">
        <v>1710</v>
      </c>
      <c r="F1193" s="3">
        <v>15.99</v>
      </c>
      <c r="G1193" s="3" t="s">
        <v>6233</v>
      </c>
      <c r="H1193" s="3"/>
      <c r="I1193" s="3" t="s">
        <v>6234</v>
      </c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>
        <v>0.17</v>
      </c>
      <c r="P1193" s="3">
        <v>0</v>
      </c>
      <c r="Q1193" s="3">
        <v>0</v>
      </c>
      <c r="R1193" s="3">
        <v>0</v>
      </c>
    </row>
    <row r="1194" spans="1:18">
      <c r="A1194" s="3" t="s">
        <v>3645</v>
      </c>
      <c r="B1194" s="3" t="s">
        <v>3646</v>
      </c>
      <c r="C1194" s="3" t="s">
        <v>3647</v>
      </c>
      <c r="D1194" s="3" t="s">
        <v>311</v>
      </c>
      <c r="E1194" s="3" t="s">
        <v>1710</v>
      </c>
      <c r="F1194" s="3">
        <v>15.99</v>
      </c>
      <c r="G1194" s="3" t="s">
        <v>6233</v>
      </c>
      <c r="H1194" s="3"/>
      <c r="I1194" s="3" t="s">
        <v>6234</v>
      </c>
      <c r="J1194" s="3">
        <v>2</v>
      </c>
      <c r="K1194" s="3">
        <v>2</v>
      </c>
      <c r="L1194" s="3">
        <v>0</v>
      </c>
      <c r="M1194" s="3">
        <v>0</v>
      </c>
      <c r="N1194" s="3">
        <v>2</v>
      </c>
      <c r="O1194" s="3">
        <v>0.03</v>
      </c>
      <c r="P1194" s="3">
        <v>0</v>
      </c>
      <c r="Q1194" s="3">
        <v>0</v>
      </c>
      <c r="R1194" s="3">
        <v>0</v>
      </c>
    </row>
    <row r="1195" spans="1:18">
      <c r="A1195" s="3" t="s">
        <v>7887</v>
      </c>
      <c r="B1195" s="3" t="s">
        <v>7888</v>
      </c>
      <c r="C1195" s="3" t="s">
        <v>7889</v>
      </c>
      <c r="D1195" s="3" t="s">
        <v>7890</v>
      </c>
      <c r="E1195" s="3" t="s">
        <v>1710</v>
      </c>
      <c r="F1195" s="3">
        <v>19.99</v>
      </c>
      <c r="G1195" s="3" t="s">
        <v>6233</v>
      </c>
      <c r="H1195" s="3"/>
      <c r="I1195" s="3" t="s">
        <v>6234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0.11</v>
      </c>
      <c r="P1195" s="3">
        <v>0</v>
      </c>
      <c r="Q1195" s="3">
        <v>0</v>
      </c>
      <c r="R1195" s="3">
        <v>0</v>
      </c>
    </row>
    <row r="1196" spans="1:18">
      <c r="A1196" s="3" t="s">
        <v>308</v>
      </c>
      <c r="B1196" s="3" t="s">
        <v>309</v>
      </c>
      <c r="C1196" s="3" t="s">
        <v>310</v>
      </c>
      <c r="D1196" s="3" t="s">
        <v>311</v>
      </c>
      <c r="E1196" s="3" t="s">
        <v>1710</v>
      </c>
      <c r="F1196" s="3">
        <v>15.99</v>
      </c>
      <c r="G1196" s="3" t="s">
        <v>6233</v>
      </c>
      <c r="H1196" s="3"/>
      <c r="I1196" s="3" t="s">
        <v>6234</v>
      </c>
      <c r="J1196" s="3">
        <v>1</v>
      </c>
      <c r="K1196" s="3">
        <v>0</v>
      </c>
      <c r="L1196" s="3">
        <v>0</v>
      </c>
      <c r="M1196" s="3">
        <v>1</v>
      </c>
      <c r="N1196" s="3">
        <v>1</v>
      </c>
      <c r="O1196" s="3">
        <v>0.11</v>
      </c>
      <c r="P1196" s="3">
        <v>0</v>
      </c>
      <c r="Q1196" s="3">
        <v>0</v>
      </c>
      <c r="R1196" s="3">
        <v>0</v>
      </c>
    </row>
    <row r="1197" spans="1:18">
      <c r="A1197" s="3" t="s">
        <v>5993</v>
      </c>
      <c r="B1197" s="3" t="s">
        <v>5994</v>
      </c>
      <c r="C1197" s="3" t="s">
        <v>5995</v>
      </c>
      <c r="D1197" s="3" t="s">
        <v>311</v>
      </c>
      <c r="E1197" s="3" t="s">
        <v>1710</v>
      </c>
      <c r="F1197" s="3">
        <v>15.99</v>
      </c>
      <c r="G1197" s="3" t="s">
        <v>6233</v>
      </c>
      <c r="H1197" s="3"/>
      <c r="I1197" s="3" t="s">
        <v>6234</v>
      </c>
      <c r="J1197" s="3">
        <v>1</v>
      </c>
      <c r="K1197" s="3">
        <v>1</v>
      </c>
      <c r="L1197" s="3">
        <v>0</v>
      </c>
      <c r="M1197" s="3">
        <v>0</v>
      </c>
      <c r="N1197" s="3">
        <v>1</v>
      </c>
      <c r="O1197" s="3">
        <v>0.17</v>
      </c>
      <c r="P1197" s="3">
        <v>0</v>
      </c>
      <c r="Q1197" s="3">
        <v>0</v>
      </c>
      <c r="R1197" s="3">
        <v>0</v>
      </c>
    </row>
    <row r="1198" spans="1:18">
      <c r="A1198" s="3" t="s">
        <v>7891</v>
      </c>
      <c r="B1198" s="3" t="s">
        <v>7892</v>
      </c>
      <c r="C1198" s="3" t="s">
        <v>7893</v>
      </c>
      <c r="D1198" s="3" t="s">
        <v>311</v>
      </c>
      <c r="E1198" s="3" t="s">
        <v>1710</v>
      </c>
      <c r="F1198" s="3">
        <v>15.99</v>
      </c>
      <c r="G1198" s="3" t="s">
        <v>6233</v>
      </c>
      <c r="H1198" s="3"/>
      <c r="I1198" s="3" t="s">
        <v>6234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0.17</v>
      </c>
      <c r="P1198" s="3">
        <v>0</v>
      </c>
      <c r="Q1198" s="3">
        <v>0</v>
      </c>
      <c r="R1198" s="3">
        <v>0</v>
      </c>
    </row>
    <row r="1199" spans="1:18">
      <c r="A1199" s="3" t="s">
        <v>3649</v>
      </c>
      <c r="B1199" s="3" t="s">
        <v>3650</v>
      </c>
      <c r="C1199" s="3" t="s">
        <v>3651</v>
      </c>
      <c r="D1199" s="3" t="s">
        <v>311</v>
      </c>
      <c r="E1199" s="3" t="s">
        <v>1710</v>
      </c>
      <c r="F1199" s="3">
        <v>15.99</v>
      </c>
      <c r="G1199" s="3" t="s">
        <v>6233</v>
      </c>
      <c r="H1199" s="3"/>
      <c r="I1199" s="3" t="s">
        <v>6234</v>
      </c>
      <c r="J1199" s="3">
        <v>1</v>
      </c>
      <c r="K1199" s="3">
        <v>1</v>
      </c>
      <c r="L1199" s="3">
        <v>0</v>
      </c>
      <c r="M1199" s="3">
        <v>0</v>
      </c>
      <c r="N1199" s="3">
        <v>1</v>
      </c>
      <c r="O1199" s="3">
        <v>0.03</v>
      </c>
      <c r="P1199" s="3">
        <v>0</v>
      </c>
      <c r="Q1199" s="3">
        <v>0</v>
      </c>
      <c r="R1199" s="3">
        <v>0</v>
      </c>
    </row>
    <row r="1200" spans="1:18">
      <c r="A1200" s="3" t="s">
        <v>312</v>
      </c>
      <c r="B1200" s="3" t="s">
        <v>313</v>
      </c>
      <c r="C1200" s="3" t="s">
        <v>314</v>
      </c>
      <c r="D1200" s="3" t="s">
        <v>311</v>
      </c>
      <c r="E1200" s="3" t="s">
        <v>1710</v>
      </c>
      <c r="F1200" s="3">
        <v>15.99</v>
      </c>
      <c r="G1200" s="3" t="s">
        <v>6233</v>
      </c>
      <c r="H1200" s="3"/>
      <c r="I1200" s="3" t="s">
        <v>6234</v>
      </c>
      <c r="J1200" s="3">
        <v>4</v>
      </c>
      <c r="K1200" s="3">
        <v>3</v>
      </c>
      <c r="L1200" s="3">
        <v>0</v>
      </c>
      <c r="M1200" s="3">
        <v>1</v>
      </c>
      <c r="N1200" s="3">
        <v>4</v>
      </c>
      <c r="O1200" s="3">
        <v>0.09</v>
      </c>
      <c r="P1200" s="3">
        <v>0</v>
      </c>
      <c r="Q1200" s="3">
        <v>0</v>
      </c>
      <c r="R1200" s="3">
        <v>0</v>
      </c>
    </row>
    <row r="1201" spans="1:18">
      <c r="A1201" s="3" t="s">
        <v>7894</v>
      </c>
      <c r="B1201" s="3" t="s">
        <v>7895</v>
      </c>
      <c r="C1201" s="3" t="s">
        <v>7896</v>
      </c>
      <c r="D1201" s="3" t="s">
        <v>7897</v>
      </c>
      <c r="E1201" s="3" t="s">
        <v>1710</v>
      </c>
      <c r="F1201" s="3">
        <v>18.99</v>
      </c>
      <c r="G1201" s="3" t="s">
        <v>6233</v>
      </c>
      <c r="H1201" s="3"/>
      <c r="I1201" s="3" t="s">
        <v>6234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0.23</v>
      </c>
      <c r="P1201" s="3">
        <v>0</v>
      </c>
      <c r="Q1201" s="3">
        <v>0</v>
      </c>
      <c r="R1201" s="3">
        <v>0</v>
      </c>
    </row>
    <row r="1202" spans="1:18">
      <c r="A1202" s="3" t="s">
        <v>7898</v>
      </c>
      <c r="B1202" s="3" t="s">
        <v>7899</v>
      </c>
      <c r="C1202" s="3" t="s">
        <v>7900</v>
      </c>
      <c r="D1202" s="3" t="s">
        <v>7901</v>
      </c>
      <c r="E1202" s="3" t="s">
        <v>1710</v>
      </c>
      <c r="F1202" s="3">
        <v>30</v>
      </c>
      <c r="G1202" s="3" t="s">
        <v>6234</v>
      </c>
      <c r="H1202" s="3">
        <v>0</v>
      </c>
      <c r="I1202" s="3" t="s">
        <v>6233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0.2</v>
      </c>
      <c r="P1202" s="3">
        <v>0</v>
      </c>
      <c r="Q1202" s="3">
        <v>0</v>
      </c>
      <c r="R1202" s="3">
        <v>0</v>
      </c>
    </row>
    <row r="1203" spans="1:18">
      <c r="A1203" s="3" t="s">
        <v>7902</v>
      </c>
      <c r="B1203" s="3" t="s">
        <v>7903</v>
      </c>
      <c r="C1203" s="3" t="s">
        <v>7904</v>
      </c>
      <c r="D1203" s="3" t="s">
        <v>7905</v>
      </c>
      <c r="E1203" s="3" t="s">
        <v>1710</v>
      </c>
      <c r="F1203" s="3">
        <v>30</v>
      </c>
      <c r="G1203" s="3" t="s">
        <v>6234</v>
      </c>
      <c r="H1203" s="3">
        <v>0</v>
      </c>
      <c r="I1203" s="3" t="s">
        <v>6233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0.15</v>
      </c>
      <c r="P1203" s="3">
        <v>0</v>
      </c>
      <c r="Q1203" s="3">
        <v>0</v>
      </c>
      <c r="R1203" s="3">
        <v>0</v>
      </c>
    </row>
    <row r="1204" spans="1:18">
      <c r="A1204" s="3" t="s">
        <v>7906</v>
      </c>
      <c r="B1204" s="3" t="s">
        <v>7907</v>
      </c>
      <c r="C1204" s="3" t="s">
        <v>7908</v>
      </c>
      <c r="D1204" s="3" t="s">
        <v>7909</v>
      </c>
      <c r="E1204" s="3" t="s">
        <v>1710</v>
      </c>
      <c r="F1204" s="3">
        <v>30</v>
      </c>
      <c r="G1204" s="3" t="s">
        <v>6234</v>
      </c>
      <c r="H1204" s="3">
        <v>0</v>
      </c>
      <c r="I1204" s="3" t="s">
        <v>6233</v>
      </c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>
        <v>0.15</v>
      </c>
      <c r="P1204" s="3">
        <v>0</v>
      </c>
      <c r="Q1204" s="3">
        <v>0</v>
      </c>
      <c r="R1204" s="3">
        <v>0</v>
      </c>
    </row>
    <row r="1205" spans="1:18">
      <c r="A1205" s="3" t="s">
        <v>5256</v>
      </c>
      <c r="B1205" s="3" t="s">
        <v>5257</v>
      </c>
      <c r="C1205" s="3" t="s">
        <v>5258</v>
      </c>
      <c r="D1205" s="3" t="s">
        <v>5259</v>
      </c>
      <c r="E1205" s="3" t="s">
        <v>1710</v>
      </c>
      <c r="F1205" s="3">
        <v>14.19</v>
      </c>
      <c r="G1205" s="3" t="s">
        <v>6233</v>
      </c>
      <c r="H1205" s="3"/>
      <c r="I1205" s="3" t="s">
        <v>6234</v>
      </c>
      <c r="J1205" s="3">
        <v>4</v>
      </c>
      <c r="K1205" s="3">
        <v>4</v>
      </c>
      <c r="L1205" s="3">
        <v>0</v>
      </c>
      <c r="M1205" s="3">
        <v>0</v>
      </c>
      <c r="N1205" s="3">
        <v>4</v>
      </c>
      <c r="O1205" s="3">
        <v>0</v>
      </c>
      <c r="P1205" s="3">
        <v>0</v>
      </c>
      <c r="Q1205" s="3">
        <v>0</v>
      </c>
      <c r="R1205" s="3">
        <v>0</v>
      </c>
    </row>
    <row r="1206" spans="1:18">
      <c r="A1206" s="3" t="s">
        <v>5358</v>
      </c>
      <c r="B1206" s="3" t="s">
        <v>5359</v>
      </c>
      <c r="C1206" s="3" t="s">
        <v>5360</v>
      </c>
      <c r="D1206" s="3" t="s">
        <v>5361</v>
      </c>
      <c r="E1206" s="3" t="s">
        <v>1710</v>
      </c>
      <c r="F1206" s="3">
        <v>14.19</v>
      </c>
      <c r="G1206" s="3" t="s">
        <v>6233</v>
      </c>
      <c r="H1206" s="3"/>
      <c r="I1206" s="3" t="s">
        <v>6234</v>
      </c>
      <c r="J1206" s="3">
        <v>2</v>
      </c>
      <c r="K1206" s="3">
        <v>2</v>
      </c>
      <c r="L1206" s="3">
        <v>0</v>
      </c>
      <c r="M1206" s="3">
        <v>0</v>
      </c>
      <c r="N1206" s="3">
        <v>2</v>
      </c>
      <c r="O1206" s="3">
        <v>0</v>
      </c>
      <c r="P1206" s="3">
        <v>0</v>
      </c>
      <c r="Q1206" s="3">
        <v>0</v>
      </c>
      <c r="R1206" s="3">
        <v>0</v>
      </c>
    </row>
    <row r="1207" spans="1:18">
      <c r="A1207" s="3" t="s">
        <v>6143</v>
      </c>
      <c r="B1207" s="3" t="s">
        <v>6144</v>
      </c>
      <c r="C1207" s="3" t="s">
        <v>6145</v>
      </c>
      <c r="D1207" s="3" t="s">
        <v>6146</v>
      </c>
      <c r="E1207" s="3" t="s">
        <v>1710</v>
      </c>
      <c r="F1207" s="3">
        <v>14.19</v>
      </c>
      <c r="G1207" s="3" t="s">
        <v>6233</v>
      </c>
      <c r="H1207" s="3"/>
      <c r="I1207" s="3" t="s">
        <v>6234</v>
      </c>
      <c r="J1207" s="3">
        <v>4</v>
      </c>
      <c r="K1207" s="3">
        <v>4</v>
      </c>
      <c r="L1207" s="3">
        <v>0</v>
      </c>
      <c r="M1207" s="3">
        <v>0</v>
      </c>
      <c r="N1207" s="3">
        <v>4</v>
      </c>
      <c r="O1207" s="3">
        <v>0</v>
      </c>
      <c r="P1207" s="3">
        <v>0</v>
      </c>
      <c r="Q1207" s="3">
        <v>0</v>
      </c>
      <c r="R1207" s="3">
        <v>0</v>
      </c>
    </row>
    <row r="1208" spans="1:18">
      <c r="A1208" s="3" t="s">
        <v>7910</v>
      </c>
      <c r="B1208" s="3" t="s">
        <v>7911</v>
      </c>
      <c r="C1208" s="3" t="s">
        <v>7912</v>
      </c>
      <c r="D1208" s="3"/>
      <c r="E1208" s="3" t="s">
        <v>6275</v>
      </c>
      <c r="F1208" s="3"/>
      <c r="G1208" s="3"/>
      <c r="H1208" s="3"/>
      <c r="I1208" s="3"/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/>
      <c r="P1208" s="3">
        <v>0</v>
      </c>
      <c r="Q1208" s="3">
        <v>0</v>
      </c>
      <c r="R1208" s="3">
        <v>0</v>
      </c>
    </row>
    <row r="1209" spans="1:18">
      <c r="A1209" s="3" t="s">
        <v>7913</v>
      </c>
      <c r="B1209" s="3" t="s">
        <v>7914</v>
      </c>
      <c r="C1209" s="3" t="s">
        <v>7915</v>
      </c>
      <c r="D1209" s="3"/>
      <c r="E1209" s="3" t="s">
        <v>6275</v>
      </c>
      <c r="F1209" s="3"/>
      <c r="G1209" s="3"/>
      <c r="H1209" s="3"/>
      <c r="I1209" s="3"/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/>
      <c r="P1209" s="3">
        <v>0</v>
      </c>
      <c r="Q1209" s="3">
        <v>0</v>
      </c>
      <c r="R1209" s="3">
        <v>0</v>
      </c>
    </row>
    <row r="1210" spans="1:18">
      <c r="A1210" s="3" t="s">
        <v>7916</v>
      </c>
      <c r="B1210" s="3" t="s">
        <v>7917</v>
      </c>
      <c r="C1210" s="3" t="s">
        <v>7918</v>
      </c>
      <c r="D1210" s="3" t="s">
        <v>7919</v>
      </c>
      <c r="E1210" s="3" t="s">
        <v>1710</v>
      </c>
      <c r="F1210" s="3">
        <v>21.99</v>
      </c>
      <c r="G1210" s="3" t="s">
        <v>6233</v>
      </c>
      <c r="H1210" s="3"/>
      <c r="I1210" s="3" t="s">
        <v>6234</v>
      </c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>
        <v>0.26</v>
      </c>
      <c r="P1210" s="3">
        <v>0</v>
      </c>
      <c r="Q1210" s="3">
        <v>0</v>
      </c>
      <c r="R1210" s="3">
        <v>0</v>
      </c>
    </row>
    <row r="1211" spans="1:18">
      <c r="A1211" s="3" t="s">
        <v>7920</v>
      </c>
      <c r="B1211" s="3" t="s">
        <v>7921</v>
      </c>
      <c r="C1211" s="3" t="s">
        <v>7922</v>
      </c>
      <c r="D1211" s="3" t="s">
        <v>1895</v>
      </c>
      <c r="E1211" s="3" t="s">
        <v>1710</v>
      </c>
      <c r="F1211" s="3">
        <v>42.3</v>
      </c>
      <c r="G1211" s="3" t="s">
        <v>6233</v>
      </c>
      <c r="H1211" s="3"/>
      <c r="I1211" s="3" t="s">
        <v>6234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>
        <v>0.15</v>
      </c>
      <c r="P1211" s="3">
        <v>0</v>
      </c>
      <c r="Q1211" s="3">
        <v>0</v>
      </c>
      <c r="R1211" s="3">
        <v>0</v>
      </c>
    </row>
    <row r="1212" spans="1:18">
      <c r="A1212" s="3" t="s">
        <v>7923</v>
      </c>
      <c r="B1212" s="3" t="s">
        <v>7924</v>
      </c>
      <c r="C1212" s="3" t="s">
        <v>7925</v>
      </c>
      <c r="D1212" s="3" t="s">
        <v>1895</v>
      </c>
      <c r="E1212" s="3" t="s">
        <v>1710</v>
      </c>
      <c r="F1212" s="3">
        <v>42.3</v>
      </c>
      <c r="G1212" s="3" t="s">
        <v>6233</v>
      </c>
      <c r="H1212" s="3"/>
      <c r="I1212" s="3" t="s">
        <v>6234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0.13</v>
      </c>
      <c r="P1212" s="3">
        <v>0</v>
      </c>
      <c r="Q1212" s="3">
        <v>0</v>
      </c>
      <c r="R1212" s="3">
        <v>0</v>
      </c>
    </row>
    <row r="1213" spans="1:18">
      <c r="A1213" s="3" t="s">
        <v>1892</v>
      </c>
      <c r="B1213" s="3" t="s">
        <v>1893</v>
      </c>
      <c r="C1213" s="3" t="s">
        <v>1894</v>
      </c>
      <c r="D1213" s="3" t="s">
        <v>1895</v>
      </c>
      <c r="E1213" s="3" t="s">
        <v>1710</v>
      </c>
      <c r="F1213" s="3">
        <v>42.3</v>
      </c>
      <c r="G1213" s="3" t="s">
        <v>6233</v>
      </c>
      <c r="H1213" s="3"/>
      <c r="I1213" s="3" t="s">
        <v>6234</v>
      </c>
      <c r="J1213" s="3">
        <v>1</v>
      </c>
      <c r="K1213" s="3">
        <v>1</v>
      </c>
      <c r="L1213" s="3">
        <v>0</v>
      </c>
      <c r="M1213" s="3">
        <v>0</v>
      </c>
      <c r="N1213" s="3">
        <v>1</v>
      </c>
      <c r="O1213" s="3">
        <v>0.12</v>
      </c>
      <c r="P1213" s="3">
        <v>0</v>
      </c>
      <c r="Q1213" s="3">
        <v>0</v>
      </c>
      <c r="R1213" s="3">
        <v>0</v>
      </c>
    </row>
    <row r="1214" spans="1:18">
      <c r="A1214" s="3" t="s">
        <v>7926</v>
      </c>
      <c r="B1214" s="3" t="s">
        <v>7927</v>
      </c>
      <c r="C1214" s="3" t="s">
        <v>7928</v>
      </c>
      <c r="D1214" s="3" t="s">
        <v>1895</v>
      </c>
      <c r="E1214" s="3" t="s">
        <v>1710</v>
      </c>
      <c r="F1214" s="3">
        <v>42.3</v>
      </c>
      <c r="G1214" s="3" t="s">
        <v>6233</v>
      </c>
      <c r="H1214" s="3"/>
      <c r="I1214" s="3" t="s">
        <v>6234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0.15</v>
      </c>
      <c r="P1214" s="3">
        <v>0</v>
      </c>
      <c r="Q1214" s="3">
        <v>0</v>
      </c>
      <c r="R1214" s="3">
        <v>0</v>
      </c>
    </row>
    <row r="1215" spans="1:18">
      <c r="A1215" s="3" t="s">
        <v>7929</v>
      </c>
      <c r="B1215" s="3" t="s">
        <v>7930</v>
      </c>
      <c r="C1215" s="3" t="s">
        <v>7931</v>
      </c>
      <c r="D1215" s="3" t="s">
        <v>1895</v>
      </c>
      <c r="E1215" s="3" t="s">
        <v>1710</v>
      </c>
      <c r="F1215" s="3">
        <v>42.3</v>
      </c>
      <c r="G1215" s="3" t="s">
        <v>6233</v>
      </c>
      <c r="H1215" s="3"/>
      <c r="I1215" s="3" t="s">
        <v>6234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0.12</v>
      </c>
      <c r="P1215" s="3">
        <v>0</v>
      </c>
      <c r="Q1215" s="3">
        <v>0</v>
      </c>
      <c r="R1215" s="3">
        <v>0</v>
      </c>
    </row>
    <row r="1216" spans="1:18">
      <c r="A1216" s="3" t="s">
        <v>5287</v>
      </c>
      <c r="B1216" s="3" t="s">
        <v>5288</v>
      </c>
      <c r="C1216" s="3" t="s">
        <v>5289</v>
      </c>
      <c r="D1216" s="3" t="s">
        <v>5290</v>
      </c>
      <c r="E1216" s="3" t="s">
        <v>1710</v>
      </c>
      <c r="F1216" s="3">
        <v>15.99</v>
      </c>
      <c r="G1216" s="3" t="s">
        <v>6233</v>
      </c>
      <c r="H1216" s="3"/>
      <c r="I1216" s="3" t="s">
        <v>6234</v>
      </c>
      <c r="J1216" s="3">
        <v>1</v>
      </c>
      <c r="K1216" s="3">
        <v>1</v>
      </c>
      <c r="L1216" s="3">
        <v>0</v>
      </c>
      <c r="M1216" s="3">
        <v>0</v>
      </c>
      <c r="N1216" s="3">
        <v>1</v>
      </c>
      <c r="O1216" s="3">
        <v>0.19</v>
      </c>
      <c r="P1216" s="3">
        <v>0</v>
      </c>
      <c r="Q1216" s="3">
        <v>0</v>
      </c>
      <c r="R1216" s="3">
        <v>0</v>
      </c>
    </row>
    <row r="1217" spans="1:18">
      <c r="A1217" s="3" t="s">
        <v>7932</v>
      </c>
      <c r="B1217" s="3" t="s">
        <v>7933</v>
      </c>
      <c r="C1217" s="3" t="s">
        <v>7934</v>
      </c>
      <c r="D1217" s="3" t="s">
        <v>7935</v>
      </c>
      <c r="E1217" s="3" t="s">
        <v>1710</v>
      </c>
      <c r="F1217" s="3">
        <v>18.99</v>
      </c>
      <c r="G1217" s="3" t="s">
        <v>6233</v>
      </c>
      <c r="H1217" s="3"/>
      <c r="I1217" s="3" t="s">
        <v>6234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0.13</v>
      </c>
      <c r="P1217" s="3">
        <v>0</v>
      </c>
      <c r="Q1217" s="3">
        <v>0</v>
      </c>
      <c r="R1217" s="3">
        <v>0</v>
      </c>
    </row>
    <row r="1218" spans="1:18">
      <c r="A1218" s="3" t="s">
        <v>4443</v>
      </c>
      <c r="B1218" s="3" t="s">
        <v>4444</v>
      </c>
      <c r="C1218" s="3" t="s">
        <v>4445</v>
      </c>
      <c r="D1218" s="3" t="s">
        <v>4446</v>
      </c>
      <c r="E1218" s="3" t="s">
        <v>1710</v>
      </c>
      <c r="F1218" s="3">
        <v>31.88</v>
      </c>
      <c r="G1218" s="3" t="s">
        <v>6233</v>
      </c>
      <c r="H1218" s="3"/>
      <c r="I1218" s="3" t="s">
        <v>6234</v>
      </c>
      <c r="J1218" s="3">
        <v>1</v>
      </c>
      <c r="K1218" s="3">
        <v>1</v>
      </c>
      <c r="L1218" s="3">
        <v>0</v>
      </c>
      <c r="M1218" s="3">
        <v>0</v>
      </c>
      <c r="N1218" s="3">
        <v>1</v>
      </c>
      <c r="O1218" s="3">
        <v>0.09</v>
      </c>
      <c r="P1218" s="3">
        <v>0</v>
      </c>
      <c r="Q1218" s="3">
        <v>0</v>
      </c>
      <c r="R1218" s="3">
        <v>0</v>
      </c>
    </row>
    <row r="1219" spans="1:18">
      <c r="A1219" s="3" t="s">
        <v>7936</v>
      </c>
      <c r="B1219" s="3" t="s">
        <v>7937</v>
      </c>
      <c r="C1219" s="3" t="s">
        <v>7938</v>
      </c>
      <c r="D1219" s="3" t="s">
        <v>318</v>
      </c>
      <c r="E1219" s="3" t="s">
        <v>1710</v>
      </c>
      <c r="F1219" s="3">
        <v>31.99</v>
      </c>
      <c r="G1219" s="3" t="s">
        <v>6233</v>
      </c>
      <c r="H1219" s="3"/>
      <c r="I1219" s="3" t="s">
        <v>6234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0.13</v>
      </c>
      <c r="P1219" s="3">
        <v>0</v>
      </c>
      <c r="Q1219" s="3">
        <v>0</v>
      </c>
      <c r="R1219" s="3">
        <v>0</v>
      </c>
    </row>
    <row r="1220" spans="1:18">
      <c r="A1220" s="3" t="s">
        <v>7939</v>
      </c>
      <c r="B1220" s="3" t="s">
        <v>7940</v>
      </c>
      <c r="C1220" s="3" t="s">
        <v>7941</v>
      </c>
      <c r="D1220" s="3" t="s">
        <v>318</v>
      </c>
      <c r="E1220" s="3" t="s">
        <v>1710</v>
      </c>
      <c r="F1220" s="3">
        <v>31.99</v>
      </c>
      <c r="G1220" s="3" t="s">
        <v>6233</v>
      </c>
      <c r="H1220" s="3"/>
      <c r="I1220" s="3" t="s">
        <v>6234</v>
      </c>
      <c r="J1220" s="3">
        <v>1</v>
      </c>
      <c r="K1220" s="3">
        <v>0</v>
      </c>
      <c r="L1220" s="3">
        <v>1</v>
      </c>
      <c r="M1220" s="3">
        <v>0</v>
      </c>
      <c r="N1220" s="3">
        <v>1</v>
      </c>
      <c r="O1220" s="3">
        <v>0.13</v>
      </c>
      <c r="P1220" s="3">
        <v>0</v>
      </c>
      <c r="Q1220" s="3">
        <v>0</v>
      </c>
      <c r="R1220" s="3">
        <v>0</v>
      </c>
    </row>
    <row r="1221" spans="1:18">
      <c r="A1221" s="3" t="s">
        <v>319</v>
      </c>
      <c r="B1221" s="3" t="s">
        <v>320</v>
      </c>
      <c r="C1221" s="3" t="s">
        <v>321</v>
      </c>
      <c r="D1221" s="3" t="s">
        <v>318</v>
      </c>
      <c r="E1221" s="3" t="s">
        <v>1710</v>
      </c>
      <c r="F1221" s="3">
        <v>31.99</v>
      </c>
      <c r="G1221" s="3" t="s">
        <v>6233</v>
      </c>
      <c r="H1221" s="3"/>
      <c r="I1221" s="3" t="s">
        <v>6234</v>
      </c>
      <c r="J1221" s="3">
        <v>7</v>
      </c>
      <c r="K1221" s="3">
        <v>6</v>
      </c>
      <c r="L1221" s="3">
        <v>0</v>
      </c>
      <c r="M1221" s="3">
        <v>1</v>
      </c>
      <c r="N1221" s="3">
        <v>7</v>
      </c>
      <c r="O1221" s="3">
        <v>0.12</v>
      </c>
      <c r="P1221" s="3">
        <v>0</v>
      </c>
      <c r="Q1221" s="3">
        <v>0</v>
      </c>
      <c r="R1221" s="3">
        <v>0</v>
      </c>
    </row>
    <row r="1222" spans="1:18">
      <c r="A1222" s="3" t="s">
        <v>2696</v>
      </c>
      <c r="B1222" s="3" t="s">
        <v>2697</v>
      </c>
      <c r="C1222" s="3" t="s">
        <v>2698</v>
      </c>
      <c r="D1222" s="3" t="s">
        <v>318</v>
      </c>
      <c r="E1222" s="3" t="s">
        <v>1710</v>
      </c>
      <c r="F1222" s="3">
        <v>31.99</v>
      </c>
      <c r="G1222" s="3" t="s">
        <v>6233</v>
      </c>
      <c r="H1222" s="3"/>
      <c r="I1222" s="3" t="s">
        <v>6234</v>
      </c>
      <c r="J1222" s="3">
        <v>7</v>
      </c>
      <c r="K1222" s="3">
        <v>7</v>
      </c>
      <c r="L1222" s="3">
        <v>0</v>
      </c>
      <c r="M1222" s="3">
        <v>0</v>
      </c>
      <c r="N1222" s="3">
        <v>7</v>
      </c>
      <c r="O1222" s="3">
        <v>0.12</v>
      </c>
      <c r="P1222" s="3">
        <v>0</v>
      </c>
      <c r="Q1222" s="3">
        <v>0</v>
      </c>
      <c r="R1222" s="3">
        <v>0</v>
      </c>
    </row>
    <row r="1223" spans="1:18">
      <c r="A1223" s="3" t="s">
        <v>315</v>
      </c>
      <c r="B1223" s="3" t="s">
        <v>316</v>
      </c>
      <c r="C1223" s="3" t="s">
        <v>317</v>
      </c>
      <c r="D1223" s="3" t="s">
        <v>318</v>
      </c>
      <c r="E1223" s="3" t="s">
        <v>1710</v>
      </c>
      <c r="F1223" s="3">
        <v>31.99</v>
      </c>
      <c r="G1223" s="3" t="s">
        <v>6233</v>
      </c>
      <c r="H1223" s="3"/>
      <c r="I1223" s="3" t="s">
        <v>6234</v>
      </c>
      <c r="J1223" s="3">
        <v>7</v>
      </c>
      <c r="K1223" s="3">
        <v>6</v>
      </c>
      <c r="L1223" s="3">
        <v>0</v>
      </c>
      <c r="M1223" s="3">
        <v>1</v>
      </c>
      <c r="N1223" s="3">
        <v>7</v>
      </c>
      <c r="O1223" s="3">
        <v>0.12</v>
      </c>
      <c r="P1223" s="3">
        <v>0</v>
      </c>
      <c r="Q1223" s="3">
        <v>0</v>
      </c>
      <c r="R1223" s="3">
        <v>0</v>
      </c>
    </row>
    <row r="1224" spans="1:18">
      <c r="A1224" s="3" t="s">
        <v>7942</v>
      </c>
      <c r="B1224" s="3" t="s">
        <v>7943</v>
      </c>
      <c r="C1224" s="3" t="s">
        <v>7944</v>
      </c>
      <c r="D1224" s="3" t="s">
        <v>318</v>
      </c>
      <c r="E1224" s="3" t="s">
        <v>1710</v>
      </c>
      <c r="F1224" s="3">
        <v>31.99</v>
      </c>
      <c r="G1224" s="3" t="s">
        <v>6233</v>
      </c>
      <c r="H1224" s="3"/>
      <c r="I1224" s="3" t="s">
        <v>6234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0.13</v>
      </c>
      <c r="P1224" s="3">
        <v>0</v>
      </c>
      <c r="Q1224" s="3">
        <v>0</v>
      </c>
      <c r="R1224" s="3">
        <v>0</v>
      </c>
    </row>
    <row r="1225" spans="1:18">
      <c r="A1225" s="3" t="s">
        <v>4039</v>
      </c>
      <c r="B1225" s="3" t="s">
        <v>4040</v>
      </c>
      <c r="C1225" s="3" t="s">
        <v>4041</v>
      </c>
      <c r="D1225" s="3" t="s">
        <v>318</v>
      </c>
      <c r="E1225" s="3" t="s">
        <v>1710</v>
      </c>
      <c r="F1225" s="3">
        <v>31.99</v>
      </c>
      <c r="G1225" s="3" t="s">
        <v>6233</v>
      </c>
      <c r="H1225" s="3"/>
      <c r="I1225" s="3" t="s">
        <v>6234</v>
      </c>
      <c r="J1225" s="3">
        <v>2</v>
      </c>
      <c r="K1225" s="3">
        <v>2</v>
      </c>
      <c r="L1225" s="3">
        <v>0</v>
      </c>
      <c r="M1225" s="3">
        <v>0</v>
      </c>
      <c r="N1225" s="3">
        <v>2</v>
      </c>
      <c r="O1225" s="3">
        <v>0.12</v>
      </c>
      <c r="P1225" s="3">
        <v>0</v>
      </c>
      <c r="Q1225" s="3">
        <v>0</v>
      </c>
      <c r="R1225" s="3">
        <v>0</v>
      </c>
    </row>
    <row r="1226" spans="1:18">
      <c r="A1226" s="3" t="s">
        <v>3641</v>
      </c>
      <c r="B1226" s="3" t="s">
        <v>3642</v>
      </c>
      <c r="C1226" s="3" t="s">
        <v>3643</v>
      </c>
      <c r="D1226" s="3" t="s">
        <v>318</v>
      </c>
      <c r="E1226" s="3" t="s">
        <v>1710</v>
      </c>
      <c r="F1226" s="3">
        <v>31.99</v>
      </c>
      <c r="G1226" s="3" t="s">
        <v>6233</v>
      </c>
      <c r="H1226" s="3"/>
      <c r="I1226" s="3" t="s">
        <v>6234</v>
      </c>
      <c r="J1226" s="3">
        <v>5</v>
      </c>
      <c r="K1226" s="3">
        <v>5</v>
      </c>
      <c r="L1226" s="3">
        <v>0</v>
      </c>
      <c r="M1226" s="3">
        <v>0</v>
      </c>
      <c r="N1226" s="3">
        <v>5</v>
      </c>
      <c r="O1226" s="3">
        <v>0.12</v>
      </c>
      <c r="P1226" s="3">
        <v>0</v>
      </c>
      <c r="Q1226" s="3">
        <v>0</v>
      </c>
      <c r="R1226" s="3">
        <v>0</v>
      </c>
    </row>
    <row r="1227" spans="1:18">
      <c r="A1227" s="3" t="s">
        <v>4772</v>
      </c>
      <c r="B1227" s="3" t="s">
        <v>4773</v>
      </c>
      <c r="C1227" s="3" t="s">
        <v>4774</v>
      </c>
      <c r="D1227" s="3" t="s">
        <v>318</v>
      </c>
      <c r="E1227" s="3" t="s">
        <v>1710</v>
      </c>
      <c r="F1227" s="3">
        <v>31.99</v>
      </c>
      <c r="G1227" s="3" t="s">
        <v>6233</v>
      </c>
      <c r="H1227" s="3"/>
      <c r="I1227" s="3" t="s">
        <v>6234</v>
      </c>
      <c r="J1227" s="3">
        <v>20</v>
      </c>
      <c r="K1227" s="3">
        <v>20</v>
      </c>
      <c r="L1227" s="3">
        <v>0</v>
      </c>
      <c r="M1227" s="3">
        <v>0</v>
      </c>
      <c r="N1227" s="3">
        <v>20</v>
      </c>
      <c r="O1227" s="3">
        <v>0.12</v>
      </c>
      <c r="P1227" s="3">
        <v>0</v>
      </c>
      <c r="Q1227" s="3">
        <v>0</v>
      </c>
      <c r="R1227" s="3">
        <v>0</v>
      </c>
    </row>
    <row r="1228" spans="1:18">
      <c r="A1228" s="3" t="s">
        <v>3284</v>
      </c>
      <c r="B1228" s="3" t="s">
        <v>3285</v>
      </c>
      <c r="C1228" s="3" t="s">
        <v>3286</v>
      </c>
      <c r="D1228" s="3" t="s">
        <v>2510</v>
      </c>
      <c r="E1228" s="3" t="s">
        <v>1710</v>
      </c>
      <c r="F1228" s="3">
        <v>16.99</v>
      </c>
      <c r="G1228" s="3" t="s">
        <v>6233</v>
      </c>
      <c r="H1228" s="3"/>
      <c r="I1228" s="3" t="s">
        <v>6234</v>
      </c>
      <c r="J1228" s="3">
        <v>2</v>
      </c>
      <c r="K1228" s="3">
        <v>2</v>
      </c>
      <c r="L1228" s="3">
        <v>0</v>
      </c>
      <c r="M1228" s="3">
        <v>0</v>
      </c>
      <c r="N1228" s="3">
        <v>2</v>
      </c>
      <c r="O1228" s="3">
        <v>0</v>
      </c>
      <c r="P1228" s="3">
        <v>0</v>
      </c>
      <c r="Q1228" s="3">
        <v>0</v>
      </c>
      <c r="R1228" s="3">
        <v>0</v>
      </c>
    </row>
    <row r="1229" spans="1:18">
      <c r="A1229" s="3" t="s">
        <v>3821</v>
      </c>
      <c r="B1229" s="3" t="s">
        <v>3822</v>
      </c>
      <c r="C1229" s="3" t="s">
        <v>3823</v>
      </c>
      <c r="D1229" s="3" t="s">
        <v>2510</v>
      </c>
      <c r="E1229" s="3" t="s">
        <v>1710</v>
      </c>
      <c r="F1229" s="3">
        <v>16.99</v>
      </c>
      <c r="G1229" s="3" t="s">
        <v>6233</v>
      </c>
      <c r="H1229" s="3"/>
      <c r="I1229" s="3" t="s">
        <v>6234</v>
      </c>
      <c r="J1229" s="3">
        <v>1</v>
      </c>
      <c r="K1229" s="3">
        <v>1</v>
      </c>
      <c r="L1229" s="3">
        <v>0</v>
      </c>
      <c r="M1229" s="3">
        <v>0</v>
      </c>
      <c r="N1229" s="3">
        <v>1</v>
      </c>
      <c r="O1229" s="3">
        <v>0</v>
      </c>
      <c r="P1229" s="3">
        <v>0</v>
      </c>
      <c r="Q1229" s="3">
        <v>0</v>
      </c>
      <c r="R1229" s="3">
        <v>0</v>
      </c>
    </row>
    <row r="1230" spans="1:18">
      <c r="A1230" s="3" t="s">
        <v>2507</v>
      </c>
      <c r="B1230" s="3" t="s">
        <v>2508</v>
      </c>
      <c r="C1230" s="3" t="s">
        <v>2509</v>
      </c>
      <c r="D1230" s="3" t="s">
        <v>2510</v>
      </c>
      <c r="E1230" s="3" t="s">
        <v>1710</v>
      </c>
      <c r="F1230" s="3">
        <v>16.99</v>
      </c>
      <c r="G1230" s="3" t="s">
        <v>6233</v>
      </c>
      <c r="H1230" s="3"/>
      <c r="I1230" s="3" t="s">
        <v>6234</v>
      </c>
      <c r="J1230" s="3">
        <v>2</v>
      </c>
      <c r="K1230" s="3">
        <v>2</v>
      </c>
      <c r="L1230" s="3">
        <v>0</v>
      </c>
      <c r="M1230" s="3">
        <v>0</v>
      </c>
      <c r="N1230" s="3">
        <v>2</v>
      </c>
      <c r="O1230" s="3">
        <v>0</v>
      </c>
      <c r="P1230" s="3">
        <v>0</v>
      </c>
      <c r="Q1230" s="3">
        <v>0</v>
      </c>
      <c r="R1230" s="3">
        <v>0</v>
      </c>
    </row>
    <row r="1231" spans="1:18">
      <c r="A1231" s="3" t="s">
        <v>7945</v>
      </c>
      <c r="B1231" s="3" t="s">
        <v>7946</v>
      </c>
      <c r="C1231" s="3" t="s">
        <v>7947</v>
      </c>
      <c r="D1231" s="3" t="s">
        <v>3690</v>
      </c>
      <c r="E1231" s="3" t="s">
        <v>1710</v>
      </c>
      <c r="F1231" s="3">
        <v>16.99</v>
      </c>
      <c r="G1231" s="3" t="s">
        <v>6233</v>
      </c>
      <c r="H1231" s="3"/>
      <c r="I1231" s="3" t="s">
        <v>6234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0.05</v>
      </c>
      <c r="P1231" s="3">
        <v>0</v>
      </c>
      <c r="Q1231" s="3">
        <v>0</v>
      </c>
      <c r="R1231" s="3">
        <v>0</v>
      </c>
    </row>
    <row r="1232" spans="1:18">
      <c r="A1232" s="3" t="s">
        <v>5232</v>
      </c>
      <c r="B1232" s="3" t="s">
        <v>5233</v>
      </c>
      <c r="C1232" s="3" t="s">
        <v>5234</v>
      </c>
      <c r="D1232" s="3" t="s">
        <v>3690</v>
      </c>
      <c r="E1232" s="3" t="s">
        <v>1710</v>
      </c>
      <c r="F1232" s="3">
        <v>16.99</v>
      </c>
      <c r="G1232" s="3" t="s">
        <v>6233</v>
      </c>
      <c r="H1232" s="3"/>
      <c r="I1232" s="3" t="s">
        <v>6234</v>
      </c>
      <c r="J1232" s="3">
        <v>2</v>
      </c>
      <c r="K1232" s="3">
        <v>2</v>
      </c>
      <c r="L1232" s="3">
        <v>0</v>
      </c>
      <c r="M1232" s="3">
        <v>0</v>
      </c>
      <c r="N1232" s="3">
        <v>2</v>
      </c>
      <c r="O1232" s="3">
        <v>0.3</v>
      </c>
      <c r="P1232" s="3">
        <v>0</v>
      </c>
      <c r="Q1232" s="3">
        <v>0</v>
      </c>
      <c r="R1232" s="3">
        <v>0</v>
      </c>
    </row>
    <row r="1233" spans="1:18">
      <c r="A1233" s="3" t="s">
        <v>6001</v>
      </c>
      <c r="B1233" s="3" t="s">
        <v>6002</v>
      </c>
      <c r="C1233" s="3" t="s">
        <v>6003</v>
      </c>
      <c r="D1233" s="3" t="s">
        <v>3690</v>
      </c>
      <c r="E1233" s="3" t="s">
        <v>1710</v>
      </c>
      <c r="F1233" s="3">
        <v>16.99</v>
      </c>
      <c r="G1233" s="3" t="s">
        <v>6233</v>
      </c>
      <c r="H1233" s="3"/>
      <c r="I1233" s="3" t="s">
        <v>6234</v>
      </c>
      <c r="J1233" s="3">
        <v>11</v>
      </c>
      <c r="K1233" s="3">
        <v>11</v>
      </c>
      <c r="L1233" s="3">
        <v>0</v>
      </c>
      <c r="M1233" s="3">
        <v>0</v>
      </c>
      <c r="N1233" s="3">
        <v>11</v>
      </c>
      <c r="O1233" s="3">
        <v>0.31</v>
      </c>
      <c r="P1233" s="3">
        <v>0</v>
      </c>
      <c r="Q1233" s="3">
        <v>0</v>
      </c>
      <c r="R1233" s="3">
        <v>0</v>
      </c>
    </row>
    <row r="1234" spans="1:18">
      <c r="A1234" s="3" t="s">
        <v>3687</v>
      </c>
      <c r="B1234" s="3" t="s">
        <v>3688</v>
      </c>
      <c r="C1234" s="3" t="s">
        <v>3689</v>
      </c>
      <c r="D1234" s="3" t="s">
        <v>3690</v>
      </c>
      <c r="E1234" s="3" t="s">
        <v>1710</v>
      </c>
      <c r="F1234" s="3">
        <v>16.99</v>
      </c>
      <c r="G1234" s="3" t="s">
        <v>6233</v>
      </c>
      <c r="H1234" s="3"/>
      <c r="I1234" s="3" t="s">
        <v>6234</v>
      </c>
      <c r="J1234" s="3">
        <v>6</v>
      </c>
      <c r="K1234" s="3">
        <v>6</v>
      </c>
      <c r="L1234" s="3">
        <v>0</v>
      </c>
      <c r="M1234" s="3">
        <v>0</v>
      </c>
      <c r="N1234" s="3">
        <v>6</v>
      </c>
      <c r="O1234" s="3">
        <v>0.3</v>
      </c>
      <c r="P1234" s="3">
        <v>0</v>
      </c>
      <c r="Q1234" s="3">
        <v>0</v>
      </c>
      <c r="R1234" s="3">
        <v>0</v>
      </c>
    </row>
    <row r="1235" spans="1:18">
      <c r="A1235" s="3" t="s">
        <v>5441</v>
      </c>
      <c r="B1235" s="3" t="s">
        <v>5442</v>
      </c>
      <c r="C1235" s="3" t="s">
        <v>5443</v>
      </c>
      <c r="D1235" s="3" t="s">
        <v>3690</v>
      </c>
      <c r="E1235" s="3" t="s">
        <v>1710</v>
      </c>
      <c r="F1235" s="3">
        <v>16.99</v>
      </c>
      <c r="G1235" s="3" t="s">
        <v>6233</v>
      </c>
      <c r="H1235" s="3"/>
      <c r="I1235" s="3" t="s">
        <v>6234</v>
      </c>
      <c r="J1235" s="3">
        <v>2</v>
      </c>
      <c r="K1235" s="3">
        <v>2</v>
      </c>
      <c r="L1235" s="3">
        <v>0</v>
      </c>
      <c r="M1235" s="3">
        <v>0</v>
      </c>
      <c r="N1235" s="3">
        <v>2</v>
      </c>
      <c r="O1235" s="3">
        <v>0.31</v>
      </c>
      <c r="P1235" s="3">
        <v>0</v>
      </c>
      <c r="Q1235" s="3">
        <v>0</v>
      </c>
      <c r="R1235" s="3">
        <v>0</v>
      </c>
    </row>
    <row r="1236" spans="1:18">
      <c r="A1236" s="3" t="s">
        <v>4290</v>
      </c>
      <c r="B1236" s="3" t="s">
        <v>4291</v>
      </c>
      <c r="C1236" s="3" t="s">
        <v>4292</v>
      </c>
      <c r="D1236" s="3" t="s">
        <v>3690</v>
      </c>
      <c r="E1236" s="3" t="s">
        <v>1710</v>
      </c>
      <c r="F1236" s="3">
        <v>16.99</v>
      </c>
      <c r="G1236" s="3" t="s">
        <v>6233</v>
      </c>
      <c r="H1236" s="3"/>
      <c r="I1236" s="3" t="s">
        <v>6234</v>
      </c>
      <c r="J1236" s="3">
        <v>11</v>
      </c>
      <c r="K1236" s="3">
        <v>11</v>
      </c>
      <c r="L1236" s="3">
        <v>0</v>
      </c>
      <c r="M1236" s="3">
        <v>0</v>
      </c>
      <c r="N1236" s="3">
        <v>11</v>
      </c>
      <c r="O1236" s="3">
        <v>0.05</v>
      </c>
      <c r="P1236" s="3">
        <v>0</v>
      </c>
      <c r="Q1236" s="3">
        <v>0</v>
      </c>
      <c r="R1236" s="3">
        <v>0</v>
      </c>
    </row>
    <row r="1237" spans="1:18">
      <c r="A1237" s="3" t="s">
        <v>5778</v>
      </c>
      <c r="B1237" s="3" t="s">
        <v>5779</v>
      </c>
      <c r="C1237" s="3" t="s">
        <v>5780</v>
      </c>
      <c r="D1237" s="3" t="s">
        <v>3690</v>
      </c>
      <c r="E1237" s="3" t="s">
        <v>1710</v>
      </c>
      <c r="F1237" s="3">
        <v>16.99</v>
      </c>
      <c r="G1237" s="3" t="s">
        <v>6233</v>
      </c>
      <c r="H1237" s="3"/>
      <c r="I1237" s="3" t="s">
        <v>6234</v>
      </c>
      <c r="J1237" s="3">
        <v>2</v>
      </c>
      <c r="K1237" s="3">
        <v>2</v>
      </c>
      <c r="L1237" s="3">
        <v>0</v>
      </c>
      <c r="M1237" s="3">
        <v>0</v>
      </c>
      <c r="N1237" s="3">
        <v>2</v>
      </c>
      <c r="O1237" s="3">
        <v>0.05</v>
      </c>
      <c r="P1237" s="3">
        <v>0</v>
      </c>
      <c r="Q1237" s="3">
        <v>0</v>
      </c>
      <c r="R1237" s="3">
        <v>0</v>
      </c>
    </row>
    <row r="1238" spans="1:18">
      <c r="A1238" s="3" t="s">
        <v>6199</v>
      </c>
      <c r="B1238" s="3" t="s">
        <v>6200</v>
      </c>
      <c r="C1238" s="3" t="s">
        <v>6201</v>
      </c>
      <c r="D1238" s="3" t="s">
        <v>1985</v>
      </c>
      <c r="E1238" s="3" t="s">
        <v>1710</v>
      </c>
      <c r="F1238" s="3">
        <v>30</v>
      </c>
      <c r="G1238" s="3" t="s">
        <v>6233</v>
      </c>
      <c r="H1238" s="3"/>
      <c r="I1238" s="3" t="s">
        <v>6234</v>
      </c>
      <c r="J1238" s="3">
        <v>3</v>
      </c>
      <c r="K1238" s="3">
        <v>3</v>
      </c>
      <c r="L1238" s="3">
        <v>0</v>
      </c>
      <c r="M1238" s="3">
        <v>0</v>
      </c>
      <c r="N1238" s="3">
        <v>3</v>
      </c>
      <c r="O1238" s="3">
        <v>0.16</v>
      </c>
      <c r="P1238" s="3">
        <v>0</v>
      </c>
      <c r="Q1238" s="3">
        <v>0</v>
      </c>
      <c r="R1238" s="3">
        <v>0</v>
      </c>
    </row>
    <row r="1239" spans="1:18">
      <c r="A1239" s="3" t="s">
        <v>2170</v>
      </c>
      <c r="B1239" s="3" t="s">
        <v>2171</v>
      </c>
      <c r="C1239" s="3" t="s">
        <v>2172</v>
      </c>
      <c r="D1239" s="3" t="s">
        <v>2173</v>
      </c>
      <c r="E1239" s="3" t="s">
        <v>1710</v>
      </c>
      <c r="F1239" s="3">
        <v>30</v>
      </c>
      <c r="G1239" s="3" t="s">
        <v>6233</v>
      </c>
      <c r="H1239" s="3"/>
      <c r="I1239" s="3" t="s">
        <v>6234</v>
      </c>
      <c r="J1239" s="3">
        <v>5</v>
      </c>
      <c r="K1239" s="3">
        <v>5</v>
      </c>
      <c r="L1239" s="3">
        <v>0</v>
      </c>
      <c r="M1239" s="3">
        <v>0</v>
      </c>
      <c r="N1239" s="3">
        <v>5</v>
      </c>
      <c r="O1239" s="3">
        <v>0.18</v>
      </c>
      <c r="P1239" s="3">
        <v>0</v>
      </c>
      <c r="Q1239" s="3">
        <v>0</v>
      </c>
      <c r="R1239" s="3">
        <v>0</v>
      </c>
    </row>
    <row r="1240" spans="1:18">
      <c r="A1240" s="3" t="s">
        <v>3146</v>
      </c>
      <c r="B1240" s="3" t="s">
        <v>3147</v>
      </c>
      <c r="C1240" s="3" t="s">
        <v>3148</v>
      </c>
      <c r="D1240" s="3" t="s">
        <v>1985</v>
      </c>
      <c r="E1240" s="3" t="s">
        <v>1710</v>
      </c>
      <c r="F1240" s="3">
        <v>30</v>
      </c>
      <c r="G1240" s="3" t="s">
        <v>6233</v>
      </c>
      <c r="H1240" s="3"/>
      <c r="I1240" s="3" t="s">
        <v>6234</v>
      </c>
      <c r="J1240" s="3">
        <v>5</v>
      </c>
      <c r="K1240" s="3">
        <v>5</v>
      </c>
      <c r="L1240" s="3">
        <v>0</v>
      </c>
      <c r="M1240" s="3">
        <v>0</v>
      </c>
      <c r="N1240" s="3">
        <v>5</v>
      </c>
      <c r="O1240" s="3">
        <v>0.19</v>
      </c>
      <c r="P1240" s="3">
        <v>0</v>
      </c>
      <c r="Q1240" s="3">
        <v>0</v>
      </c>
      <c r="R1240" s="3">
        <v>0</v>
      </c>
    </row>
    <row r="1241" spans="1:18">
      <c r="A1241" s="3" t="s">
        <v>5490</v>
      </c>
      <c r="B1241" s="3" t="s">
        <v>5491</v>
      </c>
      <c r="C1241" s="3" t="s">
        <v>5492</v>
      </c>
      <c r="D1241" s="3" t="s">
        <v>2173</v>
      </c>
      <c r="E1241" s="3" t="s">
        <v>1710</v>
      </c>
      <c r="F1241" s="3">
        <v>30</v>
      </c>
      <c r="G1241" s="3" t="s">
        <v>6233</v>
      </c>
      <c r="H1241" s="3"/>
      <c r="I1241" s="3" t="s">
        <v>6234</v>
      </c>
      <c r="J1241" s="3">
        <v>2</v>
      </c>
      <c r="K1241" s="3">
        <v>2</v>
      </c>
      <c r="L1241" s="3">
        <v>0</v>
      </c>
      <c r="M1241" s="3">
        <v>0</v>
      </c>
      <c r="N1241" s="3">
        <v>2</v>
      </c>
      <c r="O1241" s="3">
        <v>0.12</v>
      </c>
      <c r="P1241" s="3">
        <v>0</v>
      </c>
      <c r="Q1241" s="3">
        <v>0</v>
      </c>
      <c r="R1241" s="3">
        <v>0</v>
      </c>
    </row>
    <row r="1242" spans="1:18">
      <c r="A1242" s="3" t="s">
        <v>7948</v>
      </c>
      <c r="B1242" s="3" t="s">
        <v>7949</v>
      </c>
      <c r="C1242" s="3" t="s">
        <v>7950</v>
      </c>
      <c r="D1242" s="3" t="s">
        <v>2173</v>
      </c>
      <c r="E1242" s="3" t="s">
        <v>1710</v>
      </c>
      <c r="F1242" s="3">
        <v>30</v>
      </c>
      <c r="G1242" s="3" t="s">
        <v>6233</v>
      </c>
      <c r="H1242" s="3"/>
      <c r="I1242" s="3" t="s">
        <v>6234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0.11</v>
      </c>
      <c r="P1242" s="3">
        <v>0</v>
      </c>
      <c r="Q1242" s="3">
        <v>0</v>
      </c>
      <c r="R1242" s="3">
        <v>0</v>
      </c>
    </row>
    <row r="1243" spans="1:18">
      <c r="A1243" s="3" t="s">
        <v>1982</v>
      </c>
      <c r="B1243" s="3" t="s">
        <v>1983</v>
      </c>
      <c r="C1243" s="3" t="s">
        <v>1984</v>
      </c>
      <c r="D1243" s="3" t="s">
        <v>1985</v>
      </c>
      <c r="E1243" s="3" t="s">
        <v>1710</v>
      </c>
      <c r="F1243" s="3">
        <v>30</v>
      </c>
      <c r="G1243" s="3" t="s">
        <v>6233</v>
      </c>
      <c r="H1243" s="3"/>
      <c r="I1243" s="3" t="s">
        <v>6234</v>
      </c>
      <c r="J1243" s="3">
        <v>3</v>
      </c>
      <c r="K1243" s="3">
        <v>3</v>
      </c>
      <c r="L1243" s="3">
        <v>0</v>
      </c>
      <c r="M1243" s="3">
        <v>0</v>
      </c>
      <c r="N1243" s="3">
        <v>3</v>
      </c>
      <c r="O1243" s="3">
        <v>0.18</v>
      </c>
      <c r="P1243" s="3">
        <v>0</v>
      </c>
      <c r="Q1243" s="3">
        <v>0</v>
      </c>
      <c r="R1243" s="3">
        <v>0</v>
      </c>
    </row>
    <row r="1244" spans="1:18">
      <c r="A1244" s="3" t="s">
        <v>2276</v>
      </c>
      <c r="B1244" s="3" t="s">
        <v>2277</v>
      </c>
      <c r="C1244" s="3" t="s">
        <v>2278</v>
      </c>
      <c r="D1244" s="3" t="s">
        <v>1985</v>
      </c>
      <c r="E1244" s="3" t="s">
        <v>1710</v>
      </c>
      <c r="F1244" s="3">
        <v>30</v>
      </c>
      <c r="G1244" s="3" t="s">
        <v>6233</v>
      </c>
      <c r="H1244" s="3"/>
      <c r="I1244" s="3" t="s">
        <v>6234</v>
      </c>
      <c r="J1244" s="3">
        <v>2</v>
      </c>
      <c r="K1244" s="3">
        <v>2</v>
      </c>
      <c r="L1244" s="3">
        <v>0</v>
      </c>
      <c r="M1244" s="3">
        <v>0</v>
      </c>
      <c r="N1244" s="3">
        <v>2</v>
      </c>
      <c r="O1244" s="3">
        <v>0.19</v>
      </c>
      <c r="P1244" s="3">
        <v>0</v>
      </c>
      <c r="Q1244" s="3">
        <v>0</v>
      </c>
      <c r="R1244" s="3">
        <v>0</v>
      </c>
    </row>
    <row r="1245" spans="1:18">
      <c r="A1245" s="3" t="s">
        <v>2730</v>
      </c>
      <c r="B1245" s="3" t="s">
        <v>2731</v>
      </c>
      <c r="C1245" s="3" t="s">
        <v>2732</v>
      </c>
      <c r="D1245" s="3" t="s">
        <v>1985</v>
      </c>
      <c r="E1245" s="3" t="s">
        <v>1710</v>
      </c>
      <c r="F1245" s="3">
        <v>30</v>
      </c>
      <c r="G1245" s="3" t="s">
        <v>6233</v>
      </c>
      <c r="H1245" s="3"/>
      <c r="I1245" s="3" t="s">
        <v>6234</v>
      </c>
      <c r="J1245" s="3">
        <v>3</v>
      </c>
      <c r="K1245" s="3">
        <v>3</v>
      </c>
      <c r="L1245" s="3">
        <v>0</v>
      </c>
      <c r="M1245" s="3">
        <v>0</v>
      </c>
      <c r="N1245" s="3">
        <v>3</v>
      </c>
      <c r="O1245" s="3">
        <v>0.16</v>
      </c>
      <c r="P1245" s="3">
        <v>0</v>
      </c>
      <c r="Q1245" s="3">
        <v>0</v>
      </c>
      <c r="R1245" s="3">
        <v>0</v>
      </c>
    </row>
    <row r="1246" spans="1:18">
      <c r="A1246" s="3" t="s">
        <v>4548</v>
      </c>
      <c r="B1246" s="3" t="s">
        <v>4549</v>
      </c>
      <c r="C1246" s="3" t="s">
        <v>4550</v>
      </c>
      <c r="D1246" s="3" t="s">
        <v>1985</v>
      </c>
      <c r="E1246" s="3" t="s">
        <v>1710</v>
      </c>
      <c r="F1246" s="3">
        <v>30</v>
      </c>
      <c r="G1246" s="3" t="s">
        <v>6233</v>
      </c>
      <c r="H1246" s="3"/>
      <c r="I1246" s="3" t="s">
        <v>6234</v>
      </c>
      <c r="J1246" s="3">
        <v>4</v>
      </c>
      <c r="K1246" s="3">
        <v>4</v>
      </c>
      <c r="L1246" s="3">
        <v>0</v>
      </c>
      <c r="M1246" s="3">
        <v>0</v>
      </c>
      <c r="N1246" s="3">
        <v>4</v>
      </c>
      <c r="O1246" s="3">
        <v>0.16</v>
      </c>
      <c r="P1246" s="3">
        <v>0</v>
      </c>
      <c r="Q1246" s="3">
        <v>0</v>
      </c>
      <c r="R1246" s="3">
        <v>0</v>
      </c>
    </row>
    <row r="1247" spans="1:18">
      <c r="A1247" s="3" t="s">
        <v>5542</v>
      </c>
      <c r="B1247" s="3" t="s">
        <v>5543</v>
      </c>
      <c r="C1247" s="3" t="s">
        <v>5544</v>
      </c>
      <c r="D1247" s="3" t="s">
        <v>5545</v>
      </c>
      <c r="E1247" s="3" t="s">
        <v>1710</v>
      </c>
      <c r="F1247" s="3">
        <v>30</v>
      </c>
      <c r="G1247" s="3" t="s">
        <v>6233</v>
      </c>
      <c r="H1247" s="3"/>
      <c r="I1247" s="3" t="s">
        <v>6234</v>
      </c>
      <c r="J1247" s="3">
        <v>3</v>
      </c>
      <c r="K1247" s="3">
        <v>3</v>
      </c>
      <c r="L1247" s="3">
        <v>0</v>
      </c>
      <c r="M1247" s="3">
        <v>0</v>
      </c>
      <c r="N1247" s="3">
        <v>3</v>
      </c>
      <c r="O1247" s="3">
        <v>0.12</v>
      </c>
      <c r="P1247" s="3">
        <v>0</v>
      </c>
      <c r="Q1247" s="3">
        <v>0</v>
      </c>
      <c r="R1247" s="3">
        <v>0</v>
      </c>
    </row>
    <row r="1248" spans="1:18">
      <c r="A1248" s="3" t="s">
        <v>2749</v>
      </c>
      <c r="B1248" s="3" t="s">
        <v>2750</v>
      </c>
      <c r="C1248" s="3" t="s">
        <v>2751</v>
      </c>
      <c r="D1248" s="3" t="s">
        <v>2752</v>
      </c>
      <c r="E1248" s="3" t="s">
        <v>1710</v>
      </c>
      <c r="F1248" s="3">
        <v>30</v>
      </c>
      <c r="G1248" s="3" t="s">
        <v>6233</v>
      </c>
      <c r="H1248" s="3"/>
      <c r="I1248" s="3" t="s">
        <v>6234</v>
      </c>
      <c r="J1248" s="3">
        <v>8</v>
      </c>
      <c r="K1248" s="3">
        <v>8</v>
      </c>
      <c r="L1248" s="3">
        <v>0</v>
      </c>
      <c r="M1248" s="3">
        <v>0</v>
      </c>
      <c r="N1248" s="3">
        <v>8</v>
      </c>
      <c r="O1248" s="3">
        <v>0.11</v>
      </c>
      <c r="P1248" s="3">
        <v>0</v>
      </c>
      <c r="Q1248" s="3">
        <v>0</v>
      </c>
      <c r="R1248" s="3">
        <v>0</v>
      </c>
    </row>
    <row r="1249" spans="1:18">
      <c r="A1249" s="3" t="s">
        <v>3461</v>
      </c>
      <c r="B1249" s="3" t="s">
        <v>3462</v>
      </c>
      <c r="C1249" s="3" t="s">
        <v>3463</v>
      </c>
      <c r="D1249" s="3" t="s">
        <v>3464</v>
      </c>
      <c r="E1249" s="3" t="s">
        <v>1710</v>
      </c>
      <c r="F1249" s="3">
        <v>30</v>
      </c>
      <c r="G1249" s="3" t="s">
        <v>6233</v>
      </c>
      <c r="H1249" s="3"/>
      <c r="I1249" s="3" t="s">
        <v>6234</v>
      </c>
      <c r="J1249" s="3">
        <v>4</v>
      </c>
      <c r="K1249" s="3">
        <v>4</v>
      </c>
      <c r="L1249" s="3">
        <v>0</v>
      </c>
      <c r="M1249" s="3">
        <v>0</v>
      </c>
      <c r="N1249" s="3">
        <v>4</v>
      </c>
      <c r="O1249" s="3">
        <v>0.14</v>
      </c>
      <c r="P1249" s="3">
        <v>0</v>
      </c>
      <c r="Q1249" s="3">
        <v>0</v>
      </c>
      <c r="R1249" s="3">
        <v>0</v>
      </c>
    </row>
    <row r="1250" spans="1:18">
      <c r="A1250" s="3" t="s">
        <v>5723</v>
      </c>
      <c r="B1250" s="3" t="s">
        <v>5724</v>
      </c>
      <c r="C1250" s="3" t="s">
        <v>5725</v>
      </c>
      <c r="D1250" s="3" t="s">
        <v>1985</v>
      </c>
      <c r="E1250" s="3" t="s">
        <v>1710</v>
      </c>
      <c r="F1250" s="3">
        <v>30</v>
      </c>
      <c r="G1250" s="3" t="s">
        <v>6233</v>
      </c>
      <c r="H1250" s="3"/>
      <c r="I1250" s="3" t="s">
        <v>6234</v>
      </c>
      <c r="J1250" s="3">
        <v>2</v>
      </c>
      <c r="K1250" s="3">
        <v>2</v>
      </c>
      <c r="L1250" s="3">
        <v>0</v>
      </c>
      <c r="M1250" s="3">
        <v>0</v>
      </c>
      <c r="N1250" s="3">
        <v>2</v>
      </c>
      <c r="O1250" s="3">
        <v>0.16</v>
      </c>
      <c r="P1250" s="3">
        <v>0</v>
      </c>
      <c r="Q1250" s="3">
        <v>0</v>
      </c>
      <c r="R1250" s="3">
        <v>0</v>
      </c>
    </row>
    <row r="1251" spans="1:18">
      <c r="A1251" s="3" t="s">
        <v>5837</v>
      </c>
      <c r="B1251" s="3" t="s">
        <v>5838</v>
      </c>
      <c r="C1251" s="3" t="s">
        <v>5839</v>
      </c>
      <c r="D1251" s="3" t="s">
        <v>2519</v>
      </c>
      <c r="E1251" s="3" t="s">
        <v>1710</v>
      </c>
      <c r="F1251" s="3">
        <v>30</v>
      </c>
      <c r="G1251" s="3" t="s">
        <v>6233</v>
      </c>
      <c r="H1251" s="3"/>
      <c r="I1251" s="3" t="s">
        <v>6234</v>
      </c>
      <c r="J1251" s="3">
        <v>2</v>
      </c>
      <c r="K1251" s="3">
        <v>2</v>
      </c>
      <c r="L1251" s="3">
        <v>0</v>
      </c>
      <c r="M1251" s="3">
        <v>0</v>
      </c>
      <c r="N1251" s="3">
        <v>2</v>
      </c>
      <c r="O1251" s="3">
        <v>0.2</v>
      </c>
      <c r="P1251" s="3">
        <v>0</v>
      </c>
      <c r="Q1251" s="3">
        <v>0</v>
      </c>
      <c r="R1251" s="3">
        <v>0</v>
      </c>
    </row>
    <row r="1252" spans="1:18">
      <c r="A1252" s="3" t="s">
        <v>2516</v>
      </c>
      <c r="B1252" s="3" t="s">
        <v>2517</v>
      </c>
      <c r="C1252" s="3" t="s">
        <v>2518</v>
      </c>
      <c r="D1252" s="3" t="s">
        <v>2519</v>
      </c>
      <c r="E1252" s="3" t="s">
        <v>1710</v>
      </c>
      <c r="F1252" s="3">
        <v>30</v>
      </c>
      <c r="G1252" s="3" t="s">
        <v>6233</v>
      </c>
      <c r="H1252" s="3"/>
      <c r="I1252" s="3" t="s">
        <v>6234</v>
      </c>
      <c r="J1252" s="3">
        <v>1</v>
      </c>
      <c r="K1252" s="3">
        <v>1</v>
      </c>
      <c r="L1252" s="3">
        <v>0</v>
      </c>
      <c r="M1252" s="3">
        <v>0</v>
      </c>
      <c r="N1252" s="3">
        <v>1</v>
      </c>
      <c r="O1252" s="3">
        <v>0</v>
      </c>
      <c r="P1252" s="3">
        <v>0</v>
      </c>
      <c r="Q1252" s="3">
        <v>0</v>
      </c>
      <c r="R1252" s="3">
        <v>0</v>
      </c>
    </row>
    <row r="1253" spans="1:18">
      <c r="A1253" s="3" t="s">
        <v>7951</v>
      </c>
      <c r="B1253" s="3" t="s">
        <v>7952</v>
      </c>
      <c r="C1253" s="3" t="s">
        <v>7953</v>
      </c>
      <c r="D1253" s="3" t="s">
        <v>2519</v>
      </c>
      <c r="E1253" s="3" t="s">
        <v>1710</v>
      </c>
      <c r="F1253" s="3">
        <v>30</v>
      </c>
      <c r="G1253" s="3" t="s">
        <v>6233</v>
      </c>
      <c r="H1253" s="3"/>
      <c r="I1253" s="3" t="s">
        <v>6234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</row>
    <row r="1254" spans="1:18">
      <c r="A1254" s="3" t="s">
        <v>2946</v>
      </c>
      <c r="B1254" s="3" t="s">
        <v>2947</v>
      </c>
      <c r="C1254" s="3" t="s">
        <v>2948</v>
      </c>
      <c r="D1254" s="3" t="s">
        <v>2519</v>
      </c>
      <c r="E1254" s="3" t="s">
        <v>1710</v>
      </c>
      <c r="F1254" s="3">
        <v>30</v>
      </c>
      <c r="G1254" s="3" t="s">
        <v>6233</v>
      </c>
      <c r="H1254" s="3"/>
      <c r="I1254" s="3" t="s">
        <v>6234</v>
      </c>
      <c r="J1254" s="3">
        <v>2</v>
      </c>
      <c r="K1254" s="3">
        <v>2</v>
      </c>
      <c r="L1254" s="3">
        <v>0</v>
      </c>
      <c r="M1254" s="3">
        <v>0</v>
      </c>
      <c r="N1254" s="3">
        <v>2</v>
      </c>
      <c r="O1254" s="3">
        <v>0.2</v>
      </c>
      <c r="P1254" s="3">
        <v>0</v>
      </c>
      <c r="Q1254" s="3">
        <v>0</v>
      </c>
      <c r="R1254" s="3">
        <v>0</v>
      </c>
    </row>
    <row r="1255" spans="1:18">
      <c r="A1255" s="3" t="s">
        <v>3105</v>
      </c>
      <c r="B1255" s="3" t="s">
        <v>3106</v>
      </c>
      <c r="C1255" s="3" t="s">
        <v>3107</v>
      </c>
      <c r="D1255" s="3" t="s">
        <v>2519</v>
      </c>
      <c r="E1255" s="3" t="s">
        <v>1710</v>
      </c>
      <c r="F1255" s="3">
        <v>30</v>
      </c>
      <c r="G1255" s="3" t="s">
        <v>6233</v>
      </c>
      <c r="H1255" s="3"/>
      <c r="I1255" s="3" t="s">
        <v>6234</v>
      </c>
      <c r="J1255" s="3">
        <v>1</v>
      </c>
      <c r="K1255" s="3">
        <v>1</v>
      </c>
      <c r="L1255" s="3">
        <v>0</v>
      </c>
      <c r="M1255" s="3">
        <v>0</v>
      </c>
      <c r="N1255" s="3">
        <v>1</v>
      </c>
      <c r="O1255" s="3">
        <v>0</v>
      </c>
      <c r="P1255" s="3">
        <v>0</v>
      </c>
      <c r="Q1255" s="3">
        <v>0</v>
      </c>
      <c r="R1255" s="3">
        <v>0</v>
      </c>
    </row>
    <row r="1256" spans="1:18">
      <c r="A1256" s="3" t="s">
        <v>4286</v>
      </c>
      <c r="B1256" s="3" t="s">
        <v>4287</v>
      </c>
      <c r="C1256" s="3" t="s">
        <v>4288</v>
      </c>
      <c r="D1256" s="3" t="s">
        <v>2519</v>
      </c>
      <c r="E1256" s="3" t="s">
        <v>1710</v>
      </c>
      <c r="F1256" s="3">
        <v>30</v>
      </c>
      <c r="G1256" s="3" t="s">
        <v>6233</v>
      </c>
      <c r="H1256" s="3"/>
      <c r="I1256" s="3" t="s">
        <v>6234</v>
      </c>
      <c r="J1256" s="3">
        <v>2</v>
      </c>
      <c r="K1256" s="3">
        <v>2</v>
      </c>
      <c r="L1256" s="3">
        <v>0</v>
      </c>
      <c r="M1256" s="3">
        <v>0</v>
      </c>
      <c r="N1256" s="3">
        <v>2</v>
      </c>
      <c r="O1256" s="3">
        <v>0.2</v>
      </c>
      <c r="P1256" s="3">
        <v>0</v>
      </c>
      <c r="Q1256" s="3">
        <v>0</v>
      </c>
      <c r="R1256" s="3">
        <v>0</v>
      </c>
    </row>
    <row r="1257" spans="1:18">
      <c r="A1257" s="3" t="s">
        <v>3744</v>
      </c>
      <c r="B1257" s="3" t="s">
        <v>3745</v>
      </c>
      <c r="C1257" s="3" t="s">
        <v>3746</v>
      </c>
      <c r="D1257" s="3" t="s">
        <v>3747</v>
      </c>
      <c r="E1257" s="3" t="s">
        <v>1710</v>
      </c>
      <c r="F1257" s="3">
        <v>15.99</v>
      </c>
      <c r="G1257" s="3" t="s">
        <v>6233</v>
      </c>
      <c r="H1257" s="3"/>
      <c r="I1257" s="3" t="s">
        <v>6234</v>
      </c>
      <c r="J1257" s="3">
        <v>7</v>
      </c>
      <c r="K1257" s="3">
        <v>7</v>
      </c>
      <c r="L1257" s="3">
        <v>0</v>
      </c>
      <c r="M1257" s="3">
        <v>0</v>
      </c>
      <c r="N1257" s="3">
        <v>7</v>
      </c>
      <c r="O1257" s="3">
        <v>0.12</v>
      </c>
      <c r="P1257" s="3">
        <v>0</v>
      </c>
      <c r="Q1257" s="3">
        <v>0</v>
      </c>
      <c r="R1257" s="3">
        <v>0</v>
      </c>
    </row>
    <row r="1258" spans="1:18">
      <c r="A1258" s="3" t="s">
        <v>6089</v>
      </c>
      <c r="B1258" s="3" t="s">
        <v>6090</v>
      </c>
      <c r="C1258" s="3" t="s">
        <v>6091</v>
      </c>
      <c r="D1258" s="3" t="s">
        <v>4910</v>
      </c>
      <c r="E1258" s="3" t="s">
        <v>1710</v>
      </c>
      <c r="F1258" s="3">
        <v>15.99</v>
      </c>
      <c r="G1258" s="3" t="s">
        <v>6233</v>
      </c>
      <c r="H1258" s="3"/>
      <c r="I1258" s="3" t="s">
        <v>6234</v>
      </c>
      <c r="J1258" s="3">
        <v>9</v>
      </c>
      <c r="K1258" s="3">
        <v>9</v>
      </c>
      <c r="L1258" s="3">
        <v>0</v>
      </c>
      <c r="M1258" s="3">
        <v>0</v>
      </c>
      <c r="N1258" s="3">
        <v>9</v>
      </c>
      <c r="O1258" s="3">
        <v>0</v>
      </c>
      <c r="P1258" s="3">
        <v>0</v>
      </c>
      <c r="Q1258" s="3">
        <v>0</v>
      </c>
      <c r="R1258" s="3">
        <v>0</v>
      </c>
    </row>
    <row r="1259" spans="1:18">
      <c r="A1259" s="3" t="s">
        <v>4907</v>
      </c>
      <c r="B1259" s="3" t="s">
        <v>4908</v>
      </c>
      <c r="C1259" s="3" t="s">
        <v>4909</v>
      </c>
      <c r="D1259" s="3" t="s">
        <v>4910</v>
      </c>
      <c r="E1259" s="3" t="s">
        <v>1710</v>
      </c>
      <c r="F1259" s="3">
        <v>15.99</v>
      </c>
      <c r="G1259" s="3" t="s">
        <v>6233</v>
      </c>
      <c r="H1259" s="3"/>
      <c r="I1259" s="3" t="s">
        <v>6234</v>
      </c>
      <c r="J1259" s="3">
        <v>4</v>
      </c>
      <c r="K1259" s="3">
        <v>4</v>
      </c>
      <c r="L1259" s="3">
        <v>0</v>
      </c>
      <c r="M1259" s="3">
        <v>0</v>
      </c>
      <c r="N1259" s="3">
        <v>4</v>
      </c>
      <c r="O1259" s="3">
        <v>0.18</v>
      </c>
      <c r="P1259" s="3">
        <v>0</v>
      </c>
      <c r="Q1259" s="3">
        <v>0</v>
      </c>
      <c r="R1259" s="3">
        <v>0</v>
      </c>
    </row>
    <row r="1260" spans="1:18">
      <c r="A1260" s="3" t="s">
        <v>7954</v>
      </c>
      <c r="B1260" s="3" t="s">
        <v>7955</v>
      </c>
      <c r="C1260" s="3" t="s">
        <v>7956</v>
      </c>
      <c r="D1260" s="3" t="s">
        <v>7957</v>
      </c>
      <c r="E1260" s="3" t="s">
        <v>1710</v>
      </c>
      <c r="F1260" s="3">
        <v>30</v>
      </c>
      <c r="G1260" s="3" t="s">
        <v>6233</v>
      </c>
      <c r="H1260" s="3"/>
      <c r="I1260" s="3" t="s">
        <v>6234</v>
      </c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>
        <v>0.07</v>
      </c>
      <c r="P1260" s="3">
        <v>0</v>
      </c>
      <c r="Q1260" s="3">
        <v>0</v>
      </c>
      <c r="R1260" s="3">
        <v>0</v>
      </c>
    </row>
    <row r="1261" spans="1:18">
      <c r="A1261" s="3" t="s">
        <v>4869</v>
      </c>
      <c r="B1261" s="3" t="s">
        <v>4870</v>
      </c>
      <c r="C1261" s="3" t="s">
        <v>4871</v>
      </c>
      <c r="D1261" s="3" t="s">
        <v>3928</v>
      </c>
      <c r="E1261" s="3" t="s">
        <v>1710</v>
      </c>
      <c r="F1261" s="3">
        <v>12.99</v>
      </c>
      <c r="G1261" s="3" t="s">
        <v>6233</v>
      </c>
      <c r="H1261" s="3"/>
      <c r="I1261" s="3" t="s">
        <v>6234</v>
      </c>
      <c r="J1261" s="3">
        <v>14</v>
      </c>
      <c r="K1261" s="3">
        <v>14</v>
      </c>
      <c r="L1261" s="3">
        <v>0</v>
      </c>
      <c r="M1261" s="3">
        <v>0</v>
      </c>
      <c r="N1261" s="3">
        <v>14</v>
      </c>
      <c r="O1261" s="3">
        <v>0.08</v>
      </c>
      <c r="P1261" s="3">
        <v>0</v>
      </c>
      <c r="Q1261" s="3">
        <v>0</v>
      </c>
      <c r="R1261" s="3">
        <v>0</v>
      </c>
    </row>
    <row r="1262" spans="1:18">
      <c r="A1262" s="3" t="s">
        <v>4677</v>
      </c>
      <c r="B1262" s="3" t="s">
        <v>4678</v>
      </c>
      <c r="C1262" s="3" t="s">
        <v>4679</v>
      </c>
      <c r="D1262" s="3" t="s">
        <v>3928</v>
      </c>
      <c r="E1262" s="3" t="s">
        <v>1710</v>
      </c>
      <c r="F1262" s="3">
        <v>12.99</v>
      </c>
      <c r="G1262" s="3" t="s">
        <v>6233</v>
      </c>
      <c r="H1262" s="3"/>
      <c r="I1262" s="3" t="s">
        <v>6234</v>
      </c>
      <c r="J1262" s="3">
        <v>21</v>
      </c>
      <c r="K1262" s="3">
        <v>21</v>
      </c>
      <c r="L1262" s="3">
        <v>0</v>
      </c>
      <c r="M1262" s="3">
        <v>0</v>
      </c>
      <c r="N1262" s="3">
        <v>21</v>
      </c>
      <c r="O1262" s="3">
        <v>0.09</v>
      </c>
      <c r="P1262" s="3">
        <v>0</v>
      </c>
      <c r="Q1262" s="3">
        <v>0</v>
      </c>
      <c r="R1262" s="3">
        <v>0</v>
      </c>
    </row>
    <row r="1263" spans="1:18">
      <c r="A1263" s="3" t="s">
        <v>3925</v>
      </c>
      <c r="B1263" s="3" t="s">
        <v>3926</v>
      </c>
      <c r="C1263" s="3" t="s">
        <v>3927</v>
      </c>
      <c r="D1263" s="3" t="s">
        <v>3928</v>
      </c>
      <c r="E1263" s="3" t="s">
        <v>1710</v>
      </c>
      <c r="F1263" s="3">
        <v>12.99</v>
      </c>
      <c r="G1263" s="3" t="s">
        <v>6233</v>
      </c>
      <c r="H1263" s="3"/>
      <c r="I1263" s="3" t="s">
        <v>6234</v>
      </c>
      <c r="J1263" s="3">
        <v>12</v>
      </c>
      <c r="K1263" s="3">
        <v>12</v>
      </c>
      <c r="L1263" s="3">
        <v>0</v>
      </c>
      <c r="M1263" s="3">
        <v>0</v>
      </c>
      <c r="N1263" s="3">
        <v>12</v>
      </c>
      <c r="O1263" s="3">
        <v>0.1</v>
      </c>
      <c r="P1263" s="3">
        <v>0</v>
      </c>
      <c r="Q1263" s="3">
        <v>0</v>
      </c>
      <c r="R1263" s="3">
        <v>0</v>
      </c>
    </row>
    <row r="1264" spans="1:18">
      <c r="A1264" s="3" t="s">
        <v>3440</v>
      </c>
      <c r="B1264" s="3" t="s">
        <v>3441</v>
      </c>
      <c r="C1264" s="3" t="s">
        <v>3442</v>
      </c>
      <c r="D1264" s="3" t="s">
        <v>7958</v>
      </c>
      <c r="F1264" s="3">
        <v>32.99</v>
      </c>
      <c r="G1264" s="3" t="s">
        <v>6233</v>
      </c>
      <c r="H1264" s="3"/>
      <c r="I1264" s="3" t="s">
        <v>6234</v>
      </c>
      <c r="J1264" s="3">
        <v>4</v>
      </c>
      <c r="K1264" s="3">
        <v>4</v>
      </c>
      <c r="L1264" s="3">
        <v>0</v>
      </c>
      <c r="M1264" s="3">
        <v>0</v>
      </c>
      <c r="N1264" s="3">
        <v>4</v>
      </c>
      <c r="O1264" s="3">
        <v>0.14</v>
      </c>
      <c r="P1264" s="3">
        <v>0</v>
      </c>
      <c r="Q1264" s="3">
        <v>0</v>
      </c>
      <c r="R1264" s="3">
        <v>0</v>
      </c>
    </row>
    <row r="1265" spans="1:18">
      <c r="A1265" s="3" t="s">
        <v>4709</v>
      </c>
      <c r="B1265" s="3" t="s">
        <v>4710</v>
      </c>
      <c r="C1265" s="3" t="s">
        <v>4711</v>
      </c>
      <c r="D1265" s="3" t="s">
        <v>7958</v>
      </c>
      <c r="F1265" s="3">
        <v>32.99</v>
      </c>
      <c r="G1265" s="3" t="s">
        <v>6233</v>
      </c>
      <c r="H1265" s="3"/>
      <c r="I1265" s="3" t="s">
        <v>6234</v>
      </c>
      <c r="J1265" s="3">
        <v>2</v>
      </c>
      <c r="K1265" s="3">
        <v>2</v>
      </c>
      <c r="L1265" s="3">
        <v>0</v>
      </c>
      <c r="M1265" s="3">
        <v>0</v>
      </c>
      <c r="N1265" s="3">
        <v>2</v>
      </c>
      <c r="O1265" s="3">
        <v>0.15</v>
      </c>
      <c r="P1265" s="3">
        <v>0</v>
      </c>
      <c r="Q1265" s="3">
        <v>0</v>
      </c>
      <c r="R1265" s="3">
        <v>0</v>
      </c>
    </row>
    <row r="1266" spans="1:18">
      <c r="A1266" s="3" t="s">
        <v>7959</v>
      </c>
      <c r="B1266" s="3" t="s">
        <v>7960</v>
      </c>
      <c r="C1266" s="3" t="s">
        <v>7961</v>
      </c>
      <c r="D1266" s="3" t="s">
        <v>7962</v>
      </c>
      <c r="E1266" s="3" t="s">
        <v>1710</v>
      </c>
      <c r="F1266" s="3">
        <v>8.98</v>
      </c>
      <c r="G1266" s="3" t="s">
        <v>6233</v>
      </c>
      <c r="H1266" s="3"/>
      <c r="I1266" s="3" t="s">
        <v>6234</v>
      </c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>
        <v>0.15</v>
      </c>
      <c r="P1266" s="3">
        <v>0</v>
      </c>
      <c r="Q1266" s="3">
        <v>0</v>
      </c>
      <c r="R1266" s="3">
        <v>0</v>
      </c>
    </row>
    <row r="1267" spans="1:18">
      <c r="A1267" s="3" t="s">
        <v>7963</v>
      </c>
      <c r="B1267" s="3" t="s">
        <v>7964</v>
      </c>
      <c r="C1267" s="3" t="s">
        <v>7965</v>
      </c>
      <c r="D1267" s="3" t="s">
        <v>7966</v>
      </c>
      <c r="E1267" s="3" t="s">
        <v>1710</v>
      </c>
      <c r="F1267" s="3">
        <v>18.99</v>
      </c>
      <c r="G1267" s="3" t="s">
        <v>6233</v>
      </c>
      <c r="H1267" s="3"/>
      <c r="I1267" s="3" t="s">
        <v>6234</v>
      </c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>
        <v>0.17</v>
      </c>
      <c r="P1267" s="3">
        <v>0</v>
      </c>
      <c r="Q1267" s="3">
        <v>0</v>
      </c>
      <c r="R1267" s="3">
        <v>0</v>
      </c>
    </row>
    <row r="1268" spans="1:18">
      <c r="A1268" s="3" t="s">
        <v>7967</v>
      </c>
      <c r="B1268" s="3" t="s">
        <v>7968</v>
      </c>
      <c r="C1268" s="3" t="s">
        <v>7969</v>
      </c>
      <c r="D1268" s="3" t="s">
        <v>7970</v>
      </c>
      <c r="E1268" s="3" t="s">
        <v>1710</v>
      </c>
      <c r="F1268" s="3">
        <v>15.99</v>
      </c>
      <c r="G1268" s="3" t="s">
        <v>6233</v>
      </c>
      <c r="H1268" s="3"/>
      <c r="I1268" s="3" t="s">
        <v>6234</v>
      </c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>
        <v>0.04</v>
      </c>
      <c r="P1268" s="3">
        <v>0</v>
      </c>
      <c r="Q1268" s="3">
        <v>0</v>
      </c>
      <c r="R1268" s="3">
        <v>0</v>
      </c>
    </row>
    <row r="1269" spans="1:18">
      <c r="A1269" s="3" t="s">
        <v>7971</v>
      </c>
      <c r="B1269" s="3" t="s">
        <v>7972</v>
      </c>
      <c r="C1269" s="3" t="s">
        <v>7973</v>
      </c>
      <c r="D1269" s="3"/>
      <c r="E1269" s="3" t="s">
        <v>6275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7974</v>
      </c>
      <c r="B1270" s="3" t="s">
        <v>7975</v>
      </c>
      <c r="C1270" s="3" t="s">
        <v>7976</v>
      </c>
      <c r="D1270" s="3" t="s">
        <v>7977</v>
      </c>
      <c r="E1270" s="3" t="s">
        <v>1710</v>
      </c>
      <c r="F1270" s="3">
        <v>15.98</v>
      </c>
      <c r="G1270" s="3" t="s">
        <v>6233</v>
      </c>
      <c r="H1270" s="3"/>
      <c r="I1270" s="3" t="s">
        <v>6234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3778</v>
      </c>
      <c r="B1271" s="3" t="s">
        <v>3779</v>
      </c>
      <c r="C1271" s="3" t="s">
        <v>3780</v>
      </c>
      <c r="D1271" s="3" t="s">
        <v>3781</v>
      </c>
      <c r="E1271" s="3" t="s">
        <v>1710</v>
      </c>
      <c r="F1271" s="3">
        <v>15.99</v>
      </c>
      <c r="G1271" s="3" t="s">
        <v>6233</v>
      </c>
      <c r="H1271" s="3"/>
      <c r="I1271" s="3" t="s">
        <v>6234</v>
      </c>
      <c r="J1271" s="3">
        <v>1</v>
      </c>
      <c r="K1271" s="3">
        <v>1</v>
      </c>
      <c r="L1271" s="3">
        <v>0</v>
      </c>
      <c r="M1271" s="3">
        <v>0</v>
      </c>
      <c r="N1271" s="3">
        <v>1</v>
      </c>
      <c r="O1271" s="3">
        <v>0.13</v>
      </c>
      <c r="P1271" s="3">
        <v>0</v>
      </c>
      <c r="Q1271" s="3">
        <v>0</v>
      </c>
      <c r="R1271" s="3">
        <v>0</v>
      </c>
    </row>
    <row r="1272" spans="1:18">
      <c r="A1272" s="3" t="s">
        <v>7978</v>
      </c>
      <c r="B1272" s="3" t="s">
        <v>7979</v>
      </c>
      <c r="C1272" s="3" t="s">
        <v>7980</v>
      </c>
      <c r="D1272" s="3" t="s">
        <v>7981</v>
      </c>
      <c r="F1272" s="3">
        <v>15.99</v>
      </c>
      <c r="G1272" s="3" t="s">
        <v>6233</v>
      </c>
      <c r="H1272" s="3"/>
      <c r="I1272" s="3" t="s">
        <v>6234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0.22</v>
      </c>
      <c r="P1272" s="3">
        <v>0</v>
      </c>
      <c r="Q1272" s="3">
        <v>0</v>
      </c>
      <c r="R1272" s="3">
        <v>0</v>
      </c>
    </row>
    <row r="1273" spans="1:18">
      <c r="A1273" s="3" t="s">
        <v>5584</v>
      </c>
      <c r="B1273" s="3" t="s">
        <v>5585</v>
      </c>
      <c r="C1273" s="3" t="s">
        <v>5586</v>
      </c>
      <c r="D1273" s="3" t="s">
        <v>5587</v>
      </c>
      <c r="E1273" s="3" t="s">
        <v>1710</v>
      </c>
      <c r="F1273" s="3">
        <v>15.99</v>
      </c>
      <c r="G1273" s="3" t="s">
        <v>6233</v>
      </c>
      <c r="H1273" s="3"/>
      <c r="I1273" s="3" t="s">
        <v>6234</v>
      </c>
      <c r="J1273" s="3">
        <v>1</v>
      </c>
      <c r="K1273" s="3">
        <v>1</v>
      </c>
      <c r="L1273" s="3">
        <v>0</v>
      </c>
      <c r="M1273" s="3">
        <v>0</v>
      </c>
      <c r="N1273" s="3">
        <v>1</v>
      </c>
      <c r="O1273" s="3">
        <v>0.13</v>
      </c>
      <c r="P1273" s="3">
        <v>0</v>
      </c>
      <c r="Q1273" s="3">
        <v>0</v>
      </c>
      <c r="R1273" s="3">
        <v>0</v>
      </c>
    </row>
    <row r="1274" spans="1:18">
      <c r="A1274" s="3" t="s">
        <v>7982</v>
      </c>
      <c r="B1274" s="3" t="s">
        <v>7983</v>
      </c>
      <c r="C1274" s="3" t="s">
        <v>7984</v>
      </c>
      <c r="D1274" s="3"/>
      <c r="E1274" s="3" t="s">
        <v>6275</v>
      </c>
      <c r="F1274" s="3"/>
      <c r="G1274" s="3"/>
      <c r="H1274" s="3"/>
      <c r="I1274" s="3"/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/>
      <c r="P1274" s="3">
        <v>0</v>
      </c>
      <c r="Q1274" s="3">
        <v>0</v>
      </c>
      <c r="R1274" s="3">
        <v>0</v>
      </c>
    </row>
    <row r="1275" spans="1:18">
      <c r="A1275" s="3" t="s">
        <v>7985</v>
      </c>
      <c r="B1275" s="3" t="s">
        <v>7986</v>
      </c>
      <c r="C1275" s="3" t="s">
        <v>7987</v>
      </c>
      <c r="D1275" s="3"/>
      <c r="E1275" s="3" t="s">
        <v>6275</v>
      </c>
      <c r="F1275" s="3"/>
      <c r="G1275" s="3"/>
      <c r="H1275" s="3"/>
      <c r="I1275" s="3"/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/>
      <c r="P1275" s="3">
        <v>0</v>
      </c>
      <c r="Q1275" s="3">
        <v>0</v>
      </c>
      <c r="R1275" s="3">
        <v>0</v>
      </c>
    </row>
    <row r="1276" spans="1:18">
      <c r="A1276" s="3" t="s">
        <v>7988</v>
      </c>
      <c r="B1276" s="3" t="s">
        <v>7989</v>
      </c>
      <c r="C1276" s="3" t="s">
        <v>7990</v>
      </c>
      <c r="D1276" s="3"/>
      <c r="E1276" s="3" t="s">
        <v>6275</v>
      </c>
      <c r="F1276" s="3"/>
      <c r="G1276" s="3"/>
      <c r="H1276" s="3"/>
      <c r="I1276" s="3"/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/>
      <c r="P1276" s="3">
        <v>0</v>
      </c>
      <c r="Q1276" s="3">
        <v>0</v>
      </c>
      <c r="R1276" s="3">
        <v>0</v>
      </c>
    </row>
    <row r="1277" spans="1:18">
      <c r="A1277" s="3" t="s">
        <v>7991</v>
      </c>
      <c r="B1277" s="3" t="s">
        <v>7992</v>
      </c>
      <c r="C1277" s="3" t="s">
        <v>7993</v>
      </c>
      <c r="D1277" s="3"/>
      <c r="E1277" s="3" t="s">
        <v>6275</v>
      </c>
      <c r="F1277" s="3"/>
      <c r="G1277" s="3"/>
      <c r="H1277" s="3"/>
      <c r="I1277" s="3"/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/>
      <c r="P1277" s="3">
        <v>0</v>
      </c>
      <c r="Q1277" s="3">
        <v>0</v>
      </c>
      <c r="R1277" s="3">
        <v>0</v>
      </c>
    </row>
    <row r="1278" spans="1:18">
      <c r="A1278" s="3" t="s">
        <v>7994</v>
      </c>
      <c r="B1278" s="3" t="s">
        <v>7995</v>
      </c>
      <c r="C1278" s="3" t="s">
        <v>7996</v>
      </c>
      <c r="D1278" s="3" t="s">
        <v>7997</v>
      </c>
      <c r="E1278" s="3" t="s">
        <v>1710</v>
      </c>
      <c r="F1278" s="3">
        <v>15.99</v>
      </c>
      <c r="G1278" s="3" t="s">
        <v>6233</v>
      </c>
      <c r="H1278" s="3"/>
      <c r="I1278" s="3" t="s">
        <v>6234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0.17</v>
      </c>
      <c r="P1278" s="3">
        <v>0</v>
      </c>
      <c r="Q1278" s="3">
        <v>0</v>
      </c>
      <c r="R1278" s="3">
        <v>0</v>
      </c>
    </row>
    <row r="1279" spans="1:18">
      <c r="A1279" s="3" t="s">
        <v>7998</v>
      </c>
      <c r="B1279" s="3" t="s">
        <v>7999</v>
      </c>
      <c r="C1279" s="3" t="s">
        <v>8000</v>
      </c>
      <c r="D1279" s="3"/>
      <c r="E1279" s="3" t="s">
        <v>6275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8001</v>
      </c>
      <c r="B1280" s="3" t="s">
        <v>8002</v>
      </c>
      <c r="C1280" s="3" t="s">
        <v>8003</v>
      </c>
      <c r="D1280" s="3" t="s">
        <v>8004</v>
      </c>
      <c r="E1280" s="3" t="s">
        <v>1710</v>
      </c>
      <c r="F1280" s="3">
        <v>15.99</v>
      </c>
      <c r="G1280" s="3" t="s">
        <v>6233</v>
      </c>
      <c r="H1280" s="3"/>
      <c r="I1280" s="3" t="s">
        <v>6234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0.23</v>
      </c>
      <c r="P1280" s="3">
        <v>0</v>
      </c>
      <c r="Q1280" s="3">
        <v>0</v>
      </c>
      <c r="R1280" s="3">
        <v>0</v>
      </c>
    </row>
    <row r="1281" spans="1:18">
      <c r="A1281" s="3" t="s">
        <v>8005</v>
      </c>
      <c r="B1281" s="3" t="s">
        <v>8006</v>
      </c>
      <c r="C1281" s="3" t="s">
        <v>8007</v>
      </c>
      <c r="D1281" s="3" t="s">
        <v>8008</v>
      </c>
      <c r="E1281" s="3" t="s">
        <v>1710</v>
      </c>
      <c r="F1281" s="3">
        <v>15.99</v>
      </c>
      <c r="G1281" s="3" t="s">
        <v>6233</v>
      </c>
      <c r="H1281" s="3"/>
      <c r="I1281" s="3" t="s">
        <v>6234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0.25</v>
      </c>
      <c r="P1281" s="3">
        <v>0</v>
      </c>
      <c r="Q1281" s="3">
        <v>0</v>
      </c>
      <c r="R1281" s="3">
        <v>0</v>
      </c>
    </row>
    <row r="1282" spans="1:18">
      <c r="A1282" s="3" t="s">
        <v>8009</v>
      </c>
      <c r="B1282" s="3" t="s">
        <v>8010</v>
      </c>
      <c r="C1282" s="3" t="s">
        <v>8011</v>
      </c>
      <c r="D1282" s="3" t="s">
        <v>8012</v>
      </c>
      <c r="E1282" s="3" t="s">
        <v>1710</v>
      </c>
      <c r="F1282" s="3">
        <v>15.99</v>
      </c>
      <c r="G1282" s="3" t="s">
        <v>6233</v>
      </c>
      <c r="H1282" s="3"/>
      <c r="I1282" s="3" t="s">
        <v>6234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0.17</v>
      </c>
      <c r="P1282" s="3">
        <v>0</v>
      </c>
      <c r="Q1282" s="3">
        <v>0</v>
      </c>
      <c r="R1282" s="3">
        <v>0</v>
      </c>
    </row>
    <row r="1283" spans="1:18">
      <c r="A1283" s="3" t="s">
        <v>5728</v>
      </c>
      <c r="B1283" s="3" t="s">
        <v>5729</v>
      </c>
      <c r="C1283" s="3" t="s">
        <v>5730</v>
      </c>
      <c r="D1283" s="3" t="s">
        <v>5731</v>
      </c>
      <c r="E1283" s="3" t="s">
        <v>1710</v>
      </c>
      <c r="F1283" s="3">
        <v>19.99</v>
      </c>
      <c r="G1283" s="3" t="s">
        <v>6233</v>
      </c>
      <c r="H1283" s="3"/>
      <c r="I1283" s="3" t="s">
        <v>6234</v>
      </c>
      <c r="J1283" s="3">
        <v>13</v>
      </c>
      <c r="K1283" s="3">
        <v>13</v>
      </c>
      <c r="L1283" s="3">
        <v>0</v>
      </c>
      <c r="M1283" s="3">
        <v>0</v>
      </c>
      <c r="N1283" s="3">
        <v>13</v>
      </c>
      <c r="O1283" s="3">
        <v>0.17</v>
      </c>
      <c r="P1283" s="3">
        <v>0</v>
      </c>
      <c r="Q1283" s="3">
        <v>0</v>
      </c>
      <c r="R1283" s="3">
        <v>0</v>
      </c>
    </row>
    <row r="1284" spans="1:18">
      <c r="A1284" s="3" t="s">
        <v>8013</v>
      </c>
      <c r="B1284" s="3" t="s">
        <v>8014</v>
      </c>
      <c r="C1284" s="3" t="s">
        <v>8015</v>
      </c>
      <c r="D1284" s="3" t="s">
        <v>8016</v>
      </c>
      <c r="E1284" s="3" t="s">
        <v>1710</v>
      </c>
      <c r="F1284" s="3">
        <v>18.99</v>
      </c>
      <c r="G1284" s="3" t="s">
        <v>6233</v>
      </c>
      <c r="H1284" s="3"/>
      <c r="I1284" s="3" t="s">
        <v>6234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0.2</v>
      </c>
      <c r="P1284" s="3">
        <v>0</v>
      </c>
      <c r="Q1284" s="3">
        <v>0</v>
      </c>
      <c r="R1284" s="3">
        <v>0</v>
      </c>
    </row>
    <row r="1285" spans="1:18">
      <c r="A1285" s="3" t="s">
        <v>8017</v>
      </c>
      <c r="B1285" s="3" t="s">
        <v>8018</v>
      </c>
      <c r="C1285" s="3" t="s">
        <v>8019</v>
      </c>
      <c r="D1285" s="3" t="s">
        <v>8020</v>
      </c>
      <c r="E1285" s="3" t="s">
        <v>1710</v>
      </c>
      <c r="F1285" s="3">
        <v>19.99</v>
      </c>
      <c r="G1285" s="3" t="s">
        <v>6233</v>
      </c>
      <c r="H1285" s="3"/>
      <c r="I1285" s="3" t="s">
        <v>6234</v>
      </c>
      <c r="J1285" s="3">
        <v>10</v>
      </c>
      <c r="K1285" s="3">
        <v>10</v>
      </c>
      <c r="L1285" s="3">
        <v>0</v>
      </c>
      <c r="M1285" s="3">
        <v>0</v>
      </c>
      <c r="N1285" s="3">
        <v>10</v>
      </c>
      <c r="O1285" s="3">
        <v>0.28</v>
      </c>
      <c r="P1285" s="3">
        <v>0</v>
      </c>
      <c r="Q1285" s="3">
        <v>0</v>
      </c>
      <c r="R1285" s="3">
        <v>0</v>
      </c>
    </row>
    <row r="1286" spans="1:18">
      <c r="A1286" s="3" t="s">
        <v>8021</v>
      </c>
      <c r="B1286" s="3" t="s">
        <v>8022</v>
      </c>
      <c r="C1286" s="3" t="s">
        <v>8023</v>
      </c>
      <c r="D1286" s="3"/>
      <c r="E1286" s="3" t="s">
        <v>6275</v>
      </c>
      <c r="F1286" s="3"/>
      <c r="G1286" s="3"/>
      <c r="H1286" s="3"/>
      <c r="I1286" s="3"/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/>
      <c r="P1286" s="3">
        <v>0</v>
      </c>
      <c r="Q1286" s="3">
        <v>0</v>
      </c>
      <c r="R1286" s="3">
        <v>0</v>
      </c>
    </row>
    <row r="1287" spans="1:18">
      <c r="A1287" s="3" t="s">
        <v>8024</v>
      </c>
      <c r="B1287" s="3" t="s">
        <v>8025</v>
      </c>
      <c r="C1287" s="3" t="s">
        <v>8026</v>
      </c>
      <c r="D1287" s="3"/>
      <c r="E1287" s="3" t="s">
        <v>6275</v>
      </c>
      <c r="F1287" s="3"/>
      <c r="G1287" s="3"/>
      <c r="H1287" s="3"/>
      <c r="I1287" s="3"/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/>
      <c r="P1287" s="3">
        <v>0</v>
      </c>
      <c r="Q1287" s="3">
        <v>0</v>
      </c>
      <c r="R1287" s="3">
        <v>0</v>
      </c>
    </row>
    <row r="1288" spans="1:18">
      <c r="A1288" s="3" t="s">
        <v>8027</v>
      </c>
      <c r="B1288" s="3" t="s">
        <v>8028</v>
      </c>
      <c r="C1288" s="3" t="s">
        <v>8029</v>
      </c>
      <c r="D1288" s="3"/>
      <c r="E1288" s="3" t="s">
        <v>6275</v>
      </c>
      <c r="F1288" s="3"/>
      <c r="G1288" s="3"/>
      <c r="H1288" s="3"/>
      <c r="I1288" s="3"/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/>
      <c r="P1288" s="3">
        <v>0</v>
      </c>
      <c r="Q1288" s="3">
        <v>0</v>
      </c>
      <c r="R1288" s="3">
        <v>0</v>
      </c>
    </row>
    <row r="1289" spans="1:18">
      <c r="A1289" s="3" t="s">
        <v>8030</v>
      </c>
      <c r="B1289" s="3" t="s">
        <v>8031</v>
      </c>
      <c r="C1289" s="3" t="s">
        <v>8032</v>
      </c>
      <c r="D1289" s="3"/>
      <c r="E1289" s="3" t="s">
        <v>6275</v>
      </c>
      <c r="F1289" s="3"/>
      <c r="G1289" s="3"/>
      <c r="H1289" s="3"/>
      <c r="I1289" s="3"/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/>
      <c r="P1289" s="3">
        <v>0</v>
      </c>
      <c r="Q1289" s="3">
        <v>0</v>
      </c>
      <c r="R1289" s="3">
        <v>0</v>
      </c>
    </row>
    <row r="1290" spans="1:18">
      <c r="A1290" s="3" t="s">
        <v>8033</v>
      </c>
      <c r="B1290" s="3" t="s">
        <v>8034</v>
      </c>
      <c r="C1290" s="3" t="s">
        <v>8035</v>
      </c>
      <c r="D1290" s="3"/>
      <c r="E1290" s="3" t="s">
        <v>6275</v>
      </c>
      <c r="F1290" s="3"/>
      <c r="G1290" s="3"/>
      <c r="H1290" s="3"/>
      <c r="I1290" s="3"/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/>
      <c r="P1290" s="3">
        <v>0</v>
      </c>
      <c r="Q1290" s="3">
        <v>0</v>
      </c>
      <c r="R1290" s="3">
        <v>0</v>
      </c>
    </row>
    <row r="1291" spans="1:18">
      <c r="A1291" s="3" t="s">
        <v>322</v>
      </c>
      <c r="B1291" s="3" t="s">
        <v>323</v>
      </c>
      <c r="C1291" s="3" t="s">
        <v>324</v>
      </c>
      <c r="D1291" s="3" t="s">
        <v>325</v>
      </c>
      <c r="E1291" s="3" t="s">
        <v>1710</v>
      </c>
      <c r="F1291" s="3">
        <v>28.99</v>
      </c>
      <c r="G1291" s="3" t="s">
        <v>6233</v>
      </c>
      <c r="H1291" s="3"/>
      <c r="I1291" s="3" t="s">
        <v>6234</v>
      </c>
      <c r="J1291" s="3">
        <v>115</v>
      </c>
      <c r="K1291" s="3">
        <v>114</v>
      </c>
      <c r="L1291" s="3">
        <v>0</v>
      </c>
      <c r="M1291" s="3">
        <v>1</v>
      </c>
      <c r="N1291" s="3">
        <v>115</v>
      </c>
      <c r="O1291" s="3">
        <v>0.13</v>
      </c>
      <c r="P1291" s="3">
        <v>0</v>
      </c>
      <c r="Q1291" s="3">
        <v>0</v>
      </c>
      <c r="R1291" s="3">
        <v>0</v>
      </c>
    </row>
    <row r="1292" spans="1:18">
      <c r="A1292" s="3" t="s">
        <v>4068</v>
      </c>
      <c r="B1292" s="3" t="s">
        <v>4069</v>
      </c>
      <c r="C1292" s="3" t="s">
        <v>4070</v>
      </c>
      <c r="D1292" s="3" t="s">
        <v>4071</v>
      </c>
      <c r="E1292" s="3" t="s">
        <v>1710</v>
      </c>
      <c r="F1292" s="3">
        <v>28.99</v>
      </c>
      <c r="G1292" s="3" t="s">
        <v>6233</v>
      </c>
      <c r="H1292" s="3"/>
      <c r="I1292" s="3" t="s">
        <v>6234</v>
      </c>
      <c r="J1292" s="3">
        <v>147</v>
      </c>
      <c r="K1292" s="3">
        <v>147</v>
      </c>
      <c r="L1292" s="3">
        <v>0</v>
      </c>
      <c r="M1292" s="3">
        <v>0</v>
      </c>
      <c r="N1292" s="3">
        <v>147</v>
      </c>
      <c r="O1292" s="3">
        <v>0.16</v>
      </c>
      <c r="P1292" s="3">
        <v>0</v>
      </c>
      <c r="Q1292" s="3">
        <v>0</v>
      </c>
      <c r="R1292" s="3">
        <v>0</v>
      </c>
    </row>
    <row r="1293" spans="1:18">
      <c r="A1293" s="3" t="s">
        <v>326</v>
      </c>
      <c r="B1293" s="3" t="s">
        <v>327</v>
      </c>
      <c r="C1293" s="3" t="s">
        <v>328</v>
      </c>
      <c r="D1293" s="3" t="s">
        <v>329</v>
      </c>
      <c r="E1293" s="3" t="s">
        <v>1710</v>
      </c>
      <c r="F1293" s="3">
        <v>28.99</v>
      </c>
      <c r="G1293" s="3" t="s">
        <v>6233</v>
      </c>
      <c r="H1293" s="3"/>
      <c r="I1293" s="3" t="s">
        <v>6234</v>
      </c>
      <c r="J1293" s="3">
        <v>125</v>
      </c>
      <c r="K1293" s="3">
        <v>123</v>
      </c>
      <c r="L1293" s="3">
        <v>0</v>
      </c>
      <c r="M1293" s="3">
        <v>2</v>
      </c>
      <c r="N1293" s="3">
        <v>125</v>
      </c>
      <c r="O1293" s="3">
        <v>0.02</v>
      </c>
      <c r="P1293" s="3">
        <v>0</v>
      </c>
      <c r="Q1293" s="3">
        <v>0</v>
      </c>
      <c r="R1293" s="3">
        <v>0</v>
      </c>
    </row>
    <row r="1294" spans="1:18">
      <c r="A1294" s="3" t="s">
        <v>4049</v>
      </c>
      <c r="B1294" s="3" t="s">
        <v>4050</v>
      </c>
      <c r="C1294" s="3" t="s">
        <v>4051</v>
      </c>
      <c r="D1294" s="3" t="s">
        <v>2274</v>
      </c>
      <c r="E1294" s="3" t="s">
        <v>1710</v>
      </c>
      <c r="F1294" s="3">
        <v>32.99</v>
      </c>
      <c r="G1294" s="3" t="s">
        <v>6233</v>
      </c>
      <c r="H1294" s="3"/>
      <c r="I1294" s="3" t="s">
        <v>6234</v>
      </c>
      <c r="J1294" s="3">
        <v>1</v>
      </c>
      <c r="K1294" s="3">
        <v>1</v>
      </c>
      <c r="L1294" s="3">
        <v>0</v>
      </c>
      <c r="M1294" s="3">
        <v>0</v>
      </c>
      <c r="N1294" s="3">
        <v>1</v>
      </c>
      <c r="O1294" s="3">
        <v>0.1</v>
      </c>
      <c r="P1294" s="3">
        <v>0</v>
      </c>
      <c r="Q1294" s="3">
        <v>0</v>
      </c>
      <c r="R1294" s="3">
        <v>0</v>
      </c>
    </row>
    <row r="1295" spans="1:18">
      <c r="A1295" s="3" t="s">
        <v>4925</v>
      </c>
      <c r="B1295" s="3" t="s">
        <v>4926</v>
      </c>
      <c r="C1295" s="3" t="s">
        <v>4927</v>
      </c>
      <c r="D1295" s="3" t="s">
        <v>2274</v>
      </c>
      <c r="E1295" s="3" t="s">
        <v>1710</v>
      </c>
      <c r="F1295" s="3">
        <v>32.99</v>
      </c>
      <c r="G1295" s="3" t="s">
        <v>6233</v>
      </c>
      <c r="H1295" s="3"/>
      <c r="I1295" s="3" t="s">
        <v>6234</v>
      </c>
      <c r="J1295" s="3">
        <v>2</v>
      </c>
      <c r="K1295" s="3">
        <v>2</v>
      </c>
      <c r="L1295" s="3">
        <v>0</v>
      </c>
      <c r="M1295" s="3">
        <v>0</v>
      </c>
      <c r="N1295" s="3">
        <v>2</v>
      </c>
      <c r="O1295" s="3">
        <v>0.1</v>
      </c>
      <c r="P1295" s="3">
        <v>0</v>
      </c>
      <c r="Q1295" s="3">
        <v>0</v>
      </c>
      <c r="R1295" s="3">
        <v>0</v>
      </c>
    </row>
    <row r="1296" spans="1:18">
      <c r="A1296" s="3" t="s">
        <v>8036</v>
      </c>
      <c r="B1296" s="3" t="s">
        <v>8037</v>
      </c>
      <c r="C1296" s="3" t="s">
        <v>8038</v>
      </c>
      <c r="D1296" s="3" t="s">
        <v>2274</v>
      </c>
      <c r="E1296" s="3" t="s">
        <v>1710</v>
      </c>
      <c r="F1296" s="3">
        <v>32.99</v>
      </c>
      <c r="G1296" s="3" t="s">
        <v>6233</v>
      </c>
      <c r="H1296" s="3"/>
      <c r="I1296" s="3" t="s">
        <v>6234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0.07</v>
      </c>
      <c r="P1296" s="3">
        <v>0</v>
      </c>
      <c r="Q1296" s="3">
        <v>0</v>
      </c>
      <c r="R1296" s="3">
        <v>0</v>
      </c>
    </row>
    <row r="1297" spans="1:18">
      <c r="A1297" s="3" t="s">
        <v>3487</v>
      </c>
      <c r="B1297" s="3" t="s">
        <v>3488</v>
      </c>
      <c r="C1297" s="3" t="s">
        <v>3489</v>
      </c>
      <c r="D1297" s="3" t="s">
        <v>3490</v>
      </c>
      <c r="E1297" s="3" t="s">
        <v>1710</v>
      </c>
      <c r="F1297" s="3">
        <v>32.99</v>
      </c>
      <c r="G1297" s="3" t="s">
        <v>6233</v>
      </c>
      <c r="H1297" s="3"/>
      <c r="I1297" s="3" t="s">
        <v>6234</v>
      </c>
      <c r="J1297" s="3">
        <v>1</v>
      </c>
      <c r="K1297" s="3">
        <v>1</v>
      </c>
      <c r="L1297" s="3">
        <v>0</v>
      </c>
      <c r="M1297" s="3">
        <v>0</v>
      </c>
      <c r="N1297" s="3">
        <v>1</v>
      </c>
      <c r="O1297" s="3">
        <v>0.03</v>
      </c>
      <c r="P1297" s="3">
        <v>0</v>
      </c>
      <c r="Q1297" s="3">
        <v>0</v>
      </c>
      <c r="R1297" s="3">
        <v>0</v>
      </c>
    </row>
    <row r="1298" spans="1:18">
      <c r="A1298" s="3" t="s">
        <v>8039</v>
      </c>
      <c r="B1298" s="3" t="s">
        <v>8040</v>
      </c>
      <c r="C1298" s="3" t="s">
        <v>8041</v>
      </c>
      <c r="D1298" s="3" t="s">
        <v>2274</v>
      </c>
      <c r="E1298" s="3" t="s">
        <v>1710</v>
      </c>
      <c r="F1298" s="3">
        <v>32.99</v>
      </c>
      <c r="G1298" s="3" t="s">
        <v>6233</v>
      </c>
      <c r="H1298" s="3"/>
      <c r="I1298" s="3" t="s">
        <v>6234</v>
      </c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>
        <v>0.03</v>
      </c>
      <c r="P1298" s="3">
        <v>0</v>
      </c>
      <c r="Q1298" s="3">
        <v>0</v>
      </c>
      <c r="R1298" s="3">
        <v>0</v>
      </c>
    </row>
    <row r="1299" spans="1:18">
      <c r="A1299" s="3" t="s">
        <v>2271</v>
      </c>
      <c r="B1299" s="3" t="s">
        <v>2272</v>
      </c>
      <c r="C1299" s="3" t="s">
        <v>2273</v>
      </c>
      <c r="D1299" s="3" t="s">
        <v>2274</v>
      </c>
      <c r="E1299" s="3" t="s">
        <v>1710</v>
      </c>
      <c r="F1299" s="3">
        <v>32.99</v>
      </c>
      <c r="G1299" s="3" t="s">
        <v>6233</v>
      </c>
      <c r="H1299" s="3"/>
      <c r="I1299" s="3" t="s">
        <v>6234</v>
      </c>
      <c r="J1299" s="3">
        <v>5</v>
      </c>
      <c r="K1299" s="3">
        <v>5</v>
      </c>
      <c r="L1299" s="3">
        <v>0</v>
      </c>
      <c r="M1299" s="3">
        <v>0</v>
      </c>
      <c r="N1299" s="3">
        <v>5</v>
      </c>
      <c r="O1299" s="3">
        <v>0.03</v>
      </c>
      <c r="P1299" s="3">
        <v>0</v>
      </c>
      <c r="Q1299" s="3">
        <v>0</v>
      </c>
      <c r="R1299" s="3">
        <v>0</v>
      </c>
    </row>
    <row r="1300" spans="1:18">
      <c r="A1300" s="3" t="s">
        <v>4416</v>
      </c>
      <c r="B1300" s="3" t="s">
        <v>4417</v>
      </c>
      <c r="C1300" s="3" t="s">
        <v>4418</v>
      </c>
      <c r="D1300" s="3" t="s">
        <v>2274</v>
      </c>
      <c r="E1300" s="3" t="s">
        <v>1710</v>
      </c>
      <c r="F1300" s="3">
        <v>32.99</v>
      </c>
      <c r="G1300" s="3" t="s">
        <v>6233</v>
      </c>
      <c r="H1300" s="3"/>
      <c r="I1300" s="3" t="s">
        <v>6234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0.09</v>
      </c>
      <c r="P1300" s="3">
        <v>0</v>
      </c>
      <c r="Q1300" s="3">
        <v>0</v>
      </c>
      <c r="R1300" s="3">
        <v>0</v>
      </c>
    </row>
    <row r="1301" spans="1:18">
      <c r="A1301" s="3" t="s">
        <v>3138</v>
      </c>
      <c r="B1301" s="3" t="s">
        <v>3139</v>
      </c>
      <c r="C1301" s="3" t="s">
        <v>3140</v>
      </c>
      <c r="D1301" s="3" t="s">
        <v>2274</v>
      </c>
      <c r="E1301" s="3" t="s">
        <v>1710</v>
      </c>
      <c r="F1301" s="3">
        <v>32.99</v>
      </c>
      <c r="G1301" s="3" t="s">
        <v>6233</v>
      </c>
      <c r="H1301" s="3"/>
      <c r="I1301" s="3" t="s">
        <v>6234</v>
      </c>
      <c r="J1301" s="3">
        <v>1</v>
      </c>
      <c r="K1301" s="3">
        <v>1</v>
      </c>
      <c r="L1301" s="3">
        <v>0</v>
      </c>
      <c r="M1301" s="3">
        <v>0</v>
      </c>
      <c r="N1301" s="3">
        <v>1</v>
      </c>
      <c r="O1301" s="3">
        <v>0.07</v>
      </c>
      <c r="P1301" s="3">
        <v>0</v>
      </c>
      <c r="Q1301" s="3">
        <v>0</v>
      </c>
      <c r="R1301" s="3">
        <v>0</v>
      </c>
    </row>
    <row r="1302" spans="1:18">
      <c r="A1302" s="3" t="s">
        <v>8042</v>
      </c>
      <c r="B1302" s="3" t="s">
        <v>8043</v>
      </c>
      <c r="C1302" s="3" t="s">
        <v>8044</v>
      </c>
      <c r="D1302" s="3" t="s">
        <v>8045</v>
      </c>
      <c r="E1302" s="3" t="s">
        <v>1710</v>
      </c>
      <c r="F1302" s="3">
        <v>32.99</v>
      </c>
      <c r="G1302" s="3" t="s">
        <v>6233</v>
      </c>
      <c r="H1302" s="3"/>
      <c r="I1302" s="3" t="s">
        <v>6234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0.03</v>
      </c>
      <c r="P1302" s="3">
        <v>0</v>
      </c>
      <c r="Q1302" s="3">
        <v>0</v>
      </c>
      <c r="R1302" s="3">
        <v>0</v>
      </c>
    </row>
    <row r="1303" spans="1:18">
      <c r="A1303" s="3" t="s">
        <v>8046</v>
      </c>
      <c r="B1303" s="3" t="s">
        <v>8047</v>
      </c>
      <c r="C1303" s="3" t="s">
        <v>8048</v>
      </c>
      <c r="D1303" s="3" t="s">
        <v>8049</v>
      </c>
      <c r="E1303" s="3" t="s">
        <v>1710</v>
      </c>
      <c r="F1303" s="3">
        <v>19.99</v>
      </c>
      <c r="G1303" s="3" t="s">
        <v>6233</v>
      </c>
      <c r="H1303" s="3"/>
      <c r="I1303" s="3" t="s">
        <v>6234</v>
      </c>
      <c r="J1303" s="3">
        <v>0</v>
      </c>
      <c r="K1303" s="3">
        <v>0</v>
      </c>
      <c r="L1303" s="3">
        <v>0</v>
      </c>
      <c r="M1303" s="3">
        <v>0</v>
      </c>
      <c r="N1303" s="3">
        <v>20</v>
      </c>
      <c r="O1303" s="3">
        <v>0.26</v>
      </c>
      <c r="P1303" s="3">
        <v>0</v>
      </c>
      <c r="Q1303" s="3">
        <v>20</v>
      </c>
      <c r="R1303" s="3">
        <v>0</v>
      </c>
    </row>
    <row r="1304" spans="1:18">
      <c r="A1304" s="3" t="s">
        <v>8050</v>
      </c>
      <c r="B1304" s="3" t="s">
        <v>8051</v>
      </c>
      <c r="C1304" s="3" t="s">
        <v>8052</v>
      </c>
      <c r="D1304" s="3" t="s">
        <v>2098</v>
      </c>
      <c r="E1304" s="3" t="s">
        <v>1710</v>
      </c>
      <c r="F1304" s="3">
        <v>42.3</v>
      </c>
      <c r="G1304" s="3" t="s">
        <v>6233</v>
      </c>
      <c r="H1304" s="3"/>
      <c r="I1304" s="3" t="s">
        <v>6234</v>
      </c>
      <c r="J1304" s="3">
        <v>5</v>
      </c>
      <c r="K1304" s="3">
        <v>5</v>
      </c>
      <c r="L1304" s="3">
        <v>0</v>
      </c>
      <c r="M1304" s="3">
        <v>0</v>
      </c>
      <c r="N1304" s="3">
        <v>5</v>
      </c>
      <c r="O1304" s="3">
        <v>0.44</v>
      </c>
      <c r="P1304" s="3">
        <v>0</v>
      </c>
      <c r="Q1304" s="3">
        <v>0</v>
      </c>
      <c r="R1304" s="3">
        <v>0</v>
      </c>
    </row>
    <row r="1305" spans="1:18">
      <c r="A1305" s="3" t="s">
        <v>8053</v>
      </c>
      <c r="B1305" s="3" t="s">
        <v>8054</v>
      </c>
      <c r="C1305" s="3" t="s">
        <v>8055</v>
      </c>
      <c r="D1305" s="3" t="s">
        <v>2098</v>
      </c>
      <c r="E1305" s="3" t="s">
        <v>1710</v>
      </c>
      <c r="F1305" s="3">
        <v>42.3</v>
      </c>
      <c r="G1305" s="3" t="s">
        <v>6233</v>
      </c>
      <c r="H1305" s="3"/>
      <c r="I1305" s="3" t="s">
        <v>6234</v>
      </c>
      <c r="J1305" s="3">
        <v>5</v>
      </c>
      <c r="K1305" s="3">
        <v>5</v>
      </c>
      <c r="L1305" s="3">
        <v>0</v>
      </c>
      <c r="M1305" s="3">
        <v>0</v>
      </c>
      <c r="N1305" s="3">
        <v>5</v>
      </c>
      <c r="O1305" s="3">
        <v>0.06</v>
      </c>
      <c r="P1305" s="3">
        <v>0</v>
      </c>
      <c r="Q1305" s="3">
        <v>0</v>
      </c>
      <c r="R1305" s="3">
        <v>0</v>
      </c>
    </row>
    <row r="1306" spans="1:18">
      <c r="A1306" s="3" t="s">
        <v>5383</v>
      </c>
      <c r="B1306" s="3" t="s">
        <v>5384</v>
      </c>
      <c r="C1306" s="3" t="s">
        <v>5385</v>
      </c>
      <c r="D1306" s="3" t="s">
        <v>2098</v>
      </c>
      <c r="E1306" s="3" t="s">
        <v>1710</v>
      </c>
      <c r="F1306" s="3">
        <v>42.3</v>
      </c>
      <c r="G1306" s="3" t="s">
        <v>6233</v>
      </c>
      <c r="H1306" s="3"/>
      <c r="I1306" s="3" t="s">
        <v>6234</v>
      </c>
      <c r="J1306" s="3">
        <v>44</v>
      </c>
      <c r="K1306" s="3">
        <v>44</v>
      </c>
      <c r="L1306" s="3">
        <v>0</v>
      </c>
      <c r="M1306" s="3">
        <v>0</v>
      </c>
      <c r="N1306" s="3">
        <v>44</v>
      </c>
      <c r="O1306" s="3">
        <v>0.08</v>
      </c>
      <c r="P1306" s="3">
        <v>0</v>
      </c>
      <c r="Q1306" s="3">
        <v>0</v>
      </c>
      <c r="R1306" s="3">
        <v>0</v>
      </c>
    </row>
    <row r="1307" spans="1:18">
      <c r="A1307" s="3" t="s">
        <v>8056</v>
      </c>
      <c r="B1307" s="3" t="s">
        <v>8057</v>
      </c>
      <c r="C1307" s="3" t="s">
        <v>8058</v>
      </c>
      <c r="D1307" s="3" t="s">
        <v>8059</v>
      </c>
      <c r="E1307" s="3" t="s">
        <v>1710</v>
      </c>
      <c r="F1307" s="3">
        <v>29.99</v>
      </c>
      <c r="G1307" s="3" t="s">
        <v>6233</v>
      </c>
      <c r="H1307" s="3"/>
      <c r="I1307" s="3" t="s">
        <v>6234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</row>
    <row r="1308" spans="1:18">
      <c r="A1308" s="3" t="s">
        <v>8060</v>
      </c>
      <c r="B1308" s="3" t="s">
        <v>8061</v>
      </c>
      <c r="C1308" s="3" t="s">
        <v>8062</v>
      </c>
      <c r="D1308" s="3" t="s">
        <v>8063</v>
      </c>
      <c r="E1308" s="3" t="s">
        <v>1710</v>
      </c>
      <c r="F1308" s="3">
        <v>29.99</v>
      </c>
      <c r="G1308" s="3" t="s">
        <v>6233</v>
      </c>
      <c r="H1308" s="3"/>
      <c r="I1308" s="3" t="s">
        <v>6234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</row>
    <row r="1309" spans="1:18">
      <c r="A1309" s="3" t="s">
        <v>8064</v>
      </c>
      <c r="B1309" s="3" t="s">
        <v>8065</v>
      </c>
      <c r="C1309" s="3" t="s">
        <v>8066</v>
      </c>
      <c r="D1309" s="3" t="s">
        <v>2098</v>
      </c>
      <c r="E1309" s="3" t="s">
        <v>1710</v>
      </c>
      <c r="F1309" s="3">
        <v>42.3</v>
      </c>
      <c r="G1309" s="3" t="s">
        <v>6233</v>
      </c>
      <c r="H1309" s="3"/>
      <c r="I1309" s="3" t="s">
        <v>6234</v>
      </c>
      <c r="J1309" s="3">
        <v>5</v>
      </c>
      <c r="K1309" s="3">
        <v>5</v>
      </c>
      <c r="L1309" s="3">
        <v>0</v>
      </c>
      <c r="M1309" s="3">
        <v>0</v>
      </c>
      <c r="N1309" s="3">
        <v>6</v>
      </c>
      <c r="O1309" s="3">
        <v>0.4</v>
      </c>
      <c r="P1309" s="3">
        <v>0</v>
      </c>
      <c r="Q1309" s="3">
        <v>1</v>
      </c>
      <c r="R1309" s="3">
        <v>0</v>
      </c>
    </row>
    <row r="1310" spans="1:18">
      <c r="A1310" s="3" t="s">
        <v>8067</v>
      </c>
      <c r="B1310" s="3" t="s">
        <v>8068</v>
      </c>
      <c r="C1310" s="3" t="s">
        <v>8069</v>
      </c>
      <c r="D1310" s="3" t="s">
        <v>2098</v>
      </c>
      <c r="E1310" s="3" t="s">
        <v>1710</v>
      </c>
      <c r="F1310" s="3">
        <v>42.3</v>
      </c>
      <c r="G1310" s="3" t="s">
        <v>6233</v>
      </c>
      <c r="H1310" s="3"/>
      <c r="I1310" s="3" t="s">
        <v>6234</v>
      </c>
      <c r="J1310" s="3">
        <v>5</v>
      </c>
      <c r="K1310" s="3">
        <v>5</v>
      </c>
      <c r="L1310" s="3">
        <v>0</v>
      </c>
      <c r="M1310" s="3">
        <v>0</v>
      </c>
      <c r="N1310" s="3">
        <v>6</v>
      </c>
      <c r="O1310" s="3">
        <v>0.46</v>
      </c>
      <c r="P1310" s="3">
        <v>0</v>
      </c>
      <c r="Q1310" s="3">
        <v>1</v>
      </c>
      <c r="R1310" s="3">
        <v>0</v>
      </c>
    </row>
    <row r="1311" spans="1:18">
      <c r="A1311" s="3" t="s">
        <v>4164</v>
      </c>
      <c r="B1311" s="3" t="s">
        <v>4165</v>
      </c>
      <c r="C1311" s="3" t="s">
        <v>4166</v>
      </c>
      <c r="D1311" s="3" t="s">
        <v>4167</v>
      </c>
      <c r="E1311" s="3" t="s">
        <v>1710</v>
      </c>
      <c r="F1311" s="3">
        <v>42.3</v>
      </c>
      <c r="G1311" s="3" t="s">
        <v>6233</v>
      </c>
      <c r="H1311" s="3"/>
      <c r="I1311" s="3" t="s">
        <v>6234</v>
      </c>
      <c r="J1311" s="3">
        <v>22</v>
      </c>
      <c r="K1311" s="3">
        <v>21</v>
      </c>
      <c r="L1311" s="3">
        <v>1</v>
      </c>
      <c r="M1311" s="3">
        <v>0</v>
      </c>
      <c r="N1311" s="3">
        <v>22</v>
      </c>
      <c r="O1311" s="3">
        <v>0.42</v>
      </c>
      <c r="P1311" s="3">
        <v>0</v>
      </c>
      <c r="Q1311" s="3">
        <v>0</v>
      </c>
      <c r="R1311" s="3">
        <v>0</v>
      </c>
    </row>
    <row r="1312" spans="1:18">
      <c r="A1312" s="3" t="s">
        <v>2621</v>
      </c>
      <c r="B1312" s="3" t="s">
        <v>2622</v>
      </c>
      <c r="C1312" s="3" t="s">
        <v>2623</v>
      </c>
      <c r="D1312" s="3" t="s">
        <v>2624</v>
      </c>
      <c r="E1312" s="3" t="s">
        <v>1710</v>
      </c>
      <c r="F1312" s="3">
        <v>42.3</v>
      </c>
      <c r="G1312" s="3" t="s">
        <v>6233</v>
      </c>
      <c r="H1312" s="3"/>
      <c r="I1312" s="3" t="s">
        <v>6234</v>
      </c>
      <c r="J1312" s="3">
        <v>2</v>
      </c>
      <c r="K1312" s="3">
        <v>2</v>
      </c>
      <c r="L1312" s="3">
        <v>0</v>
      </c>
      <c r="M1312" s="3">
        <v>0</v>
      </c>
      <c r="N1312" s="3">
        <v>2</v>
      </c>
      <c r="O1312" s="3">
        <v>0.42</v>
      </c>
      <c r="P1312" s="3">
        <v>0</v>
      </c>
      <c r="Q1312" s="3">
        <v>0</v>
      </c>
      <c r="R1312" s="3">
        <v>0</v>
      </c>
    </row>
    <row r="1313" spans="1:18">
      <c r="A1313" s="3" t="s">
        <v>2425</v>
      </c>
      <c r="B1313" s="3" t="s">
        <v>2426</v>
      </c>
      <c r="C1313" s="3" t="s">
        <v>2427</v>
      </c>
      <c r="D1313" s="3" t="s">
        <v>2428</v>
      </c>
      <c r="E1313" s="3" t="s">
        <v>1710</v>
      </c>
      <c r="F1313" s="3">
        <v>42.3</v>
      </c>
      <c r="G1313" s="3" t="s">
        <v>6233</v>
      </c>
      <c r="H1313" s="3"/>
      <c r="I1313" s="3" t="s">
        <v>6234</v>
      </c>
      <c r="J1313" s="3">
        <v>3</v>
      </c>
      <c r="K1313" s="3">
        <v>3</v>
      </c>
      <c r="L1313" s="3">
        <v>0</v>
      </c>
      <c r="M1313" s="3">
        <v>0</v>
      </c>
      <c r="N1313" s="3">
        <v>3</v>
      </c>
      <c r="O1313" s="3">
        <v>0.29</v>
      </c>
      <c r="P1313" s="3">
        <v>0</v>
      </c>
      <c r="Q1313" s="3">
        <v>0</v>
      </c>
      <c r="R1313" s="3">
        <v>0</v>
      </c>
    </row>
    <row r="1314" spans="1:18">
      <c r="A1314" s="3" t="s">
        <v>4788</v>
      </c>
      <c r="B1314" s="3" t="s">
        <v>4789</v>
      </c>
      <c r="C1314" s="3" t="s">
        <v>4790</v>
      </c>
      <c r="D1314" s="3" t="s">
        <v>2098</v>
      </c>
      <c r="E1314" s="3" t="s">
        <v>1710</v>
      </c>
      <c r="F1314" s="3">
        <v>42.3</v>
      </c>
      <c r="G1314" s="3" t="s">
        <v>6233</v>
      </c>
      <c r="H1314" s="3"/>
      <c r="I1314" s="3" t="s">
        <v>6234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0.36</v>
      </c>
      <c r="P1314" s="3">
        <v>0</v>
      </c>
      <c r="Q1314" s="3">
        <v>0</v>
      </c>
      <c r="R1314" s="3">
        <v>0</v>
      </c>
    </row>
    <row r="1315" spans="1:18">
      <c r="A1315" s="3" t="s">
        <v>8070</v>
      </c>
      <c r="B1315" s="3" t="s">
        <v>8071</v>
      </c>
      <c r="C1315" s="3" t="s">
        <v>8072</v>
      </c>
      <c r="D1315" s="3" t="s">
        <v>2098</v>
      </c>
      <c r="E1315" s="3" t="s">
        <v>1710</v>
      </c>
      <c r="F1315" s="3">
        <v>34.99</v>
      </c>
      <c r="G1315" s="3" t="s">
        <v>6233</v>
      </c>
      <c r="H1315" s="3"/>
      <c r="I1315" s="3" t="s">
        <v>6234</v>
      </c>
      <c r="J1315" s="3">
        <v>5</v>
      </c>
      <c r="K1315" s="3">
        <v>5</v>
      </c>
      <c r="L1315" s="3">
        <v>0</v>
      </c>
      <c r="M1315" s="3">
        <v>0</v>
      </c>
      <c r="N1315" s="3">
        <v>5</v>
      </c>
      <c r="O1315" s="3">
        <v>0.24</v>
      </c>
      <c r="P1315" s="3">
        <v>0</v>
      </c>
      <c r="Q1315" s="3">
        <v>0</v>
      </c>
      <c r="R1315" s="3">
        <v>0</v>
      </c>
    </row>
    <row r="1316" spans="1:18">
      <c r="A1316" s="3" t="s">
        <v>5096</v>
      </c>
      <c r="B1316" s="3" t="s">
        <v>5097</v>
      </c>
      <c r="C1316" s="3" t="s">
        <v>5098</v>
      </c>
      <c r="D1316" s="3" t="s">
        <v>2098</v>
      </c>
      <c r="E1316" s="3" t="s">
        <v>1710</v>
      </c>
      <c r="F1316" s="3">
        <v>42.3</v>
      </c>
      <c r="G1316" s="3" t="s">
        <v>6233</v>
      </c>
      <c r="H1316" s="3"/>
      <c r="I1316" s="3" t="s">
        <v>6234</v>
      </c>
      <c r="J1316" s="3">
        <v>1</v>
      </c>
      <c r="K1316" s="3">
        <v>1</v>
      </c>
      <c r="L1316" s="3">
        <v>0</v>
      </c>
      <c r="M1316" s="3">
        <v>0</v>
      </c>
      <c r="N1316" s="3">
        <v>1</v>
      </c>
      <c r="O1316" s="3">
        <v>0.4</v>
      </c>
      <c r="P1316" s="3">
        <v>0</v>
      </c>
      <c r="Q1316" s="3">
        <v>0</v>
      </c>
      <c r="R1316" s="3">
        <v>0</v>
      </c>
    </row>
    <row r="1317" spans="1:18">
      <c r="A1317" s="3" t="s">
        <v>5204</v>
      </c>
      <c r="B1317" s="3" t="s">
        <v>5205</v>
      </c>
      <c r="C1317" s="3" t="s">
        <v>5206</v>
      </c>
      <c r="D1317" s="3" t="s">
        <v>2098</v>
      </c>
      <c r="E1317" s="3" t="s">
        <v>1710</v>
      </c>
      <c r="F1317" s="3">
        <v>42.3</v>
      </c>
      <c r="G1317" s="3" t="s">
        <v>6233</v>
      </c>
      <c r="H1317" s="3"/>
      <c r="I1317" s="3" t="s">
        <v>6234</v>
      </c>
      <c r="J1317" s="3">
        <v>19</v>
      </c>
      <c r="K1317" s="3">
        <v>19</v>
      </c>
      <c r="L1317" s="3">
        <v>0</v>
      </c>
      <c r="M1317" s="3">
        <v>0</v>
      </c>
      <c r="N1317" s="3">
        <v>19</v>
      </c>
      <c r="O1317" s="3">
        <v>0.42</v>
      </c>
      <c r="P1317" s="3">
        <v>0</v>
      </c>
      <c r="Q1317" s="3">
        <v>0</v>
      </c>
      <c r="R1317" s="3">
        <v>0</v>
      </c>
    </row>
    <row r="1318" spans="1:18">
      <c r="A1318" s="3" t="s">
        <v>8073</v>
      </c>
      <c r="B1318" s="3" t="s">
        <v>8074</v>
      </c>
      <c r="C1318" s="3" t="s">
        <v>8075</v>
      </c>
      <c r="D1318" s="3" t="s">
        <v>2098</v>
      </c>
      <c r="E1318" s="3" t="s">
        <v>1710</v>
      </c>
      <c r="F1318" s="3">
        <v>42.3</v>
      </c>
      <c r="G1318" s="3" t="s">
        <v>6233</v>
      </c>
      <c r="H1318" s="3"/>
      <c r="I1318" s="3" t="s">
        <v>6234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0.42</v>
      </c>
      <c r="P1318" s="3">
        <v>0</v>
      </c>
      <c r="Q1318" s="3">
        <v>0</v>
      </c>
      <c r="R1318" s="3">
        <v>0</v>
      </c>
    </row>
    <row r="1319" spans="1:18">
      <c r="A1319" s="3" t="s">
        <v>8076</v>
      </c>
      <c r="B1319" s="3" t="s">
        <v>8077</v>
      </c>
      <c r="C1319" s="3" t="s">
        <v>8078</v>
      </c>
      <c r="D1319" s="3" t="s">
        <v>2098</v>
      </c>
      <c r="E1319" s="3" t="s">
        <v>1710</v>
      </c>
      <c r="F1319" s="3">
        <v>42.3</v>
      </c>
      <c r="G1319" s="3" t="s">
        <v>6233</v>
      </c>
      <c r="H1319" s="3"/>
      <c r="I1319" s="3" t="s">
        <v>6234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0.57</v>
      </c>
      <c r="P1319" s="3">
        <v>0</v>
      </c>
      <c r="Q1319" s="3">
        <v>0</v>
      </c>
      <c r="R1319" s="3">
        <v>0</v>
      </c>
    </row>
    <row r="1320" spans="1:18">
      <c r="A1320" s="3" t="s">
        <v>2056</v>
      </c>
      <c r="B1320" s="3" t="s">
        <v>2057</v>
      </c>
      <c r="C1320" s="3" t="s">
        <v>2058</v>
      </c>
      <c r="D1320" s="3" t="s">
        <v>2059</v>
      </c>
      <c r="E1320" s="3" t="s">
        <v>1710</v>
      </c>
      <c r="F1320" s="3">
        <v>30</v>
      </c>
      <c r="G1320" s="3" t="s">
        <v>6233</v>
      </c>
      <c r="H1320" s="3"/>
      <c r="I1320" s="3" t="s">
        <v>6234</v>
      </c>
      <c r="J1320" s="3">
        <v>6</v>
      </c>
      <c r="K1320" s="3">
        <v>6</v>
      </c>
      <c r="L1320" s="3">
        <v>0</v>
      </c>
      <c r="M1320" s="3">
        <v>0</v>
      </c>
      <c r="N1320" s="3">
        <v>6</v>
      </c>
      <c r="O1320" s="3">
        <v>0.15</v>
      </c>
      <c r="P1320" s="3">
        <v>0</v>
      </c>
      <c r="Q1320" s="3">
        <v>0</v>
      </c>
      <c r="R1320" s="3">
        <v>0</v>
      </c>
    </row>
    <row r="1321" spans="1:18">
      <c r="A1321" s="3" t="s">
        <v>8079</v>
      </c>
      <c r="B1321" s="3" t="s">
        <v>8080</v>
      </c>
      <c r="C1321" s="3" t="s">
        <v>8081</v>
      </c>
      <c r="D1321" s="3" t="s">
        <v>8082</v>
      </c>
      <c r="E1321" s="3" t="s">
        <v>1710</v>
      </c>
      <c r="F1321" s="3">
        <v>30</v>
      </c>
      <c r="G1321" s="3" t="s">
        <v>6233</v>
      </c>
      <c r="H1321" s="3"/>
      <c r="I1321" s="3" t="s">
        <v>6234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0.15</v>
      </c>
      <c r="P1321" s="3">
        <v>0</v>
      </c>
      <c r="Q1321" s="3">
        <v>0</v>
      </c>
      <c r="R1321" s="3">
        <v>0</v>
      </c>
    </row>
    <row r="1322" spans="1:18">
      <c r="A1322" s="3" t="s">
        <v>3449</v>
      </c>
      <c r="B1322" s="3" t="s">
        <v>3450</v>
      </c>
      <c r="C1322" s="3" t="s">
        <v>3451</v>
      </c>
      <c r="D1322" s="3" t="s">
        <v>3452</v>
      </c>
      <c r="E1322" s="3" t="s">
        <v>1710</v>
      </c>
      <c r="F1322" s="3">
        <v>30</v>
      </c>
      <c r="G1322" s="3" t="s">
        <v>6233</v>
      </c>
      <c r="H1322" s="3"/>
      <c r="I1322" s="3" t="s">
        <v>6234</v>
      </c>
      <c r="J1322" s="3">
        <v>2</v>
      </c>
      <c r="K1322" s="3">
        <v>2</v>
      </c>
      <c r="L1322" s="3">
        <v>0</v>
      </c>
      <c r="M1322" s="3">
        <v>0</v>
      </c>
      <c r="N1322" s="3">
        <v>2</v>
      </c>
      <c r="O1322" s="3">
        <v>0.09</v>
      </c>
      <c r="P1322" s="3">
        <v>0</v>
      </c>
      <c r="Q1322" s="3">
        <v>0</v>
      </c>
      <c r="R1322" s="3">
        <v>0</v>
      </c>
    </row>
    <row r="1323" spans="1:18">
      <c r="A1323" s="3" t="s">
        <v>4107</v>
      </c>
      <c r="B1323" s="3" t="s">
        <v>4108</v>
      </c>
      <c r="C1323" s="3" t="s">
        <v>4109</v>
      </c>
      <c r="D1323" s="3" t="s">
        <v>4110</v>
      </c>
      <c r="E1323" s="3" t="s">
        <v>1710</v>
      </c>
      <c r="F1323" s="3">
        <v>30</v>
      </c>
      <c r="G1323" s="3" t="s">
        <v>6233</v>
      </c>
      <c r="H1323" s="3"/>
      <c r="I1323" s="3" t="s">
        <v>6234</v>
      </c>
      <c r="J1323" s="3">
        <v>1</v>
      </c>
      <c r="K1323" s="3">
        <v>1</v>
      </c>
      <c r="L1323" s="3">
        <v>0</v>
      </c>
      <c r="M1323" s="3">
        <v>0</v>
      </c>
      <c r="N1323" s="3">
        <v>1</v>
      </c>
      <c r="O1323" s="3">
        <v>0.08</v>
      </c>
      <c r="P1323" s="3">
        <v>0</v>
      </c>
      <c r="Q1323" s="3">
        <v>0</v>
      </c>
      <c r="R1323" s="3">
        <v>0</v>
      </c>
    </row>
    <row r="1324" spans="1:18">
      <c r="A1324" s="3" t="s">
        <v>8083</v>
      </c>
      <c r="B1324" s="3" t="s">
        <v>8084</v>
      </c>
      <c r="C1324" s="3" t="s">
        <v>8085</v>
      </c>
      <c r="D1324" s="3" t="s">
        <v>8086</v>
      </c>
      <c r="E1324" s="3" t="s">
        <v>1710</v>
      </c>
      <c r="F1324" s="3">
        <v>30</v>
      </c>
      <c r="G1324" s="3" t="s">
        <v>6233</v>
      </c>
      <c r="H1324" s="3"/>
      <c r="I1324" s="3" t="s">
        <v>6234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0.13</v>
      </c>
      <c r="P1324" s="3">
        <v>0</v>
      </c>
      <c r="Q1324" s="3">
        <v>0</v>
      </c>
      <c r="R1324" s="3">
        <v>0</v>
      </c>
    </row>
    <row r="1325" spans="1:18">
      <c r="A1325" s="3" t="s">
        <v>8087</v>
      </c>
      <c r="B1325" s="3" t="s">
        <v>8088</v>
      </c>
      <c r="C1325" s="3" t="s">
        <v>8089</v>
      </c>
      <c r="D1325" s="3" t="s">
        <v>8090</v>
      </c>
      <c r="E1325" s="3" t="s">
        <v>1710</v>
      </c>
      <c r="F1325" s="3">
        <v>30</v>
      </c>
      <c r="G1325" s="3" t="s">
        <v>6233</v>
      </c>
      <c r="H1325" s="3"/>
      <c r="I1325" s="3" t="s">
        <v>6234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0.09</v>
      </c>
      <c r="P1325" s="3">
        <v>0</v>
      </c>
      <c r="Q1325" s="3">
        <v>0</v>
      </c>
      <c r="R1325" s="3">
        <v>0</v>
      </c>
    </row>
    <row r="1326" spans="1:18">
      <c r="A1326" s="3" t="s">
        <v>5110</v>
      </c>
      <c r="B1326" s="3" t="s">
        <v>5111</v>
      </c>
      <c r="C1326" s="3" t="s">
        <v>5112</v>
      </c>
      <c r="D1326" s="3" t="s">
        <v>5113</v>
      </c>
      <c r="E1326" s="3" t="s">
        <v>1710</v>
      </c>
      <c r="F1326" s="3">
        <v>30</v>
      </c>
      <c r="G1326" s="3" t="s">
        <v>6233</v>
      </c>
      <c r="H1326" s="3"/>
      <c r="I1326" s="3" t="s">
        <v>6234</v>
      </c>
      <c r="J1326" s="3">
        <v>9</v>
      </c>
      <c r="K1326" s="3">
        <v>9</v>
      </c>
      <c r="L1326" s="3">
        <v>0</v>
      </c>
      <c r="M1326" s="3">
        <v>0</v>
      </c>
      <c r="N1326" s="3">
        <v>9</v>
      </c>
      <c r="O1326" s="3">
        <v>0.08</v>
      </c>
      <c r="P1326" s="3">
        <v>0</v>
      </c>
      <c r="Q1326" s="3">
        <v>0</v>
      </c>
      <c r="R1326" s="3">
        <v>0</v>
      </c>
    </row>
    <row r="1327" spans="1:18">
      <c r="A1327" s="3" t="s">
        <v>4856</v>
      </c>
      <c r="B1327" s="3" t="s">
        <v>4857</v>
      </c>
      <c r="C1327" s="3" t="s">
        <v>4858</v>
      </c>
      <c r="D1327" s="3" t="s">
        <v>4859</v>
      </c>
      <c r="E1327" s="3" t="s">
        <v>1710</v>
      </c>
      <c r="F1327" s="3">
        <v>30</v>
      </c>
      <c r="G1327" s="3" t="s">
        <v>6233</v>
      </c>
      <c r="H1327" s="3"/>
      <c r="I1327" s="3" t="s">
        <v>6234</v>
      </c>
      <c r="J1327" s="3">
        <v>5</v>
      </c>
      <c r="K1327" s="3">
        <v>5</v>
      </c>
      <c r="L1327" s="3">
        <v>0</v>
      </c>
      <c r="M1327" s="3">
        <v>0</v>
      </c>
      <c r="N1327" s="3">
        <v>5</v>
      </c>
      <c r="O1327" s="3">
        <v>0.04</v>
      </c>
      <c r="P1327" s="3">
        <v>0</v>
      </c>
      <c r="Q1327" s="3">
        <v>0</v>
      </c>
      <c r="R1327" s="3">
        <v>0</v>
      </c>
    </row>
    <row r="1328" spans="1:18">
      <c r="A1328" s="3" t="s">
        <v>5863</v>
      </c>
      <c r="B1328" s="3" t="s">
        <v>5864</v>
      </c>
      <c r="C1328" s="3" t="s">
        <v>5865</v>
      </c>
      <c r="D1328" s="3" t="s">
        <v>5866</v>
      </c>
      <c r="E1328" s="3" t="s">
        <v>1710</v>
      </c>
      <c r="F1328" s="3">
        <v>30</v>
      </c>
      <c r="G1328" s="3" t="s">
        <v>6233</v>
      </c>
      <c r="H1328" s="3"/>
      <c r="I1328" s="3" t="s">
        <v>6234</v>
      </c>
      <c r="J1328" s="3">
        <v>1</v>
      </c>
      <c r="K1328" s="3">
        <v>1</v>
      </c>
      <c r="L1328" s="3">
        <v>0</v>
      </c>
      <c r="M1328" s="3">
        <v>0</v>
      </c>
      <c r="N1328" s="3">
        <v>1</v>
      </c>
      <c r="O1328" s="3">
        <v>0.08</v>
      </c>
      <c r="P1328" s="3">
        <v>0</v>
      </c>
      <c r="Q1328" s="3">
        <v>0</v>
      </c>
      <c r="R1328" s="3">
        <v>0</v>
      </c>
    </row>
    <row r="1329" spans="1:18">
      <c r="A1329" s="3" t="s">
        <v>8091</v>
      </c>
      <c r="B1329" s="3" t="s">
        <v>8092</v>
      </c>
      <c r="C1329" s="3" t="s">
        <v>8093</v>
      </c>
      <c r="D1329" s="3" t="s">
        <v>8094</v>
      </c>
      <c r="E1329" s="3" t="s">
        <v>1710</v>
      </c>
      <c r="F1329" s="3">
        <v>30</v>
      </c>
      <c r="G1329" s="3" t="s">
        <v>6233</v>
      </c>
      <c r="H1329" s="3"/>
      <c r="I1329" s="3" t="s">
        <v>6234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0.15</v>
      </c>
      <c r="P1329" s="3">
        <v>0</v>
      </c>
      <c r="Q1329" s="3">
        <v>0</v>
      </c>
      <c r="R1329" s="3">
        <v>0</v>
      </c>
    </row>
    <row r="1330" spans="1:18">
      <c r="A1330" s="3" t="s">
        <v>8095</v>
      </c>
      <c r="B1330" s="3" t="s">
        <v>8096</v>
      </c>
      <c r="C1330" s="3" t="s">
        <v>8097</v>
      </c>
      <c r="D1330" s="3" t="s">
        <v>8098</v>
      </c>
      <c r="E1330" s="3" t="s">
        <v>1710</v>
      </c>
      <c r="F1330" s="3">
        <v>30</v>
      </c>
      <c r="G1330" s="3" t="s">
        <v>6233</v>
      </c>
      <c r="H1330" s="3"/>
      <c r="I1330" s="3" t="s">
        <v>6234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0.15</v>
      </c>
      <c r="P1330" s="3">
        <v>0</v>
      </c>
      <c r="Q1330" s="3">
        <v>0</v>
      </c>
      <c r="R1330" s="3">
        <v>0</v>
      </c>
    </row>
    <row r="1331" spans="1:18">
      <c r="A1331" s="3" t="s">
        <v>8099</v>
      </c>
      <c r="B1331" s="3" t="s">
        <v>8100</v>
      </c>
      <c r="C1331" s="3" t="s">
        <v>8101</v>
      </c>
      <c r="D1331" s="3" t="s">
        <v>8102</v>
      </c>
      <c r="E1331" s="3" t="s">
        <v>1710</v>
      </c>
      <c r="F1331" s="3">
        <v>30</v>
      </c>
      <c r="G1331" s="3" t="s">
        <v>6233</v>
      </c>
      <c r="H1331" s="3"/>
      <c r="I1331" s="3" t="s">
        <v>6234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0.09</v>
      </c>
      <c r="P1331" s="3">
        <v>0</v>
      </c>
      <c r="Q1331" s="3">
        <v>0</v>
      </c>
      <c r="R1331" s="3">
        <v>0</v>
      </c>
    </row>
    <row r="1332" spans="1:18">
      <c r="A1332" s="3" t="s">
        <v>8103</v>
      </c>
      <c r="B1332" s="3" t="s">
        <v>8104</v>
      </c>
      <c r="C1332" s="3" t="s">
        <v>8105</v>
      </c>
      <c r="D1332" s="3" t="s">
        <v>8106</v>
      </c>
      <c r="E1332" s="3" t="s">
        <v>1710</v>
      </c>
      <c r="F1332" s="3">
        <v>30</v>
      </c>
      <c r="G1332" s="3" t="s">
        <v>6233</v>
      </c>
      <c r="H1332" s="3"/>
      <c r="I1332" s="3" t="s">
        <v>6234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0.08</v>
      </c>
      <c r="P1332" s="3">
        <v>0</v>
      </c>
      <c r="Q1332" s="3">
        <v>0</v>
      </c>
      <c r="R1332" s="3">
        <v>0</v>
      </c>
    </row>
    <row r="1333" spans="1:18">
      <c r="A1333" s="3" t="s">
        <v>8107</v>
      </c>
      <c r="B1333" s="3" t="s">
        <v>8108</v>
      </c>
      <c r="C1333" s="3" t="s">
        <v>8109</v>
      </c>
      <c r="D1333" s="3" t="s">
        <v>8110</v>
      </c>
      <c r="E1333" s="3" t="s">
        <v>1710</v>
      </c>
      <c r="F1333" s="3">
        <v>30</v>
      </c>
      <c r="G1333" s="3" t="s">
        <v>6233</v>
      </c>
      <c r="H1333" s="3"/>
      <c r="I1333" s="3" t="s">
        <v>6234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0.04</v>
      </c>
      <c r="P1333" s="3">
        <v>0</v>
      </c>
      <c r="Q1333" s="3">
        <v>0</v>
      </c>
      <c r="R1333" s="3">
        <v>0</v>
      </c>
    </row>
    <row r="1334" spans="1:18">
      <c r="A1334" s="3" t="s">
        <v>3582</v>
      </c>
      <c r="B1334" s="3" t="s">
        <v>3583</v>
      </c>
      <c r="C1334" s="3" t="s">
        <v>3584</v>
      </c>
      <c r="D1334" s="3" t="s">
        <v>3585</v>
      </c>
      <c r="E1334" s="3" t="s">
        <v>1710</v>
      </c>
      <c r="F1334" s="3">
        <v>30</v>
      </c>
      <c r="G1334" s="3" t="s">
        <v>6233</v>
      </c>
      <c r="H1334" s="3"/>
      <c r="I1334" s="3" t="s">
        <v>6234</v>
      </c>
      <c r="J1334" s="3">
        <v>1</v>
      </c>
      <c r="K1334" s="3">
        <v>1</v>
      </c>
      <c r="L1334" s="3">
        <v>0</v>
      </c>
      <c r="M1334" s="3">
        <v>0</v>
      </c>
      <c r="N1334" s="3">
        <v>1</v>
      </c>
      <c r="O1334" s="3">
        <v>0.13</v>
      </c>
      <c r="P1334" s="3">
        <v>0</v>
      </c>
      <c r="Q1334" s="3">
        <v>0</v>
      </c>
      <c r="R1334" s="3">
        <v>0</v>
      </c>
    </row>
    <row r="1335" spans="1:18">
      <c r="A1335" s="3" t="s">
        <v>8111</v>
      </c>
      <c r="B1335" s="3" t="s">
        <v>8112</v>
      </c>
      <c r="C1335" s="3" t="s">
        <v>8113</v>
      </c>
      <c r="D1335" s="3" t="s">
        <v>8114</v>
      </c>
      <c r="E1335" s="3" t="s">
        <v>1710</v>
      </c>
      <c r="F1335" s="3">
        <v>30</v>
      </c>
      <c r="G1335" s="3" t="s">
        <v>6233</v>
      </c>
      <c r="H1335" s="3"/>
      <c r="I1335" s="3" t="s">
        <v>6234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</row>
    <row r="1336" spans="1:18">
      <c r="A1336" s="3" t="s">
        <v>8115</v>
      </c>
      <c r="B1336" s="3" t="s">
        <v>8116</v>
      </c>
      <c r="C1336" s="3" t="s">
        <v>8117</v>
      </c>
      <c r="D1336" s="3" t="s">
        <v>8118</v>
      </c>
      <c r="E1336" s="3" t="s">
        <v>1710</v>
      </c>
      <c r="F1336" s="3">
        <v>30</v>
      </c>
      <c r="G1336" s="3" t="s">
        <v>6233</v>
      </c>
      <c r="H1336" s="3"/>
      <c r="I1336" s="3" t="s">
        <v>6234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0.15</v>
      </c>
      <c r="P1336" s="3">
        <v>0</v>
      </c>
      <c r="Q1336" s="3">
        <v>0</v>
      </c>
      <c r="R1336" s="3">
        <v>0</v>
      </c>
    </row>
    <row r="1337" spans="1:18">
      <c r="A1337" s="3" t="s">
        <v>8119</v>
      </c>
      <c r="B1337" s="3" t="s">
        <v>8120</v>
      </c>
      <c r="C1337" s="3" t="s">
        <v>8121</v>
      </c>
      <c r="D1337" s="3" t="s">
        <v>8122</v>
      </c>
      <c r="E1337" s="3" t="s">
        <v>1710</v>
      </c>
      <c r="F1337" s="3">
        <v>30</v>
      </c>
      <c r="G1337" s="3" t="s">
        <v>6233</v>
      </c>
      <c r="H1337" s="3"/>
      <c r="I1337" s="3" t="s">
        <v>6234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0.04</v>
      </c>
      <c r="P1337" s="3">
        <v>0</v>
      </c>
      <c r="Q1337" s="3">
        <v>0</v>
      </c>
      <c r="R1337" s="3">
        <v>0</v>
      </c>
    </row>
    <row r="1338" spans="1:18">
      <c r="A1338" s="3" t="s">
        <v>6124</v>
      </c>
      <c r="B1338" s="3" t="s">
        <v>6125</v>
      </c>
      <c r="C1338" s="3" t="s">
        <v>6126</v>
      </c>
      <c r="D1338" s="3" t="s">
        <v>6127</v>
      </c>
      <c r="E1338" s="3" t="s">
        <v>1710</v>
      </c>
      <c r="F1338" s="3">
        <v>30</v>
      </c>
      <c r="G1338" s="3" t="s">
        <v>6233</v>
      </c>
      <c r="H1338" s="3"/>
      <c r="I1338" s="3" t="s">
        <v>6234</v>
      </c>
      <c r="J1338" s="3">
        <v>1</v>
      </c>
      <c r="K1338" s="3">
        <v>1</v>
      </c>
      <c r="L1338" s="3">
        <v>0</v>
      </c>
      <c r="M1338" s="3">
        <v>0</v>
      </c>
      <c r="N1338" s="3">
        <v>1</v>
      </c>
      <c r="O1338" s="3">
        <v>0</v>
      </c>
      <c r="P1338" s="3">
        <v>0</v>
      </c>
      <c r="Q1338" s="3">
        <v>0</v>
      </c>
      <c r="R1338" s="3">
        <v>0</v>
      </c>
    </row>
    <row r="1339" spans="1:18">
      <c r="A1339" s="3" t="s">
        <v>8123</v>
      </c>
      <c r="B1339" s="3" t="s">
        <v>8124</v>
      </c>
      <c r="C1339" s="3" t="s">
        <v>8125</v>
      </c>
      <c r="D1339" s="3" t="s">
        <v>8126</v>
      </c>
      <c r="E1339" s="3" t="s">
        <v>1710</v>
      </c>
      <c r="F1339" s="3">
        <v>30</v>
      </c>
      <c r="G1339" s="3" t="s">
        <v>6233</v>
      </c>
      <c r="H1339" s="3"/>
      <c r="I1339" s="3" t="s">
        <v>6234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0.19</v>
      </c>
      <c r="P1339" s="3">
        <v>0</v>
      </c>
      <c r="Q1339" s="3">
        <v>0</v>
      </c>
      <c r="R1339" s="3">
        <v>0</v>
      </c>
    </row>
    <row r="1340" spans="1:18">
      <c r="A1340" s="3" t="s">
        <v>8127</v>
      </c>
      <c r="B1340" s="3" t="s">
        <v>8128</v>
      </c>
      <c r="C1340" s="3" t="s">
        <v>8129</v>
      </c>
      <c r="D1340" s="3" t="s">
        <v>8130</v>
      </c>
      <c r="E1340" s="3" t="s">
        <v>1710</v>
      </c>
      <c r="F1340" s="3">
        <v>30</v>
      </c>
      <c r="G1340" s="3" t="s">
        <v>6233</v>
      </c>
      <c r="H1340" s="3"/>
      <c r="I1340" s="3" t="s">
        <v>6234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</row>
    <row r="1341" spans="1:18">
      <c r="A1341" s="3" t="s">
        <v>8131</v>
      </c>
      <c r="B1341" s="3" t="s">
        <v>8132</v>
      </c>
      <c r="C1341" s="3" t="s">
        <v>8133</v>
      </c>
      <c r="D1341" s="3" t="s">
        <v>8134</v>
      </c>
      <c r="E1341" s="3" t="s">
        <v>1710</v>
      </c>
      <c r="F1341" s="3">
        <v>30</v>
      </c>
      <c r="G1341" s="3" t="s">
        <v>6233</v>
      </c>
      <c r="H1341" s="3"/>
      <c r="I1341" s="3" t="s">
        <v>6234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</row>
    <row r="1342" spans="1:18">
      <c r="A1342" s="3" t="s">
        <v>8135</v>
      </c>
      <c r="B1342" s="3" t="s">
        <v>8136</v>
      </c>
      <c r="C1342" s="3" t="s">
        <v>8137</v>
      </c>
      <c r="D1342" s="3" t="s">
        <v>8138</v>
      </c>
      <c r="E1342" s="3" t="s">
        <v>1710</v>
      </c>
      <c r="F1342" s="3">
        <v>30</v>
      </c>
      <c r="G1342" s="3" t="s">
        <v>6233</v>
      </c>
      <c r="H1342" s="3"/>
      <c r="I1342" s="3" t="s">
        <v>6234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0.19</v>
      </c>
      <c r="P1342" s="3">
        <v>0</v>
      </c>
      <c r="Q1342" s="3">
        <v>0</v>
      </c>
      <c r="R1342" s="3">
        <v>0</v>
      </c>
    </row>
    <row r="1343" spans="1:18">
      <c r="A1343" s="3" t="s">
        <v>2913</v>
      </c>
      <c r="B1343" s="3" t="s">
        <v>2914</v>
      </c>
      <c r="C1343" s="3" t="s">
        <v>2915</v>
      </c>
      <c r="D1343" s="3" t="s">
        <v>1861</v>
      </c>
      <c r="E1343" s="3" t="s">
        <v>1710</v>
      </c>
      <c r="F1343" s="3">
        <v>15.99</v>
      </c>
      <c r="G1343" s="3" t="s">
        <v>6233</v>
      </c>
      <c r="H1343" s="3"/>
      <c r="I1343" s="3" t="s">
        <v>6234</v>
      </c>
      <c r="J1343" s="3">
        <v>2</v>
      </c>
      <c r="K1343" s="3">
        <v>2</v>
      </c>
      <c r="L1343" s="3">
        <v>0</v>
      </c>
      <c r="M1343" s="3">
        <v>0</v>
      </c>
      <c r="N1343" s="3">
        <v>2</v>
      </c>
      <c r="O1343" s="3">
        <v>0.04</v>
      </c>
      <c r="P1343" s="3">
        <v>0</v>
      </c>
      <c r="Q1343" s="3">
        <v>0</v>
      </c>
      <c r="R1343" s="3">
        <v>0</v>
      </c>
    </row>
    <row r="1344" spans="1:18">
      <c r="A1344" s="3" t="s">
        <v>4964</v>
      </c>
      <c r="B1344" s="3" t="s">
        <v>4965</v>
      </c>
      <c r="C1344" s="3" t="s">
        <v>4966</v>
      </c>
      <c r="D1344" s="3" t="s">
        <v>1861</v>
      </c>
      <c r="E1344" s="3" t="s">
        <v>1710</v>
      </c>
      <c r="F1344" s="3">
        <v>15.99</v>
      </c>
      <c r="G1344" s="3" t="s">
        <v>6233</v>
      </c>
      <c r="H1344" s="3"/>
      <c r="I1344" s="3" t="s">
        <v>6234</v>
      </c>
      <c r="J1344" s="3">
        <v>2</v>
      </c>
      <c r="K1344" s="3">
        <v>2</v>
      </c>
      <c r="L1344" s="3">
        <v>0</v>
      </c>
      <c r="M1344" s="3">
        <v>0</v>
      </c>
      <c r="N1344" s="3">
        <v>2</v>
      </c>
      <c r="O1344" s="3">
        <v>0.17</v>
      </c>
      <c r="P1344" s="3">
        <v>0</v>
      </c>
      <c r="Q1344" s="3">
        <v>0</v>
      </c>
      <c r="R1344" s="3">
        <v>0</v>
      </c>
    </row>
    <row r="1345" spans="1:18">
      <c r="A1345" s="3" t="s">
        <v>1858</v>
      </c>
      <c r="B1345" s="3" t="s">
        <v>1859</v>
      </c>
      <c r="C1345" s="3" t="s">
        <v>1860</v>
      </c>
      <c r="D1345" s="3" t="s">
        <v>1861</v>
      </c>
      <c r="E1345" s="3" t="s">
        <v>1710</v>
      </c>
      <c r="F1345" s="3">
        <v>15.99</v>
      </c>
      <c r="G1345" s="3" t="s">
        <v>6233</v>
      </c>
      <c r="H1345" s="3"/>
      <c r="I1345" s="3" t="s">
        <v>6234</v>
      </c>
      <c r="J1345" s="3">
        <v>3</v>
      </c>
      <c r="K1345" s="3">
        <v>3</v>
      </c>
      <c r="L1345" s="3">
        <v>0</v>
      </c>
      <c r="M1345" s="3">
        <v>0</v>
      </c>
      <c r="N1345" s="3">
        <v>3</v>
      </c>
      <c r="O1345" s="3">
        <v>0.17</v>
      </c>
      <c r="P1345" s="3">
        <v>0</v>
      </c>
      <c r="Q1345" s="3">
        <v>0</v>
      </c>
      <c r="R1345" s="3">
        <v>0</v>
      </c>
    </row>
    <row r="1346" spans="1:18">
      <c r="A1346" s="3" t="s">
        <v>2566</v>
      </c>
      <c r="B1346" s="3" t="s">
        <v>2567</v>
      </c>
      <c r="C1346" s="3" t="s">
        <v>2568</v>
      </c>
      <c r="D1346" s="3" t="s">
        <v>1861</v>
      </c>
      <c r="E1346" s="3" t="s">
        <v>1710</v>
      </c>
      <c r="F1346" s="3">
        <v>15.99</v>
      </c>
      <c r="G1346" s="3" t="s">
        <v>6233</v>
      </c>
      <c r="H1346" s="3"/>
      <c r="I1346" s="3" t="s">
        <v>6234</v>
      </c>
      <c r="J1346" s="3">
        <v>17</v>
      </c>
      <c r="K1346" s="3">
        <v>17</v>
      </c>
      <c r="L1346" s="3">
        <v>0</v>
      </c>
      <c r="M1346" s="3">
        <v>0</v>
      </c>
      <c r="N1346" s="3">
        <v>17</v>
      </c>
      <c r="O1346" s="3">
        <v>0.26</v>
      </c>
      <c r="P1346" s="3">
        <v>0</v>
      </c>
      <c r="Q1346" s="3">
        <v>0</v>
      </c>
      <c r="R1346" s="3">
        <v>0</v>
      </c>
    </row>
    <row r="1347" spans="1:18">
      <c r="A1347" s="3" t="s">
        <v>5867</v>
      </c>
      <c r="B1347" s="3" t="s">
        <v>5868</v>
      </c>
      <c r="C1347" s="3" t="s">
        <v>5869</v>
      </c>
      <c r="D1347" s="3" t="s">
        <v>1861</v>
      </c>
      <c r="E1347" s="3" t="s">
        <v>1710</v>
      </c>
      <c r="F1347" s="3">
        <v>15.99</v>
      </c>
      <c r="G1347" s="3" t="s">
        <v>6233</v>
      </c>
      <c r="H1347" s="3"/>
      <c r="I1347" s="3" t="s">
        <v>6234</v>
      </c>
      <c r="J1347" s="3">
        <v>10</v>
      </c>
      <c r="K1347" s="3">
        <v>10</v>
      </c>
      <c r="L1347" s="3">
        <v>0</v>
      </c>
      <c r="M1347" s="3">
        <v>0</v>
      </c>
      <c r="N1347" s="3">
        <v>10</v>
      </c>
      <c r="O1347" s="3">
        <v>0.11</v>
      </c>
      <c r="P1347" s="3">
        <v>0</v>
      </c>
      <c r="Q1347" s="3">
        <v>0</v>
      </c>
      <c r="R1347" s="3">
        <v>0</v>
      </c>
    </row>
    <row r="1348" spans="1:18">
      <c r="A1348" s="3" t="s">
        <v>8139</v>
      </c>
      <c r="B1348" s="3" t="s">
        <v>8140</v>
      </c>
      <c r="C1348" s="3" t="s">
        <v>8141</v>
      </c>
      <c r="D1348" s="3" t="s">
        <v>1861</v>
      </c>
      <c r="E1348" s="3" t="s">
        <v>1710</v>
      </c>
      <c r="F1348" s="3">
        <v>15.99</v>
      </c>
      <c r="G1348" s="3" t="s">
        <v>6233</v>
      </c>
      <c r="H1348" s="3"/>
      <c r="I1348" s="3" t="s">
        <v>6234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0.04</v>
      </c>
      <c r="P1348" s="3">
        <v>0</v>
      </c>
      <c r="Q1348" s="3">
        <v>0</v>
      </c>
      <c r="R1348" s="3">
        <v>0</v>
      </c>
    </row>
    <row r="1349" spans="1:18">
      <c r="A1349" s="3" t="s">
        <v>3340</v>
      </c>
      <c r="B1349" s="3" t="s">
        <v>3341</v>
      </c>
      <c r="C1349" s="3" t="s">
        <v>3342</v>
      </c>
      <c r="D1349" s="3" t="s">
        <v>1861</v>
      </c>
      <c r="E1349" s="3" t="s">
        <v>1710</v>
      </c>
      <c r="F1349" s="3">
        <v>15.99</v>
      </c>
      <c r="G1349" s="3" t="s">
        <v>6233</v>
      </c>
      <c r="H1349" s="3"/>
      <c r="I1349" s="3" t="s">
        <v>6234</v>
      </c>
      <c r="J1349" s="3">
        <v>9</v>
      </c>
      <c r="K1349" s="3">
        <v>9</v>
      </c>
      <c r="L1349" s="3">
        <v>0</v>
      </c>
      <c r="M1349" s="3">
        <v>0</v>
      </c>
      <c r="N1349" s="3">
        <v>9</v>
      </c>
      <c r="O1349" s="3">
        <v>0.26</v>
      </c>
      <c r="P1349" s="3">
        <v>0</v>
      </c>
      <c r="Q1349" s="3">
        <v>0</v>
      </c>
      <c r="R1349" s="3">
        <v>0</v>
      </c>
    </row>
    <row r="1350" spans="1:18">
      <c r="A1350" s="3" t="s">
        <v>5519</v>
      </c>
      <c r="B1350" s="3" t="s">
        <v>5520</v>
      </c>
      <c r="C1350" s="3" t="s">
        <v>5521</v>
      </c>
      <c r="D1350" s="3" t="s">
        <v>1861</v>
      </c>
      <c r="E1350" s="3" t="s">
        <v>1710</v>
      </c>
      <c r="F1350" s="3">
        <v>15.99</v>
      </c>
      <c r="G1350" s="3" t="s">
        <v>6233</v>
      </c>
      <c r="H1350" s="3"/>
      <c r="I1350" s="3" t="s">
        <v>6234</v>
      </c>
      <c r="J1350" s="3">
        <v>5</v>
      </c>
      <c r="K1350" s="3">
        <v>5</v>
      </c>
      <c r="L1350" s="3">
        <v>0</v>
      </c>
      <c r="M1350" s="3">
        <v>0</v>
      </c>
      <c r="N1350" s="3">
        <v>5</v>
      </c>
      <c r="O1350" s="3">
        <v>0.11</v>
      </c>
      <c r="P1350" s="3">
        <v>0</v>
      </c>
      <c r="Q1350" s="3">
        <v>0</v>
      </c>
      <c r="R1350" s="3">
        <v>0</v>
      </c>
    </row>
    <row r="1351" spans="1:18">
      <c r="A1351" s="3" t="s">
        <v>2115</v>
      </c>
      <c r="B1351" s="3" t="s">
        <v>2116</v>
      </c>
      <c r="C1351" s="3" t="s">
        <v>2117</v>
      </c>
      <c r="D1351" s="3" t="s">
        <v>2118</v>
      </c>
      <c r="E1351" s="3" t="s">
        <v>1710</v>
      </c>
      <c r="F1351" s="3">
        <v>30</v>
      </c>
      <c r="G1351" s="3" t="s">
        <v>6233</v>
      </c>
      <c r="H1351" s="3"/>
      <c r="I1351" s="3" t="s">
        <v>6234</v>
      </c>
      <c r="J1351" s="3">
        <v>4</v>
      </c>
      <c r="K1351" s="3">
        <v>4</v>
      </c>
      <c r="L1351" s="3">
        <v>0</v>
      </c>
      <c r="M1351" s="3">
        <v>0</v>
      </c>
      <c r="N1351" s="3">
        <v>4</v>
      </c>
      <c r="O1351" s="3">
        <v>0</v>
      </c>
      <c r="P1351" s="3">
        <v>0</v>
      </c>
      <c r="Q1351" s="3">
        <v>0</v>
      </c>
      <c r="R1351" s="3">
        <v>0</v>
      </c>
    </row>
    <row r="1352" spans="1:18">
      <c r="A1352" s="3" t="s">
        <v>4504</v>
      </c>
      <c r="B1352" s="3" t="s">
        <v>4505</v>
      </c>
      <c r="C1352" s="3" t="s">
        <v>4506</v>
      </c>
      <c r="D1352" s="3" t="s">
        <v>4507</v>
      </c>
      <c r="E1352" s="3" t="s">
        <v>1710</v>
      </c>
      <c r="F1352" s="3">
        <v>30</v>
      </c>
      <c r="G1352" s="3" t="s">
        <v>6233</v>
      </c>
      <c r="H1352" s="3"/>
      <c r="I1352" s="3" t="s">
        <v>6234</v>
      </c>
      <c r="J1352" s="3">
        <v>4</v>
      </c>
      <c r="K1352" s="3">
        <v>3</v>
      </c>
      <c r="L1352" s="3">
        <v>1</v>
      </c>
      <c r="M1352" s="3">
        <v>0</v>
      </c>
      <c r="N1352" s="3">
        <v>4</v>
      </c>
      <c r="O1352" s="3">
        <v>0</v>
      </c>
      <c r="P1352" s="3">
        <v>0</v>
      </c>
      <c r="Q1352" s="3">
        <v>0</v>
      </c>
      <c r="R1352" s="3">
        <v>0</v>
      </c>
    </row>
    <row r="1353" spans="1:18">
      <c r="A1353" s="3" t="s">
        <v>4673</v>
      </c>
      <c r="B1353" s="3" t="s">
        <v>4674</v>
      </c>
      <c r="C1353" s="3" t="s">
        <v>4675</v>
      </c>
      <c r="D1353" s="3" t="s">
        <v>4676</v>
      </c>
      <c r="E1353" s="3" t="s">
        <v>1710</v>
      </c>
      <c r="F1353" s="3">
        <v>30</v>
      </c>
      <c r="G1353" s="3" t="s">
        <v>6233</v>
      </c>
      <c r="H1353" s="3"/>
      <c r="I1353" s="3" t="s">
        <v>6234</v>
      </c>
      <c r="J1353" s="3">
        <v>1</v>
      </c>
      <c r="K1353" s="3">
        <v>1</v>
      </c>
      <c r="L1353" s="3">
        <v>0</v>
      </c>
      <c r="M1353" s="3">
        <v>0</v>
      </c>
      <c r="N1353" s="3">
        <v>1</v>
      </c>
      <c r="O1353" s="3">
        <v>0</v>
      </c>
      <c r="P1353" s="3">
        <v>0</v>
      </c>
      <c r="Q1353" s="3">
        <v>0</v>
      </c>
      <c r="R1353" s="3">
        <v>0</v>
      </c>
    </row>
    <row r="1354" spans="1:18">
      <c r="A1354" s="3" t="s">
        <v>2205</v>
      </c>
      <c r="B1354" s="3" t="s">
        <v>2206</v>
      </c>
      <c r="C1354" s="3" t="s">
        <v>2207</v>
      </c>
      <c r="D1354" s="3" t="s">
        <v>2208</v>
      </c>
      <c r="E1354" s="3" t="s">
        <v>1710</v>
      </c>
      <c r="F1354" s="3">
        <v>30</v>
      </c>
      <c r="G1354" s="3" t="s">
        <v>6233</v>
      </c>
      <c r="H1354" s="3"/>
      <c r="I1354" s="3" t="s">
        <v>6234</v>
      </c>
      <c r="J1354" s="3">
        <v>2</v>
      </c>
      <c r="K1354" s="3">
        <v>2</v>
      </c>
      <c r="L1354" s="3">
        <v>0</v>
      </c>
      <c r="M1354" s="3">
        <v>0</v>
      </c>
      <c r="N1354" s="3">
        <v>2</v>
      </c>
      <c r="O1354" s="3">
        <v>0</v>
      </c>
      <c r="P1354" s="3">
        <v>0</v>
      </c>
      <c r="Q1354" s="3">
        <v>0</v>
      </c>
      <c r="R1354" s="3">
        <v>0</v>
      </c>
    </row>
    <row r="1355" spans="1:18">
      <c r="A1355" s="3" t="s">
        <v>4154</v>
      </c>
      <c r="B1355" s="3" t="s">
        <v>4155</v>
      </c>
      <c r="C1355" s="3" t="s">
        <v>4156</v>
      </c>
      <c r="D1355" s="3" t="s">
        <v>4157</v>
      </c>
      <c r="E1355" s="3" t="s">
        <v>1710</v>
      </c>
      <c r="F1355" s="3">
        <v>30</v>
      </c>
      <c r="G1355" s="3" t="s">
        <v>6233</v>
      </c>
      <c r="H1355" s="3"/>
      <c r="I1355" s="3" t="s">
        <v>6234</v>
      </c>
      <c r="J1355" s="3">
        <v>4</v>
      </c>
      <c r="K1355" s="3">
        <v>4</v>
      </c>
      <c r="L1355" s="3">
        <v>0</v>
      </c>
      <c r="M1355" s="3">
        <v>0</v>
      </c>
      <c r="N1355" s="3">
        <v>4</v>
      </c>
      <c r="O1355" s="3">
        <v>0</v>
      </c>
      <c r="P1355" s="3">
        <v>0</v>
      </c>
      <c r="Q1355" s="3">
        <v>0</v>
      </c>
      <c r="R1355" s="3">
        <v>0</v>
      </c>
    </row>
    <row r="1356" spans="1:18">
      <c r="A1356" s="3" t="s">
        <v>1971</v>
      </c>
      <c r="B1356" s="3" t="s">
        <v>1972</v>
      </c>
      <c r="C1356" s="3" t="s">
        <v>1973</v>
      </c>
      <c r="D1356" s="3" t="s">
        <v>1974</v>
      </c>
      <c r="E1356" s="3" t="s">
        <v>1710</v>
      </c>
      <c r="F1356" s="3">
        <v>30</v>
      </c>
      <c r="G1356" s="3" t="s">
        <v>6233</v>
      </c>
      <c r="H1356" s="3"/>
      <c r="I1356" s="3" t="s">
        <v>6234</v>
      </c>
      <c r="J1356" s="3">
        <v>1</v>
      </c>
      <c r="K1356" s="3">
        <v>1</v>
      </c>
      <c r="L1356" s="3">
        <v>0</v>
      </c>
      <c r="M1356" s="3">
        <v>0</v>
      </c>
      <c r="N1356" s="3">
        <v>1</v>
      </c>
      <c r="O1356" s="3">
        <v>0</v>
      </c>
      <c r="P1356" s="3">
        <v>0</v>
      </c>
      <c r="Q1356" s="3">
        <v>0</v>
      </c>
      <c r="R1356" s="3">
        <v>0</v>
      </c>
    </row>
    <row r="1357" spans="1:18">
      <c r="A1357" s="3" t="s">
        <v>8142</v>
      </c>
      <c r="B1357" s="3" t="s">
        <v>8143</v>
      </c>
      <c r="C1357" s="3" t="s">
        <v>8144</v>
      </c>
      <c r="D1357" s="3" t="s">
        <v>333</v>
      </c>
      <c r="E1357" s="3" t="s">
        <v>1710</v>
      </c>
      <c r="F1357" s="3">
        <v>30</v>
      </c>
      <c r="G1357" s="3" t="s">
        <v>6233</v>
      </c>
      <c r="H1357" s="3"/>
      <c r="I1357" s="3" t="s">
        <v>6234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0.17</v>
      </c>
      <c r="P1357" s="3">
        <v>0</v>
      </c>
      <c r="Q1357" s="3">
        <v>0</v>
      </c>
      <c r="R1357" s="3">
        <v>0</v>
      </c>
    </row>
    <row r="1358" spans="1:18">
      <c r="A1358" s="3" t="s">
        <v>5905</v>
      </c>
      <c r="B1358" s="3" t="s">
        <v>5906</v>
      </c>
      <c r="C1358" s="3" t="s">
        <v>5907</v>
      </c>
      <c r="D1358" s="3" t="s">
        <v>333</v>
      </c>
      <c r="E1358" s="3" t="s">
        <v>1710</v>
      </c>
      <c r="F1358" s="3">
        <v>30</v>
      </c>
      <c r="G1358" s="3" t="s">
        <v>6233</v>
      </c>
      <c r="H1358" s="3"/>
      <c r="I1358" s="3" t="s">
        <v>6234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0.05</v>
      </c>
      <c r="P1358" s="3">
        <v>0</v>
      </c>
      <c r="Q1358" s="3">
        <v>0</v>
      </c>
      <c r="R1358" s="3">
        <v>0</v>
      </c>
    </row>
    <row r="1359" spans="1:18">
      <c r="A1359" s="3" t="s">
        <v>4412</v>
      </c>
      <c r="B1359" s="3" t="s">
        <v>4413</v>
      </c>
      <c r="C1359" s="3" t="s">
        <v>4414</v>
      </c>
      <c r="D1359" s="3" t="s">
        <v>333</v>
      </c>
      <c r="E1359" s="3" t="s">
        <v>1710</v>
      </c>
      <c r="F1359" s="3">
        <v>30</v>
      </c>
      <c r="G1359" s="3" t="s">
        <v>6233</v>
      </c>
      <c r="H1359" s="3"/>
      <c r="I1359" s="3" t="s">
        <v>6234</v>
      </c>
      <c r="J1359" s="3">
        <v>9</v>
      </c>
      <c r="K1359" s="3">
        <v>9</v>
      </c>
      <c r="L1359" s="3">
        <v>0</v>
      </c>
      <c r="M1359" s="3">
        <v>0</v>
      </c>
      <c r="N1359" s="3">
        <v>9</v>
      </c>
      <c r="O1359" s="3">
        <v>0.09</v>
      </c>
      <c r="P1359" s="3">
        <v>0</v>
      </c>
      <c r="Q1359" s="3">
        <v>0</v>
      </c>
      <c r="R1359" s="3">
        <v>0</v>
      </c>
    </row>
    <row r="1360" spans="1:18">
      <c r="A1360" s="3" t="s">
        <v>330</v>
      </c>
      <c r="B1360" s="3" t="s">
        <v>331</v>
      </c>
      <c r="C1360" s="3" t="s">
        <v>332</v>
      </c>
      <c r="D1360" s="3" t="s">
        <v>333</v>
      </c>
      <c r="E1360" s="3" t="s">
        <v>1710</v>
      </c>
      <c r="F1360" s="3">
        <v>30</v>
      </c>
      <c r="G1360" s="3" t="s">
        <v>6233</v>
      </c>
      <c r="H1360" s="3"/>
      <c r="I1360" s="3" t="s">
        <v>6234</v>
      </c>
      <c r="J1360" s="3">
        <v>3</v>
      </c>
      <c r="K1360" s="3">
        <v>2</v>
      </c>
      <c r="L1360" s="3">
        <v>0</v>
      </c>
      <c r="M1360" s="3">
        <v>1</v>
      </c>
      <c r="N1360" s="3">
        <v>3</v>
      </c>
      <c r="O1360" s="3">
        <v>0.11</v>
      </c>
      <c r="P1360" s="3">
        <v>0</v>
      </c>
      <c r="Q1360" s="3">
        <v>0</v>
      </c>
      <c r="R1360" s="3">
        <v>0</v>
      </c>
    </row>
    <row r="1361" spans="1:18">
      <c r="A1361" s="3" t="s">
        <v>4391</v>
      </c>
      <c r="B1361" s="3" t="s">
        <v>4392</v>
      </c>
      <c r="C1361" s="3" t="s">
        <v>4393</v>
      </c>
      <c r="D1361" s="3" t="s">
        <v>333</v>
      </c>
      <c r="E1361" s="3" t="s">
        <v>1710</v>
      </c>
      <c r="F1361" s="3">
        <v>30</v>
      </c>
      <c r="G1361" s="3" t="s">
        <v>6233</v>
      </c>
      <c r="H1361" s="3"/>
      <c r="I1361" s="3" t="s">
        <v>6234</v>
      </c>
      <c r="J1361" s="3">
        <v>9</v>
      </c>
      <c r="K1361" s="3">
        <v>9</v>
      </c>
      <c r="L1361" s="3">
        <v>0</v>
      </c>
      <c r="M1361" s="3">
        <v>0</v>
      </c>
      <c r="N1361" s="3">
        <v>9</v>
      </c>
      <c r="O1361" s="3">
        <v>0.13</v>
      </c>
      <c r="P1361" s="3">
        <v>0</v>
      </c>
      <c r="Q1361" s="3">
        <v>0</v>
      </c>
      <c r="R1361" s="3">
        <v>0</v>
      </c>
    </row>
    <row r="1362" spans="1:18">
      <c r="A1362" s="3" t="s">
        <v>8145</v>
      </c>
      <c r="B1362" s="3" t="s">
        <v>8146</v>
      </c>
      <c r="C1362" s="3" t="s">
        <v>8147</v>
      </c>
      <c r="D1362" s="3" t="s">
        <v>2577</v>
      </c>
      <c r="E1362" s="3" t="s">
        <v>1710</v>
      </c>
      <c r="F1362" s="3">
        <v>30</v>
      </c>
      <c r="G1362" s="3" t="s">
        <v>6233</v>
      </c>
      <c r="H1362" s="3"/>
      <c r="I1362" s="3" t="s">
        <v>6234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0.11</v>
      </c>
      <c r="P1362" s="3">
        <v>0</v>
      </c>
      <c r="Q1362" s="3">
        <v>0</v>
      </c>
      <c r="R1362" s="3">
        <v>0</v>
      </c>
    </row>
    <row r="1363" spans="1:18">
      <c r="A1363" s="3" t="s">
        <v>8148</v>
      </c>
      <c r="B1363" s="3" t="s">
        <v>8149</v>
      </c>
      <c r="C1363" s="3" t="s">
        <v>8150</v>
      </c>
      <c r="D1363" s="3" t="s">
        <v>8151</v>
      </c>
      <c r="E1363" s="3" t="s">
        <v>1710</v>
      </c>
      <c r="F1363" s="3">
        <v>30</v>
      </c>
      <c r="G1363" s="3" t="s">
        <v>6233</v>
      </c>
      <c r="H1363" s="3"/>
      <c r="I1363" s="3" t="s">
        <v>6234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0.03</v>
      </c>
      <c r="P1363" s="3">
        <v>0</v>
      </c>
      <c r="Q1363" s="3">
        <v>0</v>
      </c>
      <c r="R1363" s="3">
        <v>0</v>
      </c>
    </row>
    <row r="1364" spans="1:18">
      <c r="A1364" s="3" t="s">
        <v>8152</v>
      </c>
      <c r="B1364" s="3" t="s">
        <v>8153</v>
      </c>
      <c r="C1364" s="3" t="s">
        <v>8154</v>
      </c>
      <c r="D1364" s="3" t="s">
        <v>2577</v>
      </c>
      <c r="E1364" s="3" t="s">
        <v>1710</v>
      </c>
      <c r="F1364" s="3">
        <v>30</v>
      </c>
      <c r="G1364" s="3" t="s">
        <v>6233</v>
      </c>
      <c r="H1364" s="3"/>
      <c r="I1364" s="3" t="s">
        <v>6234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0.16</v>
      </c>
      <c r="P1364" s="3">
        <v>0</v>
      </c>
      <c r="Q1364" s="3">
        <v>0</v>
      </c>
      <c r="R1364" s="3">
        <v>0</v>
      </c>
    </row>
    <row r="1365" spans="1:18">
      <c r="A1365" s="3" t="s">
        <v>8155</v>
      </c>
      <c r="B1365" s="3" t="s">
        <v>8156</v>
      </c>
      <c r="C1365" s="3" t="s">
        <v>8157</v>
      </c>
      <c r="D1365" s="3" t="s">
        <v>2577</v>
      </c>
      <c r="E1365" s="3" t="s">
        <v>1710</v>
      </c>
      <c r="F1365" s="3">
        <v>30</v>
      </c>
      <c r="G1365" s="3" t="s">
        <v>6233</v>
      </c>
      <c r="H1365" s="3"/>
      <c r="I1365" s="3" t="s">
        <v>6234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0.11</v>
      </c>
      <c r="P1365" s="3">
        <v>0</v>
      </c>
      <c r="Q1365" s="3">
        <v>0</v>
      </c>
      <c r="R1365" s="3">
        <v>0</v>
      </c>
    </row>
    <row r="1366" spans="1:18">
      <c r="A1366" s="3" t="s">
        <v>8158</v>
      </c>
      <c r="B1366" s="3" t="s">
        <v>8159</v>
      </c>
      <c r="C1366" s="3" t="s">
        <v>8160</v>
      </c>
      <c r="D1366" s="3" t="s">
        <v>2577</v>
      </c>
      <c r="E1366" s="3" t="s">
        <v>1710</v>
      </c>
      <c r="F1366" s="3">
        <v>30</v>
      </c>
      <c r="G1366" s="3" t="s">
        <v>6233</v>
      </c>
      <c r="H1366" s="3"/>
      <c r="I1366" s="3" t="s">
        <v>6234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0.16</v>
      </c>
      <c r="P1366" s="3">
        <v>0</v>
      </c>
      <c r="Q1366" s="3">
        <v>0</v>
      </c>
      <c r="R1366" s="3">
        <v>0</v>
      </c>
    </row>
    <row r="1367" spans="1:18">
      <c r="A1367" s="3" t="s">
        <v>8161</v>
      </c>
      <c r="B1367" s="3" t="s">
        <v>8162</v>
      </c>
      <c r="C1367" s="3" t="s">
        <v>8163</v>
      </c>
      <c r="D1367" s="3" t="s">
        <v>2577</v>
      </c>
      <c r="E1367" s="3" t="s">
        <v>1710</v>
      </c>
      <c r="F1367" s="3">
        <v>30</v>
      </c>
      <c r="G1367" s="3" t="s">
        <v>6233</v>
      </c>
      <c r="H1367" s="3"/>
      <c r="I1367" s="3" t="s">
        <v>6234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0.16</v>
      </c>
      <c r="P1367" s="3">
        <v>0</v>
      </c>
      <c r="Q1367" s="3">
        <v>0</v>
      </c>
      <c r="R1367" s="3">
        <v>0</v>
      </c>
    </row>
    <row r="1368" spans="1:18">
      <c r="A1368" s="3" t="s">
        <v>8164</v>
      </c>
      <c r="B1368" s="3" t="s">
        <v>8165</v>
      </c>
      <c r="C1368" s="3" t="s">
        <v>8166</v>
      </c>
      <c r="D1368" s="3" t="s">
        <v>2577</v>
      </c>
      <c r="E1368" s="3" t="s">
        <v>1710</v>
      </c>
      <c r="F1368" s="3">
        <v>30</v>
      </c>
      <c r="G1368" s="3" t="s">
        <v>6233</v>
      </c>
      <c r="H1368" s="3"/>
      <c r="I1368" s="3" t="s">
        <v>6234</v>
      </c>
      <c r="J1368" s="3">
        <v>1</v>
      </c>
      <c r="K1368" s="3">
        <v>0</v>
      </c>
      <c r="L1368" s="3">
        <v>1</v>
      </c>
      <c r="M1368" s="3">
        <v>0</v>
      </c>
      <c r="N1368" s="3">
        <v>1</v>
      </c>
      <c r="O1368" s="3">
        <v>0.16</v>
      </c>
      <c r="P1368" s="3">
        <v>0</v>
      </c>
      <c r="Q1368" s="3">
        <v>0</v>
      </c>
      <c r="R1368" s="3">
        <v>0</v>
      </c>
    </row>
    <row r="1369" spans="1:18">
      <c r="A1369" s="3" t="s">
        <v>6066</v>
      </c>
      <c r="B1369" s="3" t="s">
        <v>6067</v>
      </c>
      <c r="C1369" s="3" t="s">
        <v>6068</v>
      </c>
      <c r="D1369" s="3" t="s">
        <v>2577</v>
      </c>
      <c r="E1369" s="3" t="s">
        <v>1710</v>
      </c>
      <c r="F1369" s="3">
        <v>30</v>
      </c>
      <c r="G1369" s="3" t="s">
        <v>6233</v>
      </c>
      <c r="H1369" s="3"/>
      <c r="I1369" s="3" t="s">
        <v>6234</v>
      </c>
      <c r="J1369" s="3">
        <v>17</v>
      </c>
      <c r="K1369" s="3">
        <v>17</v>
      </c>
      <c r="L1369" s="3">
        <v>0</v>
      </c>
      <c r="M1369" s="3">
        <v>0</v>
      </c>
      <c r="N1369" s="3">
        <v>17</v>
      </c>
      <c r="O1369" s="3">
        <v>0.15</v>
      </c>
      <c r="P1369" s="3">
        <v>0</v>
      </c>
      <c r="Q1369" s="3">
        <v>0</v>
      </c>
      <c r="R1369" s="3">
        <v>0</v>
      </c>
    </row>
    <row r="1370" spans="1:18">
      <c r="A1370" s="3" t="s">
        <v>2574</v>
      </c>
      <c r="B1370" s="3" t="s">
        <v>2575</v>
      </c>
      <c r="C1370" s="3" t="s">
        <v>2576</v>
      </c>
      <c r="D1370" s="3" t="s">
        <v>2577</v>
      </c>
      <c r="E1370" s="3" t="s">
        <v>1710</v>
      </c>
      <c r="F1370" s="3">
        <v>30</v>
      </c>
      <c r="G1370" s="3" t="s">
        <v>6233</v>
      </c>
      <c r="H1370" s="3"/>
      <c r="I1370" s="3" t="s">
        <v>6234</v>
      </c>
      <c r="J1370" s="3">
        <v>11</v>
      </c>
      <c r="K1370" s="3">
        <v>11</v>
      </c>
      <c r="L1370" s="3">
        <v>0</v>
      </c>
      <c r="M1370" s="3">
        <v>0</v>
      </c>
      <c r="N1370" s="3">
        <v>11</v>
      </c>
      <c r="O1370" s="3">
        <v>0.02</v>
      </c>
      <c r="P1370" s="3">
        <v>0</v>
      </c>
      <c r="Q1370" s="3">
        <v>0</v>
      </c>
      <c r="R1370" s="3">
        <v>0</v>
      </c>
    </row>
    <row r="1371" spans="1:18">
      <c r="A1371" s="3" t="s">
        <v>8167</v>
      </c>
      <c r="B1371" s="3" t="s">
        <v>8168</v>
      </c>
      <c r="C1371" s="3" t="s">
        <v>8169</v>
      </c>
      <c r="D1371" s="3" t="s">
        <v>2577</v>
      </c>
      <c r="E1371" s="3" t="s">
        <v>1710</v>
      </c>
      <c r="F1371" s="3">
        <v>30</v>
      </c>
      <c r="G1371" s="3" t="s">
        <v>6233</v>
      </c>
      <c r="H1371" s="3"/>
      <c r="I1371" s="3" t="s">
        <v>6234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0.16</v>
      </c>
      <c r="P1371" s="3">
        <v>0</v>
      </c>
      <c r="Q1371" s="3">
        <v>0</v>
      </c>
      <c r="R1371" s="3">
        <v>0</v>
      </c>
    </row>
    <row r="1372" spans="1:18">
      <c r="A1372" s="3" t="s">
        <v>8170</v>
      </c>
      <c r="B1372" s="3" t="s">
        <v>8171</v>
      </c>
      <c r="C1372" s="3" t="s">
        <v>8172</v>
      </c>
      <c r="D1372" s="3" t="s">
        <v>2577</v>
      </c>
      <c r="E1372" s="3" t="s">
        <v>1710</v>
      </c>
      <c r="F1372" s="3">
        <v>30</v>
      </c>
      <c r="G1372" s="3" t="s">
        <v>6233</v>
      </c>
      <c r="H1372" s="3"/>
      <c r="I1372" s="3" t="s">
        <v>6234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0.11</v>
      </c>
      <c r="P1372" s="3">
        <v>0</v>
      </c>
      <c r="Q1372" s="3">
        <v>0</v>
      </c>
      <c r="R1372" s="3">
        <v>0</v>
      </c>
    </row>
    <row r="1373" spans="1:18">
      <c r="A1373" s="3" t="s">
        <v>5949</v>
      </c>
      <c r="B1373" s="3" t="s">
        <v>5950</v>
      </c>
      <c r="C1373" s="3" t="s">
        <v>5951</v>
      </c>
      <c r="D1373" s="3" t="s">
        <v>2577</v>
      </c>
      <c r="E1373" s="3" t="s">
        <v>1710</v>
      </c>
      <c r="F1373" s="3">
        <v>30</v>
      </c>
      <c r="G1373" s="3" t="s">
        <v>6233</v>
      </c>
      <c r="H1373" s="3"/>
      <c r="I1373" s="3" t="s">
        <v>6234</v>
      </c>
      <c r="J1373" s="3">
        <v>4</v>
      </c>
      <c r="K1373" s="3">
        <v>4</v>
      </c>
      <c r="L1373" s="3">
        <v>0</v>
      </c>
      <c r="M1373" s="3">
        <v>0</v>
      </c>
      <c r="N1373" s="3">
        <v>4</v>
      </c>
      <c r="O1373" s="3">
        <v>0.16</v>
      </c>
      <c r="P1373" s="3">
        <v>0</v>
      </c>
      <c r="Q1373" s="3">
        <v>0</v>
      </c>
      <c r="R1373" s="3">
        <v>0</v>
      </c>
    </row>
    <row r="1374" spans="1:18">
      <c r="A1374" s="3" t="s">
        <v>2846</v>
      </c>
      <c r="B1374" s="3" t="s">
        <v>2847</v>
      </c>
      <c r="C1374" s="3" t="s">
        <v>2848</v>
      </c>
      <c r="D1374" s="3" t="s">
        <v>2849</v>
      </c>
      <c r="E1374" s="3" t="s">
        <v>1710</v>
      </c>
      <c r="F1374" s="3">
        <v>30</v>
      </c>
      <c r="G1374" s="3" t="s">
        <v>6233</v>
      </c>
      <c r="H1374" s="3"/>
      <c r="I1374" s="3" t="s">
        <v>6234</v>
      </c>
      <c r="J1374" s="3">
        <v>7</v>
      </c>
      <c r="K1374" s="3">
        <v>7</v>
      </c>
      <c r="L1374" s="3">
        <v>0</v>
      </c>
      <c r="M1374" s="3">
        <v>0</v>
      </c>
      <c r="N1374" s="3">
        <v>7</v>
      </c>
      <c r="O1374" s="3">
        <v>0.15</v>
      </c>
      <c r="P1374" s="3">
        <v>0</v>
      </c>
      <c r="Q1374" s="3">
        <v>0</v>
      </c>
      <c r="R1374" s="3">
        <v>0</v>
      </c>
    </row>
    <row r="1375" spans="1:18">
      <c r="A1375" s="3" t="s">
        <v>8173</v>
      </c>
      <c r="B1375" s="3" t="s">
        <v>8174</v>
      </c>
      <c r="C1375" s="3" t="s">
        <v>8175</v>
      </c>
      <c r="D1375" s="3"/>
      <c r="E1375" s="3" t="s">
        <v>6275</v>
      </c>
      <c r="F1375" s="3"/>
      <c r="G1375" s="3"/>
      <c r="H1375" s="3"/>
      <c r="I1375" s="3"/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/>
      <c r="P1375" s="3">
        <v>0</v>
      </c>
      <c r="Q1375" s="3">
        <v>0</v>
      </c>
      <c r="R1375" s="3">
        <v>0</v>
      </c>
    </row>
    <row r="1376" spans="1:18">
      <c r="A1376" s="3" t="s">
        <v>8176</v>
      </c>
      <c r="B1376" s="3" t="s">
        <v>8177</v>
      </c>
      <c r="C1376" s="3" t="s">
        <v>8178</v>
      </c>
      <c r="D1376" s="3" t="s">
        <v>2577</v>
      </c>
      <c r="E1376" s="3" t="s">
        <v>1710</v>
      </c>
      <c r="F1376" s="3">
        <v>30</v>
      </c>
      <c r="G1376" s="3" t="s">
        <v>6233</v>
      </c>
      <c r="H1376" s="3"/>
      <c r="I1376" s="3" t="s">
        <v>6234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0.16</v>
      </c>
      <c r="P1376" s="3">
        <v>0</v>
      </c>
      <c r="Q1376" s="3">
        <v>0</v>
      </c>
      <c r="R1376" s="3">
        <v>0</v>
      </c>
    </row>
    <row r="1377" spans="1:18">
      <c r="A1377" s="3" t="s">
        <v>3315</v>
      </c>
      <c r="B1377" s="3" t="s">
        <v>3316</v>
      </c>
      <c r="C1377" s="3" t="s">
        <v>3317</v>
      </c>
      <c r="D1377" s="3" t="s">
        <v>2577</v>
      </c>
      <c r="E1377" s="3" t="s">
        <v>1710</v>
      </c>
      <c r="F1377" s="3">
        <v>30</v>
      </c>
      <c r="G1377" s="3" t="s">
        <v>6233</v>
      </c>
      <c r="H1377" s="3"/>
      <c r="I1377" s="3" t="s">
        <v>6234</v>
      </c>
      <c r="J1377" s="3">
        <v>17</v>
      </c>
      <c r="K1377" s="3">
        <v>17</v>
      </c>
      <c r="L1377" s="3">
        <v>0</v>
      </c>
      <c r="M1377" s="3">
        <v>0</v>
      </c>
      <c r="N1377" s="3">
        <v>17</v>
      </c>
      <c r="O1377" s="3">
        <v>0.15</v>
      </c>
      <c r="P1377" s="3">
        <v>0</v>
      </c>
      <c r="Q1377" s="3">
        <v>0</v>
      </c>
      <c r="R1377" s="3">
        <v>0</v>
      </c>
    </row>
    <row r="1378" spans="1:18">
      <c r="A1378" s="3" t="s">
        <v>8179</v>
      </c>
      <c r="B1378" s="3" t="s">
        <v>8180</v>
      </c>
      <c r="C1378" s="3" t="s">
        <v>8181</v>
      </c>
      <c r="D1378" s="3" t="s">
        <v>2577</v>
      </c>
      <c r="E1378" s="3" t="s">
        <v>1710</v>
      </c>
      <c r="F1378" s="3">
        <v>30</v>
      </c>
      <c r="G1378" s="3" t="s">
        <v>6233</v>
      </c>
      <c r="H1378" s="3"/>
      <c r="I1378" s="3" t="s">
        <v>6234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0.15</v>
      </c>
      <c r="P1378" s="3">
        <v>0</v>
      </c>
      <c r="Q1378" s="3">
        <v>0</v>
      </c>
      <c r="R1378" s="3">
        <v>0</v>
      </c>
    </row>
    <row r="1379" spans="1:18">
      <c r="A1379" s="3" t="s">
        <v>8182</v>
      </c>
      <c r="B1379" s="3" t="s">
        <v>8183</v>
      </c>
      <c r="C1379" s="3" t="s">
        <v>8184</v>
      </c>
      <c r="D1379" s="3" t="s">
        <v>2577</v>
      </c>
      <c r="E1379" s="3" t="s">
        <v>1710</v>
      </c>
      <c r="F1379" s="3">
        <v>30</v>
      </c>
      <c r="G1379" s="3" t="s">
        <v>6233</v>
      </c>
      <c r="H1379" s="3"/>
      <c r="I1379" s="3" t="s">
        <v>6234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0.16</v>
      </c>
      <c r="P1379" s="3">
        <v>0</v>
      </c>
      <c r="Q1379" s="3">
        <v>0</v>
      </c>
      <c r="R1379" s="3">
        <v>0</v>
      </c>
    </row>
    <row r="1380" spans="1:18">
      <c r="A1380" s="3" t="s">
        <v>8185</v>
      </c>
      <c r="B1380" s="3" t="s">
        <v>8186</v>
      </c>
      <c r="C1380" s="3" t="s">
        <v>8187</v>
      </c>
      <c r="D1380" s="3" t="s">
        <v>8188</v>
      </c>
      <c r="E1380" s="3" t="s">
        <v>1710</v>
      </c>
      <c r="F1380" s="3">
        <v>30</v>
      </c>
      <c r="G1380" s="3" t="s">
        <v>6233</v>
      </c>
      <c r="H1380" s="3"/>
      <c r="I1380" s="3" t="s">
        <v>6234</v>
      </c>
      <c r="J1380" s="3">
        <v>1</v>
      </c>
      <c r="K1380" s="3">
        <v>0</v>
      </c>
      <c r="L1380" s="3">
        <v>1</v>
      </c>
      <c r="M1380" s="3">
        <v>0</v>
      </c>
      <c r="N1380" s="3">
        <v>1</v>
      </c>
      <c r="O1380" s="3">
        <v>0</v>
      </c>
      <c r="P1380" s="3">
        <v>0</v>
      </c>
      <c r="Q1380" s="3">
        <v>0</v>
      </c>
      <c r="R1380" s="3">
        <v>0</v>
      </c>
    </row>
    <row r="1381" spans="1:18">
      <c r="A1381" s="3" t="s">
        <v>8189</v>
      </c>
      <c r="B1381" s="3" t="s">
        <v>8190</v>
      </c>
      <c r="C1381" s="3" t="s">
        <v>8191</v>
      </c>
      <c r="D1381" s="3" t="s">
        <v>3178</v>
      </c>
      <c r="E1381" s="3" t="s">
        <v>1710</v>
      </c>
      <c r="F1381" s="3">
        <v>30</v>
      </c>
      <c r="G1381" s="3" t="s">
        <v>6233</v>
      </c>
      <c r="H1381" s="3"/>
      <c r="I1381" s="3" t="s">
        <v>6234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</row>
    <row r="1382" spans="1:18">
      <c r="A1382" s="3" t="s">
        <v>4117</v>
      </c>
      <c r="B1382" s="3" t="s">
        <v>4118</v>
      </c>
      <c r="C1382" s="3" t="s">
        <v>4119</v>
      </c>
      <c r="D1382" s="3" t="s">
        <v>3178</v>
      </c>
      <c r="E1382" s="3" t="s">
        <v>1710</v>
      </c>
      <c r="F1382" s="3">
        <v>30</v>
      </c>
      <c r="G1382" s="3" t="s">
        <v>6233</v>
      </c>
      <c r="H1382" s="3"/>
      <c r="I1382" s="3" t="s">
        <v>6234</v>
      </c>
      <c r="J1382" s="3">
        <v>4</v>
      </c>
      <c r="K1382" s="3">
        <v>4</v>
      </c>
      <c r="L1382" s="3">
        <v>0</v>
      </c>
      <c r="M1382" s="3">
        <v>0</v>
      </c>
      <c r="N1382" s="3">
        <v>4</v>
      </c>
      <c r="O1382" s="3">
        <v>0</v>
      </c>
      <c r="P1382" s="3">
        <v>0</v>
      </c>
      <c r="Q1382" s="3">
        <v>0</v>
      </c>
      <c r="R1382" s="3">
        <v>0</v>
      </c>
    </row>
    <row r="1383" spans="1:18">
      <c r="A1383" s="3" t="s">
        <v>6046</v>
      </c>
      <c r="B1383" s="3" t="s">
        <v>6047</v>
      </c>
      <c r="C1383" s="3" t="s">
        <v>6048</v>
      </c>
      <c r="D1383" s="3" t="s">
        <v>3178</v>
      </c>
      <c r="E1383" s="3" t="s">
        <v>1710</v>
      </c>
      <c r="F1383" s="3">
        <v>30</v>
      </c>
      <c r="G1383" s="3" t="s">
        <v>6233</v>
      </c>
      <c r="H1383" s="3"/>
      <c r="I1383" s="3" t="s">
        <v>6234</v>
      </c>
      <c r="J1383" s="3">
        <v>2</v>
      </c>
      <c r="K1383" s="3">
        <v>2</v>
      </c>
      <c r="L1383" s="3">
        <v>0</v>
      </c>
      <c r="M1383" s="3">
        <v>0</v>
      </c>
      <c r="N1383" s="3">
        <v>2</v>
      </c>
      <c r="O1383" s="3">
        <v>0</v>
      </c>
      <c r="P1383" s="3">
        <v>0</v>
      </c>
      <c r="Q1383" s="3">
        <v>0</v>
      </c>
      <c r="R1383" s="3">
        <v>0</v>
      </c>
    </row>
    <row r="1384" spans="1:18">
      <c r="A1384" s="3" t="s">
        <v>5167</v>
      </c>
      <c r="B1384" s="3" t="s">
        <v>5168</v>
      </c>
      <c r="C1384" s="3" t="s">
        <v>5169</v>
      </c>
      <c r="D1384" s="3" t="s">
        <v>3178</v>
      </c>
      <c r="E1384" s="3" t="s">
        <v>1710</v>
      </c>
      <c r="F1384" s="3">
        <v>30</v>
      </c>
      <c r="G1384" s="3" t="s">
        <v>6233</v>
      </c>
      <c r="H1384" s="3"/>
      <c r="I1384" s="3" t="s">
        <v>6234</v>
      </c>
      <c r="J1384" s="3">
        <v>1</v>
      </c>
      <c r="K1384" s="3">
        <v>1</v>
      </c>
      <c r="L1384" s="3">
        <v>0</v>
      </c>
      <c r="M1384" s="3">
        <v>0</v>
      </c>
      <c r="N1384" s="3">
        <v>1</v>
      </c>
      <c r="O1384" s="3">
        <v>0</v>
      </c>
      <c r="P1384" s="3">
        <v>0</v>
      </c>
      <c r="Q1384" s="3">
        <v>0</v>
      </c>
      <c r="R1384" s="3">
        <v>0</v>
      </c>
    </row>
    <row r="1385" spans="1:18">
      <c r="A1385" s="3" t="s">
        <v>3825</v>
      </c>
      <c r="B1385" s="3" t="s">
        <v>3826</v>
      </c>
      <c r="C1385" s="3" t="s">
        <v>3827</v>
      </c>
      <c r="D1385" s="3" t="s">
        <v>3178</v>
      </c>
      <c r="E1385" s="3" t="s">
        <v>1710</v>
      </c>
      <c r="F1385" s="3">
        <v>30</v>
      </c>
      <c r="G1385" s="3" t="s">
        <v>6233</v>
      </c>
      <c r="H1385" s="3"/>
      <c r="I1385" s="3" t="s">
        <v>6234</v>
      </c>
      <c r="J1385" s="3">
        <v>3</v>
      </c>
      <c r="K1385" s="3">
        <v>3</v>
      </c>
      <c r="L1385" s="3">
        <v>0</v>
      </c>
      <c r="M1385" s="3">
        <v>0</v>
      </c>
      <c r="N1385" s="3">
        <v>3</v>
      </c>
      <c r="O1385" s="3">
        <v>0</v>
      </c>
      <c r="P1385" s="3">
        <v>0</v>
      </c>
      <c r="Q1385" s="3">
        <v>0</v>
      </c>
      <c r="R1385" s="3">
        <v>0</v>
      </c>
    </row>
    <row r="1386" spans="1:18">
      <c r="A1386" s="3" t="s">
        <v>3175</v>
      </c>
      <c r="B1386" s="3" t="s">
        <v>3176</v>
      </c>
      <c r="C1386" s="3" t="s">
        <v>3177</v>
      </c>
      <c r="D1386" s="3" t="s">
        <v>3178</v>
      </c>
      <c r="E1386" s="3" t="s">
        <v>1710</v>
      </c>
      <c r="F1386" s="3">
        <v>30</v>
      </c>
      <c r="G1386" s="3" t="s">
        <v>6233</v>
      </c>
      <c r="H1386" s="3"/>
      <c r="I1386" s="3" t="s">
        <v>6234</v>
      </c>
      <c r="J1386" s="3">
        <v>1</v>
      </c>
      <c r="K1386" s="3">
        <v>1</v>
      </c>
      <c r="L1386" s="3">
        <v>0</v>
      </c>
      <c r="M1386" s="3">
        <v>0</v>
      </c>
      <c r="N1386" s="3">
        <v>1</v>
      </c>
      <c r="O1386" s="3">
        <v>0</v>
      </c>
      <c r="P1386" s="3">
        <v>0</v>
      </c>
      <c r="Q1386" s="3">
        <v>0</v>
      </c>
      <c r="R1386" s="3">
        <v>0</v>
      </c>
    </row>
    <row r="1387" spans="1:18">
      <c r="A1387" s="3" t="s">
        <v>3591</v>
      </c>
      <c r="B1387" s="3" t="s">
        <v>3592</v>
      </c>
      <c r="C1387" s="3" t="s">
        <v>3593</v>
      </c>
      <c r="D1387" s="3" t="s">
        <v>3178</v>
      </c>
      <c r="E1387" s="3" t="s">
        <v>1710</v>
      </c>
      <c r="F1387" s="3">
        <v>30</v>
      </c>
      <c r="G1387" s="3" t="s">
        <v>6233</v>
      </c>
      <c r="H1387" s="3"/>
      <c r="I1387" s="3" t="s">
        <v>6234</v>
      </c>
      <c r="J1387" s="3">
        <v>2</v>
      </c>
      <c r="K1387" s="3">
        <v>2</v>
      </c>
      <c r="L1387" s="3">
        <v>0</v>
      </c>
      <c r="M1387" s="3">
        <v>0</v>
      </c>
      <c r="N1387" s="3">
        <v>2</v>
      </c>
      <c r="O1387" s="3">
        <v>0</v>
      </c>
      <c r="P1387" s="3">
        <v>0</v>
      </c>
      <c r="Q1387" s="3">
        <v>0</v>
      </c>
      <c r="R1387" s="3">
        <v>0</v>
      </c>
    </row>
    <row r="1388" spans="1:18">
      <c r="A1388" s="3" t="s">
        <v>8192</v>
      </c>
      <c r="B1388" s="3" t="s">
        <v>8193</v>
      </c>
      <c r="C1388" s="3" t="s">
        <v>8194</v>
      </c>
      <c r="D1388" s="3" t="s">
        <v>8195</v>
      </c>
      <c r="E1388" s="3" t="s">
        <v>1710</v>
      </c>
      <c r="F1388" s="3">
        <v>30</v>
      </c>
      <c r="G1388" s="3" t="s">
        <v>6233</v>
      </c>
      <c r="H1388" s="3"/>
      <c r="I1388" s="3" t="s">
        <v>6234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0.09</v>
      </c>
      <c r="P1388" s="3">
        <v>0</v>
      </c>
      <c r="Q1388" s="3">
        <v>0</v>
      </c>
      <c r="R1388" s="3">
        <v>0</v>
      </c>
    </row>
    <row r="1389" spans="1:18">
      <c r="A1389" s="3" t="s">
        <v>2438</v>
      </c>
      <c r="B1389" s="3" t="s">
        <v>2439</v>
      </c>
      <c r="C1389" s="3" t="s">
        <v>2440</v>
      </c>
      <c r="D1389" s="3" t="s">
        <v>2441</v>
      </c>
      <c r="E1389" s="3" t="s">
        <v>1710</v>
      </c>
      <c r="F1389" s="3">
        <v>30</v>
      </c>
      <c r="G1389" s="3" t="s">
        <v>6233</v>
      </c>
      <c r="H1389" s="3"/>
      <c r="I1389" s="3" t="s">
        <v>6234</v>
      </c>
      <c r="J1389" s="3">
        <v>8</v>
      </c>
      <c r="K1389" s="3">
        <v>8</v>
      </c>
      <c r="L1389" s="3">
        <v>0</v>
      </c>
      <c r="M1389" s="3">
        <v>0</v>
      </c>
      <c r="N1389" s="3">
        <v>8</v>
      </c>
      <c r="O1389" s="3">
        <v>0.31</v>
      </c>
      <c r="P1389" s="3">
        <v>0</v>
      </c>
      <c r="Q1389" s="3">
        <v>0</v>
      </c>
      <c r="R1389" s="3">
        <v>0</v>
      </c>
    </row>
    <row r="1390" spans="1:18">
      <c r="A1390" s="3" t="s">
        <v>8196</v>
      </c>
      <c r="B1390" s="3" t="s">
        <v>8197</v>
      </c>
      <c r="C1390" s="3" t="s">
        <v>8198</v>
      </c>
      <c r="D1390" s="3" t="s">
        <v>8199</v>
      </c>
      <c r="E1390" s="3" t="s">
        <v>1710</v>
      </c>
      <c r="F1390" s="3">
        <v>30</v>
      </c>
      <c r="G1390" s="3" t="s">
        <v>6233</v>
      </c>
      <c r="H1390" s="3"/>
      <c r="I1390" s="3" t="s">
        <v>6234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0.38</v>
      </c>
      <c r="P1390" s="3">
        <v>0</v>
      </c>
      <c r="Q1390" s="3">
        <v>0</v>
      </c>
      <c r="R1390" s="3">
        <v>0</v>
      </c>
    </row>
    <row r="1391" spans="1:18">
      <c r="A1391" s="3" t="s">
        <v>8200</v>
      </c>
      <c r="B1391" s="3" t="s">
        <v>8201</v>
      </c>
      <c r="C1391" s="3" t="s">
        <v>8202</v>
      </c>
      <c r="D1391" s="3" t="s">
        <v>8203</v>
      </c>
      <c r="E1391" s="3" t="s">
        <v>1710</v>
      </c>
      <c r="F1391" s="3">
        <v>30</v>
      </c>
      <c r="G1391" s="3" t="s">
        <v>6233</v>
      </c>
      <c r="H1391" s="3"/>
      <c r="I1391" s="3" t="s">
        <v>6234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0.1</v>
      </c>
      <c r="P1391" s="3">
        <v>0</v>
      </c>
      <c r="Q1391" s="3">
        <v>0</v>
      </c>
      <c r="R1391" s="3">
        <v>0</v>
      </c>
    </row>
    <row r="1392" spans="1:18">
      <c r="A1392" s="3" t="s">
        <v>5433</v>
      </c>
      <c r="B1392" s="3" t="s">
        <v>5434</v>
      </c>
      <c r="C1392" s="3" t="s">
        <v>5435</v>
      </c>
      <c r="D1392" s="3" t="s">
        <v>5436</v>
      </c>
      <c r="E1392" s="3" t="s">
        <v>1710</v>
      </c>
      <c r="F1392" s="3">
        <v>30</v>
      </c>
      <c r="G1392" s="3" t="s">
        <v>6233</v>
      </c>
      <c r="H1392" s="3"/>
      <c r="I1392" s="3" t="s">
        <v>6234</v>
      </c>
      <c r="J1392" s="3">
        <v>7</v>
      </c>
      <c r="K1392" s="3">
        <v>7</v>
      </c>
      <c r="L1392" s="3">
        <v>0</v>
      </c>
      <c r="M1392" s="3">
        <v>0</v>
      </c>
      <c r="N1392" s="3">
        <v>7</v>
      </c>
      <c r="O1392" s="3">
        <v>0.29</v>
      </c>
      <c r="P1392" s="3">
        <v>0</v>
      </c>
      <c r="Q1392" s="3">
        <v>0</v>
      </c>
      <c r="R1392" s="3">
        <v>0</v>
      </c>
    </row>
    <row r="1393" spans="1:18">
      <c r="A1393" s="3" t="s">
        <v>3031</v>
      </c>
      <c r="B1393" s="3" t="s">
        <v>3032</v>
      </c>
      <c r="C1393" s="3" t="s">
        <v>3033</v>
      </c>
      <c r="D1393" s="3" t="s">
        <v>3034</v>
      </c>
      <c r="E1393" s="3" t="s">
        <v>1710</v>
      </c>
      <c r="F1393" s="3">
        <v>30</v>
      </c>
      <c r="G1393" s="3" t="s">
        <v>6233</v>
      </c>
      <c r="H1393" s="3"/>
      <c r="I1393" s="3" t="s">
        <v>6234</v>
      </c>
      <c r="J1393" s="3">
        <v>4</v>
      </c>
      <c r="K1393" s="3">
        <v>4</v>
      </c>
      <c r="L1393" s="3">
        <v>0</v>
      </c>
      <c r="M1393" s="3">
        <v>0</v>
      </c>
      <c r="N1393" s="3">
        <v>4</v>
      </c>
      <c r="O1393" s="3">
        <v>0.09</v>
      </c>
      <c r="P1393" s="3">
        <v>0</v>
      </c>
      <c r="Q1393" s="3">
        <v>0</v>
      </c>
      <c r="R1393" s="3">
        <v>0</v>
      </c>
    </row>
    <row r="1394" spans="1:18">
      <c r="A1394" s="3" t="s">
        <v>8204</v>
      </c>
      <c r="B1394" s="3" t="s">
        <v>8205</v>
      </c>
      <c r="C1394" s="3" t="s">
        <v>8206</v>
      </c>
      <c r="D1394" s="3" t="s">
        <v>2264</v>
      </c>
      <c r="E1394" s="3" t="s">
        <v>1710</v>
      </c>
      <c r="F1394" s="3">
        <v>15.99</v>
      </c>
      <c r="G1394" s="3" t="s">
        <v>6233</v>
      </c>
      <c r="H1394" s="3"/>
      <c r="I1394" s="3" t="s">
        <v>6234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0.1</v>
      </c>
      <c r="P1394" s="3">
        <v>0</v>
      </c>
      <c r="Q1394" s="3">
        <v>0</v>
      </c>
      <c r="R1394" s="3">
        <v>0</v>
      </c>
    </row>
    <row r="1395" spans="1:18">
      <c r="A1395" s="3" t="s">
        <v>2261</v>
      </c>
      <c r="B1395" s="3" t="s">
        <v>2262</v>
      </c>
      <c r="C1395" s="3" t="s">
        <v>2263</v>
      </c>
      <c r="D1395" s="3" t="s">
        <v>2264</v>
      </c>
      <c r="E1395" s="3" t="s">
        <v>1710</v>
      </c>
      <c r="F1395" s="3">
        <v>30</v>
      </c>
      <c r="G1395" s="3" t="s">
        <v>6233</v>
      </c>
      <c r="H1395" s="3"/>
      <c r="I1395" s="3" t="s">
        <v>6234</v>
      </c>
      <c r="J1395" s="3">
        <v>11</v>
      </c>
      <c r="K1395" s="3">
        <v>11</v>
      </c>
      <c r="L1395" s="3">
        <v>0</v>
      </c>
      <c r="M1395" s="3">
        <v>0</v>
      </c>
      <c r="N1395" s="3">
        <v>11</v>
      </c>
      <c r="O1395" s="3">
        <v>0.26</v>
      </c>
      <c r="P1395" s="3">
        <v>0</v>
      </c>
      <c r="Q1395" s="3">
        <v>0</v>
      </c>
      <c r="R1395" s="3">
        <v>0</v>
      </c>
    </row>
    <row r="1396" spans="1:18">
      <c r="A1396" s="3" t="s">
        <v>8207</v>
      </c>
      <c r="B1396" s="3" t="s">
        <v>8208</v>
      </c>
      <c r="C1396" s="3" t="s">
        <v>8209</v>
      </c>
      <c r="D1396" s="3" t="s">
        <v>4765</v>
      </c>
      <c r="E1396" s="3" t="s">
        <v>1710</v>
      </c>
      <c r="F1396" s="3">
        <v>30</v>
      </c>
      <c r="G1396" s="3" t="s">
        <v>6233</v>
      </c>
      <c r="H1396" s="3"/>
      <c r="I1396" s="3" t="s">
        <v>6234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0.14</v>
      </c>
      <c r="P1396" s="3">
        <v>0</v>
      </c>
      <c r="Q1396" s="3">
        <v>0</v>
      </c>
      <c r="R1396" s="3">
        <v>0</v>
      </c>
    </row>
    <row r="1397" spans="1:18">
      <c r="A1397" s="3" t="s">
        <v>8210</v>
      </c>
      <c r="B1397" s="3" t="s">
        <v>8211</v>
      </c>
      <c r="C1397" s="3" t="s">
        <v>8212</v>
      </c>
      <c r="D1397" s="3" t="s">
        <v>4765</v>
      </c>
      <c r="E1397" s="3" t="s">
        <v>1710</v>
      </c>
      <c r="F1397" s="3">
        <v>30</v>
      </c>
      <c r="G1397" s="3" t="s">
        <v>6233</v>
      </c>
      <c r="H1397" s="3"/>
      <c r="I1397" s="3" t="s">
        <v>6234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0.09</v>
      </c>
      <c r="P1397" s="3">
        <v>0</v>
      </c>
      <c r="Q1397" s="3">
        <v>0</v>
      </c>
      <c r="R1397" s="3">
        <v>0</v>
      </c>
    </row>
    <row r="1398" spans="1:18">
      <c r="A1398" s="3" t="s">
        <v>8213</v>
      </c>
      <c r="B1398" s="3" t="s">
        <v>8214</v>
      </c>
      <c r="C1398" s="3" t="s">
        <v>8215</v>
      </c>
      <c r="D1398" s="3" t="s">
        <v>8216</v>
      </c>
      <c r="E1398" s="3" t="s">
        <v>1710</v>
      </c>
      <c r="F1398" s="3">
        <v>30</v>
      </c>
      <c r="G1398" s="3" t="s">
        <v>6233</v>
      </c>
      <c r="H1398" s="3"/>
      <c r="I1398" s="3" t="s">
        <v>6234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0.21</v>
      </c>
      <c r="P1398" s="3">
        <v>0</v>
      </c>
      <c r="Q1398" s="3">
        <v>0</v>
      </c>
      <c r="R1398" s="3">
        <v>0</v>
      </c>
    </row>
    <row r="1399" spans="1:18">
      <c r="A1399" s="3" t="s">
        <v>4762</v>
      </c>
      <c r="B1399" s="3" t="s">
        <v>4763</v>
      </c>
      <c r="C1399" s="3" t="s">
        <v>4764</v>
      </c>
      <c r="D1399" s="3" t="s">
        <v>4765</v>
      </c>
      <c r="E1399" s="3" t="s">
        <v>1710</v>
      </c>
      <c r="F1399" s="3">
        <v>30</v>
      </c>
      <c r="G1399" s="3" t="s">
        <v>6233</v>
      </c>
      <c r="H1399" s="3"/>
      <c r="I1399" s="3" t="s">
        <v>6234</v>
      </c>
      <c r="J1399" s="3">
        <v>1</v>
      </c>
      <c r="K1399" s="3">
        <v>1</v>
      </c>
      <c r="L1399" s="3">
        <v>0</v>
      </c>
      <c r="M1399" s="3">
        <v>0</v>
      </c>
      <c r="N1399" s="3">
        <v>1</v>
      </c>
      <c r="O1399" s="3">
        <v>0.14</v>
      </c>
      <c r="P1399" s="3">
        <v>0</v>
      </c>
      <c r="Q1399" s="3">
        <v>0</v>
      </c>
      <c r="R1399" s="3">
        <v>0</v>
      </c>
    </row>
    <row r="1400" spans="1:18">
      <c r="A1400" s="3" t="s">
        <v>8217</v>
      </c>
      <c r="B1400" s="3" t="s">
        <v>8218</v>
      </c>
      <c r="C1400" s="3" t="s">
        <v>8219</v>
      </c>
      <c r="D1400" s="3" t="s">
        <v>8216</v>
      </c>
      <c r="E1400" s="3" t="s">
        <v>1710</v>
      </c>
      <c r="F1400" s="3">
        <v>30</v>
      </c>
      <c r="G1400" s="3" t="s">
        <v>6233</v>
      </c>
      <c r="H1400" s="3"/>
      <c r="I1400" s="3" t="s">
        <v>6234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0.12</v>
      </c>
      <c r="P1400" s="3">
        <v>0</v>
      </c>
      <c r="Q1400" s="3">
        <v>0</v>
      </c>
      <c r="R1400" s="3">
        <v>0</v>
      </c>
    </row>
    <row r="1401" spans="1:18">
      <c r="A1401" s="3" t="s">
        <v>8220</v>
      </c>
      <c r="B1401" s="3" t="s">
        <v>8221</v>
      </c>
      <c r="C1401" s="3" t="s">
        <v>8222</v>
      </c>
      <c r="D1401" s="3" t="s">
        <v>8216</v>
      </c>
      <c r="E1401" s="3" t="s">
        <v>1710</v>
      </c>
      <c r="F1401" s="3">
        <v>30</v>
      </c>
      <c r="G1401" s="3" t="s">
        <v>6233</v>
      </c>
      <c r="H1401" s="3"/>
      <c r="I1401" s="3" t="s">
        <v>6234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0.21</v>
      </c>
      <c r="P1401" s="3">
        <v>0</v>
      </c>
      <c r="Q1401" s="3">
        <v>0</v>
      </c>
      <c r="R1401" s="3">
        <v>0</v>
      </c>
    </row>
    <row r="1402" spans="1:18">
      <c r="A1402" s="3" t="s">
        <v>3199</v>
      </c>
      <c r="B1402" s="3" t="s">
        <v>3200</v>
      </c>
      <c r="C1402" s="3" t="s">
        <v>3201</v>
      </c>
      <c r="D1402" s="3" t="s">
        <v>3202</v>
      </c>
      <c r="E1402" s="3" t="s">
        <v>1710</v>
      </c>
      <c r="F1402" s="3">
        <v>30</v>
      </c>
      <c r="G1402" s="3" t="s">
        <v>6233</v>
      </c>
      <c r="H1402" s="3"/>
      <c r="I1402" s="3" t="s">
        <v>6234</v>
      </c>
      <c r="J1402" s="3">
        <v>2</v>
      </c>
      <c r="K1402" s="3">
        <v>2</v>
      </c>
      <c r="L1402" s="3">
        <v>0</v>
      </c>
      <c r="M1402" s="3">
        <v>0</v>
      </c>
      <c r="N1402" s="3">
        <v>2</v>
      </c>
      <c r="O1402" s="3">
        <v>0.09</v>
      </c>
      <c r="P1402" s="3">
        <v>0</v>
      </c>
      <c r="Q1402" s="3">
        <v>0</v>
      </c>
      <c r="R1402" s="3">
        <v>0</v>
      </c>
    </row>
    <row r="1403" spans="1:18">
      <c r="A1403" s="3" t="s">
        <v>4912</v>
      </c>
      <c r="B1403" s="3" t="s">
        <v>4913</v>
      </c>
      <c r="C1403" s="3" t="s">
        <v>4914</v>
      </c>
      <c r="D1403" s="3" t="s">
        <v>4915</v>
      </c>
      <c r="E1403" s="3" t="s">
        <v>1710</v>
      </c>
      <c r="F1403" s="3">
        <v>30</v>
      </c>
      <c r="G1403" s="3" t="s">
        <v>6233</v>
      </c>
      <c r="H1403" s="3"/>
      <c r="I1403" s="3" t="s">
        <v>6234</v>
      </c>
      <c r="J1403" s="3">
        <v>1</v>
      </c>
      <c r="K1403" s="3">
        <v>1</v>
      </c>
      <c r="L1403" s="3">
        <v>0</v>
      </c>
      <c r="M1403" s="3">
        <v>0</v>
      </c>
      <c r="N1403" s="3">
        <v>1</v>
      </c>
      <c r="O1403" s="3">
        <v>0.08</v>
      </c>
      <c r="P1403" s="3">
        <v>0</v>
      </c>
      <c r="Q1403" s="3">
        <v>0</v>
      </c>
      <c r="R1403" s="3">
        <v>0</v>
      </c>
    </row>
    <row r="1404" spans="1:18">
      <c r="A1404" s="3" t="s">
        <v>4614</v>
      </c>
      <c r="B1404" s="3" t="s">
        <v>4615</v>
      </c>
      <c r="C1404" s="3" t="s">
        <v>4616</v>
      </c>
      <c r="D1404" s="3" t="s">
        <v>4617</v>
      </c>
      <c r="E1404" s="3" t="s">
        <v>1710</v>
      </c>
      <c r="F1404" s="3">
        <v>30</v>
      </c>
      <c r="G1404" s="3" t="s">
        <v>6233</v>
      </c>
      <c r="H1404" s="3"/>
      <c r="I1404" s="3" t="s">
        <v>6234</v>
      </c>
      <c r="J1404" s="3">
        <v>3</v>
      </c>
      <c r="K1404" s="3">
        <v>3</v>
      </c>
      <c r="L1404" s="3">
        <v>0</v>
      </c>
      <c r="M1404" s="3">
        <v>0</v>
      </c>
      <c r="N1404" s="3">
        <v>3</v>
      </c>
      <c r="O1404" s="3">
        <v>0</v>
      </c>
      <c r="P1404" s="3">
        <v>0</v>
      </c>
      <c r="Q1404" s="3">
        <v>0</v>
      </c>
      <c r="R1404" s="3">
        <v>0</v>
      </c>
    </row>
    <row r="1405" spans="1:18">
      <c r="A1405" s="3" t="s">
        <v>8223</v>
      </c>
      <c r="B1405" s="3" t="s">
        <v>8224</v>
      </c>
      <c r="C1405" s="3" t="s">
        <v>8225</v>
      </c>
      <c r="D1405" s="3" t="s">
        <v>8188</v>
      </c>
      <c r="E1405" s="3" t="s">
        <v>1710</v>
      </c>
      <c r="F1405" s="3">
        <v>30</v>
      </c>
      <c r="G1405" s="3" t="s">
        <v>6233</v>
      </c>
      <c r="H1405" s="3"/>
      <c r="I1405" s="3" t="s">
        <v>6234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0.03</v>
      </c>
      <c r="P1405" s="3">
        <v>0</v>
      </c>
      <c r="Q1405" s="3">
        <v>0</v>
      </c>
      <c r="R1405" s="3">
        <v>0</v>
      </c>
    </row>
    <row r="1406" spans="1:18">
      <c r="A1406" s="3" t="s">
        <v>8226</v>
      </c>
      <c r="B1406" s="3" t="s">
        <v>8227</v>
      </c>
      <c r="C1406" s="3" t="s">
        <v>8228</v>
      </c>
      <c r="D1406" s="3" t="s">
        <v>8188</v>
      </c>
      <c r="E1406" s="3" t="s">
        <v>1710</v>
      </c>
      <c r="F1406" s="3">
        <v>30</v>
      </c>
      <c r="G1406" s="3" t="s">
        <v>6233</v>
      </c>
      <c r="H1406" s="3"/>
      <c r="I1406" s="3" t="s">
        <v>6234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0.17</v>
      </c>
      <c r="P1406" s="3">
        <v>0</v>
      </c>
      <c r="Q1406" s="3">
        <v>0</v>
      </c>
      <c r="R1406" s="3">
        <v>0</v>
      </c>
    </row>
    <row r="1407" spans="1:18">
      <c r="A1407" s="3" t="s">
        <v>8229</v>
      </c>
      <c r="B1407" s="3" t="s">
        <v>8230</v>
      </c>
      <c r="C1407" s="3" t="s">
        <v>8231</v>
      </c>
      <c r="D1407" s="3" t="s">
        <v>8188</v>
      </c>
      <c r="E1407" s="3" t="s">
        <v>1710</v>
      </c>
      <c r="F1407" s="3">
        <v>30</v>
      </c>
      <c r="G1407" s="3" t="s">
        <v>6233</v>
      </c>
      <c r="H1407" s="3"/>
      <c r="I1407" s="3" t="s">
        <v>6234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0.42</v>
      </c>
      <c r="P1407" s="3">
        <v>0</v>
      </c>
      <c r="Q1407" s="3">
        <v>0</v>
      </c>
      <c r="R1407" s="3">
        <v>0</v>
      </c>
    </row>
    <row r="1408" spans="1:18">
      <c r="A1408" s="3" t="s">
        <v>5163</v>
      </c>
      <c r="B1408" s="3" t="s">
        <v>5164</v>
      </c>
      <c r="C1408" s="3" t="s">
        <v>5165</v>
      </c>
      <c r="D1408" s="3" t="s">
        <v>2108</v>
      </c>
      <c r="E1408" s="3" t="s">
        <v>1710</v>
      </c>
      <c r="F1408" s="3">
        <v>30</v>
      </c>
      <c r="G1408" s="3" t="s">
        <v>6233</v>
      </c>
      <c r="H1408" s="3"/>
      <c r="I1408" s="3" t="s">
        <v>6234</v>
      </c>
      <c r="J1408" s="3">
        <v>2</v>
      </c>
      <c r="K1408" s="3">
        <v>2</v>
      </c>
      <c r="L1408" s="3">
        <v>0</v>
      </c>
      <c r="M1408" s="3">
        <v>0</v>
      </c>
      <c r="N1408" s="3">
        <v>2</v>
      </c>
      <c r="O1408" s="3">
        <v>0.2</v>
      </c>
      <c r="P1408" s="3">
        <v>0</v>
      </c>
      <c r="Q1408" s="3">
        <v>0</v>
      </c>
      <c r="R1408" s="3">
        <v>0</v>
      </c>
    </row>
    <row r="1409" spans="1:18">
      <c r="A1409" s="3" t="s">
        <v>5019</v>
      </c>
      <c r="B1409" s="3" t="s">
        <v>5020</v>
      </c>
      <c r="C1409" s="3" t="s">
        <v>5021</v>
      </c>
      <c r="D1409" s="3" t="s">
        <v>2108</v>
      </c>
      <c r="E1409" s="3" t="s">
        <v>1710</v>
      </c>
      <c r="F1409" s="3">
        <v>30</v>
      </c>
      <c r="G1409" s="3" t="s">
        <v>6233</v>
      </c>
      <c r="H1409" s="3"/>
      <c r="I1409" s="3" t="s">
        <v>6234</v>
      </c>
      <c r="J1409" s="3">
        <v>9</v>
      </c>
      <c r="K1409" s="3">
        <v>9</v>
      </c>
      <c r="L1409" s="3">
        <v>0</v>
      </c>
      <c r="M1409" s="3">
        <v>0</v>
      </c>
      <c r="N1409" s="3">
        <v>9</v>
      </c>
      <c r="O1409" s="3">
        <v>0.15</v>
      </c>
      <c r="P1409" s="3">
        <v>0</v>
      </c>
      <c r="Q1409" s="3">
        <v>0</v>
      </c>
      <c r="R1409" s="3">
        <v>0</v>
      </c>
    </row>
    <row r="1410" spans="1:18">
      <c r="A1410" s="3" t="s">
        <v>8232</v>
      </c>
      <c r="B1410" s="3" t="s">
        <v>8233</v>
      </c>
      <c r="C1410" s="3" t="s">
        <v>8234</v>
      </c>
      <c r="D1410" s="3" t="s">
        <v>2108</v>
      </c>
      <c r="E1410" s="3" t="s">
        <v>1710</v>
      </c>
      <c r="F1410" s="3">
        <v>30</v>
      </c>
      <c r="G1410" s="3" t="s">
        <v>6233</v>
      </c>
      <c r="H1410" s="3"/>
      <c r="I1410" s="3" t="s">
        <v>6234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0.2</v>
      </c>
      <c r="P1410" s="3">
        <v>0</v>
      </c>
      <c r="Q1410" s="3">
        <v>0</v>
      </c>
      <c r="R1410" s="3">
        <v>0</v>
      </c>
    </row>
    <row r="1411" spans="1:18">
      <c r="A1411" s="3" t="s">
        <v>5592</v>
      </c>
      <c r="B1411" s="3" t="s">
        <v>5593</v>
      </c>
      <c r="C1411" s="3" t="s">
        <v>5594</v>
      </c>
      <c r="D1411" s="3" t="s">
        <v>2108</v>
      </c>
      <c r="E1411" s="3" t="s">
        <v>1710</v>
      </c>
      <c r="F1411" s="3">
        <v>30</v>
      </c>
      <c r="G1411" s="3" t="s">
        <v>6233</v>
      </c>
      <c r="H1411" s="3"/>
      <c r="I1411" s="3" t="s">
        <v>6234</v>
      </c>
      <c r="J1411" s="3">
        <v>8</v>
      </c>
      <c r="K1411" s="3">
        <v>8</v>
      </c>
      <c r="L1411" s="3">
        <v>0</v>
      </c>
      <c r="M1411" s="3">
        <v>0</v>
      </c>
      <c r="N1411" s="3">
        <v>8</v>
      </c>
      <c r="O1411" s="3">
        <v>0.15</v>
      </c>
      <c r="P1411" s="3">
        <v>0</v>
      </c>
      <c r="Q1411" s="3">
        <v>0</v>
      </c>
      <c r="R1411" s="3">
        <v>0</v>
      </c>
    </row>
    <row r="1412" spans="1:18">
      <c r="A1412" s="3" t="s">
        <v>3799</v>
      </c>
      <c r="B1412" s="3" t="s">
        <v>3800</v>
      </c>
      <c r="C1412" s="3" t="s">
        <v>3801</v>
      </c>
      <c r="D1412" s="3" t="s">
        <v>2108</v>
      </c>
      <c r="E1412" s="3" t="s">
        <v>1710</v>
      </c>
      <c r="F1412" s="3">
        <v>30</v>
      </c>
      <c r="G1412" s="3" t="s">
        <v>6233</v>
      </c>
      <c r="H1412" s="3"/>
      <c r="I1412" s="3" t="s">
        <v>6234</v>
      </c>
      <c r="J1412" s="3">
        <v>6</v>
      </c>
      <c r="K1412" s="3">
        <v>6</v>
      </c>
      <c r="L1412" s="3">
        <v>0</v>
      </c>
      <c r="M1412" s="3">
        <v>0</v>
      </c>
      <c r="N1412" s="3">
        <v>6</v>
      </c>
      <c r="O1412" s="3">
        <v>0</v>
      </c>
      <c r="P1412" s="3">
        <v>0</v>
      </c>
      <c r="Q1412" s="3">
        <v>0</v>
      </c>
      <c r="R1412" s="3">
        <v>0</v>
      </c>
    </row>
    <row r="1413" spans="1:18">
      <c r="A1413" s="3" t="s">
        <v>2138</v>
      </c>
      <c r="B1413" s="3" t="s">
        <v>2139</v>
      </c>
      <c r="C1413" s="3" t="s">
        <v>2140</v>
      </c>
      <c r="D1413" s="3" t="s">
        <v>2108</v>
      </c>
      <c r="E1413" s="3" t="s">
        <v>1710</v>
      </c>
      <c r="F1413" s="3">
        <v>30</v>
      </c>
      <c r="G1413" s="3" t="s">
        <v>6233</v>
      </c>
      <c r="H1413" s="3"/>
      <c r="I1413" s="3" t="s">
        <v>6234</v>
      </c>
      <c r="J1413" s="3">
        <v>6</v>
      </c>
      <c r="K1413" s="3">
        <v>6</v>
      </c>
      <c r="L1413" s="3">
        <v>0</v>
      </c>
      <c r="M1413" s="3">
        <v>0</v>
      </c>
      <c r="N1413" s="3">
        <v>6</v>
      </c>
      <c r="O1413" s="3">
        <v>0.24</v>
      </c>
      <c r="P1413" s="3">
        <v>0</v>
      </c>
      <c r="Q1413" s="3">
        <v>0</v>
      </c>
      <c r="R1413" s="3">
        <v>0</v>
      </c>
    </row>
    <row r="1414" spans="1:18">
      <c r="A1414" s="3" t="s">
        <v>4541</v>
      </c>
      <c r="B1414" s="3" t="s">
        <v>4542</v>
      </c>
      <c r="C1414" s="3" t="s">
        <v>4543</v>
      </c>
      <c r="D1414" s="3" t="s">
        <v>2108</v>
      </c>
      <c r="E1414" s="3" t="s">
        <v>1710</v>
      </c>
      <c r="F1414" s="3">
        <v>30</v>
      </c>
      <c r="G1414" s="3" t="s">
        <v>6233</v>
      </c>
      <c r="H1414" s="3"/>
      <c r="I1414" s="3" t="s">
        <v>6234</v>
      </c>
      <c r="J1414" s="3">
        <v>7</v>
      </c>
      <c r="K1414" s="3">
        <v>7</v>
      </c>
      <c r="L1414" s="3">
        <v>0</v>
      </c>
      <c r="M1414" s="3">
        <v>0</v>
      </c>
      <c r="N1414" s="3">
        <v>7</v>
      </c>
      <c r="O1414" s="3">
        <v>0.12</v>
      </c>
      <c r="P1414" s="3">
        <v>0</v>
      </c>
      <c r="Q1414" s="3">
        <v>0</v>
      </c>
      <c r="R1414" s="3">
        <v>0</v>
      </c>
    </row>
    <row r="1415" spans="1:18">
      <c r="A1415" s="3" t="s">
        <v>8235</v>
      </c>
      <c r="B1415" s="3" t="s">
        <v>8236</v>
      </c>
      <c r="C1415" s="3" t="s">
        <v>8237</v>
      </c>
      <c r="D1415" s="3" t="s">
        <v>2108</v>
      </c>
      <c r="E1415" s="3" t="s">
        <v>1710</v>
      </c>
      <c r="F1415" s="3">
        <v>30</v>
      </c>
      <c r="G1415" s="3" t="s">
        <v>6233</v>
      </c>
      <c r="H1415" s="3"/>
      <c r="I1415" s="3" t="s">
        <v>6234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0.21</v>
      </c>
      <c r="P1415" s="3">
        <v>0</v>
      </c>
      <c r="Q1415" s="3">
        <v>0</v>
      </c>
      <c r="R1415" s="3">
        <v>0</v>
      </c>
    </row>
    <row r="1416" spans="1:18">
      <c r="A1416" s="3" t="s">
        <v>2105</v>
      </c>
      <c r="B1416" s="3" t="s">
        <v>2106</v>
      </c>
      <c r="C1416" s="3" t="s">
        <v>2107</v>
      </c>
      <c r="D1416" s="3" t="s">
        <v>2108</v>
      </c>
      <c r="E1416" s="3" t="s">
        <v>1710</v>
      </c>
      <c r="F1416" s="3">
        <v>30</v>
      </c>
      <c r="G1416" s="3" t="s">
        <v>6233</v>
      </c>
      <c r="H1416" s="3"/>
      <c r="I1416" s="3" t="s">
        <v>6234</v>
      </c>
      <c r="J1416" s="3">
        <v>7</v>
      </c>
      <c r="K1416" s="3">
        <v>7</v>
      </c>
      <c r="L1416" s="3">
        <v>0</v>
      </c>
      <c r="M1416" s="3">
        <v>0</v>
      </c>
      <c r="N1416" s="3">
        <v>7</v>
      </c>
      <c r="O1416" s="3">
        <v>0.24</v>
      </c>
      <c r="P1416" s="3">
        <v>0</v>
      </c>
      <c r="Q1416" s="3">
        <v>0</v>
      </c>
      <c r="R1416" s="3">
        <v>0</v>
      </c>
    </row>
    <row r="1417" spans="1:18">
      <c r="A1417" s="3" t="s">
        <v>6105</v>
      </c>
      <c r="B1417" s="3" t="s">
        <v>6106</v>
      </c>
      <c r="C1417" s="3" t="s">
        <v>6107</v>
      </c>
      <c r="D1417" s="3" t="s">
        <v>2798</v>
      </c>
      <c r="E1417" s="3" t="s">
        <v>1710</v>
      </c>
      <c r="F1417" s="3">
        <v>30</v>
      </c>
      <c r="G1417" s="3" t="s">
        <v>6233</v>
      </c>
      <c r="H1417" s="3"/>
      <c r="I1417" s="3" t="s">
        <v>6234</v>
      </c>
      <c r="J1417" s="3">
        <v>8</v>
      </c>
      <c r="K1417" s="3">
        <v>8</v>
      </c>
      <c r="L1417" s="3">
        <v>0</v>
      </c>
      <c r="M1417" s="3">
        <v>0</v>
      </c>
      <c r="N1417" s="3">
        <v>8</v>
      </c>
      <c r="O1417" s="3">
        <v>0.2</v>
      </c>
      <c r="P1417" s="3">
        <v>0</v>
      </c>
      <c r="Q1417" s="3">
        <v>0</v>
      </c>
      <c r="R1417" s="3">
        <v>0</v>
      </c>
    </row>
    <row r="1418" spans="1:18">
      <c r="A1418" s="3" t="s">
        <v>2329</v>
      </c>
      <c r="B1418" s="3" t="s">
        <v>2330</v>
      </c>
      <c r="C1418" s="3" t="s">
        <v>2331</v>
      </c>
      <c r="D1418" s="3" t="s">
        <v>2332</v>
      </c>
      <c r="E1418" s="3" t="s">
        <v>1710</v>
      </c>
      <c r="F1418" s="3">
        <v>30</v>
      </c>
      <c r="G1418" s="3" t="s">
        <v>6233</v>
      </c>
      <c r="H1418" s="3"/>
      <c r="I1418" s="3" t="s">
        <v>6234</v>
      </c>
      <c r="J1418" s="3">
        <v>11</v>
      </c>
      <c r="K1418" s="3">
        <v>11</v>
      </c>
      <c r="L1418" s="3">
        <v>0</v>
      </c>
      <c r="M1418" s="3">
        <v>0</v>
      </c>
      <c r="N1418" s="3">
        <v>11</v>
      </c>
      <c r="O1418" s="3">
        <v>0.15</v>
      </c>
      <c r="P1418" s="3">
        <v>0</v>
      </c>
      <c r="Q1418" s="3">
        <v>0</v>
      </c>
      <c r="R1418" s="3">
        <v>0</v>
      </c>
    </row>
    <row r="1419" spans="1:18">
      <c r="A1419" s="3" t="s">
        <v>6049</v>
      </c>
      <c r="B1419" s="3" t="s">
        <v>6050</v>
      </c>
      <c r="C1419" s="3" t="s">
        <v>6051</v>
      </c>
      <c r="D1419" s="3" t="s">
        <v>2798</v>
      </c>
      <c r="E1419" s="3" t="s">
        <v>1710</v>
      </c>
      <c r="F1419" s="3">
        <v>17.99</v>
      </c>
      <c r="G1419" s="3" t="s">
        <v>6233</v>
      </c>
      <c r="H1419" s="3"/>
      <c r="I1419" s="3" t="s">
        <v>6234</v>
      </c>
      <c r="J1419" s="3">
        <v>1</v>
      </c>
      <c r="K1419" s="3">
        <v>1</v>
      </c>
      <c r="L1419" s="3">
        <v>0</v>
      </c>
      <c r="M1419" s="3">
        <v>0</v>
      </c>
      <c r="N1419" s="3">
        <v>1</v>
      </c>
      <c r="O1419" s="3">
        <v>0.19</v>
      </c>
      <c r="P1419" s="3">
        <v>0</v>
      </c>
      <c r="Q1419" s="3">
        <v>0</v>
      </c>
      <c r="R1419" s="3">
        <v>0</v>
      </c>
    </row>
    <row r="1420" spans="1:18">
      <c r="A1420" s="3" t="s">
        <v>8238</v>
      </c>
      <c r="B1420" s="3" t="s">
        <v>8239</v>
      </c>
      <c r="C1420" s="3" t="s">
        <v>8240</v>
      </c>
      <c r="D1420" s="3"/>
      <c r="E1420" s="3" t="s">
        <v>6275</v>
      </c>
      <c r="F1420" s="3"/>
      <c r="G1420" s="3"/>
      <c r="H1420" s="3"/>
      <c r="I1420" s="3"/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/>
      <c r="P1420" s="3">
        <v>0</v>
      </c>
      <c r="Q1420" s="3">
        <v>0</v>
      </c>
      <c r="R1420" s="3">
        <v>0</v>
      </c>
    </row>
    <row r="1421" spans="1:18">
      <c r="A1421" s="3" t="s">
        <v>2795</v>
      </c>
      <c r="B1421" s="3" t="s">
        <v>2796</v>
      </c>
      <c r="C1421" s="3" t="s">
        <v>2797</v>
      </c>
      <c r="D1421" s="3" t="s">
        <v>2798</v>
      </c>
      <c r="E1421" s="3" t="s">
        <v>1710</v>
      </c>
      <c r="F1421" s="3">
        <v>30</v>
      </c>
      <c r="G1421" s="3" t="s">
        <v>6233</v>
      </c>
      <c r="H1421" s="3"/>
      <c r="I1421" s="3" t="s">
        <v>6234</v>
      </c>
      <c r="J1421" s="3">
        <v>9</v>
      </c>
      <c r="K1421" s="3">
        <v>9</v>
      </c>
      <c r="L1421" s="3">
        <v>0</v>
      </c>
      <c r="M1421" s="3">
        <v>0</v>
      </c>
      <c r="N1421" s="3">
        <v>9</v>
      </c>
      <c r="O1421" s="3">
        <v>0.15</v>
      </c>
      <c r="P1421" s="3">
        <v>0</v>
      </c>
      <c r="Q1421" s="3">
        <v>0</v>
      </c>
      <c r="R1421" s="3">
        <v>0</v>
      </c>
    </row>
    <row r="1422" spans="1:18">
      <c r="A1422" s="3" t="s">
        <v>8241</v>
      </c>
      <c r="B1422" s="3" t="s">
        <v>8242</v>
      </c>
      <c r="C1422" s="3" t="s">
        <v>8243</v>
      </c>
      <c r="D1422" s="3" t="s">
        <v>2798</v>
      </c>
      <c r="E1422" s="3" t="s">
        <v>1710</v>
      </c>
      <c r="F1422" s="3">
        <v>30</v>
      </c>
      <c r="G1422" s="3" t="s">
        <v>6233</v>
      </c>
      <c r="H1422" s="3"/>
      <c r="I1422" s="3" t="s">
        <v>6234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0.28</v>
      </c>
      <c r="P1422" s="3">
        <v>0</v>
      </c>
      <c r="Q1422" s="3">
        <v>0</v>
      </c>
      <c r="R1422" s="3">
        <v>0</v>
      </c>
    </row>
    <row r="1423" spans="1:18">
      <c r="A1423" s="3" t="s">
        <v>2938</v>
      </c>
      <c r="B1423" s="3" t="s">
        <v>2939</v>
      </c>
      <c r="C1423" s="3" t="s">
        <v>2940</v>
      </c>
      <c r="D1423" s="3" t="s">
        <v>2332</v>
      </c>
      <c r="E1423" s="3" t="s">
        <v>1710</v>
      </c>
      <c r="F1423" s="3">
        <v>30</v>
      </c>
      <c r="G1423" s="3" t="s">
        <v>6233</v>
      </c>
      <c r="H1423" s="3"/>
      <c r="I1423" s="3" t="s">
        <v>6234</v>
      </c>
      <c r="J1423" s="3">
        <v>9</v>
      </c>
      <c r="K1423" s="3">
        <v>9</v>
      </c>
      <c r="L1423" s="3">
        <v>0</v>
      </c>
      <c r="M1423" s="3">
        <v>0</v>
      </c>
      <c r="N1423" s="3">
        <v>9</v>
      </c>
      <c r="O1423" s="3">
        <v>0.14</v>
      </c>
      <c r="P1423" s="3">
        <v>0</v>
      </c>
      <c r="Q1423" s="3">
        <v>0</v>
      </c>
      <c r="R1423" s="3">
        <v>0</v>
      </c>
    </row>
    <row r="1424" spans="1:18">
      <c r="A1424" s="3" t="s">
        <v>5741</v>
      </c>
      <c r="B1424" s="3" t="s">
        <v>5742</v>
      </c>
      <c r="C1424" s="3" t="s">
        <v>5743</v>
      </c>
      <c r="D1424" s="3" t="s">
        <v>2798</v>
      </c>
      <c r="E1424" s="3" t="s">
        <v>1710</v>
      </c>
      <c r="F1424" s="3">
        <v>30</v>
      </c>
      <c r="G1424" s="3" t="s">
        <v>6233</v>
      </c>
      <c r="H1424" s="3"/>
      <c r="I1424" s="3" t="s">
        <v>6234</v>
      </c>
      <c r="J1424" s="3">
        <v>14</v>
      </c>
      <c r="K1424" s="3">
        <v>14</v>
      </c>
      <c r="L1424" s="3">
        <v>0</v>
      </c>
      <c r="M1424" s="3">
        <v>0</v>
      </c>
      <c r="N1424" s="3">
        <v>14</v>
      </c>
      <c r="O1424" s="3">
        <v>0.2</v>
      </c>
      <c r="P1424" s="3">
        <v>0</v>
      </c>
      <c r="Q1424" s="3">
        <v>0</v>
      </c>
      <c r="R1424" s="3">
        <v>0</v>
      </c>
    </row>
    <row r="1425" spans="1:18">
      <c r="A1425" s="3" t="s">
        <v>5402</v>
      </c>
      <c r="B1425" s="3" t="s">
        <v>5403</v>
      </c>
      <c r="C1425" s="3" t="s">
        <v>5404</v>
      </c>
      <c r="D1425" s="3" t="s">
        <v>2332</v>
      </c>
      <c r="E1425" s="3" t="s">
        <v>1710</v>
      </c>
      <c r="F1425" s="3">
        <v>30</v>
      </c>
      <c r="G1425" s="3" t="s">
        <v>6233</v>
      </c>
      <c r="H1425" s="3"/>
      <c r="I1425" s="3" t="s">
        <v>6234</v>
      </c>
      <c r="J1425" s="3">
        <v>1</v>
      </c>
      <c r="K1425" s="3">
        <v>1</v>
      </c>
      <c r="L1425" s="3">
        <v>0</v>
      </c>
      <c r="M1425" s="3">
        <v>0</v>
      </c>
      <c r="N1425" s="3">
        <v>1</v>
      </c>
      <c r="O1425" s="3">
        <v>0.19</v>
      </c>
      <c r="P1425" s="3">
        <v>0</v>
      </c>
      <c r="Q1425" s="3">
        <v>0</v>
      </c>
      <c r="R1425" s="3">
        <v>0</v>
      </c>
    </row>
    <row r="1426" spans="1:18">
      <c r="A1426" s="3" t="s">
        <v>4522</v>
      </c>
      <c r="B1426" s="3" t="s">
        <v>4523</v>
      </c>
      <c r="C1426" s="3" t="s">
        <v>4524</v>
      </c>
      <c r="D1426" s="3" t="s">
        <v>2332</v>
      </c>
      <c r="E1426" s="3" t="s">
        <v>1710</v>
      </c>
      <c r="F1426" s="3">
        <v>30</v>
      </c>
      <c r="G1426" s="3" t="s">
        <v>6233</v>
      </c>
      <c r="H1426" s="3"/>
      <c r="I1426" s="3" t="s">
        <v>6234</v>
      </c>
      <c r="J1426" s="3">
        <v>7</v>
      </c>
      <c r="K1426" s="3">
        <v>7</v>
      </c>
      <c r="L1426" s="3">
        <v>0</v>
      </c>
      <c r="M1426" s="3">
        <v>0</v>
      </c>
      <c r="N1426" s="3">
        <v>7</v>
      </c>
      <c r="O1426" s="3">
        <v>0.14</v>
      </c>
      <c r="P1426" s="3">
        <v>0</v>
      </c>
      <c r="Q1426" s="3">
        <v>0</v>
      </c>
      <c r="R1426" s="3">
        <v>0</v>
      </c>
    </row>
    <row r="1427" spans="1:18">
      <c r="A1427" s="3" t="s">
        <v>4479</v>
      </c>
      <c r="B1427" s="3" t="s">
        <v>4480</v>
      </c>
      <c r="C1427" s="3" t="s">
        <v>4481</v>
      </c>
      <c r="D1427" s="3" t="s">
        <v>2332</v>
      </c>
      <c r="E1427" s="3" t="s">
        <v>1710</v>
      </c>
      <c r="F1427" s="3">
        <v>30</v>
      </c>
      <c r="G1427" s="3" t="s">
        <v>6233</v>
      </c>
      <c r="H1427" s="3"/>
      <c r="I1427" s="3" t="s">
        <v>6234</v>
      </c>
      <c r="J1427" s="3">
        <v>18</v>
      </c>
      <c r="K1427" s="3">
        <v>18</v>
      </c>
      <c r="L1427" s="3">
        <v>0</v>
      </c>
      <c r="M1427" s="3">
        <v>0</v>
      </c>
      <c r="N1427" s="3">
        <v>18</v>
      </c>
      <c r="O1427" s="3">
        <v>0.24</v>
      </c>
      <c r="P1427" s="3">
        <v>0</v>
      </c>
      <c r="Q1427" s="3">
        <v>0</v>
      </c>
      <c r="R1427" s="3">
        <v>0</v>
      </c>
    </row>
    <row r="1428" spans="1:18">
      <c r="A1428" s="3" t="s">
        <v>4124</v>
      </c>
      <c r="B1428" s="3" t="s">
        <v>4125</v>
      </c>
      <c r="C1428" s="3" t="s">
        <v>4126</v>
      </c>
      <c r="D1428" s="3" t="s">
        <v>4127</v>
      </c>
      <c r="E1428" s="3" t="s">
        <v>1710</v>
      </c>
      <c r="F1428" s="3">
        <v>15.97</v>
      </c>
      <c r="G1428" s="3" t="s">
        <v>6233</v>
      </c>
      <c r="H1428" s="3"/>
      <c r="I1428" s="3" t="s">
        <v>6234</v>
      </c>
      <c r="J1428" s="3">
        <v>12</v>
      </c>
      <c r="K1428" s="3">
        <v>12</v>
      </c>
      <c r="L1428" s="3">
        <v>0</v>
      </c>
      <c r="M1428" s="3">
        <v>0</v>
      </c>
      <c r="N1428" s="3">
        <v>12</v>
      </c>
      <c r="O1428" s="3">
        <v>0.06</v>
      </c>
      <c r="P1428" s="3">
        <v>0</v>
      </c>
      <c r="Q1428" s="3">
        <v>0</v>
      </c>
      <c r="R1428" s="3">
        <v>0</v>
      </c>
    </row>
    <row r="1429" spans="1:18">
      <c r="A1429" s="3" t="s">
        <v>3005</v>
      </c>
      <c r="B1429" s="3" t="s">
        <v>3006</v>
      </c>
      <c r="C1429" s="3" t="s">
        <v>3007</v>
      </c>
      <c r="D1429" s="3" t="s">
        <v>3008</v>
      </c>
      <c r="E1429" s="3" t="s">
        <v>1710</v>
      </c>
      <c r="F1429" s="3">
        <v>15.99</v>
      </c>
      <c r="G1429" s="3" t="s">
        <v>6233</v>
      </c>
      <c r="H1429" s="3"/>
      <c r="I1429" s="3" t="s">
        <v>6234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0.08</v>
      </c>
      <c r="P1429" s="3">
        <v>0</v>
      </c>
      <c r="Q1429" s="3">
        <v>0</v>
      </c>
      <c r="R1429" s="3">
        <v>0</v>
      </c>
    </row>
    <row r="1430" spans="1:18">
      <c r="A1430" s="3" t="s">
        <v>334</v>
      </c>
      <c r="B1430" s="3" t="s">
        <v>335</v>
      </c>
      <c r="C1430" s="3" t="s">
        <v>336</v>
      </c>
      <c r="D1430" s="3" t="s">
        <v>337</v>
      </c>
      <c r="E1430" s="3" t="s">
        <v>1710</v>
      </c>
      <c r="F1430" s="3">
        <v>19.99</v>
      </c>
      <c r="G1430" s="3" t="s">
        <v>6233</v>
      </c>
      <c r="H1430" s="3"/>
      <c r="I1430" s="3" t="s">
        <v>6234</v>
      </c>
      <c r="J1430" s="3">
        <v>1</v>
      </c>
      <c r="K1430" s="3">
        <v>0</v>
      </c>
      <c r="L1430" s="3">
        <v>0</v>
      </c>
      <c r="M1430" s="3">
        <v>1</v>
      </c>
      <c r="N1430" s="3">
        <v>1</v>
      </c>
      <c r="O1430" s="3">
        <v>0.15</v>
      </c>
      <c r="P1430" s="3">
        <v>0</v>
      </c>
      <c r="Q1430" s="3">
        <v>0</v>
      </c>
      <c r="R1430" s="3">
        <v>0</v>
      </c>
    </row>
    <row r="1431" spans="1:18">
      <c r="A1431" s="3" t="s">
        <v>8244</v>
      </c>
      <c r="B1431" s="3" t="s">
        <v>8245</v>
      </c>
      <c r="C1431" s="3" t="s">
        <v>8246</v>
      </c>
      <c r="D1431" s="3" t="s">
        <v>8247</v>
      </c>
      <c r="E1431" s="3" t="s">
        <v>1710</v>
      </c>
      <c r="F1431" s="3">
        <v>15.99</v>
      </c>
      <c r="G1431" s="3" t="s">
        <v>6233</v>
      </c>
      <c r="H1431" s="3"/>
      <c r="I1431" s="3" t="s">
        <v>6234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0.1</v>
      </c>
      <c r="P1431" s="3">
        <v>0</v>
      </c>
      <c r="Q1431" s="3">
        <v>0</v>
      </c>
      <c r="R1431" s="3">
        <v>0</v>
      </c>
    </row>
    <row r="1432" spans="1:18">
      <c r="A1432" s="3" t="s">
        <v>6209</v>
      </c>
      <c r="B1432" s="3" t="s">
        <v>6210</v>
      </c>
      <c r="C1432" s="3" t="s">
        <v>6211</v>
      </c>
      <c r="D1432" s="3" t="s">
        <v>6212</v>
      </c>
      <c r="E1432" s="3" t="s">
        <v>1710</v>
      </c>
      <c r="F1432" s="3">
        <v>16.97</v>
      </c>
      <c r="G1432" s="3" t="s">
        <v>6233</v>
      </c>
      <c r="H1432" s="3"/>
      <c r="I1432" s="3" t="s">
        <v>6234</v>
      </c>
      <c r="J1432" s="3">
        <v>12</v>
      </c>
      <c r="K1432" s="3">
        <v>12</v>
      </c>
      <c r="L1432" s="3">
        <v>0</v>
      </c>
      <c r="M1432" s="3">
        <v>0</v>
      </c>
      <c r="N1432" s="3">
        <v>12</v>
      </c>
      <c r="O1432" s="3">
        <v>0.12</v>
      </c>
      <c r="P1432" s="3">
        <v>0</v>
      </c>
      <c r="Q1432" s="3">
        <v>0</v>
      </c>
      <c r="R1432" s="3">
        <v>0</v>
      </c>
    </row>
    <row r="1433" spans="1:18">
      <c r="A1433" s="3" t="s">
        <v>2045</v>
      </c>
      <c r="B1433" s="3" t="s">
        <v>2046</v>
      </c>
      <c r="C1433" s="3" t="s">
        <v>2047</v>
      </c>
      <c r="D1433" s="3" t="s">
        <v>2048</v>
      </c>
      <c r="E1433" s="3" t="s">
        <v>1710</v>
      </c>
      <c r="F1433" s="3">
        <v>16.99</v>
      </c>
      <c r="G1433" s="3" t="s">
        <v>6233</v>
      </c>
      <c r="H1433" s="3"/>
      <c r="I1433" s="3" t="s">
        <v>6234</v>
      </c>
      <c r="J1433" s="3">
        <v>3</v>
      </c>
      <c r="K1433" s="3">
        <v>3</v>
      </c>
      <c r="L1433" s="3">
        <v>0</v>
      </c>
      <c r="M1433" s="3">
        <v>0</v>
      </c>
      <c r="N1433" s="3">
        <v>3</v>
      </c>
      <c r="O1433" s="3">
        <v>0.12</v>
      </c>
      <c r="P1433" s="3">
        <v>0</v>
      </c>
      <c r="Q1433" s="3">
        <v>0</v>
      </c>
      <c r="R1433" s="3">
        <v>0</v>
      </c>
    </row>
    <row r="1434" spans="1:18">
      <c r="A1434" s="3" t="s">
        <v>338</v>
      </c>
      <c r="B1434" s="3" t="s">
        <v>339</v>
      </c>
      <c r="C1434" s="3" t="s">
        <v>340</v>
      </c>
      <c r="D1434" s="3" t="s">
        <v>341</v>
      </c>
      <c r="E1434" s="3" t="s">
        <v>1710</v>
      </c>
      <c r="F1434" s="3">
        <v>16.99</v>
      </c>
      <c r="G1434" s="3" t="s">
        <v>6233</v>
      </c>
      <c r="H1434" s="3"/>
      <c r="I1434" s="3" t="s">
        <v>6234</v>
      </c>
      <c r="J1434" s="3">
        <v>2</v>
      </c>
      <c r="K1434" s="3">
        <v>1</v>
      </c>
      <c r="L1434" s="3">
        <v>0</v>
      </c>
      <c r="M1434" s="3">
        <v>1</v>
      </c>
      <c r="N1434" s="3">
        <v>2</v>
      </c>
      <c r="O1434" s="3">
        <v>0.08</v>
      </c>
      <c r="P1434" s="3">
        <v>0</v>
      </c>
      <c r="Q1434" s="3">
        <v>0</v>
      </c>
      <c r="R1434" s="3">
        <v>0</v>
      </c>
    </row>
    <row r="1435" spans="1:18">
      <c r="A1435" s="3" t="s">
        <v>8248</v>
      </c>
      <c r="B1435" s="3" t="s">
        <v>8249</v>
      </c>
      <c r="C1435" s="3" t="s">
        <v>8250</v>
      </c>
      <c r="D1435" s="3" t="s">
        <v>8251</v>
      </c>
      <c r="E1435" s="3" t="s">
        <v>1710</v>
      </c>
      <c r="F1435" s="3">
        <v>16.99</v>
      </c>
      <c r="G1435" s="3" t="s">
        <v>6233</v>
      </c>
      <c r="H1435" s="3"/>
      <c r="I1435" s="3" t="s">
        <v>6234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0.12</v>
      </c>
      <c r="P1435" s="3">
        <v>0</v>
      </c>
      <c r="Q1435" s="3">
        <v>0</v>
      </c>
      <c r="R1435" s="3">
        <v>0</v>
      </c>
    </row>
    <row r="1436" spans="1:18">
      <c r="A1436" s="3" t="s">
        <v>1944</v>
      </c>
      <c r="B1436" s="3" t="s">
        <v>1945</v>
      </c>
      <c r="C1436" s="3" t="s">
        <v>1946</v>
      </c>
      <c r="D1436" s="3" t="s">
        <v>341</v>
      </c>
      <c r="E1436" s="3" t="s">
        <v>1710</v>
      </c>
      <c r="F1436" s="3">
        <v>15.99</v>
      </c>
      <c r="G1436" s="3" t="s">
        <v>6233</v>
      </c>
      <c r="H1436" s="3"/>
      <c r="I1436" s="3" t="s">
        <v>6234</v>
      </c>
      <c r="J1436" s="3">
        <v>13</v>
      </c>
      <c r="K1436" s="3">
        <v>13</v>
      </c>
      <c r="L1436" s="3">
        <v>0</v>
      </c>
      <c r="M1436" s="3">
        <v>0</v>
      </c>
      <c r="N1436" s="3">
        <v>13</v>
      </c>
      <c r="O1436" s="3">
        <v>0.06</v>
      </c>
      <c r="P1436" s="3">
        <v>0</v>
      </c>
      <c r="Q1436" s="3">
        <v>0</v>
      </c>
      <c r="R1436" s="3">
        <v>0</v>
      </c>
    </row>
    <row r="1437" spans="1:18">
      <c r="A1437" s="3" t="s">
        <v>8252</v>
      </c>
      <c r="B1437" s="3" t="s">
        <v>8253</v>
      </c>
      <c r="C1437" s="3" t="s">
        <v>8254</v>
      </c>
      <c r="D1437" s="3" t="s">
        <v>8255</v>
      </c>
      <c r="E1437" s="3" t="s">
        <v>1710</v>
      </c>
      <c r="F1437" s="3">
        <v>19.99</v>
      </c>
      <c r="G1437" s="3" t="s">
        <v>6233</v>
      </c>
      <c r="H1437" s="3"/>
      <c r="I1437" s="3" t="s">
        <v>6234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0.21</v>
      </c>
      <c r="P1437" s="3">
        <v>0</v>
      </c>
      <c r="Q1437" s="3">
        <v>0</v>
      </c>
      <c r="R1437" s="3">
        <v>0</v>
      </c>
    </row>
    <row r="1438" spans="1:18">
      <c r="A1438" s="3" t="s">
        <v>8256</v>
      </c>
      <c r="B1438" s="3" t="s">
        <v>8257</v>
      </c>
      <c r="C1438" s="3" t="s">
        <v>8258</v>
      </c>
      <c r="D1438" s="3" t="s">
        <v>8259</v>
      </c>
      <c r="E1438" s="3" t="s">
        <v>1710</v>
      </c>
      <c r="F1438" s="3">
        <v>19.99</v>
      </c>
      <c r="G1438" s="3" t="s">
        <v>6233</v>
      </c>
      <c r="H1438" s="3"/>
      <c r="I1438" s="3" t="s">
        <v>6234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0.33</v>
      </c>
      <c r="P1438" s="3">
        <v>0</v>
      </c>
      <c r="Q1438" s="3">
        <v>0</v>
      </c>
      <c r="R1438" s="3">
        <v>0</v>
      </c>
    </row>
    <row r="1439" spans="1:18">
      <c r="A1439" s="3" t="s">
        <v>8260</v>
      </c>
      <c r="B1439" s="3" t="s">
        <v>8261</v>
      </c>
      <c r="C1439" s="3" t="s">
        <v>8262</v>
      </c>
      <c r="D1439" s="3" t="s">
        <v>8263</v>
      </c>
      <c r="E1439" s="3" t="s">
        <v>1710</v>
      </c>
      <c r="F1439" s="3">
        <v>19.99</v>
      </c>
      <c r="G1439" s="3" t="s">
        <v>6233</v>
      </c>
      <c r="H1439" s="3"/>
      <c r="I1439" s="3" t="s">
        <v>6234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0.36</v>
      </c>
      <c r="P1439" s="3">
        <v>0</v>
      </c>
      <c r="Q1439" s="3">
        <v>0</v>
      </c>
      <c r="R1439" s="3">
        <v>0</v>
      </c>
    </row>
    <row r="1440" spans="1:18">
      <c r="A1440" s="3" t="s">
        <v>342</v>
      </c>
      <c r="B1440" s="3" t="s">
        <v>343</v>
      </c>
      <c r="C1440" s="3" t="s">
        <v>344</v>
      </c>
      <c r="D1440" s="3" t="s">
        <v>345</v>
      </c>
      <c r="E1440" s="3" t="s">
        <v>1710</v>
      </c>
      <c r="F1440" s="3">
        <v>19.99</v>
      </c>
      <c r="G1440" s="3" t="s">
        <v>6233</v>
      </c>
      <c r="H1440" s="3"/>
      <c r="I1440" s="3" t="s">
        <v>6234</v>
      </c>
      <c r="J1440" s="3">
        <v>32</v>
      </c>
      <c r="K1440" s="3">
        <v>31</v>
      </c>
      <c r="L1440" s="3">
        <v>0</v>
      </c>
      <c r="M1440" s="3">
        <v>1</v>
      </c>
      <c r="N1440" s="3">
        <v>32</v>
      </c>
      <c r="O1440" s="3">
        <v>0.19</v>
      </c>
      <c r="P1440" s="3">
        <v>0</v>
      </c>
      <c r="Q1440" s="3">
        <v>0</v>
      </c>
      <c r="R1440" s="3">
        <v>0</v>
      </c>
    </row>
    <row r="1441" spans="1:18">
      <c r="A1441" s="3" t="s">
        <v>8264</v>
      </c>
      <c r="B1441" s="3" t="s">
        <v>8265</v>
      </c>
      <c r="C1441" s="3" t="s">
        <v>8266</v>
      </c>
      <c r="D1441" s="3" t="s">
        <v>8267</v>
      </c>
      <c r="E1441" s="3" t="s">
        <v>1710</v>
      </c>
      <c r="F1441" s="3">
        <v>19.99</v>
      </c>
      <c r="G1441" s="3" t="s">
        <v>6233</v>
      </c>
      <c r="H1441" s="3"/>
      <c r="I1441" s="3" t="s">
        <v>6234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0.17</v>
      </c>
      <c r="P1441" s="3">
        <v>0</v>
      </c>
      <c r="Q1441" s="3">
        <v>0</v>
      </c>
      <c r="R1441" s="3">
        <v>0</v>
      </c>
    </row>
    <row r="1442" spans="1:18">
      <c r="A1442" s="3" t="s">
        <v>8268</v>
      </c>
      <c r="B1442" s="3" t="s">
        <v>8269</v>
      </c>
      <c r="C1442" s="3" t="s">
        <v>8270</v>
      </c>
      <c r="D1442" s="3" t="s">
        <v>8271</v>
      </c>
      <c r="E1442" s="3" t="s">
        <v>1710</v>
      </c>
      <c r="F1442" s="3">
        <v>19.99</v>
      </c>
      <c r="G1442" s="3" t="s">
        <v>6233</v>
      </c>
      <c r="H1442" s="3"/>
      <c r="I1442" s="3" t="s">
        <v>6234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0.17</v>
      </c>
      <c r="P1442" s="3">
        <v>0</v>
      </c>
      <c r="Q1442" s="3">
        <v>0</v>
      </c>
      <c r="R1442" s="3">
        <v>0</v>
      </c>
    </row>
    <row r="1443" spans="1:18">
      <c r="A1443" s="3" t="s">
        <v>8272</v>
      </c>
      <c r="B1443" s="3" t="s">
        <v>8273</v>
      </c>
      <c r="C1443" s="3" t="s">
        <v>8274</v>
      </c>
      <c r="D1443" s="3" t="s">
        <v>8275</v>
      </c>
      <c r="E1443" s="3" t="s">
        <v>1710</v>
      </c>
      <c r="F1443" s="3">
        <v>19.99</v>
      </c>
      <c r="G1443" s="3" t="s">
        <v>6233</v>
      </c>
      <c r="H1443" s="3"/>
      <c r="I1443" s="3" t="s">
        <v>6234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0.18</v>
      </c>
      <c r="P1443" s="3">
        <v>0</v>
      </c>
      <c r="Q1443" s="3">
        <v>0</v>
      </c>
      <c r="R1443" s="3">
        <v>0</v>
      </c>
    </row>
    <row r="1444" spans="1:18">
      <c r="A1444" s="3" t="s">
        <v>8276</v>
      </c>
      <c r="B1444" s="3" t="s">
        <v>8277</v>
      </c>
      <c r="C1444" s="3" t="s">
        <v>8278</v>
      </c>
      <c r="D1444" s="3" t="s">
        <v>8279</v>
      </c>
      <c r="E1444" s="3" t="s">
        <v>1710</v>
      </c>
      <c r="F1444" s="3">
        <v>19.99</v>
      </c>
      <c r="G1444" s="3" t="s">
        <v>6233</v>
      </c>
      <c r="H1444" s="3"/>
      <c r="I1444" s="3" t="s">
        <v>6234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0.19</v>
      </c>
      <c r="P1444" s="3">
        <v>0</v>
      </c>
      <c r="Q1444" s="3">
        <v>0</v>
      </c>
      <c r="R1444" s="3">
        <v>0</v>
      </c>
    </row>
    <row r="1445" spans="1:18">
      <c r="A1445" s="3" t="s">
        <v>8280</v>
      </c>
      <c r="B1445" s="3" t="s">
        <v>8281</v>
      </c>
      <c r="C1445" s="3" t="s">
        <v>8282</v>
      </c>
      <c r="D1445" s="3" t="s">
        <v>8283</v>
      </c>
      <c r="E1445" s="3" t="s">
        <v>1710</v>
      </c>
      <c r="F1445" s="3">
        <v>19.99</v>
      </c>
      <c r="G1445" s="3" t="s">
        <v>6233</v>
      </c>
      <c r="H1445" s="3"/>
      <c r="I1445" s="3" t="s">
        <v>6234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0.24</v>
      </c>
      <c r="P1445" s="3">
        <v>0</v>
      </c>
      <c r="Q1445" s="3">
        <v>0</v>
      </c>
      <c r="R1445" s="3">
        <v>0</v>
      </c>
    </row>
    <row r="1446" spans="1:18">
      <c r="A1446" s="3" t="s">
        <v>8284</v>
      </c>
      <c r="B1446" s="3" t="s">
        <v>8285</v>
      </c>
      <c r="C1446" s="3" t="s">
        <v>8286</v>
      </c>
      <c r="D1446" s="3" t="s">
        <v>8287</v>
      </c>
      <c r="E1446" s="3" t="s">
        <v>1710</v>
      </c>
      <c r="F1446" s="3">
        <v>19.99</v>
      </c>
      <c r="G1446" s="3" t="s">
        <v>6233</v>
      </c>
      <c r="H1446" s="3"/>
      <c r="I1446" s="3" t="s">
        <v>6234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0.33</v>
      </c>
      <c r="P1446" s="3">
        <v>0</v>
      </c>
      <c r="Q1446" s="3">
        <v>0</v>
      </c>
      <c r="R1446" s="3">
        <v>0</v>
      </c>
    </row>
    <row r="1447" spans="1:18">
      <c r="A1447" s="3" t="s">
        <v>6041</v>
      </c>
      <c r="B1447" s="3" t="s">
        <v>6042</v>
      </c>
      <c r="C1447" s="3" t="s">
        <v>6043</v>
      </c>
      <c r="D1447" s="3" t="s">
        <v>6044</v>
      </c>
      <c r="E1447" s="3" t="s">
        <v>1710</v>
      </c>
      <c r="F1447" s="3">
        <v>19.99</v>
      </c>
      <c r="G1447" s="3" t="s">
        <v>6233</v>
      </c>
      <c r="H1447" s="3"/>
      <c r="I1447" s="3" t="s">
        <v>6234</v>
      </c>
      <c r="J1447" s="3">
        <v>2</v>
      </c>
      <c r="K1447" s="3">
        <v>2</v>
      </c>
      <c r="L1447" s="3">
        <v>0</v>
      </c>
      <c r="M1447" s="3">
        <v>0</v>
      </c>
      <c r="N1447" s="3">
        <v>2</v>
      </c>
      <c r="O1447" s="3">
        <v>0.24</v>
      </c>
      <c r="P1447" s="3">
        <v>0</v>
      </c>
      <c r="Q1447" s="3">
        <v>0</v>
      </c>
      <c r="R1447" s="3">
        <v>0</v>
      </c>
    </row>
    <row r="1448" spans="1:18">
      <c r="A1448" s="3" t="s">
        <v>8288</v>
      </c>
      <c r="B1448" s="3" t="s">
        <v>8289</v>
      </c>
      <c r="C1448" s="3" t="s">
        <v>8290</v>
      </c>
      <c r="D1448" s="3" t="s">
        <v>8291</v>
      </c>
      <c r="E1448" s="3" t="s">
        <v>1710</v>
      </c>
      <c r="F1448" s="3">
        <v>19.99</v>
      </c>
      <c r="G1448" s="3" t="s">
        <v>6233</v>
      </c>
      <c r="H1448" s="3"/>
      <c r="I1448" s="3" t="s">
        <v>6234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0.17</v>
      </c>
      <c r="P1448" s="3">
        <v>0</v>
      </c>
      <c r="Q1448" s="3">
        <v>0</v>
      </c>
      <c r="R1448" s="3">
        <v>0</v>
      </c>
    </row>
    <row r="1449" spans="1:18">
      <c r="A1449" s="3" t="s">
        <v>8292</v>
      </c>
      <c r="B1449" s="3" t="s">
        <v>8293</v>
      </c>
      <c r="C1449" s="3" t="s">
        <v>8294</v>
      </c>
      <c r="D1449" s="3" t="s">
        <v>8295</v>
      </c>
      <c r="E1449" s="3" t="s">
        <v>1710</v>
      </c>
      <c r="F1449" s="3">
        <v>19.99</v>
      </c>
      <c r="G1449" s="3" t="s">
        <v>6233</v>
      </c>
      <c r="H1449" s="3"/>
      <c r="I1449" s="3" t="s">
        <v>6234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0.35</v>
      </c>
      <c r="P1449" s="3">
        <v>0</v>
      </c>
      <c r="Q1449" s="3">
        <v>0</v>
      </c>
      <c r="R1449" s="3">
        <v>0</v>
      </c>
    </row>
    <row r="1450" spans="1:18">
      <c r="A1450" s="3" t="s">
        <v>8296</v>
      </c>
      <c r="B1450" s="3" t="s">
        <v>8297</v>
      </c>
      <c r="C1450" s="3" t="s">
        <v>8298</v>
      </c>
      <c r="D1450" s="3" t="s">
        <v>8299</v>
      </c>
      <c r="E1450" s="3" t="s">
        <v>1710</v>
      </c>
      <c r="F1450" s="3">
        <v>19.99</v>
      </c>
      <c r="G1450" s="3" t="s">
        <v>6233</v>
      </c>
      <c r="H1450" s="3"/>
      <c r="I1450" s="3" t="s">
        <v>6234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0.24</v>
      </c>
      <c r="P1450" s="3">
        <v>0</v>
      </c>
      <c r="Q1450" s="3">
        <v>0</v>
      </c>
      <c r="R1450" s="3">
        <v>0</v>
      </c>
    </row>
    <row r="1451" spans="1:18">
      <c r="A1451" s="3" t="s">
        <v>5374</v>
      </c>
      <c r="B1451" s="3" t="s">
        <v>5375</v>
      </c>
      <c r="C1451" s="3" t="s">
        <v>5376</v>
      </c>
      <c r="D1451" s="3" t="s">
        <v>5377</v>
      </c>
      <c r="E1451" s="3" t="s">
        <v>1710</v>
      </c>
      <c r="F1451" s="3">
        <v>19.99</v>
      </c>
      <c r="G1451" s="3" t="s">
        <v>6233</v>
      </c>
      <c r="H1451" s="3"/>
      <c r="I1451" s="3" t="s">
        <v>6234</v>
      </c>
      <c r="J1451" s="3">
        <v>3</v>
      </c>
      <c r="K1451" s="3">
        <v>3</v>
      </c>
      <c r="L1451" s="3">
        <v>0</v>
      </c>
      <c r="M1451" s="3">
        <v>0</v>
      </c>
      <c r="N1451" s="3">
        <v>3</v>
      </c>
      <c r="O1451" s="3">
        <v>0.17</v>
      </c>
      <c r="P1451" s="3">
        <v>0</v>
      </c>
      <c r="Q1451" s="3">
        <v>0</v>
      </c>
      <c r="R1451" s="3">
        <v>0</v>
      </c>
    </row>
    <row r="1452" spans="1:18">
      <c r="A1452" s="3" t="s">
        <v>5874</v>
      </c>
      <c r="B1452" s="3" t="s">
        <v>5875</v>
      </c>
      <c r="C1452" s="3" t="s">
        <v>5876</v>
      </c>
      <c r="D1452" s="3" t="s">
        <v>5877</v>
      </c>
      <c r="E1452" s="3" t="s">
        <v>1710</v>
      </c>
      <c r="F1452" s="3">
        <v>18.99</v>
      </c>
      <c r="G1452" s="3" t="s">
        <v>6233</v>
      </c>
      <c r="H1452" s="3"/>
      <c r="I1452" s="3" t="s">
        <v>6234</v>
      </c>
      <c r="J1452" s="3">
        <v>14</v>
      </c>
      <c r="K1452" s="3">
        <v>14</v>
      </c>
      <c r="L1452" s="3">
        <v>0</v>
      </c>
      <c r="M1452" s="3">
        <v>0</v>
      </c>
      <c r="N1452" s="3">
        <v>14</v>
      </c>
      <c r="O1452" s="3">
        <v>0.21</v>
      </c>
      <c r="P1452" s="3">
        <v>0</v>
      </c>
      <c r="Q1452" s="3">
        <v>0</v>
      </c>
      <c r="R1452" s="3">
        <v>0</v>
      </c>
    </row>
    <row r="1453" spans="1:18">
      <c r="A1453" s="3" t="s">
        <v>1987</v>
      </c>
      <c r="B1453" s="3" t="s">
        <v>1988</v>
      </c>
      <c r="C1453" s="3" t="s">
        <v>1989</v>
      </c>
      <c r="D1453" s="3" t="s">
        <v>1990</v>
      </c>
      <c r="E1453" s="3" t="s">
        <v>1710</v>
      </c>
      <c r="F1453" s="3">
        <v>18.99</v>
      </c>
      <c r="G1453" s="3" t="s">
        <v>6233</v>
      </c>
      <c r="H1453" s="3"/>
      <c r="I1453" s="3" t="s">
        <v>6234</v>
      </c>
      <c r="J1453" s="3">
        <v>63</v>
      </c>
      <c r="K1453" s="3">
        <v>63</v>
      </c>
      <c r="L1453" s="3">
        <v>0</v>
      </c>
      <c r="M1453" s="3">
        <v>0</v>
      </c>
      <c r="N1453" s="3">
        <v>63</v>
      </c>
      <c r="O1453" s="3">
        <v>0.41</v>
      </c>
      <c r="P1453" s="3">
        <v>0</v>
      </c>
      <c r="Q1453" s="3">
        <v>0</v>
      </c>
      <c r="R1453" s="3">
        <v>0</v>
      </c>
    </row>
    <row r="1454" spans="1:18">
      <c r="A1454" s="3" t="s">
        <v>8300</v>
      </c>
      <c r="B1454" s="3" t="s">
        <v>8301</v>
      </c>
      <c r="C1454" s="3" t="s">
        <v>8302</v>
      </c>
      <c r="D1454" s="3" t="s">
        <v>8303</v>
      </c>
      <c r="E1454" s="3" t="s">
        <v>1710</v>
      </c>
      <c r="F1454" s="3">
        <v>19.99</v>
      </c>
      <c r="G1454" s="3" t="s">
        <v>6233</v>
      </c>
      <c r="H1454" s="3"/>
      <c r="I1454" s="3" t="s">
        <v>6234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0.18</v>
      </c>
      <c r="P1454" s="3">
        <v>0</v>
      </c>
      <c r="Q1454" s="3">
        <v>0</v>
      </c>
      <c r="R1454" s="3">
        <v>0</v>
      </c>
    </row>
    <row r="1455" spans="1:18">
      <c r="A1455" s="3" t="s">
        <v>2869</v>
      </c>
      <c r="B1455" s="3" t="s">
        <v>2870</v>
      </c>
      <c r="C1455" s="3" t="s">
        <v>2871</v>
      </c>
      <c r="D1455" s="3" t="s">
        <v>2872</v>
      </c>
      <c r="E1455" s="3" t="s">
        <v>1710</v>
      </c>
      <c r="F1455" s="3">
        <v>19.99</v>
      </c>
      <c r="G1455" s="3" t="s">
        <v>6233</v>
      </c>
      <c r="H1455" s="3"/>
      <c r="I1455" s="3" t="s">
        <v>6234</v>
      </c>
      <c r="J1455" s="3">
        <v>15</v>
      </c>
      <c r="K1455" s="3">
        <v>15</v>
      </c>
      <c r="L1455" s="3">
        <v>0</v>
      </c>
      <c r="M1455" s="3">
        <v>0</v>
      </c>
      <c r="N1455" s="3">
        <v>15</v>
      </c>
      <c r="O1455" s="3">
        <v>0.3</v>
      </c>
      <c r="P1455" s="3">
        <v>0</v>
      </c>
      <c r="Q1455" s="3">
        <v>0</v>
      </c>
      <c r="R1455" s="3">
        <v>0</v>
      </c>
    </row>
    <row r="1456" spans="1:18">
      <c r="A1456" s="3" t="s">
        <v>8304</v>
      </c>
      <c r="B1456" s="3" t="s">
        <v>8305</v>
      </c>
      <c r="C1456" s="3" t="s">
        <v>8306</v>
      </c>
      <c r="D1456" s="3" t="s">
        <v>8307</v>
      </c>
      <c r="E1456" s="3" t="s">
        <v>1710</v>
      </c>
      <c r="F1456" s="3">
        <v>19.99</v>
      </c>
      <c r="G1456" s="3" t="s">
        <v>6233</v>
      </c>
      <c r="H1456" s="3"/>
      <c r="I1456" s="3" t="s">
        <v>6234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0.17</v>
      </c>
      <c r="P1456" s="3">
        <v>0</v>
      </c>
      <c r="Q1456" s="3">
        <v>0</v>
      </c>
      <c r="R1456" s="3">
        <v>0</v>
      </c>
    </row>
    <row r="1457" spans="1:18">
      <c r="A1457" s="3" t="s">
        <v>8308</v>
      </c>
      <c r="B1457" s="3" t="s">
        <v>8309</v>
      </c>
      <c r="C1457" s="3" t="s">
        <v>8310</v>
      </c>
      <c r="D1457" s="3" t="s">
        <v>8311</v>
      </c>
      <c r="E1457" s="3" t="s">
        <v>1710</v>
      </c>
      <c r="F1457" s="3">
        <v>19.99</v>
      </c>
      <c r="G1457" s="3" t="s">
        <v>6233</v>
      </c>
      <c r="H1457" s="3"/>
      <c r="I1457" s="3" t="s">
        <v>6234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0.24</v>
      </c>
      <c r="P1457" s="3">
        <v>0</v>
      </c>
      <c r="Q1457" s="3">
        <v>0</v>
      </c>
      <c r="R1457" s="3">
        <v>0</v>
      </c>
    </row>
    <row r="1458" spans="1:18">
      <c r="A1458" s="3" t="s">
        <v>4217</v>
      </c>
      <c r="B1458" s="3" t="s">
        <v>4218</v>
      </c>
      <c r="C1458" s="3" t="s">
        <v>4219</v>
      </c>
      <c r="D1458" s="3" t="s">
        <v>2446</v>
      </c>
      <c r="E1458" s="3" t="s">
        <v>1710</v>
      </c>
      <c r="F1458" s="3">
        <v>30</v>
      </c>
      <c r="G1458" s="3" t="s">
        <v>6233</v>
      </c>
      <c r="H1458" s="3"/>
      <c r="I1458" s="3" t="s">
        <v>6234</v>
      </c>
      <c r="J1458" s="3">
        <v>2</v>
      </c>
      <c r="K1458" s="3">
        <v>2</v>
      </c>
      <c r="L1458" s="3">
        <v>0</v>
      </c>
      <c r="M1458" s="3">
        <v>0</v>
      </c>
      <c r="N1458" s="3">
        <v>2</v>
      </c>
      <c r="O1458" s="3">
        <v>0</v>
      </c>
      <c r="P1458" s="3">
        <v>0</v>
      </c>
      <c r="Q1458" s="3">
        <v>0</v>
      </c>
      <c r="R1458" s="3">
        <v>0</v>
      </c>
    </row>
    <row r="1459" spans="1:18">
      <c r="A1459" s="3" t="s">
        <v>2443</v>
      </c>
      <c r="B1459" s="3" t="s">
        <v>2444</v>
      </c>
      <c r="C1459" s="3" t="s">
        <v>2445</v>
      </c>
      <c r="D1459" s="3" t="s">
        <v>2446</v>
      </c>
      <c r="E1459" s="3" t="s">
        <v>1710</v>
      </c>
      <c r="F1459" s="3">
        <v>30</v>
      </c>
      <c r="G1459" s="3" t="s">
        <v>6233</v>
      </c>
      <c r="H1459" s="3"/>
      <c r="I1459" s="3" t="s">
        <v>6234</v>
      </c>
      <c r="J1459" s="3">
        <v>1</v>
      </c>
      <c r="K1459" s="3">
        <v>1</v>
      </c>
      <c r="L1459" s="3">
        <v>0</v>
      </c>
      <c r="M1459" s="3">
        <v>0</v>
      </c>
      <c r="N1459" s="3">
        <v>1</v>
      </c>
      <c r="O1459" s="3">
        <v>0</v>
      </c>
      <c r="P1459" s="3">
        <v>0</v>
      </c>
      <c r="Q1459" s="3">
        <v>0</v>
      </c>
      <c r="R1459" s="3">
        <v>0</v>
      </c>
    </row>
    <row r="1460" spans="1:18">
      <c r="A1460" s="3" t="s">
        <v>5898</v>
      </c>
      <c r="B1460" s="3" t="s">
        <v>5899</v>
      </c>
      <c r="C1460" s="3" t="s">
        <v>5900</v>
      </c>
      <c r="D1460" s="3" t="s">
        <v>2446</v>
      </c>
      <c r="E1460" s="3" t="s">
        <v>1710</v>
      </c>
      <c r="F1460" s="3">
        <v>30</v>
      </c>
      <c r="G1460" s="3" t="s">
        <v>6233</v>
      </c>
      <c r="H1460" s="3"/>
      <c r="I1460" s="3" t="s">
        <v>6234</v>
      </c>
      <c r="J1460" s="3">
        <v>1</v>
      </c>
      <c r="K1460" s="3">
        <v>1</v>
      </c>
      <c r="L1460" s="3">
        <v>0</v>
      </c>
      <c r="M1460" s="3">
        <v>0</v>
      </c>
      <c r="N1460" s="3">
        <v>1</v>
      </c>
      <c r="O1460" s="3">
        <v>0</v>
      </c>
      <c r="P1460" s="3">
        <v>0</v>
      </c>
      <c r="Q1460" s="3">
        <v>0</v>
      </c>
      <c r="R1460" s="3">
        <v>0</v>
      </c>
    </row>
    <row r="1461" spans="1:18">
      <c r="A1461" s="3" t="s">
        <v>8312</v>
      </c>
      <c r="B1461" s="3" t="s">
        <v>8313</v>
      </c>
      <c r="C1461" s="3" t="s">
        <v>8314</v>
      </c>
      <c r="D1461" s="3" t="s">
        <v>2446</v>
      </c>
      <c r="E1461" s="3" t="s">
        <v>1710</v>
      </c>
      <c r="F1461" s="3">
        <v>30</v>
      </c>
      <c r="G1461" s="3" t="s">
        <v>6233</v>
      </c>
      <c r="H1461" s="3"/>
      <c r="I1461" s="3" t="s">
        <v>6234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</row>
    <row r="1462" spans="1:18">
      <c r="A1462" s="3" t="s">
        <v>4610</v>
      </c>
      <c r="B1462" s="3" t="s">
        <v>4611</v>
      </c>
      <c r="C1462" s="3" t="s">
        <v>4612</v>
      </c>
      <c r="D1462" s="3" t="s">
        <v>4613</v>
      </c>
      <c r="E1462" s="3" t="s">
        <v>1710</v>
      </c>
      <c r="F1462" s="3">
        <v>30</v>
      </c>
      <c r="G1462" s="3" t="s">
        <v>6233</v>
      </c>
      <c r="H1462" s="3"/>
      <c r="I1462" s="3" t="s">
        <v>6234</v>
      </c>
      <c r="J1462" s="3">
        <v>5</v>
      </c>
      <c r="K1462" s="3">
        <v>5</v>
      </c>
      <c r="L1462" s="3">
        <v>0</v>
      </c>
      <c r="M1462" s="3">
        <v>0</v>
      </c>
      <c r="N1462" s="3">
        <v>5</v>
      </c>
      <c r="O1462" s="3">
        <v>0.14</v>
      </c>
      <c r="P1462" s="3">
        <v>0</v>
      </c>
      <c r="Q1462" s="3">
        <v>0</v>
      </c>
      <c r="R1462" s="3">
        <v>0</v>
      </c>
    </row>
    <row r="1463" spans="1:18">
      <c r="A1463" s="3" t="s">
        <v>3218</v>
      </c>
      <c r="B1463" s="3" t="s">
        <v>3219</v>
      </c>
      <c r="C1463" s="3" t="s">
        <v>3220</v>
      </c>
      <c r="D1463" s="3" t="s">
        <v>3221</v>
      </c>
      <c r="E1463" s="3" t="s">
        <v>1710</v>
      </c>
      <c r="F1463" s="3">
        <v>30</v>
      </c>
      <c r="G1463" s="3" t="s">
        <v>6233</v>
      </c>
      <c r="H1463" s="3"/>
      <c r="I1463" s="3" t="s">
        <v>6234</v>
      </c>
      <c r="J1463" s="3">
        <v>7</v>
      </c>
      <c r="K1463" s="3">
        <v>7</v>
      </c>
      <c r="L1463" s="3">
        <v>0</v>
      </c>
      <c r="M1463" s="3">
        <v>0</v>
      </c>
      <c r="N1463" s="3">
        <v>7</v>
      </c>
      <c r="O1463" s="3">
        <v>0.09</v>
      </c>
      <c r="P1463" s="3">
        <v>0</v>
      </c>
      <c r="Q1463" s="3">
        <v>0</v>
      </c>
      <c r="R1463" s="3">
        <v>0</v>
      </c>
    </row>
    <row r="1464" spans="1:18">
      <c r="A1464" s="3" t="s">
        <v>8315</v>
      </c>
      <c r="B1464" s="3" t="s">
        <v>8316</v>
      </c>
      <c r="C1464" s="3" t="s">
        <v>8317</v>
      </c>
      <c r="D1464" s="3" t="s">
        <v>8318</v>
      </c>
      <c r="E1464" s="3" t="s">
        <v>1710</v>
      </c>
      <c r="F1464" s="3">
        <v>30</v>
      </c>
      <c r="G1464" s="3" t="s">
        <v>6233</v>
      </c>
      <c r="H1464" s="3"/>
      <c r="I1464" s="3" t="s">
        <v>6234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0.1</v>
      </c>
      <c r="P1464" s="3">
        <v>0</v>
      </c>
      <c r="Q1464" s="3">
        <v>0</v>
      </c>
      <c r="R1464" s="3">
        <v>0</v>
      </c>
    </row>
    <row r="1465" spans="1:18">
      <c r="A1465" s="3" t="s">
        <v>1842</v>
      </c>
      <c r="B1465" s="3" t="s">
        <v>1843</v>
      </c>
      <c r="C1465" s="3" t="s">
        <v>1844</v>
      </c>
      <c r="D1465" s="3" t="s">
        <v>1845</v>
      </c>
      <c r="E1465" s="3" t="s">
        <v>1710</v>
      </c>
      <c r="F1465" s="3">
        <v>30</v>
      </c>
      <c r="G1465" s="3" t="s">
        <v>6233</v>
      </c>
      <c r="H1465" s="3"/>
      <c r="I1465" s="3" t="s">
        <v>6234</v>
      </c>
      <c r="J1465" s="3">
        <v>1</v>
      </c>
      <c r="K1465" s="3">
        <v>1</v>
      </c>
      <c r="L1465" s="3">
        <v>0</v>
      </c>
      <c r="M1465" s="3">
        <v>0</v>
      </c>
      <c r="N1465" s="3">
        <v>1</v>
      </c>
      <c r="O1465" s="3">
        <v>0.14</v>
      </c>
      <c r="P1465" s="3">
        <v>0</v>
      </c>
      <c r="Q1465" s="3">
        <v>0</v>
      </c>
      <c r="R1465" s="3">
        <v>0</v>
      </c>
    </row>
    <row r="1466" spans="1:18">
      <c r="A1466" s="3" t="s">
        <v>2817</v>
      </c>
      <c r="B1466" s="3" t="s">
        <v>2818</v>
      </c>
      <c r="C1466" s="3" t="s">
        <v>2819</v>
      </c>
      <c r="D1466" s="3" t="s">
        <v>2820</v>
      </c>
      <c r="E1466" s="3" t="s">
        <v>1710</v>
      </c>
      <c r="F1466" s="3">
        <v>30</v>
      </c>
      <c r="G1466" s="3" t="s">
        <v>6233</v>
      </c>
      <c r="H1466" s="3"/>
      <c r="I1466" s="3" t="s">
        <v>6234</v>
      </c>
      <c r="J1466" s="3">
        <v>5</v>
      </c>
      <c r="K1466" s="3">
        <v>5</v>
      </c>
      <c r="L1466" s="3">
        <v>0</v>
      </c>
      <c r="M1466" s="3">
        <v>0</v>
      </c>
      <c r="N1466" s="3">
        <v>5</v>
      </c>
      <c r="O1466" s="3">
        <v>0.09</v>
      </c>
      <c r="P1466" s="3">
        <v>0</v>
      </c>
      <c r="Q1466" s="3">
        <v>0</v>
      </c>
      <c r="R1466" s="3">
        <v>0</v>
      </c>
    </row>
    <row r="1467" spans="1:18">
      <c r="A1467" s="3" t="s">
        <v>5829</v>
      </c>
      <c r="B1467" s="3" t="s">
        <v>5830</v>
      </c>
      <c r="C1467" s="3" t="s">
        <v>5831</v>
      </c>
      <c r="D1467" s="3" t="s">
        <v>5832</v>
      </c>
      <c r="E1467" s="3" t="s">
        <v>1710</v>
      </c>
      <c r="F1467" s="3">
        <v>30</v>
      </c>
      <c r="G1467" s="3" t="s">
        <v>6233</v>
      </c>
      <c r="H1467" s="3"/>
      <c r="I1467" s="3" t="s">
        <v>6234</v>
      </c>
      <c r="J1467" s="3">
        <v>1</v>
      </c>
      <c r="K1467" s="3">
        <v>1</v>
      </c>
      <c r="L1467" s="3">
        <v>0</v>
      </c>
      <c r="M1467" s="3">
        <v>0</v>
      </c>
      <c r="N1467" s="3">
        <v>1</v>
      </c>
      <c r="O1467" s="3">
        <v>0.1</v>
      </c>
      <c r="P1467" s="3">
        <v>0</v>
      </c>
      <c r="Q1467" s="3">
        <v>0</v>
      </c>
      <c r="R1467" s="3">
        <v>0</v>
      </c>
    </row>
    <row r="1468" spans="1:18">
      <c r="A1468" s="3" t="s">
        <v>3432</v>
      </c>
      <c r="B1468" s="3" t="s">
        <v>3433</v>
      </c>
      <c r="C1468" s="3" t="s">
        <v>3434</v>
      </c>
      <c r="D1468" s="3" t="s">
        <v>349</v>
      </c>
      <c r="E1468" s="3" t="s">
        <v>1710</v>
      </c>
      <c r="F1468" s="3">
        <v>30</v>
      </c>
      <c r="G1468" s="3" t="s">
        <v>6233</v>
      </c>
      <c r="H1468" s="3"/>
      <c r="I1468" s="3" t="s">
        <v>6234</v>
      </c>
      <c r="J1468" s="3">
        <v>3</v>
      </c>
      <c r="K1468" s="3">
        <v>3</v>
      </c>
      <c r="L1468" s="3">
        <v>0</v>
      </c>
      <c r="M1468" s="3">
        <v>0</v>
      </c>
      <c r="N1468" s="3">
        <v>3</v>
      </c>
      <c r="O1468" s="3">
        <v>0.39</v>
      </c>
      <c r="P1468" s="3">
        <v>0</v>
      </c>
      <c r="Q1468" s="3">
        <v>0</v>
      </c>
      <c r="R1468" s="3">
        <v>0</v>
      </c>
    </row>
    <row r="1469" spans="1:18">
      <c r="A1469" s="3" t="s">
        <v>2179</v>
      </c>
      <c r="B1469" s="3" t="s">
        <v>2180</v>
      </c>
      <c r="C1469" s="3" t="s">
        <v>2181</v>
      </c>
      <c r="D1469" s="3" t="s">
        <v>349</v>
      </c>
      <c r="E1469" s="3" t="s">
        <v>1710</v>
      </c>
      <c r="F1469" s="3">
        <v>30</v>
      </c>
      <c r="G1469" s="3" t="s">
        <v>6233</v>
      </c>
      <c r="H1469" s="3"/>
      <c r="I1469" s="3" t="s">
        <v>6234</v>
      </c>
      <c r="J1469" s="3">
        <v>9</v>
      </c>
      <c r="K1469" s="3">
        <v>9</v>
      </c>
      <c r="L1469" s="3">
        <v>0</v>
      </c>
      <c r="M1469" s="3">
        <v>0</v>
      </c>
      <c r="N1469" s="3">
        <v>9</v>
      </c>
      <c r="O1469" s="3">
        <v>0.39</v>
      </c>
      <c r="P1469" s="3">
        <v>0</v>
      </c>
      <c r="Q1469" s="3">
        <v>0</v>
      </c>
      <c r="R1469" s="3">
        <v>0</v>
      </c>
    </row>
    <row r="1470" spans="1:18">
      <c r="A1470" s="3" t="s">
        <v>8319</v>
      </c>
      <c r="B1470" s="3" t="s">
        <v>8320</v>
      </c>
      <c r="C1470" s="3" t="s">
        <v>8321</v>
      </c>
      <c r="D1470" s="3" t="s">
        <v>349</v>
      </c>
      <c r="E1470" s="3" t="s">
        <v>1710</v>
      </c>
      <c r="F1470" s="3">
        <v>30</v>
      </c>
      <c r="G1470" s="3" t="s">
        <v>6233</v>
      </c>
      <c r="H1470" s="3"/>
      <c r="I1470" s="3" t="s">
        <v>6234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0.2</v>
      </c>
      <c r="P1470" s="3">
        <v>0</v>
      </c>
      <c r="Q1470" s="3">
        <v>0</v>
      </c>
      <c r="R1470" s="3">
        <v>0</v>
      </c>
    </row>
    <row r="1471" spans="1:18">
      <c r="A1471" s="3" t="s">
        <v>5840</v>
      </c>
      <c r="B1471" s="3" t="s">
        <v>5841</v>
      </c>
      <c r="C1471" s="3" t="s">
        <v>5842</v>
      </c>
      <c r="D1471" s="3" t="s">
        <v>349</v>
      </c>
      <c r="E1471" s="3" t="s">
        <v>1710</v>
      </c>
      <c r="F1471" s="3">
        <v>30</v>
      </c>
      <c r="G1471" s="3" t="s">
        <v>6233</v>
      </c>
      <c r="H1471" s="3"/>
      <c r="I1471" s="3" t="s">
        <v>6234</v>
      </c>
      <c r="J1471" s="3">
        <v>3</v>
      </c>
      <c r="K1471" s="3">
        <v>3</v>
      </c>
      <c r="L1471" s="3">
        <v>0</v>
      </c>
      <c r="M1471" s="3">
        <v>0</v>
      </c>
      <c r="N1471" s="3">
        <v>3</v>
      </c>
      <c r="O1471" s="3">
        <v>0.39</v>
      </c>
      <c r="P1471" s="3">
        <v>0</v>
      </c>
      <c r="Q1471" s="3">
        <v>0</v>
      </c>
      <c r="R1471" s="3">
        <v>0</v>
      </c>
    </row>
    <row r="1472" spans="1:18">
      <c r="A1472" s="3" t="s">
        <v>346</v>
      </c>
      <c r="B1472" s="3" t="s">
        <v>347</v>
      </c>
      <c r="C1472" s="3" t="s">
        <v>348</v>
      </c>
      <c r="D1472" s="3" t="s">
        <v>349</v>
      </c>
      <c r="E1472" s="3" t="s">
        <v>1710</v>
      </c>
      <c r="F1472" s="3">
        <v>30</v>
      </c>
      <c r="G1472" s="3" t="s">
        <v>6233</v>
      </c>
      <c r="H1472" s="3"/>
      <c r="I1472" s="3" t="s">
        <v>6234</v>
      </c>
      <c r="J1472" s="3">
        <v>5</v>
      </c>
      <c r="K1472" s="3">
        <v>3</v>
      </c>
      <c r="L1472" s="3">
        <v>0</v>
      </c>
      <c r="M1472" s="3">
        <v>2</v>
      </c>
      <c r="N1472" s="3">
        <v>5</v>
      </c>
      <c r="O1472" s="3">
        <v>0.09</v>
      </c>
      <c r="P1472" s="3">
        <v>0</v>
      </c>
      <c r="Q1472" s="3">
        <v>0</v>
      </c>
      <c r="R1472" s="3">
        <v>0</v>
      </c>
    </row>
    <row r="1473" spans="1:18">
      <c r="A1473" s="3" t="s">
        <v>8322</v>
      </c>
      <c r="B1473" s="3" t="s">
        <v>8323</v>
      </c>
      <c r="C1473" s="3" t="s">
        <v>8324</v>
      </c>
      <c r="D1473" s="3" t="s">
        <v>8325</v>
      </c>
      <c r="E1473" s="3" t="s">
        <v>1710</v>
      </c>
      <c r="F1473" s="3">
        <v>30</v>
      </c>
      <c r="G1473" s="3" t="s">
        <v>6233</v>
      </c>
      <c r="H1473" s="3"/>
      <c r="I1473" s="3" t="s">
        <v>6234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0.2</v>
      </c>
      <c r="P1473" s="3">
        <v>0</v>
      </c>
      <c r="Q1473" s="3">
        <v>0</v>
      </c>
      <c r="R1473" s="3">
        <v>0</v>
      </c>
    </row>
    <row r="1474" spans="1:18">
      <c r="A1474" s="3" t="s">
        <v>5089</v>
      </c>
      <c r="B1474" s="3" t="s">
        <v>5090</v>
      </c>
      <c r="C1474" s="3" t="s">
        <v>5091</v>
      </c>
      <c r="D1474" s="3" t="s">
        <v>349</v>
      </c>
      <c r="E1474" s="3" t="s">
        <v>1710</v>
      </c>
      <c r="F1474" s="3">
        <v>30</v>
      </c>
      <c r="G1474" s="3" t="s">
        <v>6233</v>
      </c>
      <c r="H1474" s="3"/>
      <c r="I1474" s="3" t="s">
        <v>6234</v>
      </c>
      <c r="J1474" s="3">
        <v>7</v>
      </c>
      <c r="K1474" s="3">
        <v>7</v>
      </c>
      <c r="L1474" s="3">
        <v>0</v>
      </c>
      <c r="M1474" s="3">
        <v>0</v>
      </c>
      <c r="N1474" s="3">
        <v>7</v>
      </c>
      <c r="O1474" s="3">
        <v>0.39</v>
      </c>
      <c r="P1474" s="3">
        <v>0</v>
      </c>
      <c r="Q1474" s="3">
        <v>0</v>
      </c>
      <c r="R1474" s="3">
        <v>0</v>
      </c>
    </row>
    <row r="1475" spans="1:18">
      <c r="A1475" s="3" t="s">
        <v>3114</v>
      </c>
      <c r="B1475" s="3" t="s">
        <v>3115</v>
      </c>
      <c r="C1475" s="3" t="s">
        <v>3116</v>
      </c>
      <c r="D1475" s="3" t="s">
        <v>349</v>
      </c>
      <c r="E1475" s="3" t="s">
        <v>1710</v>
      </c>
      <c r="F1475" s="3">
        <v>30</v>
      </c>
      <c r="G1475" s="3" t="s">
        <v>6233</v>
      </c>
      <c r="H1475" s="3"/>
      <c r="I1475" s="3" t="s">
        <v>6234</v>
      </c>
      <c r="J1475" s="3">
        <v>9</v>
      </c>
      <c r="K1475" s="3">
        <v>9</v>
      </c>
      <c r="L1475" s="3">
        <v>0</v>
      </c>
      <c r="M1475" s="3">
        <v>0</v>
      </c>
      <c r="N1475" s="3">
        <v>9</v>
      </c>
      <c r="O1475" s="3">
        <v>0.09</v>
      </c>
      <c r="P1475" s="3">
        <v>0</v>
      </c>
      <c r="Q1475" s="3">
        <v>0</v>
      </c>
      <c r="R1475" s="3">
        <v>0</v>
      </c>
    </row>
    <row r="1476" spans="1:18">
      <c r="A1476" s="3" t="s">
        <v>358</v>
      </c>
      <c r="B1476" s="3" t="s">
        <v>359</v>
      </c>
      <c r="C1476" s="3" t="s">
        <v>360</v>
      </c>
      <c r="D1476" s="3" t="s">
        <v>349</v>
      </c>
      <c r="E1476" s="3" t="s">
        <v>1710</v>
      </c>
      <c r="F1476" s="3">
        <v>30</v>
      </c>
      <c r="G1476" s="3" t="s">
        <v>6233</v>
      </c>
      <c r="H1476" s="3"/>
      <c r="I1476" s="3" t="s">
        <v>6234</v>
      </c>
      <c r="J1476" s="3">
        <v>1</v>
      </c>
      <c r="K1476" s="3">
        <v>0</v>
      </c>
      <c r="L1476" s="3">
        <v>0</v>
      </c>
      <c r="M1476" s="3">
        <v>1</v>
      </c>
      <c r="N1476" s="3">
        <v>1</v>
      </c>
      <c r="O1476" s="3">
        <v>0.2</v>
      </c>
      <c r="P1476" s="3">
        <v>0</v>
      </c>
      <c r="Q1476" s="3">
        <v>0</v>
      </c>
      <c r="R1476" s="3">
        <v>0</v>
      </c>
    </row>
    <row r="1477" spans="1:18">
      <c r="A1477" s="3" t="s">
        <v>368</v>
      </c>
      <c r="B1477" s="3" t="s">
        <v>369</v>
      </c>
      <c r="C1477" s="3" t="s">
        <v>370</v>
      </c>
      <c r="D1477" s="3" t="s">
        <v>353</v>
      </c>
      <c r="E1477" s="3" t="s">
        <v>1710</v>
      </c>
      <c r="F1477" s="3">
        <v>25.58</v>
      </c>
      <c r="G1477" s="3" t="s">
        <v>6233</v>
      </c>
      <c r="H1477" s="3"/>
      <c r="I1477" s="3" t="s">
        <v>6234</v>
      </c>
      <c r="J1477" s="3">
        <v>11</v>
      </c>
      <c r="K1477" s="3">
        <v>4</v>
      </c>
      <c r="L1477" s="3">
        <v>5</v>
      </c>
      <c r="M1477" s="3">
        <v>2</v>
      </c>
      <c r="N1477" s="3">
        <v>39</v>
      </c>
      <c r="O1477" s="3">
        <v>0.18</v>
      </c>
      <c r="P1477" s="3">
        <v>0</v>
      </c>
      <c r="Q1477" s="3">
        <v>28</v>
      </c>
      <c r="R1477" s="3">
        <v>0</v>
      </c>
    </row>
    <row r="1478" spans="1:18">
      <c r="A1478" s="3" t="s">
        <v>5523</v>
      </c>
      <c r="B1478" s="3" t="s">
        <v>5524</v>
      </c>
      <c r="C1478" s="3" t="s">
        <v>5525</v>
      </c>
      <c r="D1478" s="3" t="s">
        <v>353</v>
      </c>
      <c r="E1478" s="3" t="s">
        <v>1710</v>
      </c>
      <c r="F1478" s="3">
        <v>25.58</v>
      </c>
      <c r="G1478" s="3" t="s">
        <v>6233</v>
      </c>
      <c r="H1478" s="3"/>
      <c r="I1478" s="3" t="s">
        <v>6234</v>
      </c>
      <c r="J1478" s="3">
        <v>11</v>
      </c>
      <c r="K1478" s="3">
        <v>11</v>
      </c>
      <c r="L1478" s="3">
        <v>0</v>
      </c>
      <c r="M1478" s="3">
        <v>0</v>
      </c>
      <c r="N1478" s="3">
        <v>14</v>
      </c>
      <c r="O1478" s="3">
        <v>0.18</v>
      </c>
      <c r="P1478" s="3">
        <v>0</v>
      </c>
      <c r="Q1478" s="3">
        <v>3</v>
      </c>
      <c r="R1478" s="3">
        <v>0</v>
      </c>
    </row>
    <row r="1479" spans="1:18">
      <c r="A1479" s="3" t="s">
        <v>5811</v>
      </c>
      <c r="B1479" s="3" t="s">
        <v>5812</v>
      </c>
      <c r="C1479" s="3" t="s">
        <v>5813</v>
      </c>
      <c r="D1479" s="3" t="s">
        <v>353</v>
      </c>
      <c r="E1479" s="3" t="s">
        <v>1710</v>
      </c>
      <c r="F1479" s="3">
        <v>25.58</v>
      </c>
      <c r="G1479" s="3" t="s">
        <v>6233</v>
      </c>
      <c r="H1479" s="3"/>
      <c r="I1479" s="3" t="s">
        <v>6234</v>
      </c>
      <c r="J1479" s="3">
        <v>18</v>
      </c>
      <c r="K1479" s="3">
        <v>17</v>
      </c>
      <c r="L1479" s="3">
        <v>1</v>
      </c>
      <c r="M1479" s="3">
        <v>0</v>
      </c>
      <c r="N1479" s="3">
        <v>18</v>
      </c>
      <c r="O1479" s="3">
        <v>0.18</v>
      </c>
      <c r="P1479" s="3">
        <v>0</v>
      </c>
      <c r="Q1479" s="3">
        <v>0</v>
      </c>
      <c r="R1479" s="3">
        <v>0</v>
      </c>
    </row>
    <row r="1480" spans="1:18">
      <c r="A1480" s="3" t="s">
        <v>350</v>
      </c>
      <c r="B1480" s="3" t="s">
        <v>351</v>
      </c>
      <c r="C1480" s="3" t="s">
        <v>352</v>
      </c>
      <c r="D1480" s="3" t="s">
        <v>353</v>
      </c>
      <c r="E1480" s="3" t="s">
        <v>1710</v>
      </c>
      <c r="F1480" s="3">
        <v>25.58</v>
      </c>
      <c r="G1480" s="3" t="s">
        <v>6233</v>
      </c>
      <c r="H1480" s="3"/>
      <c r="I1480" s="3" t="s">
        <v>6234</v>
      </c>
      <c r="J1480" s="3">
        <v>10</v>
      </c>
      <c r="K1480" s="3">
        <v>6</v>
      </c>
      <c r="L1480" s="3">
        <v>1</v>
      </c>
      <c r="M1480" s="3">
        <v>3</v>
      </c>
      <c r="N1480" s="3">
        <v>10</v>
      </c>
      <c r="O1480" s="3">
        <v>0.18</v>
      </c>
      <c r="P1480" s="3">
        <v>0</v>
      </c>
      <c r="Q1480" s="3">
        <v>0</v>
      </c>
      <c r="R1480" s="3">
        <v>0</v>
      </c>
    </row>
    <row r="1481" spans="1:18">
      <c r="A1481" s="3" t="s">
        <v>365</v>
      </c>
      <c r="B1481" s="3" t="s">
        <v>366</v>
      </c>
      <c r="C1481" s="3" t="s">
        <v>367</v>
      </c>
      <c r="D1481" s="3" t="s">
        <v>353</v>
      </c>
      <c r="E1481" s="3" t="s">
        <v>1710</v>
      </c>
      <c r="F1481" s="3">
        <v>25.58</v>
      </c>
      <c r="G1481" s="3" t="s">
        <v>6233</v>
      </c>
      <c r="H1481" s="3"/>
      <c r="I1481" s="3" t="s">
        <v>6234</v>
      </c>
      <c r="J1481" s="3">
        <v>12</v>
      </c>
      <c r="K1481" s="3">
        <v>10</v>
      </c>
      <c r="L1481" s="3">
        <v>1</v>
      </c>
      <c r="M1481" s="3">
        <v>1</v>
      </c>
      <c r="N1481" s="3">
        <v>18</v>
      </c>
      <c r="O1481" s="3">
        <v>0.18</v>
      </c>
      <c r="P1481" s="3">
        <v>0</v>
      </c>
      <c r="Q1481" s="3">
        <v>6</v>
      </c>
      <c r="R1481" s="3">
        <v>0</v>
      </c>
    </row>
    <row r="1482" spans="1:18">
      <c r="A1482" s="3" t="s">
        <v>2773</v>
      </c>
      <c r="B1482" s="3" t="s">
        <v>2774</v>
      </c>
      <c r="C1482" s="3" t="s">
        <v>2775</v>
      </c>
      <c r="D1482" s="3" t="s">
        <v>353</v>
      </c>
      <c r="E1482" s="3" t="s">
        <v>1710</v>
      </c>
      <c r="F1482" s="3">
        <v>25.58</v>
      </c>
      <c r="G1482" s="3" t="s">
        <v>6233</v>
      </c>
      <c r="H1482" s="3"/>
      <c r="I1482" s="3" t="s">
        <v>6234</v>
      </c>
      <c r="J1482" s="3">
        <v>6</v>
      </c>
      <c r="K1482" s="3">
        <v>5</v>
      </c>
      <c r="L1482" s="3">
        <v>1</v>
      </c>
      <c r="M1482" s="3">
        <v>0</v>
      </c>
      <c r="N1482" s="3">
        <v>6</v>
      </c>
      <c r="O1482" s="3">
        <v>0.18</v>
      </c>
      <c r="P1482" s="3">
        <v>0</v>
      </c>
      <c r="Q1482" s="3">
        <v>0</v>
      </c>
      <c r="R1482" s="3">
        <v>0</v>
      </c>
    </row>
    <row r="1483" spans="1:18">
      <c r="A1483" s="3" t="s">
        <v>8326</v>
      </c>
      <c r="B1483" s="3" t="s">
        <v>8327</v>
      </c>
      <c r="C1483" s="3" t="s">
        <v>8328</v>
      </c>
      <c r="D1483" s="3"/>
      <c r="E1483" s="3" t="s">
        <v>6275</v>
      </c>
      <c r="F1483" s="3"/>
      <c r="G1483" s="3"/>
      <c r="H1483" s="3"/>
      <c r="I1483" s="3"/>
      <c r="J1483" s="3">
        <v>1</v>
      </c>
      <c r="K1483" s="3">
        <v>0</v>
      </c>
      <c r="L1483" s="3">
        <v>1</v>
      </c>
      <c r="M1483" s="3">
        <v>0</v>
      </c>
      <c r="N1483" s="3">
        <v>1</v>
      </c>
      <c r="O1483" s="3"/>
      <c r="P1483" s="3">
        <v>0</v>
      </c>
      <c r="Q1483" s="3">
        <v>0</v>
      </c>
      <c r="R1483" s="3">
        <v>0</v>
      </c>
    </row>
    <row r="1484" spans="1:18">
      <c r="A1484" s="3" t="s">
        <v>354</v>
      </c>
      <c r="B1484" s="3" t="s">
        <v>355</v>
      </c>
      <c r="C1484" s="3" t="s">
        <v>356</v>
      </c>
      <c r="D1484" s="3" t="s">
        <v>357</v>
      </c>
      <c r="E1484" s="3" t="s">
        <v>1710</v>
      </c>
      <c r="F1484" s="3">
        <v>48.58</v>
      </c>
      <c r="G1484" s="3" t="s">
        <v>6233</v>
      </c>
      <c r="H1484" s="3"/>
      <c r="I1484" s="3" t="s">
        <v>6234</v>
      </c>
      <c r="J1484" s="3">
        <v>112</v>
      </c>
      <c r="K1484" s="3">
        <v>103</v>
      </c>
      <c r="L1484" s="3">
        <v>6</v>
      </c>
      <c r="M1484" s="3">
        <v>3</v>
      </c>
      <c r="N1484" s="3">
        <v>112</v>
      </c>
      <c r="O1484" s="3">
        <v>0.11</v>
      </c>
      <c r="P1484" s="3">
        <v>0</v>
      </c>
      <c r="Q1484" s="3">
        <v>0</v>
      </c>
      <c r="R1484" s="3">
        <v>0</v>
      </c>
    </row>
    <row r="1485" spans="1:18">
      <c r="A1485" s="3" t="s">
        <v>361</v>
      </c>
      <c r="B1485" s="3" t="s">
        <v>362</v>
      </c>
      <c r="C1485" s="3" t="s">
        <v>363</v>
      </c>
      <c r="D1485" s="3" t="s">
        <v>364</v>
      </c>
      <c r="E1485" s="3" t="s">
        <v>1710</v>
      </c>
      <c r="F1485" s="3">
        <v>48.58</v>
      </c>
      <c r="G1485" s="3" t="s">
        <v>6233</v>
      </c>
      <c r="H1485" s="3"/>
      <c r="I1485" s="3" t="s">
        <v>6234</v>
      </c>
      <c r="J1485" s="3">
        <v>52</v>
      </c>
      <c r="K1485" s="3">
        <v>45</v>
      </c>
      <c r="L1485" s="3">
        <v>3</v>
      </c>
      <c r="M1485" s="3">
        <v>4</v>
      </c>
      <c r="N1485" s="3">
        <v>72</v>
      </c>
      <c r="O1485" s="3">
        <v>0.11</v>
      </c>
      <c r="P1485" s="3">
        <v>0</v>
      </c>
      <c r="Q1485" s="3">
        <v>0</v>
      </c>
      <c r="R1485" s="3">
        <v>20</v>
      </c>
    </row>
    <row r="1486" spans="1:18">
      <c r="A1486" s="3" t="s">
        <v>451</v>
      </c>
      <c r="B1486" s="3" t="s">
        <v>452</v>
      </c>
      <c r="C1486" s="3" t="s">
        <v>453</v>
      </c>
      <c r="D1486" s="3" t="s">
        <v>454</v>
      </c>
      <c r="E1486" s="3" t="s">
        <v>1710</v>
      </c>
      <c r="F1486" s="3">
        <v>48.58</v>
      </c>
      <c r="G1486" s="3" t="s">
        <v>6233</v>
      </c>
      <c r="H1486" s="3"/>
      <c r="I1486" s="3" t="s">
        <v>6234</v>
      </c>
      <c r="J1486" s="3">
        <v>87</v>
      </c>
      <c r="K1486" s="3">
        <v>72</v>
      </c>
      <c r="L1486" s="3">
        <v>8</v>
      </c>
      <c r="M1486" s="3">
        <v>7</v>
      </c>
      <c r="N1486" s="3">
        <v>108</v>
      </c>
      <c r="O1486" s="3">
        <v>0.11</v>
      </c>
      <c r="P1486" s="3">
        <v>0</v>
      </c>
      <c r="Q1486" s="3">
        <v>0</v>
      </c>
      <c r="R1486" s="3">
        <v>21</v>
      </c>
    </row>
    <row r="1487" spans="1:18">
      <c r="A1487" s="3" t="s">
        <v>371</v>
      </c>
      <c r="B1487" s="3" t="s">
        <v>372</v>
      </c>
      <c r="C1487" s="3" t="s">
        <v>373</v>
      </c>
      <c r="D1487" s="3" t="s">
        <v>374</v>
      </c>
      <c r="E1487" s="3" t="s">
        <v>1710</v>
      </c>
      <c r="F1487" s="3">
        <v>50.38</v>
      </c>
      <c r="G1487" s="3" t="s">
        <v>6233</v>
      </c>
      <c r="H1487" s="3"/>
      <c r="I1487" s="3" t="s">
        <v>6234</v>
      </c>
      <c r="J1487" s="3">
        <v>133</v>
      </c>
      <c r="K1487" s="3">
        <v>125</v>
      </c>
      <c r="L1487" s="3">
        <v>6</v>
      </c>
      <c r="M1487" s="3">
        <v>2</v>
      </c>
      <c r="N1487" s="3">
        <v>133</v>
      </c>
      <c r="O1487" s="3">
        <v>0.11</v>
      </c>
      <c r="P1487" s="3">
        <v>0</v>
      </c>
      <c r="Q1487" s="3">
        <v>0</v>
      </c>
      <c r="R1487" s="3">
        <v>0</v>
      </c>
    </row>
    <row r="1488" spans="1:18">
      <c r="A1488" s="3" t="s">
        <v>395</v>
      </c>
      <c r="B1488" s="3" t="s">
        <v>396</v>
      </c>
      <c r="C1488" s="3" t="s">
        <v>397</v>
      </c>
      <c r="D1488" s="3" t="s">
        <v>398</v>
      </c>
      <c r="E1488" s="3" t="s">
        <v>1710</v>
      </c>
      <c r="F1488" s="3">
        <v>48.58</v>
      </c>
      <c r="G1488" s="3" t="s">
        <v>6233</v>
      </c>
      <c r="H1488" s="3"/>
      <c r="I1488" s="3" t="s">
        <v>6234</v>
      </c>
      <c r="J1488" s="3">
        <v>24</v>
      </c>
      <c r="K1488" s="3">
        <v>20</v>
      </c>
      <c r="L1488" s="3">
        <v>2</v>
      </c>
      <c r="M1488" s="3">
        <v>2</v>
      </c>
      <c r="N1488" s="3">
        <v>24</v>
      </c>
      <c r="O1488" s="3">
        <v>0.11</v>
      </c>
      <c r="P1488" s="3">
        <v>0</v>
      </c>
      <c r="Q1488" s="3">
        <v>0</v>
      </c>
      <c r="R1488" s="3">
        <v>0</v>
      </c>
    </row>
    <row r="1489" spans="1:18">
      <c r="A1489" s="3" t="s">
        <v>3974</v>
      </c>
      <c r="B1489" s="3" t="s">
        <v>3975</v>
      </c>
      <c r="C1489" s="3" t="s">
        <v>3976</v>
      </c>
      <c r="D1489" s="3" t="s">
        <v>3977</v>
      </c>
      <c r="E1489" s="3" t="s">
        <v>1710</v>
      </c>
      <c r="F1489" s="3">
        <v>26.99</v>
      </c>
      <c r="G1489" s="3" t="s">
        <v>6233</v>
      </c>
      <c r="H1489" s="3"/>
      <c r="I1489" s="3" t="s">
        <v>6234</v>
      </c>
      <c r="J1489" s="3">
        <v>5</v>
      </c>
      <c r="K1489" s="3">
        <v>5</v>
      </c>
      <c r="L1489" s="3">
        <v>0</v>
      </c>
      <c r="M1489" s="3">
        <v>0</v>
      </c>
      <c r="N1489" s="3">
        <v>5</v>
      </c>
      <c r="O1489" s="3">
        <v>0.08</v>
      </c>
      <c r="P1489" s="3">
        <v>0</v>
      </c>
      <c r="Q1489" s="3">
        <v>0</v>
      </c>
      <c r="R1489" s="3">
        <v>0</v>
      </c>
    </row>
    <row r="1490" spans="1:18">
      <c r="A1490" s="3" t="s">
        <v>2288</v>
      </c>
      <c r="B1490" s="3" t="s">
        <v>2289</v>
      </c>
      <c r="C1490" s="3" t="s">
        <v>2290</v>
      </c>
      <c r="D1490" s="3" t="s">
        <v>2291</v>
      </c>
      <c r="E1490" s="3" t="s">
        <v>1710</v>
      </c>
      <c r="F1490" s="3">
        <v>26.99</v>
      </c>
      <c r="G1490" s="3" t="s">
        <v>6233</v>
      </c>
      <c r="H1490" s="3"/>
      <c r="I1490" s="3" t="s">
        <v>6234</v>
      </c>
      <c r="J1490" s="3">
        <v>7</v>
      </c>
      <c r="K1490" s="3">
        <v>7</v>
      </c>
      <c r="L1490" s="3">
        <v>0</v>
      </c>
      <c r="M1490" s="3">
        <v>0</v>
      </c>
      <c r="N1490" s="3">
        <v>7</v>
      </c>
      <c r="O1490" s="3">
        <v>0.06</v>
      </c>
      <c r="P1490" s="3">
        <v>0</v>
      </c>
      <c r="Q1490" s="3">
        <v>0</v>
      </c>
      <c r="R1490" s="3">
        <v>0</v>
      </c>
    </row>
    <row r="1491" spans="1:18">
      <c r="A1491" s="3" t="s">
        <v>1910</v>
      </c>
      <c r="B1491" s="3" t="s">
        <v>1911</v>
      </c>
      <c r="C1491" s="3" t="s">
        <v>1912</v>
      </c>
      <c r="D1491" s="3" t="s">
        <v>1913</v>
      </c>
      <c r="E1491" s="3" t="s">
        <v>1710</v>
      </c>
      <c r="F1491" s="3">
        <v>26.99</v>
      </c>
      <c r="G1491" s="3" t="s">
        <v>6233</v>
      </c>
      <c r="H1491" s="3"/>
      <c r="I1491" s="3" t="s">
        <v>6234</v>
      </c>
      <c r="J1491" s="3">
        <v>7</v>
      </c>
      <c r="K1491" s="3">
        <v>7</v>
      </c>
      <c r="L1491" s="3">
        <v>0</v>
      </c>
      <c r="M1491" s="3">
        <v>0</v>
      </c>
      <c r="N1491" s="3">
        <v>7</v>
      </c>
      <c r="O1491" s="3">
        <v>0.06</v>
      </c>
      <c r="P1491" s="3">
        <v>0</v>
      </c>
      <c r="Q1491" s="3">
        <v>0</v>
      </c>
      <c r="R1491" s="3">
        <v>0</v>
      </c>
    </row>
    <row r="1492" spans="1:18">
      <c r="A1492" s="3" t="s">
        <v>2690</v>
      </c>
      <c r="B1492" s="3" t="s">
        <v>2691</v>
      </c>
      <c r="C1492" s="3" t="s">
        <v>2692</v>
      </c>
      <c r="D1492" s="3" t="s">
        <v>2693</v>
      </c>
      <c r="E1492" s="3" t="s">
        <v>1710</v>
      </c>
      <c r="F1492" s="3">
        <v>26.99</v>
      </c>
      <c r="G1492" s="3" t="s">
        <v>6233</v>
      </c>
      <c r="H1492" s="3"/>
      <c r="I1492" s="3" t="s">
        <v>6234</v>
      </c>
      <c r="J1492" s="3">
        <v>6</v>
      </c>
      <c r="K1492" s="3">
        <v>6</v>
      </c>
      <c r="L1492" s="3">
        <v>0</v>
      </c>
      <c r="M1492" s="3">
        <v>0</v>
      </c>
      <c r="N1492" s="3">
        <v>6</v>
      </c>
      <c r="O1492" s="3">
        <v>0.06</v>
      </c>
      <c r="P1492" s="3">
        <v>0</v>
      </c>
      <c r="Q1492" s="3">
        <v>0</v>
      </c>
      <c r="R1492" s="3">
        <v>0</v>
      </c>
    </row>
    <row r="1493" spans="1:18">
      <c r="A1493" s="3" t="s">
        <v>3123</v>
      </c>
      <c r="B1493" s="3" t="s">
        <v>3124</v>
      </c>
      <c r="C1493" s="3" t="s">
        <v>3125</v>
      </c>
      <c r="D1493" s="3" t="s">
        <v>3126</v>
      </c>
      <c r="E1493" s="3" t="s">
        <v>1710</v>
      </c>
      <c r="F1493" s="3">
        <v>26.99</v>
      </c>
      <c r="G1493" s="3" t="s">
        <v>6233</v>
      </c>
      <c r="H1493" s="3"/>
      <c r="I1493" s="3" t="s">
        <v>6234</v>
      </c>
      <c r="J1493" s="3">
        <v>3</v>
      </c>
      <c r="K1493" s="3">
        <v>2</v>
      </c>
      <c r="L1493" s="3">
        <v>1</v>
      </c>
      <c r="M1493" s="3">
        <v>0</v>
      </c>
      <c r="N1493" s="3">
        <v>3</v>
      </c>
      <c r="O1493" s="3">
        <v>0.06</v>
      </c>
      <c r="P1493" s="3">
        <v>0</v>
      </c>
      <c r="Q1493" s="3">
        <v>0</v>
      </c>
      <c r="R1493" s="3">
        <v>0</v>
      </c>
    </row>
    <row r="1494" spans="1:18">
      <c r="A1494" s="3" t="s">
        <v>3538</v>
      </c>
      <c r="B1494" s="3" t="s">
        <v>3539</v>
      </c>
      <c r="C1494" s="3" t="s">
        <v>3540</v>
      </c>
      <c r="D1494" s="3" t="s">
        <v>3541</v>
      </c>
      <c r="E1494" s="3" t="s">
        <v>1710</v>
      </c>
      <c r="F1494" s="3">
        <v>26.99</v>
      </c>
      <c r="G1494" s="3" t="s">
        <v>6233</v>
      </c>
      <c r="H1494" s="3"/>
      <c r="I1494" s="3" t="s">
        <v>6234</v>
      </c>
      <c r="J1494" s="3">
        <v>6</v>
      </c>
      <c r="K1494" s="3">
        <v>6</v>
      </c>
      <c r="L1494" s="3">
        <v>0</v>
      </c>
      <c r="M1494" s="3">
        <v>0</v>
      </c>
      <c r="N1494" s="3">
        <v>11</v>
      </c>
      <c r="O1494" s="3">
        <v>0.07</v>
      </c>
      <c r="P1494" s="3">
        <v>0</v>
      </c>
      <c r="Q1494" s="3">
        <v>5</v>
      </c>
      <c r="R1494" s="3">
        <v>0</v>
      </c>
    </row>
    <row r="1495" spans="1:18">
      <c r="A1495" s="3" t="s">
        <v>463</v>
      </c>
      <c r="B1495" s="3" t="s">
        <v>464</v>
      </c>
      <c r="C1495" s="3" t="s">
        <v>465</v>
      </c>
      <c r="D1495" s="3" t="s">
        <v>466</v>
      </c>
      <c r="E1495" s="3" t="s">
        <v>1710</v>
      </c>
      <c r="F1495" s="3">
        <v>26.99</v>
      </c>
      <c r="G1495" s="3" t="s">
        <v>6233</v>
      </c>
      <c r="H1495" s="3"/>
      <c r="I1495" s="3" t="s">
        <v>6234</v>
      </c>
      <c r="J1495" s="3">
        <v>15</v>
      </c>
      <c r="K1495" s="3">
        <v>10</v>
      </c>
      <c r="L1495" s="3">
        <v>2</v>
      </c>
      <c r="M1495" s="3">
        <v>3</v>
      </c>
      <c r="N1495" s="3">
        <v>20</v>
      </c>
      <c r="O1495" s="3">
        <v>0.07</v>
      </c>
      <c r="P1495" s="3">
        <v>0</v>
      </c>
      <c r="Q1495" s="3">
        <v>5</v>
      </c>
      <c r="R1495" s="3">
        <v>0</v>
      </c>
    </row>
    <row r="1496" spans="1:18">
      <c r="A1496" s="3" t="s">
        <v>5821</v>
      </c>
      <c r="B1496" s="3" t="s">
        <v>5822</v>
      </c>
      <c r="C1496" s="3" t="s">
        <v>5823</v>
      </c>
      <c r="D1496" s="3" t="s">
        <v>5824</v>
      </c>
      <c r="E1496" s="3" t="s">
        <v>1710</v>
      </c>
      <c r="F1496" s="3">
        <v>26.99</v>
      </c>
      <c r="G1496" s="3" t="s">
        <v>6233</v>
      </c>
      <c r="H1496" s="3"/>
      <c r="I1496" s="3" t="s">
        <v>6234</v>
      </c>
      <c r="J1496" s="3">
        <v>7</v>
      </c>
      <c r="K1496" s="3">
        <v>7</v>
      </c>
      <c r="L1496" s="3">
        <v>0</v>
      </c>
      <c r="M1496" s="3">
        <v>0</v>
      </c>
      <c r="N1496" s="3">
        <v>7</v>
      </c>
      <c r="O1496" s="3">
        <v>0.06</v>
      </c>
      <c r="P1496" s="3">
        <v>0</v>
      </c>
      <c r="Q1496" s="3">
        <v>0</v>
      </c>
      <c r="R1496" s="3">
        <v>0</v>
      </c>
    </row>
    <row r="1497" spans="1:18">
      <c r="A1497" s="3" t="s">
        <v>6072</v>
      </c>
      <c r="B1497" s="3" t="s">
        <v>6073</v>
      </c>
      <c r="C1497" s="3" t="s">
        <v>6074</v>
      </c>
      <c r="D1497" s="3" t="s">
        <v>6075</v>
      </c>
      <c r="E1497" s="3" t="s">
        <v>1710</v>
      </c>
      <c r="F1497" s="3">
        <v>26.99</v>
      </c>
      <c r="G1497" s="3" t="s">
        <v>6233</v>
      </c>
      <c r="H1497" s="3"/>
      <c r="I1497" s="3" t="s">
        <v>6234</v>
      </c>
      <c r="J1497" s="3">
        <v>16</v>
      </c>
      <c r="K1497" s="3">
        <v>16</v>
      </c>
      <c r="L1497" s="3">
        <v>0</v>
      </c>
      <c r="M1497" s="3">
        <v>0</v>
      </c>
      <c r="N1497" s="3">
        <v>16</v>
      </c>
      <c r="O1497" s="3">
        <v>0.07</v>
      </c>
      <c r="P1497" s="3">
        <v>0</v>
      </c>
      <c r="Q1497" s="3">
        <v>0</v>
      </c>
      <c r="R1497" s="3">
        <v>0</v>
      </c>
    </row>
    <row r="1498" spans="1:18">
      <c r="A1498" s="3" t="s">
        <v>3749</v>
      </c>
      <c r="B1498" s="3" t="s">
        <v>3750</v>
      </c>
      <c r="C1498" s="3" t="s">
        <v>3751</v>
      </c>
      <c r="D1498" s="3" t="s">
        <v>3752</v>
      </c>
      <c r="E1498" s="3" t="s">
        <v>1710</v>
      </c>
      <c r="F1498" s="3">
        <v>26.99</v>
      </c>
      <c r="G1498" s="3" t="s">
        <v>6233</v>
      </c>
      <c r="H1498" s="3"/>
      <c r="I1498" s="3" t="s">
        <v>6234</v>
      </c>
      <c r="J1498" s="3">
        <v>16</v>
      </c>
      <c r="K1498" s="3">
        <v>15</v>
      </c>
      <c r="L1498" s="3">
        <v>1</v>
      </c>
      <c r="M1498" s="3">
        <v>0</v>
      </c>
      <c r="N1498" s="3">
        <v>16</v>
      </c>
      <c r="O1498" s="3">
        <v>0.06</v>
      </c>
      <c r="P1498" s="3">
        <v>0</v>
      </c>
      <c r="Q1498" s="3">
        <v>0</v>
      </c>
      <c r="R1498" s="3">
        <v>0</v>
      </c>
    </row>
    <row r="1499" spans="1:18">
      <c r="A1499" s="3" t="s">
        <v>4242</v>
      </c>
      <c r="B1499" s="3" t="s">
        <v>4243</v>
      </c>
      <c r="C1499" s="3" t="s">
        <v>4244</v>
      </c>
      <c r="D1499" s="3" t="s">
        <v>4245</v>
      </c>
      <c r="E1499" s="3" t="s">
        <v>1710</v>
      </c>
      <c r="F1499" s="3">
        <v>26.99</v>
      </c>
      <c r="G1499" s="3" t="s">
        <v>6233</v>
      </c>
      <c r="H1499" s="3"/>
      <c r="I1499" s="3" t="s">
        <v>6234</v>
      </c>
      <c r="J1499" s="3">
        <v>3</v>
      </c>
      <c r="K1499" s="3">
        <v>3</v>
      </c>
      <c r="L1499" s="3">
        <v>0</v>
      </c>
      <c r="M1499" s="3">
        <v>0</v>
      </c>
      <c r="N1499" s="3">
        <v>3</v>
      </c>
      <c r="O1499" s="3">
        <v>0.06</v>
      </c>
      <c r="P1499" s="3">
        <v>0</v>
      </c>
      <c r="Q1499" s="3">
        <v>0</v>
      </c>
      <c r="R1499" s="3">
        <v>0</v>
      </c>
    </row>
    <row r="1500" spans="1:18">
      <c r="A1500" s="3" t="s">
        <v>5398</v>
      </c>
      <c r="B1500" s="3" t="s">
        <v>5399</v>
      </c>
      <c r="C1500" s="3" t="s">
        <v>5400</v>
      </c>
      <c r="D1500" s="3" t="s">
        <v>5401</v>
      </c>
      <c r="E1500" s="3" t="s">
        <v>1710</v>
      </c>
      <c r="F1500" s="3">
        <v>26.99</v>
      </c>
      <c r="G1500" s="3" t="s">
        <v>6233</v>
      </c>
      <c r="H1500" s="3"/>
      <c r="I1500" s="3" t="s">
        <v>6234</v>
      </c>
      <c r="J1500" s="3">
        <v>8</v>
      </c>
      <c r="K1500" s="3">
        <v>8</v>
      </c>
      <c r="L1500" s="3">
        <v>0</v>
      </c>
      <c r="M1500" s="3">
        <v>0</v>
      </c>
      <c r="N1500" s="3">
        <v>8</v>
      </c>
      <c r="O1500" s="3">
        <v>0.06</v>
      </c>
      <c r="P1500" s="3">
        <v>0</v>
      </c>
      <c r="Q1500" s="3">
        <v>0</v>
      </c>
      <c r="R1500" s="3">
        <v>0</v>
      </c>
    </row>
    <row r="1501" spans="1:18">
      <c r="A1501" s="3" t="s">
        <v>5467</v>
      </c>
      <c r="B1501" s="3" t="s">
        <v>5468</v>
      </c>
      <c r="C1501" s="3" t="s">
        <v>5469</v>
      </c>
      <c r="D1501" s="3" t="s">
        <v>5470</v>
      </c>
      <c r="E1501" s="3" t="s">
        <v>1710</v>
      </c>
      <c r="F1501" s="3">
        <v>26.99</v>
      </c>
      <c r="G1501" s="3" t="s">
        <v>6233</v>
      </c>
      <c r="H1501" s="3"/>
      <c r="I1501" s="3" t="s">
        <v>6234</v>
      </c>
      <c r="J1501" s="3">
        <v>8</v>
      </c>
      <c r="K1501" s="3">
        <v>8</v>
      </c>
      <c r="L1501" s="3">
        <v>0</v>
      </c>
      <c r="M1501" s="3">
        <v>0</v>
      </c>
      <c r="N1501" s="3">
        <v>8</v>
      </c>
      <c r="O1501" s="3">
        <v>0.06</v>
      </c>
      <c r="P1501" s="3">
        <v>0</v>
      </c>
      <c r="Q1501" s="3">
        <v>0</v>
      </c>
      <c r="R1501" s="3">
        <v>0</v>
      </c>
    </row>
    <row r="1502" spans="1:18">
      <c r="A1502" s="3" t="s">
        <v>2851</v>
      </c>
      <c r="B1502" s="3" t="s">
        <v>2852</v>
      </c>
      <c r="C1502" s="3" t="s">
        <v>2853</v>
      </c>
      <c r="D1502" s="3" t="s">
        <v>2854</v>
      </c>
      <c r="E1502" s="3" t="s">
        <v>1710</v>
      </c>
      <c r="F1502" s="3">
        <v>26.99</v>
      </c>
      <c r="G1502" s="3" t="s">
        <v>6233</v>
      </c>
      <c r="H1502" s="3"/>
      <c r="I1502" s="3" t="s">
        <v>6234</v>
      </c>
      <c r="J1502" s="3">
        <v>9</v>
      </c>
      <c r="K1502" s="3">
        <v>9</v>
      </c>
      <c r="L1502" s="3">
        <v>0</v>
      </c>
      <c r="M1502" s="3">
        <v>0</v>
      </c>
      <c r="N1502" s="3">
        <v>9</v>
      </c>
      <c r="O1502" s="3">
        <v>0.06</v>
      </c>
      <c r="P1502" s="3">
        <v>0</v>
      </c>
      <c r="Q1502" s="3">
        <v>0</v>
      </c>
      <c r="R1502" s="3">
        <v>0</v>
      </c>
    </row>
    <row r="1503" spans="1:18">
      <c r="A1503" s="3" t="s">
        <v>383</v>
      </c>
      <c r="B1503" s="3" t="s">
        <v>384</v>
      </c>
      <c r="C1503" s="3" t="s">
        <v>385</v>
      </c>
      <c r="D1503" s="3" t="s">
        <v>386</v>
      </c>
      <c r="E1503" s="3" t="s">
        <v>1710</v>
      </c>
      <c r="F1503" s="3">
        <v>32.99</v>
      </c>
      <c r="G1503" s="3" t="s">
        <v>6233</v>
      </c>
      <c r="H1503" s="3"/>
      <c r="I1503" s="3" t="s">
        <v>6234</v>
      </c>
      <c r="J1503" s="3">
        <v>18</v>
      </c>
      <c r="K1503" s="3">
        <v>0</v>
      </c>
      <c r="L1503" s="3">
        <v>6</v>
      </c>
      <c r="M1503" s="3">
        <v>12</v>
      </c>
      <c r="N1503" s="3">
        <v>18</v>
      </c>
      <c r="O1503" s="3">
        <v>0.11</v>
      </c>
      <c r="P1503" s="3">
        <v>0</v>
      </c>
      <c r="Q1503" s="3">
        <v>0</v>
      </c>
      <c r="R1503" s="3">
        <v>0</v>
      </c>
    </row>
    <row r="1504" spans="1:18">
      <c r="A1504" s="3" t="s">
        <v>427</v>
      </c>
      <c r="B1504" s="3" t="s">
        <v>428</v>
      </c>
      <c r="C1504" s="3" t="s">
        <v>429</v>
      </c>
      <c r="D1504" s="3" t="s">
        <v>430</v>
      </c>
      <c r="E1504" s="3" t="s">
        <v>1710</v>
      </c>
      <c r="F1504" s="3">
        <v>32.99</v>
      </c>
      <c r="G1504" s="3" t="s">
        <v>6233</v>
      </c>
      <c r="H1504" s="3"/>
      <c r="I1504" s="3" t="s">
        <v>6234</v>
      </c>
      <c r="J1504" s="3">
        <v>11</v>
      </c>
      <c r="K1504" s="3">
        <v>0</v>
      </c>
      <c r="L1504" s="3">
        <v>5</v>
      </c>
      <c r="M1504" s="3">
        <v>6</v>
      </c>
      <c r="N1504" s="3">
        <v>11</v>
      </c>
      <c r="O1504" s="3">
        <v>0.11</v>
      </c>
      <c r="P1504" s="3">
        <v>0</v>
      </c>
      <c r="Q1504" s="3">
        <v>0</v>
      </c>
      <c r="R1504" s="3">
        <v>0</v>
      </c>
    </row>
    <row r="1505" spans="1:18">
      <c r="A1505" s="3" t="s">
        <v>435</v>
      </c>
      <c r="B1505" s="3" t="s">
        <v>436</v>
      </c>
      <c r="C1505" s="3" t="s">
        <v>437</v>
      </c>
      <c r="D1505" s="3" t="s">
        <v>438</v>
      </c>
      <c r="E1505" s="3" t="s">
        <v>1710</v>
      </c>
      <c r="F1505" s="3">
        <v>32.99</v>
      </c>
      <c r="G1505" s="3" t="s">
        <v>6233</v>
      </c>
      <c r="H1505" s="3"/>
      <c r="I1505" s="3" t="s">
        <v>6234</v>
      </c>
      <c r="J1505" s="3">
        <v>6</v>
      </c>
      <c r="K1505" s="3">
        <v>0</v>
      </c>
      <c r="L1505" s="3">
        <v>2</v>
      </c>
      <c r="M1505" s="3">
        <v>4</v>
      </c>
      <c r="N1505" s="3">
        <v>6</v>
      </c>
      <c r="O1505" s="3">
        <v>0.07</v>
      </c>
      <c r="P1505" s="3">
        <v>0</v>
      </c>
      <c r="Q1505" s="3">
        <v>0</v>
      </c>
      <c r="R1505" s="3">
        <v>0</v>
      </c>
    </row>
    <row r="1506" spans="1:18">
      <c r="A1506" s="3" t="s">
        <v>439</v>
      </c>
      <c r="B1506" s="3" t="s">
        <v>440</v>
      </c>
      <c r="C1506" s="3" t="s">
        <v>441</v>
      </c>
      <c r="D1506" s="3" t="s">
        <v>442</v>
      </c>
      <c r="E1506" s="3" t="s">
        <v>1710</v>
      </c>
      <c r="F1506" s="3">
        <v>32.99</v>
      </c>
      <c r="G1506" s="3" t="s">
        <v>6233</v>
      </c>
      <c r="H1506" s="3"/>
      <c r="I1506" s="3" t="s">
        <v>6234</v>
      </c>
      <c r="J1506" s="3">
        <v>2</v>
      </c>
      <c r="K1506" s="3">
        <v>0</v>
      </c>
      <c r="L1506" s="3">
        <v>0</v>
      </c>
      <c r="M1506" s="3">
        <v>2</v>
      </c>
      <c r="N1506" s="3">
        <v>2</v>
      </c>
      <c r="O1506" s="3">
        <v>0.11</v>
      </c>
      <c r="P1506" s="3">
        <v>0</v>
      </c>
      <c r="Q1506" s="3">
        <v>0</v>
      </c>
      <c r="R1506" s="3">
        <v>0</v>
      </c>
    </row>
    <row r="1507" spans="1:18">
      <c r="A1507" s="3" t="s">
        <v>419</v>
      </c>
      <c r="B1507" s="3" t="s">
        <v>420</v>
      </c>
      <c r="C1507" s="3" t="s">
        <v>421</v>
      </c>
      <c r="D1507" s="3" t="s">
        <v>422</v>
      </c>
      <c r="E1507" s="3" t="s">
        <v>1710</v>
      </c>
      <c r="F1507" s="3">
        <v>32.99</v>
      </c>
      <c r="G1507" s="3" t="s">
        <v>6233</v>
      </c>
      <c r="H1507" s="3"/>
      <c r="I1507" s="3" t="s">
        <v>6234</v>
      </c>
      <c r="J1507" s="3">
        <v>4</v>
      </c>
      <c r="K1507" s="3">
        <v>0</v>
      </c>
      <c r="L1507" s="3">
        <v>2</v>
      </c>
      <c r="M1507" s="3">
        <v>2</v>
      </c>
      <c r="N1507" s="3">
        <v>4</v>
      </c>
      <c r="O1507" s="3">
        <v>0.11</v>
      </c>
      <c r="P1507" s="3">
        <v>0</v>
      </c>
      <c r="Q1507" s="3">
        <v>0</v>
      </c>
      <c r="R1507" s="3">
        <v>0</v>
      </c>
    </row>
    <row r="1508" spans="1:18">
      <c r="A1508" s="3" t="s">
        <v>8329</v>
      </c>
      <c r="B1508" s="3" t="s">
        <v>8330</v>
      </c>
      <c r="C1508" s="3" t="s">
        <v>8331</v>
      </c>
      <c r="D1508" s="3" t="s">
        <v>8332</v>
      </c>
      <c r="E1508" s="3" t="s">
        <v>1710</v>
      </c>
      <c r="F1508" s="3">
        <v>32.99</v>
      </c>
      <c r="G1508" s="3" t="s">
        <v>6233</v>
      </c>
      <c r="H1508" s="3"/>
      <c r="I1508" s="3" t="s">
        <v>6234</v>
      </c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>
        <v>0.11</v>
      </c>
      <c r="P1508" s="3">
        <v>0</v>
      </c>
      <c r="Q1508" s="3">
        <v>0</v>
      </c>
      <c r="R1508" s="3">
        <v>0</v>
      </c>
    </row>
    <row r="1509" spans="1:18">
      <c r="A1509" s="3" t="s">
        <v>403</v>
      </c>
      <c r="B1509" s="3" t="s">
        <v>404</v>
      </c>
      <c r="C1509" s="3" t="s">
        <v>405</v>
      </c>
      <c r="D1509" s="3" t="s">
        <v>406</v>
      </c>
      <c r="E1509" s="3" t="s">
        <v>1710</v>
      </c>
      <c r="F1509" s="3">
        <v>32.99</v>
      </c>
      <c r="G1509" s="3" t="s">
        <v>6233</v>
      </c>
      <c r="H1509" s="3"/>
      <c r="I1509" s="3" t="s">
        <v>6234</v>
      </c>
      <c r="J1509" s="3">
        <v>23</v>
      </c>
      <c r="K1509" s="3">
        <v>6</v>
      </c>
      <c r="L1509" s="3">
        <v>6</v>
      </c>
      <c r="M1509" s="3">
        <v>11</v>
      </c>
      <c r="N1509" s="3">
        <v>23</v>
      </c>
      <c r="O1509" s="3">
        <v>0.11</v>
      </c>
      <c r="P1509" s="3">
        <v>0</v>
      </c>
      <c r="Q1509" s="3">
        <v>0</v>
      </c>
      <c r="R1509" s="3">
        <v>0</v>
      </c>
    </row>
    <row r="1510" spans="1:18">
      <c r="A1510" s="3" t="s">
        <v>459</v>
      </c>
      <c r="B1510" s="3" t="s">
        <v>460</v>
      </c>
      <c r="C1510" s="3" t="s">
        <v>461</v>
      </c>
      <c r="D1510" s="3" t="s">
        <v>462</v>
      </c>
      <c r="E1510" s="3" t="s">
        <v>1710</v>
      </c>
      <c r="F1510" s="3">
        <v>32.99</v>
      </c>
      <c r="G1510" s="3" t="s">
        <v>6233</v>
      </c>
      <c r="H1510" s="3"/>
      <c r="I1510" s="3" t="s">
        <v>6234</v>
      </c>
      <c r="J1510" s="3">
        <v>4</v>
      </c>
      <c r="K1510" s="3">
        <v>0</v>
      </c>
      <c r="L1510" s="3">
        <v>3</v>
      </c>
      <c r="M1510" s="3">
        <v>1</v>
      </c>
      <c r="N1510" s="3">
        <v>4</v>
      </c>
      <c r="O1510" s="3">
        <v>0.11</v>
      </c>
      <c r="P1510" s="3">
        <v>0</v>
      </c>
      <c r="Q1510" s="3">
        <v>0</v>
      </c>
      <c r="R1510" s="3">
        <v>0</v>
      </c>
    </row>
    <row r="1511" spans="1:18">
      <c r="A1511" s="3" t="s">
        <v>391</v>
      </c>
      <c r="B1511" s="3" t="s">
        <v>392</v>
      </c>
      <c r="C1511" s="3" t="s">
        <v>393</v>
      </c>
      <c r="D1511" s="3" t="s">
        <v>394</v>
      </c>
      <c r="E1511" s="3" t="s">
        <v>1710</v>
      </c>
      <c r="F1511" s="3">
        <v>32.99</v>
      </c>
      <c r="G1511" s="3" t="s">
        <v>6233</v>
      </c>
      <c r="H1511" s="3"/>
      <c r="I1511" s="3" t="s">
        <v>6234</v>
      </c>
      <c r="J1511" s="3">
        <v>21</v>
      </c>
      <c r="K1511" s="3">
        <v>16</v>
      </c>
      <c r="L1511" s="3">
        <v>4</v>
      </c>
      <c r="M1511" s="3">
        <v>1</v>
      </c>
      <c r="N1511" s="3">
        <v>21</v>
      </c>
      <c r="O1511" s="3">
        <v>0.11</v>
      </c>
      <c r="P1511" s="3">
        <v>0</v>
      </c>
      <c r="Q1511" s="3">
        <v>0</v>
      </c>
      <c r="R1511" s="3">
        <v>0</v>
      </c>
    </row>
    <row r="1512" spans="1:18">
      <c r="A1512" s="3" t="s">
        <v>411</v>
      </c>
      <c r="B1512" s="3" t="s">
        <v>412</v>
      </c>
      <c r="C1512" s="3" t="s">
        <v>413</v>
      </c>
      <c r="D1512" s="3" t="s">
        <v>414</v>
      </c>
      <c r="E1512" s="3" t="s">
        <v>1710</v>
      </c>
      <c r="F1512" s="3">
        <v>32.99</v>
      </c>
      <c r="G1512" s="3" t="s">
        <v>6233</v>
      </c>
      <c r="H1512" s="3"/>
      <c r="I1512" s="3" t="s">
        <v>6234</v>
      </c>
      <c r="J1512" s="3">
        <v>3</v>
      </c>
      <c r="K1512" s="3">
        <v>1</v>
      </c>
      <c r="L1512" s="3">
        <v>1</v>
      </c>
      <c r="M1512" s="3">
        <v>1</v>
      </c>
      <c r="N1512" s="3">
        <v>3</v>
      </c>
      <c r="O1512" s="3">
        <v>0.11</v>
      </c>
      <c r="P1512" s="3">
        <v>0</v>
      </c>
      <c r="Q1512" s="3">
        <v>0</v>
      </c>
      <c r="R1512" s="3">
        <v>0</v>
      </c>
    </row>
    <row r="1513" spans="1:18">
      <c r="A1513" s="3" t="s">
        <v>387</v>
      </c>
      <c r="B1513" s="3" t="s">
        <v>388</v>
      </c>
      <c r="C1513" s="3" t="s">
        <v>389</v>
      </c>
      <c r="D1513" s="3" t="s">
        <v>390</v>
      </c>
      <c r="E1513" s="3" t="s">
        <v>1710</v>
      </c>
      <c r="F1513" s="3">
        <v>32.99</v>
      </c>
      <c r="G1513" s="3" t="s">
        <v>6233</v>
      </c>
      <c r="H1513" s="3"/>
      <c r="I1513" s="3" t="s">
        <v>6234</v>
      </c>
      <c r="J1513" s="3">
        <v>20</v>
      </c>
      <c r="K1513" s="3">
        <v>17</v>
      </c>
      <c r="L1513" s="3">
        <v>1</v>
      </c>
      <c r="M1513" s="3">
        <v>2</v>
      </c>
      <c r="N1513" s="3">
        <v>20</v>
      </c>
      <c r="O1513" s="3">
        <v>0.11</v>
      </c>
      <c r="P1513" s="3">
        <v>0</v>
      </c>
      <c r="Q1513" s="3">
        <v>0</v>
      </c>
      <c r="R1513" s="3">
        <v>0</v>
      </c>
    </row>
    <row r="1514" spans="1:18">
      <c r="A1514" s="3" t="s">
        <v>8333</v>
      </c>
      <c r="B1514" s="3" t="s">
        <v>8334</v>
      </c>
      <c r="C1514" s="3" t="s">
        <v>8335</v>
      </c>
      <c r="D1514" s="3" t="s">
        <v>8336</v>
      </c>
      <c r="E1514" s="3" t="s">
        <v>1710</v>
      </c>
      <c r="F1514" s="3">
        <v>32.99</v>
      </c>
      <c r="G1514" s="3" t="s">
        <v>6233</v>
      </c>
      <c r="H1514" s="3"/>
      <c r="I1514" s="3" t="s">
        <v>6234</v>
      </c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>
        <v>0.11</v>
      </c>
      <c r="P1514" s="3">
        <v>0</v>
      </c>
      <c r="Q1514" s="3">
        <v>0</v>
      </c>
      <c r="R1514" s="3">
        <v>0</v>
      </c>
    </row>
    <row r="1515" spans="1:18">
      <c r="A1515" s="3" t="s">
        <v>1757</v>
      </c>
      <c r="B1515" s="3" t="s">
        <v>1758</v>
      </c>
      <c r="C1515" s="3" t="s">
        <v>1759</v>
      </c>
      <c r="D1515" s="3" t="s">
        <v>1760</v>
      </c>
      <c r="E1515" s="3" t="s">
        <v>1710</v>
      </c>
      <c r="F1515" s="3">
        <v>32.99</v>
      </c>
      <c r="G1515" s="3" t="s">
        <v>6233</v>
      </c>
      <c r="H1515" s="3"/>
      <c r="I1515" s="3" t="s">
        <v>6234</v>
      </c>
      <c r="J1515" s="3">
        <v>19</v>
      </c>
      <c r="K1515" s="3">
        <v>19</v>
      </c>
      <c r="L1515" s="3">
        <v>0</v>
      </c>
      <c r="M1515" s="3">
        <v>0</v>
      </c>
      <c r="N1515" s="3">
        <v>19</v>
      </c>
      <c r="O1515" s="3">
        <v>0.11</v>
      </c>
      <c r="P1515" s="3">
        <v>0</v>
      </c>
      <c r="Q1515" s="3">
        <v>0</v>
      </c>
      <c r="R1515" s="3">
        <v>0</v>
      </c>
    </row>
    <row r="1516" spans="1:18">
      <c r="A1516" s="3" t="s">
        <v>443</v>
      </c>
      <c r="B1516" s="3" t="s">
        <v>444</v>
      </c>
      <c r="C1516" s="3" t="s">
        <v>445</v>
      </c>
      <c r="D1516" s="3" t="s">
        <v>446</v>
      </c>
      <c r="E1516" s="3" t="s">
        <v>1710</v>
      </c>
      <c r="F1516" s="3">
        <v>32.99</v>
      </c>
      <c r="G1516" s="3" t="s">
        <v>6233</v>
      </c>
      <c r="H1516" s="3"/>
      <c r="I1516" s="3" t="s">
        <v>6234</v>
      </c>
      <c r="J1516" s="3">
        <v>1</v>
      </c>
      <c r="K1516" s="3">
        <v>0</v>
      </c>
      <c r="L1516" s="3">
        <v>0</v>
      </c>
      <c r="M1516" s="3">
        <v>1</v>
      </c>
      <c r="N1516" s="3">
        <v>1</v>
      </c>
      <c r="O1516" s="3">
        <v>0.11</v>
      </c>
      <c r="P1516" s="3">
        <v>0</v>
      </c>
      <c r="Q1516" s="3">
        <v>0</v>
      </c>
      <c r="R1516" s="3">
        <v>0</v>
      </c>
    </row>
    <row r="1517" spans="1:18">
      <c r="A1517" s="3" t="s">
        <v>4205</v>
      </c>
      <c r="B1517" s="3" t="s">
        <v>4206</v>
      </c>
      <c r="C1517" s="3" t="s">
        <v>4207</v>
      </c>
      <c r="D1517" s="3" t="s">
        <v>4208</v>
      </c>
      <c r="E1517" s="3" t="s">
        <v>1710</v>
      </c>
      <c r="F1517" s="3">
        <v>32.99</v>
      </c>
      <c r="G1517" s="3" t="s">
        <v>6233</v>
      </c>
      <c r="H1517" s="3"/>
      <c r="I1517" s="3" t="s">
        <v>6234</v>
      </c>
      <c r="J1517" s="3">
        <v>23</v>
      </c>
      <c r="K1517" s="3">
        <v>22</v>
      </c>
      <c r="L1517" s="3">
        <v>1</v>
      </c>
      <c r="M1517" s="3">
        <v>0</v>
      </c>
      <c r="N1517" s="3">
        <v>23</v>
      </c>
      <c r="O1517" s="3">
        <v>0.11</v>
      </c>
      <c r="P1517" s="3">
        <v>0</v>
      </c>
      <c r="Q1517" s="3">
        <v>0</v>
      </c>
      <c r="R1517" s="3">
        <v>0</v>
      </c>
    </row>
    <row r="1518" spans="1:18">
      <c r="A1518" s="3" t="s">
        <v>423</v>
      </c>
      <c r="B1518" s="3" t="s">
        <v>424</v>
      </c>
      <c r="C1518" s="3" t="s">
        <v>425</v>
      </c>
      <c r="D1518" s="3" t="s">
        <v>426</v>
      </c>
      <c r="E1518" s="3" t="s">
        <v>1710</v>
      </c>
      <c r="F1518" s="3">
        <v>32.99</v>
      </c>
      <c r="G1518" s="3" t="s">
        <v>6233</v>
      </c>
      <c r="H1518" s="3"/>
      <c r="I1518" s="3" t="s">
        <v>6234</v>
      </c>
      <c r="J1518" s="3">
        <v>5</v>
      </c>
      <c r="K1518" s="3">
        <v>4</v>
      </c>
      <c r="L1518" s="3">
        <v>0</v>
      </c>
      <c r="M1518" s="3">
        <v>1</v>
      </c>
      <c r="N1518" s="3">
        <v>5</v>
      </c>
      <c r="O1518" s="3">
        <v>0.11</v>
      </c>
      <c r="P1518" s="3">
        <v>0</v>
      </c>
      <c r="Q1518" s="3">
        <v>0</v>
      </c>
      <c r="R1518" s="3">
        <v>0</v>
      </c>
    </row>
    <row r="1519" spans="1:18">
      <c r="A1519" s="3" t="s">
        <v>467</v>
      </c>
      <c r="B1519" s="3" t="s">
        <v>468</v>
      </c>
      <c r="C1519" s="3" t="s">
        <v>469</v>
      </c>
      <c r="D1519" s="3" t="s">
        <v>8337</v>
      </c>
      <c r="E1519" s="3" t="s">
        <v>1710</v>
      </c>
      <c r="F1519" s="3">
        <v>32.99</v>
      </c>
      <c r="G1519" s="3" t="s">
        <v>6233</v>
      </c>
      <c r="H1519" s="3"/>
      <c r="I1519" s="3" t="s">
        <v>6234</v>
      </c>
      <c r="J1519" s="3">
        <v>19</v>
      </c>
      <c r="K1519" s="3">
        <v>18</v>
      </c>
      <c r="L1519" s="3">
        <v>0</v>
      </c>
      <c r="M1519" s="3">
        <v>1</v>
      </c>
      <c r="N1519" s="3">
        <v>19</v>
      </c>
      <c r="O1519" s="3">
        <v>0.11</v>
      </c>
      <c r="P1519" s="3">
        <v>0</v>
      </c>
      <c r="Q1519" s="3">
        <v>0</v>
      </c>
      <c r="R1519" s="3">
        <v>0</v>
      </c>
    </row>
    <row r="1520" spans="1:18">
      <c r="A1520" s="3" t="s">
        <v>6128</v>
      </c>
      <c r="B1520" s="3" t="s">
        <v>6129</v>
      </c>
      <c r="C1520" s="3" t="s">
        <v>6130</v>
      </c>
      <c r="D1520" s="3" t="s">
        <v>6131</v>
      </c>
      <c r="E1520" s="3" t="s">
        <v>1710</v>
      </c>
      <c r="F1520" s="3">
        <v>32.99</v>
      </c>
      <c r="G1520" s="3" t="s">
        <v>6233</v>
      </c>
      <c r="H1520" s="3"/>
      <c r="I1520" s="3" t="s">
        <v>6234</v>
      </c>
      <c r="J1520" s="3">
        <v>21</v>
      </c>
      <c r="K1520" s="3">
        <v>21</v>
      </c>
      <c r="L1520" s="3">
        <v>0</v>
      </c>
      <c r="M1520" s="3">
        <v>0</v>
      </c>
      <c r="N1520" s="3">
        <v>21</v>
      </c>
      <c r="O1520" s="3">
        <v>0.11</v>
      </c>
      <c r="P1520" s="3">
        <v>0</v>
      </c>
      <c r="Q1520" s="3">
        <v>0</v>
      </c>
      <c r="R1520" s="3">
        <v>0</v>
      </c>
    </row>
    <row r="1521" spans="1:18">
      <c r="A1521" s="3" t="s">
        <v>3712</v>
      </c>
      <c r="B1521" s="3" t="s">
        <v>3713</v>
      </c>
      <c r="C1521" s="3" t="s">
        <v>3714</v>
      </c>
      <c r="D1521" s="3" t="s">
        <v>3715</v>
      </c>
      <c r="E1521" s="3" t="s">
        <v>1710</v>
      </c>
      <c r="F1521" s="3">
        <v>26.99</v>
      </c>
      <c r="G1521" s="3" t="s">
        <v>6233</v>
      </c>
      <c r="H1521" s="3"/>
      <c r="I1521" s="3" t="s">
        <v>6234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0.06</v>
      </c>
      <c r="P1521" s="3">
        <v>0</v>
      </c>
      <c r="Q1521" s="3">
        <v>0</v>
      </c>
      <c r="R1521" s="3">
        <v>0</v>
      </c>
    </row>
    <row r="1522" spans="1:18">
      <c r="A1522" s="3" t="s">
        <v>8338</v>
      </c>
      <c r="B1522" s="3" t="s">
        <v>8339</v>
      </c>
      <c r="C1522" s="3" t="s">
        <v>8340</v>
      </c>
      <c r="D1522" s="3" t="s">
        <v>8341</v>
      </c>
      <c r="E1522" s="3" t="s">
        <v>1710</v>
      </c>
      <c r="F1522" s="3">
        <v>26.99</v>
      </c>
      <c r="G1522" s="3" t="s">
        <v>6233</v>
      </c>
      <c r="H1522" s="3"/>
      <c r="I1522" s="3" t="s">
        <v>6234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0.07</v>
      </c>
      <c r="P1522" s="3">
        <v>0</v>
      </c>
      <c r="Q1522" s="3">
        <v>0</v>
      </c>
      <c r="R1522" s="3">
        <v>0</v>
      </c>
    </row>
    <row r="1523" spans="1:18">
      <c r="A1523" s="3" t="s">
        <v>5370</v>
      </c>
      <c r="B1523" s="3" t="s">
        <v>5371</v>
      </c>
      <c r="C1523" s="3" t="s">
        <v>5372</v>
      </c>
      <c r="D1523" s="3" t="s">
        <v>5373</v>
      </c>
      <c r="E1523" s="3" t="s">
        <v>1710</v>
      </c>
      <c r="F1523" s="3">
        <v>26.99</v>
      </c>
      <c r="G1523" s="3" t="s">
        <v>6233</v>
      </c>
      <c r="H1523" s="3"/>
      <c r="I1523" s="3" t="s">
        <v>6234</v>
      </c>
      <c r="J1523" s="3">
        <v>1</v>
      </c>
      <c r="K1523" s="3">
        <v>1</v>
      </c>
      <c r="L1523" s="3">
        <v>0</v>
      </c>
      <c r="M1523" s="3">
        <v>0</v>
      </c>
      <c r="N1523" s="3">
        <v>1</v>
      </c>
      <c r="O1523" s="3">
        <v>0.06</v>
      </c>
      <c r="P1523" s="3">
        <v>0</v>
      </c>
      <c r="Q1523" s="3">
        <v>0</v>
      </c>
      <c r="R1523" s="3">
        <v>0</v>
      </c>
    </row>
    <row r="1524" spans="1:18">
      <c r="A1524" s="3" t="s">
        <v>2979</v>
      </c>
      <c r="B1524" s="3" t="s">
        <v>2980</v>
      </c>
      <c r="C1524" s="3" t="s">
        <v>2981</v>
      </c>
      <c r="D1524" s="3" t="s">
        <v>2982</v>
      </c>
      <c r="E1524" s="3" t="s">
        <v>1710</v>
      </c>
      <c r="F1524" s="3">
        <v>26.99</v>
      </c>
      <c r="G1524" s="3" t="s">
        <v>6233</v>
      </c>
      <c r="H1524" s="3"/>
      <c r="I1524" s="3" t="s">
        <v>6234</v>
      </c>
      <c r="J1524" s="3">
        <v>4</v>
      </c>
      <c r="K1524" s="3">
        <v>4</v>
      </c>
      <c r="L1524" s="3">
        <v>0</v>
      </c>
      <c r="M1524" s="3">
        <v>0</v>
      </c>
      <c r="N1524" s="3">
        <v>4</v>
      </c>
      <c r="O1524" s="3">
        <v>0.07</v>
      </c>
      <c r="P1524" s="3">
        <v>0</v>
      </c>
      <c r="Q1524" s="3">
        <v>0</v>
      </c>
      <c r="R1524" s="3">
        <v>0</v>
      </c>
    </row>
    <row r="1525" spans="1:18">
      <c r="A1525" s="3" t="s">
        <v>3287</v>
      </c>
      <c r="B1525" s="3" t="s">
        <v>3288</v>
      </c>
      <c r="C1525" s="3" t="s">
        <v>3289</v>
      </c>
      <c r="D1525" s="3" t="s">
        <v>3290</v>
      </c>
      <c r="E1525" s="3" t="s">
        <v>1710</v>
      </c>
      <c r="F1525" s="3">
        <v>26.99</v>
      </c>
      <c r="G1525" s="3" t="s">
        <v>6233</v>
      </c>
      <c r="H1525" s="3"/>
      <c r="I1525" s="3" t="s">
        <v>6234</v>
      </c>
      <c r="J1525" s="3">
        <v>10</v>
      </c>
      <c r="K1525" s="3">
        <v>9</v>
      </c>
      <c r="L1525" s="3">
        <v>1</v>
      </c>
      <c r="M1525" s="3">
        <v>0</v>
      </c>
      <c r="N1525" s="3">
        <v>10</v>
      </c>
      <c r="O1525" s="3">
        <v>0.06</v>
      </c>
      <c r="P1525" s="3">
        <v>0</v>
      </c>
      <c r="Q1525" s="3">
        <v>0</v>
      </c>
      <c r="R1525" s="3">
        <v>0</v>
      </c>
    </row>
    <row r="1526" spans="1:18">
      <c r="A1526" s="3" t="s">
        <v>471</v>
      </c>
      <c r="B1526" s="3" t="s">
        <v>472</v>
      </c>
      <c r="C1526" s="3" t="s">
        <v>473</v>
      </c>
      <c r="D1526" s="3" t="s">
        <v>474</v>
      </c>
      <c r="E1526" s="3" t="s">
        <v>1710</v>
      </c>
      <c r="F1526" s="3">
        <v>48.58</v>
      </c>
      <c r="G1526" s="3" t="s">
        <v>6233</v>
      </c>
      <c r="H1526" s="3"/>
      <c r="I1526" s="3" t="s">
        <v>6234</v>
      </c>
      <c r="J1526" s="3">
        <v>34</v>
      </c>
      <c r="K1526" s="3">
        <v>21</v>
      </c>
      <c r="L1526" s="3">
        <v>8</v>
      </c>
      <c r="M1526" s="3">
        <v>5</v>
      </c>
      <c r="N1526" s="3">
        <v>58</v>
      </c>
      <c r="O1526" s="3">
        <v>0.1</v>
      </c>
      <c r="P1526" s="3">
        <v>0</v>
      </c>
      <c r="Q1526" s="3">
        <v>0</v>
      </c>
      <c r="R1526" s="3">
        <v>24</v>
      </c>
    </row>
    <row r="1527" spans="1:18">
      <c r="A1527" s="3" t="s">
        <v>483</v>
      </c>
      <c r="B1527" s="3" t="s">
        <v>484</v>
      </c>
      <c r="C1527" s="3" t="s">
        <v>485</v>
      </c>
      <c r="D1527" s="3" t="s">
        <v>486</v>
      </c>
      <c r="E1527" s="3" t="s">
        <v>1710</v>
      </c>
      <c r="F1527" s="3">
        <v>48.58</v>
      </c>
      <c r="G1527" s="3" t="s">
        <v>6233</v>
      </c>
      <c r="H1527" s="3"/>
      <c r="I1527" s="3" t="s">
        <v>6234</v>
      </c>
      <c r="J1527" s="3">
        <v>63</v>
      </c>
      <c r="K1527" s="3">
        <v>32</v>
      </c>
      <c r="L1527" s="3">
        <v>7</v>
      </c>
      <c r="M1527" s="3">
        <v>24</v>
      </c>
      <c r="N1527" s="3">
        <v>64</v>
      </c>
      <c r="O1527" s="3">
        <v>0.1</v>
      </c>
      <c r="P1527" s="3">
        <v>0</v>
      </c>
      <c r="Q1527" s="3">
        <v>0</v>
      </c>
      <c r="R1527" s="3">
        <v>1</v>
      </c>
    </row>
    <row r="1528" spans="1:18">
      <c r="A1528" s="3" t="s">
        <v>475</v>
      </c>
      <c r="B1528" s="3" t="s">
        <v>476</v>
      </c>
      <c r="C1528" s="3" t="s">
        <v>477</v>
      </c>
      <c r="D1528" s="3" t="s">
        <v>478</v>
      </c>
      <c r="E1528" s="3" t="s">
        <v>1710</v>
      </c>
      <c r="F1528" s="3">
        <v>48.58</v>
      </c>
      <c r="G1528" s="3" t="s">
        <v>6233</v>
      </c>
      <c r="H1528" s="3"/>
      <c r="I1528" s="3" t="s">
        <v>6234</v>
      </c>
      <c r="J1528" s="3">
        <v>36</v>
      </c>
      <c r="K1528" s="3">
        <v>0</v>
      </c>
      <c r="L1528" s="3">
        <v>14</v>
      </c>
      <c r="M1528" s="3">
        <v>22</v>
      </c>
      <c r="N1528" s="3">
        <v>37</v>
      </c>
      <c r="O1528" s="3">
        <v>0.1</v>
      </c>
      <c r="P1528" s="3">
        <v>0</v>
      </c>
      <c r="Q1528" s="3">
        <v>0</v>
      </c>
      <c r="R1528" s="3">
        <v>1</v>
      </c>
    </row>
    <row r="1529" spans="1:18">
      <c r="A1529" s="3" t="s">
        <v>447</v>
      </c>
      <c r="B1529" s="3" t="s">
        <v>448</v>
      </c>
      <c r="C1529" s="3" t="s">
        <v>449</v>
      </c>
      <c r="D1529" s="3" t="s">
        <v>450</v>
      </c>
      <c r="E1529" s="3" t="s">
        <v>1710</v>
      </c>
      <c r="F1529" s="3">
        <v>48.58</v>
      </c>
      <c r="G1529" s="3" t="s">
        <v>6233</v>
      </c>
      <c r="H1529" s="3"/>
      <c r="I1529" s="3" t="s">
        <v>6234</v>
      </c>
      <c r="J1529" s="3">
        <v>57</v>
      </c>
      <c r="K1529" s="3">
        <v>31</v>
      </c>
      <c r="L1529" s="3">
        <v>10</v>
      </c>
      <c r="M1529" s="3">
        <v>16</v>
      </c>
      <c r="N1529" s="3">
        <v>57</v>
      </c>
      <c r="O1529" s="3">
        <v>0.18</v>
      </c>
      <c r="P1529" s="3">
        <v>0</v>
      </c>
      <c r="Q1529" s="3">
        <v>0</v>
      </c>
      <c r="R1529" s="3">
        <v>0</v>
      </c>
    </row>
    <row r="1530" spans="1:18">
      <c r="A1530" s="3" t="s">
        <v>487</v>
      </c>
      <c r="B1530" s="3" t="s">
        <v>488</v>
      </c>
      <c r="C1530" s="3" t="s">
        <v>489</v>
      </c>
      <c r="D1530" s="3" t="s">
        <v>490</v>
      </c>
      <c r="E1530" s="3" t="s">
        <v>1710</v>
      </c>
      <c r="F1530" s="3">
        <v>48.58</v>
      </c>
      <c r="G1530" s="3" t="s">
        <v>6233</v>
      </c>
      <c r="H1530" s="3"/>
      <c r="I1530" s="3" t="s">
        <v>6234</v>
      </c>
      <c r="J1530" s="3">
        <v>19</v>
      </c>
      <c r="K1530" s="3">
        <v>16</v>
      </c>
      <c r="L1530" s="3">
        <v>1</v>
      </c>
      <c r="M1530" s="3">
        <v>2</v>
      </c>
      <c r="N1530" s="3">
        <v>19</v>
      </c>
      <c r="O1530" s="3">
        <v>0.1</v>
      </c>
      <c r="P1530" s="3">
        <v>0</v>
      </c>
      <c r="Q1530" s="3">
        <v>0</v>
      </c>
      <c r="R1530" s="3">
        <v>0</v>
      </c>
    </row>
    <row r="1531" spans="1:18">
      <c r="A1531" s="3" t="s">
        <v>479</v>
      </c>
      <c r="B1531" s="3" t="s">
        <v>480</v>
      </c>
      <c r="C1531" s="3" t="s">
        <v>481</v>
      </c>
      <c r="D1531" s="3" t="s">
        <v>482</v>
      </c>
      <c r="E1531" s="3" t="s">
        <v>1710</v>
      </c>
      <c r="F1531" s="3">
        <v>48.58</v>
      </c>
      <c r="G1531" s="3" t="s">
        <v>6233</v>
      </c>
      <c r="H1531" s="3"/>
      <c r="I1531" s="3" t="s">
        <v>6234</v>
      </c>
      <c r="J1531" s="3">
        <v>80</v>
      </c>
      <c r="K1531" s="3">
        <v>68</v>
      </c>
      <c r="L1531" s="3">
        <v>6</v>
      </c>
      <c r="M1531" s="3">
        <v>6</v>
      </c>
      <c r="N1531" s="3">
        <v>80</v>
      </c>
      <c r="O1531" s="3">
        <v>0.11</v>
      </c>
      <c r="P1531" s="3">
        <v>0</v>
      </c>
      <c r="Q1531" s="3">
        <v>0</v>
      </c>
      <c r="R1531" s="3">
        <v>0</v>
      </c>
    </row>
    <row r="1532" spans="1:18">
      <c r="A1532" s="3" t="s">
        <v>455</v>
      </c>
      <c r="B1532" s="3" t="s">
        <v>456</v>
      </c>
      <c r="C1532" s="3" t="s">
        <v>457</v>
      </c>
      <c r="D1532" s="3" t="s">
        <v>458</v>
      </c>
      <c r="E1532" s="3" t="s">
        <v>1710</v>
      </c>
      <c r="F1532" s="3">
        <v>48.58</v>
      </c>
      <c r="G1532" s="3" t="s">
        <v>6233</v>
      </c>
      <c r="H1532" s="3"/>
      <c r="I1532" s="3" t="s">
        <v>6234</v>
      </c>
      <c r="J1532" s="3">
        <v>76</v>
      </c>
      <c r="K1532" s="3">
        <v>58</v>
      </c>
      <c r="L1532" s="3">
        <v>11</v>
      </c>
      <c r="M1532" s="3">
        <v>7</v>
      </c>
      <c r="N1532" s="3">
        <v>76</v>
      </c>
      <c r="O1532" s="3">
        <v>0.11</v>
      </c>
      <c r="P1532" s="3">
        <v>0</v>
      </c>
      <c r="Q1532" s="3">
        <v>0</v>
      </c>
      <c r="R1532" s="3">
        <v>0</v>
      </c>
    </row>
    <row r="1533" spans="1:18">
      <c r="A1533" s="3" t="s">
        <v>495</v>
      </c>
      <c r="B1533" s="3" t="s">
        <v>496</v>
      </c>
      <c r="C1533" s="3" t="s">
        <v>497</v>
      </c>
      <c r="D1533" s="3" t="s">
        <v>498</v>
      </c>
      <c r="E1533" s="3" t="s">
        <v>1710</v>
      </c>
      <c r="F1533" s="3">
        <v>48.58</v>
      </c>
      <c r="G1533" s="3" t="s">
        <v>6233</v>
      </c>
      <c r="H1533" s="3"/>
      <c r="I1533" s="3" t="s">
        <v>6234</v>
      </c>
      <c r="J1533" s="3">
        <v>156</v>
      </c>
      <c r="K1533" s="3">
        <v>62</v>
      </c>
      <c r="L1533" s="3">
        <v>13</v>
      </c>
      <c r="M1533" s="3">
        <v>81</v>
      </c>
      <c r="N1533" s="3">
        <v>156</v>
      </c>
      <c r="O1533" s="3">
        <v>0.09</v>
      </c>
      <c r="P1533" s="3">
        <v>0</v>
      </c>
      <c r="Q1533" s="3">
        <v>0</v>
      </c>
      <c r="R1533" s="3">
        <v>0</v>
      </c>
    </row>
    <row r="1534" spans="1:18">
      <c r="A1534" s="3" t="s">
        <v>375</v>
      </c>
      <c r="B1534" s="3" t="s">
        <v>376</v>
      </c>
      <c r="C1534" s="3" t="s">
        <v>377</v>
      </c>
      <c r="D1534" s="3" t="s">
        <v>378</v>
      </c>
      <c r="E1534" s="3" t="s">
        <v>1710</v>
      </c>
      <c r="F1534" s="3">
        <v>50.38</v>
      </c>
      <c r="G1534" s="3" t="s">
        <v>6233</v>
      </c>
      <c r="H1534" s="3"/>
      <c r="I1534" s="3" t="s">
        <v>6234</v>
      </c>
      <c r="J1534" s="3">
        <v>101</v>
      </c>
      <c r="K1534" s="3">
        <v>78</v>
      </c>
      <c r="L1534" s="3">
        <v>9</v>
      </c>
      <c r="M1534" s="3">
        <v>14</v>
      </c>
      <c r="N1534" s="3">
        <v>101</v>
      </c>
      <c r="O1534" s="3">
        <v>0.11</v>
      </c>
      <c r="P1534" s="3">
        <v>0</v>
      </c>
      <c r="Q1534" s="3">
        <v>0</v>
      </c>
      <c r="R1534" s="3">
        <v>0</v>
      </c>
    </row>
    <row r="1535" spans="1:18">
      <c r="A1535" s="3" t="s">
        <v>491</v>
      </c>
      <c r="B1535" s="3" t="s">
        <v>492</v>
      </c>
      <c r="C1535" s="3" t="s">
        <v>493</v>
      </c>
      <c r="D1535" s="3" t="s">
        <v>494</v>
      </c>
      <c r="E1535" s="3" t="s">
        <v>1710</v>
      </c>
      <c r="F1535" s="3">
        <v>48.58</v>
      </c>
      <c r="G1535" s="3" t="s">
        <v>6233</v>
      </c>
      <c r="H1535" s="3"/>
      <c r="I1535" s="3" t="s">
        <v>6234</v>
      </c>
      <c r="J1535" s="3">
        <v>37</v>
      </c>
      <c r="K1535" s="3">
        <v>35</v>
      </c>
      <c r="L1535" s="3">
        <v>1</v>
      </c>
      <c r="M1535" s="3">
        <v>1</v>
      </c>
      <c r="N1535" s="3">
        <v>37</v>
      </c>
      <c r="O1535" s="3">
        <v>0.11</v>
      </c>
      <c r="P1535" s="3">
        <v>0</v>
      </c>
      <c r="Q1535" s="3">
        <v>0</v>
      </c>
      <c r="R1535" s="3">
        <v>0</v>
      </c>
    </row>
    <row r="1536" spans="1:18">
      <c r="A1536" s="3" t="s">
        <v>415</v>
      </c>
      <c r="B1536" s="3" t="s">
        <v>416</v>
      </c>
      <c r="C1536" s="3" t="s">
        <v>417</v>
      </c>
      <c r="D1536" s="3" t="s">
        <v>418</v>
      </c>
      <c r="E1536" s="3" t="s">
        <v>1710</v>
      </c>
      <c r="F1536" s="3">
        <v>48.58</v>
      </c>
      <c r="G1536" s="3" t="s">
        <v>6233</v>
      </c>
      <c r="H1536" s="3"/>
      <c r="I1536" s="3" t="s">
        <v>6234</v>
      </c>
      <c r="J1536" s="3">
        <v>147</v>
      </c>
      <c r="K1536" s="3">
        <v>130</v>
      </c>
      <c r="L1536" s="3">
        <v>9</v>
      </c>
      <c r="M1536" s="3">
        <v>8</v>
      </c>
      <c r="N1536" s="3">
        <v>147</v>
      </c>
      <c r="O1536" s="3">
        <v>0.12</v>
      </c>
      <c r="P1536" s="3">
        <v>0</v>
      </c>
      <c r="Q1536" s="3">
        <v>0</v>
      </c>
      <c r="R1536" s="3">
        <v>0</v>
      </c>
    </row>
    <row r="1537" spans="1:18">
      <c r="A1537" s="3" t="s">
        <v>499</v>
      </c>
      <c r="B1537" s="3" t="s">
        <v>500</v>
      </c>
      <c r="C1537" s="3" t="s">
        <v>501</v>
      </c>
      <c r="D1537" s="3" t="s">
        <v>502</v>
      </c>
      <c r="E1537" s="3" t="s">
        <v>1710</v>
      </c>
      <c r="F1537" s="3">
        <v>50.38</v>
      </c>
      <c r="G1537" s="3" t="s">
        <v>6233</v>
      </c>
      <c r="H1537" s="3"/>
      <c r="I1537" s="3" t="s">
        <v>6234</v>
      </c>
      <c r="J1537" s="3">
        <v>153</v>
      </c>
      <c r="K1537" s="3">
        <v>137</v>
      </c>
      <c r="L1537" s="3">
        <v>9</v>
      </c>
      <c r="M1537" s="3">
        <v>7</v>
      </c>
      <c r="N1537" s="3">
        <v>153</v>
      </c>
      <c r="O1537" s="3">
        <v>0.13</v>
      </c>
      <c r="P1537" s="3">
        <v>0</v>
      </c>
      <c r="Q1537" s="3">
        <v>0</v>
      </c>
      <c r="R1537" s="3">
        <v>0</v>
      </c>
    </row>
    <row r="1538" spans="1:18">
      <c r="A1538" s="3" t="s">
        <v>431</v>
      </c>
      <c r="B1538" s="3" t="s">
        <v>432</v>
      </c>
      <c r="C1538" s="3" t="s">
        <v>433</v>
      </c>
      <c r="D1538" s="3" t="s">
        <v>434</v>
      </c>
      <c r="E1538" s="3" t="s">
        <v>1710</v>
      </c>
      <c r="F1538" s="3">
        <v>48.58</v>
      </c>
      <c r="G1538" s="3" t="s">
        <v>6233</v>
      </c>
      <c r="H1538" s="3"/>
      <c r="I1538" s="3" t="s">
        <v>6234</v>
      </c>
      <c r="J1538" s="3">
        <v>5</v>
      </c>
      <c r="K1538" s="3">
        <v>0</v>
      </c>
      <c r="L1538" s="3">
        <v>2</v>
      </c>
      <c r="M1538" s="3">
        <v>3</v>
      </c>
      <c r="N1538" s="3">
        <v>5</v>
      </c>
      <c r="O1538" s="3">
        <v>0.1</v>
      </c>
      <c r="P1538" s="3">
        <v>0</v>
      </c>
      <c r="Q1538" s="3">
        <v>0</v>
      </c>
      <c r="R1538" s="3">
        <v>0</v>
      </c>
    </row>
    <row r="1539" spans="1:18">
      <c r="A1539" s="3" t="s">
        <v>399</v>
      </c>
      <c r="B1539" s="3" t="s">
        <v>400</v>
      </c>
      <c r="C1539" s="3" t="s">
        <v>401</v>
      </c>
      <c r="D1539" s="3" t="s">
        <v>402</v>
      </c>
      <c r="E1539" s="3" t="s">
        <v>1710</v>
      </c>
      <c r="F1539" s="3">
        <v>48.58</v>
      </c>
      <c r="G1539" s="3" t="s">
        <v>6233</v>
      </c>
      <c r="H1539" s="3"/>
      <c r="I1539" s="3" t="s">
        <v>6234</v>
      </c>
      <c r="J1539" s="3">
        <v>106</v>
      </c>
      <c r="K1539" s="3">
        <v>98</v>
      </c>
      <c r="L1539" s="3">
        <v>4</v>
      </c>
      <c r="M1539" s="3">
        <v>4</v>
      </c>
      <c r="N1539" s="3">
        <v>106</v>
      </c>
      <c r="O1539" s="3">
        <v>0.08</v>
      </c>
      <c r="P1539" s="3">
        <v>0</v>
      </c>
      <c r="Q1539" s="3">
        <v>0</v>
      </c>
      <c r="R1539" s="3">
        <v>0</v>
      </c>
    </row>
    <row r="1540" spans="1:18">
      <c r="A1540" s="3" t="s">
        <v>407</v>
      </c>
      <c r="B1540" s="3" t="s">
        <v>408</v>
      </c>
      <c r="C1540" s="3" t="s">
        <v>409</v>
      </c>
      <c r="D1540" s="3" t="s">
        <v>410</v>
      </c>
      <c r="E1540" s="3" t="s">
        <v>1710</v>
      </c>
      <c r="F1540" s="3">
        <v>48.58</v>
      </c>
      <c r="G1540" s="3" t="s">
        <v>6233</v>
      </c>
      <c r="H1540" s="3"/>
      <c r="I1540" s="3" t="s">
        <v>6234</v>
      </c>
      <c r="J1540" s="3">
        <v>48</v>
      </c>
      <c r="K1540" s="3">
        <v>43</v>
      </c>
      <c r="L1540" s="3">
        <v>2</v>
      </c>
      <c r="M1540" s="3">
        <v>3</v>
      </c>
      <c r="N1540" s="3">
        <v>48</v>
      </c>
      <c r="O1540" s="3">
        <v>0.09</v>
      </c>
      <c r="P1540" s="3">
        <v>0</v>
      </c>
      <c r="Q1540" s="3">
        <v>0</v>
      </c>
      <c r="R1540" s="3">
        <v>0</v>
      </c>
    </row>
    <row r="1541" spans="1:18">
      <c r="A1541" s="3" t="s">
        <v>3701</v>
      </c>
      <c r="B1541" s="3" t="s">
        <v>3702</v>
      </c>
      <c r="C1541" s="3" t="s">
        <v>3703</v>
      </c>
      <c r="D1541" s="3" t="s">
        <v>3704</v>
      </c>
      <c r="E1541" s="3" t="s">
        <v>1710</v>
      </c>
      <c r="F1541" s="3">
        <v>48.58</v>
      </c>
      <c r="G1541" s="3" t="s">
        <v>6233</v>
      </c>
      <c r="H1541" s="3"/>
      <c r="I1541" s="3" t="s">
        <v>6234</v>
      </c>
      <c r="J1541" s="3">
        <v>19</v>
      </c>
      <c r="K1541" s="3">
        <v>17</v>
      </c>
      <c r="L1541" s="3">
        <v>2</v>
      </c>
      <c r="M1541" s="3">
        <v>0</v>
      </c>
      <c r="N1541" s="3">
        <v>19</v>
      </c>
      <c r="O1541" s="3">
        <v>0.1</v>
      </c>
      <c r="P1541" s="3">
        <v>0</v>
      </c>
      <c r="Q1541" s="3">
        <v>0</v>
      </c>
      <c r="R1541" s="3">
        <v>0</v>
      </c>
    </row>
    <row r="1542" spans="1:18">
      <c r="A1542" s="3" t="s">
        <v>379</v>
      </c>
      <c r="B1542" s="3" t="s">
        <v>380</v>
      </c>
      <c r="C1542" s="3" t="s">
        <v>381</v>
      </c>
      <c r="D1542" s="3" t="s">
        <v>382</v>
      </c>
      <c r="E1542" s="3" t="s">
        <v>1710</v>
      </c>
      <c r="F1542" s="3">
        <v>48.58</v>
      </c>
      <c r="G1542" s="3" t="s">
        <v>6233</v>
      </c>
      <c r="H1542" s="3"/>
      <c r="I1542" s="3" t="s">
        <v>6234</v>
      </c>
      <c r="J1542" s="3">
        <v>54</v>
      </c>
      <c r="K1542" s="3">
        <v>43</v>
      </c>
      <c r="L1542" s="3">
        <v>6</v>
      </c>
      <c r="M1542" s="3">
        <v>5</v>
      </c>
      <c r="N1542" s="3">
        <v>54</v>
      </c>
      <c r="O1542" s="3">
        <v>0.11</v>
      </c>
      <c r="P1542" s="3">
        <v>0</v>
      </c>
      <c r="Q1542" s="3">
        <v>0</v>
      </c>
      <c r="R1542" s="3">
        <v>0</v>
      </c>
    </row>
    <row r="1543" spans="1:18">
      <c r="A1543" s="3" t="s">
        <v>5757</v>
      </c>
      <c r="B1543" s="3" t="s">
        <v>5758</v>
      </c>
      <c r="C1543" s="3" t="s">
        <v>5759</v>
      </c>
      <c r="D1543" s="3" t="s">
        <v>3676</v>
      </c>
      <c r="E1543" s="3" t="s">
        <v>1710</v>
      </c>
      <c r="F1543" s="3">
        <v>19.58</v>
      </c>
      <c r="G1543" s="3" t="s">
        <v>6233</v>
      </c>
      <c r="H1543" s="3"/>
      <c r="I1543" s="3" t="s">
        <v>6234</v>
      </c>
      <c r="J1543" s="3">
        <v>1</v>
      </c>
      <c r="K1543" s="3">
        <v>1</v>
      </c>
      <c r="L1543" s="3">
        <v>0</v>
      </c>
      <c r="M1543" s="3">
        <v>0</v>
      </c>
      <c r="N1543" s="3">
        <v>1</v>
      </c>
      <c r="O1543" s="3">
        <v>0.16</v>
      </c>
      <c r="P1543" s="3">
        <v>0</v>
      </c>
      <c r="Q1543" s="3">
        <v>0</v>
      </c>
      <c r="R1543" s="3">
        <v>0</v>
      </c>
    </row>
    <row r="1544" spans="1:18">
      <c r="A1544" s="3" t="s">
        <v>5669</v>
      </c>
      <c r="B1544" s="3" t="s">
        <v>5670</v>
      </c>
      <c r="C1544" s="3" t="s">
        <v>5671</v>
      </c>
      <c r="D1544" s="3" t="s">
        <v>3676</v>
      </c>
      <c r="E1544" s="3" t="s">
        <v>1710</v>
      </c>
      <c r="F1544" s="3">
        <v>19.58</v>
      </c>
      <c r="G1544" s="3" t="s">
        <v>6233</v>
      </c>
      <c r="H1544" s="3"/>
      <c r="I1544" s="3" t="s">
        <v>6234</v>
      </c>
      <c r="J1544" s="3">
        <v>5</v>
      </c>
      <c r="K1544" s="3">
        <v>5</v>
      </c>
      <c r="L1544" s="3">
        <v>0</v>
      </c>
      <c r="M1544" s="3">
        <v>0</v>
      </c>
      <c r="N1544" s="3">
        <v>5</v>
      </c>
      <c r="O1544" s="3">
        <v>0.16</v>
      </c>
      <c r="P1544" s="3">
        <v>0</v>
      </c>
      <c r="Q1544" s="3">
        <v>0</v>
      </c>
      <c r="R1544" s="3">
        <v>0</v>
      </c>
    </row>
    <row r="1545" spans="1:18">
      <c r="A1545" s="3" t="s">
        <v>8342</v>
      </c>
      <c r="B1545" s="3" t="s">
        <v>8343</v>
      </c>
      <c r="C1545" s="3" t="s">
        <v>8344</v>
      </c>
      <c r="D1545" s="3"/>
      <c r="E1545" s="3" t="s">
        <v>6275</v>
      </c>
      <c r="F1545" s="3"/>
      <c r="G1545" s="3"/>
      <c r="H1545" s="3"/>
      <c r="I1545" s="3"/>
      <c r="J1545" s="3">
        <v>0</v>
      </c>
      <c r="K1545" s="3">
        <v>0</v>
      </c>
      <c r="L1545" s="3">
        <v>0</v>
      </c>
      <c r="M1545" s="3">
        <v>0</v>
      </c>
      <c r="N1545" s="3">
        <v>0</v>
      </c>
      <c r="O1545" s="3"/>
      <c r="P1545" s="3">
        <v>0</v>
      </c>
      <c r="Q1545" s="3">
        <v>0</v>
      </c>
      <c r="R1545" s="3">
        <v>0</v>
      </c>
    </row>
    <row r="1546" spans="1:18">
      <c r="A1546" s="3" t="s">
        <v>3673</v>
      </c>
      <c r="B1546" s="3" t="s">
        <v>3674</v>
      </c>
      <c r="C1546" s="3" t="s">
        <v>3675</v>
      </c>
      <c r="D1546" s="3" t="s">
        <v>3676</v>
      </c>
      <c r="E1546" s="3" t="s">
        <v>1710</v>
      </c>
      <c r="F1546" s="3">
        <v>19.58</v>
      </c>
      <c r="G1546" s="3" t="s">
        <v>6233</v>
      </c>
      <c r="H1546" s="3"/>
      <c r="I1546" s="3" t="s">
        <v>6234</v>
      </c>
      <c r="J1546" s="3">
        <v>1</v>
      </c>
      <c r="K1546" s="3">
        <v>1</v>
      </c>
      <c r="L1546" s="3">
        <v>0</v>
      </c>
      <c r="M1546" s="3">
        <v>0</v>
      </c>
      <c r="N1546" s="3">
        <v>1</v>
      </c>
      <c r="O1546" s="3">
        <v>0.16</v>
      </c>
      <c r="P1546" s="3">
        <v>0</v>
      </c>
      <c r="Q1546" s="3">
        <v>0</v>
      </c>
      <c r="R1546" s="3">
        <v>0</v>
      </c>
    </row>
    <row r="1547" spans="1:18">
      <c r="A1547" s="3" t="s">
        <v>8345</v>
      </c>
      <c r="B1547" s="3" t="s">
        <v>8346</v>
      </c>
      <c r="C1547" s="3" t="s">
        <v>1451</v>
      </c>
      <c r="D1547" s="3"/>
      <c r="E1547" s="3" t="s">
        <v>6275</v>
      </c>
      <c r="F1547" s="3"/>
      <c r="G1547" s="3"/>
      <c r="H1547" s="3"/>
      <c r="I1547" s="3"/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/>
      <c r="P1547" s="3">
        <v>0</v>
      </c>
      <c r="Q1547" s="3">
        <v>0</v>
      </c>
      <c r="R1547" s="3">
        <v>0</v>
      </c>
    </row>
    <row r="1548" spans="1:18">
      <c r="A1548" s="3" t="s">
        <v>8347</v>
      </c>
      <c r="B1548" s="3" t="s">
        <v>8348</v>
      </c>
      <c r="C1548" s="3" t="s">
        <v>1440</v>
      </c>
      <c r="D1548" s="3"/>
      <c r="E1548" s="3" t="s">
        <v>6275</v>
      </c>
      <c r="F1548" s="3"/>
      <c r="G1548" s="3"/>
      <c r="H1548" s="3"/>
      <c r="I1548" s="3"/>
      <c r="J1548" s="3">
        <v>0</v>
      </c>
      <c r="K1548" s="3">
        <v>0</v>
      </c>
      <c r="L1548" s="3">
        <v>0</v>
      </c>
      <c r="M1548" s="3">
        <v>0</v>
      </c>
      <c r="N1548" s="3">
        <v>0</v>
      </c>
      <c r="O1548" s="3"/>
      <c r="P1548" s="3">
        <v>0</v>
      </c>
      <c r="Q1548" s="3">
        <v>0</v>
      </c>
      <c r="R1548" s="3">
        <v>0</v>
      </c>
    </row>
    <row r="1549" spans="1:18">
      <c r="A1549" s="3" t="s">
        <v>8349</v>
      </c>
      <c r="B1549" s="3" t="s">
        <v>8350</v>
      </c>
      <c r="C1549" s="3" t="s">
        <v>1463</v>
      </c>
      <c r="D1549" s="3"/>
      <c r="E1549" s="3" t="s">
        <v>6275</v>
      </c>
      <c r="F1549" s="3"/>
      <c r="G1549" s="3"/>
      <c r="H1549" s="3"/>
      <c r="I1549" s="3"/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/>
      <c r="P1549" s="3">
        <v>0</v>
      </c>
      <c r="Q1549" s="3">
        <v>0</v>
      </c>
      <c r="R1549" s="3">
        <v>0</v>
      </c>
    </row>
    <row r="1550" spans="1:18">
      <c r="A1550" s="3" t="s">
        <v>8351</v>
      </c>
      <c r="B1550" s="3" t="s">
        <v>8352</v>
      </c>
      <c r="C1550" s="3" t="s">
        <v>1455</v>
      </c>
      <c r="D1550" s="3"/>
      <c r="E1550" s="3" t="s">
        <v>6275</v>
      </c>
      <c r="F1550" s="3"/>
      <c r="G1550" s="3"/>
      <c r="H1550" s="3"/>
      <c r="I1550" s="3"/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/>
      <c r="P1550" s="3">
        <v>0</v>
      </c>
      <c r="Q1550" s="3">
        <v>0</v>
      </c>
      <c r="R1550" s="3">
        <v>0</v>
      </c>
    </row>
    <row r="1551" spans="1:18">
      <c r="A1551" s="3" t="s">
        <v>8353</v>
      </c>
      <c r="B1551" s="3" t="s">
        <v>8354</v>
      </c>
      <c r="C1551" s="3" t="s">
        <v>5215</v>
      </c>
      <c r="D1551" s="3"/>
      <c r="E1551" s="3" t="s">
        <v>6275</v>
      </c>
      <c r="F1551" s="3"/>
      <c r="G1551" s="3"/>
      <c r="H1551" s="3"/>
      <c r="I1551" s="3"/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/>
      <c r="P1551" s="3">
        <v>0</v>
      </c>
      <c r="Q1551" s="3">
        <v>0</v>
      </c>
      <c r="R1551" s="3">
        <v>0</v>
      </c>
    </row>
    <row r="1552" spans="1:18">
      <c r="A1552" s="3" t="s">
        <v>8355</v>
      </c>
      <c r="B1552" s="3" t="s">
        <v>8356</v>
      </c>
      <c r="C1552" s="3" t="s">
        <v>1447</v>
      </c>
      <c r="D1552" s="3"/>
      <c r="E1552" s="3" t="s">
        <v>6275</v>
      </c>
      <c r="F1552" s="3"/>
      <c r="G1552" s="3"/>
      <c r="H1552" s="3"/>
      <c r="I1552" s="3"/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/>
      <c r="P1552" s="3">
        <v>0</v>
      </c>
      <c r="Q1552" s="3">
        <v>0</v>
      </c>
      <c r="R1552" s="3">
        <v>0</v>
      </c>
    </row>
    <row r="1553" spans="1:18">
      <c r="A1553" s="3" t="s">
        <v>8357</v>
      </c>
      <c r="B1553" s="3" t="s">
        <v>8358</v>
      </c>
      <c r="C1553" s="3" t="s">
        <v>1475</v>
      </c>
      <c r="D1553" s="3"/>
      <c r="E1553" s="3" t="s">
        <v>6275</v>
      </c>
      <c r="F1553" s="3"/>
      <c r="G1553" s="3"/>
      <c r="H1553" s="3"/>
      <c r="I1553" s="3"/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/>
      <c r="P1553" s="3">
        <v>0</v>
      </c>
      <c r="Q1553" s="3">
        <v>0</v>
      </c>
      <c r="R1553" s="3">
        <v>0</v>
      </c>
    </row>
    <row r="1554" spans="1:18">
      <c r="A1554" s="3" t="s">
        <v>8359</v>
      </c>
      <c r="B1554" s="3" t="s">
        <v>8360</v>
      </c>
      <c r="C1554" s="3" t="s">
        <v>1433</v>
      </c>
      <c r="D1554" s="3"/>
      <c r="E1554" s="3" t="s">
        <v>6275</v>
      </c>
      <c r="F1554" s="3"/>
      <c r="G1554" s="3"/>
      <c r="H1554" s="3"/>
      <c r="I1554" s="3"/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/>
      <c r="P1554" s="3">
        <v>0</v>
      </c>
      <c r="Q1554" s="3">
        <v>0</v>
      </c>
      <c r="R1554" s="3">
        <v>0</v>
      </c>
    </row>
    <row r="1555" spans="1:18">
      <c r="A1555" s="3" t="s">
        <v>8361</v>
      </c>
      <c r="B1555" s="3" t="s">
        <v>8362</v>
      </c>
      <c r="C1555" s="3" t="s">
        <v>6186</v>
      </c>
      <c r="D1555" s="3"/>
      <c r="E1555" s="3" t="s">
        <v>6275</v>
      </c>
      <c r="F1555" s="3"/>
      <c r="G1555" s="3"/>
      <c r="H1555" s="3"/>
      <c r="I1555" s="3"/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/>
      <c r="P1555" s="3">
        <v>0</v>
      </c>
      <c r="Q1555" s="3">
        <v>0</v>
      </c>
      <c r="R1555" s="3">
        <v>0</v>
      </c>
    </row>
    <row r="1556" spans="1:18">
      <c r="A1556" s="3" t="s">
        <v>8363</v>
      </c>
      <c r="B1556" s="3" t="s">
        <v>8364</v>
      </c>
      <c r="C1556" s="3" t="s">
        <v>1443</v>
      </c>
      <c r="D1556" s="3"/>
      <c r="E1556" s="3" t="s">
        <v>6275</v>
      </c>
      <c r="F1556" s="3"/>
      <c r="G1556" s="3"/>
      <c r="H1556" s="3"/>
      <c r="I1556" s="3"/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/>
      <c r="P1556" s="3">
        <v>0</v>
      </c>
      <c r="Q1556" s="3">
        <v>0</v>
      </c>
      <c r="R1556" s="3">
        <v>0</v>
      </c>
    </row>
    <row r="1557" spans="1:18">
      <c r="A1557" s="3" t="s">
        <v>8365</v>
      </c>
      <c r="B1557" s="3" t="s">
        <v>8366</v>
      </c>
      <c r="C1557" s="3" t="s">
        <v>1437</v>
      </c>
      <c r="D1557" s="3"/>
      <c r="E1557" s="3" t="s">
        <v>6275</v>
      </c>
      <c r="F1557" s="3"/>
      <c r="G1557" s="3"/>
      <c r="H1557" s="3"/>
      <c r="I1557" s="3"/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/>
      <c r="P1557" s="3">
        <v>0</v>
      </c>
      <c r="Q1557" s="3">
        <v>0</v>
      </c>
      <c r="R1557" s="3">
        <v>0</v>
      </c>
    </row>
    <row r="1558" spans="1:18">
      <c r="A1558" s="3" t="s">
        <v>8367</v>
      </c>
      <c r="B1558" s="3" t="s">
        <v>8368</v>
      </c>
      <c r="C1558" s="3" t="s">
        <v>1429</v>
      </c>
      <c r="D1558" s="3"/>
      <c r="E1558" s="3" t="s">
        <v>6275</v>
      </c>
      <c r="F1558" s="3"/>
      <c r="G1558" s="3"/>
      <c r="H1558" s="3"/>
      <c r="I1558" s="3"/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/>
      <c r="P1558" s="3">
        <v>0</v>
      </c>
      <c r="Q1558" s="3">
        <v>0</v>
      </c>
      <c r="R1558" s="3">
        <v>0</v>
      </c>
    </row>
    <row r="1559" spans="1:18">
      <c r="A1559" s="3" t="s">
        <v>8369</v>
      </c>
      <c r="B1559" s="3" t="s">
        <v>8370</v>
      </c>
      <c r="C1559" s="3" t="s">
        <v>1459</v>
      </c>
      <c r="D1559" s="3"/>
      <c r="E1559" s="3" t="s">
        <v>6275</v>
      </c>
      <c r="F1559" s="3"/>
      <c r="G1559" s="3"/>
      <c r="H1559" s="3"/>
      <c r="I1559" s="3"/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/>
      <c r="P1559" s="3">
        <v>0</v>
      </c>
      <c r="Q1559" s="3">
        <v>0</v>
      </c>
      <c r="R1559" s="3">
        <v>0</v>
      </c>
    </row>
    <row r="1560" spans="1:18">
      <c r="A1560" s="3" t="s">
        <v>8371</v>
      </c>
      <c r="B1560" s="3" t="s">
        <v>8372</v>
      </c>
      <c r="C1560" s="3" t="s">
        <v>4742</v>
      </c>
      <c r="D1560" s="3"/>
      <c r="E1560" s="3" t="s">
        <v>6275</v>
      </c>
      <c r="F1560" s="3"/>
      <c r="G1560" s="3"/>
      <c r="H1560" s="3"/>
      <c r="I1560" s="3"/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/>
      <c r="P1560" s="3">
        <v>0</v>
      </c>
      <c r="Q1560" s="3">
        <v>0</v>
      </c>
      <c r="R1560" s="3">
        <v>0</v>
      </c>
    </row>
    <row r="1561" spans="1:18">
      <c r="A1561" s="3" t="s">
        <v>8373</v>
      </c>
      <c r="B1561" s="3" t="s">
        <v>8374</v>
      </c>
      <c r="C1561" s="3" t="s">
        <v>3976</v>
      </c>
      <c r="D1561" s="3"/>
      <c r="E1561" s="3" t="s">
        <v>6275</v>
      </c>
      <c r="F1561" s="3"/>
      <c r="G1561" s="3"/>
      <c r="H1561" s="3"/>
      <c r="I1561" s="3"/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/>
      <c r="P1561" s="3">
        <v>0</v>
      </c>
      <c r="Q1561" s="3">
        <v>0</v>
      </c>
      <c r="R1561" s="3">
        <v>0</v>
      </c>
    </row>
    <row r="1562" spans="1:18">
      <c r="A1562" s="3" t="s">
        <v>8375</v>
      </c>
      <c r="B1562" s="3" t="s">
        <v>8376</v>
      </c>
      <c r="C1562" s="3" t="s">
        <v>2290</v>
      </c>
      <c r="D1562" s="3"/>
      <c r="E1562" s="3" t="s">
        <v>6275</v>
      </c>
      <c r="F1562" s="3"/>
      <c r="G1562" s="3"/>
      <c r="H1562" s="3"/>
      <c r="I1562" s="3"/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/>
      <c r="P1562" s="3">
        <v>0</v>
      </c>
      <c r="Q1562" s="3">
        <v>0</v>
      </c>
      <c r="R1562" s="3">
        <v>0</v>
      </c>
    </row>
    <row r="1563" spans="1:18">
      <c r="A1563" s="3" t="s">
        <v>8377</v>
      </c>
      <c r="B1563" s="3" t="s">
        <v>8378</v>
      </c>
      <c r="C1563" s="3" t="s">
        <v>3540</v>
      </c>
      <c r="D1563" s="3"/>
      <c r="E1563" s="3" t="s">
        <v>6275</v>
      </c>
      <c r="F1563" s="3"/>
      <c r="G1563" s="3"/>
      <c r="H1563" s="3"/>
      <c r="I1563" s="3"/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/>
      <c r="P1563" s="3">
        <v>0</v>
      </c>
      <c r="Q1563" s="3">
        <v>0</v>
      </c>
      <c r="R1563" s="3">
        <v>0</v>
      </c>
    </row>
    <row r="1564" spans="1:18">
      <c r="A1564" s="3" t="s">
        <v>8379</v>
      </c>
      <c r="B1564" s="3" t="s">
        <v>8380</v>
      </c>
      <c r="C1564" s="3" t="s">
        <v>5823</v>
      </c>
      <c r="D1564" s="3"/>
      <c r="E1564" s="3" t="s">
        <v>6275</v>
      </c>
      <c r="F1564" s="3"/>
      <c r="G1564" s="3"/>
      <c r="H1564" s="3"/>
      <c r="I1564" s="3"/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/>
      <c r="P1564" s="3">
        <v>0</v>
      </c>
      <c r="Q1564" s="3">
        <v>0</v>
      </c>
      <c r="R1564" s="3">
        <v>0</v>
      </c>
    </row>
    <row r="1565" spans="1:18">
      <c r="A1565" s="3" t="s">
        <v>8381</v>
      </c>
      <c r="B1565" s="3" t="s">
        <v>8382</v>
      </c>
      <c r="C1565" s="3" t="s">
        <v>6074</v>
      </c>
      <c r="D1565" s="3"/>
      <c r="E1565" s="3" t="s">
        <v>6275</v>
      </c>
      <c r="F1565" s="3"/>
      <c r="G1565" s="3"/>
      <c r="H1565" s="3"/>
      <c r="I1565" s="3"/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/>
      <c r="P1565" s="3">
        <v>0</v>
      </c>
      <c r="Q1565" s="3">
        <v>0</v>
      </c>
      <c r="R1565" s="3">
        <v>0</v>
      </c>
    </row>
    <row r="1566" spans="1:18">
      <c r="A1566" s="3" t="s">
        <v>8383</v>
      </c>
      <c r="B1566" s="3" t="s">
        <v>8384</v>
      </c>
      <c r="C1566" s="3" t="s">
        <v>3751</v>
      </c>
      <c r="D1566" s="3"/>
      <c r="E1566" s="3" t="s">
        <v>6275</v>
      </c>
      <c r="F1566" s="3"/>
      <c r="G1566" s="3"/>
      <c r="H1566" s="3"/>
      <c r="I1566" s="3"/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/>
      <c r="P1566" s="3">
        <v>0</v>
      </c>
      <c r="Q1566" s="3">
        <v>0</v>
      </c>
      <c r="R1566" s="3">
        <v>0</v>
      </c>
    </row>
    <row r="1567" spans="1:18">
      <c r="A1567" s="3" t="s">
        <v>8385</v>
      </c>
      <c r="B1567" s="3" t="s">
        <v>8386</v>
      </c>
      <c r="C1567" s="3" t="s">
        <v>4244</v>
      </c>
      <c r="D1567" s="3"/>
      <c r="E1567" s="3" t="s">
        <v>6275</v>
      </c>
      <c r="F1567" s="3"/>
      <c r="G1567" s="3"/>
      <c r="H1567" s="3"/>
      <c r="I1567" s="3"/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/>
      <c r="P1567" s="3">
        <v>0</v>
      </c>
      <c r="Q1567" s="3">
        <v>0</v>
      </c>
      <c r="R1567" s="3">
        <v>0</v>
      </c>
    </row>
    <row r="1568" spans="1:18">
      <c r="A1568" s="3" t="s">
        <v>8387</v>
      </c>
      <c r="B1568" s="3" t="s">
        <v>8388</v>
      </c>
      <c r="C1568" s="3" t="s">
        <v>5619</v>
      </c>
      <c r="D1568" s="3"/>
      <c r="E1568" s="3" t="s">
        <v>6275</v>
      </c>
      <c r="F1568" s="3"/>
      <c r="G1568" s="3"/>
      <c r="H1568" s="3"/>
      <c r="I1568" s="3"/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/>
      <c r="P1568" s="3">
        <v>0</v>
      </c>
      <c r="Q1568" s="3">
        <v>0</v>
      </c>
      <c r="R1568" s="3">
        <v>0</v>
      </c>
    </row>
    <row r="1569" spans="1:18">
      <c r="A1569" s="3" t="s">
        <v>8389</v>
      </c>
      <c r="B1569" s="3" t="s">
        <v>8390</v>
      </c>
      <c r="C1569" s="3" t="s">
        <v>3257</v>
      </c>
      <c r="D1569" s="3"/>
      <c r="E1569" s="3" t="s">
        <v>6275</v>
      </c>
      <c r="F1569" s="3"/>
      <c r="G1569" s="3"/>
      <c r="H1569" s="3"/>
      <c r="I1569" s="3"/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/>
      <c r="P1569" s="3">
        <v>0</v>
      </c>
      <c r="Q1569" s="3">
        <v>0</v>
      </c>
      <c r="R1569" s="3">
        <v>0</v>
      </c>
    </row>
    <row r="1570" spans="1:18">
      <c r="A1570" s="3" t="s">
        <v>8391</v>
      </c>
      <c r="B1570" s="3" t="s">
        <v>8392</v>
      </c>
      <c r="C1570" s="3" t="s">
        <v>8393</v>
      </c>
      <c r="D1570" s="3"/>
      <c r="E1570" s="3" t="s">
        <v>6275</v>
      </c>
      <c r="F1570" s="3"/>
      <c r="G1570" s="3"/>
      <c r="H1570" s="3"/>
      <c r="I1570" s="3"/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/>
      <c r="P1570" s="3">
        <v>0</v>
      </c>
      <c r="Q1570" s="3">
        <v>0</v>
      </c>
      <c r="R1570" s="3">
        <v>0</v>
      </c>
    </row>
    <row r="1571" spans="1:18">
      <c r="A1571" s="3" t="s">
        <v>8394</v>
      </c>
      <c r="B1571" s="3" t="s">
        <v>8395</v>
      </c>
      <c r="C1571" s="3" t="s">
        <v>8396</v>
      </c>
      <c r="D1571" s="3"/>
      <c r="E1571" s="3" t="s">
        <v>6275</v>
      </c>
      <c r="F1571" s="3"/>
      <c r="G1571" s="3"/>
      <c r="H1571" s="3"/>
      <c r="I1571" s="3"/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/>
      <c r="P1571" s="3">
        <v>0</v>
      </c>
      <c r="Q1571" s="3">
        <v>0</v>
      </c>
      <c r="R1571" s="3">
        <v>0</v>
      </c>
    </row>
    <row r="1572" spans="1:18">
      <c r="A1572" s="3" t="s">
        <v>8397</v>
      </c>
      <c r="B1572" s="3" t="s">
        <v>8398</v>
      </c>
      <c r="C1572" s="3" t="s">
        <v>8399</v>
      </c>
      <c r="D1572" s="3"/>
      <c r="E1572" s="3" t="s">
        <v>6275</v>
      </c>
      <c r="F1572" s="3"/>
      <c r="G1572" s="3"/>
      <c r="H1572" s="3"/>
      <c r="I1572" s="3"/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/>
      <c r="P1572" s="3">
        <v>0</v>
      </c>
      <c r="Q1572" s="3">
        <v>0</v>
      </c>
      <c r="R1572" s="3">
        <v>0</v>
      </c>
    </row>
    <row r="1573" spans="1:18">
      <c r="A1573" s="3" t="s">
        <v>8400</v>
      </c>
      <c r="B1573" s="3" t="s">
        <v>8401</v>
      </c>
      <c r="C1573" s="3" t="s">
        <v>8402</v>
      </c>
      <c r="D1573" s="3"/>
      <c r="E1573" s="3" t="s">
        <v>6275</v>
      </c>
      <c r="F1573" s="3"/>
      <c r="G1573" s="3"/>
      <c r="H1573" s="3"/>
      <c r="I1573" s="3"/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/>
      <c r="P1573" s="3">
        <v>0</v>
      </c>
      <c r="Q1573" s="3">
        <v>0</v>
      </c>
      <c r="R1573" s="3">
        <v>0</v>
      </c>
    </row>
    <row r="1574" spans="1:18">
      <c r="A1574" s="3" t="s">
        <v>8403</v>
      </c>
      <c r="B1574" s="3" t="s">
        <v>8404</v>
      </c>
      <c r="C1574" s="3" t="s">
        <v>8405</v>
      </c>
      <c r="D1574" s="3"/>
      <c r="E1574" s="3" t="s">
        <v>6275</v>
      </c>
      <c r="F1574" s="3"/>
      <c r="G1574" s="3"/>
      <c r="H1574" s="3"/>
      <c r="I1574" s="3"/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/>
      <c r="P1574" s="3">
        <v>0</v>
      </c>
      <c r="Q1574" s="3">
        <v>0</v>
      </c>
      <c r="R1574" s="3">
        <v>0</v>
      </c>
    </row>
    <row r="1575" spans="1:18">
      <c r="A1575" s="3" t="s">
        <v>8406</v>
      </c>
      <c r="B1575" s="3" t="s">
        <v>8407</v>
      </c>
      <c r="C1575" s="3" t="s">
        <v>8408</v>
      </c>
      <c r="D1575" s="3"/>
      <c r="E1575" s="3" t="s">
        <v>6275</v>
      </c>
      <c r="F1575" s="3"/>
      <c r="G1575" s="3"/>
      <c r="H1575" s="3"/>
      <c r="I1575" s="3"/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/>
      <c r="P1575" s="3">
        <v>0</v>
      </c>
      <c r="Q1575" s="3">
        <v>0</v>
      </c>
      <c r="R1575" s="3">
        <v>0</v>
      </c>
    </row>
    <row r="1576" spans="1:18">
      <c r="A1576" s="3" t="s">
        <v>8409</v>
      </c>
      <c r="B1576" s="3" t="s">
        <v>8410</v>
      </c>
      <c r="C1576" s="3" t="s">
        <v>8411</v>
      </c>
      <c r="D1576" s="3"/>
      <c r="E1576" s="3" t="s">
        <v>6275</v>
      </c>
      <c r="F1576" s="3"/>
      <c r="G1576" s="3"/>
      <c r="H1576" s="3"/>
      <c r="I1576" s="3"/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/>
      <c r="P1576" s="3">
        <v>0</v>
      </c>
      <c r="Q1576" s="3">
        <v>0</v>
      </c>
      <c r="R1576" s="3">
        <v>0</v>
      </c>
    </row>
    <row r="1577" spans="1:18">
      <c r="A1577" s="3" t="s">
        <v>8412</v>
      </c>
      <c r="B1577" s="3" t="s">
        <v>8413</v>
      </c>
      <c r="C1577" s="3" t="s">
        <v>8414</v>
      </c>
      <c r="D1577" s="3"/>
      <c r="E1577" s="3" t="s">
        <v>6275</v>
      </c>
      <c r="F1577" s="3"/>
      <c r="G1577" s="3"/>
      <c r="H1577" s="3"/>
      <c r="I1577" s="3"/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/>
      <c r="P1577" s="3">
        <v>0</v>
      </c>
      <c r="Q1577" s="3">
        <v>0</v>
      </c>
      <c r="R1577" s="3">
        <v>0</v>
      </c>
    </row>
    <row r="1578" spans="1:18">
      <c r="A1578" s="3" t="s">
        <v>8415</v>
      </c>
      <c r="B1578" s="3" t="s">
        <v>8416</v>
      </c>
      <c r="C1578" s="3" t="s">
        <v>8417</v>
      </c>
      <c r="D1578" s="3"/>
      <c r="E1578" s="3" t="s">
        <v>6275</v>
      </c>
      <c r="F1578" s="3"/>
      <c r="G1578" s="3"/>
      <c r="H1578" s="3"/>
      <c r="I1578" s="3"/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/>
      <c r="P1578" s="3">
        <v>0</v>
      </c>
      <c r="Q1578" s="3">
        <v>0</v>
      </c>
      <c r="R1578" s="3">
        <v>0</v>
      </c>
    </row>
    <row r="1579" spans="1:18">
      <c r="A1579" s="3" t="s">
        <v>8418</v>
      </c>
      <c r="B1579" s="3" t="s">
        <v>8419</v>
      </c>
      <c r="C1579" s="3" t="s">
        <v>8420</v>
      </c>
      <c r="D1579" s="3"/>
      <c r="E1579" s="3" t="s">
        <v>6275</v>
      </c>
      <c r="F1579" s="3"/>
      <c r="G1579" s="3"/>
      <c r="H1579" s="3"/>
      <c r="I1579" s="3"/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/>
      <c r="P1579" s="3">
        <v>0</v>
      </c>
      <c r="Q1579" s="3">
        <v>0</v>
      </c>
      <c r="R1579" s="3">
        <v>0</v>
      </c>
    </row>
    <row r="1580" spans="1:18">
      <c r="A1580" s="3" t="s">
        <v>8421</v>
      </c>
      <c r="B1580" s="3" t="s">
        <v>8422</v>
      </c>
      <c r="C1580" s="3" t="s">
        <v>465</v>
      </c>
      <c r="D1580" s="3"/>
      <c r="E1580" s="3" t="s">
        <v>6275</v>
      </c>
      <c r="F1580" s="3"/>
      <c r="G1580" s="3"/>
      <c r="H1580" s="3"/>
      <c r="I1580" s="3"/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/>
      <c r="P1580" s="3">
        <v>0</v>
      </c>
      <c r="Q1580" s="3">
        <v>0</v>
      </c>
      <c r="R1580" s="3">
        <v>0</v>
      </c>
    </row>
    <row r="1581" spans="1:18">
      <c r="A1581" s="3" t="s">
        <v>8423</v>
      </c>
      <c r="B1581" s="3" t="s">
        <v>8424</v>
      </c>
      <c r="C1581" s="3" t="s">
        <v>3714</v>
      </c>
      <c r="D1581" s="3"/>
      <c r="E1581" s="3" t="s">
        <v>6275</v>
      </c>
      <c r="F1581" s="3"/>
      <c r="G1581" s="3"/>
      <c r="H1581" s="3"/>
      <c r="I1581" s="3"/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/>
      <c r="P1581" s="3">
        <v>0</v>
      </c>
      <c r="Q1581" s="3">
        <v>0</v>
      </c>
      <c r="R1581" s="3">
        <v>0</v>
      </c>
    </row>
    <row r="1582" spans="1:18">
      <c r="A1582" s="3" t="s">
        <v>8425</v>
      </c>
      <c r="B1582" s="3" t="s">
        <v>8426</v>
      </c>
      <c r="C1582" s="3" t="s">
        <v>5372</v>
      </c>
      <c r="D1582" s="3"/>
      <c r="E1582" s="3" t="s">
        <v>6275</v>
      </c>
      <c r="F1582" s="3"/>
      <c r="G1582" s="3"/>
      <c r="H1582" s="3"/>
      <c r="I1582" s="3"/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/>
      <c r="P1582" s="3">
        <v>0</v>
      </c>
      <c r="Q1582" s="3">
        <v>0</v>
      </c>
      <c r="R1582" s="3">
        <v>0</v>
      </c>
    </row>
    <row r="1583" spans="1:18">
      <c r="A1583" s="3" t="s">
        <v>8427</v>
      </c>
      <c r="B1583" s="3" t="s">
        <v>8428</v>
      </c>
      <c r="C1583" s="3" t="s">
        <v>2981</v>
      </c>
      <c r="D1583" s="3"/>
      <c r="E1583" s="3" t="s">
        <v>6275</v>
      </c>
      <c r="F1583" s="3"/>
      <c r="G1583" s="3"/>
      <c r="H1583" s="3"/>
      <c r="I1583" s="3"/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/>
      <c r="P1583" s="3">
        <v>0</v>
      </c>
      <c r="Q1583" s="3">
        <v>0</v>
      </c>
      <c r="R1583" s="3">
        <v>0</v>
      </c>
    </row>
    <row r="1584" spans="1:18">
      <c r="A1584" s="3" t="s">
        <v>8429</v>
      </c>
      <c r="B1584" s="3" t="s">
        <v>8430</v>
      </c>
      <c r="C1584" s="3" t="s">
        <v>3289</v>
      </c>
      <c r="D1584" s="3"/>
      <c r="E1584" s="3" t="s">
        <v>6275</v>
      </c>
      <c r="F1584" s="3"/>
      <c r="G1584" s="3"/>
      <c r="H1584" s="3"/>
      <c r="I1584" s="3"/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/>
      <c r="P1584" s="3">
        <v>0</v>
      </c>
      <c r="Q1584" s="3">
        <v>0</v>
      </c>
      <c r="R1584" s="3">
        <v>0</v>
      </c>
    </row>
    <row r="1585" spans="1:18">
      <c r="A1585" s="3" t="s">
        <v>8431</v>
      </c>
      <c r="B1585" s="3" t="s">
        <v>8432</v>
      </c>
      <c r="C1585" s="3" t="s">
        <v>8433</v>
      </c>
      <c r="D1585" s="3" t="s">
        <v>8434</v>
      </c>
      <c r="E1585" s="3" t="s">
        <v>1710</v>
      </c>
      <c r="F1585" s="3">
        <v>35</v>
      </c>
      <c r="G1585" s="3" t="s">
        <v>6233</v>
      </c>
      <c r="H1585" s="3"/>
      <c r="I1585" s="3" t="s">
        <v>6234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0.16</v>
      </c>
      <c r="P1585" s="3">
        <v>0</v>
      </c>
      <c r="Q1585" s="3">
        <v>0</v>
      </c>
      <c r="R1585" s="3">
        <v>0</v>
      </c>
    </row>
    <row r="1586" spans="1:18">
      <c r="A1586" s="3" t="s">
        <v>4779</v>
      </c>
      <c r="B1586" s="3" t="s">
        <v>4780</v>
      </c>
      <c r="C1586" s="3" t="s">
        <v>4781</v>
      </c>
      <c r="D1586" s="3" t="s">
        <v>8435</v>
      </c>
      <c r="E1586" s="3" t="s">
        <v>1710</v>
      </c>
      <c r="F1586" s="3">
        <v>35</v>
      </c>
      <c r="G1586" s="3" t="s">
        <v>6233</v>
      </c>
      <c r="H1586" s="3"/>
      <c r="I1586" s="3" t="s">
        <v>6234</v>
      </c>
      <c r="J1586" s="3">
        <v>1</v>
      </c>
      <c r="K1586" s="3">
        <v>1</v>
      </c>
      <c r="L1586" s="3">
        <v>0</v>
      </c>
      <c r="M1586" s="3">
        <v>0</v>
      </c>
      <c r="N1586" s="3">
        <v>1</v>
      </c>
      <c r="O1586" s="3">
        <v>0.17</v>
      </c>
      <c r="P1586" s="3">
        <v>0</v>
      </c>
      <c r="Q1586" s="3">
        <v>0</v>
      </c>
      <c r="R1586" s="3">
        <v>0</v>
      </c>
    </row>
    <row r="1587" spans="1:18">
      <c r="A1587" s="3" t="s">
        <v>587</v>
      </c>
      <c r="B1587" s="3" t="s">
        <v>588</v>
      </c>
      <c r="C1587" s="3" t="s">
        <v>589</v>
      </c>
      <c r="D1587" s="3" t="s">
        <v>590</v>
      </c>
      <c r="E1587" s="3" t="s">
        <v>1710</v>
      </c>
      <c r="F1587" s="3">
        <v>38</v>
      </c>
      <c r="G1587" s="3" t="s">
        <v>6233</v>
      </c>
      <c r="H1587" s="3"/>
      <c r="I1587" s="3" t="s">
        <v>6234</v>
      </c>
      <c r="J1587" s="3">
        <v>32</v>
      </c>
      <c r="K1587" s="3">
        <v>28</v>
      </c>
      <c r="L1587" s="3">
        <v>3</v>
      </c>
      <c r="M1587" s="3">
        <v>1</v>
      </c>
      <c r="N1587" s="3">
        <v>32</v>
      </c>
      <c r="O1587" s="3">
        <v>0.19</v>
      </c>
      <c r="P1587" s="3">
        <v>0</v>
      </c>
      <c r="Q1587" s="3">
        <v>0</v>
      </c>
      <c r="R1587" s="3">
        <v>0</v>
      </c>
    </row>
    <row r="1588" spans="1:18">
      <c r="A1588" s="3" t="s">
        <v>8436</v>
      </c>
      <c r="B1588" s="3" t="s">
        <v>8437</v>
      </c>
      <c r="C1588" s="3" t="s">
        <v>589</v>
      </c>
      <c r="D1588" s="3"/>
      <c r="E1588" s="3" t="s">
        <v>6275</v>
      </c>
      <c r="F1588" s="3"/>
      <c r="G1588" s="3"/>
      <c r="H1588" s="3"/>
      <c r="I1588" s="3"/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/>
      <c r="P1588" s="3">
        <v>0</v>
      </c>
      <c r="Q1588" s="3">
        <v>0</v>
      </c>
      <c r="R1588" s="3">
        <v>0</v>
      </c>
    </row>
    <row r="1589" spans="1:18">
      <c r="A1589" s="3" t="s">
        <v>3359</v>
      </c>
      <c r="B1589" s="3" t="s">
        <v>3360</v>
      </c>
      <c r="C1589" s="3" t="s">
        <v>3361</v>
      </c>
      <c r="D1589" s="3" t="s">
        <v>3362</v>
      </c>
      <c r="E1589" s="3" t="s">
        <v>1710</v>
      </c>
      <c r="F1589" s="3">
        <v>38</v>
      </c>
      <c r="G1589" s="3" t="s">
        <v>6233</v>
      </c>
      <c r="H1589" s="3"/>
      <c r="I1589" s="3" t="s">
        <v>6234</v>
      </c>
      <c r="J1589" s="3">
        <v>26</v>
      </c>
      <c r="K1589" s="3">
        <v>22</v>
      </c>
      <c r="L1589" s="3">
        <v>4</v>
      </c>
      <c r="M1589" s="3">
        <v>0</v>
      </c>
      <c r="N1589" s="3">
        <v>26</v>
      </c>
      <c r="O1589" s="3">
        <v>0.19</v>
      </c>
      <c r="P1589" s="3">
        <v>0</v>
      </c>
      <c r="Q1589" s="3">
        <v>0</v>
      </c>
      <c r="R1589" s="3">
        <v>0</v>
      </c>
    </row>
    <row r="1590" spans="1:18">
      <c r="A1590" s="3" t="s">
        <v>583</v>
      </c>
      <c r="B1590" s="3" t="s">
        <v>584</v>
      </c>
      <c r="C1590" s="3" t="s">
        <v>585</v>
      </c>
      <c r="D1590" s="3" t="s">
        <v>586</v>
      </c>
      <c r="E1590" s="3" t="s">
        <v>1710</v>
      </c>
      <c r="F1590" s="3">
        <v>38</v>
      </c>
      <c r="G1590" s="3" t="s">
        <v>6233</v>
      </c>
      <c r="H1590" s="3"/>
      <c r="I1590" s="3" t="s">
        <v>6234</v>
      </c>
      <c r="J1590" s="3">
        <v>35</v>
      </c>
      <c r="K1590" s="3">
        <v>32</v>
      </c>
      <c r="L1590" s="3">
        <v>1</v>
      </c>
      <c r="M1590" s="3">
        <v>2</v>
      </c>
      <c r="N1590" s="3">
        <v>35</v>
      </c>
      <c r="O1590" s="3">
        <v>0.25</v>
      </c>
      <c r="P1590" s="3">
        <v>0</v>
      </c>
      <c r="Q1590" s="3">
        <v>0</v>
      </c>
      <c r="R1590" s="3">
        <v>0</v>
      </c>
    </row>
    <row r="1591" spans="1:18">
      <c r="A1591" s="3" t="s">
        <v>571</v>
      </c>
      <c r="B1591" s="3" t="s">
        <v>572</v>
      </c>
      <c r="C1591" s="3" t="s">
        <v>573</v>
      </c>
      <c r="D1591" s="3" t="s">
        <v>574</v>
      </c>
      <c r="E1591" s="3" t="s">
        <v>1710</v>
      </c>
      <c r="F1591" s="3">
        <v>38</v>
      </c>
      <c r="G1591" s="3" t="s">
        <v>6233</v>
      </c>
      <c r="H1591" s="3"/>
      <c r="I1591" s="3" t="s">
        <v>6234</v>
      </c>
      <c r="J1591" s="3">
        <v>72</v>
      </c>
      <c r="K1591" s="3">
        <v>63</v>
      </c>
      <c r="L1591" s="3">
        <v>4</v>
      </c>
      <c r="M1591" s="3">
        <v>5</v>
      </c>
      <c r="N1591" s="3">
        <v>72</v>
      </c>
      <c r="O1591" s="3">
        <v>0.19</v>
      </c>
      <c r="P1591" s="3">
        <v>0</v>
      </c>
      <c r="Q1591" s="3">
        <v>0</v>
      </c>
      <c r="R1591" s="3">
        <v>0</v>
      </c>
    </row>
    <row r="1592" spans="1:18">
      <c r="A1592" s="3" t="s">
        <v>519</v>
      </c>
      <c r="B1592" s="3" t="s">
        <v>520</v>
      </c>
      <c r="C1592" s="3" t="s">
        <v>521</v>
      </c>
      <c r="D1592" s="3" t="s">
        <v>522</v>
      </c>
      <c r="E1592" s="3" t="s">
        <v>1710</v>
      </c>
      <c r="F1592" s="3">
        <v>38</v>
      </c>
      <c r="G1592" s="3" t="s">
        <v>6233</v>
      </c>
      <c r="H1592" s="3"/>
      <c r="I1592" s="3" t="s">
        <v>6234</v>
      </c>
      <c r="J1592" s="3">
        <v>85</v>
      </c>
      <c r="K1592" s="3">
        <v>72</v>
      </c>
      <c r="L1592" s="3">
        <v>6</v>
      </c>
      <c r="M1592" s="3">
        <v>7</v>
      </c>
      <c r="N1592" s="3">
        <v>85</v>
      </c>
      <c r="O1592" s="3">
        <v>0.19</v>
      </c>
      <c r="P1592" s="3">
        <v>0</v>
      </c>
      <c r="Q1592" s="3">
        <v>0</v>
      </c>
      <c r="R1592" s="3">
        <v>0</v>
      </c>
    </row>
    <row r="1593" spans="1:18">
      <c r="A1593" s="3" t="s">
        <v>567</v>
      </c>
      <c r="B1593" s="3" t="s">
        <v>568</v>
      </c>
      <c r="C1593" s="3" t="s">
        <v>569</v>
      </c>
      <c r="D1593" s="3" t="s">
        <v>570</v>
      </c>
      <c r="E1593" s="3" t="s">
        <v>1710</v>
      </c>
      <c r="F1593" s="3">
        <v>53.8</v>
      </c>
      <c r="G1593" s="3" t="s">
        <v>6233</v>
      </c>
      <c r="H1593" s="3"/>
      <c r="I1593" s="3" t="s">
        <v>6234</v>
      </c>
      <c r="J1593" s="3">
        <v>144</v>
      </c>
      <c r="K1593" s="3">
        <v>130</v>
      </c>
      <c r="L1593" s="3">
        <v>7</v>
      </c>
      <c r="M1593" s="3">
        <v>7</v>
      </c>
      <c r="N1593" s="3">
        <v>144</v>
      </c>
      <c r="O1593" s="3">
        <v>0.12</v>
      </c>
      <c r="P1593" s="3">
        <v>0</v>
      </c>
      <c r="Q1593" s="3">
        <v>0</v>
      </c>
      <c r="R1593" s="3">
        <v>0</v>
      </c>
    </row>
    <row r="1594" spans="1:18">
      <c r="A1594" s="3" t="s">
        <v>631</v>
      </c>
      <c r="B1594" s="3" t="s">
        <v>632</v>
      </c>
      <c r="C1594" s="3" t="s">
        <v>633</v>
      </c>
      <c r="D1594" s="3" t="s">
        <v>634</v>
      </c>
      <c r="E1594" s="3" t="s">
        <v>1710</v>
      </c>
      <c r="F1594" s="3">
        <v>38</v>
      </c>
      <c r="G1594" s="3" t="s">
        <v>6233</v>
      </c>
      <c r="H1594" s="3"/>
      <c r="I1594" s="3" t="s">
        <v>6234</v>
      </c>
      <c r="J1594" s="3">
        <v>126</v>
      </c>
      <c r="K1594" s="3">
        <v>105</v>
      </c>
      <c r="L1594" s="3">
        <v>8</v>
      </c>
      <c r="M1594" s="3">
        <v>13</v>
      </c>
      <c r="N1594" s="3">
        <v>126</v>
      </c>
      <c r="O1594" s="3">
        <v>0.14</v>
      </c>
      <c r="P1594" s="3">
        <v>0</v>
      </c>
      <c r="Q1594" s="3">
        <v>0</v>
      </c>
      <c r="R1594" s="3">
        <v>0</v>
      </c>
    </row>
    <row r="1595" spans="1:18">
      <c r="A1595" s="3" t="s">
        <v>647</v>
      </c>
      <c r="B1595" s="3" t="s">
        <v>648</v>
      </c>
      <c r="C1595" s="3" t="s">
        <v>649</v>
      </c>
      <c r="D1595" s="3" t="s">
        <v>650</v>
      </c>
      <c r="E1595" s="3" t="s">
        <v>1710</v>
      </c>
      <c r="F1595" s="3">
        <v>38</v>
      </c>
      <c r="G1595" s="3" t="s">
        <v>6233</v>
      </c>
      <c r="H1595" s="3"/>
      <c r="I1595" s="3" t="s">
        <v>6234</v>
      </c>
      <c r="J1595" s="3">
        <v>143</v>
      </c>
      <c r="K1595" s="3">
        <v>126</v>
      </c>
      <c r="L1595" s="3">
        <v>7</v>
      </c>
      <c r="M1595" s="3">
        <v>10</v>
      </c>
      <c r="N1595" s="3">
        <v>143</v>
      </c>
      <c r="O1595" s="3">
        <v>0.19</v>
      </c>
      <c r="P1595" s="3">
        <v>0</v>
      </c>
      <c r="Q1595" s="3">
        <v>0</v>
      </c>
      <c r="R1595" s="3">
        <v>0</v>
      </c>
    </row>
    <row r="1596" spans="1:18">
      <c r="A1596" s="3" t="s">
        <v>515</v>
      </c>
      <c r="B1596" s="3" t="s">
        <v>516</v>
      </c>
      <c r="C1596" s="3" t="s">
        <v>517</v>
      </c>
      <c r="D1596" s="3" t="s">
        <v>518</v>
      </c>
      <c r="E1596" s="3" t="s">
        <v>1710</v>
      </c>
      <c r="F1596" s="3">
        <v>38</v>
      </c>
      <c r="G1596" s="3" t="s">
        <v>6233</v>
      </c>
      <c r="H1596" s="3"/>
      <c r="I1596" s="3" t="s">
        <v>6234</v>
      </c>
      <c r="J1596" s="3">
        <v>129</v>
      </c>
      <c r="K1596" s="3">
        <v>117</v>
      </c>
      <c r="L1596" s="3">
        <v>9</v>
      </c>
      <c r="M1596" s="3">
        <v>3</v>
      </c>
      <c r="N1596" s="3">
        <v>129</v>
      </c>
      <c r="O1596" s="3">
        <v>0.19</v>
      </c>
      <c r="P1596" s="3">
        <v>0</v>
      </c>
      <c r="Q1596" s="3">
        <v>0</v>
      </c>
      <c r="R1596" s="3">
        <v>0</v>
      </c>
    </row>
    <row r="1597" spans="1:18">
      <c r="A1597" s="3" t="s">
        <v>3930</v>
      </c>
      <c r="B1597" s="3" t="s">
        <v>3931</v>
      </c>
      <c r="C1597" s="3" t="s">
        <v>3932</v>
      </c>
      <c r="D1597" s="3" t="s">
        <v>3933</v>
      </c>
      <c r="E1597" s="3" t="s">
        <v>1710</v>
      </c>
      <c r="F1597" s="3">
        <v>38</v>
      </c>
      <c r="G1597" s="3" t="s">
        <v>6233</v>
      </c>
      <c r="H1597" s="3"/>
      <c r="I1597" s="3" t="s">
        <v>6234</v>
      </c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>
        <v>0.19</v>
      </c>
      <c r="P1597" s="3">
        <v>0</v>
      </c>
      <c r="Q1597" s="3">
        <v>0</v>
      </c>
      <c r="R1597" s="3">
        <v>0</v>
      </c>
    </row>
    <row r="1598" spans="1:18">
      <c r="A1598" s="3" t="s">
        <v>8438</v>
      </c>
      <c r="B1598" s="3" t="s">
        <v>8439</v>
      </c>
      <c r="C1598" s="3" t="s">
        <v>3932</v>
      </c>
      <c r="D1598" s="3"/>
      <c r="E1598" s="3" t="s">
        <v>6275</v>
      </c>
      <c r="F1598" s="3"/>
      <c r="G1598" s="3"/>
      <c r="H1598" s="3"/>
      <c r="I1598" s="3"/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/>
      <c r="P1598" s="3">
        <v>0</v>
      </c>
      <c r="Q1598" s="3">
        <v>0</v>
      </c>
      <c r="R1598" s="3">
        <v>0</v>
      </c>
    </row>
    <row r="1599" spans="1:18">
      <c r="A1599" s="3" t="s">
        <v>615</v>
      </c>
      <c r="B1599" s="3" t="s">
        <v>616</v>
      </c>
      <c r="C1599" s="3" t="s">
        <v>617</v>
      </c>
      <c r="D1599" s="3" t="s">
        <v>618</v>
      </c>
      <c r="E1599" s="3" t="s">
        <v>1710</v>
      </c>
      <c r="F1599" s="3">
        <v>38</v>
      </c>
      <c r="G1599" s="3" t="s">
        <v>6233</v>
      </c>
      <c r="H1599" s="3"/>
      <c r="I1599" s="3" t="s">
        <v>6234</v>
      </c>
      <c r="J1599" s="3">
        <v>27</v>
      </c>
      <c r="K1599" s="3">
        <v>25</v>
      </c>
      <c r="L1599" s="3">
        <v>1</v>
      </c>
      <c r="M1599" s="3">
        <v>1</v>
      </c>
      <c r="N1599" s="3">
        <v>27</v>
      </c>
      <c r="O1599" s="3">
        <v>0.2</v>
      </c>
      <c r="P1599" s="3">
        <v>0</v>
      </c>
      <c r="Q1599" s="3">
        <v>0</v>
      </c>
      <c r="R1599" s="3">
        <v>0</v>
      </c>
    </row>
    <row r="1600" spans="1:18">
      <c r="A1600" s="3" t="s">
        <v>531</v>
      </c>
      <c r="B1600" s="3" t="s">
        <v>532</v>
      </c>
      <c r="C1600" s="3" t="s">
        <v>533</v>
      </c>
      <c r="D1600" s="3" t="s">
        <v>534</v>
      </c>
      <c r="E1600" s="3" t="s">
        <v>1710</v>
      </c>
      <c r="F1600" s="3">
        <v>38</v>
      </c>
      <c r="G1600" s="3" t="s">
        <v>6233</v>
      </c>
      <c r="H1600" s="3"/>
      <c r="I1600" s="3" t="s">
        <v>6234</v>
      </c>
      <c r="J1600" s="3">
        <v>21</v>
      </c>
      <c r="K1600" s="3">
        <v>18</v>
      </c>
      <c r="L1600" s="3">
        <v>2</v>
      </c>
      <c r="M1600" s="3">
        <v>1</v>
      </c>
      <c r="N1600" s="3">
        <v>21</v>
      </c>
      <c r="O1600" s="3">
        <v>0.18</v>
      </c>
      <c r="P1600" s="3">
        <v>0</v>
      </c>
      <c r="Q1600" s="3">
        <v>0</v>
      </c>
      <c r="R1600" s="3">
        <v>0</v>
      </c>
    </row>
    <row r="1601" spans="1:18">
      <c r="A1601" s="3" t="s">
        <v>2051</v>
      </c>
      <c r="B1601" s="3" t="s">
        <v>2052</v>
      </c>
      <c r="C1601" s="3" t="s">
        <v>2053</v>
      </c>
      <c r="D1601" s="3" t="s">
        <v>2054</v>
      </c>
      <c r="E1601" s="3" t="s">
        <v>1710</v>
      </c>
      <c r="F1601" s="3">
        <v>38</v>
      </c>
      <c r="G1601" s="3" t="s">
        <v>6233</v>
      </c>
      <c r="H1601" s="3"/>
      <c r="I1601" s="3" t="s">
        <v>6234</v>
      </c>
      <c r="J1601" s="3">
        <v>55</v>
      </c>
      <c r="K1601" s="3">
        <v>52</v>
      </c>
      <c r="L1601" s="3">
        <v>3</v>
      </c>
      <c r="M1601" s="3">
        <v>0</v>
      </c>
      <c r="N1601" s="3">
        <v>55</v>
      </c>
      <c r="O1601" s="3">
        <v>0.15</v>
      </c>
      <c r="P1601" s="3">
        <v>0</v>
      </c>
      <c r="Q1601" s="3">
        <v>0</v>
      </c>
      <c r="R1601" s="3">
        <v>0</v>
      </c>
    </row>
    <row r="1602" spans="1:18">
      <c r="A1602" s="3" t="s">
        <v>527</v>
      </c>
      <c r="B1602" s="3" t="s">
        <v>528</v>
      </c>
      <c r="C1602" s="3" t="s">
        <v>529</v>
      </c>
      <c r="D1602" s="3" t="s">
        <v>530</v>
      </c>
      <c r="E1602" s="3" t="s">
        <v>1710</v>
      </c>
      <c r="F1602" s="3">
        <v>38</v>
      </c>
      <c r="G1602" s="3" t="s">
        <v>6233</v>
      </c>
      <c r="H1602" s="3"/>
      <c r="I1602" s="3" t="s">
        <v>6234</v>
      </c>
      <c r="J1602" s="3">
        <v>50</v>
      </c>
      <c r="K1602" s="3">
        <v>45</v>
      </c>
      <c r="L1602" s="3">
        <v>3</v>
      </c>
      <c r="M1602" s="3">
        <v>2</v>
      </c>
      <c r="N1602" s="3">
        <v>50</v>
      </c>
      <c r="O1602" s="3">
        <v>0.12</v>
      </c>
      <c r="P1602" s="3">
        <v>0</v>
      </c>
      <c r="Q1602" s="3">
        <v>0</v>
      </c>
      <c r="R1602" s="3">
        <v>0</v>
      </c>
    </row>
    <row r="1603" spans="1:18">
      <c r="A1603" s="3" t="s">
        <v>539</v>
      </c>
      <c r="B1603" s="3" t="s">
        <v>540</v>
      </c>
      <c r="C1603" s="3" t="s">
        <v>541</v>
      </c>
      <c r="D1603" s="3" t="s">
        <v>542</v>
      </c>
      <c r="E1603" s="3" t="s">
        <v>1710</v>
      </c>
      <c r="F1603" s="3">
        <v>38</v>
      </c>
      <c r="G1603" s="3" t="s">
        <v>6233</v>
      </c>
      <c r="H1603" s="3"/>
      <c r="I1603" s="3" t="s">
        <v>6234</v>
      </c>
      <c r="J1603" s="3">
        <v>68</v>
      </c>
      <c r="K1603" s="3">
        <v>62</v>
      </c>
      <c r="L1603" s="3">
        <v>2</v>
      </c>
      <c r="M1603" s="3">
        <v>4</v>
      </c>
      <c r="N1603" s="3">
        <v>68</v>
      </c>
      <c r="O1603" s="3">
        <v>0.19</v>
      </c>
      <c r="P1603" s="3">
        <v>0</v>
      </c>
      <c r="Q1603" s="3">
        <v>0</v>
      </c>
      <c r="R1603" s="3">
        <v>0</v>
      </c>
    </row>
    <row r="1604" spans="1:18">
      <c r="A1604" s="3" t="s">
        <v>511</v>
      </c>
      <c r="B1604" s="3" t="s">
        <v>512</v>
      </c>
      <c r="C1604" s="3" t="s">
        <v>513</v>
      </c>
      <c r="D1604" s="3" t="s">
        <v>514</v>
      </c>
      <c r="E1604" s="3" t="s">
        <v>1710</v>
      </c>
      <c r="F1604" s="3">
        <v>38</v>
      </c>
      <c r="G1604" s="3" t="s">
        <v>6233</v>
      </c>
      <c r="H1604" s="3"/>
      <c r="I1604" s="3" t="s">
        <v>6234</v>
      </c>
      <c r="J1604" s="3">
        <v>89</v>
      </c>
      <c r="K1604" s="3">
        <v>85</v>
      </c>
      <c r="L1604" s="3">
        <v>3</v>
      </c>
      <c r="M1604" s="3">
        <v>1</v>
      </c>
      <c r="N1604" s="3">
        <v>89</v>
      </c>
      <c r="O1604" s="3">
        <v>0.19</v>
      </c>
      <c r="P1604" s="3">
        <v>0</v>
      </c>
      <c r="Q1604" s="3">
        <v>0</v>
      </c>
      <c r="R1604" s="3">
        <v>0</v>
      </c>
    </row>
    <row r="1605" spans="1:18">
      <c r="A1605" s="3" t="s">
        <v>579</v>
      </c>
      <c r="B1605" s="3" t="s">
        <v>580</v>
      </c>
      <c r="C1605" s="3" t="s">
        <v>581</v>
      </c>
      <c r="D1605" s="3" t="s">
        <v>582</v>
      </c>
      <c r="E1605" s="3" t="s">
        <v>1710</v>
      </c>
      <c r="F1605" s="3">
        <v>38</v>
      </c>
      <c r="G1605" s="3" t="s">
        <v>6233</v>
      </c>
      <c r="H1605" s="3"/>
      <c r="I1605" s="3" t="s">
        <v>6234</v>
      </c>
      <c r="J1605" s="3">
        <v>50</v>
      </c>
      <c r="K1605" s="3">
        <v>41</v>
      </c>
      <c r="L1605" s="3">
        <v>4</v>
      </c>
      <c r="M1605" s="3">
        <v>5</v>
      </c>
      <c r="N1605" s="3">
        <v>50</v>
      </c>
      <c r="O1605" s="3">
        <v>0.19</v>
      </c>
      <c r="P1605" s="3">
        <v>0</v>
      </c>
      <c r="Q1605" s="3">
        <v>0</v>
      </c>
      <c r="R1605" s="3">
        <v>0</v>
      </c>
    </row>
    <row r="1606" spans="1:18">
      <c r="A1606" s="3" t="s">
        <v>8440</v>
      </c>
      <c r="B1606" s="3" t="s">
        <v>8441</v>
      </c>
      <c r="C1606" s="3" t="s">
        <v>581</v>
      </c>
      <c r="D1606" s="3"/>
      <c r="E1606" s="3" t="s">
        <v>6275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5092</v>
      </c>
      <c r="B1607" s="3" t="s">
        <v>5093</v>
      </c>
      <c r="C1607" s="3" t="s">
        <v>5094</v>
      </c>
      <c r="D1607" s="3" t="s">
        <v>8442</v>
      </c>
      <c r="E1607" s="3" t="s">
        <v>1710</v>
      </c>
      <c r="F1607" s="3">
        <v>38</v>
      </c>
      <c r="G1607" s="3" t="s">
        <v>6233</v>
      </c>
      <c r="H1607" s="3"/>
      <c r="I1607" s="3" t="s">
        <v>6234</v>
      </c>
      <c r="J1607" s="3">
        <v>58</v>
      </c>
      <c r="K1607" s="3">
        <v>57</v>
      </c>
      <c r="L1607" s="3">
        <v>1</v>
      </c>
      <c r="M1607" s="3">
        <v>0</v>
      </c>
      <c r="N1607" s="3">
        <v>58</v>
      </c>
      <c r="O1607" s="3">
        <v>0.19</v>
      </c>
      <c r="P1607" s="3">
        <v>0</v>
      </c>
      <c r="Q1607" s="3">
        <v>0</v>
      </c>
      <c r="R1607" s="3">
        <v>0</v>
      </c>
    </row>
    <row r="1608" spans="1:18">
      <c r="A1608" s="3" t="s">
        <v>4792</v>
      </c>
      <c r="B1608" s="3" t="s">
        <v>4793</v>
      </c>
      <c r="C1608" s="3" t="s">
        <v>4794</v>
      </c>
      <c r="D1608" s="3" t="s">
        <v>4795</v>
      </c>
      <c r="E1608" s="3" t="s">
        <v>1710</v>
      </c>
      <c r="F1608" s="3">
        <v>38</v>
      </c>
      <c r="G1608" s="3" t="s">
        <v>6233</v>
      </c>
      <c r="H1608" s="3"/>
      <c r="I1608" s="3" t="s">
        <v>6234</v>
      </c>
      <c r="J1608" s="3">
        <v>10</v>
      </c>
      <c r="K1608" s="3">
        <v>10</v>
      </c>
      <c r="L1608" s="3">
        <v>0</v>
      </c>
      <c r="M1608" s="3">
        <v>0</v>
      </c>
      <c r="N1608" s="3">
        <v>10</v>
      </c>
      <c r="O1608" s="3">
        <v>0.2</v>
      </c>
      <c r="P1608" s="3">
        <v>0</v>
      </c>
      <c r="Q1608" s="3">
        <v>0</v>
      </c>
      <c r="R1608" s="3">
        <v>0</v>
      </c>
    </row>
    <row r="1609" spans="1:18">
      <c r="A1609" s="3" t="s">
        <v>8443</v>
      </c>
      <c r="B1609" s="3" t="s">
        <v>8444</v>
      </c>
      <c r="C1609" s="3" t="s">
        <v>4794</v>
      </c>
      <c r="D1609" s="3"/>
      <c r="E1609" s="3" t="s">
        <v>6275</v>
      </c>
      <c r="F1609" s="3"/>
      <c r="G1609" s="3"/>
      <c r="H1609" s="3"/>
      <c r="I1609" s="3"/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/>
      <c r="P1609" s="3">
        <v>0</v>
      </c>
      <c r="Q1609" s="3">
        <v>0</v>
      </c>
      <c r="R1609" s="3">
        <v>0</v>
      </c>
    </row>
    <row r="1610" spans="1:18">
      <c r="A1610" s="3" t="s">
        <v>5174</v>
      </c>
      <c r="B1610" s="3" t="s">
        <v>5175</v>
      </c>
      <c r="C1610" s="3" t="s">
        <v>5176</v>
      </c>
      <c r="D1610" s="3" t="s">
        <v>5177</v>
      </c>
      <c r="E1610" s="3" t="s">
        <v>1710</v>
      </c>
      <c r="F1610" s="3">
        <v>38</v>
      </c>
      <c r="G1610" s="3" t="s">
        <v>6233</v>
      </c>
      <c r="H1610" s="3"/>
      <c r="I1610" s="3" t="s">
        <v>6234</v>
      </c>
      <c r="J1610" s="3">
        <v>7</v>
      </c>
      <c r="K1610" s="3">
        <v>6</v>
      </c>
      <c r="L1610" s="3">
        <v>1</v>
      </c>
      <c r="M1610" s="3">
        <v>0</v>
      </c>
      <c r="N1610" s="3">
        <v>7</v>
      </c>
      <c r="O1610" s="3">
        <v>0.22</v>
      </c>
      <c r="P1610" s="3">
        <v>0</v>
      </c>
      <c r="Q1610" s="3">
        <v>0</v>
      </c>
      <c r="R1610" s="3">
        <v>0</v>
      </c>
    </row>
    <row r="1611" spans="1:18">
      <c r="A1611" s="3" t="s">
        <v>5139</v>
      </c>
      <c r="B1611" s="3" t="s">
        <v>5140</v>
      </c>
      <c r="C1611" s="3" t="s">
        <v>5141</v>
      </c>
      <c r="D1611" s="3" t="s">
        <v>5142</v>
      </c>
      <c r="E1611" s="3" t="s">
        <v>1710</v>
      </c>
      <c r="F1611" s="3">
        <v>38</v>
      </c>
      <c r="G1611" s="3" t="s">
        <v>6233</v>
      </c>
      <c r="H1611" s="3"/>
      <c r="I1611" s="3" t="s">
        <v>6234</v>
      </c>
      <c r="J1611" s="3">
        <v>23</v>
      </c>
      <c r="K1611" s="3">
        <v>22</v>
      </c>
      <c r="L1611" s="3">
        <v>1</v>
      </c>
      <c r="M1611" s="3">
        <v>0</v>
      </c>
      <c r="N1611" s="3">
        <v>23</v>
      </c>
      <c r="O1611" s="3">
        <v>0.12</v>
      </c>
      <c r="P1611" s="3">
        <v>0</v>
      </c>
      <c r="Q1611" s="3">
        <v>0</v>
      </c>
      <c r="R1611" s="3">
        <v>0</v>
      </c>
    </row>
    <row r="1612" spans="1:18">
      <c r="A1612" s="3" t="s">
        <v>611</v>
      </c>
      <c r="B1612" s="3" t="s">
        <v>612</v>
      </c>
      <c r="C1612" s="3" t="s">
        <v>613</v>
      </c>
      <c r="D1612" s="3" t="s">
        <v>614</v>
      </c>
      <c r="E1612" s="3" t="s">
        <v>1710</v>
      </c>
      <c r="F1612" s="3">
        <v>38</v>
      </c>
      <c r="G1612" s="3" t="s">
        <v>6233</v>
      </c>
      <c r="H1612" s="3"/>
      <c r="I1612" s="3" t="s">
        <v>6234</v>
      </c>
      <c r="J1612" s="3">
        <v>58</v>
      </c>
      <c r="K1612" s="3">
        <v>48</v>
      </c>
      <c r="L1612" s="3">
        <v>4</v>
      </c>
      <c r="M1612" s="3">
        <v>6</v>
      </c>
      <c r="N1612" s="3">
        <v>58</v>
      </c>
      <c r="O1612" s="3">
        <v>0.04</v>
      </c>
      <c r="P1612" s="3">
        <v>0</v>
      </c>
      <c r="Q1612" s="3">
        <v>0</v>
      </c>
      <c r="R1612" s="3">
        <v>0</v>
      </c>
    </row>
    <row r="1613" spans="1:18">
      <c r="A1613" s="3" t="s">
        <v>8445</v>
      </c>
      <c r="B1613" s="3" t="s">
        <v>8446</v>
      </c>
      <c r="C1613" s="3" t="s">
        <v>613</v>
      </c>
      <c r="D1613" s="3"/>
      <c r="E1613" s="3" t="s">
        <v>6275</v>
      </c>
      <c r="F1613" s="3"/>
      <c r="G1613" s="3"/>
      <c r="H1613" s="3"/>
      <c r="I1613" s="3"/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/>
      <c r="P1613" s="3">
        <v>0</v>
      </c>
      <c r="Q1613" s="3">
        <v>0</v>
      </c>
      <c r="R1613" s="3">
        <v>0</v>
      </c>
    </row>
    <row r="1614" spans="1:18">
      <c r="A1614" s="3" t="s">
        <v>591</v>
      </c>
      <c r="B1614" s="3" t="s">
        <v>592</v>
      </c>
      <c r="C1614" s="3" t="s">
        <v>593</v>
      </c>
      <c r="D1614" s="3" t="s">
        <v>594</v>
      </c>
      <c r="E1614" s="3" t="s">
        <v>1710</v>
      </c>
      <c r="F1614" s="3">
        <v>38</v>
      </c>
      <c r="G1614" s="3" t="s">
        <v>6233</v>
      </c>
      <c r="H1614" s="3"/>
      <c r="I1614" s="3" t="s">
        <v>6234</v>
      </c>
      <c r="J1614" s="3">
        <v>92</v>
      </c>
      <c r="K1614" s="3">
        <v>82</v>
      </c>
      <c r="L1614" s="3">
        <v>8</v>
      </c>
      <c r="M1614" s="3">
        <v>2</v>
      </c>
      <c r="N1614" s="3">
        <v>94</v>
      </c>
      <c r="O1614" s="3">
        <v>0.1</v>
      </c>
      <c r="P1614" s="3">
        <v>0</v>
      </c>
      <c r="Q1614" s="3">
        <v>0</v>
      </c>
      <c r="R1614" s="3">
        <v>2</v>
      </c>
    </row>
    <row r="1615" spans="1:18">
      <c r="A1615" s="3" t="s">
        <v>575</v>
      </c>
      <c r="B1615" s="3" t="s">
        <v>576</v>
      </c>
      <c r="C1615" s="3" t="s">
        <v>577</v>
      </c>
      <c r="D1615" s="3" t="s">
        <v>578</v>
      </c>
      <c r="E1615" s="3" t="s">
        <v>1710</v>
      </c>
      <c r="F1615" s="3">
        <v>38</v>
      </c>
      <c r="G1615" s="3" t="s">
        <v>6233</v>
      </c>
      <c r="H1615" s="3"/>
      <c r="I1615" s="3" t="s">
        <v>6234</v>
      </c>
      <c r="J1615" s="3">
        <v>51</v>
      </c>
      <c r="K1615" s="3">
        <v>41</v>
      </c>
      <c r="L1615" s="3">
        <v>4</v>
      </c>
      <c r="M1615" s="3">
        <v>6</v>
      </c>
      <c r="N1615" s="3">
        <v>101</v>
      </c>
      <c r="O1615" s="3">
        <v>0.19</v>
      </c>
      <c r="P1615" s="3">
        <v>0</v>
      </c>
      <c r="Q1615" s="3">
        <v>0</v>
      </c>
      <c r="R1615" s="3">
        <v>50</v>
      </c>
    </row>
    <row r="1616" spans="1:18">
      <c r="A1616" s="3" t="s">
        <v>523</v>
      </c>
      <c r="B1616" s="3" t="s">
        <v>524</v>
      </c>
      <c r="C1616" s="3" t="s">
        <v>525</v>
      </c>
      <c r="D1616" s="3" t="s">
        <v>526</v>
      </c>
      <c r="E1616" s="3" t="s">
        <v>1710</v>
      </c>
      <c r="F1616" s="3">
        <v>38</v>
      </c>
      <c r="G1616" s="3" t="s">
        <v>6233</v>
      </c>
      <c r="H1616" s="3"/>
      <c r="I1616" s="3" t="s">
        <v>6234</v>
      </c>
      <c r="J1616" s="3">
        <v>108</v>
      </c>
      <c r="K1616" s="3">
        <v>85</v>
      </c>
      <c r="L1616" s="3">
        <v>12</v>
      </c>
      <c r="M1616" s="3">
        <v>11</v>
      </c>
      <c r="N1616" s="3">
        <v>108</v>
      </c>
      <c r="O1616" s="3">
        <v>0.19</v>
      </c>
      <c r="P1616" s="3">
        <v>0</v>
      </c>
      <c r="Q1616" s="3">
        <v>0</v>
      </c>
      <c r="R1616" s="3">
        <v>0</v>
      </c>
    </row>
    <row r="1617" spans="1:18">
      <c r="A1617" s="3" t="s">
        <v>535</v>
      </c>
      <c r="B1617" s="3" t="s">
        <v>536</v>
      </c>
      <c r="C1617" s="3" t="s">
        <v>537</v>
      </c>
      <c r="D1617" s="3" t="s">
        <v>538</v>
      </c>
      <c r="E1617" s="3" t="s">
        <v>1710</v>
      </c>
      <c r="F1617" s="3">
        <v>38</v>
      </c>
      <c r="G1617" s="3" t="s">
        <v>6233</v>
      </c>
      <c r="H1617" s="3"/>
      <c r="I1617" s="3" t="s">
        <v>6234</v>
      </c>
      <c r="J1617" s="3">
        <v>182</v>
      </c>
      <c r="K1617" s="3">
        <v>157</v>
      </c>
      <c r="L1617" s="3">
        <v>20</v>
      </c>
      <c r="M1617" s="3">
        <v>5</v>
      </c>
      <c r="N1617" s="3">
        <v>182</v>
      </c>
      <c r="O1617" s="3">
        <v>0.03</v>
      </c>
      <c r="P1617" s="3">
        <v>0</v>
      </c>
      <c r="Q1617" s="3">
        <v>0</v>
      </c>
      <c r="R1617" s="3">
        <v>0</v>
      </c>
    </row>
    <row r="1618" spans="1:18">
      <c r="A1618" s="3" t="s">
        <v>627</v>
      </c>
      <c r="B1618" s="3" t="s">
        <v>628</v>
      </c>
      <c r="C1618" s="3" t="s">
        <v>629</v>
      </c>
      <c r="D1618" s="3" t="s">
        <v>630</v>
      </c>
      <c r="E1618" s="3" t="s">
        <v>1710</v>
      </c>
      <c r="F1618" s="3">
        <v>38</v>
      </c>
      <c r="G1618" s="3" t="s">
        <v>6233</v>
      </c>
      <c r="H1618" s="3"/>
      <c r="I1618" s="3" t="s">
        <v>6234</v>
      </c>
      <c r="J1618" s="3">
        <v>195</v>
      </c>
      <c r="K1618" s="3">
        <v>180</v>
      </c>
      <c r="L1618" s="3">
        <v>8</v>
      </c>
      <c r="M1618" s="3">
        <v>7</v>
      </c>
      <c r="N1618" s="3">
        <v>227</v>
      </c>
      <c r="O1618" s="3">
        <v>0.19</v>
      </c>
      <c r="P1618" s="3">
        <v>0</v>
      </c>
      <c r="Q1618" s="3">
        <v>0</v>
      </c>
      <c r="R1618" s="3">
        <v>32</v>
      </c>
    </row>
    <row r="1619" spans="1:18">
      <c r="A1619" s="3" t="s">
        <v>507</v>
      </c>
      <c r="B1619" s="3" t="s">
        <v>508</v>
      </c>
      <c r="C1619" s="3" t="s">
        <v>509</v>
      </c>
      <c r="D1619" s="3" t="s">
        <v>510</v>
      </c>
      <c r="E1619" s="3" t="s">
        <v>1710</v>
      </c>
      <c r="F1619" s="3">
        <v>38</v>
      </c>
      <c r="G1619" s="3" t="s">
        <v>6233</v>
      </c>
      <c r="H1619" s="3"/>
      <c r="I1619" s="3" t="s">
        <v>6234</v>
      </c>
      <c r="J1619" s="3">
        <v>24</v>
      </c>
      <c r="K1619" s="3">
        <v>16</v>
      </c>
      <c r="L1619" s="3">
        <v>0</v>
      </c>
      <c r="M1619" s="3">
        <v>8</v>
      </c>
      <c r="N1619" s="3">
        <v>24</v>
      </c>
      <c r="O1619" s="3">
        <v>0.15</v>
      </c>
      <c r="P1619" s="3">
        <v>0</v>
      </c>
      <c r="Q1619" s="3">
        <v>0</v>
      </c>
      <c r="R1619" s="3">
        <v>0</v>
      </c>
    </row>
    <row r="1620" spans="1:18">
      <c r="A1620" s="3" t="s">
        <v>8447</v>
      </c>
      <c r="B1620" s="3" t="s">
        <v>8448</v>
      </c>
      <c r="C1620" s="3" t="s">
        <v>509</v>
      </c>
      <c r="D1620" s="3"/>
      <c r="E1620" s="3" t="s">
        <v>6275</v>
      </c>
      <c r="F1620" s="3"/>
      <c r="G1620" s="3"/>
      <c r="H1620" s="3"/>
      <c r="I1620" s="3"/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/>
      <c r="P1620" s="3">
        <v>0</v>
      </c>
      <c r="Q1620" s="3">
        <v>0</v>
      </c>
      <c r="R1620" s="3">
        <v>0</v>
      </c>
    </row>
    <row r="1621" spans="1:18">
      <c r="A1621" s="3" t="s">
        <v>2338</v>
      </c>
      <c r="B1621" s="3" t="s">
        <v>2339</v>
      </c>
      <c r="C1621" s="3" t="s">
        <v>2340</v>
      </c>
      <c r="D1621" s="3" t="s">
        <v>2341</v>
      </c>
      <c r="E1621" s="3" t="s">
        <v>1710</v>
      </c>
      <c r="F1621" s="3">
        <v>38</v>
      </c>
      <c r="G1621" s="3" t="s">
        <v>6233</v>
      </c>
      <c r="H1621" s="3"/>
      <c r="I1621" s="3" t="s">
        <v>6234</v>
      </c>
      <c r="J1621" s="3">
        <v>6</v>
      </c>
      <c r="K1621" s="3">
        <v>6</v>
      </c>
      <c r="L1621" s="3">
        <v>0</v>
      </c>
      <c r="M1621" s="3">
        <v>0</v>
      </c>
      <c r="N1621" s="3">
        <v>6</v>
      </c>
      <c r="O1621" s="3">
        <v>0.19</v>
      </c>
      <c r="P1621" s="3">
        <v>0</v>
      </c>
      <c r="Q1621" s="3">
        <v>0</v>
      </c>
      <c r="R1621" s="3">
        <v>0</v>
      </c>
    </row>
    <row r="1622" spans="1:18">
      <c r="A1622" s="3" t="s">
        <v>8449</v>
      </c>
      <c r="B1622" s="3" t="s">
        <v>8450</v>
      </c>
      <c r="C1622" s="3" t="s">
        <v>2340</v>
      </c>
      <c r="D1622" s="3"/>
      <c r="E1622" s="3" t="s">
        <v>6275</v>
      </c>
      <c r="F1622" s="3"/>
      <c r="G1622" s="3"/>
      <c r="H1622" s="3"/>
      <c r="I1622" s="3"/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/>
      <c r="P1622" s="3">
        <v>0</v>
      </c>
      <c r="Q1622" s="3">
        <v>0</v>
      </c>
      <c r="R1622" s="3">
        <v>0</v>
      </c>
    </row>
    <row r="1623" spans="1:18">
      <c r="A1623" s="3" t="s">
        <v>2900</v>
      </c>
      <c r="B1623" s="3" t="s">
        <v>2901</v>
      </c>
      <c r="C1623" s="3" t="s">
        <v>2902</v>
      </c>
      <c r="D1623" s="3" t="s">
        <v>2903</v>
      </c>
      <c r="E1623" s="3" t="s">
        <v>1710</v>
      </c>
      <c r="F1623" s="3">
        <v>38</v>
      </c>
      <c r="G1623" s="3" t="s">
        <v>6233</v>
      </c>
      <c r="H1623" s="3"/>
      <c r="I1623" s="3" t="s">
        <v>6234</v>
      </c>
      <c r="J1623" s="3">
        <v>6</v>
      </c>
      <c r="K1623" s="3">
        <v>4</v>
      </c>
      <c r="L1623" s="3">
        <v>2</v>
      </c>
      <c r="M1623" s="3">
        <v>0</v>
      </c>
      <c r="N1623" s="3">
        <v>6</v>
      </c>
      <c r="O1623" s="3">
        <v>0.19</v>
      </c>
      <c r="P1623" s="3">
        <v>0</v>
      </c>
      <c r="Q1623" s="3">
        <v>0</v>
      </c>
      <c r="R1623" s="3">
        <v>0</v>
      </c>
    </row>
    <row r="1624" spans="1:18">
      <c r="A1624" s="3" t="s">
        <v>503</v>
      </c>
      <c r="B1624" s="3" t="s">
        <v>504</v>
      </c>
      <c r="C1624" s="3" t="s">
        <v>505</v>
      </c>
      <c r="D1624" s="3" t="s">
        <v>506</v>
      </c>
      <c r="E1624" s="3" t="s">
        <v>1710</v>
      </c>
      <c r="F1624" s="3">
        <v>38</v>
      </c>
      <c r="G1624" s="3" t="s">
        <v>6233</v>
      </c>
      <c r="H1624" s="3"/>
      <c r="I1624" s="3" t="s">
        <v>6234</v>
      </c>
      <c r="J1624" s="3">
        <v>6</v>
      </c>
      <c r="K1624" s="3">
        <v>2</v>
      </c>
      <c r="L1624" s="3">
        <v>1</v>
      </c>
      <c r="M1624" s="3">
        <v>3</v>
      </c>
      <c r="N1624" s="3">
        <v>6</v>
      </c>
      <c r="O1624" s="3">
        <v>0.14</v>
      </c>
      <c r="P1624" s="3">
        <v>0</v>
      </c>
      <c r="Q1624" s="3">
        <v>0</v>
      </c>
      <c r="R1624" s="3">
        <v>0</v>
      </c>
    </row>
    <row r="1625" spans="1:18">
      <c r="A1625" s="3" t="s">
        <v>563</v>
      </c>
      <c r="B1625" s="3" t="s">
        <v>564</v>
      </c>
      <c r="C1625" s="3" t="s">
        <v>565</v>
      </c>
      <c r="D1625" s="3" t="s">
        <v>566</v>
      </c>
      <c r="E1625" s="3" t="s">
        <v>1710</v>
      </c>
      <c r="F1625" s="3">
        <v>38</v>
      </c>
      <c r="G1625" s="3" t="s">
        <v>6233</v>
      </c>
      <c r="H1625" s="3"/>
      <c r="I1625" s="3" t="s">
        <v>6234</v>
      </c>
      <c r="J1625" s="3">
        <v>28</v>
      </c>
      <c r="K1625" s="3">
        <v>15</v>
      </c>
      <c r="L1625" s="3">
        <v>5</v>
      </c>
      <c r="M1625" s="3">
        <v>8</v>
      </c>
      <c r="N1625" s="3">
        <v>28</v>
      </c>
      <c r="O1625" s="3">
        <v>0.19</v>
      </c>
      <c r="P1625" s="3">
        <v>0</v>
      </c>
      <c r="Q1625" s="3">
        <v>0</v>
      </c>
      <c r="R1625" s="3">
        <v>0</v>
      </c>
    </row>
    <row r="1626" spans="1:18">
      <c r="A1626" s="3" t="s">
        <v>547</v>
      </c>
      <c r="B1626" s="3" t="s">
        <v>548</v>
      </c>
      <c r="C1626" s="3" t="s">
        <v>549</v>
      </c>
      <c r="D1626" s="3" t="s">
        <v>550</v>
      </c>
      <c r="E1626" s="3" t="s">
        <v>1710</v>
      </c>
      <c r="F1626" s="3">
        <v>38</v>
      </c>
      <c r="G1626" s="3" t="s">
        <v>6233</v>
      </c>
      <c r="H1626" s="3"/>
      <c r="I1626" s="3" t="s">
        <v>6234</v>
      </c>
      <c r="J1626" s="3">
        <v>53</v>
      </c>
      <c r="K1626" s="3">
        <v>48</v>
      </c>
      <c r="L1626" s="3">
        <v>2</v>
      </c>
      <c r="M1626" s="3">
        <v>3</v>
      </c>
      <c r="N1626" s="3">
        <v>53</v>
      </c>
      <c r="O1626" s="3">
        <v>0.19</v>
      </c>
      <c r="P1626" s="3">
        <v>0</v>
      </c>
      <c r="Q1626" s="3">
        <v>0</v>
      </c>
      <c r="R1626" s="3">
        <v>0</v>
      </c>
    </row>
    <row r="1627" spans="1:18">
      <c r="A1627" s="3" t="s">
        <v>599</v>
      </c>
      <c r="B1627" s="3" t="s">
        <v>600</v>
      </c>
      <c r="C1627" s="3" t="s">
        <v>601</v>
      </c>
      <c r="D1627" s="3" t="s">
        <v>602</v>
      </c>
      <c r="E1627" s="3" t="s">
        <v>1710</v>
      </c>
      <c r="F1627" s="3">
        <v>38</v>
      </c>
      <c r="G1627" s="3" t="s">
        <v>6233</v>
      </c>
      <c r="H1627" s="3"/>
      <c r="I1627" s="3" t="s">
        <v>6234</v>
      </c>
      <c r="J1627" s="3">
        <v>59</v>
      </c>
      <c r="K1627" s="3">
        <v>53</v>
      </c>
      <c r="L1627" s="3">
        <v>3</v>
      </c>
      <c r="M1627" s="3">
        <v>3</v>
      </c>
      <c r="N1627" s="3">
        <v>59</v>
      </c>
      <c r="O1627" s="3">
        <v>0.05</v>
      </c>
      <c r="P1627" s="3">
        <v>0</v>
      </c>
      <c r="Q1627" s="3">
        <v>0</v>
      </c>
      <c r="R1627" s="3">
        <v>0</v>
      </c>
    </row>
    <row r="1628" spans="1:18">
      <c r="A1628" s="3" t="s">
        <v>559</v>
      </c>
      <c r="B1628" s="3" t="s">
        <v>560</v>
      </c>
      <c r="C1628" s="3" t="s">
        <v>561</v>
      </c>
      <c r="D1628" s="3" t="s">
        <v>562</v>
      </c>
      <c r="E1628" s="3" t="s">
        <v>1710</v>
      </c>
      <c r="F1628" s="3">
        <v>38</v>
      </c>
      <c r="G1628" s="3" t="s">
        <v>6233</v>
      </c>
      <c r="H1628" s="3"/>
      <c r="I1628" s="3" t="s">
        <v>6234</v>
      </c>
      <c r="J1628" s="3">
        <v>51</v>
      </c>
      <c r="K1628" s="3">
        <v>41</v>
      </c>
      <c r="L1628" s="3">
        <v>5</v>
      </c>
      <c r="M1628" s="3">
        <v>5</v>
      </c>
      <c r="N1628" s="3">
        <v>51</v>
      </c>
      <c r="O1628" s="3">
        <v>0.19</v>
      </c>
      <c r="P1628" s="3">
        <v>0</v>
      </c>
      <c r="Q1628" s="3">
        <v>0</v>
      </c>
      <c r="R1628" s="3">
        <v>0</v>
      </c>
    </row>
    <row r="1629" spans="1:18">
      <c r="A1629" s="3" t="s">
        <v>8451</v>
      </c>
      <c r="B1629" s="3" t="s">
        <v>8452</v>
      </c>
      <c r="C1629" s="3" t="s">
        <v>561</v>
      </c>
      <c r="D1629" s="3"/>
      <c r="E1629" s="3" t="s">
        <v>6275</v>
      </c>
      <c r="F1629" s="3"/>
      <c r="G1629" s="3"/>
      <c r="H1629" s="3"/>
      <c r="I1629" s="3"/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/>
      <c r="P1629" s="3">
        <v>0</v>
      </c>
      <c r="Q1629" s="3">
        <v>0</v>
      </c>
      <c r="R1629" s="3">
        <v>0</v>
      </c>
    </row>
    <row r="1630" spans="1:18">
      <c r="A1630" s="3" t="s">
        <v>543</v>
      </c>
      <c r="B1630" s="3" t="s">
        <v>544</v>
      </c>
      <c r="C1630" s="3" t="s">
        <v>545</v>
      </c>
      <c r="D1630" s="3" t="s">
        <v>546</v>
      </c>
      <c r="E1630" s="3" t="s">
        <v>1710</v>
      </c>
      <c r="F1630" s="3">
        <v>38</v>
      </c>
      <c r="G1630" s="3" t="s">
        <v>6233</v>
      </c>
      <c r="H1630" s="3"/>
      <c r="I1630" s="3" t="s">
        <v>6234</v>
      </c>
      <c r="J1630" s="3">
        <v>60</v>
      </c>
      <c r="K1630" s="3">
        <v>55</v>
      </c>
      <c r="L1630" s="3">
        <v>3</v>
      </c>
      <c r="M1630" s="3">
        <v>2</v>
      </c>
      <c r="N1630" s="3">
        <v>69</v>
      </c>
      <c r="O1630" s="3">
        <v>0.19</v>
      </c>
      <c r="P1630" s="3">
        <v>0</v>
      </c>
      <c r="Q1630" s="3">
        <v>0</v>
      </c>
      <c r="R1630" s="3">
        <v>9</v>
      </c>
    </row>
    <row r="1631" spans="1:18">
      <c r="A1631" s="3" t="s">
        <v>551</v>
      </c>
      <c r="B1631" s="3" t="s">
        <v>552</v>
      </c>
      <c r="C1631" s="3" t="s">
        <v>553</v>
      </c>
      <c r="D1631" s="3" t="s">
        <v>554</v>
      </c>
      <c r="E1631" s="3" t="s">
        <v>1710</v>
      </c>
      <c r="F1631" s="3">
        <v>38</v>
      </c>
      <c r="G1631" s="3" t="s">
        <v>6233</v>
      </c>
      <c r="H1631" s="3"/>
      <c r="I1631" s="3" t="s">
        <v>6234</v>
      </c>
      <c r="J1631" s="3">
        <v>6</v>
      </c>
      <c r="K1631" s="3">
        <v>5</v>
      </c>
      <c r="L1631" s="3">
        <v>0</v>
      </c>
      <c r="M1631" s="3">
        <v>1</v>
      </c>
      <c r="N1631" s="3">
        <v>11</v>
      </c>
      <c r="O1631" s="3">
        <v>0.15</v>
      </c>
      <c r="P1631" s="3">
        <v>0</v>
      </c>
      <c r="Q1631" s="3">
        <v>5</v>
      </c>
      <c r="R1631" s="3">
        <v>0</v>
      </c>
    </row>
    <row r="1632" spans="1:18">
      <c r="A1632" s="3" t="s">
        <v>6162</v>
      </c>
      <c r="B1632" s="3" t="s">
        <v>6163</v>
      </c>
      <c r="C1632" s="3" t="s">
        <v>6164</v>
      </c>
      <c r="D1632" s="3" t="s">
        <v>6165</v>
      </c>
      <c r="E1632" s="3" t="s">
        <v>1710</v>
      </c>
      <c r="F1632" s="3">
        <v>38</v>
      </c>
      <c r="G1632" s="3" t="s">
        <v>6233</v>
      </c>
      <c r="H1632" s="3"/>
      <c r="I1632" s="3" t="s">
        <v>6234</v>
      </c>
      <c r="J1632" s="3">
        <v>11</v>
      </c>
      <c r="K1632" s="3">
        <v>11</v>
      </c>
      <c r="L1632" s="3">
        <v>0</v>
      </c>
      <c r="M1632" s="3">
        <v>0</v>
      </c>
      <c r="N1632" s="3">
        <v>11</v>
      </c>
      <c r="O1632" s="3">
        <v>0.13</v>
      </c>
      <c r="P1632" s="3">
        <v>0</v>
      </c>
      <c r="Q1632" s="3">
        <v>0</v>
      </c>
      <c r="R1632" s="3">
        <v>0</v>
      </c>
    </row>
    <row r="1633" spans="1:18">
      <c r="A1633" s="3" t="s">
        <v>603</v>
      </c>
      <c r="B1633" s="3" t="s">
        <v>604</v>
      </c>
      <c r="C1633" s="3" t="s">
        <v>605</v>
      </c>
      <c r="D1633" s="3" t="s">
        <v>606</v>
      </c>
      <c r="E1633" s="3" t="s">
        <v>1710</v>
      </c>
      <c r="F1633" s="3">
        <v>38</v>
      </c>
      <c r="G1633" s="3" t="s">
        <v>6233</v>
      </c>
      <c r="H1633" s="3"/>
      <c r="I1633" s="3" t="s">
        <v>6234</v>
      </c>
      <c r="J1633" s="3">
        <v>4</v>
      </c>
      <c r="K1633" s="3">
        <v>0</v>
      </c>
      <c r="L1633" s="3">
        <v>3</v>
      </c>
      <c r="M1633" s="3">
        <v>1</v>
      </c>
      <c r="N1633" s="3">
        <v>19</v>
      </c>
      <c r="O1633" s="3">
        <v>0.16</v>
      </c>
      <c r="P1633" s="3">
        <v>0</v>
      </c>
      <c r="Q1633" s="3">
        <v>10</v>
      </c>
      <c r="R1633" s="3">
        <v>5</v>
      </c>
    </row>
    <row r="1634" spans="1:18">
      <c r="A1634" s="3" t="s">
        <v>607</v>
      </c>
      <c r="B1634" s="3" t="s">
        <v>608</v>
      </c>
      <c r="C1634" s="3" t="s">
        <v>609</v>
      </c>
      <c r="D1634" s="3" t="s">
        <v>610</v>
      </c>
      <c r="E1634" s="3" t="s">
        <v>1710</v>
      </c>
      <c r="F1634" s="3">
        <v>38</v>
      </c>
      <c r="G1634" s="3" t="s">
        <v>6233</v>
      </c>
      <c r="H1634" s="3"/>
      <c r="I1634" s="3" t="s">
        <v>6234</v>
      </c>
      <c r="J1634" s="3">
        <v>20</v>
      </c>
      <c r="K1634" s="3">
        <v>16</v>
      </c>
      <c r="L1634" s="3">
        <v>3</v>
      </c>
      <c r="M1634" s="3">
        <v>1</v>
      </c>
      <c r="N1634" s="3">
        <v>20</v>
      </c>
      <c r="O1634" s="3">
        <v>0.18</v>
      </c>
      <c r="P1634" s="3">
        <v>0</v>
      </c>
      <c r="Q1634" s="3">
        <v>0</v>
      </c>
      <c r="R1634" s="3">
        <v>0</v>
      </c>
    </row>
    <row r="1635" spans="1:18">
      <c r="A1635" s="3" t="s">
        <v>619</v>
      </c>
      <c r="B1635" s="3" t="s">
        <v>620</v>
      </c>
      <c r="C1635" s="3" t="s">
        <v>621</v>
      </c>
      <c r="D1635" s="3" t="s">
        <v>622</v>
      </c>
      <c r="E1635" s="3" t="s">
        <v>1710</v>
      </c>
      <c r="F1635" s="3">
        <v>38</v>
      </c>
      <c r="G1635" s="3" t="s">
        <v>6233</v>
      </c>
      <c r="H1635" s="3"/>
      <c r="I1635" s="3" t="s">
        <v>6234</v>
      </c>
      <c r="J1635" s="3">
        <v>28</v>
      </c>
      <c r="K1635" s="3">
        <v>22</v>
      </c>
      <c r="L1635" s="3">
        <v>4</v>
      </c>
      <c r="M1635" s="3">
        <v>2</v>
      </c>
      <c r="N1635" s="3">
        <v>28</v>
      </c>
      <c r="O1635" s="3">
        <v>0.16</v>
      </c>
      <c r="P1635" s="3">
        <v>0</v>
      </c>
      <c r="Q1635" s="3">
        <v>0</v>
      </c>
      <c r="R1635" s="3">
        <v>0</v>
      </c>
    </row>
    <row r="1636" spans="1:18">
      <c r="A1636" s="3" t="s">
        <v>2124</v>
      </c>
      <c r="B1636" s="3" t="s">
        <v>2125</v>
      </c>
      <c r="C1636" s="3" t="s">
        <v>2126</v>
      </c>
      <c r="D1636" s="3" t="s">
        <v>2127</v>
      </c>
      <c r="E1636" s="3" t="s">
        <v>1710</v>
      </c>
      <c r="F1636" s="3">
        <v>38</v>
      </c>
      <c r="G1636" s="3" t="s">
        <v>6233</v>
      </c>
      <c r="H1636" s="3"/>
      <c r="I1636" s="3" t="s">
        <v>6234</v>
      </c>
      <c r="J1636" s="3">
        <v>11</v>
      </c>
      <c r="K1636" s="3">
        <v>9</v>
      </c>
      <c r="L1636" s="3">
        <v>2</v>
      </c>
      <c r="M1636" s="3">
        <v>0</v>
      </c>
      <c r="N1636" s="3">
        <v>11</v>
      </c>
      <c r="O1636" s="3">
        <v>0.07</v>
      </c>
      <c r="P1636" s="3">
        <v>0</v>
      </c>
      <c r="Q1636" s="3">
        <v>0</v>
      </c>
      <c r="R1636" s="3">
        <v>0</v>
      </c>
    </row>
    <row r="1637" spans="1:18">
      <c r="A1637" s="3" t="s">
        <v>555</v>
      </c>
      <c r="B1637" s="3" t="s">
        <v>556</v>
      </c>
      <c r="C1637" s="3" t="s">
        <v>557</v>
      </c>
      <c r="D1637" s="3" t="s">
        <v>558</v>
      </c>
      <c r="E1637" s="3" t="s">
        <v>1710</v>
      </c>
      <c r="F1637" s="3">
        <v>38</v>
      </c>
      <c r="G1637" s="3" t="s">
        <v>6233</v>
      </c>
      <c r="H1637" s="3"/>
      <c r="I1637" s="3" t="s">
        <v>6234</v>
      </c>
      <c r="J1637" s="3">
        <v>29</v>
      </c>
      <c r="K1637" s="3">
        <v>23</v>
      </c>
      <c r="L1637" s="3">
        <v>5</v>
      </c>
      <c r="M1637" s="3">
        <v>1</v>
      </c>
      <c r="N1637" s="3">
        <v>50</v>
      </c>
      <c r="O1637" s="3">
        <v>0.07</v>
      </c>
      <c r="P1637" s="3">
        <v>0</v>
      </c>
      <c r="Q1637" s="3">
        <v>21</v>
      </c>
      <c r="R1637" s="3">
        <v>0</v>
      </c>
    </row>
    <row r="1638" spans="1:18">
      <c r="A1638" s="3" t="s">
        <v>4836</v>
      </c>
      <c r="B1638" s="3" t="s">
        <v>4837</v>
      </c>
      <c r="C1638" s="3" t="s">
        <v>4838</v>
      </c>
      <c r="D1638" s="3" t="s">
        <v>8453</v>
      </c>
      <c r="E1638" s="3" t="s">
        <v>1710</v>
      </c>
      <c r="F1638" s="3">
        <v>38</v>
      </c>
      <c r="G1638" s="3" t="s">
        <v>6233</v>
      </c>
      <c r="H1638" s="3"/>
      <c r="I1638" s="3" t="s">
        <v>6234</v>
      </c>
      <c r="J1638" s="3">
        <v>11</v>
      </c>
      <c r="K1638" s="3">
        <v>9</v>
      </c>
      <c r="L1638" s="3">
        <v>2</v>
      </c>
      <c r="M1638" s="3">
        <v>0</v>
      </c>
      <c r="N1638" s="3">
        <v>29</v>
      </c>
      <c r="O1638" s="3">
        <v>0.07</v>
      </c>
      <c r="P1638" s="3">
        <v>0</v>
      </c>
      <c r="Q1638" s="3">
        <v>18</v>
      </c>
      <c r="R1638" s="3">
        <v>0</v>
      </c>
    </row>
    <row r="1639" spans="1:18">
      <c r="A1639" s="3" t="s">
        <v>2447</v>
      </c>
      <c r="B1639" s="3" t="s">
        <v>2448</v>
      </c>
      <c r="C1639" s="3" t="s">
        <v>2449</v>
      </c>
      <c r="D1639" s="3" t="s">
        <v>8454</v>
      </c>
      <c r="E1639" s="3" t="s">
        <v>1710</v>
      </c>
      <c r="F1639" s="3">
        <v>38</v>
      </c>
      <c r="G1639" s="3" t="s">
        <v>6233</v>
      </c>
      <c r="H1639" s="3"/>
      <c r="I1639" s="3" t="s">
        <v>6234</v>
      </c>
      <c r="J1639" s="3">
        <v>8</v>
      </c>
      <c r="K1639" s="3">
        <v>7</v>
      </c>
      <c r="L1639" s="3">
        <v>1</v>
      </c>
      <c r="M1639" s="3">
        <v>0</v>
      </c>
      <c r="N1639" s="3">
        <v>12</v>
      </c>
      <c r="O1639" s="3">
        <v>0.07</v>
      </c>
      <c r="P1639" s="3">
        <v>0</v>
      </c>
      <c r="Q1639" s="3">
        <v>4</v>
      </c>
      <c r="R1639" s="3">
        <v>0</v>
      </c>
    </row>
    <row r="1640" spans="1:18">
      <c r="A1640" s="3" t="s">
        <v>5014</v>
      </c>
      <c r="B1640" s="3" t="s">
        <v>5015</v>
      </c>
      <c r="C1640" s="3" t="s">
        <v>5016</v>
      </c>
      <c r="D1640" s="3" t="s">
        <v>5017</v>
      </c>
      <c r="E1640" s="3" t="s">
        <v>1710</v>
      </c>
      <c r="F1640" s="3">
        <v>38</v>
      </c>
      <c r="G1640" s="3" t="s">
        <v>6233</v>
      </c>
      <c r="H1640" s="3"/>
      <c r="I1640" s="3" t="s">
        <v>6234</v>
      </c>
      <c r="J1640" s="3">
        <v>10</v>
      </c>
      <c r="K1640" s="3">
        <v>9</v>
      </c>
      <c r="L1640" s="3">
        <v>1</v>
      </c>
      <c r="M1640" s="3">
        <v>0</v>
      </c>
      <c r="N1640" s="3">
        <v>10</v>
      </c>
      <c r="O1640" s="3">
        <v>0.07</v>
      </c>
      <c r="P1640" s="3">
        <v>0</v>
      </c>
      <c r="Q1640" s="3">
        <v>0</v>
      </c>
      <c r="R1640" s="3">
        <v>0</v>
      </c>
    </row>
    <row r="1641" spans="1:18">
      <c r="A1641" s="3" t="s">
        <v>635</v>
      </c>
      <c r="B1641" s="3" t="s">
        <v>636</v>
      </c>
      <c r="C1641" s="3" t="s">
        <v>637</v>
      </c>
      <c r="D1641" s="3" t="s">
        <v>638</v>
      </c>
      <c r="E1641" s="3" t="s">
        <v>1710</v>
      </c>
      <c r="F1641" s="3">
        <v>38</v>
      </c>
      <c r="G1641" s="3" t="s">
        <v>6233</v>
      </c>
      <c r="H1641" s="3"/>
      <c r="I1641" s="3" t="s">
        <v>6234</v>
      </c>
      <c r="J1641" s="3">
        <v>9</v>
      </c>
      <c r="K1641" s="3">
        <v>8</v>
      </c>
      <c r="L1641" s="3">
        <v>0</v>
      </c>
      <c r="M1641" s="3">
        <v>1</v>
      </c>
      <c r="N1641" s="3">
        <v>9</v>
      </c>
      <c r="O1641" s="3">
        <v>0.11</v>
      </c>
      <c r="P1641" s="3">
        <v>0</v>
      </c>
      <c r="Q1641" s="3">
        <v>0</v>
      </c>
      <c r="R1641" s="3">
        <v>0</v>
      </c>
    </row>
    <row r="1642" spans="1:18">
      <c r="A1642" s="3" t="s">
        <v>2805</v>
      </c>
      <c r="B1642" s="3" t="s">
        <v>2806</v>
      </c>
      <c r="C1642" s="3" t="s">
        <v>2807</v>
      </c>
      <c r="D1642" s="3" t="s">
        <v>2808</v>
      </c>
      <c r="E1642" s="3" t="s">
        <v>1710</v>
      </c>
      <c r="F1642" s="3">
        <v>38</v>
      </c>
      <c r="G1642" s="3" t="s">
        <v>6233</v>
      </c>
      <c r="H1642" s="3"/>
      <c r="I1642" s="3" t="s">
        <v>6234</v>
      </c>
      <c r="J1642" s="3">
        <v>14</v>
      </c>
      <c r="K1642" s="3">
        <v>13</v>
      </c>
      <c r="L1642" s="3">
        <v>1</v>
      </c>
      <c r="M1642" s="3">
        <v>0</v>
      </c>
      <c r="N1642" s="3">
        <v>14</v>
      </c>
      <c r="O1642" s="3">
        <v>0.11</v>
      </c>
      <c r="P1642" s="3">
        <v>0</v>
      </c>
      <c r="Q1642" s="3">
        <v>0</v>
      </c>
      <c r="R1642" s="3">
        <v>0</v>
      </c>
    </row>
    <row r="1643" spans="1:18">
      <c r="A1643" s="3" t="s">
        <v>4595</v>
      </c>
      <c r="B1643" s="3" t="s">
        <v>4596</v>
      </c>
      <c r="C1643" s="3" t="s">
        <v>4597</v>
      </c>
      <c r="D1643" s="3" t="s">
        <v>4598</v>
      </c>
      <c r="E1643" s="3" t="s">
        <v>1710</v>
      </c>
      <c r="F1643" s="3">
        <v>38</v>
      </c>
      <c r="G1643" s="3" t="s">
        <v>6233</v>
      </c>
      <c r="H1643" s="3"/>
      <c r="I1643" s="3" t="s">
        <v>6234</v>
      </c>
      <c r="J1643" s="3">
        <v>19</v>
      </c>
      <c r="K1643" s="3">
        <v>17</v>
      </c>
      <c r="L1643" s="3">
        <v>2</v>
      </c>
      <c r="M1643" s="3">
        <v>0</v>
      </c>
      <c r="N1643" s="3">
        <v>19</v>
      </c>
      <c r="O1643" s="3">
        <v>0.11</v>
      </c>
      <c r="P1643" s="3">
        <v>0</v>
      </c>
      <c r="Q1643" s="3">
        <v>0</v>
      </c>
      <c r="R1643" s="3">
        <v>0</v>
      </c>
    </row>
    <row r="1644" spans="1:18">
      <c r="A1644" s="3" t="s">
        <v>623</v>
      </c>
      <c r="B1644" s="3" t="s">
        <v>624</v>
      </c>
      <c r="C1644" s="3" t="s">
        <v>625</v>
      </c>
      <c r="D1644" s="3" t="s">
        <v>626</v>
      </c>
      <c r="E1644" s="3" t="s">
        <v>1710</v>
      </c>
      <c r="F1644" s="3">
        <v>38</v>
      </c>
      <c r="G1644" s="3" t="s">
        <v>6233</v>
      </c>
      <c r="H1644" s="3"/>
      <c r="I1644" s="3" t="s">
        <v>6234</v>
      </c>
      <c r="J1644" s="3">
        <v>5</v>
      </c>
      <c r="K1644" s="3">
        <v>4</v>
      </c>
      <c r="L1644" s="3">
        <v>0</v>
      </c>
      <c r="M1644" s="3">
        <v>1</v>
      </c>
      <c r="N1644" s="3">
        <v>10</v>
      </c>
      <c r="O1644" s="3">
        <v>0.11</v>
      </c>
      <c r="P1644" s="3">
        <v>0</v>
      </c>
      <c r="Q1644" s="3">
        <v>5</v>
      </c>
      <c r="R1644" s="3">
        <v>0</v>
      </c>
    </row>
    <row r="1645" spans="1:18">
      <c r="A1645" s="3" t="s">
        <v>3962</v>
      </c>
      <c r="B1645" s="3" t="s">
        <v>3963</v>
      </c>
      <c r="C1645" s="3" t="s">
        <v>3964</v>
      </c>
      <c r="D1645" s="3" t="s">
        <v>3965</v>
      </c>
      <c r="E1645" s="3" t="s">
        <v>1710</v>
      </c>
      <c r="F1645" s="3">
        <v>38</v>
      </c>
      <c r="G1645" s="3" t="s">
        <v>6233</v>
      </c>
      <c r="H1645" s="3"/>
      <c r="I1645" s="3" t="s">
        <v>6234</v>
      </c>
      <c r="J1645" s="3">
        <v>2</v>
      </c>
      <c r="K1645" s="3">
        <v>1</v>
      </c>
      <c r="L1645" s="3">
        <v>1</v>
      </c>
      <c r="M1645" s="3">
        <v>0</v>
      </c>
      <c r="N1645" s="3">
        <v>22</v>
      </c>
      <c r="O1645" s="3">
        <v>0.07</v>
      </c>
      <c r="P1645" s="3">
        <v>0</v>
      </c>
      <c r="Q1645" s="3">
        <v>8</v>
      </c>
      <c r="R1645" s="3">
        <v>12</v>
      </c>
    </row>
    <row r="1646" spans="1:18">
      <c r="A1646" s="3" t="s">
        <v>4227</v>
      </c>
      <c r="B1646" s="3" t="s">
        <v>4228</v>
      </c>
      <c r="C1646" s="3" t="s">
        <v>4229</v>
      </c>
      <c r="D1646" s="3" t="s">
        <v>8455</v>
      </c>
      <c r="E1646" s="3" t="s">
        <v>1710</v>
      </c>
      <c r="F1646" s="3">
        <v>38</v>
      </c>
      <c r="G1646" s="3" t="s">
        <v>6233</v>
      </c>
      <c r="H1646" s="3"/>
      <c r="I1646" s="3" t="s">
        <v>6234</v>
      </c>
      <c r="J1646" s="3">
        <v>28</v>
      </c>
      <c r="K1646" s="3">
        <v>23</v>
      </c>
      <c r="L1646" s="3">
        <v>5</v>
      </c>
      <c r="M1646" s="3">
        <v>0</v>
      </c>
      <c r="N1646" s="3">
        <v>32</v>
      </c>
      <c r="O1646" s="3">
        <v>0.07</v>
      </c>
      <c r="P1646" s="3">
        <v>0</v>
      </c>
      <c r="Q1646" s="3">
        <v>4</v>
      </c>
      <c r="R1646" s="3">
        <v>0</v>
      </c>
    </row>
    <row r="1647" spans="1:18">
      <c r="A1647" s="3" t="s">
        <v>3466</v>
      </c>
      <c r="B1647" s="3" t="s">
        <v>3467</v>
      </c>
      <c r="C1647" s="3" t="s">
        <v>3468</v>
      </c>
      <c r="D1647" s="3" t="s">
        <v>8456</v>
      </c>
      <c r="E1647" s="3" t="s">
        <v>1710</v>
      </c>
      <c r="F1647" s="3">
        <v>38</v>
      </c>
      <c r="G1647" s="3" t="s">
        <v>6233</v>
      </c>
      <c r="H1647" s="3"/>
      <c r="I1647" s="3" t="s">
        <v>6234</v>
      </c>
      <c r="J1647" s="3">
        <v>18</v>
      </c>
      <c r="K1647" s="3">
        <v>16</v>
      </c>
      <c r="L1647" s="3">
        <v>2</v>
      </c>
      <c r="M1647" s="3">
        <v>0</v>
      </c>
      <c r="N1647" s="3">
        <v>28</v>
      </c>
      <c r="O1647" s="3">
        <v>0.07</v>
      </c>
      <c r="P1647" s="3">
        <v>0</v>
      </c>
      <c r="Q1647" s="3">
        <v>10</v>
      </c>
      <c r="R1647" s="3">
        <v>0</v>
      </c>
    </row>
    <row r="1648" spans="1:18">
      <c r="A1648" s="3" t="s">
        <v>643</v>
      </c>
      <c r="B1648" s="3" t="s">
        <v>644</v>
      </c>
      <c r="C1648" s="3" t="s">
        <v>645</v>
      </c>
      <c r="D1648" s="3" t="s">
        <v>646</v>
      </c>
      <c r="E1648" s="3" t="s">
        <v>1710</v>
      </c>
      <c r="F1648" s="3">
        <v>38</v>
      </c>
      <c r="G1648" s="3" t="s">
        <v>6233</v>
      </c>
      <c r="H1648" s="3"/>
      <c r="I1648" s="3" t="s">
        <v>6234</v>
      </c>
      <c r="J1648" s="3">
        <v>28</v>
      </c>
      <c r="K1648" s="3">
        <v>24</v>
      </c>
      <c r="L1648" s="3">
        <v>2</v>
      </c>
      <c r="M1648" s="3">
        <v>2</v>
      </c>
      <c r="N1648" s="3">
        <v>28</v>
      </c>
      <c r="O1648" s="3">
        <v>0.07</v>
      </c>
      <c r="P1648" s="3">
        <v>0</v>
      </c>
      <c r="Q1648" s="3">
        <v>0</v>
      </c>
      <c r="R1648" s="3">
        <v>0</v>
      </c>
    </row>
    <row r="1649" spans="1:18">
      <c r="A1649" s="3" t="s">
        <v>5749</v>
      </c>
      <c r="B1649" s="3" t="s">
        <v>5750</v>
      </c>
      <c r="C1649" s="3" t="s">
        <v>5751</v>
      </c>
      <c r="D1649" s="3" t="s">
        <v>5752</v>
      </c>
      <c r="E1649" s="3" t="s">
        <v>1710</v>
      </c>
      <c r="F1649" s="3">
        <v>38</v>
      </c>
      <c r="G1649" s="3" t="s">
        <v>6233</v>
      </c>
      <c r="H1649" s="3"/>
      <c r="I1649" s="3" t="s">
        <v>6234</v>
      </c>
      <c r="J1649" s="3">
        <v>16</v>
      </c>
      <c r="K1649" s="3">
        <v>16</v>
      </c>
      <c r="L1649" s="3">
        <v>0</v>
      </c>
      <c r="M1649" s="3">
        <v>0</v>
      </c>
      <c r="N1649" s="3">
        <v>16</v>
      </c>
      <c r="O1649" s="3">
        <v>0.12</v>
      </c>
      <c r="P1649" s="3">
        <v>0</v>
      </c>
      <c r="Q1649" s="3">
        <v>0</v>
      </c>
      <c r="R1649" s="3">
        <v>0</v>
      </c>
    </row>
    <row r="1650" spans="1:18">
      <c r="A1650" s="3" t="s">
        <v>2962</v>
      </c>
      <c r="B1650" s="3" t="s">
        <v>2963</v>
      </c>
      <c r="C1650" s="3" t="s">
        <v>2964</v>
      </c>
      <c r="D1650" s="3" t="s">
        <v>2965</v>
      </c>
      <c r="E1650" s="3" t="s">
        <v>1710</v>
      </c>
      <c r="F1650" s="3">
        <v>38</v>
      </c>
      <c r="G1650" s="3" t="s">
        <v>6233</v>
      </c>
      <c r="H1650" s="3"/>
      <c r="I1650" s="3" t="s">
        <v>6234</v>
      </c>
      <c r="J1650" s="3">
        <v>12</v>
      </c>
      <c r="K1650" s="3">
        <v>11</v>
      </c>
      <c r="L1650" s="3">
        <v>1</v>
      </c>
      <c r="M1650" s="3">
        <v>0</v>
      </c>
      <c r="N1650" s="3">
        <v>12</v>
      </c>
      <c r="O1650" s="3">
        <v>0.07</v>
      </c>
      <c r="P1650" s="3">
        <v>0</v>
      </c>
      <c r="Q1650" s="3">
        <v>0</v>
      </c>
      <c r="R1650" s="3">
        <v>0</v>
      </c>
    </row>
    <row r="1651" spans="1:18">
      <c r="A1651" s="3" t="s">
        <v>5622</v>
      </c>
      <c r="B1651" s="3" t="s">
        <v>5623</v>
      </c>
      <c r="C1651" s="3" t="s">
        <v>5624</v>
      </c>
      <c r="D1651" s="3" t="s">
        <v>5625</v>
      </c>
      <c r="E1651" s="3" t="s">
        <v>1710</v>
      </c>
      <c r="F1651" s="3">
        <v>38</v>
      </c>
      <c r="G1651" s="3" t="s">
        <v>6233</v>
      </c>
      <c r="H1651" s="3"/>
      <c r="I1651" s="3" t="s">
        <v>6234</v>
      </c>
      <c r="J1651" s="3">
        <v>14</v>
      </c>
      <c r="K1651" s="3">
        <v>14</v>
      </c>
      <c r="L1651" s="3">
        <v>0</v>
      </c>
      <c r="M1651" s="3">
        <v>0</v>
      </c>
      <c r="N1651" s="3">
        <v>14</v>
      </c>
      <c r="O1651" s="3">
        <v>0.07</v>
      </c>
      <c r="P1651" s="3">
        <v>0</v>
      </c>
      <c r="Q1651" s="3">
        <v>0</v>
      </c>
      <c r="R1651" s="3">
        <v>0</v>
      </c>
    </row>
    <row r="1652" spans="1:18">
      <c r="A1652" s="3" t="s">
        <v>5353</v>
      </c>
      <c r="B1652" s="3" t="s">
        <v>5354</v>
      </c>
      <c r="C1652" s="3" t="s">
        <v>5355</v>
      </c>
      <c r="D1652" s="3" t="s">
        <v>5356</v>
      </c>
      <c r="E1652" s="3" t="s">
        <v>1710</v>
      </c>
      <c r="F1652" s="3">
        <v>38</v>
      </c>
      <c r="G1652" s="3" t="s">
        <v>6233</v>
      </c>
      <c r="H1652" s="3"/>
      <c r="I1652" s="3" t="s">
        <v>6234</v>
      </c>
      <c r="J1652" s="3">
        <v>4</v>
      </c>
      <c r="K1652" s="3">
        <v>4</v>
      </c>
      <c r="L1652" s="3">
        <v>0</v>
      </c>
      <c r="M1652" s="3">
        <v>0</v>
      </c>
      <c r="N1652" s="3">
        <v>9</v>
      </c>
      <c r="O1652" s="3">
        <v>0.15</v>
      </c>
      <c r="P1652" s="3">
        <v>0</v>
      </c>
      <c r="Q1652" s="3">
        <v>5</v>
      </c>
      <c r="R1652" s="3">
        <v>0</v>
      </c>
    </row>
    <row r="1653" spans="1:18">
      <c r="A1653" s="3" t="s">
        <v>2235</v>
      </c>
      <c r="B1653" s="3" t="s">
        <v>2236</v>
      </c>
      <c r="C1653" s="3" t="s">
        <v>2237</v>
      </c>
      <c r="D1653" s="3" t="s">
        <v>2238</v>
      </c>
      <c r="E1653" s="3" t="s">
        <v>1710</v>
      </c>
      <c r="F1653" s="3">
        <v>38</v>
      </c>
      <c r="G1653" s="3" t="s">
        <v>6233</v>
      </c>
      <c r="H1653" s="3"/>
      <c r="I1653" s="3" t="s">
        <v>6234</v>
      </c>
      <c r="J1653" s="3">
        <v>12</v>
      </c>
      <c r="K1653" s="3">
        <v>11</v>
      </c>
      <c r="L1653" s="3">
        <v>1</v>
      </c>
      <c r="M1653" s="3">
        <v>0</v>
      </c>
      <c r="N1653" s="3">
        <v>12</v>
      </c>
      <c r="O1653" s="3">
        <v>0.16</v>
      </c>
      <c r="P1653" s="3">
        <v>0</v>
      </c>
      <c r="Q1653" s="3">
        <v>0</v>
      </c>
      <c r="R1653" s="3">
        <v>0</v>
      </c>
    </row>
    <row r="1654" spans="1:18">
      <c r="A1654" s="3" t="s">
        <v>2984</v>
      </c>
      <c r="B1654" s="3" t="s">
        <v>2985</v>
      </c>
      <c r="C1654" s="3" t="s">
        <v>2986</v>
      </c>
      <c r="D1654" s="3" t="s">
        <v>2987</v>
      </c>
      <c r="E1654" s="3" t="s">
        <v>1710</v>
      </c>
      <c r="F1654" s="3">
        <v>38</v>
      </c>
      <c r="G1654" s="3" t="s">
        <v>6233</v>
      </c>
      <c r="H1654" s="3"/>
      <c r="I1654" s="3" t="s">
        <v>6234</v>
      </c>
      <c r="J1654" s="3">
        <v>10</v>
      </c>
      <c r="K1654" s="3">
        <v>9</v>
      </c>
      <c r="L1654" s="3">
        <v>1</v>
      </c>
      <c r="M1654" s="3">
        <v>0</v>
      </c>
      <c r="N1654" s="3">
        <v>10</v>
      </c>
      <c r="O1654" s="3">
        <v>0.07</v>
      </c>
      <c r="P1654" s="3">
        <v>0</v>
      </c>
      <c r="Q1654" s="3">
        <v>0</v>
      </c>
      <c r="R1654" s="3">
        <v>0</v>
      </c>
    </row>
    <row r="1655" spans="1:18">
      <c r="A1655" s="3" t="s">
        <v>639</v>
      </c>
      <c r="B1655" s="3" t="s">
        <v>640</v>
      </c>
      <c r="C1655" s="3" t="s">
        <v>641</v>
      </c>
      <c r="D1655" s="3" t="s">
        <v>642</v>
      </c>
      <c r="E1655" s="3" t="s">
        <v>1710</v>
      </c>
      <c r="F1655" s="3">
        <v>38</v>
      </c>
      <c r="G1655" s="3" t="s">
        <v>6233</v>
      </c>
      <c r="H1655" s="3"/>
      <c r="I1655" s="3" t="s">
        <v>6234</v>
      </c>
      <c r="J1655" s="3">
        <v>12</v>
      </c>
      <c r="K1655" s="3">
        <v>7</v>
      </c>
      <c r="L1655" s="3">
        <v>1</v>
      </c>
      <c r="M1655" s="3">
        <v>4</v>
      </c>
      <c r="N1655" s="3">
        <v>20</v>
      </c>
      <c r="O1655" s="3">
        <v>0.07</v>
      </c>
      <c r="P1655" s="3">
        <v>0</v>
      </c>
      <c r="Q1655" s="3">
        <v>8</v>
      </c>
      <c r="R1655" s="3">
        <v>0</v>
      </c>
    </row>
    <row r="1656" spans="1:18">
      <c r="A1656" s="3" t="s">
        <v>3090</v>
      </c>
      <c r="B1656" s="3" t="s">
        <v>3091</v>
      </c>
      <c r="C1656" s="3" t="s">
        <v>3092</v>
      </c>
      <c r="D1656" s="3" t="s">
        <v>8457</v>
      </c>
      <c r="E1656" s="3" t="s">
        <v>1710</v>
      </c>
      <c r="F1656" s="3">
        <v>38</v>
      </c>
      <c r="G1656" s="3" t="s">
        <v>6233</v>
      </c>
      <c r="H1656" s="3"/>
      <c r="I1656" s="3" t="s">
        <v>6234</v>
      </c>
      <c r="J1656" s="3">
        <v>14</v>
      </c>
      <c r="K1656" s="3">
        <v>12</v>
      </c>
      <c r="L1656" s="3">
        <v>2</v>
      </c>
      <c r="M1656" s="3">
        <v>0</v>
      </c>
      <c r="N1656" s="3">
        <v>19</v>
      </c>
      <c r="O1656" s="3">
        <v>0.07</v>
      </c>
      <c r="P1656" s="3">
        <v>0</v>
      </c>
      <c r="Q1656" s="3">
        <v>5</v>
      </c>
      <c r="R1656" s="3">
        <v>0</v>
      </c>
    </row>
    <row r="1657" spans="1:18">
      <c r="A1657" s="3" t="s">
        <v>8458</v>
      </c>
      <c r="B1657" s="3" t="s">
        <v>8459</v>
      </c>
      <c r="C1657" s="3" t="s">
        <v>8460</v>
      </c>
      <c r="D1657" s="3" t="s">
        <v>8461</v>
      </c>
      <c r="E1657" s="3" t="s">
        <v>1710</v>
      </c>
      <c r="F1657" s="3">
        <v>38</v>
      </c>
      <c r="G1657" s="3" t="s">
        <v>6233</v>
      </c>
      <c r="H1657" s="3"/>
      <c r="I1657" s="3" t="s">
        <v>6234</v>
      </c>
      <c r="J1657" s="3">
        <v>18</v>
      </c>
      <c r="K1657" s="3">
        <v>14</v>
      </c>
      <c r="L1657" s="3">
        <v>4</v>
      </c>
      <c r="M1657" s="3">
        <v>0</v>
      </c>
      <c r="N1657" s="3">
        <v>46</v>
      </c>
      <c r="O1657" s="3">
        <v>0.07</v>
      </c>
      <c r="P1657" s="3">
        <v>0</v>
      </c>
      <c r="Q1657" s="3">
        <v>28</v>
      </c>
      <c r="R1657" s="3">
        <v>0</v>
      </c>
    </row>
    <row r="1658" spans="1:18">
      <c r="A1658" s="3" t="s">
        <v>5320</v>
      </c>
      <c r="B1658" s="3" t="s">
        <v>5321</v>
      </c>
      <c r="C1658" s="3" t="s">
        <v>5322</v>
      </c>
      <c r="D1658" s="3" t="s">
        <v>5323</v>
      </c>
      <c r="E1658" s="3" t="s">
        <v>1710</v>
      </c>
      <c r="F1658" s="3">
        <v>38</v>
      </c>
      <c r="G1658" s="3" t="s">
        <v>6233</v>
      </c>
      <c r="H1658" s="3"/>
      <c r="I1658" s="3" t="s">
        <v>6234</v>
      </c>
      <c r="J1658" s="3">
        <v>12</v>
      </c>
      <c r="K1658" s="3">
        <v>12</v>
      </c>
      <c r="L1658" s="3">
        <v>0</v>
      </c>
      <c r="M1658" s="3">
        <v>0</v>
      </c>
      <c r="N1658" s="3">
        <v>12</v>
      </c>
      <c r="O1658" s="3">
        <v>0.07</v>
      </c>
      <c r="P1658" s="3">
        <v>0</v>
      </c>
      <c r="Q1658" s="3">
        <v>0</v>
      </c>
      <c r="R1658" s="3">
        <v>0</v>
      </c>
    </row>
    <row r="1659" spans="1:18">
      <c r="A1659" s="3" t="s">
        <v>6171</v>
      </c>
      <c r="B1659" s="3" t="s">
        <v>6172</v>
      </c>
      <c r="C1659" s="3" t="s">
        <v>6173</v>
      </c>
      <c r="D1659" s="3" t="s">
        <v>6174</v>
      </c>
      <c r="E1659" s="3" t="s">
        <v>1710</v>
      </c>
      <c r="F1659" s="3">
        <v>38</v>
      </c>
      <c r="G1659" s="3" t="s">
        <v>6233</v>
      </c>
      <c r="H1659" s="3"/>
      <c r="I1659" s="3" t="s">
        <v>6234</v>
      </c>
      <c r="J1659" s="3">
        <v>14</v>
      </c>
      <c r="K1659" s="3">
        <v>14</v>
      </c>
      <c r="L1659" s="3">
        <v>0</v>
      </c>
      <c r="M1659" s="3">
        <v>0</v>
      </c>
      <c r="N1659" s="3">
        <v>14</v>
      </c>
      <c r="O1659" s="3">
        <v>0.07</v>
      </c>
      <c r="P1659" s="3">
        <v>0</v>
      </c>
      <c r="Q1659" s="3">
        <v>0</v>
      </c>
      <c r="R1659" s="3">
        <v>0</v>
      </c>
    </row>
    <row r="1660" spans="1:18">
      <c r="A1660" s="3" t="s">
        <v>2686</v>
      </c>
      <c r="B1660" s="3" t="s">
        <v>2687</v>
      </c>
      <c r="C1660" s="3" t="s">
        <v>2688</v>
      </c>
      <c r="D1660" s="3" t="s">
        <v>2689</v>
      </c>
      <c r="E1660" s="3" t="s">
        <v>1710</v>
      </c>
      <c r="F1660" s="3">
        <v>38</v>
      </c>
      <c r="G1660" s="3" t="s">
        <v>6233</v>
      </c>
      <c r="H1660" s="3"/>
      <c r="I1660" s="3" t="s">
        <v>6234</v>
      </c>
      <c r="J1660" s="3">
        <v>16</v>
      </c>
      <c r="K1660" s="3">
        <v>15</v>
      </c>
      <c r="L1660" s="3">
        <v>1</v>
      </c>
      <c r="M1660" s="3">
        <v>0</v>
      </c>
      <c r="N1660" s="3">
        <v>16</v>
      </c>
      <c r="O1660" s="3">
        <v>0.07</v>
      </c>
      <c r="P1660" s="3">
        <v>0</v>
      </c>
      <c r="Q1660" s="3">
        <v>0</v>
      </c>
      <c r="R1660" s="3">
        <v>0</v>
      </c>
    </row>
    <row r="1661" spans="1:18">
      <c r="A1661" s="3" t="s">
        <v>4882</v>
      </c>
      <c r="B1661" s="3" t="s">
        <v>4883</v>
      </c>
      <c r="C1661" s="3" t="s">
        <v>4884</v>
      </c>
      <c r="D1661" s="3" t="s">
        <v>4885</v>
      </c>
      <c r="E1661" s="3" t="s">
        <v>1710</v>
      </c>
      <c r="F1661" s="3">
        <v>38</v>
      </c>
      <c r="G1661" s="3" t="s">
        <v>6233</v>
      </c>
      <c r="H1661" s="3"/>
      <c r="I1661" s="3" t="s">
        <v>6234</v>
      </c>
      <c r="J1661" s="3">
        <v>23</v>
      </c>
      <c r="K1661" s="3">
        <v>23</v>
      </c>
      <c r="L1661" s="3">
        <v>0</v>
      </c>
      <c r="M1661" s="3">
        <v>0</v>
      </c>
      <c r="N1661" s="3">
        <v>23</v>
      </c>
      <c r="O1661" s="3">
        <v>0.07</v>
      </c>
      <c r="P1661" s="3">
        <v>0</v>
      </c>
      <c r="Q1661" s="3">
        <v>0</v>
      </c>
      <c r="R1661" s="3">
        <v>0</v>
      </c>
    </row>
    <row r="1662" spans="1:18">
      <c r="A1662" s="3" t="s">
        <v>595</v>
      </c>
      <c r="B1662" s="3" t="s">
        <v>596</v>
      </c>
      <c r="C1662" s="3" t="s">
        <v>597</v>
      </c>
      <c r="D1662" s="3" t="s">
        <v>598</v>
      </c>
      <c r="E1662" s="3" t="s">
        <v>1710</v>
      </c>
      <c r="F1662" s="3">
        <v>38</v>
      </c>
      <c r="G1662" s="3" t="s">
        <v>6233</v>
      </c>
      <c r="H1662" s="3"/>
      <c r="I1662" s="3" t="s">
        <v>6234</v>
      </c>
      <c r="J1662" s="3">
        <v>9</v>
      </c>
      <c r="K1662" s="3">
        <v>7</v>
      </c>
      <c r="L1662" s="3">
        <v>1</v>
      </c>
      <c r="M1662" s="3">
        <v>1</v>
      </c>
      <c r="N1662" s="3">
        <v>9</v>
      </c>
      <c r="O1662" s="3">
        <v>0.07</v>
      </c>
      <c r="P1662" s="3">
        <v>0</v>
      </c>
      <c r="Q1662" s="3">
        <v>0</v>
      </c>
      <c r="R1662" s="3">
        <v>0</v>
      </c>
    </row>
    <row r="1663" spans="1:18">
      <c r="A1663" s="3" t="s">
        <v>4468</v>
      </c>
      <c r="B1663" s="3" t="s">
        <v>4469</v>
      </c>
      <c r="C1663" s="3" t="s">
        <v>4470</v>
      </c>
      <c r="D1663" s="3" t="s">
        <v>4471</v>
      </c>
      <c r="E1663" s="3" t="s">
        <v>1710</v>
      </c>
      <c r="F1663" s="3">
        <v>38</v>
      </c>
      <c r="G1663" s="3" t="s">
        <v>6233</v>
      </c>
      <c r="H1663" s="3"/>
      <c r="I1663" s="3" t="s">
        <v>6234</v>
      </c>
      <c r="J1663" s="3">
        <v>14</v>
      </c>
      <c r="K1663" s="3">
        <v>14</v>
      </c>
      <c r="L1663" s="3">
        <v>0</v>
      </c>
      <c r="M1663" s="3">
        <v>0</v>
      </c>
      <c r="N1663" s="3">
        <v>14</v>
      </c>
      <c r="O1663" s="3">
        <v>0.07</v>
      </c>
      <c r="P1663" s="3">
        <v>0</v>
      </c>
      <c r="Q1663" s="3">
        <v>0</v>
      </c>
      <c r="R1663" s="3">
        <v>0</v>
      </c>
    </row>
    <row r="1664" spans="1:18">
      <c r="A1664" s="3" t="s">
        <v>655</v>
      </c>
      <c r="B1664" s="3" t="s">
        <v>656</v>
      </c>
      <c r="C1664" s="3" t="s">
        <v>657</v>
      </c>
      <c r="D1664" s="3" t="s">
        <v>658</v>
      </c>
      <c r="E1664" s="3" t="s">
        <v>1710</v>
      </c>
      <c r="F1664" s="3">
        <v>38</v>
      </c>
      <c r="G1664" s="3" t="s">
        <v>6233</v>
      </c>
      <c r="H1664" s="3"/>
      <c r="I1664" s="3" t="s">
        <v>6234</v>
      </c>
      <c r="J1664" s="3">
        <v>29</v>
      </c>
      <c r="K1664" s="3">
        <v>25</v>
      </c>
      <c r="L1664" s="3">
        <v>3</v>
      </c>
      <c r="M1664" s="3">
        <v>1</v>
      </c>
      <c r="N1664" s="3">
        <v>29</v>
      </c>
      <c r="O1664" s="3">
        <v>0.07</v>
      </c>
      <c r="P1664" s="3">
        <v>0</v>
      </c>
      <c r="Q1664" s="3">
        <v>0</v>
      </c>
      <c r="R1664" s="3">
        <v>0</v>
      </c>
    </row>
    <row r="1665" spans="1:18">
      <c r="A1665" s="3" t="s">
        <v>659</v>
      </c>
      <c r="B1665" s="3" t="s">
        <v>660</v>
      </c>
      <c r="C1665" s="3" t="s">
        <v>661</v>
      </c>
      <c r="D1665" s="3" t="s">
        <v>662</v>
      </c>
      <c r="E1665" s="3" t="s">
        <v>1710</v>
      </c>
      <c r="F1665" s="3">
        <v>38</v>
      </c>
      <c r="G1665" s="3" t="s">
        <v>6233</v>
      </c>
      <c r="H1665" s="3"/>
      <c r="I1665" s="3" t="s">
        <v>6234</v>
      </c>
      <c r="J1665" s="3">
        <v>28</v>
      </c>
      <c r="K1665" s="3">
        <v>26</v>
      </c>
      <c r="L1665" s="3">
        <v>1</v>
      </c>
      <c r="M1665" s="3">
        <v>1</v>
      </c>
      <c r="N1665" s="3">
        <v>28</v>
      </c>
      <c r="O1665" s="3">
        <v>0.07</v>
      </c>
      <c r="P1665" s="3">
        <v>0</v>
      </c>
      <c r="Q1665" s="3">
        <v>0</v>
      </c>
      <c r="R1665" s="3">
        <v>0</v>
      </c>
    </row>
    <row r="1666" spans="1:18">
      <c r="A1666" s="3" t="s">
        <v>2971</v>
      </c>
      <c r="B1666" s="3" t="s">
        <v>2972</v>
      </c>
      <c r="C1666" s="3" t="s">
        <v>2973</v>
      </c>
      <c r="D1666" s="3" t="s">
        <v>8462</v>
      </c>
      <c r="E1666" s="3" t="s">
        <v>1710</v>
      </c>
      <c r="F1666" s="3">
        <v>38</v>
      </c>
      <c r="G1666" s="3" t="s">
        <v>6233</v>
      </c>
      <c r="H1666" s="3"/>
      <c r="I1666" s="3" t="s">
        <v>6234</v>
      </c>
      <c r="J1666" s="3">
        <v>24</v>
      </c>
      <c r="K1666" s="3">
        <v>22</v>
      </c>
      <c r="L1666" s="3">
        <v>2</v>
      </c>
      <c r="M1666" s="3">
        <v>0</v>
      </c>
      <c r="N1666" s="3">
        <v>24</v>
      </c>
      <c r="O1666" s="3">
        <v>0.07</v>
      </c>
      <c r="P1666" s="3">
        <v>0</v>
      </c>
      <c r="Q1666" s="3">
        <v>0</v>
      </c>
      <c r="R1666" s="3">
        <v>0</v>
      </c>
    </row>
    <row r="1667" spans="1:18">
      <c r="A1667" s="3" t="s">
        <v>8463</v>
      </c>
      <c r="B1667" s="3" t="s">
        <v>8464</v>
      </c>
      <c r="C1667" s="3" t="s">
        <v>8465</v>
      </c>
      <c r="D1667" s="3" t="s">
        <v>654</v>
      </c>
      <c r="E1667" s="3" t="s">
        <v>1710</v>
      </c>
      <c r="F1667" s="3">
        <v>42.28</v>
      </c>
      <c r="G1667" s="3" t="s">
        <v>6233</v>
      </c>
      <c r="H1667" s="3"/>
      <c r="I1667" s="3" t="s">
        <v>6234</v>
      </c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>
        <v>0.15</v>
      </c>
      <c r="P1667" s="3">
        <v>0</v>
      </c>
      <c r="Q1667" s="3">
        <v>0</v>
      </c>
      <c r="R1667" s="3">
        <v>0</v>
      </c>
    </row>
    <row r="1668" spans="1:18">
      <c r="A1668" s="3" t="s">
        <v>8466</v>
      </c>
      <c r="B1668" s="3" t="s">
        <v>8467</v>
      </c>
      <c r="C1668" s="3" t="s">
        <v>8468</v>
      </c>
      <c r="D1668" s="3" t="s">
        <v>654</v>
      </c>
      <c r="E1668" s="3" t="s">
        <v>1710</v>
      </c>
      <c r="F1668" s="3">
        <v>42.28</v>
      </c>
      <c r="G1668" s="3" t="s">
        <v>6233</v>
      </c>
      <c r="H1668" s="3"/>
      <c r="I1668" s="3" t="s">
        <v>6234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0.15</v>
      </c>
      <c r="P1668" s="3">
        <v>0</v>
      </c>
      <c r="Q1668" s="3">
        <v>0</v>
      </c>
      <c r="R1668" s="3">
        <v>0</v>
      </c>
    </row>
    <row r="1669" spans="1:18">
      <c r="A1669" s="3" t="s">
        <v>2663</v>
      </c>
      <c r="B1669" s="3" t="s">
        <v>2664</v>
      </c>
      <c r="C1669" s="3" t="s">
        <v>2665</v>
      </c>
      <c r="D1669" s="3" t="s">
        <v>654</v>
      </c>
      <c r="E1669" s="3" t="s">
        <v>1710</v>
      </c>
      <c r="F1669" s="3">
        <v>42.28</v>
      </c>
      <c r="G1669" s="3" t="s">
        <v>6233</v>
      </c>
      <c r="H1669" s="3"/>
      <c r="I1669" s="3" t="s">
        <v>6234</v>
      </c>
      <c r="J1669" s="3">
        <v>6</v>
      </c>
      <c r="K1669" s="3">
        <v>6</v>
      </c>
      <c r="L1669" s="3">
        <v>0</v>
      </c>
      <c r="M1669" s="3">
        <v>0</v>
      </c>
      <c r="N1669" s="3">
        <v>6</v>
      </c>
      <c r="O1669" s="3">
        <v>0.15</v>
      </c>
      <c r="P1669" s="3">
        <v>0</v>
      </c>
      <c r="Q1669" s="3">
        <v>0</v>
      </c>
      <c r="R1669" s="3">
        <v>0</v>
      </c>
    </row>
    <row r="1670" spans="1:18">
      <c r="A1670" s="3" t="s">
        <v>651</v>
      </c>
      <c r="B1670" s="3" t="s">
        <v>652</v>
      </c>
      <c r="C1670" s="3" t="s">
        <v>653</v>
      </c>
      <c r="D1670" s="3" t="s">
        <v>654</v>
      </c>
      <c r="E1670" s="3" t="s">
        <v>1710</v>
      </c>
      <c r="F1670" s="3">
        <v>42.28</v>
      </c>
      <c r="G1670" s="3" t="s">
        <v>6233</v>
      </c>
      <c r="H1670" s="3"/>
      <c r="I1670" s="3" t="s">
        <v>6234</v>
      </c>
      <c r="J1670" s="3">
        <v>2</v>
      </c>
      <c r="K1670" s="3">
        <v>0</v>
      </c>
      <c r="L1670" s="3">
        <v>0</v>
      </c>
      <c r="M1670" s="3">
        <v>2</v>
      </c>
      <c r="N1670" s="3">
        <v>2</v>
      </c>
      <c r="O1670" s="3">
        <v>0.15</v>
      </c>
      <c r="P1670" s="3">
        <v>0</v>
      </c>
      <c r="Q1670" s="3">
        <v>0</v>
      </c>
      <c r="R1670" s="3">
        <v>0</v>
      </c>
    </row>
    <row r="1671" spans="1:18">
      <c r="A1671" s="3" t="s">
        <v>8469</v>
      </c>
      <c r="B1671" s="3" t="s">
        <v>8470</v>
      </c>
      <c r="C1671" s="3" t="s">
        <v>8471</v>
      </c>
      <c r="D1671" s="3" t="s">
        <v>654</v>
      </c>
      <c r="E1671" s="3" t="s">
        <v>1710</v>
      </c>
      <c r="F1671" s="3">
        <v>42.28</v>
      </c>
      <c r="G1671" s="3" t="s">
        <v>6233</v>
      </c>
      <c r="H1671" s="3"/>
      <c r="I1671" s="3" t="s">
        <v>6234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0.15</v>
      </c>
      <c r="P1671" s="3">
        <v>0</v>
      </c>
      <c r="Q1671" s="3">
        <v>0</v>
      </c>
      <c r="R1671" s="3">
        <v>0</v>
      </c>
    </row>
    <row r="1672" spans="1:18">
      <c r="A1672" s="3" t="s">
        <v>8472</v>
      </c>
      <c r="B1672" s="3" t="s">
        <v>8473</v>
      </c>
      <c r="C1672" s="3" t="s">
        <v>8474</v>
      </c>
      <c r="D1672" s="3" t="s">
        <v>654</v>
      </c>
      <c r="E1672" s="3" t="s">
        <v>1710</v>
      </c>
      <c r="F1672" s="3">
        <v>42.28</v>
      </c>
      <c r="G1672" s="3" t="s">
        <v>6233</v>
      </c>
      <c r="H1672" s="3"/>
      <c r="I1672" s="3" t="s">
        <v>6234</v>
      </c>
      <c r="J1672" s="3">
        <v>1</v>
      </c>
      <c r="K1672" s="3">
        <v>0</v>
      </c>
      <c r="L1672" s="3">
        <v>1</v>
      </c>
      <c r="M1672" s="3">
        <v>0</v>
      </c>
      <c r="N1672" s="3">
        <v>1</v>
      </c>
      <c r="O1672" s="3">
        <v>0.15</v>
      </c>
      <c r="P1672" s="3">
        <v>0</v>
      </c>
      <c r="Q1672" s="3">
        <v>0</v>
      </c>
      <c r="R1672" s="3">
        <v>0</v>
      </c>
    </row>
    <row r="1673" spans="1:18">
      <c r="A1673" s="3" t="s">
        <v>8475</v>
      </c>
      <c r="B1673" s="3" t="s">
        <v>8476</v>
      </c>
      <c r="C1673" s="3" t="s">
        <v>8477</v>
      </c>
      <c r="D1673" s="3" t="s">
        <v>654</v>
      </c>
      <c r="E1673" s="3" t="s">
        <v>1710</v>
      </c>
      <c r="F1673" s="3">
        <v>42.28</v>
      </c>
      <c r="G1673" s="3" t="s">
        <v>6233</v>
      </c>
      <c r="H1673" s="3"/>
      <c r="I1673" s="3" t="s">
        <v>6234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0.07</v>
      </c>
      <c r="P1673" s="3">
        <v>0</v>
      </c>
      <c r="Q1673" s="3">
        <v>0</v>
      </c>
      <c r="R1673" s="3">
        <v>0</v>
      </c>
    </row>
    <row r="1674" spans="1:18">
      <c r="A1674" s="3" t="s">
        <v>8478</v>
      </c>
      <c r="B1674" s="3" t="s">
        <v>8479</v>
      </c>
      <c r="C1674" s="3" t="s">
        <v>8480</v>
      </c>
      <c r="D1674" s="3" t="s">
        <v>654</v>
      </c>
      <c r="E1674" s="3" t="s">
        <v>1710</v>
      </c>
      <c r="F1674" s="3">
        <v>42.28</v>
      </c>
      <c r="G1674" s="3" t="s">
        <v>6233</v>
      </c>
      <c r="H1674" s="3"/>
      <c r="I1674" s="3" t="s">
        <v>6234</v>
      </c>
      <c r="J1674" s="3">
        <v>1</v>
      </c>
      <c r="K1674" s="3">
        <v>0</v>
      </c>
      <c r="L1674" s="3">
        <v>1</v>
      </c>
      <c r="M1674" s="3">
        <v>0</v>
      </c>
      <c r="N1674" s="3">
        <v>1</v>
      </c>
      <c r="O1674" s="3">
        <v>0.15</v>
      </c>
      <c r="P1674" s="3">
        <v>0</v>
      </c>
      <c r="Q1674" s="3">
        <v>0</v>
      </c>
      <c r="R1674" s="3">
        <v>0</v>
      </c>
    </row>
    <row r="1675" spans="1:18">
      <c r="A1675" s="3" t="s">
        <v>8481</v>
      </c>
      <c r="B1675" s="3" t="s">
        <v>8482</v>
      </c>
      <c r="C1675" s="3" t="s">
        <v>8483</v>
      </c>
      <c r="D1675" s="3" t="s">
        <v>654</v>
      </c>
      <c r="E1675" s="3" t="s">
        <v>1710</v>
      </c>
      <c r="F1675" s="3">
        <v>42.28</v>
      </c>
      <c r="G1675" s="3" t="s">
        <v>6233</v>
      </c>
      <c r="H1675" s="3"/>
      <c r="I1675" s="3" t="s">
        <v>6234</v>
      </c>
      <c r="J1675" s="3">
        <v>1</v>
      </c>
      <c r="K1675" s="3">
        <v>0</v>
      </c>
      <c r="L1675" s="3">
        <v>1</v>
      </c>
      <c r="M1675" s="3">
        <v>0</v>
      </c>
      <c r="N1675" s="3">
        <v>1</v>
      </c>
      <c r="O1675" s="3">
        <v>0.15</v>
      </c>
      <c r="P1675" s="3">
        <v>0</v>
      </c>
      <c r="Q1675" s="3">
        <v>0</v>
      </c>
      <c r="R1675" s="3">
        <v>0</v>
      </c>
    </row>
    <row r="1676" spans="1:18">
      <c r="A1676" s="3" t="s">
        <v>3882</v>
      </c>
      <c r="B1676" s="3" t="s">
        <v>3883</v>
      </c>
      <c r="C1676" s="3" t="s">
        <v>3884</v>
      </c>
      <c r="D1676" s="3" t="s">
        <v>654</v>
      </c>
      <c r="E1676" s="3" t="s">
        <v>1710</v>
      </c>
      <c r="F1676" s="3">
        <v>42.28</v>
      </c>
      <c r="G1676" s="3" t="s">
        <v>6233</v>
      </c>
      <c r="H1676" s="3"/>
      <c r="I1676" s="3" t="s">
        <v>6234</v>
      </c>
      <c r="J1676" s="3">
        <v>2</v>
      </c>
      <c r="K1676" s="3">
        <v>2</v>
      </c>
      <c r="L1676" s="3">
        <v>0</v>
      </c>
      <c r="M1676" s="3">
        <v>0</v>
      </c>
      <c r="N1676" s="3">
        <v>2</v>
      </c>
      <c r="O1676" s="3">
        <v>0.15</v>
      </c>
      <c r="P1676" s="3">
        <v>0</v>
      </c>
      <c r="Q1676" s="3">
        <v>0</v>
      </c>
      <c r="R1676" s="3">
        <v>0</v>
      </c>
    </row>
    <row r="1677" spans="1:18">
      <c r="A1677" s="3" t="s">
        <v>8484</v>
      </c>
      <c r="B1677" s="3" t="s">
        <v>8485</v>
      </c>
      <c r="C1677" s="3" t="s">
        <v>8486</v>
      </c>
      <c r="D1677" s="3"/>
      <c r="E1677" s="3" t="s">
        <v>6275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5247</v>
      </c>
      <c r="B1678" s="3" t="s">
        <v>5248</v>
      </c>
      <c r="C1678" s="3" t="s">
        <v>5249</v>
      </c>
      <c r="D1678" s="3" t="s">
        <v>5250</v>
      </c>
      <c r="E1678" s="3" t="s">
        <v>1710</v>
      </c>
      <c r="F1678" s="3">
        <v>39.99</v>
      </c>
      <c r="G1678" s="3" t="s">
        <v>6233</v>
      </c>
      <c r="H1678" s="3"/>
      <c r="I1678" s="3" t="s">
        <v>6234</v>
      </c>
      <c r="J1678" s="3">
        <v>7</v>
      </c>
      <c r="K1678" s="3">
        <v>7</v>
      </c>
      <c r="L1678" s="3">
        <v>0</v>
      </c>
      <c r="M1678" s="3">
        <v>0</v>
      </c>
      <c r="N1678" s="3">
        <v>7</v>
      </c>
      <c r="O1678" s="3">
        <v>0.05</v>
      </c>
      <c r="P1678" s="3">
        <v>0</v>
      </c>
      <c r="Q1678" s="3">
        <v>0</v>
      </c>
      <c r="R1678" s="3">
        <v>0</v>
      </c>
    </row>
    <row r="1679" spans="1:18">
      <c r="A1679" s="3" t="s">
        <v>5515</v>
      </c>
      <c r="B1679" s="3" t="s">
        <v>5516</v>
      </c>
      <c r="C1679" s="3" t="s">
        <v>5517</v>
      </c>
      <c r="D1679" s="3" t="s">
        <v>5250</v>
      </c>
      <c r="E1679" s="3" t="s">
        <v>1710</v>
      </c>
      <c r="F1679" s="3">
        <v>20</v>
      </c>
      <c r="G1679" s="3" t="s">
        <v>6233</v>
      </c>
      <c r="H1679" s="3"/>
      <c r="I1679" s="3" t="s">
        <v>6234</v>
      </c>
      <c r="J1679" s="3">
        <v>7</v>
      </c>
      <c r="K1679" s="3">
        <v>7</v>
      </c>
      <c r="L1679" s="3">
        <v>0</v>
      </c>
      <c r="M1679" s="3">
        <v>0</v>
      </c>
      <c r="N1679" s="3">
        <v>7</v>
      </c>
      <c r="O1679" s="3">
        <v>0.06</v>
      </c>
      <c r="P1679" s="3">
        <v>0</v>
      </c>
      <c r="Q1679" s="3">
        <v>0</v>
      </c>
      <c r="R1679" s="3">
        <v>0</v>
      </c>
    </row>
    <row r="1680" spans="1:18">
      <c r="A1680" s="3" t="s">
        <v>4990</v>
      </c>
      <c r="B1680" s="3" t="s">
        <v>4991</v>
      </c>
      <c r="C1680" s="3" t="s">
        <v>4992</v>
      </c>
      <c r="D1680" s="3" t="s">
        <v>4993</v>
      </c>
      <c r="E1680" s="3" t="s">
        <v>1710</v>
      </c>
      <c r="F1680" s="3">
        <v>39.99</v>
      </c>
      <c r="G1680" s="3" t="s">
        <v>6233</v>
      </c>
      <c r="H1680" s="3"/>
      <c r="I1680" s="3" t="s">
        <v>6234</v>
      </c>
      <c r="J1680" s="3">
        <v>7</v>
      </c>
      <c r="K1680" s="3">
        <v>7</v>
      </c>
      <c r="L1680" s="3">
        <v>0</v>
      </c>
      <c r="M1680" s="3">
        <v>0</v>
      </c>
      <c r="N1680" s="3">
        <v>7</v>
      </c>
      <c r="O1680" s="3">
        <v>0.06</v>
      </c>
      <c r="P1680" s="3">
        <v>0</v>
      </c>
      <c r="Q1680" s="3">
        <v>0</v>
      </c>
      <c r="R1680" s="3">
        <v>0</v>
      </c>
    </row>
    <row r="1681" spans="1:18">
      <c r="A1681" s="3" t="s">
        <v>8487</v>
      </c>
      <c r="B1681" s="3" t="s">
        <v>8488</v>
      </c>
      <c r="C1681" s="3" t="s">
        <v>8489</v>
      </c>
      <c r="D1681" s="3" t="s">
        <v>2419</v>
      </c>
      <c r="E1681" s="3" t="s">
        <v>1710</v>
      </c>
      <c r="F1681" s="3">
        <v>39.99</v>
      </c>
      <c r="G1681" s="3" t="s">
        <v>6233</v>
      </c>
      <c r="H1681" s="3"/>
      <c r="I1681" s="3" t="s">
        <v>6234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0.03</v>
      </c>
      <c r="P1681" s="3">
        <v>0</v>
      </c>
      <c r="Q1681" s="3">
        <v>0</v>
      </c>
      <c r="R1681" s="3">
        <v>0</v>
      </c>
    </row>
    <row r="1682" spans="1:18">
      <c r="A1682" s="3" t="s">
        <v>2416</v>
      </c>
      <c r="B1682" s="3" t="s">
        <v>2417</v>
      </c>
      <c r="C1682" s="3" t="s">
        <v>2418</v>
      </c>
      <c r="D1682" s="3" t="s">
        <v>2419</v>
      </c>
      <c r="E1682" s="3" t="s">
        <v>1710</v>
      </c>
      <c r="F1682" s="3">
        <v>39.99</v>
      </c>
      <c r="G1682" s="3" t="s">
        <v>6233</v>
      </c>
      <c r="H1682" s="3"/>
      <c r="I1682" s="3" t="s">
        <v>6234</v>
      </c>
      <c r="J1682" s="3">
        <v>5</v>
      </c>
      <c r="K1682" s="3">
        <v>5</v>
      </c>
      <c r="L1682" s="3">
        <v>0</v>
      </c>
      <c r="M1682" s="3">
        <v>0</v>
      </c>
      <c r="N1682" s="3">
        <v>5</v>
      </c>
      <c r="O1682" s="3">
        <v>0.03</v>
      </c>
      <c r="P1682" s="3">
        <v>0</v>
      </c>
      <c r="Q1682" s="3">
        <v>0</v>
      </c>
      <c r="R1682" s="3">
        <v>0</v>
      </c>
    </row>
    <row r="1683" spans="1:18">
      <c r="A1683" s="3" t="s">
        <v>4472</v>
      </c>
      <c r="B1683" s="3" t="s">
        <v>4473</v>
      </c>
      <c r="C1683" s="3" t="s">
        <v>4474</v>
      </c>
      <c r="D1683" s="3" t="s">
        <v>2419</v>
      </c>
      <c r="E1683" s="3" t="s">
        <v>1710</v>
      </c>
      <c r="F1683" s="3">
        <v>39.99</v>
      </c>
      <c r="G1683" s="3" t="s">
        <v>6233</v>
      </c>
      <c r="H1683" s="3"/>
      <c r="I1683" s="3" t="s">
        <v>6234</v>
      </c>
      <c r="J1683" s="3">
        <v>3</v>
      </c>
      <c r="K1683" s="3">
        <v>3</v>
      </c>
      <c r="L1683" s="3">
        <v>0</v>
      </c>
      <c r="M1683" s="3">
        <v>0</v>
      </c>
      <c r="N1683" s="3">
        <v>3</v>
      </c>
      <c r="O1683" s="3">
        <v>0.03</v>
      </c>
      <c r="P1683" s="3">
        <v>0</v>
      </c>
      <c r="Q1683" s="3">
        <v>0</v>
      </c>
      <c r="R1683" s="3">
        <v>0</v>
      </c>
    </row>
    <row r="1684" spans="1:18">
      <c r="A1684" s="3" t="s">
        <v>2822</v>
      </c>
      <c r="B1684" s="3" t="s">
        <v>2823</v>
      </c>
      <c r="C1684" s="3" t="s">
        <v>2824</v>
      </c>
      <c r="D1684" s="3" t="s">
        <v>2825</v>
      </c>
      <c r="E1684" s="3" t="s">
        <v>1710</v>
      </c>
      <c r="F1684" s="3">
        <v>42.88</v>
      </c>
      <c r="G1684" s="3" t="s">
        <v>6233</v>
      </c>
      <c r="H1684" s="3"/>
      <c r="I1684" s="3" t="s">
        <v>6234</v>
      </c>
      <c r="J1684" s="3">
        <v>34</v>
      </c>
      <c r="K1684" s="3">
        <v>34</v>
      </c>
      <c r="L1684" s="3">
        <v>0</v>
      </c>
      <c r="M1684" s="3">
        <v>0</v>
      </c>
      <c r="N1684" s="3">
        <v>34</v>
      </c>
      <c r="O1684" s="3">
        <v>0.01</v>
      </c>
      <c r="P1684" s="3">
        <v>0</v>
      </c>
      <c r="Q1684" s="3">
        <v>0</v>
      </c>
      <c r="R1684" s="3">
        <v>0</v>
      </c>
    </row>
    <row r="1685" spans="1:18">
      <c r="A1685" s="3" t="s">
        <v>1975</v>
      </c>
      <c r="B1685" s="3" t="s">
        <v>1976</v>
      </c>
      <c r="C1685" s="3" t="s">
        <v>1977</v>
      </c>
      <c r="D1685" s="3" t="s">
        <v>1978</v>
      </c>
      <c r="E1685" s="3" t="s">
        <v>1710</v>
      </c>
      <c r="F1685" s="3">
        <v>42.88</v>
      </c>
      <c r="G1685" s="3" t="s">
        <v>6233</v>
      </c>
      <c r="H1685" s="3"/>
      <c r="I1685" s="3" t="s">
        <v>6234</v>
      </c>
      <c r="J1685" s="3">
        <v>16</v>
      </c>
      <c r="K1685" s="3">
        <v>15</v>
      </c>
      <c r="L1685" s="3">
        <v>1</v>
      </c>
      <c r="M1685" s="3">
        <v>0</v>
      </c>
      <c r="N1685" s="3">
        <v>16</v>
      </c>
      <c r="O1685" s="3">
        <v>0.01</v>
      </c>
      <c r="P1685" s="3">
        <v>0</v>
      </c>
      <c r="Q1685" s="3">
        <v>0</v>
      </c>
      <c r="R1685" s="3">
        <v>0</v>
      </c>
    </row>
    <row r="1686" spans="1:18">
      <c r="A1686" s="3" t="s">
        <v>1832</v>
      </c>
      <c r="B1686" s="3" t="s">
        <v>1833</v>
      </c>
      <c r="C1686" s="3" t="s">
        <v>1834</v>
      </c>
      <c r="D1686" s="3" t="s">
        <v>1835</v>
      </c>
      <c r="E1686" s="3" t="s">
        <v>1710</v>
      </c>
      <c r="F1686" s="3">
        <v>42.88</v>
      </c>
      <c r="G1686" s="3" t="s">
        <v>6233</v>
      </c>
      <c r="H1686" s="3"/>
      <c r="I1686" s="3" t="s">
        <v>6234</v>
      </c>
      <c r="J1686" s="3">
        <v>17</v>
      </c>
      <c r="K1686" s="3">
        <v>15</v>
      </c>
      <c r="L1686" s="3">
        <v>2</v>
      </c>
      <c r="M1686" s="3">
        <v>0</v>
      </c>
      <c r="N1686" s="3">
        <v>17</v>
      </c>
      <c r="O1686" s="3">
        <v>0.01</v>
      </c>
      <c r="P1686" s="3">
        <v>0</v>
      </c>
      <c r="Q1686" s="3">
        <v>0</v>
      </c>
      <c r="R1686" s="3">
        <v>0</v>
      </c>
    </row>
    <row r="1687" spans="1:18">
      <c r="A1687" s="3" t="s">
        <v>1790</v>
      </c>
      <c r="B1687" s="3" t="s">
        <v>1791</v>
      </c>
      <c r="C1687" s="3" t="s">
        <v>1792</v>
      </c>
      <c r="D1687" s="3" t="s">
        <v>1793</v>
      </c>
      <c r="E1687" s="3" t="s">
        <v>1710</v>
      </c>
      <c r="F1687" s="3">
        <v>42.88</v>
      </c>
      <c r="G1687" s="3" t="s">
        <v>6233</v>
      </c>
      <c r="H1687" s="3"/>
      <c r="I1687" s="3" t="s">
        <v>6234</v>
      </c>
      <c r="J1687" s="3">
        <v>18</v>
      </c>
      <c r="K1687" s="3">
        <v>17</v>
      </c>
      <c r="L1687" s="3">
        <v>1</v>
      </c>
      <c r="M1687" s="3">
        <v>0</v>
      </c>
      <c r="N1687" s="3">
        <v>20</v>
      </c>
      <c r="O1687" s="3">
        <v>0.01</v>
      </c>
      <c r="P1687" s="3">
        <v>0</v>
      </c>
      <c r="Q1687" s="3">
        <v>2</v>
      </c>
      <c r="R1687" s="3">
        <v>0</v>
      </c>
    </row>
    <row r="1688" spans="1:18">
      <c r="A1688" s="3" t="s">
        <v>767</v>
      </c>
      <c r="B1688" s="3" t="s">
        <v>768</v>
      </c>
      <c r="C1688" s="3" t="s">
        <v>769</v>
      </c>
      <c r="D1688" s="3" t="s">
        <v>770</v>
      </c>
      <c r="E1688" s="3" t="s">
        <v>1710</v>
      </c>
      <c r="F1688" s="3">
        <v>42.88</v>
      </c>
      <c r="G1688" s="3" t="s">
        <v>6233</v>
      </c>
      <c r="H1688" s="3"/>
      <c r="I1688" s="3" t="s">
        <v>6234</v>
      </c>
      <c r="J1688" s="3">
        <v>17</v>
      </c>
      <c r="K1688" s="3">
        <v>16</v>
      </c>
      <c r="L1688" s="3">
        <v>0</v>
      </c>
      <c r="M1688" s="3">
        <v>1</v>
      </c>
      <c r="N1688" s="3">
        <v>17</v>
      </c>
      <c r="O1688" s="3">
        <v>0.01</v>
      </c>
      <c r="P1688" s="3">
        <v>0</v>
      </c>
      <c r="Q1688" s="3">
        <v>0</v>
      </c>
      <c r="R1688" s="3">
        <v>0</v>
      </c>
    </row>
    <row r="1689" spans="1:18">
      <c r="A1689" s="3" t="s">
        <v>775</v>
      </c>
      <c r="B1689" s="3" t="s">
        <v>776</v>
      </c>
      <c r="C1689" s="3" t="s">
        <v>777</v>
      </c>
      <c r="D1689" s="3" t="s">
        <v>778</v>
      </c>
      <c r="E1689" s="3" t="s">
        <v>1710</v>
      </c>
      <c r="F1689" s="3">
        <v>42.88</v>
      </c>
      <c r="G1689" s="3" t="s">
        <v>6233</v>
      </c>
      <c r="H1689" s="3"/>
      <c r="I1689" s="3" t="s">
        <v>6234</v>
      </c>
      <c r="J1689" s="3">
        <v>83</v>
      </c>
      <c r="K1689" s="3">
        <v>71</v>
      </c>
      <c r="L1689" s="3">
        <v>10</v>
      </c>
      <c r="M1689" s="3">
        <v>2</v>
      </c>
      <c r="N1689" s="3">
        <v>83</v>
      </c>
      <c r="O1689" s="3">
        <v>0.01</v>
      </c>
      <c r="P1689" s="3">
        <v>0</v>
      </c>
      <c r="Q1689" s="3">
        <v>0</v>
      </c>
      <c r="R1689" s="3">
        <v>0</v>
      </c>
    </row>
    <row r="1690" spans="1:18">
      <c r="A1690" s="3" t="s">
        <v>727</v>
      </c>
      <c r="B1690" s="3" t="s">
        <v>728</v>
      </c>
      <c r="C1690" s="3" t="s">
        <v>729</v>
      </c>
      <c r="D1690" s="3" t="s">
        <v>730</v>
      </c>
      <c r="E1690" s="3" t="s">
        <v>1710</v>
      </c>
      <c r="F1690" s="3">
        <v>42.88</v>
      </c>
      <c r="G1690" s="3" t="s">
        <v>6233</v>
      </c>
      <c r="H1690" s="3"/>
      <c r="I1690" s="3" t="s">
        <v>6234</v>
      </c>
      <c r="J1690" s="3">
        <v>59</v>
      </c>
      <c r="K1690" s="3">
        <v>50</v>
      </c>
      <c r="L1690" s="3">
        <v>7</v>
      </c>
      <c r="M1690" s="3">
        <v>2</v>
      </c>
      <c r="N1690" s="3">
        <v>67</v>
      </c>
      <c r="O1690" s="3">
        <v>0.01</v>
      </c>
      <c r="P1690" s="3">
        <v>0</v>
      </c>
      <c r="Q1690" s="3">
        <v>8</v>
      </c>
      <c r="R1690" s="3">
        <v>0</v>
      </c>
    </row>
    <row r="1691" spans="1:18">
      <c r="A1691" s="3" t="s">
        <v>4309</v>
      </c>
      <c r="B1691" s="3" t="s">
        <v>4310</v>
      </c>
      <c r="C1691" s="3" t="s">
        <v>4311</v>
      </c>
      <c r="D1691" s="3" t="s">
        <v>4312</v>
      </c>
      <c r="E1691" s="3" t="s">
        <v>1710</v>
      </c>
      <c r="F1691" s="3">
        <v>42.88</v>
      </c>
      <c r="G1691" s="3" t="s">
        <v>6233</v>
      </c>
      <c r="H1691" s="3"/>
      <c r="I1691" s="3" t="s">
        <v>6234</v>
      </c>
      <c r="J1691" s="3">
        <v>8</v>
      </c>
      <c r="K1691" s="3">
        <v>8</v>
      </c>
      <c r="L1691" s="3">
        <v>0</v>
      </c>
      <c r="M1691" s="3">
        <v>0</v>
      </c>
      <c r="N1691" s="3">
        <v>8</v>
      </c>
      <c r="O1691" s="3">
        <v>0.01</v>
      </c>
      <c r="P1691" s="3">
        <v>0</v>
      </c>
      <c r="Q1691" s="3">
        <v>0</v>
      </c>
      <c r="R1691" s="3">
        <v>0</v>
      </c>
    </row>
    <row r="1692" spans="1:18">
      <c r="A1692" s="3" t="s">
        <v>5716</v>
      </c>
      <c r="B1692" s="3" t="s">
        <v>5717</v>
      </c>
      <c r="C1692" s="3" t="s">
        <v>5718</v>
      </c>
      <c r="D1692" s="3" t="s">
        <v>5719</v>
      </c>
      <c r="E1692" s="3" t="s">
        <v>1710</v>
      </c>
      <c r="F1692" s="3">
        <v>42.88</v>
      </c>
      <c r="G1692" s="3" t="s">
        <v>6233</v>
      </c>
      <c r="H1692" s="3"/>
      <c r="I1692" s="3" t="s">
        <v>6234</v>
      </c>
      <c r="J1692" s="3">
        <v>11</v>
      </c>
      <c r="K1692" s="3">
        <v>11</v>
      </c>
      <c r="L1692" s="3">
        <v>0</v>
      </c>
      <c r="M1692" s="3">
        <v>0</v>
      </c>
      <c r="N1692" s="3">
        <v>11</v>
      </c>
      <c r="O1692" s="3">
        <v>0.01</v>
      </c>
      <c r="P1692" s="3">
        <v>0</v>
      </c>
      <c r="Q1692" s="3">
        <v>0</v>
      </c>
      <c r="R1692" s="3">
        <v>0</v>
      </c>
    </row>
    <row r="1693" spans="1:18">
      <c r="A1693" s="3" t="s">
        <v>5533</v>
      </c>
      <c r="B1693" s="3" t="s">
        <v>5534</v>
      </c>
      <c r="C1693" s="3" t="s">
        <v>5535</v>
      </c>
      <c r="D1693" s="3" t="s">
        <v>5536</v>
      </c>
      <c r="E1693" s="3" t="s">
        <v>1710</v>
      </c>
      <c r="F1693" s="3">
        <v>42.88</v>
      </c>
      <c r="G1693" s="3" t="s">
        <v>6233</v>
      </c>
      <c r="H1693" s="3"/>
      <c r="I1693" s="3" t="s">
        <v>6234</v>
      </c>
      <c r="J1693" s="3">
        <v>10</v>
      </c>
      <c r="K1693" s="3">
        <v>8</v>
      </c>
      <c r="L1693" s="3">
        <v>2</v>
      </c>
      <c r="M1693" s="3">
        <v>0</v>
      </c>
      <c r="N1693" s="3">
        <v>10</v>
      </c>
      <c r="O1693" s="3">
        <v>0.01</v>
      </c>
      <c r="P1693" s="3">
        <v>0</v>
      </c>
      <c r="Q1693" s="3">
        <v>0</v>
      </c>
      <c r="R1693" s="3">
        <v>0</v>
      </c>
    </row>
    <row r="1694" spans="1:18">
      <c r="A1694" s="3" t="s">
        <v>2860</v>
      </c>
      <c r="B1694" s="3" t="s">
        <v>2861</v>
      </c>
      <c r="C1694" s="3" t="s">
        <v>2862</v>
      </c>
      <c r="D1694" s="3" t="s">
        <v>2863</v>
      </c>
      <c r="E1694" s="3" t="s">
        <v>1710</v>
      </c>
      <c r="F1694" s="3">
        <v>42.88</v>
      </c>
      <c r="G1694" s="3" t="s">
        <v>6233</v>
      </c>
      <c r="H1694" s="3"/>
      <c r="I1694" s="3" t="s">
        <v>6234</v>
      </c>
      <c r="J1694" s="3">
        <v>10</v>
      </c>
      <c r="K1694" s="3">
        <v>10</v>
      </c>
      <c r="L1694" s="3">
        <v>0</v>
      </c>
      <c r="M1694" s="3">
        <v>0</v>
      </c>
      <c r="N1694" s="3">
        <v>10</v>
      </c>
      <c r="O1694" s="3">
        <v>0.01</v>
      </c>
      <c r="P1694" s="3">
        <v>0</v>
      </c>
      <c r="Q1694" s="3">
        <v>0</v>
      </c>
      <c r="R1694" s="3">
        <v>0</v>
      </c>
    </row>
    <row r="1695" spans="1:18">
      <c r="A1695" s="3" t="s">
        <v>4655</v>
      </c>
      <c r="B1695" s="3" t="s">
        <v>4656</v>
      </c>
      <c r="C1695" s="3" t="s">
        <v>4657</v>
      </c>
      <c r="D1695" s="3" t="s">
        <v>4658</v>
      </c>
      <c r="E1695" s="3" t="s">
        <v>1710</v>
      </c>
      <c r="F1695" s="3">
        <v>42.88</v>
      </c>
      <c r="G1695" s="3" t="s">
        <v>6233</v>
      </c>
      <c r="H1695" s="3"/>
      <c r="I1695" s="3" t="s">
        <v>6234</v>
      </c>
      <c r="J1695" s="3">
        <v>12</v>
      </c>
      <c r="K1695" s="3">
        <v>12</v>
      </c>
      <c r="L1695" s="3">
        <v>0</v>
      </c>
      <c r="M1695" s="3">
        <v>0</v>
      </c>
      <c r="N1695" s="3">
        <v>12</v>
      </c>
      <c r="O1695" s="3">
        <v>0.01</v>
      </c>
      <c r="P1695" s="3">
        <v>0</v>
      </c>
      <c r="Q1695" s="3">
        <v>0</v>
      </c>
      <c r="R1695" s="3">
        <v>0</v>
      </c>
    </row>
    <row r="1696" spans="1:18">
      <c r="A1696" s="3" t="s">
        <v>771</v>
      </c>
      <c r="B1696" s="3" t="s">
        <v>772</v>
      </c>
      <c r="C1696" s="3" t="s">
        <v>773</v>
      </c>
      <c r="D1696" s="3" t="s">
        <v>774</v>
      </c>
      <c r="E1696" s="3" t="s">
        <v>1710</v>
      </c>
      <c r="F1696" s="3">
        <v>42.88</v>
      </c>
      <c r="G1696" s="3" t="s">
        <v>6233</v>
      </c>
      <c r="H1696" s="3"/>
      <c r="I1696" s="3" t="s">
        <v>6234</v>
      </c>
      <c r="J1696" s="3">
        <v>42</v>
      </c>
      <c r="K1696" s="3">
        <v>24</v>
      </c>
      <c r="L1696" s="3">
        <v>6</v>
      </c>
      <c r="M1696" s="3">
        <v>12</v>
      </c>
      <c r="N1696" s="3">
        <v>59</v>
      </c>
      <c r="O1696" s="3">
        <v>0.01</v>
      </c>
      <c r="P1696" s="3">
        <v>0</v>
      </c>
      <c r="Q1696" s="3">
        <v>17</v>
      </c>
      <c r="R1696" s="3">
        <v>0</v>
      </c>
    </row>
    <row r="1697" spans="1:18">
      <c r="A1697" s="3" t="s">
        <v>4402</v>
      </c>
      <c r="B1697" s="3" t="s">
        <v>4403</v>
      </c>
      <c r="C1697" s="3" t="s">
        <v>4404</v>
      </c>
      <c r="D1697" s="3" t="s">
        <v>4405</v>
      </c>
      <c r="E1697" s="3" t="s">
        <v>1710</v>
      </c>
      <c r="F1697" s="3">
        <v>42.88</v>
      </c>
      <c r="G1697" s="3" t="s">
        <v>6233</v>
      </c>
      <c r="H1697" s="3"/>
      <c r="I1697" s="3" t="s">
        <v>6234</v>
      </c>
      <c r="J1697" s="3">
        <v>44</v>
      </c>
      <c r="K1697" s="3">
        <v>39</v>
      </c>
      <c r="L1697" s="3">
        <v>5</v>
      </c>
      <c r="M1697" s="3">
        <v>0</v>
      </c>
      <c r="N1697" s="3">
        <v>44</v>
      </c>
      <c r="O1697" s="3">
        <v>0.01</v>
      </c>
      <c r="P1697" s="3">
        <v>0</v>
      </c>
      <c r="Q1697" s="3">
        <v>0</v>
      </c>
      <c r="R1697" s="3">
        <v>0</v>
      </c>
    </row>
    <row r="1698" spans="1:18">
      <c r="A1698" s="3" t="s">
        <v>731</v>
      </c>
      <c r="B1698" s="3" t="s">
        <v>732</v>
      </c>
      <c r="C1698" s="3" t="s">
        <v>733</v>
      </c>
      <c r="D1698" s="3" t="s">
        <v>734</v>
      </c>
      <c r="E1698" s="3" t="s">
        <v>1710</v>
      </c>
      <c r="F1698" s="3">
        <v>42.88</v>
      </c>
      <c r="G1698" s="3" t="s">
        <v>6233</v>
      </c>
      <c r="H1698" s="3"/>
      <c r="I1698" s="3" t="s">
        <v>6234</v>
      </c>
      <c r="J1698" s="3">
        <v>25</v>
      </c>
      <c r="K1698" s="3">
        <v>23</v>
      </c>
      <c r="L1698" s="3">
        <v>1</v>
      </c>
      <c r="M1698" s="3">
        <v>1</v>
      </c>
      <c r="N1698" s="3">
        <v>25</v>
      </c>
      <c r="O1698" s="3">
        <v>0.01</v>
      </c>
      <c r="P1698" s="3">
        <v>0</v>
      </c>
      <c r="Q1698" s="3">
        <v>0</v>
      </c>
      <c r="R1698" s="3">
        <v>0</v>
      </c>
    </row>
    <row r="1699" spans="1:18">
      <c r="A1699" s="3" t="s">
        <v>707</v>
      </c>
      <c r="B1699" s="3" t="s">
        <v>708</v>
      </c>
      <c r="C1699" s="3" t="s">
        <v>709</v>
      </c>
      <c r="D1699" s="3" t="s">
        <v>710</v>
      </c>
      <c r="E1699" s="3" t="s">
        <v>1710</v>
      </c>
      <c r="F1699" s="3">
        <v>38.99</v>
      </c>
      <c r="G1699" s="3" t="s">
        <v>6233</v>
      </c>
      <c r="H1699" s="3"/>
      <c r="I1699" s="3" t="s">
        <v>6234</v>
      </c>
      <c r="J1699" s="3">
        <v>3</v>
      </c>
      <c r="K1699" s="3">
        <v>1</v>
      </c>
      <c r="L1699" s="3">
        <v>1</v>
      </c>
      <c r="M1699" s="3">
        <v>1</v>
      </c>
      <c r="N1699" s="3">
        <v>8</v>
      </c>
      <c r="O1699" s="3">
        <v>0.07</v>
      </c>
      <c r="P1699" s="3">
        <v>0</v>
      </c>
      <c r="Q1699" s="3">
        <v>5</v>
      </c>
      <c r="R1699" s="3">
        <v>0</v>
      </c>
    </row>
    <row r="1700" spans="1:18">
      <c r="A1700" s="3" t="s">
        <v>6061</v>
      </c>
      <c r="B1700" s="3" t="s">
        <v>6062</v>
      </c>
      <c r="C1700" s="3" t="s">
        <v>6063</v>
      </c>
      <c r="D1700" s="3" t="s">
        <v>6064</v>
      </c>
      <c r="E1700" s="3" t="s">
        <v>1710</v>
      </c>
      <c r="F1700" s="3">
        <v>38.99</v>
      </c>
      <c r="G1700" s="3" t="s">
        <v>6233</v>
      </c>
      <c r="H1700" s="3"/>
      <c r="I1700" s="3" t="s">
        <v>6234</v>
      </c>
      <c r="J1700" s="3">
        <v>11</v>
      </c>
      <c r="K1700" s="3">
        <v>11</v>
      </c>
      <c r="L1700" s="3">
        <v>0</v>
      </c>
      <c r="M1700" s="3">
        <v>0</v>
      </c>
      <c r="N1700" s="3">
        <v>16</v>
      </c>
      <c r="O1700" s="3">
        <v>0.07</v>
      </c>
      <c r="P1700" s="3">
        <v>0</v>
      </c>
      <c r="Q1700" s="3">
        <v>5</v>
      </c>
      <c r="R1700" s="3">
        <v>0</v>
      </c>
    </row>
    <row r="1701" spans="1:18">
      <c r="A1701" s="3" t="s">
        <v>5427</v>
      </c>
      <c r="B1701" s="3" t="s">
        <v>5428</v>
      </c>
      <c r="C1701" s="3" t="s">
        <v>5429</v>
      </c>
      <c r="D1701" s="3" t="s">
        <v>5430</v>
      </c>
      <c r="E1701" s="3" t="s">
        <v>1710</v>
      </c>
      <c r="F1701" s="3">
        <v>38.99</v>
      </c>
      <c r="G1701" s="3" t="s">
        <v>6233</v>
      </c>
      <c r="H1701" s="3"/>
      <c r="I1701" s="3" t="s">
        <v>6234</v>
      </c>
      <c r="J1701" s="3">
        <v>7</v>
      </c>
      <c r="K1701" s="3">
        <v>7</v>
      </c>
      <c r="L1701" s="3">
        <v>0</v>
      </c>
      <c r="M1701" s="3">
        <v>0</v>
      </c>
      <c r="N1701" s="3">
        <v>7</v>
      </c>
      <c r="O1701" s="3">
        <v>0.07</v>
      </c>
      <c r="P1701" s="3">
        <v>0</v>
      </c>
      <c r="Q1701" s="3">
        <v>0</v>
      </c>
      <c r="R1701" s="3">
        <v>0</v>
      </c>
    </row>
    <row r="1702" spans="1:18">
      <c r="A1702" s="3" t="s">
        <v>2266</v>
      </c>
      <c r="B1702" s="3" t="s">
        <v>2267</v>
      </c>
      <c r="C1702" s="3" t="s">
        <v>2268</v>
      </c>
      <c r="D1702" s="3" t="s">
        <v>2269</v>
      </c>
      <c r="E1702" s="3" t="s">
        <v>1710</v>
      </c>
      <c r="F1702" s="3">
        <v>38.99</v>
      </c>
      <c r="G1702" s="3" t="s">
        <v>6233</v>
      </c>
      <c r="H1702" s="3"/>
      <c r="I1702" s="3" t="s">
        <v>6234</v>
      </c>
      <c r="J1702" s="3">
        <v>0</v>
      </c>
      <c r="K1702" s="3">
        <v>0</v>
      </c>
      <c r="L1702" s="3">
        <v>0</v>
      </c>
      <c r="M1702" s="3">
        <v>0</v>
      </c>
      <c r="N1702" s="3">
        <v>8</v>
      </c>
      <c r="O1702" s="3">
        <v>0.07</v>
      </c>
      <c r="P1702" s="3">
        <v>0</v>
      </c>
      <c r="Q1702" s="3">
        <v>8</v>
      </c>
      <c r="R1702" s="3">
        <v>0</v>
      </c>
    </row>
    <row r="1703" spans="1:18">
      <c r="A1703" s="3" t="s">
        <v>691</v>
      </c>
      <c r="B1703" s="3" t="s">
        <v>692</v>
      </c>
      <c r="C1703" s="3" t="s">
        <v>693</v>
      </c>
      <c r="D1703" s="3" t="s">
        <v>694</v>
      </c>
      <c r="E1703" s="3" t="s">
        <v>1710</v>
      </c>
      <c r="F1703" s="3">
        <v>38.99</v>
      </c>
      <c r="G1703" s="3" t="s">
        <v>6233</v>
      </c>
      <c r="H1703" s="3"/>
      <c r="I1703" s="3" t="s">
        <v>6234</v>
      </c>
      <c r="J1703" s="3">
        <v>6</v>
      </c>
      <c r="K1703" s="3">
        <v>1</v>
      </c>
      <c r="L1703" s="3">
        <v>1</v>
      </c>
      <c r="M1703" s="3">
        <v>4</v>
      </c>
      <c r="N1703" s="3">
        <v>11</v>
      </c>
      <c r="O1703" s="3">
        <v>0.07</v>
      </c>
      <c r="P1703" s="3">
        <v>0</v>
      </c>
      <c r="Q1703" s="3">
        <v>5</v>
      </c>
      <c r="R1703" s="3">
        <v>0</v>
      </c>
    </row>
    <row r="1704" spans="1:18">
      <c r="A1704" s="3" t="s">
        <v>1906</v>
      </c>
      <c r="B1704" s="3" t="s">
        <v>1907</v>
      </c>
      <c r="C1704" s="3" t="s">
        <v>1908</v>
      </c>
      <c r="D1704" s="3" t="s">
        <v>1909</v>
      </c>
      <c r="E1704" s="3" t="s">
        <v>1710</v>
      </c>
      <c r="F1704" s="3">
        <v>38</v>
      </c>
      <c r="G1704" s="3" t="s">
        <v>6233</v>
      </c>
      <c r="H1704" s="3"/>
      <c r="I1704" s="3" t="s">
        <v>6234</v>
      </c>
      <c r="J1704" s="3">
        <v>2</v>
      </c>
      <c r="K1704" s="3">
        <v>0</v>
      </c>
      <c r="L1704" s="3">
        <v>2</v>
      </c>
      <c r="M1704" s="3">
        <v>0</v>
      </c>
      <c r="N1704" s="3">
        <v>2</v>
      </c>
      <c r="O1704" s="3">
        <v>0.19</v>
      </c>
      <c r="P1704" s="3">
        <v>0</v>
      </c>
      <c r="Q1704" s="3">
        <v>0</v>
      </c>
      <c r="R1704" s="3">
        <v>0</v>
      </c>
    </row>
    <row r="1705" spans="1:18">
      <c r="A1705" s="3" t="s">
        <v>8490</v>
      </c>
      <c r="B1705" s="3" t="s">
        <v>8491</v>
      </c>
      <c r="C1705" s="3" t="s">
        <v>8492</v>
      </c>
      <c r="D1705" s="3" t="s">
        <v>8493</v>
      </c>
      <c r="E1705" s="3" t="s">
        <v>1710</v>
      </c>
      <c r="F1705" s="3">
        <v>38</v>
      </c>
      <c r="G1705" s="3" t="s">
        <v>6233</v>
      </c>
      <c r="H1705" s="3"/>
      <c r="I1705" s="3" t="s">
        <v>6234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0.19</v>
      </c>
      <c r="P1705" s="3">
        <v>0</v>
      </c>
      <c r="Q1705" s="3">
        <v>0</v>
      </c>
      <c r="R1705" s="3">
        <v>0</v>
      </c>
    </row>
    <row r="1706" spans="1:18">
      <c r="A1706" s="3" t="s">
        <v>4982</v>
      </c>
      <c r="B1706" s="3" t="s">
        <v>4983</v>
      </c>
      <c r="C1706" s="3" t="s">
        <v>4984</v>
      </c>
      <c r="D1706" s="3" t="s">
        <v>4985</v>
      </c>
      <c r="E1706" s="3" t="s">
        <v>1710</v>
      </c>
      <c r="F1706" s="3">
        <v>38</v>
      </c>
      <c r="G1706" s="3" t="s">
        <v>6233</v>
      </c>
      <c r="H1706" s="3"/>
      <c r="I1706" s="3" t="s">
        <v>6234</v>
      </c>
      <c r="J1706" s="3">
        <v>3</v>
      </c>
      <c r="K1706" s="3">
        <v>3</v>
      </c>
      <c r="L1706" s="3">
        <v>0</v>
      </c>
      <c r="M1706" s="3">
        <v>0</v>
      </c>
      <c r="N1706" s="3">
        <v>3</v>
      </c>
      <c r="O1706" s="3">
        <v>0.19</v>
      </c>
      <c r="P1706" s="3">
        <v>0</v>
      </c>
      <c r="Q1706" s="3">
        <v>0</v>
      </c>
      <c r="R1706" s="3">
        <v>0</v>
      </c>
    </row>
    <row r="1707" spans="1:18">
      <c r="A1707" s="3" t="s">
        <v>8494</v>
      </c>
      <c r="B1707" s="3" t="s">
        <v>8495</v>
      </c>
      <c r="C1707" s="3" t="s">
        <v>8496</v>
      </c>
      <c r="D1707" s="3" t="s">
        <v>8497</v>
      </c>
      <c r="E1707" s="3" t="s">
        <v>1710</v>
      </c>
      <c r="F1707" s="3">
        <v>38</v>
      </c>
      <c r="G1707" s="3" t="s">
        <v>6233</v>
      </c>
      <c r="H1707" s="3"/>
      <c r="I1707" s="3" t="s">
        <v>6234</v>
      </c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>
        <v>0.19</v>
      </c>
      <c r="P1707" s="3">
        <v>0</v>
      </c>
      <c r="Q1707" s="3">
        <v>0</v>
      </c>
      <c r="R1707" s="3">
        <v>0</v>
      </c>
    </row>
    <row r="1708" spans="1:18">
      <c r="A1708" s="3" t="s">
        <v>8498</v>
      </c>
      <c r="B1708" s="3" t="s">
        <v>8499</v>
      </c>
      <c r="C1708" s="3" t="s">
        <v>8500</v>
      </c>
      <c r="D1708" s="3" t="s">
        <v>8501</v>
      </c>
      <c r="E1708" s="3" t="s">
        <v>1710</v>
      </c>
      <c r="F1708" s="3">
        <v>38</v>
      </c>
      <c r="G1708" s="3" t="s">
        <v>6233</v>
      </c>
      <c r="H1708" s="3"/>
      <c r="I1708" s="3" t="s">
        <v>6234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0.19</v>
      </c>
      <c r="P1708" s="3">
        <v>0</v>
      </c>
      <c r="Q1708" s="3">
        <v>0</v>
      </c>
      <c r="R1708" s="3">
        <v>0</v>
      </c>
    </row>
    <row r="1709" spans="1:18">
      <c r="A1709" s="3" t="s">
        <v>4569</v>
      </c>
      <c r="B1709" s="3" t="s">
        <v>4570</v>
      </c>
      <c r="C1709" s="3" t="s">
        <v>4571</v>
      </c>
      <c r="D1709" s="3" t="s">
        <v>4572</v>
      </c>
      <c r="E1709" s="3" t="s">
        <v>1710</v>
      </c>
      <c r="F1709" s="3">
        <v>38</v>
      </c>
      <c r="G1709" s="3" t="s">
        <v>6233</v>
      </c>
      <c r="H1709" s="3"/>
      <c r="I1709" s="3" t="s">
        <v>6234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0.19</v>
      </c>
      <c r="P1709" s="3">
        <v>0</v>
      </c>
      <c r="Q1709" s="3">
        <v>0</v>
      </c>
      <c r="R1709" s="3">
        <v>0</v>
      </c>
    </row>
    <row r="1710" spans="1:18">
      <c r="A1710" s="3" t="s">
        <v>8502</v>
      </c>
      <c r="B1710" s="3" t="s">
        <v>8503</v>
      </c>
      <c r="C1710" s="3" t="s">
        <v>8504</v>
      </c>
      <c r="D1710" s="3" t="s">
        <v>8505</v>
      </c>
      <c r="E1710" s="3" t="s">
        <v>1710</v>
      </c>
      <c r="F1710" s="3">
        <v>38</v>
      </c>
      <c r="G1710" s="3" t="s">
        <v>6233</v>
      </c>
      <c r="H1710" s="3"/>
      <c r="I1710" s="3" t="s">
        <v>6234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0.19</v>
      </c>
      <c r="P1710" s="3">
        <v>0</v>
      </c>
      <c r="Q1710" s="3">
        <v>0</v>
      </c>
      <c r="R1710" s="3">
        <v>0</v>
      </c>
    </row>
    <row r="1711" spans="1:18">
      <c r="A1711" s="3" t="s">
        <v>8506</v>
      </c>
      <c r="B1711" s="3" t="s">
        <v>8507</v>
      </c>
      <c r="C1711" s="3" t="s">
        <v>8508</v>
      </c>
      <c r="D1711" s="3" t="s">
        <v>8509</v>
      </c>
      <c r="E1711" s="3" t="s">
        <v>1710</v>
      </c>
      <c r="F1711" s="3">
        <v>38</v>
      </c>
      <c r="G1711" s="3" t="s">
        <v>6233</v>
      </c>
      <c r="H1711" s="3"/>
      <c r="I1711" s="3" t="s">
        <v>6234</v>
      </c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>
        <v>0.19</v>
      </c>
      <c r="P1711" s="3">
        <v>0</v>
      </c>
      <c r="Q1711" s="3">
        <v>0</v>
      </c>
      <c r="R1711" s="3">
        <v>0</v>
      </c>
    </row>
    <row r="1712" spans="1:18">
      <c r="A1712" s="3" t="s">
        <v>8510</v>
      </c>
      <c r="B1712" s="3" t="s">
        <v>8511</v>
      </c>
      <c r="C1712" s="3" t="s">
        <v>8512</v>
      </c>
      <c r="D1712" s="3" t="s">
        <v>8513</v>
      </c>
      <c r="E1712" s="3" t="s">
        <v>1710</v>
      </c>
      <c r="F1712" s="3">
        <v>38</v>
      </c>
      <c r="G1712" s="3" t="s">
        <v>6233</v>
      </c>
      <c r="H1712" s="3"/>
      <c r="I1712" s="3" t="s">
        <v>6234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0.19</v>
      </c>
      <c r="P1712" s="3">
        <v>0</v>
      </c>
      <c r="Q1712" s="3">
        <v>0</v>
      </c>
      <c r="R1712" s="3">
        <v>0</v>
      </c>
    </row>
    <row r="1713" spans="1:18">
      <c r="A1713" s="3" t="s">
        <v>703</v>
      </c>
      <c r="B1713" s="3" t="s">
        <v>704</v>
      </c>
      <c r="C1713" s="3" t="s">
        <v>705</v>
      </c>
      <c r="D1713" s="3" t="s">
        <v>706</v>
      </c>
      <c r="E1713" s="3" t="s">
        <v>1710</v>
      </c>
      <c r="F1713" s="3">
        <v>38</v>
      </c>
      <c r="G1713" s="3" t="s">
        <v>6233</v>
      </c>
      <c r="H1713" s="3"/>
      <c r="I1713" s="3" t="s">
        <v>6234</v>
      </c>
      <c r="J1713" s="3">
        <v>7</v>
      </c>
      <c r="K1713" s="3">
        <v>5</v>
      </c>
      <c r="L1713" s="3">
        <v>1</v>
      </c>
      <c r="M1713" s="3">
        <v>1</v>
      </c>
      <c r="N1713" s="3">
        <v>7</v>
      </c>
      <c r="O1713" s="3">
        <v>0.12</v>
      </c>
      <c r="P1713" s="3">
        <v>0</v>
      </c>
      <c r="Q1713" s="3">
        <v>0</v>
      </c>
      <c r="R1713" s="3">
        <v>0</v>
      </c>
    </row>
    <row r="1714" spans="1:18">
      <c r="A1714" s="3" t="s">
        <v>711</v>
      </c>
      <c r="B1714" s="3" t="s">
        <v>712</v>
      </c>
      <c r="C1714" s="3" t="s">
        <v>713</v>
      </c>
      <c r="D1714" s="3" t="s">
        <v>714</v>
      </c>
      <c r="E1714" s="3" t="s">
        <v>1710</v>
      </c>
      <c r="F1714" s="3">
        <v>38</v>
      </c>
      <c r="G1714" s="3" t="s">
        <v>6233</v>
      </c>
      <c r="H1714" s="3"/>
      <c r="I1714" s="3" t="s">
        <v>6234</v>
      </c>
      <c r="J1714" s="3">
        <v>55</v>
      </c>
      <c r="K1714" s="3">
        <v>33</v>
      </c>
      <c r="L1714" s="3">
        <v>1</v>
      </c>
      <c r="M1714" s="3">
        <v>21</v>
      </c>
      <c r="N1714" s="3">
        <v>55</v>
      </c>
      <c r="O1714" s="3">
        <v>0.16</v>
      </c>
      <c r="P1714" s="3">
        <v>0</v>
      </c>
      <c r="Q1714" s="3">
        <v>0</v>
      </c>
      <c r="R1714" s="3">
        <v>0</v>
      </c>
    </row>
    <row r="1715" spans="1:18">
      <c r="A1715" s="3" t="s">
        <v>687</v>
      </c>
      <c r="B1715" s="3" t="s">
        <v>688</v>
      </c>
      <c r="C1715" s="3" t="s">
        <v>689</v>
      </c>
      <c r="D1715" s="3" t="s">
        <v>690</v>
      </c>
      <c r="E1715" s="3" t="s">
        <v>1710</v>
      </c>
      <c r="F1715" s="3">
        <v>38</v>
      </c>
      <c r="G1715" s="3" t="s">
        <v>6233</v>
      </c>
      <c r="H1715" s="3"/>
      <c r="I1715" s="3" t="s">
        <v>6234</v>
      </c>
      <c r="J1715" s="3">
        <v>28</v>
      </c>
      <c r="K1715" s="3">
        <v>11</v>
      </c>
      <c r="L1715" s="3">
        <v>3</v>
      </c>
      <c r="M1715" s="3">
        <v>14</v>
      </c>
      <c r="N1715" s="3">
        <v>28</v>
      </c>
      <c r="O1715" s="3">
        <v>0.13</v>
      </c>
      <c r="P1715" s="3">
        <v>0</v>
      </c>
      <c r="Q1715" s="3">
        <v>0</v>
      </c>
      <c r="R1715" s="3">
        <v>0</v>
      </c>
    </row>
    <row r="1716" spans="1:18">
      <c r="A1716" s="3" t="s">
        <v>4112</v>
      </c>
      <c r="B1716" s="3" t="s">
        <v>4113</v>
      </c>
      <c r="C1716" s="3" t="s">
        <v>4114</v>
      </c>
      <c r="D1716" s="3" t="s">
        <v>4115</v>
      </c>
      <c r="E1716" s="3" t="s">
        <v>1710</v>
      </c>
      <c r="F1716" s="3">
        <v>49.88</v>
      </c>
      <c r="G1716" s="3" t="s">
        <v>6233</v>
      </c>
      <c r="H1716" s="3"/>
      <c r="I1716" s="3" t="s">
        <v>6234</v>
      </c>
      <c r="J1716" s="3">
        <v>24</v>
      </c>
      <c r="K1716" s="3">
        <v>22</v>
      </c>
      <c r="L1716" s="3">
        <v>2</v>
      </c>
      <c r="M1716" s="3">
        <v>0</v>
      </c>
      <c r="N1716" s="3">
        <v>24</v>
      </c>
      <c r="O1716" s="3">
        <v>0.1</v>
      </c>
      <c r="P1716" s="3">
        <v>0</v>
      </c>
      <c r="Q1716" s="3">
        <v>0</v>
      </c>
      <c r="R1716" s="3">
        <v>0</v>
      </c>
    </row>
    <row r="1717" spans="1:18">
      <c r="A1717" s="3" t="s">
        <v>671</v>
      </c>
      <c r="B1717" s="3" t="s">
        <v>672</v>
      </c>
      <c r="C1717" s="3" t="s">
        <v>673</v>
      </c>
      <c r="D1717" s="3" t="s">
        <v>674</v>
      </c>
      <c r="E1717" s="3" t="s">
        <v>1710</v>
      </c>
      <c r="F1717" s="3">
        <v>49.88</v>
      </c>
      <c r="G1717" s="3" t="s">
        <v>6233</v>
      </c>
      <c r="H1717" s="3"/>
      <c r="I1717" s="3" t="s">
        <v>6234</v>
      </c>
      <c r="J1717" s="3">
        <v>13</v>
      </c>
      <c r="K1717" s="3">
        <v>10</v>
      </c>
      <c r="L1717" s="3">
        <v>2</v>
      </c>
      <c r="M1717" s="3">
        <v>1</v>
      </c>
      <c r="N1717" s="3">
        <v>13</v>
      </c>
      <c r="O1717" s="3">
        <v>0.09</v>
      </c>
      <c r="P1717" s="3">
        <v>0</v>
      </c>
      <c r="Q1717" s="3">
        <v>0</v>
      </c>
      <c r="R1717" s="3">
        <v>0</v>
      </c>
    </row>
    <row r="1718" spans="1:18">
      <c r="A1718" s="3" t="s">
        <v>715</v>
      </c>
      <c r="B1718" s="3" t="s">
        <v>716</v>
      </c>
      <c r="C1718" s="3" t="s">
        <v>717</v>
      </c>
      <c r="D1718" s="3" t="s">
        <v>718</v>
      </c>
      <c r="E1718" s="3" t="s">
        <v>1710</v>
      </c>
      <c r="F1718" s="3">
        <v>38</v>
      </c>
      <c r="G1718" s="3" t="s">
        <v>6233</v>
      </c>
      <c r="H1718" s="3"/>
      <c r="I1718" s="3" t="s">
        <v>6234</v>
      </c>
      <c r="J1718" s="3">
        <v>12</v>
      </c>
      <c r="K1718" s="3">
        <v>0</v>
      </c>
      <c r="L1718" s="3">
        <v>4</v>
      </c>
      <c r="M1718" s="3">
        <v>8</v>
      </c>
      <c r="N1718" s="3">
        <v>12</v>
      </c>
      <c r="O1718" s="3">
        <v>0.14</v>
      </c>
      <c r="P1718" s="3">
        <v>0</v>
      </c>
      <c r="Q1718" s="3">
        <v>0</v>
      </c>
      <c r="R1718" s="3">
        <v>0</v>
      </c>
    </row>
    <row r="1719" spans="1:18">
      <c r="A1719" s="3" t="s">
        <v>683</v>
      </c>
      <c r="B1719" s="3" t="s">
        <v>684</v>
      </c>
      <c r="C1719" s="3" t="s">
        <v>685</v>
      </c>
      <c r="D1719" s="3" t="s">
        <v>686</v>
      </c>
      <c r="E1719" s="3" t="s">
        <v>1710</v>
      </c>
      <c r="F1719" s="3">
        <v>38</v>
      </c>
      <c r="G1719" s="3" t="s">
        <v>6233</v>
      </c>
      <c r="H1719" s="3"/>
      <c r="I1719" s="3" t="s">
        <v>6234</v>
      </c>
      <c r="J1719" s="3">
        <v>5</v>
      </c>
      <c r="K1719" s="3">
        <v>0</v>
      </c>
      <c r="L1719" s="3">
        <v>3</v>
      </c>
      <c r="M1719" s="3">
        <v>2</v>
      </c>
      <c r="N1719" s="3">
        <v>5</v>
      </c>
      <c r="O1719" s="3">
        <v>0.14</v>
      </c>
      <c r="P1719" s="3">
        <v>0</v>
      </c>
      <c r="Q1719" s="3">
        <v>0</v>
      </c>
      <c r="R1719" s="3">
        <v>0</v>
      </c>
    </row>
    <row r="1720" spans="1:18">
      <c r="A1720" s="3" t="s">
        <v>695</v>
      </c>
      <c r="B1720" s="3" t="s">
        <v>696</v>
      </c>
      <c r="C1720" s="3" t="s">
        <v>697</v>
      </c>
      <c r="D1720" s="3" t="s">
        <v>698</v>
      </c>
      <c r="E1720" s="3" t="s">
        <v>1710</v>
      </c>
      <c r="F1720" s="3">
        <v>38</v>
      </c>
      <c r="G1720" s="3" t="s">
        <v>6233</v>
      </c>
      <c r="H1720" s="3"/>
      <c r="I1720" s="3" t="s">
        <v>6234</v>
      </c>
      <c r="J1720" s="3">
        <v>60</v>
      </c>
      <c r="K1720" s="3">
        <v>0</v>
      </c>
      <c r="L1720" s="3">
        <v>5</v>
      </c>
      <c r="M1720" s="3">
        <v>55</v>
      </c>
      <c r="N1720" s="3">
        <v>60</v>
      </c>
      <c r="O1720" s="3">
        <v>0.14</v>
      </c>
      <c r="P1720" s="3">
        <v>0</v>
      </c>
      <c r="Q1720" s="3">
        <v>0</v>
      </c>
      <c r="R1720" s="3">
        <v>0</v>
      </c>
    </row>
    <row r="1721" spans="1:18">
      <c r="A1721" s="3" t="s">
        <v>675</v>
      </c>
      <c r="B1721" s="3" t="s">
        <v>676</v>
      </c>
      <c r="C1721" s="3" t="s">
        <v>677</v>
      </c>
      <c r="D1721" s="3" t="s">
        <v>678</v>
      </c>
      <c r="E1721" s="3" t="s">
        <v>1710</v>
      </c>
      <c r="F1721" s="3">
        <v>38</v>
      </c>
      <c r="G1721" s="3" t="s">
        <v>6233</v>
      </c>
      <c r="H1721" s="3"/>
      <c r="I1721" s="3" t="s">
        <v>6234</v>
      </c>
      <c r="J1721" s="3">
        <v>58</v>
      </c>
      <c r="K1721" s="3">
        <v>45</v>
      </c>
      <c r="L1721" s="3">
        <v>0</v>
      </c>
      <c r="M1721" s="3">
        <v>13</v>
      </c>
      <c r="N1721" s="3">
        <v>58</v>
      </c>
      <c r="O1721" s="3">
        <v>0.13</v>
      </c>
      <c r="P1721" s="3">
        <v>0</v>
      </c>
      <c r="Q1721" s="3">
        <v>0</v>
      </c>
      <c r="R1721" s="3">
        <v>0</v>
      </c>
    </row>
    <row r="1722" spans="1:18">
      <c r="A1722" s="3" t="s">
        <v>667</v>
      </c>
      <c r="B1722" s="3" t="s">
        <v>668</v>
      </c>
      <c r="C1722" s="3" t="s">
        <v>669</v>
      </c>
      <c r="D1722" s="3" t="s">
        <v>670</v>
      </c>
      <c r="E1722" s="3" t="s">
        <v>1710</v>
      </c>
      <c r="F1722" s="3">
        <v>38</v>
      </c>
      <c r="G1722" s="3" t="s">
        <v>6233</v>
      </c>
      <c r="H1722" s="3"/>
      <c r="I1722" s="3" t="s">
        <v>6234</v>
      </c>
      <c r="J1722" s="3">
        <v>63</v>
      </c>
      <c r="K1722" s="3">
        <v>12</v>
      </c>
      <c r="L1722" s="3">
        <v>2</v>
      </c>
      <c r="M1722" s="3">
        <v>49</v>
      </c>
      <c r="N1722" s="3">
        <v>63</v>
      </c>
      <c r="O1722" s="3">
        <v>0.14</v>
      </c>
      <c r="P1722" s="3">
        <v>0</v>
      </c>
      <c r="Q1722" s="3">
        <v>0</v>
      </c>
      <c r="R1722" s="3">
        <v>0</v>
      </c>
    </row>
    <row r="1723" spans="1:18">
      <c r="A1723" s="3" t="s">
        <v>739</v>
      </c>
      <c r="B1723" s="3" t="s">
        <v>740</v>
      </c>
      <c r="C1723" s="3" t="s">
        <v>741</v>
      </c>
      <c r="D1723" s="3" t="s">
        <v>742</v>
      </c>
      <c r="E1723" s="3" t="s">
        <v>1710</v>
      </c>
      <c r="F1723" s="3">
        <v>38</v>
      </c>
      <c r="G1723" s="3" t="s">
        <v>6233</v>
      </c>
      <c r="H1723" s="3"/>
      <c r="I1723" s="3" t="s">
        <v>6234</v>
      </c>
      <c r="J1723" s="3">
        <v>51</v>
      </c>
      <c r="K1723" s="3">
        <v>46</v>
      </c>
      <c r="L1723" s="3">
        <v>2</v>
      </c>
      <c r="M1723" s="3">
        <v>3</v>
      </c>
      <c r="N1723" s="3">
        <v>65</v>
      </c>
      <c r="O1723" s="3">
        <v>0.11</v>
      </c>
      <c r="P1723" s="3">
        <v>0</v>
      </c>
      <c r="Q1723" s="3">
        <v>14</v>
      </c>
      <c r="R1723" s="3">
        <v>0</v>
      </c>
    </row>
    <row r="1724" spans="1:18">
      <c r="A1724" s="3" t="s">
        <v>699</v>
      </c>
      <c r="B1724" s="3" t="s">
        <v>700</v>
      </c>
      <c r="C1724" s="3" t="s">
        <v>701</v>
      </c>
      <c r="D1724" s="3" t="s">
        <v>702</v>
      </c>
      <c r="E1724" s="3" t="s">
        <v>1710</v>
      </c>
      <c r="F1724" s="3">
        <v>38</v>
      </c>
      <c r="G1724" s="3" t="s">
        <v>6233</v>
      </c>
      <c r="H1724" s="3"/>
      <c r="I1724" s="3" t="s">
        <v>6234</v>
      </c>
      <c r="J1724" s="3">
        <v>20</v>
      </c>
      <c r="K1724" s="3">
        <v>7</v>
      </c>
      <c r="L1724" s="3">
        <v>3</v>
      </c>
      <c r="M1724" s="3">
        <v>10</v>
      </c>
      <c r="N1724" s="3">
        <v>20</v>
      </c>
      <c r="O1724" s="3">
        <v>0.13</v>
      </c>
      <c r="P1724" s="3">
        <v>0</v>
      </c>
      <c r="Q1724" s="3">
        <v>0</v>
      </c>
      <c r="R1724" s="3">
        <v>0</v>
      </c>
    </row>
    <row r="1725" spans="1:18">
      <c r="A1725" s="3" t="s">
        <v>679</v>
      </c>
      <c r="B1725" s="3" t="s">
        <v>680</v>
      </c>
      <c r="C1725" s="3" t="s">
        <v>681</v>
      </c>
      <c r="D1725" s="3" t="s">
        <v>682</v>
      </c>
      <c r="E1725" s="3" t="s">
        <v>1710</v>
      </c>
      <c r="F1725" s="3">
        <v>38</v>
      </c>
      <c r="G1725" s="3" t="s">
        <v>6233</v>
      </c>
      <c r="H1725" s="3"/>
      <c r="I1725" s="3" t="s">
        <v>6234</v>
      </c>
      <c r="J1725" s="3">
        <v>43</v>
      </c>
      <c r="K1725" s="3">
        <v>40</v>
      </c>
      <c r="L1725" s="3">
        <v>1</v>
      </c>
      <c r="M1725" s="3">
        <v>2</v>
      </c>
      <c r="N1725" s="3">
        <v>43</v>
      </c>
      <c r="O1725" s="3">
        <v>0.08</v>
      </c>
      <c r="P1725" s="3">
        <v>0</v>
      </c>
      <c r="Q1725" s="3">
        <v>0</v>
      </c>
      <c r="R1725" s="3">
        <v>0</v>
      </c>
    </row>
    <row r="1726" spans="1:18">
      <c r="A1726" s="3" t="s">
        <v>3683</v>
      </c>
      <c r="B1726" s="3" t="s">
        <v>3684</v>
      </c>
      <c r="C1726" s="3" t="s">
        <v>3685</v>
      </c>
      <c r="D1726" s="3" t="s">
        <v>3686</v>
      </c>
      <c r="E1726" s="3" t="s">
        <v>1710</v>
      </c>
      <c r="F1726" s="3">
        <v>38</v>
      </c>
      <c r="G1726" s="3" t="s">
        <v>6233</v>
      </c>
      <c r="H1726" s="3"/>
      <c r="I1726" s="3" t="s">
        <v>6234</v>
      </c>
      <c r="J1726" s="3">
        <v>10</v>
      </c>
      <c r="K1726" s="3">
        <v>10</v>
      </c>
      <c r="L1726" s="3">
        <v>0</v>
      </c>
      <c r="M1726" s="3">
        <v>0</v>
      </c>
      <c r="N1726" s="3">
        <v>10</v>
      </c>
      <c r="O1726" s="3">
        <v>0.15</v>
      </c>
      <c r="P1726" s="3">
        <v>0</v>
      </c>
      <c r="Q1726" s="3">
        <v>0</v>
      </c>
      <c r="R1726" s="3">
        <v>0</v>
      </c>
    </row>
    <row r="1727" spans="1:18">
      <c r="A1727" s="3" t="s">
        <v>4891</v>
      </c>
      <c r="B1727" s="3" t="s">
        <v>4892</v>
      </c>
      <c r="C1727" s="3" t="s">
        <v>4893</v>
      </c>
      <c r="D1727" s="3" t="s">
        <v>4894</v>
      </c>
      <c r="E1727" s="3" t="s">
        <v>1710</v>
      </c>
      <c r="F1727" s="3">
        <v>38</v>
      </c>
      <c r="G1727" s="3" t="s">
        <v>6233</v>
      </c>
      <c r="H1727" s="3"/>
      <c r="I1727" s="3" t="s">
        <v>6234</v>
      </c>
      <c r="J1727" s="3">
        <v>46</v>
      </c>
      <c r="K1727" s="3">
        <v>45</v>
      </c>
      <c r="L1727" s="3">
        <v>1</v>
      </c>
      <c r="M1727" s="3">
        <v>0</v>
      </c>
      <c r="N1727" s="3">
        <v>46</v>
      </c>
      <c r="O1727" s="3">
        <v>0.14</v>
      </c>
      <c r="P1727" s="3">
        <v>0</v>
      </c>
      <c r="Q1727" s="3">
        <v>0</v>
      </c>
      <c r="R1727" s="3">
        <v>0</v>
      </c>
    </row>
    <row r="1728" spans="1:18">
      <c r="A1728" s="3" t="s">
        <v>723</v>
      </c>
      <c r="B1728" s="3" t="s">
        <v>724</v>
      </c>
      <c r="C1728" s="3" t="s">
        <v>725</v>
      </c>
      <c r="D1728" s="3" t="s">
        <v>726</v>
      </c>
      <c r="E1728" s="3" t="s">
        <v>1710</v>
      </c>
      <c r="F1728" s="3">
        <v>38</v>
      </c>
      <c r="G1728" s="3" t="s">
        <v>6233</v>
      </c>
      <c r="H1728" s="3"/>
      <c r="I1728" s="3" t="s">
        <v>6234</v>
      </c>
      <c r="J1728" s="3">
        <v>68</v>
      </c>
      <c r="K1728" s="3">
        <v>50</v>
      </c>
      <c r="L1728" s="3">
        <v>2</v>
      </c>
      <c r="M1728" s="3">
        <v>16</v>
      </c>
      <c r="N1728" s="3">
        <v>68</v>
      </c>
      <c r="O1728" s="3">
        <v>0.14</v>
      </c>
      <c r="P1728" s="3">
        <v>0</v>
      </c>
      <c r="Q1728" s="3">
        <v>0</v>
      </c>
      <c r="R1728" s="3">
        <v>0</v>
      </c>
    </row>
    <row r="1729" spans="1:18">
      <c r="A1729" s="3" t="s">
        <v>735</v>
      </c>
      <c r="B1729" s="3" t="s">
        <v>736</v>
      </c>
      <c r="C1729" s="3" t="s">
        <v>737</v>
      </c>
      <c r="D1729" s="3" t="s">
        <v>738</v>
      </c>
      <c r="E1729" s="3" t="s">
        <v>1710</v>
      </c>
      <c r="F1729" s="3">
        <v>38</v>
      </c>
      <c r="G1729" s="3" t="s">
        <v>6233</v>
      </c>
      <c r="H1729" s="3"/>
      <c r="I1729" s="3" t="s">
        <v>6234</v>
      </c>
      <c r="J1729" s="3">
        <v>59</v>
      </c>
      <c r="K1729" s="3">
        <v>36</v>
      </c>
      <c r="L1729" s="3">
        <v>0</v>
      </c>
      <c r="M1729" s="3">
        <v>23</v>
      </c>
      <c r="N1729" s="3">
        <v>59</v>
      </c>
      <c r="O1729" s="3">
        <v>0.14</v>
      </c>
      <c r="P1729" s="3">
        <v>0</v>
      </c>
      <c r="Q1729" s="3">
        <v>0</v>
      </c>
      <c r="R1729" s="3">
        <v>0</v>
      </c>
    </row>
    <row r="1730" spans="1:18">
      <c r="A1730" s="3" t="s">
        <v>663</v>
      </c>
      <c r="B1730" s="3" t="s">
        <v>664</v>
      </c>
      <c r="C1730" s="3" t="s">
        <v>665</v>
      </c>
      <c r="D1730" s="3" t="s">
        <v>666</v>
      </c>
      <c r="E1730" s="3" t="s">
        <v>1710</v>
      </c>
      <c r="F1730" s="3">
        <v>38</v>
      </c>
      <c r="G1730" s="3" t="s">
        <v>6233</v>
      </c>
      <c r="H1730" s="3"/>
      <c r="I1730" s="3" t="s">
        <v>6234</v>
      </c>
      <c r="J1730" s="3">
        <v>32</v>
      </c>
      <c r="K1730" s="3">
        <v>12</v>
      </c>
      <c r="L1730" s="3">
        <v>0</v>
      </c>
      <c r="M1730" s="3">
        <v>20</v>
      </c>
      <c r="N1730" s="3">
        <v>32</v>
      </c>
      <c r="O1730" s="3">
        <v>0.14</v>
      </c>
      <c r="P1730" s="3">
        <v>0</v>
      </c>
      <c r="Q1730" s="3">
        <v>0</v>
      </c>
      <c r="R1730" s="3">
        <v>0</v>
      </c>
    </row>
    <row r="1731" spans="1:18">
      <c r="A1731" s="3" t="s">
        <v>751</v>
      </c>
      <c r="B1731" s="3" t="s">
        <v>752</v>
      </c>
      <c r="C1731" s="3" t="s">
        <v>753</v>
      </c>
      <c r="D1731" s="3" t="s">
        <v>754</v>
      </c>
      <c r="E1731" s="3" t="s">
        <v>1710</v>
      </c>
      <c r="F1731" s="3">
        <v>38</v>
      </c>
      <c r="G1731" s="3" t="s">
        <v>6233</v>
      </c>
      <c r="H1731" s="3"/>
      <c r="I1731" s="3" t="s">
        <v>6234</v>
      </c>
      <c r="J1731" s="3">
        <v>18</v>
      </c>
      <c r="K1731" s="3">
        <v>14</v>
      </c>
      <c r="L1731" s="3">
        <v>1</v>
      </c>
      <c r="M1731" s="3">
        <v>3</v>
      </c>
      <c r="N1731" s="3">
        <v>18</v>
      </c>
      <c r="O1731" s="3">
        <v>0.08</v>
      </c>
      <c r="P1731" s="3">
        <v>0</v>
      </c>
      <c r="Q1731" s="3">
        <v>0</v>
      </c>
      <c r="R1731" s="3">
        <v>0</v>
      </c>
    </row>
    <row r="1732" spans="1:18">
      <c r="A1732" s="3" t="s">
        <v>719</v>
      </c>
      <c r="B1732" s="3" t="s">
        <v>720</v>
      </c>
      <c r="C1732" s="3" t="s">
        <v>721</v>
      </c>
      <c r="D1732" s="3" t="s">
        <v>722</v>
      </c>
      <c r="E1732" s="3" t="s">
        <v>1710</v>
      </c>
      <c r="F1732" s="3">
        <v>38</v>
      </c>
      <c r="G1732" s="3" t="s">
        <v>6233</v>
      </c>
      <c r="H1732" s="3"/>
      <c r="I1732" s="3" t="s">
        <v>6234</v>
      </c>
      <c r="J1732" s="3">
        <v>12</v>
      </c>
      <c r="K1732" s="3">
        <v>4</v>
      </c>
      <c r="L1732" s="3">
        <v>0</v>
      </c>
      <c r="M1732" s="3">
        <v>8</v>
      </c>
      <c r="N1732" s="3">
        <v>12</v>
      </c>
      <c r="O1732" s="3">
        <v>0.14</v>
      </c>
      <c r="P1732" s="3">
        <v>0</v>
      </c>
      <c r="Q1732" s="3">
        <v>0</v>
      </c>
      <c r="R1732" s="3">
        <v>0</v>
      </c>
    </row>
    <row r="1733" spans="1:18">
      <c r="A1733" s="3" t="s">
        <v>759</v>
      </c>
      <c r="B1733" s="3" t="s">
        <v>760</v>
      </c>
      <c r="C1733" s="3" t="s">
        <v>761</v>
      </c>
      <c r="D1733" s="3" t="s">
        <v>762</v>
      </c>
      <c r="E1733" s="3" t="s">
        <v>1710</v>
      </c>
      <c r="F1733" s="3">
        <v>38</v>
      </c>
      <c r="G1733" s="3" t="s">
        <v>6233</v>
      </c>
      <c r="H1733" s="3"/>
      <c r="I1733" s="3" t="s">
        <v>6234</v>
      </c>
      <c r="J1733" s="3">
        <v>19</v>
      </c>
      <c r="K1733" s="3">
        <v>0</v>
      </c>
      <c r="L1733" s="3">
        <v>3</v>
      </c>
      <c r="M1733" s="3">
        <v>16</v>
      </c>
      <c r="N1733" s="3">
        <v>19</v>
      </c>
      <c r="O1733" s="3">
        <v>0.14</v>
      </c>
      <c r="P1733" s="3">
        <v>0</v>
      </c>
      <c r="Q1733" s="3">
        <v>0</v>
      </c>
      <c r="R1733" s="3">
        <v>0</v>
      </c>
    </row>
    <row r="1734" spans="1:18">
      <c r="A1734" s="3" t="s">
        <v>743</v>
      </c>
      <c r="B1734" s="3" t="s">
        <v>744</v>
      </c>
      <c r="C1734" s="3" t="s">
        <v>745</v>
      </c>
      <c r="D1734" s="3" t="s">
        <v>746</v>
      </c>
      <c r="E1734" s="3" t="s">
        <v>1710</v>
      </c>
      <c r="F1734" s="3">
        <v>38</v>
      </c>
      <c r="G1734" s="3" t="s">
        <v>6233</v>
      </c>
      <c r="H1734" s="3"/>
      <c r="I1734" s="3" t="s">
        <v>6234</v>
      </c>
      <c r="J1734" s="3">
        <v>2</v>
      </c>
      <c r="K1734" s="3">
        <v>0</v>
      </c>
      <c r="L1734" s="3">
        <v>1</v>
      </c>
      <c r="M1734" s="3">
        <v>1</v>
      </c>
      <c r="N1734" s="3">
        <v>2</v>
      </c>
      <c r="O1734" s="3">
        <v>0.19</v>
      </c>
      <c r="P1734" s="3">
        <v>0</v>
      </c>
      <c r="Q1734" s="3">
        <v>0</v>
      </c>
      <c r="R1734" s="3">
        <v>0</v>
      </c>
    </row>
    <row r="1735" spans="1:18">
      <c r="A1735" s="3" t="s">
        <v>763</v>
      </c>
      <c r="B1735" s="3" t="s">
        <v>764</v>
      </c>
      <c r="C1735" s="3" t="s">
        <v>765</v>
      </c>
      <c r="D1735" s="3" t="s">
        <v>766</v>
      </c>
      <c r="E1735" s="3" t="s">
        <v>1710</v>
      </c>
      <c r="F1735" s="3">
        <v>38</v>
      </c>
      <c r="G1735" s="3" t="s">
        <v>6233</v>
      </c>
      <c r="H1735" s="3"/>
      <c r="I1735" s="3" t="s">
        <v>6234</v>
      </c>
      <c r="J1735" s="3">
        <v>32</v>
      </c>
      <c r="K1735" s="3">
        <v>22</v>
      </c>
      <c r="L1735" s="3">
        <v>3</v>
      </c>
      <c r="M1735" s="3">
        <v>7</v>
      </c>
      <c r="N1735" s="3">
        <v>32</v>
      </c>
      <c r="O1735" s="3">
        <v>0.14</v>
      </c>
      <c r="P1735" s="3">
        <v>0</v>
      </c>
      <c r="Q1735" s="3">
        <v>0</v>
      </c>
      <c r="R1735" s="3">
        <v>0</v>
      </c>
    </row>
    <row r="1736" spans="1:18">
      <c r="A1736" s="3" t="s">
        <v>747</v>
      </c>
      <c r="B1736" s="3" t="s">
        <v>748</v>
      </c>
      <c r="C1736" s="3" t="s">
        <v>749</v>
      </c>
      <c r="D1736" s="3" t="s">
        <v>750</v>
      </c>
      <c r="E1736" s="3" t="s">
        <v>1710</v>
      </c>
      <c r="F1736" s="3">
        <v>38</v>
      </c>
      <c r="G1736" s="3" t="s">
        <v>6233</v>
      </c>
      <c r="H1736" s="3"/>
      <c r="I1736" s="3" t="s">
        <v>6234</v>
      </c>
      <c r="J1736" s="3">
        <v>30</v>
      </c>
      <c r="K1736" s="3">
        <v>23</v>
      </c>
      <c r="L1736" s="3">
        <v>2</v>
      </c>
      <c r="M1736" s="3">
        <v>5</v>
      </c>
      <c r="N1736" s="3">
        <v>32</v>
      </c>
      <c r="O1736" s="3">
        <v>0.18</v>
      </c>
      <c r="P1736" s="3">
        <v>0</v>
      </c>
      <c r="Q1736" s="3">
        <v>2</v>
      </c>
      <c r="R1736" s="3">
        <v>0</v>
      </c>
    </row>
    <row r="1737" spans="1:18">
      <c r="A1737" s="3" t="s">
        <v>755</v>
      </c>
      <c r="B1737" s="3" t="s">
        <v>756</v>
      </c>
      <c r="C1737" s="3" t="s">
        <v>757</v>
      </c>
      <c r="D1737" s="3" t="s">
        <v>758</v>
      </c>
      <c r="E1737" s="3" t="s">
        <v>1710</v>
      </c>
      <c r="F1737" s="3">
        <v>38</v>
      </c>
      <c r="G1737" s="3" t="s">
        <v>6233</v>
      </c>
      <c r="H1737" s="3"/>
      <c r="I1737" s="3" t="s">
        <v>6234</v>
      </c>
      <c r="J1737" s="3">
        <v>34</v>
      </c>
      <c r="K1737" s="3">
        <v>32</v>
      </c>
      <c r="L1737" s="3">
        <v>1</v>
      </c>
      <c r="M1737" s="3">
        <v>1</v>
      </c>
      <c r="N1737" s="3">
        <v>41</v>
      </c>
      <c r="O1737" s="3">
        <v>0.06</v>
      </c>
      <c r="P1737" s="3">
        <v>0</v>
      </c>
      <c r="Q1737" s="3">
        <v>7</v>
      </c>
      <c r="R1737" s="3">
        <v>0</v>
      </c>
    </row>
    <row r="1738" spans="1:18">
      <c r="A1738" s="3" t="s">
        <v>8514</v>
      </c>
      <c r="B1738" s="3" t="s">
        <v>8515</v>
      </c>
      <c r="C1738" s="3" t="s">
        <v>8516</v>
      </c>
      <c r="D1738" s="3" t="s">
        <v>8517</v>
      </c>
      <c r="E1738" s="3" t="s">
        <v>1710</v>
      </c>
      <c r="F1738" s="3">
        <v>25.68</v>
      </c>
      <c r="G1738" s="3" t="s">
        <v>6233</v>
      </c>
      <c r="H1738" s="3"/>
      <c r="I1738" s="3" t="s">
        <v>6234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0.11</v>
      </c>
      <c r="P1738" s="3">
        <v>0</v>
      </c>
      <c r="Q1738" s="3">
        <v>0</v>
      </c>
      <c r="R1738" s="3">
        <v>0</v>
      </c>
    </row>
    <row r="1739" spans="1:18">
      <c r="A1739" s="3" t="s">
        <v>3787</v>
      </c>
      <c r="B1739" s="3" t="s">
        <v>3788</v>
      </c>
      <c r="C1739" s="3" t="s">
        <v>3789</v>
      </c>
      <c r="D1739" s="3" t="s">
        <v>3790</v>
      </c>
      <c r="E1739" s="3" t="s">
        <v>1710</v>
      </c>
      <c r="F1739" s="3">
        <v>25.68</v>
      </c>
      <c r="G1739" s="3" t="s">
        <v>6233</v>
      </c>
      <c r="H1739" s="3"/>
      <c r="I1739" s="3" t="s">
        <v>6234</v>
      </c>
      <c r="J1739" s="3">
        <v>5</v>
      </c>
      <c r="K1739" s="3">
        <v>5</v>
      </c>
      <c r="L1739" s="3">
        <v>0</v>
      </c>
      <c r="M1739" s="3">
        <v>0</v>
      </c>
      <c r="N1739" s="3">
        <v>5</v>
      </c>
      <c r="O1739" s="3">
        <v>0.11</v>
      </c>
      <c r="P1739" s="3">
        <v>0</v>
      </c>
      <c r="Q1739" s="3">
        <v>0</v>
      </c>
      <c r="R1739" s="3">
        <v>0</v>
      </c>
    </row>
    <row r="1740" spans="1:18">
      <c r="A1740" s="3" t="s">
        <v>8518</v>
      </c>
      <c r="B1740" s="3" t="s">
        <v>8519</v>
      </c>
      <c r="C1740" s="3" t="s">
        <v>8520</v>
      </c>
      <c r="D1740" s="3" t="s">
        <v>8521</v>
      </c>
      <c r="E1740" s="3" t="s">
        <v>1710</v>
      </c>
      <c r="F1740" s="3">
        <v>25.68</v>
      </c>
      <c r="G1740" s="3" t="s">
        <v>6233</v>
      </c>
      <c r="H1740" s="3"/>
      <c r="I1740" s="3" t="s">
        <v>6234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0.11</v>
      </c>
      <c r="P1740" s="3">
        <v>0</v>
      </c>
      <c r="Q1740" s="3">
        <v>0</v>
      </c>
      <c r="R1740" s="3">
        <v>0</v>
      </c>
    </row>
    <row r="1741" spans="1:18">
      <c r="A1741" s="3" t="s">
        <v>2966</v>
      </c>
      <c r="B1741" s="3" t="s">
        <v>2967</v>
      </c>
      <c r="C1741" s="3" t="s">
        <v>2968</v>
      </c>
      <c r="D1741" s="3" t="s">
        <v>2969</v>
      </c>
      <c r="E1741" s="3" t="s">
        <v>1710</v>
      </c>
      <c r="F1741" s="3">
        <v>25.68</v>
      </c>
      <c r="G1741" s="3" t="s">
        <v>6233</v>
      </c>
      <c r="H1741" s="3"/>
      <c r="I1741" s="3" t="s">
        <v>6234</v>
      </c>
      <c r="J1741" s="3">
        <v>4</v>
      </c>
      <c r="K1741" s="3">
        <v>4</v>
      </c>
      <c r="L1741" s="3">
        <v>0</v>
      </c>
      <c r="M1741" s="3">
        <v>0</v>
      </c>
      <c r="N1741" s="3">
        <v>4</v>
      </c>
      <c r="O1741" s="3">
        <v>0.11</v>
      </c>
      <c r="P1741" s="3">
        <v>0</v>
      </c>
      <c r="Q1741" s="3">
        <v>0</v>
      </c>
      <c r="R1741" s="3">
        <v>0</v>
      </c>
    </row>
    <row r="1742" spans="1:18">
      <c r="A1742" s="3" t="s">
        <v>3731</v>
      </c>
      <c r="B1742" s="3" t="s">
        <v>3732</v>
      </c>
      <c r="C1742" s="3" t="s">
        <v>3733</v>
      </c>
      <c r="D1742" s="3" t="s">
        <v>3734</v>
      </c>
      <c r="E1742" s="3" t="s">
        <v>1710</v>
      </c>
      <c r="F1742" s="3">
        <v>25.68</v>
      </c>
      <c r="G1742" s="3" t="s">
        <v>6233</v>
      </c>
      <c r="H1742" s="3"/>
      <c r="I1742" s="3" t="s">
        <v>6234</v>
      </c>
      <c r="J1742" s="3">
        <v>3</v>
      </c>
      <c r="K1742" s="3">
        <v>3</v>
      </c>
      <c r="L1742" s="3">
        <v>0</v>
      </c>
      <c r="M1742" s="3">
        <v>0</v>
      </c>
      <c r="N1742" s="3">
        <v>3</v>
      </c>
      <c r="O1742" s="3">
        <v>0.11</v>
      </c>
      <c r="P1742" s="3">
        <v>0</v>
      </c>
      <c r="Q1742" s="3">
        <v>0</v>
      </c>
      <c r="R1742" s="3">
        <v>0</v>
      </c>
    </row>
    <row r="1743" spans="1:18">
      <c r="A1743" s="3" t="s">
        <v>4977</v>
      </c>
      <c r="B1743" s="3" t="s">
        <v>4978</v>
      </c>
      <c r="C1743" s="3" t="s">
        <v>4979</v>
      </c>
      <c r="D1743" s="3" t="s">
        <v>4980</v>
      </c>
      <c r="E1743" s="3" t="s">
        <v>1710</v>
      </c>
      <c r="F1743" s="3">
        <v>25.68</v>
      </c>
      <c r="G1743" s="3" t="s">
        <v>6233</v>
      </c>
      <c r="H1743" s="3"/>
      <c r="I1743" s="3" t="s">
        <v>6234</v>
      </c>
      <c r="J1743" s="3">
        <v>3</v>
      </c>
      <c r="K1743" s="3">
        <v>3</v>
      </c>
      <c r="L1743" s="3">
        <v>0</v>
      </c>
      <c r="M1743" s="3">
        <v>0</v>
      </c>
      <c r="N1743" s="3">
        <v>3</v>
      </c>
      <c r="O1743" s="3">
        <v>0.11</v>
      </c>
      <c r="P1743" s="3">
        <v>0</v>
      </c>
      <c r="Q1743" s="3">
        <v>0</v>
      </c>
      <c r="R1743" s="3">
        <v>0</v>
      </c>
    </row>
    <row r="1744" spans="1:18">
      <c r="A1744" s="3" t="s">
        <v>8522</v>
      </c>
      <c r="B1744" s="3" t="s">
        <v>8523</v>
      </c>
      <c r="C1744" s="3" t="s">
        <v>8524</v>
      </c>
      <c r="D1744" s="3" t="s">
        <v>8525</v>
      </c>
      <c r="E1744" s="3" t="s">
        <v>1710</v>
      </c>
      <c r="F1744" s="3">
        <v>25.68</v>
      </c>
      <c r="G1744" s="3" t="s">
        <v>6233</v>
      </c>
      <c r="H1744" s="3"/>
      <c r="I1744" s="3" t="s">
        <v>6234</v>
      </c>
      <c r="J1744" s="3">
        <v>1</v>
      </c>
      <c r="K1744" s="3">
        <v>1</v>
      </c>
      <c r="L1744" s="3">
        <v>0</v>
      </c>
      <c r="M1744" s="3">
        <v>0</v>
      </c>
      <c r="N1744" s="3">
        <v>1</v>
      </c>
      <c r="O1744" s="3">
        <v>0.11</v>
      </c>
      <c r="P1744" s="3">
        <v>0</v>
      </c>
      <c r="Q1744" s="3">
        <v>0</v>
      </c>
      <c r="R1744" s="3">
        <v>0</v>
      </c>
    </row>
    <row r="1745" spans="1:18">
      <c r="A1745" s="3" t="s">
        <v>5556</v>
      </c>
      <c r="B1745" s="3" t="s">
        <v>5557</v>
      </c>
      <c r="C1745" s="3" t="s">
        <v>5558</v>
      </c>
      <c r="D1745" s="3" t="s">
        <v>5559</v>
      </c>
      <c r="E1745" s="3" t="s">
        <v>1710</v>
      </c>
      <c r="F1745" s="3">
        <v>25.68</v>
      </c>
      <c r="G1745" s="3" t="s">
        <v>6233</v>
      </c>
      <c r="H1745" s="3"/>
      <c r="I1745" s="3" t="s">
        <v>6234</v>
      </c>
      <c r="J1745" s="3">
        <v>1</v>
      </c>
      <c r="K1745" s="3">
        <v>1</v>
      </c>
      <c r="L1745" s="3">
        <v>0</v>
      </c>
      <c r="M1745" s="3">
        <v>0</v>
      </c>
      <c r="N1745" s="3">
        <v>1</v>
      </c>
      <c r="O1745" s="3">
        <v>0.11</v>
      </c>
      <c r="P1745" s="3">
        <v>0</v>
      </c>
      <c r="Q1745" s="3">
        <v>0</v>
      </c>
      <c r="R1745" s="3">
        <v>0</v>
      </c>
    </row>
    <row r="1746" spans="1:18">
      <c r="A1746" s="3" t="s">
        <v>8526</v>
      </c>
      <c r="B1746" s="3" t="s">
        <v>8527</v>
      </c>
      <c r="C1746" s="3" t="s">
        <v>8528</v>
      </c>
      <c r="D1746" s="3" t="s">
        <v>8529</v>
      </c>
      <c r="E1746" s="3" t="s">
        <v>1710</v>
      </c>
      <c r="F1746" s="3">
        <v>25.68</v>
      </c>
      <c r="G1746" s="3" t="s">
        <v>6233</v>
      </c>
      <c r="H1746" s="3"/>
      <c r="I1746" s="3" t="s">
        <v>6234</v>
      </c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>
        <v>0.11</v>
      </c>
      <c r="P1746" s="3">
        <v>0</v>
      </c>
      <c r="Q1746" s="3">
        <v>0</v>
      </c>
      <c r="R1746" s="3">
        <v>0</v>
      </c>
    </row>
    <row r="1747" spans="1:18">
      <c r="A1747" s="3" t="s">
        <v>6213</v>
      </c>
      <c r="B1747" s="3" t="s">
        <v>6214</v>
      </c>
      <c r="C1747" s="3" t="s">
        <v>6215</v>
      </c>
      <c r="D1747" s="3" t="s">
        <v>6216</v>
      </c>
      <c r="E1747" s="3" t="s">
        <v>1710</v>
      </c>
      <c r="F1747" s="3">
        <v>38</v>
      </c>
      <c r="G1747" s="3" t="s">
        <v>6233</v>
      </c>
      <c r="H1747" s="3"/>
      <c r="I1747" s="3" t="s">
        <v>6234</v>
      </c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>
        <v>0.13</v>
      </c>
      <c r="P1747" s="3">
        <v>0</v>
      </c>
      <c r="Q1747" s="3">
        <v>0</v>
      </c>
      <c r="R1747" s="3">
        <v>0</v>
      </c>
    </row>
    <row r="1748" spans="1:18">
      <c r="A1748" s="3" t="s">
        <v>851</v>
      </c>
      <c r="B1748" s="3" t="s">
        <v>852</v>
      </c>
      <c r="C1748" s="3" t="s">
        <v>853</v>
      </c>
      <c r="D1748" s="3" t="s">
        <v>854</v>
      </c>
      <c r="E1748" s="3" t="s">
        <v>1710</v>
      </c>
      <c r="F1748" s="3">
        <v>38</v>
      </c>
      <c r="G1748" s="3" t="s">
        <v>6233</v>
      </c>
      <c r="H1748" s="3"/>
      <c r="I1748" s="3" t="s">
        <v>6234</v>
      </c>
      <c r="J1748" s="3">
        <v>9</v>
      </c>
      <c r="K1748" s="3">
        <v>0</v>
      </c>
      <c r="L1748" s="3">
        <v>3</v>
      </c>
      <c r="M1748" s="3">
        <v>6</v>
      </c>
      <c r="N1748" s="3">
        <v>9</v>
      </c>
      <c r="O1748" s="3">
        <v>0.19</v>
      </c>
      <c r="P1748" s="3">
        <v>0</v>
      </c>
      <c r="Q1748" s="3">
        <v>0</v>
      </c>
      <c r="R1748" s="3">
        <v>0</v>
      </c>
    </row>
    <row r="1749" spans="1:18">
      <c r="A1749" s="3" t="s">
        <v>827</v>
      </c>
      <c r="B1749" s="3" t="s">
        <v>828</v>
      </c>
      <c r="C1749" s="3" t="s">
        <v>829</v>
      </c>
      <c r="D1749" s="3" t="s">
        <v>830</v>
      </c>
      <c r="E1749" s="3" t="s">
        <v>1710</v>
      </c>
      <c r="F1749" s="3">
        <v>38</v>
      </c>
      <c r="G1749" s="3" t="s">
        <v>6233</v>
      </c>
      <c r="H1749" s="3"/>
      <c r="I1749" s="3" t="s">
        <v>6234</v>
      </c>
      <c r="J1749" s="3">
        <v>6</v>
      </c>
      <c r="K1749" s="3">
        <v>0</v>
      </c>
      <c r="L1749" s="3">
        <v>5</v>
      </c>
      <c r="M1749" s="3">
        <v>1</v>
      </c>
      <c r="N1749" s="3">
        <v>6</v>
      </c>
      <c r="O1749" s="3">
        <v>0.19</v>
      </c>
      <c r="P1749" s="3">
        <v>0</v>
      </c>
      <c r="Q1749" s="3">
        <v>0</v>
      </c>
      <c r="R1749" s="3">
        <v>0</v>
      </c>
    </row>
    <row r="1750" spans="1:18">
      <c r="A1750" s="3" t="s">
        <v>4631</v>
      </c>
      <c r="B1750" s="3" t="s">
        <v>4632</v>
      </c>
      <c r="C1750" s="3" t="s">
        <v>4633</v>
      </c>
      <c r="D1750" s="3" t="s">
        <v>4634</v>
      </c>
      <c r="E1750" s="3" t="s">
        <v>1710</v>
      </c>
      <c r="F1750" s="3">
        <v>38</v>
      </c>
      <c r="G1750" s="3" t="s">
        <v>6233</v>
      </c>
      <c r="H1750" s="3"/>
      <c r="I1750" s="3" t="s">
        <v>6234</v>
      </c>
      <c r="J1750" s="3">
        <v>3</v>
      </c>
      <c r="K1750" s="3">
        <v>0</v>
      </c>
      <c r="L1750" s="3">
        <v>3</v>
      </c>
      <c r="M1750" s="3">
        <v>0</v>
      </c>
      <c r="N1750" s="3">
        <v>12</v>
      </c>
      <c r="O1750" s="3">
        <v>0.19</v>
      </c>
      <c r="P1750" s="3">
        <v>0</v>
      </c>
      <c r="Q1750" s="3">
        <v>9</v>
      </c>
      <c r="R1750" s="3">
        <v>0</v>
      </c>
    </row>
    <row r="1751" spans="1:18">
      <c r="A1751" s="3" t="s">
        <v>783</v>
      </c>
      <c r="B1751" s="3" t="s">
        <v>784</v>
      </c>
      <c r="C1751" s="3" t="s">
        <v>785</v>
      </c>
      <c r="D1751" s="3" t="s">
        <v>786</v>
      </c>
      <c r="E1751" s="3" t="s">
        <v>1710</v>
      </c>
      <c r="F1751" s="3">
        <v>38</v>
      </c>
      <c r="G1751" s="3" t="s">
        <v>6233</v>
      </c>
      <c r="H1751" s="3"/>
      <c r="I1751" s="3" t="s">
        <v>6234</v>
      </c>
      <c r="J1751" s="3">
        <v>3</v>
      </c>
      <c r="K1751" s="3">
        <v>0</v>
      </c>
      <c r="L1751" s="3">
        <v>1</v>
      </c>
      <c r="M1751" s="3">
        <v>2</v>
      </c>
      <c r="N1751" s="3">
        <v>8</v>
      </c>
      <c r="O1751" s="3">
        <v>0.11</v>
      </c>
      <c r="P1751" s="3">
        <v>0</v>
      </c>
      <c r="Q1751" s="3">
        <v>0</v>
      </c>
      <c r="R1751" s="3">
        <v>5</v>
      </c>
    </row>
    <row r="1752" spans="1:18">
      <c r="A1752" s="3" t="s">
        <v>3587</v>
      </c>
      <c r="B1752" s="3" t="s">
        <v>3588</v>
      </c>
      <c r="C1752" s="3" t="s">
        <v>3589</v>
      </c>
      <c r="D1752" s="3" t="s">
        <v>3590</v>
      </c>
      <c r="E1752" s="3" t="s">
        <v>1710</v>
      </c>
      <c r="F1752" s="3">
        <v>38</v>
      </c>
      <c r="G1752" s="3" t="s">
        <v>6233</v>
      </c>
      <c r="H1752" s="3"/>
      <c r="I1752" s="3" t="s">
        <v>6234</v>
      </c>
      <c r="J1752" s="3">
        <v>5</v>
      </c>
      <c r="K1752" s="3">
        <v>0</v>
      </c>
      <c r="L1752" s="3">
        <v>5</v>
      </c>
      <c r="M1752" s="3">
        <v>0</v>
      </c>
      <c r="N1752" s="3">
        <v>5</v>
      </c>
      <c r="O1752" s="3">
        <v>0.22</v>
      </c>
      <c r="P1752" s="3">
        <v>0</v>
      </c>
      <c r="Q1752" s="3">
        <v>0</v>
      </c>
      <c r="R1752" s="3">
        <v>0</v>
      </c>
    </row>
    <row r="1753" spans="1:18">
      <c r="A1753" s="3" t="s">
        <v>799</v>
      </c>
      <c r="B1753" s="3" t="s">
        <v>800</v>
      </c>
      <c r="C1753" s="3" t="s">
        <v>801</v>
      </c>
      <c r="D1753" s="3" t="s">
        <v>802</v>
      </c>
      <c r="E1753" s="3" t="s">
        <v>1710</v>
      </c>
      <c r="F1753" s="3">
        <v>38</v>
      </c>
      <c r="G1753" s="3" t="s">
        <v>6233</v>
      </c>
      <c r="H1753" s="3"/>
      <c r="I1753" s="3" t="s">
        <v>6234</v>
      </c>
      <c r="J1753" s="3">
        <v>5</v>
      </c>
      <c r="K1753" s="3">
        <v>0</v>
      </c>
      <c r="L1753" s="3">
        <v>4</v>
      </c>
      <c r="M1753" s="3">
        <v>1</v>
      </c>
      <c r="N1753" s="3">
        <v>5</v>
      </c>
      <c r="O1753" s="3">
        <v>0.22</v>
      </c>
      <c r="P1753" s="3">
        <v>0</v>
      </c>
      <c r="Q1753" s="3">
        <v>0</v>
      </c>
      <c r="R1753" s="3">
        <v>0</v>
      </c>
    </row>
    <row r="1754" spans="1:18">
      <c r="A1754" s="3" t="s">
        <v>843</v>
      </c>
      <c r="B1754" s="3" t="s">
        <v>844</v>
      </c>
      <c r="C1754" s="3" t="s">
        <v>845</v>
      </c>
      <c r="D1754" s="3" t="s">
        <v>846</v>
      </c>
      <c r="E1754" s="3" t="s">
        <v>1710</v>
      </c>
      <c r="F1754" s="3">
        <v>38</v>
      </c>
      <c r="G1754" s="3" t="s">
        <v>6233</v>
      </c>
      <c r="H1754" s="3"/>
      <c r="I1754" s="3" t="s">
        <v>6234</v>
      </c>
      <c r="J1754" s="3">
        <v>9</v>
      </c>
      <c r="K1754" s="3">
        <v>0</v>
      </c>
      <c r="L1754" s="3">
        <v>4</v>
      </c>
      <c r="M1754" s="3">
        <v>5</v>
      </c>
      <c r="N1754" s="3">
        <v>9</v>
      </c>
      <c r="O1754" s="3">
        <v>0.22</v>
      </c>
      <c r="P1754" s="3">
        <v>0</v>
      </c>
      <c r="Q1754" s="3">
        <v>0</v>
      </c>
      <c r="R1754" s="3">
        <v>0</v>
      </c>
    </row>
    <row r="1755" spans="1:18">
      <c r="A1755" s="3" t="s">
        <v>795</v>
      </c>
      <c r="B1755" s="3" t="s">
        <v>796</v>
      </c>
      <c r="C1755" s="3" t="s">
        <v>797</v>
      </c>
      <c r="D1755" s="3" t="s">
        <v>798</v>
      </c>
      <c r="E1755" s="3" t="s">
        <v>1710</v>
      </c>
      <c r="F1755" s="3">
        <v>38</v>
      </c>
      <c r="G1755" s="3" t="s">
        <v>6233</v>
      </c>
      <c r="H1755" s="3"/>
      <c r="I1755" s="3" t="s">
        <v>6234</v>
      </c>
      <c r="J1755" s="3">
        <v>22</v>
      </c>
      <c r="K1755" s="3">
        <v>20</v>
      </c>
      <c r="L1755" s="3">
        <v>1</v>
      </c>
      <c r="M1755" s="3">
        <v>1</v>
      </c>
      <c r="N1755" s="3">
        <v>22</v>
      </c>
      <c r="O1755" s="3">
        <v>0.22</v>
      </c>
      <c r="P1755" s="3">
        <v>0</v>
      </c>
      <c r="Q1755" s="3">
        <v>0</v>
      </c>
      <c r="R1755" s="3">
        <v>0</v>
      </c>
    </row>
    <row r="1756" spans="1:18">
      <c r="A1756" s="3" t="s">
        <v>819</v>
      </c>
      <c r="B1756" s="3" t="s">
        <v>820</v>
      </c>
      <c r="C1756" s="3" t="s">
        <v>821</v>
      </c>
      <c r="D1756" s="3" t="s">
        <v>822</v>
      </c>
      <c r="E1756" s="3" t="s">
        <v>1710</v>
      </c>
      <c r="F1756" s="3">
        <v>38</v>
      </c>
      <c r="G1756" s="3" t="s">
        <v>6233</v>
      </c>
      <c r="H1756" s="3"/>
      <c r="I1756" s="3" t="s">
        <v>6234</v>
      </c>
      <c r="J1756" s="3">
        <v>4</v>
      </c>
      <c r="K1756" s="3">
        <v>0</v>
      </c>
      <c r="L1756" s="3">
        <v>3</v>
      </c>
      <c r="M1756" s="3">
        <v>1</v>
      </c>
      <c r="N1756" s="3">
        <v>4</v>
      </c>
      <c r="O1756" s="3">
        <v>0.22</v>
      </c>
      <c r="P1756" s="3">
        <v>0</v>
      </c>
      <c r="Q1756" s="3">
        <v>0</v>
      </c>
      <c r="R1756" s="3">
        <v>0</v>
      </c>
    </row>
    <row r="1757" spans="1:18">
      <c r="A1757" s="3" t="s">
        <v>855</v>
      </c>
      <c r="B1757" s="3" t="s">
        <v>856</v>
      </c>
      <c r="C1757" s="3" t="s">
        <v>857</v>
      </c>
      <c r="D1757" s="3" t="s">
        <v>858</v>
      </c>
      <c r="E1757" s="3" t="s">
        <v>1710</v>
      </c>
      <c r="F1757" s="3">
        <v>38</v>
      </c>
      <c r="G1757" s="3" t="s">
        <v>6233</v>
      </c>
      <c r="H1757" s="3"/>
      <c r="I1757" s="3" t="s">
        <v>6234</v>
      </c>
      <c r="J1757" s="3">
        <v>5</v>
      </c>
      <c r="K1757" s="3">
        <v>0</v>
      </c>
      <c r="L1757" s="3">
        <v>2</v>
      </c>
      <c r="M1757" s="3">
        <v>3</v>
      </c>
      <c r="N1757" s="3">
        <v>5</v>
      </c>
      <c r="O1757" s="3">
        <v>0.15</v>
      </c>
      <c r="P1757" s="3">
        <v>0</v>
      </c>
      <c r="Q1757" s="3">
        <v>0</v>
      </c>
      <c r="R1757" s="3">
        <v>0</v>
      </c>
    </row>
    <row r="1758" spans="1:18">
      <c r="A1758" s="3" t="s">
        <v>1785</v>
      </c>
      <c r="B1758" s="3" t="s">
        <v>1786</v>
      </c>
      <c r="C1758" s="3" t="s">
        <v>1787</v>
      </c>
      <c r="D1758" s="3" t="s">
        <v>1788</v>
      </c>
      <c r="E1758" s="3" t="s">
        <v>1710</v>
      </c>
      <c r="F1758" s="3">
        <v>38</v>
      </c>
      <c r="G1758" s="3" t="s">
        <v>6233</v>
      </c>
      <c r="H1758" s="3"/>
      <c r="I1758" s="3" t="s">
        <v>6234</v>
      </c>
      <c r="J1758" s="3">
        <v>2</v>
      </c>
      <c r="K1758" s="3">
        <v>0</v>
      </c>
      <c r="L1758" s="3">
        <v>2</v>
      </c>
      <c r="M1758" s="3">
        <v>0</v>
      </c>
      <c r="N1758" s="3">
        <v>2</v>
      </c>
      <c r="O1758" s="3">
        <v>0.13</v>
      </c>
      <c r="P1758" s="3">
        <v>0</v>
      </c>
      <c r="Q1758" s="3">
        <v>0</v>
      </c>
      <c r="R1758" s="3">
        <v>0</v>
      </c>
    </row>
    <row r="1759" spans="1:18">
      <c r="A1759" s="3" t="s">
        <v>835</v>
      </c>
      <c r="B1759" s="3" t="s">
        <v>836</v>
      </c>
      <c r="C1759" s="3" t="s">
        <v>837</v>
      </c>
      <c r="D1759" s="3" t="s">
        <v>838</v>
      </c>
      <c r="E1759" s="3" t="s">
        <v>1710</v>
      </c>
      <c r="F1759" s="3">
        <v>38</v>
      </c>
      <c r="G1759" s="3" t="s">
        <v>6233</v>
      </c>
      <c r="H1759" s="3"/>
      <c r="I1759" s="3" t="s">
        <v>6234</v>
      </c>
      <c r="J1759" s="3">
        <v>12</v>
      </c>
      <c r="K1759" s="3">
        <v>0</v>
      </c>
      <c r="L1759" s="3">
        <v>8</v>
      </c>
      <c r="M1759" s="3">
        <v>4</v>
      </c>
      <c r="N1759" s="3">
        <v>12</v>
      </c>
      <c r="O1759" s="3">
        <v>0.11</v>
      </c>
      <c r="P1759" s="3">
        <v>0</v>
      </c>
      <c r="Q1759" s="3">
        <v>0</v>
      </c>
      <c r="R1759" s="3">
        <v>0</v>
      </c>
    </row>
    <row r="1760" spans="1:18">
      <c r="A1760" s="3" t="s">
        <v>847</v>
      </c>
      <c r="B1760" s="3" t="s">
        <v>848</v>
      </c>
      <c r="C1760" s="3" t="s">
        <v>849</v>
      </c>
      <c r="D1760" s="3" t="s">
        <v>850</v>
      </c>
      <c r="E1760" s="3" t="s">
        <v>1710</v>
      </c>
      <c r="F1760" s="3">
        <v>38</v>
      </c>
      <c r="G1760" s="3" t="s">
        <v>6233</v>
      </c>
      <c r="H1760" s="3"/>
      <c r="I1760" s="3" t="s">
        <v>6234</v>
      </c>
      <c r="J1760" s="3">
        <v>9</v>
      </c>
      <c r="K1760" s="3">
        <v>0</v>
      </c>
      <c r="L1760" s="3">
        <v>3</v>
      </c>
      <c r="M1760" s="3">
        <v>6</v>
      </c>
      <c r="N1760" s="3">
        <v>9</v>
      </c>
      <c r="O1760" s="3">
        <v>0.18</v>
      </c>
      <c r="P1760" s="3">
        <v>0</v>
      </c>
      <c r="Q1760" s="3">
        <v>0</v>
      </c>
      <c r="R1760" s="3">
        <v>0</v>
      </c>
    </row>
    <row r="1761" spans="1:18">
      <c r="A1761" s="3" t="s">
        <v>823</v>
      </c>
      <c r="B1761" s="3" t="s">
        <v>824</v>
      </c>
      <c r="C1761" s="3" t="s">
        <v>825</v>
      </c>
      <c r="D1761" s="3" t="s">
        <v>826</v>
      </c>
      <c r="E1761" s="3" t="s">
        <v>1710</v>
      </c>
      <c r="F1761" s="3">
        <v>38</v>
      </c>
      <c r="G1761" s="3" t="s">
        <v>6233</v>
      </c>
      <c r="H1761" s="3"/>
      <c r="I1761" s="3" t="s">
        <v>6234</v>
      </c>
      <c r="J1761" s="3">
        <v>2</v>
      </c>
      <c r="K1761" s="3">
        <v>0</v>
      </c>
      <c r="L1761" s="3">
        <v>0</v>
      </c>
      <c r="M1761" s="3">
        <v>2</v>
      </c>
      <c r="N1761" s="3">
        <v>2</v>
      </c>
      <c r="O1761" s="3">
        <v>0.18</v>
      </c>
      <c r="P1761" s="3">
        <v>0</v>
      </c>
      <c r="Q1761" s="3">
        <v>0</v>
      </c>
      <c r="R1761" s="3">
        <v>0</v>
      </c>
    </row>
    <row r="1762" spans="1:18">
      <c r="A1762" s="3" t="s">
        <v>4686</v>
      </c>
      <c r="B1762" s="3" t="s">
        <v>4687</v>
      </c>
      <c r="C1762" s="3" t="s">
        <v>4688</v>
      </c>
      <c r="D1762" s="3" t="s">
        <v>4689</v>
      </c>
      <c r="E1762" s="3" t="s">
        <v>1710</v>
      </c>
      <c r="F1762" s="3">
        <v>38</v>
      </c>
      <c r="G1762" s="3" t="s">
        <v>6233</v>
      </c>
      <c r="H1762" s="3"/>
      <c r="I1762" s="3" t="s">
        <v>6234</v>
      </c>
      <c r="J1762" s="3">
        <v>13</v>
      </c>
      <c r="K1762" s="3">
        <v>10</v>
      </c>
      <c r="L1762" s="3">
        <v>3</v>
      </c>
      <c r="M1762" s="3">
        <v>0</v>
      </c>
      <c r="N1762" s="3">
        <v>13</v>
      </c>
      <c r="O1762" s="3">
        <v>0.13</v>
      </c>
      <c r="P1762" s="3">
        <v>0</v>
      </c>
      <c r="Q1762" s="3">
        <v>0</v>
      </c>
      <c r="R1762" s="3">
        <v>0</v>
      </c>
    </row>
    <row r="1763" spans="1:18">
      <c r="A1763" s="3" t="s">
        <v>791</v>
      </c>
      <c r="B1763" s="3" t="s">
        <v>792</v>
      </c>
      <c r="C1763" s="3" t="s">
        <v>793</v>
      </c>
      <c r="D1763" s="3" t="s">
        <v>794</v>
      </c>
      <c r="E1763" s="3" t="s">
        <v>1710</v>
      </c>
      <c r="F1763" s="3">
        <v>38</v>
      </c>
      <c r="G1763" s="3" t="s">
        <v>6233</v>
      </c>
      <c r="H1763" s="3"/>
      <c r="I1763" s="3" t="s">
        <v>6234</v>
      </c>
      <c r="J1763" s="3">
        <v>8</v>
      </c>
      <c r="K1763" s="3">
        <v>0</v>
      </c>
      <c r="L1763" s="3">
        <v>5</v>
      </c>
      <c r="M1763" s="3">
        <v>3</v>
      </c>
      <c r="N1763" s="3">
        <v>10</v>
      </c>
      <c r="O1763" s="3">
        <v>0.13</v>
      </c>
      <c r="P1763" s="3">
        <v>0</v>
      </c>
      <c r="Q1763" s="3">
        <v>2</v>
      </c>
      <c r="R1763" s="3">
        <v>0</v>
      </c>
    </row>
    <row r="1764" spans="1:18">
      <c r="A1764" s="3" t="s">
        <v>787</v>
      </c>
      <c r="B1764" s="3" t="s">
        <v>788</v>
      </c>
      <c r="C1764" s="3" t="s">
        <v>789</v>
      </c>
      <c r="D1764" s="3" t="s">
        <v>790</v>
      </c>
      <c r="E1764" s="3" t="s">
        <v>1710</v>
      </c>
      <c r="F1764" s="3">
        <v>38</v>
      </c>
      <c r="G1764" s="3" t="s">
        <v>6233</v>
      </c>
      <c r="H1764" s="3"/>
      <c r="I1764" s="3" t="s">
        <v>6234</v>
      </c>
      <c r="J1764" s="3">
        <v>14</v>
      </c>
      <c r="K1764" s="3">
        <v>0</v>
      </c>
      <c r="L1764" s="3">
        <v>9</v>
      </c>
      <c r="M1764" s="3">
        <v>5</v>
      </c>
      <c r="N1764" s="3">
        <v>14</v>
      </c>
      <c r="O1764" s="3">
        <v>0.13</v>
      </c>
      <c r="P1764" s="3">
        <v>0</v>
      </c>
      <c r="Q1764" s="3">
        <v>0</v>
      </c>
      <c r="R1764" s="3">
        <v>0</v>
      </c>
    </row>
    <row r="1765" spans="1:18">
      <c r="A1765" s="3" t="s">
        <v>807</v>
      </c>
      <c r="B1765" s="3" t="s">
        <v>808</v>
      </c>
      <c r="C1765" s="3" t="s">
        <v>809</v>
      </c>
      <c r="D1765" s="3" t="s">
        <v>810</v>
      </c>
      <c r="E1765" s="3" t="s">
        <v>1710</v>
      </c>
      <c r="F1765" s="3">
        <v>38</v>
      </c>
      <c r="G1765" s="3" t="s">
        <v>6233</v>
      </c>
      <c r="H1765" s="3"/>
      <c r="I1765" s="3" t="s">
        <v>6234</v>
      </c>
      <c r="J1765" s="3">
        <v>15</v>
      </c>
      <c r="K1765" s="3">
        <v>0</v>
      </c>
      <c r="L1765" s="3">
        <v>10</v>
      </c>
      <c r="M1765" s="3">
        <v>5</v>
      </c>
      <c r="N1765" s="3">
        <v>15</v>
      </c>
      <c r="O1765" s="3">
        <v>0.13</v>
      </c>
      <c r="P1765" s="3">
        <v>0</v>
      </c>
      <c r="Q1765" s="3">
        <v>0</v>
      </c>
      <c r="R1765" s="3">
        <v>0</v>
      </c>
    </row>
    <row r="1766" spans="1:18">
      <c r="A1766" s="3" t="s">
        <v>803</v>
      </c>
      <c r="B1766" s="3" t="s">
        <v>804</v>
      </c>
      <c r="C1766" s="3" t="s">
        <v>805</v>
      </c>
      <c r="D1766" s="3" t="s">
        <v>806</v>
      </c>
      <c r="E1766" s="3" t="s">
        <v>1710</v>
      </c>
      <c r="F1766" s="3">
        <v>38</v>
      </c>
      <c r="G1766" s="3" t="s">
        <v>6233</v>
      </c>
      <c r="H1766" s="3"/>
      <c r="I1766" s="3" t="s">
        <v>6234</v>
      </c>
      <c r="J1766" s="3">
        <v>8</v>
      </c>
      <c r="K1766" s="3">
        <v>0</v>
      </c>
      <c r="L1766" s="3">
        <v>2</v>
      </c>
      <c r="M1766" s="3">
        <v>6</v>
      </c>
      <c r="N1766" s="3">
        <v>8</v>
      </c>
      <c r="O1766" s="3">
        <v>0.13</v>
      </c>
      <c r="P1766" s="3">
        <v>0</v>
      </c>
      <c r="Q1766" s="3">
        <v>0</v>
      </c>
      <c r="R1766" s="3">
        <v>0</v>
      </c>
    </row>
    <row r="1767" spans="1:18">
      <c r="A1767" s="3" t="s">
        <v>815</v>
      </c>
      <c r="B1767" s="3" t="s">
        <v>816</v>
      </c>
      <c r="C1767" s="3" t="s">
        <v>817</v>
      </c>
      <c r="D1767" s="3" t="s">
        <v>818</v>
      </c>
      <c r="E1767" s="3" t="s">
        <v>1710</v>
      </c>
      <c r="F1767" s="3">
        <v>38</v>
      </c>
      <c r="G1767" s="3" t="s">
        <v>6233</v>
      </c>
      <c r="H1767" s="3"/>
      <c r="I1767" s="3" t="s">
        <v>6234</v>
      </c>
      <c r="J1767" s="3">
        <v>5</v>
      </c>
      <c r="K1767" s="3">
        <v>0</v>
      </c>
      <c r="L1767" s="3">
        <v>3</v>
      </c>
      <c r="M1767" s="3">
        <v>2</v>
      </c>
      <c r="N1767" s="3">
        <v>10</v>
      </c>
      <c r="O1767" s="3">
        <v>0.13</v>
      </c>
      <c r="P1767" s="3">
        <v>0</v>
      </c>
      <c r="Q1767" s="3">
        <v>5</v>
      </c>
      <c r="R1767" s="3">
        <v>0</v>
      </c>
    </row>
    <row r="1768" spans="1:18">
      <c r="A1768" s="3" t="s">
        <v>831</v>
      </c>
      <c r="B1768" s="3" t="s">
        <v>832</v>
      </c>
      <c r="C1768" s="3" t="s">
        <v>833</v>
      </c>
      <c r="D1768" s="3" t="s">
        <v>834</v>
      </c>
      <c r="E1768" s="3" t="s">
        <v>1710</v>
      </c>
      <c r="F1768" s="3">
        <v>38</v>
      </c>
      <c r="G1768" s="3" t="s">
        <v>6233</v>
      </c>
      <c r="H1768" s="3"/>
      <c r="I1768" s="3" t="s">
        <v>6234</v>
      </c>
      <c r="J1768" s="3">
        <v>3</v>
      </c>
      <c r="K1768" s="3">
        <v>0</v>
      </c>
      <c r="L1768" s="3">
        <v>0</v>
      </c>
      <c r="M1768" s="3">
        <v>3</v>
      </c>
      <c r="N1768" s="3">
        <v>3</v>
      </c>
      <c r="O1768" s="3">
        <v>0.13</v>
      </c>
      <c r="P1768" s="3">
        <v>0</v>
      </c>
      <c r="Q1768" s="3">
        <v>0</v>
      </c>
      <c r="R1768" s="3">
        <v>0</v>
      </c>
    </row>
    <row r="1769" spans="1:18">
      <c r="A1769" s="3" t="s">
        <v>839</v>
      </c>
      <c r="B1769" s="3" t="s">
        <v>840</v>
      </c>
      <c r="C1769" s="3" t="s">
        <v>841</v>
      </c>
      <c r="D1769" s="3" t="s">
        <v>842</v>
      </c>
      <c r="E1769" s="3" t="s">
        <v>1710</v>
      </c>
      <c r="F1769" s="3">
        <v>38</v>
      </c>
      <c r="G1769" s="3" t="s">
        <v>6233</v>
      </c>
      <c r="H1769" s="3"/>
      <c r="I1769" s="3" t="s">
        <v>6234</v>
      </c>
      <c r="J1769" s="3">
        <v>11</v>
      </c>
      <c r="K1769" s="3">
        <v>0</v>
      </c>
      <c r="L1769" s="3">
        <v>5</v>
      </c>
      <c r="M1769" s="3">
        <v>6</v>
      </c>
      <c r="N1769" s="3">
        <v>36</v>
      </c>
      <c r="O1769" s="3">
        <v>0.13</v>
      </c>
      <c r="P1769" s="3">
        <v>0</v>
      </c>
      <c r="Q1769" s="3">
        <v>25</v>
      </c>
      <c r="R1769" s="3">
        <v>0</v>
      </c>
    </row>
    <row r="1770" spans="1:18">
      <c r="A1770" s="3" t="s">
        <v>779</v>
      </c>
      <c r="B1770" s="3" t="s">
        <v>780</v>
      </c>
      <c r="C1770" s="3" t="s">
        <v>781</v>
      </c>
      <c r="D1770" s="3" t="s">
        <v>782</v>
      </c>
      <c r="E1770" s="3" t="s">
        <v>1710</v>
      </c>
      <c r="F1770" s="3">
        <v>38</v>
      </c>
      <c r="G1770" s="3" t="s">
        <v>6233</v>
      </c>
      <c r="H1770" s="3"/>
      <c r="I1770" s="3" t="s">
        <v>6234</v>
      </c>
      <c r="J1770" s="3">
        <v>8</v>
      </c>
      <c r="K1770" s="3">
        <v>0</v>
      </c>
      <c r="L1770" s="3">
        <v>5</v>
      </c>
      <c r="M1770" s="3">
        <v>3</v>
      </c>
      <c r="N1770" s="3">
        <v>9</v>
      </c>
      <c r="O1770" s="3">
        <v>0.13</v>
      </c>
      <c r="P1770" s="3">
        <v>0</v>
      </c>
      <c r="Q1770" s="3">
        <v>0</v>
      </c>
      <c r="R1770" s="3">
        <v>1</v>
      </c>
    </row>
    <row r="1771" spans="1:18">
      <c r="A1771" s="3" t="s">
        <v>811</v>
      </c>
      <c r="B1771" s="3" t="s">
        <v>812</v>
      </c>
      <c r="C1771" s="3" t="s">
        <v>813</v>
      </c>
      <c r="D1771" s="3" t="s">
        <v>814</v>
      </c>
      <c r="E1771" s="3" t="s">
        <v>1710</v>
      </c>
      <c r="F1771" s="3">
        <v>38</v>
      </c>
      <c r="G1771" s="3" t="s">
        <v>6233</v>
      </c>
      <c r="H1771" s="3"/>
      <c r="I1771" s="3" t="s">
        <v>6234</v>
      </c>
      <c r="J1771" s="3">
        <v>6</v>
      </c>
      <c r="K1771" s="3">
        <v>0</v>
      </c>
      <c r="L1771" s="3">
        <v>5</v>
      </c>
      <c r="M1771" s="3">
        <v>1</v>
      </c>
      <c r="N1771" s="3">
        <v>6</v>
      </c>
      <c r="O1771" s="3">
        <v>0.13</v>
      </c>
      <c r="P1771" s="3">
        <v>0</v>
      </c>
      <c r="Q1771" s="3">
        <v>0</v>
      </c>
      <c r="R1771" s="3">
        <v>0</v>
      </c>
    </row>
    <row r="1772" spans="1:18">
      <c r="A1772" s="3" t="s">
        <v>8530</v>
      </c>
      <c r="B1772" s="3" t="s">
        <v>8531</v>
      </c>
      <c r="C1772" s="3" t="s">
        <v>8532</v>
      </c>
      <c r="D1772" s="3"/>
      <c r="E1772" s="3" t="s">
        <v>6275</v>
      </c>
      <c r="F1772" s="3"/>
      <c r="G1772" s="3"/>
      <c r="H1772" s="3"/>
      <c r="I1772" s="3"/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8533</v>
      </c>
      <c r="B1773" s="3" t="s">
        <v>8534</v>
      </c>
      <c r="C1773" s="3" t="s">
        <v>8535</v>
      </c>
      <c r="D1773" s="3" t="s">
        <v>1951</v>
      </c>
      <c r="E1773" s="3" t="s">
        <v>1710</v>
      </c>
      <c r="F1773" s="3">
        <v>9.98</v>
      </c>
      <c r="G1773" s="3" t="s">
        <v>6233</v>
      </c>
      <c r="H1773" s="3"/>
      <c r="I1773" s="3" t="s">
        <v>6234</v>
      </c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>
        <v>0.1</v>
      </c>
      <c r="P1773" s="3">
        <v>0</v>
      </c>
      <c r="Q1773" s="3">
        <v>0</v>
      </c>
      <c r="R1773" s="3">
        <v>0</v>
      </c>
    </row>
    <row r="1774" spans="1:18">
      <c r="A1774" s="3" t="s">
        <v>1948</v>
      </c>
      <c r="B1774" s="3" t="s">
        <v>1949</v>
      </c>
      <c r="C1774" s="3" t="s">
        <v>1950</v>
      </c>
      <c r="D1774" s="3" t="s">
        <v>1951</v>
      </c>
      <c r="E1774" s="3" t="s">
        <v>1710</v>
      </c>
      <c r="F1774" s="3">
        <v>9.98</v>
      </c>
      <c r="G1774" s="3" t="s">
        <v>6233</v>
      </c>
      <c r="H1774" s="3"/>
      <c r="I1774" s="3" t="s">
        <v>6234</v>
      </c>
      <c r="J1774" s="3">
        <v>1</v>
      </c>
      <c r="K1774" s="3">
        <v>1</v>
      </c>
      <c r="L1774" s="3">
        <v>0</v>
      </c>
      <c r="M1774" s="3">
        <v>0</v>
      </c>
      <c r="N1774" s="3">
        <v>1</v>
      </c>
      <c r="O1774" s="3">
        <v>0.1</v>
      </c>
      <c r="P1774" s="3">
        <v>0</v>
      </c>
      <c r="Q1774" s="3">
        <v>0</v>
      </c>
      <c r="R1774" s="3">
        <v>0</v>
      </c>
    </row>
    <row r="1775" spans="1:18">
      <c r="A1775" s="3" t="s">
        <v>8536</v>
      </c>
      <c r="B1775" s="3" t="s">
        <v>8537</v>
      </c>
      <c r="C1775" s="3" t="s">
        <v>8538</v>
      </c>
      <c r="D1775" s="3" t="s">
        <v>1951</v>
      </c>
      <c r="E1775" s="3" t="s">
        <v>1710</v>
      </c>
      <c r="F1775" s="3">
        <v>38</v>
      </c>
      <c r="G1775" s="3" t="s">
        <v>6233</v>
      </c>
      <c r="H1775" s="3"/>
      <c r="I1775" s="3" t="s">
        <v>6234</v>
      </c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0.1</v>
      </c>
      <c r="P1775" s="3">
        <v>0</v>
      </c>
      <c r="Q1775" s="3">
        <v>0</v>
      </c>
      <c r="R1775" s="3">
        <v>0</v>
      </c>
    </row>
    <row r="1776" spans="1:18">
      <c r="A1776" s="3" t="s">
        <v>8539</v>
      </c>
      <c r="B1776" s="3" t="s">
        <v>8540</v>
      </c>
      <c r="C1776" s="3" t="s">
        <v>8541</v>
      </c>
      <c r="D1776" s="3"/>
      <c r="E1776" s="3" t="s">
        <v>6275</v>
      </c>
      <c r="F1776" s="3"/>
      <c r="G1776" s="3"/>
      <c r="H1776" s="3"/>
      <c r="I1776" s="3"/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/>
      <c r="P1776" s="3">
        <v>0</v>
      </c>
      <c r="Q1776" s="3">
        <v>0</v>
      </c>
      <c r="R1776" s="3">
        <v>0</v>
      </c>
    </row>
    <row r="1777" spans="1:18">
      <c r="A1777" s="3" t="s">
        <v>8542</v>
      </c>
      <c r="B1777" s="3" t="s">
        <v>8543</v>
      </c>
      <c r="C1777" s="3" t="s">
        <v>5198</v>
      </c>
      <c r="D1777" s="3"/>
      <c r="E1777" s="3" t="s">
        <v>6275</v>
      </c>
      <c r="F1777" s="3"/>
      <c r="G1777" s="3"/>
      <c r="H1777" s="3"/>
      <c r="I1777" s="3"/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/>
      <c r="P1777" s="3">
        <v>0</v>
      </c>
      <c r="Q1777" s="3">
        <v>0</v>
      </c>
      <c r="R1777" s="3">
        <v>0</v>
      </c>
    </row>
    <row r="1778" spans="1:18">
      <c r="A1778" s="3" t="s">
        <v>8544</v>
      </c>
      <c r="B1778" s="3" t="s">
        <v>8545</v>
      </c>
      <c r="C1778" s="3" t="s">
        <v>4425</v>
      </c>
      <c r="D1778" s="3"/>
      <c r="E1778" s="3" t="s">
        <v>6275</v>
      </c>
      <c r="F1778" s="3"/>
      <c r="G1778" s="3"/>
      <c r="H1778" s="3"/>
      <c r="I1778" s="3"/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/>
      <c r="P1778" s="3">
        <v>0</v>
      </c>
      <c r="Q1778" s="3">
        <v>0</v>
      </c>
      <c r="R1778" s="3">
        <v>0</v>
      </c>
    </row>
    <row r="1779" spans="1:18">
      <c r="A1779" s="3" t="s">
        <v>8546</v>
      </c>
      <c r="B1779" s="3" t="s">
        <v>8547</v>
      </c>
      <c r="C1779" s="3" t="s">
        <v>8548</v>
      </c>
      <c r="D1779" s="3"/>
      <c r="E1779" s="3" t="s">
        <v>6275</v>
      </c>
      <c r="F1779" s="3"/>
      <c r="G1779" s="3"/>
      <c r="H1779" s="3"/>
      <c r="I1779" s="3"/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/>
      <c r="P1779" s="3">
        <v>0</v>
      </c>
      <c r="Q1779" s="3">
        <v>0</v>
      </c>
      <c r="R1779" s="3">
        <v>0</v>
      </c>
    </row>
    <row r="1780" spans="1:18">
      <c r="A1780" s="3" t="s">
        <v>8549</v>
      </c>
      <c r="B1780" s="3" t="s">
        <v>8550</v>
      </c>
      <c r="C1780" s="3" t="s">
        <v>8551</v>
      </c>
      <c r="D1780" s="3"/>
      <c r="E1780" s="3" t="s">
        <v>6275</v>
      </c>
      <c r="F1780" s="3"/>
      <c r="G1780" s="3"/>
      <c r="H1780" s="3"/>
      <c r="I1780" s="3"/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/>
      <c r="P1780" s="3">
        <v>0</v>
      </c>
      <c r="Q1780" s="3">
        <v>0</v>
      </c>
      <c r="R1780" s="3">
        <v>0</v>
      </c>
    </row>
    <row r="1781" spans="1:18">
      <c r="A1781" s="3" t="s">
        <v>8552</v>
      </c>
      <c r="B1781" s="3" t="s">
        <v>8553</v>
      </c>
      <c r="C1781" s="3" t="s">
        <v>8554</v>
      </c>
      <c r="D1781" s="3"/>
      <c r="E1781" s="3" t="s">
        <v>6275</v>
      </c>
      <c r="F1781" s="3"/>
      <c r="G1781" s="3"/>
      <c r="H1781" s="3"/>
      <c r="I1781" s="3"/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/>
      <c r="P1781" s="3">
        <v>0</v>
      </c>
      <c r="Q1781" s="3">
        <v>0</v>
      </c>
      <c r="R1781" s="3">
        <v>0</v>
      </c>
    </row>
    <row r="1782" spans="1:18">
      <c r="A1782" s="3" t="s">
        <v>8555</v>
      </c>
      <c r="B1782" s="3" t="s">
        <v>8556</v>
      </c>
      <c r="C1782" s="3" t="s">
        <v>8557</v>
      </c>
      <c r="D1782" s="3"/>
      <c r="E1782" s="3" t="s">
        <v>6275</v>
      </c>
      <c r="F1782" s="3"/>
      <c r="G1782" s="3"/>
      <c r="H1782" s="3"/>
      <c r="I1782" s="3"/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/>
      <c r="P1782" s="3">
        <v>0</v>
      </c>
      <c r="Q1782" s="3">
        <v>0</v>
      </c>
      <c r="R1782" s="3">
        <v>0</v>
      </c>
    </row>
    <row r="1783" spans="1:18">
      <c r="A1783" s="3" t="s">
        <v>8558</v>
      </c>
      <c r="B1783" s="3" t="s">
        <v>8559</v>
      </c>
      <c r="C1783" s="3" t="s">
        <v>8560</v>
      </c>
      <c r="D1783" s="3"/>
      <c r="E1783" s="3" t="s">
        <v>6275</v>
      </c>
      <c r="F1783" s="3"/>
      <c r="G1783" s="3"/>
      <c r="H1783" s="3"/>
      <c r="I1783" s="3"/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/>
      <c r="P1783" s="3">
        <v>0</v>
      </c>
      <c r="Q1783" s="3">
        <v>0</v>
      </c>
      <c r="R1783" s="3">
        <v>0</v>
      </c>
    </row>
    <row r="1784" spans="1:18">
      <c r="A1784" s="3" t="s">
        <v>8561</v>
      </c>
      <c r="B1784" s="3" t="s">
        <v>8562</v>
      </c>
      <c r="C1784" s="3" t="s">
        <v>8563</v>
      </c>
      <c r="D1784" s="3"/>
      <c r="E1784" s="3" t="s">
        <v>6275</v>
      </c>
      <c r="F1784" s="3"/>
      <c r="G1784" s="3"/>
      <c r="H1784" s="3"/>
      <c r="I1784" s="3"/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/>
      <c r="P1784" s="3">
        <v>0</v>
      </c>
      <c r="Q1784" s="3">
        <v>0</v>
      </c>
      <c r="R1784" s="3">
        <v>0</v>
      </c>
    </row>
    <row r="1785" spans="1:18">
      <c r="A1785" s="3" t="s">
        <v>8564</v>
      </c>
      <c r="B1785" s="3" t="s">
        <v>8565</v>
      </c>
      <c r="C1785" s="3" t="s">
        <v>8566</v>
      </c>
      <c r="D1785" s="3"/>
      <c r="E1785" s="3" t="s">
        <v>6275</v>
      </c>
      <c r="F1785" s="3"/>
      <c r="G1785" s="3"/>
      <c r="H1785" s="3"/>
      <c r="I1785" s="3"/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8567</v>
      </c>
      <c r="B1786" s="3" t="s">
        <v>8568</v>
      </c>
      <c r="C1786" s="3" t="s">
        <v>8569</v>
      </c>
      <c r="D1786" s="3"/>
      <c r="E1786" s="3" t="s">
        <v>6275</v>
      </c>
      <c r="F1786" s="3"/>
      <c r="G1786" s="3"/>
      <c r="H1786" s="3"/>
      <c r="I1786" s="3"/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8570</v>
      </c>
      <c r="B1787" s="3" t="s">
        <v>8571</v>
      </c>
      <c r="C1787" s="3" t="s">
        <v>8572</v>
      </c>
      <c r="D1787" s="3"/>
      <c r="E1787" s="3" t="s">
        <v>6275</v>
      </c>
      <c r="F1787" s="3"/>
      <c r="G1787" s="3"/>
      <c r="H1787" s="3"/>
      <c r="I1787" s="3"/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/>
      <c r="P1787" s="3">
        <v>0</v>
      </c>
      <c r="Q1787" s="3">
        <v>0</v>
      </c>
      <c r="R1787" s="3">
        <v>0</v>
      </c>
    </row>
    <row r="1788" spans="1:18">
      <c r="A1788" s="3" t="s">
        <v>8573</v>
      </c>
      <c r="B1788" s="3" t="s">
        <v>8574</v>
      </c>
      <c r="C1788" s="3" t="s">
        <v>8575</v>
      </c>
      <c r="D1788" s="3"/>
      <c r="E1788" s="3" t="s">
        <v>6275</v>
      </c>
      <c r="F1788" s="3"/>
      <c r="G1788" s="3"/>
      <c r="H1788" s="3"/>
      <c r="I1788" s="3"/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/>
      <c r="P1788" s="3">
        <v>0</v>
      </c>
      <c r="Q1788" s="3">
        <v>0</v>
      </c>
      <c r="R1788" s="3">
        <v>0</v>
      </c>
    </row>
    <row r="1789" spans="1:18">
      <c r="A1789" s="3" t="s">
        <v>8576</v>
      </c>
      <c r="B1789" s="3" t="s">
        <v>8577</v>
      </c>
      <c r="C1789" s="3" t="s">
        <v>8578</v>
      </c>
      <c r="D1789" s="3"/>
      <c r="E1789" s="3" t="s">
        <v>6275</v>
      </c>
      <c r="F1789" s="3"/>
      <c r="G1789" s="3"/>
      <c r="H1789" s="3"/>
      <c r="I1789" s="3"/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/>
      <c r="P1789" s="3">
        <v>0</v>
      </c>
      <c r="Q1789" s="3">
        <v>0</v>
      </c>
      <c r="R1789" s="3">
        <v>0</v>
      </c>
    </row>
    <row r="1790" spans="1:18">
      <c r="A1790" s="3" t="s">
        <v>8579</v>
      </c>
      <c r="B1790" s="3" t="s">
        <v>8580</v>
      </c>
      <c r="C1790" s="3" t="s">
        <v>8581</v>
      </c>
      <c r="D1790" s="3"/>
      <c r="E1790" s="3" t="s">
        <v>6275</v>
      </c>
      <c r="F1790" s="3"/>
      <c r="G1790" s="3"/>
      <c r="H1790" s="3"/>
      <c r="I1790" s="3"/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/>
      <c r="P1790" s="3">
        <v>0</v>
      </c>
      <c r="Q1790" s="3">
        <v>0</v>
      </c>
      <c r="R1790" s="3">
        <v>0</v>
      </c>
    </row>
    <row r="1791" spans="1:18">
      <c r="A1791" s="3" t="s">
        <v>8582</v>
      </c>
      <c r="B1791" s="3" t="s">
        <v>8583</v>
      </c>
      <c r="C1791" s="3" t="s">
        <v>8584</v>
      </c>
      <c r="D1791" s="3"/>
      <c r="E1791" s="3" t="s">
        <v>6275</v>
      </c>
      <c r="F1791" s="3"/>
      <c r="G1791" s="3"/>
      <c r="H1791" s="3"/>
      <c r="I1791" s="3"/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/>
      <c r="P1791" s="3">
        <v>0</v>
      </c>
      <c r="Q1791" s="3">
        <v>0</v>
      </c>
      <c r="R1791" s="3">
        <v>0</v>
      </c>
    </row>
    <row r="1792" spans="1:18">
      <c r="A1792" s="3" t="s">
        <v>8585</v>
      </c>
      <c r="B1792" s="3" t="s">
        <v>8586</v>
      </c>
      <c r="C1792" s="3" t="s">
        <v>8587</v>
      </c>
      <c r="D1792" s="3"/>
      <c r="E1792" s="3" t="s">
        <v>6275</v>
      </c>
      <c r="F1792" s="3"/>
      <c r="G1792" s="3"/>
      <c r="H1792" s="3"/>
      <c r="I1792" s="3"/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/>
      <c r="P1792" s="3">
        <v>0</v>
      </c>
      <c r="Q1792" s="3">
        <v>0</v>
      </c>
      <c r="R1792" s="3">
        <v>0</v>
      </c>
    </row>
    <row r="1793" spans="1:18">
      <c r="A1793" s="3" t="s">
        <v>8588</v>
      </c>
      <c r="B1793" s="3" t="s">
        <v>8589</v>
      </c>
      <c r="C1793" s="3" t="s">
        <v>8590</v>
      </c>
      <c r="D1793" s="3"/>
      <c r="E1793" s="3" t="s">
        <v>6275</v>
      </c>
      <c r="F1793" s="3"/>
      <c r="G1793" s="3"/>
      <c r="H1793" s="3"/>
      <c r="I1793" s="3"/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/>
      <c r="P1793" s="3">
        <v>0</v>
      </c>
      <c r="Q1793" s="3">
        <v>0</v>
      </c>
      <c r="R1793" s="3">
        <v>0</v>
      </c>
    </row>
    <row r="1794" spans="1:18">
      <c r="A1794" s="3" t="s">
        <v>8591</v>
      </c>
      <c r="B1794" s="3" t="s">
        <v>8592</v>
      </c>
      <c r="C1794" s="3" t="s">
        <v>8593</v>
      </c>
      <c r="D1794" s="3"/>
      <c r="E1794" s="3" t="s">
        <v>6275</v>
      </c>
      <c r="F1794" s="3"/>
      <c r="G1794" s="3"/>
      <c r="H1794" s="3"/>
      <c r="I1794" s="3"/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/>
      <c r="P1794" s="3">
        <v>0</v>
      </c>
      <c r="Q1794" s="3">
        <v>0</v>
      </c>
      <c r="R1794" s="3">
        <v>0</v>
      </c>
    </row>
    <row r="1795" spans="1:18">
      <c r="A1795" s="3" t="s">
        <v>8594</v>
      </c>
      <c r="B1795" s="3" t="s">
        <v>8595</v>
      </c>
      <c r="C1795" s="3" t="s">
        <v>8596</v>
      </c>
      <c r="D1795" s="3"/>
      <c r="E1795" s="3" t="s">
        <v>6275</v>
      </c>
      <c r="F1795" s="3"/>
      <c r="G1795" s="3"/>
      <c r="H1795" s="3"/>
      <c r="I1795" s="3"/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/>
      <c r="P1795" s="3">
        <v>0</v>
      </c>
      <c r="Q1795" s="3">
        <v>0</v>
      </c>
      <c r="R1795" s="3">
        <v>0</v>
      </c>
    </row>
    <row r="1796" spans="1:18">
      <c r="A1796" s="3" t="s">
        <v>8597</v>
      </c>
      <c r="B1796" s="3" t="s">
        <v>8598</v>
      </c>
      <c r="C1796" s="3" t="s">
        <v>8599</v>
      </c>
      <c r="D1796" s="3"/>
      <c r="E1796" s="3" t="s">
        <v>6275</v>
      </c>
      <c r="F1796" s="3"/>
      <c r="G1796" s="3"/>
      <c r="H1796" s="3"/>
      <c r="I1796" s="3"/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/>
      <c r="P1796" s="3">
        <v>0</v>
      </c>
      <c r="Q1796" s="3">
        <v>0</v>
      </c>
      <c r="R1796" s="3">
        <v>0</v>
      </c>
    </row>
    <row r="1797" spans="1:18">
      <c r="A1797" s="3" t="s">
        <v>8600</v>
      </c>
      <c r="B1797" s="3" t="s">
        <v>8601</v>
      </c>
      <c r="C1797" s="3" t="s">
        <v>8602</v>
      </c>
      <c r="D1797" s="3"/>
      <c r="E1797" s="3" t="s">
        <v>6275</v>
      </c>
      <c r="F1797" s="3"/>
      <c r="G1797" s="3"/>
      <c r="H1797" s="3"/>
      <c r="I1797" s="3"/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/>
      <c r="P1797" s="3">
        <v>0</v>
      </c>
      <c r="Q1797" s="3">
        <v>0</v>
      </c>
      <c r="R1797" s="3">
        <v>0</v>
      </c>
    </row>
    <row r="1798" spans="1:18">
      <c r="A1798" s="3" t="s">
        <v>8603</v>
      </c>
      <c r="B1798" s="3" t="s">
        <v>8604</v>
      </c>
      <c r="C1798" s="3" t="s">
        <v>8605</v>
      </c>
      <c r="D1798" s="3"/>
      <c r="E1798" s="3" t="s">
        <v>6275</v>
      </c>
      <c r="F1798" s="3"/>
      <c r="G1798" s="3"/>
      <c r="H1798" s="3"/>
      <c r="I1798" s="3"/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/>
      <c r="P1798" s="3">
        <v>0</v>
      </c>
      <c r="Q1798" s="3">
        <v>0</v>
      </c>
      <c r="R1798" s="3">
        <v>0</v>
      </c>
    </row>
    <row r="1799" spans="1:18">
      <c r="A1799" s="3" t="s">
        <v>8606</v>
      </c>
      <c r="B1799" s="3" t="s">
        <v>8607</v>
      </c>
      <c r="C1799" s="3" t="s">
        <v>8608</v>
      </c>
      <c r="D1799" s="3"/>
      <c r="E1799" s="3" t="s">
        <v>6275</v>
      </c>
      <c r="F1799" s="3"/>
      <c r="G1799" s="3"/>
      <c r="H1799" s="3"/>
      <c r="I1799" s="3"/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/>
      <c r="P1799" s="3">
        <v>0</v>
      </c>
      <c r="Q1799" s="3">
        <v>0</v>
      </c>
      <c r="R1799" s="3">
        <v>0</v>
      </c>
    </row>
    <row r="1800" spans="1:18">
      <c r="A1800" s="3" t="s">
        <v>8609</v>
      </c>
      <c r="B1800" s="3" t="s">
        <v>8610</v>
      </c>
      <c r="C1800" s="3" t="s">
        <v>8611</v>
      </c>
      <c r="D1800" s="3"/>
      <c r="E1800" s="3" t="s">
        <v>6275</v>
      </c>
      <c r="F1800" s="3"/>
      <c r="G1800" s="3"/>
      <c r="H1800" s="3"/>
      <c r="I1800" s="3"/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/>
      <c r="P1800" s="3">
        <v>0</v>
      </c>
      <c r="Q1800" s="3">
        <v>0</v>
      </c>
      <c r="R1800" s="3">
        <v>0</v>
      </c>
    </row>
    <row r="1801" spans="1:18">
      <c r="A1801" s="3" t="s">
        <v>8612</v>
      </c>
      <c r="B1801" s="3" t="s">
        <v>8613</v>
      </c>
      <c r="C1801" s="3" t="s">
        <v>8614</v>
      </c>
      <c r="D1801" s="3"/>
      <c r="E1801" s="3" t="s">
        <v>6275</v>
      </c>
      <c r="F1801" s="3"/>
      <c r="G1801" s="3"/>
      <c r="H1801" s="3"/>
      <c r="I1801" s="3"/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/>
      <c r="P1801" s="3">
        <v>0</v>
      </c>
      <c r="Q1801" s="3">
        <v>0</v>
      </c>
      <c r="R1801" s="3">
        <v>0</v>
      </c>
    </row>
    <row r="1802" spans="1:18">
      <c r="A1802" s="3" t="s">
        <v>8615</v>
      </c>
      <c r="B1802" s="3" t="s">
        <v>8616</v>
      </c>
      <c r="C1802" s="3" t="s">
        <v>8617</v>
      </c>
      <c r="D1802" s="3"/>
      <c r="E1802" s="3" t="s">
        <v>6275</v>
      </c>
      <c r="F1802" s="3"/>
      <c r="G1802" s="3"/>
      <c r="H1802" s="3"/>
      <c r="I1802" s="3"/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/>
      <c r="P1802" s="3">
        <v>0</v>
      </c>
      <c r="Q1802" s="3">
        <v>0</v>
      </c>
      <c r="R1802" s="3">
        <v>0</v>
      </c>
    </row>
    <row r="1803" spans="1:18">
      <c r="A1803" s="3" t="s">
        <v>8618</v>
      </c>
      <c r="B1803" s="3" t="s">
        <v>8619</v>
      </c>
      <c r="C1803" s="3" t="s">
        <v>8620</v>
      </c>
      <c r="D1803" s="3"/>
      <c r="E1803" s="3" t="s">
        <v>6275</v>
      </c>
      <c r="F1803" s="3"/>
      <c r="G1803" s="3"/>
      <c r="H1803" s="3"/>
      <c r="I1803" s="3"/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/>
      <c r="P1803" s="3">
        <v>0</v>
      </c>
      <c r="Q1803" s="3">
        <v>0</v>
      </c>
      <c r="R1803" s="3">
        <v>0</v>
      </c>
    </row>
    <row r="1804" spans="1:18">
      <c r="A1804" s="3" t="s">
        <v>8621</v>
      </c>
      <c r="B1804" s="3" t="s">
        <v>8622</v>
      </c>
      <c r="C1804" s="3" t="s">
        <v>945</v>
      </c>
      <c r="D1804" s="3"/>
      <c r="E1804" s="3" t="s">
        <v>6275</v>
      </c>
      <c r="F1804" s="3"/>
      <c r="G1804" s="3"/>
      <c r="H1804" s="3"/>
      <c r="I1804" s="3"/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/>
      <c r="P1804" s="3">
        <v>0</v>
      </c>
      <c r="Q1804" s="3">
        <v>0</v>
      </c>
      <c r="R1804" s="3">
        <v>0</v>
      </c>
    </row>
    <row r="1805" spans="1:18">
      <c r="A1805" s="3" t="s">
        <v>8623</v>
      </c>
      <c r="B1805" s="3" t="s">
        <v>8624</v>
      </c>
      <c r="C1805" s="3" t="s">
        <v>3862</v>
      </c>
      <c r="D1805" s="3"/>
      <c r="E1805" s="3" t="s">
        <v>6275</v>
      </c>
      <c r="F1805" s="3"/>
      <c r="G1805" s="3"/>
      <c r="H1805" s="3"/>
      <c r="I1805" s="3"/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/>
      <c r="P1805" s="3">
        <v>0</v>
      </c>
      <c r="Q1805" s="3">
        <v>0</v>
      </c>
      <c r="R1805" s="3">
        <v>0</v>
      </c>
    </row>
    <row r="1806" spans="1:18">
      <c r="A1806" s="3" t="s">
        <v>8625</v>
      </c>
      <c r="B1806" s="3" t="s">
        <v>8626</v>
      </c>
      <c r="C1806" s="3" t="s">
        <v>873</v>
      </c>
      <c r="D1806" s="3"/>
      <c r="E1806" s="3" t="s">
        <v>6275</v>
      </c>
      <c r="F1806" s="3"/>
      <c r="G1806" s="3"/>
      <c r="H1806" s="3"/>
      <c r="I1806" s="3"/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/>
      <c r="P1806" s="3">
        <v>0</v>
      </c>
      <c r="Q1806" s="3">
        <v>0</v>
      </c>
      <c r="R1806" s="3">
        <v>0</v>
      </c>
    </row>
    <row r="1807" spans="1:18">
      <c r="A1807" s="3" t="s">
        <v>8627</v>
      </c>
      <c r="B1807" s="3" t="s">
        <v>8628</v>
      </c>
      <c r="C1807" s="3" t="s">
        <v>865</v>
      </c>
      <c r="D1807" s="3"/>
      <c r="E1807" s="3" t="s">
        <v>6275</v>
      </c>
      <c r="F1807" s="3"/>
      <c r="G1807" s="3"/>
      <c r="H1807" s="3"/>
      <c r="I1807" s="3"/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/>
      <c r="P1807" s="3">
        <v>0</v>
      </c>
      <c r="Q1807" s="3">
        <v>0</v>
      </c>
      <c r="R1807" s="3">
        <v>0</v>
      </c>
    </row>
    <row r="1808" spans="1:18">
      <c r="A1808" s="3" t="s">
        <v>8629</v>
      </c>
      <c r="B1808" s="3" t="s">
        <v>8630</v>
      </c>
      <c r="C1808" s="3" t="s">
        <v>3172</v>
      </c>
      <c r="D1808" s="3"/>
      <c r="E1808" s="3" t="s">
        <v>6275</v>
      </c>
      <c r="F1808" s="3"/>
      <c r="G1808" s="3"/>
      <c r="H1808" s="3"/>
      <c r="I1808" s="3"/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/>
      <c r="P1808" s="3">
        <v>0</v>
      </c>
      <c r="Q1808" s="3">
        <v>0</v>
      </c>
      <c r="R1808" s="3">
        <v>0</v>
      </c>
    </row>
    <row r="1809" spans="1:18">
      <c r="A1809" s="3" t="s">
        <v>8631</v>
      </c>
      <c r="B1809" s="3" t="s">
        <v>8632</v>
      </c>
      <c r="C1809" s="3" t="s">
        <v>5854</v>
      </c>
      <c r="D1809" s="3"/>
      <c r="E1809" s="3" t="s">
        <v>6275</v>
      </c>
      <c r="F1809" s="3"/>
      <c r="G1809" s="3"/>
      <c r="H1809" s="3"/>
      <c r="I1809" s="3"/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/>
      <c r="P1809" s="3">
        <v>0</v>
      </c>
      <c r="Q1809" s="3">
        <v>0</v>
      </c>
      <c r="R1809" s="3">
        <v>0</v>
      </c>
    </row>
    <row r="1810" spans="1:18">
      <c r="A1810" s="3" t="s">
        <v>8633</v>
      </c>
      <c r="B1810" s="3" t="s">
        <v>8634</v>
      </c>
      <c r="C1810" s="3" t="s">
        <v>1008</v>
      </c>
      <c r="D1810" s="3"/>
      <c r="E1810" s="3" t="s">
        <v>6275</v>
      </c>
      <c r="F1810" s="3"/>
      <c r="G1810" s="3"/>
      <c r="H1810" s="3"/>
      <c r="I1810" s="3"/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/>
      <c r="P1810" s="3">
        <v>0</v>
      </c>
      <c r="Q1810" s="3">
        <v>0</v>
      </c>
      <c r="R1810" s="3">
        <v>0</v>
      </c>
    </row>
    <row r="1811" spans="1:18">
      <c r="A1811" s="3" t="s">
        <v>8635</v>
      </c>
      <c r="B1811" s="3" t="s">
        <v>8636</v>
      </c>
      <c r="C1811" s="3" t="s">
        <v>937</v>
      </c>
      <c r="D1811" s="3"/>
      <c r="E1811" s="3" t="s">
        <v>6275</v>
      </c>
      <c r="F1811" s="3"/>
      <c r="G1811" s="3"/>
      <c r="H1811" s="3"/>
      <c r="I1811" s="3"/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/>
      <c r="P1811" s="3">
        <v>0</v>
      </c>
      <c r="Q1811" s="3">
        <v>0</v>
      </c>
      <c r="R1811" s="3">
        <v>0</v>
      </c>
    </row>
    <row r="1812" spans="1:18">
      <c r="A1812" s="3" t="s">
        <v>8637</v>
      </c>
      <c r="B1812" s="3" t="s">
        <v>8638</v>
      </c>
      <c r="C1812" s="3" t="s">
        <v>1001</v>
      </c>
      <c r="D1812" s="3"/>
      <c r="E1812" s="3" t="s">
        <v>6275</v>
      </c>
      <c r="F1812" s="3"/>
      <c r="G1812" s="3"/>
      <c r="H1812" s="3"/>
      <c r="I1812" s="3"/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/>
      <c r="P1812" s="3">
        <v>0</v>
      </c>
      <c r="Q1812" s="3">
        <v>0</v>
      </c>
      <c r="R1812" s="3">
        <v>0</v>
      </c>
    </row>
    <row r="1813" spans="1:18">
      <c r="A1813" s="3" t="s">
        <v>8639</v>
      </c>
      <c r="B1813" s="3" t="s">
        <v>8640</v>
      </c>
      <c r="C1813" s="3" t="s">
        <v>877</v>
      </c>
      <c r="D1813" s="3"/>
      <c r="E1813" s="3" t="s">
        <v>6275</v>
      </c>
      <c r="F1813" s="3"/>
      <c r="G1813" s="3"/>
      <c r="H1813" s="3"/>
      <c r="I1813" s="3"/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/>
      <c r="P1813" s="3">
        <v>0</v>
      </c>
      <c r="Q1813" s="3">
        <v>0</v>
      </c>
      <c r="R1813" s="3">
        <v>0</v>
      </c>
    </row>
    <row r="1814" spans="1:18">
      <c r="A1814" s="3" t="s">
        <v>8641</v>
      </c>
      <c r="B1814" s="3" t="s">
        <v>8642</v>
      </c>
      <c r="C1814" s="3" t="s">
        <v>1879</v>
      </c>
      <c r="D1814" s="3"/>
      <c r="E1814" s="3" t="s">
        <v>6275</v>
      </c>
      <c r="F1814" s="3"/>
      <c r="G1814" s="3"/>
      <c r="H1814" s="3"/>
      <c r="I1814" s="3"/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/>
      <c r="P1814" s="3">
        <v>0</v>
      </c>
      <c r="Q1814" s="3">
        <v>0</v>
      </c>
      <c r="R1814" s="3">
        <v>0</v>
      </c>
    </row>
    <row r="1815" spans="1:18">
      <c r="A1815" s="3" t="s">
        <v>8643</v>
      </c>
      <c r="B1815" s="3" t="s">
        <v>8644</v>
      </c>
      <c r="C1815" s="3" t="s">
        <v>6082</v>
      </c>
      <c r="D1815" s="3"/>
      <c r="E1815" s="3" t="s">
        <v>6275</v>
      </c>
      <c r="F1815" s="3"/>
      <c r="G1815" s="3"/>
      <c r="H1815" s="3"/>
      <c r="I1815" s="3"/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/>
      <c r="P1815" s="3">
        <v>0</v>
      </c>
      <c r="Q1815" s="3">
        <v>0</v>
      </c>
      <c r="R1815" s="3">
        <v>0</v>
      </c>
    </row>
    <row r="1816" spans="1:18">
      <c r="A1816" s="3" t="s">
        <v>8645</v>
      </c>
      <c r="B1816" s="3" t="s">
        <v>8646</v>
      </c>
      <c r="C1816" s="3" t="s">
        <v>861</v>
      </c>
      <c r="D1816" s="3"/>
      <c r="E1816" s="3" t="s">
        <v>6275</v>
      </c>
      <c r="F1816" s="3"/>
      <c r="G1816" s="3"/>
      <c r="H1816" s="3"/>
      <c r="I1816" s="3"/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/>
      <c r="P1816" s="3">
        <v>0</v>
      </c>
      <c r="Q1816" s="3">
        <v>0</v>
      </c>
      <c r="R1816" s="3">
        <v>0</v>
      </c>
    </row>
    <row r="1817" spans="1:18">
      <c r="A1817" s="3" t="s">
        <v>8647</v>
      </c>
      <c r="B1817" s="3" t="s">
        <v>8648</v>
      </c>
      <c r="C1817" s="3" t="s">
        <v>5334</v>
      </c>
      <c r="D1817" s="3"/>
      <c r="E1817" s="3" t="s">
        <v>6275</v>
      </c>
      <c r="F1817" s="3"/>
      <c r="G1817" s="3"/>
      <c r="H1817" s="3"/>
      <c r="I1817" s="3"/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/>
      <c r="P1817" s="3">
        <v>0</v>
      </c>
      <c r="Q1817" s="3">
        <v>0</v>
      </c>
      <c r="R1817" s="3">
        <v>0</v>
      </c>
    </row>
    <row r="1818" spans="1:18">
      <c r="A1818" s="3" t="s">
        <v>8649</v>
      </c>
      <c r="B1818" s="3" t="s">
        <v>8650</v>
      </c>
      <c r="C1818" s="3" t="s">
        <v>5641</v>
      </c>
      <c r="D1818" s="3"/>
      <c r="E1818" s="3" t="s">
        <v>6275</v>
      </c>
      <c r="F1818" s="3"/>
      <c r="G1818" s="3"/>
      <c r="H1818" s="3"/>
      <c r="I1818" s="3"/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/>
      <c r="P1818" s="3">
        <v>0</v>
      </c>
      <c r="Q1818" s="3">
        <v>0</v>
      </c>
      <c r="R1818" s="3">
        <v>0</v>
      </c>
    </row>
    <row r="1819" spans="1:18">
      <c r="A1819" s="3" t="s">
        <v>8651</v>
      </c>
      <c r="B1819" s="3" t="s">
        <v>8652</v>
      </c>
      <c r="C1819" s="3" t="s">
        <v>2956</v>
      </c>
      <c r="D1819" s="3"/>
      <c r="E1819" s="3" t="s">
        <v>6275</v>
      </c>
      <c r="F1819" s="3"/>
      <c r="G1819" s="3"/>
      <c r="H1819" s="3"/>
      <c r="I1819" s="3"/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/>
      <c r="P1819" s="3">
        <v>0</v>
      </c>
      <c r="Q1819" s="3">
        <v>0</v>
      </c>
      <c r="R1819" s="3">
        <v>0</v>
      </c>
    </row>
    <row r="1820" spans="1:18">
      <c r="A1820" s="3" t="s">
        <v>8653</v>
      </c>
      <c r="B1820" s="3" t="s">
        <v>8654</v>
      </c>
      <c r="C1820" s="3" t="s">
        <v>941</v>
      </c>
      <c r="D1820" s="3"/>
      <c r="E1820" s="3" t="s">
        <v>6275</v>
      </c>
      <c r="F1820" s="3"/>
      <c r="G1820" s="3"/>
      <c r="H1820" s="3"/>
      <c r="I1820" s="3"/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/>
      <c r="P1820" s="3">
        <v>0</v>
      </c>
      <c r="Q1820" s="3">
        <v>0</v>
      </c>
      <c r="R1820" s="3">
        <v>0</v>
      </c>
    </row>
    <row r="1821" spans="1:18">
      <c r="A1821" s="3" t="s">
        <v>8655</v>
      </c>
      <c r="B1821" s="3" t="s">
        <v>8656</v>
      </c>
      <c r="C1821" s="3" t="s">
        <v>1012</v>
      </c>
      <c r="D1821" s="3"/>
      <c r="E1821" s="3" t="s">
        <v>6275</v>
      </c>
      <c r="F1821" s="3"/>
      <c r="G1821" s="3"/>
      <c r="H1821" s="3"/>
      <c r="I1821" s="3"/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/>
      <c r="P1821" s="3">
        <v>0</v>
      </c>
      <c r="Q1821" s="3">
        <v>0</v>
      </c>
      <c r="R1821" s="3">
        <v>0</v>
      </c>
    </row>
    <row r="1822" spans="1:18">
      <c r="A1822" s="3" t="s">
        <v>8657</v>
      </c>
      <c r="B1822" s="3" t="s">
        <v>8658</v>
      </c>
      <c r="C1822" s="3" t="s">
        <v>929</v>
      </c>
      <c r="D1822" s="3"/>
      <c r="E1822" s="3" t="s">
        <v>6275</v>
      </c>
      <c r="F1822" s="3"/>
      <c r="G1822" s="3"/>
      <c r="H1822" s="3"/>
      <c r="I1822" s="3"/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/>
      <c r="P1822" s="3">
        <v>0</v>
      </c>
      <c r="Q1822" s="3">
        <v>0</v>
      </c>
      <c r="R1822" s="3">
        <v>0</v>
      </c>
    </row>
    <row r="1823" spans="1:18">
      <c r="A1823" s="3" t="s">
        <v>8659</v>
      </c>
      <c r="B1823" s="3" t="s">
        <v>8660</v>
      </c>
      <c r="C1823" s="3" t="s">
        <v>4477</v>
      </c>
      <c r="D1823" s="3"/>
      <c r="E1823" s="3" t="s">
        <v>6275</v>
      </c>
      <c r="F1823" s="3"/>
      <c r="G1823" s="3"/>
      <c r="H1823" s="3"/>
      <c r="I1823" s="3"/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/>
      <c r="P1823" s="3">
        <v>0</v>
      </c>
      <c r="Q1823" s="3">
        <v>0</v>
      </c>
      <c r="R1823" s="3">
        <v>0</v>
      </c>
    </row>
    <row r="1824" spans="1:18">
      <c r="A1824" s="3" t="s">
        <v>8661</v>
      </c>
      <c r="B1824" s="3" t="s">
        <v>8662</v>
      </c>
      <c r="C1824" s="3" t="s">
        <v>997</v>
      </c>
      <c r="D1824" s="3"/>
      <c r="E1824" s="3" t="s">
        <v>6275</v>
      </c>
      <c r="F1824" s="3"/>
      <c r="G1824" s="3"/>
      <c r="H1824" s="3"/>
      <c r="I1824" s="3"/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/>
      <c r="P1824" s="3">
        <v>0</v>
      </c>
      <c r="Q1824" s="3">
        <v>0</v>
      </c>
      <c r="R1824" s="3">
        <v>0</v>
      </c>
    </row>
    <row r="1825" spans="1:18">
      <c r="A1825" s="3" t="s">
        <v>8663</v>
      </c>
      <c r="B1825" s="3" t="s">
        <v>8664</v>
      </c>
      <c r="C1825" s="3" t="s">
        <v>909</v>
      </c>
      <c r="D1825" s="3"/>
      <c r="E1825" s="3" t="s">
        <v>6275</v>
      </c>
      <c r="F1825" s="3"/>
      <c r="G1825" s="3"/>
      <c r="H1825" s="3"/>
      <c r="I1825" s="3"/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/>
      <c r="P1825" s="3">
        <v>0</v>
      </c>
      <c r="Q1825" s="3">
        <v>0</v>
      </c>
      <c r="R1825" s="3">
        <v>0</v>
      </c>
    </row>
    <row r="1826" spans="1:18">
      <c r="A1826" s="3" t="s">
        <v>8665</v>
      </c>
      <c r="B1826" s="3" t="s">
        <v>8666</v>
      </c>
      <c r="C1826" s="3" t="s">
        <v>977</v>
      </c>
      <c r="D1826" s="3"/>
      <c r="E1826" s="3" t="s">
        <v>6275</v>
      </c>
      <c r="F1826" s="3"/>
      <c r="G1826" s="3"/>
      <c r="H1826" s="3"/>
      <c r="I1826" s="3"/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/>
      <c r="P1826" s="3">
        <v>0</v>
      </c>
      <c r="Q1826" s="3">
        <v>0</v>
      </c>
      <c r="R1826" s="3">
        <v>0</v>
      </c>
    </row>
    <row r="1827" spans="1:18">
      <c r="A1827" s="3" t="s">
        <v>8667</v>
      </c>
      <c r="B1827" s="3" t="s">
        <v>8668</v>
      </c>
      <c r="C1827" s="3" t="s">
        <v>917</v>
      </c>
      <c r="D1827" s="3"/>
      <c r="E1827" s="3" t="s">
        <v>6275</v>
      </c>
      <c r="F1827" s="3"/>
      <c r="G1827" s="3"/>
      <c r="H1827" s="3"/>
      <c r="I1827" s="3"/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/>
      <c r="P1827" s="3">
        <v>0</v>
      </c>
      <c r="Q1827" s="3">
        <v>0</v>
      </c>
      <c r="R1827" s="3">
        <v>0</v>
      </c>
    </row>
    <row r="1828" spans="1:18">
      <c r="A1828" s="3" t="s">
        <v>8669</v>
      </c>
      <c r="B1828" s="3" t="s">
        <v>8670</v>
      </c>
      <c r="C1828" s="3" t="s">
        <v>969</v>
      </c>
      <c r="D1828" s="3"/>
      <c r="E1828" s="3" t="s">
        <v>6275</v>
      </c>
      <c r="F1828" s="3"/>
      <c r="G1828" s="3"/>
      <c r="H1828" s="3"/>
      <c r="I1828" s="3"/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/>
      <c r="P1828" s="3">
        <v>0</v>
      </c>
      <c r="Q1828" s="3">
        <v>0</v>
      </c>
      <c r="R1828" s="3">
        <v>0</v>
      </c>
    </row>
    <row r="1829" spans="1:18">
      <c r="A1829" s="3" t="s">
        <v>8671</v>
      </c>
      <c r="B1829" s="3" t="s">
        <v>8672</v>
      </c>
      <c r="C1829" s="3" t="s">
        <v>4874</v>
      </c>
      <c r="D1829" s="3"/>
      <c r="E1829" s="3" t="s">
        <v>6275</v>
      </c>
      <c r="F1829" s="3"/>
      <c r="G1829" s="3"/>
      <c r="H1829" s="3"/>
      <c r="I1829" s="3"/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/>
      <c r="P1829" s="3">
        <v>0</v>
      </c>
      <c r="Q1829" s="3">
        <v>0</v>
      </c>
      <c r="R1829" s="3">
        <v>0</v>
      </c>
    </row>
    <row r="1830" spans="1:18">
      <c r="A1830" s="3" t="s">
        <v>8673</v>
      </c>
      <c r="B1830" s="3" t="s">
        <v>8674</v>
      </c>
      <c r="C1830" s="3" t="s">
        <v>897</v>
      </c>
      <c r="D1830" s="3"/>
      <c r="E1830" s="3" t="s">
        <v>6275</v>
      </c>
      <c r="F1830" s="3"/>
      <c r="G1830" s="3"/>
      <c r="H1830" s="3"/>
      <c r="I1830" s="3"/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/>
      <c r="P1830" s="3">
        <v>0</v>
      </c>
      <c r="Q1830" s="3">
        <v>0</v>
      </c>
      <c r="R1830" s="3">
        <v>0</v>
      </c>
    </row>
    <row r="1831" spans="1:18">
      <c r="A1831" s="3" t="s">
        <v>8675</v>
      </c>
      <c r="B1831" s="3" t="s">
        <v>8676</v>
      </c>
      <c r="C1831" s="3" t="s">
        <v>6028</v>
      </c>
      <c r="D1831" s="3"/>
      <c r="E1831" s="3" t="s">
        <v>6275</v>
      </c>
      <c r="F1831" s="3"/>
      <c r="G1831" s="3"/>
      <c r="H1831" s="3"/>
      <c r="I1831" s="3"/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/>
      <c r="P1831" s="3">
        <v>0</v>
      </c>
      <c r="Q1831" s="3">
        <v>0</v>
      </c>
      <c r="R1831" s="3">
        <v>0</v>
      </c>
    </row>
    <row r="1832" spans="1:18">
      <c r="A1832" s="3" t="s">
        <v>8677</v>
      </c>
      <c r="B1832" s="3" t="s">
        <v>8678</v>
      </c>
      <c r="C1832" s="3" t="s">
        <v>5212</v>
      </c>
      <c r="D1832" s="3"/>
      <c r="E1832" s="3" t="s">
        <v>6275</v>
      </c>
      <c r="F1832" s="3"/>
      <c r="G1832" s="3"/>
      <c r="H1832" s="3"/>
      <c r="I1832" s="3"/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/>
      <c r="P1832" s="3">
        <v>0</v>
      </c>
      <c r="Q1832" s="3">
        <v>0</v>
      </c>
      <c r="R1832" s="3">
        <v>0</v>
      </c>
    </row>
    <row r="1833" spans="1:18">
      <c r="A1833" s="3" t="s">
        <v>8679</v>
      </c>
      <c r="B1833" s="3" t="s">
        <v>8680</v>
      </c>
      <c r="C1833" s="3" t="s">
        <v>5278</v>
      </c>
      <c r="D1833" s="3"/>
      <c r="E1833" s="3" t="s">
        <v>6275</v>
      </c>
      <c r="F1833" s="3"/>
      <c r="G1833" s="3"/>
      <c r="H1833" s="3"/>
      <c r="I1833" s="3"/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/>
      <c r="P1833" s="3">
        <v>0</v>
      </c>
      <c r="Q1833" s="3">
        <v>0</v>
      </c>
      <c r="R1833" s="3">
        <v>0</v>
      </c>
    </row>
    <row r="1834" spans="1:18">
      <c r="A1834" s="3" t="s">
        <v>8681</v>
      </c>
      <c r="B1834" s="3" t="s">
        <v>8682</v>
      </c>
      <c r="C1834" s="3" t="s">
        <v>5305</v>
      </c>
      <c r="D1834" s="3"/>
      <c r="E1834" s="3" t="s">
        <v>6275</v>
      </c>
      <c r="F1834" s="3"/>
      <c r="G1834" s="3"/>
      <c r="H1834" s="3"/>
      <c r="I1834" s="3"/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/>
      <c r="P1834" s="3">
        <v>0</v>
      </c>
      <c r="Q1834" s="3">
        <v>0</v>
      </c>
      <c r="R1834" s="3">
        <v>0</v>
      </c>
    </row>
    <row r="1835" spans="1:18">
      <c r="A1835" s="3" t="s">
        <v>8683</v>
      </c>
      <c r="B1835" s="3" t="s">
        <v>8684</v>
      </c>
      <c r="C1835" s="3" t="s">
        <v>5540</v>
      </c>
      <c r="D1835" s="3"/>
      <c r="E1835" s="3" t="s">
        <v>6275</v>
      </c>
      <c r="F1835" s="3"/>
      <c r="G1835" s="3"/>
      <c r="H1835" s="3"/>
      <c r="I1835" s="3"/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/>
      <c r="P1835" s="3">
        <v>0</v>
      </c>
      <c r="Q1835" s="3">
        <v>0</v>
      </c>
      <c r="R1835" s="3">
        <v>0</v>
      </c>
    </row>
    <row r="1836" spans="1:18">
      <c r="A1836" s="3" t="s">
        <v>8685</v>
      </c>
      <c r="B1836" s="3" t="s">
        <v>8686</v>
      </c>
      <c r="C1836" s="3" t="s">
        <v>4814</v>
      </c>
      <c r="D1836" s="3"/>
      <c r="E1836" s="3" t="s">
        <v>6275</v>
      </c>
      <c r="F1836" s="3"/>
      <c r="G1836" s="3"/>
      <c r="H1836" s="3"/>
      <c r="I1836" s="3"/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/>
      <c r="P1836" s="3">
        <v>0</v>
      </c>
      <c r="Q1836" s="3">
        <v>0</v>
      </c>
      <c r="R1836" s="3">
        <v>0</v>
      </c>
    </row>
    <row r="1837" spans="1:18">
      <c r="A1837" s="3" t="s">
        <v>8687</v>
      </c>
      <c r="B1837" s="3" t="s">
        <v>8688</v>
      </c>
      <c r="C1837" s="3" t="s">
        <v>4565</v>
      </c>
      <c r="D1837" s="3"/>
      <c r="E1837" s="3" t="s">
        <v>6275</v>
      </c>
      <c r="F1837" s="3"/>
      <c r="G1837" s="3"/>
      <c r="H1837" s="3"/>
      <c r="I1837" s="3"/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/>
      <c r="P1837" s="3">
        <v>0</v>
      </c>
      <c r="Q1837" s="3">
        <v>0</v>
      </c>
      <c r="R1837" s="3">
        <v>0</v>
      </c>
    </row>
    <row r="1838" spans="1:18">
      <c r="A1838" s="3" t="s">
        <v>8689</v>
      </c>
      <c r="B1838" s="3" t="s">
        <v>8690</v>
      </c>
      <c r="C1838" s="3" t="s">
        <v>2021</v>
      </c>
      <c r="D1838" s="3"/>
      <c r="E1838" s="3" t="s">
        <v>6275</v>
      </c>
      <c r="F1838" s="3"/>
      <c r="G1838" s="3"/>
      <c r="H1838" s="3"/>
      <c r="I1838" s="3"/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/>
      <c r="P1838" s="3">
        <v>0</v>
      </c>
      <c r="Q1838" s="3">
        <v>0</v>
      </c>
      <c r="R1838" s="3">
        <v>0</v>
      </c>
    </row>
    <row r="1839" spans="1:18">
      <c r="A1839" s="3" t="s">
        <v>8691</v>
      </c>
      <c r="B1839" s="3" t="s">
        <v>8692</v>
      </c>
      <c r="C1839" s="3" t="s">
        <v>1005</v>
      </c>
      <c r="D1839" s="3"/>
      <c r="E1839" s="3" t="s">
        <v>6275</v>
      </c>
      <c r="F1839" s="3"/>
      <c r="G1839" s="3"/>
      <c r="H1839" s="3"/>
      <c r="I1839" s="3"/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/>
      <c r="P1839" s="3">
        <v>0</v>
      </c>
      <c r="Q1839" s="3">
        <v>0</v>
      </c>
      <c r="R1839" s="3">
        <v>0</v>
      </c>
    </row>
    <row r="1840" spans="1:18">
      <c r="A1840" s="3" t="s">
        <v>8693</v>
      </c>
      <c r="B1840" s="3" t="s">
        <v>8694</v>
      </c>
      <c r="C1840" s="3" t="s">
        <v>4026</v>
      </c>
      <c r="D1840" s="3"/>
      <c r="E1840" s="3" t="s">
        <v>6275</v>
      </c>
      <c r="F1840" s="3"/>
      <c r="G1840" s="3"/>
      <c r="H1840" s="3"/>
      <c r="I1840" s="3"/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/>
      <c r="P1840" s="3">
        <v>0</v>
      </c>
      <c r="Q1840" s="3">
        <v>0</v>
      </c>
      <c r="R1840" s="3">
        <v>0</v>
      </c>
    </row>
    <row r="1841" spans="1:18">
      <c r="A1841" s="3" t="s">
        <v>8695</v>
      </c>
      <c r="B1841" s="3" t="s">
        <v>8696</v>
      </c>
      <c r="C1841" s="3" t="s">
        <v>8697</v>
      </c>
      <c r="D1841" s="3"/>
      <c r="E1841" s="3" t="s">
        <v>6275</v>
      </c>
      <c r="F1841" s="3"/>
      <c r="G1841" s="3"/>
      <c r="H1841" s="3"/>
      <c r="I1841" s="3"/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/>
      <c r="P1841" s="3">
        <v>0</v>
      </c>
      <c r="Q1841" s="3">
        <v>0</v>
      </c>
      <c r="R1841" s="3">
        <v>0</v>
      </c>
    </row>
    <row r="1842" spans="1:18">
      <c r="A1842" s="3" t="s">
        <v>8698</v>
      </c>
      <c r="B1842" s="3" t="s">
        <v>8699</v>
      </c>
      <c r="C1842" s="3" t="s">
        <v>8700</v>
      </c>
      <c r="D1842" s="3"/>
      <c r="E1842" s="3" t="s">
        <v>6275</v>
      </c>
      <c r="F1842" s="3"/>
      <c r="G1842" s="3"/>
      <c r="H1842" s="3"/>
      <c r="I1842" s="3"/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/>
      <c r="P1842" s="3">
        <v>0</v>
      </c>
      <c r="Q1842" s="3">
        <v>0</v>
      </c>
      <c r="R1842" s="3">
        <v>0</v>
      </c>
    </row>
    <row r="1843" spans="1:18">
      <c r="A1843" s="3" t="s">
        <v>8701</v>
      </c>
      <c r="B1843" s="3" t="s">
        <v>8702</v>
      </c>
      <c r="C1843" s="3" t="s">
        <v>8703</v>
      </c>
      <c r="D1843" s="3"/>
      <c r="E1843" s="3" t="s">
        <v>6275</v>
      </c>
      <c r="F1843" s="3"/>
      <c r="G1843" s="3"/>
      <c r="H1843" s="3"/>
      <c r="I1843" s="3"/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/>
      <c r="P1843" s="3">
        <v>0</v>
      </c>
      <c r="Q1843" s="3">
        <v>0</v>
      </c>
      <c r="R1843" s="3">
        <v>0</v>
      </c>
    </row>
    <row r="1844" spans="1:18">
      <c r="A1844" s="3" t="s">
        <v>8704</v>
      </c>
      <c r="B1844" s="3" t="s">
        <v>8705</v>
      </c>
      <c r="C1844" s="3" t="s">
        <v>8706</v>
      </c>
      <c r="D1844" s="3"/>
      <c r="E1844" s="3" t="s">
        <v>6275</v>
      </c>
      <c r="F1844" s="3"/>
      <c r="G1844" s="3"/>
      <c r="H1844" s="3"/>
      <c r="I1844" s="3"/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/>
      <c r="P1844" s="3">
        <v>0</v>
      </c>
      <c r="Q1844" s="3">
        <v>0</v>
      </c>
      <c r="R1844" s="3">
        <v>0</v>
      </c>
    </row>
    <row r="1845" spans="1:18">
      <c r="A1845" s="3" t="s">
        <v>8707</v>
      </c>
      <c r="B1845" s="3" t="s">
        <v>8708</v>
      </c>
      <c r="C1845" s="3" t="s">
        <v>8709</v>
      </c>
      <c r="D1845" s="3"/>
      <c r="E1845" s="3" t="s">
        <v>6275</v>
      </c>
      <c r="F1845" s="3"/>
      <c r="G1845" s="3"/>
      <c r="H1845" s="3"/>
      <c r="I1845" s="3"/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/>
      <c r="P1845" s="3">
        <v>0</v>
      </c>
      <c r="Q1845" s="3">
        <v>0</v>
      </c>
      <c r="R1845" s="3">
        <v>0</v>
      </c>
    </row>
    <row r="1846" spans="1:18">
      <c r="A1846" s="3" t="s">
        <v>8710</v>
      </c>
      <c r="B1846" s="3" t="s">
        <v>8711</v>
      </c>
      <c r="C1846" s="3" t="s">
        <v>8712</v>
      </c>
      <c r="D1846" s="3"/>
      <c r="E1846" s="3" t="s">
        <v>6275</v>
      </c>
      <c r="F1846" s="3"/>
      <c r="G1846" s="3"/>
      <c r="H1846" s="3"/>
      <c r="I1846" s="3"/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/>
      <c r="P1846" s="3">
        <v>0</v>
      </c>
      <c r="Q1846" s="3">
        <v>0</v>
      </c>
      <c r="R1846" s="3">
        <v>0</v>
      </c>
    </row>
    <row r="1847" spans="1:18">
      <c r="A1847" s="3" t="s">
        <v>8713</v>
      </c>
      <c r="B1847" s="3" t="s">
        <v>8714</v>
      </c>
      <c r="C1847" s="3" t="s">
        <v>8715</v>
      </c>
      <c r="D1847" s="3"/>
      <c r="E1847" s="3" t="s">
        <v>6275</v>
      </c>
      <c r="F1847" s="3"/>
      <c r="G1847" s="3"/>
      <c r="H1847" s="3"/>
      <c r="I1847" s="3"/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/>
      <c r="P1847" s="3">
        <v>0</v>
      </c>
      <c r="Q1847" s="3">
        <v>0</v>
      </c>
      <c r="R1847" s="3">
        <v>0</v>
      </c>
    </row>
    <row r="1848" spans="1:18">
      <c r="A1848" s="3" t="s">
        <v>8716</v>
      </c>
      <c r="B1848" s="3" t="s">
        <v>8717</v>
      </c>
      <c r="C1848" s="3" t="s">
        <v>8718</v>
      </c>
      <c r="D1848" s="3"/>
      <c r="E1848" s="3" t="s">
        <v>6275</v>
      </c>
      <c r="F1848" s="3"/>
      <c r="G1848" s="3"/>
      <c r="H1848" s="3"/>
      <c r="I1848" s="3"/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/>
      <c r="P1848" s="3">
        <v>0</v>
      </c>
      <c r="Q1848" s="3">
        <v>0</v>
      </c>
      <c r="R1848" s="3">
        <v>0</v>
      </c>
    </row>
    <row r="1849" spans="1:18">
      <c r="A1849" s="3" t="s">
        <v>8719</v>
      </c>
      <c r="B1849" s="3" t="s">
        <v>8720</v>
      </c>
      <c r="C1849" s="3" t="s">
        <v>8721</v>
      </c>
      <c r="D1849" s="3"/>
      <c r="E1849" s="3" t="s">
        <v>6275</v>
      </c>
      <c r="F1849" s="3"/>
      <c r="G1849" s="3"/>
      <c r="H1849" s="3"/>
      <c r="I1849" s="3"/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/>
      <c r="P1849" s="3">
        <v>0</v>
      </c>
      <c r="Q1849" s="3">
        <v>0</v>
      </c>
      <c r="R1849" s="3">
        <v>0</v>
      </c>
    </row>
    <row r="1850" spans="1:18">
      <c r="A1850" s="3" t="s">
        <v>8722</v>
      </c>
      <c r="B1850" s="3" t="s">
        <v>8723</v>
      </c>
      <c r="C1850" s="3" t="s">
        <v>8724</v>
      </c>
      <c r="D1850" s="3"/>
      <c r="E1850" s="3" t="s">
        <v>6275</v>
      </c>
      <c r="F1850" s="3"/>
      <c r="G1850" s="3"/>
      <c r="H1850" s="3"/>
      <c r="I1850" s="3"/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/>
      <c r="P1850" s="3">
        <v>0</v>
      </c>
      <c r="Q1850" s="3">
        <v>0</v>
      </c>
      <c r="R1850" s="3">
        <v>0</v>
      </c>
    </row>
    <row r="1851" spans="1:18">
      <c r="A1851" s="3" t="s">
        <v>8725</v>
      </c>
      <c r="B1851" s="3" t="s">
        <v>8726</v>
      </c>
      <c r="C1851" s="3" t="s">
        <v>8727</v>
      </c>
      <c r="D1851" s="3"/>
      <c r="E1851" s="3" t="s">
        <v>6275</v>
      </c>
      <c r="F1851" s="3"/>
      <c r="G1851" s="3"/>
      <c r="H1851" s="3"/>
      <c r="I1851" s="3"/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/>
      <c r="P1851" s="3">
        <v>0</v>
      </c>
      <c r="Q1851" s="3">
        <v>0</v>
      </c>
      <c r="R1851" s="3">
        <v>0</v>
      </c>
    </row>
    <row r="1852" spans="1:18">
      <c r="A1852" s="3" t="s">
        <v>8728</v>
      </c>
      <c r="B1852" s="3" t="s">
        <v>8729</v>
      </c>
      <c r="C1852" s="3" t="s">
        <v>8730</v>
      </c>
      <c r="D1852" s="3"/>
      <c r="E1852" s="3" t="s">
        <v>6275</v>
      </c>
      <c r="F1852" s="3"/>
      <c r="G1852" s="3"/>
      <c r="H1852" s="3"/>
      <c r="I1852" s="3"/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/>
      <c r="P1852" s="3">
        <v>0</v>
      </c>
      <c r="Q1852" s="3">
        <v>0</v>
      </c>
      <c r="R1852" s="3">
        <v>0</v>
      </c>
    </row>
    <row r="1853" spans="1:18">
      <c r="A1853" s="3" t="s">
        <v>8731</v>
      </c>
      <c r="B1853" s="3" t="s">
        <v>8732</v>
      </c>
      <c r="C1853" s="3" t="s">
        <v>8733</v>
      </c>
      <c r="D1853" s="3"/>
      <c r="E1853" s="3" t="s">
        <v>6275</v>
      </c>
      <c r="F1853" s="3"/>
      <c r="G1853" s="3"/>
      <c r="H1853" s="3"/>
      <c r="I1853" s="3"/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/>
      <c r="P1853" s="3">
        <v>0</v>
      </c>
      <c r="Q1853" s="3">
        <v>0</v>
      </c>
      <c r="R1853" s="3">
        <v>0</v>
      </c>
    </row>
    <row r="1854" spans="1:18">
      <c r="A1854" s="3" t="s">
        <v>8734</v>
      </c>
      <c r="B1854" s="3" t="s">
        <v>8735</v>
      </c>
      <c r="C1854" s="3" t="s">
        <v>8736</v>
      </c>
      <c r="D1854" s="3"/>
      <c r="E1854" s="3" t="s">
        <v>6275</v>
      </c>
      <c r="F1854" s="3"/>
      <c r="G1854" s="3"/>
      <c r="H1854" s="3"/>
      <c r="I1854" s="3"/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/>
      <c r="P1854" s="3">
        <v>0</v>
      </c>
      <c r="Q1854" s="3">
        <v>0</v>
      </c>
      <c r="R1854" s="3">
        <v>0</v>
      </c>
    </row>
    <row r="1855" spans="1:18">
      <c r="A1855" s="3" t="s">
        <v>8737</v>
      </c>
      <c r="B1855" s="3" t="s">
        <v>8738</v>
      </c>
      <c r="C1855" s="3" t="s">
        <v>8739</v>
      </c>
      <c r="D1855" s="3"/>
      <c r="E1855" s="3" t="s">
        <v>6275</v>
      </c>
      <c r="F1855" s="3"/>
      <c r="G1855" s="3"/>
      <c r="H1855" s="3"/>
      <c r="I1855" s="3"/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/>
      <c r="P1855" s="3">
        <v>0</v>
      </c>
      <c r="Q1855" s="3">
        <v>0</v>
      </c>
      <c r="R1855" s="3">
        <v>0</v>
      </c>
    </row>
    <row r="1856" spans="1:18">
      <c r="A1856" s="3" t="s">
        <v>8740</v>
      </c>
      <c r="B1856" s="3" t="s">
        <v>8741</v>
      </c>
      <c r="C1856" s="3" t="s">
        <v>8742</v>
      </c>
      <c r="D1856" s="3"/>
      <c r="E1856" s="3" t="s">
        <v>6275</v>
      </c>
      <c r="F1856" s="3"/>
      <c r="G1856" s="3"/>
      <c r="H1856" s="3"/>
      <c r="I1856" s="3"/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/>
      <c r="P1856" s="3">
        <v>0</v>
      </c>
      <c r="Q1856" s="3">
        <v>0</v>
      </c>
      <c r="R1856" s="3">
        <v>0</v>
      </c>
    </row>
    <row r="1857" spans="1:18">
      <c r="A1857" s="3" t="s">
        <v>8743</v>
      </c>
      <c r="B1857" s="3" t="s">
        <v>8744</v>
      </c>
      <c r="C1857" s="3" t="s">
        <v>8745</v>
      </c>
      <c r="D1857" s="3"/>
      <c r="E1857" s="3" t="s">
        <v>6275</v>
      </c>
      <c r="F1857" s="3"/>
      <c r="G1857" s="3"/>
      <c r="H1857" s="3"/>
      <c r="I1857" s="3"/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/>
      <c r="P1857" s="3">
        <v>0</v>
      </c>
      <c r="Q1857" s="3">
        <v>0</v>
      </c>
      <c r="R1857" s="3">
        <v>0</v>
      </c>
    </row>
    <row r="1858" spans="1:18">
      <c r="A1858" s="3" t="s">
        <v>8746</v>
      </c>
      <c r="B1858" s="3" t="s">
        <v>8747</v>
      </c>
      <c r="C1858" s="3" t="s">
        <v>8748</v>
      </c>
      <c r="D1858" s="3"/>
      <c r="E1858" s="3" t="s">
        <v>6275</v>
      </c>
      <c r="F1858" s="3"/>
      <c r="G1858" s="3"/>
      <c r="H1858" s="3"/>
      <c r="I1858" s="3"/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/>
      <c r="P1858" s="3">
        <v>0</v>
      </c>
      <c r="Q1858" s="3">
        <v>0</v>
      </c>
      <c r="R1858" s="3">
        <v>0</v>
      </c>
    </row>
    <row r="1859" spans="1:18">
      <c r="A1859" s="3" t="s">
        <v>8749</v>
      </c>
      <c r="B1859" s="3" t="s">
        <v>8750</v>
      </c>
      <c r="C1859" s="3" t="s">
        <v>8751</v>
      </c>
      <c r="D1859" s="3"/>
      <c r="E1859" s="3" t="s">
        <v>6275</v>
      </c>
      <c r="F1859" s="3"/>
      <c r="G1859" s="3"/>
      <c r="H1859" s="3"/>
      <c r="I1859" s="3"/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/>
      <c r="P1859" s="3">
        <v>0</v>
      </c>
      <c r="Q1859" s="3">
        <v>0</v>
      </c>
      <c r="R1859" s="3">
        <v>0</v>
      </c>
    </row>
    <row r="1860" spans="1:18">
      <c r="A1860" s="3" t="s">
        <v>8752</v>
      </c>
      <c r="B1860" s="3" t="s">
        <v>8753</v>
      </c>
      <c r="C1860" s="3" t="s">
        <v>8754</v>
      </c>
      <c r="D1860" s="3"/>
      <c r="E1860" s="3" t="s">
        <v>6275</v>
      </c>
      <c r="F1860" s="3"/>
      <c r="G1860" s="3"/>
      <c r="H1860" s="3"/>
      <c r="I1860" s="3"/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/>
      <c r="P1860" s="3">
        <v>0</v>
      </c>
      <c r="Q1860" s="3">
        <v>0</v>
      </c>
      <c r="R1860" s="3">
        <v>0</v>
      </c>
    </row>
    <row r="1861" spans="1:18">
      <c r="A1861" s="3" t="s">
        <v>8755</v>
      </c>
      <c r="B1861" s="3" t="s">
        <v>8756</v>
      </c>
      <c r="C1861" s="3" t="s">
        <v>8757</v>
      </c>
      <c r="D1861" s="3"/>
      <c r="E1861" s="3" t="s">
        <v>6275</v>
      </c>
      <c r="F1861" s="3"/>
      <c r="G1861" s="3"/>
      <c r="H1861" s="3"/>
      <c r="I1861" s="3"/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/>
      <c r="P1861" s="3">
        <v>0</v>
      </c>
      <c r="Q1861" s="3">
        <v>0</v>
      </c>
      <c r="R1861" s="3">
        <v>0</v>
      </c>
    </row>
    <row r="1862" spans="1:18">
      <c r="A1862" s="3" t="s">
        <v>8758</v>
      </c>
      <c r="B1862" s="3" t="s">
        <v>8759</v>
      </c>
      <c r="C1862" s="3" t="s">
        <v>8760</v>
      </c>
      <c r="D1862" s="3"/>
      <c r="E1862" s="3" t="s">
        <v>6275</v>
      </c>
      <c r="F1862" s="3"/>
      <c r="G1862" s="3"/>
      <c r="H1862" s="3"/>
      <c r="I1862" s="3"/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/>
      <c r="P1862" s="3">
        <v>0</v>
      </c>
      <c r="Q1862" s="3">
        <v>0</v>
      </c>
      <c r="R1862" s="3">
        <v>0</v>
      </c>
    </row>
    <row r="1863" spans="1:18">
      <c r="A1863" s="3" t="s">
        <v>8761</v>
      </c>
      <c r="B1863" s="3" t="s">
        <v>8762</v>
      </c>
      <c r="C1863" s="3" t="s">
        <v>8763</v>
      </c>
      <c r="D1863" s="3"/>
      <c r="E1863" s="3" t="s">
        <v>6275</v>
      </c>
      <c r="F1863" s="3"/>
      <c r="G1863" s="3"/>
      <c r="H1863" s="3"/>
      <c r="I1863" s="3"/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/>
      <c r="P1863" s="3">
        <v>0</v>
      </c>
      <c r="Q1863" s="3">
        <v>0</v>
      </c>
      <c r="R1863" s="3">
        <v>0</v>
      </c>
    </row>
    <row r="1864" spans="1:18">
      <c r="A1864" s="3" t="s">
        <v>8764</v>
      </c>
      <c r="B1864" s="3" t="s">
        <v>8765</v>
      </c>
      <c r="C1864" s="3" t="s">
        <v>8766</v>
      </c>
      <c r="D1864" s="3"/>
      <c r="E1864" s="3" t="s">
        <v>6275</v>
      </c>
      <c r="F1864" s="3"/>
      <c r="G1864" s="3"/>
      <c r="H1864" s="3"/>
      <c r="I1864" s="3"/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/>
      <c r="P1864" s="3">
        <v>0</v>
      </c>
      <c r="Q1864" s="3">
        <v>0</v>
      </c>
      <c r="R1864" s="3">
        <v>0</v>
      </c>
    </row>
    <row r="1865" spans="1:18">
      <c r="A1865" s="3" t="s">
        <v>8767</v>
      </c>
      <c r="B1865" s="3" t="s">
        <v>8768</v>
      </c>
      <c r="C1865" s="3" t="s">
        <v>6137</v>
      </c>
      <c r="D1865" s="3"/>
      <c r="E1865" s="3" t="s">
        <v>6275</v>
      </c>
      <c r="F1865" s="3"/>
      <c r="G1865" s="3"/>
      <c r="H1865" s="3"/>
      <c r="I1865" s="3"/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8769</v>
      </c>
      <c r="B1866" s="3" t="s">
        <v>8770</v>
      </c>
      <c r="C1866" s="3" t="s">
        <v>2085</v>
      </c>
      <c r="D1866" s="3"/>
      <c r="E1866" s="3" t="s">
        <v>6275</v>
      </c>
      <c r="F1866" s="3"/>
      <c r="G1866" s="3"/>
      <c r="H1866" s="3"/>
      <c r="I1866" s="3"/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8771</v>
      </c>
      <c r="B1867" s="3" t="s">
        <v>8772</v>
      </c>
      <c r="C1867" s="3" t="s">
        <v>2944</v>
      </c>
      <c r="D1867" s="3"/>
      <c r="E1867" s="3" t="s">
        <v>6275</v>
      </c>
      <c r="F1867" s="3"/>
      <c r="G1867" s="3"/>
      <c r="H1867" s="3"/>
      <c r="I1867" s="3"/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8773</v>
      </c>
      <c r="B1868" s="3" t="s">
        <v>8774</v>
      </c>
      <c r="C1868" s="3" t="s">
        <v>5911</v>
      </c>
      <c r="D1868" s="3"/>
      <c r="E1868" s="3" t="s">
        <v>6275</v>
      </c>
      <c r="F1868" s="3"/>
      <c r="G1868" s="3"/>
      <c r="H1868" s="3"/>
      <c r="I1868" s="3"/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8775</v>
      </c>
      <c r="B1869" s="3" t="s">
        <v>8776</v>
      </c>
      <c r="C1869" s="3" t="s">
        <v>2074</v>
      </c>
      <c r="D1869" s="3"/>
      <c r="E1869" s="3" t="s">
        <v>6275</v>
      </c>
      <c r="F1869" s="3"/>
      <c r="G1869" s="3"/>
      <c r="H1869" s="3"/>
      <c r="I1869" s="3"/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/>
      <c r="P1869" s="3">
        <v>0</v>
      </c>
      <c r="Q1869" s="3">
        <v>0</v>
      </c>
      <c r="R1869" s="3">
        <v>0</v>
      </c>
    </row>
    <row r="1870" spans="1:18">
      <c r="A1870" s="3" t="s">
        <v>8777</v>
      </c>
      <c r="B1870" s="3" t="s">
        <v>8778</v>
      </c>
      <c r="C1870" s="3" t="s">
        <v>2482</v>
      </c>
      <c r="D1870" s="3"/>
      <c r="E1870" s="3" t="s">
        <v>6275</v>
      </c>
      <c r="F1870" s="3"/>
      <c r="G1870" s="3"/>
      <c r="H1870" s="3"/>
      <c r="I1870" s="3"/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/>
      <c r="P1870" s="3">
        <v>0</v>
      </c>
      <c r="Q1870" s="3">
        <v>0</v>
      </c>
      <c r="R1870" s="3">
        <v>0</v>
      </c>
    </row>
    <row r="1871" spans="1:18">
      <c r="A1871" s="3" t="s">
        <v>8779</v>
      </c>
      <c r="B1871" s="3" t="s">
        <v>8780</v>
      </c>
      <c r="C1871" s="3" t="s">
        <v>5254</v>
      </c>
      <c r="D1871" s="3"/>
      <c r="E1871" s="3" t="s">
        <v>6275</v>
      </c>
      <c r="F1871" s="3"/>
      <c r="G1871" s="3"/>
      <c r="H1871" s="3"/>
      <c r="I1871" s="3"/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/>
      <c r="P1871" s="3">
        <v>0</v>
      </c>
      <c r="Q1871" s="3">
        <v>0</v>
      </c>
      <c r="R1871" s="3">
        <v>0</v>
      </c>
    </row>
    <row r="1872" spans="1:18">
      <c r="A1872" s="3" t="s">
        <v>8781</v>
      </c>
      <c r="B1872" s="3" t="s">
        <v>8782</v>
      </c>
      <c r="C1872" s="3" t="s">
        <v>1068</v>
      </c>
      <c r="D1872" s="3"/>
      <c r="E1872" s="3" t="s">
        <v>6275</v>
      </c>
      <c r="F1872" s="3"/>
      <c r="G1872" s="3"/>
      <c r="H1872" s="3"/>
      <c r="I1872" s="3"/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/>
      <c r="P1872" s="3">
        <v>0</v>
      </c>
      <c r="Q1872" s="3">
        <v>0</v>
      </c>
      <c r="R1872" s="3">
        <v>0</v>
      </c>
    </row>
    <row r="1873" spans="1:18">
      <c r="A1873" s="3" t="s">
        <v>8783</v>
      </c>
      <c r="B1873" s="3" t="s">
        <v>8784</v>
      </c>
      <c r="C1873" s="3" t="s">
        <v>2063</v>
      </c>
      <c r="D1873" s="3"/>
      <c r="E1873" s="3" t="s">
        <v>6275</v>
      </c>
      <c r="F1873" s="3"/>
      <c r="G1873" s="3"/>
      <c r="H1873" s="3"/>
      <c r="I1873" s="3"/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/>
      <c r="P1873" s="3">
        <v>0</v>
      </c>
      <c r="Q1873" s="3">
        <v>0</v>
      </c>
      <c r="R1873" s="3">
        <v>0</v>
      </c>
    </row>
    <row r="1874" spans="1:18">
      <c r="A1874" s="3" t="s">
        <v>8785</v>
      </c>
      <c r="B1874" s="3" t="s">
        <v>8786</v>
      </c>
      <c r="C1874" s="3" t="s">
        <v>4638</v>
      </c>
      <c r="D1874" s="3"/>
      <c r="E1874" s="3" t="s">
        <v>6275</v>
      </c>
      <c r="F1874" s="3"/>
      <c r="G1874" s="3"/>
      <c r="H1874" s="3"/>
      <c r="I1874" s="3"/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/>
      <c r="P1874" s="3">
        <v>0</v>
      </c>
      <c r="Q1874" s="3">
        <v>0</v>
      </c>
      <c r="R1874" s="3">
        <v>0</v>
      </c>
    </row>
    <row r="1875" spans="1:18">
      <c r="A1875" s="3" t="s">
        <v>8787</v>
      </c>
      <c r="B1875" s="3" t="s">
        <v>8788</v>
      </c>
      <c r="C1875" s="3" t="s">
        <v>1108</v>
      </c>
      <c r="D1875" s="3"/>
      <c r="E1875" s="3" t="s">
        <v>6275</v>
      </c>
      <c r="F1875" s="3"/>
      <c r="G1875" s="3"/>
      <c r="H1875" s="3"/>
      <c r="I1875" s="3"/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/>
      <c r="P1875" s="3">
        <v>0</v>
      </c>
      <c r="Q1875" s="3">
        <v>0</v>
      </c>
      <c r="R1875" s="3">
        <v>0</v>
      </c>
    </row>
    <row r="1876" spans="1:18">
      <c r="A1876" s="3" t="s">
        <v>8789</v>
      </c>
      <c r="B1876" s="3" t="s">
        <v>8790</v>
      </c>
      <c r="C1876" s="3" t="s">
        <v>3549</v>
      </c>
      <c r="D1876" s="3"/>
      <c r="E1876" s="3" t="s">
        <v>6275</v>
      </c>
      <c r="F1876" s="3"/>
      <c r="G1876" s="3"/>
      <c r="H1876" s="3"/>
      <c r="I1876" s="3"/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/>
      <c r="P1876" s="3">
        <v>0</v>
      </c>
      <c r="Q1876" s="3">
        <v>0</v>
      </c>
      <c r="R1876" s="3">
        <v>0</v>
      </c>
    </row>
    <row r="1877" spans="1:18">
      <c r="A1877" s="3" t="s">
        <v>8791</v>
      </c>
      <c r="B1877" s="3" t="s">
        <v>8792</v>
      </c>
      <c r="C1877" s="3" t="s">
        <v>5850</v>
      </c>
      <c r="D1877" s="3"/>
      <c r="E1877" s="3" t="s">
        <v>6275</v>
      </c>
      <c r="F1877" s="3"/>
      <c r="G1877" s="3"/>
      <c r="H1877" s="3"/>
      <c r="I1877" s="3"/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/>
      <c r="P1877" s="3">
        <v>0</v>
      </c>
      <c r="Q1877" s="3">
        <v>0</v>
      </c>
      <c r="R1877" s="3">
        <v>0</v>
      </c>
    </row>
    <row r="1878" spans="1:18">
      <c r="A1878" s="3" t="s">
        <v>8793</v>
      </c>
      <c r="B1878" s="3" t="s">
        <v>8794</v>
      </c>
      <c r="C1878" s="3" t="s">
        <v>2600</v>
      </c>
      <c r="D1878" s="3"/>
      <c r="E1878" s="3" t="s">
        <v>6275</v>
      </c>
      <c r="F1878" s="3"/>
      <c r="G1878" s="3"/>
      <c r="H1878" s="3"/>
      <c r="I1878" s="3"/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/>
      <c r="P1878" s="3">
        <v>0</v>
      </c>
      <c r="Q1878" s="3">
        <v>0</v>
      </c>
      <c r="R1878" s="3">
        <v>0</v>
      </c>
    </row>
    <row r="1879" spans="1:18">
      <c r="A1879" s="3" t="s">
        <v>8795</v>
      </c>
      <c r="B1879" s="3" t="s">
        <v>8796</v>
      </c>
      <c r="C1879" s="3" t="s">
        <v>3197</v>
      </c>
      <c r="D1879" s="3"/>
      <c r="E1879" s="3" t="s">
        <v>6275</v>
      </c>
      <c r="F1879" s="3"/>
      <c r="G1879" s="3"/>
      <c r="H1879" s="3"/>
      <c r="I1879" s="3"/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/>
      <c r="P1879" s="3">
        <v>0</v>
      </c>
      <c r="Q1879" s="3">
        <v>0</v>
      </c>
      <c r="R1879" s="3">
        <v>0</v>
      </c>
    </row>
    <row r="1880" spans="1:18">
      <c r="A1880" s="3" t="s">
        <v>8797</v>
      </c>
      <c r="B1880" s="3" t="s">
        <v>8798</v>
      </c>
      <c r="C1880" s="3" t="s">
        <v>5043</v>
      </c>
      <c r="D1880" s="3"/>
      <c r="E1880" s="3" t="s">
        <v>6275</v>
      </c>
      <c r="F1880" s="3"/>
      <c r="G1880" s="3"/>
      <c r="H1880" s="3"/>
      <c r="I1880" s="3"/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/>
      <c r="P1880" s="3">
        <v>0</v>
      </c>
      <c r="Q1880" s="3">
        <v>0</v>
      </c>
      <c r="R1880" s="3">
        <v>0</v>
      </c>
    </row>
    <row r="1881" spans="1:18">
      <c r="A1881" s="3" t="s">
        <v>8799</v>
      </c>
      <c r="B1881" s="3" t="s">
        <v>8800</v>
      </c>
      <c r="C1881" s="3" t="s">
        <v>3498</v>
      </c>
      <c r="D1881" s="3"/>
      <c r="E1881" s="3" t="s">
        <v>6275</v>
      </c>
      <c r="F1881" s="3"/>
      <c r="G1881" s="3"/>
      <c r="H1881" s="3"/>
      <c r="I1881" s="3"/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/>
      <c r="P1881" s="3">
        <v>0</v>
      </c>
      <c r="Q1881" s="3">
        <v>0</v>
      </c>
      <c r="R1881" s="3">
        <v>0</v>
      </c>
    </row>
    <row r="1882" spans="1:18">
      <c r="A1882" s="3" t="s">
        <v>8801</v>
      </c>
      <c r="B1882" s="3" t="s">
        <v>8802</v>
      </c>
      <c r="C1882" s="3" t="s">
        <v>5925</v>
      </c>
      <c r="D1882" s="3"/>
      <c r="E1882" s="3" t="s">
        <v>6275</v>
      </c>
      <c r="F1882" s="3"/>
      <c r="G1882" s="3"/>
      <c r="H1882" s="3"/>
      <c r="I1882" s="3"/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/>
      <c r="P1882" s="3">
        <v>0</v>
      </c>
      <c r="Q1882" s="3">
        <v>0</v>
      </c>
      <c r="R1882" s="3">
        <v>0</v>
      </c>
    </row>
    <row r="1883" spans="1:18">
      <c r="A1883" s="3" t="s">
        <v>8803</v>
      </c>
      <c r="B1883" s="3" t="s">
        <v>8804</v>
      </c>
      <c r="C1883" s="3" t="s">
        <v>4021</v>
      </c>
      <c r="D1883" s="3"/>
      <c r="E1883" s="3" t="s">
        <v>6275</v>
      </c>
      <c r="F1883" s="3"/>
      <c r="G1883" s="3"/>
      <c r="H1883" s="3"/>
      <c r="I1883" s="3"/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/>
      <c r="P1883" s="3">
        <v>0</v>
      </c>
      <c r="Q1883" s="3">
        <v>0</v>
      </c>
      <c r="R1883" s="3">
        <v>0</v>
      </c>
    </row>
    <row r="1884" spans="1:18">
      <c r="A1884" s="3" t="s">
        <v>8805</v>
      </c>
      <c r="B1884" s="3" t="s">
        <v>8806</v>
      </c>
      <c r="C1884" s="3" t="s">
        <v>3785</v>
      </c>
      <c r="D1884" s="3"/>
      <c r="E1884" s="3" t="s">
        <v>6275</v>
      </c>
      <c r="F1884" s="3"/>
      <c r="G1884" s="3"/>
      <c r="H1884" s="3"/>
      <c r="I1884" s="3"/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/>
      <c r="P1884" s="3">
        <v>0</v>
      </c>
      <c r="Q1884" s="3">
        <v>0</v>
      </c>
      <c r="R1884" s="3">
        <v>0</v>
      </c>
    </row>
    <row r="1885" spans="1:18">
      <c r="A1885" s="3" t="s">
        <v>8807</v>
      </c>
      <c r="B1885" s="3" t="s">
        <v>8808</v>
      </c>
      <c r="C1885" s="3" t="s">
        <v>5226</v>
      </c>
      <c r="D1885" s="3"/>
      <c r="E1885" s="3" t="s">
        <v>6275</v>
      </c>
      <c r="F1885" s="3"/>
      <c r="G1885" s="3"/>
      <c r="H1885" s="3"/>
      <c r="I1885" s="3"/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/>
      <c r="P1885" s="3">
        <v>0</v>
      </c>
      <c r="Q1885" s="3">
        <v>0</v>
      </c>
      <c r="R1885" s="3">
        <v>0</v>
      </c>
    </row>
    <row r="1886" spans="1:18">
      <c r="A1886" s="3" t="s">
        <v>8809</v>
      </c>
      <c r="B1886" s="3" t="s">
        <v>8810</v>
      </c>
      <c r="C1886" s="3" t="s">
        <v>3985</v>
      </c>
      <c r="D1886" s="3"/>
      <c r="E1886" s="3" t="s">
        <v>6275</v>
      </c>
      <c r="F1886" s="3"/>
      <c r="G1886" s="3"/>
      <c r="H1886" s="3"/>
      <c r="I1886" s="3"/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/>
      <c r="P1886" s="3">
        <v>0</v>
      </c>
      <c r="Q1886" s="3">
        <v>0</v>
      </c>
      <c r="R1886" s="3">
        <v>0</v>
      </c>
    </row>
    <row r="1887" spans="1:18">
      <c r="A1887" s="3" t="s">
        <v>8811</v>
      </c>
      <c r="B1887" s="3" t="s">
        <v>8812</v>
      </c>
      <c r="C1887" s="3" t="s">
        <v>3053</v>
      </c>
      <c r="D1887" s="3"/>
      <c r="E1887" s="3" t="s">
        <v>6275</v>
      </c>
      <c r="F1887" s="3"/>
      <c r="G1887" s="3"/>
      <c r="H1887" s="3"/>
      <c r="I1887" s="3"/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/>
      <c r="P1887" s="3">
        <v>0</v>
      </c>
      <c r="Q1887" s="3">
        <v>0</v>
      </c>
      <c r="R1887" s="3">
        <v>0</v>
      </c>
    </row>
    <row r="1888" spans="1:18">
      <c r="A1888" s="3" t="s">
        <v>8813</v>
      </c>
      <c r="B1888" s="3" t="s">
        <v>8814</v>
      </c>
      <c r="C1888" s="3" t="s">
        <v>4904</v>
      </c>
      <c r="D1888" s="3"/>
      <c r="E1888" s="3" t="s">
        <v>6275</v>
      </c>
      <c r="F1888" s="3"/>
      <c r="G1888" s="3"/>
      <c r="H1888" s="3"/>
      <c r="I1888" s="3"/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/>
      <c r="P1888" s="3">
        <v>0</v>
      </c>
      <c r="Q1888" s="3">
        <v>0</v>
      </c>
      <c r="R1888" s="3">
        <v>0</v>
      </c>
    </row>
    <row r="1889" spans="1:18">
      <c r="A1889" s="3" t="s">
        <v>8815</v>
      </c>
      <c r="B1889" s="3" t="s">
        <v>8816</v>
      </c>
      <c r="C1889" s="3" t="s">
        <v>5008</v>
      </c>
      <c r="D1889" s="3"/>
      <c r="E1889" s="3" t="s">
        <v>6275</v>
      </c>
      <c r="F1889" s="3"/>
      <c r="G1889" s="3"/>
      <c r="H1889" s="3"/>
      <c r="I1889" s="3"/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/>
      <c r="P1889" s="3">
        <v>0</v>
      </c>
      <c r="Q1889" s="3">
        <v>0</v>
      </c>
      <c r="R1889" s="3">
        <v>0</v>
      </c>
    </row>
    <row r="1890" spans="1:18">
      <c r="A1890" s="3" t="s">
        <v>8817</v>
      </c>
      <c r="B1890" s="3" t="s">
        <v>8818</v>
      </c>
      <c r="C1890" s="3" t="s">
        <v>6231</v>
      </c>
      <c r="D1890" s="3"/>
      <c r="E1890" s="3" t="s">
        <v>6275</v>
      </c>
      <c r="F1890" s="3"/>
      <c r="G1890" s="3"/>
      <c r="H1890" s="3"/>
      <c r="I1890" s="3"/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/>
      <c r="P1890" s="3">
        <v>0</v>
      </c>
      <c r="Q1890" s="3">
        <v>0</v>
      </c>
      <c r="R1890" s="3">
        <v>0</v>
      </c>
    </row>
    <row r="1891" spans="1:18">
      <c r="A1891" s="3" t="s">
        <v>8819</v>
      </c>
      <c r="B1891" s="3" t="s">
        <v>8820</v>
      </c>
      <c r="C1891" s="3" t="s">
        <v>8821</v>
      </c>
      <c r="D1891" s="3"/>
      <c r="E1891" s="3" t="s">
        <v>6275</v>
      </c>
      <c r="F1891" s="3"/>
      <c r="G1891" s="3"/>
      <c r="H1891" s="3"/>
      <c r="I1891" s="3"/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/>
      <c r="P1891" s="3">
        <v>0</v>
      </c>
      <c r="Q1891" s="3">
        <v>0</v>
      </c>
      <c r="R1891" s="3">
        <v>0</v>
      </c>
    </row>
    <row r="1892" spans="1:18">
      <c r="A1892" s="3" t="s">
        <v>8822</v>
      </c>
      <c r="B1892" s="3" t="s">
        <v>8823</v>
      </c>
      <c r="C1892" s="3" t="s">
        <v>8824</v>
      </c>
      <c r="D1892" s="3"/>
      <c r="E1892" s="3" t="s">
        <v>6275</v>
      </c>
      <c r="F1892" s="3"/>
      <c r="G1892" s="3"/>
      <c r="H1892" s="3"/>
      <c r="I1892" s="3"/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/>
      <c r="P1892" s="3">
        <v>0</v>
      </c>
      <c r="Q1892" s="3">
        <v>0</v>
      </c>
      <c r="R1892" s="3">
        <v>0</v>
      </c>
    </row>
    <row r="1893" spans="1:18">
      <c r="A1893" s="3" t="s">
        <v>8825</v>
      </c>
      <c r="B1893" s="3" t="s">
        <v>8826</v>
      </c>
      <c r="C1893" s="3" t="s">
        <v>8827</v>
      </c>
      <c r="D1893" s="3"/>
      <c r="E1893" s="3" t="s">
        <v>6275</v>
      </c>
      <c r="F1893" s="3"/>
      <c r="G1893" s="3"/>
      <c r="H1893" s="3"/>
      <c r="I1893" s="3"/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/>
      <c r="P1893" s="3">
        <v>0</v>
      </c>
      <c r="Q1893" s="3">
        <v>0</v>
      </c>
      <c r="R1893" s="3">
        <v>0</v>
      </c>
    </row>
    <row r="1894" spans="1:18">
      <c r="A1894" s="3" t="s">
        <v>8828</v>
      </c>
      <c r="B1894" s="3" t="s">
        <v>8829</v>
      </c>
      <c r="C1894" s="3" t="s">
        <v>8830</v>
      </c>
      <c r="D1894" s="3"/>
      <c r="E1894" s="3" t="s">
        <v>6275</v>
      </c>
      <c r="F1894" s="3"/>
      <c r="G1894" s="3"/>
      <c r="H1894" s="3"/>
      <c r="I1894" s="3"/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/>
      <c r="P1894" s="3">
        <v>0</v>
      </c>
      <c r="Q1894" s="3">
        <v>0</v>
      </c>
      <c r="R1894" s="3">
        <v>0</v>
      </c>
    </row>
    <row r="1895" spans="1:18">
      <c r="A1895" s="3" t="s">
        <v>8831</v>
      </c>
      <c r="B1895" s="3" t="s">
        <v>8832</v>
      </c>
      <c r="C1895" s="3" t="s">
        <v>6237</v>
      </c>
      <c r="D1895" s="3"/>
      <c r="E1895" s="3" t="s">
        <v>6275</v>
      </c>
      <c r="F1895" s="3"/>
      <c r="G1895" s="3"/>
      <c r="H1895" s="3"/>
      <c r="I1895" s="3"/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/>
      <c r="P1895" s="3">
        <v>0</v>
      </c>
      <c r="Q1895" s="3">
        <v>0</v>
      </c>
      <c r="R1895" s="3">
        <v>0</v>
      </c>
    </row>
    <row r="1896" spans="1:18">
      <c r="A1896" s="3" t="s">
        <v>8833</v>
      </c>
      <c r="B1896" s="3" t="s">
        <v>8834</v>
      </c>
      <c r="C1896" s="3" t="s">
        <v>8835</v>
      </c>
      <c r="D1896" s="3"/>
      <c r="E1896" s="3" t="s">
        <v>6275</v>
      </c>
      <c r="F1896" s="3"/>
      <c r="G1896" s="3"/>
      <c r="H1896" s="3"/>
      <c r="I1896" s="3"/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/>
      <c r="P1896" s="3">
        <v>0</v>
      </c>
      <c r="Q1896" s="3">
        <v>0</v>
      </c>
      <c r="R1896" s="3">
        <v>0</v>
      </c>
    </row>
    <row r="1897" spans="1:18">
      <c r="A1897" s="3" t="s">
        <v>8836</v>
      </c>
      <c r="B1897" s="3" t="s">
        <v>8837</v>
      </c>
      <c r="C1897" s="3" t="s">
        <v>6241</v>
      </c>
      <c r="D1897" s="3"/>
      <c r="E1897" s="3" t="s">
        <v>6275</v>
      </c>
      <c r="F1897" s="3"/>
      <c r="G1897" s="3"/>
      <c r="H1897" s="3"/>
      <c r="I1897" s="3"/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/>
      <c r="P1897" s="3">
        <v>0</v>
      </c>
      <c r="Q1897" s="3">
        <v>0</v>
      </c>
      <c r="R1897" s="3">
        <v>0</v>
      </c>
    </row>
    <row r="1898" spans="1:18">
      <c r="A1898" s="3" t="s">
        <v>8838</v>
      </c>
      <c r="B1898" s="3" t="s">
        <v>8839</v>
      </c>
      <c r="C1898" s="3" t="s">
        <v>8840</v>
      </c>
      <c r="D1898" s="3"/>
      <c r="E1898" s="3" t="s">
        <v>6275</v>
      </c>
      <c r="F1898" s="3"/>
      <c r="G1898" s="3"/>
      <c r="H1898" s="3"/>
      <c r="I1898" s="3"/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/>
      <c r="P1898" s="3">
        <v>0</v>
      </c>
      <c r="Q1898" s="3">
        <v>0</v>
      </c>
      <c r="R1898" s="3">
        <v>0</v>
      </c>
    </row>
    <row r="1899" spans="1:18">
      <c r="A1899" s="3" t="s">
        <v>8841</v>
      </c>
      <c r="B1899" s="3" t="s">
        <v>8842</v>
      </c>
      <c r="C1899" s="3" t="s">
        <v>8843</v>
      </c>
      <c r="D1899" s="3"/>
      <c r="E1899" s="3" t="s">
        <v>6275</v>
      </c>
      <c r="F1899" s="3"/>
      <c r="G1899" s="3"/>
      <c r="H1899" s="3"/>
      <c r="I1899" s="3"/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/>
      <c r="P1899" s="3">
        <v>0</v>
      </c>
      <c r="Q1899" s="3">
        <v>0</v>
      </c>
      <c r="R1899" s="3">
        <v>0</v>
      </c>
    </row>
    <row r="1900" spans="1:18">
      <c r="A1900" s="3" t="s">
        <v>8844</v>
      </c>
      <c r="B1900" s="3" t="s">
        <v>8845</v>
      </c>
      <c r="C1900" s="3" t="s">
        <v>6245</v>
      </c>
      <c r="D1900" s="3"/>
      <c r="E1900" s="3" t="s">
        <v>6275</v>
      </c>
      <c r="F1900" s="3"/>
      <c r="G1900" s="3"/>
      <c r="H1900" s="3"/>
      <c r="I1900" s="3"/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/>
      <c r="P1900" s="3">
        <v>0</v>
      </c>
      <c r="Q1900" s="3">
        <v>0</v>
      </c>
      <c r="R1900" s="3">
        <v>0</v>
      </c>
    </row>
    <row r="1901" spans="1:18">
      <c r="A1901" s="3" t="s">
        <v>8846</v>
      </c>
      <c r="B1901" s="3" t="s">
        <v>8847</v>
      </c>
      <c r="C1901" s="3" t="s">
        <v>8848</v>
      </c>
      <c r="D1901" s="3"/>
      <c r="E1901" s="3" t="s">
        <v>6275</v>
      </c>
      <c r="F1901" s="3"/>
      <c r="G1901" s="3"/>
      <c r="H1901" s="3"/>
      <c r="I1901" s="3"/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/>
      <c r="P1901" s="3">
        <v>0</v>
      </c>
      <c r="Q1901" s="3">
        <v>0</v>
      </c>
      <c r="R1901" s="3">
        <v>0</v>
      </c>
    </row>
    <row r="1902" spans="1:18">
      <c r="A1902" s="3" t="s">
        <v>8849</v>
      </c>
      <c r="B1902" s="3" t="s">
        <v>8850</v>
      </c>
      <c r="C1902" s="3" t="s">
        <v>8851</v>
      </c>
      <c r="D1902" s="3"/>
      <c r="E1902" s="3" t="s">
        <v>6275</v>
      </c>
      <c r="F1902" s="3"/>
      <c r="G1902" s="3"/>
      <c r="H1902" s="3"/>
      <c r="I1902" s="3"/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/>
      <c r="P1902" s="3">
        <v>0</v>
      </c>
      <c r="Q1902" s="3">
        <v>0</v>
      </c>
      <c r="R1902" s="3">
        <v>0</v>
      </c>
    </row>
    <row r="1903" spans="1:18">
      <c r="A1903" s="3" t="s">
        <v>8852</v>
      </c>
      <c r="B1903" s="3" t="s">
        <v>8853</v>
      </c>
      <c r="C1903" s="3" t="s">
        <v>8854</v>
      </c>
      <c r="D1903" s="3"/>
      <c r="E1903" s="3" t="s">
        <v>6275</v>
      </c>
      <c r="F1903" s="3"/>
      <c r="G1903" s="3"/>
      <c r="H1903" s="3"/>
      <c r="I1903" s="3"/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/>
      <c r="P1903" s="3">
        <v>0</v>
      </c>
      <c r="Q1903" s="3">
        <v>0</v>
      </c>
      <c r="R1903" s="3">
        <v>0</v>
      </c>
    </row>
    <row r="1904" spans="1:18">
      <c r="A1904" s="3" t="s">
        <v>8855</v>
      </c>
      <c r="B1904" s="3" t="s">
        <v>8856</v>
      </c>
      <c r="C1904" s="3" t="s">
        <v>5106</v>
      </c>
      <c r="D1904" s="3"/>
      <c r="E1904" s="3" t="s">
        <v>6275</v>
      </c>
      <c r="F1904" s="3"/>
      <c r="G1904" s="3"/>
      <c r="H1904" s="3"/>
      <c r="I1904" s="3"/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/>
      <c r="P1904" s="3">
        <v>0</v>
      </c>
      <c r="Q1904" s="3">
        <v>0</v>
      </c>
      <c r="R1904" s="3">
        <v>0</v>
      </c>
    </row>
    <row r="1905" spans="1:18">
      <c r="A1905" s="3" t="s">
        <v>8857</v>
      </c>
      <c r="B1905" s="3" t="s">
        <v>8858</v>
      </c>
      <c r="C1905" s="3" t="s">
        <v>1153</v>
      </c>
      <c r="D1905" s="3"/>
      <c r="E1905" s="3" t="s">
        <v>6275</v>
      </c>
      <c r="F1905" s="3"/>
      <c r="G1905" s="3"/>
      <c r="H1905" s="3"/>
      <c r="I1905" s="3"/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/>
      <c r="P1905" s="3">
        <v>0</v>
      </c>
      <c r="Q1905" s="3">
        <v>0</v>
      </c>
      <c r="R1905" s="3">
        <v>0</v>
      </c>
    </row>
    <row r="1906" spans="1:18">
      <c r="A1906" s="3" t="s">
        <v>8859</v>
      </c>
      <c r="B1906" s="3" t="s">
        <v>8860</v>
      </c>
      <c r="C1906" s="3" t="s">
        <v>5791</v>
      </c>
      <c r="D1906" s="3"/>
      <c r="E1906" s="3" t="s">
        <v>6275</v>
      </c>
      <c r="F1906" s="3"/>
      <c r="G1906" s="3"/>
      <c r="H1906" s="3"/>
      <c r="I1906" s="3"/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8861</v>
      </c>
      <c r="B1907" s="3" t="s">
        <v>8862</v>
      </c>
      <c r="C1907" s="3" t="s">
        <v>1143</v>
      </c>
      <c r="D1907" s="3"/>
      <c r="E1907" s="3" t="s">
        <v>6275</v>
      </c>
      <c r="F1907" s="3"/>
      <c r="G1907" s="3"/>
      <c r="H1907" s="3"/>
      <c r="I1907" s="3"/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/>
      <c r="P1907" s="3">
        <v>0</v>
      </c>
      <c r="Q1907" s="3">
        <v>0</v>
      </c>
      <c r="R1907" s="3">
        <v>0</v>
      </c>
    </row>
    <row r="1908" spans="1:18">
      <c r="A1908" s="3" t="s">
        <v>8863</v>
      </c>
      <c r="B1908" s="3" t="s">
        <v>8864</v>
      </c>
      <c r="C1908" s="3" t="s">
        <v>1150</v>
      </c>
      <c r="D1908" s="3"/>
      <c r="E1908" s="3" t="s">
        <v>6275</v>
      </c>
      <c r="F1908" s="3"/>
      <c r="G1908" s="3"/>
      <c r="H1908" s="3"/>
      <c r="I1908" s="3"/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/>
      <c r="P1908" s="3">
        <v>0</v>
      </c>
      <c r="Q1908" s="3">
        <v>0</v>
      </c>
      <c r="R1908" s="3">
        <v>0</v>
      </c>
    </row>
    <row r="1909" spans="1:18">
      <c r="A1909" s="3" t="s">
        <v>8865</v>
      </c>
      <c r="B1909" s="3" t="s">
        <v>8866</v>
      </c>
      <c r="C1909" s="3" t="s">
        <v>1135</v>
      </c>
      <c r="D1909" s="3"/>
      <c r="E1909" s="3" t="s">
        <v>6275</v>
      </c>
      <c r="F1909" s="3"/>
      <c r="G1909" s="3"/>
      <c r="H1909" s="3"/>
      <c r="I1909" s="3"/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/>
      <c r="P1909" s="3">
        <v>0</v>
      </c>
      <c r="Q1909" s="3">
        <v>0</v>
      </c>
      <c r="R1909" s="3">
        <v>0</v>
      </c>
    </row>
    <row r="1910" spans="1:18">
      <c r="A1910" s="3" t="s">
        <v>8867</v>
      </c>
      <c r="B1910" s="3" t="s">
        <v>8868</v>
      </c>
      <c r="C1910" s="3" t="s">
        <v>4428</v>
      </c>
      <c r="D1910" s="3"/>
      <c r="E1910" s="3" t="s">
        <v>6275</v>
      </c>
      <c r="F1910" s="3"/>
      <c r="G1910" s="3"/>
      <c r="H1910" s="3"/>
      <c r="I1910" s="3"/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/>
      <c r="P1910" s="3">
        <v>0</v>
      </c>
      <c r="Q1910" s="3">
        <v>0</v>
      </c>
      <c r="R1910" s="3">
        <v>0</v>
      </c>
    </row>
    <row r="1911" spans="1:18">
      <c r="A1911" s="3" t="s">
        <v>8869</v>
      </c>
      <c r="B1911" s="3" t="s">
        <v>8870</v>
      </c>
      <c r="C1911" s="3" t="s">
        <v>4842</v>
      </c>
      <c r="D1911" s="3"/>
      <c r="E1911" s="3" t="s">
        <v>6275</v>
      </c>
      <c r="F1911" s="3"/>
      <c r="G1911" s="3"/>
      <c r="H1911" s="3"/>
      <c r="I1911" s="3"/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/>
      <c r="P1911" s="3">
        <v>0</v>
      </c>
      <c r="Q1911" s="3">
        <v>0</v>
      </c>
      <c r="R1911" s="3">
        <v>0</v>
      </c>
    </row>
    <row r="1912" spans="1:18">
      <c r="A1912" s="3" t="s">
        <v>8871</v>
      </c>
      <c r="B1912" s="3" t="s">
        <v>8872</v>
      </c>
      <c r="C1912" s="3" t="s">
        <v>5315</v>
      </c>
      <c r="D1912" s="3"/>
      <c r="E1912" s="3" t="s">
        <v>6275</v>
      </c>
      <c r="F1912" s="3"/>
      <c r="G1912" s="3"/>
      <c r="H1912" s="3"/>
      <c r="I1912" s="3"/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/>
      <c r="P1912" s="3">
        <v>0</v>
      </c>
      <c r="Q1912" s="3">
        <v>0</v>
      </c>
      <c r="R1912" s="3">
        <v>0</v>
      </c>
    </row>
    <row r="1913" spans="1:18">
      <c r="A1913" s="3" t="s">
        <v>8873</v>
      </c>
      <c r="B1913" s="3" t="s">
        <v>8874</v>
      </c>
      <c r="C1913" s="3" t="s">
        <v>1159</v>
      </c>
      <c r="D1913" s="3"/>
      <c r="E1913" s="3" t="s">
        <v>6275</v>
      </c>
      <c r="F1913" s="3"/>
      <c r="G1913" s="3"/>
      <c r="H1913" s="3"/>
      <c r="I1913" s="3"/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/>
      <c r="P1913" s="3">
        <v>0</v>
      </c>
      <c r="Q1913" s="3">
        <v>0</v>
      </c>
      <c r="R1913" s="3">
        <v>0</v>
      </c>
    </row>
    <row r="1914" spans="1:18">
      <c r="A1914" s="3" t="s">
        <v>8875</v>
      </c>
      <c r="B1914" s="3" t="s">
        <v>8876</v>
      </c>
      <c r="C1914" s="3" t="s">
        <v>2377</v>
      </c>
      <c r="D1914" s="3"/>
      <c r="E1914" s="3" t="s">
        <v>6275</v>
      </c>
      <c r="F1914" s="3"/>
      <c r="G1914" s="3"/>
      <c r="H1914" s="3"/>
      <c r="I1914" s="3"/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/>
      <c r="P1914" s="3">
        <v>0</v>
      </c>
      <c r="Q1914" s="3">
        <v>0</v>
      </c>
      <c r="R1914" s="3">
        <v>0</v>
      </c>
    </row>
    <row r="1915" spans="1:18">
      <c r="A1915" s="3" t="s">
        <v>8877</v>
      </c>
      <c r="B1915" s="3" t="s">
        <v>8878</v>
      </c>
      <c r="C1915" s="3" t="s">
        <v>5189</v>
      </c>
      <c r="D1915" s="3"/>
      <c r="E1915" s="3" t="s">
        <v>6275</v>
      </c>
      <c r="F1915" s="3"/>
      <c r="G1915" s="3"/>
      <c r="H1915" s="3"/>
      <c r="I1915" s="3"/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/>
      <c r="P1915" s="3">
        <v>0</v>
      </c>
      <c r="Q1915" s="3">
        <v>0</v>
      </c>
      <c r="R1915" s="3">
        <v>0</v>
      </c>
    </row>
    <row r="1916" spans="1:18">
      <c r="A1916" s="3" t="s">
        <v>8879</v>
      </c>
      <c r="B1916" s="3" t="s">
        <v>8880</v>
      </c>
      <c r="C1916" s="3" t="s">
        <v>5481</v>
      </c>
      <c r="D1916" s="3"/>
      <c r="E1916" s="3" t="s">
        <v>6275</v>
      </c>
      <c r="F1916" s="3"/>
      <c r="G1916" s="3"/>
      <c r="H1916" s="3"/>
      <c r="I1916" s="3"/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/>
      <c r="P1916" s="3">
        <v>0</v>
      </c>
      <c r="Q1916" s="3">
        <v>0</v>
      </c>
      <c r="R1916" s="3">
        <v>0</v>
      </c>
    </row>
    <row r="1917" spans="1:18">
      <c r="A1917" s="3" t="s">
        <v>8881</v>
      </c>
      <c r="B1917" s="3" t="s">
        <v>8882</v>
      </c>
      <c r="C1917" s="3" t="s">
        <v>1124</v>
      </c>
      <c r="D1917" s="3"/>
      <c r="E1917" s="3" t="s">
        <v>6275</v>
      </c>
      <c r="F1917" s="3"/>
      <c r="G1917" s="3"/>
      <c r="H1917" s="3"/>
      <c r="I1917" s="3"/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/>
      <c r="P1917" s="3">
        <v>0</v>
      </c>
      <c r="Q1917" s="3">
        <v>0</v>
      </c>
      <c r="R1917" s="3">
        <v>0</v>
      </c>
    </row>
    <row r="1918" spans="1:18">
      <c r="A1918" s="3" t="s">
        <v>8883</v>
      </c>
      <c r="B1918" s="3" t="s">
        <v>8884</v>
      </c>
      <c r="C1918" s="3" t="s">
        <v>5440</v>
      </c>
      <c r="D1918" s="3"/>
      <c r="E1918" s="3" t="s">
        <v>6275</v>
      </c>
      <c r="F1918" s="3"/>
      <c r="G1918" s="3"/>
      <c r="H1918" s="3"/>
      <c r="I1918" s="3"/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/>
      <c r="P1918" s="3">
        <v>0</v>
      </c>
      <c r="Q1918" s="3">
        <v>0</v>
      </c>
      <c r="R1918" s="3">
        <v>0</v>
      </c>
    </row>
    <row r="1919" spans="1:18">
      <c r="A1919" s="3" t="s">
        <v>8885</v>
      </c>
      <c r="B1919" s="3" t="s">
        <v>8886</v>
      </c>
      <c r="C1919" s="3" t="s">
        <v>3901</v>
      </c>
      <c r="D1919" s="3"/>
      <c r="E1919" s="3" t="s">
        <v>6275</v>
      </c>
      <c r="F1919" s="3"/>
      <c r="G1919" s="3"/>
      <c r="H1919" s="3"/>
      <c r="I1919" s="3"/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/>
      <c r="P1919" s="3">
        <v>0</v>
      </c>
      <c r="Q1919" s="3">
        <v>0</v>
      </c>
      <c r="R1919" s="3">
        <v>0</v>
      </c>
    </row>
    <row r="1920" spans="1:18">
      <c r="A1920" s="3" t="s">
        <v>8887</v>
      </c>
      <c r="B1920" s="3" t="s">
        <v>8888</v>
      </c>
      <c r="C1920" s="3" t="s">
        <v>1156</v>
      </c>
      <c r="D1920" s="3"/>
      <c r="E1920" s="3" t="s">
        <v>6275</v>
      </c>
      <c r="F1920" s="3"/>
      <c r="G1920" s="3"/>
      <c r="H1920" s="3"/>
      <c r="I1920" s="3"/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/>
      <c r="P1920" s="3">
        <v>0</v>
      </c>
      <c r="Q1920" s="3">
        <v>0</v>
      </c>
      <c r="R1920" s="3">
        <v>0</v>
      </c>
    </row>
    <row r="1921" spans="1:18">
      <c r="A1921" s="3" t="s">
        <v>8889</v>
      </c>
      <c r="B1921" s="3" t="s">
        <v>8890</v>
      </c>
      <c r="C1921" s="3" t="s">
        <v>1128</v>
      </c>
      <c r="D1921" s="3"/>
      <c r="E1921" s="3" t="s">
        <v>6275</v>
      </c>
      <c r="F1921" s="3"/>
      <c r="G1921" s="3"/>
      <c r="H1921" s="3"/>
      <c r="I1921" s="3"/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/>
      <c r="P1921" s="3">
        <v>0</v>
      </c>
      <c r="Q1921" s="3">
        <v>0</v>
      </c>
      <c r="R1921" s="3">
        <v>0</v>
      </c>
    </row>
    <row r="1922" spans="1:18">
      <c r="A1922" s="3" t="s">
        <v>8891</v>
      </c>
      <c r="B1922" s="3" t="s">
        <v>8892</v>
      </c>
      <c r="C1922" s="3" t="s">
        <v>1120</v>
      </c>
      <c r="D1922" s="3"/>
      <c r="E1922" s="3" t="s">
        <v>6275</v>
      </c>
      <c r="F1922" s="3"/>
      <c r="G1922" s="3"/>
      <c r="H1922" s="3"/>
      <c r="I1922" s="3"/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/>
      <c r="P1922" s="3">
        <v>0</v>
      </c>
      <c r="Q1922" s="3">
        <v>0</v>
      </c>
      <c r="R1922" s="3">
        <v>0</v>
      </c>
    </row>
    <row r="1923" spans="1:18">
      <c r="A1923" s="3" t="s">
        <v>8893</v>
      </c>
      <c r="B1923" s="3" t="s">
        <v>8894</v>
      </c>
      <c r="C1923" s="3" t="s">
        <v>1166</v>
      </c>
      <c r="D1923" s="3"/>
      <c r="E1923" s="3" t="s">
        <v>6275</v>
      </c>
      <c r="F1923" s="3"/>
      <c r="G1923" s="3"/>
      <c r="H1923" s="3"/>
      <c r="I1923" s="3"/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/>
      <c r="P1923" s="3">
        <v>0</v>
      </c>
      <c r="Q1923" s="3">
        <v>0</v>
      </c>
      <c r="R1923" s="3">
        <v>0</v>
      </c>
    </row>
    <row r="1924" spans="1:18">
      <c r="A1924" s="3" t="s">
        <v>8895</v>
      </c>
      <c r="B1924" s="3" t="s">
        <v>8896</v>
      </c>
      <c r="C1924" s="3" t="s">
        <v>1163</v>
      </c>
      <c r="D1924" s="3"/>
      <c r="E1924" s="3" t="s">
        <v>6275</v>
      </c>
      <c r="F1924" s="3"/>
      <c r="G1924" s="3"/>
      <c r="H1924" s="3"/>
      <c r="I1924" s="3"/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/>
      <c r="P1924" s="3">
        <v>0</v>
      </c>
      <c r="Q1924" s="3">
        <v>0</v>
      </c>
      <c r="R1924" s="3">
        <v>0</v>
      </c>
    </row>
    <row r="1925" spans="1:18">
      <c r="A1925" s="3" t="s">
        <v>8897</v>
      </c>
      <c r="B1925" s="3" t="s">
        <v>8898</v>
      </c>
      <c r="C1925" s="3" t="s">
        <v>3230</v>
      </c>
      <c r="D1925" s="3"/>
      <c r="E1925" s="3" t="s">
        <v>6275</v>
      </c>
      <c r="F1925" s="3"/>
      <c r="G1925" s="3"/>
      <c r="H1925" s="3"/>
      <c r="I1925" s="3"/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/>
      <c r="P1925" s="3">
        <v>0</v>
      </c>
      <c r="Q1925" s="3">
        <v>0</v>
      </c>
      <c r="R1925" s="3">
        <v>0</v>
      </c>
    </row>
    <row r="1926" spans="1:18">
      <c r="A1926" s="3" t="s">
        <v>8899</v>
      </c>
      <c r="B1926" s="3" t="s">
        <v>8900</v>
      </c>
      <c r="C1926" s="3" t="s">
        <v>4422</v>
      </c>
      <c r="D1926" s="3"/>
      <c r="E1926" s="3" t="s">
        <v>6275</v>
      </c>
      <c r="F1926" s="3"/>
      <c r="G1926" s="3"/>
      <c r="H1926" s="3"/>
      <c r="I1926" s="3"/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/>
      <c r="P1926" s="3">
        <v>0</v>
      </c>
      <c r="Q1926" s="3">
        <v>0</v>
      </c>
      <c r="R1926" s="3">
        <v>0</v>
      </c>
    </row>
    <row r="1927" spans="1:18">
      <c r="A1927" s="3" t="s">
        <v>8901</v>
      </c>
      <c r="B1927" s="3" t="s">
        <v>8902</v>
      </c>
      <c r="C1927" s="3" t="s">
        <v>2895</v>
      </c>
      <c r="D1927" s="3"/>
      <c r="E1927" s="3" t="s">
        <v>6275</v>
      </c>
      <c r="F1927" s="3"/>
      <c r="G1927" s="3"/>
      <c r="H1927" s="3"/>
      <c r="I1927" s="3"/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/>
      <c r="P1927" s="3">
        <v>0</v>
      </c>
      <c r="Q1927" s="3">
        <v>0</v>
      </c>
      <c r="R1927" s="3">
        <v>0</v>
      </c>
    </row>
    <row r="1928" spans="1:18">
      <c r="A1928" s="3" t="s">
        <v>8903</v>
      </c>
      <c r="B1928" s="3" t="s">
        <v>8904</v>
      </c>
      <c r="C1928" s="3" t="s">
        <v>8905</v>
      </c>
      <c r="D1928" s="3"/>
      <c r="E1928" s="3" t="s">
        <v>6275</v>
      </c>
      <c r="F1928" s="3"/>
      <c r="G1928" s="3"/>
      <c r="H1928" s="3"/>
      <c r="I1928" s="3"/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/>
      <c r="P1928" s="3">
        <v>0</v>
      </c>
      <c r="Q1928" s="3">
        <v>0</v>
      </c>
      <c r="R1928" s="3">
        <v>0</v>
      </c>
    </row>
    <row r="1929" spans="1:18">
      <c r="A1929" s="3" t="s">
        <v>8906</v>
      </c>
      <c r="B1929" s="3" t="s">
        <v>8907</v>
      </c>
      <c r="C1929" s="3" t="s">
        <v>2461</v>
      </c>
      <c r="D1929" s="3"/>
      <c r="E1929" s="3" t="s">
        <v>6275</v>
      </c>
      <c r="F1929" s="3"/>
      <c r="G1929" s="3"/>
      <c r="H1929" s="3"/>
      <c r="I1929" s="3"/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/>
      <c r="P1929" s="3">
        <v>0</v>
      </c>
      <c r="Q1929" s="3">
        <v>0</v>
      </c>
      <c r="R1929" s="3">
        <v>0</v>
      </c>
    </row>
    <row r="1930" spans="1:18">
      <c r="A1930" s="3" t="s">
        <v>8908</v>
      </c>
      <c r="B1930" s="3" t="s">
        <v>8909</v>
      </c>
      <c r="C1930" s="3" t="s">
        <v>4222</v>
      </c>
      <c r="D1930" s="3"/>
      <c r="E1930" s="3" t="s">
        <v>6275</v>
      </c>
      <c r="F1930" s="3"/>
      <c r="G1930" s="3"/>
      <c r="H1930" s="3"/>
      <c r="I1930" s="3"/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/>
      <c r="P1930" s="3">
        <v>0</v>
      </c>
      <c r="Q1930" s="3">
        <v>0</v>
      </c>
      <c r="R1930" s="3">
        <v>0</v>
      </c>
    </row>
    <row r="1931" spans="1:18">
      <c r="A1931" s="3" t="s">
        <v>8910</v>
      </c>
      <c r="B1931" s="3" t="s">
        <v>8911</v>
      </c>
      <c r="C1931" s="3" t="s">
        <v>4954</v>
      </c>
      <c r="D1931" s="3"/>
      <c r="E1931" s="3" t="s">
        <v>6275</v>
      </c>
      <c r="F1931" s="3"/>
      <c r="G1931" s="3"/>
      <c r="H1931" s="3"/>
      <c r="I1931" s="3"/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/>
      <c r="P1931" s="3">
        <v>0</v>
      </c>
      <c r="Q1931" s="3">
        <v>0</v>
      </c>
      <c r="R1931" s="3">
        <v>0</v>
      </c>
    </row>
    <row r="1932" spans="1:18">
      <c r="A1932" s="3" t="s">
        <v>8912</v>
      </c>
      <c r="B1932" s="3" t="s">
        <v>8913</v>
      </c>
      <c r="C1932" s="3" t="s">
        <v>4276</v>
      </c>
      <c r="D1932" s="3"/>
      <c r="E1932" s="3" t="s">
        <v>6275</v>
      </c>
      <c r="F1932" s="3"/>
      <c r="G1932" s="3"/>
      <c r="H1932" s="3"/>
      <c r="I1932" s="3"/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/>
      <c r="P1932" s="3">
        <v>0</v>
      </c>
      <c r="Q1932" s="3">
        <v>0</v>
      </c>
      <c r="R1932" s="3">
        <v>0</v>
      </c>
    </row>
    <row r="1933" spans="1:18">
      <c r="A1933" s="3" t="s">
        <v>8914</v>
      </c>
      <c r="B1933" s="3" t="s">
        <v>8915</v>
      </c>
      <c r="C1933" s="3" t="s">
        <v>2553</v>
      </c>
      <c r="D1933" s="3"/>
      <c r="E1933" s="3" t="s">
        <v>6275</v>
      </c>
      <c r="F1933" s="3"/>
      <c r="G1933" s="3"/>
      <c r="H1933" s="3"/>
      <c r="I1933" s="3"/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/>
      <c r="P1933" s="3">
        <v>0</v>
      </c>
      <c r="Q1933" s="3">
        <v>0</v>
      </c>
      <c r="R1933" s="3">
        <v>0</v>
      </c>
    </row>
    <row r="1934" spans="1:18">
      <c r="A1934" s="3" t="s">
        <v>8916</v>
      </c>
      <c r="B1934" s="3" t="s">
        <v>8917</v>
      </c>
      <c r="C1934" s="3" t="s">
        <v>1889</v>
      </c>
      <c r="D1934" s="3"/>
      <c r="E1934" s="3" t="s">
        <v>6275</v>
      </c>
      <c r="F1934" s="3"/>
      <c r="G1934" s="3"/>
      <c r="H1934" s="3"/>
      <c r="I1934" s="3"/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/>
      <c r="P1934" s="3">
        <v>0</v>
      </c>
      <c r="Q1934" s="3">
        <v>0</v>
      </c>
      <c r="R1934" s="3">
        <v>0</v>
      </c>
    </row>
    <row r="1935" spans="1:18">
      <c r="A1935" s="3" t="s">
        <v>8918</v>
      </c>
      <c r="B1935" s="3" t="s">
        <v>8919</v>
      </c>
      <c r="C1935" s="3" t="s">
        <v>5087</v>
      </c>
      <c r="D1935" s="3"/>
      <c r="E1935" s="3" t="s">
        <v>6275</v>
      </c>
      <c r="F1935" s="3"/>
      <c r="G1935" s="3"/>
      <c r="H1935" s="3"/>
      <c r="I1935" s="3"/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/>
      <c r="P1935" s="3">
        <v>0</v>
      </c>
      <c r="Q1935" s="3">
        <v>0</v>
      </c>
      <c r="R1935" s="3">
        <v>0</v>
      </c>
    </row>
    <row r="1936" spans="1:18">
      <c r="A1936" s="3" t="s">
        <v>8920</v>
      </c>
      <c r="B1936" s="3" t="s">
        <v>8921</v>
      </c>
      <c r="C1936" s="3" t="s">
        <v>5408</v>
      </c>
      <c r="D1936" s="3"/>
      <c r="E1936" s="3" t="s">
        <v>6275</v>
      </c>
      <c r="F1936" s="3"/>
      <c r="G1936" s="3"/>
      <c r="H1936" s="3"/>
      <c r="I1936" s="3"/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/>
      <c r="P1936" s="3">
        <v>0</v>
      </c>
      <c r="Q1936" s="3">
        <v>0</v>
      </c>
      <c r="R1936" s="3">
        <v>0</v>
      </c>
    </row>
    <row r="1937" spans="1:18">
      <c r="A1937" s="3" t="s">
        <v>8922</v>
      </c>
      <c r="B1937" s="3" t="s">
        <v>8923</v>
      </c>
      <c r="C1937" s="3" t="s">
        <v>2572</v>
      </c>
      <c r="D1937" s="3"/>
      <c r="E1937" s="3" t="s">
        <v>6275</v>
      </c>
      <c r="F1937" s="3"/>
      <c r="G1937" s="3"/>
      <c r="H1937" s="3"/>
      <c r="I1937" s="3"/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/>
      <c r="P1937" s="3">
        <v>0</v>
      </c>
      <c r="Q1937" s="3">
        <v>0</v>
      </c>
      <c r="R1937" s="3">
        <v>0</v>
      </c>
    </row>
    <row r="1938" spans="1:18">
      <c r="A1938" s="3" t="s">
        <v>8924</v>
      </c>
      <c r="B1938" s="3" t="s">
        <v>8925</v>
      </c>
      <c r="C1938" s="3" t="s">
        <v>1116</v>
      </c>
      <c r="D1938" s="3"/>
      <c r="E1938" s="3" t="s">
        <v>6275</v>
      </c>
      <c r="F1938" s="3"/>
      <c r="G1938" s="3"/>
      <c r="H1938" s="3"/>
      <c r="I1938" s="3"/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/>
      <c r="P1938" s="3">
        <v>0</v>
      </c>
      <c r="Q1938" s="3">
        <v>0</v>
      </c>
      <c r="R1938" s="3">
        <v>0</v>
      </c>
    </row>
    <row r="1939" spans="1:18">
      <c r="A1939" s="3" t="s">
        <v>8926</v>
      </c>
      <c r="B1939" s="3" t="s">
        <v>8927</v>
      </c>
      <c r="C1939" s="3" t="s">
        <v>4034</v>
      </c>
      <c r="D1939" s="3"/>
      <c r="E1939" s="3" t="s">
        <v>6275</v>
      </c>
      <c r="F1939" s="3"/>
      <c r="G1939" s="3"/>
      <c r="H1939" s="3"/>
      <c r="I1939" s="3"/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/>
      <c r="P1939" s="3">
        <v>0</v>
      </c>
      <c r="Q1939" s="3">
        <v>0</v>
      </c>
      <c r="R1939" s="3">
        <v>0</v>
      </c>
    </row>
    <row r="1940" spans="1:18">
      <c r="A1940" s="3" t="s">
        <v>8928</v>
      </c>
      <c r="B1940" s="3" t="s">
        <v>8929</v>
      </c>
      <c r="C1940" s="3" t="s">
        <v>3811</v>
      </c>
      <c r="D1940" s="3"/>
      <c r="E1940" s="3" t="s">
        <v>6275</v>
      </c>
      <c r="F1940" s="3"/>
      <c r="G1940" s="3"/>
      <c r="H1940" s="3"/>
      <c r="I1940" s="3"/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/>
      <c r="P1940" s="3">
        <v>0</v>
      </c>
      <c r="Q1940" s="3">
        <v>0</v>
      </c>
      <c r="R1940" s="3">
        <v>0</v>
      </c>
    </row>
    <row r="1941" spans="1:18">
      <c r="A1941" s="3" t="s">
        <v>8930</v>
      </c>
      <c r="B1941" s="3" t="s">
        <v>8931</v>
      </c>
      <c r="C1941" s="3" t="s">
        <v>3365</v>
      </c>
      <c r="D1941" s="3"/>
      <c r="E1941" s="3" t="s">
        <v>6275</v>
      </c>
      <c r="F1941" s="3"/>
      <c r="G1941" s="3"/>
      <c r="H1941" s="3"/>
      <c r="I1941" s="3"/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/>
      <c r="P1941" s="3">
        <v>0</v>
      </c>
      <c r="Q1941" s="3">
        <v>0</v>
      </c>
      <c r="R1941" s="3">
        <v>0</v>
      </c>
    </row>
    <row r="1942" spans="1:18">
      <c r="A1942" s="3" t="s">
        <v>8932</v>
      </c>
      <c r="B1942" s="3" t="s">
        <v>8933</v>
      </c>
      <c r="C1942" s="3" t="s">
        <v>2743</v>
      </c>
      <c r="D1942" s="3"/>
      <c r="E1942" s="3" t="s">
        <v>6275</v>
      </c>
      <c r="F1942" s="3"/>
      <c r="G1942" s="3"/>
      <c r="H1942" s="3"/>
      <c r="I1942" s="3"/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/>
      <c r="P1942" s="3">
        <v>0</v>
      </c>
      <c r="Q1942" s="3">
        <v>0</v>
      </c>
      <c r="R1942" s="3">
        <v>0</v>
      </c>
    </row>
    <row r="1943" spans="1:18">
      <c r="A1943" s="3" t="s">
        <v>8934</v>
      </c>
      <c r="B1943" s="3" t="s">
        <v>8935</v>
      </c>
      <c r="C1943" s="3" t="s">
        <v>5648</v>
      </c>
      <c r="D1943" s="3"/>
      <c r="E1943" s="3" t="s">
        <v>6275</v>
      </c>
      <c r="F1943" s="3"/>
      <c r="G1943" s="3"/>
      <c r="H1943" s="3"/>
      <c r="I1943" s="3"/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/>
      <c r="P1943" s="3">
        <v>0</v>
      </c>
      <c r="Q1943" s="3">
        <v>0</v>
      </c>
      <c r="R1943" s="3">
        <v>0</v>
      </c>
    </row>
    <row r="1944" spans="1:18">
      <c r="A1944" s="3" t="s">
        <v>8936</v>
      </c>
      <c r="B1944" s="3" t="s">
        <v>8937</v>
      </c>
      <c r="C1944" s="3" t="s">
        <v>1173</v>
      </c>
      <c r="D1944" s="3"/>
      <c r="E1944" s="3" t="s">
        <v>6275</v>
      </c>
      <c r="F1944" s="3"/>
      <c r="G1944" s="3"/>
      <c r="H1944" s="3"/>
      <c r="I1944" s="3"/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/>
      <c r="P1944" s="3">
        <v>0</v>
      </c>
      <c r="Q1944" s="3">
        <v>0</v>
      </c>
      <c r="R1944" s="3">
        <v>0</v>
      </c>
    </row>
    <row r="1945" spans="1:18">
      <c r="A1945" s="3" t="s">
        <v>8938</v>
      </c>
      <c r="B1945" s="3" t="s">
        <v>8939</v>
      </c>
      <c r="C1945" s="3" t="s">
        <v>1139</v>
      </c>
      <c r="D1945" s="3"/>
      <c r="E1945" s="3" t="s">
        <v>6275</v>
      </c>
      <c r="F1945" s="3"/>
      <c r="G1945" s="3"/>
      <c r="H1945" s="3"/>
      <c r="I1945" s="3"/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/>
      <c r="P1945" s="3">
        <v>0</v>
      </c>
      <c r="Q1945" s="3">
        <v>0</v>
      </c>
      <c r="R1945" s="3">
        <v>0</v>
      </c>
    </row>
    <row r="1946" spans="1:18">
      <c r="A1946" s="3" t="s">
        <v>8940</v>
      </c>
      <c r="B1946" s="3" t="s">
        <v>8941</v>
      </c>
      <c r="C1946" s="3" t="s">
        <v>4935</v>
      </c>
      <c r="D1946" s="3"/>
      <c r="E1946" s="3" t="s">
        <v>6275</v>
      </c>
      <c r="F1946" s="3"/>
      <c r="G1946" s="3"/>
      <c r="H1946" s="3"/>
      <c r="I1946" s="3"/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/>
      <c r="P1946" s="3">
        <v>0</v>
      </c>
      <c r="Q1946" s="3">
        <v>0</v>
      </c>
      <c r="R1946" s="3">
        <v>0</v>
      </c>
    </row>
    <row r="1947" spans="1:18">
      <c r="A1947" s="3" t="s">
        <v>8942</v>
      </c>
      <c r="B1947" s="3" t="s">
        <v>8943</v>
      </c>
      <c r="C1947" s="3" t="s">
        <v>3725</v>
      </c>
      <c r="D1947" s="3"/>
      <c r="E1947" s="3" t="s">
        <v>6275</v>
      </c>
      <c r="F1947" s="3"/>
      <c r="G1947" s="3"/>
      <c r="H1947" s="3"/>
      <c r="I1947" s="3"/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/>
      <c r="P1947" s="3">
        <v>0</v>
      </c>
      <c r="Q1947" s="3">
        <v>0</v>
      </c>
      <c r="R1947" s="3">
        <v>0</v>
      </c>
    </row>
    <row r="1948" spans="1:18">
      <c r="A1948" s="3" t="s">
        <v>8944</v>
      </c>
      <c r="B1948" s="3" t="s">
        <v>8945</v>
      </c>
      <c r="C1948" s="3" t="s">
        <v>5597</v>
      </c>
      <c r="D1948" s="3"/>
      <c r="E1948" s="3" t="s">
        <v>6275</v>
      </c>
      <c r="F1948" s="3"/>
      <c r="G1948" s="3"/>
      <c r="H1948" s="3"/>
      <c r="I1948" s="3"/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/>
      <c r="P1948" s="3">
        <v>0</v>
      </c>
      <c r="Q1948" s="3">
        <v>0</v>
      </c>
      <c r="R1948" s="3">
        <v>0</v>
      </c>
    </row>
    <row r="1949" spans="1:18">
      <c r="A1949" s="3" t="s">
        <v>8946</v>
      </c>
      <c r="B1949" s="3" t="s">
        <v>8947</v>
      </c>
      <c r="C1949" s="3" t="s">
        <v>5487</v>
      </c>
      <c r="D1949" s="3"/>
      <c r="E1949" s="3" t="s">
        <v>6275</v>
      </c>
      <c r="F1949" s="3"/>
      <c r="G1949" s="3"/>
      <c r="H1949" s="3"/>
      <c r="I1949" s="3"/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/>
      <c r="P1949" s="3">
        <v>0</v>
      </c>
      <c r="Q1949" s="3">
        <v>0</v>
      </c>
      <c r="R1949" s="3">
        <v>0</v>
      </c>
    </row>
    <row r="1950" spans="1:18">
      <c r="A1950" s="3" t="s">
        <v>8948</v>
      </c>
      <c r="B1950" s="3" t="s">
        <v>8949</v>
      </c>
      <c r="C1950" s="3" t="s">
        <v>3896</v>
      </c>
      <c r="D1950" s="3"/>
      <c r="E1950" s="3" t="s">
        <v>6275</v>
      </c>
      <c r="F1950" s="3"/>
      <c r="G1950" s="3"/>
      <c r="H1950" s="3"/>
      <c r="I1950" s="3"/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/>
      <c r="P1950" s="3">
        <v>0</v>
      </c>
      <c r="Q1950" s="3">
        <v>0</v>
      </c>
      <c r="R1950" s="3">
        <v>0</v>
      </c>
    </row>
    <row r="1951" spans="1:18">
      <c r="A1951" s="3" t="s">
        <v>8950</v>
      </c>
      <c r="B1951" s="3" t="s">
        <v>8951</v>
      </c>
      <c r="C1951" s="3" t="s">
        <v>8952</v>
      </c>
      <c r="D1951" s="3"/>
      <c r="E1951" s="3" t="s">
        <v>6275</v>
      </c>
      <c r="F1951" s="3"/>
      <c r="G1951" s="3"/>
      <c r="H1951" s="3"/>
      <c r="I1951" s="3"/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/>
      <c r="P1951" s="3">
        <v>0</v>
      </c>
      <c r="Q1951" s="3">
        <v>0</v>
      </c>
      <c r="R1951" s="3">
        <v>0</v>
      </c>
    </row>
    <row r="1952" spans="1:18">
      <c r="A1952" s="3" t="s">
        <v>8953</v>
      </c>
      <c r="B1952" s="3" t="s">
        <v>8954</v>
      </c>
      <c r="C1952" s="3" t="s">
        <v>8955</v>
      </c>
      <c r="D1952" s="3"/>
      <c r="E1952" s="3" t="s">
        <v>6275</v>
      </c>
      <c r="F1952" s="3"/>
      <c r="G1952" s="3"/>
      <c r="H1952" s="3"/>
      <c r="I1952" s="3"/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/>
      <c r="P1952" s="3">
        <v>0</v>
      </c>
      <c r="Q1952" s="3">
        <v>0</v>
      </c>
      <c r="R1952" s="3">
        <v>0</v>
      </c>
    </row>
    <row r="1953" spans="1:18">
      <c r="A1953" s="3" t="s">
        <v>8956</v>
      </c>
      <c r="B1953" s="3" t="s">
        <v>8957</v>
      </c>
      <c r="C1953" s="3" t="s">
        <v>8958</v>
      </c>
      <c r="D1953" s="3"/>
      <c r="E1953" s="3" t="s">
        <v>6275</v>
      </c>
      <c r="F1953" s="3"/>
      <c r="G1953" s="3"/>
      <c r="H1953" s="3"/>
      <c r="I1953" s="3"/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/>
      <c r="P1953" s="3">
        <v>0</v>
      </c>
      <c r="Q1953" s="3">
        <v>0</v>
      </c>
      <c r="R1953" s="3">
        <v>0</v>
      </c>
    </row>
    <row r="1954" spans="1:18">
      <c r="A1954" s="3" t="s">
        <v>8959</v>
      </c>
      <c r="B1954" s="3" t="s">
        <v>8960</v>
      </c>
      <c r="C1954" s="3" t="s">
        <v>8961</v>
      </c>
      <c r="D1954" s="3"/>
      <c r="E1954" s="3" t="s">
        <v>6275</v>
      </c>
      <c r="F1954" s="3"/>
      <c r="G1954" s="3"/>
      <c r="H1954" s="3"/>
      <c r="I1954" s="3"/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/>
      <c r="P1954" s="3">
        <v>0</v>
      </c>
      <c r="Q1954" s="3">
        <v>0</v>
      </c>
      <c r="R1954" s="3">
        <v>0</v>
      </c>
    </row>
    <row r="1955" spans="1:18">
      <c r="A1955" s="3" t="s">
        <v>8962</v>
      </c>
      <c r="B1955" s="3" t="s">
        <v>8963</v>
      </c>
      <c r="C1955" s="3" t="s">
        <v>8964</v>
      </c>
      <c r="D1955" s="3"/>
      <c r="E1955" s="3" t="s">
        <v>6275</v>
      </c>
      <c r="F1955" s="3"/>
      <c r="G1955" s="3"/>
      <c r="H1955" s="3"/>
      <c r="I1955" s="3"/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/>
      <c r="P1955" s="3">
        <v>0</v>
      </c>
      <c r="Q1955" s="3">
        <v>0</v>
      </c>
      <c r="R1955" s="3">
        <v>0</v>
      </c>
    </row>
    <row r="1956" spans="1:18">
      <c r="A1956" s="3" t="s">
        <v>8965</v>
      </c>
      <c r="B1956" s="3" t="s">
        <v>8966</v>
      </c>
      <c r="C1956" s="3" t="s">
        <v>8967</v>
      </c>
      <c r="D1956" s="3"/>
      <c r="E1956" s="3" t="s">
        <v>6275</v>
      </c>
      <c r="F1956" s="3"/>
      <c r="G1956" s="3"/>
      <c r="H1956" s="3"/>
      <c r="I1956" s="3"/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/>
      <c r="P1956" s="3">
        <v>0</v>
      </c>
      <c r="Q1956" s="3">
        <v>0</v>
      </c>
      <c r="R1956" s="3">
        <v>0</v>
      </c>
    </row>
    <row r="1957" spans="1:18">
      <c r="A1957" s="3" t="s">
        <v>8968</v>
      </c>
      <c r="B1957" s="3" t="s">
        <v>8969</v>
      </c>
      <c r="C1957" s="3" t="s">
        <v>8970</v>
      </c>
      <c r="D1957" s="3"/>
      <c r="E1957" s="3" t="s">
        <v>6275</v>
      </c>
      <c r="F1957" s="3"/>
      <c r="G1957" s="3"/>
      <c r="H1957" s="3"/>
      <c r="I1957" s="3"/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/>
      <c r="P1957" s="3">
        <v>0</v>
      </c>
      <c r="Q1957" s="3">
        <v>0</v>
      </c>
      <c r="R1957" s="3">
        <v>0</v>
      </c>
    </row>
    <row r="1958" spans="1:18">
      <c r="A1958" s="3" t="s">
        <v>8971</v>
      </c>
      <c r="B1958" s="3" t="s">
        <v>8972</v>
      </c>
      <c r="C1958" s="3" t="s">
        <v>8973</v>
      </c>
      <c r="D1958" s="3"/>
      <c r="E1958" s="3" t="s">
        <v>6275</v>
      </c>
      <c r="F1958" s="3"/>
      <c r="G1958" s="3"/>
      <c r="H1958" s="3"/>
      <c r="I1958" s="3"/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/>
      <c r="P1958" s="3">
        <v>0</v>
      </c>
      <c r="Q1958" s="3">
        <v>0</v>
      </c>
      <c r="R1958" s="3">
        <v>0</v>
      </c>
    </row>
    <row r="1959" spans="1:18">
      <c r="A1959" s="3" t="s">
        <v>8974</v>
      </c>
      <c r="B1959" s="3" t="s">
        <v>8975</v>
      </c>
      <c r="C1959" s="3" t="s">
        <v>8976</v>
      </c>
      <c r="D1959" s="3"/>
      <c r="E1959" s="3" t="s">
        <v>6275</v>
      </c>
      <c r="F1959" s="3"/>
      <c r="G1959" s="3"/>
      <c r="H1959" s="3"/>
      <c r="I1959" s="3"/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/>
      <c r="P1959" s="3">
        <v>0</v>
      </c>
      <c r="Q1959" s="3">
        <v>0</v>
      </c>
      <c r="R1959" s="3">
        <v>0</v>
      </c>
    </row>
    <row r="1960" spans="1:18">
      <c r="A1960" s="3" t="s">
        <v>8977</v>
      </c>
      <c r="B1960" s="3" t="s">
        <v>8978</v>
      </c>
      <c r="C1960" s="3" t="s">
        <v>8979</v>
      </c>
      <c r="D1960" s="3"/>
      <c r="E1960" s="3" t="s">
        <v>6275</v>
      </c>
      <c r="F1960" s="3"/>
      <c r="G1960" s="3"/>
      <c r="H1960" s="3"/>
      <c r="I1960" s="3"/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/>
      <c r="P1960" s="3">
        <v>0</v>
      </c>
      <c r="Q1960" s="3">
        <v>0</v>
      </c>
      <c r="R1960" s="3">
        <v>0</v>
      </c>
    </row>
    <row r="1961" spans="1:18">
      <c r="A1961" s="3" t="s">
        <v>8980</v>
      </c>
      <c r="B1961" s="3" t="s">
        <v>8981</v>
      </c>
      <c r="C1961" s="3" t="s">
        <v>8982</v>
      </c>
      <c r="D1961" s="3"/>
      <c r="E1961" s="3" t="s">
        <v>6275</v>
      </c>
      <c r="F1961" s="3"/>
      <c r="G1961" s="3"/>
      <c r="H1961" s="3"/>
      <c r="I1961" s="3"/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/>
      <c r="P1961" s="3">
        <v>0</v>
      </c>
      <c r="Q1961" s="3">
        <v>0</v>
      </c>
      <c r="R1961" s="3">
        <v>0</v>
      </c>
    </row>
    <row r="1962" spans="1:18">
      <c r="A1962" s="3" t="s">
        <v>8983</v>
      </c>
      <c r="B1962" s="3" t="s">
        <v>8984</v>
      </c>
      <c r="C1962" s="3" t="s">
        <v>8985</v>
      </c>
      <c r="D1962" s="3"/>
      <c r="E1962" s="3" t="s">
        <v>6275</v>
      </c>
      <c r="F1962" s="3"/>
      <c r="G1962" s="3"/>
      <c r="H1962" s="3"/>
      <c r="I1962" s="3"/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/>
      <c r="P1962" s="3">
        <v>0</v>
      </c>
      <c r="Q1962" s="3">
        <v>0</v>
      </c>
      <c r="R1962" s="3">
        <v>0</v>
      </c>
    </row>
    <row r="1963" spans="1:18">
      <c r="A1963" s="3" t="s">
        <v>8986</v>
      </c>
      <c r="B1963" s="3" t="s">
        <v>8987</v>
      </c>
      <c r="C1963" s="3" t="s">
        <v>8988</v>
      </c>
      <c r="D1963" s="3"/>
      <c r="E1963" s="3" t="s">
        <v>6275</v>
      </c>
      <c r="F1963" s="3"/>
      <c r="G1963" s="3"/>
      <c r="H1963" s="3"/>
      <c r="I1963" s="3"/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/>
      <c r="P1963" s="3">
        <v>0</v>
      </c>
      <c r="Q1963" s="3">
        <v>0</v>
      </c>
      <c r="R1963" s="3">
        <v>0</v>
      </c>
    </row>
    <row r="1964" spans="1:18">
      <c r="A1964" s="3" t="s">
        <v>8989</v>
      </c>
      <c r="B1964" s="3" t="s">
        <v>8990</v>
      </c>
      <c r="C1964" s="3" t="s">
        <v>8991</v>
      </c>
      <c r="D1964" s="3"/>
      <c r="E1964" s="3" t="s">
        <v>6275</v>
      </c>
      <c r="F1964" s="3"/>
      <c r="G1964" s="3"/>
      <c r="H1964" s="3"/>
      <c r="I1964" s="3"/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8992</v>
      </c>
      <c r="B1965" s="3" t="s">
        <v>8993</v>
      </c>
      <c r="C1965" s="3" t="s">
        <v>8994</v>
      </c>
      <c r="D1965" s="3"/>
      <c r="E1965" s="3" t="s">
        <v>6275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8995</v>
      </c>
      <c r="B1966" s="3" t="s">
        <v>8996</v>
      </c>
      <c r="C1966" s="3" t="s">
        <v>8997</v>
      </c>
      <c r="D1966" s="3"/>
      <c r="E1966" s="3" t="s">
        <v>6275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8998</v>
      </c>
      <c r="B1967" s="3" t="s">
        <v>8999</v>
      </c>
      <c r="C1967" s="3" t="s">
        <v>9000</v>
      </c>
      <c r="D1967" s="3"/>
      <c r="E1967" s="3" t="s">
        <v>6275</v>
      </c>
      <c r="F1967" s="3"/>
      <c r="G1967" s="3"/>
      <c r="H1967" s="3"/>
      <c r="I1967" s="3"/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/>
      <c r="P1967" s="3">
        <v>0</v>
      </c>
      <c r="Q1967" s="3">
        <v>0</v>
      </c>
      <c r="R1967" s="3">
        <v>0</v>
      </c>
    </row>
    <row r="1968" spans="1:18">
      <c r="A1968" s="3" t="s">
        <v>9001</v>
      </c>
      <c r="B1968" s="3" t="s">
        <v>9002</v>
      </c>
      <c r="C1968" s="3" t="s">
        <v>9003</v>
      </c>
      <c r="D1968" s="3"/>
      <c r="E1968" s="3" t="s">
        <v>6275</v>
      </c>
      <c r="F1968" s="3"/>
      <c r="G1968" s="3"/>
      <c r="H1968" s="3"/>
      <c r="I1968" s="3"/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/>
      <c r="P1968" s="3">
        <v>0</v>
      </c>
      <c r="Q1968" s="3">
        <v>0</v>
      </c>
      <c r="R1968" s="3">
        <v>0</v>
      </c>
    </row>
    <row r="1969" spans="1:18">
      <c r="A1969" s="3" t="s">
        <v>9004</v>
      </c>
      <c r="B1969" s="3" t="s">
        <v>9005</v>
      </c>
      <c r="C1969" s="3" t="s">
        <v>2549</v>
      </c>
      <c r="D1969" s="3"/>
      <c r="E1969" s="3" t="s">
        <v>6275</v>
      </c>
      <c r="F1969" s="3"/>
      <c r="G1969" s="3"/>
      <c r="H1969" s="3"/>
      <c r="I1969" s="3"/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/>
      <c r="P1969" s="3">
        <v>0</v>
      </c>
      <c r="Q1969" s="3">
        <v>0</v>
      </c>
      <c r="R1969" s="3">
        <v>0</v>
      </c>
    </row>
    <row r="1970" spans="1:18">
      <c r="A1970" s="3" t="s">
        <v>9006</v>
      </c>
      <c r="B1970" s="3" t="s">
        <v>9007</v>
      </c>
      <c r="C1970" s="3" t="s">
        <v>6031</v>
      </c>
      <c r="D1970" s="3"/>
      <c r="E1970" s="3" t="s">
        <v>6275</v>
      </c>
      <c r="F1970" s="3"/>
      <c r="G1970" s="3"/>
      <c r="H1970" s="3"/>
      <c r="I1970" s="3"/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/>
      <c r="P1970" s="3">
        <v>0</v>
      </c>
      <c r="Q1970" s="3">
        <v>0</v>
      </c>
      <c r="R1970" s="3">
        <v>0</v>
      </c>
    </row>
    <row r="1971" spans="1:18">
      <c r="A1971" s="3" t="s">
        <v>9008</v>
      </c>
      <c r="B1971" s="3" t="s">
        <v>9009</v>
      </c>
      <c r="C1971" s="3" t="s">
        <v>1184</v>
      </c>
      <c r="D1971" s="3"/>
      <c r="E1971" s="3" t="s">
        <v>6275</v>
      </c>
      <c r="F1971" s="3"/>
      <c r="G1971" s="3"/>
      <c r="H1971" s="3"/>
      <c r="I1971" s="3"/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/>
      <c r="P1971" s="3">
        <v>0</v>
      </c>
      <c r="Q1971" s="3">
        <v>0</v>
      </c>
      <c r="R1971" s="3">
        <v>0</v>
      </c>
    </row>
    <row r="1972" spans="1:18">
      <c r="A1972" s="3" t="s">
        <v>9010</v>
      </c>
      <c r="B1972" s="3" t="s">
        <v>9011</v>
      </c>
      <c r="C1972" s="3" t="s">
        <v>2736</v>
      </c>
      <c r="D1972" s="3"/>
      <c r="E1972" s="3" t="s">
        <v>6275</v>
      </c>
      <c r="F1972" s="3"/>
      <c r="G1972" s="3"/>
      <c r="H1972" s="3"/>
      <c r="I1972" s="3"/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/>
      <c r="P1972" s="3">
        <v>0</v>
      </c>
      <c r="Q1972" s="3">
        <v>0</v>
      </c>
      <c r="R1972" s="3">
        <v>0</v>
      </c>
    </row>
    <row r="1973" spans="1:18">
      <c r="A1973" s="3" t="s">
        <v>9012</v>
      </c>
      <c r="B1973" s="3" t="s">
        <v>9013</v>
      </c>
      <c r="C1973" s="3" t="s">
        <v>4683</v>
      </c>
      <c r="D1973" s="3"/>
      <c r="E1973" s="3" t="s">
        <v>6275</v>
      </c>
      <c r="F1973" s="3"/>
      <c r="G1973" s="3"/>
      <c r="H1973" s="3"/>
      <c r="I1973" s="3"/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/>
      <c r="P1973" s="3">
        <v>0</v>
      </c>
      <c r="Q1973" s="3">
        <v>0</v>
      </c>
      <c r="R1973" s="3">
        <v>0</v>
      </c>
    </row>
    <row r="1974" spans="1:18">
      <c r="A1974" s="3" t="s">
        <v>9014</v>
      </c>
      <c r="B1974" s="3" t="s">
        <v>9015</v>
      </c>
      <c r="C1974" s="3" t="s">
        <v>3981</v>
      </c>
      <c r="D1974" s="3"/>
      <c r="E1974" s="3" t="s">
        <v>6275</v>
      </c>
      <c r="F1974" s="3"/>
      <c r="G1974" s="3"/>
      <c r="H1974" s="3"/>
      <c r="I1974" s="3"/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/>
      <c r="P1974" s="3">
        <v>0</v>
      </c>
      <c r="Q1974" s="3">
        <v>0</v>
      </c>
      <c r="R1974" s="3">
        <v>0</v>
      </c>
    </row>
    <row r="1975" spans="1:18">
      <c r="A1975" s="3" t="s">
        <v>9016</v>
      </c>
      <c r="B1975" s="3" t="s">
        <v>9017</v>
      </c>
      <c r="C1975" s="3" t="s">
        <v>1201</v>
      </c>
      <c r="D1975" s="3"/>
      <c r="E1975" s="3" t="s">
        <v>6275</v>
      </c>
      <c r="F1975" s="3"/>
      <c r="G1975" s="3"/>
      <c r="H1975" s="3"/>
      <c r="I1975" s="3"/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/>
      <c r="P1975" s="3">
        <v>0</v>
      </c>
      <c r="Q1975" s="3">
        <v>0</v>
      </c>
      <c r="R1975" s="3">
        <v>0</v>
      </c>
    </row>
    <row r="1976" spans="1:18">
      <c r="A1976" s="3" t="s">
        <v>9018</v>
      </c>
      <c r="B1976" s="3" t="s">
        <v>9019</v>
      </c>
      <c r="C1976" s="3" t="s">
        <v>1180</v>
      </c>
      <c r="D1976" s="3"/>
      <c r="E1976" s="3" t="s">
        <v>6275</v>
      </c>
      <c r="F1976" s="3"/>
      <c r="G1976" s="3"/>
      <c r="H1976" s="3"/>
      <c r="I1976" s="3"/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/>
      <c r="P1976" s="3">
        <v>0</v>
      </c>
      <c r="Q1976" s="3">
        <v>0</v>
      </c>
      <c r="R1976" s="3">
        <v>0</v>
      </c>
    </row>
    <row r="1977" spans="1:18">
      <c r="A1977" s="3" t="s">
        <v>9020</v>
      </c>
      <c r="B1977" s="3" t="s">
        <v>9021</v>
      </c>
      <c r="C1977" s="3" t="s">
        <v>9022</v>
      </c>
      <c r="D1977" s="3"/>
      <c r="E1977" s="3" t="s">
        <v>6275</v>
      </c>
      <c r="F1977" s="3"/>
      <c r="G1977" s="3"/>
      <c r="H1977" s="3"/>
      <c r="I1977" s="3"/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/>
      <c r="P1977" s="3">
        <v>0</v>
      </c>
      <c r="Q1977" s="3">
        <v>0</v>
      </c>
      <c r="R1977" s="3">
        <v>0</v>
      </c>
    </row>
    <row r="1978" spans="1:18">
      <c r="A1978" s="3" t="s">
        <v>9023</v>
      </c>
      <c r="B1978" s="3" t="s">
        <v>9024</v>
      </c>
      <c r="C1978" s="3" t="s">
        <v>9025</v>
      </c>
      <c r="D1978" s="3"/>
      <c r="E1978" s="3" t="s">
        <v>6275</v>
      </c>
      <c r="F1978" s="3"/>
      <c r="G1978" s="3"/>
      <c r="H1978" s="3"/>
      <c r="I1978" s="3"/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/>
      <c r="P1978" s="3">
        <v>0</v>
      </c>
      <c r="Q1978" s="3">
        <v>0</v>
      </c>
      <c r="R1978" s="3">
        <v>0</v>
      </c>
    </row>
    <row r="1979" spans="1:18">
      <c r="A1979" s="3" t="s">
        <v>9026</v>
      </c>
      <c r="B1979" s="3" t="s">
        <v>9027</v>
      </c>
      <c r="C1979" s="3" t="s">
        <v>9028</v>
      </c>
      <c r="D1979" s="3"/>
      <c r="E1979" s="3" t="s">
        <v>6275</v>
      </c>
      <c r="F1979" s="3"/>
      <c r="G1979" s="3"/>
      <c r="H1979" s="3"/>
      <c r="I1979" s="3"/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/>
      <c r="P1979" s="3">
        <v>0</v>
      </c>
      <c r="Q1979" s="3">
        <v>0</v>
      </c>
      <c r="R1979" s="3">
        <v>0</v>
      </c>
    </row>
    <row r="1980" spans="1:18">
      <c r="A1980" s="3" t="s">
        <v>9029</v>
      </c>
      <c r="B1980" s="3" t="s">
        <v>9030</v>
      </c>
      <c r="C1980" s="3" t="s">
        <v>9031</v>
      </c>
      <c r="D1980" s="3"/>
      <c r="E1980" s="3" t="s">
        <v>6275</v>
      </c>
      <c r="F1980" s="3"/>
      <c r="G1980" s="3"/>
      <c r="H1980" s="3"/>
      <c r="I1980" s="3"/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/>
      <c r="P1980" s="3">
        <v>0</v>
      </c>
      <c r="Q1980" s="3">
        <v>0</v>
      </c>
      <c r="R1980" s="3">
        <v>0</v>
      </c>
    </row>
    <row r="1981" spans="1:18">
      <c r="A1981" s="3" t="s">
        <v>9032</v>
      </c>
      <c r="B1981" s="3" t="s">
        <v>9033</v>
      </c>
      <c r="C1981" s="3" t="s">
        <v>9034</v>
      </c>
      <c r="D1981" s="3"/>
      <c r="E1981" s="3" t="s">
        <v>6275</v>
      </c>
      <c r="F1981" s="3"/>
      <c r="G1981" s="3"/>
      <c r="H1981" s="3"/>
      <c r="I1981" s="3"/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/>
      <c r="P1981" s="3">
        <v>0</v>
      </c>
      <c r="Q1981" s="3">
        <v>0</v>
      </c>
      <c r="R1981" s="3">
        <v>0</v>
      </c>
    </row>
    <row r="1982" spans="1:18">
      <c r="A1982" s="3" t="s">
        <v>9035</v>
      </c>
      <c r="B1982" s="3" t="s">
        <v>9036</v>
      </c>
      <c r="C1982" s="3" t="s">
        <v>9037</v>
      </c>
      <c r="D1982" s="3"/>
      <c r="E1982" s="3" t="s">
        <v>6275</v>
      </c>
      <c r="F1982" s="3"/>
      <c r="G1982" s="3"/>
      <c r="H1982" s="3"/>
      <c r="I1982" s="3"/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/>
      <c r="P1982" s="3">
        <v>0</v>
      </c>
      <c r="Q1982" s="3">
        <v>0</v>
      </c>
      <c r="R1982" s="3">
        <v>0</v>
      </c>
    </row>
    <row r="1983" spans="1:18">
      <c r="A1983" s="3" t="s">
        <v>9038</v>
      </c>
      <c r="B1983" s="3" t="s">
        <v>9039</v>
      </c>
      <c r="C1983" s="3" t="s">
        <v>9040</v>
      </c>
      <c r="D1983" s="3"/>
      <c r="E1983" s="3" t="s">
        <v>6275</v>
      </c>
      <c r="F1983" s="3"/>
      <c r="G1983" s="3"/>
      <c r="H1983" s="3"/>
      <c r="I1983" s="3"/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/>
      <c r="P1983" s="3">
        <v>0</v>
      </c>
      <c r="Q1983" s="3">
        <v>0</v>
      </c>
      <c r="R1983" s="3">
        <v>0</v>
      </c>
    </row>
    <row r="1984" spans="1:18">
      <c r="A1984" s="3" t="s">
        <v>9041</v>
      </c>
      <c r="B1984" s="3" t="s">
        <v>9042</v>
      </c>
      <c r="C1984" s="3" t="s">
        <v>9043</v>
      </c>
      <c r="D1984" s="3"/>
      <c r="E1984" s="3" t="s">
        <v>6275</v>
      </c>
      <c r="F1984" s="3"/>
      <c r="G1984" s="3"/>
      <c r="H1984" s="3"/>
      <c r="I1984" s="3"/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9044</v>
      </c>
      <c r="B1985" s="3" t="s">
        <v>9045</v>
      </c>
      <c r="C1985" s="3" t="s">
        <v>9046</v>
      </c>
      <c r="D1985" s="3"/>
      <c r="E1985" s="3" t="s">
        <v>6275</v>
      </c>
      <c r="F1985" s="3"/>
      <c r="G1985" s="3"/>
      <c r="H1985" s="3"/>
      <c r="I1985" s="3"/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9047</v>
      </c>
      <c r="B1986" s="3" t="s">
        <v>9048</v>
      </c>
      <c r="C1986" s="3" t="s">
        <v>9049</v>
      </c>
      <c r="D1986" s="3"/>
      <c r="E1986" s="3" t="s">
        <v>6275</v>
      </c>
      <c r="F1986" s="3"/>
      <c r="G1986" s="3"/>
      <c r="H1986" s="3"/>
      <c r="I1986" s="3"/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/>
      <c r="P1986" s="3">
        <v>0</v>
      </c>
      <c r="Q1986" s="3">
        <v>0</v>
      </c>
      <c r="R1986" s="3">
        <v>0</v>
      </c>
    </row>
    <row r="1987" spans="1:18">
      <c r="A1987" s="3" t="s">
        <v>9050</v>
      </c>
      <c r="B1987" s="3" t="s">
        <v>9051</v>
      </c>
      <c r="C1987" s="3" t="s">
        <v>9052</v>
      </c>
      <c r="D1987" s="3"/>
      <c r="E1987" s="3" t="s">
        <v>6275</v>
      </c>
      <c r="F1987" s="3"/>
      <c r="G1987" s="3"/>
      <c r="H1987" s="3"/>
      <c r="I1987" s="3"/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9053</v>
      </c>
      <c r="B1988" s="3" t="s">
        <v>9054</v>
      </c>
      <c r="C1988" s="3" t="s">
        <v>9055</v>
      </c>
      <c r="D1988" s="3"/>
      <c r="E1988" s="3" t="s">
        <v>6275</v>
      </c>
      <c r="F1988" s="3"/>
      <c r="G1988" s="3"/>
      <c r="H1988" s="3"/>
      <c r="I1988" s="3"/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/>
      <c r="P1988" s="3">
        <v>0</v>
      </c>
      <c r="Q1988" s="3">
        <v>0</v>
      </c>
      <c r="R1988" s="3">
        <v>0</v>
      </c>
    </row>
    <row r="1989" spans="1:18">
      <c r="A1989" s="3" t="s">
        <v>9056</v>
      </c>
      <c r="B1989" s="3" t="s">
        <v>9057</v>
      </c>
      <c r="C1989" s="3" t="s">
        <v>9058</v>
      </c>
      <c r="D1989" s="3"/>
      <c r="E1989" s="3" t="s">
        <v>6275</v>
      </c>
      <c r="F1989" s="3"/>
      <c r="G1989" s="3"/>
      <c r="H1989" s="3"/>
      <c r="I1989" s="3"/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9059</v>
      </c>
      <c r="B1990" s="3" t="s">
        <v>9060</v>
      </c>
      <c r="C1990" s="3" t="s">
        <v>9061</v>
      </c>
      <c r="D1990" s="3"/>
      <c r="E1990" s="3" t="s">
        <v>6275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9062</v>
      </c>
      <c r="B1991" s="3" t="s">
        <v>9063</v>
      </c>
      <c r="C1991" s="3" t="s">
        <v>9064</v>
      </c>
      <c r="D1991" s="3"/>
      <c r="E1991" s="3" t="s">
        <v>6275</v>
      </c>
      <c r="F1991" s="3"/>
      <c r="G1991" s="3"/>
      <c r="H1991" s="3"/>
      <c r="I1991" s="3"/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9065</v>
      </c>
      <c r="B1992" s="3" t="s">
        <v>9066</v>
      </c>
      <c r="C1992" s="3" t="s">
        <v>9067</v>
      </c>
      <c r="D1992" s="3"/>
      <c r="E1992" s="3" t="s">
        <v>6275</v>
      </c>
      <c r="F1992" s="3"/>
      <c r="G1992" s="3"/>
      <c r="H1992" s="3"/>
      <c r="I1992" s="3"/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9068</v>
      </c>
      <c r="B1993" s="3" t="s">
        <v>9069</v>
      </c>
      <c r="C1993" s="3" t="s">
        <v>9070</v>
      </c>
      <c r="D1993" s="3"/>
      <c r="E1993" s="3" t="s">
        <v>6275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/>
      <c r="P1993" s="3">
        <v>0</v>
      </c>
      <c r="Q1993" s="3">
        <v>0</v>
      </c>
      <c r="R1993" s="3">
        <v>0</v>
      </c>
    </row>
    <row r="1994" spans="1:18">
      <c r="A1994" s="3" t="s">
        <v>9071</v>
      </c>
      <c r="B1994" s="3" t="s">
        <v>9072</v>
      </c>
      <c r="C1994" s="3" t="s">
        <v>9073</v>
      </c>
      <c r="D1994" s="3"/>
      <c r="E1994" s="3" t="s">
        <v>6275</v>
      </c>
      <c r="F1994" s="3"/>
      <c r="G1994" s="3"/>
      <c r="H1994" s="3"/>
      <c r="I1994" s="3"/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9074</v>
      </c>
      <c r="B1995" s="3" t="s">
        <v>9075</v>
      </c>
      <c r="C1995" s="3" t="s">
        <v>9076</v>
      </c>
      <c r="D1995" s="3"/>
      <c r="E1995" s="3" t="s">
        <v>6275</v>
      </c>
      <c r="F1995" s="3"/>
      <c r="G1995" s="3"/>
      <c r="H1995" s="3"/>
      <c r="I1995" s="3"/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/>
      <c r="P1995" s="3">
        <v>0</v>
      </c>
      <c r="Q1995" s="3">
        <v>0</v>
      </c>
      <c r="R1995" s="3">
        <v>0</v>
      </c>
    </row>
    <row r="1996" spans="1:18">
      <c r="A1996" s="3" t="s">
        <v>9077</v>
      </c>
      <c r="B1996" s="3" t="s">
        <v>9078</v>
      </c>
      <c r="C1996" s="3" t="s">
        <v>9079</v>
      </c>
      <c r="D1996" s="3"/>
      <c r="E1996" s="3" t="s">
        <v>6275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9080</v>
      </c>
      <c r="B1997" s="3" t="s">
        <v>9081</v>
      </c>
      <c r="C1997" s="3" t="s">
        <v>9082</v>
      </c>
      <c r="D1997" s="3"/>
      <c r="E1997" s="3" t="s">
        <v>6275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9083</v>
      </c>
      <c r="B1998" s="3" t="s">
        <v>9084</v>
      </c>
      <c r="C1998" s="3" t="s">
        <v>9085</v>
      </c>
      <c r="D1998" s="3"/>
      <c r="E1998" s="3" t="s">
        <v>6275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9086</v>
      </c>
      <c r="B1999" s="3" t="s">
        <v>9087</v>
      </c>
      <c r="C1999" s="3" t="s">
        <v>9088</v>
      </c>
      <c r="D1999" s="3"/>
      <c r="E1999" s="3" t="s">
        <v>6275</v>
      </c>
      <c r="F1999" s="3"/>
      <c r="G1999" s="3"/>
      <c r="H1999" s="3"/>
      <c r="I1999" s="3"/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9089</v>
      </c>
      <c r="B2000" s="3" t="s">
        <v>9090</v>
      </c>
      <c r="C2000" s="3" t="s">
        <v>9091</v>
      </c>
      <c r="D2000" s="3"/>
      <c r="E2000" s="3" t="s">
        <v>6275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9092</v>
      </c>
      <c r="B2001" s="3" t="s">
        <v>9093</v>
      </c>
      <c r="C2001" s="3" t="s">
        <v>9094</v>
      </c>
      <c r="D2001" s="3"/>
      <c r="E2001" s="3" t="s">
        <v>6275</v>
      </c>
      <c r="F2001" s="3"/>
      <c r="G2001" s="3"/>
      <c r="H2001" s="3"/>
      <c r="I2001" s="3"/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/>
      <c r="P2001" s="3">
        <v>0</v>
      </c>
      <c r="Q2001" s="3">
        <v>0</v>
      </c>
      <c r="R2001" s="3">
        <v>0</v>
      </c>
    </row>
    <row r="2002" spans="1:18">
      <c r="A2002" s="3" t="s">
        <v>9095</v>
      </c>
      <c r="B2002" s="3" t="s">
        <v>9096</v>
      </c>
      <c r="C2002" s="3" t="s">
        <v>9097</v>
      </c>
      <c r="D2002" s="3"/>
      <c r="E2002" s="3" t="s">
        <v>6275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9098</v>
      </c>
      <c r="B2003" s="3" t="s">
        <v>9099</v>
      </c>
      <c r="C2003" s="3" t="s">
        <v>9100</v>
      </c>
      <c r="D2003" s="3"/>
      <c r="E2003" s="3" t="s">
        <v>6275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9101</v>
      </c>
      <c r="B2004" s="3" t="s">
        <v>9102</v>
      </c>
      <c r="C2004" s="3" t="s">
        <v>9103</v>
      </c>
      <c r="D2004" s="3"/>
      <c r="E2004" s="3" t="s">
        <v>6275</v>
      </c>
      <c r="F2004" s="3"/>
      <c r="G2004" s="3"/>
      <c r="H2004" s="3"/>
      <c r="I2004" s="3"/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/>
      <c r="P2004" s="3">
        <v>0</v>
      </c>
      <c r="Q2004" s="3">
        <v>0</v>
      </c>
      <c r="R2004" s="3">
        <v>0</v>
      </c>
    </row>
    <row r="2005" spans="1:18">
      <c r="A2005" s="3" t="s">
        <v>9104</v>
      </c>
      <c r="B2005" s="3" t="s">
        <v>9105</v>
      </c>
      <c r="C2005" s="3" t="s">
        <v>9106</v>
      </c>
      <c r="D2005" s="3"/>
      <c r="E2005" s="3" t="s">
        <v>6275</v>
      </c>
      <c r="F2005" s="3"/>
      <c r="G2005" s="3"/>
      <c r="H2005" s="3"/>
      <c r="I2005" s="3"/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/>
      <c r="P2005" s="3">
        <v>0</v>
      </c>
      <c r="Q2005" s="3">
        <v>0</v>
      </c>
      <c r="R2005" s="3">
        <v>0</v>
      </c>
    </row>
    <row r="2006" spans="1:18">
      <c r="A2006" s="3" t="s">
        <v>9107</v>
      </c>
      <c r="B2006" s="3" t="s">
        <v>9108</v>
      </c>
      <c r="C2006" s="3" t="s">
        <v>9109</v>
      </c>
      <c r="D2006" s="3"/>
      <c r="E2006" s="3" t="s">
        <v>6275</v>
      </c>
      <c r="F2006" s="3"/>
      <c r="G2006" s="3"/>
      <c r="H2006" s="3"/>
      <c r="I2006" s="3"/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/>
      <c r="P2006" s="3">
        <v>0</v>
      </c>
      <c r="Q2006" s="3">
        <v>0</v>
      </c>
      <c r="R2006" s="3">
        <v>0</v>
      </c>
    </row>
    <row r="2007" spans="1:18">
      <c r="A2007" s="3" t="s">
        <v>9110</v>
      </c>
      <c r="B2007" s="3" t="s">
        <v>9111</v>
      </c>
      <c r="C2007" s="3" t="s">
        <v>9112</v>
      </c>
      <c r="D2007" s="3"/>
      <c r="E2007" s="3" t="s">
        <v>6275</v>
      </c>
      <c r="F2007" s="3"/>
      <c r="G2007" s="3"/>
      <c r="H2007" s="3"/>
      <c r="I2007" s="3"/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/>
      <c r="P2007" s="3">
        <v>0</v>
      </c>
      <c r="Q2007" s="3">
        <v>0</v>
      </c>
      <c r="R2007" s="3">
        <v>0</v>
      </c>
    </row>
    <row r="2008" spans="1:18">
      <c r="A2008" s="3" t="s">
        <v>9113</v>
      </c>
      <c r="B2008" s="3" t="s">
        <v>9114</v>
      </c>
      <c r="C2008" s="3" t="s">
        <v>9115</v>
      </c>
      <c r="D2008" s="3"/>
      <c r="E2008" s="3" t="s">
        <v>6275</v>
      </c>
      <c r="F2008" s="3"/>
      <c r="G2008" s="3"/>
      <c r="H2008" s="3"/>
      <c r="I2008" s="3"/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/>
      <c r="P2008" s="3">
        <v>0</v>
      </c>
      <c r="Q2008" s="3">
        <v>0</v>
      </c>
      <c r="R2008" s="3">
        <v>0</v>
      </c>
    </row>
    <row r="2009" spans="1:18">
      <c r="A2009" s="3" t="s">
        <v>9116</v>
      </c>
      <c r="B2009" s="3" t="s">
        <v>9117</v>
      </c>
      <c r="C2009" s="3" t="s">
        <v>9118</v>
      </c>
      <c r="D2009" s="3"/>
      <c r="E2009" s="3" t="s">
        <v>6275</v>
      </c>
      <c r="F2009" s="3"/>
      <c r="G2009" s="3"/>
      <c r="H2009" s="3"/>
      <c r="I2009" s="3"/>
      <c r="J2009" s="3">
        <v>0</v>
      </c>
      <c r="K2009" s="3">
        <v>0</v>
      </c>
      <c r="L2009" s="3">
        <v>0</v>
      </c>
      <c r="M2009" s="3">
        <v>0</v>
      </c>
      <c r="N2009" s="3">
        <v>0</v>
      </c>
      <c r="O2009" s="3"/>
      <c r="P2009" s="3">
        <v>0</v>
      </c>
      <c r="Q2009" s="3">
        <v>0</v>
      </c>
      <c r="R2009" s="3">
        <v>0</v>
      </c>
    </row>
    <row r="2010" spans="1:18">
      <c r="A2010" s="3" t="s">
        <v>9119</v>
      </c>
      <c r="B2010" s="3" t="s">
        <v>9120</v>
      </c>
      <c r="C2010" s="3" t="s">
        <v>9121</v>
      </c>
      <c r="D2010" s="3"/>
      <c r="E2010" s="3" t="s">
        <v>6275</v>
      </c>
      <c r="F2010" s="3"/>
      <c r="G2010" s="3"/>
      <c r="H2010" s="3"/>
      <c r="I2010" s="3"/>
      <c r="J2010" s="3">
        <v>0</v>
      </c>
      <c r="K2010" s="3">
        <v>0</v>
      </c>
      <c r="L2010" s="3">
        <v>0</v>
      </c>
      <c r="M2010" s="3">
        <v>0</v>
      </c>
      <c r="N2010" s="3">
        <v>0</v>
      </c>
      <c r="O2010" s="3"/>
      <c r="P2010" s="3">
        <v>0</v>
      </c>
      <c r="Q2010" s="3">
        <v>0</v>
      </c>
      <c r="R2010" s="3">
        <v>0</v>
      </c>
    </row>
    <row r="2011" spans="1:18">
      <c r="A2011" s="3" t="s">
        <v>9122</v>
      </c>
      <c r="B2011" s="3" t="s">
        <v>9123</v>
      </c>
      <c r="C2011" s="3" t="s">
        <v>9124</v>
      </c>
      <c r="D2011" s="3"/>
      <c r="E2011" s="3" t="s">
        <v>6275</v>
      </c>
      <c r="F2011" s="3"/>
      <c r="G2011" s="3"/>
      <c r="H2011" s="3"/>
      <c r="I2011" s="3"/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/>
      <c r="P2011" s="3">
        <v>0</v>
      </c>
      <c r="Q2011" s="3">
        <v>0</v>
      </c>
      <c r="R2011" s="3">
        <v>0</v>
      </c>
    </row>
    <row r="2012" spans="1:18">
      <c r="A2012" s="3" t="s">
        <v>9125</v>
      </c>
      <c r="B2012" s="3" t="s">
        <v>9126</v>
      </c>
      <c r="C2012" s="3" t="s">
        <v>9127</v>
      </c>
      <c r="D2012" s="3"/>
      <c r="E2012" s="3" t="s">
        <v>6275</v>
      </c>
      <c r="F2012" s="3"/>
      <c r="G2012" s="3"/>
      <c r="H2012" s="3"/>
      <c r="I2012" s="3"/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/>
      <c r="P2012" s="3">
        <v>0</v>
      </c>
      <c r="Q2012" s="3">
        <v>0</v>
      </c>
      <c r="R2012" s="3">
        <v>0</v>
      </c>
    </row>
    <row r="2013" spans="1:18">
      <c r="A2013" s="3" t="s">
        <v>9128</v>
      </c>
      <c r="B2013" s="3" t="s">
        <v>9129</v>
      </c>
      <c r="C2013" s="3" t="s">
        <v>9130</v>
      </c>
      <c r="D2013" s="3"/>
      <c r="E2013" s="3" t="s">
        <v>6275</v>
      </c>
      <c r="F2013" s="3"/>
      <c r="G2013" s="3"/>
      <c r="H2013" s="3"/>
      <c r="I2013" s="3"/>
      <c r="J2013" s="3">
        <v>0</v>
      </c>
      <c r="K2013" s="3">
        <v>0</v>
      </c>
      <c r="L2013" s="3">
        <v>0</v>
      </c>
      <c r="M2013" s="3">
        <v>0</v>
      </c>
      <c r="N2013" s="3">
        <v>0</v>
      </c>
      <c r="O2013" s="3"/>
      <c r="P2013" s="3">
        <v>0</v>
      </c>
      <c r="Q2013" s="3">
        <v>0</v>
      </c>
      <c r="R2013" s="3">
        <v>0</v>
      </c>
    </row>
    <row r="2014" spans="1:18">
      <c r="A2014" s="3" t="s">
        <v>9131</v>
      </c>
      <c r="B2014" s="3" t="s">
        <v>9132</v>
      </c>
      <c r="C2014" s="3" t="s">
        <v>9133</v>
      </c>
      <c r="D2014" s="3"/>
      <c r="E2014" s="3" t="s">
        <v>6275</v>
      </c>
      <c r="F2014" s="3"/>
      <c r="G2014" s="3"/>
      <c r="H2014" s="3"/>
      <c r="I2014" s="3"/>
      <c r="J2014" s="3">
        <v>0</v>
      </c>
      <c r="K2014" s="3">
        <v>0</v>
      </c>
      <c r="L2014" s="3">
        <v>0</v>
      </c>
      <c r="M2014" s="3">
        <v>0</v>
      </c>
      <c r="N2014" s="3">
        <v>0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9134</v>
      </c>
      <c r="B2015" s="3" t="s">
        <v>9135</v>
      </c>
      <c r="C2015" s="3" t="s">
        <v>9136</v>
      </c>
      <c r="D2015" s="3"/>
      <c r="E2015" s="3" t="s">
        <v>6275</v>
      </c>
      <c r="F2015" s="3"/>
      <c r="G2015" s="3"/>
      <c r="H2015" s="3"/>
      <c r="I2015" s="3"/>
      <c r="J2015" s="3">
        <v>0</v>
      </c>
      <c r="K2015" s="3">
        <v>0</v>
      </c>
      <c r="L2015" s="3">
        <v>0</v>
      </c>
      <c r="M2015" s="3">
        <v>0</v>
      </c>
      <c r="N2015" s="3">
        <v>0</v>
      </c>
      <c r="O2015" s="3"/>
      <c r="P2015" s="3">
        <v>0</v>
      </c>
      <c r="Q2015" s="3">
        <v>0</v>
      </c>
      <c r="R2015" s="3">
        <v>0</v>
      </c>
    </row>
    <row r="2016" spans="1:18">
      <c r="A2016" s="3" t="s">
        <v>9137</v>
      </c>
      <c r="B2016" s="3" t="s">
        <v>9138</v>
      </c>
      <c r="C2016" s="3" t="s">
        <v>9139</v>
      </c>
      <c r="D2016" s="3"/>
      <c r="E2016" s="3" t="s">
        <v>6275</v>
      </c>
      <c r="F2016" s="3"/>
      <c r="G2016" s="3"/>
      <c r="H2016" s="3"/>
      <c r="I2016" s="3"/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9140</v>
      </c>
      <c r="B2017" s="3" t="s">
        <v>9141</v>
      </c>
      <c r="C2017" s="3" t="s">
        <v>9142</v>
      </c>
      <c r="D2017" s="3"/>
      <c r="E2017" s="3" t="s">
        <v>6275</v>
      </c>
      <c r="F2017" s="3"/>
      <c r="G2017" s="3"/>
      <c r="H2017" s="3"/>
      <c r="I2017" s="3"/>
      <c r="J2017" s="3">
        <v>0</v>
      </c>
      <c r="K2017" s="3">
        <v>0</v>
      </c>
      <c r="L2017" s="3">
        <v>0</v>
      </c>
      <c r="M2017" s="3">
        <v>0</v>
      </c>
      <c r="N2017" s="3">
        <v>0</v>
      </c>
      <c r="O2017" s="3"/>
      <c r="P2017" s="3">
        <v>0</v>
      </c>
      <c r="Q2017" s="3">
        <v>0</v>
      </c>
      <c r="R2017" s="3">
        <v>0</v>
      </c>
    </row>
    <row r="2018" spans="1:18">
      <c r="A2018" s="3" t="s">
        <v>9143</v>
      </c>
      <c r="B2018" s="3" t="s">
        <v>9144</v>
      </c>
      <c r="C2018" s="3" t="s">
        <v>9145</v>
      </c>
      <c r="D2018" s="3"/>
      <c r="E2018" s="3" t="s">
        <v>6275</v>
      </c>
      <c r="F2018" s="3"/>
      <c r="G2018" s="3"/>
      <c r="H2018" s="3"/>
      <c r="I2018" s="3"/>
      <c r="J2018" s="3">
        <v>0</v>
      </c>
      <c r="K2018" s="3">
        <v>0</v>
      </c>
      <c r="L2018" s="3">
        <v>0</v>
      </c>
      <c r="M2018" s="3">
        <v>0</v>
      </c>
      <c r="N2018" s="3">
        <v>0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9146</v>
      </c>
      <c r="B2019" s="3" t="s">
        <v>9147</v>
      </c>
      <c r="C2019" s="3" t="s">
        <v>9148</v>
      </c>
      <c r="D2019" s="3"/>
      <c r="E2019" s="3" t="s">
        <v>6275</v>
      </c>
      <c r="F2019" s="3"/>
      <c r="G2019" s="3"/>
      <c r="H2019" s="3"/>
      <c r="I2019" s="3"/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/>
      <c r="P2019" s="3">
        <v>0</v>
      </c>
      <c r="Q2019" s="3">
        <v>0</v>
      </c>
      <c r="R2019" s="3">
        <v>0</v>
      </c>
    </row>
    <row r="2020" spans="1:18">
      <c r="A2020" s="3" t="s">
        <v>9149</v>
      </c>
      <c r="B2020" s="3" t="s">
        <v>9150</v>
      </c>
      <c r="C2020" s="3" t="s">
        <v>9151</v>
      </c>
      <c r="D2020" s="3"/>
      <c r="E2020" s="3" t="s">
        <v>6275</v>
      </c>
      <c r="F2020" s="3"/>
      <c r="G2020" s="3"/>
      <c r="H2020" s="3"/>
      <c r="I2020" s="3"/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9152</v>
      </c>
      <c r="B2021" s="3" t="s">
        <v>9153</v>
      </c>
      <c r="C2021" s="3" t="s">
        <v>9154</v>
      </c>
      <c r="D2021" s="3"/>
      <c r="E2021" s="3" t="s">
        <v>6275</v>
      </c>
      <c r="F2021" s="3"/>
      <c r="G2021" s="3"/>
      <c r="H2021" s="3"/>
      <c r="I2021" s="3"/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/>
      <c r="P2021" s="3">
        <v>0</v>
      </c>
      <c r="Q2021" s="3">
        <v>0</v>
      </c>
      <c r="R2021" s="3">
        <v>0</v>
      </c>
    </row>
    <row r="2022" spans="1:18">
      <c r="A2022" s="3" t="s">
        <v>9155</v>
      </c>
      <c r="B2022" s="3" t="s">
        <v>9156</v>
      </c>
      <c r="C2022" s="3" t="s">
        <v>9157</v>
      </c>
      <c r="D2022" s="3"/>
      <c r="E2022" s="3" t="s">
        <v>6275</v>
      </c>
      <c r="F2022" s="3"/>
      <c r="G2022" s="3"/>
      <c r="H2022" s="3"/>
      <c r="I2022" s="3"/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9158</v>
      </c>
      <c r="B2023" s="3" t="s">
        <v>9159</v>
      </c>
      <c r="C2023" s="3" t="s">
        <v>9160</v>
      </c>
      <c r="D2023" s="3"/>
      <c r="E2023" s="3" t="s">
        <v>6275</v>
      </c>
      <c r="F2023" s="3"/>
      <c r="G2023" s="3"/>
      <c r="H2023" s="3"/>
      <c r="I2023" s="3"/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/>
      <c r="P2023" s="3">
        <v>0</v>
      </c>
      <c r="Q2023" s="3">
        <v>0</v>
      </c>
      <c r="R2023" s="3">
        <v>0</v>
      </c>
    </row>
    <row r="2024" spans="1:18">
      <c r="A2024" s="3" t="s">
        <v>9161</v>
      </c>
      <c r="B2024" s="3" t="s">
        <v>9162</v>
      </c>
      <c r="C2024" s="3" t="s">
        <v>9163</v>
      </c>
      <c r="D2024" s="3"/>
      <c r="E2024" s="3" t="s">
        <v>6275</v>
      </c>
      <c r="F2024" s="3"/>
      <c r="G2024" s="3"/>
      <c r="H2024" s="3"/>
      <c r="I2024" s="3"/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9164</v>
      </c>
      <c r="B2025" s="3" t="s">
        <v>9165</v>
      </c>
      <c r="C2025" s="3" t="s">
        <v>9166</v>
      </c>
      <c r="D2025" s="3"/>
      <c r="E2025" s="3" t="s">
        <v>6275</v>
      </c>
      <c r="F2025" s="3"/>
      <c r="G2025" s="3"/>
      <c r="H2025" s="3"/>
      <c r="I2025" s="3"/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/>
      <c r="P2025" s="3">
        <v>0</v>
      </c>
      <c r="Q2025" s="3">
        <v>0</v>
      </c>
      <c r="R2025" s="3">
        <v>0</v>
      </c>
    </row>
    <row r="2026" spans="1:18">
      <c r="A2026" s="3" t="s">
        <v>9167</v>
      </c>
      <c r="B2026" s="3" t="s">
        <v>9168</v>
      </c>
      <c r="C2026" s="3" t="s">
        <v>9169</v>
      </c>
      <c r="D2026" s="3"/>
      <c r="E2026" s="3" t="s">
        <v>6275</v>
      </c>
      <c r="F2026" s="3"/>
      <c r="G2026" s="3"/>
      <c r="H2026" s="3"/>
      <c r="I2026" s="3"/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9170</v>
      </c>
      <c r="B2027" s="3" t="s">
        <v>9171</v>
      </c>
      <c r="C2027" s="3" t="s">
        <v>9172</v>
      </c>
      <c r="D2027" s="3"/>
      <c r="E2027" s="3" t="s">
        <v>6275</v>
      </c>
      <c r="F2027" s="3"/>
      <c r="G2027" s="3"/>
      <c r="H2027" s="3"/>
      <c r="I2027" s="3"/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9173</v>
      </c>
      <c r="B2028" s="3" t="s">
        <v>9174</v>
      </c>
      <c r="C2028" s="3" t="s">
        <v>9175</v>
      </c>
      <c r="D2028" s="3"/>
      <c r="E2028" s="3" t="s">
        <v>6275</v>
      </c>
      <c r="F2028" s="3"/>
      <c r="G2028" s="3"/>
      <c r="H2028" s="3"/>
      <c r="I2028" s="3"/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9176</v>
      </c>
      <c r="B2029" s="3" t="s">
        <v>9177</v>
      </c>
      <c r="C2029" s="3" t="s">
        <v>9178</v>
      </c>
      <c r="D2029" s="3"/>
      <c r="E2029" s="3" t="s">
        <v>6275</v>
      </c>
      <c r="F2029" s="3"/>
      <c r="G2029" s="3"/>
      <c r="H2029" s="3"/>
      <c r="I2029" s="3"/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9179</v>
      </c>
      <c r="B2030" s="3" t="s">
        <v>9180</v>
      </c>
      <c r="C2030" s="3" t="s">
        <v>9181</v>
      </c>
      <c r="D2030" s="3"/>
      <c r="E2030" s="3" t="s">
        <v>6275</v>
      </c>
      <c r="F2030" s="3"/>
      <c r="G2030" s="3"/>
      <c r="H2030" s="3"/>
      <c r="I2030" s="3"/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9182</v>
      </c>
      <c r="B2031" s="3" t="s">
        <v>9183</v>
      </c>
      <c r="C2031" s="3" t="s">
        <v>9184</v>
      </c>
      <c r="D2031" s="3"/>
      <c r="E2031" s="3" t="s">
        <v>6275</v>
      </c>
      <c r="F2031" s="3"/>
      <c r="G2031" s="3"/>
      <c r="H2031" s="3"/>
      <c r="I2031" s="3"/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9185</v>
      </c>
      <c r="B2032" s="3" t="s">
        <v>9186</v>
      </c>
      <c r="C2032" s="3" t="s">
        <v>9187</v>
      </c>
      <c r="D2032" s="3"/>
      <c r="E2032" s="3" t="s">
        <v>6275</v>
      </c>
      <c r="F2032" s="3"/>
      <c r="G2032" s="3"/>
      <c r="H2032" s="3"/>
      <c r="I2032" s="3"/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9188</v>
      </c>
      <c r="B2033" s="3" t="s">
        <v>9189</v>
      </c>
      <c r="C2033" s="3" t="s">
        <v>9190</v>
      </c>
      <c r="D2033" s="3"/>
      <c r="E2033" s="3" t="s">
        <v>6275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/>
      <c r="P2033" s="3">
        <v>0</v>
      </c>
      <c r="Q2033" s="3">
        <v>0</v>
      </c>
      <c r="R2033" s="3">
        <v>0</v>
      </c>
    </row>
    <row r="2034" spans="1:18">
      <c r="A2034" s="3" t="s">
        <v>9191</v>
      </c>
      <c r="B2034" s="3" t="s">
        <v>9192</v>
      </c>
      <c r="C2034" s="3" t="s">
        <v>9193</v>
      </c>
      <c r="D2034" s="3"/>
      <c r="E2034" s="3" t="s">
        <v>6275</v>
      </c>
      <c r="F2034" s="3"/>
      <c r="G2034" s="3"/>
      <c r="H2034" s="3"/>
      <c r="I2034" s="3"/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/>
      <c r="P2034" s="3">
        <v>0</v>
      </c>
      <c r="Q2034" s="3">
        <v>0</v>
      </c>
      <c r="R2034" s="3">
        <v>0</v>
      </c>
    </row>
    <row r="2035" spans="1:18">
      <c r="A2035" s="3" t="s">
        <v>9194</v>
      </c>
      <c r="B2035" s="3" t="s">
        <v>9195</v>
      </c>
      <c r="C2035" s="3" t="s">
        <v>9196</v>
      </c>
      <c r="D2035" s="3"/>
      <c r="E2035" s="3" t="s">
        <v>6275</v>
      </c>
      <c r="F2035" s="3"/>
      <c r="G2035" s="3"/>
      <c r="H2035" s="3"/>
      <c r="I2035" s="3"/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/>
      <c r="P2035" s="3">
        <v>0</v>
      </c>
      <c r="Q2035" s="3">
        <v>0</v>
      </c>
      <c r="R2035" s="3">
        <v>0</v>
      </c>
    </row>
    <row r="2036" spans="1:18">
      <c r="A2036" s="3" t="s">
        <v>9197</v>
      </c>
      <c r="B2036" s="3" t="s">
        <v>9198</v>
      </c>
      <c r="C2036" s="3" t="s">
        <v>9199</v>
      </c>
      <c r="D2036" s="3"/>
      <c r="E2036" s="3" t="s">
        <v>6275</v>
      </c>
      <c r="F2036" s="3"/>
      <c r="G2036" s="3"/>
      <c r="H2036" s="3"/>
      <c r="I2036" s="3"/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/>
      <c r="P2036" s="3">
        <v>0</v>
      </c>
      <c r="Q2036" s="3">
        <v>0</v>
      </c>
      <c r="R2036" s="3">
        <v>0</v>
      </c>
    </row>
    <row r="2037" spans="1:18">
      <c r="A2037" s="3" t="s">
        <v>9200</v>
      </c>
      <c r="B2037" s="3" t="s">
        <v>9201</v>
      </c>
      <c r="C2037" s="3" t="s">
        <v>9202</v>
      </c>
      <c r="D2037" s="3"/>
      <c r="E2037" s="3" t="s">
        <v>6275</v>
      </c>
      <c r="F2037" s="3"/>
      <c r="G2037" s="3"/>
      <c r="H2037" s="3"/>
      <c r="I2037" s="3"/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/>
      <c r="P2037" s="3">
        <v>0</v>
      </c>
      <c r="Q2037" s="3">
        <v>0</v>
      </c>
      <c r="R2037" s="3">
        <v>0</v>
      </c>
    </row>
    <row r="2038" spans="1:18">
      <c r="A2038" s="3" t="s">
        <v>9203</v>
      </c>
      <c r="B2038" s="3" t="s">
        <v>9204</v>
      </c>
      <c r="C2038" s="3" t="s">
        <v>9205</v>
      </c>
      <c r="D2038" s="3"/>
      <c r="E2038" s="3" t="s">
        <v>6275</v>
      </c>
      <c r="F2038" s="3"/>
      <c r="G2038" s="3"/>
      <c r="H2038" s="3"/>
      <c r="I2038" s="3"/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/>
      <c r="P2038" s="3">
        <v>0</v>
      </c>
      <c r="Q2038" s="3">
        <v>0</v>
      </c>
      <c r="R2038" s="3">
        <v>0</v>
      </c>
    </row>
    <row r="2039" spans="1:18">
      <c r="A2039" s="3" t="s">
        <v>9206</v>
      </c>
      <c r="B2039" s="3" t="s">
        <v>9207</v>
      </c>
      <c r="C2039" s="3" t="s">
        <v>9208</v>
      </c>
      <c r="D2039" s="3"/>
      <c r="E2039" s="3" t="s">
        <v>6275</v>
      </c>
      <c r="F2039" s="3"/>
      <c r="G2039" s="3"/>
      <c r="H2039" s="3"/>
      <c r="I2039" s="3"/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/>
      <c r="P2039" s="3">
        <v>0</v>
      </c>
      <c r="Q2039" s="3">
        <v>0</v>
      </c>
      <c r="R2039" s="3">
        <v>0</v>
      </c>
    </row>
    <row r="2040" spans="1:18">
      <c r="A2040" s="3" t="s">
        <v>9209</v>
      </c>
      <c r="B2040" s="3" t="s">
        <v>9210</v>
      </c>
      <c r="C2040" s="3" t="s">
        <v>9211</v>
      </c>
      <c r="D2040" s="3"/>
      <c r="E2040" s="3" t="s">
        <v>6275</v>
      </c>
      <c r="F2040" s="3"/>
      <c r="G2040" s="3"/>
      <c r="H2040" s="3"/>
      <c r="I2040" s="3"/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/>
      <c r="P2040" s="3">
        <v>0</v>
      </c>
      <c r="Q2040" s="3">
        <v>0</v>
      </c>
      <c r="R2040" s="3">
        <v>0</v>
      </c>
    </row>
    <row r="2041" spans="1:18">
      <c r="A2041" s="3" t="s">
        <v>9212</v>
      </c>
      <c r="B2041" s="3" t="s">
        <v>9213</v>
      </c>
      <c r="C2041" s="3" t="s">
        <v>9214</v>
      </c>
      <c r="D2041" s="3"/>
      <c r="E2041" s="3" t="s">
        <v>6275</v>
      </c>
      <c r="F2041" s="3"/>
      <c r="G2041" s="3"/>
      <c r="H2041" s="3"/>
      <c r="I2041" s="3"/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/>
      <c r="P2041" s="3">
        <v>0</v>
      </c>
      <c r="Q2041" s="3">
        <v>0</v>
      </c>
      <c r="R2041" s="3">
        <v>0</v>
      </c>
    </row>
    <row r="2042" spans="1:18">
      <c r="A2042" s="3" t="s">
        <v>9215</v>
      </c>
      <c r="B2042" s="3" t="s">
        <v>9216</v>
      </c>
      <c r="C2042" s="3" t="s">
        <v>9217</v>
      </c>
      <c r="D2042" s="3"/>
      <c r="E2042" s="3" t="s">
        <v>6275</v>
      </c>
      <c r="F2042" s="3"/>
      <c r="G2042" s="3"/>
      <c r="H2042" s="3"/>
      <c r="I2042" s="3"/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/>
      <c r="P2042" s="3">
        <v>0</v>
      </c>
      <c r="Q2042" s="3">
        <v>0</v>
      </c>
      <c r="R2042" s="3">
        <v>0</v>
      </c>
    </row>
    <row r="2043" spans="1:18">
      <c r="A2043" s="3" t="s">
        <v>9218</v>
      </c>
      <c r="B2043" s="3" t="s">
        <v>9219</v>
      </c>
      <c r="C2043" s="3" t="s">
        <v>9220</v>
      </c>
      <c r="D2043" s="3"/>
      <c r="E2043" s="3" t="s">
        <v>6275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9221</v>
      </c>
      <c r="B2044" s="3" t="s">
        <v>9222</v>
      </c>
      <c r="C2044" s="3" t="s">
        <v>9223</v>
      </c>
      <c r="D2044" s="3"/>
      <c r="E2044" s="3" t="s">
        <v>6275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9224</v>
      </c>
      <c r="B2045" s="3" t="s">
        <v>9225</v>
      </c>
      <c r="C2045" s="3" t="s">
        <v>5634</v>
      </c>
      <c r="D2045" s="3"/>
      <c r="E2045" s="3" t="s">
        <v>6275</v>
      </c>
      <c r="F2045" s="3"/>
      <c r="G2045" s="3"/>
      <c r="H2045" s="3"/>
      <c r="I2045" s="3"/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/>
      <c r="P2045" s="3">
        <v>0</v>
      </c>
      <c r="Q2045" s="3">
        <v>0</v>
      </c>
      <c r="R2045" s="3">
        <v>0</v>
      </c>
    </row>
    <row r="2046" spans="1:18">
      <c r="A2046" s="3" t="s">
        <v>9226</v>
      </c>
      <c r="B2046" s="3" t="s">
        <v>9227</v>
      </c>
      <c r="C2046" s="3" t="s">
        <v>1886</v>
      </c>
      <c r="D2046" s="3"/>
      <c r="E2046" s="3" t="s">
        <v>6275</v>
      </c>
      <c r="F2046" s="3"/>
      <c r="G2046" s="3"/>
      <c r="H2046" s="3"/>
      <c r="I2046" s="3"/>
      <c r="J2046" s="3">
        <v>0</v>
      </c>
      <c r="K2046" s="3">
        <v>0</v>
      </c>
      <c r="L2046" s="3">
        <v>0</v>
      </c>
      <c r="M2046" s="3">
        <v>0</v>
      </c>
      <c r="N2046" s="3">
        <v>0</v>
      </c>
      <c r="O2046" s="3"/>
      <c r="P2046" s="3">
        <v>0</v>
      </c>
      <c r="Q2046" s="3">
        <v>0</v>
      </c>
      <c r="R2046" s="3">
        <v>0</v>
      </c>
    </row>
    <row r="2047" spans="1:18">
      <c r="A2047" s="3" t="s">
        <v>9228</v>
      </c>
      <c r="B2047" s="3" t="s">
        <v>9229</v>
      </c>
      <c r="C2047" s="3" t="s">
        <v>4668</v>
      </c>
      <c r="D2047" s="3"/>
      <c r="E2047" s="3" t="s">
        <v>6275</v>
      </c>
      <c r="F2047" s="3"/>
      <c r="G2047" s="3"/>
      <c r="H2047" s="3"/>
      <c r="I2047" s="3"/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/>
      <c r="P2047" s="3">
        <v>0</v>
      </c>
      <c r="Q2047" s="3">
        <v>0</v>
      </c>
      <c r="R2047" s="3">
        <v>0</v>
      </c>
    </row>
    <row r="2048" spans="1:18">
      <c r="A2048" s="3" t="s">
        <v>9230</v>
      </c>
      <c r="B2048" s="3" t="s">
        <v>9231</v>
      </c>
      <c r="C2048" s="3" t="s">
        <v>5932</v>
      </c>
      <c r="D2048" s="3"/>
      <c r="E2048" s="3" t="s">
        <v>6275</v>
      </c>
      <c r="F2048" s="3"/>
      <c r="G2048" s="3"/>
      <c r="H2048" s="3"/>
      <c r="I2048" s="3"/>
      <c r="J2048" s="3">
        <v>0</v>
      </c>
      <c r="K2048" s="3">
        <v>0</v>
      </c>
      <c r="L2048" s="3">
        <v>0</v>
      </c>
      <c r="M2048" s="3">
        <v>0</v>
      </c>
      <c r="N2048" s="3">
        <v>0</v>
      </c>
      <c r="O2048" s="3"/>
      <c r="P2048" s="3">
        <v>0</v>
      </c>
      <c r="Q2048" s="3">
        <v>0</v>
      </c>
      <c r="R2048" s="3">
        <v>0</v>
      </c>
    </row>
    <row r="2049" spans="1:18">
      <c r="A2049" s="3" t="s">
        <v>9232</v>
      </c>
      <c r="B2049" s="3" t="s">
        <v>9233</v>
      </c>
      <c r="C2049" s="3" t="s">
        <v>1819</v>
      </c>
      <c r="D2049" s="3"/>
      <c r="E2049" s="3" t="s">
        <v>6275</v>
      </c>
      <c r="F2049" s="3"/>
      <c r="G2049" s="3"/>
      <c r="H2049" s="3"/>
      <c r="I2049" s="3"/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/>
      <c r="P2049" s="3">
        <v>0</v>
      </c>
      <c r="Q2049" s="3">
        <v>0</v>
      </c>
      <c r="R2049" s="3">
        <v>0</v>
      </c>
    </row>
    <row r="2050" spans="1:18">
      <c r="A2050" s="3" t="s">
        <v>9234</v>
      </c>
      <c r="B2050" s="3" t="s">
        <v>9235</v>
      </c>
      <c r="C2050" s="3" t="s">
        <v>5929</v>
      </c>
      <c r="D2050" s="3"/>
      <c r="E2050" s="3" t="s">
        <v>6275</v>
      </c>
      <c r="F2050" s="3"/>
      <c r="G2050" s="3"/>
      <c r="H2050" s="3"/>
      <c r="I2050" s="3"/>
      <c r="J2050" s="3">
        <v>0</v>
      </c>
      <c r="K2050" s="3">
        <v>0</v>
      </c>
      <c r="L2050" s="3">
        <v>0</v>
      </c>
      <c r="M2050" s="3">
        <v>0</v>
      </c>
      <c r="N2050" s="3">
        <v>0</v>
      </c>
      <c r="O2050" s="3"/>
      <c r="P2050" s="3">
        <v>0</v>
      </c>
      <c r="Q2050" s="3">
        <v>0</v>
      </c>
      <c r="R2050" s="3">
        <v>0</v>
      </c>
    </row>
    <row r="2051" spans="1:18">
      <c r="A2051" s="3" t="s">
        <v>9236</v>
      </c>
      <c r="B2051" s="3" t="s">
        <v>9237</v>
      </c>
      <c r="C2051" s="3" t="s">
        <v>2761</v>
      </c>
      <c r="D2051" s="3"/>
      <c r="E2051" s="3" t="s">
        <v>6275</v>
      </c>
      <c r="F2051" s="3"/>
      <c r="G2051" s="3"/>
      <c r="H2051" s="3"/>
      <c r="I2051" s="3"/>
      <c r="J2051" s="3">
        <v>0</v>
      </c>
      <c r="K2051" s="3">
        <v>0</v>
      </c>
      <c r="L2051" s="3">
        <v>0</v>
      </c>
      <c r="M2051" s="3">
        <v>0</v>
      </c>
      <c r="N2051" s="3">
        <v>0</v>
      </c>
      <c r="O2051" s="3"/>
      <c r="P2051" s="3">
        <v>0</v>
      </c>
      <c r="Q2051" s="3">
        <v>0</v>
      </c>
      <c r="R2051" s="3">
        <v>0</v>
      </c>
    </row>
    <row r="2052" spans="1:18">
      <c r="A2052" s="3" t="s">
        <v>9238</v>
      </c>
      <c r="B2052" s="3" t="s">
        <v>9239</v>
      </c>
      <c r="C2052" s="3" t="s">
        <v>2772</v>
      </c>
      <c r="D2052" s="3"/>
      <c r="E2052" s="3" t="s">
        <v>6275</v>
      </c>
      <c r="F2052" s="3"/>
      <c r="G2052" s="3"/>
      <c r="H2052" s="3"/>
      <c r="I2052" s="3"/>
      <c r="J2052" s="3">
        <v>0</v>
      </c>
      <c r="K2052" s="3">
        <v>0</v>
      </c>
      <c r="L2052" s="3">
        <v>0</v>
      </c>
      <c r="M2052" s="3">
        <v>0</v>
      </c>
      <c r="N2052" s="3">
        <v>0</v>
      </c>
      <c r="O2052" s="3"/>
      <c r="P2052" s="3">
        <v>0</v>
      </c>
      <c r="Q2052" s="3">
        <v>0</v>
      </c>
      <c r="R2052" s="3">
        <v>0</v>
      </c>
    </row>
    <row r="2053" spans="1:18">
      <c r="A2053" s="3" t="s">
        <v>9240</v>
      </c>
      <c r="B2053" s="3" t="s">
        <v>9241</v>
      </c>
      <c r="C2053" s="3" t="s">
        <v>1981</v>
      </c>
      <c r="D2053" s="3"/>
      <c r="E2053" s="3" t="s">
        <v>6275</v>
      </c>
      <c r="F2053" s="3"/>
      <c r="G2053" s="3"/>
      <c r="H2053" s="3"/>
      <c r="I2053" s="3"/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/>
      <c r="P2053" s="3">
        <v>0</v>
      </c>
      <c r="Q2053" s="3">
        <v>0</v>
      </c>
      <c r="R2053" s="3">
        <v>0</v>
      </c>
    </row>
    <row r="2054" spans="1:18">
      <c r="A2054" s="3" t="s">
        <v>9242</v>
      </c>
      <c r="B2054" s="3" t="s">
        <v>9243</v>
      </c>
      <c r="C2054" s="3" t="s">
        <v>3711</v>
      </c>
      <c r="D2054" s="3"/>
      <c r="E2054" s="3" t="s">
        <v>6275</v>
      </c>
      <c r="F2054" s="3"/>
      <c r="G2054" s="3"/>
      <c r="H2054" s="3"/>
      <c r="I2054" s="3"/>
      <c r="J2054" s="3">
        <v>0</v>
      </c>
      <c r="K2054" s="3">
        <v>0</v>
      </c>
      <c r="L2054" s="3">
        <v>0</v>
      </c>
      <c r="M2054" s="3">
        <v>0</v>
      </c>
      <c r="N2054" s="3">
        <v>0</v>
      </c>
      <c r="O2054" s="3"/>
      <c r="P2054" s="3">
        <v>0</v>
      </c>
      <c r="Q2054" s="3">
        <v>0</v>
      </c>
      <c r="R2054" s="3">
        <v>0</v>
      </c>
    </row>
    <row r="2055" spans="1:18">
      <c r="A2055" s="3" t="s">
        <v>9244</v>
      </c>
      <c r="B2055" s="3" t="s">
        <v>9245</v>
      </c>
      <c r="C2055" s="3" t="s">
        <v>5935</v>
      </c>
      <c r="D2055" s="3"/>
      <c r="E2055" s="3" t="s">
        <v>6275</v>
      </c>
      <c r="F2055" s="3"/>
      <c r="G2055" s="3"/>
      <c r="H2055" s="3"/>
      <c r="I2055" s="3"/>
      <c r="J2055" s="3">
        <v>0</v>
      </c>
      <c r="K2055" s="3">
        <v>0</v>
      </c>
      <c r="L2055" s="3">
        <v>0</v>
      </c>
      <c r="M2055" s="3">
        <v>0</v>
      </c>
      <c r="N2055" s="3">
        <v>0</v>
      </c>
      <c r="O2055" s="3"/>
      <c r="P2055" s="3">
        <v>0</v>
      </c>
      <c r="Q2055" s="3">
        <v>0</v>
      </c>
      <c r="R2055" s="3">
        <v>0</v>
      </c>
    </row>
    <row r="2056" spans="1:18">
      <c r="A2056" s="3" t="s">
        <v>9246</v>
      </c>
      <c r="B2056" s="3" t="s">
        <v>9247</v>
      </c>
      <c r="C2056" s="3" t="s">
        <v>3085</v>
      </c>
      <c r="D2056" s="3"/>
      <c r="E2056" s="3" t="s">
        <v>6275</v>
      </c>
      <c r="F2056" s="3"/>
      <c r="G2056" s="3"/>
      <c r="H2056" s="3"/>
      <c r="I2056" s="3"/>
      <c r="J2056" s="3">
        <v>0</v>
      </c>
      <c r="K2056" s="3">
        <v>0</v>
      </c>
      <c r="L2056" s="3">
        <v>0</v>
      </c>
      <c r="M2056" s="3">
        <v>0</v>
      </c>
      <c r="N2056" s="3">
        <v>0</v>
      </c>
      <c r="O2056" s="3"/>
      <c r="P2056" s="3">
        <v>0</v>
      </c>
      <c r="Q2056" s="3">
        <v>0</v>
      </c>
      <c r="R2056" s="3">
        <v>0</v>
      </c>
    </row>
    <row r="2057" spans="1:18">
      <c r="A2057" s="3" t="s">
        <v>9248</v>
      </c>
      <c r="B2057" s="3" t="s">
        <v>9249</v>
      </c>
      <c r="C2057" s="3" t="s">
        <v>3718</v>
      </c>
      <c r="D2057" s="3"/>
      <c r="E2057" s="3" t="s">
        <v>6275</v>
      </c>
      <c r="F2057" s="3"/>
      <c r="G2057" s="3"/>
      <c r="H2057" s="3"/>
      <c r="I2057" s="3"/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/>
      <c r="P2057" s="3">
        <v>0</v>
      </c>
      <c r="Q2057" s="3">
        <v>0</v>
      </c>
      <c r="R2057" s="3">
        <v>0</v>
      </c>
    </row>
    <row r="2058" spans="1:18">
      <c r="A2058" s="3" t="s">
        <v>9250</v>
      </c>
      <c r="B2058" s="3" t="s">
        <v>9251</v>
      </c>
      <c r="C2058" s="3" t="s">
        <v>4153</v>
      </c>
      <c r="D2058" s="3"/>
      <c r="E2058" s="3" t="s">
        <v>6275</v>
      </c>
      <c r="F2058" s="3"/>
      <c r="G2058" s="3"/>
      <c r="H2058" s="3"/>
      <c r="I2058" s="3"/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/>
      <c r="P2058" s="3">
        <v>0</v>
      </c>
      <c r="Q2058" s="3">
        <v>0</v>
      </c>
      <c r="R2058" s="3">
        <v>0</v>
      </c>
    </row>
    <row r="2059" spans="1:18">
      <c r="A2059" s="3" t="s">
        <v>9252</v>
      </c>
      <c r="B2059" s="3" t="s">
        <v>9253</v>
      </c>
      <c r="C2059" s="3" t="s">
        <v>5416</v>
      </c>
      <c r="D2059" s="3"/>
      <c r="E2059" s="3" t="s">
        <v>6275</v>
      </c>
      <c r="F2059" s="3"/>
      <c r="G2059" s="3"/>
      <c r="H2059" s="3"/>
      <c r="I2059" s="3"/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/>
      <c r="P2059" s="3">
        <v>0</v>
      </c>
      <c r="Q2059" s="3">
        <v>0</v>
      </c>
      <c r="R2059" s="3">
        <v>0</v>
      </c>
    </row>
    <row r="2060" spans="1:18">
      <c r="A2060" s="3" t="s">
        <v>9254</v>
      </c>
      <c r="B2060" s="3" t="s">
        <v>9255</v>
      </c>
      <c r="C2060" s="3" t="s">
        <v>4461</v>
      </c>
      <c r="D2060" s="3"/>
      <c r="E2060" s="3" t="s">
        <v>6275</v>
      </c>
      <c r="F2060" s="3"/>
      <c r="G2060" s="3"/>
      <c r="H2060" s="3"/>
      <c r="I2060" s="3"/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/>
      <c r="P2060" s="3">
        <v>0</v>
      </c>
      <c r="Q2060" s="3">
        <v>0</v>
      </c>
      <c r="R2060" s="3">
        <v>0</v>
      </c>
    </row>
    <row r="2061" spans="1:18">
      <c r="A2061" s="3" t="s">
        <v>9256</v>
      </c>
      <c r="B2061" s="3" t="s">
        <v>9257</v>
      </c>
      <c r="C2061" s="3" t="s">
        <v>3096</v>
      </c>
      <c r="D2061" s="3"/>
      <c r="E2061" s="3" t="s">
        <v>6275</v>
      </c>
      <c r="F2061" s="3"/>
      <c r="G2061" s="3"/>
      <c r="H2061" s="3"/>
      <c r="I2061" s="3"/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/>
      <c r="P2061" s="3">
        <v>0</v>
      </c>
      <c r="Q2061" s="3">
        <v>0</v>
      </c>
      <c r="R2061" s="3">
        <v>0</v>
      </c>
    </row>
    <row r="2062" spans="1:18">
      <c r="A2062" s="3" t="s">
        <v>9258</v>
      </c>
      <c r="B2062" s="3" t="s">
        <v>9259</v>
      </c>
      <c r="C2062" s="3" t="s">
        <v>4609</v>
      </c>
      <c r="D2062" s="3"/>
      <c r="E2062" s="3" t="s">
        <v>6275</v>
      </c>
      <c r="F2062" s="3"/>
      <c r="G2062" s="3"/>
      <c r="H2062" s="3"/>
      <c r="I2062" s="3"/>
      <c r="J2062" s="3">
        <v>0</v>
      </c>
      <c r="K2062" s="3">
        <v>0</v>
      </c>
      <c r="L2062" s="3">
        <v>0</v>
      </c>
      <c r="M2062" s="3">
        <v>0</v>
      </c>
      <c r="N2062" s="3">
        <v>0</v>
      </c>
      <c r="O2062" s="3"/>
      <c r="P2062" s="3">
        <v>0</v>
      </c>
      <c r="Q2062" s="3">
        <v>0</v>
      </c>
      <c r="R2062" s="3">
        <v>0</v>
      </c>
    </row>
    <row r="2063" spans="1:18">
      <c r="A2063" s="3" t="s">
        <v>9260</v>
      </c>
      <c r="B2063" s="3" t="s">
        <v>9261</v>
      </c>
      <c r="C2063" s="3" t="s">
        <v>4799</v>
      </c>
      <c r="D2063" s="3"/>
      <c r="E2063" s="3" t="s">
        <v>6275</v>
      </c>
      <c r="F2063" s="3"/>
      <c r="G2063" s="3"/>
      <c r="H2063" s="3"/>
      <c r="I2063" s="3"/>
      <c r="J2063" s="3">
        <v>0</v>
      </c>
      <c r="K2063" s="3">
        <v>0</v>
      </c>
      <c r="L2063" s="3">
        <v>0</v>
      </c>
      <c r="M2063" s="3">
        <v>0</v>
      </c>
      <c r="N2063" s="3">
        <v>0</v>
      </c>
      <c r="O2063" s="3"/>
      <c r="P2063" s="3">
        <v>0</v>
      </c>
      <c r="Q2063" s="3">
        <v>0</v>
      </c>
      <c r="R2063" s="3">
        <v>0</v>
      </c>
    </row>
    <row r="2064" spans="1:18">
      <c r="A2064" s="3" t="s">
        <v>9262</v>
      </c>
      <c r="B2064" s="3" t="s">
        <v>9263</v>
      </c>
      <c r="C2064" s="3" t="s">
        <v>2536</v>
      </c>
      <c r="D2064" s="3"/>
      <c r="E2064" s="3" t="s">
        <v>6275</v>
      </c>
      <c r="F2064" s="3"/>
      <c r="G2064" s="3"/>
      <c r="H2064" s="3"/>
      <c r="I2064" s="3"/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/>
      <c r="P2064" s="3">
        <v>0</v>
      </c>
      <c r="Q2064" s="3">
        <v>0</v>
      </c>
      <c r="R2064" s="3">
        <v>0</v>
      </c>
    </row>
    <row r="2065" spans="1:18">
      <c r="A2065" s="3" t="s">
        <v>9264</v>
      </c>
      <c r="B2065" s="3" t="s">
        <v>9265</v>
      </c>
      <c r="C2065" s="3" t="s">
        <v>5059</v>
      </c>
      <c r="D2065" s="3"/>
      <c r="E2065" s="3" t="s">
        <v>6275</v>
      </c>
      <c r="F2065" s="3"/>
      <c r="G2065" s="3"/>
      <c r="H2065" s="3"/>
      <c r="I2065" s="3"/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/>
      <c r="P2065" s="3">
        <v>0</v>
      </c>
      <c r="Q2065" s="3">
        <v>0</v>
      </c>
      <c r="R2065" s="3">
        <v>0</v>
      </c>
    </row>
    <row r="2066" spans="1:18">
      <c r="A2066" s="3" t="s">
        <v>9266</v>
      </c>
      <c r="B2066" s="3" t="s">
        <v>9267</v>
      </c>
      <c r="C2066" s="3" t="s">
        <v>2589</v>
      </c>
      <c r="D2066" s="3"/>
      <c r="E2066" s="3" t="s">
        <v>6275</v>
      </c>
      <c r="F2066" s="3"/>
      <c r="G2066" s="3"/>
      <c r="H2066" s="3"/>
      <c r="I2066" s="3"/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/>
      <c r="P2066" s="3">
        <v>0</v>
      </c>
      <c r="Q2066" s="3">
        <v>0</v>
      </c>
      <c r="R2066" s="3">
        <v>0</v>
      </c>
    </row>
    <row r="2067" spans="1:18">
      <c r="A2067" s="3" t="s">
        <v>9268</v>
      </c>
      <c r="B2067" s="3" t="s">
        <v>9269</v>
      </c>
      <c r="C2067" s="3" t="s">
        <v>4179</v>
      </c>
      <c r="D2067" s="3"/>
      <c r="E2067" s="3" t="s">
        <v>6275</v>
      </c>
      <c r="F2067" s="3"/>
      <c r="G2067" s="3"/>
      <c r="H2067" s="3"/>
      <c r="I2067" s="3"/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/>
      <c r="P2067" s="3">
        <v>0</v>
      </c>
      <c r="Q2067" s="3">
        <v>0</v>
      </c>
      <c r="R2067" s="3">
        <v>0</v>
      </c>
    </row>
    <row r="2068" spans="1:18">
      <c r="A2068" s="3" t="s">
        <v>9270</v>
      </c>
      <c r="B2068" s="3" t="s">
        <v>9271</v>
      </c>
      <c r="C2068" s="3" t="s">
        <v>2596</v>
      </c>
      <c r="D2068" s="3"/>
      <c r="E2068" s="3" t="s">
        <v>6275</v>
      </c>
      <c r="F2068" s="3"/>
      <c r="G2068" s="3"/>
      <c r="H2068" s="3"/>
      <c r="I2068" s="3"/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/>
      <c r="P2068" s="3">
        <v>0</v>
      </c>
      <c r="Q2068" s="3">
        <v>0</v>
      </c>
      <c r="R2068" s="3">
        <v>0</v>
      </c>
    </row>
    <row r="2069" spans="1:18">
      <c r="A2069" s="3" t="s">
        <v>9272</v>
      </c>
      <c r="B2069" s="3" t="s">
        <v>9273</v>
      </c>
      <c r="C2069" s="3" t="s">
        <v>3269</v>
      </c>
      <c r="D2069" s="3"/>
      <c r="E2069" s="3" t="s">
        <v>6275</v>
      </c>
      <c r="F2069" s="3"/>
      <c r="G2069" s="3"/>
      <c r="H2069" s="3"/>
      <c r="I2069" s="3"/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/>
      <c r="P2069" s="3">
        <v>0</v>
      </c>
      <c r="Q2069" s="3">
        <v>0</v>
      </c>
      <c r="R2069" s="3">
        <v>0</v>
      </c>
    </row>
    <row r="2070" spans="1:18">
      <c r="A2070" s="3" t="s">
        <v>9274</v>
      </c>
      <c r="B2070" s="3" t="s">
        <v>9275</v>
      </c>
      <c r="C2070" s="3" t="s">
        <v>2220</v>
      </c>
      <c r="D2070" s="3"/>
      <c r="E2070" s="3" t="s">
        <v>6275</v>
      </c>
      <c r="F2070" s="3"/>
      <c r="G2070" s="3"/>
      <c r="H2070" s="3"/>
      <c r="I2070" s="3"/>
      <c r="J2070" s="3">
        <v>0</v>
      </c>
      <c r="K2070" s="3">
        <v>0</v>
      </c>
      <c r="L2070" s="3">
        <v>0</v>
      </c>
      <c r="M2070" s="3">
        <v>0</v>
      </c>
      <c r="N2070" s="3">
        <v>0</v>
      </c>
      <c r="O2070" s="3"/>
      <c r="P2070" s="3">
        <v>0</v>
      </c>
      <c r="Q2070" s="3">
        <v>0</v>
      </c>
      <c r="R2070" s="3">
        <v>0</v>
      </c>
    </row>
    <row r="2071" spans="1:18">
      <c r="A2071" s="3" t="s">
        <v>9276</v>
      </c>
      <c r="B2071" s="3" t="s">
        <v>9277</v>
      </c>
      <c r="C2071" s="3" t="s">
        <v>6017</v>
      </c>
      <c r="D2071" s="3"/>
      <c r="E2071" s="3" t="s">
        <v>6275</v>
      </c>
      <c r="F2071" s="3"/>
      <c r="G2071" s="3"/>
      <c r="H2071" s="3"/>
      <c r="I2071" s="3"/>
      <c r="J2071" s="3">
        <v>0</v>
      </c>
      <c r="K2071" s="3">
        <v>0</v>
      </c>
      <c r="L2071" s="3">
        <v>0</v>
      </c>
      <c r="M2071" s="3">
        <v>0</v>
      </c>
      <c r="N2071" s="3">
        <v>0</v>
      </c>
      <c r="O2071" s="3"/>
      <c r="P2071" s="3">
        <v>0</v>
      </c>
      <c r="Q2071" s="3">
        <v>0</v>
      </c>
      <c r="R2071" s="3">
        <v>0</v>
      </c>
    </row>
    <row r="2072" spans="1:18">
      <c r="A2072" s="3" t="s">
        <v>9278</v>
      </c>
      <c r="B2072" s="3" t="s">
        <v>9279</v>
      </c>
      <c r="C2072" s="3" t="s">
        <v>1773</v>
      </c>
      <c r="D2072" s="3"/>
      <c r="E2072" s="3" t="s">
        <v>6275</v>
      </c>
      <c r="F2072" s="3"/>
      <c r="G2072" s="3"/>
      <c r="H2072" s="3"/>
      <c r="I2072" s="3"/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/>
      <c r="P2072" s="3">
        <v>0</v>
      </c>
      <c r="Q2072" s="3">
        <v>0</v>
      </c>
      <c r="R2072" s="3">
        <v>0</v>
      </c>
    </row>
    <row r="2073" spans="1:18">
      <c r="A2073" s="3" t="s">
        <v>9280</v>
      </c>
      <c r="B2073" s="3" t="s">
        <v>9281</v>
      </c>
      <c r="C2073" s="3" t="s">
        <v>3261</v>
      </c>
      <c r="D2073" s="3"/>
      <c r="E2073" s="3" t="s">
        <v>6275</v>
      </c>
      <c r="F2073" s="3"/>
      <c r="G2073" s="3"/>
      <c r="H2073" s="3"/>
      <c r="I2073" s="3"/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/>
      <c r="P2073" s="3">
        <v>0</v>
      </c>
      <c r="Q2073" s="3">
        <v>0</v>
      </c>
      <c r="R2073" s="3">
        <v>0</v>
      </c>
    </row>
    <row r="2074" spans="1:18">
      <c r="A2074" s="3" t="s">
        <v>9282</v>
      </c>
      <c r="B2074" s="3" t="s">
        <v>9283</v>
      </c>
      <c r="C2074" s="3" t="s">
        <v>3912</v>
      </c>
      <c r="D2074" s="3"/>
      <c r="E2074" s="3" t="s">
        <v>6275</v>
      </c>
      <c r="F2074" s="3"/>
      <c r="G2074" s="3"/>
      <c r="H2074" s="3"/>
      <c r="I2074" s="3"/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/>
      <c r="P2074" s="3">
        <v>0</v>
      </c>
      <c r="Q2074" s="3">
        <v>0</v>
      </c>
      <c r="R2074" s="3">
        <v>0</v>
      </c>
    </row>
    <row r="2075" spans="1:18">
      <c r="A2075" s="3" t="s">
        <v>9284</v>
      </c>
      <c r="B2075" s="3" t="s">
        <v>9285</v>
      </c>
      <c r="C2075" s="3" t="s">
        <v>9286</v>
      </c>
      <c r="D2075" s="3"/>
      <c r="E2075" s="3" t="s">
        <v>6275</v>
      </c>
      <c r="F2075" s="3"/>
      <c r="G2075" s="3"/>
      <c r="H2075" s="3"/>
      <c r="I2075" s="3"/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/>
      <c r="P2075" s="3">
        <v>0</v>
      </c>
      <c r="Q2075" s="3">
        <v>0</v>
      </c>
      <c r="R2075" s="3">
        <v>0</v>
      </c>
    </row>
    <row r="2076" spans="1:18">
      <c r="A2076" s="3" t="s">
        <v>9287</v>
      </c>
      <c r="B2076" s="3" t="s">
        <v>9288</v>
      </c>
      <c r="C2076" s="3" t="s">
        <v>9289</v>
      </c>
      <c r="D2076" s="3"/>
      <c r="E2076" s="3" t="s">
        <v>6275</v>
      </c>
      <c r="F2076" s="3"/>
      <c r="G2076" s="3"/>
      <c r="H2076" s="3"/>
      <c r="I2076" s="3"/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/>
      <c r="P2076" s="3">
        <v>0</v>
      </c>
      <c r="Q2076" s="3">
        <v>0</v>
      </c>
      <c r="R2076" s="3">
        <v>0</v>
      </c>
    </row>
    <row r="2077" spans="1:18">
      <c r="A2077" s="3" t="s">
        <v>9290</v>
      </c>
      <c r="B2077" s="3" t="s">
        <v>9291</v>
      </c>
      <c r="C2077" s="3" t="s">
        <v>9292</v>
      </c>
      <c r="D2077" s="3"/>
      <c r="E2077" s="3" t="s">
        <v>6275</v>
      </c>
      <c r="F2077" s="3"/>
      <c r="G2077" s="3"/>
      <c r="H2077" s="3"/>
      <c r="I2077" s="3"/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/>
      <c r="P2077" s="3">
        <v>0</v>
      </c>
      <c r="Q2077" s="3">
        <v>0</v>
      </c>
      <c r="R2077" s="3">
        <v>0</v>
      </c>
    </row>
    <row r="2078" spans="1:18">
      <c r="A2078" s="3" t="s">
        <v>9293</v>
      </c>
      <c r="B2078" s="3" t="s">
        <v>9294</v>
      </c>
      <c r="C2078" s="3" t="s">
        <v>9295</v>
      </c>
      <c r="D2078" s="3"/>
      <c r="E2078" s="3" t="s">
        <v>6275</v>
      </c>
      <c r="F2078" s="3"/>
      <c r="G2078" s="3"/>
      <c r="H2078" s="3"/>
      <c r="I2078" s="3"/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/>
      <c r="P2078" s="3">
        <v>0</v>
      </c>
      <c r="Q2078" s="3">
        <v>0</v>
      </c>
      <c r="R2078" s="3">
        <v>0</v>
      </c>
    </row>
    <row r="2079" spans="1:18">
      <c r="A2079" s="3" t="s">
        <v>9296</v>
      </c>
      <c r="B2079" s="3" t="s">
        <v>9297</v>
      </c>
      <c r="C2079" s="3" t="s">
        <v>9298</v>
      </c>
      <c r="D2079" s="3"/>
      <c r="E2079" s="3" t="s">
        <v>6275</v>
      </c>
      <c r="F2079" s="3"/>
      <c r="G2079" s="3"/>
      <c r="H2079" s="3"/>
      <c r="I2079" s="3"/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/>
      <c r="P2079" s="3">
        <v>0</v>
      </c>
      <c r="Q2079" s="3">
        <v>0</v>
      </c>
      <c r="R2079" s="3">
        <v>0</v>
      </c>
    </row>
    <row r="2080" spans="1:18">
      <c r="A2080" s="3" t="s">
        <v>9299</v>
      </c>
      <c r="B2080" s="3" t="s">
        <v>9300</v>
      </c>
      <c r="C2080" s="3" t="s">
        <v>2259</v>
      </c>
      <c r="D2080" s="3"/>
      <c r="E2080" s="3" t="s">
        <v>6275</v>
      </c>
      <c r="F2080" s="3"/>
      <c r="G2080" s="3"/>
      <c r="H2080" s="3"/>
      <c r="I2080" s="3"/>
      <c r="J2080" s="3">
        <v>0</v>
      </c>
      <c r="K2080" s="3">
        <v>0</v>
      </c>
      <c r="L2080" s="3">
        <v>0</v>
      </c>
      <c r="M2080" s="3">
        <v>0</v>
      </c>
      <c r="N2080" s="3">
        <v>0</v>
      </c>
      <c r="O2080" s="3"/>
      <c r="P2080" s="3">
        <v>0</v>
      </c>
      <c r="Q2080" s="3">
        <v>0</v>
      </c>
      <c r="R2080" s="3">
        <v>0</v>
      </c>
    </row>
    <row r="2081" spans="1:18">
      <c r="A2081" s="3" t="s">
        <v>9301</v>
      </c>
      <c r="B2081" s="3" t="s">
        <v>9302</v>
      </c>
      <c r="C2081" s="3" t="s">
        <v>3323</v>
      </c>
      <c r="D2081" s="3"/>
      <c r="E2081" s="3" t="s">
        <v>6275</v>
      </c>
      <c r="F2081" s="3"/>
      <c r="G2081" s="3"/>
      <c r="H2081" s="3"/>
      <c r="I2081" s="3"/>
      <c r="J2081" s="3">
        <v>0</v>
      </c>
      <c r="K2081" s="3">
        <v>0</v>
      </c>
      <c r="L2081" s="3">
        <v>0</v>
      </c>
      <c r="M2081" s="3">
        <v>0</v>
      </c>
      <c r="N2081" s="3">
        <v>0</v>
      </c>
      <c r="O2081" s="3"/>
      <c r="P2081" s="3">
        <v>0</v>
      </c>
      <c r="Q2081" s="3">
        <v>0</v>
      </c>
      <c r="R2081" s="3">
        <v>0</v>
      </c>
    </row>
    <row r="2082" spans="1:18">
      <c r="A2082" s="3" t="s">
        <v>9303</v>
      </c>
      <c r="B2082" s="3" t="s">
        <v>9304</v>
      </c>
      <c r="C2082" s="3" t="s">
        <v>4554</v>
      </c>
      <c r="D2082" s="3"/>
      <c r="E2082" s="3" t="s">
        <v>6275</v>
      </c>
      <c r="F2082" s="3"/>
      <c r="G2082" s="3"/>
      <c r="H2082" s="3"/>
      <c r="I2082" s="3"/>
      <c r="J2082" s="3">
        <v>0</v>
      </c>
      <c r="K2082" s="3">
        <v>0</v>
      </c>
      <c r="L2082" s="3">
        <v>0</v>
      </c>
      <c r="M2082" s="3">
        <v>0</v>
      </c>
      <c r="N2082" s="3">
        <v>0</v>
      </c>
      <c r="O2082" s="3"/>
      <c r="P2082" s="3">
        <v>0</v>
      </c>
      <c r="Q2082" s="3">
        <v>0</v>
      </c>
      <c r="R2082" s="3">
        <v>0</v>
      </c>
    </row>
    <row r="2083" spans="1:18">
      <c r="A2083" s="3" t="s">
        <v>9305</v>
      </c>
      <c r="B2083" s="3" t="s">
        <v>9306</v>
      </c>
      <c r="C2083" s="3" t="s">
        <v>2650</v>
      </c>
      <c r="D2083" s="3"/>
      <c r="E2083" s="3" t="s">
        <v>6275</v>
      </c>
      <c r="F2083" s="3"/>
      <c r="G2083" s="3"/>
      <c r="H2083" s="3"/>
      <c r="I2083" s="3"/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/>
      <c r="P2083" s="3">
        <v>0</v>
      </c>
      <c r="Q2083" s="3">
        <v>0</v>
      </c>
      <c r="R2083" s="3">
        <v>0</v>
      </c>
    </row>
    <row r="2084" spans="1:18">
      <c r="A2084" s="3" t="s">
        <v>9307</v>
      </c>
      <c r="B2084" s="3" t="s">
        <v>9308</v>
      </c>
      <c r="C2084" s="3" t="s">
        <v>2153</v>
      </c>
      <c r="D2084" s="3"/>
      <c r="E2084" s="3" t="s">
        <v>6275</v>
      </c>
      <c r="F2084" s="3"/>
      <c r="G2084" s="3"/>
      <c r="H2084" s="3"/>
      <c r="I2084" s="3"/>
      <c r="J2084" s="3">
        <v>0</v>
      </c>
      <c r="K2084" s="3">
        <v>0</v>
      </c>
      <c r="L2084" s="3">
        <v>0</v>
      </c>
      <c r="M2084" s="3">
        <v>0</v>
      </c>
      <c r="N2084" s="3">
        <v>0</v>
      </c>
      <c r="O2084" s="3"/>
      <c r="P2084" s="3">
        <v>0</v>
      </c>
      <c r="Q2084" s="3">
        <v>0</v>
      </c>
      <c r="R2084" s="3">
        <v>0</v>
      </c>
    </row>
    <row r="2085" spans="1:18">
      <c r="A2085" s="3" t="s">
        <v>9309</v>
      </c>
      <c r="B2085" s="3" t="s">
        <v>9310</v>
      </c>
      <c r="C2085" s="3" t="s">
        <v>9311</v>
      </c>
      <c r="D2085" s="3"/>
      <c r="E2085" s="3" t="s">
        <v>6275</v>
      </c>
      <c r="F2085" s="3"/>
      <c r="G2085" s="3"/>
      <c r="H2085" s="3"/>
      <c r="I2085" s="3"/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/>
      <c r="P2085" s="3">
        <v>0</v>
      </c>
      <c r="Q2085" s="3">
        <v>0</v>
      </c>
      <c r="R2085" s="3">
        <v>0</v>
      </c>
    </row>
    <row r="2086" spans="1:18">
      <c r="A2086" s="3" t="s">
        <v>9312</v>
      </c>
      <c r="B2086" s="3" t="s">
        <v>9313</v>
      </c>
      <c r="C2086" s="3" t="s">
        <v>9314</v>
      </c>
      <c r="D2086" s="3"/>
      <c r="E2086" s="3" t="s">
        <v>6275</v>
      </c>
      <c r="F2086" s="3"/>
      <c r="G2086" s="3"/>
      <c r="H2086" s="3"/>
      <c r="I2086" s="3"/>
      <c r="J2086" s="3">
        <v>0</v>
      </c>
      <c r="K2086" s="3">
        <v>0</v>
      </c>
      <c r="L2086" s="3">
        <v>0</v>
      </c>
      <c r="M2086" s="3">
        <v>0</v>
      </c>
      <c r="N2086" s="3">
        <v>0</v>
      </c>
      <c r="O2086" s="3"/>
      <c r="P2086" s="3">
        <v>0</v>
      </c>
      <c r="Q2086" s="3">
        <v>0</v>
      </c>
      <c r="R2086" s="3">
        <v>0</v>
      </c>
    </row>
    <row r="2087" spans="1:18">
      <c r="A2087" s="3" t="s">
        <v>9315</v>
      </c>
      <c r="B2087" s="3" t="s">
        <v>9316</v>
      </c>
      <c r="C2087" s="3" t="s">
        <v>9317</v>
      </c>
      <c r="D2087" s="3"/>
      <c r="E2087" s="3" t="s">
        <v>6275</v>
      </c>
      <c r="F2087" s="3"/>
      <c r="G2087" s="3"/>
      <c r="H2087" s="3"/>
      <c r="I2087" s="3"/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/>
      <c r="P2087" s="3">
        <v>0</v>
      </c>
      <c r="Q2087" s="3">
        <v>0</v>
      </c>
      <c r="R2087" s="3">
        <v>0</v>
      </c>
    </row>
    <row r="2088" spans="1:18">
      <c r="A2088" s="3" t="s">
        <v>9318</v>
      </c>
      <c r="B2088" s="3" t="s">
        <v>9319</v>
      </c>
      <c r="C2088" s="3" t="s">
        <v>9320</v>
      </c>
      <c r="D2088" s="3"/>
      <c r="E2088" s="3" t="s">
        <v>6275</v>
      </c>
      <c r="F2088" s="3"/>
      <c r="G2088" s="3"/>
      <c r="H2088" s="3"/>
      <c r="I2088" s="3"/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/>
      <c r="P2088" s="3">
        <v>0</v>
      </c>
      <c r="Q2088" s="3">
        <v>0</v>
      </c>
      <c r="R2088" s="3">
        <v>0</v>
      </c>
    </row>
    <row r="2089" spans="1:18">
      <c r="A2089" s="3" t="s">
        <v>9321</v>
      </c>
      <c r="B2089" s="3" t="s">
        <v>9322</v>
      </c>
      <c r="C2089" s="3" t="s">
        <v>9323</v>
      </c>
      <c r="D2089" s="3"/>
      <c r="E2089" s="3" t="s">
        <v>6275</v>
      </c>
      <c r="F2089" s="3"/>
      <c r="G2089" s="3"/>
      <c r="H2089" s="3"/>
      <c r="I2089" s="3"/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/>
      <c r="P2089" s="3">
        <v>0</v>
      </c>
      <c r="Q2089" s="3">
        <v>0</v>
      </c>
      <c r="R2089" s="3">
        <v>0</v>
      </c>
    </row>
    <row r="2090" spans="1:18">
      <c r="A2090" s="3" t="s">
        <v>9324</v>
      </c>
      <c r="B2090" s="3" t="s">
        <v>9325</v>
      </c>
      <c r="C2090" s="3" t="s">
        <v>2294</v>
      </c>
      <c r="D2090" s="3"/>
      <c r="E2090" s="3" t="s">
        <v>6275</v>
      </c>
      <c r="F2090" s="3"/>
      <c r="G2090" s="3"/>
      <c r="H2090" s="3"/>
      <c r="I2090" s="3"/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/>
      <c r="P2090" s="3">
        <v>0</v>
      </c>
      <c r="Q2090" s="3">
        <v>0</v>
      </c>
      <c r="R2090" s="3">
        <v>0</v>
      </c>
    </row>
    <row r="2091" spans="1:18">
      <c r="A2091" s="3" t="s">
        <v>9326</v>
      </c>
      <c r="B2091" s="3" t="s">
        <v>9327</v>
      </c>
      <c r="C2091" s="3" t="s">
        <v>9328</v>
      </c>
      <c r="D2091" s="3"/>
      <c r="E2091" s="3" t="s">
        <v>6275</v>
      </c>
      <c r="F2091" s="3"/>
      <c r="G2091" s="3"/>
      <c r="H2091" s="3"/>
      <c r="I2091" s="3"/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/>
      <c r="P2091" s="3">
        <v>0</v>
      </c>
      <c r="Q2091" s="3">
        <v>0</v>
      </c>
      <c r="R2091" s="3">
        <v>0</v>
      </c>
    </row>
    <row r="2092" spans="1:18">
      <c r="A2092" s="3" t="s">
        <v>9329</v>
      </c>
      <c r="B2092" s="3" t="s">
        <v>9330</v>
      </c>
      <c r="C2092" s="3" t="s">
        <v>5715</v>
      </c>
      <c r="D2092" s="3"/>
      <c r="E2092" s="3" t="s">
        <v>6275</v>
      </c>
      <c r="F2092" s="3"/>
      <c r="G2092" s="3"/>
      <c r="H2092" s="3"/>
      <c r="I2092" s="3"/>
      <c r="J2092" s="3">
        <v>0</v>
      </c>
      <c r="K2092" s="3">
        <v>0</v>
      </c>
      <c r="L2092" s="3">
        <v>0</v>
      </c>
      <c r="M2092" s="3">
        <v>0</v>
      </c>
      <c r="N2092" s="3">
        <v>0</v>
      </c>
      <c r="O2092" s="3"/>
      <c r="P2092" s="3">
        <v>0</v>
      </c>
      <c r="Q2092" s="3">
        <v>0</v>
      </c>
      <c r="R2092" s="3">
        <v>0</v>
      </c>
    </row>
    <row r="2093" spans="1:18">
      <c r="A2093" s="3" t="s">
        <v>9331</v>
      </c>
      <c r="B2093" s="3" t="s">
        <v>9332</v>
      </c>
      <c r="C2093" s="3" t="s">
        <v>4187</v>
      </c>
      <c r="D2093" s="3"/>
      <c r="E2093" s="3" t="s">
        <v>6275</v>
      </c>
      <c r="F2093" s="3"/>
      <c r="G2093" s="3"/>
      <c r="H2093" s="3"/>
      <c r="I2093" s="3"/>
      <c r="J2093" s="3">
        <v>0</v>
      </c>
      <c r="K2093" s="3">
        <v>0</v>
      </c>
      <c r="L2093" s="3">
        <v>0</v>
      </c>
      <c r="M2093" s="3">
        <v>0</v>
      </c>
      <c r="N2093" s="3">
        <v>0</v>
      </c>
      <c r="O2093" s="3"/>
      <c r="P2093" s="3">
        <v>0</v>
      </c>
      <c r="Q2093" s="3">
        <v>0</v>
      </c>
      <c r="R2093" s="3">
        <v>0</v>
      </c>
    </row>
    <row r="2094" spans="1:18">
      <c r="A2094" s="3" t="s">
        <v>9333</v>
      </c>
      <c r="B2094" s="3" t="s">
        <v>9334</v>
      </c>
      <c r="C2094" s="3" t="s">
        <v>3460</v>
      </c>
      <c r="D2094" s="3"/>
      <c r="E2094" s="3" t="s">
        <v>6275</v>
      </c>
      <c r="F2094" s="3"/>
      <c r="G2094" s="3"/>
      <c r="H2094" s="3"/>
      <c r="I2094" s="3"/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/>
      <c r="P2094" s="3">
        <v>0</v>
      </c>
      <c r="Q2094" s="3">
        <v>0</v>
      </c>
      <c r="R2094" s="3">
        <v>0</v>
      </c>
    </row>
    <row r="2095" spans="1:18">
      <c r="A2095" s="3" t="s">
        <v>9335</v>
      </c>
      <c r="B2095" s="3" t="s">
        <v>9336</v>
      </c>
      <c r="C2095" s="3" t="s">
        <v>5198</v>
      </c>
      <c r="D2095" s="3"/>
      <c r="E2095" s="3" t="s">
        <v>6275</v>
      </c>
      <c r="F2095" s="3"/>
      <c r="G2095" s="3"/>
      <c r="H2095" s="3"/>
      <c r="I2095" s="3"/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/>
      <c r="P2095" s="3">
        <v>0</v>
      </c>
      <c r="Q2095" s="3">
        <v>0</v>
      </c>
      <c r="R2095" s="3">
        <v>0</v>
      </c>
    </row>
    <row r="2096" spans="1:18">
      <c r="A2096" s="3" t="s">
        <v>9337</v>
      </c>
      <c r="B2096" s="3" t="s">
        <v>9338</v>
      </c>
      <c r="C2096" s="3" t="s">
        <v>9339</v>
      </c>
      <c r="D2096" s="3"/>
      <c r="E2096" s="3" t="s">
        <v>6275</v>
      </c>
      <c r="F2096" s="3"/>
      <c r="G2096" s="3"/>
      <c r="H2096" s="3"/>
      <c r="I2096" s="3"/>
      <c r="J2096" s="3">
        <v>0</v>
      </c>
      <c r="K2096" s="3">
        <v>0</v>
      </c>
      <c r="L2096" s="3">
        <v>0</v>
      </c>
      <c r="M2096" s="3">
        <v>0</v>
      </c>
      <c r="N2096" s="3">
        <v>0</v>
      </c>
      <c r="O2096" s="3"/>
      <c r="P2096" s="3">
        <v>0</v>
      </c>
      <c r="Q2096" s="3">
        <v>0</v>
      </c>
      <c r="R2096" s="3">
        <v>0</v>
      </c>
    </row>
    <row r="2097" spans="1:18">
      <c r="A2097" s="3" t="s">
        <v>9340</v>
      </c>
      <c r="B2097" s="3" t="s">
        <v>9341</v>
      </c>
      <c r="C2097" s="3" t="s">
        <v>2393</v>
      </c>
      <c r="D2097" s="3"/>
      <c r="E2097" s="3" t="s">
        <v>6275</v>
      </c>
      <c r="F2097" s="3"/>
      <c r="G2097" s="3"/>
      <c r="H2097" s="3"/>
      <c r="I2097" s="3"/>
      <c r="J2097" s="3">
        <v>0</v>
      </c>
      <c r="K2097" s="3">
        <v>0</v>
      </c>
      <c r="L2097" s="3">
        <v>0</v>
      </c>
      <c r="M2097" s="3">
        <v>0</v>
      </c>
      <c r="N2097" s="3">
        <v>0</v>
      </c>
      <c r="O2097" s="3"/>
      <c r="P2097" s="3">
        <v>0</v>
      </c>
      <c r="Q2097" s="3">
        <v>0</v>
      </c>
      <c r="R2097" s="3">
        <v>0</v>
      </c>
    </row>
    <row r="2098" spans="1:18">
      <c r="A2098" s="3" t="s">
        <v>9342</v>
      </c>
      <c r="B2098" s="3" t="s">
        <v>9343</v>
      </c>
      <c r="C2098" s="3" t="s">
        <v>3924</v>
      </c>
      <c r="D2098" s="3"/>
      <c r="E2098" s="3" t="s">
        <v>6275</v>
      </c>
      <c r="F2098" s="3"/>
      <c r="G2098" s="3"/>
      <c r="H2098" s="3"/>
      <c r="I2098" s="3"/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/>
      <c r="P2098" s="3">
        <v>0</v>
      </c>
      <c r="Q2098" s="3">
        <v>0</v>
      </c>
      <c r="R2098" s="3">
        <v>0</v>
      </c>
    </row>
    <row r="2099" spans="1:18">
      <c r="A2099" s="3" t="s">
        <v>9344</v>
      </c>
      <c r="B2099" s="3" t="s">
        <v>9345</v>
      </c>
      <c r="C2099" s="3" t="s">
        <v>5756</v>
      </c>
      <c r="D2099" s="3"/>
      <c r="E2099" s="3" t="s">
        <v>6275</v>
      </c>
      <c r="F2099" s="3"/>
      <c r="G2099" s="3"/>
      <c r="H2099" s="3"/>
      <c r="I2099" s="3"/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/>
      <c r="P2099" s="3">
        <v>0</v>
      </c>
      <c r="Q2099" s="3">
        <v>0</v>
      </c>
      <c r="R2099" s="3">
        <v>0</v>
      </c>
    </row>
    <row r="2100" spans="1:18">
      <c r="A2100" s="3" t="s">
        <v>9346</v>
      </c>
      <c r="B2100" s="3" t="s">
        <v>9347</v>
      </c>
      <c r="C2100" s="3" t="s">
        <v>4594</v>
      </c>
      <c r="D2100" s="3"/>
      <c r="E2100" s="3" t="s">
        <v>6275</v>
      </c>
      <c r="F2100" s="3"/>
      <c r="G2100" s="3"/>
      <c r="H2100" s="3"/>
      <c r="I2100" s="3"/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/>
      <c r="P2100" s="3">
        <v>0</v>
      </c>
      <c r="Q2100" s="3">
        <v>0</v>
      </c>
      <c r="R2100" s="3">
        <v>0</v>
      </c>
    </row>
    <row r="2101" spans="1:18">
      <c r="A2101" s="3" t="s">
        <v>9348</v>
      </c>
      <c r="B2101" s="3" t="s">
        <v>9349</v>
      </c>
      <c r="C2101" s="3" t="s">
        <v>9350</v>
      </c>
      <c r="D2101" s="3"/>
      <c r="E2101" s="3" t="s">
        <v>6275</v>
      </c>
      <c r="F2101" s="3"/>
      <c r="G2101" s="3"/>
      <c r="H2101" s="3"/>
      <c r="I2101" s="3"/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/>
      <c r="P2101" s="3">
        <v>0</v>
      </c>
      <c r="Q2101" s="3">
        <v>0</v>
      </c>
      <c r="R2101" s="3">
        <v>0</v>
      </c>
    </row>
    <row r="2102" spans="1:18">
      <c r="A2102" s="3" t="s">
        <v>9351</v>
      </c>
      <c r="B2102" s="3" t="s">
        <v>9352</v>
      </c>
      <c r="C2102" s="3" t="s">
        <v>3877</v>
      </c>
      <c r="D2102" s="3"/>
      <c r="E2102" s="3" t="s">
        <v>6275</v>
      </c>
      <c r="F2102" s="3"/>
      <c r="G2102" s="3"/>
      <c r="H2102" s="3"/>
      <c r="I2102" s="3"/>
      <c r="J2102" s="3">
        <v>0</v>
      </c>
      <c r="K2102" s="3">
        <v>0</v>
      </c>
      <c r="L2102" s="3">
        <v>0</v>
      </c>
      <c r="M2102" s="3">
        <v>0</v>
      </c>
      <c r="N2102" s="3">
        <v>0</v>
      </c>
      <c r="O2102" s="3"/>
      <c r="P2102" s="3">
        <v>0</v>
      </c>
      <c r="Q2102" s="3">
        <v>0</v>
      </c>
      <c r="R2102" s="3">
        <v>0</v>
      </c>
    </row>
    <row r="2103" spans="1:18">
      <c r="A2103" s="3" t="s">
        <v>9353</v>
      </c>
      <c r="B2103" s="3" t="s">
        <v>9354</v>
      </c>
      <c r="C2103" s="3" t="s">
        <v>4425</v>
      </c>
      <c r="D2103" s="3"/>
      <c r="E2103" s="3" t="s">
        <v>6275</v>
      </c>
      <c r="F2103" s="3"/>
      <c r="G2103" s="3"/>
      <c r="H2103" s="3"/>
      <c r="I2103" s="3"/>
      <c r="J2103" s="3">
        <v>0</v>
      </c>
      <c r="K2103" s="3">
        <v>0</v>
      </c>
      <c r="L2103" s="3">
        <v>0</v>
      </c>
      <c r="M2103" s="3">
        <v>0</v>
      </c>
      <c r="N2103" s="3">
        <v>0</v>
      </c>
      <c r="O2103" s="3"/>
      <c r="P2103" s="3">
        <v>0</v>
      </c>
      <c r="Q2103" s="3">
        <v>0</v>
      </c>
      <c r="R2103" s="3">
        <v>0</v>
      </c>
    </row>
    <row r="2104" spans="1:18">
      <c r="A2104" s="3" t="s">
        <v>9355</v>
      </c>
      <c r="B2104" s="3" t="s">
        <v>9356</v>
      </c>
      <c r="C2104" s="3" t="s">
        <v>5606</v>
      </c>
      <c r="D2104" s="3"/>
      <c r="E2104" s="3" t="s">
        <v>6275</v>
      </c>
      <c r="F2104" s="3"/>
      <c r="G2104" s="3"/>
      <c r="H2104" s="3"/>
      <c r="I2104" s="3"/>
      <c r="J2104" s="3">
        <v>0</v>
      </c>
      <c r="K2104" s="3">
        <v>0</v>
      </c>
      <c r="L2104" s="3">
        <v>0</v>
      </c>
      <c r="M2104" s="3">
        <v>0</v>
      </c>
      <c r="N2104" s="3">
        <v>0</v>
      </c>
      <c r="O2104" s="3"/>
      <c r="P2104" s="3">
        <v>0</v>
      </c>
      <c r="Q2104" s="3">
        <v>0</v>
      </c>
      <c r="R2104" s="3">
        <v>0</v>
      </c>
    </row>
    <row r="2105" spans="1:18">
      <c r="A2105" s="3" t="s">
        <v>9357</v>
      </c>
      <c r="B2105" s="3" t="s">
        <v>9358</v>
      </c>
      <c r="C2105" s="3" t="s">
        <v>5245</v>
      </c>
      <c r="D2105" s="3"/>
      <c r="E2105" s="3" t="s">
        <v>6275</v>
      </c>
      <c r="F2105" s="3"/>
      <c r="G2105" s="3"/>
      <c r="H2105" s="3"/>
      <c r="I2105" s="3"/>
      <c r="J2105" s="3">
        <v>0</v>
      </c>
      <c r="K2105" s="3">
        <v>0</v>
      </c>
      <c r="L2105" s="3">
        <v>0</v>
      </c>
      <c r="M2105" s="3">
        <v>0</v>
      </c>
      <c r="N2105" s="3">
        <v>0</v>
      </c>
      <c r="O2105" s="3"/>
      <c r="P2105" s="3">
        <v>0</v>
      </c>
      <c r="Q2105" s="3">
        <v>0</v>
      </c>
      <c r="R2105" s="3">
        <v>0</v>
      </c>
    </row>
    <row r="2106" spans="1:18">
      <c r="A2106" s="3" t="s">
        <v>9359</v>
      </c>
      <c r="B2106" s="3" t="s">
        <v>9360</v>
      </c>
      <c r="C2106" s="3" t="s">
        <v>2388</v>
      </c>
      <c r="D2106" s="3"/>
      <c r="E2106" s="3" t="s">
        <v>6275</v>
      </c>
      <c r="F2106" s="3"/>
      <c r="G2106" s="3"/>
      <c r="H2106" s="3"/>
      <c r="I2106" s="3"/>
      <c r="J2106" s="3">
        <v>0</v>
      </c>
      <c r="K2106" s="3">
        <v>0</v>
      </c>
      <c r="L2106" s="3">
        <v>0</v>
      </c>
      <c r="M2106" s="3">
        <v>0</v>
      </c>
      <c r="N2106" s="3">
        <v>0</v>
      </c>
      <c r="O2106" s="3"/>
      <c r="P2106" s="3">
        <v>0</v>
      </c>
      <c r="Q2106" s="3">
        <v>0</v>
      </c>
      <c r="R2106" s="3">
        <v>0</v>
      </c>
    </row>
    <row r="2107" spans="1:18">
      <c r="A2107" s="3" t="s">
        <v>9361</v>
      </c>
      <c r="B2107" s="3" t="s">
        <v>9362</v>
      </c>
      <c r="C2107" s="3" t="s">
        <v>9363</v>
      </c>
      <c r="D2107" s="3"/>
      <c r="E2107" s="3" t="s">
        <v>6275</v>
      </c>
      <c r="F2107" s="3"/>
      <c r="G2107" s="3"/>
      <c r="H2107" s="3"/>
      <c r="I2107" s="3"/>
      <c r="J2107" s="3">
        <v>0</v>
      </c>
      <c r="K2107" s="3">
        <v>0</v>
      </c>
      <c r="L2107" s="3">
        <v>0</v>
      </c>
      <c r="M2107" s="3">
        <v>0</v>
      </c>
      <c r="N2107" s="3">
        <v>0</v>
      </c>
      <c r="O2107" s="3"/>
      <c r="P2107" s="3">
        <v>0</v>
      </c>
      <c r="Q2107" s="3">
        <v>0</v>
      </c>
      <c r="R2107" s="3">
        <v>0</v>
      </c>
    </row>
    <row r="2108" spans="1:18">
      <c r="A2108" s="3" t="s">
        <v>9364</v>
      </c>
      <c r="B2108" s="3" t="s">
        <v>9365</v>
      </c>
      <c r="C2108" s="3" t="s">
        <v>9366</v>
      </c>
      <c r="D2108" s="3"/>
      <c r="E2108" s="3" t="s">
        <v>6275</v>
      </c>
      <c r="F2108" s="3"/>
      <c r="G2108" s="3"/>
      <c r="H2108" s="3"/>
      <c r="I2108" s="3"/>
      <c r="J2108" s="3">
        <v>0</v>
      </c>
      <c r="K2108" s="3">
        <v>0</v>
      </c>
      <c r="L2108" s="3">
        <v>0</v>
      </c>
      <c r="M2108" s="3">
        <v>0</v>
      </c>
      <c r="N2108" s="3">
        <v>0</v>
      </c>
      <c r="O2108" s="3"/>
      <c r="P2108" s="3">
        <v>0</v>
      </c>
      <c r="Q2108" s="3">
        <v>0</v>
      </c>
      <c r="R2108" s="3">
        <v>0</v>
      </c>
    </row>
    <row r="2109" spans="1:18">
      <c r="A2109" s="3" t="s">
        <v>9367</v>
      </c>
      <c r="B2109" s="3" t="s">
        <v>9368</v>
      </c>
      <c r="C2109" s="3" t="s">
        <v>9369</v>
      </c>
      <c r="D2109" s="3"/>
      <c r="E2109" s="3" t="s">
        <v>6275</v>
      </c>
      <c r="F2109" s="3"/>
      <c r="G2109" s="3"/>
      <c r="H2109" s="3"/>
      <c r="I2109" s="3"/>
      <c r="J2109" s="3">
        <v>0</v>
      </c>
      <c r="K2109" s="3">
        <v>0</v>
      </c>
      <c r="L2109" s="3">
        <v>0</v>
      </c>
      <c r="M2109" s="3">
        <v>0</v>
      </c>
      <c r="N2109" s="3">
        <v>0</v>
      </c>
      <c r="O2109" s="3"/>
      <c r="P2109" s="3">
        <v>0</v>
      </c>
      <c r="Q2109" s="3">
        <v>0</v>
      </c>
      <c r="R2109" s="3">
        <v>0</v>
      </c>
    </row>
    <row r="2110" spans="1:18">
      <c r="A2110" s="3" t="s">
        <v>9370</v>
      </c>
      <c r="B2110" s="3" t="s">
        <v>9371</v>
      </c>
      <c r="C2110" s="3" t="s">
        <v>9372</v>
      </c>
      <c r="D2110" s="3"/>
      <c r="E2110" s="3" t="s">
        <v>6275</v>
      </c>
      <c r="F2110" s="3"/>
      <c r="G2110" s="3"/>
      <c r="H2110" s="3"/>
      <c r="I2110" s="3"/>
      <c r="J2110" s="3">
        <v>0</v>
      </c>
      <c r="K2110" s="3">
        <v>0</v>
      </c>
      <c r="L2110" s="3">
        <v>0</v>
      </c>
      <c r="M2110" s="3">
        <v>0</v>
      </c>
      <c r="N2110" s="3">
        <v>0</v>
      </c>
      <c r="O2110" s="3"/>
      <c r="P2110" s="3">
        <v>0</v>
      </c>
      <c r="Q2110" s="3">
        <v>0</v>
      </c>
      <c r="R2110" s="3">
        <v>0</v>
      </c>
    </row>
    <row r="2111" spans="1:18">
      <c r="A2111" s="3" t="s">
        <v>9373</v>
      </c>
      <c r="B2111" s="3" t="s">
        <v>9374</v>
      </c>
      <c r="C2111" s="3" t="s">
        <v>9375</v>
      </c>
      <c r="D2111" s="3"/>
      <c r="E2111" s="3" t="s">
        <v>6275</v>
      </c>
      <c r="F2111" s="3"/>
      <c r="G2111" s="3"/>
      <c r="H2111" s="3"/>
      <c r="I2111" s="3"/>
      <c r="J2111" s="3">
        <v>0</v>
      </c>
      <c r="K2111" s="3">
        <v>0</v>
      </c>
      <c r="L2111" s="3">
        <v>0</v>
      </c>
      <c r="M2111" s="3">
        <v>0</v>
      </c>
      <c r="N2111" s="3">
        <v>0</v>
      </c>
      <c r="O2111" s="3"/>
      <c r="P2111" s="3">
        <v>0</v>
      </c>
      <c r="Q2111" s="3">
        <v>0</v>
      </c>
      <c r="R2111" s="3">
        <v>0</v>
      </c>
    </row>
    <row r="2112" spans="1:18">
      <c r="A2112" s="3" t="s">
        <v>9376</v>
      </c>
      <c r="B2112" s="3" t="s">
        <v>9377</v>
      </c>
      <c r="C2112" s="3" t="s">
        <v>9378</v>
      </c>
      <c r="D2112" s="3"/>
      <c r="E2112" s="3" t="s">
        <v>6275</v>
      </c>
      <c r="F2112" s="3"/>
      <c r="G2112" s="3"/>
      <c r="H2112" s="3"/>
      <c r="I2112" s="3"/>
      <c r="J2112" s="3">
        <v>0</v>
      </c>
      <c r="K2112" s="3">
        <v>0</v>
      </c>
      <c r="L2112" s="3">
        <v>0</v>
      </c>
      <c r="M2112" s="3">
        <v>0</v>
      </c>
      <c r="N2112" s="3">
        <v>0</v>
      </c>
      <c r="O2112" s="3"/>
      <c r="P2112" s="3">
        <v>0</v>
      </c>
      <c r="Q2112" s="3">
        <v>0</v>
      </c>
      <c r="R2112" s="3">
        <v>0</v>
      </c>
    </row>
    <row r="2113" spans="1:18">
      <c r="A2113" s="3" t="s">
        <v>9379</v>
      </c>
      <c r="B2113" s="3" t="s">
        <v>9380</v>
      </c>
      <c r="C2113" s="3" t="s">
        <v>9381</v>
      </c>
      <c r="D2113" s="3"/>
      <c r="E2113" s="3" t="s">
        <v>6275</v>
      </c>
      <c r="F2113" s="3"/>
      <c r="G2113" s="3"/>
      <c r="H2113" s="3"/>
      <c r="I2113" s="3"/>
      <c r="J2113" s="3">
        <v>0</v>
      </c>
      <c r="K2113" s="3">
        <v>0</v>
      </c>
      <c r="L2113" s="3">
        <v>0</v>
      </c>
      <c r="M2113" s="3">
        <v>0</v>
      </c>
      <c r="N2113" s="3">
        <v>0</v>
      </c>
      <c r="O2113" s="3"/>
      <c r="P2113" s="3">
        <v>0</v>
      </c>
      <c r="Q2113" s="3">
        <v>0</v>
      </c>
      <c r="R2113" s="3">
        <v>0</v>
      </c>
    </row>
    <row r="2114" spans="1:18">
      <c r="A2114" s="3" t="s">
        <v>9382</v>
      </c>
      <c r="B2114" s="3" t="s">
        <v>9383</v>
      </c>
      <c r="C2114" s="3" t="s">
        <v>9384</v>
      </c>
      <c r="D2114" s="3"/>
      <c r="E2114" s="3" t="s">
        <v>6275</v>
      </c>
      <c r="F2114" s="3"/>
      <c r="G2114" s="3"/>
      <c r="H2114" s="3"/>
      <c r="I2114" s="3"/>
      <c r="J2114" s="3">
        <v>0</v>
      </c>
      <c r="K2114" s="3">
        <v>0</v>
      </c>
      <c r="L2114" s="3">
        <v>0</v>
      </c>
      <c r="M2114" s="3">
        <v>0</v>
      </c>
      <c r="N2114" s="3">
        <v>0</v>
      </c>
      <c r="O2114" s="3"/>
      <c r="P2114" s="3">
        <v>0</v>
      </c>
      <c r="Q2114" s="3">
        <v>0</v>
      </c>
      <c r="R2114" s="3">
        <v>0</v>
      </c>
    </row>
    <row r="2115" spans="1:18">
      <c r="A2115" s="3" t="s">
        <v>9385</v>
      </c>
      <c r="B2115" s="3" t="s">
        <v>9386</v>
      </c>
      <c r="C2115" s="3" t="s">
        <v>4401</v>
      </c>
      <c r="D2115" s="3"/>
      <c r="E2115" s="3" t="s">
        <v>6275</v>
      </c>
      <c r="F2115" s="3"/>
      <c r="G2115" s="3"/>
      <c r="H2115" s="3"/>
      <c r="I2115" s="3"/>
      <c r="J2115" s="3">
        <v>0</v>
      </c>
      <c r="K2115" s="3">
        <v>0</v>
      </c>
      <c r="L2115" s="3">
        <v>0</v>
      </c>
      <c r="M2115" s="3">
        <v>0</v>
      </c>
      <c r="N2115" s="3">
        <v>0</v>
      </c>
      <c r="O2115" s="3"/>
      <c r="P2115" s="3">
        <v>0</v>
      </c>
      <c r="Q2115" s="3">
        <v>0</v>
      </c>
      <c r="R2115" s="3">
        <v>0</v>
      </c>
    </row>
    <row r="2116" spans="1:18">
      <c r="A2116" s="3" t="s">
        <v>9387</v>
      </c>
      <c r="B2116" s="3" t="s">
        <v>9388</v>
      </c>
      <c r="C2116" s="3" t="s">
        <v>1212</v>
      </c>
      <c r="D2116" s="3"/>
      <c r="E2116" s="3" t="s">
        <v>6275</v>
      </c>
      <c r="F2116" s="3"/>
      <c r="G2116" s="3"/>
      <c r="H2116" s="3"/>
      <c r="I2116" s="3"/>
      <c r="J2116" s="3">
        <v>0</v>
      </c>
      <c r="K2116" s="3">
        <v>0</v>
      </c>
      <c r="L2116" s="3">
        <v>0</v>
      </c>
      <c r="M2116" s="3">
        <v>0</v>
      </c>
      <c r="N2116" s="3">
        <v>0</v>
      </c>
      <c r="O2116" s="3"/>
      <c r="P2116" s="3">
        <v>0</v>
      </c>
      <c r="Q2116" s="3">
        <v>0</v>
      </c>
      <c r="R2116" s="3">
        <v>0</v>
      </c>
    </row>
    <row r="2117" spans="1:18">
      <c r="A2117" s="3" t="s">
        <v>9389</v>
      </c>
      <c r="B2117" s="3" t="s">
        <v>9390</v>
      </c>
      <c r="C2117" s="3" t="s">
        <v>1216</v>
      </c>
      <c r="D2117" s="3"/>
      <c r="E2117" s="3" t="s">
        <v>6275</v>
      </c>
      <c r="F2117" s="3"/>
      <c r="G2117" s="3"/>
      <c r="H2117" s="3"/>
      <c r="I2117" s="3"/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/>
      <c r="P2117" s="3">
        <v>0</v>
      </c>
      <c r="Q2117" s="3">
        <v>0</v>
      </c>
      <c r="R2117" s="3">
        <v>0</v>
      </c>
    </row>
    <row r="2118" spans="1:18">
      <c r="A2118" s="3" t="s">
        <v>9391</v>
      </c>
      <c r="B2118" s="3" t="s">
        <v>9392</v>
      </c>
      <c r="C2118" s="3" t="s">
        <v>1312</v>
      </c>
      <c r="D2118" s="3"/>
      <c r="E2118" s="3" t="s">
        <v>6275</v>
      </c>
      <c r="F2118" s="3"/>
      <c r="G2118" s="3"/>
      <c r="H2118" s="3"/>
      <c r="I2118" s="3"/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/>
      <c r="P2118" s="3">
        <v>0</v>
      </c>
      <c r="Q2118" s="3">
        <v>0</v>
      </c>
      <c r="R2118" s="3">
        <v>0</v>
      </c>
    </row>
    <row r="2119" spans="1:18">
      <c r="A2119" s="3" t="s">
        <v>9393</v>
      </c>
      <c r="B2119" s="3" t="s">
        <v>9394</v>
      </c>
      <c r="C2119" s="3" t="s">
        <v>4044</v>
      </c>
      <c r="D2119" s="3"/>
      <c r="E2119" s="3" t="s">
        <v>6275</v>
      </c>
      <c r="F2119" s="3"/>
      <c r="G2119" s="3"/>
      <c r="H2119" s="3"/>
      <c r="I2119" s="3"/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/>
      <c r="P2119" s="3">
        <v>0</v>
      </c>
      <c r="Q2119" s="3">
        <v>0</v>
      </c>
      <c r="R2119" s="3">
        <v>0</v>
      </c>
    </row>
    <row r="2120" spans="1:18">
      <c r="A2120" s="3" t="s">
        <v>9395</v>
      </c>
      <c r="B2120" s="3" t="s">
        <v>9396</v>
      </c>
      <c r="C2120" s="3" t="s">
        <v>5083</v>
      </c>
      <c r="D2120" s="3"/>
      <c r="E2120" s="3" t="s">
        <v>6275</v>
      </c>
      <c r="F2120" s="3"/>
      <c r="G2120" s="3"/>
      <c r="H2120" s="3"/>
      <c r="I2120" s="3"/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/>
      <c r="P2120" s="3">
        <v>0</v>
      </c>
      <c r="Q2120" s="3">
        <v>0</v>
      </c>
      <c r="R2120" s="3">
        <v>0</v>
      </c>
    </row>
    <row r="2121" spans="1:18">
      <c r="A2121" s="3" t="s">
        <v>9397</v>
      </c>
      <c r="B2121" s="3" t="s">
        <v>9398</v>
      </c>
      <c r="C2121" s="3" t="s">
        <v>2991</v>
      </c>
      <c r="D2121" s="3"/>
      <c r="E2121" s="3" t="s">
        <v>6275</v>
      </c>
      <c r="F2121" s="3"/>
      <c r="G2121" s="3"/>
      <c r="H2121" s="3"/>
      <c r="I2121" s="3"/>
      <c r="J2121" s="3">
        <v>0</v>
      </c>
      <c r="K2121" s="3">
        <v>0</v>
      </c>
      <c r="L2121" s="3">
        <v>0</v>
      </c>
      <c r="M2121" s="3">
        <v>0</v>
      </c>
      <c r="N2121" s="3">
        <v>0</v>
      </c>
      <c r="O2121" s="3"/>
      <c r="P2121" s="3">
        <v>0</v>
      </c>
      <c r="Q2121" s="3">
        <v>0</v>
      </c>
      <c r="R2121" s="3">
        <v>0</v>
      </c>
    </row>
    <row r="2122" spans="1:18">
      <c r="A2122" s="3" t="s">
        <v>9399</v>
      </c>
      <c r="B2122" s="3" t="s">
        <v>9400</v>
      </c>
      <c r="C2122" s="3" t="s">
        <v>1917</v>
      </c>
      <c r="D2122" s="3"/>
      <c r="E2122" s="3" t="s">
        <v>6275</v>
      </c>
      <c r="F2122" s="3"/>
      <c r="G2122" s="3"/>
      <c r="H2122" s="3"/>
      <c r="I2122" s="3"/>
      <c r="J2122" s="3">
        <v>0</v>
      </c>
      <c r="K2122" s="3">
        <v>0</v>
      </c>
      <c r="L2122" s="3">
        <v>0</v>
      </c>
      <c r="M2122" s="3">
        <v>0</v>
      </c>
      <c r="N2122" s="3">
        <v>0</v>
      </c>
      <c r="O2122" s="3"/>
      <c r="P2122" s="3">
        <v>0</v>
      </c>
      <c r="Q2122" s="3">
        <v>0</v>
      </c>
      <c r="R2122" s="3">
        <v>0</v>
      </c>
    </row>
    <row r="2123" spans="1:18">
      <c r="A2123" s="3" t="s">
        <v>9401</v>
      </c>
      <c r="B2123" s="3" t="s">
        <v>9402</v>
      </c>
      <c r="C2123" s="3" t="s">
        <v>5969</v>
      </c>
      <c r="D2123" s="3"/>
      <c r="E2123" s="3" t="s">
        <v>6275</v>
      </c>
      <c r="F2123" s="3"/>
      <c r="G2123" s="3"/>
      <c r="H2123" s="3"/>
      <c r="I2123" s="3"/>
      <c r="J2123" s="3">
        <v>0</v>
      </c>
      <c r="K2123" s="3">
        <v>0</v>
      </c>
      <c r="L2123" s="3">
        <v>0</v>
      </c>
      <c r="M2123" s="3">
        <v>0</v>
      </c>
      <c r="N2123" s="3">
        <v>0</v>
      </c>
      <c r="O2123" s="3"/>
      <c r="P2123" s="3">
        <v>0</v>
      </c>
      <c r="Q2123" s="3">
        <v>0</v>
      </c>
      <c r="R2123" s="3">
        <v>0</v>
      </c>
    </row>
    <row r="2124" spans="1:18">
      <c r="A2124" s="3" t="s">
        <v>9403</v>
      </c>
      <c r="B2124" s="3" t="s">
        <v>9404</v>
      </c>
      <c r="C2124" s="3" t="s">
        <v>4174</v>
      </c>
      <c r="D2124" s="3"/>
      <c r="E2124" s="3" t="s">
        <v>6275</v>
      </c>
      <c r="F2124" s="3"/>
      <c r="G2124" s="3"/>
      <c r="H2124" s="3"/>
      <c r="I2124" s="3"/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/>
      <c r="P2124" s="3">
        <v>0</v>
      </c>
      <c r="Q2124" s="3">
        <v>0</v>
      </c>
      <c r="R2124" s="3">
        <v>0</v>
      </c>
    </row>
    <row r="2125" spans="1:18">
      <c r="A2125" s="3" t="s">
        <v>9405</v>
      </c>
      <c r="B2125" s="3" t="s">
        <v>9406</v>
      </c>
      <c r="C2125" s="3" t="s">
        <v>3376</v>
      </c>
      <c r="D2125" s="3"/>
      <c r="E2125" s="3" t="s">
        <v>6275</v>
      </c>
      <c r="F2125" s="3"/>
      <c r="G2125" s="3"/>
      <c r="H2125" s="3"/>
      <c r="I2125" s="3"/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/>
      <c r="P2125" s="3">
        <v>0</v>
      </c>
      <c r="Q2125" s="3">
        <v>0</v>
      </c>
      <c r="R2125" s="3">
        <v>0</v>
      </c>
    </row>
    <row r="2126" spans="1:18">
      <c r="A2126" s="3" t="s">
        <v>9407</v>
      </c>
      <c r="B2126" s="3" t="s">
        <v>9408</v>
      </c>
      <c r="C2126" s="3" t="s">
        <v>3237</v>
      </c>
      <c r="D2126" s="3"/>
      <c r="E2126" s="3" t="s">
        <v>6275</v>
      </c>
      <c r="F2126" s="3"/>
      <c r="G2126" s="3"/>
      <c r="H2126" s="3"/>
      <c r="I2126" s="3"/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/>
      <c r="P2126" s="3">
        <v>0</v>
      </c>
      <c r="Q2126" s="3">
        <v>0</v>
      </c>
      <c r="R2126" s="3">
        <v>0</v>
      </c>
    </row>
    <row r="2127" spans="1:18">
      <c r="A2127" s="3" t="s">
        <v>9409</v>
      </c>
      <c r="B2127" s="3" t="s">
        <v>9410</v>
      </c>
      <c r="C2127" s="3" t="s">
        <v>1242</v>
      </c>
      <c r="D2127" s="3"/>
      <c r="E2127" s="3" t="s">
        <v>6275</v>
      </c>
      <c r="F2127" s="3"/>
      <c r="G2127" s="3"/>
      <c r="H2127" s="3"/>
      <c r="I2127" s="3"/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/>
      <c r="P2127" s="3">
        <v>0</v>
      </c>
      <c r="Q2127" s="3">
        <v>0</v>
      </c>
      <c r="R2127" s="3">
        <v>0</v>
      </c>
    </row>
    <row r="2128" spans="1:18">
      <c r="A2128" s="3" t="s">
        <v>9411</v>
      </c>
      <c r="B2128" s="3" t="s">
        <v>9412</v>
      </c>
      <c r="C2128" s="3" t="s">
        <v>1339</v>
      </c>
      <c r="D2128" s="3"/>
      <c r="E2128" s="3" t="s">
        <v>6275</v>
      </c>
      <c r="F2128" s="3"/>
      <c r="G2128" s="3"/>
      <c r="H2128" s="3"/>
      <c r="I2128" s="3"/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/>
      <c r="P2128" s="3">
        <v>0</v>
      </c>
      <c r="Q2128" s="3">
        <v>0</v>
      </c>
      <c r="R2128" s="3">
        <v>0</v>
      </c>
    </row>
    <row r="2129" spans="1:18">
      <c r="A2129" s="3" t="s">
        <v>9413</v>
      </c>
      <c r="B2129" s="3" t="s">
        <v>9414</v>
      </c>
      <c r="C2129" s="3" t="s">
        <v>3596</v>
      </c>
      <c r="D2129" s="3"/>
      <c r="E2129" s="3" t="s">
        <v>6275</v>
      </c>
      <c r="F2129" s="3"/>
      <c r="G2129" s="3"/>
      <c r="H2129" s="3"/>
      <c r="I2129" s="3"/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/>
      <c r="P2129" s="3">
        <v>0</v>
      </c>
      <c r="Q2129" s="3">
        <v>0</v>
      </c>
      <c r="R2129" s="3">
        <v>0</v>
      </c>
    </row>
    <row r="2130" spans="1:18">
      <c r="A2130" s="3" t="s">
        <v>9415</v>
      </c>
      <c r="B2130" s="3" t="s">
        <v>9416</v>
      </c>
      <c r="C2130" s="3" t="s">
        <v>6098</v>
      </c>
      <c r="D2130" s="3"/>
      <c r="E2130" s="3" t="s">
        <v>6275</v>
      </c>
      <c r="F2130" s="3"/>
      <c r="G2130" s="3"/>
      <c r="H2130" s="3"/>
      <c r="I2130" s="3"/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/>
      <c r="P2130" s="3">
        <v>0</v>
      </c>
      <c r="Q2130" s="3">
        <v>0</v>
      </c>
      <c r="R2130" s="3">
        <v>0</v>
      </c>
    </row>
    <row r="2131" spans="1:18">
      <c r="A2131" s="3" t="s">
        <v>9417</v>
      </c>
      <c r="B2131" s="3" t="s">
        <v>9418</v>
      </c>
      <c r="C2131" s="3" t="s">
        <v>4719</v>
      </c>
      <c r="D2131" s="3"/>
      <c r="E2131" s="3" t="s">
        <v>6275</v>
      </c>
      <c r="F2131" s="3"/>
      <c r="G2131" s="3"/>
      <c r="H2131" s="3"/>
      <c r="I2131" s="3"/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/>
      <c r="P2131" s="3">
        <v>0</v>
      </c>
      <c r="Q2131" s="3">
        <v>0</v>
      </c>
      <c r="R2131" s="3">
        <v>0</v>
      </c>
    </row>
    <row r="2132" spans="1:18">
      <c r="A2132" s="3" t="s">
        <v>9419</v>
      </c>
      <c r="B2132" s="3" t="s">
        <v>9420</v>
      </c>
      <c r="C2132" s="3" t="s">
        <v>3515</v>
      </c>
      <c r="D2132" s="3"/>
      <c r="E2132" s="3" t="s">
        <v>6275</v>
      </c>
      <c r="F2132" s="3"/>
      <c r="G2132" s="3"/>
      <c r="H2132" s="3"/>
      <c r="I2132" s="3"/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/>
      <c r="P2132" s="3">
        <v>0</v>
      </c>
      <c r="Q2132" s="3">
        <v>0</v>
      </c>
      <c r="R2132" s="3">
        <v>0</v>
      </c>
    </row>
    <row r="2133" spans="1:18">
      <c r="A2133" s="3" t="s">
        <v>9421</v>
      </c>
      <c r="B2133" s="3" t="s">
        <v>9422</v>
      </c>
      <c r="C2133" s="3" t="s">
        <v>3794</v>
      </c>
      <c r="D2133" s="3"/>
      <c r="E2133" s="3" t="s">
        <v>6275</v>
      </c>
      <c r="F2133" s="3"/>
      <c r="G2133" s="3"/>
      <c r="H2133" s="3"/>
      <c r="I2133" s="3"/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/>
      <c r="P2133" s="3">
        <v>0</v>
      </c>
      <c r="Q2133" s="3">
        <v>0</v>
      </c>
      <c r="R2133" s="3">
        <v>0</v>
      </c>
    </row>
    <row r="2134" spans="1:18">
      <c r="A2134" s="3" t="s">
        <v>9423</v>
      </c>
      <c r="B2134" s="3" t="s">
        <v>9424</v>
      </c>
      <c r="C2134" s="3" t="s">
        <v>2581</v>
      </c>
      <c r="D2134" s="3"/>
      <c r="E2134" s="3" t="s">
        <v>6275</v>
      </c>
      <c r="F2134" s="3"/>
      <c r="G2134" s="3"/>
      <c r="H2134" s="3"/>
      <c r="I2134" s="3"/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/>
      <c r="P2134" s="3">
        <v>0</v>
      </c>
      <c r="Q2134" s="3">
        <v>0</v>
      </c>
      <c r="R2134" s="3">
        <v>0</v>
      </c>
    </row>
    <row r="2135" spans="1:18">
      <c r="A2135" s="3" t="s">
        <v>9425</v>
      </c>
      <c r="B2135" s="3" t="s">
        <v>9426</v>
      </c>
      <c r="C2135" s="3" t="s">
        <v>9427</v>
      </c>
      <c r="D2135" s="3"/>
      <c r="E2135" s="3" t="s">
        <v>6275</v>
      </c>
      <c r="F2135" s="3"/>
      <c r="G2135" s="3"/>
      <c r="H2135" s="3"/>
      <c r="I2135" s="3"/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/>
      <c r="P2135" s="3">
        <v>0</v>
      </c>
      <c r="Q2135" s="3">
        <v>0</v>
      </c>
      <c r="R2135" s="3">
        <v>0</v>
      </c>
    </row>
    <row r="2136" spans="1:18">
      <c r="A2136" s="3" t="s">
        <v>9428</v>
      </c>
      <c r="B2136" s="3" t="s">
        <v>9429</v>
      </c>
      <c r="C2136" s="3" t="s">
        <v>9430</v>
      </c>
      <c r="D2136" s="3"/>
      <c r="E2136" s="3" t="s">
        <v>6275</v>
      </c>
      <c r="F2136" s="3"/>
      <c r="G2136" s="3"/>
      <c r="H2136" s="3"/>
      <c r="I2136" s="3"/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/>
      <c r="P2136" s="3">
        <v>0</v>
      </c>
      <c r="Q2136" s="3">
        <v>0</v>
      </c>
      <c r="R2136" s="3">
        <v>0</v>
      </c>
    </row>
    <row r="2137" spans="1:18">
      <c r="A2137" s="3" t="s">
        <v>9431</v>
      </c>
      <c r="B2137" s="3" t="s">
        <v>9432</v>
      </c>
      <c r="C2137" s="3" t="s">
        <v>9433</v>
      </c>
      <c r="D2137" s="3"/>
      <c r="E2137" s="3" t="s">
        <v>6275</v>
      </c>
      <c r="F2137" s="3"/>
      <c r="G2137" s="3"/>
      <c r="H2137" s="3"/>
      <c r="I2137" s="3"/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/>
      <c r="P2137" s="3">
        <v>0</v>
      </c>
      <c r="Q2137" s="3">
        <v>0</v>
      </c>
      <c r="R2137" s="3">
        <v>0</v>
      </c>
    </row>
    <row r="2138" spans="1:18">
      <c r="A2138" s="3" t="s">
        <v>9434</v>
      </c>
      <c r="B2138" s="3" t="s">
        <v>9435</v>
      </c>
      <c r="C2138" s="3" t="s">
        <v>9436</v>
      </c>
      <c r="D2138" s="3"/>
      <c r="E2138" s="3" t="s">
        <v>6275</v>
      </c>
      <c r="F2138" s="3"/>
      <c r="G2138" s="3"/>
      <c r="H2138" s="3"/>
      <c r="I2138" s="3"/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/>
      <c r="P2138" s="3">
        <v>0</v>
      </c>
      <c r="Q2138" s="3">
        <v>0</v>
      </c>
      <c r="R2138" s="3">
        <v>0</v>
      </c>
    </row>
    <row r="2139" spans="1:18">
      <c r="A2139" s="3" t="s">
        <v>9437</v>
      </c>
      <c r="B2139" s="3" t="s">
        <v>9438</v>
      </c>
      <c r="C2139" s="3" t="s">
        <v>9439</v>
      </c>
      <c r="D2139" s="3"/>
      <c r="E2139" s="3" t="s">
        <v>6275</v>
      </c>
      <c r="F2139" s="3"/>
      <c r="G2139" s="3"/>
      <c r="H2139" s="3"/>
      <c r="I2139" s="3"/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/>
      <c r="P2139" s="3">
        <v>0</v>
      </c>
      <c r="Q2139" s="3">
        <v>0</v>
      </c>
      <c r="R2139" s="3">
        <v>0</v>
      </c>
    </row>
    <row r="2140" spans="1:18">
      <c r="A2140" s="3" t="s">
        <v>9440</v>
      </c>
      <c r="B2140" s="3" t="s">
        <v>9441</v>
      </c>
      <c r="C2140" s="3" t="s">
        <v>9442</v>
      </c>
      <c r="D2140" s="3"/>
      <c r="E2140" s="3" t="s">
        <v>6275</v>
      </c>
      <c r="F2140" s="3"/>
      <c r="G2140" s="3"/>
      <c r="H2140" s="3"/>
      <c r="I2140" s="3"/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/>
      <c r="P2140" s="3">
        <v>0</v>
      </c>
      <c r="Q2140" s="3">
        <v>0</v>
      </c>
      <c r="R2140" s="3">
        <v>0</v>
      </c>
    </row>
    <row r="2141" spans="1:18">
      <c r="A2141" s="3" t="s">
        <v>9443</v>
      </c>
      <c r="B2141" s="3" t="s">
        <v>9444</v>
      </c>
      <c r="C2141" s="3" t="s">
        <v>9445</v>
      </c>
      <c r="D2141" s="3"/>
      <c r="E2141" s="3" t="s">
        <v>6275</v>
      </c>
      <c r="F2141" s="3"/>
      <c r="G2141" s="3"/>
      <c r="H2141" s="3"/>
      <c r="I2141" s="3"/>
      <c r="J2141" s="3">
        <v>0</v>
      </c>
      <c r="K2141" s="3">
        <v>0</v>
      </c>
      <c r="L2141" s="3">
        <v>0</v>
      </c>
      <c r="M2141" s="3">
        <v>0</v>
      </c>
      <c r="N2141" s="3">
        <v>0</v>
      </c>
      <c r="O2141" s="3"/>
      <c r="P2141" s="3">
        <v>0</v>
      </c>
      <c r="Q2141" s="3">
        <v>0</v>
      </c>
      <c r="R2141" s="3">
        <v>0</v>
      </c>
    </row>
    <row r="2142" spans="1:18">
      <c r="A2142" s="3" t="s">
        <v>9446</v>
      </c>
      <c r="B2142" s="3" t="s">
        <v>9447</v>
      </c>
      <c r="C2142" s="3" t="s">
        <v>9448</v>
      </c>
      <c r="D2142" s="3"/>
      <c r="E2142" s="3" t="s">
        <v>6275</v>
      </c>
      <c r="F2142" s="3"/>
      <c r="G2142" s="3"/>
      <c r="H2142" s="3"/>
      <c r="I2142" s="3"/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/>
      <c r="P2142" s="3">
        <v>0</v>
      </c>
      <c r="Q2142" s="3">
        <v>0</v>
      </c>
      <c r="R2142" s="3">
        <v>0</v>
      </c>
    </row>
    <row r="2143" spans="1:18">
      <c r="A2143" s="3" t="s">
        <v>9449</v>
      </c>
      <c r="B2143" s="3" t="s">
        <v>9450</v>
      </c>
      <c r="C2143" s="3" t="s">
        <v>9451</v>
      </c>
      <c r="D2143" s="3"/>
      <c r="E2143" s="3" t="s">
        <v>6275</v>
      </c>
      <c r="F2143" s="3"/>
      <c r="G2143" s="3"/>
      <c r="H2143" s="3"/>
      <c r="I2143" s="3"/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/>
      <c r="P2143" s="3">
        <v>0</v>
      </c>
      <c r="Q2143" s="3">
        <v>0</v>
      </c>
      <c r="R2143" s="3">
        <v>0</v>
      </c>
    </row>
    <row r="2144" spans="1:18">
      <c r="A2144" s="3" t="s">
        <v>9452</v>
      </c>
      <c r="B2144" s="3" t="s">
        <v>9453</v>
      </c>
      <c r="C2144" s="3" t="s">
        <v>9454</v>
      </c>
      <c r="D2144" s="3"/>
      <c r="E2144" s="3" t="s">
        <v>6275</v>
      </c>
      <c r="F2144" s="3"/>
      <c r="G2144" s="3"/>
      <c r="H2144" s="3"/>
      <c r="I2144" s="3"/>
      <c r="J2144" s="3">
        <v>0</v>
      </c>
      <c r="K2144" s="3">
        <v>0</v>
      </c>
      <c r="L2144" s="3">
        <v>0</v>
      </c>
      <c r="M2144" s="3">
        <v>0</v>
      </c>
      <c r="N2144" s="3">
        <v>0</v>
      </c>
      <c r="O2144" s="3"/>
      <c r="P2144" s="3">
        <v>0</v>
      </c>
      <c r="Q2144" s="3">
        <v>0</v>
      </c>
      <c r="R2144" s="3">
        <v>0</v>
      </c>
    </row>
    <row r="2145" spans="1:18">
      <c r="A2145" s="3" t="s">
        <v>9455</v>
      </c>
      <c r="B2145" s="3" t="s">
        <v>9456</v>
      </c>
      <c r="C2145" s="3" t="s">
        <v>1359</v>
      </c>
      <c r="D2145" s="3"/>
      <c r="E2145" s="3" t="s">
        <v>6275</v>
      </c>
      <c r="F2145" s="3"/>
      <c r="G2145" s="3"/>
      <c r="H2145" s="3"/>
      <c r="I2145" s="3"/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/>
      <c r="P2145" s="3">
        <v>0</v>
      </c>
      <c r="Q2145" s="3">
        <v>0</v>
      </c>
      <c r="R2145" s="3">
        <v>0</v>
      </c>
    </row>
    <row r="2146" spans="1:18">
      <c r="A2146" s="3" t="s">
        <v>9457</v>
      </c>
      <c r="B2146" s="3" t="s">
        <v>9458</v>
      </c>
      <c r="C2146" s="3" t="s">
        <v>9459</v>
      </c>
      <c r="D2146" s="3"/>
      <c r="E2146" s="3" t="s">
        <v>6275</v>
      </c>
      <c r="F2146" s="3"/>
      <c r="G2146" s="3"/>
      <c r="H2146" s="3"/>
      <c r="I2146" s="3"/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/>
      <c r="P2146" s="3">
        <v>0</v>
      </c>
      <c r="Q2146" s="3">
        <v>0</v>
      </c>
      <c r="R2146" s="3">
        <v>0</v>
      </c>
    </row>
    <row r="2147" spans="1:18">
      <c r="A2147" s="3" t="s">
        <v>9460</v>
      </c>
      <c r="B2147" s="3" t="s">
        <v>9461</v>
      </c>
      <c r="C2147" s="3" t="s">
        <v>9462</v>
      </c>
      <c r="D2147" s="3"/>
      <c r="E2147" s="3" t="s">
        <v>6275</v>
      </c>
      <c r="F2147" s="3"/>
      <c r="G2147" s="3"/>
      <c r="H2147" s="3"/>
      <c r="I2147" s="3"/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/>
      <c r="P2147" s="3">
        <v>0</v>
      </c>
      <c r="Q2147" s="3">
        <v>0</v>
      </c>
      <c r="R2147" s="3">
        <v>0</v>
      </c>
    </row>
    <row r="2148" spans="1:18">
      <c r="A2148" s="3" t="s">
        <v>9463</v>
      </c>
      <c r="B2148" s="3" t="s">
        <v>9464</v>
      </c>
      <c r="C2148" s="3" t="s">
        <v>9465</v>
      </c>
      <c r="D2148" s="3"/>
      <c r="E2148" s="3" t="s">
        <v>6275</v>
      </c>
      <c r="F2148" s="3"/>
      <c r="G2148" s="3"/>
      <c r="H2148" s="3"/>
      <c r="I2148" s="3"/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/>
      <c r="P2148" s="3">
        <v>0</v>
      </c>
      <c r="Q2148" s="3">
        <v>0</v>
      </c>
      <c r="R2148" s="3">
        <v>0</v>
      </c>
    </row>
    <row r="2149" spans="1:18">
      <c r="A2149" s="3" t="s">
        <v>9466</v>
      </c>
      <c r="B2149" s="3" t="s">
        <v>9467</v>
      </c>
      <c r="C2149" s="3" t="s">
        <v>5330</v>
      </c>
      <c r="D2149" s="3"/>
      <c r="E2149" s="3" t="s">
        <v>6275</v>
      </c>
      <c r="F2149" s="3"/>
      <c r="G2149" s="3"/>
      <c r="H2149" s="3"/>
      <c r="I2149" s="3"/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/>
      <c r="P2149" s="3">
        <v>0</v>
      </c>
      <c r="Q2149" s="3">
        <v>0</v>
      </c>
      <c r="R2149" s="3">
        <v>0</v>
      </c>
    </row>
    <row r="2150" spans="1:18">
      <c r="A2150" s="3" t="s">
        <v>9468</v>
      </c>
      <c r="B2150" s="3" t="s">
        <v>9469</v>
      </c>
      <c r="C2150" s="3" t="s">
        <v>9470</v>
      </c>
      <c r="D2150" s="3"/>
      <c r="E2150" s="3" t="s">
        <v>6275</v>
      </c>
      <c r="F2150" s="3"/>
      <c r="G2150" s="3"/>
      <c r="H2150" s="3"/>
      <c r="I2150" s="3"/>
      <c r="J2150" s="3">
        <v>0</v>
      </c>
      <c r="K2150" s="3">
        <v>0</v>
      </c>
      <c r="L2150" s="3">
        <v>0</v>
      </c>
      <c r="M2150" s="3">
        <v>0</v>
      </c>
      <c r="N2150" s="3">
        <v>0</v>
      </c>
      <c r="O2150" s="3"/>
      <c r="P2150" s="3">
        <v>0</v>
      </c>
      <c r="Q2150" s="3">
        <v>0</v>
      </c>
      <c r="R2150" s="3">
        <v>0</v>
      </c>
    </row>
    <row r="2151" spans="1:18">
      <c r="A2151" s="3" t="s">
        <v>9471</v>
      </c>
      <c r="B2151" s="3" t="s">
        <v>9472</v>
      </c>
      <c r="C2151" s="3" t="s">
        <v>1417</v>
      </c>
      <c r="D2151" s="3"/>
      <c r="E2151" s="3" t="s">
        <v>6275</v>
      </c>
      <c r="F2151" s="3"/>
      <c r="G2151" s="3"/>
      <c r="H2151" s="3"/>
      <c r="I2151" s="3"/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/>
      <c r="P2151" s="3">
        <v>0</v>
      </c>
      <c r="Q2151" s="3">
        <v>0</v>
      </c>
      <c r="R2151" s="3">
        <v>0</v>
      </c>
    </row>
    <row r="2152" spans="1:18">
      <c r="A2152" s="3" t="s">
        <v>9473</v>
      </c>
      <c r="B2152" s="3" t="s">
        <v>9474</v>
      </c>
      <c r="C2152" s="3" t="s">
        <v>1351</v>
      </c>
      <c r="D2152" s="3"/>
      <c r="E2152" s="3" t="s">
        <v>6275</v>
      </c>
      <c r="F2152" s="3"/>
      <c r="G2152" s="3"/>
      <c r="H2152" s="3"/>
      <c r="I2152" s="3"/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/>
      <c r="P2152" s="3">
        <v>0</v>
      </c>
      <c r="Q2152" s="3">
        <v>0</v>
      </c>
      <c r="R2152" s="3">
        <v>0</v>
      </c>
    </row>
    <row r="2153" spans="1:18">
      <c r="A2153" s="3" t="s">
        <v>9475</v>
      </c>
      <c r="B2153" s="3" t="s">
        <v>9476</v>
      </c>
      <c r="C2153" s="3" t="s">
        <v>1371</v>
      </c>
      <c r="D2153" s="3"/>
      <c r="E2153" s="3" t="s">
        <v>6275</v>
      </c>
      <c r="F2153" s="3"/>
      <c r="G2153" s="3"/>
      <c r="H2153" s="3"/>
      <c r="I2153" s="3"/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/>
      <c r="P2153" s="3">
        <v>0</v>
      </c>
      <c r="Q2153" s="3">
        <v>0</v>
      </c>
      <c r="R2153" s="3">
        <v>0</v>
      </c>
    </row>
    <row r="2154" spans="1:18">
      <c r="A2154" s="3" t="s">
        <v>9477</v>
      </c>
      <c r="B2154" s="3" t="s">
        <v>9478</v>
      </c>
      <c r="C2154" s="3" t="s">
        <v>9479</v>
      </c>
      <c r="D2154" s="3"/>
      <c r="E2154" s="3" t="s">
        <v>6275</v>
      </c>
      <c r="F2154" s="3"/>
      <c r="G2154" s="3"/>
      <c r="H2154" s="3"/>
      <c r="I2154" s="3"/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/>
      <c r="P2154" s="3">
        <v>0</v>
      </c>
      <c r="Q2154" s="3">
        <v>0</v>
      </c>
      <c r="R2154" s="3">
        <v>0</v>
      </c>
    </row>
    <row r="2155" spans="1:18">
      <c r="A2155" s="3" t="s">
        <v>9480</v>
      </c>
      <c r="B2155" s="3" t="s">
        <v>9481</v>
      </c>
      <c r="C2155" s="3" t="s">
        <v>9482</v>
      </c>
      <c r="D2155" s="3"/>
      <c r="E2155" s="3" t="s">
        <v>6275</v>
      </c>
      <c r="F2155" s="3"/>
      <c r="G2155" s="3"/>
      <c r="H2155" s="3"/>
      <c r="I2155" s="3"/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/>
      <c r="P2155" s="3">
        <v>0</v>
      </c>
      <c r="Q2155" s="3">
        <v>0</v>
      </c>
      <c r="R2155" s="3">
        <v>0</v>
      </c>
    </row>
    <row r="2156" spans="1:18">
      <c r="A2156" s="3" t="s">
        <v>9483</v>
      </c>
      <c r="B2156" s="3" t="s">
        <v>9484</v>
      </c>
      <c r="C2156" s="3" t="s">
        <v>9485</v>
      </c>
      <c r="D2156" s="3"/>
      <c r="E2156" s="3" t="s">
        <v>6275</v>
      </c>
      <c r="F2156" s="3"/>
      <c r="G2156" s="3"/>
      <c r="H2156" s="3"/>
      <c r="I2156" s="3"/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/>
      <c r="P2156" s="3">
        <v>0</v>
      </c>
      <c r="Q2156" s="3">
        <v>0</v>
      </c>
      <c r="R2156" s="3">
        <v>0</v>
      </c>
    </row>
    <row r="2157" spans="1:18">
      <c r="A2157" s="3" t="s">
        <v>9486</v>
      </c>
      <c r="B2157" s="3" t="s">
        <v>9487</v>
      </c>
      <c r="C2157" s="3" t="s">
        <v>9488</v>
      </c>
      <c r="D2157" s="3"/>
      <c r="E2157" s="3" t="s">
        <v>6275</v>
      </c>
      <c r="F2157" s="3"/>
      <c r="G2157" s="3"/>
      <c r="H2157" s="3"/>
      <c r="I2157" s="3"/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/>
      <c r="P2157" s="3">
        <v>0</v>
      </c>
      <c r="Q2157" s="3">
        <v>0</v>
      </c>
      <c r="R2157" s="3">
        <v>0</v>
      </c>
    </row>
    <row r="2158" spans="1:18">
      <c r="A2158" s="3" t="s">
        <v>9489</v>
      </c>
      <c r="B2158" s="3" t="s">
        <v>9490</v>
      </c>
      <c r="C2158" s="3" t="s">
        <v>9491</v>
      </c>
      <c r="D2158" s="3"/>
      <c r="E2158" s="3" t="s">
        <v>6275</v>
      </c>
      <c r="F2158" s="3"/>
      <c r="G2158" s="3"/>
      <c r="H2158" s="3"/>
      <c r="I2158" s="3"/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/>
      <c r="P2158" s="3">
        <v>0</v>
      </c>
      <c r="Q2158" s="3">
        <v>0</v>
      </c>
      <c r="R2158" s="3">
        <v>0</v>
      </c>
    </row>
    <row r="2159" spans="1:18">
      <c r="A2159" s="3" t="s">
        <v>9492</v>
      </c>
      <c r="B2159" s="3" t="s">
        <v>9493</v>
      </c>
      <c r="C2159" s="3" t="s">
        <v>9494</v>
      </c>
      <c r="D2159" s="3"/>
      <c r="E2159" s="3" t="s">
        <v>6275</v>
      </c>
      <c r="F2159" s="3"/>
      <c r="G2159" s="3"/>
      <c r="H2159" s="3"/>
      <c r="I2159" s="3"/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/>
      <c r="P2159" s="3">
        <v>0</v>
      </c>
      <c r="Q2159" s="3">
        <v>0</v>
      </c>
      <c r="R2159" s="3">
        <v>0</v>
      </c>
    </row>
    <row r="2160" spans="1:18">
      <c r="A2160" s="3" t="s">
        <v>9495</v>
      </c>
      <c r="B2160" s="3" t="s">
        <v>9496</v>
      </c>
      <c r="C2160" s="3" t="s">
        <v>9497</v>
      </c>
      <c r="D2160" s="3"/>
      <c r="E2160" s="3" t="s">
        <v>6275</v>
      </c>
      <c r="F2160" s="3"/>
      <c r="G2160" s="3"/>
      <c r="H2160" s="3"/>
      <c r="I2160" s="3"/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/>
      <c r="P2160" s="3">
        <v>0</v>
      </c>
      <c r="Q2160" s="3">
        <v>0</v>
      </c>
      <c r="R2160" s="3">
        <v>0</v>
      </c>
    </row>
    <row r="2161" spans="1:18">
      <c r="A2161" s="3" t="s">
        <v>9498</v>
      </c>
      <c r="B2161" s="3" t="s">
        <v>9499</v>
      </c>
      <c r="C2161" s="3" t="s">
        <v>9500</v>
      </c>
      <c r="D2161" s="3"/>
      <c r="E2161" s="3" t="s">
        <v>6275</v>
      </c>
      <c r="F2161" s="3"/>
      <c r="G2161" s="3"/>
      <c r="H2161" s="3"/>
      <c r="I2161" s="3"/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/>
      <c r="P2161" s="3">
        <v>0</v>
      </c>
      <c r="Q2161" s="3">
        <v>0</v>
      </c>
      <c r="R2161" s="3">
        <v>0</v>
      </c>
    </row>
    <row r="2162" spans="1:18">
      <c r="A2162" s="3" t="s">
        <v>9501</v>
      </c>
      <c r="B2162" s="3" t="s">
        <v>9502</v>
      </c>
      <c r="C2162" s="3" t="s">
        <v>9503</v>
      </c>
      <c r="D2162" s="3"/>
      <c r="E2162" s="3" t="s">
        <v>6275</v>
      </c>
      <c r="F2162" s="3"/>
      <c r="G2162" s="3"/>
      <c r="H2162" s="3"/>
      <c r="I2162" s="3"/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/>
      <c r="P2162" s="3">
        <v>0</v>
      </c>
      <c r="Q2162" s="3">
        <v>0</v>
      </c>
      <c r="R2162" s="3">
        <v>0</v>
      </c>
    </row>
    <row r="2163" spans="1:18">
      <c r="A2163" s="3" t="s">
        <v>9504</v>
      </c>
      <c r="B2163" s="3" t="s">
        <v>9505</v>
      </c>
      <c r="C2163" s="3" t="s">
        <v>9506</v>
      </c>
      <c r="D2163" s="3"/>
      <c r="E2163" s="3" t="s">
        <v>6275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9507</v>
      </c>
      <c r="B2164" s="3" t="s">
        <v>9508</v>
      </c>
      <c r="C2164" s="3" t="s">
        <v>9509</v>
      </c>
      <c r="D2164" s="3"/>
      <c r="E2164" s="3" t="s">
        <v>6275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9510</v>
      </c>
      <c r="B2165" s="3" t="s">
        <v>9511</v>
      </c>
      <c r="C2165" s="3" t="s">
        <v>9512</v>
      </c>
      <c r="D2165" s="3"/>
      <c r="E2165" s="3" t="s">
        <v>6275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9513</v>
      </c>
      <c r="B2166" s="3" t="s">
        <v>9514</v>
      </c>
      <c r="C2166" s="3" t="s">
        <v>9515</v>
      </c>
      <c r="D2166" s="3"/>
      <c r="E2166" s="3" t="s">
        <v>6275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9516</v>
      </c>
      <c r="B2167" s="3" t="s">
        <v>9517</v>
      </c>
      <c r="C2167" s="3" t="s">
        <v>9518</v>
      </c>
      <c r="D2167" s="3"/>
      <c r="E2167" s="3" t="s">
        <v>6275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9519</v>
      </c>
      <c r="B2168" s="3" t="s">
        <v>9520</v>
      </c>
      <c r="C2168" s="3" t="s">
        <v>9521</v>
      </c>
      <c r="D2168" s="3"/>
      <c r="E2168" s="3" t="s">
        <v>6275</v>
      </c>
      <c r="F2168" s="3"/>
      <c r="G2168" s="3"/>
      <c r="H2168" s="3"/>
      <c r="I2168" s="3"/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/>
      <c r="P2168" s="3">
        <v>0</v>
      </c>
      <c r="Q2168" s="3">
        <v>0</v>
      </c>
      <c r="R2168" s="3">
        <v>0</v>
      </c>
    </row>
    <row r="2169" spans="1:18">
      <c r="A2169" s="3" t="s">
        <v>9522</v>
      </c>
      <c r="B2169" s="3" t="s">
        <v>9523</v>
      </c>
      <c r="C2169" s="3" t="s">
        <v>9524</v>
      </c>
      <c r="D2169" s="3"/>
      <c r="E2169" s="3" t="s">
        <v>6275</v>
      </c>
      <c r="F2169" s="3"/>
      <c r="G2169" s="3"/>
      <c r="H2169" s="3"/>
      <c r="I2169" s="3"/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/>
      <c r="P2169" s="3">
        <v>0</v>
      </c>
      <c r="Q2169" s="3">
        <v>0</v>
      </c>
      <c r="R2169" s="3">
        <v>0</v>
      </c>
    </row>
    <row r="2170" spans="1:18">
      <c r="A2170" s="3" t="s">
        <v>9525</v>
      </c>
      <c r="B2170" s="3" t="s">
        <v>9526</v>
      </c>
      <c r="C2170" s="3" t="s">
        <v>9527</v>
      </c>
      <c r="D2170" s="3"/>
      <c r="E2170" s="3" t="s">
        <v>6275</v>
      </c>
      <c r="F2170" s="3"/>
      <c r="G2170" s="3"/>
      <c r="H2170" s="3"/>
      <c r="I2170" s="3"/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/>
      <c r="P2170" s="3">
        <v>0</v>
      </c>
      <c r="Q2170" s="3">
        <v>0</v>
      </c>
      <c r="R2170" s="3">
        <v>0</v>
      </c>
    </row>
    <row r="2171" spans="1:18">
      <c r="A2171" s="3" t="s">
        <v>9528</v>
      </c>
      <c r="B2171" s="3" t="s">
        <v>9529</v>
      </c>
      <c r="C2171" s="3" t="s">
        <v>9530</v>
      </c>
      <c r="D2171" s="3"/>
      <c r="E2171" s="3" t="s">
        <v>6275</v>
      </c>
      <c r="F2171" s="3"/>
      <c r="G2171" s="3"/>
      <c r="H2171" s="3"/>
      <c r="I2171" s="3"/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/>
      <c r="P2171" s="3">
        <v>0</v>
      </c>
      <c r="Q2171" s="3">
        <v>0</v>
      </c>
      <c r="R2171" s="3">
        <v>0</v>
      </c>
    </row>
    <row r="2172" spans="1:18">
      <c r="A2172" s="3" t="s">
        <v>9531</v>
      </c>
      <c r="B2172" s="3" t="s">
        <v>9532</v>
      </c>
      <c r="C2172" s="3" t="s">
        <v>9533</v>
      </c>
      <c r="D2172" s="3"/>
      <c r="E2172" s="3" t="s">
        <v>6275</v>
      </c>
      <c r="F2172" s="3"/>
      <c r="G2172" s="3"/>
      <c r="H2172" s="3"/>
      <c r="I2172" s="3"/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/>
      <c r="P2172" s="3">
        <v>0</v>
      </c>
      <c r="Q2172" s="3">
        <v>0</v>
      </c>
      <c r="R2172" s="3">
        <v>0</v>
      </c>
    </row>
    <row r="2173" spans="1:18">
      <c r="A2173" s="3" t="s">
        <v>9534</v>
      </c>
      <c r="B2173" s="3" t="s">
        <v>9535</v>
      </c>
      <c r="C2173" s="3" t="s">
        <v>9536</v>
      </c>
      <c r="D2173" s="3"/>
      <c r="E2173" s="3" t="s">
        <v>6275</v>
      </c>
      <c r="F2173" s="3"/>
      <c r="G2173" s="3"/>
      <c r="H2173" s="3"/>
      <c r="I2173" s="3"/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/>
      <c r="P2173" s="3">
        <v>0</v>
      </c>
      <c r="Q2173" s="3">
        <v>0</v>
      </c>
      <c r="R2173" s="3">
        <v>0</v>
      </c>
    </row>
    <row r="2174" spans="1:18">
      <c r="A2174" s="3" t="s">
        <v>9537</v>
      </c>
      <c r="B2174" s="3" t="s">
        <v>9538</v>
      </c>
      <c r="C2174" s="3" t="s">
        <v>9539</v>
      </c>
      <c r="D2174" s="3"/>
      <c r="E2174" s="3" t="s">
        <v>6275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9540</v>
      </c>
      <c r="B2175" s="3" t="s">
        <v>9541</v>
      </c>
      <c r="C2175" s="3" t="s">
        <v>9542</v>
      </c>
      <c r="D2175" s="3"/>
      <c r="E2175" s="3" t="s">
        <v>6275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9543</v>
      </c>
      <c r="B2176" s="3" t="s">
        <v>9544</v>
      </c>
      <c r="C2176" s="3" t="s">
        <v>9545</v>
      </c>
      <c r="D2176" s="3"/>
      <c r="E2176" s="3" t="s">
        <v>6275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9546</v>
      </c>
      <c r="B2177" s="3" t="s">
        <v>9547</v>
      </c>
      <c r="C2177" s="3" t="s">
        <v>9548</v>
      </c>
      <c r="D2177" s="3"/>
      <c r="E2177" s="3" t="s">
        <v>6275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9549</v>
      </c>
      <c r="B2178" s="3" t="s">
        <v>9550</v>
      </c>
      <c r="C2178" s="3" t="s">
        <v>9551</v>
      </c>
      <c r="D2178" s="3"/>
      <c r="E2178" s="3" t="s">
        <v>6275</v>
      </c>
      <c r="F2178" s="3"/>
      <c r="G2178" s="3"/>
      <c r="H2178" s="3"/>
      <c r="I2178" s="3"/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/>
      <c r="P2178" s="3">
        <v>0</v>
      </c>
      <c r="Q2178" s="3">
        <v>0</v>
      </c>
      <c r="R2178" s="3">
        <v>0</v>
      </c>
    </row>
    <row r="2179" spans="1:18">
      <c r="A2179" s="3" t="s">
        <v>9552</v>
      </c>
      <c r="B2179" s="3" t="s">
        <v>9553</v>
      </c>
      <c r="C2179" s="3" t="s">
        <v>9554</v>
      </c>
      <c r="D2179" s="3"/>
      <c r="E2179" s="3" t="s">
        <v>6275</v>
      </c>
      <c r="F2179" s="3"/>
      <c r="G2179" s="3"/>
      <c r="H2179" s="3"/>
      <c r="I2179" s="3"/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/>
      <c r="P2179" s="3">
        <v>0</v>
      </c>
      <c r="Q2179" s="3">
        <v>0</v>
      </c>
      <c r="R2179" s="3">
        <v>0</v>
      </c>
    </row>
    <row r="2180" spans="1:18">
      <c r="A2180" s="3" t="s">
        <v>9555</v>
      </c>
      <c r="B2180" s="3" t="s">
        <v>9556</v>
      </c>
      <c r="C2180" s="3" t="s">
        <v>9557</v>
      </c>
      <c r="D2180" s="3"/>
      <c r="E2180" s="3" t="s">
        <v>6275</v>
      </c>
      <c r="F2180" s="3"/>
      <c r="G2180" s="3"/>
      <c r="H2180" s="3"/>
      <c r="I2180" s="3"/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/>
      <c r="P2180" s="3">
        <v>0</v>
      </c>
      <c r="Q2180" s="3">
        <v>0</v>
      </c>
      <c r="R2180" s="3">
        <v>0</v>
      </c>
    </row>
    <row r="2181" spans="1:18">
      <c r="A2181" s="3" t="s">
        <v>9558</v>
      </c>
      <c r="B2181" s="3" t="s">
        <v>9559</v>
      </c>
      <c r="C2181" s="3" t="s">
        <v>9560</v>
      </c>
      <c r="D2181" s="3"/>
      <c r="E2181" s="3" t="s">
        <v>6275</v>
      </c>
      <c r="F2181" s="3"/>
      <c r="G2181" s="3"/>
      <c r="H2181" s="3"/>
      <c r="I2181" s="3"/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/>
      <c r="P2181" s="3">
        <v>0</v>
      </c>
      <c r="Q2181" s="3">
        <v>0</v>
      </c>
      <c r="R2181" s="3">
        <v>0</v>
      </c>
    </row>
    <row r="2182" spans="1:18">
      <c r="A2182" s="3" t="s">
        <v>9561</v>
      </c>
      <c r="B2182" s="3" t="s">
        <v>9562</v>
      </c>
      <c r="C2182" s="3" t="s">
        <v>9563</v>
      </c>
      <c r="D2182" s="3"/>
      <c r="E2182" s="3" t="s">
        <v>6275</v>
      </c>
      <c r="F2182" s="3"/>
      <c r="G2182" s="3"/>
      <c r="H2182" s="3"/>
      <c r="I2182" s="3"/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/>
      <c r="P2182" s="3">
        <v>0</v>
      </c>
      <c r="Q2182" s="3">
        <v>0</v>
      </c>
      <c r="R2182" s="3">
        <v>0</v>
      </c>
    </row>
    <row r="2183" spans="1:18">
      <c r="A2183" s="3" t="s">
        <v>9564</v>
      </c>
      <c r="B2183" s="3" t="s">
        <v>9565</v>
      </c>
      <c r="C2183" s="3" t="s">
        <v>9566</v>
      </c>
      <c r="D2183" s="3"/>
      <c r="E2183" s="3" t="s">
        <v>6275</v>
      </c>
      <c r="F2183" s="3"/>
      <c r="G2183" s="3"/>
      <c r="H2183" s="3"/>
      <c r="I2183" s="3"/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/>
      <c r="P2183" s="3">
        <v>0</v>
      </c>
      <c r="Q2183" s="3">
        <v>0</v>
      </c>
      <c r="R2183" s="3">
        <v>0</v>
      </c>
    </row>
    <row r="2184" spans="1:18">
      <c r="A2184" s="3" t="s">
        <v>9567</v>
      </c>
      <c r="B2184" s="3" t="s">
        <v>9568</v>
      </c>
      <c r="C2184" s="3" t="s">
        <v>9569</v>
      </c>
      <c r="D2184" s="3"/>
      <c r="E2184" s="3" t="s">
        <v>6275</v>
      </c>
      <c r="F2184" s="3"/>
      <c r="G2184" s="3"/>
      <c r="H2184" s="3"/>
      <c r="I2184" s="3"/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/>
      <c r="P2184" s="3">
        <v>0</v>
      </c>
      <c r="Q2184" s="3">
        <v>0</v>
      </c>
      <c r="R2184" s="3">
        <v>0</v>
      </c>
    </row>
    <row r="2185" spans="1:18">
      <c r="A2185" s="3" t="s">
        <v>9570</v>
      </c>
      <c r="B2185" s="3" t="s">
        <v>9571</v>
      </c>
      <c r="C2185" s="3" t="s">
        <v>9572</v>
      </c>
      <c r="D2185" s="3"/>
      <c r="E2185" s="3" t="s">
        <v>6275</v>
      </c>
      <c r="F2185" s="3"/>
      <c r="G2185" s="3"/>
      <c r="H2185" s="3"/>
      <c r="I2185" s="3"/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/>
      <c r="P2185" s="3">
        <v>0</v>
      </c>
      <c r="Q2185" s="3">
        <v>0</v>
      </c>
      <c r="R2185" s="3">
        <v>0</v>
      </c>
    </row>
    <row r="2186" spans="1:18">
      <c r="A2186" s="3" t="s">
        <v>9573</v>
      </c>
      <c r="B2186" s="3" t="s">
        <v>9574</v>
      </c>
      <c r="C2186" s="3" t="s">
        <v>9575</v>
      </c>
      <c r="D2186" s="3"/>
      <c r="E2186" s="3" t="s">
        <v>6275</v>
      </c>
      <c r="F2186" s="3"/>
      <c r="G2186" s="3"/>
      <c r="H2186" s="3"/>
      <c r="I2186" s="3"/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/>
      <c r="P2186" s="3">
        <v>0</v>
      </c>
      <c r="Q2186" s="3">
        <v>0</v>
      </c>
      <c r="R2186" s="3">
        <v>0</v>
      </c>
    </row>
    <row r="2187" spans="1:18">
      <c r="A2187" s="3" t="s">
        <v>9576</v>
      </c>
      <c r="B2187" s="3" t="s">
        <v>9577</v>
      </c>
      <c r="C2187" s="3" t="s">
        <v>9578</v>
      </c>
      <c r="D2187" s="3"/>
      <c r="E2187" s="3" t="s">
        <v>6275</v>
      </c>
      <c r="F2187" s="3"/>
      <c r="G2187" s="3"/>
      <c r="H2187" s="3"/>
      <c r="I2187" s="3"/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/>
      <c r="P2187" s="3">
        <v>0</v>
      </c>
      <c r="Q2187" s="3">
        <v>0</v>
      </c>
      <c r="R2187" s="3">
        <v>0</v>
      </c>
    </row>
    <row r="2188" spans="1:18">
      <c r="A2188" s="3" t="s">
        <v>9579</v>
      </c>
      <c r="B2188" s="3" t="s">
        <v>9580</v>
      </c>
      <c r="C2188" s="3" t="s">
        <v>9581</v>
      </c>
      <c r="D2188" s="3"/>
      <c r="E2188" s="3" t="s">
        <v>6275</v>
      </c>
      <c r="F2188" s="3"/>
      <c r="G2188" s="3"/>
      <c r="H2188" s="3"/>
      <c r="I2188" s="3"/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/>
      <c r="P2188" s="3">
        <v>0</v>
      </c>
      <c r="Q2188" s="3">
        <v>0</v>
      </c>
      <c r="R2188" s="3">
        <v>0</v>
      </c>
    </row>
    <row r="2189" spans="1:18">
      <c r="A2189" s="3" t="s">
        <v>9582</v>
      </c>
      <c r="B2189" s="3" t="s">
        <v>9583</v>
      </c>
      <c r="C2189" s="3" t="s">
        <v>9584</v>
      </c>
      <c r="D2189" s="3"/>
      <c r="E2189" s="3" t="s">
        <v>6275</v>
      </c>
      <c r="F2189" s="3"/>
      <c r="G2189" s="3"/>
      <c r="H2189" s="3"/>
      <c r="I2189" s="3"/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/>
      <c r="P2189" s="3">
        <v>0</v>
      </c>
      <c r="Q2189" s="3">
        <v>0</v>
      </c>
      <c r="R2189" s="3">
        <v>0</v>
      </c>
    </row>
    <row r="2190" spans="1:18">
      <c r="A2190" s="3" t="s">
        <v>9585</v>
      </c>
      <c r="B2190" s="3" t="s">
        <v>9586</v>
      </c>
      <c r="C2190" s="3" t="s">
        <v>9587</v>
      </c>
      <c r="D2190" s="3"/>
      <c r="E2190" s="3" t="s">
        <v>6275</v>
      </c>
      <c r="F2190" s="3"/>
      <c r="G2190" s="3"/>
      <c r="H2190" s="3"/>
      <c r="I2190" s="3"/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/>
      <c r="P2190" s="3">
        <v>0</v>
      </c>
      <c r="Q2190" s="3">
        <v>0</v>
      </c>
      <c r="R2190" s="3">
        <v>0</v>
      </c>
    </row>
    <row r="2191" spans="1:18">
      <c r="A2191" s="3" t="s">
        <v>9588</v>
      </c>
      <c r="B2191" s="3" t="s">
        <v>9589</v>
      </c>
      <c r="C2191" s="3" t="s">
        <v>9590</v>
      </c>
      <c r="D2191" s="3"/>
      <c r="E2191" s="3" t="s">
        <v>6275</v>
      </c>
      <c r="F2191" s="3"/>
      <c r="G2191" s="3"/>
      <c r="H2191" s="3"/>
      <c r="I2191" s="3"/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/>
      <c r="P2191" s="3">
        <v>0</v>
      </c>
      <c r="Q2191" s="3">
        <v>0</v>
      </c>
      <c r="R2191" s="3">
        <v>0</v>
      </c>
    </row>
    <row r="2192" spans="1:18">
      <c r="A2192" s="3" t="s">
        <v>9591</v>
      </c>
      <c r="B2192" s="3" t="s">
        <v>9592</v>
      </c>
      <c r="C2192" s="3" t="s">
        <v>9593</v>
      </c>
      <c r="D2192" s="3"/>
      <c r="E2192" s="3" t="s">
        <v>6275</v>
      </c>
      <c r="F2192" s="3"/>
      <c r="G2192" s="3"/>
      <c r="H2192" s="3"/>
      <c r="I2192" s="3"/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/>
      <c r="P2192" s="3">
        <v>0</v>
      </c>
      <c r="Q2192" s="3">
        <v>0</v>
      </c>
      <c r="R2192" s="3">
        <v>0</v>
      </c>
    </row>
    <row r="2193" spans="1:18">
      <c r="A2193" s="3" t="s">
        <v>9594</v>
      </c>
      <c r="B2193" s="3" t="s">
        <v>9595</v>
      </c>
      <c r="C2193" s="3" t="s">
        <v>9596</v>
      </c>
      <c r="D2193" s="3"/>
      <c r="E2193" s="3" t="s">
        <v>6275</v>
      </c>
      <c r="F2193" s="3"/>
      <c r="G2193" s="3"/>
      <c r="H2193" s="3"/>
      <c r="I2193" s="3"/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/>
      <c r="P2193" s="3">
        <v>0</v>
      </c>
      <c r="Q2193" s="3">
        <v>0</v>
      </c>
      <c r="R2193" s="3">
        <v>0</v>
      </c>
    </row>
    <row r="2194" spans="1:18">
      <c r="A2194" s="3" t="s">
        <v>9597</v>
      </c>
      <c r="B2194" s="3" t="s">
        <v>9598</v>
      </c>
      <c r="C2194" s="3" t="s">
        <v>9599</v>
      </c>
      <c r="D2194" s="3"/>
      <c r="E2194" s="3" t="s">
        <v>6275</v>
      </c>
      <c r="F2194" s="3"/>
      <c r="G2194" s="3"/>
      <c r="H2194" s="3"/>
      <c r="I2194" s="3"/>
      <c r="J2194" s="3">
        <v>0</v>
      </c>
      <c r="K2194" s="3">
        <v>0</v>
      </c>
      <c r="L2194" s="3">
        <v>0</v>
      </c>
      <c r="M2194" s="3">
        <v>0</v>
      </c>
      <c r="N2194" s="3">
        <v>0</v>
      </c>
      <c r="O2194" s="3"/>
      <c r="P2194" s="3">
        <v>0</v>
      </c>
      <c r="Q2194" s="3">
        <v>0</v>
      </c>
      <c r="R2194" s="3">
        <v>0</v>
      </c>
    </row>
    <row r="2195" spans="1:18">
      <c r="A2195" s="3" t="s">
        <v>9600</v>
      </c>
      <c r="B2195" s="3" t="s">
        <v>9601</v>
      </c>
      <c r="C2195" s="3" t="s">
        <v>9602</v>
      </c>
      <c r="D2195" s="3"/>
      <c r="E2195" s="3" t="s">
        <v>6275</v>
      </c>
      <c r="F2195" s="3"/>
      <c r="G2195" s="3"/>
      <c r="H2195" s="3"/>
      <c r="I2195" s="3"/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9603</v>
      </c>
      <c r="B2196" s="3" t="s">
        <v>9604</v>
      </c>
      <c r="C2196" s="3" t="s">
        <v>9605</v>
      </c>
      <c r="D2196" s="3"/>
      <c r="E2196" s="3" t="s">
        <v>6275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9606</v>
      </c>
      <c r="B2197" s="3" t="s">
        <v>9607</v>
      </c>
      <c r="C2197" s="3" t="s">
        <v>9608</v>
      </c>
      <c r="D2197" s="3"/>
      <c r="E2197" s="3" t="s">
        <v>6275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9609</v>
      </c>
      <c r="B2198" s="3" t="s">
        <v>9610</v>
      </c>
      <c r="C2198" s="3" t="s">
        <v>9611</v>
      </c>
      <c r="D2198" s="3"/>
      <c r="E2198" s="3" t="s">
        <v>6275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9612</v>
      </c>
      <c r="B2199" s="3" t="s">
        <v>9613</v>
      </c>
      <c r="C2199" s="3" t="s">
        <v>9614</v>
      </c>
      <c r="D2199" s="3"/>
      <c r="E2199" s="3" t="s">
        <v>6275</v>
      </c>
      <c r="F2199" s="3"/>
      <c r="G2199" s="3"/>
      <c r="H2199" s="3"/>
      <c r="I2199" s="3"/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9615</v>
      </c>
      <c r="B2200" s="3" t="s">
        <v>9616</v>
      </c>
      <c r="C2200" s="3" t="s">
        <v>9617</v>
      </c>
      <c r="D2200" s="3" t="s">
        <v>9618</v>
      </c>
      <c r="E2200" s="3" t="s">
        <v>1710</v>
      </c>
      <c r="F2200" s="3">
        <v>39.99</v>
      </c>
      <c r="G2200" s="3" t="s">
        <v>6233</v>
      </c>
      <c r="H2200" s="3"/>
      <c r="I2200" s="3" t="s">
        <v>6234</v>
      </c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>
        <v>0.03</v>
      </c>
      <c r="P2200" s="3">
        <v>0</v>
      </c>
      <c r="Q2200" s="3">
        <v>0</v>
      </c>
      <c r="R2200" s="3">
        <v>0</v>
      </c>
    </row>
    <row r="2201" spans="1:18">
      <c r="A2201" s="3" t="s">
        <v>9619</v>
      </c>
      <c r="B2201" s="3" t="s">
        <v>9620</v>
      </c>
      <c r="C2201" s="3" t="s">
        <v>9621</v>
      </c>
      <c r="D2201" s="3" t="s">
        <v>9618</v>
      </c>
      <c r="E2201" s="3" t="s">
        <v>1710</v>
      </c>
      <c r="F2201" s="3">
        <v>39.99</v>
      </c>
      <c r="G2201" s="3" t="s">
        <v>6233</v>
      </c>
      <c r="H2201" s="3"/>
      <c r="I2201" s="3" t="s">
        <v>6234</v>
      </c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>
        <v>0.03</v>
      </c>
      <c r="P2201" s="3">
        <v>0</v>
      </c>
      <c r="Q2201" s="3">
        <v>0</v>
      </c>
      <c r="R2201" s="3">
        <v>0</v>
      </c>
    </row>
    <row r="2202" spans="1:18">
      <c r="A2202" s="3" t="s">
        <v>9622</v>
      </c>
      <c r="B2202" s="3" t="s">
        <v>9623</v>
      </c>
      <c r="C2202" s="3" t="s">
        <v>9624</v>
      </c>
      <c r="D2202" s="3" t="s">
        <v>9618</v>
      </c>
      <c r="E2202" s="3" t="s">
        <v>1710</v>
      </c>
      <c r="F2202" s="3">
        <v>39.99</v>
      </c>
      <c r="G2202" s="3" t="s">
        <v>6233</v>
      </c>
      <c r="H2202" s="3"/>
      <c r="I2202" s="3" t="s">
        <v>6234</v>
      </c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>
        <v>0.03</v>
      </c>
      <c r="P2202" s="3">
        <v>0</v>
      </c>
      <c r="Q2202" s="3">
        <v>0</v>
      </c>
      <c r="R2202" s="3">
        <v>0</v>
      </c>
    </row>
    <row r="2203" spans="1:18">
      <c r="A2203" s="3" t="s">
        <v>9625</v>
      </c>
      <c r="B2203" s="3" t="s">
        <v>9626</v>
      </c>
      <c r="C2203" s="3" t="s">
        <v>9627</v>
      </c>
      <c r="D2203" s="3" t="s">
        <v>9618</v>
      </c>
      <c r="E2203" s="3" t="s">
        <v>1710</v>
      </c>
      <c r="F2203" s="3">
        <v>39.99</v>
      </c>
      <c r="G2203" s="3" t="s">
        <v>6233</v>
      </c>
      <c r="H2203" s="3"/>
      <c r="I2203" s="3" t="s">
        <v>6234</v>
      </c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>
        <v>0.03</v>
      </c>
      <c r="P2203" s="3">
        <v>0</v>
      </c>
      <c r="Q2203" s="3">
        <v>0</v>
      </c>
      <c r="R2203" s="3">
        <v>0</v>
      </c>
    </row>
    <row r="2204" spans="1:18">
      <c r="A2204" s="3" t="s">
        <v>9628</v>
      </c>
      <c r="B2204" s="3" t="s">
        <v>9629</v>
      </c>
      <c r="C2204" s="3" t="s">
        <v>9630</v>
      </c>
      <c r="D2204" s="3" t="s">
        <v>9618</v>
      </c>
      <c r="E2204" s="3" t="s">
        <v>1710</v>
      </c>
      <c r="F2204" s="3">
        <v>39.99</v>
      </c>
      <c r="G2204" s="3" t="s">
        <v>6233</v>
      </c>
      <c r="H2204" s="3"/>
      <c r="I2204" s="3" t="s">
        <v>6234</v>
      </c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>
        <v>0.03</v>
      </c>
      <c r="P2204" s="3">
        <v>0</v>
      </c>
      <c r="Q2204" s="3">
        <v>0</v>
      </c>
      <c r="R2204" s="3">
        <v>0</v>
      </c>
    </row>
    <row r="2205" spans="1:18">
      <c r="A2205" s="3" t="s">
        <v>9631</v>
      </c>
      <c r="B2205" s="3" t="s">
        <v>9632</v>
      </c>
      <c r="C2205" s="3" t="s">
        <v>9633</v>
      </c>
      <c r="D2205" s="3" t="s">
        <v>9618</v>
      </c>
      <c r="E2205" s="3" t="s">
        <v>1710</v>
      </c>
      <c r="F2205" s="3">
        <v>39.99</v>
      </c>
      <c r="G2205" s="3" t="s">
        <v>6233</v>
      </c>
      <c r="H2205" s="3"/>
      <c r="I2205" s="3" t="s">
        <v>6234</v>
      </c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>
        <v>0.03</v>
      </c>
      <c r="P2205" s="3">
        <v>0</v>
      </c>
      <c r="Q2205" s="3">
        <v>0</v>
      </c>
      <c r="R2205" s="3">
        <v>0</v>
      </c>
    </row>
    <row r="2206" spans="1:18">
      <c r="A2206" s="3" t="s">
        <v>9634</v>
      </c>
      <c r="B2206" s="3" t="s">
        <v>9635</v>
      </c>
      <c r="C2206" s="3" t="s">
        <v>9636</v>
      </c>
      <c r="D2206" s="3" t="s">
        <v>9618</v>
      </c>
      <c r="E2206" s="3" t="s">
        <v>1710</v>
      </c>
      <c r="F2206" s="3">
        <v>39.99</v>
      </c>
      <c r="G2206" s="3" t="s">
        <v>6233</v>
      </c>
      <c r="H2206" s="3"/>
      <c r="I2206" s="3" t="s">
        <v>6234</v>
      </c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>
        <v>0.03</v>
      </c>
      <c r="P2206" s="3">
        <v>0</v>
      </c>
      <c r="Q2206" s="3">
        <v>0</v>
      </c>
      <c r="R2206" s="3">
        <v>0</v>
      </c>
    </row>
    <row r="2207" spans="1:18">
      <c r="A2207" s="3" t="s">
        <v>3529</v>
      </c>
      <c r="B2207" s="3" t="s">
        <v>3530</v>
      </c>
      <c r="C2207" s="3" t="s">
        <v>3531</v>
      </c>
      <c r="D2207" s="3" t="s">
        <v>3532</v>
      </c>
      <c r="E2207" s="3" t="s">
        <v>1710</v>
      </c>
      <c r="F2207" s="3">
        <v>15.99</v>
      </c>
      <c r="G2207" s="3" t="s">
        <v>6233</v>
      </c>
      <c r="H2207" s="3"/>
      <c r="I2207" s="3" t="s">
        <v>6234</v>
      </c>
      <c r="J2207" s="3">
        <v>16</v>
      </c>
      <c r="K2207" s="3">
        <v>15</v>
      </c>
      <c r="L2207" s="3">
        <v>1</v>
      </c>
      <c r="M2207" s="3">
        <v>0</v>
      </c>
      <c r="N2207" s="3">
        <v>16</v>
      </c>
      <c r="O2207" s="3">
        <v>0.09</v>
      </c>
      <c r="P2207" s="3">
        <v>0</v>
      </c>
      <c r="Q2207" s="3">
        <v>0</v>
      </c>
      <c r="R2207" s="3">
        <v>0</v>
      </c>
    </row>
    <row r="2208" spans="1:18">
      <c r="A2208" s="3" t="s">
        <v>1735</v>
      </c>
      <c r="B2208" s="3" t="s">
        <v>1736</v>
      </c>
      <c r="C2208" s="3" t="s">
        <v>1737</v>
      </c>
      <c r="D2208" s="3" t="s">
        <v>1738</v>
      </c>
      <c r="E2208" s="3" t="s">
        <v>1710</v>
      </c>
      <c r="F2208" s="3">
        <v>15.99</v>
      </c>
      <c r="G2208" s="3" t="s">
        <v>6233</v>
      </c>
      <c r="H2208" s="3"/>
      <c r="I2208" s="3" t="s">
        <v>6234</v>
      </c>
      <c r="J2208" s="3">
        <v>11</v>
      </c>
      <c r="K2208" s="3">
        <v>10</v>
      </c>
      <c r="L2208" s="3">
        <v>1</v>
      </c>
      <c r="M2208" s="3">
        <v>0</v>
      </c>
      <c r="N2208" s="3">
        <v>11</v>
      </c>
      <c r="O2208" s="3">
        <v>0.09</v>
      </c>
      <c r="P2208" s="3">
        <v>0</v>
      </c>
      <c r="Q2208" s="3">
        <v>0</v>
      </c>
      <c r="R2208" s="3">
        <v>0</v>
      </c>
    </row>
    <row r="2209" spans="1:18">
      <c r="A2209" s="3" t="s">
        <v>4669</v>
      </c>
      <c r="B2209" s="3" t="s">
        <v>4670</v>
      </c>
      <c r="C2209" s="3" t="s">
        <v>4671</v>
      </c>
      <c r="D2209" s="3" t="s">
        <v>4672</v>
      </c>
      <c r="E2209" s="3" t="s">
        <v>1710</v>
      </c>
      <c r="F2209" s="3">
        <v>15.99</v>
      </c>
      <c r="G2209" s="3" t="s">
        <v>6233</v>
      </c>
      <c r="H2209" s="3"/>
      <c r="I2209" s="3" t="s">
        <v>6234</v>
      </c>
      <c r="J2209" s="3">
        <v>45</v>
      </c>
      <c r="K2209" s="3">
        <v>41</v>
      </c>
      <c r="L2209" s="3">
        <v>4</v>
      </c>
      <c r="M2209" s="3">
        <v>0</v>
      </c>
      <c r="N2209" s="3">
        <v>45</v>
      </c>
      <c r="O2209" s="3">
        <v>0.09</v>
      </c>
      <c r="P2209" s="3">
        <v>0</v>
      </c>
      <c r="Q2209" s="3">
        <v>0</v>
      </c>
      <c r="R2209" s="3">
        <v>0</v>
      </c>
    </row>
    <row r="2210" spans="1:18">
      <c r="A2210" s="3" t="s">
        <v>883</v>
      </c>
      <c r="B2210" s="3" t="s">
        <v>884</v>
      </c>
      <c r="C2210" s="3" t="s">
        <v>885</v>
      </c>
      <c r="D2210" s="3" t="s">
        <v>886</v>
      </c>
      <c r="E2210" s="3" t="s">
        <v>1710</v>
      </c>
      <c r="F2210" s="3">
        <v>15.99</v>
      </c>
      <c r="G2210" s="3" t="s">
        <v>6233</v>
      </c>
      <c r="H2210" s="3"/>
      <c r="I2210" s="3" t="s">
        <v>6234</v>
      </c>
      <c r="J2210" s="3">
        <v>36</v>
      </c>
      <c r="K2210" s="3">
        <v>31</v>
      </c>
      <c r="L2210" s="3">
        <v>2</v>
      </c>
      <c r="M2210" s="3">
        <v>3</v>
      </c>
      <c r="N2210" s="3">
        <v>36</v>
      </c>
      <c r="O2210" s="3">
        <v>0.09</v>
      </c>
      <c r="P2210" s="3">
        <v>0</v>
      </c>
      <c r="Q2210" s="3">
        <v>0</v>
      </c>
      <c r="R2210" s="3">
        <v>0</v>
      </c>
    </row>
    <row r="2211" spans="1:18">
      <c r="A2211" s="3" t="s">
        <v>3902</v>
      </c>
      <c r="B2211" s="3" t="s">
        <v>3903</v>
      </c>
      <c r="C2211" s="3" t="s">
        <v>3904</v>
      </c>
      <c r="D2211" s="3" t="s">
        <v>3905</v>
      </c>
      <c r="E2211" s="3" t="s">
        <v>1710</v>
      </c>
      <c r="F2211" s="3">
        <v>15.99</v>
      </c>
      <c r="G2211" s="3" t="s">
        <v>6233</v>
      </c>
      <c r="H2211" s="3"/>
      <c r="I2211" s="3" t="s">
        <v>6234</v>
      </c>
      <c r="J2211" s="3">
        <v>16</v>
      </c>
      <c r="K2211" s="3">
        <v>15</v>
      </c>
      <c r="L2211" s="3">
        <v>1</v>
      </c>
      <c r="M2211" s="3">
        <v>0</v>
      </c>
      <c r="N2211" s="3">
        <v>16</v>
      </c>
      <c r="O2211" s="3">
        <v>0.09</v>
      </c>
      <c r="P2211" s="3">
        <v>0</v>
      </c>
      <c r="Q2211" s="3">
        <v>0</v>
      </c>
      <c r="R2211" s="3">
        <v>0</v>
      </c>
    </row>
    <row r="2212" spans="1:18">
      <c r="A2212" s="3" t="s">
        <v>1762</v>
      </c>
      <c r="B2212" s="3" t="s">
        <v>1763</v>
      </c>
      <c r="C2212" s="3" t="s">
        <v>1764</v>
      </c>
      <c r="D2212" s="3" t="s">
        <v>1765</v>
      </c>
      <c r="E2212" s="3" t="s">
        <v>1710</v>
      </c>
      <c r="F2212" s="3">
        <v>15.99</v>
      </c>
      <c r="G2212" s="3" t="s">
        <v>6233</v>
      </c>
      <c r="H2212" s="3"/>
      <c r="I2212" s="3" t="s">
        <v>6234</v>
      </c>
      <c r="J2212" s="3">
        <v>23</v>
      </c>
      <c r="K2212" s="3">
        <v>23</v>
      </c>
      <c r="L2212" s="3">
        <v>0</v>
      </c>
      <c r="M2212" s="3">
        <v>0</v>
      </c>
      <c r="N2212" s="3">
        <v>23</v>
      </c>
      <c r="O2212" s="3">
        <v>0.09</v>
      </c>
      <c r="P2212" s="3">
        <v>0</v>
      </c>
      <c r="Q2212" s="3">
        <v>0</v>
      </c>
      <c r="R2212" s="3">
        <v>0</v>
      </c>
    </row>
    <row r="2213" spans="1:18">
      <c r="A2213" s="3" t="s">
        <v>879</v>
      </c>
      <c r="B2213" s="3" t="s">
        <v>880</v>
      </c>
      <c r="C2213" s="3" t="s">
        <v>881</v>
      </c>
      <c r="D2213" s="3" t="s">
        <v>882</v>
      </c>
      <c r="E2213" s="3" t="s">
        <v>1710</v>
      </c>
      <c r="F2213" s="3">
        <v>15.99</v>
      </c>
      <c r="G2213" s="3" t="s">
        <v>6233</v>
      </c>
      <c r="H2213" s="3"/>
      <c r="I2213" s="3" t="s">
        <v>6234</v>
      </c>
      <c r="J2213" s="3">
        <v>17</v>
      </c>
      <c r="K2213" s="3">
        <v>16</v>
      </c>
      <c r="L2213" s="3">
        <v>0</v>
      </c>
      <c r="M2213" s="3">
        <v>1</v>
      </c>
      <c r="N2213" s="3">
        <v>17</v>
      </c>
      <c r="O2213" s="3">
        <v>0.09</v>
      </c>
      <c r="P2213" s="3">
        <v>0</v>
      </c>
      <c r="Q2213" s="3">
        <v>0</v>
      </c>
      <c r="R2213" s="3">
        <v>0</v>
      </c>
    </row>
    <row r="2214" spans="1:18">
      <c r="A2214" s="3" t="s">
        <v>979</v>
      </c>
      <c r="B2214" s="3" t="s">
        <v>980</v>
      </c>
      <c r="C2214" s="3" t="s">
        <v>981</v>
      </c>
      <c r="D2214" s="3" t="s">
        <v>982</v>
      </c>
      <c r="E2214" s="3" t="s">
        <v>1710</v>
      </c>
      <c r="F2214" s="3">
        <v>15.99</v>
      </c>
      <c r="G2214" s="3" t="s">
        <v>6233</v>
      </c>
      <c r="H2214" s="3"/>
      <c r="I2214" s="3" t="s">
        <v>6234</v>
      </c>
      <c r="J2214" s="3">
        <v>4</v>
      </c>
      <c r="K2214" s="3">
        <v>2</v>
      </c>
      <c r="L2214" s="3">
        <v>1</v>
      </c>
      <c r="M2214" s="3">
        <v>1</v>
      </c>
      <c r="N2214" s="3">
        <v>4</v>
      </c>
      <c r="O2214" s="3">
        <v>0.09</v>
      </c>
      <c r="P2214" s="3">
        <v>0</v>
      </c>
      <c r="Q2214" s="3">
        <v>0</v>
      </c>
      <c r="R2214" s="3">
        <v>0</v>
      </c>
    </row>
    <row r="2215" spans="1:18">
      <c r="A2215" s="3" t="s">
        <v>955</v>
      </c>
      <c r="B2215" s="3" t="s">
        <v>956</v>
      </c>
      <c r="C2215" s="3" t="s">
        <v>957</v>
      </c>
      <c r="D2215" s="3" t="s">
        <v>958</v>
      </c>
      <c r="E2215" s="3" t="s">
        <v>1710</v>
      </c>
      <c r="F2215" s="3">
        <v>15.99</v>
      </c>
      <c r="G2215" s="3" t="s">
        <v>6233</v>
      </c>
      <c r="H2215" s="3"/>
      <c r="I2215" s="3" t="s">
        <v>6234</v>
      </c>
      <c r="J2215" s="3">
        <v>8</v>
      </c>
      <c r="K2215" s="3">
        <v>6</v>
      </c>
      <c r="L2215" s="3">
        <v>1</v>
      </c>
      <c r="M2215" s="3">
        <v>1</v>
      </c>
      <c r="N2215" s="3">
        <v>8</v>
      </c>
      <c r="O2215" s="3">
        <v>0.09</v>
      </c>
      <c r="P2215" s="3">
        <v>0</v>
      </c>
      <c r="Q2215" s="3">
        <v>0</v>
      </c>
      <c r="R2215" s="3">
        <v>0</v>
      </c>
    </row>
    <row r="2216" spans="1:18">
      <c r="A2216" s="3" t="s">
        <v>991</v>
      </c>
      <c r="B2216" s="3" t="s">
        <v>992</v>
      </c>
      <c r="C2216" s="3" t="s">
        <v>993</v>
      </c>
      <c r="D2216" s="3" t="s">
        <v>994</v>
      </c>
      <c r="E2216" s="3" t="s">
        <v>1710</v>
      </c>
      <c r="F2216" s="3">
        <v>15.99</v>
      </c>
      <c r="G2216" s="3" t="s">
        <v>6233</v>
      </c>
      <c r="H2216" s="3"/>
      <c r="I2216" s="3" t="s">
        <v>6234</v>
      </c>
      <c r="J2216" s="3">
        <v>21</v>
      </c>
      <c r="K2216" s="3">
        <v>20</v>
      </c>
      <c r="L2216" s="3">
        <v>0</v>
      </c>
      <c r="M2216" s="3">
        <v>1</v>
      </c>
      <c r="N2216" s="3">
        <v>21</v>
      </c>
      <c r="O2216" s="3">
        <v>0.09</v>
      </c>
      <c r="P2216" s="3">
        <v>0</v>
      </c>
      <c r="Q2216" s="3">
        <v>0</v>
      </c>
      <c r="R2216" s="3">
        <v>0</v>
      </c>
    </row>
    <row r="2217" spans="1:18">
      <c r="A2217" s="3" t="s">
        <v>2682</v>
      </c>
      <c r="B2217" s="3" t="s">
        <v>2683</v>
      </c>
      <c r="C2217" s="3" t="s">
        <v>2684</v>
      </c>
      <c r="D2217" s="3" t="s">
        <v>2685</v>
      </c>
      <c r="E2217" s="3" t="s">
        <v>1710</v>
      </c>
      <c r="F2217" s="3">
        <v>15.99</v>
      </c>
      <c r="G2217" s="3" t="s">
        <v>6233</v>
      </c>
      <c r="H2217" s="3"/>
      <c r="I2217" s="3" t="s">
        <v>6234</v>
      </c>
      <c r="J2217" s="3">
        <v>19</v>
      </c>
      <c r="K2217" s="3">
        <v>19</v>
      </c>
      <c r="L2217" s="3">
        <v>0</v>
      </c>
      <c r="M2217" s="3">
        <v>0</v>
      </c>
      <c r="N2217" s="3">
        <v>19</v>
      </c>
      <c r="O2217" s="3">
        <v>0.09</v>
      </c>
      <c r="P2217" s="3">
        <v>0</v>
      </c>
      <c r="Q2217" s="3">
        <v>0</v>
      </c>
      <c r="R2217" s="3">
        <v>0</v>
      </c>
    </row>
    <row r="2218" spans="1:18">
      <c r="A2218" s="3" t="s">
        <v>983</v>
      </c>
      <c r="B2218" s="3" t="s">
        <v>984</v>
      </c>
      <c r="C2218" s="3" t="s">
        <v>985</v>
      </c>
      <c r="D2218" s="3" t="s">
        <v>986</v>
      </c>
      <c r="E2218" s="3" t="s">
        <v>1710</v>
      </c>
      <c r="F2218" s="3">
        <v>15.99</v>
      </c>
      <c r="G2218" s="3" t="s">
        <v>6233</v>
      </c>
      <c r="H2218" s="3"/>
      <c r="I2218" s="3" t="s">
        <v>6234</v>
      </c>
      <c r="J2218" s="3">
        <v>11</v>
      </c>
      <c r="K2218" s="3">
        <v>2</v>
      </c>
      <c r="L2218" s="3">
        <v>1</v>
      </c>
      <c r="M2218" s="3">
        <v>8</v>
      </c>
      <c r="N2218" s="3">
        <v>12</v>
      </c>
      <c r="O2218" s="3">
        <v>0.09</v>
      </c>
      <c r="P2218" s="3">
        <v>0</v>
      </c>
      <c r="Q2218" s="3">
        <v>1</v>
      </c>
      <c r="R2218" s="3">
        <v>0</v>
      </c>
    </row>
    <row r="2219" spans="1:18">
      <c r="A2219" s="3" t="s">
        <v>891</v>
      </c>
      <c r="B2219" s="3" t="s">
        <v>892</v>
      </c>
      <c r="C2219" s="3" t="s">
        <v>893</v>
      </c>
      <c r="D2219" s="3" t="s">
        <v>894</v>
      </c>
      <c r="E2219" s="3" t="s">
        <v>1710</v>
      </c>
      <c r="F2219" s="3">
        <v>15.99</v>
      </c>
      <c r="G2219" s="3" t="s">
        <v>6233</v>
      </c>
      <c r="H2219" s="3"/>
      <c r="I2219" s="3" t="s">
        <v>6234</v>
      </c>
      <c r="J2219" s="3">
        <v>29</v>
      </c>
      <c r="K2219" s="3">
        <v>25</v>
      </c>
      <c r="L2219" s="3">
        <v>2</v>
      </c>
      <c r="M2219" s="3">
        <v>2</v>
      </c>
      <c r="N2219" s="3">
        <v>29</v>
      </c>
      <c r="O2219" s="3">
        <v>0.09</v>
      </c>
      <c r="P2219" s="3">
        <v>0</v>
      </c>
      <c r="Q2219" s="3">
        <v>0</v>
      </c>
      <c r="R2219" s="3">
        <v>0</v>
      </c>
    </row>
    <row r="2220" spans="1:18">
      <c r="A2220" s="3" t="s">
        <v>899</v>
      </c>
      <c r="B2220" s="3" t="s">
        <v>900</v>
      </c>
      <c r="C2220" s="3" t="s">
        <v>901</v>
      </c>
      <c r="D2220" s="3" t="s">
        <v>902</v>
      </c>
      <c r="E2220" s="3" t="s">
        <v>1710</v>
      </c>
      <c r="F2220" s="3">
        <v>15.99</v>
      </c>
      <c r="G2220" s="3" t="s">
        <v>6233</v>
      </c>
      <c r="H2220" s="3"/>
      <c r="I2220" s="3" t="s">
        <v>6234</v>
      </c>
      <c r="J2220" s="3">
        <v>39</v>
      </c>
      <c r="K2220" s="3">
        <v>33</v>
      </c>
      <c r="L2220" s="3">
        <v>2</v>
      </c>
      <c r="M2220" s="3">
        <v>4</v>
      </c>
      <c r="N2220" s="3">
        <v>39</v>
      </c>
      <c r="O2220" s="3">
        <v>0.09</v>
      </c>
      <c r="P2220" s="3">
        <v>0</v>
      </c>
      <c r="Q2220" s="3">
        <v>0</v>
      </c>
      <c r="R2220" s="3">
        <v>0</v>
      </c>
    </row>
    <row r="2221" spans="1:18">
      <c r="A2221" s="3" t="s">
        <v>4356</v>
      </c>
      <c r="B2221" s="3" t="s">
        <v>4357</v>
      </c>
      <c r="C2221" s="3" t="s">
        <v>4358</v>
      </c>
      <c r="D2221" s="3" t="s">
        <v>4359</v>
      </c>
      <c r="E2221" s="3" t="s">
        <v>1710</v>
      </c>
      <c r="F2221" s="3">
        <v>15.99</v>
      </c>
      <c r="G2221" s="3" t="s">
        <v>6233</v>
      </c>
      <c r="H2221" s="3"/>
      <c r="I2221" s="3" t="s">
        <v>6234</v>
      </c>
      <c r="J2221" s="3">
        <v>14</v>
      </c>
      <c r="K2221" s="3">
        <v>14</v>
      </c>
      <c r="L2221" s="3">
        <v>0</v>
      </c>
      <c r="M2221" s="3">
        <v>0</v>
      </c>
      <c r="N2221" s="3">
        <v>14</v>
      </c>
      <c r="O2221" s="3">
        <v>0.09</v>
      </c>
      <c r="P2221" s="3">
        <v>0</v>
      </c>
      <c r="Q2221" s="3">
        <v>0</v>
      </c>
      <c r="R2221" s="3">
        <v>0</v>
      </c>
    </row>
    <row r="2222" spans="1:18">
      <c r="A2222" s="3" t="s">
        <v>4705</v>
      </c>
      <c r="B2222" s="3" t="s">
        <v>4706</v>
      </c>
      <c r="C2222" s="3" t="s">
        <v>4707</v>
      </c>
      <c r="D2222" s="3" t="s">
        <v>4708</v>
      </c>
      <c r="E2222" s="3" t="s">
        <v>1710</v>
      </c>
      <c r="F2222" s="3">
        <v>15.99</v>
      </c>
      <c r="G2222" s="3" t="s">
        <v>6233</v>
      </c>
      <c r="H2222" s="3"/>
      <c r="I2222" s="3" t="s">
        <v>6234</v>
      </c>
      <c r="J2222" s="3">
        <v>15</v>
      </c>
      <c r="K2222" s="3">
        <v>13</v>
      </c>
      <c r="L2222" s="3">
        <v>2</v>
      </c>
      <c r="M2222" s="3">
        <v>0</v>
      </c>
      <c r="N2222" s="3">
        <v>20</v>
      </c>
      <c r="O2222" s="3">
        <v>0.09</v>
      </c>
      <c r="P2222" s="3">
        <v>0</v>
      </c>
      <c r="Q2222" s="3">
        <v>5</v>
      </c>
      <c r="R2222" s="3">
        <v>0</v>
      </c>
    </row>
    <row r="2223" spans="1:18">
      <c r="A2223" s="3" t="s">
        <v>4368</v>
      </c>
      <c r="B2223" s="3" t="s">
        <v>4369</v>
      </c>
      <c r="C2223" s="3" t="s">
        <v>4370</v>
      </c>
      <c r="D2223" s="3" t="s">
        <v>4371</v>
      </c>
      <c r="E2223" s="3" t="s">
        <v>1710</v>
      </c>
      <c r="F2223" s="3">
        <v>15.99</v>
      </c>
      <c r="G2223" s="3" t="s">
        <v>6233</v>
      </c>
      <c r="H2223" s="3"/>
      <c r="I2223" s="3" t="s">
        <v>6234</v>
      </c>
      <c r="J2223" s="3">
        <v>14</v>
      </c>
      <c r="K2223" s="3">
        <v>14</v>
      </c>
      <c r="L2223" s="3">
        <v>0</v>
      </c>
      <c r="M2223" s="3">
        <v>0</v>
      </c>
      <c r="N2223" s="3">
        <v>14</v>
      </c>
      <c r="O2223" s="3">
        <v>0.09</v>
      </c>
      <c r="P2223" s="3">
        <v>0</v>
      </c>
      <c r="Q2223" s="3">
        <v>0</v>
      </c>
      <c r="R2223" s="3">
        <v>0</v>
      </c>
    </row>
    <row r="2224" spans="1:18">
      <c r="A2224" s="3" t="s">
        <v>9637</v>
      </c>
      <c r="B2224" s="3" t="s">
        <v>9638</v>
      </c>
      <c r="C2224" s="3" t="s">
        <v>9639</v>
      </c>
      <c r="D2224" s="3" t="s">
        <v>9640</v>
      </c>
      <c r="E2224" s="3" t="s">
        <v>1710</v>
      </c>
      <c r="F2224" s="3">
        <v>15.99</v>
      </c>
      <c r="G2224" s="3" t="s">
        <v>6233</v>
      </c>
      <c r="H2224" s="3"/>
      <c r="I2224" s="3" t="s">
        <v>6234</v>
      </c>
      <c r="J2224" s="3">
        <v>20</v>
      </c>
      <c r="K2224" s="3">
        <v>18</v>
      </c>
      <c r="L2224" s="3">
        <v>2</v>
      </c>
      <c r="M2224" s="3">
        <v>0</v>
      </c>
      <c r="N2224" s="3">
        <v>24</v>
      </c>
      <c r="O2224" s="3">
        <v>0.09</v>
      </c>
      <c r="P2224" s="3">
        <v>0</v>
      </c>
      <c r="Q2224" s="3">
        <v>4</v>
      </c>
      <c r="R2224" s="3">
        <v>0</v>
      </c>
    </row>
    <row r="2225" spans="1:18">
      <c r="A2225" s="3" t="s">
        <v>903</v>
      </c>
      <c r="B2225" s="3" t="s">
        <v>904</v>
      </c>
      <c r="C2225" s="3" t="s">
        <v>905</v>
      </c>
      <c r="D2225" s="3" t="s">
        <v>906</v>
      </c>
      <c r="E2225" s="3" t="s">
        <v>1710</v>
      </c>
      <c r="F2225" s="3">
        <v>15.99</v>
      </c>
      <c r="G2225" s="3" t="s">
        <v>6233</v>
      </c>
      <c r="H2225" s="3"/>
      <c r="I2225" s="3" t="s">
        <v>6234</v>
      </c>
      <c r="J2225" s="3">
        <v>17</v>
      </c>
      <c r="K2225" s="3">
        <v>10</v>
      </c>
      <c r="L2225" s="3">
        <v>1</v>
      </c>
      <c r="M2225" s="3">
        <v>6</v>
      </c>
      <c r="N2225" s="3">
        <v>17</v>
      </c>
      <c r="O2225" s="3">
        <v>0.05</v>
      </c>
      <c r="P2225" s="3">
        <v>0</v>
      </c>
      <c r="Q2225" s="3">
        <v>0</v>
      </c>
      <c r="R2225" s="3">
        <v>0</v>
      </c>
    </row>
    <row r="2226" spans="1:18">
      <c r="A2226" s="3" t="s">
        <v>919</v>
      </c>
      <c r="B2226" s="3" t="s">
        <v>920</v>
      </c>
      <c r="C2226" s="3" t="s">
        <v>921</v>
      </c>
      <c r="D2226" s="3" t="s">
        <v>922</v>
      </c>
      <c r="E2226" s="3" t="s">
        <v>1710</v>
      </c>
      <c r="F2226" s="3">
        <v>15.99</v>
      </c>
      <c r="G2226" s="3" t="s">
        <v>6233</v>
      </c>
      <c r="H2226" s="3"/>
      <c r="I2226" s="3" t="s">
        <v>6234</v>
      </c>
      <c r="J2226" s="3">
        <v>20</v>
      </c>
      <c r="K2226" s="3">
        <v>19</v>
      </c>
      <c r="L2226" s="3">
        <v>0</v>
      </c>
      <c r="M2226" s="3">
        <v>1</v>
      </c>
      <c r="N2226" s="3">
        <v>20</v>
      </c>
      <c r="O2226" s="3">
        <v>0.09</v>
      </c>
      <c r="P2226" s="3">
        <v>0</v>
      </c>
      <c r="Q2226" s="3">
        <v>0</v>
      </c>
      <c r="R2226" s="3">
        <v>0</v>
      </c>
    </row>
    <row r="2227" spans="1:18">
      <c r="A2227" s="3" t="s">
        <v>2896</v>
      </c>
      <c r="B2227" s="3" t="s">
        <v>2897</v>
      </c>
      <c r="C2227" s="3" t="s">
        <v>2898</v>
      </c>
      <c r="D2227" s="3" t="s">
        <v>2899</v>
      </c>
      <c r="E2227" s="3" t="s">
        <v>1710</v>
      </c>
      <c r="F2227" s="3">
        <v>15.99</v>
      </c>
      <c r="G2227" s="3" t="s">
        <v>6233</v>
      </c>
      <c r="H2227" s="3"/>
      <c r="I2227" s="3" t="s">
        <v>6234</v>
      </c>
      <c r="J2227" s="3">
        <v>20</v>
      </c>
      <c r="K2227" s="3">
        <v>20</v>
      </c>
      <c r="L2227" s="3">
        <v>0</v>
      </c>
      <c r="M2227" s="3">
        <v>0</v>
      </c>
      <c r="N2227" s="3">
        <v>20</v>
      </c>
      <c r="O2227" s="3">
        <v>0.09</v>
      </c>
      <c r="P2227" s="3">
        <v>0</v>
      </c>
      <c r="Q2227" s="3">
        <v>0</v>
      </c>
      <c r="R2227" s="3">
        <v>0</v>
      </c>
    </row>
    <row r="2228" spans="1:18">
      <c r="A2228" s="3" t="s">
        <v>4045</v>
      </c>
      <c r="B2228" s="3" t="s">
        <v>4046</v>
      </c>
      <c r="C2228" s="3" t="s">
        <v>4047</v>
      </c>
      <c r="D2228" s="3" t="s">
        <v>4048</v>
      </c>
      <c r="E2228" s="3" t="s">
        <v>1710</v>
      </c>
      <c r="F2228" s="3">
        <v>15.99</v>
      </c>
      <c r="G2228" s="3" t="s">
        <v>6233</v>
      </c>
      <c r="H2228" s="3"/>
      <c r="I2228" s="3" t="s">
        <v>6234</v>
      </c>
      <c r="J2228" s="3">
        <v>8</v>
      </c>
      <c r="K2228" s="3">
        <v>8</v>
      </c>
      <c r="L2228" s="3">
        <v>0</v>
      </c>
      <c r="M2228" s="3">
        <v>0</v>
      </c>
      <c r="N2228" s="3">
        <v>10</v>
      </c>
      <c r="O2228" s="3">
        <v>0.09</v>
      </c>
      <c r="P2228" s="3">
        <v>0</v>
      </c>
      <c r="Q2228" s="3">
        <v>2</v>
      </c>
      <c r="R2228" s="3">
        <v>0</v>
      </c>
    </row>
    <row r="2229" spans="1:18">
      <c r="A2229" s="3" t="s">
        <v>887</v>
      </c>
      <c r="B2229" s="3" t="s">
        <v>888</v>
      </c>
      <c r="C2229" s="3" t="s">
        <v>889</v>
      </c>
      <c r="D2229" s="3" t="s">
        <v>890</v>
      </c>
      <c r="E2229" s="3" t="s">
        <v>1710</v>
      </c>
      <c r="F2229" s="3">
        <v>15.99</v>
      </c>
      <c r="G2229" s="3" t="s">
        <v>6233</v>
      </c>
      <c r="H2229" s="3"/>
      <c r="I2229" s="3" t="s">
        <v>6234</v>
      </c>
      <c r="J2229" s="3">
        <v>23</v>
      </c>
      <c r="K2229" s="3">
        <v>20</v>
      </c>
      <c r="L2229" s="3">
        <v>2</v>
      </c>
      <c r="M2229" s="3">
        <v>1</v>
      </c>
      <c r="N2229" s="3">
        <v>23</v>
      </c>
      <c r="O2229" s="3">
        <v>0.09</v>
      </c>
      <c r="P2229" s="3">
        <v>0</v>
      </c>
      <c r="Q2229" s="3">
        <v>0</v>
      </c>
      <c r="R2229" s="3">
        <v>0</v>
      </c>
    </row>
    <row r="2230" spans="1:18">
      <c r="A2230" s="3" t="s">
        <v>5546</v>
      </c>
      <c r="B2230" s="3" t="s">
        <v>5547</v>
      </c>
      <c r="C2230" s="3" t="s">
        <v>5548</v>
      </c>
      <c r="D2230" s="3" t="s">
        <v>5549</v>
      </c>
      <c r="E2230" s="3" t="s">
        <v>1710</v>
      </c>
      <c r="F2230" s="3">
        <v>15.99</v>
      </c>
      <c r="G2230" s="3" t="s">
        <v>6233</v>
      </c>
      <c r="H2230" s="3"/>
      <c r="I2230" s="3" t="s">
        <v>6234</v>
      </c>
      <c r="J2230" s="3">
        <v>24</v>
      </c>
      <c r="K2230" s="3">
        <v>22</v>
      </c>
      <c r="L2230" s="3">
        <v>2</v>
      </c>
      <c r="M2230" s="3">
        <v>0</v>
      </c>
      <c r="N2230" s="3">
        <v>24</v>
      </c>
      <c r="O2230" s="3">
        <v>0.09</v>
      </c>
      <c r="P2230" s="3">
        <v>0</v>
      </c>
      <c r="Q2230" s="3">
        <v>0</v>
      </c>
      <c r="R2230" s="3">
        <v>0</v>
      </c>
    </row>
    <row r="2231" spans="1:18">
      <c r="A2231" s="3" t="s">
        <v>959</v>
      </c>
      <c r="B2231" s="3" t="s">
        <v>960</v>
      </c>
      <c r="C2231" s="3" t="s">
        <v>961</v>
      </c>
      <c r="D2231" s="3" t="s">
        <v>962</v>
      </c>
      <c r="E2231" s="3" t="s">
        <v>1710</v>
      </c>
      <c r="F2231" s="3">
        <v>15.99</v>
      </c>
      <c r="G2231" s="3" t="s">
        <v>6233</v>
      </c>
      <c r="H2231" s="3"/>
      <c r="I2231" s="3" t="s">
        <v>6234</v>
      </c>
      <c r="J2231" s="3">
        <v>19</v>
      </c>
      <c r="K2231" s="3">
        <v>18</v>
      </c>
      <c r="L2231" s="3">
        <v>0</v>
      </c>
      <c r="M2231" s="3">
        <v>1</v>
      </c>
      <c r="N2231" s="3">
        <v>19</v>
      </c>
      <c r="O2231" s="3">
        <v>0.09</v>
      </c>
      <c r="P2231" s="3">
        <v>0</v>
      </c>
      <c r="Q2231" s="3">
        <v>0</v>
      </c>
      <c r="R2231" s="3">
        <v>0</v>
      </c>
    </row>
    <row r="2232" spans="1:18">
      <c r="A2232" s="3" t="s">
        <v>867</v>
      </c>
      <c r="B2232" s="3" t="s">
        <v>868</v>
      </c>
      <c r="C2232" s="3" t="s">
        <v>869</v>
      </c>
      <c r="D2232" s="3" t="s">
        <v>870</v>
      </c>
      <c r="E2232" s="3" t="s">
        <v>1710</v>
      </c>
      <c r="F2232" s="3">
        <v>15.99</v>
      </c>
      <c r="G2232" s="3" t="s">
        <v>6233</v>
      </c>
      <c r="H2232" s="3"/>
      <c r="I2232" s="3" t="s">
        <v>6234</v>
      </c>
      <c r="J2232" s="3">
        <v>12</v>
      </c>
      <c r="K2232" s="3">
        <v>8</v>
      </c>
      <c r="L2232" s="3">
        <v>1</v>
      </c>
      <c r="M2232" s="3">
        <v>3</v>
      </c>
      <c r="N2232" s="3">
        <v>17</v>
      </c>
      <c r="O2232" s="3">
        <v>0.05</v>
      </c>
      <c r="P2232" s="3">
        <v>0</v>
      </c>
      <c r="Q2232" s="3">
        <v>0</v>
      </c>
      <c r="R2232" s="3">
        <v>5</v>
      </c>
    </row>
    <row r="2233" spans="1:18">
      <c r="A2233" s="3" t="s">
        <v>1014</v>
      </c>
      <c r="B2233" s="3" t="s">
        <v>1015</v>
      </c>
      <c r="C2233" s="3" t="s">
        <v>1016</v>
      </c>
      <c r="D2233" s="3" t="s">
        <v>1017</v>
      </c>
      <c r="E2233" s="3" t="s">
        <v>1710</v>
      </c>
      <c r="F2233" s="3">
        <v>15.99</v>
      </c>
      <c r="G2233" s="3" t="s">
        <v>6233</v>
      </c>
      <c r="H2233" s="3"/>
      <c r="I2233" s="3" t="s">
        <v>6234</v>
      </c>
      <c r="J2233" s="3">
        <v>4</v>
      </c>
      <c r="K2233" s="3">
        <v>1</v>
      </c>
      <c r="L2233" s="3">
        <v>1</v>
      </c>
      <c r="M2233" s="3">
        <v>2</v>
      </c>
      <c r="N2233" s="3">
        <v>4</v>
      </c>
      <c r="O2233" s="3">
        <v>0.05</v>
      </c>
      <c r="P2233" s="3">
        <v>0</v>
      </c>
      <c r="Q2233" s="3">
        <v>0</v>
      </c>
      <c r="R2233" s="3">
        <v>0</v>
      </c>
    </row>
    <row r="2234" spans="1:18">
      <c r="A2234" s="3" t="s">
        <v>4623</v>
      </c>
      <c r="B2234" s="3" t="s">
        <v>4624</v>
      </c>
      <c r="C2234" s="3" t="s">
        <v>4625</v>
      </c>
      <c r="D2234" s="3" t="s">
        <v>4626</v>
      </c>
      <c r="E2234" s="3" t="s">
        <v>1710</v>
      </c>
      <c r="F2234" s="3">
        <v>15.99</v>
      </c>
      <c r="G2234" s="3" t="s">
        <v>6233</v>
      </c>
      <c r="H2234" s="3"/>
      <c r="I2234" s="3" t="s">
        <v>6234</v>
      </c>
      <c r="J2234" s="3">
        <v>3</v>
      </c>
      <c r="K2234" s="3">
        <v>0</v>
      </c>
      <c r="L2234" s="3">
        <v>3</v>
      </c>
      <c r="M2234" s="3">
        <v>0</v>
      </c>
      <c r="N2234" s="3">
        <v>3</v>
      </c>
      <c r="O2234" s="3">
        <v>0.05</v>
      </c>
      <c r="P2234" s="3">
        <v>0</v>
      </c>
      <c r="Q2234" s="3">
        <v>0</v>
      </c>
      <c r="R2234" s="3">
        <v>0</v>
      </c>
    </row>
    <row r="2235" spans="1:18">
      <c r="A2235" s="3" t="s">
        <v>4340</v>
      </c>
      <c r="B2235" s="3" t="s">
        <v>4341</v>
      </c>
      <c r="C2235" s="3" t="s">
        <v>4342</v>
      </c>
      <c r="D2235" s="3" t="s">
        <v>4343</v>
      </c>
      <c r="E2235" s="3" t="s">
        <v>1710</v>
      </c>
      <c r="F2235" s="3">
        <v>15.99</v>
      </c>
      <c r="G2235" s="3" t="s">
        <v>6233</v>
      </c>
      <c r="H2235" s="3"/>
      <c r="I2235" s="3" t="s">
        <v>6234</v>
      </c>
      <c r="J2235" s="3">
        <v>2</v>
      </c>
      <c r="K2235" s="3">
        <v>0</v>
      </c>
      <c r="L2235" s="3">
        <v>2</v>
      </c>
      <c r="M2235" s="3">
        <v>0</v>
      </c>
      <c r="N2235" s="3">
        <v>7</v>
      </c>
      <c r="O2235" s="3">
        <v>0.05</v>
      </c>
      <c r="P2235" s="3">
        <v>0</v>
      </c>
      <c r="Q2235" s="3">
        <v>0</v>
      </c>
      <c r="R2235" s="3">
        <v>5</v>
      </c>
    </row>
    <row r="2236" spans="1:18">
      <c r="A2236" s="3" t="s">
        <v>951</v>
      </c>
      <c r="B2236" s="3" t="s">
        <v>952</v>
      </c>
      <c r="C2236" s="3" t="s">
        <v>953</v>
      </c>
      <c r="D2236" s="3" t="s">
        <v>954</v>
      </c>
      <c r="E2236" s="3" t="s">
        <v>1710</v>
      </c>
      <c r="F2236" s="3">
        <v>15.99</v>
      </c>
      <c r="G2236" s="3" t="s">
        <v>6233</v>
      </c>
      <c r="H2236" s="3"/>
      <c r="I2236" s="3" t="s">
        <v>6234</v>
      </c>
      <c r="J2236" s="3">
        <v>12</v>
      </c>
      <c r="K2236" s="3">
        <v>11</v>
      </c>
      <c r="L2236" s="3">
        <v>0</v>
      </c>
      <c r="M2236" s="3">
        <v>1</v>
      </c>
      <c r="N2236" s="3">
        <v>12</v>
      </c>
      <c r="O2236" s="3">
        <v>0.05</v>
      </c>
      <c r="P2236" s="3">
        <v>0</v>
      </c>
      <c r="Q2236" s="3">
        <v>0</v>
      </c>
      <c r="R2236" s="3">
        <v>0</v>
      </c>
    </row>
    <row r="2237" spans="1:18">
      <c r="A2237" s="3" t="s">
        <v>4537</v>
      </c>
      <c r="B2237" s="3" t="s">
        <v>4538</v>
      </c>
      <c r="C2237" s="3" t="s">
        <v>4539</v>
      </c>
      <c r="D2237" s="3" t="s">
        <v>4540</v>
      </c>
      <c r="E2237" s="3" t="s">
        <v>1710</v>
      </c>
      <c r="F2237" s="3">
        <v>15.99</v>
      </c>
      <c r="G2237" s="3" t="s">
        <v>6233</v>
      </c>
      <c r="H2237" s="3"/>
      <c r="I2237" s="3" t="s">
        <v>6234</v>
      </c>
      <c r="J2237" s="3">
        <v>18</v>
      </c>
      <c r="K2237" s="3">
        <v>18</v>
      </c>
      <c r="L2237" s="3">
        <v>0</v>
      </c>
      <c r="M2237" s="3">
        <v>0</v>
      </c>
      <c r="N2237" s="3">
        <v>18</v>
      </c>
      <c r="O2237" s="3">
        <v>0.05</v>
      </c>
      <c r="P2237" s="3">
        <v>0</v>
      </c>
      <c r="Q2237" s="3">
        <v>0</v>
      </c>
      <c r="R2237" s="3">
        <v>0</v>
      </c>
    </row>
    <row r="2238" spans="1:18">
      <c r="A2238" s="3" t="s">
        <v>963</v>
      </c>
      <c r="B2238" s="3" t="s">
        <v>964</v>
      </c>
      <c r="C2238" s="3" t="s">
        <v>965</v>
      </c>
      <c r="D2238" s="3" t="s">
        <v>966</v>
      </c>
      <c r="E2238" s="3" t="s">
        <v>1710</v>
      </c>
      <c r="F2238" s="3">
        <v>15.99</v>
      </c>
      <c r="G2238" s="3" t="s">
        <v>6233</v>
      </c>
      <c r="H2238" s="3"/>
      <c r="I2238" s="3" t="s">
        <v>6234</v>
      </c>
      <c r="J2238" s="3">
        <v>7</v>
      </c>
      <c r="K2238" s="3">
        <v>4</v>
      </c>
      <c r="L2238" s="3">
        <v>1</v>
      </c>
      <c r="M2238" s="3">
        <v>2</v>
      </c>
      <c r="N2238" s="3">
        <v>7</v>
      </c>
      <c r="O2238" s="3">
        <v>0.05</v>
      </c>
      <c r="P2238" s="3">
        <v>0</v>
      </c>
      <c r="Q2238" s="3">
        <v>0</v>
      </c>
      <c r="R2238" s="3">
        <v>0</v>
      </c>
    </row>
    <row r="2239" spans="1:18">
      <c r="A2239" s="3" t="s">
        <v>911</v>
      </c>
      <c r="B2239" s="3" t="s">
        <v>912</v>
      </c>
      <c r="C2239" s="3" t="s">
        <v>913</v>
      </c>
      <c r="D2239" s="3" t="s">
        <v>914</v>
      </c>
      <c r="E2239" s="3" t="s">
        <v>1710</v>
      </c>
      <c r="F2239" s="3">
        <v>15.99</v>
      </c>
      <c r="G2239" s="3" t="s">
        <v>6233</v>
      </c>
      <c r="H2239" s="3"/>
      <c r="I2239" s="3" t="s">
        <v>6234</v>
      </c>
      <c r="J2239" s="3">
        <v>26</v>
      </c>
      <c r="K2239" s="3">
        <v>17</v>
      </c>
      <c r="L2239" s="3">
        <v>1</v>
      </c>
      <c r="M2239" s="3">
        <v>8</v>
      </c>
      <c r="N2239" s="3">
        <v>26</v>
      </c>
      <c r="O2239" s="3">
        <v>0.05</v>
      </c>
      <c r="P2239" s="3">
        <v>0</v>
      </c>
      <c r="Q2239" s="3">
        <v>0</v>
      </c>
      <c r="R2239" s="3">
        <v>0</v>
      </c>
    </row>
    <row r="2240" spans="1:18">
      <c r="A2240" s="3" t="s">
        <v>3411</v>
      </c>
      <c r="B2240" s="3" t="s">
        <v>3412</v>
      </c>
      <c r="C2240" s="3" t="s">
        <v>3413</v>
      </c>
      <c r="D2240" s="3" t="s">
        <v>3414</v>
      </c>
      <c r="E2240" s="3" t="s">
        <v>1710</v>
      </c>
      <c r="F2240" s="3">
        <v>15.99</v>
      </c>
      <c r="G2240" s="3" t="s">
        <v>6233</v>
      </c>
      <c r="H2240" s="3"/>
      <c r="I2240" s="3" t="s">
        <v>6234</v>
      </c>
      <c r="J2240" s="3">
        <v>18</v>
      </c>
      <c r="K2240" s="3">
        <v>16</v>
      </c>
      <c r="L2240" s="3">
        <v>2</v>
      </c>
      <c r="M2240" s="3">
        <v>0</v>
      </c>
      <c r="N2240" s="3">
        <v>18</v>
      </c>
      <c r="O2240" s="3">
        <v>0.05</v>
      </c>
      <c r="P2240" s="3">
        <v>0</v>
      </c>
      <c r="Q2240" s="3">
        <v>0</v>
      </c>
      <c r="R2240" s="3">
        <v>0</v>
      </c>
    </row>
    <row r="2241" spans="1:18">
      <c r="A2241" s="3" t="s">
        <v>6022</v>
      </c>
      <c r="B2241" s="3" t="s">
        <v>6023</v>
      </c>
      <c r="C2241" s="3" t="s">
        <v>6024</v>
      </c>
      <c r="D2241" s="3" t="s">
        <v>6025</v>
      </c>
      <c r="E2241" s="3" t="s">
        <v>1710</v>
      </c>
      <c r="F2241" s="3">
        <v>15.99</v>
      </c>
      <c r="G2241" s="3" t="s">
        <v>6233</v>
      </c>
      <c r="H2241" s="3"/>
      <c r="I2241" s="3" t="s">
        <v>6234</v>
      </c>
      <c r="J2241" s="3">
        <v>16</v>
      </c>
      <c r="K2241" s="3">
        <v>16</v>
      </c>
      <c r="L2241" s="3">
        <v>0</v>
      </c>
      <c r="M2241" s="3">
        <v>0</v>
      </c>
      <c r="N2241" s="3">
        <v>16</v>
      </c>
      <c r="O2241" s="3">
        <v>0.05</v>
      </c>
      <c r="P2241" s="3">
        <v>0</v>
      </c>
      <c r="Q2241" s="3">
        <v>0</v>
      </c>
      <c r="R2241" s="3">
        <v>0</v>
      </c>
    </row>
    <row r="2242" spans="1:18">
      <c r="A2242" s="3" t="s">
        <v>943</v>
      </c>
      <c r="B2242" s="3" t="s">
        <v>944</v>
      </c>
      <c r="C2242" s="3" t="s">
        <v>945</v>
      </c>
      <c r="D2242" s="3" t="s">
        <v>946</v>
      </c>
      <c r="E2242" s="3" t="s">
        <v>1710</v>
      </c>
      <c r="F2242" s="3">
        <v>15.99</v>
      </c>
      <c r="G2242" s="3" t="s">
        <v>6233</v>
      </c>
      <c r="H2242" s="3"/>
      <c r="I2242" s="3" t="s">
        <v>6234</v>
      </c>
      <c r="J2242" s="3">
        <v>14</v>
      </c>
      <c r="K2242" s="3">
        <v>13</v>
      </c>
      <c r="L2242" s="3">
        <v>0</v>
      </c>
      <c r="M2242" s="3">
        <v>1</v>
      </c>
      <c r="N2242" s="3">
        <v>14</v>
      </c>
      <c r="O2242" s="3">
        <v>0.05</v>
      </c>
      <c r="P2242" s="3">
        <v>0</v>
      </c>
      <c r="Q2242" s="3">
        <v>0</v>
      </c>
      <c r="R2242" s="3">
        <v>0</v>
      </c>
    </row>
    <row r="2243" spans="1:18">
      <c r="A2243" s="3" t="s">
        <v>3860</v>
      </c>
      <c r="B2243" s="3" t="s">
        <v>3861</v>
      </c>
      <c r="C2243" s="3" t="s">
        <v>3862</v>
      </c>
      <c r="D2243" s="3" t="s">
        <v>3863</v>
      </c>
      <c r="E2243" s="3" t="s">
        <v>1710</v>
      </c>
      <c r="F2243" s="3">
        <v>15.99</v>
      </c>
      <c r="G2243" s="3" t="s">
        <v>6233</v>
      </c>
      <c r="H2243" s="3"/>
      <c r="I2243" s="3" t="s">
        <v>6234</v>
      </c>
      <c r="J2243" s="3">
        <v>14</v>
      </c>
      <c r="K2243" s="3">
        <v>11</v>
      </c>
      <c r="L2243" s="3">
        <v>3</v>
      </c>
      <c r="M2243" s="3">
        <v>0</v>
      </c>
      <c r="N2243" s="3">
        <v>17</v>
      </c>
      <c r="O2243" s="3">
        <v>0.05</v>
      </c>
      <c r="P2243" s="3">
        <v>0</v>
      </c>
      <c r="Q2243" s="3">
        <v>3</v>
      </c>
      <c r="R2243" s="3">
        <v>0</v>
      </c>
    </row>
    <row r="2244" spans="1:18">
      <c r="A2244" s="3" t="s">
        <v>871</v>
      </c>
      <c r="B2244" s="3" t="s">
        <v>872</v>
      </c>
      <c r="C2244" s="3" t="s">
        <v>873</v>
      </c>
      <c r="D2244" s="3" t="s">
        <v>874</v>
      </c>
      <c r="E2244" s="3" t="s">
        <v>1710</v>
      </c>
      <c r="F2244" s="3">
        <v>15.99</v>
      </c>
      <c r="G2244" s="3" t="s">
        <v>6233</v>
      </c>
      <c r="H2244" s="3"/>
      <c r="I2244" s="3" t="s">
        <v>6234</v>
      </c>
      <c r="J2244" s="3">
        <v>12</v>
      </c>
      <c r="K2244" s="3">
        <v>4</v>
      </c>
      <c r="L2244" s="3">
        <v>4</v>
      </c>
      <c r="M2244" s="3">
        <v>4</v>
      </c>
      <c r="N2244" s="3">
        <v>14</v>
      </c>
      <c r="O2244" s="3">
        <v>0.06</v>
      </c>
      <c r="P2244" s="3">
        <v>0</v>
      </c>
      <c r="Q2244" s="3">
        <v>2</v>
      </c>
      <c r="R2244" s="3">
        <v>0</v>
      </c>
    </row>
    <row r="2245" spans="1:18">
      <c r="A2245" s="3" t="s">
        <v>863</v>
      </c>
      <c r="B2245" s="3" t="s">
        <v>864</v>
      </c>
      <c r="C2245" s="3" t="s">
        <v>865</v>
      </c>
      <c r="D2245" s="3" t="s">
        <v>866</v>
      </c>
      <c r="E2245" s="3" t="s">
        <v>1710</v>
      </c>
      <c r="F2245" s="3">
        <v>15.99</v>
      </c>
      <c r="G2245" s="3" t="s">
        <v>6233</v>
      </c>
      <c r="H2245" s="3"/>
      <c r="I2245" s="3" t="s">
        <v>6234</v>
      </c>
      <c r="J2245" s="3">
        <v>19</v>
      </c>
      <c r="K2245" s="3">
        <v>12</v>
      </c>
      <c r="L2245" s="3">
        <v>3</v>
      </c>
      <c r="M2245" s="3">
        <v>4</v>
      </c>
      <c r="N2245" s="3">
        <v>20</v>
      </c>
      <c r="O2245" s="3">
        <v>0.01</v>
      </c>
      <c r="P2245" s="3">
        <v>0</v>
      </c>
      <c r="Q2245" s="3">
        <v>1</v>
      </c>
      <c r="R2245" s="3">
        <v>0</v>
      </c>
    </row>
    <row r="2246" spans="1:18">
      <c r="A2246" s="3" t="s">
        <v>3170</v>
      </c>
      <c r="B2246" s="3" t="s">
        <v>3171</v>
      </c>
      <c r="C2246" s="3" t="s">
        <v>3172</v>
      </c>
      <c r="D2246" s="3" t="s">
        <v>3173</v>
      </c>
      <c r="E2246" s="3" t="s">
        <v>1710</v>
      </c>
      <c r="F2246" s="3">
        <v>15.99</v>
      </c>
      <c r="G2246" s="3" t="s">
        <v>6233</v>
      </c>
      <c r="H2246" s="3"/>
      <c r="I2246" s="3" t="s">
        <v>6234</v>
      </c>
      <c r="J2246" s="3">
        <v>13</v>
      </c>
      <c r="K2246" s="3">
        <v>12</v>
      </c>
      <c r="L2246" s="3">
        <v>1</v>
      </c>
      <c r="M2246" s="3">
        <v>0</v>
      </c>
      <c r="N2246" s="3">
        <v>13</v>
      </c>
      <c r="O2246" s="3">
        <v>0.05</v>
      </c>
      <c r="P2246" s="3">
        <v>0</v>
      </c>
      <c r="Q2246" s="3">
        <v>0</v>
      </c>
      <c r="R2246" s="3">
        <v>0</v>
      </c>
    </row>
    <row r="2247" spans="1:18">
      <c r="A2247" s="3" t="s">
        <v>5852</v>
      </c>
      <c r="B2247" s="3" t="s">
        <v>5853</v>
      </c>
      <c r="C2247" s="3" t="s">
        <v>5854</v>
      </c>
      <c r="D2247" s="3" t="s">
        <v>5855</v>
      </c>
      <c r="E2247" s="3" t="s">
        <v>1710</v>
      </c>
      <c r="F2247" s="3">
        <v>15.99</v>
      </c>
      <c r="G2247" s="3" t="s">
        <v>6233</v>
      </c>
      <c r="H2247" s="3"/>
      <c r="I2247" s="3" t="s">
        <v>6234</v>
      </c>
      <c r="J2247" s="3">
        <v>19</v>
      </c>
      <c r="K2247" s="3">
        <v>18</v>
      </c>
      <c r="L2247" s="3">
        <v>1</v>
      </c>
      <c r="M2247" s="3">
        <v>0</v>
      </c>
      <c r="N2247" s="3">
        <v>19</v>
      </c>
      <c r="O2247" s="3">
        <v>0.05</v>
      </c>
      <c r="P2247" s="3">
        <v>0</v>
      </c>
      <c r="Q2247" s="3">
        <v>0</v>
      </c>
      <c r="R2247" s="3">
        <v>0</v>
      </c>
    </row>
    <row r="2248" spans="1:18">
      <c r="A2248" s="3" t="s">
        <v>1006</v>
      </c>
      <c r="B2248" s="3" t="s">
        <v>1007</v>
      </c>
      <c r="C2248" s="3" t="s">
        <v>1008</v>
      </c>
      <c r="D2248" s="3" t="s">
        <v>1009</v>
      </c>
      <c r="E2248" s="3" t="s">
        <v>1710</v>
      </c>
      <c r="F2248" s="3">
        <v>15.99</v>
      </c>
      <c r="G2248" s="3" t="s">
        <v>6233</v>
      </c>
      <c r="H2248" s="3"/>
      <c r="I2248" s="3" t="s">
        <v>6234</v>
      </c>
      <c r="J2248" s="3">
        <v>5</v>
      </c>
      <c r="K2248" s="3">
        <v>0</v>
      </c>
      <c r="L2248" s="3">
        <v>4</v>
      </c>
      <c r="M2248" s="3">
        <v>1</v>
      </c>
      <c r="N2248" s="3">
        <v>30</v>
      </c>
      <c r="O2248" s="3">
        <v>0.09</v>
      </c>
      <c r="P2248" s="3">
        <v>0</v>
      </c>
      <c r="Q2248" s="3">
        <v>25</v>
      </c>
      <c r="R2248" s="3">
        <v>0</v>
      </c>
    </row>
    <row r="2249" spans="1:18">
      <c r="A2249" s="3" t="s">
        <v>935</v>
      </c>
      <c r="B2249" s="3" t="s">
        <v>936</v>
      </c>
      <c r="C2249" s="3" t="s">
        <v>937</v>
      </c>
      <c r="D2249" s="3" t="s">
        <v>938</v>
      </c>
      <c r="E2249" s="3" t="s">
        <v>1710</v>
      </c>
      <c r="F2249" s="3">
        <v>15.99</v>
      </c>
      <c r="G2249" s="3" t="s">
        <v>6233</v>
      </c>
      <c r="H2249" s="3"/>
      <c r="I2249" s="3" t="s">
        <v>6234</v>
      </c>
      <c r="J2249" s="3">
        <v>46</v>
      </c>
      <c r="K2249" s="3">
        <v>41</v>
      </c>
      <c r="L2249" s="3">
        <v>2</v>
      </c>
      <c r="M2249" s="3">
        <v>3</v>
      </c>
      <c r="N2249" s="3">
        <v>67</v>
      </c>
      <c r="O2249" s="3">
        <v>0.05</v>
      </c>
      <c r="P2249" s="3">
        <v>0</v>
      </c>
      <c r="Q2249" s="3">
        <v>21</v>
      </c>
      <c r="R2249" s="3">
        <v>0</v>
      </c>
    </row>
    <row r="2250" spans="1:18">
      <c r="A2250" s="3" t="s">
        <v>999</v>
      </c>
      <c r="B2250" s="3" t="s">
        <v>1000</v>
      </c>
      <c r="C2250" s="3" t="s">
        <v>1001</v>
      </c>
      <c r="D2250" s="3" t="s">
        <v>1002</v>
      </c>
      <c r="E2250" s="3" t="s">
        <v>1710</v>
      </c>
      <c r="F2250" s="3">
        <v>15.99</v>
      </c>
      <c r="G2250" s="3" t="s">
        <v>6233</v>
      </c>
      <c r="H2250" s="3"/>
      <c r="I2250" s="3" t="s">
        <v>6234</v>
      </c>
      <c r="J2250" s="3">
        <v>17</v>
      </c>
      <c r="K2250" s="3">
        <v>10</v>
      </c>
      <c r="L2250" s="3">
        <v>4</v>
      </c>
      <c r="M2250" s="3">
        <v>3</v>
      </c>
      <c r="N2250" s="3">
        <v>54</v>
      </c>
      <c r="O2250" s="3">
        <v>0.09</v>
      </c>
      <c r="P2250" s="3">
        <v>0</v>
      </c>
      <c r="Q2250" s="3">
        <v>37</v>
      </c>
      <c r="R2250" s="3">
        <v>0</v>
      </c>
    </row>
    <row r="2251" spans="1:18">
      <c r="A2251" s="3" t="s">
        <v>875</v>
      </c>
      <c r="B2251" s="3" t="s">
        <v>876</v>
      </c>
      <c r="C2251" s="3" t="s">
        <v>877</v>
      </c>
      <c r="D2251" s="3" t="s">
        <v>878</v>
      </c>
      <c r="E2251" s="3" t="s">
        <v>1710</v>
      </c>
      <c r="F2251" s="3">
        <v>15.99</v>
      </c>
      <c r="G2251" s="3" t="s">
        <v>6233</v>
      </c>
      <c r="H2251" s="3"/>
      <c r="I2251" s="3" t="s">
        <v>6234</v>
      </c>
      <c r="J2251" s="3">
        <v>17</v>
      </c>
      <c r="K2251" s="3">
        <v>7</v>
      </c>
      <c r="L2251" s="3">
        <v>3</v>
      </c>
      <c r="M2251" s="3">
        <v>7</v>
      </c>
      <c r="N2251" s="3">
        <v>17</v>
      </c>
      <c r="O2251" s="3">
        <v>0.05</v>
      </c>
      <c r="P2251" s="3">
        <v>0</v>
      </c>
      <c r="Q2251" s="3">
        <v>0</v>
      </c>
      <c r="R2251" s="3">
        <v>0</v>
      </c>
    </row>
    <row r="2252" spans="1:18">
      <c r="A2252" s="3" t="s">
        <v>1877</v>
      </c>
      <c r="B2252" s="3" t="s">
        <v>1878</v>
      </c>
      <c r="C2252" s="3" t="s">
        <v>1879</v>
      </c>
      <c r="D2252" s="3" t="s">
        <v>1880</v>
      </c>
      <c r="E2252" s="3" t="s">
        <v>1710</v>
      </c>
      <c r="F2252" s="3">
        <v>15.99</v>
      </c>
      <c r="G2252" s="3" t="s">
        <v>6233</v>
      </c>
      <c r="H2252" s="3"/>
      <c r="I2252" s="3" t="s">
        <v>6234</v>
      </c>
      <c r="J2252" s="3">
        <v>4</v>
      </c>
      <c r="K2252" s="3">
        <v>2</v>
      </c>
      <c r="L2252" s="3">
        <v>2</v>
      </c>
      <c r="M2252" s="3">
        <v>0</v>
      </c>
      <c r="N2252" s="3">
        <v>4</v>
      </c>
      <c r="O2252" s="3">
        <v>0.05</v>
      </c>
      <c r="P2252" s="3">
        <v>0</v>
      </c>
      <c r="Q2252" s="3">
        <v>0</v>
      </c>
      <c r="R2252" s="3">
        <v>0</v>
      </c>
    </row>
    <row r="2253" spans="1:18">
      <c r="A2253" s="3" t="s">
        <v>6080</v>
      </c>
      <c r="B2253" s="3" t="s">
        <v>6081</v>
      </c>
      <c r="C2253" s="3" t="s">
        <v>6082</v>
      </c>
      <c r="D2253" s="3" t="s">
        <v>6083</v>
      </c>
      <c r="E2253" s="3" t="s">
        <v>1710</v>
      </c>
      <c r="F2253" s="3">
        <v>15.99</v>
      </c>
      <c r="G2253" s="3" t="s">
        <v>6233</v>
      </c>
      <c r="H2253" s="3"/>
      <c r="I2253" s="3" t="s">
        <v>6234</v>
      </c>
      <c r="J2253" s="3">
        <v>2</v>
      </c>
      <c r="K2253" s="3">
        <v>0</v>
      </c>
      <c r="L2253" s="3">
        <v>2</v>
      </c>
      <c r="M2253" s="3">
        <v>0</v>
      </c>
      <c r="N2253" s="3">
        <v>12</v>
      </c>
      <c r="O2253" s="3">
        <v>0.05</v>
      </c>
      <c r="P2253" s="3">
        <v>0</v>
      </c>
      <c r="Q2253" s="3">
        <v>10</v>
      </c>
      <c r="R2253" s="3">
        <v>0</v>
      </c>
    </row>
    <row r="2254" spans="1:18">
      <c r="A2254" s="3" t="s">
        <v>859</v>
      </c>
      <c r="B2254" s="3" t="s">
        <v>860</v>
      </c>
      <c r="C2254" s="3" t="s">
        <v>861</v>
      </c>
      <c r="D2254" s="3" t="s">
        <v>862</v>
      </c>
      <c r="E2254" s="3" t="s">
        <v>1710</v>
      </c>
      <c r="F2254" s="3">
        <v>15.99</v>
      </c>
      <c r="G2254" s="3" t="s">
        <v>6233</v>
      </c>
      <c r="H2254" s="3"/>
      <c r="I2254" s="3" t="s">
        <v>6234</v>
      </c>
      <c r="J2254" s="3">
        <v>3</v>
      </c>
      <c r="K2254" s="3">
        <v>0</v>
      </c>
      <c r="L2254" s="3">
        <v>1</v>
      </c>
      <c r="M2254" s="3">
        <v>2</v>
      </c>
      <c r="N2254" s="3">
        <v>3</v>
      </c>
      <c r="O2254" s="3">
        <v>0.05</v>
      </c>
      <c r="P2254" s="3">
        <v>0</v>
      </c>
      <c r="Q2254" s="3">
        <v>0</v>
      </c>
      <c r="R2254" s="3">
        <v>0</v>
      </c>
    </row>
    <row r="2255" spans="1:18">
      <c r="A2255" s="3" t="s">
        <v>5332</v>
      </c>
      <c r="B2255" s="3" t="s">
        <v>5333</v>
      </c>
      <c r="C2255" s="3" t="s">
        <v>5334</v>
      </c>
      <c r="D2255" s="3" t="s">
        <v>5335</v>
      </c>
      <c r="E2255" s="3" t="s">
        <v>1710</v>
      </c>
      <c r="F2255" s="3">
        <v>15.99</v>
      </c>
      <c r="G2255" s="3" t="s">
        <v>6233</v>
      </c>
      <c r="H2255" s="3"/>
      <c r="I2255" s="3" t="s">
        <v>6234</v>
      </c>
      <c r="J2255" s="3">
        <v>4</v>
      </c>
      <c r="K2255" s="3">
        <v>0</v>
      </c>
      <c r="L2255" s="3">
        <v>4</v>
      </c>
      <c r="M2255" s="3">
        <v>0</v>
      </c>
      <c r="N2255" s="3">
        <v>4</v>
      </c>
      <c r="O2255" s="3">
        <v>0.05</v>
      </c>
      <c r="P2255" s="3">
        <v>0</v>
      </c>
      <c r="Q2255" s="3">
        <v>0</v>
      </c>
      <c r="R2255" s="3">
        <v>0</v>
      </c>
    </row>
    <row r="2256" spans="1:18">
      <c r="A2256" s="3" t="s">
        <v>5639</v>
      </c>
      <c r="B2256" s="3" t="s">
        <v>5640</v>
      </c>
      <c r="C2256" s="3" t="s">
        <v>5641</v>
      </c>
      <c r="D2256" s="3" t="s">
        <v>5642</v>
      </c>
      <c r="E2256" s="3" t="s">
        <v>1710</v>
      </c>
      <c r="F2256" s="3">
        <v>15.99</v>
      </c>
      <c r="G2256" s="3" t="s">
        <v>6233</v>
      </c>
      <c r="H2256" s="3"/>
      <c r="I2256" s="3" t="s">
        <v>6234</v>
      </c>
      <c r="J2256" s="3">
        <v>19</v>
      </c>
      <c r="K2256" s="3">
        <v>15</v>
      </c>
      <c r="L2256" s="3">
        <v>4</v>
      </c>
      <c r="M2256" s="3">
        <v>0</v>
      </c>
      <c r="N2256" s="3">
        <v>19</v>
      </c>
      <c r="O2256" s="3">
        <v>0.05</v>
      </c>
      <c r="P2256" s="3">
        <v>0</v>
      </c>
      <c r="Q2256" s="3">
        <v>0</v>
      </c>
      <c r="R2256" s="3">
        <v>0</v>
      </c>
    </row>
    <row r="2257" spans="1:18">
      <c r="A2257" s="3" t="s">
        <v>2954</v>
      </c>
      <c r="B2257" s="3" t="s">
        <v>2955</v>
      </c>
      <c r="C2257" s="3" t="s">
        <v>2956</v>
      </c>
      <c r="D2257" s="3" t="s">
        <v>2957</v>
      </c>
      <c r="E2257" s="3" t="s">
        <v>1710</v>
      </c>
      <c r="F2257" s="3">
        <v>15.99</v>
      </c>
      <c r="G2257" s="3" t="s">
        <v>6233</v>
      </c>
      <c r="H2257" s="3"/>
      <c r="I2257" s="3" t="s">
        <v>6234</v>
      </c>
      <c r="J2257" s="3">
        <v>14</v>
      </c>
      <c r="K2257" s="3">
        <v>14</v>
      </c>
      <c r="L2257" s="3">
        <v>0</v>
      </c>
      <c r="M2257" s="3">
        <v>0</v>
      </c>
      <c r="N2257" s="3">
        <v>14</v>
      </c>
      <c r="O2257" s="3">
        <v>0.05</v>
      </c>
      <c r="P2257" s="3">
        <v>0</v>
      </c>
      <c r="Q2257" s="3">
        <v>0</v>
      </c>
      <c r="R2257" s="3">
        <v>0</v>
      </c>
    </row>
    <row r="2258" spans="1:18">
      <c r="A2258" s="3" t="s">
        <v>939</v>
      </c>
      <c r="B2258" s="3" t="s">
        <v>940</v>
      </c>
      <c r="C2258" s="3" t="s">
        <v>941</v>
      </c>
      <c r="D2258" s="3" t="s">
        <v>942</v>
      </c>
      <c r="E2258" s="3" t="s">
        <v>1710</v>
      </c>
      <c r="F2258" s="3">
        <v>15.99</v>
      </c>
      <c r="G2258" s="3" t="s">
        <v>6233</v>
      </c>
      <c r="H2258" s="3"/>
      <c r="I2258" s="3" t="s">
        <v>6234</v>
      </c>
      <c r="J2258" s="3">
        <v>2</v>
      </c>
      <c r="K2258" s="3">
        <v>0</v>
      </c>
      <c r="L2258" s="3">
        <v>1</v>
      </c>
      <c r="M2258" s="3">
        <v>1</v>
      </c>
      <c r="N2258" s="3">
        <v>6</v>
      </c>
      <c r="O2258" s="3">
        <v>0.05</v>
      </c>
      <c r="P2258" s="3">
        <v>0</v>
      </c>
      <c r="Q2258" s="3">
        <v>4</v>
      </c>
      <c r="R2258" s="3">
        <v>0</v>
      </c>
    </row>
    <row r="2259" spans="1:18">
      <c r="A2259" s="3" t="s">
        <v>1010</v>
      </c>
      <c r="B2259" s="3" t="s">
        <v>1011</v>
      </c>
      <c r="C2259" s="3" t="s">
        <v>1012</v>
      </c>
      <c r="D2259" s="3" t="s">
        <v>1013</v>
      </c>
      <c r="E2259" s="3" t="s">
        <v>1710</v>
      </c>
      <c r="F2259" s="3">
        <v>15.99</v>
      </c>
      <c r="G2259" s="3" t="s">
        <v>6233</v>
      </c>
      <c r="H2259" s="3"/>
      <c r="I2259" s="3" t="s">
        <v>6234</v>
      </c>
      <c r="J2259" s="3">
        <v>28</v>
      </c>
      <c r="K2259" s="3">
        <v>12</v>
      </c>
      <c r="L2259" s="3">
        <v>4</v>
      </c>
      <c r="M2259" s="3">
        <v>12</v>
      </c>
      <c r="N2259" s="3">
        <v>28</v>
      </c>
      <c r="O2259" s="3">
        <v>0.05</v>
      </c>
      <c r="P2259" s="3">
        <v>0</v>
      </c>
      <c r="Q2259" s="3">
        <v>0</v>
      </c>
      <c r="R2259" s="3">
        <v>0</v>
      </c>
    </row>
    <row r="2260" spans="1:18">
      <c r="A2260" s="3" t="s">
        <v>927</v>
      </c>
      <c r="B2260" s="3" t="s">
        <v>928</v>
      </c>
      <c r="C2260" s="3" t="s">
        <v>929</v>
      </c>
      <c r="D2260" s="3" t="s">
        <v>930</v>
      </c>
      <c r="E2260" s="3" t="s">
        <v>1710</v>
      </c>
      <c r="F2260" s="3">
        <v>15.99</v>
      </c>
      <c r="G2260" s="3" t="s">
        <v>6233</v>
      </c>
      <c r="H2260" s="3"/>
      <c r="I2260" s="3" t="s">
        <v>6234</v>
      </c>
      <c r="J2260" s="3">
        <v>5</v>
      </c>
      <c r="K2260" s="3">
        <v>0</v>
      </c>
      <c r="L2260" s="3">
        <v>4</v>
      </c>
      <c r="M2260" s="3">
        <v>1</v>
      </c>
      <c r="N2260" s="3">
        <v>5</v>
      </c>
      <c r="O2260" s="3">
        <v>0.05</v>
      </c>
      <c r="P2260" s="3">
        <v>0</v>
      </c>
      <c r="Q2260" s="3">
        <v>0</v>
      </c>
      <c r="R2260" s="3">
        <v>0</v>
      </c>
    </row>
    <row r="2261" spans="1:18">
      <c r="A2261" s="3" t="s">
        <v>4475</v>
      </c>
      <c r="B2261" s="3" t="s">
        <v>4476</v>
      </c>
      <c r="C2261" s="3" t="s">
        <v>4477</v>
      </c>
      <c r="D2261" s="3" t="s">
        <v>4478</v>
      </c>
      <c r="E2261" s="3" t="s">
        <v>1710</v>
      </c>
      <c r="F2261" s="3">
        <v>15.99</v>
      </c>
      <c r="G2261" s="3" t="s">
        <v>6233</v>
      </c>
      <c r="H2261" s="3"/>
      <c r="I2261" s="3" t="s">
        <v>6234</v>
      </c>
      <c r="J2261" s="3">
        <v>10</v>
      </c>
      <c r="K2261" s="3">
        <v>9</v>
      </c>
      <c r="L2261" s="3">
        <v>1</v>
      </c>
      <c r="M2261" s="3">
        <v>0</v>
      </c>
      <c r="N2261" s="3">
        <v>10</v>
      </c>
      <c r="O2261" s="3">
        <v>0.09</v>
      </c>
      <c r="P2261" s="3">
        <v>0</v>
      </c>
      <c r="Q2261" s="3">
        <v>0</v>
      </c>
      <c r="R2261" s="3">
        <v>0</v>
      </c>
    </row>
    <row r="2262" spans="1:18">
      <c r="A2262" s="3" t="s">
        <v>995</v>
      </c>
      <c r="B2262" s="3" t="s">
        <v>996</v>
      </c>
      <c r="C2262" s="3" t="s">
        <v>997</v>
      </c>
      <c r="D2262" s="3" t="s">
        <v>998</v>
      </c>
      <c r="E2262" s="3" t="s">
        <v>1710</v>
      </c>
      <c r="F2262" s="3">
        <v>15.99</v>
      </c>
      <c r="G2262" s="3" t="s">
        <v>6233</v>
      </c>
      <c r="H2262" s="3"/>
      <c r="I2262" s="3" t="s">
        <v>6234</v>
      </c>
      <c r="J2262" s="3">
        <v>11</v>
      </c>
      <c r="K2262" s="3">
        <v>7</v>
      </c>
      <c r="L2262" s="3">
        <v>0</v>
      </c>
      <c r="M2262" s="3">
        <v>4</v>
      </c>
      <c r="N2262" s="3">
        <v>11</v>
      </c>
      <c r="O2262" s="3">
        <v>0.05</v>
      </c>
      <c r="P2262" s="3">
        <v>0</v>
      </c>
      <c r="Q2262" s="3">
        <v>0</v>
      </c>
      <c r="R2262" s="3">
        <v>0</v>
      </c>
    </row>
    <row r="2263" spans="1:18">
      <c r="A2263" s="3" t="s">
        <v>907</v>
      </c>
      <c r="B2263" s="3" t="s">
        <v>908</v>
      </c>
      <c r="C2263" s="3" t="s">
        <v>909</v>
      </c>
      <c r="D2263" s="3" t="s">
        <v>910</v>
      </c>
      <c r="E2263" s="3" t="s">
        <v>1710</v>
      </c>
      <c r="F2263" s="3">
        <v>15.99</v>
      </c>
      <c r="G2263" s="3" t="s">
        <v>6233</v>
      </c>
      <c r="H2263" s="3"/>
      <c r="I2263" s="3" t="s">
        <v>6234</v>
      </c>
      <c r="J2263" s="3">
        <v>3</v>
      </c>
      <c r="K2263" s="3">
        <v>0</v>
      </c>
      <c r="L2263" s="3">
        <v>1</v>
      </c>
      <c r="M2263" s="3">
        <v>2</v>
      </c>
      <c r="N2263" s="3">
        <v>13</v>
      </c>
      <c r="O2263" s="3">
        <v>0.09</v>
      </c>
      <c r="P2263" s="3">
        <v>0</v>
      </c>
      <c r="Q2263" s="3">
        <v>10</v>
      </c>
      <c r="R2263" s="3">
        <v>0</v>
      </c>
    </row>
    <row r="2264" spans="1:18">
      <c r="A2264" s="3" t="s">
        <v>975</v>
      </c>
      <c r="B2264" s="3" t="s">
        <v>976</v>
      </c>
      <c r="C2264" s="3" t="s">
        <v>977</v>
      </c>
      <c r="D2264" s="3" t="s">
        <v>978</v>
      </c>
      <c r="E2264" s="3" t="s">
        <v>1710</v>
      </c>
      <c r="F2264" s="3">
        <v>15.99</v>
      </c>
      <c r="G2264" s="3" t="s">
        <v>6233</v>
      </c>
      <c r="H2264" s="3"/>
      <c r="I2264" s="3" t="s">
        <v>6234</v>
      </c>
      <c r="J2264" s="3">
        <v>35</v>
      </c>
      <c r="K2264" s="3">
        <v>15</v>
      </c>
      <c r="L2264" s="3">
        <v>3</v>
      </c>
      <c r="M2264" s="3">
        <v>17</v>
      </c>
      <c r="N2264" s="3">
        <v>36</v>
      </c>
      <c r="O2264" s="3">
        <v>0.05</v>
      </c>
      <c r="P2264" s="3">
        <v>0</v>
      </c>
      <c r="Q2264" s="3">
        <v>0</v>
      </c>
      <c r="R2264" s="3">
        <v>1</v>
      </c>
    </row>
    <row r="2265" spans="1:18">
      <c r="A2265" s="3" t="s">
        <v>915</v>
      </c>
      <c r="B2265" s="3" t="s">
        <v>916</v>
      </c>
      <c r="C2265" s="3" t="s">
        <v>917</v>
      </c>
      <c r="D2265" s="3" t="s">
        <v>918</v>
      </c>
      <c r="E2265" s="3" t="s">
        <v>1710</v>
      </c>
      <c r="F2265" s="3">
        <v>15.99</v>
      </c>
      <c r="G2265" s="3" t="s">
        <v>6233</v>
      </c>
      <c r="H2265" s="3"/>
      <c r="I2265" s="3" t="s">
        <v>6234</v>
      </c>
      <c r="J2265" s="3">
        <v>20</v>
      </c>
      <c r="K2265" s="3">
        <v>13</v>
      </c>
      <c r="L2265" s="3">
        <v>0</v>
      </c>
      <c r="M2265" s="3">
        <v>7</v>
      </c>
      <c r="N2265" s="3">
        <v>38</v>
      </c>
      <c r="O2265" s="3">
        <v>0.05</v>
      </c>
      <c r="P2265" s="3">
        <v>0</v>
      </c>
      <c r="Q2265" s="3">
        <v>18</v>
      </c>
      <c r="R2265" s="3">
        <v>0</v>
      </c>
    </row>
    <row r="2266" spans="1:18">
      <c r="A2266" s="3" t="s">
        <v>967</v>
      </c>
      <c r="B2266" s="3" t="s">
        <v>968</v>
      </c>
      <c r="C2266" s="3" t="s">
        <v>969</v>
      </c>
      <c r="D2266" s="3" t="s">
        <v>970</v>
      </c>
      <c r="E2266" s="3" t="s">
        <v>1710</v>
      </c>
      <c r="F2266" s="3">
        <v>15.99</v>
      </c>
      <c r="G2266" s="3" t="s">
        <v>6233</v>
      </c>
      <c r="H2266" s="3"/>
      <c r="I2266" s="3" t="s">
        <v>6234</v>
      </c>
      <c r="J2266" s="3">
        <v>11</v>
      </c>
      <c r="K2266" s="3">
        <v>5</v>
      </c>
      <c r="L2266" s="3">
        <v>2</v>
      </c>
      <c r="M2266" s="3">
        <v>4</v>
      </c>
      <c r="N2266" s="3">
        <v>11</v>
      </c>
      <c r="O2266" s="3">
        <v>0.05</v>
      </c>
      <c r="P2266" s="3">
        <v>0</v>
      </c>
      <c r="Q2266" s="3">
        <v>0</v>
      </c>
      <c r="R2266" s="3">
        <v>0</v>
      </c>
    </row>
    <row r="2267" spans="1:18">
      <c r="A2267" s="3" t="s">
        <v>3065</v>
      </c>
      <c r="B2267" s="3" t="s">
        <v>3066</v>
      </c>
      <c r="C2267" s="3" t="s">
        <v>3067</v>
      </c>
      <c r="D2267" s="3" t="s">
        <v>3068</v>
      </c>
      <c r="E2267" s="3" t="s">
        <v>1710</v>
      </c>
      <c r="F2267" s="3">
        <v>15.99</v>
      </c>
      <c r="G2267" s="3" t="s">
        <v>6233</v>
      </c>
      <c r="H2267" s="3"/>
      <c r="I2267" s="3" t="s">
        <v>6234</v>
      </c>
      <c r="J2267" s="3">
        <v>13</v>
      </c>
      <c r="K2267" s="3">
        <v>13</v>
      </c>
      <c r="L2267" s="3">
        <v>0</v>
      </c>
      <c r="M2267" s="3">
        <v>0</v>
      </c>
      <c r="N2267" s="3">
        <v>13</v>
      </c>
      <c r="O2267" s="3">
        <v>0.05</v>
      </c>
      <c r="P2267" s="3">
        <v>0</v>
      </c>
      <c r="Q2267" s="3">
        <v>0</v>
      </c>
      <c r="R2267" s="3">
        <v>0</v>
      </c>
    </row>
    <row r="2268" spans="1:18">
      <c r="A2268" s="3" t="s">
        <v>947</v>
      </c>
      <c r="B2268" s="3" t="s">
        <v>948</v>
      </c>
      <c r="C2268" s="3" t="s">
        <v>949</v>
      </c>
      <c r="D2268" s="3" t="s">
        <v>950</v>
      </c>
      <c r="E2268" s="3" t="s">
        <v>1710</v>
      </c>
      <c r="F2268" s="3">
        <v>15.99</v>
      </c>
      <c r="G2268" s="3" t="s">
        <v>6233</v>
      </c>
      <c r="H2268" s="3"/>
      <c r="I2268" s="3" t="s">
        <v>6234</v>
      </c>
      <c r="J2268" s="3">
        <v>16</v>
      </c>
      <c r="K2268" s="3">
        <v>13</v>
      </c>
      <c r="L2268" s="3">
        <v>2</v>
      </c>
      <c r="M2268" s="3">
        <v>1</v>
      </c>
      <c r="N2268" s="3">
        <v>23</v>
      </c>
      <c r="O2268" s="3">
        <v>0.05</v>
      </c>
      <c r="P2268" s="3">
        <v>0</v>
      </c>
      <c r="Q2268" s="3">
        <v>7</v>
      </c>
      <c r="R2268" s="3">
        <v>0</v>
      </c>
    </row>
    <row r="2269" spans="1:18">
      <c r="A2269" s="3" t="s">
        <v>931</v>
      </c>
      <c r="B2269" s="3" t="s">
        <v>932</v>
      </c>
      <c r="C2269" s="3" t="s">
        <v>933</v>
      </c>
      <c r="D2269" s="3" t="s">
        <v>934</v>
      </c>
      <c r="E2269" s="3" t="s">
        <v>1710</v>
      </c>
      <c r="F2269" s="3">
        <v>15.99</v>
      </c>
      <c r="G2269" s="3" t="s">
        <v>6233</v>
      </c>
      <c r="H2269" s="3"/>
      <c r="I2269" s="3" t="s">
        <v>6234</v>
      </c>
      <c r="J2269" s="3">
        <v>31</v>
      </c>
      <c r="K2269" s="3">
        <v>26</v>
      </c>
      <c r="L2269" s="3">
        <v>4</v>
      </c>
      <c r="M2269" s="3">
        <v>1</v>
      </c>
      <c r="N2269" s="3">
        <v>31</v>
      </c>
      <c r="O2269" s="3">
        <v>0.05</v>
      </c>
      <c r="P2269" s="3">
        <v>0</v>
      </c>
      <c r="Q2269" s="3">
        <v>0</v>
      </c>
      <c r="R2269" s="3">
        <v>0</v>
      </c>
    </row>
    <row r="2270" spans="1:18">
      <c r="A2270" s="3" t="s">
        <v>923</v>
      </c>
      <c r="B2270" s="3" t="s">
        <v>924</v>
      </c>
      <c r="C2270" s="3" t="s">
        <v>925</v>
      </c>
      <c r="D2270" s="3" t="s">
        <v>926</v>
      </c>
      <c r="E2270" s="3" t="s">
        <v>1710</v>
      </c>
      <c r="F2270" s="3">
        <v>15.99</v>
      </c>
      <c r="G2270" s="3" t="s">
        <v>6233</v>
      </c>
      <c r="H2270" s="3"/>
      <c r="I2270" s="3" t="s">
        <v>6234</v>
      </c>
      <c r="J2270" s="3">
        <v>4</v>
      </c>
      <c r="K2270" s="3">
        <v>0</v>
      </c>
      <c r="L2270" s="3">
        <v>2</v>
      </c>
      <c r="M2270" s="3">
        <v>2</v>
      </c>
      <c r="N2270" s="3">
        <v>4</v>
      </c>
      <c r="O2270" s="3">
        <v>0.05</v>
      </c>
      <c r="P2270" s="3">
        <v>0</v>
      </c>
      <c r="Q2270" s="3">
        <v>0</v>
      </c>
      <c r="R2270" s="3">
        <v>0</v>
      </c>
    </row>
    <row r="2271" spans="1:18">
      <c r="A2271" s="3" t="s">
        <v>4223</v>
      </c>
      <c r="B2271" s="3" t="s">
        <v>4224</v>
      </c>
      <c r="C2271" s="3" t="s">
        <v>4225</v>
      </c>
      <c r="D2271" s="3" t="s">
        <v>4226</v>
      </c>
      <c r="E2271" s="3" t="s">
        <v>1710</v>
      </c>
      <c r="F2271" s="3">
        <v>15.99</v>
      </c>
      <c r="G2271" s="3" t="s">
        <v>6233</v>
      </c>
      <c r="H2271" s="3"/>
      <c r="I2271" s="3" t="s">
        <v>6234</v>
      </c>
      <c r="J2271" s="3">
        <v>13</v>
      </c>
      <c r="K2271" s="3">
        <v>13</v>
      </c>
      <c r="L2271" s="3">
        <v>0</v>
      </c>
      <c r="M2271" s="3">
        <v>0</v>
      </c>
      <c r="N2271" s="3">
        <v>13</v>
      </c>
      <c r="O2271" s="3">
        <v>0.05</v>
      </c>
      <c r="P2271" s="3">
        <v>0</v>
      </c>
      <c r="Q2271" s="3">
        <v>0</v>
      </c>
      <c r="R2271" s="3">
        <v>0</v>
      </c>
    </row>
    <row r="2272" spans="1:18">
      <c r="A2272" s="3" t="s">
        <v>4872</v>
      </c>
      <c r="B2272" s="3" t="s">
        <v>4873</v>
      </c>
      <c r="C2272" s="3" t="s">
        <v>4874</v>
      </c>
      <c r="D2272" s="3" t="s">
        <v>898</v>
      </c>
      <c r="E2272" s="3" t="s">
        <v>1710</v>
      </c>
      <c r="F2272" s="3">
        <v>29.99</v>
      </c>
      <c r="G2272" s="3" t="s">
        <v>6233</v>
      </c>
      <c r="H2272" s="3"/>
      <c r="I2272" s="3" t="s">
        <v>6234</v>
      </c>
      <c r="J2272" s="3">
        <v>9</v>
      </c>
      <c r="K2272" s="3">
        <v>9</v>
      </c>
      <c r="L2272" s="3">
        <v>0</v>
      </c>
      <c r="M2272" s="3">
        <v>0</v>
      </c>
      <c r="N2272" s="3">
        <v>9</v>
      </c>
      <c r="O2272" s="3">
        <v>0.07</v>
      </c>
      <c r="P2272" s="3">
        <v>0</v>
      </c>
      <c r="Q2272" s="3">
        <v>0</v>
      </c>
      <c r="R2272" s="3">
        <v>0</v>
      </c>
    </row>
    <row r="2273" spans="1:18">
      <c r="A2273" s="3" t="s">
        <v>895</v>
      </c>
      <c r="B2273" s="3" t="s">
        <v>896</v>
      </c>
      <c r="C2273" s="3" t="s">
        <v>897</v>
      </c>
      <c r="D2273" s="3" t="s">
        <v>898</v>
      </c>
      <c r="E2273" s="3" t="s">
        <v>1710</v>
      </c>
      <c r="F2273" s="3">
        <v>29.99</v>
      </c>
      <c r="G2273" s="3" t="s">
        <v>6233</v>
      </c>
      <c r="H2273" s="3"/>
      <c r="I2273" s="3" t="s">
        <v>6234</v>
      </c>
      <c r="J2273" s="3">
        <v>9</v>
      </c>
      <c r="K2273" s="3">
        <v>7</v>
      </c>
      <c r="L2273" s="3">
        <v>0</v>
      </c>
      <c r="M2273" s="3">
        <v>2</v>
      </c>
      <c r="N2273" s="3">
        <v>9</v>
      </c>
      <c r="O2273" s="3">
        <v>0.07</v>
      </c>
      <c r="P2273" s="3">
        <v>0</v>
      </c>
      <c r="Q2273" s="3">
        <v>0</v>
      </c>
      <c r="R2273" s="3">
        <v>0</v>
      </c>
    </row>
    <row r="2274" spans="1:18">
      <c r="A2274" s="3" t="s">
        <v>6026</v>
      </c>
      <c r="B2274" s="3" t="s">
        <v>6027</v>
      </c>
      <c r="C2274" s="3" t="s">
        <v>6028</v>
      </c>
      <c r="D2274" s="3" t="s">
        <v>898</v>
      </c>
      <c r="E2274" s="3" t="s">
        <v>1710</v>
      </c>
      <c r="F2274" s="3">
        <v>29.99</v>
      </c>
      <c r="G2274" s="3" t="s">
        <v>6233</v>
      </c>
      <c r="H2274" s="3"/>
      <c r="I2274" s="3" t="s">
        <v>6234</v>
      </c>
      <c r="J2274" s="3">
        <v>9</v>
      </c>
      <c r="K2274" s="3">
        <v>8</v>
      </c>
      <c r="L2274" s="3">
        <v>1</v>
      </c>
      <c r="M2274" s="3">
        <v>0</v>
      </c>
      <c r="N2274" s="3">
        <v>9</v>
      </c>
      <c r="O2274" s="3">
        <v>0.07</v>
      </c>
      <c r="P2274" s="3">
        <v>0</v>
      </c>
      <c r="Q2274" s="3">
        <v>0</v>
      </c>
      <c r="R2274" s="3">
        <v>0</v>
      </c>
    </row>
    <row r="2275" spans="1:18">
      <c r="A2275" s="3" t="s">
        <v>5210</v>
      </c>
      <c r="B2275" s="3" t="s">
        <v>5211</v>
      </c>
      <c r="C2275" s="3" t="s">
        <v>5212</v>
      </c>
      <c r="D2275" s="3" t="s">
        <v>898</v>
      </c>
      <c r="E2275" s="3" t="s">
        <v>1710</v>
      </c>
      <c r="F2275" s="3">
        <v>29.99</v>
      </c>
      <c r="G2275" s="3" t="s">
        <v>6233</v>
      </c>
      <c r="H2275" s="3"/>
      <c r="I2275" s="3" t="s">
        <v>6234</v>
      </c>
      <c r="J2275" s="3">
        <v>8</v>
      </c>
      <c r="K2275" s="3">
        <v>8</v>
      </c>
      <c r="L2275" s="3">
        <v>0</v>
      </c>
      <c r="M2275" s="3">
        <v>0</v>
      </c>
      <c r="N2275" s="3">
        <v>8</v>
      </c>
      <c r="O2275" s="3">
        <v>0.07</v>
      </c>
      <c r="P2275" s="3">
        <v>0</v>
      </c>
      <c r="Q2275" s="3">
        <v>0</v>
      </c>
      <c r="R2275" s="3">
        <v>0</v>
      </c>
    </row>
    <row r="2276" spans="1:18">
      <c r="A2276" s="3" t="s">
        <v>5276</v>
      </c>
      <c r="B2276" s="3" t="s">
        <v>5277</v>
      </c>
      <c r="C2276" s="3" t="s">
        <v>5278</v>
      </c>
      <c r="D2276" s="3" t="s">
        <v>898</v>
      </c>
      <c r="E2276" s="3" t="s">
        <v>1710</v>
      </c>
      <c r="F2276" s="3">
        <v>29.99</v>
      </c>
      <c r="G2276" s="3" t="s">
        <v>6233</v>
      </c>
      <c r="H2276" s="3"/>
      <c r="I2276" s="3" t="s">
        <v>6234</v>
      </c>
      <c r="J2276" s="3">
        <v>10</v>
      </c>
      <c r="K2276" s="3">
        <v>10</v>
      </c>
      <c r="L2276" s="3">
        <v>0</v>
      </c>
      <c r="M2276" s="3">
        <v>0</v>
      </c>
      <c r="N2276" s="3">
        <v>10</v>
      </c>
      <c r="O2276" s="3">
        <v>0.07</v>
      </c>
      <c r="P2276" s="3">
        <v>0</v>
      </c>
      <c r="Q2276" s="3">
        <v>0</v>
      </c>
      <c r="R2276" s="3">
        <v>0</v>
      </c>
    </row>
    <row r="2277" spans="1:18">
      <c r="A2277" s="3" t="s">
        <v>5303</v>
      </c>
      <c r="B2277" s="3" t="s">
        <v>5304</v>
      </c>
      <c r="C2277" s="3" t="s">
        <v>5305</v>
      </c>
      <c r="D2277" s="3" t="s">
        <v>898</v>
      </c>
      <c r="E2277" s="3" t="s">
        <v>1710</v>
      </c>
      <c r="F2277" s="3">
        <v>29.99</v>
      </c>
      <c r="G2277" s="3" t="s">
        <v>6233</v>
      </c>
      <c r="H2277" s="3"/>
      <c r="I2277" s="3" t="s">
        <v>6234</v>
      </c>
      <c r="J2277" s="3">
        <v>10</v>
      </c>
      <c r="K2277" s="3">
        <v>9</v>
      </c>
      <c r="L2277" s="3">
        <v>1</v>
      </c>
      <c r="M2277" s="3">
        <v>0</v>
      </c>
      <c r="N2277" s="3">
        <v>10</v>
      </c>
      <c r="O2277" s="3">
        <v>0.07</v>
      </c>
      <c r="P2277" s="3">
        <v>0</v>
      </c>
      <c r="Q2277" s="3">
        <v>0</v>
      </c>
      <c r="R2277" s="3">
        <v>0</v>
      </c>
    </row>
    <row r="2278" spans="1:18">
      <c r="A2278" s="3" t="s">
        <v>5538</v>
      </c>
      <c r="B2278" s="3" t="s">
        <v>5539</v>
      </c>
      <c r="C2278" s="3" t="s">
        <v>5540</v>
      </c>
      <c r="D2278" s="3" t="s">
        <v>5541</v>
      </c>
      <c r="E2278" s="3" t="s">
        <v>1710</v>
      </c>
      <c r="F2278" s="3">
        <v>29.99</v>
      </c>
      <c r="G2278" s="3" t="s">
        <v>6233</v>
      </c>
      <c r="H2278" s="3"/>
      <c r="I2278" s="3" t="s">
        <v>6234</v>
      </c>
      <c r="J2278" s="3">
        <v>9</v>
      </c>
      <c r="K2278" s="3">
        <v>9</v>
      </c>
      <c r="L2278" s="3">
        <v>0</v>
      </c>
      <c r="M2278" s="3">
        <v>0</v>
      </c>
      <c r="N2278" s="3">
        <v>9</v>
      </c>
      <c r="O2278" s="3">
        <v>0.07</v>
      </c>
      <c r="P2278" s="3">
        <v>0</v>
      </c>
      <c r="Q2278" s="3">
        <v>0</v>
      </c>
      <c r="R2278" s="3">
        <v>0</v>
      </c>
    </row>
    <row r="2279" spans="1:18">
      <c r="A2279" s="3" t="s">
        <v>4812</v>
      </c>
      <c r="B2279" s="3" t="s">
        <v>4813</v>
      </c>
      <c r="C2279" s="3" t="s">
        <v>4814</v>
      </c>
      <c r="D2279" s="3" t="s">
        <v>898</v>
      </c>
      <c r="E2279" s="3" t="s">
        <v>1710</v>
      </c>
      <c r="F2279" s="3">
        <v>29.99</v>
      </c>
      <c r="G2279" s="3" t="s">
        <v>6233</v>
      </c>
      <c r="H2279" s="3"/>
      <c r="I2279" s="3" t="s">
        <v>6234</v>
      </c>
      <c r="J2279" s="3">
        <v>11</v>
      </c>
      <c r="K2279" s="3">
        <v>11</v>
      </c>
      <c r="L2279" s="3">
        <v>0</v>
      </c>
      <c r="M2279" s="3">
        <v>0</v>
      </c>
      <c r="N2279" s="3">
        <v>11</v>
      </c>
      <c r="O2279" s="3">
        <v>0.07</v>
      </c>
      <c r="P2279" s="3">
        <v>0</v>
      </c>
      <c r="Q2279" s="3">
        <v>0</v>
      </c>
      <c r="R2279" s="3">
        <v>0</v>
      </c>
    </row>
    <row r="2280" spans="1:18">
      <c r="A2280" s="3" t="s">
        <v>4563</v>
      </c>
      <c r="B2280" s="3" t="s">
        <v>4564</v>
      </c>
      <c r="C2280" s="3" t="s">
        <v>4565</v>
      </c>
      <c r="D2280" s="3" t="s">
        <v>898</v>
      </c>
      <c r="E2280" s="3" t="s">
        <v>1710</v>
      </c>
      <c r="F2280" s="3">
        <v>29.99</v>
      </c>
      <c r="G2280" s="3" t="s">
        <v>6233</v>
      </c>
      <c r="H2280" s="3"/>
      <c r="I2280" s="3" t="s">
        <v>6234</v>
      </c>
      <c r="J2280" s="3">
        <v>9</v>
      </c>
      <c r="K2280" s="3">
        <v>9</v>
      </c>
      <c r="L2280" s="3">
        <v>0</v>
      </c>
      <c r="M2280" s="3">
        <v>0</v>
      </c>
      <c r="N2280" s="3">
        <v>9</v>
      </c>
      <c r="O2280" s="3">
        <v>0.07</v>
      </c>
      <c r="P2280" s="3">
        <v>0</v>
      </c>
      <c r="Q2280" s="3">
        <v>0</v>
      </c>
      <c r="R2280" s="3">
        <v>0</v>
      </c>
    </row>
    <row r="2281" spans="1:18">
      <c r="A2281" s="3" t="s">
        <v>2019</v>
      </c>
      <c r="B2281" s="3" t="s">
        <v>2020</v>
      </c>
      <c r="C2281" s="3" t="s">
        <v>2021</v>
      </c>
      <c r="D2281" s="3" t="s">
        <v>898</v>
      </c>
      <c r="E2281" s="3" t="s">
        <v>1710</v>
      </c>
      <c r="F2281" s="3">
        <v>29.99</v>
      </c>
      <c r="G2281" s="3" t="s">
        <v>6233</v>
      </c>
      <c r="H2281" s="3"/>
      <c r="I2281" s="3" t="s">
        <v>6234</v>
      </c>
      <c r="J2281" s="3">
        <v>10</v>
      </c>
      <c r="K2281" s="3">
        <v>10</v>
      </c>
      <c r="L2281" s="3">
        <v>0</v>
      </c>
      <c r="M2281" s="3">
        <v>0</v>
      </c>
      <c r="N2281" s="3">
        <v>10</v>
      </c>
      <c r="O2281" s="3">
        <v>0.07</v>
      </c>
      <c r="P2281" s="3">
        <v>0</v>
      </c>
      <c r="Q2281" s="3">
        <v>0</v>
      </c>
      <c r="R2281" s="3">
        <v>0</v>
      </c>
    </row>
    <row r="2282" spans="1:18">
      <c r="A2282" s="3" t="s">
        <v>1003</v>
      </c>
      <c r="B2282" s="3" t="s">
        <v>1004</v>
      </c>
      <c r="C2282" s="3" t="s">
        <v>1005</v>
      </c>
      <c r="D2282" s="3" t="s">
        <v>898</v>
      </c>
      <c r="E2282" s="3" t="s">
        <v>1710</v>
      </c>
      <c r="F2282" s="3">
        <v>29.99</v>
      </c>
      <c r="G2282" s="3" t="s">
        <v>6233</v>
      </c>
      <c r="H2282" s="3"/>
      <c r="I2282" s="3" t="s">
        <v>6234</v>
      </c>
      <c r="J2282" s="3">
        <v>9</v>
      </c>
      <c r="K2282" s="3">
        <v>8</v>
      </c>
      <c r="L2282" s="3">
        <v>0</v>
      </c>
      <c r="M2282" s="3">
        <v>1</v>
      </c>
      <c r="N2282" s="3">
        <v>9</v>
      </c>
      <c r="O2282" s="3">
        <v>0.07</v>
      </c>
      <c r="P2282" s="3">
        <v>0</v>
      </c>
      <c r="Q2282" s="3">
        <v>0</v>
      </c>
      <c r="R2282" s="3">
        <v>0</v>
      </c>
    </row>
    <row r="2283" spans="1:18">
      <c r="A2283" s="3" t="s">
        <v>4024</v>
      </c>
      <c r="B2283" s="3" t="s">
        <v>4025</v>
      </c>
      <c r="C2283" s="3" t="s">
        <v>4026</v>
      </c>
      <c r="D2283" s="3" t="s">
        <v>898</v>
      </c>
      <c r="E2283" s="3" t="s">
        <v>1710</v>
      </c>
      <c r="F2283" s="3">
        <v>29.99</v>
      </c>
      <c r="G2283" s="3" t="s">
        <v>6233</v>
      </c>
      <c r="H2283" s="3"/>
      <c r="I2283" s="3" t="s">
        <v>6234</v>
      </c>
      <c r="J2283" s="3">
        <v>8</v>
      </c>
      <c r="K2283" s="3">
        <v>8</v>
      </c>
      <c r="L2283" s="3">
        <v>0</v>
      </c>
      <c r="M2283" s="3">
        <v>0</v>
      </c>
      <c r="N2283" s="3">
        <v>8</v>
      </c>
      <c r="O2283" s="3">
        <v>0.07</v>
      </c>
      <c r="P2283" s="3">
        <v>0</v>
      </c>
      <c r="Q2283" s="3">
        <v>0</v>
      </c>
      <c r="R2283" s="3">
        <v>0</v>
      </c>
    </row>
    <row r="2284" spans="1:18">
      <c r="A2284" s="3" t="s">
        <v>9641</v>
      </c>
      <c r="B2284" s="3" t="s">
        <v>9642</v>
      </c>
      <c r="C2284" s="3" t="s">
        <v>9643</v>
      </c>
      <c r="D2284" s="3" t="s">
        <v>9644</v>
      </c>
      <c r="E2284" s="3" t="s">
        <v>1710</v>
      </c>
      <c r="F2284" s="3">
        <v>28.58</v>
      </c>
      <c r="G2284" s="3" t="s">
        <v>6233</v>
      </c>
      <c r="H2284" s="3"/>
      <c r="I2284" s="3" t="s">
        <v>6234</v>
      </c>
      <c r="J2284" s="3">
        <v>0</v>
      </c>
      <c r="K2284" s="3">
        <v>0</v>
      </c>
      <c r="L2284" s="3">
        <v>0</v>
      </c>
      <c r="M2284" s="3">
        <v>0</v>
      </c>
      <c r="N2284" s="3">
        <v>20</v>
      </c>
      <c r="O2284" s="3">
        <v>0.14</v>
      </c>
      <c r="P2284" s="3">
        <v>0</v>
      </c>
      <c r="Q2284" s="3">
        <v>0</v>
      </c>
      <c r="R2284" s="3">
        <v>20</v>
      </c>
    </row>
    <row r="2285" spans="1:18">
      <c r="A2285" s="3" t="s">
        <v>4061</v>
      </c>
      <c r="B2285" s="3" t="s">
        <v>4062</v>
      </c>
      <c r="C2285" s="3" t="s">
        <v>4063</v>
      </c>
      <c r="D2285" s="3" t="s">
        <v>4064</v>
      </c>
      <c r="E2285" s="3" t="s">
        <v>1710</v>
      </c>
      <c r="F2285" s="3">
        <v>28.58</v>
      </c>
      <c r="G2285" s="3" t="s">
        <v>6233</v>
      </c>
      <c r="H2285" s="3"/>
      <c r="I2285" s="3" t="s">
        <v>6234</v>
      </c>
      <c r="J2285" s="3">
        <v>11</v>
      </c>
      <c r="K2285" s="3">
        <v>11</v>
      </c>
      <c r="L2285" s="3">
        <v>0</v>
      </c>
      <c r="M2285" s="3">
        <v>0</v>
      </c>
      <c r="N2285" s="3">
        <v>11</v>
      </c>
      <c r="O2285" s="3">
        <v>0.14</v>
      </c>
      <c r="P2285" s="3">
        <v>0</v>
      </c>
      <c r="Q2285" s="3">
        <v>0</v>
      </c>
      <c r="R2285" s="3">
        <v>0</v>
      </c>
    </row>
    <row r="2286" spans="1:18">
      <c r="A2286" s="3" t="s">
        <v>9645</v>
      </c>
      <c r="B2286" s="3" t="s">
        <v>9646</v>
      </c>
      <c r="C2286" s="3" t="s">
        <v>9647</v>
      </c>
      <c r="D2286" s="3" t="s">
        <v>9648</v>
      </c>
      <c r="E2286" s="3" t="s">
        <v>1710</v>
      </c>
      <c r="F2286" s="3">
        <v>28.58</v>
      </c>
      <c r="G2286" s="3" t="s">
        <v>6233</v>
      </c>
      <c r="H2286" s="3"/>
      <c r="I2286" s="3" t="s">
        <v>6234</v>
      </c>
      <c r="J2286" s="3">
        <v>0</v>
      </c>
      <c r="K2286" s="3">
        <v>0</v>
      </c>
      <c r="L2286" s="3">
        <v>0</v>
      </c>
      <c r="M2286" s="3">
        <v>0</v>
      </c>
      <c r="N2286" s="3">
        <v>20</v>
      </c>
      <c r="O2286" s="3">
        <v>0.14</v>
      </c>
      <c r="P2286" s="3">
        <v>0</v>
      </c>
      <c r="Q2286" s="3">
        <v>0</v>
      </c>
      <c r="R2286" s="3">
        <v>20</v>
      </c>
    </row>
    <row r="2287" spans="1:18">
      <c r="A2287" s="3" t="s">
        <v>4800</v>
      </c>
      <c r="B2287" s="3" t="s">
        <v>4801</v>
      </c>
      <c r="C2287" s="3" t="s">
        <v>4802</v>
      </c>
      <c r="D2287" s="3" t="s">
        <v>4803</v>
      </c>
      <c r="E2287" s="3" t="s">
        <v>1710</v>
      </c>
      <c r="F2287" s="3">
        <v>28.58</v>
      </c>
      <c r="G2287" s="3" t="s">
        <v>6233</v>
      </c>
      <c r="H2287" s="3"/>
      <c r="I2287" s="3" t="s">
        <v>6234</v>
      </c>
      <c r="J2287" s="3">
        <v>17</v>
      </c>
      <c r="K2287" s="3">
        <v>17</v>
      </c>
      <c r="L2287" s="3">
        <v>0</v>
      </c>
      <c r="M2287" s="3">
        <v>0</v>
      </c>
      <c r="N2287" s="3">
        <v>17</v>
      </c>
      <c r="O2287" s="3">
        <v>0.14</v>
      </c>
      <c r="P2287" s="3">
        <v>0</v>
      </c>
      <c r="Q2287" s="3">
        <v>0</v>
      </c>
      <c r="R2287" s="3">
        <v>0</v>
      </c>
    </row>
    <row r="2288" spans="1:18">
      <c r="A2288" s="3" t="s">
        <v>971</v>
      </c>
      <c r="B2288" s="3" t="s">
        <v>972</v>
      </c>
      <c r="C2288" s="3" t="s">
        <v>973</v>
      </c>
      <c r="D2288" s="3" t="s">
        <v>974</v>
      </c>
      <c r="E2288" s="3" t="s">
        <v>1710</v>
      </c>
      <c r="F2288" s="3">
        <v>28.58</v>
      </c>
      <c r="G2288" s="3" t="s">
        <v>6233</v>
      </c>
      <c r="H2288" s="3"/>
      <c r="I2288" s="3" t="s">
        <v>6234</v>
      </c>
      <c r="J2288" s="3">
        <v>9</v>
      </c>
      <c r="K2288" s="3">
        <v>7</v>
      </c>
      <c r="L2288" s="3">
        <v>0</v>
      </c>
      <c r="M2288" s="3">
        <v>2</v>
      </c>
      <c r="N2288" s="3">
        <v>9</v>
      </c>
      <c r="O2288" s="3">
        <v>0.14</v>
      </c>
      <c r="P2288" s="3">
        <v>0</v>
      </c>
      <c r="Q2288" s="3">
        <v>0</v>
      </c>
      <c r="R2288" s="3">
        <v>0</v>
      </c>
    </row>
    <row r="2289" spans="1:18">
      <c r="A2289" s="3" t="s">
        <v>987</v>
      </c>
      <c r="B2289" s="3" t="s">
        <v>988</v>
      </c>
      <c r="C2289" s="3" t="s">
        <v>989</v>
      </c>
      <c r="D2289" s="3" t="s">
        <v>990</v>
      </c>
      <c r="E2289" s="3" t="s">
        <v>1710</v>
      </c>
      <c r="F2289" s="3">
        <v>28.58</v>
      </c>
      <c r="G2289" s="3" t="s">
        <v>6233</v>
      </c>
      <c r="H2289" s="3"/>
      <c r="I2289" s="3" t="s">
        <v>6234</v>
      </c>
      <c r="J2289" s="3">
        <v>16</v>
      </c>
      <c r="K2289" s="3">
        <v>15</v>
      </c>
      <c r="L2289" s="3">
        <v>0</v>
      </c>
      <c r="M2289" s="3">
        <v>1</v>
      </c>
      <c r="N2289" s="3">
        <v>16</v>
      </c>
      <c r="O2289" s="3">
        <v>0.14</v>
      </c>
      <c r="P2289" s="3">
        <v>0</v>
      </c>
      <c r="Q2289" s="3">
        <v>0</v>
      </c>
      <c r="R2289" s="3">
        <v>0</v>
      </c>
    </row>
    <row r="2290" spans="1:18">
      <c r="A2290" s="3" t="s">
        <v>4820</v>
      </c>
      <c r="B2290" s="3" t="s">
        <v>4821</v>
      </c>
      <c r="C2290" s="3" t="s">
        <v>4822</v>
      </c>
      <c r="D2290" s="3" t="s">
        <v>4823</v>
      </c>
      <c r="E2290" s="3" t="s">
        <v>1710</v>
      </c>
      <c r="F2290" s="3">
        <v>18.99</v>
      </c>
      <c r="G2290" s="3" t="s">
        <v>6233</v>
      </c>
      <c r="H2290" s="3"/>
      <c r="I2290" s="3" t="s">
        <v>6234</v>
      </c>
      <c r="J2290" s="3">
        <v>12</v>
      </c>
      <c r="K2290" s="3">
        <v>12</v>
      </c>
      <c r="L2290" s="3">
        <v>0</v>
      </c>
      <c r="M2290" s="3">
        <v>0</v>
      </c>
      <c r="N2290" s="3">
        <v>12</v>
      </c>
      <c r="O2290" s="3">
        <v>0.01</v>
      </c>
      <c r="P2290" s="3">
        <v>0</v>
      </c>
      <c r="Q2290" s="3">
        <v>0</v>
      </c>
      <c r="R2290" s="3">
        <v>0</v>
      </c>
    </row>
    <row r="2291" spans="1:18">
      <c r="A2291" s="3" t="s">
        <v>5870</v>
      </c>
      <c r="B2291" s="3" t="s">
        <v>5871</v>
      </c>
      <c r="C2291" s="3" t="s">
        <v>5872</v>
      </c>
      <c r="D2291" s="3" t="s">
        <v>5873</v>
      </c>
      <c r="E2291" s="3" t="s">
        <v>1710</v>
      </c>
      <c r="F2291" s="3">
        <v>18.99</v>
      </c>
      <c r="G2291" s="3" t="s">
        <v>6233</v>
      </c>
      <c r="H2291" s="3"/>
      <c r="I2291" s="3" t="s">
        <v>6234</v>
      </c>
      <c r="J2291" s="3">
        <v>16</v>
      </c>
      <c r="K2291" s="3">
        <v>15</v>
      </c>
      <c r="L2291" s="3">
        <v>1</v>
      </c>
      <c r="M2291" s="3">
        <v>0</v>
      </c>
      <c r="N2291" s="3">
        <v>16</v>
      </c>
      <c r="O2291" s="3">
        <v>0.01</v>
      </c>
      <c r="P2291" s="3">
        <v>0</v>
      </c>
      <c r="Q2291" s="3">
        <v>0</v>
      </c>
      <c r="R2291" s="3">
        <v>0</v>
      </c>
    </row>
    <row r="2292" spans="1:18">
      <c r="A2292" s="3" t="s">
        <v>6167</v>
      </c>
      <c r="B2292" s="3" t="s">
        <v>6168</v>
      </c>
      <c r="C2292" s="3" t="s">
        <v>6169</v>
      </c>
      <c r="D2292" s="3" t="s">
        <v>6170</v>
      </c>
      <c r="E2292" s="3" t="s">
        <v>1710</v>
      </c>
      <c r="F2292" s="3">
        <v>18.99</v>
      </c>
      <c r="G2292" s="3" t="s">
        <v>6233</v>
      </c>
      <c r="H2292" s="3"/>
      <c r="I2292" s="3" t="s">
        <v>6234</v>
      </c>
      <c r="J2292" s="3">
        <v>14</v>
      </c>
      <c r="K2292" s="3">
        <v>10</v>
      </c>
      <c r="L2292" s="3">
        <v>4</v>
      </c>
      <c r="M2292" s="3">
        <v>0</v>
      </c>
      <c r="N2292" s="3">
        <v>14</v>
      </c>
      <c r="O2292" s="3">
        <v>0.01</v>
      </c>
      <c r="P2292" s="3">
        <v>0</v>
      </c>
      <c r="Q2292" s="3">
        <v>0</v>
      </c>
      <c r="R2292" s="3">
        <v>0</v>
      </c>
    </row>
    <row r="2293" spans="1:18">
      <c r="A2293" s="3" t="s">
        <v>3918</v>
      </c>
      <c r="B2293" s="3" t="s">
        <v>3919</v>
      </c>
      <c r="C2293" s="3" t="s">
        <v>3920</v>
      </c>
      <c r="D2293" s="3" t="s">
        <v>3921</v>
      </c>
      <c r="E2293" s="3" t="s">
        <v>1710</v>
      </c>
      <c r="F2293" s="3">
        <v>18.99</v>
      </c>
      <c r="G2293" s="3" t="s">
        <v>6233</v>
      </c>
      <c r="H2293" s="3"/>
      <c r="I2293" s="3" t="s">
        <v>6234</v>
      </c>
      <c r="J2293" s="3">
        <v>15</v>
      </c>
      <c r="K2293" s="3">
        <v>14</v>
      </c>
      <c r="L2293" s="3">
        <v>1</v>
      </c>
      <c r="M2293" s="3">
        <v>0</v>
      </c>
      <c r="N2293" s="3">
        <v>15</v>
      </c>
      <c r="O2293" s="3">
        <v>0.01</v>
      </c>
      <c r="P2293" s="3">
        <v>0</v>
      </c>
      <c r="Q2293" s="3">
        <v>0</v>
      </c>
      <c r="R2293" s="3">
        <v>0</v>
      </c>
    </row>
    <row r="2294" spans="1:18">
      <c r="A2294" s="3" t="s">
        <v>4364</v>
      </c>
      <c r="B2294" s="3" t="s">
        <v>4365</v>
      </c>
      <c r="C2294" s="3" t="s">
        <v>4366</v>
      </c>
      <c r="D2294" s="3" t="s">
        <v>4367</v>
      </c>
      <c r="E2294" s="3" t="s">
        <v>1710</v>
      </c>
      <c r="F2294" s="3">
        <v>18.99</v>
      </c>
      <c r="G2294" s="3" t="s">
        <v>6233</v>
      </c>
      <c r="H2294" s="3"/>
      <c r="I2294" s="3" t="s">
        <v>6234</v>
      </c>
      <c r="J2294" s="3">
        <v>18</v>
      </c>
      <c r="K2294" s="3">
        <v>15</v>
      </c>
      <c r="L2294" s="3">
        <v>3</v>
      </c>
      <c r="M2294" s="3">
        <v>0</v>
      </c>
      <c r="N2294" s="3">
        <v>18</v>
      </c>
      <c r="O2294" s="3">
        <v>0.01</v>
      </c>
      <c r="P2294" s="3">
        <v>0</v>
      </c>
      <c r="Q2294" s="3">
        <v>0</v>
      </c>
      <c r="R2294" s="3">
        <v>0</v>
      </c>
    </row>
    <row r="2295" spans="1:18">
      <c r="A2295" s="3" t="s">
        <v>1050</v>
      </c>
      <c r="B2295" s="3" t="s">
        <v>1051</v>
      </c>
      <c r="C2295" s="3" t="s">
        <v>1052</v>
      </c>
      <c r="D2295" s="3" t="s">
        <v>1053</v>
      </c>
      <c r="E2295" s="3" t="s">
        <v>1710</v>
      </c>
      <c r="F2295" s="3">
        <v>48.58</v>
      </c>
      <c r="G2295" s="3" t="s">
        <v>6233</v>
      </c>
      <c r="H2295" s="3"/>
      <c r="I2295" s="3" t="s">
        <v>6234</v>
      </c>
      <c r="J2295" s="3">
        <v>13</v>
      </c>
      <c r="K2295" s="3">
        <v>0</v>
      </c>
      <c r="L2295" s="3">
        <v>11</v>
      </c>
      <c r="M2295" s="3">
        <v>2</v>
      </c>
      <c r="N2295" s="3">
        <v>156</v>
      </c>
      <c r="O2295" s="3">
        <v>0.1</v>
      </c>
      <c r="P2295" s="3">
        <v>0</v>
      </c>
      <c r="Q2295" s="3">
        <v>0</v>
      </c>
      <c r="R2295" s="3">
        <v>143</v>
      </c>
    </row>
    <row r="2296" spans="1:18">
      <c r="A2296" s="3" t="s">
        <v>1090</v>
      </c>
      <c r="B2296" s="3" t="s">
        <v>1091</v>
      </c>
      <c r="C2296" s="3" t="s">
        <v>1092</v>
      </c>
      <c r="D2296" s="3" t="s">
        <v>1093</v>
      </c>
      <c r="E2296" s="3" t="s">
        <v>1710</v>
      </c>
      <c r="F2296" s="3">
        <v>48.58</v>
      </c>
      <c r="G2296" s="3" t="s">
        <v>6233</v>
      </c>
      <c r="H2296" s="3"/>
      <c r="I2296" s="3" t="s">
        <v>6234</v>
      </c>
      <c r="J2296" s="3">
        <v>7</v>
      </c>
      <c r="K2296" s="3">
        <v>0</v>
      </c>
      <c r="L2296" s="3">
        <v>3</v>
      </c>
      <c r="M2296" s="3">
        <v>4</v>
      </c>
      <c r="N2296" s="3">
        <v>107</v>
      </c>
      <c r="O2296" s="3">
        <v>0.1</v>
      </c>
      <c r="P2296" s="3">
        <v>0</v>
      </c>
      <c r="Q2296" s="3">
        <v>0</v>
      </c>
      <c r="R2296" s="3">
        <v>100</v>
      </c>
    </row>
    <row r="2297" spans="1:18">
      <c r="A2297" s="3" t="s">
        <v>1074</v>
      </c>
      <c r="B2297" s="3" t="s">
        <v>1075</v>
      </c>
      <c r="C2297" s="3" t="s">
        <v>1076</v>
      </c>
      <c r="D2297" s="3" t="s">
        <v>1077</v>
      </c>
      <c r="E2297" s="3" t="s">
        <v>1710</v>
      </c>
      <c r="F2297" s="3">
        <v>28.99</v>
      </c>
      <c r="G2297" s="3" t="s">
        <v>6233</v>
      </c>
      <c r="H2297" s="3"/>
      <c r="I2297" s="3" t="s">
        <v>6234</v>
      </c>
      <c r="J2297" s="3">
        <v>1</v>
      </c>
      <c r="K2297" s="3">
        <v>0</v>
      </c>
      <c r="L2297" s="3">
        <v>0</v>
      </c>
      <c r="M2297" s="3">
        <v>1</v>
      </c>
      <c r="N2297" s="3">
        <v>1</v>
      </c>
      <c r="O2297" s="3">
        <v>0.1</v>
      </c>
      <c r="P2297" s="3">
        <v>0</v>
      </c>
      <c r="Q2297" s="3">
        <v>0</v>
      </c>
      <c r="R2297" s="3">
        <v>0</v>
      </c>
    </row>
    <row r="2298" spans="1:18">
      <c r="A2298" s="3" t="s">
        <v>1082</v>
      </c>
      <c r="B2298" s="3" t="s">
        <v>1083</v>
      </c>
      <c r="C2298" s="3" t="s">
        <v>1084</v>
      </c>
      <c r="D2298" s="3" t="s">
        <v>1085</v>
      </c>
      <c r="E2298" s="3" t="s">
        <v>1710</v>
      </c>
      <c r="F2298" s="3">
        <v>48.58</v>
      </c>
      <c r="G2298" s="3" t="s">
        <v>6233</v>
      </c>
      <c r="H2298" s="3"/>
      <c r="I2298" s="3" t="s">
        <v>6234</v>
      </c>
      <c r="J2298" s="3">
        <v>54</v>
      </c>
      <c r="K2298" s="3">
        <v>47</v>
      </c>
      <c r="L2298" s="3">
        <v>3</v>
      </c>
      <c r="M2298" s="3">
        <v>4</v>
      </c>
      <c r="N2298" s="3">
        <v>54</v>
      </c>
      <c r="O2298" s="3">
        <v>0.1</v>
      </c>
      <c r="P2298" s="3">
        <v>0</v>
      </c>
      <c r="Q2298" s="3">
        <v>0</v>
      </c>
      <c r="R2298" s="3">
        <v>0</v>
      </c>
    </row>
    <row r="2299" spans="1:18">
      <c r="A2299" s="3" t="s">
        <v>4486</v>
      </c>
      <c r="B2299" s="3" t="s">
        <v>4487</v>
      </c>
      <c r="C2299" s="3" t="s">
        <v>4488</v>
      </c>
      <c r="D2299" s="3" t="s">
        <v>4489</v>
      </c>
      <c r="E2299" s="3" t="s">
        <v>1710</v>
      </c>
      <c r="F2299" s="3">
        <v>48.58</v>
      </c>
      <c r="G2299" s="3" t="s">
        <v>6233</v>
      </c>
      <c r="H2299" s="3"/>
      <c r="I2299" s="3" t="s">
        <v>6234</v>
      </c>
      <c r="J2299" s="3">
        <v>1</v>
      </c>
      <c r="K2299" s="3">
        <v>1</v>
      </c>
      <c r="L2299" s="3">
        <v>0</v>
      </c>
      <c r="M2299" s="3">
        <v>0</v>
      </c>
      <c r="N2299" s="3">
        <v>21</v>
      </c>
      <c r="O2299" s="3">
        <v>0.1</v>
      </c>
      <c r="P2299" s="3">
        <v>0</v>
      </c>
      <c r="Q2299" s="3">
        <v>0</v>
      </c>
      <c r="R2299" s="3">
        <v>20</v>
      </c>
    </row>
    <row r="2300" spans="1:18">
      <c r="A2300" s="3" t="s">
        <v>1078</v>
      </c>
      <c r="B2300" s="3" t="s">
        <v>1079</v>
      </c>
      <c r="C2300" s="3" t="s">
        <v>1080</v>
      </c>
      <c r="D2300" s="3" t="s">
        <v>1081</v>
      </c>
      <c r="E2300" s="3" t="s">
        <v>1710</v>
      </c>
      <c r="F2300" s="3">
        <v>48.58</v>
      </c>
      <c r="G2300" s="3" t="s">
        <v>6233</v>
      </c>
      <c r="H2300" s="3"/>
      <c r="I2300" s="3" t="s">
        <v>6234</v>
      </c>
      <c r="J2300" s="3">
        <v>30</v>
      </c>
      <c r="K2300" s="3">
        <v>13</v>
      </c>
      <c r="L2300" s="3">
        <v>4</v>
      </c>
      <c r="M2300" s="3">
        <v>13</v>
      </c>
      <c r="N2300" s="3">
        <v>30</v>
      </c>
      <c r="O2300" s="3">
        <v>0.1</v>
      </c>
      <c r="P2300" s="3">
        <v>0</v>
      </c>
      <c r="Q2300" s="3">
        <v>0</v>
      </c>
      <c r="R2300" s="3">
        <v>0</v>
      </c>
    </row>
    <row r="2301" spans="1:18">
      <c r="A2301" s="3" t="s">
        <v>1070</v>
      </c>
      <c r="B2301" s="3" t="s">
        <v>1071</v>
      </c>
      <c r="C2301" s="3" t="s">
        <v>1072</v>
      </c>
      <c r="D2301" s="3" t="s">
        <v>1073</v>
      </c>
      <c r="E2301" s="3" t="s">
        <v>1710</v>
      </c>
      <c r="F2301" s="3">
        <v>48.58</v>
      </c>
      <c r="G2301" s="3" t="s">
        <v>6233</v>
      </c>
      <c r="H2301" s="3"/>
      <c r="I2301" s="3" t="s">
        <v>6234</v>
      </c>
      <c r="J2301" s="3">
        <v>3</v>
      </c>
      <c r="K2301" s="3">
        <v>0</v>
      </c>
      <c r="L2301" s="3">
        <v>2</v>
      </c>
      <c r="M2301" s="3">
        <v>1</v>
      </c>
      <c r="N2301" s="3">
        <v>3</v>
      </c>
      <c r="O2301" s="3">
        <v>0.11</v>
      </c>
      <c r="P2301" s="3">
        <v>0</v>
      </c>
      <c r="Q2301" s="3">
        <v>0</v>
      </c>
      <c r="R2301" s="3">
        <v>0</v>
      </c>
    </row>
    <row r="2302" spans="1:18">
      <c r="A2302" s="3" t="s">
        <v>1030</v>
      </c>
      <c r="B2302" s="3" t="s">
        <v>1031</v>
      </c>
      <c r="C2302" s="3" t="s">
        <v>1032</v>
      </c>
      <c r="D2302" s="3" t="s">
        <v>1033</v>
      </c>
      <c r="E2302" s="3" t="s">
        <v>1710</v>
      </c>
      <c r="F2302" s="3">
        <v>48.58</v>
      </c>
      <c r="G2302" s="3" t="s">
        <v>6233</v>
      </c>
      <c r="H2302" s="3"/>
      <c r="I2302" s="3" t="s">
        <v>6234</v>
      </c>
      <c r="J2302" s="3">
        <v>8</v>
      </c>
      <c r="K2302" s="3">
        <v>0</v>
      </c>
      <c r="L2302" s="3">
        <v>0</v>
      </c>
      <c r="M2302" s="3">
        <v>8</v>
      </c>
      <c r="N2302" s="3">
        <v>8</v>
      </c>
      <c r="O2302" s="3">
        <v>0.1</v>
      </c>
      <c r="P2302" s="3">
        <v>0</v>
      </c>
      <c r="Q2302" s="3">
        <v>0</v>
      </c>
      <c r="R2302" s="3">
        <v>0</v>
      </c>
    </row>
    <row r="2303" spans="1:18">
      <c r="A2303" s="3" t="s">
        <v>1042</v>
      </c>
      <c r="B2303" s="3" t="s">
        <v>1043</v>
      </c>
      <c r="C2303" s="3" t="s">
        <v>1044</v>
      </c>
      <c r="D2303" s="3" t="s">
        <v>1045</v>
      </c>
      <c r="E2303" s="3" t="s">
        <v>1710</v>
      </c>
      <c r="F2303" s="3">
        <v>48.58</v>
      </c>
      <c r="G2303" s="3" t="s">
        <v>6233</v>
      </c>
      <c r="H2303" s="3"/>
      <c r="I2303" s="3" t="s">
        <v>6234</v>
      </c>
      <c r="J2303" s="3">
        <v>15</v>
      </c>
      <c r="K2303" s="3">
        <v>6</v>
      </c>
      <c r="L2303" s="3">
        <v>1</v>
      </c>
      <c r="M2303" s="3">
        <v>8</v>
      </c>
      <c r="N2303" s="3">
        <v>15</v>
      </c>
      <c r="O2303" s="3">
        <v>0.1</v>
      </c>
      <c r="P2303" s="3">
        <v>0</v>
      </c>
      <c r="Q2303" s="3">
        <v>0</v>
      </c>
      <c r="R2303" s="3">
        <v>0</v>
      </c>
    </row>
    <row r="2304" spans="1:18">
      <c r="A2304" s="3" t="s">
        <v>3250</v>
      </c>
      <c r="B2304" s="3" t="s">
        <v>3251</v>
      </c>
      <c r="C2304" s="3" t="s">
        <v>3252</v>
      </c>
      <c r="D2304" s="3" t="s">
        <v>3253</v>
      </c>
      <c r="E2304" s="3" t="s">
        <v>1710</v>
      </c>
      <c r="F2304" s="3">
        <v>48.58</v>
      </c>
      <c r="G2304" s="3" t="s">
        <v>6233</v>
      </c>
      <c r="H2304" s="3"/>
      <c r="I2304" s="3" t="s">
        <v>6234</v>
      </c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>
        <v>0.11</v>
      </c>
      <c r="P2304" s="3">
        <v>0</v>
      </c>
      <c r="Q2304" s="3">
        <v>0</v>
      </c>
      <c r="R2304" s="3">
        <v>0</v>
      </c>
    </row>
    <row r="2305" spans="1:18">
      <c r="A2305" s="3" t="s">
        <v>1054</v>
      </c>
      <c r="B2305" s="3" t="s">
        <v>1055</v>
      </c>
      <c r="C2305" s="3" t="s">
        <v>1056</v>
      </c>
      <c r="D2305" s="3" t="s">
        <v>1057</v>
      </c>
      <c r="E2305" s="3" t="s">
        <v>1710</v>
      </c>
      <c r="F2305" s="3">
        <v>48.58</v>
      </c>
      <c r="G2305" s="3" t="s">
        <v>6233</v>
      </c>
      <c r="H2305" s="3"/>
      <c r="I2305" s="3" t="s">
        <v>6234</v>
      </c>
      <c r="J2305" s="3">
        <v>6</v>
      </c>
      <c r="K2305" s="3">
        <v>0</v>
      </c>
      <c r="L2305" s="3">
        <v>5</v>
      </c>
      <c r="M2305" s="3">
        <v>1</v>
      </c>
      <c r="N2305" s="3">
        <v>6</v>
      </c>
      <c r="O2305" s="3">
        <v>0.11</v>
      </c>
      <c r="P2305" s="3">
        <v>0</v>
      </c>
      <c r="Q2305" s="3">
        <v>0</v>
      </c>
      <c r="R2305" s="3">
        <v>0</v>
      </c>
    </row>
    <row r="2306" spans="1:18">
      <c r="A2306" s="3" t="s">
        <v>1102</v>
      </c>
      <c r="B2306" s="3" t="s">
        <v>1103</v>
      </c>
      <c r="C2306" s="3" t="s">
        <v>1104</v>
      </c>
      <c r="D2306" s="3" t="s">
        <v>1105</v>
      </c>
      <c r="E2306" s="3" t="s">
        <v>1710</v>
      </c>
      <c r="F2306" s="3">
        <v>48.58</v>
      </c>
      <c r="G2306" s="3" t="s">
        <v>6233</v>
      </c>
      <c r="H2306" s="3"/>
      <c r="I2306" s="3" t="s">
        <v>6234</v>
      </c>
      <c r="J2306" s="3">
        <v>7</v>
      </c>
      <c r="K2306" s="3">
        <v>0</v>
      </c>
      <c r="L2306" s="3">
        <v>1</v>
      </c>
      <c r="M2306" s="3">
        <v>6</v>
      </c>
      <c r="N2306" s="3">
        <v>15</v>
      </c>
      <c r="O2306" s="3">
        <v>0.1</v>
      </c>
      <c r="P2306" s="3">
        <v>0</v>
      </c>
      <c r="Q2306" s="3">
        <v>0</v>
      </c>
      <c r="R2306" s="3">
        <v>8</v>
      </c>
    </row>
    <row r="2307" spans="1:18">
      <c r="A2307" s="3" t="s">
        <v>1022</v>
      </c>
      <c r="B2307" s="3" t="s">
        <v>1023</v>
      </c>
      <c r="C2307" s="3" t="s">
        <v>1024</v>
      </c>
      <c r="D2307" s="3" t="s">
        <v>1025</v>
      </c>
      <c r="E2307" s="3" t="s">
        <v>1710</v>
      </c>
      <c r="F2307" s="3">
        <v>48.58</v>
      </c>
      <c r="G2307" s="3" t="s">
        <v>6233</v>
      </c>
      <c r="H2307" s="3"/>
      <c r="I2307" s="3" t="s">
        <v>6234</v>
      </c>
      <c r="J2307" s="3">
        <v>4</v>
      </c>
      <c r="K2307" s="3">
        <v>0</v>
      </c>
      <c r="L2307" s="3">
        <v>2</v>
      </c>
      <c r="M2307" s="3">
        <v>2</v>
      </c>
      <c r="N2307" s="3">
        <v>4</v>
      </c>
      <c r="O2307" s="3">
        <v>0.1</v>
      </c>
      <c r="P2307" s="3">
        <v>0</v>
      </c>
      <c r="Q2307" s="3">
        <v>0</v>
      </c>
      <c r="R2307" s="3">
        <v>0</v>
      </c>
    </row>
    <row r="2308" spans="1:18">
      <c r="A2308" s="3" t="s">
        <v>2791</v>
      </c>
      <c r="B2308" s="3" t="s">
        <v>2792</v>
      </c>
      <c r="C2308" s="3" t="s">
        <v>2793</v>
      </c>
      <c r="D2308" s="3" t="s">
        <v>2794</v>
      </c>
      <c r="E2308" s="3" t="s">
        <v>1710</v>
      </c>
      <c r="F2308" s="3">
        <v>48.58</v>
      </c>
      <c r="G2308" s="3" t="s">
        <v>6233</v>
      </c>
      <c r="H2308" s="3"/>
      <c r="I2308" s="3" t="s">
        <v>6234</v>
      </c>
      <c r="J2308" s="3">
        <v>0</v>
      </c>
      <c r="K2308" s="3">
        <v>0</v>
      </c>
      <c r="L2308" s="3">
        <v>0</v>
      </c>
      <c r="M2308" s="3">
        <v>0</v>
      </c>
      <c r="N2308" s="3">
        <v>35</v>
      </c>
      <c r="O2308" s="3">
        <v>0.1</v>
      </c>
      <c r="P2308" s="3">
        <v>0</v>
      </c>
      <c r="Q2308" s="3">
        <v>0</v>
      </c>
      <c r="R2308" s="3">
        <v>35</v>
      </c>
    </row>
    <row r="2309" spans="1:18">
      <c r="A2309" s="3" t="s">
        <v>1038</v>
      </c>
      <c r="B2309" s="3" t="s">
        <v>1039</v>
      </c>
      <c r="C2309" s="3" t="s">
        <v>1040</v>
      </c>
      <c r="D2309" s="3" t="s">
        <v>1041</v>
      </c>
      <c r="E2309" s="3" t="s">
        <v>1710</v>
      </c>
      <c r="F2309" s="3">
        <v>48.58</v>
      </c>
      <c r="G2309" s="3" t="s">
        <v>6233</v>
      </c>
      <c r="H2309" s="3"/>
      <c r="I2309" s="3" t="s">
        <v>6234</v>
      </c>
      <c r="J2309" s="3">
        <v>5</v>
      </c>
      <c r="K2309" s="3">
        <v>4</v>
      </c>
      <c r="L2309" s="3">
        <v>0</v>
      </c>
      <c r="M2309" s="3">
        <v>1</v>
      </c>
      <c r="N2309" s="3">
        <v>25</v>
      </c>
      <c r="O2309" s="3">
        <v>0.1</v>
      </c>
      <c r="P2309" s="3">
        <v>0</v>
      </c>
      <c r="Q2309" s="3">
        <v>0</v>
      </c>
      <c r="R2309" s="3">
        <v>20</v>
      </c>
    </row>
    <row r="2310" spans="1:18">
      <c r="A2310" s="3" t="s">
        <v>1094</v>
      </c>
      <c r="B2310" s="3" t="s">
        <v>1095</v>
      </c>
      <c r="C2310" s="3" t="s">
        <v>1096</v>
      </c>
      <c r="D2310" s="3" t="s">
        <v>1097</v>
      </c>
      <c r="E2310" s="3" t="s">
        <v>1710</v>
      </c>
      <c r="F2310" s="3">
        <v>48.58</v>
      </c>
      <c r="G2310" s="3" t="s">
        <v>6233</v>
      </c>
      <c r="H2310" s="3"/>
      <c r="I2310" s="3" t="s">
        <v>6234</v>
      </c>
      <c r="J2310" s="3">
        <v>5</v>
      </c>
      <c r="K2310" s="3">
        <v>0</v>
      </c>
      <c r="L2310" s="3">
        <v>4</v>
      </c>
      <c r="M2310" s="3">
        <v>1</v>
      </c>
      <c r="N2310" s="3">
        <v>45</v>
      </c>
      <c r="O2310" s="3">
        <v>0.1</v>
      </c>
      <c r="P2310" s="3">
        <v>0</v>
      </c>
      <c r="Q2310" s="3">
        <v>0</v>
      </c>
      <c r="R2310" s="3">
        <v>40</v>
      </c>
    </row>
    <row r="2311" spans="1:18">
      <c r="A2311" s="3" t="s">
        <v>1018</v>
      </c>
      <c r="B2311" s="3" t="s">
        <v>1019</v>
      </c>
      <c r="C2311" s="3" t="s">
        <v>1020</v>
      </c>
      <c r="D2311" s="3" t="s">
        <v>1021</v>
      </c>
      <c r="E2311" s="3" t="s">
        <v>1710</v>
      </c>
      <c r="F2311" s="3">
        <v>48.58</v>
      </c>
      <c r="G2311" s="3" t="s">
        <v>6233</v>
      </c>
      <c r="H2311" s="3"/>
      <c r="I2311" s="3" t="s">
        <v>6234</v>
      </c>
      <c r="J2311" s="3">
        <v>3</v>
      </c>
      <c r="K2311" s="3">
        <v>0</v>
      </c>
      <c r="L2311" s="3">
        <v>0</v>
      </c>
      <c r="M2311" s="3">
        <v>3</v>
      </c>
      <c r="N2311" s="3">
        <v>3</v>
      </c>
      <c r="O2311" s="3">
        <v>0.1</v>
      </c>
      <c r="P2311" s="3">
        <v>0</v>
      </c>
      <c r="Q2311" s="3">
        <v>0</v>
      </c>
      <c r="R2311" s="3">
        <v>0</v>
      </c>
    </row>
    <row r="2312" spans="1:18">
      <c r="A2312" s="3" t="s">
        <v>1034</v>
      </c>
      <c r="B2312" s="3" t="s">
        <v>1035</v>
      </c>
      <c r="C2312" s="3" t="s">
        <v>1036</v>
      </c>
      <c r="D2312" s="3" t="s">
        <v>1037</v>
      </c>
      <c r="E2312" s="3" t="s">
        <v>1710</v>
      </c>
      <c r="F2312" s="3">
        <v>48.58</v>
      </c>
      <c r="G2312" s="3" t="s">
        <v>6233</v>
      </c>
      <c r="H2312" s="3"/>
      <c r="I2312" s="3" t="s">
        <v>6234</v>
      </c>
      <c r="J2312" s="3">
        <v>7</v>
      </c>
      <c r="K2312" s="3">
        <v>0</v>
      </c>
      <c r="L2312" s="3">
        <v>6</v>
      </c>
      <c r="M2312" s="3">
        <v>1</v>
      </c>
      <c r="N2312" s="3">
        <v>60</v>
      </c>
      <c r="O2312" s="3">
        <v>0.1</v>
      </c>
      <c r="P2312" s="3">
        <v>0</v>
      </c>
      <c r="Q2312" s="3">
        <v>0</v>
      </c>
      <c r="R2312" s="3">
        <v>53</v>
      </c>
    </row>
    <row r="2313" spans="1:18">
      <c r="A2313" s="3" t="s">
        <v>1098</v>
      </c>
      <c r="B2313" s="3" t="s">
        <v>1099</v>
      </c>
      <c r="C2313" s="3" t="s">
        <v>1100</v>
      </c>
      <c r="D2313" s="3" t="s">
        <v>1101</v>
      </c>
      <c r="E2313" s="3" t="s">
        <v>1710</v>
      </c>
      <c r="F2313" s="3">
        <v>48.58</v>
      </c>
      <c r="G2313" s="3" t="s">
        <v>6233</v>
      </c>
      <c r="H2313" s="3"/>
      <c r="I2313" s="3" t="s">
        <v>6234</v>
      </c>
      <c r="J2313" s="3">
        <v>7</v>
      </c>
      <c r="K2313" s="3">
        <v>3</v>
      </c>
      <c r="L2313" s="3">
        <v>0</v>
      </c>
      <c r="M2313" s="3">
        <v>4</v>
      </c>
      <c r="N2313" s="3">
        <v>25</v>
      </c>
      <c r="O2313" s="3">
        <v>0.1</v>
      </c>
      <c r="P2313" s="3">
        <v>0</v>
      </c>
      <c r="Q2313" s="3">
        <v>0</v>
      </c>
      <c r="R2313" s="3">
        <v>18</v>
      </c>
    </row>
    <row r="2314" spans="1:18">
      <c r="A2314" s="3" t="s">
        <v>1058</v>
      </c>
      <c r="B2314" s="3" t="s">
        <v>1059</v>
      </c>
      <c r="C2314" s="3" t="s">
        <v>1060</v>
      </c>
      <c r="D2314" s="3" t="s">
        <v>1061</v>
      </c>
      <c r="E2314" s="3" t="s">
        <v>1710</v>
      </c>
      <c r="F2314" s="3">
        <v>48.58</v>
      </c>
      <c r="G2314" s="3" t="s">
        <v>6233</v>
      </c>
      <c r="H2314" s="3"/>
      <c r="I2314" s="3" t="s">
        <v>6234</v>
      </c>
      <c r="J2314" s="3">
        <v>1</v>
      </c>
      <c r="K2314" s="3">
        <v>0</v>
      </c>
      <c r="L2314" s="3">
        <v>0</v>
      </c>
      <c r="M2314" s="3">
        <v>1</v>
      </c>
      <c r="N2314" s="3">
        <v>21</v>
      </c>
      <c r="O2314" s="3">
        <v>0.1</v>
      </c>
      <c r="P2314" s="3">
        <v>0</v>
      </c>
      <c r="Q2314" s="3">
        <v>0</v>
      </c>
      <c r="R2314" s="3">
        <v>20</v>
      </c>
    </row>
    <row r="2315" spans="1:18">
      <c r="A2315" s="3" t="s">
        <v>1062</v>
      </c>
      <c r="B2315" s="3" t="s">
        <v>1063</v>
      </c>
      <c r="C2315" s="3" t="s">
        <v>1064</v>
      </c>
      <c r="D2315" s="3" t="s">
        <v>1065</v>
      </c>
      <c r="E2315" s="3" t="s">
        <v>1710</v>
      </c>
      <c r="F2315" s="3">
        <v>48.58</v>
      </c>
      <c r="G2315" s="3" t="s">
        <v>6233</v>
      </c>
      <c r="H2315" s="3"/>
      <c r="I2315" s="3" t="s">
        <v>6234</v>
      </c>
      <c r="J2315" s="3">
        <v>5</v>
      </c>
      <c r="K2315" s="3">
        <v>0</v>
      </c>
      <c r="L2315" s="3">
        <v>4</v>
      </c>
      <c r="M2315" s="3">
        <v>1</v>
      </c>
      <c r="N2315" s="3">
        <v>33</v>
      </c>
      <c r="O2315" s="3">
        <v>0.1</v>
      </c>
      <c r="P2315" s="3">
        <v>0</v>
      </c>
      <c r="Q2315" s="3">
        <v>0</v>
      </c>
      <c r="R2315" s="3">
        <v>28</v>
      </c>
    </row>
    <row r="2316" spans="1:18">
      <c r="A2316" s="3" t="s">
        <v>9649</v>
      </c>
      <c r="B2316" s="3" t="s">
        <v>9650</v>
      </c>
      <c r="C2316" s="3" t="s">
        <v>9651</v>
      </c>
      <c r="D2316" s="3" t="s">
        <v>9652</v>
      </c>
      <c r="E2316" s="3" t="s">
        <v>1710</v>
      </c>
      <c r="F2316" s="3">
        <v>28.99</v>
      </c>
      <c r="G2316" s="3" t="s">
        <v>6233</v>
      </c>
      <c r="H2316" s="3"/>
      <c r="I2316" s="3" t="s">
        <v>6234</v>
      </c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>
        <v>0</v>
      </c>
      <c r="P2316" s="3">
        <v>0</v>
      </c>
      <c r="Q2316" s="3">
        <v>0</v>
      </c>
      <c r="R2316" s="3">
        <v>0</v>
      </c>
    </row>
    <row r="2317" spans="1:18">
      <c r="A2317" s="3" t="s">
        <v>9653</v>
      </c>
      <c r="B2317" s="3" t="s">
        <v>9654</v>
      </c>
      <c r="C2317" s="3" t="s">
        <v>9655</v>
      </c>
      <c r="D2317" s="3" t="s">
        <v>9656</v>
      </c>
      <c r="E2317" s="3" t="s">
        <v>1710</v>
      </c>
      <c r="F2317" s="3">
        <v>28.99</v>
      </c>
      <c r="G2317" s="3" t="s">
        <v>6233</v>
      </c>
      <c r="H2317" s="3"/>
      <c r="I2317" s="3" t="s">
        <v>6234</v>
      </c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>
        <v>0</v>
      </c>
      <c r="P2317" s="3">
        <v>0</v>
      </c>
      <c r="Q2317" s="3">
        <v>0</v>
      </c>
      <c r="R2317" s="3">
        <v>0</v>
      </c>
    </row>
    <row r="2318" spans="1:18">
      <c r="A2318" s="3" t="s">
        <v>9657</v>
      </c>
      <c r="B2318" s="3" t="s">
        <v>9658</v>
      </c>
      <c r="C2318" s="3" t="s">
        <v>9659</v>
      </c>
      <c r="D2318" s="3" t="s">
        <v>9660</v>
      </c>
      <c r="E2318" s="3" t="s">
        <v>1710</v>
      </c>
      <c r="F2318" s="3">
        <v>28.99</v>
      </c>
      <c r="G2318" s="3" t="s">
        <v>6233</v>
      </c>
      <c r="H2318" s="3"/>
      <c r="I2318" s="3" t="s">
        <v>6234</v>
      </c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>
        <v>0</v>
      </c>
      <c r="P2318" s="3">
        <v>0</v>
      </c>
      <c r="Q2318" s="3">
        <v>0</v>
      </c>
      <c r="R2318" s="3">
        <v>0</v>
      </c>
    </row>
    <row r="2319" spans="1:18">
      <c r="A2319" s="3" t="s">
        <v>9661</v>
      </c>
      <c r="B2319" s="3" t="s">
        <v>9662</v>
      </c>
      <c r="C2319" s="3" t="s">
        <v>9663</v>
      </c>
      <c r="D2319" s="3" t="s">
        <v>9664</v>
      </c>
      <c r="E2319" s="3" t="s">
        <v>1710</v>
      </c>
      <c r="F2319" s="3">
        <v>28.99</v>
      </c>
      <c r="G2319" s="3" t="s">
        <v>6233</v>
      </c>
      <c r="H2319" s="3"/>
      <c r="I2319" s="3" t="s">
        <v>6234</v>
      </c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>
        <v>0</v>
      </c>
      <c r="P2319" s="3">
        <v>0</v>
      </c>
      <c r="Q2319" s="3">
        <v>0</v>
      </c>
      <c r="R2319" s="3">
        <v>0</v>
      </c>
    </row>
    <row r="2320" spans="1:18">
      <c r="A2320" s="3" t="s">
        <v>9665</v>
      </c>
      <c r="B2320" s="3" t="s">
        <v>9666</v>
      </c>
      <c r="C2320" s="3" t="s">
        <v>9667</v>
      </c>
      <c r="D2320" s="3" t="s">
        <v>9668</v>
      </c>
      <c r="E2320" s="3" t="s">
        <v>1710</v>
      </c>
      <c r="F2320" s="3">
        <v>28.99</v>
      </c>
      <c r="G2320" s="3" t="s">
        <v>6233</v>
      </c>
      <c r="H2320" s="3"/>
      <c r="I2320" s="3" t="s">
        <v>6234</v>
      </c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>
        <v>0</v>
      </c>
      <c r="P2320" s="3">
        <v>0</v>
      </c>
      <c r="Q2320" s="3">
        <v>0</v>
      </c>
      <c r="R2320" s="3">
        <v>0</v>
      </c>
    </row>
    <row r="2321" spans="1:18">
      <c r="A2321" s="3" t="s">
        <v>9669</v>
      </c>
      <c r="B2321" s="3" t="s">
        <v>9670</v>
      </c>
      <c r="C2321" s="3" t="s">
        <v>9671</v>
      </c>
      <c r="D2321" s="3" t="s">
        <v>9672</v>
      </c>
      <c r="E2321" s="3" t="s">
        <v>1710</v>
      </c>
      <c r="F2321" s="3">
        <v>28.99</v>
      </c>
      <c r="G2321" s="3" t="s">
        <v>6233</v>
      </c>
      <c r="H2321" s="3"/>
      <c r="I2321" s="3" t="s">
        <v>6234</v>
      </c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>
        <v>0</v>
      </c>
      <c r="P2321" s="3">
        <v>0</v>
      </c>
      <c r="Q2321" s="3">
        <v>0</v>
      </c>
      <c r="R2321" s="3">
        <v>0</v>
      </c>
    </row>
    <row r="2322" spans="1:18">
      <c r="A2322" s="3" t="s">
        <v>9673</v>
      </c>
      <c r="B2322" s="3" t="s">
        <v>9674</v>
      </c>
      <c r="C2322" s="3" t="s">
        <v>9675</v>
      </c>
      <c r="D2322" s="3" t="s">
        <v>9676</v>
      </c>
      <c r="E2322" s="3" t="s">
        <v>1710</v>
      </c>
      <c r="F2322" s="3">
        <v>28.99</v>
      </c>
      <c r="G2322" s="3" t="s">
        <v>6233</v>
      </c>
      <c r="H2322" s="3"/>
      <c r="I2322" s="3" t="s">
        <v>6234</v>
      </c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>
        <v>0</v>
      </c>
      <c r="P2322" s="3">
        <v>0</v>
      </c>
      <c r="Q2322" s="3">
        <v>0</v>
      </c>
      <c r="R2322" s="3">
        <v>0</v>
      </c>
    </row>
    <row r="2323" spans="1:18">
      <c r="A2323" s="3" t="s">
        <v>9677</v>
      </c>
      <c r="B2323" s="3" t="s">
        <v>9678</v>
      </c>
      <c r="C2323" s="3" t="s">
        <v>9679</v>
      </c>
      <c r="D2323" s="3" t="s">
        <v>9680</v>
      </c>
      <c r="E2323" s="3" t="s">
        <v>1710</v>
      </c>
      <c r="F2323" s="3">
        <v>28.99</v>
      </c>
      <c r="G2323" s="3" t="s">
        <v>6233</v>
      </c>
      <c r="H2323" s="3"/>
      <c r="I2323" s="3" t="s">
        <v>6234</v>
      </c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>
        <v>0</v>
      </c>
      <c r="P2323" s="3">
        <v>0</v>
      </c>
      <c r="Q2323" s="3">
        <v>0</v>
      </c>
      <c r="R2323" s="3">
        <v>0</v>
      </c>
    </row>
    <row r="2324" spans="1:18">
      <c r="A2324" s="3" t="s">
        <v>9681</v>
      </c>
      <c r="B2324" s="3" t="s">
        <v>9682</v>
      </c>
      <c r="C2324" s="3" t="s">
        <v>9683</v>
      </c>
      <c r="D2324" s="3" t="s">
        <v>9684</v>
      </c>
      <c r="E2324" s="3" t="s">
        <v>1710</v>
      </c>
      <c r="F2324" s="3">
        <v>28.99</v>
      </c>
      <c r="G2324" s="3" t="s">
        <v>6233</v>
      </c>
      <c r="H2324" s="3"/>
      <c r="I2324" s="3" t="s">
        <v>6234</v>
      </c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>
        <v>0</v>
      </c>
      <c r="P2324" s="3">
        <v>0</v>
      </c>
      <c r="Q2324" s="3">
        <v>0</v>
      </c>
      <c r="R2324" s="3">
        <v>0</v>
      </c>
    </row>
    <row r="2325" spans="1:18">
      <c r="A2325" s="3" t="s">
        <v>9685</v>
      </c>
      <c r="B2325" s="3" t="s">
        <v>9686</v>
      </c>
      <c r="C2325" s="3" t="s">
        <v>9687</v>
      </c>
      <c r="D2325" s="3" t="s">
        <v>9688</v>
      </c>
      <c r="E2325" s="3" t="s">
        <v>1710</v>
      </c>
      <c r="F2325" s="3">
        <v>28.99</v>
      </c>
      <c r="G2325" s="3" t="s">
        <v>6233</v>
      </c>
      <c r="H2325" s="3"/>
      <c r="I2325" s="3" t="s">
        <v>6234</v>
      </c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>
        <v>0</v>
      </c>
      <c r="P2325" s="3">
        <v>0</v>
      </c>
      <c r="Q2325" s="3">
        <v>0</v>
      </c>
      <c r="R2325" s="3">
        <v>0</v>
      </c>
    </row>
    <row r="2326" spans="1:18">
      <c r="A2326" s="3" t="s">
        <v>6135</v>
      </c>
      <c r="B2326" s="3" t="s">
        <v>6136</v>
      </c>
      <c r="C2326" s="3" t="s">
        <v>6137</v>
      </c>
      <c r="D2326" s="3" t="s">
        <v>6138</v>
      </c>
      <c r="E2326" s="3" t="s">
        <v>1710</v>
      </c>
      <c r="F2326" s="3">
        <v>28.99</v>
      </c>
      <c r="G2326" s="3" t="s">
        <v>6233</v>
      </c>
      <c r="H2326" s="3"/>
      <c r="I2326" s="3" t="s">
        <v>6234</v>
      </c>
      <c r="J2326" s="3">
        <v>13</v>
      </c>
      <c r="K2326" s="3">
        <v>13</v>
      </c>
      <c r="L2326" s="3">
        <v>0</v>
      </c>
      <c r="M2326" s="3">
        <v>0</v>
      </c>
      <c r="N2326" s="3">
        <v>13</v>
      </c>
      <c r="O2326" s="3">
        <v>0.14</v>
      </c>
      <c r="P2326" s="3">
        <v>0</v>
      </c>
      <c r="Q2326" s="3">
        <v>0</v>
      </c>
      <c r="R2326" s="3">
        <v>0</v>
      </c>
    </row>
    <row r="2327" spans="1:18">
      <c r="A2327" s="3" t="s">
        <v>2083</v>
      </c>
      <c r="B2327" s="3" t="s">
        <v>2084</v>
      </c>
      <c r="C2327" s="3" t="s">
        <v>2085</v>
      </c>
      <c r="D2327" s="3" t="s">
        <v>2086</v>
      </c>
      <c r="E2327" s="3" t="s">
        <v>1710</v>
      </c>
      <c r="F2327" s="3">
        <v>28.99</v>
      </c>
      <c r="G2327" s="3" t="s">
        <v>6233</v>
      </c>
      <c r="H2327" s="3"/>
      <c r="I2327" s="3" t="s">
        <v>6234</v>
      </c>
      <c r="J2327" s="3">
        <v>12</v>
      </c>
      <c r="K2327" s="3">
        <v>12</v>
      </c>
      <c r="L2327" s="3">
        <v>0</v>
      </c>
      <c r="M2327" s="3">
        <v>0</v>
      </c>
      <c r="N2327" s="3">
        <v>12</v>
      </c>
      <c r="O2327" s="3">
        <v>0.14</v>
      </c>
      <c r="P2327" s="3">
        <v>0</v>
      </c>
      <c r="Q2327" s="3">
        <v>0</v>
      </c>
      <c r="R2327" s="3">
        <v>0</v>
      </c>
    </row>
    <row r="2328" spans="1:18">
      <c r="A2328" s="3" t="s">
        <v>2942</v>
      </c>
      <c r="B2328" s="3" t="s">
        <v>2943</v>
      </c>
      <c r="C2328" s="3" t="s">
        <v>2944</v>
      </c>
      <c r="D2328" s="3" t="s">
        <v>2945</v>
      </c>
      <c r="E2328" s="3" t="s">
        <v>1710</v>
      </c>
      <c r="F2328" s="3">
        <v>28.99</v>
      </c>
      <c r="G2328" s="3" t="s">
        <v>6233</v>
      </c>
      <c r="H2328" s="3"/>
      <c r="I2328" s="3" t="s">
        <v>6234</v>
      </c>
      <c r="J2328" s="3">
        <v>14</v>
      </c>
      <c r="K2328" s="3">
        <v>14</v>
      </c>
      <c r="L2328" s="3">
        <v>0</v>
      </c>
      <c r="M2328" s="3">
        <v>0</v>
      </c>
      <c r="N2328" s="3">
        <v>14</v>
      </c>
      <c r="O2328" s="3">
        <v>0.14</v>
      </c>
      <c r="P2328" s="3">
        <v>0</v>
      </c>
      <c r="Q2328" s="3">
        <v>0</v>
      </c>
      <c r="R2328" s="3">
        <v>0</v>
      </c>
    </row>
    <row r="2329" spans="1:18">
      <c r="A2329" s="3" t="s">
        <v>5909</v>
      </c>
      <c r="B2329" s="3" t="s">
        <v>5910</v>
      </c>
      <c r="C2329" s="3" t="s">
        <v>5911</v>
      </c>
      <c r="D2329" s="3" t="s">
        <v>5912</v>
      </c>
      <c r="E2329" s="3" t="s">
        <v>1710</v>
      </c>
      <c r="F2329" s="3">
        <v>28.99</v>
      </c>
      <c r="G2329" s="3" t="s">
        <v>6233</v>
      </c>
      <c r="H2329" s="3"/>
      <c r="I2329" s="3" t="s">
        <v>6234</v>
      </c>
      <c r="J2329" s="3">
        <v>15</v>
      </c>
      <c r="K2329" s="3">
        <v>15</v>
      </c>
      <c r="L2329" s="3">
        <v>0</v>
      </c>
      <c r="M2329" s="3">
        <v>0</v>
      </c>
      <c r="N2329" s="3">
        <v>15</v>
      </c>
      <c r="O2329" s="3">
        <v>0.14</v>
      </c>
      <c r="P2329" s="3">
        <v>0</v>
      </c>
      <c r="Q2329" s="3">
        <v>0</v>
      </c>
      <c r="R2329" s="3">
        <v>0</v>
      </c>
    </row>
    <row r="2330" spans="1:18">
      <c r="A2330" s="3" t="s">
        <v>2072</v>
      </c>
      <c r="B2330" s="3" t="s">
        <v>2073</v>
      </c>
      <c r="C2330" s="3" t="s">
        <v>2074</v>
      </c>
      <c r="D2330" s="3" t="s">
        <v>2075</v>
      </c>
      <c r="E2330" s="3" t="s">
        <v>1710</v>
      </c>
      <c r="F2330" s="3">
        <v>28.99</v>
      </c>
      <c r="G2330" s="3" t="s">
        <v>6233</v>
      </c>
      <c r="H2330" s="3"/>
      <c r="I2330" s="3" t="s">
        <v>6234</v>
      </c>
      <c r="J2330" s="3">
        <v>9</v>
      </c>
      <c r="K2330" s="3">
        <v>8</v>
      </c>
      <c r="L2330" s="3">
        <v>1</v>
      </c>
      <c r="M2330" s="3">
        <v>0</v>
      </c>
      <c r="N2330" s="3">
        <v>9</v>
      </c>
      <c r="O2330" s="3">
        <v>0.14</v>
      </c>
      <c r="P2330" s="3">
        <v>0</v>
      </c>
      <c r="Q2330" s="3">
        <v>0</v>
      </c>
      <c r="R2330" s="3">
        <v>0</v>
      </c>
    </row>
    <row r="2331" spans="1:18">
      <c r="A2331" s="3" t="s">
        <v>2480</v>
      </c>
      <c r="B2331" s="3" t="s">
        <v>2481</v>
      </c>
      <c r="C2331" s="3" t="s">
        <v>2482</v>
      </c>
      <c r="D2331" s="3" t="s">
        <v>2483</v>
      </c>
      <c r="E2331" s="3" t="s">
        <v>1710</v>
      </c>
      <c r="F2331" s="3">
        <v>28.99</v>
      </c>
      <c r="G2331" s="3" t="s">
        <v>6233</v>
      </c>
      <c r="H2331" s="3"/>
      <c r="I2331" s="3" t="s">
        <v>6234</v>
      </c>
      <c r="J2331" s="3">
        <v>15</v>
      </c>
      <c r="K2331" s="3">
        <v>15</v>
      </c>
      <c r="L2331" s="3">
        <v>0</v>
      </c>
      <c r="M2331" s="3">
        <v>0</v>
      </c>
      <c r="N2331" s="3">
        <v>15</v>
      </c>
      <c r="O2331" s="3">
        <v>0.14</v>
      </c>
      <c r="P2331" s="3">
        <v>0</v>
      </c>
      <c r="Q2331" s="3">
        <v>0</v>
      </c>
      <c r="R2331" s="3">
        <v>0</v>
      </c>
    </row>
    <row r="2332" spans="1:18">
      <c r="A2332" s="3" t="s">
        <v>5252</v>
      </c>
      <c r="B2332" s="3" t="s">
        <v>5253</v>
      </c>
      <c r="C2332" s="3" t="s">
        <v>5254</v>
      </c>
      <c r="D2332" s="3" t="s">
        <v>5255</v>
      </c>
      <c r="E2332" s="3" t="s">
        <v>1710</v>
      </c>
      <c r="F2332" s="3">
        <v>28.99</v>
      </c>
      <c r="G2332" s="3" t="s">
        <v>6233</v>
      </c>
      <c r="H2332" s="3"/>
      <c r="I2332" s="3" t="s">
        <v>6234</v>
      </c>
      <c r="J2332" s="3">
        <v>15</v>
      </c>
      <c r="K2332" s="3">
        <v>15</v>
      </c>
      <c r="L2332" s="3">
        <v>0</v>
      </c>
      <c r="M2332" s="3">
        <v>0</v>
      </c>
      <c r="N2332" s="3">
        <v>15</v>
      </c>
      <c r="O2332" s="3">
        <v>0.14</v>
      </c>
      <c r="P2332" s="3">
        <v>0</v>
      </c>
      <c r="Q2332" s="3">
        <v>0</v>
      </c>
      <c r="R2332" s="3">
        <v>0</v>
      </c>
    </row>
    <row r="2333" spans="1:18">
      <c r="A2333" s="3" t="s">
        <v>1066</v>
      </c>
      <c r="B2333" s="3" t="s">
        <v>1067</v>
      </c>
      <c r="C2333" s="3" t="s">
        <v>1068</v>
      </c>
      <c r="D2333" s="3" t="s">
        <v>1069</v>
      </c>
      <c r="E2333" s="3" t="s">
        <v>1710</v>
      </c>
      <c r="F2333" s="3">
        <v>28.99</v>
      </c>
      <c r="G2333" s="3" t="s">
        <v>6233</v>
      </c>
      <c r="H2333" s="3"/>
      <c r="I2333" s="3" t="s">
        <v>6234</v>
      </c>
      <c r="J2333" s="3">
        <v>15</v>
      </c>
      <c r="K2333" s="3">
        <v>14</v>
      </c>
      <c r="L2333" s="3">
        <v>0</v>
      </c>
      <c r="M2333" s="3">
        <v>1</v>
      </c>
      <c r="N2333" s="3">
        <v>15</v>
      </c>
      <c r="O2333" s="3">
        <v>0.14</v>
      </c>
      <c r="P2333" s="3">
        <v>0</v>
      </c>
      <c r="Q2333" s="3">
        <v>0</v>
      </c>
      <c r="R2333" s="3">
        <v>0</v>
      </c>
    </row>
    <row r="2334" spans="1:18">
      <c r="A2334" s="3" t="s">
        <v>2061</v>
      </c>
      <c r="B2334" s="3" t="s">
        <v>2062</v>
      </c>
      <c r="C2334" s="3" t="s">
        <v>2063</v>
      </c>
      <c r="D2334" s="3" t="s">
        <v>2064</v>
      </c>
      <c r="E2334" s="3" t="s">
        <v>1710</v>
      </c>
      <c r="F2334" s="3">
        <v>28.99</v>
      </c>
      <c r="G2334" s="3" t="s">
        <v>6233</v>
      </c>
      <c r="H2334" s="3"/>
      <c r="I2334" s="3" t="s">
        <v>6234</v>
      </c>
      <c r="J2334" s="3">
        <v>15</v>
      </c>
      <c r="K2334" s="3">
        <v>15</v>
      </c>
      <c r="L2334" s="3">
        <v>0</v>
      </c>
      <c r="M2334" s="3">
        <v>0</v>
      </c>
      <c r="N2334" s="3">
        <v>15</v>
      </c>
      <c r="O2334" s="3">
        <v>0.14</v>
      </c>
      <c r="P2334" s="3">
        <v>0</v>
      </c>
      <c r="Q2334" s="3">
        <v>0</v>
      </c>
      <c r="R2334" s="3">
        <v>0</v>
      </c>
    </row>
    <row r="2335" spans="1:18">
      <c r="A2335" s="3" t="s">
        <v>4636</v>
      </c>
      <c r="B2335" s="3" t="s">
        <v>4637</v>
      </c>
      <c r="C2335" s="3" t="s">
        <v>4638</v>
      </c>
      <c r="D2335" s="3" t="s">
        <v>4639</v>
      </c>
      <c r="E2335" s="3" t="s">
        <v>1710</v>
      </c>
      <c r="F2335" s="3">
        <v>28.99</v>
      </c>
      <c r="G2335" s="3" t="s">
        <v>6233</v>
      </c>
      <c r="H2335" s="3"/>
      <c r="I2335" s="3" t="s">
        <v>6234</v>
      </c>
      <c r="J2335" s="3">
        <v>15</v>
      </c>
      <c r="K2335" s="3">
        <v>15</v>
      </c>
      <c r="L2335" s="3">
        <v>0</v>
      </c>
      <c r="M2335" s="3">
        <v>0</v>
      </c>
      <c r="N2335" s="3">
        <v>15</v>
      </c>
      <c r="O2335" s="3">
        <v>0.14</v>
      </c>
      <c r="P2335" s="3">
        <v>0</v>
      </c>
      <c r="Q2335" s="3">
        <v>0</v>
      </c>
      <c r="R2335" s="3">
        <v>0</v>
      </c>
    </row>
    <row r="2336" spans="1:18">
      <c r="A2336" s="3" t="s">
        <v>1106</v>
      </c>
      <c r="B2336" s="3" t="s">
        <v>1107</v>
      </c>
      <c r="C2336" s="3" t="s">
        <v>1108</v>
      </c>
      <c r="D2336" s="3" t="s">
        <v>1109</v>
      </c>
      <c r="E2336" s="3" t="s">
        <v>1710</v>
      </c>
      <c r="F2336" s="3">
        <v>28.99</v>
      </c>
      <c r="G2336" s="3" t="s">
        <v>6233</v>
      </c>
      <c r="H2336" s="3"/>
      <c r="I2336" s="3" t="s">
        <v>6234</v>
      </c>
      <c r="J2336" s="3">
        <v>6</v>
      </c>
      <c r="K2336" s="3">
        <v>3</v>
      </c>
      <c r="L2336" s="3">
        <v>0</v>
      </c>
      <c r="M2336" s="3">
        <v>3</v>
      </c>
      <c r="N2336" s="3">
        <v>6</v>
      </c>
      <c r="O2336" s="3">
        <v>0.14</v>
      </c>
      <c r="P2336" s="3">
        <v>0</v>
      </c>
      <c r="Q2336" s="3">
        <v>0</v>
      </c>
      <c r="R2336" s="3">
        <v>0</v>
      </c>
    </row>
    <row r="2337" spans="1:18">
      <c r="A2337" s="3" t="s">
        <v>3547</v>
      </c>
      <c r="B2337" s="3" t="s">
        <v>3548</v>
      </c>
      <c r="C2337" s="3" t="s">
        <v>3549</v>
      </c>
      <c r="D2337" s="3" t="s">
        <v>3550</v>
      </c>
      <c r="E2337" s="3" t="s">
        <v>1710</v>
      </c>
      <c r="F2337" s="3">
        <v>28.99</v>
      </c>
      <c r="G2337" s="3" t="s">
        <v>6233</v>
      </c>
      <c r="H2337" s="3"/>
      <c r="I2337" s="3" t="s">
        <v>6234</v>
      </c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>
        <v>0.14</v>
      </c>
      <c r="P2337" s="3">
        <v>0</v>
      </c>
      <c r="Q2337" s="3">
        <v>0</v>
      </c>
      <c r="R2337" s="3">
        <v>0</v>
      </c>
    </row>
    <row r="2338" spans="1:18">
      <c r="A2338" s="3" t="s">
        <v>5848</v>
      </c>
      <c r="B2338" s="3" t="s">
        <v>5849</v>
      </c>
      <c r="C2338" s="3" t="s">
        <v>5850</v>
      </c>
      <c r="D2338" s="3" t="s">
        <v>5851</v>
      </c>
      <c r="E2338" s="3" t="s">
        <v>1710</v>
      </c>
      <c r="F2338" s="3">
        <v>28.99</v>
      </c>
      <c r="G2338" s="3" t="s">
        <v>6233</v>
      </c>
      <c r="H2338" s="3"/>
      <c r="I2338" s="3" t="s">
        <v>6234</v>
      </c>
      <c r="J2338" s="3">
        <v>12</v>
      </c>
      <c r="K2338" s="3">
        <v>12</v>
      </c>
      <c r="L2338" s="3">
        <v>0</v>
      </c>
      <c r="M2338" s="3">
        <v>0</v>
      </c>
      <c r="N2338" s="3">
        <v>12</v>
      </c>
      <c r="O2338" s="3">
        <v>0.14</v>
      </c>
      <c r="P2338" s="3">
        <v>0</v>
      </c>
      <c r="Q2338" s="3">
        <v>0</v>
      </c>
      <c r="R2338" s="3">
        <v>0</v>
      </c>
    </row>
    <row r="2339" spans="1:18">
      <c r="A2339" s="3" t="s">
        <v>2598</v>
      </c>
      <c r="B2339" s="3" t="s">
        <v>2599</v>
      </c>
      <c r="C2339" s="3" t="s">
        <v>2600</v>
      </c>
      <c r="D2339" s="3" t="s">
        <v>2601</v>
      </c>
      <c r="E2339" s="3" t="s">
        <v>1710</v>
      </c>
      <c r="F2339" s="3">
        <v>28.99</v>
      </c>
      <c r="G2339" s="3" t="s">
        <v>6233</v>
      </c>
      <c r="H2339" s="3"/>
      <c r="I2339" s="3" t="s">
        <v>6234</v>
      </c>
      <c r="J2339" s="3">
        <v>15</v>
      </c>
      <c r="K2339" s="3">
        <v>15</v>
      </c>
      <c r="L2339" s="3">
        <v>0</v>
      </c>
      <c r="M2339" s="3">
        <v>0</v>
      </c>
      <c r="N2339" s="3">
        <v>15</v>
      </c>
      <c r="O2339" s="3">
        <v>0.14</v>
      </c>
      <c r="P2339" s="3">
        <v>0</v>
      </c>
      <c r="Q2339" s="3">
        <v>0</v>
      </c>
      <c r="R2339" s="3">
        <v>0</v>
      </c>
    </row>
    <row r="2340" spans="1:18">
      <c r="A2340" s="3" t="s">
        <v>3195</v>
      </c>
      <c r="B2340" s="3" t="s">
        <v>3196</v>
      </c>
      <c r="C2340" s="3" t="s">
        <v>3197</v>
      </c>
      <c r="D2340" s="3" t="s">
        <v>3198</v>
      </c>
      <c r="E2340" s="3" t="s">
        <v>1710</v>
      </c>
      <c r="F2340" s="3">
        <v>28.99</v>
      </c>
      <c r="G2340" s="3" t="s">
        <v>6233</v>
      </c>
      <c r="H2340" s="3"/>
      <c r="I2340" s="3" t="s">
        <v>6234</v>
      </c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>
        <v>0.14</v>
      </c>
      <c r="P2340" s="3">
        <v>0</v>
      </c>
      <c r="Q2340" s="3">
        <v>0</v>
      </c>
      <c r="R2340" s="3">
        <v>0</v>
      </c>
    </row>
    <row r="2341" spans="1:18">
      <c r="A2341" s="3" t="s">
        <v>5041</v>
      </c>
      <c r="B2341" s="3" t="s">
        <v>5042</v>
      </c>
      <c r="C2341" s="3" t="s">
        <v>5043</v>
      </c>
      <c r="D2341" s="3" t="s">
        <v>5044</v>
      </c>
      <c r="E2341" s="3" t="s">
        <v>1710</v>
      </c>
      <c r="F2341" s="3">
        <v>28.99</v>
      </c>
      <c r="G2341" s="3" t="s">
        <v>6233</v>
      </c>
      <c r="H2341" s="3"/>
      <c r="I2341" s="3" t="s">
        <v>6234</v>
      </c>
      <c r="J2341" s="3">
        <v>14</v>
      </c>
      <c r="K2341" s="3">
        <v>14</v>
      </c>
      <c r="L2341" s="3">
        <v>0</v>
      </c>
      <c r="M2341" s="3">
        <v>0</v>
      </c>
      <c r="N2341" s="3">
        <v>14</v>
      </c>
      <c r="O2341" s="3">
        <v>0.14</v>
      </c>
      <c r="P2341" s="3">
        <v>0</v>
      </c>
      <c r="Q2341" s="3">
        <v>0</v>
      </c>
      <c r="R2341" s="3">
        <v>0</v>
      </c>
    </row>
    <row r="2342" spans="1:18">
      <c r="A2342" s="3" t="s">
        <v>3496</v>
      </c>
      <c r="B2342" s="3" t="s">
        <v>3497</v>
      </c>
      <c r="C2342" s="3" t="s">
        <v>3498</v>
      </c>
      <c r="D2342" s="3" t="s">
        <v>3499</v>
      </c>
      <c r="E2342" s="3" t="s">
        <v>1710</v>
      </c>
      <c r="F2342" s="3">
        <v>28.99</v>
      </c>
      <c r="G2342" s="3" t="s">
        <v>6233</v>
      </c>
      <c r="H2342" s="3"/>
      <c r="I2342" s="3" t="s">
        <v>6234</v>
      </c>
      <c r="J2342" s="3">
        <v>12</v>
      </c>
      <c r="K2342" s="3">
        <v>12</v>
      </c>
      <c r="L2342" s="3">
        <v>0</v>
      </c>
      <c r="M2342" s="3">
        <v>0</v>
      </c>
      <c r="N2342" s="3">
        <v>12</v>
      </c>
      <c r="O2342" s="3">
        <v>0.14</v>
      </c>
      <c r="P2342" s="3">
        <v>0</v>
      </c>
      <c r="Q2342" s="3">
        <v>0</v>
      </c>
      <c r="R2342" s="3">
        <v>0</v>
      </c>
    </row>
    <row r="2343" spans="1:18">
      <c r="A2343" s="3" t="s">
        <v>5923</v>
      </c>
      <c r="B2343" s="3" t="s">
        <v>5924</v>
      </c>
      <c r="C2343" s="3" t="s">
        <v>5925</v>
      </c>
      <c r="D2343" s="3" t="s">
        <v>5926</v>
      </c>
      <c r="E2343" s="3" t="s">
        <v>1710</v>
      </c>
      <c r="F2343" s="3">
        <v>28.99</v>
      </c>
      <c r="G2343" s="3" t="s">
        <v>6233</v>
      </c>
      <c r="H2343" s="3"/>
      <c r="I2343" s="3" t="s">
        <v>6234</v>
      </c>
      <c r="J2343" s="3">
        <v>15</v>
      </c>
      <c r="K2343" s="3">
        <v>15</v>
      </c>
      <c r="L2343" s="3">
        <v>0</v>
      </c>
      <c r="M2343" s="3">
        <v>0</v>
      </c>
      <c r="N2343" s="3">
        <v>15</v>
      </c>
      <c r="O2343" s="3">
        <v>0.14</v>
      </c>
      <c r="P2343" s="3">
        <v>0</v>
      </c>
      <c r="Q2343" s="3">
        <v>0</v>
      </c>
      <c r="R2343" s="3">
        <v>0</v>
      </c>
    </row>
    <row r="2344" spans="1:18">
      <c r="A2344" s="3" t="s">
        <v>4019</v>
      </c>
      <c r="B2344" s="3" t="s">
        <v>4020</v>
      </c>
      <c r="C2344" s="3" t="s">
        <v>4021</v>
      </c>
      <c r="D2344" s="3" t="s">
        <v>4022</v>
      </c>
      <c r="E2344" s="3" t="s">
        <v>1710</v>
      </c>
      <c r="F2344" s="3">
        <v>28.99</v>
      </c>
      <c r="G2344" s="3" t="s">
        <v>6233</v>
      </c>
      <c r="H2344" s="3"/>
      <c r="I2344" s="3" t="s">
        <v>6234</v>
      </c>
      <c r="J2344" s="3">
        <v>14</v>
      </c>
      <c r="K2344" s="3">
        <v>14</v>
      </c>
      <c r="L2344" s="3">
        <v>0</v>
      </c>
      <c r="M2344" s="3">
        <v>0</v>
      </c>
      <c r="N2344" s="3">
        <v>14</v>
      </c>
      <c r="O2344" s="3">
        <v>0.14</v>
      </c>
      <c r="P2344" s="3">
        <v>0</v>
      </c>
      <c r="Q2344" s="3">
        <v>0</v>
      </c>
      <c r="R2344" s="3">
        <v>0</v>
      </c>
    </row>
    <row r="2345" spans="1:18">
      <c r="A2345" s="3" t="s">
        <v>3783</v>
      </c>
      <c r="B2345" s="3" t="s">
        <v>3784</v>
      </c>
      <c r="C2345" s="3" t="s">
        <v>3785</v>
      </c>
      <c r="D2345" s="3" t="s">
        <v>3786</v>
      </c>
      <c r="E2345" s="3" t="s">
        <v>1710</v>
      </c>
      <c r="F2345" s="3">
        <v>28.99</v>
      </c>
      <c r="G2345" s="3" t="s">
        <v>6233</v>
      </c>
      <c r="H2345" s="3"/>
      <c r="I2345" s="3" t="s">
        <v>6234</v>
      </c>
      <c r="J2345" s="3">
        <v>14</v>
      </c>
      <c r="K2345" s="3">
        <v>14</v>
      </c>
      <c r="L2345" s="3">
        <v>0</v>
      </c>
      <c r="M2345" s="3">
        <v>0</v>
      </c>
      <c r="N2345" s="3">
        <v>14</v>
      </c>
      <c r="O2345" s="3">
        <v>0.14</v>
      </c>
      <c r="P2345" s="3">
        <v>0</v>
      </c>
      <c r="Q2345" s="3">
        <v>0</v>
      </c>
      <c r="R2345" s="3">
        <v>0</v>
      </c>
    </row>
    <row r="2346" spans="1:18">
      <c r="A2346" s="3" t="s">
        <v>5224</v>
      </c>
      <c r="B2346" s="3" t="s">
        <v>5225</v>
      </c>
      <c r="C2346" s="3" t="s">
        <v>5226</v>
      </c>
      <c r="D2346" s="3" t="s">
        <v>5227</v>
      </c>
      <c r="E2346" s="3" t="s">
        <v>1710</v>
      </c>
      <c r="F2346" s="3">
        <v>28.99</v>
      </c>
      <c r="G2346" s="3" t="s">
        <v>6233</v>
      </c>
      <c r="H2346" s="3"/>
      <c r="I2346" s="3" t="s">
        <v>6234</v>
      </c>
      <c r="J2346" s="3">
        <v>14</v>
      </c>
      <c r="K2346" s="3">
        <v>14</v>
      </c>
      <c r="L2346" s="3">
        <v>0</v>
      </c>
      <c r="M2346" s="3">
        <v>0</v>
      </c>
      <c r="N2346" s="3">
        <v>14</v>
      </c>
      <c r="O2346" s="3">
        <v>0.14</v>
      </c>
      <c r="P2346" s="3">
        <v>0</v>
      </c>
      <c r="Q2346" s="3">
        <v>0</v>
      </c>
      <c r="R2346" s="3">
        <v>0</v>
      </c>
    </row>
    <row r="2347" spans="1:18">
      <c r="A2347" s="3" t="s">
        <v>3983</v>
      </c>
      <c r="B2347" s="3" t="s">
        <v>3984</v>
      </c>
      <c r="C2347" s="3" t="s">
        <v>3985</v>
      </c>
      <c r="D2347" s="3" t="s">
        <v>3986</v>
      </c>
      <c r="E2347" s="3" t="s">
        <v>1710</v>
      </c>
      <c r="F2347" s="3">
        <v>28.99</v>
      </c>
      <c r="G2347" s="3" t="s">
        <v>6233</v>
      </c>
      <c r="H2347" s="3"/>
      <c r="I2347" s="3" t="s">
        <v>6234</v>
      </c>
      <c r="J2347" s="3">
        <v>15</v>
      </c>
      <c r="K2347" s="3">
        <v>15</v>
      </c>
      <c r="L2347" s="3">
        <v>0</v>
      </c>
      <c r="M2347" s="3">
        <v>0</v>
      </c>
      <c r="N2347" s="3">
        <v>15</v>
      </c>
      <c r="O2347" s="3">
        <v>0.14</v>
      </c>
      <c r="P2347" s="3">
        <v>0</v>
      </c>
      <c r="Q2347" s="3">
        <v>0</v>
      </c>
      <c r="R2347" s="3">
        <v>0</v>
      </c>
    </row>
    <row r="2348" spans="1:18">
      <c r="A2348" s="3" t="s">
        <v>3051</v>
      </c>
      <c r="B2348" s="3" t="s">
        <v>3052</v>
      </c>
      <c r="C2348" s="3" t="s">
        <v>3053</v>
      </c>
      <c r="D2348" s="3" t="s">
        <v>3054</v>
      </c>
      <c r="E2348" s="3" t="s">
        <v>1710</v>
      </c>
      <c r="F2348" s="3">
        <v>28.99</v>
      </c>
      <c r="G2348" s="3" t="s">
        <v>6233</v>
      </c>
      <c r="H2348" s="3"/>
      <c r="I2348" s="3" t="s">
        <v>6234</v>
      </c>
      <c r="J2348" s="3">
        <v>15</v>
      </c>
      <c r="K2348" s="3">
        <v>15</v>
      </c>
      <c r="L2348" s="3">
        <v>0</v>
      </c>
      <c r="M2348" s="3">
        <v>0</v>
      </c>
      <c r="N2348" s="3">
        <v>15</v>
      </c>
      <c r="O2348" s="3">
        <v>0.14</v>
      </c>
      <c r="P2348" s="3">
        <v>0</v>
      </c>
      <c r="Q2348" s="3">
        <v>0</v>
      </c>
      <c r="R2348" s="3">
        <v>0</v>
      </c>
    </row>
    <row r="2349" spans="1:18">
      <c r="A2349" s="3" t="s">
        <v>4902</v>
      </c>
      <c r="B2349" s="3" t="s">
        <v>4903</v>
      </c>
      <c r="C2349" s="3" t="s">
        <v>4904</v>
      </c>
      <c r="D2349" s="3" t="s">
        <v>4905</v>
      </c>
      <c r="E2349" s="3" t="s">
        <v>1710</v>
      </c>
      <c r="F2349" s="3">
        <v>28.99</v>
      </c>
      <c r="G2349" s="3" t="s">
        <v>6233</v>
      </c>
      <c r="H2349" s="3"/>
      <c r="I2349" s="3" t="s">
        <v>6234</v>
      </c>
      <c r="J2349" s="3">
        <v>15</v>
      </c>
      <c r="K2349" s="3">
        <v>15</v>
      </c>
      <c r="L2349" s="3">
        <v>0</v>
      </c>
      <c r="M2349" s="3">
        <v>0</v>
      </c>
      <c r="N2349" s="3">
        <v>15</v>
      </c>
      <c r="O2349" s="3">
        <v>0.14</v>
      </c>
      <c r="P2349" s="3">
        <v>0</v>
      </c>
      <c r="Q2349" s="3">
        <v>0</v>
      </c>
      <c r="R2349" s="3">
        <v>0</v>
      </c>
    </row>
    <row r="2350" spans="1:18">
      <c r="A2350" s="3" t="s">
        <v>5006</v>
      </c>
      <c r="B2350" s="3" t="s">
        <v>5007</v>
      </c>
      <c r="C2350" s="3" t="s">
        <v>5008</v>
      </c>
      <c r="D2350" s="3" t="s">
        <v>5009</v>
      </c>
      <c r="E2350" s="3" t="s">
        <v>1710</v>
      </c>
      <c r="F2350" s="3">
        <v>28.99</v>
      </c>
      <c r="G2350" s="3" t="s">
        <v>6233</v>
      </c>
      <c r="H2350" s="3"/>
      <c r="I2350" s="3" t="s">
        <v>6234</v>
      </c>
      <c r="J2350" s="3">
        <v>14</v>
      </c>
      <c r="K2350" s="3">
        <v>14</v>
      </c>
      <c r="L2350" s="3">
        <v>0</v>
      </c>
      <c r="M2350" s="3">
        <v>0</v>
      </c>
      <c r="N2350" s="3">
        <v>14</v>
      </c>
      <c r="O2350" s="3">
        <v>0.14</v>
      </c>
      <c r="P2350" s="3">
        <v>0</v>
      </c>
      <c r="Q2350" s="3">
        <v>0</v>
      </c>
      <c r="R2350" s="3">
        <v>0</v>
      </c>
    </row>
    <row r="2351" spans="1:18">
      <c r="A2351" s="3" t="s">
        <v>3179</v>
      </c>
      <c r="B2351" s="3" t="s">
        <v>3180</v>
      </c>
      <c r="C2351" s="3" t="s">
        <v>3181</v>
      </c>
      <c r="D2351" s="3" t="s">
        <v>3182</v>
      </c>
      <c r="E2351" s="3" t="s">
        <v>1710</v>
      </c>
      <c r="F2351" s="3">
        <v>29.99</v>
      </c>
      <c r="G2351" s="3" t="s">
        <v>6233</v>
      </c>
      <c r="H2351" s="3"/>
      <c r="I2351" s="3" t="s">
        <v>6234</v>
      </c>
      <c r="J2351" s="3">
        <v>2</v>
      </c>
      <c r="K2351" s="3">
        <v>0</v>
      </c>
      <c r="L2351" s="3">
        <v>2</v>
      </c>
      <c r="M2351" s="3">
        <v>0</v>
      </c>
      <c r="N2351" s="3">
        <v>2</v>
      </c>
      <c r="O2351" s="3">
        <v>0.12</v>
      </c>
      <c r="P2351" s="3">
        <v>0</v>
      </c>
      <c r="Q2351" s="3">
        <v>0</v>
      </c>
      <c r="R2351" s="3">
        <v>0</v>
      </c>
    </row>
    <row r="2352" spans="1:18">
      <c r="A2352" s="3" t="s">
        <v>2129</v>
      </c>
      <c r="B2352" s="3" t="s">
        <v>2130</v>
      </c>
      <c r="C2352" s="3" t="s">
        <v>2131</v>
      </c>
      <c r="D2352" s="3" t="s">
        <v>2132</v>
      </c>
      <c r="E2352" s="3" t="s">
        <v>1710</v>
      </c>
      <c r="F2352" s="3">
        <v>29.99</v>
      </c>
      <c r="G2352" s="3" t="s">
        <v>6233</v>
      </c>
      <c r="H2352" s="3"/>
      <c r="I2352" s="3" t="s">
        <v>6234</v>
      </c>
      <c r="J2352" s="3">
        <v>0</v>
      </c>
      <c r="K2352" s="3">
        <v>0</v>
      </c>
      <c r="L2352" s="3">
        <v>0</v>
      </c>
      <c r="M2352" s="3">
        <v>0</v>
      </c>
      <c r="N2352" s="3">
        <v>0</v>
      </c>
      <c r="O2352" s="3">
        <v>0.14</v>
      </c>
      <c r="P2352" s="3">
        <v>0</v>
      </c>
      <c r="Q2352" s="3">
        <v>0</v>
      </c>
      <c r="R2352" s="3">
        <v>0</v>
      </c>
    </row>
    <row r="2353" spans="1:18">
      <c r="A2353" s="3" t="s">
        <v>9689</v>
      </c>
      <c r="B2353" s="3" t="s">
        <v>9690</v>
      </c>
      <c r="C2353" s="3" t="s">
        <v>9691</v>
      </c>
      <c r="D2353" s="3" t="s">
        <v>9692</v>
      </c>
      <c r="E2353" s="3" t="s">
        <v>1710</v>
      </c>
      <c r="F2353" s="3">
        <v>29.99</v>
      </c>
      <c r="G2353" s="3" t="s">
        <v>6233</v>
      </c>
      <c r="H2353" s="3"/>
      <c r="I2353" s="3" t="s">
        <v>6234</v>
      </c>
      <c r="J2353" s="3">
        <v>0</v>
      </c>
      <c r="K2353" s="3">
        <v>0</v>
      </c>
      <c r="L2353" s="3">
        <v>0</v>
      </c>
      <c r="M2353" s="3">
        <v>0</v>
      </c>
      <c r="N2353" s="3">
        <v>0</v>
      </c>
      <c r="O2353" s="3">
        <v>0.12</v>
      </c>
      <c r="P2353" s="3">
        <v>0</v>
      </c>
      <c r="Q2353" s="3">
        <v>0</v>
      </c>
      <c r="R2353" s="3">
        <v>0</v>
      </c>
    </row>
    <row r="2354" spans="1:18">
      <c r="A2354" s="3" t="s">
        <v>9693</v>
      </c>
      <c r="B2354" s="3" t="s">
        <v>9694</v>
      </c>
      <c r="C2354" s="3" t="s">
        <v>9695</v>
      </c>
      <c r="D2354" s="3" t="s">
        <v>9696</v>
      </c>
      <c r="E2354" s="3" t="s">
        <v>1710</v>
      </c>
      <c r="F2354" s="3">
        <v>29.99</v>
      </c>
      <c r="G2354" s="3" t="s">
        <v>6233</v>
      </c>
      <c r="H2354" s="3"/>
      <c r="I2354" s="3" t="s">
        <v>6234</v>
      </c>
      <c r="J2354" s="3">
        <v>1</v>
      </c>
      <c r="K2354" s="3">
        <v>0</v>
      </c>
      <c r="L2354" s="3">
        <v>1</v>
      </c>
      <c r="M2354" s="3">
        <v>0</v>
      </c>
      <c r="N2354" s="3">
        <v>1</v>
      </c>
      <c r="O2354" s="3">
        <v>0.13</v>
      </c>
      <c r="P2354" s="3">
        <v>0</v>
      </c>
      <c r="Q2354" s="3">
        <v>0</v>
      </c>
      <c r="R2354" s="3">
        <v>0</v>
      </c>
    </row>
    <row r="2355" spans="1:18">
      <c r="A2355" s="3" t="s">
        <v>2334</v>
      </c>
      <c r="B2355" s="3" t="s">
        <v>2335</v>
      </c>
      <c r="C2355" s="3" t="s">
        <v>2336</v>
      </c>
      <c r="D2355" s="3" t="s">
        <v>2337</v>
      </c>
      <c r="E2355" s="3" t="s">
        <v>1710</v>
      </c>
      <c r="F2355" s="3">
        <v>29.99</v>
      </c>
      <c r="G2355" s="3" t="s">
        <v>6233</v>
      </c>
      <c r="H2355" s="3"/>
      <c r="I2355" s="3" t="s">
        <v>6234</v>
      </c>
      <c r="J2355" s="3">
        <v>3</v>
      </c>
      <c r="K2355" s="3">
        <v>3</v>
      </c>
      <c r="L2355" s="3">
        <v>0</v>
      </c>
      <c r="M2355" s="3">
        <v>0</v>
      </c>
      <c r="N2355" s="3">
        <v>3</v>
      </c>
      <c r="O2355" s="3">
        <v>0.13</v>
      </c>
      <c r="P2355" s="3">
        <v>0</v>
      </c>
      <c r="Q2355" s="3">
        <v>0</v>
      </c>
      <c r="R2355" s="3">
        <v>0</v>
      </c>
    </row>
    <row r="2356" spans="1:18">
      <c r="A2356" s="3" t="s">
        <v>9697</v>
      </c>
      <c r="B2356" s="3" t="s">
        <v>9698</v>
      </c>
      <c r="C2356" s="3" t="s">
        <v>9699</v>
      </c>
      <c r="D2356" s="3" t="s">
        <v>9700</v>
      </c>
      <c r="E2356" s="3" t="s">
        <v>1710</v>
      </c>
      <c r="F2356" s="3">
        <v>29.99</v>
      </c>
      <c r="G2356" s="3" t="s">
        <v>6233</v>
      </c>
      <c r="H2356" s="3"/>
      <c r="I2356" s="3" t="s">
        <v>6234</v>
      </c>
      <c r="J2356" s="3">
        <v>1</v>
      </c>
      <c r="K2356" s="3">
        <v>0</v>
      </c>
      <c r="L2356" s="3">
        <v>1</v>
      </c>
      <c r="M2356" s="3">
        <v>0</v>
      </c>
      <c r="N2356" s="3">
        <v>1</v>
      </c>
      <c r="O2356" s="3">
        <v>0.12</v>
      </c>
      <c r="P2356" s="3">
        <v>0</v>
      </c>
      <c r="Q2356" s="3">
        <v>0</v>
      </c>
      <c r="R2356" s="3">
        <v>0</v>
      </c>
    </row>
    <row r="2357" spans="1:18">
      <c r="A2357" s="3" t="s">
        <v>6150</v>
      </c>
      <c r="B2357" s="3" t="s">
        <v>6151</v>
      </c>
      <c r="C2357" s="3" t="s">
        <v>6152</v>
      </c>
      <c r="D2357" s="3" t="s">
        <v>6153</v>
      </c>
      <c r="E2357" s="3" t="s">
        <v>1710</v>
      </c>
      <c r="F2357" s="3">
        <v>29.99</v>
      </c>
      <c r="G2357" s="3" t="s">
        <v>6233</v>
      </c>
      <c r="H2357" s="3"/>
      <c r="I2357" s="3" t="s">
        <v>6234</v>
      </c>
      <c r="J2357" s="3">
        <v>28</v>
      </c>
      <c r="K2357" s="3">
        <v>26</v>
      </c>
      <c r="L2357" s="3">
        <v>2</v>
      </c>
      <c r="M2357" s="3">
        <v>0</v>
      </c>
      <c r="N2357" s="3">
        <v>28</v>
      </c>
      <c r="O2357" s="3">
        <v>0.13</v>
      </c>
      <c r="P2357" s="3">
        <v>0</v>
      </c>
      <c r="Q2357" s="3">
        <v>0</v>
      </c>
      <c r="R2357" s="3">
        <v>0</v>
      </c>
    </row>
    <row r="2358" spans="1:18">
      <c r="A2358" s="3" t="s">
        <v>4192</v>
      </c>
      <c r="B2358" s="3" t="s">
        <v>4193</v>
      </c>
      <c r="C2358" s="3" t="s">
        <v>4194</v>
      </c>
      <c r="D2358" s="3" t="s">
        <v>4195</v>
      </c>
      <c r="E2358" s="3" t="s">
        <v>1710</v>
      </c>
      <c r="F2358" s="3">
        <v>29.99</v>
      </c>
      <c r="G2358" s="3" t="s">
        <v>6233</v>
      </c>
      <c r="H2358" s="3"/>
      <c r="I2358" s="3" t="s">
        <v>6234</v>
      </c>
      <c r="J2358" s="3">
        <v>18</v>
      </c>
      <c r="K2358" s="3">
        <v>18</v>
      </c>
      <c r="L2358" s="3">
        <v>0</v>
      </c>
      <c r="M2358" s="3">
        <v>0</v>
      </c>
      <c r="N2358" s="3">
        <v>18</v>
      </c>
      <c r="O2358" s="3">
        <v>0.05</v>
      </c>
      <c r="P2358" s="3">
        <v>0</v>
      </c>
      <c r="Q2358" s="3">
        <v>0</v>
      </c>
      <c r="R2358" s="3">
        <v>0</v>
      </c>
    </row>
    <row r="2359" spans="1:18">
      <c r="A2359" s="3" t="s">
        <v>1026</v>
      </c>
      <c r="B2359" s="3" t="s">
        <v>1027</v>
      </c>
      <c r="C2359" s="3" t="s">
        <v>1028</v>
      </c>
      <c r="D2359" s="3" t="s">
        <v>1029</v>
      </c>
      <c r="E2359" s="3" t="s">
        <v>1710</v>
      </c>
      <c r="F2359" s="3">
        <v>29.99</v>
      </c>
      <c r="G2359" s="3" t="s">
        <v>6233</v>
      </c>
      <c r="H2359" s="3"/>
      <c r="I2359" s="3" t="s">
        <v>6234</v>
      </c>
      <c r="J2359" s="3">
        <v>15</v>
      </c>
      <c r="K2359" s="3">
        <v>12</v>
      </c>
      <c r="L2359" s="3">
        <v>1</v>
      </c>
      <c r="M2359" s="3">
        <v>2</v>
      </c>
      <c r="N2359" s="3">
        <v>15</v>
      </c>
      <c r="O2359" s="3">
        <v>0.13</v>
      </c>
      <c r="P2359" s="3">
        <v>0</v>
      </c>
      <c r="Q2359" s="3">
        <v>0</v>
      </c>
      <c r="R2359" s="3">
        <v>0</v>
      </c>
    </row>
    <row r="2360" spans="1:18">
      <c r="A2360" s="3" t="s">
        <v>3936</v>
      </c>
      <c r="B2360" s="3" t="s">
        <v>3937</v>
      </c>
      <c r="C2360" s="3" t="s">
        <v>3938</v>
      </c>
      <c r="D2360" s="3" t="s">
        <v>3939</v>
      </c>
      <c r="E2360" s="3" t="s">
        <v>1710</v>
      </c>
      <c r="F2360" s="3">
        <v>29.99</v>
      </c>
      <c r="G2360" s="3" t="s">
        <v>6233</v>
      </c>
      <c r="H2360" s="3"/>
      <c r="I2360" s="3" t="s">
        <v>6234</v>
      </c>
      <c r="J2360" s="3">
        <v>19</v>
      </c>
      <c r="K2360" s="3">
        <v>18</v>
      </c>
      <c r="L2360" s="3">
        <v>1</v>
      </c>
      <c r="M2360" s="3">
        <v>0</v>
      </c>
      <c r="N2360" s="3">
        <v>19</v>
      </c>
      <c r="O2360" s="3">
        <v>0.05</v>
      </c>
      <c r="P2360" s="3">
        <v>0</v>
      </c>
      <c r="Q2360" s="3">
        <v>0</v>
      </c>
      <c r="R2360" s="3">
        <v>0</v>
      </c>
    </row>
    <row r="2361" spans="1:18">
      <c r="A2361" s="3" t="s">
        <v>2012</v>
      </c>
      <c r="B2361" s="3" t="s">
        <v>2013</v>
      </c>
      <c r="C2361" s="3" t="s">
        <v>2014</v>
      </c>
      <c r="D2361" s="3" t="s">
        <v>2015</v>
      </c>
      <c r="E2361" s="3" t="s">
        <v>1710</v>
      </c>
      <c r="F2361" s="3">
        <v>29.99</v>
      </c>
      <c r="G2361" s="3" t="s">
        <v>6233</v>
      </c>
      <c r="H2361" s="3"/>
      <c r="I2361" s="3" t="s">
        <v>6234</v>
      </c>
      <c r="J2361" s="3">
        <v>19</v>
      </c>
      <c r="K2361" s="3">
        <v>17</v>
      </c>
      <c r="L2361" s="3">
        <v>2</v>
      </c>
      <c r="M2361" s="3">
        <v>0</v>
      </c>
      <c r="N2361" s="3">
        <v>19</v>
      </c>
      <c r="O2361" s="3">
        <v>0.13</v>
      </c>
      <c r="P2361" s="3">
        <v>0</v>
      </c>
      <c r="Q2361" s="3">
        <v>0</v>
      </c>
      <c r="R2361" s="3">
        <v>0</v>
      </c>
    </row>
    <row r="2362" spans="1:18">
      <c r="A2362" s="3" t="s">
        <v>1046</v>
      </c>
      <c r="B2362" s="3" t="s">
        <v>1047</v>
      </c>
      <c r="C2362" s="3" t="s">
        <v>1048</v>
      </c>
      <c r="D2362" s="3" t="s">
        <v>1049</v>
      </c>
      <c r="E2362" s="3" t="s">
        <v>1710</v>
      </c>
      <c r="F2362" s="3">
        <v>29.99</v>
      </c>
      <c r="G2362" s="3" t="s">
        <v>6233</v>
      </c>
      <c r="H2362" s="3"/>
      <c r="I2362" s="3" t="s">
        <v>6234</v>
      </c>
      <c r="J2362" s="3">
        <v>21</v>
      </c>
      <c r="K2362" s="3">
        <v>18</v>
      </c>
      <c r="L2362" s="3">
        <v>1</v>
      </c>
      <c r="M2362" s="3">
        <v>2</v>
      </c>
      <c r="N2362" s="3">
        <v>21</v>
      </c>
      <c r="O2362" s="3">
        <v>0.13</v>
      </c>
      <c r="P2362" s="3">
        <v>0</v>
      </c>
      <c r="Q2362" s="3">
        <v>0</v>
      </c>
      <c r="R2362" s="3">
        <v>0</v>
      </c>
    </row>
    <row r="2363" spans="1:18">
      <c r="A2363" s="3" t="s">
        <v>2003</v>
      </c>
      <c r="B2363" s="3" t="s">
        <v>2004</v>
      </c>
      <c r="C2363" s="3" t="s">
        <v>2005</v>
      </c>
      <c r="D2363" s="3" t="s">
        <v>2006</v>
      </c>
      <c r="E2363" s="3" t="s">
        <v>1710</v>
      </c>
      <c r="F2363" s="3">
        <v>29.99</v>
      </c>
      <c r="G2363" s="3" t="s">
        <v>6233</v>
      </c>
      <c r="H2363" s="3"/>
      <c r="I2363" s="3" t="s">
        <v>6234</v>
      </c>
      <c r="J2363" s="3">
        <v>36</v>
      </c>
      <c r="K2363" s="3">
        <v>36</v>
      </c>
      <c r="L2363" s="3">
        <v>0</v>
      </c>
      <c r="M2363" s="3">
        <v>0</v>
      </c>
      <c r="N2363" s="3">
        <v>36</v>
      </c>
      <c r="O2363" s="3">
        <v>0.13</v>
      </c>
      <c r="P2363" s="3">
        <v>0</v>
      </c>
      <c r="Q2363" s="3">
        <v>0</v>
      </c>
      <c r="R2363" s="3">
        <v>0</v>
      </c>
    </row>
    <row r="2364" spans="1:18">
      <c r="A2364" s="3" t="s">
        <v>3856</v>
      </c>
      <c r="B2364" s="3" t="s">
        <v>3857</v>
      </c>
      <c r="C2364" s="3" t="s">
        <v>3858</v>
      </c>
      <c r="D2364" s="3" t="s">
        <v>3859</v>
      </c>
      <c r="E2364" s="3" t="s">
        <v>1710</v>
      </c>
      <c r="F2364" s="3">
        <v>29.99</v>
      </c>
      <c r="G2364" s="3" t="s">
        <v>6233</v>
      </c>
      <c r="H2364" s="3"/>
      <c r="I2364" s="3" t="s">
        <v>6234</v>
      </c>
      <c r="J2364" s="3">
        <v>22</v>
      </c>
      <c r="K2364" s="3">
        <v>21</v>
      </c>
      <c r="L2364" s="3">
        <v>1</v>
      </c>
      <c r="M2364" s="3">
        <v>0</v>
      </c>
      <c r="N2364" s="3">
        <v>22</v>
      </c>
      <c r="O2364" s="3">
        <v>0.13</v>
      </c>
      <c r="P2364" s="3">
        <v>0</v>
      </c>
      <c r="Q2364" s="3">
        <v>0</v>
      </c>
      <c r="R2364" s="3">
        <v>0</v>
      </c>
    </row>
    <row r="2365" spans="1:18">
      <c r="A2365" s="3" t="s">
        <v>5306</v>
      </c>
      <c r="B2365" s="3" t="s">
        <v>5307</v>
      </c>
      <c r="C2365" s="3" t="s">
        <v>5308</v>
      </c>
      <c r="D2365" s="3" t="s">
        <v>5309</v>
      </c>
      <c r="E2365" s="3" t="s">
        <v>1710</v>
      </c>
      <c r="F2365" s="3">
        <v>29.99</v>
      </c>
      <c r="G2365" s="3" t="s">
        <v>6233</v>
      </c>
      <c r="H2365" s="3"/>
      <c r="I2365" s="3" t="s">
        <v>6234</v>
      </c>
      <c r="J2365" s="3">
        <v>20</v>
      </c>
      <c r="K2365" s="3">
        <v>20</v>
      </c>
      <c r="L2365" s="3">
        <v>0</v>
      </c>
      <c r="M2365" s="3">
        <v>0</v>
      </c>
      <c r="N2365" s="3">
        <v>20</v>
      </c>
      <c r="O2365" s="3">
        <v>0.13</v>
      </c>
      <c r="P2365" s="3">
        <v>0</v>
      </c>
      <c r="Q2365" s="3">
        <v>0</v>
      </c>
      <c r="R2365" s="3">
        <v>0</v>
      </c>
    </row>
    <row r="2366" spans="1:18">
      <c r="A2366" s="3" t="s">
        <v>1086</v>
      </c>
      <c r="B2366" s="3" t="s">
        <v>1087</v>
      </c>
      <c r="C2366" s="3" t="s">
        <v>1088</v>
      </c>
      <c r="D2366" s="3" t="s">
        <v>1089</v>
      </c>
      <c r="E2366" s="3" t="s">
        <v>1710</v>
      </c>
      <c r="F2366" s="3">
        <v>29.99</v>
      </c>
      <c r="G2366" s="3" t="s">
        <v>6233</v>
      </c>
      <c r="H2366" s="3"/>
      <c r="I2366" s="3" t="s">
        <v>6234</v>
      </c>
      <c r="J2366" s="3">
        <v>27</v>
      </c>
      <c r="K2366" s="3">
        <v>24</v>
      </c>
      <c r="L2366" s="3">
        <v>2</v>
      </c>
      <c r="M2366" s="3">
        <v>1</v>
      </c>
      <c r="N2366" s="3">
        <v>27</v>
      </c>
      <c r="O2366" s="3">
        <v>0.13</v>
      </c>
      <c r="P2366" s="3">
        <v>0</v>
      </c>
      <c r="Q2366" s="3">
        <v>0</v>
      </c>
      <c r="R2366" s="3">
        <v>0</v>
      </c>
    </row>
    <row r="2367" spans="1:18">
      <c r="A2367" s="3" t="s">
        <v>2023</v>
      </c>
      <c r="B2367" s="3" t="s">
        <v>2024</v>
      </c>
      <c r="C2367" s="3" t="s">
        <v>2025</v>
      </c>
      <c r="D2367" s="3" t="s">
        <v>2026</v>
      </c>
      <c r="E2367" s="3" t="s">
        <v>1710</v>
      </c>
      <c r="F2367" s="3">
        <v>29.99</v>
      </c>
      <c r="G2367" s="3" t="s">
        <v>6233</v>
      </c>
      <c r="H2367" s="3"/>
      <c r="I2367" s="3" t="s">
        <v>6234</v>
      </c>
      <c r="J2367" s="3">
        <v>29</v>
      </c>
      <c r="K2367" s="3">
        <v>28</v>
      </c>
      <c r="L2367" s="3">
        <v>1</v>
      </c>
      <c r="M2367" s="3">
        <v>0</v>
      </c>
      <c r="N2367" s="3">
        <v>29</v>
      </c>
      <c r="O2367" s="3">
        <v>0.13</v>
      </c>
      <c r="P2367" s="3">
        <v>0</v>
      </c>
      <c r="Q2367" s="3">
        <v>0</v>
      </c>
      <c r="R2367" s="3">
        <v>0</v>
      </c>
    </row>
    <row r="2368" spans="1:18">
      <c r="A2368" s="3" t="s">
        <v>1110</v>
      </c>
      <c r="B2368" s="3" t="s">
        <v>1111</v>
      </c>
      <c r="C2368" s="3" t="s">
        <v>1112</v>
      </c>
      <c r="D2368" s="3" t="s">
        <v>1113</v>
      </c>
      <c r="E2368" s="3" t="s">
        <v>1710</v>
      </c>
      <c r="F2368" s="3">
        <v>29.99</v>
      </c>
      <c r="G2368" s="3" t="s">
        <v>6233</v>
      </c>
      <c r="H2368" s="3"/>
      <c r="I2368" s="3" t="s">
        <v>6234</v>
      </c>
      <c r="J2368" s="3">
        <v>18</v>
      </c>
      <c r="K2368" s="3">
        <v>13</v>
      </c>
      <c r="L2368" s="3">
        <v>2</v>
      </c>
      <c r="M2368" s="3">
        <v>3</v>
      </c>
      <c r="N2368" s="3">
        <v>18</v>
      </c>
      <c r="O2368" s="3">
        <v>0.13</v>
      </c>
      <c r="P2368" s="3">
        <v>0</v>
      </c>
      <c r="Q2368" s="3">
        <v>0</v>
      </c>
      <c r="R2368" s="3">
        <v>0</v>
      </c>
    </row>
    <row r="2369" spans="1:18">
      <c r="A2369" s="3" t="s">
        <v>9701</v>
      </c>
      <c r="B2369" s="3" t="s">
        <v>9702</v>
      </c>
      <c r="C2369" s="3" t="s">
        <v>9703</v>
      </c>
      <c r="D2369" s="3"/>
      <c r="E2369" s="3" t="s">
        <v>6275</v>
      </c>
      <c r="F2369" s="3"/>
      <c r="G2369" s="3"/>
      <c r="H2369" s="3"/>
      <c r="I2369" s="3"/>
      <c r="J2369" s="3">
        <v>0</v>
      </c>
      <c r="K2369" s="3">
        <v>0</v>
      </c>
      <c r="L2369" s="3">
        <v>0</v>
      </c>
      <c r="M2369" s="3">
        <v>0</v>
      </c>
      <c r="N2369" s="3">
        <v>0</v>
      </c>
      <c r="O2369" s="3"/>
      <c r="P2369" s="3">
        <v>0</v>
      </c>
      <c r="Q2369" s="3">
        <v>0</v>
      </c>
      <c r="R2369" s="3">
        <v>0</v>
      </c>
    </row>
    <row r="2370" spans="1:18">
      <c r="A2370" s="3" t="s">
        <v>9704</v>
      </c>
      <c r="B2370" s="3" t="s">
        <v>9705</v>
      </c>
      <c r="C2370" s="3" t="s">
        <v>9706</v>
      </c>
      <c r="D2370" s="3"/>
      <c r="E2370" s="3" t="s">
        <v>6275</v>
      </c>
      <c r="F2370" s="3"/>
      <c r="G2370" s="3"/>
      <c r="H2370" s="3"/>
      <c r="I2370" s="3"/>
      <c r="J2370" s="3">
        <v>0</v>
      </c>
      <c r="K2370" s="3">
        <v>0</v>
      </c>
      <c r="L2370" s="3">
        <v>0</v>
      </c>
      <c r="M2370" s="3">
        <v>0</v>
      </c>
      <c r="N2370" s="3">
        <v>0</v>
      </c>
      <c r="O2370" s="3"/>
      <c r="P2370" s="3">
        <v>0</v>
      </c>
      <c r="Q2370" s="3">
        <v>0</v>
      </c>
      <c r="R2370" s="3">
        <v>0</v>
      </c>
    </row>
    <row r="2371" spans="1:18">
      <c r="A2371" s="3" t="s">
        <v>9707</v>
      </c>
      <c r="B2371" s="3" t="s">
        <v>9708</v>
      </c>
      <c r="C2371" s="3" t="s">
        <v>9709</v>
      </c>
      <c r="D2371" s="3"/>
      <c r="E2371" s="3" t="s">
        <v>6275</v>
      </c>
      <c r="F2371" s="3"/>
      <c r="G2371" s="3"/>
      <c r="H2371" s="3"/>
      <c r="I2371" s="3"/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/>
      <c r="P2371" s="3">
        <v>0</v>
      </c>
      <c r="Q2371" s="3">
        <v>0</v>
      </c>
      <c r="R2371" s="3">
        <v>0</v>
      </c>
    </row>
    <row r="2372" spans="1:18">
      <c r="A2372" s="3" t="s">
        <v>9710</v>
      </c>
      <c r="B2372" s="3" t="s">
        <v>9711</v>
      </c>
      <c r="C2372" s="3" t="s">
        <v>9712</v>
      </c>
      <c r="D2372" s="3"/>
      <c r="E2372" s="3" t="s">
        <v>6275</v>
      </c>
      <c r="F2372" s="3"/>
      <c r="G2372" s="3"/>
      <c r="H2372" s="3"/>
      <c r="I2372" s="3"/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/>
      <c r="P2372" s="3">
        <v>0</v>
      </c>
      <c r="Q2372" s="3">
        <v>0</v>
      </c>
      <c r="R2372" s="3">
        <v>0</v>
      </c>
    </row>
    <row r="2373" spans="1:18">
      <c r="A2373" s="3" t="s">
        <v>9713</v>
      </c>
      <c r="B2373" s="3" t="s">
        <v>9714</v>
      </c>
      <c r="C2373" s="3" t="s">
        <v>9715</v>
      </c>
      <c r="D2373" s="3"/>
      <c r="E2373" s="3" t="s">
        <v>6275</v>
      </c>
      <c r="F2373" s="3"/>
      <c r="G2373" s="3"/>
      <c r="H2373" s="3"/>
      <c r="I2373" s="3"/>
      <c r="J2373" s="3">
        <v>0</v>
      </c>
      <c r="K2373" s="3">
        <v>0</v>
      </c>
      <c r="L2373" s="3">
        <v>0</v>
      </c>
      <c r="M2373" s="3">
        <v>0</v>
      </c>
      <c r="N2373" s="3">
        <v>0</v>
      </c>
      <c r="O2373" s="3"/>
      <c r="P2373" s="3">
        <v>0</v>
      </c>
      <c r="Q2373" s="3">
        <v>0</v>
      </c>
      <c r="R2373" s="3">
        <v>0</v>
      </c>
    </row>
    <row r="2374" spans="1:18">
      <c r="A2374" s="3" t="s">
        <v>9716</v>
      </c>
      <c r="B2374" s="3" t="s">
        <v>9717</v>
      </c>
      <c r="C2374" s="3" t="s">
        <v>9718</v>
      </c>
      <c r="D2374" s="3"/>
      <c r="E2374" s="3" t="s">
        <v>6275</v>
      </c>
      <c r="F2374" s="3"/>
      <c r="G2374" s="3"/>
      <c r="H2374" s="3"/>
      <c r="I2374" s="3"/>
      <c r="J2374" s="3">
        <v>0</v>
      </c>
      <c r="K2374" s="3">
        <v>0</v>
      </c>
      <c r="L2374" s="3">
        <v>0</v>
      </c>
      <c r="M2374" s="3">
        <v>0</v>
      </c>
      <c r="N2374" s="3">
        <v>0</v>
      </c>
      <c r="O2374" s="3"/>
      <c r="P2374" s="3">
        <v>0</v>
      </c>
      <c r="Q2374" s="3">
        <v>0</v>
      </c>
      <c r="R2374" s="3">
        <v>0</v>
      </c>
    </row>
    <row r="2375" spans="1:18">
      <c r="A2375" s="3" t="s">
        <v>9719</v>
      </c>
      <c r="B2375" s="3" t="s">
        <v>9720</v>
      </c>
      <c r="C2375" s="3" t="s">
        <v>9721</v>
      </c>
      <c r="D2375" s="3"/>
      <c r="E2375" s="3" t="s">
        <v>6275</v>
      </c>
      <c r="F2375" s="3"/>
      <c r="G2375" s="3"/>
      <c r="H2375" s="3"/>
      <c r="I2375" s="3"/>
      <c r="J2375" s="3">
        <v>0</v>
      </c>
      <c r="K2375" s="3">
        <v>0</v>
      </c>
      <c r="L2375" s="3">
        <v>0</v>
      </c>
      <c r="M2375" s="3">
        <v>0</v>
      </c>
      <c r="N2375" s="3">
        <v>0</v>
      </c>
      <c r="O2375" s="3"/>
      <c r="P2375" s="3">
        <v>0</v>
      </c>
      <c r="Q2375" s="3">
        <v>0</v>
      </c>
      <c r="R2375" s="3">
        <v>0</v>
      </c>
    </row>
    <row r="2376" spans="1:18">
      <c r="A2376" s="3" t="s">
        <v>9722</v>
      </c>
      <c r="B2376" s="3" t="s">
        <v>9723</v>
      </c>
      <c r="C2376" s="3" t="s">
        <v>9724</v>
      </c>
      <c r="D2376" s="3"/>
      <c r="E2376" s="3" t="s">
        <v>6275</v>
      </c>
      <c r="F2376" s="3"/>
      <c r="G2376" s="3"/>
      <c r="H2376" s="3"/>
      <c r="I2376" s="3"/>
      <c r="J2376" s="3">
        <v>0</v>
      </c>
      <c r="K2376" s="3">
        <v>0</v>
      </c>
      <c r="L2376" s="3">
        <v>0</v>
      </c>
      <c r="M2376" s="3">
        <v>0</v>
      </c>
      <c r="N2376" s="3">
        <v>0</v>
      </c>
      <c r="O2376" s="3"/>
      <c r="P2376" s="3">
        <v>0</v>
      </c>
      <c r="Q2376" s="3">
        <v>0</v>
      </c>
      <c r="R2376" s="3">
        <v>0</v>
      </c>
    </row>
    <row r="2377" spans="1:18">
      <c r="A2377" s="3" t="s">
        <v>9725</v>
      </c>
      <c r="B2377" s="3" t="s">
        <v>9726</v>
      </c>
      <c r="C2377" s="3" t="s">
        <v>9727</v>
      </c>
      <c r="D2377" s="3"/>
      <c r="E2377" s="3" t="s">
        <v>6275</v>
      </c>
      <c r="F2377" s="3"/>
      <c r="G2377" s="3"/>
      <c r="H2377" s="3"/>
      <c r="I2377" s="3"/>
      <c r="J2377" s="3">
        <v>0</v>
      </c>
      <c r="K2377" s="3">
        <v>0</v>
      </c>
      <c r="L2377" s="3">
        <v>0</v>
      </c>
      <c r="M2377" s="3">
        <v>0</v>
      </c>
      <c r="N2377" s="3">
        <v>0</v>
      </c>
      <c r="O2377" s="3"/>
      <c r="P2377" s="3">
        <v>0</v>
      </c>
      <c r="Q2377" s="3">
        <v>0</v>
      </c>
      <c r="R2377" s="3">
        <v>0</v>
      </c>
    </row>
    <row r="2378" spans="1:18">
      <c r="A2378" s="3" t="s">
        <v>9728</v>
      </c>
      <c r="B2378" s="3" t="s">
        <v>9729</v>
      </c>
      <c r="C2378" s="3" t="s">
        <v>9730</v>
      </c>
      <c r="D2378" s="3"/>
      <c r="E2378" s="3" t="s">
        <v>6275</v>
      </c>
      <c r="F2378" s="3"/>
      <c r="G2378" s="3"/>
      <c r="H2378" s="3"/>
      <c r="I2378" s="3"/>
      <c r="J2378" s="3">
        <v>0</v>
      </c>
      <c r="K2378" s="3">
        <v>0</v>
      </c>
      <c r="L2378" s="3">
        <v>0</v>
      </c>
      <c r="M2378" s="3">
        <v>0</v>
      </c>
      <c r="N2378" s="3">
        <v>0</v>
      </c>
      <c r="O2378" s="3"/>
      <c r="P2378" s="3">
        <v>0</v>
      </c>
      <c r="Q2378" s="3">
        <v>0</v>
      </c>
      <c r="R2378" s="3">
        <v>0</v>
      </c>
    </row>
    <row r="2379" spans="1:18">
      <c r="A2379" s="3" t="s">
        <v>9731</v>
      </c>
      <c r="B2379" s="3" t="s">
        <v>9732</v>
      </c>
      <c r="C2379" s="3" t="s">
        <v>9733</v>
      </c>
      <c r="D2379" s="3"/>
      <c r="E2379" s="3" t="s">
        <v>6275</v>
      </c>
      <c r="F2379" s="3"/>
      <c r="G2379" s="3"/>
      <c r="H2379" s="3"/>
      <c r="I2379" s="3"/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/>
      <c r="P2379" s="3">
        <v>0</v>
      </c>
      <c r="Q2379" s="3">
        <v>0</v>
      </c>
      <c r="R2379" s="3">
        <v>0</v>
      </c>
    </row>
    <row r="2380" spans="1:18">
      <c r="A2380" s="3" t="s">
        <v>9734</v>
      </c>
      <c r="B2380" s="3" t="s">
        <v>9735</v>
      </c>
      <c r="C2380" s="3" t="s">
        <v>9736</v>
      </c>
      <c r="D2380" s="3"/>
      <c r="E2380" s="3" t="s">
        <v>6275</v>
      </c>
      <c r="F2380" s="3"/>
      <c r="G2380" s="3"/>
      <c r="H2380" s="3"/>
      <c r="I2380" s="3"/>
      <c r="J2380" s="3">
        <v>0</v>
      </c>
      <c r="K2380" s="3">
        <v>0</v>
      </c>
      <c r="L2380" s="3">
        <v>0</v>
      </c>
      <c r="M2380" s="3">
        <v>0</v>
      </c>
      <c r="N2380" s="3">
        <v>0</v>
      </c>
      <c r="O2380" s="3"/>
      <c r="P2380" s="3">
        <v>0</v>
      </c>
      <c r="Q2380" s="3">
        <v>0</v>
      </c>
      <c r="R2380" s="3">
        <v>0</v>
      </c>
    </row>
    <row r="2381" spans="1:18">
      <c r="A2381" s="3" t="s">
        <v>9737</v>
      </c>
      <c r="B2381" s="3" t="s">
        <v>9738</v>
      </c>
      <c r="C2381" s="3" t="s">
        <v>9739</v>
      </c>
      <c r="D2381" s="3"/>
      <c r="E2381" s="3" t="s">
        <v>6275</v>
      </c>
      <c r="F2381" s="3"/>
      <c r="G2381" s="3"/>
      <c r="H2381" s="3"/>
      <c r="I2381" s="3"/>
      <c r="J2381" s="3">
        <v>0</v>
      </c>
      <c r="K2381" s="3">
        <v>0</v>
      </c>
      <c r="L2381" s="3">
        <v>0</v>
      </c>
      <c r="M2381" s="3">
        <v>0</v>
      </c>
      <c r="N2381" s="3">
        <v>0</v>
      </c>
      <c r="O2381" s="3"/>
      <c r="P2381" s="3">
        <v>0</v>
      </c>
      <c r="Q2381" s="3">
        <v>0</v>
      </c>
      <c r="R2381" s="3">
        <v>0</v>
      </c>
    </row>
    <row r="2382" spans="1:18">
      <c r="A2382" s="3" t="s">
        <v>9740</v>
      </c>
      <c r="B2382" s="3" t="s">
        <v>9741</v>
      </c>
      <c r="C2382" s="3" t="s">
        <v>9742</v>
      </c>
      <c r="D2382" s="3"/>
      <c r="E2382" s="3" t="s">
        <v>6275</v>
      </c>
      <c r="F2382" s="3"/>
      <c r="G2382" s="3"/>
      <c r="H2382" s="3"/>
      <c r="I2382" s="3"/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/>
      <c r="P2382" s="3">
        <v>0</v>
      </c>
      <c r="Q2382" s="3">
        <v>0</v>
      </c>
      <c r="R2382" s="3">
        <v>0</v>
      </c>
    </row>
    <row r="2383" spans="1:18">
      <c r="A2383" s="3" t="s">
        <v>9743</v>
      </c>
      <c r="B2383" s="3" t="s">
        <v>9744</v>
      </c>
      <c r="C2383" s="3" t="s">
        <v>9745</v>
      </c>
      <c r="D2383" s="3"/>
      <c r="E2383" s="3" t="s">
        <v>6275</v>
      </c>
      <c r="F2383" s="3"/>
      <c r="G2383" s="3"/>
      <c r="H2383" s="3"/>
      <c r="I2383" s="3"/>
      <c r="J2383" s="3">
        <v>0</v>
      </c>
      <c r="K2383" s="3">
        <v>0</v>
      </c>
      <c r="L2383" s="3">
        <v>0</v>
      </c>
      <c r="M2383" s="3">
        <v>0</v>
      </c>
      <c r="N2383" s="3">
        <v>0</v>
      </c>
      <c r="O2383" s="3"/>
      <c r="P2383" s="3">
        <v>0</v>
      </c>
      <c r="Q2383" s="3">
        <v>0</v>
      </c>
      <c r="R2383" s="3">
        <v>0</v>
      </c>
    </row>
    <row r="2384" spans="1:18">
      <c r="A2384" s="3" t="s">
        <v>9746</v>
      </c>
      <c r="B2384" s="3" t="s">
        <v>9747</v>
      </c>
      <c r="C2384" s="3" t="s">
        <v>2014</v>
      </c>
      <c r="D2384" s="3"/>
      <c r="E2384" s="3" t="s">
        <v>6275</v>
      </c>
      <c r="F2384" s="3"/>
      <c r="G2384" s="3"/>
      <c r="H2384" s="3"/>
      <c r="I2384" s="3"/>
      <c r="J2384" s="3">
        <v>0</v>
      </c>
      <c r="K2384" s="3">
        <v>0</v>
      </c>
      <c r="L2384" s="3">
        <v>0</v>
      </c>
      <c r="M2384" s="3">
        <v>0</v>
      </c>
      <c r="N2384" s="3">
        <v>0</v>
      </c>
      <c r="O2384" s="3"/>
      <c r="P2384" s="3">
        <v>0</v>
      </c>
      <c r="Q2384" s="3">
        <v>0</v>
      </c>
      <c r="R2384" s="3">
        <v>0</v>
      </c>
    </row>
    <row r="2385" spans="1:18">
      <c r="A2385" s="3" t="s">
        <v>5156</v>
      </c>
      <c r="B2385" s="3" t="s">
        <v>5157</v>
      </c>
      <c r="C2385" s="3" t="s">
        <v>5158</v>
      </c>
      <c r="D2385" s="3" t="s">
        <v>5159</v>
      </c>
      <c r="E2385" s="3" t="s">
        <v>1710</v>
      </c>
      <c r="F2385" s="3">
        <v>19.99</v>
      </c>
      <c r="G2385" s="3" t="s">
        <v>6233</v>
      </c>
      <c r="H2385" s="3"/>
      <c r="I2385" s="3" t="s">
        <v>6234</v>
      </c>
      <c r="J2385" s="3">
        <v>2</v>
      </c>
      <c r="K2385" s="3">
        <v>2</v>
      </c>
      <c r="L2385" s="3">
        <v>0</v>
      </c>
      <c r="M2385" s="3">
        <v>0</v>
      </c>
      <c r="N2385" s="3">
        <v>2</v>
      </c>
      <c r="O2385" s="3">
        <v>0.26</v>
      </c>
      <c r="P2385" s="3">
        <v>0</v>
      </c>
      <c r="Q2385" s="3">
        <v>0</v>
      </c>
      <c r="R2385" s="3">
        <v>0</v>
      </c>
    </row>
    <row r="2386" spans="1:18">
      <c r="A2386" s="3" t="s">
        <v>5983</v>
      </c>
      <c r="B2386" s="3" t="s">
        <v>5984</v>
      </c>
      <c r="C2386" s="3" t="s">
        <v>5985</v>
      </c>
      <c r="D2386" s="3" t="s">
        <v>5986</v>
      </c>
      <c r="E2386" s="3" t="s">
        <v>1710</v>
      </c>
      <c r="F2386" s="3">
        <v>19.99</v>
      </c>
      <c r="G2386" s="3" t="s">
        <v>6233</v>
      </c>
      <c r="H2386" s="3"/>
      <c r="I2386" s="3" t="s">
        <v>6234</v>
      </c>
      <c r="J2386" s="3">
        <v>1</v>
      </c>
      <c r="K2386" s="3">
        <v>1</v>
      </c>
      <c r="L2386" s="3">
        <v>0</v>
      </c>
      <c r="M2386" s="3">
        <v>0</v>
      </c>
      <c r="N2386" s="3">
        <v>1</v>
      </c>
      <c r="O2386" s="3">
        <v>0.08</v>
      </c>
      <c r="P2386" s="3">
        <v>0</v>
      </c>
      <c r="Q2386" s="3">
        <v>0</v>
      </c>
      <c r="R2386" s="3">
        <v>0</v>
      </c>
    </row>
    <row r="2387" spans="1:18">
      <c r="A2387" s="3" t="s">
        <v>1863</v>
      </c>
      <c r="B2387" s="3" t="s">
        <v>1864</v>
      </c>
      <c r="C2387" s="3" t="s">
        <v>1865</v>
      </c>
      <c r="D2387" s="3" t="s">
        <v>1866</v>
      </c>
      <c r="E2387" s="3" t="s">
        <v>1710</v>
      </c>
      <c r="F2387" s="3">
        <v>19.99</v>
      </c>
      <c r="G2387" s="3" t="s">
        <v>6233</v>
      </c>
      <c r="H2387" s="3"/>
      <c r="I2387" s="3" t="s">
        <v>6234</v>
      </c>
      <c r="J2387" s="3">
        <v>5</v>
      </c>
      <c r="K2387" s="3">
        <v>5</v>
      </c>
      <c r="L2387" s="3">
        <v>0</v>
      </c>
      <c r="M2387" s="3">
        <v>0</v>
      </c>
      <c r="N2387" s="3">
        <v>5</v>
      </c>
      <c r="O2387" s="3">
        <v>0.07</v>
      </c>
      <c r="P2387" s="3">
        <v>0</v>
      </c>
      <c r="Q2387" s="3">
        <v>0</v>
      </c>
      <c r="R2387" s="3">
        <v>0</v>
      </c>
    </row>
    <row r="2388" spans="1:18">
      <c r="A2388" s="3" t="s">
        <v>3812</v>
      </c>
      <c r="B2388" s="3" t="s">
        <v>3813</v>
      </c>
      <c r="C2388" s="3" t="s">
        <v>3814</v>
      </c>
      <c r="D2388" s="3" t="s">
        <v>3815</v>
      </c>
      <c r="E2388" s="3" t="s">
        <v>1710</v>
      </c>
      <c r="F2388" s="3">
        <v>19.99</v>
      </c>
      <c r="G2388" s="3" t="s">
        <v>6233</v>
      </c>
      <c r="H2388" s="3"/>
      <c r="I2388" s="3" t="s">
        <v>6234</v>
      </c>
      <c r="J2388" s="3">
        <v>2</v>
      </c>
      <c r="K2388" s="3">
        <v>2</v>
      </c>
      <c r="L2388" s="3">
        <v>0</v>
      </c>
      <c r="M2388" s="3">
        <v>0</v>
      </c>
      <c r="N2388" s="3">
        <v>2</v>
      </c>
      <c r="O2388" s="3">
        <v>0.07</v>
      </c>
      <c r="P2388" s="3">
        <v>0</v>
      </c>
      <c r="Q2388" s="3">
        <v>0</v>
      </c>
      <c r="R2388" s="3">
        <v>0</v>
      </c>
    </row>
    <row r="2389" spans="1:18">
      <c r="A2389" s="3" t="s">
        <v>3661</v>
      </c>
      <c r="B2389" s="3" t="s">
        <v>3662</v>
      </c>
      <c r="C2389" s="3" t="s">
        <v>3663</v>
      </c>
      <c r="D2389" s="3" t="s">
        <v>3664</v>
      </c>
      <c r="E2389" s="3" t="s">
        <v>1710</v>
      </c>
      <c r="F2389" s="3">
        <v>19.99</v>
      </c>
      <c r="G2389" s="3" t="s">
        <v>6233</v>
      </c>
      <c r="H2389" s="3"/>
      <c r="I2389" s="3" t="s">
        <v>6234</v>
      </c>
      <c r="J2389" s="3">
        <v>3</v>
      </c>
      <c r="K2389" s="3">
        <v>2</v>
      </c>
      <c r="L2389" s="3">
        <v>1</v>
      </c>
      <c r="M2389" s="3">
        <v>0</v>
      </c>
      <c r="N2389" s="3">
        <v>3</v>
      </c>
      <c r="O2389" s="3">
        <v>0.26</v>
      </c>
      <c r="P2389" s="3">
        <v>0</v>
      </c>
      <c r="Q2389" s="3">
        <v>0</v>
      </c>
      <c r="R2389" s="3">
        <v>0</v>
      </c>
    </row>
    <row r="2390" spans="1:18">
      <c r="A2390" s="3" t="s">
        <v>5763</v>
      </c>
      <c r="B2390" s="3" t="s">
        <v>5764</v>
      </c>
      <c r="C2390" s="3" t="s">
        <v>5765</v>
      </c>
      <c r="D2390" s="3" t="s">
        <v>5766</v>
      </c>
      <c r="E2390" s="3" t="s">
        <v>1710</v>
      </c>
      <c r="F2390" s="3">
        <v>19.99</v>
      </c>
      <c r="G2390" s="3" t="s">
        <v>6233</v>
      </c>
      <c r="H2390" s="3"/>
      <c r="I2390" s="3" t="s">
        <v>6234</v>
      </c>
      <c r="J2390" s="3">
        <v>10</v>
      </c>
      <c r="K2390" s="3">
        <v>10</v>
      </c>
      <c r="L2390" s="3">
        <v>0</v>
      </c>
      <c r="M2390" s="3">
        <v>0</v>
      </c>
      <c r="N2390" s="3">
        <v>10</v>
      </c>
      <c r="O2390" s="3">
        <v>0.07</v>
      </c>
      <c r="P2390" s="3">
        <v>0</v>
      </c>
      <c r="Q2390" s="3">
        <v>0</v>
      </c>
      <c r="R2390" s="3">
        <v>0</v>
      </c>
    </row>
    <row r="2391" spans="1:18">
      <c r="A2391" s="3" t="s">
        <v>9748</v>
      </c>
      <c r="B2391" s="3" t="s">
        <v>9749</v>
      </c>
      <c r="C2391" s="3" t="s">
        <v>9750</v>
      </c>
      <c r="D2391" s="3" t="s">
        <v>9751</v>
      </c>
      <c r="E2391" s="3" t="s">
        <v>1710</v>
      </c>
      <c r="F2391" s="3">
        <v>19.99</v>
      </c>
      <c r="G2391" s="3" t="s">
        <v>6233</v>
      </c>
      <c r="H2391" s="3"/>
      <c r="I2391" s="3" t="s">
        <v>6234</v>
      </c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>
        <v>0.07</v>
      </c>
      <c r="P2391" s="3">
        <v>0</v>
      </c>
      <c r="Q2391" s="3">
        <v>0</v>
      </c>
      <c r="R2391" s="3">
        <v>0</v>
      </c>
    </row>
    <row r="2392" spans="1:18">
      <c r="A2392" s="3" t="s">
        <v>2785</v>
      </c>
      <c r="B2392" s="3" t="s">
        <v>2786</v>
      </c>
      <c r="C2392" s="3" t="s">
        <v>2787</v>
      </c>
      <c r="D2392" s="3" t="s">
        <v>2788</v>
      </c>
      <c r="E2392" s="3" t="s">
        <v>1710</v>
      </c>
      <c r="F2392" s="3">
        <v>19.99</v>
      </c>
      <c r="G2392" s="3" t="s">
        <v>6233</v>
      </c>
      <c r="H2392" s="3"/>
      <c r="I2392" s="3" t="s">
        <v>6234</v>
      </c>
      <c r="J2392" s="3">
        <v>2</v>
      </c>
      <c r="K2392" s="3">
        <v>1</v>
      </c>
      <c r="L2392" s="3">
        <v>1</v>
      </c>
      <c r="M2392" s="3">
        <v>0</v>
      </c>
      <c r="N2392" s="3">
        <v>2</v>
      </c>
      <c r="O2392" s="3">
        <v>0.26</v>
      </c>
      <c r="P2392" s="3">
        <v>0</v>
      </c>
      <c r="Q2392" s="3">
        <v>0</v>
      </c>
      <c r="R2392" s="3">
        <v>0</v>
      </c>
    </row>
    <row r="2393" spans="1:18">
      <c r="A2393" s="3" t="s">
        <v>1144</v>
      </c>
      <c r="B2393" s="3" t="s">
        <v>1145</v>
      </c>
      <c r="C2393" s="3" t="s">
        <v>1146</v>
      </c>
      <c r="D2393" s="3" t="s">
        <v>1147</v>
      </c>
      <c r="E2393" s="3" t="s">
        <v>1710</v>
      </c>
      <c r="F2393" s="3">
        <v>39.99</v>
      </c>
      <c r="G2393" s="3" t="s">
        <v>6233</v>
      </c>
      <c r="H2393" s="3"/>
      <c r="I2393" s="3" t="s">
        <v>6234</v>
      </c>
      <c r="J2393" s="3">
        <v>10</v>
      </c>
      <c r="K2393" s="3">
        <v>9</v>
      </c>
      <c r="L2393" s="3">
        <v>0</v>
      </c>
      <c r="M2393" s="3">
        <v>1</v>
      </c>
      <c r="N2393" s="3">
        <v>20</v>
      </c>
      <c r="O2393" s="3">
        <v>0.07</v>
      </c>
      <c r="P2393" s="3">
        <v>0</v>
      </c>
      <c r="Q2393" s="3">
        <v>10</v>
      </c>
      <c r="R2393" s="3">
        <v>0</v>
      </c>
    </row>
    <row r="2394" spans="1:18">
      <c r="A2394" s="3" t="s">
        <v>6069</v>
      </c>
      <c r="B2394" s="3" t="s">
        <v>6070</v>
      </c>
      <c r="C2394" s="3" t="s">
        <v>6071</v>
      </c>
      <c r="D2394" s="3" t="s">
        <v>1147</v>
      </c>
      <c r="E2394" s="3" t="s">
        <v>1710</v>
      </c>
      <c r="F2394" s="3">
        <v>39.99</v>
      </c>
      <c r="G2394" s="3" t="s">
        <v>6233</v>
      </c>
      <c r="H2394" s="3"/>
      <c r="I2394" s="3" t="s">
        <v>6234</v>
      </c>
      <c r="J2394" s="3">
        <v>4</v>
      </c>
      <c r="K2394" s="3">
        <v>1</v>
      </c>
      <c r="L2394" s="3">
        <v>3</v>
      </c>
      <c r="M2394" s="3">
        <v>0</v>
      </c>
      <c r="N2394" s="3">
        <v>12</v>
      </c>
      <c r="O2394" s="3">
        <v>0.16</v>
      </c>
      <c r="P2394" s="3">
        <v>0</v>
      </c>
      <c r="Q2394" s="3">
        <v>8</v>
      </c>
      <c r="R2394" s="3">
        <v>0</v>
      </c>
    </row>
    <row r="2395" spans="1:18">
      <c r="A2395" s="3" t="s">
        <v>4452</v>
      </c>
      <c r="B2395" s="3" t="s">
        <v>4453</v>
      </c>
      <c r="C2395" s="3" t="s">
        <v>4454</v>
      </c>
      <c r="D2395" s="3" t="s">
        <v>1147</v>
      </c>
      <c r="E2395" s="3" t="s">
        <v>1710</v>
      </c>
      <c r="F2395" s="3">
        <v>39.99</v>
      </c>
      <c r="G2395" s="3" t="s">
        <v>6233</v>
      </c>
      <c r="H2395" s="3"/>
      <c r="I2395" s="3" t="s">
        <v>6234</v>
      </c>
      <c r="J2395" s="3">
        <v>1</v>
      </c>
      <c r="K2395" s="3">
        <v>1</v>
      </c>
      <c r="L2395" s="3">
        <v>0</v>
      </c>
      <c r="M2395" s="3">
        <v>0</v>
      </c>
      <c r="N2395" s="3">
        <v>1</v>
      </c>
      <c r="O2395" s="3">
        <v>0.07</v>
      </c>
      <c r="P2395" s="3">
        <v>0</v>
      </c>
      <c r="Q2395" s="3">
        <v>0</v>
      </c>
      <c r="R2395" s="3">
        <v>0</v>
      </c>
    </row>
    <row r="2396" spans="1:18">
      <c r="A2396" s="3" t="s">
        <v>5104</v>
      </c>
      <c r="B2396" s="3" t="s">
        <v>5105</v>
      </c>
      <c r="C2396" s="3" t="s">
        <v>5106</v>
      </c>
      <c r="D2396" s="3" t="s">
        <v>1147</v>
      </c>
      <c r="E2396" s="3" t="s">
        <v>1710</v>
      </c>
      <c r="F2396" s="3">
        <v>39.99</v>
      </c>
      <c r="G2396" s="3" t="s">
        <v>6233</v>
      </c>
      <c r="H2396" s="3"/>
      <c r="I2396" s="3" t="s">
        <v>6234</v>
      </c>
      <c r="J2396" s="3">
        <v>3</v>
      </c>
      <c r="K2396" s="3">
        <v>3</v>
      </c>
      <c r="L2396" s="3">
        <v>0</v>
      </c>
      <c r="M2396" s="3">
        <v>0</v>
      </c>
      <c r="N2396" s="3">
        <v>16</v>
      </c>
      <c r="O2396" s="3">
        <v>0.07</v>
      </c>
      <c r="P2396" s="3">
        <v>0</v>
      </c>
      <c r="Q2396" s="3">
        <v>13</v>
      </c>
      <c r="R2396" s="3">
        <v>0</v>
      </c>
    </row>
    <row r="2397" spans="1:18">
      <c r="A2397" s="3" t="s">
        <v>1151</v>
      </c>
      <c r="B2397" s="3" t="s">
        <v>1152</v>
      </c>
      <c r="C2397" s="3" t="s">
        <v>1153</v>
      </c>
      <c r="D2397" s="3" t="s">
        <v>1147</v>
      </c>
      <c r="E2397" s="3" t="s">
        <v>1710</v>
      </c>
      <c r="F2397" s="3">
        <v>39.99</v>
      </c>
      <c r="G2397" s="3" t="s">
        <v>6233</v>
      </c>
      <c r="H2397" s="3"/>
      <c r="I2397" s="3" t="s">
        <v>6234</v>
      </c>
      <c r="J2397" s="3">
        <v>4</v>
      </c>
      <c r="K2397" s="3">
        <v>0</v>
      </c>
      <c r="L2397" s="3">
        <v>1</v>
      </c>
      <c r="M2397" s="3">
        <v>3</v>
      </c>
      <c r="N2397" s="3">
        <v>9</v>
      </c>
      <c r="O2397" s="3">
        <v>0.07</v>
      </c>
      <c r="P2397" s="3">
        <v>0</v>
      </c>
      <c r="Q2397" s="3">
        <v>5</v>
      </c>
      <c r="R2397" s="3">
        <v>0</v>
      </c>
    </row>
    <row r="2398" spans="1:18">
      <c r="A2398" s="3" t="s">
        <v>5789</v>
      </c>
      <c r="B2398" s="3" t="s">
        <v>5790</v>
      </c>
      <c r="C2398" s="3" t="s">
        <v>5791</v>
      </c>
      <c r="D2398" s="3" t="s">
        <v>1136</v>
      </c>
      <c r="E2398" s="3" t="s">
        <v>1710</v>
      </c>
      <c r="F2398" s="3">
        <v>39.99</v>
      </c>
      <c r="G2398" s="3" t="s">
        <v>6233</v>
      </c>
      <c r="H2398" s="3"/>
      <c r="I2398" s="3" t="s">
        <v>6234</v>
      </c>
      <c r="J2398" s="3">
        <v>18</v>
      </c>
      <c r="K2398" s="3">
        <v>18</v>
      </c>
      <c r="L2398" s="3">
        <v>0</v>
      </c>
      <c r="M2398" s="3">
        <v>0</v>
      </c>
      <c r="N2398" s="3">
        <v>18</v>
      </c>
      <c r="O2398" s="3">
        <v>0.13</v>
      </c>
      <c r="P2398" s="3">
        <v>0</v>
      </c>
      <c r="Q2398" s="3">
        <v>0</v>
      </c>
      <c r="R2398" s="3">
        <v>0</v>
      </c>
    </row>
    <row r="2399" spans="1:18">
      <c r="A2399" s="3" t="s">
        <v>1141</v>
      </c>
      <c r="B2399" s="3" t="s">
        <v>1142</v>
      </c>
      <c r="C2399" s="3" t="s">
        <v>1143</v>
      </c>
      <c r="D2399" s="3" t="s">
        <v>1136</v>
      </c>
      <c r="E2399" s="3" t="s">
        <v>1710</v>
      </c>
      <c r="F2399" s="3">
        <v>39.99</v>
      </c>
      <c r="G2399" s="3" t="s">
        <v>6233</v>
      </c>
      <c r="H2399" s="3"/>
      <c r="I2399" s="3" t="s">
        <v>6234</v>
      </c>
      <c r="J2399" s="3">
        <v>11</v>
      </c>
      <c r="K2399" s="3">
        <v>8</v>
      </c>
      <c r="L2399" s="3">
        <v>0</v>
      </c>
      <c r="M2399" s="3">
        <v>3</v>
      </c>
      <c r="N2399" s="3">
        <v>11</v>
      </c>
      <c r="O2399" s="3">
        <v>0.11</v>
      </c>
      <c r="P2399" s="3">
        <v>0</v>
      </c>
      <c r="Q2399" s="3">
        <v>0</v>
      </c>
      <c r="R2399" s="3">
        <v>0</v>
      </c>
    </row>
    <row r="2400" spans="1:18">
      <c r="A2400" s="3" t="s">
        <v>1148</v>
      </c>
      <c r="B2400" s="3" t="s">
        <v>1149</v>
      </c>
      <c r="C2400" s="3" t="s">
        <v>1150</v>
      </c>
      <c r="D2400" s="3" t="s">
        <v>1136</v>
      </c>
      <c r="E2400" s="3" t="s">
        <v>1710</v>
      </c>
      <c r="F2400" s="3">
        <v>39.99</v>
      </c>
      <c r="G2400" s="3" t="s">
        <v>6233</v>
      </c>
      <c r="H2400" s="3"/>
      <c r="I2400" s="3" t="s">
        <v>6234</v>
      </c>
      <c r="J2400" s="3">
        <v>5</v>
      </c>
      <c r="K2400" s="3">
        <v>2</v>
      </c>
      <c r="L2400" s="3">
        <v>0</v>
      </c>
      <c r="M2400" s="3">
        <v>3</v>
      </c>
      <c r="N2400" s="3">
        <v>13</v>
      </c>
      <c r="O2400" s="3">
        <v>0.09</v>
      </c>
      <c r="P2400" s="3">
        <v>0</v>
      </c>
      <c r="Q2400" s="3">
        <v>8</v>
      </c>
      <c r="R2400" s="3">
        <v>0</v>
      </c>
    </row>
    <row r="2401" spans="1:18">
      <c r="A2401" s="3" t="s">
        <v>1133</v>
      </c>
      <c r="B2401" s="3" t="s">
        <v>1134</v>
      </c>
      <c r="C2401" s="3" t="s">
        <v>1135</v>
      </c>
      <c r="D2401" s="3" t="s">
        <v>1136</v>
      </c>
      <c r="E2401" s="3" t="s">
        <v>1710</v>
      </c>
      <c r="F2401" s="3">
        <v>39.99</v>
      </c>
      <c r="G2401" s="3" t="s">
        <v>6233</v>
      </c>
      <c r="H2401" s="3"/>
      <c r="I2401" s="3" t="s">
        <v>6234</v>
      </c>
      <c r="J2401" s="3">
        <v>9</v>
      </c>
      <c r="K2401" s="3">
        <v>7</v>
      </c>
      <c r="L2401" s="3">
        <v>0</v>
      </c>
      <c r="M2401" s="3">
        <v>2</v>
      </c>
      <c r="N2401" s="3">
        <v>17</v>
      </c>
      <c r="O2401" s="3">
        <v>0.08</v>
      </c>
      <c r="P2401" s="3">
        <v>0</v>
      </c>
      <c r="Q2401" s="3">
        <v>8</v>
      </c>
      <c r="R2401" s="3">
        <v>0</v>
      </c>
    </row>
    <row r="2402" spans="1:18">
      <c r="A2402" s="3" t="s">
        <v>4426</v>
      </c>
      <c r="B2402" s="3" t="s">
        <v>4427</v>
      </c>
      <c r="C2402" s="3" t="s">
        <v>4428</v>
      </c>
      <c r="D2402" s="3" t="s">
        <v>1136</v>
      </c>
      <c r="E2402" s="3" t="s">
        <v>1710</v>
      </c>
      <c r="F2402" s="3">
        <v>39.99</v>
      </c>
      <c r="G2402" s="3" t="s">
        <v>6233</v>
      </c>
      <c r="H2402" s="3"/>
      <c r="I2402" s="3" t="s">
        <v>6234</v>
      </c>
      <c r="J2402" s="3">
        <v>16</v>
      </c>
      <c r="K2402" s="3">
        <v>16</v>
      </c>
      <c r="L2402" s="3">
        <v>0</v>
      </c>
      <c r="M2402" s="3">
        <v>0</v>
      </c>
      <c r="N2402" s="3">
        <v>16</v>
      </c>
      <c r="O2402" s="3">
        <v>0.11</v>
      </c>
      <c r="P2402" s="3">
        <v>0</v>
      </c>
      <c r="Q2402" s="3">
        <v>0</v>
      </c>
      <c r="R2402" s="3">
        <v>0</v>
      </c>
    </row>
    <row r="2403" spans="1:18">
      <c r="A2403" s="3" t="s">
        <v>4840</v>
      </c>
      <c r="B2403" s="3" t="s">
        <v>4841</v>
      </c>
      <c r="C2403" s="3" t="s">
        <v>4842</v>
      </c>
      <c r="D2403" s="3" t="s">
        <v>1160</v>
      </c>
      <c r="E2403" s="3" t="s">
        <v>1710</v>
      </c>
      <c r="F2403" s="3">
        <v>39.99</v>
      </c>
      <c r="G2403" s="3" t="s">
        <v>6233</v>
      </c>
      <c r="H2403" s="3"/>
      <c r="I2403" s="3" t="s">
        <v>6234</v>
      </c>
      <c r="J2403" s="3">
        <v>15</v>
      </c>
      <c r="K2403" s="3">
        <v>15</v>
      </c>
      <c r="L2403" s="3">
        <v>0</v>
      </c>
      <c r="M2403" s="3">
        <v>0</v>
      </c>
      <c r="N2403" s="3">
        <v>15</v>
      </c>
      <c r="O2403" s="3">
        <v>0.07</v>
      </c>
      <c r="P2403" s="3">
        <v>0</v>
      </c>
      <c r="Q2403" s="3">
        <v>0</v>
      </c>
      <c r="R2403" s="3">
        <v>0</v>
      </c>
    </row>
    <row r="2404" spans="1:18">
      <c r="A2404" s="3" t="s">
        <v>5313</v>
      </c>
      <c r="B2404" s="3" t="s">
        <v>5314</v>
      </c>
      <c r="C2404" s="3" t="s">
        <v>5315</v>
      </c>
      <c r="D2404" s="3" t="s">
        <v>1160</v>
      </c>
      <c r="E2404" s="3" t="s">
        <v>1710</v>
      </c>
      <c r="F2404" s="3">
        <v>39.99</v>
      </c>
      <c r="G2404" s="3" t="s">
        <v>6233</v>
      </c>
      <c r="H2404" s="3"/>
      <c r="I2404" s="3" t="s">
        <v>6234</v>
      </c>
      <c r="J2404" s="3">
        <v>8</v>
      </c>
      <c r="K2404" s="3">
        <v>4</v>
      </c>
      <c r="L2404" s="3">
        <v>4</v>
      </c>
      <c r="M2404" s="3">
        <v>0</v>
      </c>
      <c r="N2404" s="3">
        <v>9</v>
      </c>
      <c r="O2404" s="3">
        <v>0.07</v>
      </c>
      <c r="P2404" s="3">
        <v>0</v>
      </c>
      <c r="Q2404" s="3">
        <v>1</v>
      </c>
      <c r="R2404" s="3">
        <v>0</v>
      </c>
    </row>
    <row r="2405" spans="1:18">
      <c r="A2405" s="3" t="s">
        <v>1157</v>
      </c>
      <c r="B2405" s="3" t="s">
        <v>1158</v>
      </c>
      <c r="C2405" s="3" t="s">
        <v>1159</v>
      </c>
      <c r="D2405" s="3" t="s">
        <v>1160</v>
      </c>
      <c r="E2405" s="3" t="s">
        <v>1710</v>
      </c>
      <c r="F2405" s="3">
        <v>39.99</v>
      </c>
      <c r="G2405" s="3" t="s">
        <v>6233</v>
      </c>
      <c r="H2405" s="3"/>
      <c r="I2405" s="3" t="s">
        <v>6234</v>
      </c>
      <c r="J2405" s="3">
        <v>14</v>
      </c>
      <c r="K2405" s="3">
        <v>13</v>
      </c>
      <c r="L2405" s="3">
        <v>0</v>
      </c>
      <c r="M2405" s="3">
        <v>1</v>
      </c>
      <c r="N2405" s="3">
        <v>14</v>
      </c>
      <c r="O2405" s="3">
        <v>0.07</v>
      </c>
      <c r="P2405" s="3">
        <v>0</v>
      </c>
      <c r="Q2405" s="3">
        <v>0</v>
      </c>
      <c r="R2405" s="3">
        <v>0</v>
      </c>
    </row>
    <row r="2406" spans="1:18">
      <c r="A2406" s="3" t="s">
        <v>2375</v>
      </c>
      <c r="B2406" s="3" t="s">
        <v>2376</v>
      </c>
      <c r="C2406" s="3" t="s">
        <v>2377</v>
      </c>
      <c r="D2406" s="3" t="s">
        <v>1160</v>
      </c>
      <c r="E2406" s="3" t="s">
        <v>1710</v>
      </c>
      <c r="F2406" s="3">
        <v>39.99</v>
      </c>
      <c r="G2406" s="3" t="s">
        <v>6233</v>
      </c>
      <c r="H2406" s="3"/>
      <c r="I2406" s="3" t="s">
        <v>6234</v>
      </c>
      <c r="J2406" s="3">
        <v>15</v>
      </c>
      <c r="K2406" s="3">
        <v>15</v>
      </c>
      <c r="L2406" s="3">
        <v>0</v>
      </c>
      <c r="M2406" s="3">
        <v>0</v>
      </c>
      <c r="N2406" s="3">
        <v>15</v>
      </c>
      <c r="O2406" s="3">
        <v>0.07</v>
      </c>
      <c r="P2406" s="3">
        <v>0</v>
      </c>
      <c r="Q2406" s="3">
        <v>0</v>
      </c>
      <c r="R2406" s="3">
        <v>0</v>
      </c>
    </row>
    <row r="2407" spans="1:18">
      <c r="A2407" s="3" t="s">
        <v>5187</v>
      </c>
      <c r="B2407" s="3" t="s">
        <v>5188</v>
      </c>
      <c r="C2407" s="3" t="s">
        <v>5189</v>
      </c>
      <c r="D2407" s="3" t="s">
        <v>1160</v>
      </c>
      <c r="E2407" s="3" t="s">
        <v>1710</v>
      </c>
      <c r="F2407" s="3">
        <v>39.99</v>
      </c>
      <c r="G2407" s="3" t="s">
        <v>6233</v>
      </c>
      <c r="H2407" s="3"/>
      <c r="I2407" s="3" t="s">
        <v>6234</v>
      </c>
      <c r="J2407" s="3">
        <v>7</v>
      </c>
      <c r="K2407" s="3">
        <v>7</v>
      </c>
      <c r="L2407" s="3">
        <v>0</v>
      </c>
      <c r="M2407" s="3">
        <v>0</v>
      </c>
      <c r="N2407" s="3">
        <v>7</v>
      </c>
      <c r="O2407" s="3">
        <v>0.07</v>
      </c>
      <c r="P2407" s="3">
        <v>0</v>
      </c>
      <c r="Q2407" s="3">
        <v>0</v>
      </c>
      <c r="R2407" s="3">
        <v>0</v>
      </c>
    </row>
    <row r="2408" spans="1:18">
      <c r="A2408" s="3" t="s">
        <v>5479</v>
      </c>
      <c r="B2408" s="3" t="s">
        <v>5480</v>
      </c>
      <c r="C2408" s="3" t="s">
        <v>5481</v>
      </c>
      <c r="D2408" s="3" t="s">
        <v>1125</v>
      </c>
      <c r="E2408" s="3" t="s">
        <v>1710</v>
      </c>
      <c r="F2408" s="3">
        <v>39.99</v>
      </c>
      <c r="G2408" s="3" t="s">
        <v>6233</v>
      </c>
      <c r="H2408" s="3"/>
      <c r="I2408" s="3" t="s">
        <v>6234</v>
      </c>
      <c r="J2408" s="3">
        <v>12</v>
      </c>
      <c r="K2408" s="3">
        <v>12</v>
      </c>
      <c r="L2408" s="3">
        <v>0</v>
      </c>
      <c r="M2408" s="3">
        <v>0</v>
      </c>
      <c r="N2408" s="3">
        <v>12</v>
      </c>
      <c r="O2408" s="3">
        <v>0.07</v>
      </c>
      <c r="P2408" s="3">
        <v>0</v>
      </c>
      <c r="Q2408" s="3">
        <v>0</v>
      </c>
      <c r="R2408" s="3">
        <v>0</v>
      </c>
    </row>
    <row r="2409" spans="1:18">
      <c r="A2409" s="3" t="s">
        <v>1122</v>
      </c>
      <c r="B2409" s="3" t="s">
        <v>1123</v>
      </c>
      <c r="C2409" s="3" t="s">
        <v>1124</v>
      </c>
      <c r="D2409" s="3" t="s">
        <v>1125</v>
      </c>
      <c r="E2409" s="3" t="s">
        <v>1710</v>
      </c>
      <c r="F2409" s="3">
        <v>39.99</v>
      </c>
      <c r="G2409" s="3" t="s">
        <v>6233</v>
      </c>
      <c r="H2409" s="3"/>
      <c r="I2409" s="3" t="s">
        <v>6234</v>
      </c>
      <c r="J2409" s="3">
        <v>18</v>
      </c>
      <c r="K2409" s="3">
        <v>1</v>
      </c>
      <c r="L2409" s="3">
        <v>4</v>
      </c>
      <c r="M2409" s="3">
        <v>13</v>
      </c>
      <c r="N2409" s="3">
        <v>22</v>
      </c>
      <c r="O2409" s="3">
        <v>0.07</v>
      </c>
      <c r="P2409" s="3">
        <v>0</v>
      </c>
      <c r="Q2409" s="3">
        <v>4</v>
      </c>
      <c r="R2409" s="3">
        <v>0</v>
      </c>
    </row>
    <row r="2410" spans="1:18">
      <c r="A2410" s="3" t="s">
        <v>5438</v>
      </c>
      <c r="B2410" s="3" t="s">
        <v>5439</v>
      </c>
      <c r="C2410" s="3" t="s">
        <v>5440</v>
      </c>
      <c r="D2410" s="3" t="s">
        <v>1125</v>
      </c>
      <c r="E2410" s="3" t="s">
        <v>1710</v>
      </c>
      <c r="F2410" s="3">
        <v>39.99</v>
      </c>
      <c r="G2410" s="3" t="s">
        <v>6233</v>
      </c>
      <c r="H2410" s="3"/>
      <c r="I2410" s="3" t="s">
        <v>6234</v>
      </c>
      <c r="J2410" s="3">
        <v>30</v>
      </c>
      <c r="K2410" s="3">
        <v>27</v>
      </c>
      <c r="L2410" s="3">
        <v>3</v>
      </c>
      <c r="M2410" s="3">
        <v>0</v>
      </c>
      <c r="N2410" s="3">
        <v>30</v>
      </c>
      <c r="O2410" s="3">
        <v>0.07</v>
      </c>
      <c r="P2410" s="3">
        <v>0</v>
      </c>
      <c r="Q2410" s="3">
        <v>0</v>
      </c>
      <c r="R2410" s="3">
        <v>0</v>
      </c>
    </row>
    <row r="2411" spans="1:18">
      <c r="A2411" s="3" t="s">
        <v>3899</v>
      </c>
      <c r="B2411" s="3" t="s">
        <v>3900</v>
      </c>
      <c r="C2411" s="3" t="s">
        <v>3901</v>
      </c>
      <c r="D2411" s="3" t="s">
        <v>1125</v>
      </c>
      <c r="E2411" s="3" t="s">
        <v>1710</v>
      </c>
      <c r="F2411" s="3">
        <v>39.99</v>
      </c>
      <c r="G2411" s="3" t="s">
        <v>6233</v>
      </c>
      <c r="H2411" s="3"/>
      <c r="I2411" s="3" t="s">
        <v>6234</v>
      </c>
      <c r="J2411" s="3">
        <v>12</v>
      </c>
      <c r="K2411" s="3">
        <v>10</v>
      </c>
      <c r="L2411" s="3">
        <v>2</v>
      </c>
      <c r="M2411" s="3">
        <v>0</v>
      </c>
      <c r="N2411" s="3">
        <v>12</v>
      </c>
      <c r="O2411" s="3">
        <v>0.07</v>
      </c>
      <c r="P2411" s="3">
        <v>0</v>
      </c>
      <c r="Q2411" s="3">
        <v>0</v>
      </c>
      <c r="R2411" s="3">
        <v>0</v>
      </c>
    </row>
    <row r="2412" spans="1:18">
      <c r="A2412" s="3" t="s">
        <v>1154</v>
      </c>
      <c r="B2412" s="3" t="s">
        <v>1155</v>
      </c>
      <c r="C2412" s="3" t="s">
        <v>1156</v>
      </c>
      <c r="D2412" s="3" t="s">
        <v>1125</v>
      </c>
      <c r="E2412" s="3" t="s">
        <v>1710</v>
      </c>
      <c r="F2412" s="3">
        <v>39.99</v>
      </c>
      <c r="G2412" s="3" t="s">
        <v>6233</v>
      </c>
      <c r="H2412" s="3"/>
      <c r="I2412" s="3" t="s">
        <v>6234</v>
      </c>
      <c r="J2412" s="3">
        <v>5</v>
      </c>
      <c r="K2412" s="3">
        <v>4</v>
      </c>
      <c r="L2412" s="3">
        <v>0</v>
      </c>
      <c r="M2412" s="3">
        <v>1</v>
      </c>
      <c r="N2412" s="3">
        <v>18</v>
      </c>
      <c r="O2412" s="3">
        <v>0.07</v>
      </c>
      <c r="P2412" s="3">
        <v>0</v>
      </c>
      <c r="Q2412" s="3">
        <v>13</v>
      </c>
      <c r="R2412" s="3">
        <v>0</v>
      </c>
    </row>
    <row r="2413" spans="1:18">
      <c r="A2413" s="3" t="s">
        <v>1126</v>
      </c>
      <c r="B2413" s="3" t="s">
        <v>1127</v>
      </c>
      <c r="C2413" s="3" t="s">
        <v>1128</v>
      </c>
      <c r="D2413" s="3" t="s">
        <v>1121</v>
      </c>
      <c r="E2413" s="3" t="s">
        <v>1710</v>
      </c>
      <c r="F2413" s="3">
        <v>39.99</v>
      </c>
      <c r="G2413" s="3" t="s">
        <v>6233</v>
      </c>
      <c r="H2413" s="3"/>
      <c r="I2413" s="3" t="s">
        <v>6234</v>
      </c>
      <c r="J2413" s="3">
        <v>22</v>
      </c>
      <c r="K2413" s="3">
        <v>21</v>
      </c>
      <c r="L2413" s="3">
        <v>0</v>
      </c>
      <c r="M2413" s="3">
        <v>1</v>
      </c>
      <c r="N2413" s="3">
        <v>22</v>
      </c>
      <c r="O2413" s="3">
        <v>0.07</v>
      </c>
      <c r="P2413" s="3">
        <v>0</v>
      </c>
      <c r="Q2413" s="3">
        <v>0</v>
      </c>
      <c r="R2413" s="3">
        <v>0</v>
      </c>
    </row>
    <row r="2414" spans="1:18">
      <c r="A2414" s="3" t="s">
        <v>1118</v>
      </c>
      <c r="B2414" s="3" t="s">
        <v>1119</v>
      </c>
      <c r="C2414" s="3" t="s">
        <v>1120</v>
      </c>
      <c r="D2414" s="3" t="s">
        <v>1121</v>
      </c>
      <c r="E2414" s="3" t="s">
        <v>1710</v>
      </c>
      <c r="F2414" s="3">
        <v>39.99</v>
      </c>
      <c r="G2414" s="3" t="s">
        <v>6233</v>
      </c>
      <c r="H2414" s="3"/>
      <c r="I2414" s="3" t="s">
        <v>6234</v>
      </c>
      <c r="J2414" s="3">
        <v>14</v>
      </c>
      <c r="K2414" s="3">
        <v>10</v>
      </c>
      <c r="L2414" s="3">
        <v>2</v>
      </c>
      <c r="M2414" s="3">
        <v>2</v>
      </c>
      <c r="N2414" s="3">
        <v>27</v>
      </c>
      <c r="O2414" s="3">
        <v>0.07</v>
      </c>
      <c r="P2414" s="3">
        <v>0</v>
      </c>
      <c r="Q2414" s="3">
        <v>13</v>
      </c>
      <c r="R2414" s="3">
        <v>0</v>
      </c>
    </row>
    <row r="2415" spans="1:18">
      <c r="A2415" s="3" t="s">
        <v>1164</v>
      </c>
      <c r="B2415" s="3" t="s">
        <v>1165</v>
      </c>
      <c r="C2415" s="3" t="s">
        <v>1166</v>
      </c>
      <c r="D2415" s="3" t="s">
        <v>1121</v>
      </c>
      <c r="E2415" s="3" t="s">
        <v>1710</v>
      </c>
      <c r="F2415" s="3">
        <v>39.99</v>
      </c>
      <c r="G2415" s="3" t="s">
        <v>6233</v>
      </c>
      <c r="H2415" s="3"/>
      <c r="I2415" s="3" t="s">
        <v>6234</v>
      </c>
      <c r="J2415" s="3">
        <v>14</v>
      </c>
      <c r="K2415" s="3">
        <v>10</v>
      </c>
      <c r="L2415" s="3">
        <v>2</v>
      </c>
      <c r="M2415" s="3">
        <v>2</v>
      </c>
      <c r="N2415" s="3">
        <v>14</v>
      </c>
      <c r="O2415" s="3">
        <v>0.07</v>
      </c>
      <c r="P2415" s="3">
        <v>0</v>
      </c>
      <c r="Q2415" s="3">
        <v>0</v>
      </c>
      <c r="R2415" s="3">
        <v>0</v>
      </c>
    </row>
    <row r="2416" spans="1:18">
      <c r="A2416" s="3" t="s">
        <v>1161</v>
      </c>
      <c r="B2416" s="3" t="s">
        <v>1162</v>
      </c>
      <c r="C2416" s="3" t="s">
        <v>1163</v>
      </c>
      <c r="D2416" s="3" t="s">
        <v>1121</v>
      </c>
      <c r="E2416" s="3" t="s">
        <v>1710</v>
      </c>
      <c r="F2416" s="3">
        <v>39.99</v>
      </c>
      <c r="G2416" s="3" t="s">
        <v>6233</v>
      </c>
      <c r="H2416" s="3"/>
      <c r="I2416" s="3" t="s">
        <v>6234</v>
      </c>
      <c r="J2416" s="3">
        <v>14</v>
      </c>
      <c r="K2416" s="3">
        <v>10</v>
      </c>
      <c r="L2416" s="3">
        <v>3</v>
      </c>
      <c r="M2416" s="3">
        <v>1</v>
      </c>
      <c r="N2416" s="3">
        <v>20</v>
      </c>
      <c r="O2416" s="3">
        <v>0.07</v>
      </c>
      <c r="P2416" s="3">
        <v>0</v>
      </c>
      <c r="Q2416" s="3">
        <v>6</v>
      </c>
      <c r="R2416" s="3">
        <v>0</v>
      </c>
    </row>
    <row r="2417" spans="1:18">
      <c r="A2417" s="3" t="s">
        <v>3228</v>
      </c>
      <c r="B2417" s="3" t="s">
        <v>3229</v>
      </c>
      <c r="C2417" s="3" t="s">
        <v>3230</v>
      </c>
      <c r="D2417" s="3" t="s">
        <v>1121</v>
      </c>
      <c r="E2417" s="3" t="s">
        <v>1710</v>
      </c>
      <c r="F2417" s="3">
        <v>39.99</v>
      </c>
      <c r="G2417" s="3" t="s">
        <v>6233</v>
      </c>
      <c r="H2417" s="3"/>
      <c r="I2417" s="3" t="s">
        <v>6234</v>
      </c>
      <c r="J2417" s="3">
        <v>24</v>
      </c>
      <c r="K2417" s="3">
        <v>23</v>
      </c>
      <c r="L2417" s="3">
        <v>1</v>
      </c>
      <c r="M2417" s="3">
        <v>0</v>
      </c>
      <c r="N2417" s="3">
        <v>26</v>
      </c>
      <c r="O2417" s="3">
        <v>0.07</v>
      </c>
      <c r="P2417" s="3">
        <v>0</v>
      </c>
      <c r="Q2417" s="3">
        <v>2</v>
      </c>
      <c r="R2417" s="3">
        <v>0</v>
      </c>
    </row>
    <row r="2418" spans="1:18">
      <c r="A2418" s="3" t="s">
        <v>4420</v>
      </c>
      <c r="B2418" s="3" t="s">
        <v>4421</v>
      </c>
      <c r="C2418" s="3" t="s">
        <v>4422</v>
      </c>
      <c r="D2418" s="3" t="s">
        <v>2462</v>
      </c>
      <c r="E2418" s="3" t="s">
        <v>1710</v>
      </c>
      <c r="F2418" s="3">
        <v>39.99</v>
      </c>
      <c r="G2418" s="3" t="s">
        <v>6233</v>
      </c>
      <c r="H2418" s="3"/>
      <c r="I2418" s="3" t="s">
        <v>6234</v>
      </c>
      <c r="J2418" s="3">
        <v>15</v>
      </c>
      <c r="K2418" s="3">
        <v>15</v>
      </c>
      <c r="L2418" s="3">
        <v>0</v>
      </c>
      <c r="M2418" s="3">
        <v>0</v>
      </c>
      <c r="N2418" s="3">
        <v>15</v>
      </c>
      <c r="O2418" s="3">
        <v>0.07</v>
      </c>
      <c r="P2418" s="3">
        <v>0</v>
      </c>
      <c r="Q2418" s="3">
        <v>0</v>
      </c>
      <c r="R2418" s="3">
        <v>0</v>
      </c>
    </row>
    <row r="2419" spans="1:18">
      <c r="A2419" s="3" t="s">
        <v>2893</v>
      </c>
      <c r="B2419" s="3" t="s">
        <v>2894</v>
      </c>
      <c r="C2419" s="3" t="s">
        <v>2895</v>
      </c>
      <c r="D2419" s="3" t="s">
        <v>2462</v>
      </c>
      <c r="E2419" s="3" t="s">
        <v>1710</v>
      </c>
      <c r="F2419" s="3">
        <v>39.99</v>
      </c>
      <c r="G2419" s="3" t="s">
        <v>6233</v>
      </c>
      <c r="H2419" s="3"/>
      <c r="I2419" s="3" t="s">
        <v>6234</v>
      </c>
      <c r="J2419" s="3">
        <v>13</v>
      </c>
      <c r="K2419" s="3">
        <v>11</v>
      </c>
      <c r="L2419" s="3">
        <v>2</v>
      </c>
      <c r="M2419" s="3">
        <v>0</v>
      </c>
      <c r="N2419" s="3">
        <v>21</v>
      </c>
      <c r="O2419" s="3">
        <v>0.07</v>
      </c>
      <c r="P2419" s="3">
        <v>0</v>
      </c>
      <c r="Q2419" s="3">
        <v>8</v>
      </c>
      <c r="R2419" s="3">
        <v>0</v>
      </c>
    </row>
    <row r="2420" spans="1:18">
      <c r="A2420" s="3" t="s">
        <v>9752</v>
      </c>
      <c r="B2420" s="3" t="s">
        <v>9753</v>
      </c>
      <c r="C2420" s="3" t="s">
        <v>8905</v>
      </c>
      <c r="D2420" s="3" t="s">
        <v>2462</v>
      </c>
      <c r="E2420" s="3" t="s">
        <v>1710</v>
      </c>
      <c r="F2420" s="3">
        <v>39.99</v>
      </c>
      <c r="G2420" s="3" t="s">
        <v>6233</v>
      </c>
      <c r="H2420" s="3"/>
      <c r="I2420" s="3" t="s">
        <v>6234</v>
      </c>
      <c r="J2420" s="3">
        <v>13</v>
      </c>
      <c r="K2420" s="3">
        <v>11</v>
      </c>
      <c r="L2420" s="3">
        <v>2</v>
      </c>
      <c r="M2420" s="3">
        <v>0</v>
      </c>
      <c r="N2420" s="3">
        <v>20</v>
      </c>
      <c r="O2420" s="3">
        <v>0.07</v>
      </c>
      <c r="P2420" s="3">
        <v>0</v>
      </c>
      <c r="Q2420" s="3">
        <v>7</v>
      </c>
      <c r="R2420" s="3">
        <v>0</v>
      </c>
    </row>
    <row r="2421" spans="1:18">
      <c r="A2421" s="3" t="s">
        <v>2459</v>
      </c>
      <c r="B2421" s="3" t="s">
        <v>2460</v>
      </c>
      <c r="C2421" s="3" t="s">
        <v>2461</v>
      </c>
      <c r="D2421" s="3" t="s">
        <v>2462</v>
      </c>
      <c r="E2421" s="3" t="s">
        <v>1710</v>
      </c>
      <c r="F2421" s="3">
        <v>39.99</v>
      </c>
      <c r="G2421" s="3" t="s">
        <v>6233</v>
      </c>
      <c r="H2421" s="3"/>
      <c r="I2421" s="3" t="s">
        <v>6234</v>
      </c>
      <c r="J2421" s="3">
        <v>12</v>
      </c>
      <c r="K2421" s="3">
        <v>8</v>
      </c>
      <c r="L2421" s="3">
        <v>4</v>
      </c>
      <c r="M2421" s="3">
        <v>0</v>
      </c>
      <c r="N2421" s="3">
        <v>13</v>
      </c>
      <c r="O2421" s="3">
        <v>0.07</v>
      </c>
      <c r="P2421" s="3">
        <v>0</v>
      </c>
      <c r="Q2421" s="3">
        <v>1</v>
      </c>
      <c r="R2421" s="3">
        <v>0</v>
      </c>
    </row>
    <row r="2422" spans="1:18">
      <c r="A2422" s="3" t="s">
        <v>4220</v>
      </c>
      <c r="B2422" s="3" t="s">
        <v>4221</v>
      </c>
      <c r="C2422" s="3" t="s">
        <v>4222</v>
      </c>
      <c r="D2422" s="3" t="s">
        <v>2462</v>
      </c>
      <c r="E2422" s="3" t="s">
        <v>1710</v>
      </c>
      <c r="F2422" s="3">
        <v>39.99</v>
      </c>
      <c r="G2422" s="3" t="s">
        <v>6233</v>
      </c>
      <c r="H2422" s="3"/>
      <c r="I2422" s="3" t="s">
        <v>6234</v>
      </c>
      <c r="J2422" s="3">
        <v>2</v>
      </c>
      <c r="K2422" s="3">
        <v>1</v>
      </c>
      <c r="L2422" s="3">
        <v>1</v>
      </c>
      <c r="M2422" s="3">
        <v>0</v>
      </c>
      <c r="N2422" s="3">
        <v>13</v>
      </c>
      <c r="O2422" s="3">
        <v>0.07</v>
      </c>
      <c r="P2422" s="3">
        <v>0</v>
      </c>
      <c r="Q2422" s="3">
        <v>11</v>
      </c>
      <c r="R2422" s="3">
        <v>0</v>
      </c>
    </row>
    <row r="2423" spans="1:18">
      <c r="A2423" s="3" t="s">
        <v>4952</v>
      </c>
      <c r="B2423" s="3" t="s">
        <v>4953</v>
      </c>
      <c r="C2423" s="3" t="s">
        <v>4954</v>
      </c>
      <c r="D2423" s="3" t="s">
        <v>1136</v>
      </c>
      <c r="E2423" s="3" t="s">
        <v>1710</v>
      </c>
      <c r="F2423" s="3">
        <v>39.99</v>
      </c>
      <c r="G2423" s="3" t="s">
        <v>6233</v>
      </c>
      <c r="H2423" s="3"/>
      <c r="I2423" s="3" t="s">
        <v>6234</v>
      </c>
      <c r="J2423" s="3">
        <v>15</v>
      </c>
      <c r="K2423" s="3">
        <v>14</v>
      </c>
      <c r="L2423" s="3">
        <v>1</v>
      </c>
      <c r="M2423" s="3">
        <v>0</v>
      </c>
      <c r="N2423" s="3">
        <v>15</v>
      </c>
      <c r="O2423" s="3">
        <v>0.07</v>
      </c>
      <c r="P2423" s="3">
        <v>0</v>
      </c>
      <c r="Q2423" s="3">
        <v>0</v>
      </c>
      <c r="R2423" s="3">
        <v>0</v>
      </c>
    </row>
    <row r="2424" spans="1:18">
      <c r="A2424" s="3" t="s">
        <v>4274</v>
      </c>
      <c r="B2424" s="3" t="s">
        <v>4275</v>
      </c>
      <c r="C2424" s="3" t="s">
        <v>4276</v>
      </c>
      <c r="D2424" s="3" t="s">
        <v>1136</v>
      </c>
      <c r="E2424" s="3" t="s">
        <v>1710</v>
      </c>
      <c r="F2424" s="3">
        <v>39.99</v>
      </c>
      <c r="G2424" s="3" t="s">
        <v>6233</v>
      </c>
      <c r="H2424" s="3"/>
      <c r="I2424" s="3" t="s">
        <v>6234</v>
      </c>
      <c r="J2424" s="3">
        <v>16</v>
      </c>
      <c r="K2424" s="3">
        <v>15</v>
      </c>
      <c r="L2424" s="3">
        <v>1</v>
      </c>
      <c r="M2424" s="3">
        <v>0</v>
      </c>
      <c r="N2424" s="3">
        <v>16</v>
      </c>
      <c r="O2424" s="3">
        <v>0.07</v>
      </c>
      <c r="P2424" s="3">
        <v>0</v>
      </c>
      <c r="Q2424" s="3">
        <v>0</v>
      </c>
      <c r="R2424" s="3">
        <v>0</v>
      </c>
    </row>
    <row r="2425" spans="1:18">
      <c r="A2425" s="3" t="s">
        <v>2551</v>
      </c>
      <c r="B2425" s="3" t="s">
        <v>2552</v>
      </c>
      <c r="C2425" s="3" t="s">
        <v>2553</v>
      </c>
      <c r="D2425" s="3" t="s">
        <v>1136</v>
      </c>
      <c r="E2425" s="3" t="s">
        <v>1710</v>
      </c>
      <c r="F2425" s="3">
        <v>39.99</v>
      </c>
      <c r="G2425" s="3" t="s">
        <v>6233</v>
      </c>
      <c r="H2425" s="3"/>
      <c r="I2425" s="3" t="s">
        <v>6234</v>
      </c>
      <c r="J2425" s="3">
        <v>4</v>
      </c>
      <c r="K2425" s="3">
        <v>3</v>
      </c>
      <c r="L2425" s="3">
        <v>1</v>
      </c>
      <c r="M2425" s="3">
        <v>0</v>
      </c>
      <c r="N2425" s="3">
        <v>6</v>
      </c>
      <c r="O2425" s="3">
        <v>0.07</v>
      </c>
      <c r="P2425" s="3">
        <v>0</v>
      </c>
      <c r="Q2425" s="3">
        <v>2</v>
      </c>
      <c r="R2425" s="3">
        <v>0</v>
      </c>
    </row>
    <row r="2426" spans="1:18">
      <c r="A2426" s="3" t="s">
        <v>1887</v>
      </c>
      <c r="B2426" s="3" t="s">
        <v>1888</v>
      </c>
      <c r="C2426" s="3" t="s">
        <v>1889</v>
      </c>
      <c r="D2426" s="3" t="s">
        <v>1136</v>
      </c>
      <c r="E2426" s="3" t="s">
        <v>1710</v>
      </c>
      <c r="F2426" s="3">
        <v>39.99</v>
      </c>
      <c r="G2426" s="3" t="s">
        <v>6233</v>
      </c>
      <c r="H2426" s="3"/>
      <c r="I2426" s="3" t="s">
        <v>6234</v>
      </c>
      <c r="J2426" s="3">
        <v>13</v>
      </c>
      <c r="K2426" s="3">
        <v>12</v>
      </c>
      <c r="L2426" s="3">
        <v>1</v>
      </c>
      <c r="M2426" s="3">
        <v>0</v>
      </c>
      <c r="N2426" s="3">
        <v>13</v>
      </c>
      <c r="O2426" s="3">
        <v>0.07</v>
      </c>
      <c r="P2426" s="3">
        <v>0</v>
      </c>
      <c r="Q2426" s="3">
        <v>0</v>
      </c>
      <c r="R2426" s="3">
        <v>0</v>
      </c>
    </row>
    <row r="2427" spans="1:18">
      <c r="A2427" s="3" t="s">
        <v>5085</v>
      </c>
      <c r="B2427" s="3" t="s">
        <v>5086</v>
      </c>
      <c r="C2427" s="3" t="s">
        <v>5087</v>
      </c>
      <c r="D2427" s="3" t="s">
        <v>1136</v>
      </c>
      <c r="E2427" s="3" t="s">
        <v>1710</v>
      </c>
      <c r="F2427" s="3">
        <v>39.99</v>
      </c>
      <c r="G2427" s="3" t="s">
        <v>6233</v>
      </c>
      <c r="H2427" s="3"/>
      <c r="I2427" s="3" t="s">
        <v>6234</v>
      </c>
      <c r="J2427" s="3">
        <v>4</v>
      </c>
      <c r="K2427" s="3">
        <v>4</v>
      </c>
      <c r="L2427" s="3">
        <v>0</v>
      </c>
      <c r="M2427" s="3">
        <v>0</v>
      </c>
      <c r="N2427" s="3">
        <v>7</v>
      </c>
      <c r="O2427" s="3">
        <v>0.07</v>
      </c>
      <c r="P2427" s="3">
        <v>0</v>
      </c>
      <c r="Q2427" s="3">
        <v>3</v>
      </c>
      <c r="R2427" s="3">
        <v>0</v>
      </c>
    </row>
    <row r="2428" spans="1:18">
      <c r="A2428" s="3" t="s">
        <v>5406</v>
      </c>
      <c r="B2428" s="3" t="s">
        <v>5407</v>
      </c>
      <c r="C2428" s="3" t="s">
        <v>5408</v>
      </c>
      <c r="D2428" s="3" t="s">
        <v>2462</v>
      </c>
      <c r="E2428" s="3" t="s">
        <v>1710</v>
      </c>
      <c r="F2428" s="3">
        <v>39.99</v>
      </c>
      <c r="G2428" s="3" t="s">
        <v>6233</v>
      </c>
      <c r="H2428" s="3"/>
      <c r="I2428" s="3" t="s">
        <v>6234</v>
      </c>
      <c r="J2428" s="3">
        <v>10</v>
      </c>
      <c r="K2428" s="3">
        <v>10</v>
      </c>
      <c r="L2428" s="3">
        <v>0</v>
      </c>
      <c r="M2428" s="3">
        <v>0</v>
      </c>
      <c r="N2428" s="3">
        <v>10</v>
      </c>
      <c r="O2428" s="3">
        <v>0.07</v>
      </c>
      <c r="P2428" s="3">
        <v>0</v>
      </c>
      <c r="Q2428" s="3">
        <v>0</v>
      </c>
      <c r="R2428" s="3">
        <v>0</v>
      </c>
    </row>
    <row r="2429" spans="1:18">
      <c r="A2429" s="3" t="s">
        <v>2570</v>
      </c>
      <c r="B2429" s="3" t="s">
        <v>2571</v>
      </c>
      <c r="C2429" s="3" t="s">
        <v>2572</v>
      </c>
      <c r="D2429" s="3" t="s">
        <v>2462</v>
      </c>
      <c r="E2429" s="3" t="s">
        <v>1710</v>
      </c>
      <c r="F2429" s="3">
        <v>39.99</v>
      </c>
      <c r="G2429" s="3" t="s">
        <v>6233</v>
      </c>
      <c r="H2429" s="3"/>
      <c r="I2429" s="3" t="s">
        <v>6234</v>
      </c>
      <c r="J2429" s="3">
        <v>3</v>
      </c>
      <c r="K2429" s="3">
        <v>3</v>
      </c>
      <c r="L2429" s="3">
        <v>0</v>
      </c>
      <c r="M2429" s="3">
        <v>0</v>
      </c>
      <c r="N2429" s="3">
        <v>13</v>
      </c>
      <c r="O2429" s="3">
        <v>0.16</v>
      </c>
      <c r="P2429" s="3">
        <v>0</v>
      </c>
      <c r="Q2429" s="3">
        <v>10</v>
      </c>
      <c r="R2429" s="3">
        <v>0</v>
      </c>
    </row>
    <row r="2430" spans="1:18">
      <c r="A2430" s="3" t="s">
        <v>1114</v>
      </c>
      <c r="B2430" s="3" t="s">
        <v>1115</v>
      </c>
      <c r="C2430" s="3" t="s">
        <v>1116</v>
      </c>
      <c r="D2430" s="3" t="s">
        <v>1117</v>
      </c>
      <c r="E2430" s="3" t="s">
        <v>1710</v>
      </c>
      <c r="F2430" s="3">
        <v>39.99</v>
      </c>
      <c r="G2430" s="3" t="s">
        <v>6233</v>
      </c>
      <c r="H2430" s="3"/>
      <c r="I2430" s="3" t="s">
        <v>6234</v>
      </c>
      <c r="J2430" s="3">
        <v>6</v>
      </c>
      <c r="K2430" s="3">
        <v>4</v>
      </c>
      <c r="L2430" s="3">
        <v>1</v>
      </c>
      <c r="M2430" s="3">
        <v>1</v>
      </c>
      <c r="N2430" s="3">
        <v>6</v>
      </c>
      <c r="O2430" s="3">
        <v>0.1</v>
      </c>
      <c r="P2430" s="3">
        <v>0</v>
      </c>
      <c r="Q2430" s="3">
        <v>0</v>
      </c>
      <c r="R2430" s="3">
        <v>0</v>
      </c>
    </row>
    <row r="2431" spans="1:18">
      <c r="A2431" s="3" t="s">
        <v>4032</v>
      </c>
      <c r="B2431" s="3" t="s">
        <v>4033</v>
      </c>
      <c r="C2431" s="3" t="s">
        <v>4034</v>
      </c>
      <c r="D2431" s="3" t="s">
        <v>2462</v>
      </c>
      <c r="E2431" s="3" t="s">
        <v>1710</v>
      </c>
      <c r="F2431" s="3">
        <v>39.99</v>
      </c>
      <c r="G2431" s="3" t="s">
        <v>6233</v>
      </c>
      <c r="H2431" s="3"/>
      <c r="I2431" s="3" t="s">
        <v>6234</v>
      </c>
      <c r="J2431" s="3">
        <v>7</v>
      </c>
      <c r="K2431" s="3">
        <v>7</v>
      </c>
      <c r="L2431" s="3">
        <v>0</v>
      </c>
      <c r="M2431" s="3">
        <v>0</v>
      </c>
      <c r="N2431" s="3">
        <v>7</v>
      </c>
      <c r="O2431" s="3">
        <v>0.16</v>
      </c>
      <c r="P2431" s="3">
        <v>0</v>
      </c>
      <c r="Q2431" s="3">
        <v>0</v>
      </c>
      <c r="R2431" s="3">
        <v>0</v>
      </c>
    </row>
    <row r="2432" spans="1:18">
      <c r="A2432" s="3" t="s">
        <v>3809</v>
      </c>
      <c r="B2432" s="3" t="s">
        <v>3810</v>
      </c>
      <c r="C2432" s="3" t="s">
        <v>3811</v>
      </c>
      <c r="D2432" s="3" t="s">
        <v>2462</v>
      </c>
      <c r="E2432" s="3" t="s">
        <v>1710</v>
      </c>
      <c r="F2432" s="3">
        <v>39.99</v>
      </c>
      <c r="G2432" s="3" t="s">
        <v>6233</v>
      </c>
      <c r="H2432" s="3"/>
      <c r="I2432" s="3" t="s">
        <v>6234</v>
      </c>
      <c r="J2432" s="3">
        <v>5</v>
      </c>
      <c r="K2432" s="3">
        <v>5</v>
      </c>
      <c r="L2432" s="3">
        <v>0</v>
      </c>
      <c r="M2432" s="3">
        <v>0</v>
      </c>
      <c r="N2432" s="3">
        <v>5</v>
      </c>
      <c r="O2432" s="3">
        <v>0.08</v>
      </c>
      <c r="P2432" s="3">
        <v>0</v>
      </c>
      <c r="Q2432" s="3">
        <v>0</v>
      </c>
      <c r="R2432" s="3">
        <v>0</v>
      </c>
    </row>
    <row r="2433" spans="1:18">
      <c r="A2433" s="3" t="s">
        <v>3363</v>
      </c>
      <c r="B2433" s="3" t="s">
        <v>3364</v>
      </c>
      <c r="C2433" s="3" t="s">
        <v>3365</v>
      </c>
      <c r="D2433" s="3" t="s">
        <v>1140</v>
      </c>
      <c r="E2433" s="3" t="s">
        <v>1710</v>
      </c>
      <c r="F2433" s="3">
        <v>39.99</v>
      </c>
      <c r="G2433" s="3" t="s">
        <v>6233</v>
      </c>
      <c r="H2433" s="3"/>
      <c r="I2433" s="3" t="s">
        <v>6234</v>
      </c>
      <c r="J2433" s="3">
        <v>8</v>
      </c>
      <c r="K2433" s="3">
        <v>7</v>
      </c>
      <c r="L2433" s="3">
        <v>1</v>
      </c>
      <c r="M2433" s="3">
        <v>0</v>
      </c>
      <c r="N2433" s="3">
        <v>8</v>
      </c>
      <c r="O2433" s="3">
        <v>0.08</v>
      </c>
      <c r="P2433" s="3">
        <v>0</v>
      </c>
      <c r="Q2433" s="3">
        <v>0</v>
      </c>
      <c r="R2433" s="3">
        <v>0</v>
      </c>
    </row>
    <row r="2434" spans="1:18">
      <c r="A2434" s="3" t="s">
        <v>2741</v>
      </c>
      <c r="B2434" s="3" t="s">
        <v>2742</v>
      </c>
      <c r="C2434" s="3" t="s">
        <v>2743</v>
      </c>
      <c r="D2434" s="3" t="s">
        <v>1140</v>
      </c>
      <c r="E2434" s="3" t="s">
        <v>1710</v>
      </c>
      <c r="F2434" s="3">
        <v>39.99</v>
      </c>
      <c r="G2434" s="3" t="s">
        <v>6233</v>
      </c>
      <c r="H2434" s="3"/>
      <c r="I2434" s="3" t="s">
        <v>6234</v>
      </c>
      <c r="J2434" s="3">
        <v>9</v>
      </c>
      <c r="K2434" s="3">
        <v>8</v>
      </c>
      <c r="L2434" s="3">
        <v>1</v>
      </c>
      <c r="M2434" s="3">
        <v>0</v>
      </c>
      <c r="N2434" s="3">
        <v>9</v>
      </c>
      <c r="O2434" s="3">
        <v>0.16</v>
      </c>
      <c r="P2434" s="3">
        <v>0</v>
      </c>
      <c r="Q2434" s="3">
        <v>0</v>
      </c>
      <c r="R2434" s="3">
        <v>0</v>
      </c>
    </row>
    <row r="2435" spans="1:18">
      <c r="A2435" s="3" t="s">
        <v>5646</v>
      </c>
      <c r="B2435" s="3" t="s">
        <v>5647</v>
      </c>
      <c r="C2435" s="3" t="s">
        <v>5648</v>
      </c>
      <c r="D2435" s="3" t="s">
        <v>1140</v>
      </c>
      <c r="E2435" s="3" t="s">
        <v>1710</v>
      </c>
      <c r="F2435" s="3">
        <v>39.99</v>
      </c>
      <c r="G2435" s="3" t="s">
        <v>6233</v>
      </c>
      <c r="H2435" s="3"/>
      <c r="I2435" s="3" t="s">
        <v>6234</v>
      </c>
      <c r="J2435" s="3">
        <v>3</v>
      </c>
      <c r="K2435" s="3">
        <v>1</v>
      </c>
      <c r="L2435" s="3">
        <v>2</v>
      </c>
      <c r="M2435" s="3">
        <v>0</v>
      </c>
      <c r="N2435" s="3">
        <v>10</v>
      </c>
      <c r="O2435" s="3">
        <v>0.16</v>
      </c>
      <c r="P2435" s="3">
        <v>0</v>
      </c>
      <c r="Q2435" s="3">
        <v>7</v>
      </c>
      <c r="R2435" s="3">
        <v>0</v>
      </c>
    </row>
    <row r="2436" spans="1:18">
      <c r="A2436" s="3" t="s">
        <v>1171</v>
      </c>
      <c r="B2436" s="3" t="s">
        <v>1172</v>
      </c>
      <c r="C2436" s="3" t="s">
        <v>1173</v>
      </c>
      <c r="D2436" s="3" t="s">
        <v>1140</v>
      </c>
      <c r="E2436" s="3" t="s">
        <v>1710</v>
      </c>
      <c r="F2436" s="3">
        <v>39.99</v>
      </c>
      <c r="G2436" s="3" t="s">
        <v>6233</v>
      </c>
      <c r="H2436" s="3"/>
      <c r="I2436" s="3" t="s">
        <v>6234</v>
      </c>
      <c r="J2436" s="3">
        <v>3</v>
      </c>
      <c r="K2436" s="3">
        <v>1</v>
      </c>
      <c r="L2436" s="3">
        <v>0</v>
      </c>
      <c r="M2436" s="3">
        <v>2</v>
      </c>
      <c r="N2436" s="3">
        <v>8</v>
      </c>
      <c r="O2436" s="3">
        <v>0.08</v>
      </c>
      <c r="P2436" s="3">
        <v>0</v>
      </c>
      <c r="Q2436" s="3">
        <v>5</v>
      </c>
      <c r="R2436" s="3">
        <v>0</v>
      </c>
    </row>
    <row r="2437" spans="1:18">
      <c r="A2437" s="3" t="s">
        <v>1137</v>
      </c>
      <c r="B2437" s="3" t="s">
        <v>1138</v>
      </c>
      <c r="C2437" s="3" t="s">
        <v>1139</v>
      </c>
      <c r="D2437" s="3" t="s">
        <v>1140</v>
      </c>
      <c r="E2437" s="3" t="s">
        <v>1710</v>
      </c>
      <c r="F2437" s="3">
        <v>39.99</v>
      </c>
      <c r="G2437" s="3" t="s">
        <v>6233</v>
      </c>
      <c r="H2437" s="3"/>
      <c r="I2437" s="3" t="s">
        <v>6234</v>
      </c>
      <c r="J2437" s="3">
        <v>10</v>
      </c>
      <c r="K2437" s="3">
        <v>5</v>
      </c>
      <c r="L2437" s="3">
        <v>0</v>
      </c>
      <c r="M2437" s="3">
        <v>5</v>
      </c>
      <c r="N2437" s="3">
        <v>10</v>
      </c>
      <c r="O2437" s="3">
        <v>0.08</v>
      </c>
      <c r="P2437" s="3">
        <v>0</v>
      </c>
      <c r="Q2437" s="3">
        <v>0</v>
      </c>
      <c r="R2437" s="3">
        <v>0</v>
      </c>
    </row>
    <row r="2438" spans="1:18">
      <c r="A2438" s="3" t="s">
        <v>9754</v>
      </c>
      <c r="B2438" s="3" t="s">
        <v>9755</v>
      </c>
      <c r="C2438" s="3" t="s">
        <v>9756</v>
      </c>
      <c r="D2438" s="3" t="s">
        <v>9757</v>
      </c>
      <c r="E2438" s="3" t="s">
        <v>1710</v>
      </c>
      <c r="F2438" s="3">
        <v>19.99</v>
      </c>
      <c r="G2438" s="3" t="s">
        <v>6233</v>
      </c>
      <c r="H2438" s="3"/>
      <c r="I2438" s="3" t="s">
        <v>6234</v>
      </c>
      <c r="J2438" s="3">
        <v>0</v>
      </c>
      <c r="K2438" s="3">
        <v>0</v>
      </c>
      <c r="L2438" s="3">
        <v>0</v>
      </c>
      <c r="M2438" s="3">
        <v>0</v>
      </c>
      <c r="N2438" s="3">
        <v>0</v>
      </c>
      <c r="O2438" s="3">
        <v>0.07</v>
      </c>
      <c r="P2438" s="3">
        <v>0</v>
      </c>
      <c r="Q2438" s="3">
        <v>0</v>
      </c>
      <c r="R2438" s="3">
        <v>0</v>
      </c>
    </row>
    <row r="2439" spans="1:18">
      <c r="A2439" s="3" t="s">
        <v>3118</v>
      </c>
      <c r="B2439" s="3" t="s">
        <v>3119</v>
      </c>
      <c r="C2439" s="3" t="s">
        <v>3120</v>
      </c>
      <c r="D2439" s="3" t="s">
        <v>3121</v>
      </c>
      <c r="E2439" s="3" t="s">
        <v>1710</v>
      </c>
      <c r="F2439" s="3">
        <v>19.99</v>
      </c>
      <c r="G2439" s="3" t="s">
        <v>6233</v>
      </c>
      <c r="H2439" s="3"/>
      <c r="I2439" s="3" t="s">
        <v>6234</v>
      </c>
      <c r="J2439" s="3">
        <v>1</v>
      </c>
      <c r="K2439" s="3">
        <v>1</v>
      </c>
      <c r="L2439" s="3">
        <v>0</v>
      </c>
      <c r="M2439" s="3">
        <v>0</v>
      </c>
      <c r="N2439" s="3">
        <v>1</v>
      </c>
      <c r="O2439" s="3">
        <v>0.07</v>
      </c>
      <c r="P2439" s="3">
        <v>0</v>
      </c>
      <c r="Q2439" s="3">
        <v>0</v>
      </c>
      <c r="R2439" s="3">
        <v>0</v>
      </c>
    </row>
    <row r="2440" spans="1:18">
      <c r="A2440" s="3" t="s">
        <v>5530</v>
      </c>
      <c r="B2440" s="3" t="s">
        <v>5531</v>
      </c>
      <c r="C2440" s="3" t="s">
        <v>5532</v>
      </c>
      <c r="D2440" s="3" t="s">
        <v>4959</v>
      </c>
      <c r="E2440" s="3" t="s">
        <v>1710</v>
      </c>
      <c r="F2440" s="3">
        <v>19.99</v>
      </c>
      <c r="G2440" s="3" t="s">
        <v>6233</v>
      </c>
      <c r="H2440" s="3"/>
      <c r="I2440" s="3" t="s">
        <v>6234</v>
      </c>
      <c r="J2440" s="3">
        <v>2</v>
      </c>
      <c r="K2440" s="3">
        <v>2</v>
      </c>
      <c r="L2440" s="3">
        <v>0</v>
      </c>
      <c r="M2440" s="3">
        <v>0</v>
      </c>
      <c r="N2440" s="3">
        <v>2</v>
      </c>
      <c r="O2440" s="3">
        <v>0.07</v>
      </c>
      <c r="P2440" s="3">
        <v>0</v>
      </c>
      <c r="Q2440" s="3">
        <v>0</v>
      </c>
      <c r="R2440" s="3">
        <v>0</v>
      </c>
    </row>
    <row r="2441" spans="1:18">
      <c r="A2441" s="3" t="s">
        <v>4372</v>
      </c>
      <c r="B2441" s="3" t="s">
        <v>4373</v>
      </c>
      <c r="C2441" s="3" t="s">
        <v>4374</v>
      </c>
      <c r="D2441" s="3" t="s">
        <v>3568</v>
      </c>
      <c r="E2441" s="3" t="s">
        <v>1710</v>
      </c>
      <c r="F2441" s="3">
        <v>19.99</v>
      </c>
      <c r="G2441" s="3" t="s">
        <v>6233</v>
      </c>
      <c r="H2441" s="3"/>
      <c r="I2441" s="3" t="s">
        <v>6234</v>
      </c>
      <c r="J2441" s="3">
        <v>2</v>
      </c>
      <c r="K2441" s="3">
        <v>2</v>
      </c>
      <c r="L2441" s="3">
        <v>0</v>
      </c>
      <c r="M2441" s="3">
        <v>0</v>
      </c>
      <c r="N2441" s="3">
        <v>2</v>
      </c>
      <c r="O2441" s="3">
        <v>0.13</v>
      </c>
      <c r="P2441" s="3">
        <v>0</v>
      </c>
      <c r="Q2441" s="3">
        <v>0</v>
      </c>
      <c r="R2441" s="3">
        <v>0</v>
      </c>
    </row>
    <row r="2442" spans="1:18">
      <c r="A2442" s="3" t="s">
        <v>1129</v>
      </c>
      <c r="B2442" s="3" t="s">
        <v>1130</v>
      </c>
      <c r="C2442" s="3" t="s">
        <v>1131</v>
      </c>
      <c r="D2442" s="3" t="s">
        <v>1132</v>
      </c>
      <c r="E2442" s="3" t="s">
        <v>1710</v>
      </c>
      <c r="F2442" s="3">
        <v>19.99</v>
      </c>
      <c r="G2442" s="3" t="s">
        <v>6233</v>
      </c>
      <c r="H2442" s="3"/>
      <c r="I2442" s="3" t="s">
        <v>6234</v>
      </c>
      <c r="J2442" s="3">
        <v>5</v>
      </c>
      <c r="K2442" s="3">
        <v>3</v>
      </c>
      <c r="L2442" s="3">
        <v>1</v>
      </c>
      <c r="M2442" s="3">
        <v>1</v>
      </c>
      <c r="N2442" s="3">
        <v>5</v>
      </c>
      <c r="O2442" s="3">
        <v>0.07</v>
      </c>
      <c r="P2442" s="3">
        <v>0</v>
      </c>
      <c r="Q2442" s="3">
        <v>0</v>
      </c>
      <c r="R2442" s="3">
        <v>0</v>
      </c>
    </row>
    <row r="2443" spans="1:18">
      <c r="A2443" s="3" t="s">
        <v>1167</v>
      </c>
      <c r="B2443" s="3" t="s">
        <v>1168</v>
      </c>
      <c r="C2443" s="3" t="s">
        <v>1169</v>
      </c>
      <c r="D2443" s="3" t="s">
        <v>1170</v>
      </c>
      <c r="E2443" s="3" t="s">
        <v>1710</v>
      </c>
      <c r="F2443" s="3">
        <v>19.99</v>
      </c>
      <c r="G2443" s="3" t="s">
        <v>6233</v>
      </c>
      <c r="H2443" s="3"/>
      <c r="I2443" s="3" t="s">
        <v>6234</v>
      </c>
      <c r="J2443" s="3">
        <v>5</v>
      </c>
      <c r="K2443" s="3">
        <v>3</v>
      </c>
      <c r="L2443" s="3">
        <v>1</v>
      </c>
      <c r="M2443" s="3">
        <v>1</v>
      </c>
      <c r="N2443" s="3">
        <v>5</v>
      </c>
      <c r="O2443" s="3">
        <v>0.07</v>
      </c>
      <c r="P2443" s="3">
        <v>0</v>
      </c>
      <c r="Q2443" s="3">
        <v>0</v>
      </c>
      <c r="R2443" s="3">
        <v>0</v>
      </c>
    </row>
    <row r="2444" spans="1:18">
      <c r="A2444" s="3" t="s">
        <v>9758</v>
      </c>
      <c r="B2444" s="3" t="s">
        <v>9759</v>
      </c>
      <c r="C2444" s="3" t="s">
        <v>9760</v>
      </c>
      <c r="D2444" s="3" t="s">
        <v>4811</v>
      </c>
      <c r="E2444" s="3" t="s">
        <v>1710</v>
      </c>
      <c r="F2444" s="3">
        <v>19.99</v>
      </c>
      <c r="G2444" s="3" t="s">
        <v>6233</v>
      </c>
      <c r="H2444" s="3"/>
      <c r="I2444" s="3" t="s">
        <v>6234</v>
      </c>
      <c r="J2444" s="3">
        <v>0</v>
      </c>
      <c r="K2444" s="3">
        <v>0</v>
      </c>
      <c r="L2444" s="3">
        <v>0</v>
      </c>
      <c r="M2444" s="3">
        <v>0</v>
      </c>
      <c r="N2444" s="3">
        <v>0</v>
      </c>
      <c r="O2444" s="3">
        <v>0</v>
      </c>
      <c r="P2444" s="3">
        <v>0</v>
      </c>
      <c r="Q2444" s="3">
        <v>0</v>
      </c>
      <c r="R2444" s="3">
        <v>0</v>
      </c>
    </row>
    <row r="2445" spans="1:18">
      <c r="A2445" s="3" t="s">
        <v>9761</v>
      </c>
      <c r="B2445" s="3" t="s">
        <v>9762</v>
      </c>
      <c r="C2445" s="3" t="s">
        <v>9763</v>
      </c>
      <c r="D2445" s="3" t="s">
        <v>6191</v>
      </c>
      <c r="E2445" s="3" t="s">
        <v>1710</v>
      </c>
      <c r="F2445" s="3">
        <v>19.99</v>
      </c>
      <c r="G2445" s="3" t="s">
        <v>6233</v>
      </c>
      <c r="H2445" s="3"/>
      <c r="I2445" s="3" t="s">
        <v>6234</v>
      </c>
      <c r="J2445" s="3">
        <v>0</v>
      </c>
      <c r="K2445" s="3">
        <v>0</v>
      </c>
      <c r="L2445" s="3">
        <v>0</v>
      </c>
      <c r="M2445" s="3">
        <v>0</v>
      </c>
      <c r="N2445" s="3">
        <v>0</v>
      </c>
      <c r="O2445" s="3">
        <v>0</v>
      </c>
      <c r="P2445" s="3">
        <v>0</v>
      </c>
      <c r="Q2445" s="3">
        <v>0</v>
      </c>
      <c r="R2445" s="3">
        <v>0</v>
      </c>
    </row>
    <row r="2446" spans="1:18">
      <c r="A2446" s="3" t="s">
        <v>9764</v>
      </c>
      <c r="B2446" s="3" t="s">
        <v>9765</v>
      </c>
      <c r="C2446" s="3" t="s">
        <v>9766</v>
      </c>
      <c r="D2446" s="3" t="s">
        <v>2715</v>
      </c>
      <c r="E2446" s="3" t="s">
        <v>1710</v>
      </c>
      <c r="F2446" s="3">
        <v>19.99</v>
      </c>
      <c r="G2446" s="3" t="s">
        <v>6233</v>
      </c>
      <c r="H2446" s="3"/>
      <c r="I2446" s="3" t="s">
        <v>6234</v>
      </c>
      <c r="J2446" s="3">
        <v>0</v>
      </c>
      <c r="K2446" s="3">
        <v>0</v>
      </c>
      <c r="L2446" s="3">
        <v>0</v>
      </c>
      <c r="M2446" s="3">
        <v>0</v>
      </c>
      <c r="N2446" s="3">
        <v>0</v>
      </c>
      <c r="O2446" s="3">
        <v>0</v>
      </c>
      <c r="P2446" s="3">
        <v>0</v>
      </c>
      <c r="Q2446" s="3">
        <v>0</v>
      </c>
      <c r="R2446" s="3">
        <v>0</v>
      </c>
    </row>
    <row r="2447" spans="1:18">
      <c r="A2447" s="3" t="s">
        <v>3191</v>
      </c>
      <c r="B2447" s="3" t="s">
        <v>3192</v>
      </c>
      <c r="C2447" s="3" t="s">
        <v>3193</v>
      </c>
      <c r="D2447" s="3" t="s">
        <v>3194</v>
      </c>
      <c r="E2447" s="3" t="s">
        <v>1710</v>
      </c>
      <c r="F2447" s="3">
        <v>19.99</v>
      </c>
      <c r="G2447" s="3" t="s">
        <v>6233</v>
      </c>
      <c r="H2447" s="3"/>
      <c r="I2447" s="3" t="s">
        <v>6234</v>
      </c>
      <c r="J2447" s="3">
        <v>3</v>
      </c>
      <c r="K2447" s="3">
        <v>3</v>
      </c>
      <c r="L2447" s="3">
        <v>0</v>
      </c>
      <c r="M2447" s="3">
        <v>0</v>
      </c>
      <c r="N2447" s="3">
        <v>3</v>
      </c>
      <c r="O2447" s="3">
        <v>0.07</v>
      </c>
      <c r="P2447" s="3">
        <v>0</v>
      </c>
      <c r="Q2447" s="3">
        <v>0</v>
      </c>
      <c r="R2447" s="3">
        <v>0</v>
      </c>
    </row>
    <row r="2448" spans="1:18">
      <c r="A2448" s="3" t="s">
        <v>5455</v>
      </c>
      <c r="B2448" s="3" t="s">
        <v>5456</v>
      </c>
      <c r="C2448" s="3" t="s">
        <v>5457</v>
      </c>
      <c r="D2448" s="3" t="s">
        <v>5458</v>
      </c>
      <c r="E2448" s="3" t="s">
        <v>1710</v>
      </c>
      <c r="F2448" s="3">
        <v>19.99</v>
      </c>
      <c r="G2448" s="3" t="s">
        <v>6233</v>
      </c>
      <c r="H2448" s="3"/>
      <c r="I2448" s="3" t="s">
        <v>6234</v>
      </c>
      <c r="J2448" s="3">
        <v>4</v>
      </c>
      <c r="K2448" s="3">
        <v>4</v>
      </c>
      <c r="L2448" s="3">
        <v>0</v>
      </c>
      <c r="M2448" s="3">
        <v>0</v>
      </c>
      <c r="N2448" s="3">
        <v>4</v>
      </c>
      <c r="O2448" s="3">
        <v>0.07</v>
      </c>
      <c r="P2448" s="3">
        <v>0</v>
      </c>
      <c r="Q2448" s="3">
        <v>0</v>
      </c>
      <c r="R2448" s="3">
        <v>0</v>
      </c>
    </row>
    <row r="2449" spans="1:18">
      <c r="A2449" s="3" t="s">
        <v>5183</v>
      </c>
      <c r="B2449" s="3" t="s">
        <v>5184</v>
      </c>
      <c r="C2449" s="3" t="s">
        <v>5185</v>
      </c>
      <c r="D2449" s="3" t="s">
        <v>5186</v>
      </c>
      <c r="E2449" s="3" t="s">
        <v>1710</v>
      </c>
      <c r="F2449" s="3">
        <v>19.99</v>
      </c>
      <c r="G2449" s="3" t="s">
        <v>6233</v>
      </c>
      <c r="H2449" s="3"/>
      <c r="I2449" s="3" t="s">
        <v>6234</v>
      </c>
      <c r="J2449" s="3">
        <v>2</v>
      </c>
      <c r="K2449" s="3">
        <v>2</v>
      </c>
      <c r="L2449" s="3">
        <v>0</v>
      </c>
      <c r="M2449" s="3">
        <v>0</v>
      </c>
      <c r="N2449" s="3">
        <v>2</v>
      </c>
      <c r="O2449" s="3">
        <v>0.13</v>
      </c>
      <c r="P2449" s="3">
        <v>0</v>
      </c>
      <c r="Q2449" s="3">
        <v>0</v>
      </c>
      <c r="R2449" s="3">
        <v>0</v>
      </c>
    </row>
    <row r="2450" spans="1:18">
      <c r="A2450" s="3" t="s">
        <v>6202</v>
      </c>
      <c r="B2450" s="3" t="s">
        <v>6203</v>
      </c>
      <c r="C2450" s="3" t="s">
        <v>6204</v>
      </c>
      <c r="D2450" s="3" t="s">
        <v>4321</v>
      </c>
      <c r="E2450" s="3" t="s">
        <v>1710</v>
      </c>
      <c r="F2450" s="3">
        <v>19.99</v>
      </c>
      <c r="G2450" s="3" t="s">
        <v>6233</v>
      </c>
      <c r="H2450" s="3"/>
      <c r="I2450" s="3" t="s">
        <v>6234</v>
      </c>
      <c r="J2450" s="3">
        <v>2</v>
      </c>
      <c r="K2450" s="3">
        <v>2</v>
      </c>
      <c r="L2450" s="3">
        <v>0</v>
      </c>
      <c r="M2450" s="3">
        <v>0</v>
      </c>
      <c r="N2450" s="3">
        <v>2</v>
      </c>
      <c r="O2450" s="3">
        <v>0.13</v>
      </c>
      <c r="P2450" s="3">
        <v>0</v>
      </c>
      <c r="Q2450" s="3">
        <v>0</v>
      </c>
      <c r="R2450" s="3">
        <v>0</v>
      </c>
    </row>
    <row r="2451" spans="1:18">
      <c r="A2451" s="3" t="s">
        <v>2644</v>
      </c>
      <c r="B2451" s="3" t="s">
        <v>2645</v>
      </c>
      <c r="C2451" s="3" t="s">
        <v>2646</v>
      </c>
      <c r="D2451" s="3" t="s">
        <v>2647</v>
      </c>
      <c r="E2451" s="3" t="s">
        <v>1710</v>
      </c>
      <c r="F2451" s="3">
        <v>19.99</v>
      </c>
      <c r="G2451" s="3" t="s">
        <v>6233</v>
      </c>
      <c r="H2451" s="3"/>
      <c r="I2451" s="3" t="s">
        <v>6234</v>
      </c>
      <c r="J2451" s="3">
        <v>0</v>
      </c>
      <c r="K2451" s="3">
        <v>0</v>
      </c>
      <c r="L2451" s="3">
        <v>0</v>
      </c>
      <c r="M2451" s="3">
        <v>0</v>
      </c>
      <c r="N2451" s="3">
        <v>0</v>
      </c>
      <c r="O2451" s="3">
        <v>0.13</v>
      </c>
      <c r="P2451" s="3">
        <v>0</v>
      </c>
      <c r="Q2451" s="3">
        <v>0</v>
      </c>
      <c r="R2451" s="3">
        <v>0</v>
      </c>
    </row>
    <row r="2452" spans="1:18">
      <c r="A2452" s="3" t="s">
        <v>5690</v>
      </c>
      <c r="B2452" s="3" t="s">
        <v>5691</v>
      </c>
      <c r="C2452" s="3" t="s">
        <v>5692</v>
      </c>
      <c r="D2452" s="3" t="s">
        <v>5693</v>
      </c>
      <c r="E2452" s="3" t="s">
        <v>1710</v>
      </c>
      <c r="F2452" s="3">
        <v>19.99</v>
      </c>
      <c r="G2452" s="3" t="s">
        <v>6233</v>
      </c>
      <c r="H2452" s="3"/>
      <c r="I2452" s="3" t="s">
        <v>6234</v>
      </c>
      <c r="J2452" s="3">
        <v>2</v>
      </c>
      <c r="K2452" s="3">
        <v>2</v>
      </c>
      <c r="L2452" s="3">
        <v>0</v>
      </c>
      <c r="M2452" s="3">
        <v>0</v>
      </c>
      <c r="N2452" s="3">
        <v>2</v>
      </c>
      <c r="O2452" s="3">
        <v>0.07</v>
      </c>
      <c r="P2452" s="3">
        <v>0</v>
      </c>
      <c r="Q2452" s="3">
        <v>0</v>
      </c>
      <c r="R2452" s="3">
        <v>0</v>
      </c>
    </row>
    <row r="2453" spans="1:18">
      <c r="A2453" s="3" t="s">
        <v>3419</v>
      </c>
      <c r="B2453" s="3" t="s">
        <v>3420</v>
      </c>
      <c r="C2453" s="3" t="s">
        <v>3421</v>
      </c>
      <c r="D2453" s="3" t="s">
        <v>3422</v>
      </c>
      <c r="E2453" s="3" t="s">
        <v>1710</v>
      </c>
      <c r="F2453" s="3">
        <v>19.99</v>
      </c>
      <c r="G2453" s="3" t="s">
        <v>6233</v>
      </c>
      <c r="H2453" s="3"/>
      <c r="I2453" s="3" t="s">
        <v>6234</v>
      </c>
      <c r="J2453" s="3">
        <v>2</v>
      </c>
      <c r="K2453" s="3">
        <v>2</v>
      </c>
      <c r="L2453" s="3">
        <v>0</v>
      </c>
      <c r="M2453" s="3">
        <v>0</v>
      </c>
      <c r="N2453" s="3">
        <v>2</v>
      </c>
      <c r="O2453" s="3">
        <v>0.07</v>
      </c>
      <c r="P2453" s="3">
        <v>0</v>
      </c>
      <c r="Q2453" s="3">
        <v>0</v>
      </c>
      <c r="R2453" s="3">
        <v>0</v>
      </c>
    </row>
    <row r="2454" spans="1:18">
      <c r="A2454" s="3" t="s">
        <v>2561</v>
      </c>
      <c r="B2454" s="3" t="s">
        <v>2562</v>
      </c>
      <c r="C2454" s="3" t="s">
        <v>2563</v>
      </c>
      <c r="D2454" s="3" t="s">
        <v>2564</v>
      </c>
      <c r="E2454" s="3" t="s">
        <v>1710</v>
      </c>
      <c r="F2454" s="3">
        <v>19.99</v>
      </c>
      <c r="G2454" s="3" t="s">
        <v>6233</v>
      </c>
      <c r="H2454" s="3"/>
      <c r="I2454" s="3" t="s">
        <v>6234</v>
      </c>
      <c r="J2454" s="3">
        <v>1</v>
      </c>
      <c r="K2454" s="3">
        <v>1</v>
      </c>
      <c r="L2454" s="3">
        <v>0</v>
      </c>
      <c r="M2454" s="3">
        <v>0</v>
      </c>
      <c r="N2454" s="3">
        <v>1</v>
      </c>
      <c r="O2454" s="3">
        <v>0.13</v>
      </c>
      <c r="P2454" s="3">
        <v>0</v>
      </c>
      <c r="Q2454" s="3">
        <v>0</v>
      </c>
      <c r="R2454" s="3">
        <v>0</v>
      </c>
    </row>
    <row r="2455" spans="1:18">
      <c r="A2455" s="3" t="s">
        <v>9767</v>
      </c>
      <c r="B2455" s="3" t="s">
        <v>9768</v>
      </c>
      <c r="C2455" s="3" t="s">
        <v>9769</v>
      </c>
      <c r="D2455" s="3" t="s">
        <v>9770</v>
      </c>
      <c r="E2455" s="3" t="s">
        <v>1710</v>
      </c>
      <c r="F2455" s="3">
        <v>19.99</v>
      </c>
      <c r="G2455" s="3" t="s">
        <v>6233</v>
      </c>
      <c r="H2455" s="3"/>
      <c r="I2455" s="3" t="s">
        <v>6234</v>
      </c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>
        <v>0.07</v>
      </c>
      <c r="P2455" s="3">
        <v>0</v>
      </c>
      <c r="Q2455" s="3">
        <v>0</v>
      </c>
      <c r="R2455" s="3">
        <v>0</v>
      </c>
    </row>
    <row r="2456" spans="1:18">
      <c r="A2456" s="3" t="s">
        <v>9771</v>
      </c>
      <c r="B2456" s="3" t="s">
        <v>9772</v>
      </c>
      <c r="C2456" s="3" t="s">
        <v>9773</v>
      </c>
      <c r="D2456" s="3" t="s">
        <v>9774</v>
      </c>
      <c r="E2456" s="3" t="s">
        <v>1710</v>
      </c>
      <c r="F2456" s="3">
        <v>19.99</v>
      </c>
      <c r="G2456" s="3" t="s">
        <v>6233</v>
      </c>
      <c r="H2456" s="3"/>
      <c r="I2456" s="3" t="s">
        <v>6234</v>
      </c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>
        <v>0.13</v>
      </c>
      <c r="P2456" s="3">
        <v>0</v>
      </c>
      <c r="Q2456" s="3">
        <v>0</v>
      </c>
      <c r="R2456" s="3">
        <v>0</v>
      </c>
    </row>
    <row r="2457" spans="1:18">
      <c r="A2457" s="3" t="s">
        <v>9775</v>
      </c>
      <c r="B2457" s="3" t="s">
        <v>9776</v>
      </c>
      <c r="C2457" s="3" t="s">
        <v>9777</v>
      </c>
      <c r="D2457" s="3" t="s">
        <v>9778</v>
      </c>
      <c r="E2457" s="3" t="s">
        <v>1710</v>
      </c>
      <c r="F2457" s="3">
        <v>19.99</v>
      </c>
      <c r="G2457" s="3" t="s">
        <v>6233</v>
      </c>
      <c r="H2457" s="3"/>
      <c r="I2457" s="3" t="s">
        <v>6234</v>
      </c>
      <c r="J2457" s="3">
        <v>2</v>
      </c>
      <c r="K2457" s="3">
        <v>1</v>
      </c>
      <c r="L2457" s="3">
        <v>1</v>
      </c>
      <c r="M2457" s="3">
        <v>0</v>
      </c>
      <c r="N2457" s="3">
        <v>2</v>
      </c>
      <c r="O2457" s="3">
        <v>0.07</v>
      </c>
      <c r="P2457" s="3">
        <v>0</v>
      </c>
      <c r="Q2457" s="3">
        <v>0</v>
      </c>
      <c r="R2457" s="3">
        <v>0</v>
      </c>
    </row>
    <row r="2458" spans="1:18">
      <c r="A2458" s="3" t="s">
        <v>5022</v>
      </c>
      <c r="B2458" s="3" t="s">
        <v>5023</v>
      </c>
      <c r="C2458" s="3" t="s">
        <v>5024</v>
      </c>
      <c r="D2458" s="3" t="s">
        <v>5025</v>
      </c>
      <c r="E2458" s="3" t="s">
        <v>1710</v>
      </c>
      <c r="F2458" s="3">
        <v>21.99</v>
      </c>
      <c r="G2458" s="3" t="s">
        <v>6233</v>
      </c>
      <c r="H2458" s="3"/>
      <c r="I2458" s="3" t="s">
        <v>6234</v>
      </c>
      <c r="J2458" s="3">
        <v>2</v>
      </c>
      <c r="K2458" s="3">
        <v>2</v>
      </c>
      <c r="L2458" s="3">
        <v>0</v>
      </c>
      <c r="M2458" s="3">
        <v>0</v>
      </c>
      <c r="N2458" s="3">
        <v>2</v>
      </c>
      <c r="O2458" s="3">
        <v>0.08</v>
      </c>
      <c r="P2458" s="3">
        <v>0</v>
      </c>
      <c r="Q2458" s="3">
        <v>0</v>
      </c>
      <c r="R2458" s="3">
        <v>0</v>
      </c>
    </row>
    <row r="2459" spans="1:18">
      <c r="A2459" s="3" t="s">
        <v>1740</v>
      </c>
      <c r="B2459" s="3" t="s">
        <v>1741</v>
      </c>
      <c r="C2459" s="3" t="s">
        <v>1742</v>
      </c>
      <c r="D2459" s="3" t="s">
        <v>1743</v>
      </c>
      <c r="E2459" s="3" t="s">
        <v>1710</v>
      </c>
      <c r="F2459" s="3">
        <v>21.99</v>
      </c>
      <c r="G2459" s="3" t="s">
        <v>6233</v>
      </c>
      <c r="H2459" s="3"/>
      <c r="I2459" s="3" t="s">
        <v>6234</v>
      </c>
      <c r="J2459" s="3">
        <v>1</v>
      </c>
      <c r="K2459" s="3">
        <v>1</v>
      </c>
      <c r="L2459" s="3">
        <v>0</v>
      </c>
      <c r="M2459" s="3">
        <v>0</v>
      </c>
      <c r="N2459" s="3">
        <v>1</v>
      </c>
      <c r="O2459" s="3">
        <v>0.08</v>
      </c>
      <c r="P2459" s="3">
        <v>0</v>
      </c>
      <c r="Q2459" s="3">
        <v>0</v>
      </c>
      <c r="R2459" s="3">
        <v>0</v>
      </c>
    </row>
    <row r="2460" spans="1:18">
      <c r="A2460" s="3" t="s">
        <v>3705</v>
      </c>
      <c r="B2460" s="3" t="s">
        <v>3706</v>
      </c>
      <c r="C2460" s="3" t="s">
        <v>3707</v>
      </c>
      <c r="D2460" s="3" t="s">
        <v>3708</v>
      </c>
      <c r="E2460" s="3" t="s">
        <v>1710</v>
      </c>
      <c r="F2460" s="3">
        <v>21.99</v>
      </c>
      <c r="G2460" s="3" t="s">
        <v>6233</v>
      </c>
      <c r="H2460" s="3"/>
      <c r="I2460" s="3" t="s">
        <v>6234</v>
      </c>
      <c r="J2460" s="3">
        <v>1</v>
      </c>
      <c r="K2460" s="3">
        <v>1</v>
      </c>
      <c r="L2460" s="3">
        <v>0</v>
      </c>
      <c r="M2460" s="3">
        <v>0</v>
      </c>
      <c r="N2460" s="3">
        <v>1</v>
      </c>
      <c r="O2460" s="3">
        <v>0.08</v>
      </c>
      <c r="P2460" s="3">
        <v>0</v>
      </c>
      <c r="Q2460" s="3">
        <v>0</v>
      </c>
      <c r="R2460" s="3">
        <v>0</v>
      </c>
    </row>
    <row r="2461" spans="1:18">
      <c r="A2461" s="3" t="s">
        <v>4852</v>
      </c>
      <c r="B2461" s="3" t="s">
        <v>4853</v>
      </c>
      <c r="C2461" s="3" t="s">
        <v>4854</v>
      </c>
      <c r="D2461" s="3" t="s">
        <v>4855</v>
      </c>
      <c r="E2461" s="3" t="s">
        <v>1710</v>
      </c>
      <c r="F2461" s="3">
        <v>21.99</v>
      </c>
      <c r="G2461" s="3" t="s">
        <v>6233</v>
      </c>
      <c r="H2461" s="3"/>
      <c r="I2461" s="3" t="s">
        <v>6234</v>
      </c>
      <c r="J2461" s="3">
        <v>1</v>
      </c>
      <c r="K2461" s="3">
        <v>1</v>
      </c>
      <c r="L2461" s="3">
        <v>0</v>
      </c>
      <c r="M2461" s="3">
        <v>0</v>
      </c>
      <c r="N2461" s="3">
        <v>1</v>
      </c>
      <c r="O2461" s="3">
        <v>0.08</v>
      </c>
      <c r="P2461" s="3">
        <v>0</v>
      </c>
      <c r="Q2461" s="3">
        <v>0</v>
      </c>
      <c r="R2461" s="3">
        <v>0</v>
      </c>
    </row>
    <row r="2462" spans="1:18">
      <c r="A2462" s="3" t="s">
        <v>3951</v>
      </c>
      <c r="B2462" s="3" t="s">
        <v>3952</v>
      </c>
      <c r="C2462" s="3" t="s">
        <v>3953</v>
      </c>
      <c r="D2462" s="3" t="s">
        <v>3954</v>
      </c>
      <c r="E2462" s="3" t="s">
        <v>1710</v>
      </c>
      <c r="F2462" s="3">
        <v>21.99</v>
      </c>
      <c r="G2462" s="3" t="s">
        <v>6233</v>
      </c>
      <c r="H2462" s="3"/>
      <c r="I2462" s="3" t="s">
        <v>6234</v>
      </c>
      <c r="J2462" s="3">
        <v>2</v>
      </c>
      <c r="K2462" s="3">
        <v>2</v>
      </c>
      <c r="L2462" s="3">
        <v>0</v>
      </c>
      <c r="M2462" s="3">
        <v>0</v>
      </c>
      <c r="N2462" s="3">
        <v>2</v>
      </c>
      <c r="O2462" s="3">
        <v>0.08</v>
      </c>
      <c r="P2462" s="3">
        <v>0</v>
      </c>
      <c r="Q2462" s="3">
        <v>0</v>
      </c>
      <c r="R2462" s="3">
        <v>0</v>
      </c>
    </row>
    <row r="2463" spans="1:18">
      <c r="A2463" s="3" t="s">
        <v>3970</v>
      </c>
      <c r="B2463" s="3" t="s">
        <v>3971</v>
      </c>
      <c r="C2463" s="3" t="s">
        <v>3972</v>
      </c>
      <c r="D2463" s="3" t="s">
        <v>3973</v>
      </c>
      <c r="E2463" s="3" t="s">
        <v>1710</v>
      </c>
      <c r="F2463" s="3">
        <v>21.99</v>
      </c>
      <c r="G2463" s="3" t="s">
        <v>6233</v>
      </c>
      <c r="H2463" s="3"/>
      <c r="I2463" s="3" t="s">
        <v>6234</v>
      </c>
      <c r="J2463" s="3">
        <v>2</v>
      </c>
      <c r="K2463" s="3">
        <v>2</v>
      </c>
      <c r="L2463" s="3">
        <v>0</v>
      </c>
      <c r="M2463" s="3">
        <v>0</v>
      </c>
      <c r="N2463" s="3">
        <v>2</v>
      </c>
      <c r="O2463" s="3">
        <v>0.08</v>
      </c>
      <c r="P2463" s="3">
        <v>0</v>
      </c>
      <c r="Q2463" s="3">
        <v>0</v>
      </c>
      <c r="R2463" s="3">
        <v>0</v>
      </c>
    </row>
    <row r="2464" spans="1:18">
      <c r="A2464" s="3" t="s">
        <v>3298</v>
      </c>
      <c r="B2464" s="3" t="s">
        <v>3299</v>
      </c>
      <c r="C2464" s="3" t="s">
        <v>3300</v>
      </c>
      <c r="D2464" s="3" t="s">
        <v>3301</v>
      </c>
      <c r="E2464" s="3" t="s">
        <v>1710</v>
      </c>
      <c r="F2464" s="3">
        <v>21.99</v>
      </c>
      <c r="G2464" s="3" t="s">
        <v>6233</v>
      </c>
      <c r="H2464" s="3"/>
      <c r="I2464" s="3" t="s">
        <v>6234</v>
      </c>
      <c r="J2464" s="3">
        <v>2</v>
      </c>
      <c r="K2464" s="3">
        <v>2</v>
      </c>
      <c r="L2464" s="3">
        <v>0</v>
      </c>
      <c r="M2464" s="3">
        <v>0</v>
      </c>
      <c r="N2464" s="3">
        <v>2</v>
      </c>
      <c r="O2464" s="3">
        <v>0.08</v>
      </c>
      <c r="P2464" s="3">
        <v>0</v>
      </c>
      <c r="Q2464" s="3">
        <v>0</v>
      </c>
      <c r="R2464" s="3">
        <v>0</v>
      </c>
    </row>
    <row r="2465" spans="1:18">
      <c r="A2465" s="3" t="s">
        <v>3108</v>
      </c>
      <c r="B2465" s="3" t="s">
        <v>3109</v>
      </c>
      <c r="C2465" s="3" t="s">
        <v>3110</v>
      </c>
      <c r="D2465" s="3" t="s">
        <v>3111</v>
      </c>
      <c r="E2465" s="3" t="s">
        <v>1710</v>
      </c>
      <c r="F2465" s="3">
        <v>21.99</v>
      </c>
      <c r="G2465" s="3" t="s">
        <v>6233</v>
      </c>
      <c r="H2465" s="3"/>
      <c r="I2465" s="3" t="s">
        <v>6234</v>
      </c>
      <c r="J2465" s="3">
        <v>2</v>
      </c>
      <c r="K2465" s="3">
        <v>2</v>
      </c>
      <c r="L2465" s="3">
        <v>0</v>
      </c>
      <c r="M2465" s="3">
        <v>0</v>
      </c>
      <c r="N2465" s="3">
        <v>2</v>
      </c>
      <c r="O2465" s="3">
        <v>0.08</v>
      </c>
      <c r="P2465" s="3">
        <v>0</v>
      </c>
      <c r="Q2465" s="3">
        <v>0</v>
      </c>
      <c r="R2465" s="3">
        <v>0</v>
      </c>
    </row>
    <row r="2466" spans="1:18">
      <c r="A2466" s="3" t="s">
        <v>9779</v>
      </c>
      <c r="B2466" s="3" t="s">
        <v>9780</v>
      </c>
      <c r="C2466" s="3" t="s">
        <v>9781</v>
      </c>
      <c r="D2466" s="3" t="s">
        <v>9782</v>
      </c>
      <c r="E2466" s="3" t="s">
        <v>1710</v>
      </c>
      <c r="F2466" s="3">
        <v>21.99</v>
      </c>
      <c r="G2466" s="3" t="s">
        <v>6233</v>
      </c>
      <c r="H2466" s="3"/>
      <c r="I2466" s="3" t="s">
        <v>6234</v>
      </c>
      <c r="J2466" s="3">
        <v>0</v>
      </c>
      <c r="K2466" s="3">
        <v>0</v>
      </c>
      <c r="L2466" s="3">
        <v>0</v>
      </c>
      <c r="M2466" s="3">
        <v>0</v>
      </c>
      <c r="N2466" s="3">
        <v>0</v>
      </c>
      <c r="O2466" s="3">
        <v>0.08</v>
      </c>
      <c r="P2466" s="3">
        <v>0</v>
      </c>
      <c r="Q2466" s="3">
        <v>0</v>
      </c>
      <c r="R2466" s="3">
        <v>0</v>
      </c>
    </row>
    <row r="2467" spans="1:18">
      <c r="A2467" s="3" t="s">
        <v>9783</v>
      </c>
      <c r="B2467" s="3" t="s">
        <v>9784</v>
      </c>
      <c r="C2467" s="3" t="s">
        <v>9785</v>
      </c>
      <c r="D2467" s="3" t="s">
        <v>9786</v>
      </c>
      <c r="E2467" s="3" t="s">
        <v>1710</v>
      </c>
      <c r="F2467" s="3">
        <v>21.99</v>
      </c>
      <c r="G2467" s="3" t="s">
        <v>6233</v>
      </c>
      <c r="H2467" s="3"/>
      <c r="I2467" s="3" t="s">
        <v>6234</v>
      </c>
      <c r="J2467" s="3">
        <v>0</v>
      </c>
      <c r="K2467" s="3">
        <v>0</v>
      </c>
      <c r="L2467" s="3">
        <v>0</v>
      </c>
      <c r="M2467" s="3">
        <v>0</v>
      </c>
      <c r="N2467" s="3">
        <v>0</v>
      </c>
      <c r="O2467" s="3">
        <v>0.08</v>
      </c>
      <c r="P2467" s="3">
        <v>0</v>
      </c>
      <c r="Q2467" s="3">
        <v>0</v>
      </c>
      <c r="R2467" s="3">
        <v>0</v>
      </c>
    </row>
    <row r="2468" spans="1:18">
      <c r="A2468" s="3" t="s">
        <v>9787</v>
      </c>
      <c r="B2468" s="3" t="s">
        <v>9788</v>
      </c>
      <c r="C2468" s="3" t="s">
        <v>9789</v>
      </c>
      <c r="D2468" s="3" t="s">
        <v>9790</v>
      </c>
      <c r="E2468" s="3" t="s">
        <v>1710</v>
      </c>
      <c r="F2468" s="3">
        <v>21.99</v>
      </c>
      <c r="G2468" s="3" t="s">
        <v>6233</v>
      </c>
      <c r="H2468" s="3"/>
      <c r="I2468" s="3" t="s">
        <v>6234</v>
      </c>
      <c r="J2468" s="3">
        <v>0</v>
      </c>
      <c r="K2468" s="3">
        <v>0</v>
      </c>
      <c r="L2468" s="3">
        <v>0</v>
      </c>
      <c r="M2468" s="3">
        <v>0</v>
      </c>
      <c r="N2468" s="3">
        <v>0</v>
      </c>
      <c r="O2468" s="3">
        <v>0.08</v>
      </c>
      <c r="P2468" s="3">
        <v>0</v>
      </c>
      <c r="Q2468" s="3">
        <v>0</v>
      </c>
      <c r="R2468" s="3">
        <v>0</v>
      </c>
    </row>
    <row r="2469" spans="1:18">
      <c r="A2469" s="3" t="s">
        <v>5679</v>
      </c>
      <c r="B2469" s="3" t="s">
        <v>5680</v>
      </c>
      <c r="C2469" s="3" t="s">
        <v>5681</v>
      </c>
      <c r="D2469" s="3" t="s">
        <v>5682</v>
      </c>
      <c r="E2469" s="3" t="s">
        <v>1710</v>
      </c>
      <c r="F2469" s="3">
        <v>21.99</v>
      </c>
      <c r="G2469" s="3" t="s">
        <v>6233</v>
      </c>
      <c r="H2469" s="3"/>
      <c r="I2469" s="3" t="s">
        <v>6234</v>
      </c>
      <c r="J2469" s="3">
        <v>1</v>
      </c>
      <c r="K2469" s="3">
        <v>1</v>
      </c>
      <c r="L2469" s="3">
        <v>0</v>
      </c>
      <c r="M2469" s="3">
        <v>0</v>
      </c>
      <c r="N2469" s="3">
        <v>1</v>
      </c>
      <c r="O2469" s="3">
        <v>0.08</v>
      </c>
      <c r="P2469" s="3">
        <v>0</v>
      </c>
      <c r="Q2469" s="3">
        <v>0</v>
      </c>
      <c r="R2469" s="3">
        <v>0</v>
      </c>
    </row>
    <row r="2470" spans="1:18">
      <c r="A2470" s="3" t="s">
        <v>3670</v>
      </c>
      <c r="B2470" s="3" t="s">
        <v>3671</v>
      </c>
      <c r="C2470" s="3" t="s">
        <v>3672</v>
      </c>
      <c r="D2470" s="3" t="s">
        <v>3121</v>
      </c>
      <c r="E2470" s="3" t="s">
        <v>1710</v>
      </c>
      <c r="F2470" s="3">
        <v>19.99</v>
      </c>
      <c r="G2470" s="3" t="s">
        <v>6233</v>
      </c>
      <c r="H2470" s="3"/>
      <c r="I2470" s="3" t="s">
        <v>6234</v>
      </c>
      <c r="J2470" s="3">
        <v>1</v>
      </c>
      <c r="K2470" s="3">
        <v>1</v>
      </c>
      <c r="L2470" s="3">
        <v>0</v>
      </c>
      <c r="M2470" s="3">
        <v>0</v>
      </c>
      <c r="N2470" s="3">
        <v>1</v>
      </c>
      <c r="O2470" s="3">
        <v>0.07</v>
      </c>
      <c r="P2470" s="3">
        <v>0</v>
      </c>
      <c r="Q2470" s="3">
        <v>0</v>
      </c>
      <c r="R2470" s="3">
        <v>0</v>
      </c>
    </row>
    <row r="2471" spans="1:18">
      <c r="A2471" s="3" t="s">
        <v>3565</v>
      </c>
      <c r="B2471" s="3" t="s">
        <v>3566</v>
      </c>
      <c r="C2471" s="3" t="s">
        <v>3567</v>
      </c>
      <c r="D2471" s="3" t="s">
        <v>3568</v>
      </c>
      <c r="E2471" s="3" t="s">
        <v>1710</v>
      </c>
      <c r="F2471" s="3">
        <v>19.99</v>
      </c>
      <c r="G2471" s="3" t="s">
        <v>6233</v>
      </c>
      <c r="H2471" s="3"/>
      <c r="I2471" s="3" t="s">
        <v>6234</v>
      </c>
      <c r="J2471" s="3">
        <v>1</v>
      </c>
      <c r="K2471" s="3">
        <v>1</v>
      </c>
      <c r="L2471" s="3">
        <v>0</v>
      </c>
      <c r="M2471" s="3">
        <v>0</v>
      </c>
      <c r="N2471" s="3">
        <v>1</v>
      </c>
      <c r="O2471" s="3">
        <v>0.07</v>
      </c>
      <c r="P2471" s="3">
        <v>0</v>
      </c>
      <c r="Q2471" s="3">
        <v>0</v>
      </c>
      <c r="R2471" s="3">
        <v>0</v>
      </c>
    </row>
    <row r="2472" spans="1:18">
      <c r="A2472" s="3" t="s">
        <v>9791</v>
      </c>
      <c r="B2472" s="3" t="s">
        <v>9792</v>
      </c>
      <c r="C2472" s="3" t="s">
        <v>9793</v>
      </c>
      <c r="D2472" s="3" t="s">
        <v>9794</v>
      </c>
      <c r="E2472" s="3" t="s">
        <v>1710</v>
      </c>
      <c r="F2472" s="3">
        <v>19.99</v>
      </c>
      <c r="G2472" s="3" t="s">
        <v>6233</v>
      </c>
      <c r="H2472" s="3"/>
      <c r="I2472" s="3" t="s">
        <v>6234</v>
      </c>
      <c r="J2472" s="3">
        <v>2</v>
      </c>
      <c r="K2472" s="3">
        <v>0</v>
      </c>
      <c r="L2472" s="3">
        <v>2</v>
      </c>
      <c r="M2472" s="3">
        <v>0</v>
      </c>
      <c r="N2472" s="3">
        <v>2</v>
      </c>
      <c r="O2472" s="3">
        <v>0.07</v>
      </c>
      <c r="P2472" s="3">
        <v>0</v>
      </c>
      <c r="Q2472" s="3">
        <v>0</v>
      </c>
      <c r="R2472" s="3">
        <v>0</v>
      </c>
    </row>
    <row r="2473" spans="1:18">
      <c r="A2473" s="3" t="s">
        <v>1958</v>
      </c>
      <c r="B2473" s="3" t="s">
        <v>1959</v>
      </c>
      <c r="C2473" s="3" t="s">
        <v>1960</v>
      </c>
      <c r="D2473" s="3" t="s">
        <v>1961</v>
      </c>
      <c r="E2473" s="3" t="s">
        <v>1710</v>
      </c>
      <c r="F2473" s="3">
        <v>19.99</v>
      </c>
      <c r="G2473" s="3" t="s">
        <v>6233</v>
      </c>
      <c r="H2473" s="3"/>
      <c r="I2473" s="3" t="s">
        <v>6234</v>
      </c>
      <c r="J2473" s="3">
        <v>0</v>
      </c>
      <c r="K2473" s="3">
        <v>0</v>
      </c>
      <c r="L2473" s="3">
        <v>0</v>
      </c>
      <c r="M2473" s="3">
        <v>0</v>
      </c>
      <c r="N2473" s="3">
        <v>0</v>
      </c>
      <c r="O2473" s="3">
        <v>0.07</v>
      </c>
      <c r="P2473" s="3">
        <v>0</v>
      </c>
      <c r="Q2473" s="3">
        <v>0</v>
      </c>
      <c r="R2473" s="3">
        <v>0</v>
      </c>
    </row>
    <row r="2474" spans="1:18">
      <c r="A2474" s="3" t="s">
        <v>4956</v>
      </c>
      <c r="B2474" s="3" t="s">
        <v>4957</v>
      </c>
      <c r="C2474" s="3" t="s">
        <v>4958</v>
      </c>
      <c r="D2474" s="3" t="s">
        <v>4959</v>
      </c>
      <c r="E2474" s="3" t="s">
        <v>1710</v>
      </c>
      <c r="F2474" s="3">
        <v>19.99</v>
      </c>
      <c r="G2474" s="3" t="s">
        <v>6233</v>
      </c>
      <c r="H2474" s="3"/>
      <c r="I2474" s="3" t="s">
        <v>6234</v>
      </c>
      <c r="J2474" s="3">
        <v>4</v>
      </c>
      <c r="K2474" s="3">
        <v>3</v>
      </c>
      <c r="L2474" s="3">
        <v>1</v>
      </c>
      <c r="M2474" s="3">
        <v>0</v>
      </c>
      <c r="N2474" s="3">
        <v>4</v>
      </c>
      <c r="O2474" s="3">
        <v>0.07</v>
      </c>
      <c r="P2474" s="3">
        <v>0</v>
      </c>
      <c r="Q2474" s="3">
        <v>0</v>
      </c>
      <c r="R2474" s="3">
        <v>0</v>
      </c>
    </row>
    <row r="2475" spans="1:18">
      <c r="A2475" s="3" t="s">
        <v>4808</v>
      </c>
      <c r="B2475" s="3" t="s">
        <v>4809</v>
      </c>
      <c r="C2475" s="3" t="s">
        <v>4810</v>
      </c>
      <c r="D2475" s="3" t="s">
        <v>4811</v>
      </c>
      <c r="E2475" s="3" t="s">
        <v>1710</v>
      </c>
      <c r="F2475" s="3">
        <v>19.99</v>
      </c>
      <c r="G2475" s="3" t="s">
        <v>6233</v>
      </c>
      <c r="H2475" s="3"/>
      <c r="I2475" s="3" t="s">
        <v>6234</v>
      </c>
      <c r="J2475" s="3">
        <v>12</v>
      </c>
      <c r="K2475" s="3">
        <v>12</v>
      </c>
      <c r="L2475" s="3">
        <v>0</v>
      </c>
      <c r="M2475" s="3">
        <v>0</v>
      </c>
      <c r="N2475" s="3">
        <v>12</v>
      </c>
      <c r="O2475" s="3">
        <v>0.07</v>
      </c>
      <c r="P2475" s="3">
        <v>0</v>
      </c>
      <c r="Q2475" s="3">
        <v>0</v>
      </c>
      <c r="R2475" s="3">
        <v>0</v>
      </c>
    </row>
    <row r="2476" spans="1:18">
      <c r="A2476" s="3" t="s">
        <v>2712</v>
      </c>
      <c r="B2476" s="3" t="s">
        <v>2713</v>
      </c>
      <c r="C2476" s="3" t="s">
        <v>2714</v>
      </c>
      <c r="D2476" s="3" t="s">
        <v>2715</v>
      </c>
      <c r="E2476" s="3" t="s">
        <v>1710</v>
      </c>
      <c r="F2476" s="3">
        <v>19.99</v>
      </c>
      <c r="G2476" s="3" t="s">
        <v>6233</v>
      </c>
      <c r="H2476" s="3"/>
      <c r="I2476" s="3" t="s">
        <v>6234</v>
      </c>
      <c r="J2476" s="3">
        <v>7</v>
      </c>
      <c r="K2476" s="3">
        <v>5</v>
      </c>
      <c r="L2476" s="3">
        <v>2</v>
      </c>
      <c r="M2476" s="3">
        <v>0</v>
      </c>
      <c r="N2476" s="3">
        <v>7</v>
      </c>
      <c r="O2476" s="3">
        <v>0.07</v>
      </c>
      <c r="P2476" s="3">
        <v>0</v>
      </c>
      <c r="Q2476" s="3">
        <v>0</v>
      </c>
      <c r="R2476" s="3">
        <v>0</v>
      </c>
    </row>
    <row r="2477" spans="1:18">
      <c r="A2477" s="3" t="s">
        <v>5971</v>
      </c>
      <c r="B2477" s="3" t="s">
        <v>5972</v>
      </c>
      <c r="C2477" s="3" t="s">
        <v>5973</v>
      </c>
      <c r="D2477" s="3" t="s">
        <v>5974</v>
      </c>
      <c r="E2477" s="3" t="s">
        <v>1710</v>
      </c>
      <c r="F2477" s="3">
        <v>19.99</v>
      </c>
      <c r="G2477" s="3" t="s">
        <v>6233</v>
      </c>
      <c r="H2477" s="3"/>
      <c r="I2477" s="3" t="s">
        <v>6234</v>
      </c>
      <c r="J2477" s="3">
        <v>5</v>
      </c>
      <c r="K2477" s="3">
        <v>2</v>
      </c>
      <c r="L2477" s="3">
        <v>3</v>
      </c>
      <c r="M2477" s="3">
        <v>0</v>
      </c>
      <c r="N2477" s="3">
        <v>5</v>
      </c>
      <c r="O2477" s="3">
        <v>0.07</v>
      </c>
      <c r="P2477" s="3">
        <v>0</v>
      </c>
      <c r="Q2477" s="3">
        <v>0</v>
      </c>
      <c r="R2477" s="3">
        <v>0</v>
      </c>
    </row>
    <row r="2478" spans="1:18">
      <c r="A2478" s="3" t="s">
        <v>9795</v>
      </c>
      <c r="B2478" s="3" t="s">
        <v>9796</v>
      </c>
      <c r="C2478" s="3" t="s">
        <v>9797</v>
      </c>
      <c r="D2478" s="3" t="s">
        <v>9798</v>
      </c>
      <c r="E2478" s="3" t="s">
        <v>1710</v>
      </c>
      <c r="F2478" s="3">
        <v>19.99</v>
      </c>
      <c r="G2478" s="3" t="s">
        <v>6233</v>
      </c>
      <c r="H2478" s="3"/>
      <c r="I2478" s="3" t="s">
        <v>6234</v>
      </c>
      <c r="J2478" s="3">
        <v>0</v>
      </c>
      <c r="K2478" s="3">
        <v>0</v>
      </c>
      <c r="L2478" s="3">
        <v>0</v>
      </c>
      <c r="M2478" s="3">
        <v>0</v>
      </c>
      <c r="N2478" s="3">
        <v>0</v>
      </c>
      <c r="O2478" s="3">
        <v>0.07</v>
      </c>
      <c r="P2478" s="3">
        <v>0</v>
      </c>
      <c r="Q2478" s="3">
        <v>0</v>
      </c>
      <c r="R2478" s="3">
        <v>0</v>
      </c>
    </row>
    <row r="2479" spans="1:18">
      <c r="A2479" s="3" t="s">
        <v>6188</v>
      </c>
      <c r="B2479" s="3" t="s">
        <v>6189</v>
      </c>
      <c r="C2479" s="3" t="s">
        <v>6190</v>
      </c>
      <c r="D2479" s="3" t="s">
        <v>6191</v>
      </c>
      <c r="E2479" s="3" t="s">
        <v>1710</v>
      </c>
      <c r="F2479" s="3">
        <v>19.99</v>
      </c>
      <c r="G2479" s="3" t="s">
        <v>6233</v>
      </c>
      <c r="H2479" s="3"/>
      <c r="I2479" s="3" t="s">
        <v>6234</v>
      </c>
      <c r="J2479" s="3">
        <v>2</v>
      </c>
      <c r="K2479" s="3">
        <v>1</v>
      </c>
      <c r="L2479" s="3">
        <v>1</v>
      </c>
      <c r="M2479" s="3">
        <v>0</v>
      </c>
      <c r="N2479" s="3">
        <v>2</v>
      </c>
      <c r="O2479" s="3">
        <v>0.07</v>
      </c>
      <c r="P2479" s="3">
        <v>0</v>
      </c>
      <c r="Q2479" s="3">
        <v>0</v>
      </c>
      <c r="R2479" s="3">
        <v>0</v>
      </c>
    </row>
    <row r="2480" spans="1:18">
      <c r="A2480" s="3" t="s">
        <v>2141</v>
      </c>
      <c r="B2480" s="3" t="s">
        <v>2142</v>
      </c>
      <c r="C2480" s="3" t="s">
        <v>2143</v>
      </c>
      <c r="D2480" s="3" t="s">
        <v>2144</v>
      </c>
      <c r="E2480" s="3" t="s">
        <v>1710</v>
      </c>
      <c r="F2480" s="3">
        <v>19.99</v>
      </c>
      <c r="G2480" s="3" t="s">
        <v>6233</v>
      </c>
      <c r="H2480" s="3"/>
      <c r="I2480" s="3" t="s">
        <v>6234</v>
      </c>
      <c r="J2480" s="3">
        <v>6</v>
      </c>
      <c r="K2480" s="3">
        <v>6</v>
      </c>
      <c r="L2480" s="3">
        <v>0</v>
      </c>
      <c r="M2480" s="3">
        <v>0</v>
      </c>
      <c r="N2480" s="3">
        <v>6</v>
      </c>
      <c r="O2480" s="3">
        <v>0.07</v>
      </c>
      <c r="P2480" s="3">
        <v>0</v>
      </c>
      <c r="Q2480" s="3">
        <v>0</v>
      </c>
      <c r="R2480" s="3">
        <v>0</v>
      </c>
    </row>
    <row r="2481" spans="1:18">
      <c r="A2481" s="3" t="s">
        <v>9799</v>
      </c>
      <c r="B2481" s="3" t="s">
        <v>9800</v>
      </c>
      <c r="C2481" s="3" t="s">
        <v>9801</v>
      </c>
      <c r="D2481" s="3" t="s">
        <v>2647</v>
      </c>
      <c r="E2481" s="3" t="s">
        <v>1710</v>
      </c>
      <c r="F2481" s="3">
        <v>19.99</v>
      </c>
      <c r="G2481" s="3" t="s">
        <v>6233</v>
      </c>
      <c r="H2481" s="3"/>
      <c r="I2481" s="3" t="s">
        <v>6234</v>
      </c>
      <c r="J2481" s="3">
        <v>1</v>
      </c>
      <c r="K2481" s="3">
        <v>1</v>
      </c>
      <c r="L2481" s="3">
        <v>0</v>
      </c>
      <c r="M2481" s="3">
        <v>0</v>
      </c>
      <c r="N2481" s="3">
        <v>1</v>
      </c>
      <c r="O2481" s="3">
        <v>0.07</v>
      </c>
      <c r="P2481" s="3">
        <v>0</v>
      </c>
      <c r="Q2481" s="3">
        <v>0</v>
      </c>
      <c r="R2481" s="3">
        <v>0</v>
      </c>
    </row>
    <row r="2482" spans="1:18">
      <c r="A2482" s="3" t="s">
        <v>9802</v>
      </c>
      <c r="B2482" s="3" t="s">
        <v>9803</v>
      </c>
      <c r="C2482" s="3" t="s">
        <v>9804</v>
      </c>
      <c r="D2482" s="3" t="s">
        <v>9805</v>
      </c>
      <c r="E2482" s="3" t="s">
        <v>1710</v>
      </c>
      <c r="F2482" s="3">
        <v>19.99</v>
      </c>
      <c r="G2482" s="3" t="s">
        <v>6233</v>
      </c>
      <c r="H2482" s="3"/>
      <c r="I2482" s="3" t="s">
        <v>6234</v>
      </c>
      <c r="J2482" s="3">
        <v>2</v>
      </c>
      <c r="K2482" s="3">
        <v>2</v>
      </c>
      <c r="L2482" s="3">
        <v>0</v>
      </c>
      <c r="M2482" s="3">
        <v>0</v>
      </c>
      <c r="N2482" s="3">
        <v>2</v>
      </c>
      <c r="O2482" s="3">
        <v>0.07</v>
      </c>
      <c r="P2482" s="3">
        <v>0</v>
      </c>
      <c r="Q2482" s="3">
        <v>0</v>
      </c>
      <c r="R2482" s="3">
        <v>0</v>
      </c>
    </row>
    <row r="2483" spans="1:18">
      <c r="A2483" s="3" t="s">
        <v>1202</v>
      </c>
      <c r="B2483" s="3" t="s">
        <v>1203</v>
      </c>
      <c r="C2483" s="3" t="s">
        <v>1204</v>
      </c>
      <c r="D2483" s="3" t="s">
        <v>1205</v>
      </c>
      <c r="E2483" s="3" t="s">
        <v>1710</v>
      </c>
      <c r="F2483" s="3">
        <v>19.99</v>
      </c>
      <c r="G2483" s="3" t="s">
        <v>6233</v>
      </c>
      <c r="H2483" s="3"/>
      <c r="I2483" s="3" t="s">
        <v>6234</v>
      </c>
      <c r="J2483" s="3">
        <v>2</v>
      </c>
      <c r="K2483" s="3">
        <v>0</v>
      </c>
      <c r="L2483" s="3">
        <v>1</v>
      </c>
      <c r="M2483" s="3">
        <v>1</v>
      </c>
      <c r="N2483" s="3">
        <v>2</v>
      </c>
      <c r="O2483" s="3">
        <v>0.07</v>
      </c>
      <c r="P2483" s="3">
        <v>0</v>
      </c>
      <c r="Q2483" s="3">
        <v>0</v>
      </c>
      <c r="R2483" s="3">
        <v>0</v>
      </c>
    </row>
    <row r="2484" spans="1:18">
      <c r="A2484" s="3" t="s">
        <v>4318</v>
      </c>
      <c r="B2484" s="3" t="s">
        <v>4319</v>
      </c>
      <c r="C2484" s="3" t="s">
        <v>4320</v>
      </c>
      <c r="D2484" s="3" t="s">
        <v>4321</v>
      </c>
      <c r="E2484" s="3" t="s">
        <v>1710</v>
      </c>
      <c r="F2484" s="3">
        <v>19.99</v>
      </c>
      <c r="G2484" s="3" t="s">
        <v>6233</v>
      </c>
      <c r="H2484" s="3"/>
      <c r="I2484" s="3" t="s">
        <v>6234</v>
      </c>
      <c r="J2484" s="3">
        <v>1</v>
      </c>
      <c r="K2484" s="3">
        <v>1</v>
      </c>
      <c r="L2484" s="3">
        <v>0</v>
      </c>
      <c r="M2484" s="3">
        <v>0</v>
      </c>
      <c r="N2484" s="3">
        <v>1</v>
      </c>
      <c r="O2484" s="3">
        <v>0.07</v>
      </c>
      <c r="P2484" s="3">
        <v>0</v>
      </c>
      <c r="Q2484" s="3">
        <v>0</v>
      </c>
      <c r="R2484" s="3">
        <v>0</v>
      </c>
    </row>
    <row r="2485" spans="1:18">
      <c r="A2485" s="3" t="s">
        <v>9806</v>
      </c>
      <c r="B2485" s="3" t="s">
        <v>9807</v>
      </c>
      <c r="C2485" s="3" t="s">
        <v>9808</v>
      </c>
      <c r="D2485" s="3" t="s">
        <v>2564</v>
      </c>
      <c r="E2485" s="3" t="s">
        <v>1710</v>
      </c>
      <c r="F2485" s="3">
        <v>19.99</v>
      </c>
      <c r="G2485" s="3" t="s">
        <v>6233</v>
      </c>
      <c r="H2485" s="3"/>
      <c r="I2485" s="3" t="s">
        <v>6234</v>
      </c>
      <c r="J2485" s="3">
        <v>1</v>
      </c>
      <c r="K2485" s="3">
        <v>0</v>
      </c>
      <c r="L2485" s="3">
        <v>1</v>
      </c>
      <c r="M2485" s="3">
        <v>0</v>
      </c>
      <c r="N2485" s="3">
        <v>1</v>
      </c>
      <c r="O2485" s="3">
        <v>0.26</v>
      </c>
      <c r="P2485" s="3">
        <v>0</v>
      </c>
      <c r="Q2485" s="3">
        <v>0</v>
      </c>
      <c r="R2485" s="3">
        <v>0</v>
      </c>
    </row>
    <row r="2486" spans="1:18">
      <c r="A2486" s="3" t="s">
        <v>9809</v>
      </c>
      <c r="B2486" s="3" t="s">
        <v>9810</v>
      </c>
      <c r="C2486" s="3" t="s">
        <v>9811</v>
      </c>
      <c r="D2486" s="3" t="s">
        <v>9774</v>
      </c>
      <c r="E2486" s="3" t="s">
        <v>1710</v>
      </c>
      <c r="F2486" s="3">
        <v>19.99</v>
      </c>
      <c r="G2486" s="3" t="s">
        <v>6233</v>
      </c>
      <c r="H2486" s="3"/>
      <c r="I2486" s="3" t="s">
        <v>6234</v>
      </c>
      <c r="J2486" s="3">
        <v>1</v>
      </c>
      <c r="K2486" s="3">
        <v>0</v>
      </c>
      <c r="L2486" s="3">
        <v>1</v>
      </c>
      <c r="M2486" s="3">
        <v>0</v>
      </c>
      <c r="N2486" s="3">
        <v>1</v>
      </c>
      <c r="O2486" s="3">
        <v>0.07</v>
      </c>
      <c r="P2486" s="3">
        <v>0</v>
      </c>
      <c r="Q2486" s="3">
        <v>0</v>
      </c>
      <c r="R2486" s="3">
        <v>0</v>
      </c>
    </row>
    <row r="2487" spans="1:18">
      <c r="A2487" s="3" t="s">
        <v>9812</v>
      </c>
      <c r="B2487" s="3" t="s">
        <v>9813</v>
      </c>
      <c r="C2487" s="3" t="s">
        <v>9814</v>
      </c>
      <c r="D2487" s="3" t="s">
        <v>9815</v>
      </c>
      <c r="E2487" s="3" t="s">
        <v>1710</v>
      </c>
      <c r="F2487" s="3">
        <v>19.99</v>
      </c>
      <c r="G2487" s="3" t="s">
        <v>6233</v>
      </c>
      <c r="H2487" s="3"/>
      <c r="I2487" s="3" t="s">
        <v>6234</v>
      </c>
      <c r="J2487" s="3">
        <v>3</v>
      </c>
      <c r="K2487" s="3">
        <v>0</v>
      </c>
      <c r="L2487" s="3">
        <v>3</v>
      </c>
      <c r="M2487" s="3">
        <v>0</v>
      </c>
      <c r="N2487" s="3">
        <v>3</v>
      </c>
      <c r="O2487" s="3">
        <v>0.07</v>
      </c>
      <c r="P2487" s="3">
        <v>0</v>
      </c>
      <c r="Q2487" s="3">
        <v>0</v>
      </c>
      <c r="R2487" s="3">
        <v>0</v>
      </c>
    </row>
    <row r="2488" spans="1:18">
      <c r="A2488" s="3" t="s">
        <v>1195</v>
      </c>
      <c r="B2488" s="3" t="s">
        <v>1196</v>
      </c>
      <c r="C2488" s="3" t="s">
        <v>1197</v>
      </c>
      <c r="D2488" s="3" t="s">
        <v>1198</v>
      </c>
      <c r="E2488" s="3" t="s">
        <v>1710</v>
      </c>
      <c r="F2488" s="3">
        <v>19.99</v>
      </c>
      <c r="G2488" s="3" t="s">
        <v>6233</v>
      </c>
      <c r="H2488" s="3"/>
      <c r="I2488" s="3" t="s">
        <v>6234</v>
      </c>
      <c r="J2488" s="3">
        <v>5</v>
      </c>
      <c r="K2488" s="3">
        <v>3</v>
      </c>
      <c r="L2488" s="3">
        <v>1</v>
      </c>
      <c r="M2488" s="3">
        <v>1</v>
      </c>
      <c r="N2488" s="3">
        <v>5</v>
      </c>
      <c r="O2488" s="3">
        <v>0.07</v>
      </c>
      <c r="P2488" s="3">
        <v>0</v>
      </c>
      <c r="Q2488" s="3">
        <v>0</v>
      </c>
      <c r="R2488" s="3">
        <v>0</v>
      </c>
    </row>
    <row r="2489" spans="1:18">
      <c r="A2489" s="3" t="s">
        <v>9816</v>
      </c>
      <c r="B2489" s="3" t="s">
        <v>9817</v>
      </c>
      <c r="C2489" s="3" t="s">
        <v>9818</v>
      </c>
      <c r="D2489" s="3" t="s">
        <v>9770</v>
      </c>
      <c r="E2489" s="3" t="s">
        <v>1710</v>
      </c>
      <c r="F2489" s="3">
        <v>19.99</v>
      </c>
      <c r="G2489" s="3" t="s">
        <v>6233</v>
      </c>
      <c r="H2489" s="3"/>
      <c r="I2489" s="3" t="s">
        <v>6234</v>
      </c>
      <c r="J2489" s="3">
        <v>1</v>
      </c>
      <c r="K2489" s="3">
        <v>0</v>
      </c>
      <c r="L2489" s="3">
        <v>1</v>
      </c>
      <c r="M2489" s="3">
        <v>0</v>
      </c>
      <c r="N2489" s="3">
        <v>1</v>
      </c>
      <c r="O2489" s="3">
        <v>0.07</v>
      </c>
      <c r="P2489" s="3">
        <v>0</v>
      </c>
      <c r="Q2489" s="3">
        <v>0</v>
      </c>
      <c r="R2489" s="3">
        <v>0</v>
      </c>
    </row>
    <row r="2490" spans="1:18">
      <c r="A2490" s="3" t="s">
        <v>2547</v>
      </c>
      <c r="B2490" s="3" t="s">
        <v>2548</v>
      </c>
      <c r="C2490" s="3" t="s">
        <v>2549</v>
      </c>
      <c r="D2490" s="3" t="s">
        <v>1181</v>
      </c>
      <c r="E2490" s="3" t="s">
        <v>1710</v>
      </c>
      <c r="F2490" s="3">
        <v>39.99</v>
      </c>
      <c r="G2490" s="3" t="s">
        <v>6233</v>
      </c>
      <c r="H2490" s="3"/>
      <c r="I2490" s="3" t="s">
        <v>6234</v>
      </c>
      <c r="J2490" s="3">
        <v>14</v>
      </c>
      <c r="K2490" s="3">
        <v>14</v>
      </c>
      <c r="L2490" s="3">
        <v>0</v>
      </c>
      <c r="M2490" s="3">
        <v>0</v>
      </c>
      <c r="N2490" s="3">
        <v>14</v>
      </c>
      <c r="O2490" s="3">
        <v>0.1</v>
      </c>
      <c r="P2490" s="3">
        <v>0</v>
      </c>
      <c r="Q2490" s="3">
        <v>0</v>
      </c>
      <c r="R2490" s="3">
        <v>0</v>
      </c>
    </row>
    <row r="2491" spans="1:18">
      <c r="A2491" s="3" t="s">
        <v>6029</v>
      </c>
      <c r="B2491" s="3" t="s">
        <v>6030</v>
      </c>
      <c r="C2491" s="3" t="s">
        <v>6031</v>
      </c>
      <c r="D2491" s="3" t="s">
        <v>1181</v>
      </c>
      <c r="E2491" s="3" t="s">
        <v>1710</v>
      </c>
      <c r="F2491" s="3">
        <v>39.99</v>
      </c>
      <c r="G2491" s="3" t="s">
        <v>6233</v>
      </c>
      <c r="H2491" s="3"/>
      <c r="I2491" s="3" t="s">
        <v>6234</v>
      </c>
      <c r="J2491" s="3">
        <v>9</v>
      </c>
      <c r="K2491" s="3">
        <v>9</v>
      </c>
      <c r="L2491" s="3">
        <v>0</v>
      </c>
      <c r="M2491" s="3">
        <v>0</v>
      </c>
      <c r="N2491" s="3">
        <v>9</v>
      </c>
      <c r="O2491" s="3">
        <v>0.1</v>
      </c>
      <c r="P2491" s="3">
        <v>0</v>
      </c>
      <c r="Q2491" s="3">
        <v>0</v>
      </c>
      <c r="R2491" s="3">
        <v>0</v>
      </c>
    </row>
    <row r="2492" spans="1:18">
      <c r="A2492" s="3" t="s">
        <v>1182</v>
      </c>
      <c r="B2492" s="3" t="s">
        <v>1183</v>
      </c>
      <c r="C2492" s="3" t="s">
        <v>1184</v>
      </c>
      <c r="D2492" s="3" t="s">
        <v>1181</v>
      </c>
      <c r="E2492" s="3" t="s">
        <v>1710</v>
      </c>
      <c r="F2492" s="3">
        <v>39.99</v>
      </c>
      <c r="G2492" s="3" t="s">
        <v>6233</v>
      </c>
      <c r="H2492" s="3"/>
      <c r="I2492" s="3" t="s">
        <v>6234</v>
      </c>
      <c r="J2492" s="3">
        <v>2</v>
      </c>
      <c r="K2492" s="3">
        <v>0</v>
      </c>
      <c r="L2492" s="3">
        <v>1</v>
      </c>
      <c r="M2492" s="3">
        <v>1</v>
      </c>
      <c r="N2492" s="3">
        <v>12</v>
      </c>
      <c r="O2492" s="3">
        <v>0.1</v>
      </c>
      <c r="P2492" s="3">
        <v>0</v>
      </c>
      <c r="Q2492" s="3">
        <v>0</v>
      </c>
      <c r="R2492" s="3">
        <v>10</v>
      </c>
    </row>
    <row r="2493" spans="1:18">
      <c r="A2493" s="3" t="s">
        <v>2734</v>
      </c>
      <c r="B2493" s="3" t="s">
        <v>2735</v>
      </c>
      <c r="C2493" s="3" t="s">
        <v>2736</v>
      </c>
      <c r="D2493" s="3" t="s">
        <v>1181</v>
      </c>
      <c r="E2493" s="3" t="s">
        <v>1710</v>
      </c>
      <c r="F2493" s="3">
        <v>39.99</v>
      </c>
      <c r="G2493" s="3" t="s">
        <v>6233</v>
      </c>
      <c r="H2493" s="3"/>
      <c r="I2493" s="3" t="s">
        <v>6234</v>
      </c>
      <c r="J2493" s="3">
        <v>11</v>
      </c>
      <c r="K2493" s="3">
        <v>9</v>
      </c>
      <c r="L2493" s="3">
        <v>2</v>
      </c>
      <c r="M2493" s="3">
        <v>0</v>
      </c>
      <c r="N2493" s="3">
        <v>11</v>
      </c>
      <c r="O2493" s="3">
        <v>0.1</v>
      </c>
      <c r="P2493" s="3">
        <v>0</v>
      </c>
      <c r="Q2493" s="3">
        <v>0</v>
      </c>
      <c r="R2493" s="3">
        <v>0</v>
      </c>
    </row>
    <row r="2494" spans="1:18">
      <c r="A2494" s="3" t="s">
        <v>4681</v>
      </c>
      <c r="B2494" s="3" t="s">
        <v>4682</v>
      </c>
      <c r="C2494" s="3" t="s">
        <v>4683</v>
      </c>
      <c r="D2494" s="3" t="s">
        <v>1181</v>
      </c>
      <c r="E2494" s="3" t="s">
        <v>1710</v>
      </c>
      <c r="F2494" s="3">
        <v>39.99</v>
      </c>
      <c r="G2494" s="3" t="s">
        <v>6233</v>
      </c>
      <c r="H2494" s="3"/>
      <c r="I2494" s="3" t="s">
        <v>6234</v>
      </c>
      <c r="J2494" s="3">
        <v>10</v>
      </c>
      <c r="K2494" s="3">
        <v>9</v>
      </c>
      <c r="L2494" s="3">
        <v>1</v>
      </c>
      <c r="M2494" s="3">
        <v>0</v>
      </c>
      <c r="N2494" s="3">
        <v>10</v>
      </c>
      <c r="O2494" s="3">
        <v>0.1</v>
      </c>
      <c r="P2494" s="3">
        <v>0</v>
      </c>
      <c r="Q2494" s="3">
        <v>0</v>
      </c>
      <c r="R2494" s="3">
        <v>0</v>
      </c>
    </row>
    <row r="2495" spans="1:18">
      <c r="A2495" s="3" t="s">
        <v>3979</v>
      </c>
      <c r="B2495" s="3" t="s">
        <v>3980</v>
      </c>
      <c r="C2495" s="3" t="s">
        <v>3981</v>
      </c>
      <c r="D2495" s="3" t="s">
        <v>1181</v>
      </c>
      <c r="E2495" s="3" t="s">
        <v>1710</v>
      </c>
      <c r="F2495" s="3">
        <v>39.99</v>
      </c>
      <c r="G2495" s="3" t="s">
        <v>6233</v>
      </c>
      <c r="H2495" s="3"/>
      <c r="I2495" s="3" t="s">
        <v>6234</v>
      </c>
      <c r="J2495" s="3">
        <v>8</v>
      </c>
      <c r="K2495" s="3">
        <v>7</v>
      </c>
      <c r="L2495" s="3">
        <v>1</v>
      </c>
      <c r="M2495" s="3">
        <v>0</v>
      </c>
      <c r="N2495" s="3">
        <v>8</v>
      </c>
      <c r="O2495" s="3">
        <v>0.1</v>
      </c>
      <c r="P2495" s="3">
        <v>0</v>
      </c>
      <c r="Q2495" s="3">
        <v>0</v>
      </c>
      <c r="R2495" s="3">
        <v>0</v>
      </c>
    </row>
    <row r="2496" spans="1:18">
      <c r="A2496" s="3" t="s">
        <v>1199</v>
      </c>
      <c r="B2496" s="3" t="s">
        <v>1200</v>
      </c>
      <c r="C2496" s="3" t="s">
        <v>1201</v>
      </c>
      <c r="D2496" s="3" t="s">
        <v>1181</v>
      </c>
      <c r="E2496" s="3" t="s">
        <v>1710</v>
      </c>
      <c r="F2496" s="3">
        <v>39.99</v>
      </c>
      <c r="G2496" s="3" t="s">
        <v>6233</v>
      </c>
      <c r="H2496" s="3"/>
      <c r="I2496" s="3" t="s">
        <v>6234</v>
      </c>
      <c r="J2496" s="3">
        <v>12</v>
      </c>
      <c r="K2496" s="3">
        <v>8</v>
      </c>
      <c r="L2496" s="3">
        <v>3</v>
      </c>
      <c r="M2496" s="3">
        <v>1</v>
      </c>
      <c r="N2496" s="3">
        <v>12</v>
      </c>
      <c r="O2496" s="3">
        <v>0.1</v>
      </c>
      <c r="P2496" s="3">
        <v>0</v>
      </c>
      <c r="Q2496" s="3">
        <v>0</v>
      </c>
      <c r="R2496" s="3">
        <v>0</v>
      </c>
    </row>
    <row r="2497" spans="1:18">
      <c r="A2497" s="3" t="s">
        <v>1178</v>
      </c>
      <c r="B2497" s="3" t="s">
        <v>1179</v>
      </c>
      <c r="C2497" s="3" t="s">
        <v>1180</v>
      </c>
      <c r="D2497" s="3" t="s">
        <v>1181</v>
      </c>
      <c r="E2497" s="3" t="s">
        <v>1710</v>
      </c>
      <c r="F2497" s="3">
        <v>39.99</v>
      </c>
      <c r="G2497" s="3" t="s">
        <v>6233</v>
      </c>
      <c r="H2497" s="3"/>
      <c r="I2497" s="3" t="s">
        <v>6234</v>
      </c>
      <c r="J2497" s="3">
        <v>15</v>
      </c>
      <c r="K2497" s="3">
        <v>12</v>
      </c>
      <c r="L2497" s="3">
        <v>2</v>
      </c>
      <c r="M2497" s="3">
        <v>1</v>
      </c>
      <c r="N2497" s="3">
        <v>15</v>
      </c>
      <c r="O2497" s="3">
        <v>0.1</v>
      </c>
      <c r="P2497" s="3">
        <v>0</v>
      </c>
      <c r="Q2497" s="3">
        <v>0</v>
      </c>
      <c r="R2497" s="3">
        <v>0</v>
      </c>
    </row>
    <row r="2498" spans="1:18">
      <c r="A2498" s="3" t="s">
        <v>9819</v>
      </c>
      <c r="B2498" s="3" t="s">
        <v>9820</v>
      </c>
      <c r="C2498" s="3" t="s">
        <v>9022</v>
      </c>
      <c r="D2498" s="3" t="s">
        <v>1181</v>
      </c>
      <c r="E2498" s="3" t="s">
        <v>1710</v>
      </c>
      <c r="F2498" s="3">
        <v>39.99</v>
      </c>
      <c r="G2498" s="3" t="s">
        <v>6233</v>
      </c>
      <c r="H2498" s="3"/>
      <c r="I2498" s="3" t="s">
        <v>6234</v>
      </c>
      <c r="J2498" s="3">
        <v>2</v>
      </c>
      <c r="K2498" s="3">
        <v>2</v>
      </c>
      <c r="L2498" s="3">
        <v>0</v>
      </c>
      <c r="M2498" s="3">
        <v>0</v>
      </c>
      <c r="N2498" s="3">
        <v>17</v>
      </c>
      <c r="O2498" s="3">
        <v>0.1</v>
      </c>
      <c r="P2498" s="3">
        <v>0</v>
      </c>
      <c r="Q2498" s="3">
        <v>0</v>
      </c>
      <c r="R2498" s="3">
        <v>15</v>
      </c>
    </row>
    <row r="2499" spans="1:18">
      <c r="A2499" s="3" t="s">
        <v>9821</v>
      </c>
      <c r="B2499" s="3" t="s">
        <v>9822</v>
      </c>
      <c r="C2499" s="3" t="s">
        <v>9025</v>
      </c>
      <c r="D2499" s="3" t="s">
        <v>9823</v>
      </c>
      <c r="E2499" s="3" t="s">
        <v>1710</v>
      </c>
      <c r="F2499" s="3">
        <v>39.99</v>
      </c>
      <c r="G2499" s="3" t="s">
        <v>6233</v>
      </c>
      <c r="H2499" s="3"/>
      <c r="I2499" s="3" t="s">
        <v>6234</v>
      </c>
      <c r="J2499" s="3">
        <v>18</v>
      </c>
      <c r="K2499" s="3">
        <v>18</v>
      </c>
      <c r="L2499" s="3">
        <v>0</v>
      </c>
      <c r="M2499" s="3">
        <v>0</v>
      </c>
      <c r="N2499" s="3">
        <v>18</v>
      </c>
      <c r="O2499" s="3">
        <v>0.1</v>
      </c>
      <c r="P2499" s="3">
        <v>0</v>
      </c>
      <c r="Q2499" s="3">
        <v>0</v>
      </c>
      <c r="R2499" s="3">
        <v>0</v>
      </c>
    </row>
    <row r="2500" spans="1:18">
      <c r="A2500" s="3" t="s">
        <v>1191</v>
      </c>
      <c r="B2500" s="3" t="s">
        <v>1192</v>
      </c>
      <c r="C2500" s="3" t="s">
        <v>1193</v>
      </c>
      <c r="D2500" s="3" t="s">
        <v>1194</v>
      </c>
      <c r="E2500" s="3" t="s">
        <v>1710</v>
      </c>
      <c r="F2500" s="3">
        <v>48.58</v>
      </c>
      <c r="G2500" s="3" t="s">
        <v>6233</v>
      </c>
      <c r="H2500" s="3"/>
      <c r="I2500" s="3" t="s">
        <v>6234</v>
      </c>
      <c r="J2500" s="3">
        <v>4</v>
      </c>
      <c r="K2500" s="3">
        <v>0</v>
      </c>
      <c r="L2500" s="3">
        <v>3</v>
      </c>
      <c r="M2500" s="3">
        <v>1</v>
      </c>
      <c r="N2500" s="3">
        <v>4</v>
      </c>
      <c r="O2500" s="3">
        <v>0.1</v>
      </c>
      <c r="P2500" s="3">
        <v>0</v>
      </c>
      <c r="Q2500" s="3">
        <v>0</v>
      </c>
      <c r="R2500" s="3">
        <v>0</v>
      </c>
    </row>
    <row r="2501" spans="1:18">
      <c r="A2501" s="3" t="s">
        <v>5771</v>
      </c>
      <c r="B2501" s="3" t="s">
        <v>5772</v>
      </c>
      <c r="C2501" s="3" t="s">
        <v>5773</v>
      </c>
      <c r="D2501" s="3" t="s">
        <v>5774</v>
      </c>
      <c r="E2501" s="3" t="s">
        <v>1710</v>
      </c>
      <c r="F2501" s="3">
        <v>48.58</v>
      </c>
      <c r="G2501" s="3" t="s">
        <v>6233</v>
      </c>
      <c r="H2501" s="3"/>
      <c r="I2501" s="3" t="s">
        <v>6234</v>
      </c>
      <c r="J2501" s="3">
        <v>14</v>
      </c>
      <c r="K2501" s="3">
        <v>13</v>
      </c>
      <c r="L2501" s="3">
        <v>1</v>
      </c>
      <c r="M2501" s="3">
        <v>0</v>
      </c>
      <c r="N2501" s="3">
        <v>14</v>
      </c>
      <c r="O2501" s="3">
        <v>0.1</v>
      </c>
      <c r="P2501" s="3">
        <v>0</v>
      </c>
      <c r="Q2501" s="3">
        <v>0</v>
      </c>
      <c r="R2501" s="3">
        <v>0</v>
      </c>
    </row>
    <row r="2502" spans="1:18">
      <c r="A2502" s="3" t="s">
        <v>5632</v>
      </c>
      <c r="B2502" s="3" t="s">
        <v>5633</v>
      </c>
      <c r="C2502" s="3" t="s">
        <v>5634</v>
      </c>
      <c r="D2502" s="3" t="s">
        <v>1820</v>
      </c>
      <c r="E2502" s="3" t="s">
        <v>1710</v>
      </c>
      <c r="F2502" s="3">
        <v>39.99</v>
      </c>
      <c r="G2502" s="3" t="s">
        <v>6233</v>
      </c>
      <c r="H2502" s="3"/>
      <c r="I2502" s="3" t="s">
        <v>6234</v>
      </c>
      <c r="J2502" s="3">
        <v>10</v>
      </c>
      <c r="K2502" s="3">
        <v>10</v>
      </c>
      <c r="L2502" s="3">
        <v>0</v>
      </c>
      <c r="M2502" s="3">
        <v>0</v>
      </c>
      <c r="N2502" s="3">
        <v>10</v>
      </c>
      <c r="O2502" s="3">
        <v>0.06</v>
      </c>
      <c r="P2502" s="3">
        <v>0</v>
      </c>
      <c r="Q2502" s="3">
        <v>0</v>
      </c>
      <c r="R2502" s="3">
        <v>0</v>
      </c>
    </row>
    <row r="2503" spans="1:18">
      <c r="A2503" s="3" t="s">
        <v>1884</v>
      </c>
      <c r="B2503" s="3" t="s">
        <v>1885</v>
      </c>
      <c r="C2503" s="3" t="s">
        <v>1886</v>
      </c>
      <c r="D2503" s="3" t="s">
        <v>1820</v>
      </c>
      <c r="E2503" s="3" t="s">
        <v>1710</v>
      </c>
      <c r="F2503" s="3">
        <v>39.99</v>
      </c>
      <c r="G2503" s="3" t="s">
        <v>6233</v>
      </c>
      <c r="H2503" s="3"/>
      <c r="I2503" s="3" t="s">
        <v>6234</v>
      </c>
      <c r="J2503" s="3">
        <v>10</v>
      </c>
      <c r="K2503" s="3">
        <v>10</v>
      </c>
      <c r="L2503" s="3">
        <v>0</v>
      </c>
      <c r="M2503" s="3">
        <v>0</v>
      </c>
      <c r="N2503" s="3">
        <v>10</v>
      </c>
      <c r="O2503" s="3">
        <v>0.06</v>
      </c>
      <c r="P2503" s="3">
        <v>0</v>
      </c>
      <c r="Q2503" s="3">
        <v>0</v>
      </c>
      <c r="R2503" s="3">
        <v>0</v>
      </c>
    </row>
    <row r="2504" spans="1:18">
      <c r="A2504" s="3" t="s">
        <v>4666</v>
      </c>
      <c r="B2504" s="3" t="s">
        <v>4667</v>
      </c>
      <c r="C2504" s="3" t="s">
        <v>4668</v>
      </c>
      <c r="D2504" s="3" t="s">
        <v>1820</v>
      </c>
      <c r="E2504" s="3" t="s">
        <v>1710</v>
      </c>
      <c r="F2504" s="3">
        <v>39.99</v>
      </c>
      <c r="G2504" s="3" t="s">
        <v>6233</v>
      </c>
      <c r="H2504" s="3"/>
      <c r="I2504" s="3" t="s">
        <v>6234</v>
      </c>
      <c r="J2504" s="3">
        <v>10</v>
      </c>
      <c r="K2504" s="3">
        <v>10</v>
      </c>
      <c r="L2504" s="3">
        <v>0</v>
      </c>
      <c r="M2504" s="3">
        <v>0</v>
      </c>
      <c r="N2504" s="3">
        <v>10</v>
      </c>
      <c r="O2504" s="3">
        <v>0.06</v>
      </c>
      <c r="P2504" s="3">
        <v>0</v>
      </c>
      <c r="Q2504" s="3">
        <v>0</v>
      </c>
      <c r="R2504" s="3">
        <v>0</v>
      </c>
    </row>
    <row r="2505" spans="1:18">
      <c r="A2505" s="3" t="s">
        <v>5930</v>
      </c>
      <c r="B2505" s="3" t="s">
        <v>5931</v>
      </c>
      <c r="C2505" s="3" t="s">
        <v>5932</v>
      </c>
      <c r="D2505" s="3" t="s">
        <v>1820</v>
      </c>
      <c r="E2505" s="3" t="s">
        <v>1710</v>
      </c>
      <c r="F2505" s="3">
        <v>39.99</v>
      </c>
      <c r="G2505" s="3" t="s">
        <v>6233</v>
      </c>
      <c r="H2505" s="3"/>
      <c r="I2505" s="3" t="s">
        <v>6234</v>
      </c>
      <c r="J2505" s="3">
        <v>10</v>
      </c>
      <c r="K2505" s="3">
        <v>10</v>
      </c>
      <c r="L2505" s="3">
        <v>0</v>
      </c>
      <c r="M2505" s="3">
        <v>0</v>
      </c>
      <c r="N2505" s="3">
        <v>10</v>
      </c>
      <c r="O2505" s="3">
        <v>0.06</v>
      </c>
      <c r="P2505" s="3">
        <v>0</v>
      </c>
      <c r="Q2505" s="3">
        <v>0</v>
      </c>
      <c r="R2505" s="3">
        <v>0</v>
      </c>
    </row>
    <row r="2506" spans="1:18">
      <c r="A2506" s="3" t="s">
        <v>1817</v>
      </c>
      <c r="B2506" s="3" t="s">
        <v>1818</v>
      </c>
      <c r="C2506" s="3" t="s">
        <v>1819</v>
      </c>
      <c r="D2506" s="3" t="s">
        <v>1820</v>
      </c>
      <c r="E2506" s="3" t="s">
        <v>1710</v>
      </c>
      <c r="F2506" s="3">
        <v>39.99</v>
      </c>
      <c r="G2506" s="3" t="s">
        <v>6233</v>
      </c>
      <c r="H2506" s="3"/>
      <c r="I2506" s="3" t="s">
        <v>6234</v>
      </c>
      <c r="J2506" s="3">
        <v>10</v>
      </c>
      <c r="K2506" s="3">
        <v>10</v>
      </c>
      <c r="L2506" s="3">
        <v>0</v>
      </c>
      <c r="M2506" s="3">
        <v>0</v>
      </c>
      <c r="N2506" s="3">
        <v>10</v>
      </c>
      <c r="O2506" s="3">
        <v>0.06</v>
      </c>
      <c r="P2506" s="3">
        <v>0</v>
      </c>
      <c r="Q2506" s="3">
        <v>0</v>
      </c>
      <c r="R2506" s="3">
        <v>0</v>
      </c>
    </row>
    <row r="2507" spans="1:18">
      <c r="A2507" s="3" t="s">
        <v>5927</v>
      </c>
      <c r="B2507" s="3" t="s">
        <v>5928</v>
      </c>
      <c r="C2507" s="3" t="s">
        <v>5929</v>
      </c>
      <c r="D2507" s="3" t="s">
        <v>1820</v>
      </c>
      <c r="E2507" s="3" t="s">
        <v>1710</v>
      </c>
      <c r="F2507" s="3">
        <v>39.99</v>
      </c>
      <c r="G2507" s="3" t="s">
        <v>6233</v>
      </c>
      <c r="H2507" s="3"/>
      <c r="I2507" s="3" t="s">
        <v>6234</v>
      </c>
      <c r="J2507" s="3">
        <v>10</v>
      </c>
      <c r="K2507" s="3">
        <v>10</v>
      </c>
      <c r="L2507" s="3">
        <v>0</v>
      </c>
      <c r="M2507" s="3">
        <v>0</v>
      </c>
      <c r="N2507" s="3">
        <v>10</v>
      </c>
      <c r="O2507" s="3">
        <v>0.06</v>
      </c>
      <c r="P2507" s="3">
        <v>0</v>
      </c>
      <c r="Q2507" s="3">
        <v>0</v>
      </c>
      <c r="R2507" s="3">
        <v>0</v>
      </c>
    </row>
    <row r="2508" spans="1:18">
      <c r="A2508" s="3" t="s">
        <v>2759</v>
      </c>
      <c r="B2508" s="3" t="s">
        <v>2760</v>
      </c>
      <c r="C2508" s="3" t="s">
        <v>2761</v>
      </c>
      <c r="D2508" s="3" t="s">
        <v>1820</v>
      </c>
      <c r="E2508" s="3" t="s">
        <v>1710</v>
      </c>
      <c r="F2508" s="3">
        <v>39.99</v>
      </c>
      <c r="G2508" s="3" t="s">
        <v>6233</v>
      </c>
      <c r="H2508" s="3"/>
      <c r="I2508" s="3" t="s">
        <v>6234</v>
      </c>
      <c r="J2508" s="3">
        <v>10</v>
      </c>
      <c r="K2508" s="3">
        <v>10</v>
      </c>
      <c r="L2508" s="3">
        <v>0</v>
      </c>
      <c r="M2508" s="3">
        <v>0</v>
      </c>
      <c r="N2508" s="3">
        <v>10</v>
      </c>
      <c r="O2508" s="3">
        <v>0.06</v>
      </c>
      <c r="P2508" s="3">
        <v>0</v>
      </c>
      <c r="Q2508" s="3">
        <v>0</v>
      </c>
      <c r="R2508" s="3">
        <v>0</v>
      </c>
    </row>
    <row r="2509" spans="1:18">
      <c r="A2509" s="3" t="s">
        <v>2770</v>
      </c>
      <c r="B2509" s="3" t="s">
        <v>2771</v>
      </c>
      <c r="C2509" s="3" t="s">
        <v>2772</v>
      </c>
      <c r="D2509" s="3" t="s">
        <v>1820</v>
      </c>
      <c r="E2509" s="3" t="s">
        <v>1710</v>
      </c>
      <c r="F2509" s="3">
        <v>39.99</v>
      </c>
      <c r="G2509" s="3" t="s">
        <v>6233</v>
      </c>
      <c r="H2509" s="3"/>
      <c r="I2509" s="3" t="s">
        <v>6234</v>
      </c>
      <c r="J2509" s="3">
        <v>9</v>
      </c>
      <c r="K2509" s="3">
        <v>9</v>
      </c>
      <c r="L2509" s="3">
        <v>0</v>
      </c>
      <c r="M2509" s="3">
        <v>0</v>
      </c>
      <c r="N2509" s="3">
        <v>9</v>
      </c>
      <c r="O2509" s="3">
        <v>0.06</v>
      </c>
      <c r="P2509" s="3">
        <v>0</v>
      </c>
      <c r="Q2509" s="3">
        <v>0</v>
      </c>
      <c r="R2509" s="3">
        <v>0</v>
      </c>
    </row>
    <row r="2510" spans="1:18">
      <c r="A2510" s="3" t="s">
        <v>1979</v>
      </c>
      <c r="B2510" s="3" t="s">
        <v>1980</v>
      </c>
      <c r="C2510" s="3" t="s">
        <v>1981</v>
      </c>
      <c r="D2510" s="3" t="s">
        <v>1820</v>
      </c>
      <c r="E2510" s="3" t="s">
        <v>1710</v>
      </c>
      <c r="F2510" s="3">
        <v>39.99</v>
      </c>
      <c r="G2510" s="3" t="s">
        <v>6233</v>
      </c>
      <c r="H2510" s="3"/>
      <c r="I2510" s="3" t="s">
        <v>6234</v>
      </c>
      <c r="J2510" s="3">
        <v>9</v>
      </c>
      <c r="K2510" s="3">
        <v>9</v>
      </c>
      <c r="L2510" s="3">
        <v>0</v>
      </c>
      <c r="M2510" s="3">
        <v>0</v>
      </c>
      <c r="N2510" s="3">
        <v>9</v>
      </c>
      <c r="O2510" s="3">
        <v>0.06</v>
      </c>
      <c r="P2510" s="3">
        <v>0</v>
      </c>
      <c r="Q2510" s="3">
        <v>0</v>
      </c>
      <c r="R2510" s="3">
        <v>0</v>
      </c>
    </row>
    <row r="2511" spans="1:18">
      <c r="A2511" s="3" t="s">
        <v>3709</v>
      </c>
      <c r="B2511" s="3" t="s">
        <v>3710</v>
      </c>
      <c r="C2511" s="3" t="s">
        <v>3711</v>
      </c>
      <c r="D2511" s="3" t="s">
        <v>1820</v>
      </c>
      <c r="E2511" s="3" t="s">
        <v>1710</v>
      </c>
      <c r="F2511" s="3">
        <v>39.99</v>
      </c>
      <c r="G2511" s="3" t="s">
        <v>6233</v>
      </c>
      <c r="H2511" s="3"/>
      <c r="I2511" s="3" t="s">
        <v>6234</v>
      </c>
      <c r="J2511" s="3">
        <v>10</v>
      </c>
      <c r="K2511" s="3">
        <v>10</v>
      </c>
      <c r="L2511" s="3">
        <v>0</v>
      </c>
      <c r="M2511" s="3">
        <v>0</v>
      </c>
      <c r="N2511" s="3">
        <v>10</v>
      </c>
      <c r="O2511" s="3">
        <v>0.06</v>
      </c>
      <c r="P2511" s="3">
        <v>0</v>
      </c>
      <c r="Q2511" s="3">
        <v>0</v>
      </c>
      <c r="R2511" s="3">
        <v>0</v>
      </c>
    </row>
    <row r="2512" spans="1:18">
      <c r="A2512" s="3" t="s">
        <v>5933</v>
      </c>
      <c r="B2512" s="3" t="s">
        <v>5934</v>
      </c>
      <c r="C2512" s="3" t="s">
        <v>5935</v>
      </c>
      <c r="D2512" s="3" t="s">
        <v>1820</v>
      </c>
      <c r="E2512" s="3" t="s">
        <v>1710</v>
      </c>
      <c r="F2512" s="3">
        <v>39.99</v>
      </c>
      <c r="G2512" s="3" t="s">
        <v>6233</v>
      </c>
      <c r="H2512" s="3"/>
      <c r="I2512" s="3" t="s">
        <v>6234</v>
      </c>
      <c r="J2512" s="3">
        <v>10</v>
      </c>
      <c r="K2512" s="3">
        <v>10</v>
      </c>
      <c r="L2512" s="3">
        <v>0</v>
      </c>
      <c r="M2512" s="3">
        <v>0</v>
      </c>
      <c r="N2512" s="3">
        <v>10</v>
      </c>
      <c r="O2512" s="3">
        <v>0.06</v>
      </c>
      <c r="P2512" s="3">
        <v>0</v>
      </c>
      <c r="Q2512" s="3">
        <v>0</v>
      </c>
      <c r="R2512" s="3">
        <v>0</v>
      </c>
    </row>
    <row r="2513" spans="1:18">
      <c r="A2513" s="3" t="s">
        <v>3083</v>
      </c>
      <c r="B2513" s="3" t="s">
        <v>3084</v>
      </c>
      <c r="C2513" s="3" t="s">
        <v>3085</v>
      </c>
      <c r="D2513" s="3" t="s">
        <v>1820</v>
      </c>
      <c r="E2513" s="3" t="s">
        <v>1710</v>
      </c>
      <c r="F2513" s="3">
        <v>39.99</v>
      </c>
      <c r="G2513" s="3" t="s">
        <v>6233</v>
      </c>
      <c r="H2513" s="3"/>
      <c r="I2513" s="3" t="s">
        <v>6234</v>
      </c>
      <c r="J2513" s="3">
        <v>9</v>
      </c>
      <c r="K2513" s="3">
        <v>9</v>
      </c>
      <c r="L2513" s="3">
        <v>0</v>
      </c>
      <c r="M2513" s="3">
        <v>0</v>
      </c>
      <c r="N2513" s="3">
        <v>9</v>
      </c>
      <c r="O2513" s="3">
        <v>0.06</v>
      </c>
      <c r="P2513" s="3">
        <v>0</v>
      </c>
      <c r="Q2513" s="3">
        <v>0</v>
      </c>
      <c r="R2513" s="3">
        <v>0</v>
      </c>
    </row>
    <row r="2514" spans="1:18">
      <c r="A2514" s="3" t="s">
        <v>3716</v>
      </c>
      <c r="B2514" s="3" t="s">
        <v>3717</v>
      </c>
      <c r="C2514" s="3" t="s">
        <v>3718</v>
      </c>
      <c r="D2514" s="3" t="s">
        <v>1820</v>
      </c>
      <c r="E2514" s="3" t="s">
        <v>1710</v>
      </c>
      <c r="F2514" s="3">
        <v>39.99</v>
      </c>
      <c r="G2514" s="3" t="s">
        <v>6233</v>
      </c>
      <c r="H2514" s="3"/>
      <c r="I2514" s="3" t="s">
        <v>6234</v>
      </c>
      <c r="J2514" s="3">
        <v>10</v>
      </c>
      <c r="K2514" s="3">
        <v>10</v>
      </c>
      <c r="L2514" s="3">
        <v>0</v>
      </c>
      <c r="M2514" s="3">
        <v>0</v>
      </c>
      <c r="N2514" s="3">
        <v>10</v>
      </c>
      <c r="O2514" s="3">
        <v>0.06</v>
      </c>
      <c r="P2514" s="3">
        <v>0</v>
      </c>
      <c r="Q2514" s="3">
        <v>0</v>
      </c>
      <c r="R2514" s="3">
        <v>0</v>
      </c>
    </row>
    <row r="2515" spans="1:18">
      <c r="A2515" s="3" t="s">
        <v>4151</v>
      </c>
      <c r="B2515" s="3" t="s">
        <v>4152</v>
      </c>
      <c r="C2515" s="3" t="s">
        <v>4153</v>
      </c>
      <c r="D2515" s="3" t="s">
        <v>1820</v>
      </c>
      <c r="E2515" s="3" t="s">
        <v>1710</v>
      </c>
      <c r="F2515" s="3">
        <v>39.99</v>
      </c>
      <c r="G2515" s="3" t="s">
        <v>6233</v>
      </c>
      <c r="H2515" s="3"/>
      <c r="I2515" s="3" t="s">
        <v>6234</v>
      </c>
      <c r="J2515" s="3">
        <v>10</v>
      </c>
      <c r="K2515" s="3">
        <v>10</v>
      </c>
      <c r="L2515" s="3">
        <v>0</v>
      </c>
      <c r="M2515" s="3">
        <v>0</v>
      </c>
      <c r="N2515" s="3">
        <v>10</v>
      </c>
      <c r="O2515" s="3">
        <v>0.06</v>
      </c>
      <c r="P2515" s="3">
        <v>0</v>
      </c>
      <c r="Q2515" s="3">
        <v>0</v>
      </c>
      <c r="R2515" s="3">
        <v>0</v>
      </c>
    </row>
    <row r="2516" spans="1:18">
      <c r="A2516" s="3" t="s">
        <v>5414</v>
      </c>
      <c r="B2516" s="3" t="s">
        <v>5415</v>
      </c>
      <c r="C2516" s="3" t="s">
        <v>5416</v>
      </c>
      <c r="D2516" s="3" t="s">
        <v>1820</v>
      </c>
      <c r="E2516" s="3" t="s">
        <v>1710</v>
      </c>
      <c r="F2516" s="3">
        <v>39.99</v>
      </c>
      <c r="G2516" s="3" t="s">
        <v>6233</v>
      </c>
      <c r="H2516" s="3"/>
      <c r="I2516" s="3" t="s">
        <v>6234</v>
      </c>
      <c r="J2516" s="3">
        <v>10</v>
      </c>
      <c r="K2516" s="3">
        <v>10</v>
      </c>
      <c r="L2516" s="3">
        <v>0</v>
      </c>
      <c r="M2516" s="3">
        <v>0</v>
      </c>
      <c r="N2516" s="3">
        <v>10</v>
      </c>
      <c r="O2516" s="3">
        <v>0.06</v>
      </c>
      <c r="P2516" s="3">
        <v>0</v>
      </c>
      <c r="Q2516" s="3">
        <v>0</v>
      </c>
      <c r="R2516" s="3">
        <v>0</v>
      </c>
    </row>
    <row r="2517" spans="1:18">
      <c r="A2517" s="3" t="s">
        <v>4459</v>
      </c>
      <c r="B2517" s="3" t="s">
        <v>4460</v>
      </c>
      <c r="C2517" s="3" t="s">
        <v>4461</v>
      </c>
      <c r="D2517" s="3" t="s">
        <v>1820</v>
      </c>
      <c r="E2517" s="3" t="s">
        <v>1710</v>
      </c>
      <c r="F2517" s="3">
        <v>39.99</v>
      </c>
      <c r="G2517" s="3" t="s">
        <v>6233</v>
      </c>
      <c r="H2517" s="3"/>
      <c r="I2517" s="3" t="s">
        <v>6234</v>
      </c>
      <c r="J2517" s="3">
        <v>10</v>
      </c>
      <c r="K2517" s="3">
        <v>10</v>
      </c>
      <c r="L2517" s="3">
        <v>0</v>
      </c>
      <c r="M2517" s="3">
        <v>0</v>
      </c>
      <c r="N2517" s="3">
        <v>10</v>
      </c>
      <c r="O2517" s="3">
        <v>0.06</v>
      </c>
      <c r="P2517" s="3">
        <v>0</v>
      </c>
      <c r="Q2517" s="3">
        <v>0</v>
      </c>
      <c r="R2517" s="3">
        <v>0</v>
      </c>
    </row>
    <row r="2518" spans="1:18">
      <c r="A2518" s="3" t="s">
        <v>3094</v>
      </c>
      <c r="B2518" s="3" t="s">
        <v>3095</v>
      </c>
      <c r="C2518" s="3" t="s">
        <v>3096</v>
      </c>
      <c r="D2518" s="3" t="s">
        <v>1820</v>
      </c>
      <c r="E2518" s="3" t="s">
        <v>1710</v>
      </c>
      <c r="F2518" s="3">
        <v>39.99</v>
      </c>
      <c r="G2518" s="3" t="s">
        <v>6233</v>
      </c>
      <c r="H2518" s="3"/>
      <c r="I2518" s="3" t="s">
        <v>6234</v>
      </c>
      <c r="J2518" s="3">
        <v>10</v>
      </c>
      <c r="K2518" s="3">
        <v>10</v>
      </c>
      <c r="L2518" s="3">
        <v>0</v>
      </c>
      <c r="M2518" s="3">
        <v>0</v>
      </c>
      <c r="N2518" s="3">
        <v>10</v>
      </c>
      <c r="O2518" s="3">
        <v>0.06</v>
      </c>
      <c r="P2518" s="3">
        <v>0</v>
      </c>
      <c r="Q2518" s="3">
        <v>0</v>
      </c>
      <c r="R2518" s="3">
        <v>0</v>
      </c>
    </row>
    <row r="2519" spans="1:18">
      <c r="A2519" s="3" t="s">
        <v>4607</v>
      </c>
      <c r="B2519" s="3" t="s">
        <v>4608</v>
      </c>
      <c r="C2519" s="3" t="s">
        <v>4609</v>
      </c>
      <c r="D2519" s="3" t="s">
        <v>1820</v>
      </c>
      <c r="E2519" s="3" t="s">
        <v>1710</v>
      </c>
      <c r="F2519" s="3">
        <v>39.99</v>
      </c>
      <c r="G2519" s="3" t="s">
        <v>6233</v>
      </c>
      <c r="H2519" s="3"/>
      <c r="I2519" s="3" t="s">
        <v>6234</v>
      </c>
      <c r="J2519" s="3">
        <v>10</v>
      </c>
      <c r="K2519" s="3">
        <v>10</v>
      </c>
      <c r="L2519" s="3">
        <v>0</v>
      </c>
      <c r="M2519" s="3">
        <v>0</v>
      </c>
      <c r="N2519" s="3">
        <v>10</v>
      </c>
      <c r="O2519" s="3">
        <v>0.06</v>
      </c>
      <c r="P2519" s="3">
        <v>0</v>
      </c>
      <c r="Q2519" s="3">
        <v>0</v>
      </c>
      <c r="R2519" s="3">
        <v>0</v>
      </c>
    </row>
    <row r="2520" spans="1:18">
      <c r="A2520" s="3" t="s">
        <v>4797</v>
      </c>
      <c r="B2520" s="3" t="s">
        <v>4798</v>
      </c>
      <c r="C2520" s="3" t="s">
        <v>4799</v>
      </c>
      <c r="D2520" s="3" t="s">
        <v>1820</v>
      </c>
      <c r="E2520" s="3" t="s">
        <v>1710</v>
      </c>
      <c r="F2520" s="3">
        <v>39.99</v>
      </c>
      <c r="G2520" s="3" t="s">
        <v>6233</v>
      </c>
      <c r="H2520" s="3"/>
      <c r="I2520" s="3" t="s">
        <v>6234</v>
      </c>
      <c r="J2520" s="3">
        <v>10</v>
      </c>
      <c r="K2520" s="3">
        <v>10</v>
      </c>
      <c r="L2520" s="3">
        <v>0</v>
      </c>
      <c r="M2520" s="3">
        <v>0</v>
      </c>
      <c r="N2520" s="3">
        <v>10</v>
      </c>
      <c r="O2520" s="3">
        <v>0.06</v>
      </c>
      <c r="P2520" s="3">
        <v>0</v>
      </c>
      <c r="Q2520" s="3">
        <v>0</v>
      </c>
      <c r="R2520" s="3">
        <v>0</v>
      </c>
    </row>
    <row r="2521" spans="1:18">
      <c r="A2521" s="3" t="s">
        <v>2534</v>
      </c>
      <c r="B2521" s="3" t="s">
        <v>2535</v>
      </c>
      <c r="C2521" s="3" t="s">
        <v>2536</v>
      </c>
      <c r="D2521" s="3" t="s">
        <v>1820</v>
      </c>
      <c r="E2521" s="3" t="s">
        <v>1710</v>
      </c>
      <c r="F2521" s="3">
        <v>39.99</v>
      </c>
      <c r="G2521" s="3" t="s">
        <v>6233</v>
      </c>
      <c r="H2521" s="3"/>
      <c r="I2521" s="3" t="s">
        <v>6234</v>
      </c>
      <c r="J2521" s="3">
        <v>10</v>
      </c>
      <c r="K2521" s="3">
        <v>10</v>
      </c>
      <c r="L2521" s="3">
        <v>0</v>
      </c>
      <c r="M2521" s="3">
        <v>0</v>
      </c>
      <c r="N2521" s="3">
        <v>10</v>
      </c>
      <c r="O2521" s="3">
        <v>0.06</v>
      </c>
      <c r="P2521" s="3">
        <v>0</v>
      </c>
      <c r="Q2521" s="3">
        <v>0</v>
      </c>
      <c r="R2521" s="3">
        <v>0</v>
      </c>
    </row>
    <row r="2522" spans="1:18">
      <c r="A2522" s="3" t="s">
        <v>1188</v>
      </c>
      <c r="B2522" s="3" t="s">
        <v>1189</v>
      </c>
      <c r="C2522" s="3" t="s">
        <v>1190</v>
      </c>
      <c r="D2522" s="3" t="s">
        <v>1177</v>
      </c>
      <c r="E2522" s="3" t="s">
        <v>1710</v>
      </c>
      <c r="F2522" s="3">
        <v>39.99</v>
      </c>
      <c r="G2522" s="3" t="s">
        <v>6233</v>
      </c>
      <c r="H2522" s="3"/>
      <c r="I2522" s="3" t="s">
        <v>6234</v>
      </c>
      <c r="J2522" s="3">
        <v>25</v>
      </c>
      <c r="K2522" s="3">
        <v>2</v>
      </c>
      <c r="L2522" s="3">
        <v>0</v>
      </c>
      <c r="M2522" s="3">
        <v>23</v>
      </c>
      <c r="N2522" s="3">
        <v>45</v>
      </c>
      <c r="O2522" s="3">
        <v>0.16</v>
      </c>
      <c r="P2522" s="3">
        <v>0</v>
      </c>
      <c r="Q2522" s="3">
        <v>20</v>
      </c>
      <c r="R2522" s="3">
        <v>0</v>
      </c>
    </row>
    <row r="2523" spans="1:18">
      <c r="A2523" s="3" t="s">
        <v>9824</v>
      </c>
      <c r="B2523" s="3" t="s">
        <v>9825</v>
      </c>
      <c r="C2523" s="3" t="s">
        <v>9826</v>
      </c>
      <c r="D2523" s="3" t="s">
        <v>1177</v>
      </c>
      <c r="E2523" s="3" t="s">
        <v>1710</v>
      </c>
      <c r="F2523" s="3">
        <v>39.99</v>
      </c>
      <c r="G2523" s="3" t="s">
        <v>6233</v>
      </c>
      <c r="H2523" s="3"/>
      <c r="I2523" s="3" t="s">
        <v>6234</v>
      </c>
      <c r="J2523" s="3">
        <v>0</v>
      </c>
      <c r="K2523" s="3">
        <v>0</v>
      </c>
      <c r="L2523" s="3">
        <v>0</v>
      </c>
      <c r="M2523" s="3">
        <v>0</v>
      </c>
      <c r="N2523" s="3">
        <v>0</v>
      </c>
      <c r="O2523" s="3">
        <v>0.07</v>
      </c>
      <c r="P2523" s="3">
        <v>0</v>
      </c>
      <c r="Q2523" s="3">
        <v>0</v>
      </c>
      <c r="R2523" s="3">
        <v>0</v>
      </c>
    </row>
    <row r="2524" spans="1:18">
      <c r="A2524" s="3" t="s">
        <v>1185</v>
      </c>
      <c r="B2524" s="3" t="s">
        <v>1186</v>
      </c>
      <c r="C2524" s="3" t="s">
        <v>1187</v>
      </c>
      <c r="D2524" s="3" t="s">
        <v>1177</v>
      </c>
      <c r="E2524" s="3" t="s">
        <v>1710</v>
      </c>
      <c r="F2524" s="3">
        <v>39.99</v>
      </c>
      <c r="G2524" s="3" t="s">
        <v>6233</v>
      </c>
      <c r="H2524" s="3"/>
      <c r="I2524" s="3" t="s">
        <v>6234</v>
      </c>
      <c r="J2524" s="3">
        <v>19</v>
      </c>
      <c r="K2524" s="3">
        <v>14</v>
      </c>
      <c r="L2524" s="3">
        <v>2</v>
      </c>
      <c r="M2524" s="3">
        <v>3</v>
      </c>
      <c r="N2524" s="3">
        <v>19</v>
      </c>
      <c r="O2524" s="3">
        <v>0.07</v>
      </c>
      <c r="P2524" s="3">
        <v>0</v>
      </c>
      <c r="Q2524" s="3">
        <v>0</v>
      </c>
      <c r="R2524" s="3">
        <v>0</v>
      </c>
    </row>
    <row r="2525" spans="1:18">
      <c r="A2525" s="3" t="s">
        <v>9827</v>
      </c>
      <c r="B2525" s="3" t="s">
        <v>9828</v>
      </c>
      <c r="C2525" s="3" t="s">
        <v>9829</v>
      </c>
      <c r="D2525" s="3" t="s">
        <v>1177</v>
      </c>
      <c r="E2525" s="3" t="s">
        <v>1710</v>
      </c>
      <c r="F2525" s="3">
        <v>39.99</v>
      </c>
      <c r="G2525" s="3" t="s">
        <v>6233</v>
      </c>
      <c r="H2525" s="3"/>
      <c r="I2525" s="3" t="s">
        <v>6234</v>
      </c>
      <c r="J2525" s="3">
        <v>0</v>
      </c>
      <c r="K2525" s="3">
        <v>0</v>
      </c>
      <c r="L2525" s="3">
        <v>0</v>
      </c>
      <c r="M2525" s="3">
        <v>0</v>
      </c>
      <c r="N2525" s="3">
        <v>27</v>
      </c>
      <c r="O2525" s="3">
        <v>0.16</v>
      </c>
      <c r="P2525" s="3">
        <v>0</v>
      </c>
      <c r="Q2525" s="3">
        <v>27</v>
      </c>
      <c r="R2525" s="3">
        <v>0</v>
      </c>
    </row>
    <row r="2526" spans="1:18">
      <c r="A2526" s="3" t="s">
        <v>1174</v>
      </c>
      <c r="B2526" s="3" t="s">
        <v>1175</v>
      </c>
      <c r="C2526" s="3" t="s">
        <v>1176</v>
      </c>
      <c r="D2526" s="3" t="s">
        <v>1177</v>
      </c>
      <c r="E2526" s="3" t="s">
        <v>1710</v>
      </c>
      <c r="F2526" s="3">
        <v>39.99</v>
      </c>
      <c r="G2526" s="3" t="s">
        <v>6233</v>
      </c>
      <c r="H2526" s="3"/>
      <c r="I2526" s="3" t="s">
        <v>6234</v>
      </c>
      <c r="J2526" s="3">
        <v>4</v>
      </c>
      <c r="K2526" s="3">
        <v>0</v>
      </c>
      <c r="L2526" s="3">
        <v>3</v>
      </c>
      <c r="M2526" s="3">
        <v>1</v>
      </c>
      <c r="N2526" s="3">
        <v>24</v>
      </c>
      <c r="O2526" s="3">
        <v>0.16</v>
      </c>
      <c r="P2526" s="3">
        <v>0</v>
      </c>
      <c r="Q2526" s="3">
        <v>20</v>
      </c>
      <c r="R2526" s="3">
        <v>0</v>
      </c>
    </row>
    <row r="2527" spans="1:18">
      <c r="A2527" s="3" t="s">
        <v>5057</v>
      </c>
      <c r="B2527" s="3" t="s">
        <v>5058</v>
      </c>
      <c r="C2527" s="3" t="s">
        <v>5059</v>
      </c>
      <c r="D2527" s="3" t="s">
        <v>5060</v>
      </c>
      <c r="E2527" s="3" t="s">
        <v>1710</v>
      </c>
      <c r="F2527" s="3">
        <v>19.99</v>
      </c>
      <c r="G2527" s="3" t="s">
        <v>6233</v>
      </c>
      <c r="H2527" s="3"/>
      <c r="I2527" s="3" t="s">
        <v>6234</v>
      </c>
      <c r="J2527" s="3">
        <v>6</v>
      </c>
      <c r="K2527" s="3">
        <v>6</v>
      </c>
      <c r="L2527" s="3">
        <v>0</v>
      </c>
      <c r="M2527" s="3">
        <v>0</v>
      </c>
      <c r="N2527" s="3">
        <v>6</v>
      </c>
      <c r="O2527" s="3">
        <v>0.08</v>
      </c>
      <c r="P2527" s="3">
        <v>0</v>
      </c>
      <c r="Q2527" s="3">
        <v>0</v>
      </c>
      <c r="R2527" s="3">
        <v>0</v>
      </c>
    </row>
    <row r="2528" spans="1:18">
      <c r="A2528" s="3" t="s">
        <v>2587</v>
      </c>
      <c r="B2528" s="3" t="s">
        <v>2588</v>
      </c>
      <c r="C2528" s="3" t="s">
        <v>2589</v>
      </c>
      <c r="D2528" s="3" t="s">
        <v>2590</v>
      </c>
      <c r="E2528" s="3" t="s">
        <v>1710</v>
      </c>
      <c r="F2528" s="3">
        <v>19.99</v>
      </c>
      <c r="G2528" s="3" t="s">
        <v>6233</v>
      </c>
      <c r="H2528" s="3"/>
      <c r="I2528" s="3" t="s">
        <v>6234</v>
      </c>
      <c r="J2528" s="3">
        <v>7</v>
      </c>
      <c r="K2528" s="3">
        <v>4</v>
      </c>
      <c r="L2528" s="3">
        <v>3</v>
      </c>
      <c r="M2528" s="3">
        <v>0</v>
      </c>
      <c r="N2528" s="3">
        <v>7</v>
      </c>
      <c r="O2528" s="3">
        <v>0.08</v>
      </c>
      <c r="P2528" s="3">
        <v>0</v>
      </c>
      <c r="Q2528" s="3">
        <v>0</v>
      </c>
      <c r="R2528" s="3">
        <v>0</v>
      </c>
    </row>
    <row r="2529" spans="1:18">
      <c r="A2529" s="3" t="s">
        <v>4177</v>
      </c>
      <c r="B2529" s="3" t="s">
        <v>4178</v>
      </c>
      <c r="C2529" s="3" t="s">
        <v>4179</v>
      </c>
      <c r="D2529" s="3" t="s">
        <v>4180</v>
      </c>
      <c r="E2529" s="3" t="s">
        <v>1710</v>
      </c>
      <c r="F2529" s="3">
        <v>19.99</v>
      </c>
      <c r="G2529" s="3" t="s">
        <v>6233</v>
      </c>
      <c r="H2529" s="3"/>
      <c r="I2529" s="3" t="s">
        <v>6234</v>
      </c>
      <c r="J2529" s="3">
        <v>10</v>
      </c>
      <c r="K2529" s="3">
        <v>10</v>
      </c>
      <c r="L2529" s="3">
        <v>0</v>
      </c>
      <c r="M2529" s="3">
        <v>0</v>
      </c>
      <c r="N2529" s="3">
        <v>10</v>
      </c>
      <c r="O2529" s="3">
        <v>0.08</v>
      </c>
      <c r="P2529" s="3">
        <v>0</v>
      </c>
      <c r="Q2529" s="3">
        <v>0</v>
      </c>
      <c r="R2529" s="3">
        <v>0</v>
      </c>
    </row>
    <row r="2530" spans="1:18">
      <c r="A2530" s="3" t="s">
        <v>2594</v>
      </c>
      <c r="B2530" s="3" t="s">
        <v>2595</v>
      </c>
      <c r="C2530" s="3" t="s">
        <v>2596</v>
      </c>
      <c r="D2530" s="3" t="s">
        <v>2597</v>
      </c>
      <c r="E2530" s="3" t="s">
        <v>1710</v>
      </c>
      <c r="F2530" s="3">
        <v>19.99</v>
      </c>
      <c r="G2530" s="3" t="s">
        <v>6233</v>
      </c>
      <c r="H2530" s="3"/>
      <c r="I2530" s="3" t="s">
        <v>6234</v>
      </c>
      <c r="J2530" s="3">
        <v>9</v>
      </c>
      <c r="K2530" s="3">
        <v>8</v>
      </c>
      <c r="L2530" s="3">
        <v>1</v>
      </c>
      <c r="M2530" s="3">
        <v>0</v>
      </c>
      <c r="N2530" s="3">
        <v>9</v>
      </c>
      <c r="O2530" s="3">
        <v>0.08</v>
      </c>
      <c r="P2530" s="3">
        <v>0</v>
      </c>
      <c r="Q2530" s="3">
        <v>0</v>
      </c>
      <c r="R2530" s="3">
        <v>0</v>
      </c>
    </row>
    <row r="2531" spans="1:18">
      <c r="A2531" s="3" t="s">
        <v>3267</v>
      </c>
      <c r="B2531" s="3" t="s">
        <v>3268</v>
      </c>
      <c r="C2531" s="3" t="s">
        <v>3269</v>
      </c>
      <c r="D2531" s="3" t="s">
        <v>3270</v>
      </c>
      <c r="E2531" s="3" t="s">
        <v>1710</v>
      </c>
      <c r="F2531" s="3">
        <v>19.99</v>
      </c>
      <c r="G2531" s="3" t="s">
        <v>6233</v>
      </c>
      <c r="H2531" s="3"/>
      <c r="I2531" s="3" t="s">
        <v>6234</v>
      </c>
      <c r="J2531" s="3">
        <v>7</v>
      </c>
      <c r="K2531" s="3">
        <v>7</v>
      </c>
      <c r="L2531" s="3">
        <v>0</v>
      </c>
      <c r="M2531" s="3">
        <v>0</v>
      </c>
      <c r="N2531" s="3">
        <v>7</v>
      </c>
      <c r="O2531" s="3">
        <v>0.08</v>
      </c>
      <c r="P2531" s="3">
        <v>0</v>
      </c>
      <c r="Q2531" s="3">
        <v>0</v>
      </c>
      <c r="R2531" s="3">
        <v>0</v>
      </c>
    </row>
    <row r="2532" spans="1:18">
      <c r="A2532" s="3" t="s">
        <v>2218</v>
      </c>
      <c r="B2532" s="3" t="s">
        <v>2219</v>
      </c>
      <c r="C2532" s="3" t="s">
        <v>2220</v>
      </c>
      <c r="D2532" s="3" t="s">
        <v>2221</v>
      </c>
      <c r="E2532" s="3" t="s">
        <v>1710</v>
      </c>
      <c r="F2532" s="3">
        <v>19.99</v>
      </c>
      <c r="G2532" s="3" t="s">
        <v>6233</v>
      </c>
      <c r="H2532" s="3"/>
      <c r="I2532" s="3" t="s">
        <v>6234</v>
      </c>
      <c r="J2532" s="3">
        <v>3</v>
      </c>
      <c r="K2532" s="3">
        <v>3</v>
      </c>
      <c r="L2532" s="3">
        <v>0</v>
      </c>
      <c r="M2532" s="3">
        <v>0</v>
      </c>
      <c r="N2532" s="3">
        <v>3</v>
      </c>
      <c r="O2532" s="3">
        <v>0.08</v>
      </c>
      <c r="P2532" s="3">
        <v>0</v>
      </c>
      <c r="Q2532" s="3">
        <v>0</v>
      </c>
      <c r="R2532" s="3">
        <v>0</v>
      </c>
    </row>
    <row r="2533" spans="1:18">
      <c r="A2533" s="3" t="s">
        <v>6015</v>
      </c>
      <c r="B2533" s="3" t="s">
        <v>6016</v>
      </c>
      <c r="C2533" s="3" t="s">
        <v>6017</v>
      </c>
      <c r="D2533" s="3" t="s">
        <v>6018</v>
      </c>
      <c r="E2533" s="3" t="s">
        <v>1710</v>
      </c>
      <c r="F2533" s="3">
        <v>19.99</v>
      </c>
      <c r="G2533" s="3" t="s">
        <v>6233</v>
      </c>
      <c r="H2533" s="3"/>
      <c r="I2533" s="3" t="s">
        <v>6234</v>
      </c>
      <c r="J2533" s="3">
        <v>6</v>
      </c>
      <c r="K2533" s="3">
        <v>2</v>
      </c>
      <c r="L2533" s="3">
        <v>4</v>
      </c>
      <c r="M2533" s="3">
        <v>0</v>
      </c>
      <c r="N2533" s="3">
        <v>6</v>
      </c>
      <c r="O2533" s="3">
        <v>0.08</v>
      </c>
      <c r="P2533" s="3">
        <v>0</v>
      </c>
      <c r="Q2533" s="3">
        <v>0</v>
      </c>
      <c r="R2533" s="3">
        <v>0</v>
      </c>
    </row>
    <row r="2534" spans="1:18">
      <c r="A2534" s="3" t="s">
        <v>1771</v>
      </c>
      <c r="B2534" s="3" t="s">
        <v>1772</v>
      </c>
      <c r="C2534" s="3" t="s">
        <v>1773</v>
      </c>
      <c r="D2534" s="3" t="s">
        <v>1774</v>
      </c>
      <c r="E2534" s="3" t="s">
        <v>1710</v>
      </c>
      <c r="F2534" s="3">
        <v>19.99</v>
      </c>
      <c r="G2534" s="3" t="s">
        <v>6233</v>
      </c>
      <c r="H2534" s="3"/>
      <c r="I2534" s="3" t="s">
        <v>6234</v>
      </c>
      <c r="J2534" s="3">
        <v>10</v>
      </c>
      <c r="K2534" s="3">
        <v>8</v>
      </c>
      <c r="L2534" s="3">
        <v>2</v>
      </c>
      <c r="M2534" s="3">
        <v>0</v>
      </c>
      <c r="N2534" s="3">
        <v>10</v>
      </c>
      <c r="O2534" s="3">
        <v>0.08</v>
      </c>
      <c r="P2534" s="3">
        <v>0</v>
      </c>
      <c r="Q2534" s="3">
        <v>0</v>
      </c>
      <c r="R2534" s="3">
        <v>0</v>
      </c>
    </row>
    <row r="2535" spans="1:18">
      <c r="A2535" s="3" t="s">
        <v>3259</v>
      </c>
      <c r="B2535" s="3" t="s">
        <v>3260</v>
      </c>
      <c r="C2535" s="3" t="s">
        <v>3261</v>
      </c>
      <c r="D2535" s="3" t="s">
        <v>3262</v>
      </c>
      <c r="E2535" s="3" t="s">
        <v>1710</v>
      </c>
      <c r="F2535" s="3">
        <v>19.99</v>
      </c>
      <c r="G2535" s="3" t="s">
        <v>6233</v>
      </c>
      <c r="H2535" s="3"/>
      <c r="I2535" s="3" t="s">
        <v>6234</v>
      </c>
      <c r="J2535" s="3">
        <v>10</v>
      </c>
      <c r="K2535" s="3">
        <v>10</v>
      </c>
      <c r="L2535" s="3">
        <v>0</v>
      </c>
      <c r="M2535" s="3">
        <v>0</v>
      </c>
      <c r="N2535" s="3">
        <v>10</v>
      </c>
      <c r="O2535" s="3">
        <v>0.08</v>
      </c>
      <c r="P2535" s="3">
        <v>0</v>
      </c>
      <c r="Q2535" s="3">
        <v>0</v>
      </c>
      <c r="R2535" s="3">
        <v>0</v>
      </c>
    </row>
    <row r="2536" spans="1:18">
      <c r="A2536" s="3" t="s">
        <v>3910</v>
      </c>
      <c r="B2536" s="3" t="s">
        <v>3911</v>
      </c>
      <c r="C2536" s="3" t="s">
        <v>3912</v>
      </c>
      <c r="D2536" s="3" t="s">
        <v>3913</v>
      </c>
      <c r="E2536" s="3" t="s">
        <v>1710</v>
      </c>
      <c r="F2536" s="3">
        <v>19.99</v>
      </c>
      <c r="G2536" s="3" t="s">
        <v>6233</v>
      </c>
      <c r="H2536" s="3"/>
      <c r="I2536" s="3" t="s">
        <v>6234</v>
      </c>
      <c r="J2536" s="3">
        <v>6</v>
      </c>
      <c r="K2536" s="3">
        <v>5</v>
      </c>
      <c r="L2536" s="3">
        <v>1</v>
      </c>
      <c r="M2536" s="3">
        <v>0</v>
      </c>
      <c r="N2536" s="3">
        <v>6</v>
      </c>
      <c r="O2536" s="3">
        <v>0.08</v>
      </c>
      <c r="P2536" s="3">
        <v>0</v>
      </c>
      <c r="Q2536" s="3">
        <v>0</v>
      </c>
      <c r="R2536" s="3">
        <v>0</v>
      </c>
    </row>
    <row r="2537" spans="1:18">
      <c r="A2537" s="3" t="s">
        <v>2257</v>
      </c>
      <c r="B2537" s="3" t="s">
        <v>2258</v>
      </c>
      <c r="C2537" s="3" t="s">
        <v>2259</v>
      </c>
      <c r="D2537" s="3" t="s">
        <v>2260</v>
      </c>
      <c r="E2537" s="3" t="s">
        <v>1710</v>
      </c>
      <c r="F2537" s="3">
        <v>19.99</v>
      </c>
      <c r="G2537" s="3" t="s">
        <v>6233</v>
      </c>
      <c r="H2537" s="3"/>
      <c r="I2537" s="3" t="s">
        <v>6234</v>
      </c>
      <c r="J2537" s="3">
        <v>6</v>
      </c>
      <c r="K2537" s="3">
        <v>6</v>
      </c>
      <c r="L2537" s="3">
        <v>0</v>
      </c>
      <c r="M2537" s="3">
        <v>0</v>
      </c>
      <c r="N2537" s="3">
        <v>6</v>
      </c>
      <c r="O2537" s="3">
        <v>0.08</v>
      </c>
      <c r="P2537" s="3">
        <v>0</v>
      </c>
      <c r="Q2537" s="3">
        <v>0</v>
      </c>
      <c r="R2537" s="3">
        <v>0</v>
      </c>
    </row>
    <row r="2538" spans="1:18">
      <c r="A2538" s="3" t="s">
        <v>3321</v>
      </c>
      <c r="B2538" s="3" t="s">
        <v>3322</v>
      </c>
      <c r="C2538" s="3" t="s">
        <v>3323</v>
      </c>
      <c r="D2538" s="3" t="s">
        <v>3324</v>
      </c>
      <c r="E2538" s="3" t="s">
        <v>1710</v>
      </c>
      <c r="F2538" s="3">
        <v>19.99</v>
      </c>
      <c r="G2538" s="3" t="s">
        <v>6233</v>
      </c>
      <c r="H2538" s="3"/>
      <c r="I2538" s="3" t="s">
        <v>6234</v>
      </c>
      <c r="J2538" s="3">
        <v>8</v>
      </c>
      <c r="K2538" s="3">
        <v>8</v>
      </c>
      <c r="L2538" s="3">
        <v>0</v>
      </c>
      <c r="M2538" s="3">
        <v>0</v>
      </c>
      <c r="N2538" s="3">
        <v>8</v>
      </c>
      <c r="O2538" s="3">
        <v>0.08</v>
      </c>
      <c r="P2538" s="3">
        <v>0</v>
      </c>
      <c r="Q2538" s="3">
        <v>0</v>
      </c>
      <c r="R2538" s="3">
        <v>0</v>
      </c>
    </row>
    <row r="2539" spans="1:18">
      <c r="A2539" s="3" t="s">
        <v>4552</v>
      </c>
      <c r="B2539" s="3" t="s">
        <v>4553</v>
      </c>
      <c r="C2539" s="3" t="s">
        <v>4554</v>
      </c>
      <c r="D2539" s="3" t="s">
        <v>4555</v>
      </c>
      <c r="E2539" s="3" t="s">
        <v>1710</v>
      </c>
      <c r="F2539" s="3">
        <v>19.99</v>
      </c>
      <c r="G2539" s="3" t="s">
        <v>6233</v>
      </c>
      <c r="H2539" s="3"/>
      <c r="I2539" s="3" t="s">
        <v>6234</v>
      </c>
      <c r="J2539" s="3">
        <v>9</v>
      </c>
      <c r="K2539" s="3">
        <v>9</v>
      </c>
      <c r="L2539" s="3">
        <v>0</v>
      </c>
      <c r="M2539" s="3">
        <v>0</v>
      </c>
      <c r="N2539" s="3">
        <v>9</v>
      </c>
      <c r="O2539" s="3">
        <v>0.08</v>
      </c>
      <c r="P2539" s="3">
        <v>0</v>
      </c>
      <c r="Q2539" s="3">
        <v>0</v>
      </c>
      <c r="R2539" s="3">
        <v>0</v>
      </c>
    </row>
    <row r="2540" spans="1:18">
      <c r="A2540" s="3" t="s">
        <v>2648</v>
      </c>
      <c r="B2540" s="3" t="s">
        <v>2649</v>
      </c>
      <c r="C2540" s="3" t="s">
        <v>2650</v>
      </c>
      <c r="D2540" s="3" t="s">
        <v>2651</v>
      </c>
      <c r="E2540" s="3" t="s">
        <v>1710</v>
      </c>
      <c r="F2540" s="3">
        <v>19.99</v>
      </c>
      <c r="G2540" s="3" t="s">
        <v>6233</v>
      </c>
      <c r="H2540" s="3"/>
      <c r="I2540" s="3" t="s">
        <v>6234</v>
      </c>
      <c r="J2540" s="3">
        <v>10</v>
      </c>
      <c r="K2540" s="3">
        <v>10</v>
      </c>
      <c r="L2540" s="3">
        <v>0</v>
      </c>
      <c r="M2540" s="3">
        <v>0</v>
      </c>
      <c r="N2540" s="3">
        <v>10</v>
      </c>
      <c r="O2540" s="3">
        <v>0.08</v>
      </c>
      <c r="P2540" s="3">
        <v>0</v>
      </c>
      <c r="Q2540" s="3">
        <v>0</v>
      </c>
      <c r="R2540" s="3">
        <v>0</v>
      </c>
    </row>
    <row r="2541" spans="1:18">
      <c r="A2541" s="3" t="s">
        <v>2151</v>
      </c>
      <c r="B2541" s="3" t="s">
        <v>2152</v>
      </c>
      <c r="C2541" s="3" t="s">
        <v>2153</v>
      </c>
      <c r="D2541" s="3" t="s">
        <v>2154</v>
      </c>
      <c r="E2541" s="3" t="s">
        <v>1710</v>
      </c>
      <c r="F2541" s="3">
        <v>19.99</v>
      </c>
      <c r="G2541" s="3" t="s">
        <v>6233</v>
      </c>
      <c r="H2541" s="3"/>
      <c r="I2541" s="3" t="s">
        <v>6234</v>
      </c>
      <c r="J2541" s="3">
        <v>5</v>
      </c>
      <c r="K2541" s="3">
        <v>4</v>
      </c>
      <c r="L2541" s="3">
        <v>1</v>
      </c>
      <c r="M2541" s="3">
        <v>0</v>
      </c>
      <c r="N2541" s="3">
        <v>5</v>
      </c>
      <c r="O2541" s="3">
        <v>0.08</v>
      </c>
      <c r="P2541" s="3">
        <v>0</v>
      </c>
      <c r="Q2541" s="3">
        <v>0</v>
      </c>
      <c r="R2541" s="3">
        <v>0</v>
      </c>
    </row>
    <row r="2542" spans="1:18">
      <c r="A2542" s="3" t="s">
        <v>2292</v>
      </c>
      <c r="B2542" s="3" t="s">
        <v>2293</v>
      </c>
      <c r="C2542" s="3" t="s">
        <v>2294</v>
      </c>
      <c r="D2542" s="3" t="s">
        <v>1426</v>
      </c>
      <c r="E2542" s="3" t="s">
        <v>1710</v>
      </c>
      <c r="F2542" s="3">
        <v>39.99</v>
      </c>
      <c r="G2542" s="3" t="s">
        <v>6233</v>
      </c>
      <c r="H2542" s="3"/>
      <c r="I2542" s="3" t="s">
        <v>6234</v>
      </c>
      <c r="J2542" s="3">
        <v>9</v>
      </c>
      <c r="K2542" s="3">
        <v>9</v>
      </c>
      <c r="L2542" s="3">
        <v>0</v>
      </c>
      <c r="M2542" s="3">
        <v>0</v>
      </c>
      <c r="N2542" s="3">
        <v>9</v>
      </c>
      <c r="O2542" s="3">
        <v>0.08</v>
      </c>
      <c r="P2542" s="3">
        <v>0</v>
      </c>
      <c r="Q2542" s="3">
        <v>0</v>
      </c>
      <c r="R2542" s="3">
        <v>0</v>
      </c>
    </row>
    <row r="2543" spans="1:18">
      <c r="A2543" s="3" t="s">
        <v>9830</v>
      </c>
      <c r="B2543" s="3" t="s">
        <v>9831</v>
      </c>
      <c r="C2543" s="3" t="s">
        <v>9328</v>
      </c>
      <c r="D2543" s="3" t="s">
        <v>9832</v>
      </c>
      <c r="E2543" s="3" t="s">
        <v>1710</v>
      </c>
      <c r="F2543" s="3">
        <v>39.99</v>
      </c>
      <c r="G2543" s="3" t="s">
        <v>6233</v>
      </c>
      <c r="H2543" s="3"/>
      <c r="I2543" s="3" t="s">
        <v>6234</v>
      </c>
      <c r="J2543" s="3">
        <v>0</v>
      </c>
      <c r="K2543" s="3">
        <v>0</v>
      </c>
      <c r="L2543" s="3">
        <v>0</v>
      </c>
      <c r="M2543" s="3">
        <v>0</v>
      </c>
      <c r="N2543" s="3">
        <v>0</v>
      </c>
      <c r="O2543" s="3">
        <v>0</v>
      </c>
      <c r="P2543" s="3">
        <v>0</v>
      </c>
      <c r="Q2543" s="3">
        <v>0</v>
      </c>
      <c r="R2543" s="3">
        <v>0</v>
      </c>
    </row>
    <row r="2544" spans="1:18">
      <c r="A2544" s="3" t="s">
        <v>5713</v>
      </c>
      <c r="B2544" s="3" t="s">
        <v>5714</v>
      </c>
      <c r="C2544" s="3" t="s">
        <v>5715</v>
      </c>
      <c r="D2544" s="3" t="s">
        <v>1426</v>
      </c>
      <c r="E2544" s="3" t="s">
        <v>1710</v>
      </c>
      <c r="F2544" s="3">
        <v>39.99</v>
      </c>
      <c r="G2544" s="3" t="s">
        <v>6233</v>
      </c>
      <c r="H2544" s="3"/>
      <c r="I2544" s="3" t="s">
        <v>6234</v>
      </c>
      <c r="J2544" s="3">
        <v>9</v>
      </c>
      <c r="K2544" s="3">
        <v>9</v>
      </c>
      <c r="L2544" s="3">
        <v>0</v>
      </c>
      <c r="M2544" s="3">
        <v>0</v>
      </c>
      <c r="N2544" s="3">
        <v>9</v>
      </c>
      <c r="O2544" s="3">
        <v>0.08</v>
      </c>
      <c r="P2544" s="3">
        <v>0</v>
      </c>
      <c r="Q2544" s="3">
        <v>0</v>
      </c>
      <c r="R2544" s="3">
        <v>0</v>
      </c>
    </row>
    <row r="2545" spans="1:18">
      <c r="A2545" s="3" t="s">
        <v>4185</v>
      </c>
      <c r="B2545" s="3" t="s">
        <v>4186</v>
      </c>
      <c r="C2545" s="3" t="s">
        <v>4187</v>
      </c>
      <c r="D2545" s="3" t="s">
        <v>1426</v>
      </c>
      <c r="E2545" s="3" t="s">
        <v>1710</v>
      </c>
      <c r="F2545" s="3">
        <v>39.99</v>
      </c>
      <c r="G2545" s="3" t="s">
        <v>6233</v>
      </c>
      <c r="H2545" s="3"/>
      <c r="I2545" s="3" t="s">
        <v>6234</v>
      </c>
      <c r="J2545" s="3">
        <v>8</v>
      </c>
      <c r="K2545" s="3">
        <v>8</v>
      </c>
      <c r="L2545" s="3">
        <v>0</v>
      </c>
      <c r="M2545" s="3">
        <v>0</v>
      </c>
      <c r="N2545" s="3">
        <v>8</v>
      </c>
      <c r="O2545" s="3">
        <v>0.08</v>
      </c>
      <c r="P2545" s="3">
        <v>0</v>
      </c>
      <c r="Q2545" s="3">
        <v>0</v>
      </c>
      <c r="R2545" s="3">
        <v>0</v>
      </c>
    </row>
    <row r="2546" spans="1:18">
      <c r="A2546" s="3" t="s">
        <v>3458</v>
      </c>
      <c r="B2546" s="3" t="s">
        <v>3459</v>
      </c>
      <c r="C2546" s="3" t="s">
        <v>3460</v>
      </c>
      <c r="D2546" s="3" t="s">
        <v>1426</v>
      </c>
      <c r="E2546" s="3" t="s">
        <v>1710</v>
      </c>
      <c r="F2546" s="3">
        <v>39.99</v>
      </c>
      <c r="G2546" s="3" t="s">
        <v>6233</v>
      </c>
      <c r="H2546" s="3"/>
      <c r="I2546" s="3" t="s">
        <v>6234</v>
      </c>
      <c r="J2546" s="3">
        <v>10</v>
      </c>
      <c r="K2546" s="3">
        <v>10</v>
      </c>
      <c r="L2546" s="3">
        <v>0</v>
      </c>
      <c r="M2546" s="3">
        <v>0</v>
      </c>
      <c r="N2546" s="3">
        <v>10</v>
      </c>
      <c r="O2546" s="3">
        <v>0.08</v>
      </c>
      <c r="P2546" s="3">
        <v>0</v>
      </c>
      <c r="Q2546" s="3">
        <v>0</v>
      </c>
      <c r="R2546" s="3">
        <v>0</v>
      </c>
    </row>
    <row r="2547" spans="1:18">
      <c r="A2547" s="3" t="s">
        <v>5196</v>
      </c>
      <c r="B2547" s="3" t="s">
        <v>5197</v>
      </c>
      <c r="C2547" s="3" t="s">
        <v>5198</v>
      </c>
      <c r="D2547" s="3" t="s">
        <v>1426</v>
      </c>
      <c r="E2547" s="3" t="s">
        <v>1710</v>
      </c>
      <c r="F2547" s="3">
        <v>39.99</v>
      </c>
      <c r="G2547" s="3" t="s">
        <v>6233</v>
      </c>
      <c r="H2547" s="3"/>
      <c r="I2547" s="3" t="s">
        <v>6234</v>
      </c>
      <c r="J2547" s="3">
        <v>10</v>
      </c>
      <c r="K2547" s="3">
        <v>10</v>
      </c>
      <c r="L2547" s="3">
        <v>0</v>
      </c>
      <c r="M2547" s="3">
        <v>0</v>
      </c>
      <c r="N2547" s="3">
        <v>10</v>
      </c>
      <c r="O2547" s="3">
        <v>0.07</v>
      </c>
      <c r="P2547" s="3">
        <v>0</v>
      </c>
      <c r="Q2547" s="3">
        <v>0</v>
      </c>
      <c r="R2547" s="3">
        <v>0</v>
      </c>
    </row>
    <row r="2548" spans="1:18">
      <c r="A2548" s="3" t="s">
        <v>9833</v>
      </c>
      <c r="B2548" s="3" t="s">
        <v>9834</v>
      </c>
      <c r="C2548" s="3" t="s">
        <v>9339</v>
      </c>
      <c r="D2548" s="3" t="s">
        <v>1426</v>
      </c>
      <c r="E2548" s="3" t="s">
        <v>1710</v>
      </c>
      <c r="F2548" s="3">
        <v>39.99</v>
      </c>
      <c r="G2548" s="3" t="s">
        <v>6233</v>
      </c>
      <c r="H2548" s="3"/>
      <c r="I2548" s="3" t="s">
        <v>6234</v>
      </c>
      <c r="J2548" s="3">
        <v>0</v>
      </c>
      <c r="K2548" s="3">
        <v>0</v>
      </c>
      <c r="L2548" s="3">
        <v>0</v>
      </c>
      <c r="M2548" s="3">
        <v>0</v>
      </c>
      <c r="N2548" s="3">
        <v>0</v>
      </c>
      <c r="O2548" s="3">
        <v>0</v>
      </c>
      <c r="P2548" s="3">
        <v>0</v>
      </c>
      <c r="Q2548" s="3">
        <v>0</v>
      </c>
      <c r="R2548" s="3">
        <v>0</v>
      </c>
    </row>
    <row r="2549" spans="1:18">
      <c r="A2549" s="3" t="s">
        <v>2391</v>
      </c>
      <c r="B2549" s="3" t="s">
        <v>2392</v>
      </c>
      <c r="C2549" s="3" t="s">
        <v>2393</v>
      </c>
      <c r="D2549" s="3" t="s">
        <v>1426</v>
      </c>
      <c r="E2549" s="3" t="s">
        <v>1710</v>
      </c>
      <c r="F2549" s="3">
        <v>39.99</v>
      </c>
      <c r="G2549" s="3" t="s">
        <v>6233</v>
      </c>
      <c r="H2549" s="3"/>
      <c r="I2549" s="3" t="s">
        <v>6234</v>
      </c>
      <c r="J2549" s="3">
        <v>9</v>
      </c>
      <c r="K2549" s="3">
        <v>9</v>
      </c>
      <c r="L2549" s="3">
        <v>0</v>
      </c>
      <c r="M2549" s="3">
        <v>0</v>
      </c>
      <c r="N2549" s="3">
        <v>9</v>
      </c>
      <c r="O2549" s="3">
        <v>0.08</v>
      </c>
      <c r="P2549" s="3">
        <v>0</v>
      </c>
      <c r="Q2549" s="3">
        <v>0</v>
      </c>
      <c r="R2549" s="3">
        <v>0</v>
      </c>
    </row>
    <row r="2550" spans="1:18">
      <c r="A2550" s="3" t="s">
        <v>3922</v>
      </c>
      <c r="B2550" s="3" t="s">
        <v>3923</v>
      </c>
      <c r="C2550" s="3" t="s">
        <v>3924</v>
      </c>
      <c r="D2550" s="3" t="s">
        <v>1426</v>
      </c>
      <c r="E2550" s="3" t="s">
        <v>1710</v>
      </c>
      <c r="F2550" s="3">
        <v>39.99</v>
      </c>
      <c r="G2550" s="3" t="s">
        <v>6233</v>
      </c>
      <c r="H2550" s="3"/>
      <c r="I2550" s="3" t="s">
        <v>6234</v>
      </c>
      <c r="J2550" s="3">
        <v>9</v>
      </c>
      <c r="K2550" s="3">
        <v>9</v>
      </c>
      <c r="L2550" s="3">
        <v>0</v>
      </c>
      <c r="M2550" s="3">
        <v>0</v>
      </c>
      <c r="N2550" s="3">
        <v>9</v>
      </c>
      <c r="O2550" s="3">
        <v>0.08</v>
      </c>
      <c r="P2550" s="3">
        <v>0</v>
      </c>
      <c r="Q2550" s="3">
        <v>0</v>
      </c>
      <c r="R2550" s="3">
        <v>0</v>
      </c>
    </row>
    <row r="2551" spans="1:18">
      <c r="A2551" s="3" t="s">
        <v>5754</v>
      </c>
      <c r="B2551" s="3" t="s">
        <v>5755</v>
      </c>
      <c r="C2551" s="3" t="s">
        <v>5756</v>
      </c>
      <c r="D2551" s="3" t="s">
        <v>1426</v>
      </c>
      <c r="E2551" s="3" t="s">
        <v>1710</v>
      </c>
      <c r="F2551" s="3">
        <v>39.99</v>
      </c>
      <c r="G2551" s="3" t="s">
        <v>6233</v>
      </c>
      <c r="H2551" s="3"/>
      <c r="I2551" s="3" t="s">
        <v>6234</v>
      </c>
      <c r="J2551" s="3">
        <v>8</v>
      </c>
      <c r="K2551" s="3">
        <v>8</v>
      </c>
      <c r="L2551" s="3">
        <v>0</v>
      </c>
      <c r="M2551" s="3">
        <v>0</v>
      </c>
      <c r="N2551" s="3">
        <v>8</v>
      </c>
      <c r="O2551" s="3">
        <v>0.16</v>
      </c>
      <c r="P2551" s="3">
        <v>0</v>
      </c>
      <c r="Q2551" s="3">
        <v>0</v>
      </c>
      <c r="R2551" s="3">
        <v>0</v>
      </c>
    </row>
    <row r="2552" spans="1:18">
      <c r="A2552" s="3" t="s">
        <v>4592</v>
      </c>
      <c r="B2552" s="3" t="s">
        <v>4593</v>
      </c>
      <c r="C2552" s="3" t="s">
        <v>4594</v>
      </c>
      <c r="D2552" s="3" t="s">
        <v>1426</v>
      </c>
      <c r="E2552" s="3" t="s">
        <v>1710</v>
      </c>
      <c r="F2552" s="3">
        <v>39.99</v>
      </c>
      <c r="G2552" s="3" t="s">
        <v>6233</v>
      </c>
      <c r="H2552" s="3"/>
      <c r="I2552" s="3" t="s">
        <v>6234</v>
      </c>
      <c r="J2552" s="3">
        <v>10</v>
      </c>
      <c r="K2552" s="3">
        <v>10</v>
      </c>
      <c r="L2552" s="3">
        <v>0</v>
      </c>
      <c r="M2552" s="3">
        <v>0</v>
      </c>
      <c r="N2552" s="3">
        <v>10</v>
      </c>
      <c r="O2552" s="3">
        <v>0.08</v>
      </c>
      <c r="P2552" s="3">
        <v>0</v>
      </c>
      <c r="Q2552" s="3">
        <v>0</v>
      </c>
      <c r="R2552" s="3">
        <v>0</v>
      </c>
    </row>
    <row r="2553" spans="1:18">
      <c r="A2553" s="3" t="s">
        <v>9835</v>
      </c>
      <c r="B2553" s="3" t="s">
        <v>9836</v>
      </c>
      <c r="C2553" s="3" t="s">
        <v>9350</v>
      </c>
      <c r="D2553" s="3" t="s">
        <v>9832</v>
      </c>
      <c r="E2553" s="3" t="s">
        <v>1710</v>
      </c>
      <c r="F2553" s="3">
        <v>39.99</v>
      </c>
      <c r="G2553" s="3" t="s">
        <v>6233</v>
      </c>
      <c r="H2553" s="3"/>
      <c r="I2553" s="3" t="s">
        <v>6234</v>
      </c>
      <c r="J2553" s="3">
        <v>0</v>
      </c>
      <c r="K2553" s="3">
        <v>0</v>
      </c>
      <c r="L2553" s="3">
        <v>0</v>
      </c>
      <c r="M2553" s="3">
        <v>0</v>
      </c>
      <c r="N2553" s="3">
        <v>0</v>
      </c>
      <c r="O2553" s="3">
        <v>0</v>
      </c>
      <c r="P2553" s="3">
        <v>0</v>
      </c>
      <c r="Q2553" s="3">
        <v>0</v>
      </c>
      <c r="R2553" s="3">
        <v>0</v>
      </c>
    </row>
    <row r="2554" spans="1:18">
      <c r="A2554" s="3" t="s">
        <v>3875</v>
      </c>
      <c r="B2554" s="3" t="s">
        <v>3876</v>
      </c>
      <c r="C2554" s="3" t="s">
        <v>3877</v>
      </c>
      <c r="D2554" s="3" t="s">
        <v>1426</v>
      </c>
      <c r="E2554" s="3" t="s">
        <v>1710</v>
      </c>
      <c r="F2554" s="3">
        <v>39.99</v>
      </c>
      <c r="G2554" s="3" t="s">
        <v>6233</v>
      </c>
      <c r="H2554" s="3"/>
      <c r="I2554" s="3" t="s">
        <v>6234</v>
      </c>
      <c r="J2554" s="3">
        <v>9</v>
      </c>
      <c r="K2554" s="3">
        <v>9</v>
      </c>
      <c r="L2554" s="3">
        <v>0</v>
      </c>
      <c r="M2554" s="3">
        <v>0</v>
      </c>
      <c r="N2554" s="3">
        <v>9</v>
      </c>
      <c r="O2554" s="3">
        <v>0.08</v>
      </c>
      <c r="P2554" s="3">
        <v>0</v>
      </c>
      <c r="Q2554" s="3">
        <v>0</v>
      </c>
      <c r="R2554" s="3">
        <v>0</v>
      </c>
    </row>
    <row r="2555" spans="1:18">
      <c r="A2555" s="3" t="s">
        <v>4423</v>
      </c>
      <c r="B2555" s="3" t="s">
        <v>4424</v>
      </c>
      <c r="C2555" s="3" t="s">
        <v>4425</v>
      </c>
      <c r="D2555" s="3" t="s">
        <v>1426</v>
      </c>
      <c r="E2555" s="3" t="s">
        <v>1710</v>
      </c>
      <c r="F2555" s="3">
        <v>39.99</v>
      </c>
      <c r="G2555" s="3" t="s">
        <v>6233</v>
      </c>
      <c r="H2555" s="3"/>
      <c r="I2555" s="3" t="s">
        <v>6234</v>
      </c>
      <c r="J2555" s="3">
        <v>9</v>
      </c>
      <c r="K2555" s="3">
        <v>8</v>
      </c>
      <c r="L2555" s="3">
        <v>1</v>
      </c>
      <c r="M2555" s="3">
        <v>0</v>
      </c>
      <c r="N2555" s="3">
        <v>9</v>
      </c>
      <c r="O2555" s="3">
        <v>0.08</v>
      </c>
      <c r="P2555" s="3">
        <v>0</v>
      </c>
      <c r="Q2555" s="3">
        <v>0</v>
      </c>
      <c r="R2555" s="3">
        <v>0</v>
      </c>
    </row>
    <row r="2556" spans="1:18">
      <c r="A2556" s="3" t="s">
        <v>5604</v>
      </c>
      <c r="B2556" s="3" t="s">
        <v>5605</v>
      </c>
      <c r="C2556" s="3" t="s">
        <v>5606</v>
      </c>
      <c r="D2556" s="3" t="s">
        <v>1426</v>
      </c>
      <c r="E2556" s="3" t="s">
        <v>1710</v>
      </c>
      <c r="F2556" s="3">
        <v>39.99</v>
      </c>
      <c r="G2556" s="3" t="s">
        <v>6233</v>
      </c>
      <c r="H2556" s="3"/>
      <c r="I2556" s="3" t="s">
        <v>6234</v>
      </c>
      <c r="J2556" s="3">
        <v>10</v>
      </c>
      <c r="K2556" s="3">
        <v>10</v>
      </c>
      <c r="L2556" s="3">
        <v>0</v>
      </c>
      <c r="M2556" s="3">
        <v>0</v>
      </c>
      <c r="N2556" s="3">
        <v>10</v>
      </c>
      <c r="O2556" s="3">
        <v>0.08</v>
      </c>
      <c r="P2556" s="3">
        <v>0</v>
      </c>
      <c r="Q2556" s="3">
        <v>0</v>
      </c>
      <c r="R2556" s="3">
        <v>0</v>
      </c>
    </row>
    <row r="2557" spans="1:18">
      <c r="A2557" s="3" t="s">
        <v>4399</v>
      </c>
      <c r="B2557" s="3" t="s">
        <v>4400</v>
      </c>
      <c r="C2557" s="3" t="s">
        <v>4401</v>
      </c>
      <c r="D2557" s="3" t="s">
        <v>1213</v>
      </c>
      <c r="E2557" s="3" t="s">
        <v>1710</v>
      </c>
      <c r="F2557" s="3">
        <v>39.99</v>
      </c>
      <c r="G2557" s="3" t="s">
        <v>6233</v>
      </c>
      <c r="H2557" s="3"/>
      <c r="I2557" s="3" t="s">
        <v>6234</v>
      </c>
      <c r="J2557" s="3">
        <v>10</v>
      </c>
      <c r="K2557" s="3">
        <v>10</v>
      </c>
      <c r="L2557" s="3">
        <v>0</v>
      </c>
      <c r="M2557" s="3">
        <v>0</v>
      </c>
      <c r="N2557" s="3">
        <v>10</v>
      </c>
      <c r="O2557" s="3">
        <v>0.05</v>
      </c>
      <c r="P2557" s="3">
        <v>0</v>
      </c>
      <c r="Q2557" s="3">
        <v>0</v>
      </c>
      <c r="R2557" s="3">
        <v>0</v>
      </c>
    </row>
    <row r="2558" spans="1:18">
      <c r="A2558" s="3" t="s">
        <v>1210</v>
      </c>
      <c r="B2558" s="3" t="s">
        <v>1211</v>
      </c>
      <c r="C2558" s="3" t="s">
        <v>1212</v>
      </c>
      <c r="D2558" s="3" t="s">
        <v>1213</v>
      </c>
      <c r="E2558" s="3" t="s">
        <v>1710</v>
      </c>
      <c r="F2558" s="3">
        <v>39.99</v>
      </c>
      <c r="G2558" s="3" t="s">
        <v>6233</v>
      </c>
      <c r="H2558" s="3"/>
      <c r="I2558" s="3" t="s">
        <v>6234</v>
      </c>
      <c r="J2558" s="3">
        <v>4</v>
      </c>
      <c r="K2558" s="3">
        <v>0</v>
      </c>
      <c r="L2558" s="3">
        <v>0</v>
      </c>
      <c r="M2558" s="3">
        <v>4</v>
      </c>
      <c r="N2558" s="3">
        <v>4</v>
      </c>
      <c r="O2558" s="3">
        <v>0.05</v>
      </c>
      <c r="P2558" s="3">
        <v>0</v>
      </c>
      <c r="Q2558" s="3">
        <v>0</v>
      </c>
      <c r="R2558" s="3">
        <v>0</v>
      </c>
    </row>
    <row r="2559" spans="1:18">
      <c r="A2559" s="3" t="s">
        <v>1214</v>
      </c>
      <c r="B2559" s="3" t="s">
        <v>1215</v>
      </c>
      <c r="C2559" s="3" t="s">
        <v>1216</v>
      </c>
      <c r="D2559" s="3" t="s">
        <v>1213</v>
      </c>
      <c r="E2559" s="3" t="s">
        <v>1710</v>
      </c>
      <c r="F2559" s="3">
        <v>39.99</v>
      </c>
      <c r="G2559" s="3" t="s">
        <v>6233</v>
      </c>
      <c r="H2559" s="3"/>
      <c r="I2559" s="3" t="s">
        <v>6234</v>
      </c>
      <c r="J2559" s="3">
        <v>10</v>
      </c>
      <c r="K2559" s="3">
        <v>8</v>
      </c>
      <c r="L2559" s="3">
        <v>0</v>
      </c>
      <c r="M2559" s="3">
        <v>2</v>
      </c>
      <c r="N2559" s="3">
        <v>10</v>
      </c>
      <c r="O2559" s="3">
        <v>0.05</v>
      </c>
      <c r="P2559" s="3">
        <v>0</v>
      </c>
      <c r="Q2559" s="3">
        <v>0</v>
      </c>
      <c r="R2559" s="3">
        <v>0</v>
      </c>
    </row>
    <row r="2560" spans="1:18">
      <c r="A2560" s="3" t="s">
        <v>1310</v>
      </c>
      <c r="B2560" s="3" t="s">
        <v>1311</v>
      </c>
      <c r="C2560" s="3" t="s">
        <v>1312</v>
      </c>
      <c r="D2560" s="3" t="s">
        <v>1213</v>
      </c>
      <c r="E2560" s="3" t="s">
        <v>1710</v>
      </c>
      <c r="F2560" s="3">
        <v>16.99</v>
      </c>
      <c r="G2560" s="3" t="s">
        <v>6233</v>
      </c>
      <c r="H2560" s="3"/>
      <c r="I2560" s="3" t="s">
        <v>6234</v>
      </c>
      <c r="J2560" s="3">
        <v>7</v>
      </c>
      <c r="K2560" s="3">
        <v>6</v>
      </c>
      <c r="L2560" s="3">
        <v>0</v>
      </c>
      <c r="M2560" s="3">
        <v>1</v>
      </c>
      <c r="N2560" s="3">
        <v>7</v>
      </c>
      <c r="O2560" s="3">
        <v>0.05</v>
      </c>
      <c r="P2560" s="3">
        <v>0</v>
      </c>
      <c r="Q2560" s="3">
        <v>0</v>
      </c>
      <c r="R2560" s="3">
        <v>0</v>
      </c>
    </row>
    <row r="2561" spans="1:18">
      <c r="A2561" s="3" t="s">
        <v>4042</v>
      </c>
      <c r="B2561" s="3" t="s">
        <v>4043</v>
      </c>
      <c r="C2561" s="3" t="s">
        <v>4044</v>
      </c>
      <c r="D2561" s="3" t="s">
        <v>1213</v>
      </c>
      <c r="E2561" s="3" t="s">
        <v>1710</v>
      </c>
      <c r="F2561" s="3">
        <v>39.99</v>
      </c>
      <c r="G2561" s="3" t="s">
        <v>6233</v>
      </c>
      <c r="H2561" s="3"/>
      <c r="I2561" s="3" t="s">
        <v>6234</v>
      </c>
      <c r="J2561" s="3">
        <v>9</v>
      </c>
      <c r="K2561" s="3">
        <v>9</v>
      </c>
      <c r="L2561" s="3">
        <v>0</v>
      </c>
      <c r="M2561" s="3">
        <v>0</v>
      </c>
      <c r="N2561" s="3">
        <v>9</v>
      </c>
      <c r="O2561" s="3">
        <v>0.05</v>
      </c>
      <c r="P2561" s="3">
        <v>0</v>
      </c>
      <c r="Q2561" s="3">
        <v>0</v>
      </c>
      <c r="R2561" s="3">
        <v>0</v>
      </c>
    </row>
    <row r="2562" spans="1:18">
      <c r="A2562" s="3" t="s">
        <v>9837</v>
      </c>
      <c r="B2562" s="3" t="s">
        <v>9838</v>
      </c>
      <c r="C2562" s="3" t="s">
        <v>9839</v>
      </c>
      <c r="D2562" s="3" t="s">
        <v>1147</v>
      </c>
      <c r="E2562" s="3" t="s">
        <v>1710</v>
      </c>
      <c r="F2562" s="3">
        <v>39.99</v>
      </c>
      <c r="G2562" s="3" t="s">
        <v>6233</v>
      </c>
      <c r="H2562" s="3"/>
      <c r="I2562" s="3" t="s">
        <v>6234</v>
      </c>
      <c r="J2562" s="3">
        <v>0</v>
      </c>
      <c r="K2562" s="3">
        <v>0</v>
      </c>
      <c r="L2562" s="3">
        <v>0</v>
      </c>
      <c r="M2562" s="3">
        <v>0</v>
      </c>
      <c r="N2562" s="3">
        <v>0</v>
      </c>
      <c r="O2562" s="3">
        <v>0.03</v>
      </c>
      <c r="P2562" s="3">
        <v>0</v>
      </c>
      <c r="Q2562" s="3">
        <v>0</v>
      </c>
      <c r="R2562" s="3">
        <v>0</v>
      </c>
    </row>
    <row r="2563" spans="1:18">
      <c r="A2563" s="3" t="s">
        <v>9840</v>
      </c>
      <c r="B2563" s="3" t="s">
        <v>9841</v>
      </c>
      <c r="C2563" s="3" t="s">
        <v>9842</v>
      </c>
      <c r="D2563" s="3" t="s">
        <v>1147</v>
      </c>
      <c r="E2563" s="3" t="s">
        <v>1710</v>
      </c>
      <c r="F2563" s="3">
        <v>39.99</v>
      </c>
      <c r="G2563" s="3" t="s">
        <v>6233</v>
      </c>
      <c r="H2563" s="3"/>
      <c r="I2563" s="3" t="s">
        <v>6234</v>
      </c>
      <c r="J2563" s="3">
        <v>0</v>
      </c>
      <c r="K2563" s="3">
        <v>0</v>
      </c>
      <c r="L2563" s="3">
        <v>0</v>
      </c>
      <c r="M2563" s="3">
        <v>0</v>
      </c>
      <c r="N2563" s="3">
        <v>0</v>
      </c>
      <c r="O2563" s="3">
        <v>0.03</v>
      </c>
      <c r="P2563" s="3">
        <v>0</v>
      </c>
      <c r="Q2563" s="3">
        <v>0</v>
      </c>
      <c r="R2563" s="3">
        <v>0</v>
      </c>
    </row>
    <row r="2564" spans="1:18">
      <c r="A2564" s="3" t="s">
        <v>9843</v>
      </c>
      <c r="B2564" s="3" t="s">
        <v>9844</v>
      </c>
      <c r="C2564" s="3" t="s">
        <v>9845</v>
      </c>
      <c r="D2564" s="3" t="s">
        <v>1147</v>
      </c>
      <c r="E2564" s="3" t="s">
        <v>1710</v>
      </c>
      <c r="F2564" s="3">
        <v>39.99</v>
      </c>
      <c r="G2564" s="3" t="s">
        <v>6233</v>
      </c>
      <c r="H2564" s="3"/>
      <c r="I2564" s="3" t="s">
        <v>6234</v>
      </c>
      <c r="J2564" s="3">
        <v>0</v>
      </c>
      <c r="K2564" s="3">
        <v>0</v>
      </c>
      <c r="L2564" s="3">
        <v>0</v>
      </c>
      <c r="M2564" s="3">
        <v>0</v>
      </c>
      <c r="N2564" s="3">
        <v>0</v>
      </c>
      <c r="O2564" s="3">
        <v>0.03</v>
      </c>
      <c r="P2564" s="3">
        <v>0</v>
      </c>
      <c r="Q2564" s="3">
        <v>0</v>
      </c>
      <c r="R2564" s="3">
        <v>0</v>
      </c>
    </row>
    <row r="2565" spans="1:18">
      <c r="A2565" s="3" t="s">
        <v>9846</v>
      </c>
      <c r="B2565" s="3" t="s">
        <v>9847</v>
      </c>
      <c r="C2565" s="3" t="s">
        <v>9848</v>
      </c>
      <c r="D2565" s="3" t="s">
        <v>1147</v>
      </c>
      <c r="E2565" s="3" t="s">
        <v>1710</v>
      </c>
      <c r="F2565" s="3">
        <v>39.99</v>
      </c>
      <c r="G2565" s="3" t="s">
        <v>6233</v>
      </c>
      <c r="H2565" s="3"/>
      <c r="I2565" s="3" t="s">
        <v>6234</v>
      </c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>
        <v>0.03</v>
      </c>
      <c r="P2565" s="3">
        <v>0</v>
      </c>
      <c r="Q2565" s="3">
        <v>0</v>
      </c>
      <c r="R2565" s="3">
        <v>0</v>
      </c>
    </row>
    <row r="2566" spans="1:18">
      <c r="A2566" s="3" t="s">
        <v>9849</v>
      </c>
      <c r="B2566" s="3" t="s">
        <v>9850</v>
      </c>
      <c r="C2566" s="3" t="s">
        <v>9851</v>
      </c>
      <c r="D2566" s="3"/>
      <c r="E2566" s="3" t="s">
        <v>6275</v>
      </c>
      <c r="F2566" s="3"/>
      <c r="G2566" s="3"/>
      <c r="H2566" s="3"/>
      <c r="I2566" s="3"/>
      <c r="J2566" s="3">
        <v>0</v>
      </c>
      <c r="K2566" s="3">
        <v>0</v>
      </c>
      <c r="L2566" s="3">
        <v>0</v>
      </c>
      <c r="M2566" s="3">
        <v>0</v>
      </c>
      <c r="N2566" s="3">
        <v>0</v>
      </c>
      <c r="O2566" s="3"/>
      <c r="P2566" s="3">
        <v>0</v>
      </c>
      <c r="Q2566" s="3">
        <v>0</v>
      </c>
      <c r="R2566" s="3">
        <v>0</v>
      </c>
    </row>
    <row r="2567" spans="1:18">
      <c r="A2567" s="3" t="s">
        <v>9852</v>
      </c>
      <c r="B2567" s="3" t="s">
        <v>9853</v>
      </c>
      <c r="C2567" s="3" t="s">
        <v>9854</v>
      </c>
      <c r="D2567" s="3" t="s">
        <v>1147</v>
      </c>
      <c r="E2567" s="3" t="s">
        <v>1710</v>
      </c>
      <c r="F2567" s="3">
        <v>39.99</v>
      </c>
      <c r="G2567" s="3" t="s">
        <v>6233</v>
      </c>
      <c r="H2567" s="3"/>
      <c r="I2567" s="3" t="s">
        <v>6234</v>
      </c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>
        <v>0.03</v>
      </c>
      <c r="P2567" s="3">
        <v>0</v>
      </c>
      <c r="Q2567" s="3">
        <v>0</v>
      </c>
      <c r="R2567" s="3">
        <v>0</v>
      </c>
    </row>
    <row r="2568" spans="1:18">
      <c r="A2568" s="3" t="s">
        <v>9855</v>
      </c>
      <c r="B2568" s="3" t="s">
        <v>9856</v>
      </c>
      <c r="C2568" s="3" t="s">
        <v>9857</v>
      </c>
      <c r="D2568" s="3" t="s">
        <v>1177</v>
      </c>
      <c r="E2568" s="3" t="s">
        <v>1710</v>
      </c>
      <c r="F2568" s="3">
        <v>39.99</v>
      </c>
      <c r="G2568" s="3" t="s">
        <v>6233</v>
      </c>
      <c r="H2568" s="3"/>
      <c r="I2568" s="3" t="s">
        <v>6234</v>
      </c>
      <c r="J2568" s="3">
        <v>0</v>
      </c>
      <c r="K2568" s="3">
        <v>0</v>
      </c>
      <c r="L2568" s="3">
        <v>0</v>
      </c>
      <c r="M2568" s="3">
        <v>0</v>
      </c>
      <c r="N2568" s="3">
        <v>0</v>
      </c>
      <c r="O2568" s="3">
        <v>0.03</v>
      </c>
      <c r="P2568" s="3">
        <v>0</v>
      </c>
      <c r="Q2568" s="3">
        <v>0</v>
      </c>
      <c r="R2568" s="3">
        <v>0</v>
      </c>
    </row>
    <row r="2569" spans="1:18">
      <c r="A2569" s="3" t="s">
        <v>9858</v>
      </c>
      <c r="B2569" s="3" t="s">
        <v>9859</v>
      </c>
      <c r="C2569" s="3" t="s">
        <v>9860</v>
      </c>
      <c r="D2569" s="3" t="s">
        <v>1177</v>
      </c>
      <c r="E2569" s="3" t="s">
        <v>1710</v>
      </c>
      <c r="F2569" s="3">
        <v>39.99</v>
      </c>
      <c r="G2569" s="3" t="s">
        <v>6233</v>
      </c>
      <c r="H2569" s="3"/>
      <c r="I2569" s="3" t="s">
        <v>6234</v>
      </c>
      <c r="J2569" s="3">
        <v>0</v>
      </c>
      <c r="K2569" s="3">
        <v>0</v>
      </c>
      <c r="L2569" s="3">
        <v>0</v>
      </c>
      <c r="M2569" s="3">
        <v>0</v>
      </c>
      <c r="N2569" s="3">
        <v>0</v>
      </c>
      <c r="O2569" s="3">
        <v>0.03</v>
      </c>
      <c r="P2569" s="3">
        <v>0</v>
      </c>
      <c r="Q2569" s="3">
        <v>0</v>
      </c>
      <c r="R2569" s="3">
        <v>0</v>
      </c>
    </row>
    <row r="2570" spans="1:18">
      <c r="A2570" s="3" t="s">
        <v>9861</v>
      </c>
      <c r="B2570" s="3" t="s">
        <v>9862</v>
      </c>
      <c r="C2570" s="3" t="s">
        <v>9863</v>
      </c>
      <c r="D2570" s="3" t="s">
        <v>1177</v>
      </c>
      <c r="E2570" s="3" t="s">
        <v>1710</v>
      </c>
      <c r="F2570" s="3">
        <v>39.99</v>
      </c>
      <c r="G2570" s="3" t="s">
        <v>6233</v>
      </c>
      <c r="H2570" s="3"/>
      <c r="I2570" s="3" t="s">
        <v>6234</v>
      </c>
      <c r="J2570" s="3">
        <v>0</v>
      </c>
      <c r="K2570" s="3">
        <v>0</v>
      </c>
      <c r="L2570" s="3">
        <v>0</v>
      </c>
      <c r="M2570" s="3">
        <v>0</v>
      </c>
      <c r="N2570" s="3">
        <v>3</v>
      </c>
      <c r="O2570" s="3">
        <v>0.07</v>
      </c>
      <c r="P2570" s="3">
        <v>0</v>
      </c>
      <c r="Q2570" s="3">
        <v>3</v>
      </c>
      <c r="R2570" s="3">
        <v>0</v>
      </c>
    </row>
    <row r="2571" spans="1:18">
      <c r="A2571" s="3" t="s">
        <v>9864</v>
      </c>
      <c r="B2571" s="3" t="s">
        <v>9865</v>
      </c>
      <c r="C2571" s="3" t="s">
        <v>9866</v>
      </c>
      <c r="D2571" s="3" t="s">
        <v>1177</v>
      </c>
      <c r="E2571" s="3" t="s">
        <v>1710</v>
      </c>
      <c r="F2571" s="3">
        <v>39.99</v>
      </c>
      <c r="G2571" s="3" t="s">
        <v>6233</v>
      </c>
      <c r="H2571" s="3"/>
      <c r="I2571" s="3" t="s">
        <v>6234</v>
      </c>
      <c r="J2571" s="3">
        <v>0</v>
      </c>
      <c r="K2571" s="3">
        <v>0</v>
      </c>
      <c r="L2571" s="3">
        <v>0</v>
      </c>
      <c r="M2571" s="3">
        <v>0</v>
      </c>
      <c r="N2571" s="3">
        <v>3</v>
      </c>
      <c r="O2571" s="3">
        <v>0.07</v>
      </c>
      <c r="P2571" s="3">
        <v>0</v>
      </c>
      <c r="Q2571" s="3">
        <v>3</v>
      </c>
      <c r="R2571" s="3">
        <v>0</v>
      </c>
    </row>
    <row r="2572" spans="1:18">
      <c r="A2572" s="3" t="s">
        <v>9867</v>
      </c>
      <c r="B2572" s="3" t="s">
        <v>9868</v>
      </c>
      <c r="C2572" s="3" t="s">
        <v>9869</v>
      </c>
      <c r="D2572" s="3"/>
      <c r="E2572" s="3" t="s">
        <v>6275</v>
      </c>
      <c r="F2572" s="3"/>
      <c r="G2572" s="3"/>
      <c r="H2572" s="3"/>
      <c r="I2572" s="3"/>
      <c r="J2572" s="3">
        <v>0</v>
      </c>
      <c r="K2572" s="3">
        <v>0</v>
      </c>
      <c r="L2572" s="3">
        <v>0</v>
      </c>
      <c r="M2572" s="3">
        <v>0</v>
      </c>
      <c r="N2572" s="3">
        <v>0</v>
      </c>
      <c r="O2572" s="3"/>
      <c r="P2572" s="3">
        <v>0</v>
      </c>
      <c r="Q2572" s="3">
        <v>0</v>
      </c>
      <c r="R2572" s="3">
        <v>0</v>
      </c>
    </row>
    <row r="2573" spans="1:18">
      <c r="A2573" s="3" t="s">
        <v>9870</v>
      </c>
      <c r="B2573" s="3" t="s">
        <v>9871</v>
      </c>
      <c r="C2573" s="3" t="s">
        <v>9872</v>
      </c>
      <c r="D2573" s="3" t="s">
        <v>1177</v>
      </c>
      <c r="E2573" s="3" t="s">
        <v>1710</v>
      </c>
      <c r="F2573" s="3">
        <v>39.99</v>
      </c>
      <c r="G2573" s="3" t="s">
        <v>6233</v>
      </c>
      <c r="H2573" s="3"/>
      <c r="I2573" s="3" t="s">
        <v>6234</v>
      </c>
      <c r="J2573" s="3">
        <v>0</v>
      </c>
      <c r="K2573" s="3">
        <v>0</v>
      </c>
      <c r="L2573" s="3">
        <v>0</v>
      </c>
      <c r="M2573" s="3">
        <v>0</v>
      </c>
      <c r="N2573" s="3">
        <v>3</v>
      </c>
      <c r="O2573" s="3">
        <v>0.07</v>
      </c>
      <c r="P2573" s="3">
        <v>0</v>
      </c>
      <c r="Q2573" s="3">
        <v>3</v>
      </c>
      <c r="R2573" s="3">
        <v>0</v>
      </c>
    </row>
    <row r="2574" spans="1:18">
      <c r="A2574" s="3" t="s">
        <v>9873</v>
      </c>
      <c r="B2574" s="3" t="s">
        <v>9874</v>
      </c>
      <c r="C2574" s="3" t="s">
        <v>9875</v>
      </c>
      <c r="D2574" s="3" t="s">
        <v>1177</v>
      </c>
      <c r="E2574" s="3" t="s">
        <v>1710</v>
      </c>
      <c r="F2574" s="3">
        <v>39.99</v>
      </c>
      <c r="G2574" s="3" t="s">
        <v>6233</v>
      </c>
      <c r="H2574" s="3"/>
      <c r="I2574" s="3" t="s">
        <v>6234</v>
      </c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>
        <v>0.03</v>
      </c>
      <c r="P2574" s="3">
        <v>0</v>
      </c>
      <c r="Q2574" s="3">
        <v>0</v>
      </c>
      <c r="R2574" s="3">
        <v>0</v>
      </c>
    </row>
    <row r="2575" spans="1:18">
      <c r="A2575" s="3" t="s">
        <v>9876</v>
      </c>
      <c r="B2575" s="3" t="s">
        <v>9877</v>
      </c>
      <c r="C2575" s="3" t="s">
        <v>9878</v>
      </c>
      <c r="D2575" s="3" t="s">
        <v>1177</v>
      </c>
      <c r="E2575" s="3" t="s">
        <v>1710</v>
      </c>
      <c r="F2575" s="3">
        <v>39.99</v>
      </c>
      <c r="G2575" s="3" t="s">
        <v>6233</v>
      </c>
      <c r="H2575" s="3"/>
      <c r="I2575" s="3" t="s">
        <v>6234</v>
      </c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>
        <v>0.03</v>
      </c>
      <c r="P2575" s="3">
        <v>0</v>
      </c>
      <c r="Q2575" s="3">
        <v>0</v>
      </c>
      <c r="R2575" s="3">
        <v>0</v>
      </c>
    </row>
    <row r="2576" spans="1:18">
      <c r="A2576" s="3" t="s">
        <v>9879</v>
      </c>
      <c r="B2576" s="3" t="s">
        <v>9880</v>
      </c>
      <c r="C2576" s="3" t="s">
        <v>9881</v>
      </c>
      <c r="D2576" s="3" t="s">
        <v>1177</v>
      </c>
      <c r="E2576" s="3" t="s">
        <v>1710</v>
      </c>
      <c r="F2576" s="3">
        <v>39.99</v>
      </c>
      <c r="G2576" s="3" t="s">
        <v>6233</v>
      </c>
      <c r="H2576" s="3"/>
      <c r="I2576" s="3" t="s">
        <v>6234</v>
      </c>
      <c r="J2576" s="3">
        <v>0</v>
      </c>
      <c r="K2576" s="3">
        <v>0</v>
      </c>
      <c r="L2576" s="3">
        <v>0</v>
      </c>
      <c r="M2576" s="3">
        <v>0</v>
      </c>
      <c r="N2576" s="3">
        <v>0</v>
      </c>
      <c r="O2576" s="3">
        <v>0.03</v>
      </c>
      <c r="P2576" s="3">
        <v>0</v>
      </c>
      <c r="Q2576" s="3">
        <v>0</v>
      </c>
      <c r="R2576" s="3">
        <v>0</v>
      </c>
    </row>
    <row r="2577" spans="1:18">
      <c r="A2577" s="3" t="s">
        <v>9882</v>
      </c>
      <c r="B2577" s="3" t="s">
        <v>9883</v>
      </c>
      <c r="C2577" s="3" t="s">
        <v>9884</v>
      </c>
      <c r="D2577" s="3" t="s">
        <v>1177</v>
      </c>
      <c r="E2577" s="3" t="s">
        <v>1710</v>
      </c>
      <c r="F2577" s="3">
        <v>39.99</v>
      </c>
      <c r="G2577" s="3" t="s">
        <v>6233</v>
      </c>
      <c r="H2577" s="3"/>
      <c r="I2577" s="3" t="s">
        <v>6234</v>
      </c>
      <c r="J2577" s="3">
        <v>0</v>
      </c>
      <c r="K2577" s="3">
        <v>0</v>
      </c>
      <c r="L2577" s="3">
        <v>0</v>
      </c>
      <c r="M2577" s="3">
        <v>0</v>
      </c>
      <c r="N2577" s="3">
        <v>0</v>
      </c>
      <c r="O2577" s="3">
        <v>0.03</v>
      </c>
      <c r="P2577" s="3">
        <v>0</v>
      </c>
      <c r="Q2577" s="3">
        <v>0</v>
      </c>
      <c r="R2577" s="3">
        <v>0</v>
      </c>
    </row>
    <row r="2578" spans="1:18">
      <c r="A2578" s="3" t="s">
        <v>9885</v>
      </c>
      <c r="B2578" s="3" t="s">
        <v>9886</v>
      </c>
      <c r="C2578" s="3" t="s">
        <v>9887</v>
      </c>
      <c r="D2578" s="3"/>
      <c r="E2578" s="3" t="s">
        <v>6275</v>
      </c>
      <c r="F2578" s="3"/>
      <c r="G2578" s="3"/>
      <c r="H2578" s="3"/>
      <c r="I2578" s="3"/>
      <c r="J2578" s="3">
        <v>0</v>
      </c>
      <c r="K2578" s="3">
        <v>0</v>
      </c>
      <c r="L2578" s="3">
        <v>0</v>
      </c>
      <c r="M2578" s="3">
        <v>0</v>
      </c>
      <c r="N2578" s="3">
        <v>0</v>
      </c>
      <c r="O2578" s="3"/>
      <c r="P2578" s="3">
        <v>0</v>
      </c>
      <c r="Q2578" s="3">
        <v>0</v>
      </c>
      <c r="R2578" s="3">
        <v>0</v>
      </c>
    </row>
    <row r="2579" spans="1:18">
      <c r="A2579" s="3" t="s">
        <v>9888</v>
      </c>
      <c r="B2579" s="3" t="s">
        <v>9889</v>
      </c>
      <c r="C2579" s="3" t="s">
        <v>9890</v>
      </c>
      <c r="D2579" s="3" t="s">
        <v>1177</v>
      </c>
      <c r="E2579" s="3" t="s">
        <v>1710</v>
      </c>
      <c r="F2579" s="3">
        <v>39.99</v>
      </c>
      <c r="G2579" s="3" t="s">
        <v>6233</v>
      </c>
      <c r="H2579" s="3"/>
      <c r="I2579" s="3" t="s">
        <v>6234</v>
      </c>
      <c r="J2579" s="3">
        <v>0</v>
      </c>
      <c r="K2579" s="3">
        <v>0</v>
      </c>
      <c r="L2579" s="3">
        <v>0</v>
      </c>
      <c r="M2579" s="3">
        <v>0</v>
      </c>
      <c r="N2579" s="3">
        <v>0</v>
      </c>
      <c r="O2579" s="3">
        <v>0.03</v>
      </c>
      <c r="P2579" s="3">
        <v>0</v>
      </c>
      <c r="Q2579" s="3">
        <v>0</v>
      </c>
      <c r="R2579" s="3">
        <v>0</v>
      </c>
    </row>
    <row r="2580" spans="1:18">
      <c r="A2580" s="3" t="s">
        <v>1206</v>
      </c>
      <c r="B2580" s="3" t="s">
        <v>1207</v>
      </c>
      <c r="C2580" s="3" t="s">
        <v>1208</v>
      </c>
      <c r="D2580" s="3" t="s">
        <v>1209</v>
      </c>
      <c r="E2580" s="3" t="s">
        <v>1710</v>
      </c>
      <c r="F2580" s="3">
        <v>39.99</v>
      </c>
      <c r="G2580" s="3" t="s">
        <v>6233</v>
      </c>
      <c r="H2580" s="3"/>
      <c r="I2580" s="3" t="s">
        <v>6234</v>
      </c>
      <c r="J2580" s="3">
        <v>15</v>
      </c>
      <c r="K2580" s="3">
        <v>14</v>
      </c>
      <c r="L2580" s="3">
        <v>0</v>
      </c>
      <c r="M2580" s="3">
        <v>1</v>
      </c>
      <c r="N2580" s="3">
        <v>15</v>
      </c>
      <c r="O2580" s="3">
        <v>0.08</v>
      </c>
      <c r="P2580" s="3">
        <v>0</v>
      </c>
      <c r="Q2580" s="3">
        <v>0</v>
      </c>
      <c r="R2580" s="3">
        <v>0</v>
      </c>
    </row>
    <row r="2581" spans="1:18">
      <c r="A2581" s="3" t="s">
        <v>1283</v>
      </c>
      <c r="B2581" s="3" t="s">
        <v>1284</v>
      </c>
      <c r="C2581" s="3" t="s">
        <v>1285</v>
      </c>
      <c r="D2581" s="3" t="s">
        <v>1209</v>
      </c>
      <c r="E2581" s="3" t="s">
        <v>1710</v>
      </c>
      <c r="F2581" s="3">
        <v>39.99</v>
      </c>
      <c r="G2581" s="3" t="s">
        <v>6233</v>
      </c>
      <c r="H2581" s="3"/>
      <c r="I2581" s="3" t="s">
        <v>6234</v>
      </c>
      <c r="J2581" s="3">
        <v>2</v>
      </c>
      <c r="K2581" s="3">
        <v>0</v>
      </c>
      <c r="L2581" s="3">
        <v>1</v>
      </c>
      <c r="M2581" s="3">
        <v>1</v>
      </c>
      <c r="N2581" s="3">
        <v>12</v>
      </c>
      <c r="O2581" s="3">
        <v>0.08</v>
      </c>
      <c r="P2581" s="3">
        <v>0</v>
      </c>
      <c r="Q2581" s="3">
        <v>10</v>
      </c>
      <c r="R2581" s="3">
        <v>0</v>
      </c>
    </row>
    <row r="2582" spans="1:18">
      <c r="A2582" s="3" t="s">
        <v>1268</v>
      </c>
      <c r="B2582" s="3" t="s">
        <v>1269</v>
      </c>
      <c r="C2582" s="3" t="s">
        <v>1270</v>
      </c>
      <c r="D2582" s="3" t="s">
        <v>1209</v>
      </c>
      <c r="E2582" s="3" t="s">
        <v>1710</v>
      </c>
      <c r="F2582" s="3">
        <v>39.99</v>
      </c>
      <c r="G2582" s="3" t="s">
        <v>6233</v>
      </c>
      <c r="H2582" s="3"/>
      <c r="I2582" s="3" t="s">
        <v>6234</v>
      </c>
      <c r="J2582" s="3">
        <v>1</v>
      </c>
      <c r="K2582" s="3">
        <v>0</v>
      </c>
      <c r="L2582" s="3">
        <v>0</v>
      </c>
      <c r="M2582" s="3">
        <v>1</v>
      </c>
      <c r="N2582" s="3">
        <v>6</v>
      </c>
      <c r="O2582" s="3">
        <v>0.17</v>
      </c>
      <c r="P2582" s="3">
        <v>0</v>
      </c>
      <c r="Q2582" s="3">
        <v>5</v>
      </c>
      <c r="R2582" s="3">
        <v>0</v>
      </c>
    </row>
    <row r="2583" spans="1:18">
      <c r="A2583" s="3" t="s">
        <v>3607</v>
      </c>
      <c r="B2583" s="3" t="s">
        <v>3608</v>
      </c>
      <c r="C2583" s="3" t="s">
        <v>3609</v>
      </c>
      <c r="D2583" s="3" t="s">
        <v>1209</v>
      </c>
      <c r="E2583" s="3" t="s">
        <v>1710</v>
      </c>
      <c r="F2583" s="3">
        <v>39.99</v>
      </c>
      <c r="G2583" s="3" t="s">
        <v>6233</v>
      </c>
      <c r="H2583" s="3"/>
      <c r="I2583" s="3" t="s">
        <v>6234</v>
      </c>
      <c r="J2583" s="3">
        <v>0</v>
      </c>
      <c r="K2583" s="3">
        <v>0</v>
      </c>
      <c r="L2583" s="3">
        <v>0</v>
      </c>
      <c r="M2583" s="3">
        <v>0</v>
      </c>
      <c r="N2583" s="3">
        <v>5</v>
      </c>
      <c r="O2583" s="3">
        <v>0.08</v>
      </c>
      <c r="P2583" s="3">
        <v>0</v>
      </c>
      <c r="Q2583" s="3">
        <v>5</v>
      </c>
      <c r="R2583" s="3">
        <v>0</v>
      </c>
    </row>
    <row r="2584" spans="1:18">
      <c r="A2584" s="3" t="s">
        <v>1217</v>
      </c>
      <c r="B2584" s="3" t="s">
        <v>1218</v>
      </c>
      <c r="C2584" s="3" t="s">
        <v>1219</v>
      </c>
      <c r="D2584" s="3" t="s">
        <v>1209</v>
      </c>
      <c r="E2584" s="3" t="s">
        <v>1710</v>
      </c>
      <c r="F2584" s="3">
        <v>39.99</v>
      </c>
      <c r="G2584" s="3" t="s">
        <v>6233</v>
      </c>
      <c r="H2584" s="3"/>
      <c r="I2584" s="3" t="s">
        <v>6234</v>
      </c>
      <c r="J2584" s="3">
        <v>12</v>
      </c>
      <c r="K2584" s="3">
        <v>11</v>
      </c>
      <c r="L2584" s="3">
        <v>0</v>
      </c>
      <c r="M2584" s="3">
        <v>1</v>
      </c>
      <c r="N2584" s="3">
        <v>12</v>
      </c>
      <c r="O2584" s="3">
        <v>0.08</v>
      </c>
      <c r="P2584" s="3">
        <v>0</v>
      </c>
      <c r="Q2584" s="3">
        <v>0</v>
      </c>
      <c r="R2584" s="3">
        <v>0</v>
      </c>
    </row>
    <row r="2585" spans="1:18">
      <c r="A2585" s="3" t="s">
        <v>5065</v>
      </c>
      <c r="B2585" s="3" t="s">
        <v>5066</v>
      </c>
      <c r="C2585" s="3" t="s">
        <v>5067</v>
      </c>
      <c r="D2585" s="3" t="s">
        <v>1709</v>
      </c>
      <c r="E2585" s="3" t="s">
        <v>1710</v>
      </c>
      <c r="F2585" s="3">
        <v>39.99</v>
      </c>
      <c r="G2585" s="3" t="s">
        <v>6233</v>
      </c>
      <c r="H2585" s="3"/>
      <c r="I2585" s="3" t="s">
        <v>6234</v>
      </c>
      <c r="J2585" s="3">
        <v>15</v>
      </c>
      <c r="K2585" s="3">
        <v>15</v>
      </c>
      <c r="L2585" s="3">
        <v>0</v>
      </c>
      <c r="M2585" s="3">
        <v>0</v>
      </c>
      <c r="N2585" s="3">
        <v>15</v>
      </c>
      <c r="O2585" s="3">
        <v>0.08</v>
      </c>
      <c r="P2585" s="3">
        <v>0</v>
      </c>
      <c r="Q2585" s="3">
        <v>0</v>
      </c>
      <c r="R2585" s="3">
        <v>0</v>
      </c>
    </row>
    <row r="2586" spans="1:18">
      <c r="A2586" s="3" t="s">
        <v>1706</v>
      </c>
      <c r="B2586" s="3" t="s">
        <v>1707</v>
      </c>
      <c r="C2586" s="3" t="s">
        <v>1708</v>
      </c>
      <c r="D2586" s="3" t="s">
        <v>1709</v>
      </c>
      <c r="E2586" s="3" t="s">
        <v>1710</v>
      </c>
      <c r="F2586" s="3">
        <v>39.99</v>
      </c>
      <c r="G2586" s="3" t="s">
        <v>6233</v>
      </c>
      <c r="H2586" s="3"/>
      <c r="I2586" s="3" t="s">
        <v>6234</v>
      </c>
      <c r="J2586" s="3">
        <v>9</v>
      </c>
      <c r="K2586" s="3">
        <v>9</v>
      </c>
      <c r="L2586" s="3">
        <v>0</v>
      </c>
      <c r="M2586" s="3">
        <v>0</v>
      </c>
      <c r="N2586" s="3">
        <v>9</v>
      </c>
      <c r="O2586" s="3">
        <v>0.08</v>
      </c>
      <c r="P2586" s="3">
        <v>0</v>
      </c>
      <c r="Q2586" s="3">
        <v>0</v>
      </c>
      <c r="R2586" s="3">
        <v>0</v>
      </c>
    </row>
    <row r="2587" spans="1:18">
      <c r="A2587" s="3" t="s">
        <v>3955</v>
      </c>
      <c r="B2587" s="3" t="s">
        <v>3956</v>
      </c>
      <c r="C2587" s="3" t="s">
        <v>3957</v>
      </c>
      <c r="D2587" s="3" t="s">
        <v>1709</v>
      </c>
      <c r="E2587" s="3" t="s">
        <v>1710</v>
      </c>
      <c r="F2587" s="3">
        <v>39.99</v>
      </c>
      <c r="G2587" s="3" t="s">
        <v>6233</v>
      </c>
      <c r="H2587" s="3"/>
      <c r="I2587" s="3" t="s">
        <v>6234</v>
      </c>
      <c r="J2587" s="3">
        <v>0</v>
      </c>
      <c r="K2587" s="3">
        <v>0</v>
      </c>
      <c r="L2587" s="3">
        <v>0</v>
      </c>
      <c r="M2587" s="3">
        <v>0</v>
      </c>
      <c r="N2587" s="3">
        <v>0</v>
      </c>
      <c r="O2587" s="3">
        <v>0.08</v>
      </c>
      <c r="P2587" s="3">
        <v>0</v>
      </c>
      <c r="Q2587" s="3">
        <v>0</v>
      </c>
      <c r="R2587" s="3">
        <v>0</v>
      </c>
    </row>
    <row r="2588" spans="1:18">
      <c r="A2588" s="3" t="s">
        <v>4462</v>
      </c>
      <c r="B2588" s="3" t="s">
        <v>4463</v>
      </c>
      <c r="C2588" s="3" t="s">
        <v>4464</v>
      </c>
      <c r="D2588" s="3" t="s">
        <v>1709</v>
      </c>
      <c r="E2588" s="3" t="s">
        <v>1710</v>
      </c>
      <c r="F2588" s="3">
        <v>39.99</v>
      </c>
      <c r="G2588" s="3" t="s">
        <v>6233</v>
      </c>
      <c r="H2588" s="3"/>
      <c r="I2588" s="3" t="s">
        <v>6234</v>
      </c>
      <c r="J2588" s="3">
        <v>1</v>
      </c>
      <c r="K2588" s="3">
        <v>0</v>
      </c>
      <c r="L2588" s="3">
        <v>1</v>
      </c>
      <c r="M2588" s="3">
        <v>0</v>
      </c>
      <c r="N2588" s="3">
        <v>6</v>
      </c>
      <c r="O2588" s="3">
        <v>0.08</v>
      </c>
      <c r="P2588" s="3">
        <v>0</v>
      </c>
      <c r="Q2588" s="3">
        <v>5</v>
      </c>
      <c r="R2588" s="3">
        <v>0</v>
      </c>
    </row>
    <row r="2589" spans="1:18">
      <c r="A2589" s="3" t="s">
        <v>4545</v>
      </c>
      <c r="B2589" s="3" t="s">
        <v>4546</v>
      </c>
      <c r="C2589" s="3" t="s">
        <v>4547</v>
      </c>
      <c r="D2589" s="3" t="s">
        <v>1709</v>
      </c>
      <c r="E2589" s="3" t="s">
        <v>1710</v>
      </c>
      <c r="F2589" s="3">
        <v>39.99</v>
      </c>
      <c r="G2589" s="3" t="s">
        <v>6233</v>
      </c>
      <c r="H2589" s="3"/>
      <c r="I2589" s="3" t="s">
        <v>6234</v>
      </c>
      <c r="J2589" s="3">
        <v>13</v>
      </c>
      <c r="K2589" s="3">
        <v>13</v>
      </c>
      <c r="L2589" s="3">
        <v>0</v>
      </c>
      <c r="M2589" s="3">
        <v>0</v>
      </c>
      <c r="N2589" s="3">
        <v>13</v>
      </c>
      <c r="O2589" s="3">
        <v>0.08</v>
      </c>
      <c r="P2589" s="3">
        <v>0</v>
      </c>
      <c r="Q2589" s="3">
        <v>0</v>
      </c>
      <c r="R2589" s="3">
        <v>0</v>
      </c>
    </row>
    <row r="2590" spans="1:18">
      <c r="A2590" s="3" t="s">
        <v>5292</v>
      </c>
      <c r="B2590" s="3" t="s">
        <v>5293</v>
      </c>
      <c r="C2590" s="3" t="s">
        <v>5294</v>
      </c>
      <c r="D2590" s="3" t="s">
        <v>1282</v>
      </c>
      <c r="E2590" s="3" t="s">
        <v>1710</v>
      </c>
      <c r="F2590" s="3">
        <v>39.99</v>
      </c>
      <c r="G2590" s="3" t="s">
        <v>6233</v>
      </c>
      <c r="H2590" s="3"/>
      <c r="I2590" s="3" t="s">
        <v>6234</v>
      </c>
      <c r="J2590" s="3">
        <v>12</v>
      </c>
      <c r="K2590" s="3">
        <v>12</v>
      </c>
      <c r="L2590" s="3">
        <v>0</v>
      </c>
      <c r="M2590" s="3">
        <v>0</v>
      </c>
      <c r="N2590" s="3">
        <v>12</v>
      </c>
      <c r="O2590" s="3">
        <v>0.08</v>
      </c>
      <c r="P2590" s="3">
        <v>0</v>
      </c>
      <c r="Q2590" s="3">
        <v>0</v>
      </c>
      <c r="R2590" s="3">
        <v>0</v>
      </c>
    </row>
    <row r="2591" spans="1:18">
      <c r="A2591" s="3" t="s">
        <v>9891</v>
      </c>
      <c r="B2591" s="3" t="s">
        <v>9892</v>
      </c>
      <c r="C2591" s="3" t="s">
        <v>9893</v>
      </c>
      <c r="D2591" s="3" t="s">
        <v>1282</v>
      </c>
      <c r="E2591" s="3" t="s">
        <v>1710</v>
      </c>
      <c r="F2591" s="3">
        <v>39.99</v>
      </c>
      <c r="G2591" s="3" t="s">
        <v>6233</v>
      </c>
      <c r="H2591" s="3"/>
      <c r="I2591" s="3" t="s">
        <v>6234</v>
      </c>
      <c r="J2591" s="3">
        <v>0</v>
      </c>
      <c r="K2591" s="3">
        <v>0</v>
      </c>
      <c r="L2591" s="3">
        <v>0</v>
      </c>
      <c r="M2591" s="3">
        <v>0</v>
      </c>
      <c r="N2591" s="3">
        <v>5</v>
      </c>
      <c r="O2591" s="3">
        <v>0.08</v>
      </c>
      <c r="P2591" s="3">
        <v>0</v>
      </c>
      <c r="Q2591" s="3">
        <v>5</v>
      </c>
      <c r="R2591" s="3">
        <v>0</v>
      </c>
    </row>
    <row r="2592" spans="1:18">
      <c r="A2592" s="3" t="s">
        <v>9894</v>
      </c>
      <c r="B2592" s="3" t="s">
        <v>9895</v>
      </c>
      <c r="C2592" s="3" t="s">
        <v>9896</v>
      </c>
      <c r="D2592" s="3" t="s">
        <v>1282</v>
      </c>
      <c r="E2592" s="3" t="s">
        <v>1710</v>
      </c>
      <c r="F2592" s="3">
        <v>39.99</v>
      </c>
      <c r="G2592" s="3" t="s">
        <v>6233</v>
      </c>
      <c r="H2592" s="3"/>
      <c r="I2592" s="3" t="s">
        <v>6234</v>
      </c>
      <c r="J2592" s="3">
        <v>0</v>
      </c>
      <c r="K2592" s="3">
        <v>0</v>
      </c>
      <c r="L2592" s="3">
        <v>0</v>
      </c>
      <c r="M2592" s="3">
        <v>0</v>
      </c>
      <c r="N2592" s="3">
        <v>17</v>
      </c>
      <c r="O2592" s="3">
        <v>0.08</v>
      </c>
      <c r="P2592" s="3">
        <v>0</v>
      </c>
      <c r="Q2592" s="3">
        <v>17</v>
      </c>
      <c r="R2592" s="3">
        <v>0</v>
      </c>
    </row>
    <row r="2593" spans="1:18">
      <c r="A2593" s="3" t="s">
        <v>9897</v>
      </c>
      <c r="B2593" s="3" t="s">
        <v>9898</v>
      </c>
      <c r="C2593" s="3" t="s">
        <v>9899</v>
      </c>
      <c r="D2593" s="3" t="s">
        <v>1282</v>
      </c>
      <c r="E2593" s="3" t="s">
        <v>1710</v>
      </c>
      <c r="F2593" s="3">
        <v>39.99</v>
      </c>
      <c r="G2593" s="3" t="s">
        <v>6233</v>
      </c>
      <c r="H2593" s="3"/>
      <c r="I2593" s="3" t="s">
        <v>6234</v>
      </c>
      <c r="J2593" s="3">
        <v>1</v>
      </c>
      <c r="K2593" s="3">
        <v>0</v>
      </c>
      <c r="L2593" s="3">
        <v>1</v>
      </c>
      <c r="M2593" s="3">
        <v>0</v>
      </c>
      <c r="N2593" s="3">
        <v>23</v>
      </c>
      <c r="O2593" s="3">
        <v>0.08</v>
      </c>
      <c r="P2593" s="3">
        <v>0</v>
      </c>
      <c r="Q2593" s="3">
        <v>10</v>
      </c>
      <c r="R2593" s="3">
        <v>12</v>
      </c>
    </row>
    <row r="2594" spans="1:18">
      <c r="A2594" s="3" t="s">
        <v>1279</v>
      </c>
      <c r="B2594" s="3" t="s">
        <v>1280</v>
      </c>
      <c r="C2594" s="3" t="s">
        <v>1281</v>
      </c>
      <c r="D2594" s="3" t="s">
        <v>1282</v>
      </c>
      <c r="E2594" s="3" t="s">
        <v>1710</v>
      </c>
      <c r="F2594" s="3">
        <v>39.99</v>
      </c>
      <c r="G2594" s="3" t="s">
        <v>6233</v>
      </c>
      <c r="H2594" s="3"/>
      <c r="I2594" s="3" t="s">
        <v>6234</v>
      </c>
      <c r="J2594" s="3">
        <v>11</v>
      </c>
      <c r="K2594" s="3">
        <v>8</v>
      </c>
      <c r="L2594" s="3">
        <v>2</v>
      </c>
      <c r="M2594" s="3">
        <v>1</v>
      </c>
      <c r="N2594" s="3">
        <v>11</v>
      </c>
      <c r="O2594" s="3">
        <v>0.08</v>
      </c>
      <c r="P2594" s="3">
        <v>0</v>
      </c>
      <c r="Q2594" s="3">
        <v>0</v>
      </c>
      <c r="R2594" s="3">
        <v>0</v>
      </c>
    </row>
    <row r="2595" spans="1:18">
      <c r="A2595" s="3" t="s">
        <v>5081</v>
      </c>
      <c r="B2595" s="3" t="s">
        <v>5082</v>
      </c>
      <c r="C2595" s="3" t="s">
        <v>5083</v>
      </c>
      <c r="D2595" s="3" t="s">
        <v>9900</v>
      </c>
      <c r="E2595" s="3" t="s">
        <v>1710</v>
      </c>
      <c r="F2595" s="3">
        <v>19.99</v>
      </c>
      <c r="G2595" s="3" t="s">
        <v>6233</v>
      </c>
      <c r="H2595" s="3"/>
      <c r="I2595" s="3" t="s">
        <v>6234</v>
      </c>
      <c r="J2595" s="3">
        <v>13</v>
      </c>
      <c r="K2595" s="3">
        <v>13</v>
      </c>
      <c r="L2595" s="3">
        <v>0</v>
      </c>
      <c r="M2595" s="3">
        <v>0</v>
      </c>
      <c r="N2595" s="3">
        <v>13</v>
      </c>
      <c r="O2595" s="3">
        <v>0.09</v>
      </c>
      <c r="P2595" s="3">
        <v>0</v>
      </c>
      <c r="Q2595" s="3">
        <v>0</v>
      </c>
      <c r="R2595" s="3">
        <v>0</v>
      </c>
    </row>
    <row r="2596" spans="1:18">
      <c r="A2596" s="3" t="s">
        <v>2989</v>
      </c>
      <c r="B2596" s="3" t="s">
        <v>2990</v>
      </c>
      <c r="C2596" s="3" t="s">
        <v>2991</v>
      </c>
      <c r="D2596" s="3" t="s">
        <v>9901</v>
      </c>
      <c r="E2596" s="3" t="s">
        <v>1710</v>
      </c>
      <c r="F2596" s="3">
        <v>19.99</v>
      </c>
      <c r="G2596" s="3" t="s">
        <v>6233</v>
      </c>
      <c r="H2596" s="3"/>
      <c r="I2596" s="3" t="s">
        <v>6234</v>
      </c>
      <c r="J2596" s="3">
        <v>10</v>
      </c>
      <c r="K2596" s="3">
        <v>9</v>
      </c>
      <c r="L2596" s="3">
        <v>1</v>
      </c>
      <c r="M2596" s="3">
        <v>0</v>
      </c>
      <c r="N2596" s="3">
        <v>10</v>
      </c>
      <c r="O2596" s="3">
        <v>0.09</v>
      </c>
      <c r="P2596" s="3">
        <v>0</v>
      </c>
      <c r="Q2596" s="3">
        <v>0</v>
      </c>
      <c r="R2596" s="3">
        <v>0</v>
      </c>
    </row>
    <row r="2597" spans="1:18">
      <c r="A2597" s="3" t="s">
        <v>1915</v>
      </c>
      <c r="B2597" s="3" t="s">
        <v>1916</v>
      </c>
      <c r="C2597" s="3" t="s">
        <v>1917</v>
      </c>
      <c r="D2597" s="3" t="s">
        <v>9902</v>
      </c>
      <c r="E2597" s="3" t="s">
        <v>1710</v>
      </c>
      <c r="F2597" s="3">
        <v>19.99</v>
      </c>
      <c r="G2597" s="3" t="s">
        <v>6233</v>
      </c>
      <c r="H2597" s="3"/>
      <c r="I2597" s="3" t="s">
        <v>6234</v>
      </c>
      <c r="J2597" s="3">
        <v>10</v>
      </c>
      <c r="K2597" s="3">
        <v>10</v>
      </c>
      <c r="L2597" s="3">
        <v>0</v>
      </c>
      <c r="M2597" s="3">
        <v>0</v>
      </c>
      <c r="N2597" s="3">
        <v>10</v>
      </c>
      <c r="O2597" s="3">
        <v>0.09</v>
      </c>
      <c r="P2597" s="3">
        <v>0</v>
      </c>
      <c r="Q2597" s="3">
        <v>0</v>
      </c>
      <c r="R2597" s="3">
        <v>0</v>
      </c>
    </row>
    <row r="2598" spans="1:18">
      <c r="A2598" s="3" t="s">
        <v>5967</v>
      </c>
      <c r="B2598" s="3" t="s">
        <v>5968</v>
      </c>
      <c r="C2598" s="3" t="s">
        <v>5969</v>
      </c>
      <c r="D2598" s="3" t="s">
        <v>9903</v>
      </c>
      <c r="E2598" s="3" t="s">
        <v>1710</v>
      </c>
      <c r="F2598" s="3">
        <v>19.99</v>
      </c>
      <c r="G2598" s="3" t="s">
        <v>6233</v>
      </c>
      <c r="H2598" s="3"/>
      <c r="I2598" s="3" t="s">
        <v>6234</v>
      </c>
      <c r="J2598" s="3">
        <v>12</v>
      </c>
      <c r="K2598" s="3">
        <v>12</v>
      </c>
      <c r="L2598" s="3">
        <v>0</v>
      </c>
      <c r="M2598" s="3">
        <v>0</v>
      </c>
      <c r="N2598" s="3">
        <v>12</v>
      </c>
      <c r="O2598" s="3">
        <v>0.09</v>
      </c>
      <c r="P2598" s="3">
        <v>0</v>
      </c>
      <c r="Q2598" s="3">
        <v>0</v>
      </c>
      <c r="R2598" s="3">
        <v>0</v>
      </c>
    </row>
    <row r="2599" spans="1:18">
      <c r="A2599" s="3" t="s">
        <v>4172</v>
      </c>
      <c r="B2599" s="3" t="s">
        <v>4173</v>
      </c>
      <c r="C2599" s="3" t="s">
        <v>4174</v>
      </c>
      <c r="D2599" s="3" t="s">
        <v>9904</v>
      </c>
      <c r="E2599" s="3" t="s">
        <v>1710</v>
      </c>
      <c r="F2599" s="3">
        <v>19.99</v>
      </c>
      <c r="G2599" s="3" t="s">
        <v>6233</v>
      </c>
      <c r="H2599" s="3"/>
      <c r="I2599" s="3" t="s">
        <v>6234</v>
      </c>
      <c r="J2599" s="3">
        <v>10</v>
      </c>
      <c r="K2599" s="3">
        <v>10</v>
      </c>
      <c r="L2599" s="3">
        <v>0</v>
      </c>
      <c r="M2599" s="3">
        <v>0</v>
      </c>
      <c r="N2599" s="3">
        <v>10</v>
      </c>
      <c r="O2599" s="3">
        <v>0.09</v>
      </c>
      <c r="P2599" s="3">
        <v>0</v>
      </c>
      <c r="Q2599" s="3">
        <v>0</v>
      </c>
      <c r="R2599" s="3">
        <v>0</v>
      </c>
    </row>
    <row r="2600" spans="1:18">
      <c r="A2600" s="3" t="s">
        <v>3374</v>
      </c>
      <c r="B2600" s="3" t="s">
        <v>3375</v>
      </c>
      <c r="C2600" s="3" t="s">
        <v>3376</v>
      </c>
      <c r="D2600" s="3" t="s">
        <v>9905</v>
      </c>
      <c r="E2600" s="3" t="s">
        <v>1710</v>
      </c>
      <c r="F2600" s="3">
        <v>19.99</v>
      </c>
      <c r="G2600" s="3" t="s">
        <v>6233</v>
      </c>
      <c r="H2600" s="3"/>
      <c r="I2600" s="3" t="s">
        <v>6234</v>
      </c>
      <c r="J2600" s="3">
        <v>13</v>
      </c>
      <c r="K2600" s="3">
        <v>13</v>
      </c>
      <c r="L2600" s="3">
        <v>0</v>
      </c>
      <c r="M2600" s="3">
        <v>0</v>
      </c>
      <c r="N2600" s="3">
        <v>13</v>
      </c>
      <c r="O2600" s="3">
        <v>0.09</v>
      </c>
      <c r="P2600" s="3">
        <v>0</v>
      </c>
      <c r="Q2600" s="3">
        <v>0</v>
      </c>
      <c r="R2600" s="3">
        <v>0</v>
      </c>
    </row>
    <row r="2601" spans="1:18">
      <c r="A2601" s="3" t="s">
        <v>3235</v>
      </c>
      <c r="B2601" s="3" t="s">
        <v>3236</v>
      </c>
      <c r="C2601" s="3" t="s">
        <v>3237</v>
      </c>
      <c r="D2601" s="3" t="s">
        <v>9906</v>
      </c>
      <c r="E2601" s="3" t="s">
        <v>1710</v>
      </c>
      <c r="F2601" s="3">
        <v>19.99</v>
      </c>
      <c r="G2601" s="3" t="s">
        <v>6233</v>
      </c>
      <c r="H2601" s="3"/>
      <c r="I2601" s="3" t="s">
        <v>6234</v>
      </c>
      <c r="J2601" s="3">
        <v>2</v>
      </c>
      <c r="K2601" s="3">
        <v>1</v>
      </c>
      <c r="L2601" s="3">
        <v>1</v>
      </c>
      <c r="M2601" s="3">
        <v>0</v>
      </c>
      <c r="N2601" s="3">
        <v>2</v>
      </c>
      <c r="O2601" s="3">
        <v>0.09</v>
      </c>
      <c r="P2601" s="3">
        <v>0</v>
      </c>
      <c r="Q2601" s="3">
        <v>0</v>
      </c>
      <c r="R2601" s="3">
        <v>0</v>
      </c>
    </row>
    <row r="2602" spans="1:18">
      <c r="A2602" s="3" t="s">
        <v>1240</v>
      </c>
      <c r="B2602" s="3" t="s">
        <v>1241</v>
      </c>
      <c r="C2602" s="3" t="s">
        <v>1242</v>
      </c>
      <c r="D2602" s="3" t="s">
        <v>1243</v>
      </c>
      <c r="E2602" s="3" t="s">
        <v>1710</v>
      </c>
      <c r="F2602" s="3">
        <v>19.99</v>
      </c>
      <c r="G2602" s="3" t="s">
        <v>6233</v>
      </c>
      <c r="H2602" s="3"/>
      <c r="I2602" s="3" t="s">
        <v>6234</v>
      </c>
      <c r="J2602" s="3">
        <v>4</v>
      </c>
      <c r="K2602" s="3">
        <v>3</v>
      </c>
      <c r="L2602" s="3">
        <v>0</v>
      </c>
      <c r="M2602" s="3">
        <v>1</v>
      </c>
      <c r="N2602" s="3">
        <v>4</v>
      </c>
      <c r="O2602" s="3">
        <v>0.09</v>
      </c>
      <c r="P2602" s="3">
        <v>0</v>
      </c>
      <c r="Q2602" s="3">
        <v>0</v>
      </c>
      <c r="R2602" s="3">
        <v>0</v>
      </c>
    </row>
    <row r="2603" spans="1:18">
      <c r="A2603" s="3" t="s">
        <v>1337</v>
      </c>
      <c r="B2603" s="3" t="s">
        <v>1338</v>
      </c>
      <c r="C2603" s="3" t="s">
        <v>1339</v>
      </c>
      <c r="D2603" s="3" t="s">
        <v>1340</v>
      </c>
      <c r="E2603" s="3" t="s">
        <v>1710</v>
      </c>
      <c r="F2603" s="3">
        <v>19.99</v>
      </c>
      <c r="G2603" s="3" t="s">
        <v>6233</v>
      </c>
      <c r="H2603" s="3"/>
      <c r="I2603" s="3" t="s">
        <v>6234</v>
      </c>
      <c r="J2603" s="3">
        <v>11</v>
      </c>
      <c r="K2603" s="3">
        <v>10</v>
      </c>
      <c r="L2603" s="3">
        <v>0</v>
      </c>
      <c r="M2603" s="3">
        <v>1</v>
      </c>
      <c r="N2603" s="3">
        <v>11</v>
      </c>
      <c r="O2603" s="3">
        <v>0.09</v>
      </c>
      <c r="P2603" s="3">
        <v>0</v>
      </c>
      <c r="Q2603" s="3">
        <v>0</v>
      </c>
      <c r="R2603" s="3">
        <v>0</v>
      </c>
    </row>
    <row r="2604" spans="1:18">
      <c r="A2604" s="3" t="s">
        <v>3594</v>
      </c>
      <c r="B2604" s="3" t="s">
        <v>3595</v>
      </c>
      <c r="C2604" s="3" t="s">
        <v>3596</v>
      </c>
      <c r="D2604" s="3" t="s">
        <v>9907</v>
      </c>
      <c r="E2604" s="3" t="s">
        <v>1710</v>
      </c>
      <c r="F2604" s="3">
        <v>19.99</v>
      </c>
      <c r="G2604" s="3" t="s">
        <v>6233</v>
      </c>
      <c r="H2604" s="3"/>
      <c r="I2604" s="3" t="s">
        <v>6234</v>
      </c>
      <c r="J2604" s="3">
        <v>5</v>
      </c>
      <c r="K2604" s="3">
        <v>5</v>
      </c>
      <c r="L2604" s="3">
        <v>0</v>
      </c>
      <c r="M2604" s="3">
        <v>0</v>
      </c>
      <c r="N2604" s="3">
        <v>5</v>
      </c>
      <c r="O2604" s="3">
        <v>0.09</v>
      </c>
      <c r="P2604" s="3">
        <v>0</v>
      </c>
      <c r="Q2604" s="3">
        <v>0</v>
      </c>
      <c r="R2604" s="3">
        <v>0</v>
      </c>
    </row>
    <row r="2605" spans="1:18">
      <c r="A2605" s="3" t="s">
        <v>6096</v>
      </c>
      <c r="B2605" s="3" t="s">
        <v>6097</v>
      </c>
      <c r="C2605" s="3" t="s">
        <v>6098</v>
      </c>
      <c r="D2605" s="3" t="s">
        <v>9908</v>
      </c>
      <c r="E2605" s="3" t="s">
        <v>1710</v>
      </c>
      <c r="F2605" s="3">
        <v>19.99</v>
      </c>
      <c r="G2605" s="3" t="s">
        <v>6233</v>
      </c>
      <c r="H2605" s="3"/>
      <c r="I2605" s="3" t="s">
        <v>6234</v>
      </c>
      <c r="J2605" s="3">
        <v>15</v>
      </c>
      <c r="K2605" s="3">
        <v>15</v>
      </c>
      <c r="L2605" s="3">
        <v>0</v>
      </c>
      <c r="M2605" s="3">
        <v>0</v>
      </c>
      <c r="N2605" s="3">
        <v>15</v>
      </c>
      <c r="O2605" s="3">
        <v>0.09</v>
      </c>
      <c r="P2605" s="3">
        <v>0</v>
      </c>
      <c r="Q2605" s="3">
        <v>0</v>
      </c>
      <c r="R2605" s="3">
        <v>0</v>
      </c>
    </row>
    <row r="2606" spans="1:18">
      <c r="A2606" s="3" t="s">
        <v>4717</v>
      </c>
      <c r="B2606" s="3" t="s">
        <v>4718</v>
      </c>
      <c r="C2606" s="3" t="s">
        <v>4719</v>
      </c>
      <c r="D2606" s="3" t="s">
        <v>9909</v>
      </c>
      <c r="E2606" s="3" t="s">
        <v>1710</v>
      </c>
      <c r="F2606" s="3">
        <v>19.99</v>
      </c>
      <c r="G2606" s="3" t="s">
        <v>6233</v>
      </c>
      <c r="H2606" s="3"/>
      <c r="I2606" s="3" t="s">
        <v>6234</v>
      </c>
      <c r="J2606" s="3">
        <v>7</v>
      </c>
      <c r="K2606" s="3">
        <v>7</v>
      </c>
      <c r="L2606" s="3">
        <v>0</v>
      </c>
      <c r="M2606" s="3">
        <v>0</v>
      </c>
      <c r="N2606" s="3">
        <v>7</v>
      </c>
      <c r="O2606" s="3">
        <v>0.09</v>
      </c>
      <c r="P2606" s="3">
        <v>0</v>
      </c>
      <c r="Q2606" s="3">
        <v>0</v>
      </c>
      <c r="R2606" s="3">
        <v>0</v>
      </c>
    </row>
    <row r="2607" spans="1:18">
      <c r="A2607" s="3" t="s">
        <v>3513</v>
      </c>
      <c r="B2607" s="3" t="s">
        <v>3514</v>
      </c>
      <c r="C2607" s="3" t="s">
        <v>3515</v>
      </c>
      <c r="D2607" s="3" t="s">
        <v>9910</v>
      </c>
      <c r="E2607" s="3" t="s">
        <v>1710</v>
      </c>
      <c r="F2607" s="3">
        <v>19.99</v>
      </c>
      <c r="G2607" s="3" t="s">
        <v>6233</v>
      </c>
      <c r="H2607" s="3"/>
      <c r="I2607" s="3" t="s">
        <v>6234</v>
      </c>
      <c r="J2607" s="3">
        <v>6</v>
      </c>
      <c r="K2607" s="3">
        <v>5</v>
      </c>
      <c r="L2607" s="3">
        <v>1</v>
      </c>
      <c r="M2607" s="3">
        <v>0</v>
      </c>
      <c r="N2607" s="3">
        <v>6</v>
      </c>
      <c r="O2607" s="3">
        <v>0.09</v>
      </c>
      <c r="P2607" s="3">
        <v>0</v>
      </c>
      <c r="Q2607" s="3">
        <v>0</v>
      </c>
      <c r="R2607" s="3">
        <v>0</v>
      </c>
    </row>
    <row r="2608" spans="1:18">
      <c r="A2608" s="3" t="s">
        <v>3792</v>
      </c>
      <c r="B2608" s="3" t="s">
        <v>3793</v>
      </c>
      <c r="C2608" s="3" t="s">
        <v>3794</v>
      </c>
      <c r="D2608" s="3" t="s">
        <v>9911</v>
      </c>
      <c r="E2608" s="3" t="s">
        <v>1710</v>
      </c>
      <c r="F2608" s="3">
        <v>19.99</v>
      </c>
      <c r="G2608" s="3" t="s">
        <v>6233</v>
      </c>
      <c r="H2608" s="3"/>
      <c r="I2608" s="3" t="s">
        <v>6234</v>
      </c>
      <c r="J2608" s="3">
        <v>15</v>
      </c>
      <c r="K2608" s="3">
        <v>15</v>
      </c>
      <c r="L2608" s="3">
        <v>0</v>
      </c>
      <c r="M2608" s="3">
        <v>0</v>
      </c>
      <c r="N2608" s="3">
        <v>15</v>
      </c>
      <c r="O2608" s="3">
        <v>0.09</v>
      </c>
      <c r="P2608" s="3">
        <v>0</v>
      </c>
      <c r="Q2608" s="3">
        <v>0</v>
      </c>
      <c r="R2608" s="3">
        <v>0</v>
      </c>
    </row>
    <row r="2609" spans="1:18">
      <c r="A2609" s="3" t="s">
        <v>2579</v>
      </c>
      <c r="B2609" s="3" t="s">
        <v>2580</v>
      </c>
      <c r="C2609" s="3" t="s">
        <v>2581</v>
      </c>
      <c r="D2609" s="3" t="s">
        <v>9912</v>
      </c>
      <c r="E2609" s="3" t="s">
        <v>1710</v>
      </c>
      <c r="F2609" s="3">
        <v>19.99</v>
      </c>
      <c r="G2609" s="3" t="s">
        <v>6233</v>
      </c>
      <c r="H2609" s="3"/>
      <c r="I2609" s="3" t="s">
        <v>6234</v>
      </c>
      <c r="J2609" s="3">
        <v>11</v>
      </c>
      <c r="K2609" s="3">
        <v>11</v>
      </c>
      <c r="L2609" s="3">
        <v>0</v>
      </c>
      <c r="M2609" s="3">
        <v>0</v>
      </c>
      <c r="N2609" s="3">
        <v>11</v>
      </c>
      <c r="O2609" s="3">
        <v>0.09</v>
      </c>
      <c r="P2609" s="3">
        <v>0</v>
      </c>
      <c r="Q2609" s="3">
        <v>0</v>
      </c>
      <c r="R2609" s="3">
        <v>0</v>
      </c>
    </row>
    <row r="2610" spans="1:18">
      <c r="A2610" s="3" t="s">
        <v>1329</v>
      </c>
      <c r="B2610" s="3" t="s">
        <v>1330</v>
      </c>
      <c r="C2610" s="3" t="s">
        <v>1331</v>
      </c>
      <c r="D2610" s="3" t="s">
        <v>1332</v>
      </c>
      <c r="E2610" s="3" t="s">
        <v>1710</v>
      </c>
      <c r="F2610" s="3">
        <v>25.99</v>
      </c>
      <c r="G2610" s="3" t="s">
        <v>6233</v>
      </c>
      <c r="H2610" s="3"/>
      <c r="I2610" s="3" t="s">
        <v>6234</v>
      </c>
      <c r="J2610" s="3">
        <v>14</v>
      </c>
      <c r="K2610" s="3">
        <v>9</v>
      </c>
      <c r="L2610" s="3">
        <v>3</v>
      </c>
      <c r="M2610" s="3">
        <v>2</v>
      </c>
      <c r="N2610" s="3">
        <v>44</v>
      </c>
      <c r="O2610" s="3">
        <v>0.13</v>
      </c>
      <c r="P2610" s="3">
        <v>0</v>
      </c>
      <c r="Q2610" s="3">
        <v>30</v>
      </c>
      <c r="R2610" s="3">
        <v>0</v>
      </c>
    </row>
    <row r="2611" spans="1:18">
      <c r="A2611" s="3" t="s">
        <v>1271</v>
      </c>
      <c r="B2611" s="3" t="s">
        <v>1272</v>
      </c>
      <c r="C2611" s="3" t="s">
        <v>1273</v>
      </c>
      <c r="D2611" s="3" t="s">
        <v>1274</v>
      </c>
      <c r="E2611" s="3" t="s">
        <v>1710</v>
      </c>
      <c r="F2611" s="3">
        <v>25.99</v>
      </c>
      <c r="G2611" s="3" t="s">
        <v>6233</v>
      </c>
      <c r="H2611" s="3"/>
      <c r="I2611" s="3" t="s">
        <v>6234</v>
      </c>
      <c r="J2611" s="3">
        <v>3</v>
      </c>
      <c r="K2611" s="3">
        <v>0</v>
      </c>
      <c r="L2611" s="3">
        <v>2</v>
      </c>
      <c r="M2611" s="3">
        <v>1</v>
      </c>
      <c r="N2611" s="3">
        <v>63</v>
      </c>
      <c r="O2611" s="3">
        <v>0.13</v>
      </c>
      <c r="P2611" s="3">
        <v>0</v>
      </c>
      <c r="Q2611" s="3">
        <v>60</v>
      </c>
      <c r="R2611" s="3">
        <v>0</v>
      </c>
    </row>
    <row r="2612" spans="1:18">
      <c r="A2612" s="3" t="s">
        <v>1313</v>
      </c>
      <c r="B2612" s="3" t="s">
        <v>1314</v>
      </c>
      <c r="C2612" s="3" t="s">
        <v>1315</v>
      </c>
      <c r="D2612" s="3" t="s">
        <v>1316</v>
      </c>
      <c r="E2612" s="3" t="s">
        <v>1710</v>
      </c>
      <c r="F2612" s="3">
        <v>25.99</v>
      </c>
      <c r="G2612" s="3" t="s">
        <v>6233</v>
      </c>
      <c r="H2612" s="3"/>
      <c r="I2612" s="3" t="s">
        <v>6234</v>
      </c>
      <c r="J2612" s="3">
        <v>5</v>
      </c>
      <c r="K2612" s="3">
        <v>0</v>
      </c>
      <c r="L2612" s="3">
        <v>1</v>
      </c>
      <c r="M2612" s="3">
        <v>4</v>
      </c>
      <c r="N2612" s="3">
        <v>70</v>
      </c>
      <c r="O2612" s="3">
        <v>0.13</v>
      </c>
      <c r="P2612" s="3">
        <v>0</v>
      </c>
      <c r="Q2612" s="3">
        <v>65</v>
      </c>
      <c r="R2612" s="3">
        <v>0</v>
      </c>
    </row>
    <row r="2613" spans="1:18">
      <c r="A2613" s="3" t="s">
        <v>1275</v>
      </c>
      <c r="B2613" s="3" t="s">
        <v>1276</v>
      </c>
      <c r="C2613" s="3" t="s">
        <v>1277</v>
      </c>
      <c r="D2613" s="3" t="s">
        <v>1278</v>
      </c>
      <c r="E2613" s="3" t="s">
        <v>1710</v>
      </c>
      <c r="F2613" s="3">
        <v>25.99</v>
      </c>
      <c r="G2613" s="3" t="s">
        <v>6233</v>
      </c>
      <c r="H2613" s="3"/>
      <c r="I2613" s="3" t="s">
        <v>6234</v>
      </c>
      <c r="J2613" s="3">
        <v>28</v>
      </c>
      <c r="K2613" s="3">
        <v>15</v>
      </c>
      <c r="L2613" s="3">
        <v>1</v>
      </c>
      <c r="M2613" s="3">
        <v>12</v>
      </c>
      <c r="N2613" s="3">
        <v>90</v>
      </c>
      <c r="O2613" s="3">
        <v>0.13</v>
      </c>
      <c r="P2613" s="3">
        <v>0</v>
      </c>
      <c r="Q2613" s="3">
        <v>39</v>
      </c>
      <c r="R2613" s="3">
        <v>23</v>
      </c>
    </row>
    <row r="2614" spans="1:18">
      <c r="A2614" s="3" t="s">
        <v>1244</v>
      </c>
      <c r="B2614" s="3" t="s">
        <v>1245</v>
      </c>
      <c r="C2614" s="3" t="s">
        <v>1246</v>
      </c>
      <c r="D2614" s="3" t="s">
        <v>1247</v>
      </c>
      <c r="E2614" s="3" t="s">
        <v>1710</v>
      </c>
      <c r="F2614" s="3">
        <v>25.99</v>
      </c>
      <c r="G2614" s="3" t="s">
        <v>6233</v>
      </c>
      <c r="H2614" s="3"/>
      <c r="I2614" s="3" t="s">
        <v>6234</v>
      </c>
      <c r="J2614" s="3">
        <v>1</v>
      </c>
      <c r="K2614" s="3">
        <v>0</v>
      </c>
      <c r="L2614" s="3">
        <v>0</v>
      </c>
      <c r="M2614" s="3">
        <v>1</v>
      </c>
      <c r="N2614" s="3">
        <v>128</v>
      </c>
      <c r="O2614" s="3">
        <v>0.13</v>
      </c>
      <c r="P2614" s="3">
        <v>0</v>
      </c>
      <c r="Q2614" s="3">
        <v>97</v>
      </c>
      <c r="R2614" s="3">
        <v>30</v>
      </c>
    </row>
    <row r="2615" spans="1:18">
      <c r="A2615" s="3" t="s">
        <v>1232</v>
      </c>
      <c r="B2615" s="3" t="s">
        <v>1233</v>
      </c>
      <c r="C2615" s="3" t="s">
        <v>1234</v>
      </c>
      <c r="D2615" s="3" t="s">
        <v>1235</v>
      </c>
      <c r="E2615" s="3" t="s">
        <v>1710</v>
      </c>
      <c r="F2615" s="3">
        <v>25.99</v>
      </c>
      <c r="G2615" s="3" t="s">
        <v>6233</v>
      </c>
      <c r="H2615" s="3"/>
      <c r="I2615" s="3" t="s">
        <v>6234</v>
      </c>
      <c r="J2615" s="3">
        <v>27</v>
      </c>
      <c r="K2615" s="3">
        <v>20</v>
      </c>
      <c r="L2615" s="3">
        <v>0</v>
      </c>
      <c r="M2615" s="3">
        <v>7</v>
      </c>
      <c r="N2615" s="3">
        <v>47</v>
      </c>
      <c r="O2615" s="3">
        <v>0.13</v>
      </c>
      <c r="P2615" s="3">
        <v>0</v>
      </c>
      <c r="Q2615" s="3">
        <v>20</v>
      </c>
      <c r="R2615" s="3">
        <v>0</v>
      </c>
    </row>
    <row r="2616" spans="1:18">
      <c r="A2616" s="3" t="s">
        <v>1224</v>
      </c>
      <c r="B2616" s="3" t="s">
        <v>1225</v>
      </c>
      <c r="C2616" s="3" t="s">
        <v>1226</v>
      </c>
      <c r="D2616" s="3" t="s">
        <v>1227</v>
      </c>
      <c r="E2616" s="3" t="s">
        <v>1710</v>
      </c>
      <c r="F2616" s="3">
        <v>25.99</v>
      </c>
      <c r="G2616" s="3" t="s">
        <v>6233</v>
      </c>
      <c r="H2616" s="3"/>
      <c r="I2616" s="3" t="s">
        <v>6234</v>
      </c>
      <c r="J2616" s="3">
        <v>61</v>
      </c>
      <c r="K2616" s="3">
        <v>27</v>
      </c>
      <c r="L2616" s="3">
        <v>0</v>
      </c>
      <c r="M2616" s="3">
        <v>34</v>
      </c>
      <c r="N2616" s="3">
        <v>61</v>
      </c>
      <c r="O2616" s="3">
        <v>0.13</v>
      </c>
      <c r="P2616" s="3">
        <v>0</v>
      </c>
      <c r="Q2616" s="3">
        <v>0</v>
      </c>
      <c r="R2616" s="3">
        <v>0</v>
      </c>
    </row>
    <row r="2617" spans="1:18">
      <c r="A2617" s="3" t="s">
        <v>1248</v>
      </c>
      <c r="B2617" s="3" t="s">
        <v>1249</v>
      </c>
      <c r="C2617" s="3" t="s">
        <v>1250</v>
      </c>
      <c r="D2617" s="3" t="s">
        <v>1251</v>
      </c>
      <c r="E2617" s="3" t="s">
        <v>1710</v>
      </c>
      <c r="F2617" s="3">
        <v>25.99</v>
      </c>
      <c r="G2617" s="3" t="s">
        <v>6233</v>
      </c>
      <c r="H2617" s="3"/>
      <c r="I2617" s="3" t="s">
        <v>6234</v>
      </c>
      <c r="J2617" s="3">
        <v>99</v>
      </c>
      <c r="K2617" s="3">
        <v>28</v>
      </c>
      <c r="L2617" s="3">
        <v>1</v>
      </c>
      <c r="M2617" s="3">
        <v>70</v>
      </c>
      <c r="N2617" s="3">
        <v>129</v>
      </c>
      <c r="O2617" s="3">
        <v>0.13</v>
      </c>
      <c r="P2617" s="3">
        <v>0</v>
      </c>
      <c r="Q2617" s="3">
        <v>30</v>
      </c>
      <c r="R2617" s="3">
        <v>0</v>
      </c>
    </row>
    <row r="2618" spans="1:18">
      <c r="A2618" s="3" t="s">
        <v>1264</v>
      </c>
      <c r="B2618" s="3" t="s">
        <v>1265</v>
      </c>
      <c r="C2618" s="3" t="s">
        <v>1266</v>
      </c>
      <c r="D2618" s="3" t="s">
        <v>1267</v>
      </c>
      <c r="E2618" s="3" t="s">
        <v>1710</v>
      </c>
      <c r="F2618" s="3">
        <v>25.99</v>
      </c>
      <c r="G2618" s="3" t="s">
        <v>6233</v>
      </c>
      <c r="H2618" s="3"/>
      <c r="I2618" s="3" t="s">
        <v>6234</v>
      </c>
      <c r="J2618" s="3">
        <v>15</v>
      </c>
      <c r="K2618" s="3">
        <v>14</v>
      </c>
      <c r="L2618" s="3">
        <v>0</v>
      </c>
      <c r="M2618" s="3">
        <v>1</v>
      </c>
      <c r="N2618" s="3">
        <v>66</v>
      </c>
      <c r="O2618" s="3">
        <v>0.13</v>
      </c>
      <c r="P2618" s="3">
        <v>0</v>
      </c>
      <c r="Q2618" s="3">
        <v>26</v>
      </c>
      <c r="R2618" s="3">
        <v>25</v>
      </c>
    </row>
    <row r="2619" spans="1:18">
      <c r="A2619" s="3" t="s">
        <v>1220</v>
      </c>
      <c r="B2619" s="3" t="s">
        <v>1221</v>
      </c>
      <c r="C2619" s="3" t="s">
        <v>1222</v>
      </c>
      <c r="D2619" s="3" t="s">
        <v>1223</v>
      </c>
      <c r="E2619" s="3" t="s">
        <v>1710</v>
      </c>
      <c r="F2619" s="3">
        <v>25.99</v>
      </c>
      <c r="G2619" s="3" t="s">
        <v>6233</v>
      </c>
      <c r="H2619" s="3"/>
      <c r="I2619" s="3" t="s">
        <v>6234</v>
      </c>
      <c r="J2619" s="3">
        <v>61</v>
      </c>
      <c r="K2619" s="3">
        <v>19</v>
      </c>
      <c r="L2619" s="3">
        <v>0</v>
      </c>
      <c r="M2619" s="3">
        <v>42</v>
      </c>
      <c r="N2619" s="3">
        <v>61</v>
      </c>
      <c r="O2619" s="3">
        <v>0.13</v>
      </c>
      <c r="P2619" s="3">
        <v>0</v>
      </c>
      <c r="Q2619" s="3">
        <v>0</v>
      </c>
      <c r="R2619" s="3">
        <v>0</v>
      </c>
    </row>
    <row r="2620" spans="1:18">
      <c r="A2620" s="3" t="s">
        <v>1228</v>
      </c>
      <c r="B2620" s="3" t="s">
        <v>1229</v>
      </c>
      <c r="C2620" s="3" t="s">
        <v>1230</v>
      </c>
      <c r="D2620" s="3" t="s">
        <v>1231</v>
      </c>
      <c r="E2620" s="3" t="s">
        <v>1710</v>
      </c>
      <c r="F2620" s="3">
        <v>25.99</v>
      </c>
      <c r="G2620" s="3" t="s">
        <v>6233</v>
      </c>
      <c r="H2620" s="3"/>
      <c r="I2620" s="3" t="s">
        <v>6234</v>
      </c>
      <c r="J2620" s="3">
        <v>13</v>
      </c>
      <c r="K2620" s="3">
        <v>12</v>
      </c>
      <c r="L2620" s="3">
        <v>0</v>
      </c>
      <c r="M2620" s="3">
        <v>1</v>
      </c>
      <c r="N2620" s="3">
        <v>32</v>
      </c>
      <c r="O2620" s="3">
        <v>0.05</v>
      </c>
      <c r="P2620" s="3">
        <v>0</v>
      </c>
      <c r="Q2620" s="3">
        <v>0</v>
      </c>
      <c r="R2620" s="3">
        <v>19</v>
      </c>
    </row>
    <row r="2621" spans="1:18">
      <c r="A2621" s="3" t="s">
        <v>1333</v>
      </c>
      <c r="B2621" s="3" t="s">
        <v>1334</v>
      </c>
      <c r="C2621" s="3" t="s">
        <v>1335</v>
      </c>
      <c r="D2621" s="3" t="s">
        <v>1336</v>
      </c>
      <c r="E2621" s="3" t="s">
        <v>1710</v>
      </c>
      <c r="F2621" s="3">
        <v>25.99</v>
      </c>
      <c r="G2621" s="3" t="s">
        <v>6233</v>
      </c>
      <c r="H2621" s="3"/>
      <c r="I2621" s="3" t="s">
        <v>6234</v>
      </c>
      <c r="J2621" s="3">
        <v>70</v>
      </c>
      <c r="K2621" s="3">
        <v>6</v>
      </c>
      <c r="L2621" s="3">
        <v>0</v>
      </c>
      <c r="M2621" s="3">
        <v>64</v>
      </c>
      <c r="N2621" s="3">
        <v>70</v>
      </c>
      <c r="O2621" s="3">
        <v>0.13</v>
      </c>
      <c r="P2621" s="3">
        <v>0</v>
      </c>
      <c r="Q2621" s="3">
        <v>0</v>
      </c>
      <c r="R2621" s="3">
        <v>0</v>
      </c>
    </row>
    <row r="2622" spans="1:18">
      <c r="A2622" s="3" t="s">
        <v>1252</v>
      </c>
      <c r="B2622" s="3" t="s">
        <v>1253</v>
      </c>
      <c r="C2622" s="3" t="s">
        <v>1254</v>
      </c>
      <c r="D2622" s="3" t="s">
        <v>1255</v>
      </c>
      <c r="E2622" s="3" t="s">
        <v>1710</v>
      </c>
      <c r="F2622" s="3">
        <v>25.99</v>
      </c>
      <c r="G2622" s="3" t="s">
        <v>6233</v>
      </c>
      <c r="H2622" s="3"/>
      <c r="I2622" s="3" t="s">
        <v>6234</v>
      </c>
      <c r="J2622" s="3">
        <v>71</v>
      </c>
      <c r="K2622" s="3">
        <v>68</v>
      </c>
      <c r="L2622" s="3">
        <v>1</v>
      </c>
      <c r="M2622" s="3">
        <v>2</v>
      </c>
      <c r="N2622" s="3">
        <v>71</v>
      </c>
      <c r="O2622" s="3">
        <v>0.14</v>
      </c>
      <c r="P2622" s="3">
        <v>0</v>
      </c>
      <c r="Q2622" s="3">
        <v>0</v>
      </c>
      <c r="R2622" s="3">
        <v>0</v>
      </c>
    </row>
    <row r="2623" spans="1:18">
      <c r="A2623" s="3" t="s">
        <v>1298</v>
      </c>
      <c r="B2623" s="3" t="s">
        <v>1299</v>
      </c>
      <c r="C2623" s="3" t="s">
        <v>1300</v>
      </c>
      <c r="D2623" s="3" t="s">
        <v>1301</v>
      </c>
      <c r="E2623" s="3" t="s">
        <v>1710</v>
      </c>
      <c r="F2623" s="3">
        <v>25.99</v>
      </c>
      <c r="G2623" s="3" t="s">
        <v>6233</v>
      </c>
      <c r="H2623" s="3"/>
      <c r="I2623" s="3" t="s">
        <v>6234</v>
      </c>
      <c r="J2623" s="3">
        <v>32</v>
      </c>
      <c r="K2623" s="3">
        <v>17</v>
      </c>
      <c r="L2623" s="3">
        <v>0</v>
      </c>
      <c r="M2623" s="3">
        <v>15</v>
      </c>
      <c r="N2623" s="3">
        <v>32</v>
      </c>
      <c r="O2623" s="3">
        <v>0.05</v>
      </c>
      <c r="P2623" s="3">
        <v>0</v>
      </c>
      <c r="Q2623" s="3">
        <v>0</v>
      </c>
      <c r="R2623" s="3">
        <v>0</v>
      </c>
    </row>
    <row r="2624" spans="1:18">
      <c r="A2624" s="3" t="s">
        <v>1286</v>
      </c>
      <c r="B2624" s="3" t="s">
        <v>1287</v>
      </c>
      <c r="C2624" s="3" t="s">
        <v>1288</v>
      </c>
      <c r="D2624" s="3" t="s">
        <v>1289</v>
      </c>
      <c r="E2624" s="3" t="s">
        <v>1710</v>
      </c>
      <c r="F2624" s="3">
        <v>25.99</v>
      </c>
      <c r="G2624" s="3" t="s">
        <v>6233</v>
      </c>
      <c r="H2624" s="3"/>
      <c r="I2624" s="3" t="s">
        <v>6234</v>
      </c>
      <c r="J2624" s="3">
        <v>16</v>
      </c>
      <c r="K2624" s="3">
        <v>13</v>
      </c>
      <c r="L2624" s="3">
        <v>0</v>
      </c>
      <c r="M2624" s="3">
        <v>3</v>
      </c>
      <c r="N2624" s="3">
        <v>29</v>
      </c>
      <c r="O2624" s="3">
        <v>0.13</v>
      </c>
      <c r="P2624" s="3">
        <v>0</v>
      </c>
      <c r="Q2624" s="3">
        <v>0</v>
      </c>
      <c r="R2624" s="3">
        <v>13</v>
      </c>
    </row>
    <row r="2625" spans="1:18">
      <c r="A2625" s="3" t="s">
        <v>9913</v>
      </c>
      <c r="B2625" s="3" t="s">
        <v>9914</v>
      </c>
      <c r="C2625" s="3" t="s">
        <v>9915</v>
      </c>
      <c r="D2625" s="3" t="s">
        <v>9916</v>
      </c>
      <c r="E2625" s="3" t="s">
        <v>1710</v>
      </c>
      <c r="F2625" s="3">
        <v>31.99</v>
      </c>
      <c r="G2625" s="3" t="s">
        <v>6233</v>
      </c>
      <c r="H2625" s="3"/>
      <c r="I2625" s="3" t="s">
        <v>6234</v>
      </c>
      <c r="J2625" s="3">
        <v>0</v>
      </c>
      <c r="K2625" s="3">
        <v>0</v>
      </c>
      <c r="L2625" s="3">
        <v>0</v>
      </c>
      <c r="M2625" s="3">
        <v>0</v>
      </c>
      <c r="N2625" s="3">
        <v>20</v>
      </c>
      <c r="O2625" s="3">
        <v>0.05</v>
      </c>
      <c r="P2625" s="3">
        <v>0</v>
      </c>
      <c r="Q2625" s="3">
        <v>0</v>
      </c>
      <c r="R2625" s="3">
        <v>20</v>
      </c>
    </row>
    <row r="2626" spans="1:18">
      <c r="A2626" s="3" t="s">
        <v>9917</v>
      </c>
      <c r="B2626" s="3" t="s">
        <v>9918</v>
      </c>
      <c r="C2626" s="3" t="s">
        <v>9919</v>
      </c>
      <c r="D2626" s="3" t="s">
        <v>9920</v>
      </c>
      <c r="E2626" s="3" t="s">
        <v>1710</v>
      </c>
      <c r="F2626" s="3">
        <v>31.99</v>
      </c>
      <c r="G2626" s="3" t="s">
        <v>6233</v>
      </c>
      <c r="H2626" s="3"/>
      <c r="I2626" s="3" t="s">
        <v>6234</v>
      </c>
      <c r="J2626" s="3">
        <v>0</v>
      </c>
      <c r="K2626" s="3">
        <v>0</v>
      </c>
      <c r="L2626" s="3">
        <v>0</v>
      </c>
      <c r="M2626" s="3">
        <v>0</v>
      </c>
      <c r="N2626" s="3">
        <v>20</v>
      </c>
      <c r="O2626" s="3">
        <v>0.05</v>
      </c>
      <c r="P2626" s="3">
        <v>0</v>
      </c>
      <c r="Q2626" s="3">
        <v>0</v>
      </c>
      <c r="R2626" s="3">
        <v>20</v>
      </c>
    </row>
    <row r="2627" spans="1:18">
      <c r="A2627" s="3" t="s">
        <v>5953</v>
      </c>
      <c r="B2627" s="3" t="s">
        <v>5954</v>
      </c>
      <c r="C2627" s="3" t="s">
        <v>5955</v>
      </c>
      <c r="D2627" s="3" t="s">
        <v>5956</v>
      </c>
      <c r="E2627" s="3" t="s">
        <v>1710</v>
      </c>
      <c r="F2627" s="3">
        <v>31.99</v>
      </c>
      <c r="G2627" s="3" t="s">
        <v>6233</v>
      </c>
      <c r="H2627" s="3"/>
      <c r="I2627" s="3" t="s">
        <v>6234</v>
      </c>
      <c r="J2627" s="3">
        <v>11</v>
      </c>
      <c r="K2627" s="3">
        <v>11</v>
      </c>
      <c r="L2627" s="3">
        <v>0</v>
      </c>
      <c r="M2627" s="3">
        <v>0</v>
      </c>
      <c r="N2627" s="3">
        <v>11</v>
      </c>
      <c r="O2627" s="3">
        <v>0.05</v>
      </c>
      <c r="P2627" s="3">
        <v>0</v>
      </c>
      <c r="Q2627" s="3">
        <v>0</v>
      </c>
      <c r="R2627" s="3">
        <v>0</v>
      </c>
    </row>
    <row r="2628" spans="1:18">
      <c r="A2628" s="3" t="s">
        <v>9921</v>
      </c>
      <c r="B2628" s="3" t="s">
        <v>9922</v>
      </c>
      <c r="C2628" s="3" t="s">
        <v>9923</v>
      </c>
      <c r="D2628" s="3" t="s">
        <v>9924</v>
      </c>
      <c r="E2628" s="3" t="s">
        <v>1710</v>
      </c>
      <c r="F2628" s="3">
        <v>31.99</v>
      </c>
      <c r="G2628" s="3" t="s">
        <v>6233</v>
      </c>
      <c r="H2628" s="3"/>
      <c r="I2628" s="3" t="s">
        <v>6234</v>
      </c>
      <c r="J2628" s="3">
        <v>0</v>
      </c>
      <c r="K2628" s="3">
        <v>0</v>
      </c>
      <c r="L2628" s="3">
        <v>0</v>
      </c>
      <c r="M2628" s="3">
        <v>0</v>
      </c>
      <c r="N2628" s="3">
        <v>20</v>
      </c>
      <c r="O2628" s="3">
        <v>0.05</v>
      </c>
      <c r="P2628" s="3">
        <v>0</v>
      </c>
      <c r="Q2628" s="3">
        <v>0</v>
      </c>
      <c r="R2628" s="3">
        <v>20</v>
      </c>
    </row>
    <row r="2629" spans="1:18">
      <c r="A2629" s="3" t="s">
        <v>9925</v>
      </c>
      <c r="B2629" s="3" t="s">
        <v>9926</v>
      </c>
      <c r="C2629" s="3" t="s">
        <v>9927</v>
      </c>
      <c r="D2629" s="3" t="s">
        <v>9928</v>
      </c>
      <c r="E2629" s="3" t="s">
        <v>1710</v>
      </c>
      <c r="F2629" s="3">
        <v>31.99</v>
      </c>
      <c r="G2629" s="3" t="s">
        <v>6233</v>
      </c>
      <c r="H2629" s="3"/>
      <c r="I2629" s="3" t="s">
        <v>6234</v>
      </c>
      <c r="J2629" s="3">
        <v>0</v>
      </c>
      <c r="K2629" s="3">
        <v>0</v>
      </c>
      <c r="L2629" s="3">
        <v>0</v>
      </c>
      <c r="M2629" s="3">
        <v>0</v>
      </c>
      <c r="N2629" s="3">
        <v>20</v>
      </c>
      <c r="O2629" s="3">
        <v>0.05</v>
      </c>
      <c r="P2629" s="3">
        <v>0</v>
      </c>
      <c r="Q2629" s="3">
        <v>0</v>
      </c>
      <c r="R2629" s="3">
        <v>20</v>
      </c>
    </row>
    <row r="2630" spans="1:18">
      <c r="A2630" s="3" t="s">
        <v>1345</v>
      </c>
      <c r="B2630" s="3" t="s">
        <v>1346</v>
      </c>
      <c r="C2630" s="3" t="s">
        <v>1347</v>
      </c>
      <c r="D2630" s="3" t="s">
        <v>1348</v>
      </c>
      <c r="E2630" s="3" t="s">
        <v>1710</v>
      </c>
      <c r="F2630" s="3">
        <v>25.99</v>
      </c>
      <c r="G2630" s="3" t="s">
        <v>6233</v>
      </c>
      <c r="H2630" s="3"/>
      <c r="I2630" s="3" t="s">
        <v>6234</v>
      </c>
      <c r="J2630" s="3">
        <v>28</v>
      </c>
      <c r="K2630" s="3">
        <v>25</v>
      </c>
      <c r="L2630" s="3">
        <v>2</v>
      </c>
      <c r="M2630" s="3">
        <v>1</v>
      </c>
      <c r="N2630" s="3">
        <v>28</v>
      </c>
      <c r="O2630" s="3">
        <v>0.13</v>
      </c>
      <c r="P2630" s="3">
        <v>0</v>
      </c>
      <c r="Q2630" s="3">
        <v>0</v>
      </c>
      <c r="R2630" s="3">
        <v>0</v>
      </c>
    </row>
    <row r="2631" spans="1:18">
      <c r="A2631" s="3" t="s">
        <v>1302</v>
      </c>
      <c r="B2631" s="3" t="s">
        <v>1303</v>
      </c>
      <c r="C2631" s="3" t="s">
        <v>1304</v>
      </c>
      <c r="D2631" s="3" t="s">
        <v>1305</v>
      </c>
      <c r="E2631" s="3" t="s">
        <v>1710</v>
      </c>
      <c r="F2631" s="3">
        <v>25.99</v>
      </c>
      <c r="G2631" s="3" t="s">
        <v>6233</v>
      </c>
      <c r="H2631" s="3"/>
      <c r="I2631" s="3" t="s">
        <v>6234</v>
      </c>
      <c r="J2631" s="3">
        <v>99</v>
      </c>
      <c r="K2631" s="3">
        <v>0</v>
      </c>
      <c r="L2631" s="3">
        <v>1</v>
      </c>
      <c r="M2631" s="3">
        <v>98</v>
      </c>
      <c r="N2631" s="3">
        <v>147</v>
      </c>
      <c r="O2631" s="3">
        <v>0.13</v>
      </c>
      <c r="P2631" s="3">
        <v>0</v>
      </c>
      <c r="Q2631" s="3">
        <v>48</v>
      </c>
      <c r="R2631" s="3">
        <v>0</v>
      </c>
    </row>
    <row r="2632" spans="1:18">
      <c r="A2632" s="3" t="s">
        <v>1256</v>
      </c>
      <c r="B2632" s="3" t="s">
        <v>1257</v>
      </c>
      <c r="C2632" s="3" t="s">
        <v>1258</v>
      </c>
      <c r="D2632" s="3" t="s">
        <v>1259</v>
      </c>
      <c r="E2632" s="3" t="s">
        <v>1710</v>
      </c>
      <c r="F2632" s="3">
        <v>25.99</v>
      </c>
      <c r="G2632" s="3" t="s">
        <v>6233</v>
      </c>
      <c r="H2632" s="3"/>
      <c r="I2632" s="3" t="s">
        <v>6234</v>
      </c>
      <c r="J2632" s="3">
        <v>23</v>
      </c>
      <c r="K2632" s="3">
        <v>0</v>
      </c>
      <c r="L2632" s="3">
        <v>2</v>
      </c>
      <c r="M2632" s="3">
        <v>21</v>
      </c>
      <c r="N2632" s="3">
        <v>61</v>
      </c>
      <c r="O2632" s="3">
        <v>0.13</v>
      </c>
      <c r="P2632" s="3">
        <v>0</v>
      </c>
      <c r="Q2632" s="3">
        <v>25</v>
      </c>
      <c r="R2632" s="3">
        <v>13</v>
      </c>
    </row>
    <row r="2633" spans="1:18">
      <c r="A2633" s="3" t="s">
        <v>1290</v>
      </c>
      <c r="B2633" s="3" t="s">
        <v>1291</v>
      </c>
      <c r="C2633" s="3" t="s">
        <v>1292</v>
      </c>
      <c r="D2633" s="3" t="s">
        <v>1293</v>
      </c>
      <c r="E2633" s="3" t="s">
        <v>1710</v>
      </c>
      <c r="F2633" s="3">
        <v>25.99</v>
      </c>
      <c r="G2633" s="3" t="s">
        <v>6233</v>
      </c>
      <c r="H2633" s="3"/>
      <c r="I2633" s="3" t="s">
        <v>6234</v>
      </c>
      <c r="J2633" s="3">
        <v>28</v>
      </c>
      <c r="K2633" s="3">
        <v>24</v>
      </c>
      <c r="L2633" s="3">
        <v>3</v>
      </c>
      <c r="M2633" s="3">
        <v>1</v>
      </c>
      <c r="N2633" s="3">
        <v>37</v>
      </c>
      <c r="O2633" s="3">
        <v>0.13</v>
      </c>
      <c r="P2633" s="3">
        <v>0</v>
      </c>
      <c r="Q2633" s="3">
        <v>9</v>
      </c>
      <c r="R2633" s="3">
        <v>0</v>
      </c>
    </row>
    <row r="2634" spans="1:18">
      <c r="A2634" s="3" t="s">
        <v>1325</v>
      </c>
      <c r="B2634" s="3" t="s">
        <v>1326</v>
      </c>
      <c r="C2634" s="3" t="s">
        <v>1327</v>
      </c>
      <c r="D2634" s="3" t="s">
        <v>1328</v>
      </c>
      <c r="E2634" s="3" t="s">
        <v>1710</v>
      </c>
      <c r="F2634" s="3">
        <v>25.99</v>
      </c>
      <c r="G2634" s="3" t="s">
        <v>6233</v>
      </c>
      <c r="H2634" s="3"/>
      <c r="I2634" s="3" t="s">
        <v>6234</v>
      </c>
      <c r="J2634" s="3">
        <v>5</v>
      </c>
      <c r="K2634" s="3">
        <v>3</v>
      </c>
      <c r="L2634" s="3">
        <v>1</v>
      </c>
      <c r="M2634" s="3">
        <v>1</v>
      </c>
      <c r="N2634" s="3">
        <v>15</v>
      </c>
      <c r="O2634" s="3">
        <v>0.13</v>
      </c>
      <c r="P2634" s="3">
        <v>0</v>
      </c>
      <c r="Q2634" s="3">
        <v>10</v>
      </c>
      <c r="R2634" s="3">
        <v>0</v>
      </c>
    </row>
    <row r="2635" spans="1:18">
      <c r="A2635" s="3" t="s">
        <v>9929</v>
      </c>
      <c r="B2635" s="3" t="s">
        <v>9930</v>
      </c>
      <c r="C2635" s="3" t="s">
        <v>9931</v>
      </c>
      <c r="D2635" s="3" t="s">
        <v>9932</v>
      </c>
      <c r="E2635" s="3" t="s">
        <v>1710</v>
      </c>
      <c r="F2635" s="3">
        <v>25.99</v>
      </c>
      <c r="G2635" s="3" t="s">
        <v>6233</v>
      </c>
      <c r="H2635" s="3"/>
      <c r="I2635" s="3" t="s">
        <v>6234</v>
      </c>
      <c r="J2635" s="3">
        <v>0</v>
      </c>
      <c r="K2635" s="3">
        <v>0</v>
      </c>
      <c r="L2635" s="3">
        <v>0</v>
      </c>
      <c r="M2635" s="3">
        <v>0</v>
      </c>
      <c r="N2635" s="3">
        <v>25</v>
      </c>
      <c r="O2635" s="3">
        <v>0.05</v>
      </c>
      <c r="P2635" s="3">
        <v>0</v>
      </c>
      <c r="Q2635" s="3">
        <v>0</v>
      </c>
      <c r="R2635" s="3">
        <v>25</v>
      </c>
    </row>
    <row r="2636" spans="1:18">
      <c r="A2636" s="3" t="s">
        <v>9933</v>
      </c>
      <c r="B2636" s="3" t="s">
        <v>9934</v>
      </c>
      <c r="C2636" s="3" t="s">
        <v>9935</v>
      </c>
      <c r="D2636" s="3" t="s">
        <v>9936</v>
      </c>
      <c r="E2636" s="3" t="s">
        <v>1710</v>
      </c>
      <c r="F2636" s="3">
        <v>25.99</v>
      </c>
      <c r="G2636" s="3" t="s">
        <v>6233</v>
      </c>
      <c r="H2636" s="3"/>
      <c r="I2636" s="3" t="s">
        <v>6234</v>
      </c>
      <c r="J2636" s="3">
        <v>0</v>
      </c>
      <c r="K2636" s="3">
        <v>0</v>
      </c>
      <c r="L2636" s="3">
        <v>0</v>
      </c>
      <c r="M2636" s="3">
        <v>0</v>
      </c>
      <c r="N2636" s="3">
        <v>25</v>
      </c>
      <c r="O2636" s="3">
        <v>0.05</v>
      </c>
      <c r="P2636" s="3">
        <v>0</v>
      </c>
      <c r="Q2636" s="3">
        <v>0</v>
      </c>
      <c r="R2636" s="3">
        <v>25</v>
      </c>
    </row>
    <row r="2637" spans="1:18">
      <c r="A2637" s="3" t="s">
        <v>1321</v>
      </c>
      <c r="B2637" s="3" t="s">
        <v>1322</v>
      </c>
      <c r="C2637" s="3" t="s">
        <v>1323</v>
      </c>
      <c r="D2637" s="3" t="s">
        <v>1324</v>
      </c>
      <c r="E2637" s="3" t="s">
        <v>1710</v>
      </c>
      <c r="F2637" s="3">
        <v>25.99</v>
      </c>
      <c r="G2637" s="3" t="s">
        <v>6233</v>
      </c>
      <c r="H2637" s="3"/>
      <c r="I2637" s="3" t="s">
        <v>6234</v>
      </c>
      <c r="J2637" s="3">
        <v>1</v>
      </c>
      <c r="K2637" s="3">
        <v>0</v>
      </c>
      <c r="L2637" s="3">
        <v>0</v>
      </c>
      <c r="M2637" s="3">
        <v>1</v>
      </c>
      <c r="N2637" s="3">
        <v>6</v>
      </c>
      <c r="O2637" s="3">
        <v>0.05</v>
      </c>
      <c r="P2637" s="3">
        <v>0</v>
      </c>
      <c r="Q2637" s="3">
        <v>5</v>
      </c>
      <c r="R2637" s="3">
        <v>0</v>
      </c>
    </row>
    <row r="2638" spans="1:18">
      <c r="A2638" s="3" t="s">
        <v>9937</v>
      </c>
      <c r="B2638" s="3" t="s">
        <v>9938</v>
      </c>
      <c r="C2638" s="3" t="s">
        <v>9939</v>
      </c>
      <c r="D2638" s="3" t="s">
        <v>9940</v>
      </c>
      <c r="E2638" s="3" t="s">
        <v>1710</v>
      </c>
      <c r="F2638" s="3">
        <v>25.99</v>
      </c>
      <c r="G2638" s="3" t="s">
        <v>6233</v>
      </c>
      <c r="H2638" s="3"/>
      <c r="I2638" s="3" t="s">
        <v>6234</v>
      </c>
      <c r="J2638" s="3">
        <v>0</v>
      </c>
      <c r="K2638" s="3">
        <v>0</v>
      </c>
      <c r="L2638" s="3">
        <v>0</v>
      </c>
      <c r="M2638" s="3">
        <v>0</v>
      </c>
      <c r="N2638" s="3">
        <v>25</v>
      </c>
      <c r="O2638" s="3">
        <v>0.05</v>
      </c>
      <c r="P2638" s="3">
        <v>0</v>
      </c>
      <c r="Q2638" s="3">
        <v>0</v>
      </c>
      <c r="R2638" s="3">
        <v>25</v>
      </c>
    </row>
    <row r="2639" spans="1:18">
      <c r="A2639" s="3" t="s">
        <v>9941</v>
      </c>
      <c r="B2639" s="3" t="s">
        <v>9942</v>
      </c>
      <c r="C2639" s="3" t="s">
        <v>9943</v>
      </c>
      <c r="D2639" s="3" t="s">
        <v>9944</v>
      </c>
      <c r="E2639" s="3" t="s">
        <v>1710</v>
      </c>
      <c r="F2639" s="3">
        <v>25.99</v>
      </c>
      <c r="G2639" s="3" t="s">
        <v>6233</v>
      </c>
      <c r="H2639" s="3"/>
      <c r="I2639" s="3" t="s">
        <v>6234</v>
      </c>
      <c r="J2639" s="3">
        <v>0</v>
      </c>
      <c r="K2639" s="3">
        <v>0</v>
      </c>
      <c r="L2639" s="3">
        <v>0</v>
      </c>
      <c r="M2639" s="3">
        <v>0</v>
      </c>
      <c r="N2639" s="3">
        <v>25</v>
      </c>
      <c r="O2639" s="3">
        <v>0.05</v>
      </c>
      <c r="P2639" s="3">
        <v>0</v>
      </c>
      <c r="Q2639" s="3">
        <v>0</v>
      </c>
      <c r="R2639" s="3">
        <v>25</v>
      </c>
    </row>
    <row r="2640" spans="1:18">
      <c r="A2640" s="3" t="s">
        <v>9945</v>
      </c>
      <c r="B2640" s="3" t="s">
        <v>9946</v>
      </c>
      <c r="C2640" s="3" t="s">
        <v>9947</v>
      </c>
      <c r="D2640" s="3" t="s">
        <v>9948</v>
      </c>
      <c r="E2640" s="3" t="s">
        <v>1710</v>
      </c>
      <c r="F2640" s="3">
        <v>25.99</v>
      </c>
      <c r="G2640" s="3" t="s">
        <v>6233</v>
      </c>
      <c r="H2640" s="3"/>
      <c r="I2640" s="3" t="s">
        <v>6234</v>
      </c>
      <c r="J2640" s="3">
        <v>0</v>
      </c>
      <c r="K2640" s="3">
        <v>0</v>
      </c>
      <c r="L2640" s="3">
        <v>0</v>
      </c>
      <c r="M2640" s="3">
        <v>0</v>
      </c>
      <c r="N2640" s="3">
        <v>20</v>
      </c>
      <c r="O2640" s="3">
        <v>0.05</v>
      </c>
      <c r="P2640" s="3">
        <v>0</v>
      </c>
      <c r="Q2640" s="3">
        <v>0</v>
      </c>
      <c r="R2640" s="3">
        <v>20</v>
      </c>
    </row>
    <row r="2641" spans="1:18">
      <c r="A2641" s="3" t="s">
        <v>9949</v>
      </c>
      <c r="B2641" s="3" t="s">
        <v>9950</v>
      </c>
      <c r="C2641" s="3" t="s">
        <v>9951</v>
      </c>
      <c r="D2641" s="3" t="s">
        <v>9952</v>
      </c>
      <c r="E2641" s="3" t="s">
        <v>1710</v>
      </c>
      <c r="F2641" s="3">
        <v>25.99</v>
      </c>
      <c r="G2641" s="3" t="s">
        <v>6233</v>
      </c>
      <c r="H2641" s="3"/>
      <c r="I2641" s="3" t="s">
        <v>6234</v>
      </c>
      <c r="J2641" s="3">
        <v>0</v>
      </c>
      <c r="K2641" s="3">
        <v>0</v>
      </c>
      <c r="L2641" s="3">
        <v>0</v>
      </c>
      <c r="M2641" s="3">
        <v>0</v>
      </c>
      <c r="N2641" s="3">
        <v>20</v>
      </c>
      <c r="O2641" s="3">
        <v>0.05</v>
      </c>
      <c r="P2641" s="3">
        <v>0</v>
      </c>
      <c r="Q2641" s="3">
        <v>0</v>
      </c>
      <c r="R2641" s="3">
        <v>20</v>
      </c>
    </row>
    <row r="2642" spans="1:18">
      <c r="A2642" s="3" t="s">
        <v>9953</v>
      </c>
      <c r="B2642" s="3" t="s">
        <v>9954</v>
      </c>
      <c r="C2642" s="3" t="s">
        <v>9955</v>
      </c>
      <c r="D2642" s="3" t="s">
        <v>9956</v>
      </c>
      <c r="E2642" s="3" t="s">
        <v>1710</v>
      </c>
      <c r="F2642" s="3">
        <v>25.99</v>
      </c>
      <c r="G2642" s="3" t="s">
        <v>6233</v>
      </c>
      <c r="H2642" s="3"/>
      <c r="I2642" s="3" t="s">
        <v>6234</v>
      </c>
      <c r="J2642" s="3">
        <v>0</v>
      </c>
      <c r="K2642" s="3">
        <v>0</v>
      </c>
      <c r="L2642" s="3">
        <v>0</v>
      </c>
      <c r="M2642" s="3">
        <v>0</v>
      </c>
      <c r="N2642" s="3">
        <v>20</v>
      </c>
      <c r="O2642" s="3">
        <v>0.05</v>
      </c>
      <c r="P2642" s="3">
        <v>0</v>
      </c>
      <c r="Q2642" s="3">
        <v>0</v>
      </c>
      <c r="R2642" s="3">
        <v>20</v>
      </c>
    </row>
    <row r="2643" spans="1:18">
      <c r="A2643" s="3" t="s">
        <v>9957</v>
      </c>
      <c r="B2643" s="3" t="s">
        <v>9958</v>
      </c>
      <c r="C2643" s="3" t="s">
        <v>9959</v>
      </c>
      <c r="D2643" s="3" t="s">
        <v>9960</v>
      </c>
      <c r="E2643" s="3" t="s">
        <v>1710</v>
      </c>
      <c r="F2643" s="3">
        <v>25.99</v>
      </c>
      <c r="G2643" s="3" t="s">
        <v>6233</v>
      </c>
      <c r="H2643" s="3"/>
      <c r="I2643" s="3" t="s">
        <v>6234</v>
      </c>
      <c r="J2643" s="3">
        <v>0</v>
      </c>
      <c r="K2643" s="3">
        <v>0</v>
      </c>
      <c r="L2643" s="3">
        <v>0</v>
      </c>
      <c r="M2643" s="3">
        <v>0</v>
      </c>
      <c r="N2643" s="3">
        <v>20</v>
      </c>
      <c r="O2643" s="3">
        <v>0.05</v>
      </c>
      <c r="P2643" s="3">
        <v>0</v>
      </c>
      <c r="Q2643" s="3">
        <v>0</v>
      </c>
      <c r="R2643" s="3">
        <v>20</v>
      </c>
    </row>
    <row r="2644" spans="1:18">
      <c r="A2644" s="3" t="s">
        <v>9961</v>
      </c>
      <c r="B2644" s="3" t="s">
        <v>9962</v>
      </c>
      <c r="C2644" s="3" t="s">
        <v>9963</v>
      </c>
      <c r="D2644" s="3" t="s">
        <v>9964</v>
      </c>
      <c r="E2644" s="3" t="s">
        <v>1710</v>
      </c>
      <c r="F2644" s="3">
        <v>25.99</v>
      </c>
      <c r="G2644" s="3" t="s">
        <v>6233</v>
      </c>
      <c r="H2644" s="3"/>
      <c r="I2644" s="3" t="s">
        <v>6234</v>
      </c>
      <c r="J2644" s="3">
        <v>0</v>
      </c>
      <c r="K2644" s="3">
        <v>0</v>
      </c>
      <c r="L2644" s="3">
        <v>0</v>
      </c>
      <c r="M2644" s="3">
        <v>0</v>
      </c>
      <c r="N2644" s="3">
        <v>20</v>
      </c>
      <c r="O2644" s="3">
        <v>0.05</v>
      </c>
      <c r="P2644" s="3">
        <v>0</v>
      </c>
      <c r="Q2644" s="3">
        <v>0</v>
      </c>
      <c r="R2644" s="3">
        <v>20</v>
      </c>
    </row>
    <row r="2645" spans="1:18">
      <c r="A2645" s="3" t="s">
        <v>1260</v>
      </c>
      <c r="B2645" s="3" t="s">
        <v>1261</v>
      </c>
      <c r="C2645" s="3" t="s">
        <v>1262</v>
      </c>
      <c r="D2645" s="3" t="s">
        <v>1263</v>
      </c>
      <c r="E2645" s="3" t="s">
        <v>1710</v>
      </c>
      <c r="F2645" s="3">
        <v>19.99</v>
      </c>
      <c r="G2645" s="3" t="s">
        <v>6233</v>
      </c>
      <c r="H2645" s="3"/>
      <c r="I2645" s="3" t="s">
        <v>6234</v>
      </c>
      <c r="J2645" s="3">
        <v>2</v>
      </c>
      <c r="K2645" s="3">
        <v>0</v>
      </c>
      <c r="L2645" s="3">
        <v>0</v>
      </c>
      <c r="M2645" s="3">
        <v>2</v>
      </c>
      <c r="N2645" s="3">
        <v>37</v>
      </c>
      <c r="O2645" s="3">
        <v>0.13</v>
      </c>
      <c r="P2645" s="3">
        <v>0</v>
      </c>
      <c r="Q2645" s="3">
        <v>35</v>
      </c>
      <c r="R2645" s="3">
        <v>0</v>
      </c>
    </row>
    <row r="2646" spans="1:18">
      <c r="A2646" s="3" t="s">
        <v>1294</v>
      </c>
      <c r="B2646" s="3" t="s">
        <v>1295</v>
      </c>
      <c r="C2646" s="3" t="s">
        <v>1296</v>
      </c>
      <c r="D2646" s="3" t="s">
        <v>1297</v>
      </c>
      <c r="E2646" s="3" t="s">
        <v>1710</v>
      </c>
      <c r="F2646" s="3">
        <v>25.99</v>
      </c>
      <c r="G2646" s="3" t="s">
        <v>6233</v>
      </c>
      <c r="H2646" s="3"/>
      <c r="I2646" s="3" t="s">
        <v>6234</v>
      </c>
      <c r="J2646" s="3">
        <v>24</v>
      </c>
      <c r="K2646" s="3">
        <v>15</v>
      </c>
      <c r="L2646" s="3">
        <v>2</v>
      </c>
      <c r="M2646" s="3">
        <v>7</v>
      </c>
      <c r="N2646" s="3">
        <v>29</v>
      </c>
      <c r="O2646" s="3">
        <v>0.13</v>
      </c>
      <c r="P2646" s="3">
        <v>0</v>
      </c>
      <c r="Q2646" s="3">
        <v>5</v>
      </c>
      <c r="R2646" s="3">
        <v>0</v>
      </c>
    </row>
    <row r="2647" spans="1:18">
      <c r="A2647" s="3" t="s">
        <v>9965</v>
      </c>
      <c r="B2647" s="3" t="s">
        <v>9966</v>
      </c>
      <c r="C2647" s="3" t="s">
        <v>9967</v>
      </c>
      <c r="D2647" s="3" t="s">
        <v>9968</v>
      </c>
      <c r="E2647" s="3" t="s">
        <v>1710</v>
      </c>
      <c r="F2647" s="3">
        <v>25.99</v>
      </c>
      <c r="G2647" s="3" t="s">
        <v>6233</v>
      </c>
      <c r="H2647" s="3"/>
      <c r="I2647" s="3" t="s">
        <v>6234</v>
      </c>
      <c r="J2647" s="3">
        <v>0</v>
      </c>
      <c r="K2647" s="3">
        <v>0</v>
      </c>
      <c r="L2647" s="3">
        <v>0</v>
      </c>
      <c r="M2647" s="3">
        <v>0</v>
      </c>
      <c r="N2647" s="3">
        <v>70</v>
      </c>
      <c r="O2647" s="3">
        <v>0.13</v>
      </c>
      <c r="P2647" s="3">
        <v>0</v>
      </c>
      <c r="Q2647" s="3">
        <v>35</v>
      </c>
      <c r="R2647" s="3">
        <v>35</v>
      </c>
    </row>
    <row r="2648" spans="1:18">
      <c r="A2648" s="3" t="s">
        <v>1236</v>
      </c>
      <c r="B2648" s="3" t="s">
        <v>1237</v>
      </c>
      <c r="C2648" s="3" t="s">
        <v>1238</v>
      </c>
      <c r="D2648" s="3" t="s">
        <v>1239</v>
      </c>
      <c r="E2648" s="3" t="s">
        <v>1710</v>
      </c>
      <c r="F2648" s="3">
        <v>25.99</v>
      </c>
      <c r="G2648" s="3" t="s">
        <v>6233</v>
      </c>
      <c r="H2648" s="3"/>
      <c r="I2648" s="3" t="s">
        <v>6234</v>
      </c>
      <c r="J2648" s="3">
        <v>50</v>
      </c>
      <c r="K2648" s="3">
        <v>44</v>
      </c>
      <c r="L2648" s="3">
        <v>1</v>
      </c>
      <c r="M2648" s="3">
        <v>5</v>
      </c>
      <c r="N2648" s="3">
        <v>70</v>
      </c>
      <c r="O2648" s="3">
        <v>0.13</v>
      </c>
      <c r="P2648" s="3">
        <v>0</v>
      </c>
      <c r="Q2648" s="3">
        <v>20</v>
      </c>
      <c r="R2648" s="3">
        <v>0</v>
      </c>
    </row>
    <row r="2649" spans="1:18">
      <c r="A2649" s="3" t="s">
        <v>1341</v>
      </c>
      <c r="B2649" s="3" t="s">
        <v>1342</v>
      </c>
      <c r="C2649" s="3" t="s">
        <v>1343</v>
      </c>
      <c r="D2649" s="3" t="s">
        <v>1344</v>
      </c>
      <c r="E2649" s="3" t="s">
        <v>1710</v>
      </c>
      <c r="F2649" s="3">
        <v>25.99</v>
      </c>
      <c r="G2649" s="3" t="s">
        <v>6233</v>
      </c>
      <c r="H2649" s="3"/>
      <c r="I2649" s="3" t="s">
        <v>6234</v>
      </c>
      <c r="J2649" s="3">
        <v>18</v>
      </c>
      <c r="K2649" s="3">
        <v>15</v>
      </c>
      <c r="L2649" s="3">
        <v>0</v>
      </c>
      <c r="M2649" s="3">
        <v>3</v>
      </c>
      <c r="N2649" s="3">
        <v>38</v>
      </c>
      <c r="O2649" s="3">
        <v>0.13</v>
      </c>
      <c r="P2649" s="3">
        <v>0</v>
      </c>
      <c r="Q2649" s="3">
        <v>5</v>
      </c>
      <c r="R2649" s="3">
        <v>15</v>
      </c>
    </row>
    <row r="2650" spans="1:18">
      <c r="A2650" s="3" t="s">
        <v>1317</v>
      </c>
      <c r="B2650" s="3" t="s">
        <v>1318</v>
      </c>
      <c r="C2650" s="3" t="s">
        <v>1319</v>
      </c>
      <c r="D2650" s="3" t="s">
        <v>1320</v>
      </c>
      <c r="E2650" s="3" t="s">
        <v>1710</v>
      </c>
      <c r="F2650" s="3">
        <v>18.99</v>
      </c>
      <c r="G2650" s="3" t="s">
        <v>6233</v>
      </c>
      <c r="H2650" s="3"/>
      <c r="I2650" s="3" t="s">
        <v>6234</v>
      </c>
      <c r="J2650" s="3">
        <v>94</v>
      </c>
      <c r="K2650" s="3">
        <v>77</v>
      </c>
      <c r="L2650" s="3">
        <v>1</v>
      </c>
      <c r="M2650" s="3">
        <v>16</v>
      </c>
      <c r="N2650" s="3">
        <v>94</v>
      </c>
      <c r="O2650" s="3">
        <v>0.15</v>
      </c>
      <c r="P2650" s="3">
        <v>0</v>
      </c>
      <c r="Q2650" s="3">
        <v>0</v>
      </c>
      <c r="R2650" s="3">
        <v>0</v>
      </c>
    </row>
    <row r="2651" spans="1:18">
      <c r="A2651" s="3" t="s">
        <v>1306</v>
      </c>
      <c r="B2651" s="3" t="s">
        <v>1307</v>
      </c>
      <c r="C2651" s="3" t="s">
        <v>1308</v>
      </c>
      <c r="D2651" s="3" t="s">
        <v>1309</v>
      </c>
      <c r="E2651" s="3" t="s">
        <v>1710</v>
      </c>
      <c r="F2651" s="3">
        <v>22.99</v>
      </c>
      <c r="G2651" s="3" t="s">
        <v>6233</v>
      </c>
      <c r="H2651" s="3"/>
      <c r="I2651" s="3" t="s">
        <v>6234</v>
      </c>
      <c r="J2651" s="3">
        <v>129</v>
      </c>
      <c r="K2651" s="3">
        <v>22</v>
      </c>
      <c r="L2651" s="3">
        <v>4</v>
      </c>
      <c r="M2651" s="3">
        <v>103</v>
      </c>
      <c r="N2651" s="3">
        <v>195</v>
      </c>
      <c r="O2651" s="3">
        <v>0.15</v>
      </c>
      <c r="P2651" s="3">
        <v>0</v>
      </c>
      <c r="Q2651" s="3">
        <v>66</v>
      </c>
      <c r="R2651" s="3">
        <v>0</v>
      </c>
    </row>
    <row r="2652" spans="1:18">
      <c r="A2652" s="3" t="s">
        <v>1419</v>
      </c>
      <c r="B2652" s="3" t="s">
        <v>1420</v>
      </c>
      <c r="C2652" s="3" t="s">
        <v>1421</v>
      </c>
      <c r="D2652" s="3" t="s">
        <v>1422</v>
      </c>
      <c r="E2652" s="3" t="s">
        <v>1710</v>
      </c>
      <c r="F2652" s="3">
        <v>22.99</v>
      </c>
      <c r="G2652" s="3" t="s">
        <v>6233</v>
      </c>
      <c r="H2652" s="3"/>
      <c r="I2652" s="3" t="s">
        <v>6234</v>
      </c>
      <c r="J2652" s="3">
        <v>18</v>
      </c>
      <c r="K2652" s="3">
        <v>9</v>
      </c>
      <c r="L2652" s="3">
        <v>2</v>
      </c>
      <c r="M2652" s="3">
        <v>7</v>
      </c>
      <c r="N2652" s="3">
        <v>48</v>
      </c>
      <c r="O2652" s="3">
        <v>0.15</v>
      </c>
      <c r="P2652" s="3">
        <v>0</v>
      </c>
      <c r="Q2652" s="3">
        <v>30</v>
      </c>
      <c r="R2652" s="3">
        <v>0</v>
      </c>
    </row>
    <row r="2653" spans="1:18">
      <c r="A2653" s="3" t="s">
        <v>3010</v>
      </c>
      <c r="B2653" s="3" t="s">
        <v>3011</v>
      </c>
      <c r="C2653" s="3" t="s">
        <v>3012</v>
      </c>
      <c r="D2653" s="3" t="s">
        <v>3013</v>
      </c>
      <c r="E2653" s="3" t="s">
        <v>1710</v>
      </c>
      <c r="F2653" s="3">
        <v>22.99</v>
      </c>
      <c r="G2653" s="3" t="s">
        <v>6233</v>
      </c>
      <c r="H2653" s="3"/>
      <c r="I2653" s="3" t="s">
        <v>6234</v>
      </c>
      <c r="J2653" s="3">
        <v>21</v>
      </c>
      <c r="K2653" s="3">
        <v>21</v>
      </c>
      <c r="L2653" s="3">
        <v>0</v>
      </c>
      <c r="M2653" s="3">
        <v>0</v>
      </c>
      <c r="N2653" s="3">
        <v>50</v>
      </c>
      <c r="O2653" s="3">
        <v>0.15</v>
      </c>
      <c r="P2653" s="3">
        <v>0</v>
      </c>
      <c r="Q2653" s="3">
        <v>29</v>
      </c>
      <c r="R2653" s="3">
        <v>0</v>
      </c>
    </row>
    <row r="2654" spans="1:18">
      <c r="A2654" s="3" t="s">
        <v>1389</v>
      </c>
      <c r="B2654" s="3" t="s">
        <v>1390</v>
      </c>
      <c r="C2654" s="3" t="s">
        <v>1391</v>
      </c>
      <c r="D2654" s="3" t="s">
        <v>1392</v>
      </c>
      <c r="E2654" s="3" t="s">
        <v>1710</v>
      </c>
      <c r="F2654" s="3">
        <v>22.99</v>
      </c>
      <c r="G2654" s="3" t="s">
        <v>6233</v>
      </c>
      <c r="H2654" s="3"/>
      <c r="I2654" s="3" t="s">
        <v>6234</v>
      </c>
      <c r="J2654" s="3">
        <v>22</v>
      </c>
      <c r="K2654" s="3">
        <v>0</v>
      </c>
      <c r="L2654" s="3">
        <v>2</v>
      </c>
      <c r="M2654" s="3">
        <v>20</v>
      </c>
      <c r="N2654" s="3">
        <v>42</v>
      </c>
      <c r="O2654" s="3">
        <v>0.15</v>
      </c>
      <c r="P2654" s="3">
        <v>0</v>
      </c>
      <c r="Q2654" s="3">
        <v>20</v>
      </c>
      <c r="R2654" s="3">
        <v>0</v>
      </c>
    </row>
    <row r="2655" spans="1:18">
      <c r="A2655" s="3" t="s">
        <v>1381</v>
      </c>
      <c r="B2655" s="3" t="s">
        <v>1382</v>
      </c>
      <c r="C2655" s="3" t="s">
        <v>1383</v>
      </c>
      <c r="D2655" s="3" t="s">
        <v>1384</v>
      </c>
      <c r="E2655" s="3" t="s">
        <v>1710</v>
      </c>
      <c r="F2655" s="3">
        <v>21.99</v>
      </c>
      <c r="G2655" s="3" t="s">
        <v>6233</v>
      </c>
      <c r="H2655" s="3"/>
      <c r="I2655" s="3" t="s">
        <v>6234</v>
      </c>
      <c r="J2655" s="3">
        <v>26</v>
      </c>
      <c r="K2655" s="3">
        <v>23</v>
      </c>
      <c r="L2655" s="3">
        <v>1</v>
      </c>
      <c r="M2655" s="3">
        <v>2</v>
      </c>
      <c r="N2655" s="3">
        <v>75</v>
      </c>
      <c r="O2655" s="3">
        <v>0.13</v>
      </c>
      <c r="P2655" s="3">
        <v>0</v>
      </c>
      <c r="Q2655" s="3">
        <v>30</v>
      </c>
      <c r="R2655" s="3">
        <v>19</v>
      </c>
    </row>
    <row r="2656" spans="1:18">
      <c r="A2656" s="3" t="s">
        <v>1408</v>
      </c>
      <c r="B2656" s="3" t="s">
        <v>1409</v>
      </c>
      <c r="C2656" s="3" t="s">
        <v>1410</v>
      </c>
      <c r="D2656" s="3" t="s">
        <v>1411</v>
      </c>
      <c r="E2656" s="3" t="s">
        <v>1710</v>
      </c>
      <c r="F2656" s="3">
        <v>21.99</v>
      </c>
      <c r="G2656" s="3" t="s">
        <v>6233</v>
      </c>
      <c r="H2656" s="3"/>
      <c r="I2656" s="3" t="s">
        <v>6234</v>
      </c>
      <c r="J2656" s="3">
        <v>22</v>
      </c>
      <c r="K2656" s="3">
        <v>0</v>
      </c>
      <c r="L2656" s="3">
        <v>1</v>
      </c>
      <c r="M2656" s="3">
        <v>21</v>
      </c>
      <c r="N2656" s="3">
        <v>71</v>
      </c>
      <c r="O2656" s="3">
        <v>0.13</v>
      </c>
      <c r="P2656" s="3">
        <v>0</v>
      </c>
      <c r="Q2656" s="3">
        <v>49</v>
      </c>
      <c r="R2656" s="3">
        <v>0</v>
      </c>
    </row>
    <row r="2657" spans="1:18">
      <c r="A2657" s="3" t="s">
        <v>1385</v>
      </c>
      <c r="B2657" s="3" t="s">
        <v>1386</v>
      </c>
      <c r="C2657" s="3" t="s">
        <v>1387</v>
      </c>
      <c r="D2657" s="3" t="s">
        <v>1388</v>
      </c>
      <c r="E2657" s="3" t="s">
        <v>1710</v>
      </c>
      <c r="F2657" s="3">
        <v>21.99</v>
      </c>
      <c r="G2657" s="3" t="s">
        <v>6233</v>
      </c>
      <c r="H2657" s="3"/>
      <c r="I2657" s="3" t="s">
        <v>6234</v>
      </c>
      <c r="J2657" s="3">
        <v>1</v>
      </c>
      <c r="K2657" s="3">
        <v>0</v>
      </c>
      <c r="L2657" s="3">
        <v>0</v>
      </c>
      <c r="M2657" s="3">
        <v>1</v>
      </c>
      <c r="N2657" s="3">
        <v>53</v>
      </c>
      <c r="O2657" s="3">
        <v>0.13</v>
      </c>
      <c r="P2657" s="3">
        <v>0</v>
      </c>
      <c r="Q2657" s="3">
        <v>52</v>
      </c>
      <c r="R2657" s="3">
        <v>0</v>
      </c>
    </row>
    <row r="2658" spans="1:18">
      <c r="A2658" s="3" t="s">
        <v>1353</v>
      </c>
      <c r="B2658" s="3" t="s">
        <v>1354</v>
      </c>
      <c r="C2658" s="3" t="s">
        <v>1355</v>
      </c>
      <c r="D2658" s="3" t="s">
        <v>1356</v>
      </c>
      <c r="E2658" s="3" t="s">
        <v>1710</v>
      </c>
      <c r="F2658" s="3">
        <v>21.99</v>
      </c>
      <c r="G2658" s="3" t="s">
        <v>6233</v>
      </c>
      <c r="H2658" s="3"/>
      <c r="I2658" s="3" t="s">
        <v>6234</v>
      </c>
      <c r="J2658" s="3">
        <v>8</v>
      </c>
      <c r="K2658" s="3">
        <v>0</v>
      </c>
      <c r="L2658" s="3">
        <v>6</v>
      </c>
      <c r="M2658" s="3">
        <v>2</v>
      </c>
      <c r="N2658" s="3">
        <v>94</v>
      </c>
      <c r="O2658" s="3">
        <v>0.13</v>
      </c>
      <c r="P2658" s="3">
        <v>0</v>
      </c>
      <c r="Q2658" s="3">
        <v>37</v>
      </c>
      <c r="R2658" s="3">
        <v>49</v>
      </c>
    </row>
    <row r="2659" spans="1:18">
      <c r="A2659" s="3" t="s">
        <v>1365</v>
      </c>
      <c r="B2659" s="3" t="s">
        <v>1366</v>
      </c>
      <c r="C2659" s="3" t="s">
        <v>1367</v>
      </c>
      <c r="D2659" s="3" t="s">
        <v>1368</v>
      </c>
      <c r="E2659" s="3" t="s">
        <v>1710</v>
      </c>
      <c r="F2659" s="3">
        <v>21.99</v>
      </c>
      <c r="G2659" s="3" t="s">
        <v>6233</v>
      </c>
      <c r="H2659" s="3"/>
      <c r="I2659" s="3" t="s">
        <v>6234</v>
      </c>
      <c r="J2659" s="3">
        <v>6</v>
      </c>
      <c r="K2659" s="3">
        <v>0</v>
      </c>
      <c r="L2659" s="3">
        <v>1</v>
      </c>
      <c r="M2659" s="3">
        <v>5</v>
      </c>
      <c r="N2659" s="3">
        <v>68</v>
      </c>
      <c r="O2659" s="3">
        <v>0.13</v>
      </c>
      <c r="P2659" s="3">
        <v>0</v>
      </c>
      <c r="Q2659" s="3">
        <v>47</v>
      </c>
      <c r="R2659" s="3">
        <v>15</v>
      </c>
    </row>
    <row r="2660" spans="1:18">
      <c r="A2660" s="3" t="s">
        <v>1357</v>
      </c>
      <c r="B2660" s="3" t="s">
        <v>1358</v>
      </c>
      <c r="C2660" s="3" t="s">
        <v>1359</v>
      </c>
      <c r="D2660" s="3" t="s">
        <v>1360</v>
      </c>
      <c r="E2660" s="3" t="s">
        <v>1710</v>
      </c>
      <c r="F2660" s="3">
        <v>21.99</v>
      </c>
      <c r="G2660" s="3" t="s">
        <v>6233</v>
      </c>
      <c r="H2660" s="3"/>
      <c r="I2660" s="3" t="s">
        <v>6234</v>
      </c>
      <c r="J2660" s="3">
        <v>15</v>
      </c>
      <c r="K2660" s="3">
        <v>13</v>
      </c>
      <c r="L2660" s="3">
        <v>0</v>
      </c>
      <c r="M2660" s="3">
        <v>2</v>
      </c>
      <c r="N2660" s="3">
        <v>15</v>
      </c>
      <c r="O2660" s="3">
        <v>0.13</v>
      </c>
      <c r="P2660" s="3">
        <v>0</v>
      </c>
      <c r="Q2660" s="3">
        <v>0</v>
      </c>
      <c r="R2660" s="3">
        <v>0</v>
      </c>
    </row>
    <row r="2661" spans="1:18">
      <c r="A2661" s="3" t="s">
        <v>9969</v>
      </c>
      <c r="B2661" s="3" t="s">
        <v>9970</v>
      </c>
      <c r="C2661" s="3" t="s">
        <v>9459</v>
      </c>
      <c r="D2661" s="3" t="s">
        <v>9971</v>
      </c>
      <c r="E2661" s="3" t="s">
        <v>1710</v>
      </c>
      <c r="F2661" s="3">
        <v>21.99</v>
      </c>
      <c r="G2661" s="3" t="s">
        <v>6233</v>
      </c>
      <c r="H2661" s="3"/>
      <c r="I2661" s="3" t="s">
        <v>6234</v>
      </c>
      <c r="J2661" s="3">
        <v>0</v>
      </c>
      <c r="K2661" s="3">
        <v>0</v>
      </c>
      <c r="L2661" s="3">
        <v>0</v>
      </c>
      <c r="M2661" s="3">
        <v>0</v>
      </c>
      <c r="N2661" s="3">
        <v>20</v>
      </c>
      <c r="O2661" s="3">
        <v>0.13</v>
      </c>
      <c r="P2661" s="3">
        <v>0</v>
      </c>
      <c r="Q2661" s="3">
        <v>0</v>
      </c>
      <c r="R2661" s="3">
        <v>20</v>
      </c>
    </row>
    <row r="2662" spans="1:18">
      <c r="A2662" s="3" t="s">
        <v>9972</v>
      </c>
      <c r="B2662" s="3" t="s">
        <v>9973</v>
      </c>
      <c r="C2662" s="3" t="s">
        <v>9462</v>
      </c>
      <c r="D2662" s="3" t="s">
        <v>9974</v>
      </c>
      <c r="E2662" s="3" t="s">
        <v>1710</v>
      </c>
      <c r="F2662" s="3">
        <v>21.99</v>
      </c>
      <c r="G2662" s="3" t="s">
        <v>6233</v>
      </c>
      <c r="H2662" s="3"/>
      <c r="I2662" s="3" t="s">
        <v>6234</v>
      </c>
      <c r="J2662" s="3">
        <v>0</v>
      </c>
      <c r="K2662" s="3">
        <v>0</v>
      </c>
      <c r="L2662" s="3">
        <v>0</v>
      </c>
      <c r="M2662" s="3">
        <v>0</v>
      </c>
      <c r="N2662" s="3">
        <v>20</v>
      </c>
      <c r="O2662" s="3">
        <v>0.13</v>
      </c>
      <c r="P2662" s="3">
        <v>0</v>
      </c>
      <c r="Q2662" s="3">
        <v>0</v>
      </c>
      <c r="R2662" s="3">
        <v>20</v>
      </c>
    </row>
    <row r="2663" spans="1:18">
      <c r="A2663" s="3" t="s">
        <v>9975</v>
      </c>
      <c r="B2663" s="3" t="s">
        <v>9976</v>
      </c>
      <c r="C2663" s="3" t="s">
        <v>9465</v>
      </c>
      <c r="D2663" s="3" t="s">
        <v>9977</v>
      </c>
      <c r="E2663" s="3" t="s">
        <v>1710</v>
      </c>
      <c r="F2663" s="3">
        <v>21.99</v>
      </c>
      <c r="G2663" s="3" t="s">
        <v>6233</v>
      </c>
      <c r="H2663" s="3"/>
      <c r="I2663" s="3" t="s">
        <v>6234</v>
      </c>
      <c r="J2663" s="3">
        <v>0</v>
      </c>
      <c r="K2663" s="3">
        <v>0</v>
      </c>
      <c r="L2663" s="3">
        <v>0</v>
      </c>
      <c r="M2663" s="3">
        <v>0</v>
      </c>
      <c r="N2663" s="3">
        <v>20</v>
      </c>
      <c r="O2663" s="3">
        <v>0.13</v>
      </c>
      <c r="P2663" s="3">
        <v>0</v>
      </c>
      <c r="Q2663" s="3">
        <v>0</v>
      </c>
      <c r="R2663" s="3">
        <v>20</v>
      </c>
    </row>
    <row r="2664" spans="1:18">
      <c r="A2664" s="3" t="s">
        <v>5328</v>
      </c>
      <c r="B2664" s="3" t="s">
        <v>5329</v>
      </c>
      <c r="C2664" s="3" t="s">
        <v>5330</v>
      </c>
      <c r="D2664" s="3" t="s">
        <v>5331</v>
      </c>
      <c r="E2664" s="3" t="s">
        <v>1710</v>
      </c>
      <c r="F2664" s="3">
        <v>21.99</v>
      </c>
      <c r="G2664" s="3" t="s">
        <v>6233</v>
      </c>
      <c r="H2664" s="3"/>
      <c r="I2664" s="3" t="s">
        <v>6234</v>
      </c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>
        <v>0.13</v>
      </c>
      <c r="P2664" s="3">
        <v>0</v>
      </c>
      <c r="Q2664" s="3">
        <v>0</v>
      </c>
      <c r="R2664" s="3">
        <v>0</v>
      </c>
    </row>
    <row r="2665" spans="1:18">
      <c r="A2665" s="3" t="s">
        <v>9978</v>
      </c>
      <c r="B2665" s="3" t="s">
        <v>9979</v>
      </c>
      <c r="C2665" s="3" t="s">
        <v>9470</v>
      </c>
      <c r="D2665" s="3" t="s">
        <v>9980</v>
      </c>
      <c r="E2665" s="3" t="s">
        <v>1710</v>
      </c>
      <c r="F2665" s="3">
        <v>21.99</v>
      </c>
      <c r="G2665" s="3" t="s">
        <v>6233</v>
      </c>
      <c r="H2665" s="3"/>
      <c r="I2665" s="3" t="s">
        <v>6234</v>
      </c>
      <c r="J2665" s="3">
        <v>0</v>
      </c>
      <c r="K2665" s="3">
        <v>0</v>
      </c>
      <c r="L2665" s="3">
        <v>0</v>
      </c>
      <c r="M2665" s="3">
        <v>0</v>
      </c>
      <c r="N2665" s="3">
        <v>43</v>
      </c>
      <c r="O2665" s="3">
        <v>0.13</v>
      </c>
      <c r="P2665" s="3">
        <v>0</v>
      </c>
      <c r="Q2665" s="3">
        <v>23</v>
      </c>
      <c r="R2665" s="3">
        <v>20</v>
      </c>
    </row>
    <row r="2666" spans="1:18">
      <c r="A2666" s="3" t="s">
        <v>1415</v>
      </c>
      <c r="B2666" s="3" t="s">
        <v>1416</v>
      </c>
      <c r="C2666" s="3" t="s">
        <v>1417</v>
      </c>
      <c r="D2666" s="3" t="s">
        <v>1418</v>
      </c>
      <c r="E2666" s="3" t="s">
        <v>1710</v>
      </c>
      <c r="F2666" s="3">
        <v>21.99</v>
      </c>
      <c r="G2666" s="3" t="s">
        <v>6233</v>
      </c>
      <c r="H2666" s="3"/>
      <c r="I2666" s="3" t="s">
        <v>6234</v>
      </c>
      <c r="J2666" s="3">
        <v>11</v>
      </c>
      <c r="K2666" s="3">
        <v>0</v>
      </c>
      <c r="L2666" s="3">
        <v>0</v>
      </c>
      <c r="M2666" s="3">
        <v>11</v>
      </c>
      <c r="N2666" s="3">
        <v>45</v>
      </c>
      <c r="O2666" s="3">
        <v>0.13</v>
      </c>
      <c r="P2666" s="3">
        <v>0</v>
      </c>
      <c r="Q2666" s="3">
        <v>9</v>
      </c>
      <c r="R2666" s="3">
        <v>25</v>
      </c>
    </row>
    <row r="2667" spans="1:18">
      <c r="A2667" s="3" t="s">
        <v>1349</v>
      </c>
      <c r="B2667" s="3" t="s">
        <v>1350</v>
      </c>
      <c r="C2667" s="3" t="s">
        <v>1351</v>
      </c>
      <c r="D2667" s="3" t="s">
        <v>1352</v>
      </c>
      <c r="E2667" s="3" t="s">
        <v>1710</v>
      </c>
      <c r="F2667" s="3">
        <v>21.99</v>
      </c>
      <c r="G2667" s="3" t="s">
        <v>6233</v>
      </c>
      <c r="H2667" s="3"/>
      <c r="I2667" s="3" t="s">
        <v>6234</v>
      </c>
      <c r="J2667" s="3">
        <v>19</v>
      </c>
      <c r="K2667" s="3">
        <v>1</v>
      </c>
      <c r="L2667" s="3">
        <v>0</v>
      </c>
      <c r="M2667" s="3">
        <v>18</v>
      </c>
      <c r="N2667" s="3">
        <v>43</v>
      </c>
      <c r="O2667" s="3">
        <v>0.13</v>
      </c>
      <c r="P2667" s="3">
        <v>0</v>
      </c>
      <c r="Q2667" s="3">
        <v>24</v>
      </c>
      <c r="R2667" s="3">
        <v>0</v>
      </c>
    </row>
    <row r="2668" spans="1:18">
      <c r="A2668" s="3" t="s">
        <v>1369</v>
      </c>
      <c r="B2668" s="3" t="s">
        <v>1370</v>
      </c>
      <c r="C2668" s="3" t="s">
        <v>1371</v>
      </c>
      <c r="D2668" s="3" t="s">
        <v>1372</v>
      </c>
      <c r="E2668" s="3" t="s">
        <v>1710</v>
      </c>
      <c r="F2668" s="3">
        <v>21.99</v>
      </c>
      <c r="G2668" s="3" t="s">
        <v>6233</v>
      </c>
      <c r="H2668" s="3"/>
      <c r="I2668" s="3" t="s">
        <v>6234</v>
      </c>
      <c r="J2668" s="3">
        <v>28</v>
      </c>
      <c r="K2668" s="3">
        <v>26</v>
      </c>
      <c r="L2668" s="3">
        <v>0</v>
      </c>
      <c r="M2668" s="3">
        <v>2</v>
      </c>
      <c r="N2668" s="3">
        <v>48</v>
      </c>
      <c r="O2668" s="3">
        <v>0.13</v>
      </c>
      <c r="P2668" s="3">
        <v>0</v>
      </c>
      <c r="Q2668" s="3">
        <v>20</v>
      </c>
      <c r="R2668" s="3">
        <v>0</v>
      </c>
    </row>
    <row r="2669" spans="1:18">
      <c r="A2669" s="3" t="s">
        <v>9981</v>
      </c>
      <c r="B2669" s="3" t="s">
        <v>9982</v>
      </c>
      <c r="C2669" s="3" t="s">
        <v>9479</v>
      </c>
      <c r="D2669" s="3" t="s">
        <v>9983</v>
      </c>
      <c r="E2669" s="3" t="s">
        <v>1710</v>
      </c>
      <c r="F2669" s="3">
        <v>21.99</v>
      </c>
      <c r="G2669" s="3" t="s">
        <v>6233</v>
      </c>
      <c r="H2669" s="3"/>
      <c r="I2669" s="3" t="s">
        <v>6234</v>
      </c>
      <c r="J2669" s="3">
        <v>0</v>
      </c>
      <c r="K2669" s="3">
        <v>0</v>
      </c>
      <c r="L2669" s="3">
        <v>0</v>
      </c>
      <c r="M2669" s="3">
        <v>0</v>
      </c>
      <c r="N2669" s="3">
        <v>60</v>
      </c>
      <c r="O2669" s="3">
        <v>0.13</v>
      </c>
      <c r="P2669" s="3">
        <v>0</v>
      </c>
      <c r="Q2669" s="3">
        <v>43</v>
      </c>
      <c r="R2669" s="3">
        <v>17</v>
      </c>
    </row>
    <row r="2670" spans="1:18">
      <c r="A2670" s="3" t="s">
        <v>1361</v>
      </c>
      <c r="B2670" s="3" t="s">
        <v>1362</v>
      </c>
      <c r="C2670" s="3" t="s">
        <v>1363</v>
      </c>
      <c r="D2670" s="3" t="s">
        <v>1364</v>
      </c>
      <c r="E2670" s="3" t="s">
        <v>1710</v>
      </c>
      <c r="F2670" s="3">
        <v>25.99</v>
      </c>
      <c r="G2670" s="3" t="s">
        <v>6233</v>
      </c>
      <c r="H2670" s="3"/>
      <c r="I2670" s="3" t="s">
        <v>6234</v>
      </c>
      <c r="J2670" s="3">
        <v>3</v>
      </c>
      <c r="K2670" s="3">
        <v>0</v>
      </c>
      <c r="L2670" s="3">
        <v>2</v>
      </c>
      <c r="M2670" s="3">
        <v>1</v>
      </c>
      <c r="N2670" s="3">
        <v>40</v>
      </c>
      <c r="O2670" s="3">
        <v>0.09</v>
      </c>
      <c r="P2670" s="3">
        <v>0</v>
      </c>
      <c r="Q2670" s="3">
        <v>37</v>
      </c>
      <c r="R2670" s="3">
        <v>0</v>
      </c>
    </row>
    <row r="2671" spans="1:18">
      <c r="A2671" s="3" t="s">
        <v>1393</v>
      </c>
      <c r="B2671" s="3" t="s">
        <v>1394</v>
      </c>
      <c r="C2671" s="3" t="s">
        <v>1395</v>
      </c>
      <c r="D2671" s="3" t="s">
        <v>1396</v>
      </c>
      <c r="E2671" s="3" t="s">
        <v>1710</v>
      </c>
      <c r="F2671" s="3">
        <v>25.99</v>
      </c>
      <c r="G2671" s="3" t="s">
        <v>6233</v>
      </c>
      <c r="H2671" s="3"/>
      <c r="I2671" s="3" t="s">
        <v>6234</v>
      </c>
      <c r="J2671" s="3">
        <v>47</v>
      </c>
      <c r="K2671" s="3">
        <v>0</v>
      </c>
      <c r="L2671" s="3">
        <v>0</v>
      </c>
      <c r="M2671" s="3">
        <v>47</v>
      </c>
      <c r="N2671" s="3">
        <v>86</v>
      </c>
      <c r="O2671" s="3">
        <v>0.09</v>
      </c>
      <c r="P2671" s="3">
        <v>0</v>
      </c>
      <c r="Q2671" s="3">
        <v>0</v>
      </c>
      <c r="R2671" s="3">
        <v>39</v>
      </c>
    </row>
    <row r="2672" spans="1:18">
      <c r="A2672" s="3" t="s">
        <v>9984</v>
      </c>
      <c r="B2672" s="3" t="s">
        <v>9985</v>
      </c>
      <c r="C2672" s="3" t="s">
        <v>9986</v>
      </c>
      <c r="D2672" s="3" t="s">
        <v>9987</v>
      </c>
      <c r="E2672" s="3" t="s">
        <v>1710</v>
      </c>
      <c r="F2672" s="3">
        <v>25.99</v>
      </c>
      <c r="G2672" s="3" t="s">
        <v>6233</v>
      </c>
      <c r="H2672" s="3"/>
      <c r="I2672" s="3" t="s">
        <v>6234</v>
      </c>
      <c r="J2672" s="3">
        <v>0</v>
      </c>
      <c r="K2672" s="3">
        <v>0</v>
      </c>
      <c r="L2672" s="3">
        <v>0</v>
      </c>
      <c r="M2672" s="3">
        <v>0</v>
      </c>
      <c r="N2672" s="3">
        <v>30</v>
      </c>
      <c r="O2672" s="3">
        <v>0.09</v>
      </c>
      <c r="P2672" s="3">
        <v>0</v>
      </c>
      <c r="Q2672" s="3">
        <v>30</v>
      </c>
      <c r="R2672" s="3">
        <v>0</v>
      </c>
    </row>
    <row r="2673" spans="1:18">
      <c r="A2673" s="3" t="s">
        <v>1397</v>
      </c>
      <c r="B2673" s="3" t="s">
        <v>1398</v>
      </c>
      <c r="C2673" s="3" t="s">
        <v>1399</v>
      </c>
      <c r="D2673" s="3" t="s">
        <v>1400</v>
      </c>
      <c r="E2673" s="3" t="s">
        <v>1710</v>
      </c>
      <c r="F2673" s="3">
        <v>25.99</v>
      </c>
      <c r="G2673" s="3" t="s">
        <v>6233</v>
      </c>
      <c r="H2673" s="3"/>
      <c r="I2673" s="3" t="s">
        <v>6234</v>
      </c>
      <c r="J2673" s="3">
        <v>27</v>
      </c>
      <c r="K2673" s="3">
        <v>0</v>
      </c>
      <c r="L2673" s="3">
        <v>1</v>
      </c>
      <c r="M2673" s="3">
        <v>26</v>
      </c>
      <c r="N2673" s="3">
        <v>51</v>
      </c>
      <c r="O2673" s="3">
        <v>0.09</v>
      </c>
      <c r="P2673" s="3">
        <v>0</v>
      </c>
      <c r="Q2673" s="3">
        <v>24</v>
      </c>
      <c r="R2673" s="3">
        <v>0</v>
      </c>
    </row>
    <row r="2674" spans="1:18">
      <c r="A2674" s="3" t="s">
        <v>3000</v>
      </c>
      <c r="B2674" s="3" t="s">
        <v>3001</v>
      </c>
      <c r="C2674" s="3" t="s">
        <v>3002</v>
      </c>
      <c r="D2674" s="3" t="s">
        <v>3003</v>
      </c>
      <c r="E2674" s="3" t="s">
        <v>1710</v>
      </c>
      <c r="F2674" s="3">
        <v>25.99</v>
      </c>
      <c r="G2674" s="3" t="s">
        <v>6233</v>
      </c>
      <c r="H2674" s="3"/>
      <c r="I2674" s="3" t="s">
        <v>6234</v>
      </c>
      <c r="J2674" s="3">
        <v>0</v>
      </c>
      <c r="K2674" s="3">
        <v>0</v>
      </c>
      <c r="L2674" s="3">
        <v>0</v>
      </c>
      <c r="M2674" s="3">
        <v>0</v>
      </c>
      <c r="N2674" s="3">
        <v>50</v>
      </c>
      <c r="O2674" s="3">
        <v>0.09</v>
      </c>
      <c r="P2674" s="3">
        <v>0</v>
      </c>
      <c r="Q2674" s="3">
        <v>50</v>
      </c>
      <c r="R2674" s="3">
        <v>0</v>
      </c>
    </row>
    <row r="2675" spans="1:18">
      <c r="A2675" s="3" t="s">
        <v>9988</v>
      </c>
      <c r="B2675" s="3" t="s">
        <v>9989</v>
      </c>
      <c r="C2675" s="3" t="s">
        <v>9990</v>
      </c>
      <c r="D2675" s="3" t="s">
        <v>9991</v>
      </c>
      <c r="E2675" s="3" t="s">
        <v>1710</v>
      </c>
      <c r="F2675" s="3">
        <v>32.99</v>
      </c>
      <c r="G2675" s="3" t="s">
        <v>6233</v>
      </c>
      <c r="H2675" s="3"/>
      <c r="I2675" s="3" t="s">
        <v>6234</v>
      </c>
      <c r="J2675" s="3">
        <v>0</v>
      </c>
      <c r="K2675" s="3">
        <v>0</v>
      </c>
      <c r="L2675" s="3">
        <v>0</v>
      </c>
      <c r="M2675" s="3">
        <v>0</v>
      </c>
      <c r="N2675" s="3">
        <v>0</v>
      </c>
      <c r="O2675" s="3">
        <v>0.11</v>
      </c>
      <c r="P2675" s="3">
        <v>0</v>
      </c>
      <c r="Q2675" s="3">
        <v>0</v>
      </c>
      <c r="R2675" s="3">
        <v>0</v>
      </c>
    </row>
    <row r="2676" spans="1:18">
      <c r="A2676" s="3" t="s">
        <v>9992</v>
      </c>
      <c r="B2676" s="3" t="s">
        <v>9993</v>
      </c>
      <c r="C2676" s="3" t="s">
        <v>9994</v>
      </c>
      <c r="D2676" s="3" t="s">
        <v>9995</v>
      </c>
      <c r="E2676" s="3" t="s">
        <v>1710</v>
      </c>
      <c r="F2676" s="3">
        <v>32.99</v>
      </c>
      <c r="G2676" s="3" t="s">
        <v>6233</v>
      </c>
      <c r="H2676" s="3"/>
      <c r="I2676" s="3" t="s">
        <v>6234</v>
      </c>
      <c r="J2676" s="3">
        <v>0</v>
      </c>
      <c r="K2676" s="3">
        <v>0</v>
      </c>
      <c r="L2676" s="3">
        <v>0</v>
      </c>
      <c r="M2676" s="3">
        <v>0</v>
      </c>
      <c r="N2676" s="3">
        <v>0</v>
      </c>
      <c r="O2676" s="3">
        <v>0.1</v>
      </c>
      <c r="P2676" s="3">
        <v>0</v>
      </c>
      <c r="Q2676" s="3">
        <v>0</v>
      </c>
      <c r="R2676" s="3">
        <v>0</v>
      </c>
    </row>
    <row r="2677" spans="1:18">
      <c r="A2677" s="3" t="s">
        <v>5147</v>
      </c>
      <c r="B2677" s="3" t="s">
        <v>5148</v>
      </c>
      <c r="C2677" s="3" t="s">
        <v>5149</v>
      </c>
      <c r="D2677" s="3" t="s">
        <v>5150</v>
      </c>
      <c r="E2677" s="3" t="s">
        <v>1710</v>
      </c>
      <c r="F2677" s="3">
        <v>32.99</v>
      </c>
      <c r="G2677" s="3" t="s">
        <v>6233</v>
      </c>
      <c r="H2677" s="3"/>
      <c r="I2677" s="3" t="s">
        <v>6234</v>
      </c>
      <c r="J2677" s="3">
        <v>21</v>
      </c>
      <c r="K2677" s="3">
        <v>21</v>
      </c>
      <c r="L2677" s="3">
        <v>0</v>
      </c>
      <c r="M2677" s="3">
        <v>0</v>
      </c>
      <c r="N2677" s="3">
        <v>21</v>
      </c>
      <c r="O2677" s="3">
        <v>0.11</v>
      </c>
      <c r="P2677" s="3">
        <v>0</v>
      </c>
      <c r="Q2677" s="3">
        <v>0</v>
      </c>
      <c r="R2677" s="3">
        <v>0</v>
      </c>
    </row>
    <row r="2678" spans="1:18">
      <c r="A2678" s="3" t="s">
        <v>3165</v>
      </c>
      <c r="B2678" s="3" t="s">
        <v>3166</v>
      </c>
      <c r="C2678" s="3" t="s">
        <v>3167</v>
      </c>
      <c r="D2678" s="3" t="s">
        <v>3168</v>
      </c>
      <c r="E2678" s="3" t="s">
        <v>1710</v>
      </c>
      <c r="F2678" s="3">
        <v>32.99</v>
      </c>
      <c r="G2678" s="3" t="s">
        <v>6233</v>
      </c>
      <c r="H2678" s="3"/>
      <c r="I2678" s="3" t="s">
        <v>6234</v>
      </c>
      <c r="J2678" s="3">
        <v>3</v>
      </c>
      <c r="K2678" s="3">
        <v>3</v>
      </c>
      <c r="L2678" s="3">
        <v>0</v>
      </c>
      <c r="M2678" s="3">
        <v>0</v>
      </c>
      <c r="N2678" s="3">
        <v>3</v>
      </c>
      <c r="O2678" s="3">
        <v>0.09</v>
      </c>
      <c r="P2678" s="3">
        <v>0</v>
      </c>
      <c r="Q2678" s="3">
        <v>0</v>
      </c>
      <c r="R2678" s="3">
        <v>0</v>
      </c>
    </row>
    <row r="2679" spans="1:18">
      <c r="A2679" s="3" t="s">
        <v>5336</v>
      </c>
      <c r="B2679" s="3" t="s">
        <v>5337</v>
      </c>
      <c r="C2679" s="3" t="s">
        <v>5338</v>
      </c>
      <c r="D2679" s="3" t="s">
        <v>1376</v>
      </c>
      <c r="E2679" s="3" t="s">
        <v>1710</v>
      </c>
      <c r="F2679" s="3">
        <v>19.99</v>
      </c>
      <c r="G2679" s="3" t="s">
        <v>6233</v>
      </c>
      <c r="H2679" s="3"/>
      <c r="I2679" s="3" t="s">
        <v>6234</v>
      </c>
      <c r="J2679" s="3">
        <v>0</v>
      </c>
      <c r="K2679" s="3">
        <v>0</v>
      </c>
      <c r="L2679" s="3">
        <v>0</v>
      </c>
      <c r="M2679" s="3">
        <v>0</v>
      </c>
      <c r="N2679" s="3">
        <v>0</v>
      </c>
      <c r="O2679" s="3">
        <v>0.17</v>
      </c>
      <c r="P2679" s="3">
        <v>0</v>
      </c>
      <c r="Q2679" s="3">
        <v>0</v>
      </c>
      <c r="R2679" s="3">
        <v>0</v>
      </c>
    </row>
    <row r="2680" spans="1:18">
      <c r="A2680" s="3" t="s">
        <v>1897</v>
      </c>
      <c r="B2680" s="3" t="s">
        <v>1898</v>
      </c>
      <c r="C2680" s="3" t="s">
        <v>1899</v>
      </c>
      <c r="D2680" s="3" t="s">
        <v>1376</v>
      </c>
      <c r="E2680" s="3" t="s">
        <v>1710</v>
      </c>
      <c r="F2680" s="3">
        <v>18.99</v>
      </c>
      <c r="G2680" s="3" t="s">
        <v>6233</v>
      </c>
      <c r="H2680" s="3"/>
      <c r="I2680" s="3" t="s">
        <v>6234</v>
      </c>
      <c r="J2680" s="3">
        <v>3</v>
      </c>
      <c r="K2680" s="3">
        <v>3</v>
      </c>
      <c r="L2680" s="3">
        <v>0</v>
      </c>
      <c r="M2680" s="3">
        <v>0</v>
      </c>
      <c r="N2680" s="3">
        <v>3</v>
      </c>
      <c r="O2680" s="3">
        <v>0.06</v>
      </c>
      <c r="P2680" s="3">
        <v>0</v>
      </c>
      <c r="Q2680" s="3">
        <v>0</v>
      </c>
      <c r="R2680" s="3">
        <v>0</v>
      </c>
    </row>
    <row r="2681" spans="1:18">
      <c r="A2681" s="3" t="s">
        <v>1373</v>
      </c>
      <c r="B2681" s="3" t="s">
        <v>1374</v>
      </c>
      <c r="C2681" s="3" t="s">
        <v>1375</v>
      </c>
      <c r="D2681" s="3" t="s">
        <v>1376</v>
      </c>
      <c r="E2681" s="3" t="s">
        <v>1710</v>
      </c>
      <c r="F2681" s="3">
        <v>18.99</v>
      </c>
      <c r="G2681" s="3" t="s">
        <v>6233</v>
      </c>
      <c r="H2681" s="3"/>
      <c r="I2681" s="3" t="s">
        <v>6234</v>
      </c>
      <c r="J2681" s="3">
        <v>5</v>
      </c>
      <c r="K2681" s="3">
        <v>3</v>
      </c>
      <c r="L2681" s="3">
        <v>1</v>
      </c>
      <c r="M2681" s="3">
        <v>1</v>
      </c>
      <c r="N2681" s="3">
        <v>5</v>
      </c>
      <c r="O2681" s="3">
        <v>0.04</v>
      </c>
      <c r="P2681" s="3">
        <v>0</v>
      </c>
      <c r="Q2681" s="3">
        <v>0</v>
      </c>
      <c r="R2681" s="3">
        <v>0</v>
      </c>
    </row>
    <row r="2682" spans="1:18">
      <c r="A2682" s="3" t="s">
        <v>9996</v>
      </c>
      <c r="B2682" s="3" t="s">
        <v>9997</v>
      </c>
      <c r="C2682" s="3" t="s">
        <v>9998</v>
      </c>
      <c r="D2682" s="3" t="s">
        <v>1376</v>
      </c>
      <c r="E2682" s="3" t="s">
        <v>1710</v>
      </c>
      <c r="F2682" s="3">
        <v>19.99</v>
      </c>
      <c r="G2682" s="3" t="s">
        <v>6233</v>
      </c>
      <c r="H2682" s="3"/>
      <c r="I2682" s="3" t="s">
        <v>6234</v>
      </c>
      <c r="J2682" s="3">
        <v>0</v>
      </c>
      <c r="K2682" s="3">
        <v>0</v>
      </c>
      <c r="L2682" s="3">
        <v>0</v>
      </c>
      <c r="M2682" s="3">
        <v>0</v>
      </c>
      <c r="N2682" s="3">
        <v>0</v>
      </c>
      <c r="O2682" s="3">
        <v>0.05</v>
      </c>
      <c r="P2682" s="3">
        <v>0</v>
      </c>
      <c r="Q2682" s="3">
        <v>0</v>
      </c>
      <c r="R2682" s="3">
        <v>0</v>
      </c>
    </row>
    <row r="2683" spans="1:18">
      <c r="A2683" s="3" t="s">
        <v>3852</v>
      </c>
      <c r="B2683" s="3" t="s">
        <v>3853</v>
      </c>
      <c r="C2683" s="3" t="s">
        <v>3854</v>
      </c>
      <c r="D2683" s="3" t="s">
        <v>1376</v>
      </c>
      <c r="E2683" s="3" t="s">
        <v>1710</v>
      </c>
      <c r="F2683" s="3">
        <v>12.99</v>
      </c>
      <c r="G2683" s="3" t="s">
        <v>6233</v>
      </c>
      <c r="H2683" s="3"/>
      <c r="I2683" s="3" t="s">
        <v>6234</v>
      </c>
      <c r="J2683" s="3">
        <v>1</v>
      </c>
      <c r="K2683" s="3">
        <v>0</v>
      </c>
      <c r="L2683" s="3">
        <v>1</v>
      </c>
      <c r="M2683" s="3">
        <v>0</v>
      </c>
      <c r="N2683" s="3">
        <v>1</v>
      </c>
      <c r="O2683" s="3">
        <v>0.1</v>
      </c>
      <c r="P2683" s="3">
        <v>0</v>
      </c>
      <c r="Q2683" s="3">
        <v>0</v>
      </c>
      <c r="R2683" s="3">
        <v>0</v>
      </c>
    </row>
    <row r="2684" spans="1:18">
      <c r="A2684" s="3" t="s">
        <v>9999</v>
      </c>
      <c r="B2684" s="3" t="s">
        <v>10000</v>
      </c>
      <c r="C2684" s="3" t="s">
        <v>9611</v>
      </c>
      <c r="D2684" s="3" t="s">
        <v>10001</v>
      </c>
      <c r="E2684" s="3" t="s">
        <v>1710</v>
      </c>
      <c r="F2684" s="3">
        <v>39.99</v>
      </c>
      <c r="G2684" s="3" t="s">
        <v>6233</v>
      </c>
      <c r="H2684" s="3"/>
      <c r="I2684" s="3" t="s">
        <v>6234</v>
      </c>
      <c r="J2684" s="3">
        <v>0</v>
      </c>
      <c r="K2684" s="3">
        <v>0</v>
      </c>
      <c r="L2684" s="3">
        <v>0</v>
      </c>
      <c r="M2684" s="3">
        <v>0</v>
      </c>
      <c r="N2684" s="3">
        <v>0</v>
      </c>
      <c r="O2684" s="3">
        <v>0.03</v>
      </c>
      <c r="P2684" s="3">
        <v>0</v>
      </c>
      <c r="Q2684" s="3">
        <v>0</v>
      </c>
      <c r="R2684" s="3">
        <v>0</v>
      </c>
    </row>
    <row r="2685" spans="1:18">
      <c r="A2685" s="3" t="s">
        <v>10002</v>
      </c>
      <c r="B2685" s="3" t="s">
        <v>10003</v>
      </c>
      <c r="C2685" s="3" t="s">
        <v>9614</v>
      </c>
      <c r="D2685" s="3" t="s">
        <v>10001</v>
      </c>
      <c r="E2685" s="3" t="s">
        <v>1710</v>
      </c>
      <c r="F2685" s="3">
        <v>39.99</v>
      </c>
      <c r="G2685" s="3" t="s">
        <v>6233</v>
      </c>
      <c r="H2685" s="3"/>
      <c r="I2685" s="3" t="s">
        <v>6234</v>
      </c>
      <c r="J2685" s="3">
        <v>0</v>
      </c>
      <c r="K2685" s="3">
        <v>0</v>
      </c>
      <c r="L2685" s="3">
        <v>0</v>
      </c>
      <c r="M2685" s="3">
        <v>0</v>
      </c>
      <c r="N2685" s="3">
        <v>0</v>
      </c>
      <c r="O2685" s="3">
        <v>0.03</v>
      </c>
      <c r="P2685" s="3">
        <v>0</v>
      </c>
      <c r="Q2685" s="3">
        <v>0</v>
      </c>
      <c r="R2685" s="3">
        <v>0</v>
      </c>
    </row>
    <row r="2686" spans="1:18">
      <c r="A2686" s="3" t="s">
        <v>5608</v>
      </c>
      <c r="B2686" s="3" t="s">
        <v>5609</v>
      </c>
      <c r="C2686" s="3" t="s">
        <v>5610</v>
      </c>
      <c r="D2686" s="3" t="s">
        <v>5611</v>
      </c>
      <c r="E2686" s="3" t="s">
        <v>1710</v>
      </c>
      <c r="F2686" s="3">
        <v>29.99</v>
      </c>
      <c r="G2686" s="3" t="s">
        <v>6233</v>
      </c>
      <c r="H2686" s="3"/>
      <c r="I2686" s="3" t="s">
        <v>6234</v>
      </c>
      <c r="J2686" s="3">
        <v>1</v>
      </c>
      <c r="K2686" s="3">
        <v>1</v>
      </c>
      <c r="L2686" s="3">
        <v>0</v>
      </c>
      <c r="M2686" s="3">
        <v>0</v>
      </c>
      <c r="N2686" s="3">
        <v>1</v>
      </c>
      <c r="O2686" s="3">
        <v>0.1</v>
      </c>
      <c r="P2686" s="3">
        <v>0</v>
      </c>
      <c r="Q2686" s="3">
        <v>0</v>
      </c>
      <c r="R2686" s="3">
        <v>0</v>
      </c>
    </row>
    <row r="2687" spans="1:18">
      <c r="A2687" s="3" t="s">
        <v>10004</v>
      </c>
      <c r="B2687" s="3" t="s">
        <v>10005</v>
      </c>
      <c r="C2687" s="3" t="s">
        <v>10006</v>
      </c>
      <c r="D2687" s="3" t="s">
        <v>10007</v>
      </c>
      <c r="E2687" s="3" t="s">
        <v>1710</v>
      </c>
      <c r="F2687" s="3">
        <v>29.99</v>
      </c>
      <c r="G2687" s="3" t="s">
        <v>6233</v>
      </c>
      <c r="H2687" s="3"/>
      <c r="I2687" s="3" t="s">
        <v>6234</v>
      </c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>
        <v>0.1</v>
      </c>
      <c r="P2687" s="3">
        <v>0</v>
      </c>
      <c r="Q2687" s="3">
        <v>0</v>
      </c>
      <c r="R2687" s="3">
        <v>0</v>
      </c>
    </row>
    <row r="2688" spans="1:18">
      <c r="A2688" s="3" t="s">
        <v>3310</v>
      </c>
      <c r="B2688" s="3" t="s">
        <v>3311</v>
      </c>
      <c r="C2688" s="3" t="s">
        <v>3312</v>
      </c>
      <c r="D2688" s="3" t="s">
        <v>3313</v>
      </c>
      <c r="E2688" s="3" t="s">
        <v>1710</v>
      </c>
      <c r="F2688" s="3">
        <v>29.99</v>
      </c>
      <c r="G2688" s="3" t="s">
        <v>6233</v>
      </c>
      <c r="H2688" s="3"/>
      <c r="I2688" s="3" t="s">
        <v>6234</v>
      </c>
      <c r="J2688" s="3">
        <v>4</v>
      </c>
      <c r="K2688" s="3">
        <v>4</v>
      </c>
      <c r="L2688" s="3">
        <v>0</v>
      </c>
      <c r="M2688" s="3">
        <v>0</v>
      </c>
      <c r="N2688" s="3">
        <v>4</v>
      </c>
      <c r="O2688" s="3">
        <v>0.1</v>
      </c>
      <c r="P2688" s="3">
        <v>0</v>
      </c>
      <c r="Q2688" s="3">
        <v>0</v>
      </c>
      <c r="R2688" s="3">
        <v>0</v>
      </c>
    </row>
    <row r="2689" spans="1:18">
      <c r="A2689" s="3" t="s">
        <v>4933</v>
      </c>
      <c r="B2689" s="3" t="s">
        <v>4934</v>
      </c>
      <c r="C2689" s="3" t="s">
        <v>4935</v>
      </c>
      <c r="D2689" s="3" t="s">
        <v>4936</v>
      </c>
      <c r="E2689" s="3" t="s">
        <v>1710</v>
      </c>
      <c r="F2689" s="3">
        <v>29.99</v>
      </c>
      <c r="G2689" s="3" t="s">
        <v>6233</v>
      </c>
      <c r="H2689" s="3"/>
      <c r="I2689" s="3" t="s">
        <v>6234</v>
      </c>
      <c r="J2689" s="3">
        <v>5</v>
      </c>
      <c r="K2689" s="3">
        <v>5</v>
      </c>
      <c r="L2689" s="3">
        <v>0</v>
      </c>
      <c r="M2689" s="3">
        <v>0</v>
      </c>
      <c r="N2689" s="3">
        <v>5</v>
      </c>
      <c r="O2689" s="3">
        <v>0.07</v>
      </c>
      <c r="P2689" s="3">
        <v>0</v>
      </c>
      <c r="Q2689" s="3">
        <v>0</v>
      </c>
      <c r="R2689" s="3">
        <v>0</v>
      </c>
    </row>
    <row r="2690" spans="1:18">
      <c r="A2690" s="3" t="s">
        <v>3723</v>
      </c>
      <c r="B2690" s="3" t="s">
        <v>3724</v>
      </c>
      <c r="C2690" s="3" t="s">
        <v>3725</v>
      </c>
      <c r="D2690" s="3" t="s">
        <v>3726</v>
      </c>
      <c r="E2690" s="3" t="s">
        <v>1710</v>
      </c>
      <c r="F2690" s="3">
        <v>29.99</v>
      </c>
      <c r="G2690" s="3" t="s">
        <v>6233</v>
      </c>
      <c r="H2690" s="3"/>
      <c r="I2690" s="3" t="s">
        <v>6234</v>
      </c>
      <c r="J2690" s="3">
        <v>5</v>
      </c>
      <c r="K2690" s="3">
        <v>5</v>
      </c>
      <c r="L2690" s="3">
        <v>0</v>
      </c>
      <c r="M2690" s="3">
        <v>0</v>
      </c>
      <c r="N2690" s="3">
        <v>5</v>
      </c>
      <c r="O2690" s="3">
        <v>0.05</v>
      </c>
      <c r="P2690" s="3">
        <v>0</v>
      </c>
      <c r="Q2690" s="3">
        <v>0</v>
      </c>
      <c r="R2690" s="3">
        <v>0</v>
      </c>
    </row>
    <row r="2691" spans="1:18">
      <c r="A2691" s="3" t="s">
        <v>5595</v>
      </c>
      <c r="B2691" s="3" t="s">
        <v>5596</v>
      </c>
      <c r="C2691" s="3" t="s">
        <v>5597</v>
      </c>
      <c r="D2691" s="3" t="s">
        <v>5598</v>
      </c>
      <c r="E2691" s="3" t="s">
        <v>1710</v>
      </c>
      <c r="F2691" s="3">
        <v>29.99</v>
      </c>
      <c r="G2691" s="3" t="s">
        <v>6233</v>
      </c>
      <c r="H2691" s="3"/>
      <c r="I2691" s="3" t="s">
        <v>6234</v>
      </c>
      <c r="J2691" s="3">
        <v>5</v>
      </c>
      <c r="K2691" s="3">
        <v>5</v>
      </c>
      <c r="L2691" s="3">
        <v>0</v>
      </c>
      <c r="M2691" s="3">
        <v>0</v>
      </c>
      <c r="N2691" s="3">
        <v>5</v>
      </c>
      <c r="O2691" s="3">
        <v>0.03</v>
      </c>
      <c r="P2691" s="3">
        <v>0</v>
      </c>
      <c r="Q2691" s="3">
        <v>0</v>
      </c>
      <c r="R2691" s="3">
        <v>0</v>
      </c>
    </row>
    <row r="2692" spans="1:18">
      <c r="A2692" s="3" t="s">
        <v>5485</v>
      </c>
      <c r="B2692" s="3" t="s">
        <v>5486</v>
      </c>
      <c r="C2692" s="3" t="s">
        <v>5487</v>
      </c>
      <c r="D2692" s="3" t="s">
        <v>5488</v>
      </c>
      <c r="E2692" s="3" t="s">
        <v>1710</v>
      </c>
      <c r="F2692" s="3">
        <v>29.99</v>
      </c>
      <c r="G2692" s="3" t="s">
        <v>6233</v>
      </c>
      <c r="H2692" s="3"/>
      <c r="I2692" s="3" t="s">
        <v>6234</v>
      </c>
      <c r="J2692" s="3">
        <v>8</v>
      </c>
      <c r="K2692" s="3">
        <v>8</v>
      </c>
      <c r="L2692" s="3">
        <v>0</v>
      </c>
      <c r="M2692" s="3">
        <v>0</v>
      </c>
      <c r="N2692" s="3">
        <v>8</v>
      </c>
      <c r="O2692" s="3">
        <v>0.06</v>
      </c>
      <c r="P2692" s="3">
        <v>0</v>
      </c>
      <c r="Q2692" s="3">
        <v>0</v>
      </c>
      <c r="R2692" s="3">
        <v>0</v>
      </c>
    </row>
    <row r="2693" spans="1:18">
      <c r="A2693" s="3" t="s">
        <v>3894</v>
      </c>
      <c r="B2693" s="3" t="s">
        <v>3895</v>
      </c>
      <c r="C2693" s="3" t="s">
        <v>3896</v>
      </c>
      <c r="D2693" s="3" t="s">
        <v>3897</v>
      </c>
      <c r="E2693" s="3" t="s">
        <v>1710</v>
      </c>
      <c r="F2693" s="3">
        <v>29.99</v>
      </c>
      <c r="G2693" s="3" t="s">
        <v>6233</v>
      </c>
      <c r="H2693" s="3"/>
      <c r="I2693" s="3" t="s">
        <v>6234</v>
      </c>
      <c r="J2693" s="3">
        <v>6</v>
      </c>
      <c r="K2693" s="3">
        <v>6</v>
      </c>
      <c r="L2693" s="3">
        <v>0</v>
      </c>
      <c r="M2693" s="3">
        <v>0</v>
      </c>
      <c r="N2693" s="3">
        <v>6</v>
      </c>
      <c r="O2693" s="3">
        <v>0.05</v>
      </c>
      <c r="P2693" s="3">
        <v>0</v>
      </c>
      <c r="Q2693" s="3">
        <v>0</v>
      </c>
      <c r="R2693" s="3">
        <v>0</v>
      </c>
    </row>
    <row r="2694" spans="1:18">
      <c r="A2694" s="3" t="s">
        <v>10008</v>
      </c>
      <c r="B2694" s="3" t="s">
        <v>10009</v>
      </c>
      <c r="C2694" s="3" t="s">
        <v>10010</v>
      </c>
      <c r="D2694" s="3"/>
      <c r="E2694" s="3" t="s">
        <v>6275</v>
      </c>
      <c r="F2694" s="3"/>
      <c r="G2694" s="3"/>
      <c r="H2694" s="3"/>
      <c r="I2694" s="3"/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/>
      <c r="P2694" s="3">
        <v>0</v>
      </c>
      <c r="Q2694" s="3">
        <v>0</v>
      </c>
      <c r="R2694" s="3">
        <v>0</v>
      </c>
    </row>
    <row r="2695" spans="1:18">
      <c r="A2695" s="3" t="s">
        <v>4028</v>
      </c>
      <c r="B2695" s="3" t="s">
        <v>4029</v>
      </c>
      <c r="C2695" s="3" t="s">
        <v>4030</v>
      </c>
      <c r="D2695" s="3" t="s">
        <v>4031</v>
      </c>
      <c r="E2695" s="3" t="s">
        <v>1710</v>
      </c>
      <c r="F2695" s="3">
        <v>49.99</v>
      </c>
      <c r="G2695" s="3" t="s">
        <v>6233</v>
      </c>
      <c r="H2695" s="3"/>
      <c r="I2695" s="3" t="s">
        <v>6234</v>
      </c>
      <c r="J2695" s="3">
        <v>1</v>
      </c>
      <c r="K2695" s="3">
        <v>0</v>
      </c>
      <c r="L2695" s="3">
        <v>1</v>
      </c>
      <c r="M2695" s="3">
        <v>0</v>
      </c>
      <c r="N2695" s="3">
        <v>1</v>
      </c>
      <c r="O2695" s="3">
        <v>0.11</v>
      </c>
      <c r="P2695" s="3">
        <v>0</v>
      </c>
      <c r="Q2695" s="3">
        <v>0</v>
      </c>
      <c r="R2695" s="3">
        <v>0</v>
      </c>
    </row>
    <row r="2696" spans="1:18">
      <c r="A2696" s="3" t="s">
        <v>4895</v>
      </c>
      <c r="B2696" s="3" t="s">
        <v>4896</v>
      </c>
      <c r="C2696" s="3" t="s">
        <v>4897</v>
      </c>
      <c r="D2696" s="3" t="s">
        <v>4031</v>
      </c>
      <c r="E2696" s="3" t="s">
        <v>1710</v>
      </c>
      <c r="F2696" s="3">
        <v>49.99</v>
      </c>
      <c r="G2696" s="3" t="s">
        <v>6233</v>
      </c>
      <c r="H2696" s="3"/>
      <c r="I2696" s="3" t="s">
        <v>6234</v>
      </c>
      <c r="J2696" s="3">
        <v>8</v>
      </c>
      <c r="K2696" s="3">
        <v>7</v>
      </c>
      <c r="L2696" s="3">
        <v>1</v>
      </c>
      <c r="M2696" s="3">
        <v>0</v>
      </c>
      <c r="N2696" s="3">
        <v>8</v>
      </c>
      <c r="O2696" s="3">
        <v>0.11</v>
      </c>
      <c r="P2696" s="3">
        <v>0</v>
      </c>
      <c r="Q2696" s="3">
        <v>0</v>
      </c>
      <c r="R2696" s="3">
        <v>0</v>
      </c>
    </row>
    <row r="2697" spans="1:18">
      <c r="A2697" s="3" t="s">
        <v>10011</v>
      </c>
      <c r="B2697" s="3" t="s">
        <v>10012</v>
      </c>
      <c r="C2697" s="3" t="s">
        <v>10013</v>
      </c>
      <c r="D2697" s="3"/>
      <c r="E2697" s="3" t="s">
        <v>6275</v>
      </c>
      <c r="F2697" s="3"/>
      <c r="G2697" s="3"/>
      <c r="H2697" s="3"/>
      <c r="I2697" s="3"/>
      <c r="J2697" s="3">
        <v>0</v>
      </c>
      <c r="K2697" s="3">
        <v>0</v>
      </c>
      <c r="L2697" s="3">
        <v>0</v>
      </c>
      <c r="M2697" s="3">
        <v>0</v>
      </c>
      <c r="N2697" s="3">
        <v>0</v>
      </c>
      <c r="O2697" s="3"/>
      <c r="P2697" s="3">
        <v>0</v>
      </c>
      <c r="Q2697" s="3">
        <v>0</v>
      </c>
      <c r="R2697" s="3">
        <v>0</v>
      </c>
    </row>
    <row r="2698" spans="1:18">
      <c r="A2698" s="3" t="s">
        <v>10014</v>
      </c>
      <c r="B2698" s="3" t="s">
        <v>10015</v>
      </c>
      <c r="C2698" s="3" t="s">
        <v>10016</v>
      </c>
      <c r="D2698" s="3" t="s">
        <v>10017</v>
      </c>
      <c r="E2698" s="3" t="s">
        <v>1710</v>
      </c>
      <c r="F2698" s="3">
        <v>9.58</v>
      </c>
      <c r="G2698" s="3" t="s">
        <v>6233</v>
      </c>
      <c r="H2698" s="3"/>
      <c r="I2698" s="3" t="s">
        <v>6234</v>
      </c>
      <c r="J2698" s="3">
        <v>1</v>
      </c>
      <c r="K2698" s="3">
        <v>0</v>
      </c>
      <c r="L2698" s="3">
        <v>1</v>
      </c>
      <c r="M2698" s="3">
        <v>0</v>
      </c>
      <c r="N2698" s="3">
        <v>1</v>
      </c>
      <c r="O2698" s="3">
        <v>0.11</v>
      </c>
      <c r="P2698" s="3">
        <v>0</v>
      </c>
      <c r="Q2698" s="3">
        <v>0</v>
      </c>
      <c r="R2698" s="3">
        <v>0</v>
      </c>
    </row>
    <row r="2699" spans="1:18">
      <c r="A2699" s="3" t="s">
        <v>1412</v>
      </c>
      <c r="B2699" s="3" t="s">
        <v>1413</v>
      </c>
      <c r="C2699" s="3" t="s">
        <v>1414</v>
      </c>
      <c r="D2699" s="3" t="s">
        <v>1404</v>
      </c>
      <c r="E2699" s="3" t="s">
        <v>1710</v>
      </c>
      <c r="F2699" s="3">
        <v>49.99</v>
      </c>
      <c r="G2699" s="3" t="s">
        <v>6233</v>
      </c>
      <c r="H2699" s="3"/>
      <c r="I2699" s="3" t="s">
        <v>6234</v>
      </c>
      <c r="J2699" s="3">
        <v>23</v>
      </c>
      <c r="K2699" s="3">
        <v>17</v>
      </c>
      <c r="L2699" s="3">
        <v>5</v>
      </c>
      <c r="M2699" s="3">
        <v>1</v>
      </c>
      <c r="N2699" s="3">
        <v>23</v>
      </c>
      <c r="O2699" s="3">
        <v>0.19</v>
      </c>
      <c r="P2699" s="3">
        <v>0</v>
      </c>
      <c r="Q2699" s="3">
        <v>0</v>
      </c>
      <c r="R2699" s="3">
        <v>0</v>
      </c>
    </row>
    <row r="2700" spans="1:18">
      <c r="A2700" s="3" t="s">
        <v>4016</v>
      </c>
      <c r="B2700" s="3" t="s">
        <v>4017</v>
      </c>
      <c r="C2700" s="3" t="s">
        <v>4018</v>
      </c>
      <c r="D2700" s="3" t="s">
        <v>1404</v>
      </c>
      <c r="E2700" s="3" t="s">
        <v>1710</v>
      </c>
      <c r="F2700" s="3">
        <v>49.99</v>
      </c>
      <c r="G2700" s="3" t="s">
        <v>6233</v>
      </c>
      <c r="H2700" s="3"/>
      <c r="I2700" s="3" t="s">
        <v>6234</v>
      </c>
      <c r="J2700" s="3">
        <v>35</v>
      </c>
      <c r="K2700" s="3">
        <v>30</v>
      </c>
      <c r="L2700" s="3">
        <v>5</v>
      </c>
      <c r="M2700" s="3">
        <v>0</v>
      </c>
      <c r="N2700" s="3">
        <v>35</v>
      </c>
      <c r="O2700" s="3">
        <v>0.19</v>
      </c>
      <c r="P2700" s="3">
        <v>0</v>
      </c>
      <c r="Q2700" s="3">
        <v>0</v>
      </c>
      <c r="R2700" s="3">
        <v>0</v>
      </c>
    </row>
    <row r="2701" spans="1:18">
      <c r="A2701" s="3" t="s">
        <v>5775</v>
      </c>
      <c r="B2701" s="3" t="s">
        <v>5776</v>
      </c>
      <c r="C2701" s="3" t="s">
        <v>5777</v>
      </c>
      <c r="D2701" s="3" t="s">
        <v>1380</v>
      </c>
      <c r="E2701" s="3" t="s">
        <v>1710</v>
      </c>
      <c r="F2701" s="3">
        <v>49.99</v>
      </c>
      <c r="G2701" s="3" t="s">
        <v>6233</v>
      </c>
      <c r="H2701" s="3"/>
      <c r="I2701" s="3" t="s">
        <v>6234</v>
      </c>
      <c r="J2701" s="3">
        <v>11</v>
      </c>
      <c r="K2701" s="3">
        <v>10</v>
      </c>
      <c r="L2701" s="3">
        <v>1</v>
      </c>
      <c r="M2701" s="3">
        <v>0</v>
      </c>
      <c r="N2701" s="3">
        <v>11</v>
      </c>
      <c r="O2701" s="3">
        <v>0.19</v>
      </c>
      <c r="P2701" s="3">
        <v>0</v>
      </c>
      <c r="Q2701" s="3">
        <v>0</v>
      </c>
      <c r="R2701" s="3">
        <v>0</v>
      </c>
    </row>
    <row r="2702" spans="1:18">
      <c r="A2702" s="3" t="s">
        <v>5746</v>
      </c>
      <c r="B2702" s="3" t="s">
        <v>5747</v>
      </c>
      <c r="C2702" s="3" t="s">
        <v>5748</v>
      </c>
      <c r="D2702" s="3" t="s">
        <v>1380</v>
      </c>
      <c r="E2702" s="3" t="s">
        <v>1710</v>
      </c>
      <c r="F2702" s="3">
        <v>49.99</v>
      </c>
      <c r="G2702" s="3" t="s">
        <v>6233</v>
      </c>
      <c r="H2702" s="3"/>
      <c r="I2702" s="3" t="s">
        <v>6234</v>
      </c>
      <c r="J2702" s="3">
        <v>8</v>
      </c>
      <c r="K2702" s="3">
        <v>6</v>
      </c>
      <c r="L2702" s="3">
        <v>2</v>
      </c>
      <c r="M2702" s="3">
        <v>0</v>
      </c>
      <c r="N2702" s="3">
        <v>13</v>
      </c>
      <c r="O2702" s="3">
        <v>0.19</v>
      </c>
      <c r="P2702" s="3">
        <v>0</v>
      </c>
      <c r="Q2702" s="3">
        <v>5</v>
      </c>
      <c r="R2702" s="3">
        <v>0</v>
      </c>
    </row>
    <row r="2703" spans="1:18">
      <c r="A2703" s="3" t="s">
        <v>2366</v>
      </c>
      <c r="B2703" s="3" t="s">
        <v>2367</v>
      </c>
      <c r="C2703" s="3" t="s">
        <v>2368</v>
      </c>
      <c r="D2703" s="3" t="s">
        <v>1380</v>
      </c>
      <c r="E2703" s="3" t="s">
        <v>1710</v>
      </c>
      <c r="F2703" s="3">
        <v>49.99</v>
      </c>
      <c r="G2703" s="3" t="s">
        <v>6233</v>
      </c>
      <c r="H2703" s="3"/>
      <c r="I2703" s="3" t="s">
        <v>6234</v>
      </c>
      <c r="J2703" s="3">
        <v>12</v>
      </c>
      <c r="K2703" s="3">
        <v>12</v>
      </c>
      <c r="L2703" s="3">
        <v>0</v>
      </c>
      <c r="M2703" s="3">
        <v>0</v>
      </c>
      <c r="N2703" s="3">
        <v>12</v>
      </c>
      <c r="O2703" s="3">
        <v>0.1</v>
      </c>
      <c r="P2703" s="3">
        <v>0</v>
      </c>
      <c r="Q2703" s="3">
        <v>0</v>
      </c>
      <c r="R2703" s="3">
        <v>0</v>
      </c>
    </row>
    <row r="2704" spans="1:18">
      <c r="A2704" s="3" t="s">
        <v>4560</v>
      </c>
      <c r="B2704" s="3" t="s">
        <v>4561</v>
      </c>
      <c r="C2704" s="3" t="s">
        <v>4562</v>
      </c>
      <c r="D2704" s="3" t="s">
        <v>1380</v>
      </c>
      <c r="E2704" s="3" t="s">
        <v>1710</v>
      </c>
      <c r="F2704" s="3">
        <v>49.99</v>
      </c>
      <c r="G2704" s="3" t="s">
        <v>6233</v>
      </c>
      <c r="H2704" s="3"/>
      <c r="I2704" s="3" t="s">
        <v>6234</v>
      </c>
      <c r="J2704" s="3">
        <v>8</v>
      </c>
      <c r="K2704" s="3">
        <v>7</v>
      </c>
      <c r="L2704" s="3">
        <v>1</v>
      </c>
      <c r="M2704" s="3">
        <v>0</v>
      </c>
      <c r="N2704" s="3">
        <v>8</v>
      </c>
      <c r="O2704" s="3">
        <v>0.19</v>
      </c>
      <c r="P2704" s="3">
        <v>0</v>
      </c>
      <c r="Q2704" s="3">
        <v>0</v>
      </c>
      <c r="R2704" s="3">
        <v>0</v>
      </c>
    </row>
    <row r="2705" spans="1:18">
      <c r="A2705" s="3" t="s">
        <v>2835</v>
      </c>
      <c r="B2705" s="3" t="s">
        <v>2836</v>
      </c>
      <c r="C2705" s="3" t="s">
        <v>2837</v>
      </c>
      <c r="D2705" s="3" t="s">
        <v>1380</v>
      </c>
      <c r="E2705" s="3" t="s">
        <v>1710</v>
      </c>
      <c r="F2705" s="3">
        <v>49.99</v>
      </c>
      <c r="G2705" s="3" t="s">
        <v>6233</v>
      </c>
      <c r="H2705" s="3"/>
      <c r="I2705" s="3" t="s">
        <v>6234</v>
      </c>
      <c r="J2705" s="3">
        <v>9</v>
      </c>
      <c r="K2705" s="3">
        <v>9</v>
      </c>
      <c r="L2705" s="3">
        <v>0</v>
      </c>
      <c r="M2705" s="3">
        <v>0</v>
      </c>
      <c r="N2705" s="3">
        <v>9</v>
      </c>
      <c r="O2705" s="3">
        <v>0.19</v>
      </c>
      <c r="P2705" s="3">
        <v>0</v>
      </c>
      <c r="Q2705" s="3">
        <v>0</v>
      </c>
      <c r="R2705" s="3">
        <v>0</v>
      </c>
    </row>
    <row r="2706" spans="1:18">
      <c r="A2706" s="3" t="s">
        <v>1401</v>
      </c>
      <c r="B2706" s="3" t="s">
        <v>1402</v>
      </c>
      <c r="C2706" s="3" t="s">
        <v>1403</v>
      </c>
      <c r="D2706" s="3" t="s">
        <v>1404</v>
      </c>
      <c r="E2706" s="3" t="s">
        <v>1710</v>
      </c>
      <c r="F2706" s="3">
        <v>49.99</v>
      </c>
      <c r="G2706" s="3" t="s">
        <v>6233</v>
      </c>
      <c r="H2706" s="3"/>
      <c r="I2706" s="3" t="s">
        <v>6234</v>
      </c>
      <c r="J2706" s="3">
        <v>25</v>
      </c>
      <c r="K2706" s="3">
        <v>22</v>
      </c>
      <c r="L2706" s="3">
        <v>2</v>
      </c>
      <c r="M2706" s="3">
        <v>1</v>
      </c>
      <c r="N2706" s="3">
        <v>25</v>
      </c>
      <c r="O2706" s="3">
        <v>0.19</v>
      </c>
      <c r="P2706" s="3">
        <v>0</v>
      </c>
      <c r="Q2706" s="3">
        <v>0</v>
      </c>
      <c r="R2706" s="3">
        <v>0</v>
      </c>
    </row>
    <row r="2707" spans="1:18">
      <c r="A2707" s="3" t="s">
        <v>1405</v>
      </c>
      <c r="B2707" s="3" t="s">
        <v>1406</v>
      </c>
      <c r="C2707" s="3" t="s">
        <v>1407</v>
      </c>
      <c r="D2707" s="3" t="s">
        <v>1404</v>
      </c>
      <c r="E2707" s="3" t="s">
        <v>1710</v>
      </c>
      <c r="F2707" s="3">
        <v>49.99</v>
      </c>
      <c r="G2707" s="3" t="s">
        <v>6233</v>
      </c>
      <c r="H2707" s="3"/>
      <c r="I2707" s="3" t="s">
        <v>6234</v>
      </c>
      <c r="J2707" s="3">
        <v>12</v>
      </c>
      <c r="K2707" s="3">
        <v>6</v>
      </c>
      <c r="L2707" s="3">
        <v>3</v>
      </c>
      <c r="M2707" s="3">
        <v>3</v>
      </c>
      <c r="N2707" s="3">
        <v>22</v>
      </c>
      <c r="O2707" s="3">
        <v>0.19</v>
      </c>
      <c r="P2707" s="3">
        <v>0</v>
      </c>
      <c r="Q2707" s="3">
        <v>10</v>
      </c>
      <c r="R2707" s="3">
        <v>0</v>
      </c>
    </row>
    <row r="2708" spans="1:18">
      <c r="A2708" s="3" t="s">
        <v>4942</v>
      </c>
      <c r="B2708" s="3" t="s">
        <v>4943</v>
      </c>
      <c r="C2708" s="3" t="s">
        <v>4944</v>
      </c>
      <c r="D2708" s="3" t="s">
        <v>1380</v>
      </c>
      <c r="E2708" s="3" t="s">
        <v>1710</v>
      </c>
      <c r="F2708" s="3">
        <v>49.99</v>
      </c>
      <c r="G2708" s="3" t="s">
        <v>6233</v>
      </c>
      <c r="H2708" s="3"/>
      <c r="I2708" s="3" t="s">
        <v>6234</v>
      </c>
      <c r="J2708" s="3">
        <v>4</v>
      </c>
      <c r="K2708" s="3">
        <v>4</v>
      </c>
      <c r="L2708" s="3">
        <v>0</v>
      </c>
      <c r="M2708" s="3">
        <v>0</v>
      </c>
      <c r="N2708" s="3">
        <v>9</v>
      </c>
      <c r="O2708" s="3">
        <v>0.19</v>
      </c>
      <c r="P2708" s="3">
        <v>0</v>
      </c>
      <c r="Q2708" s="3">
        <v>5</v>
      </c>
      <c r="R2708" s="3">
        <v>0</v>
      </c>
    </row>
    <row r="2709" spans="1:18">
      <c r="A2709" s="3" t="s">
        <v>4262</v>
      </c>
      <c r="B2709" s="3" t="s">
        <v>4263</v>
      </c>
      <c r="C2709" s="3" t="s">
        <v>4264</v>
      </c>
      <c r="D2709" s="3" t="s">
        <v>1380</v>
      </c>
      <c r="E2709" s="3" t="s">
        <v>1710</v>
      </c>
      <c r="F2709" s="3">
        <v>49.99</v>
      </c>
      <c r="G2709" s="3" t="s">
        <v>6233</v>
      </c>
      <c r="H2709" s="3"/>
      <c r="I2709" s="3" t="s">
        <v>6234</v>
      </c>
      <c r="J2709" s="3">
        <v>8</v>
      </c>
      <c r="K2709" s="3">
        <v>8</v>
      </c>
      <c r="L2709" s="3">
        <v>0</v>
      </c>
      <c r="M2709" s="3">
        <v>0</v>
      </c>
      <c r="N2709" s="3">
        <v>8</v>
      </c>
      <c r="O2709" s="3">
        <v>0.19</v>
      </c>
      <c r="P2709" s="3">
        <v>0</v>
      </c>
      <c r="Q2709" s="3">
        <v>0</v>
      </c>
      <c r="R2709" s="3">
        <v>0</v>
      </c>
    </row>
    <row r="2710" spans="1:18">
      <c r="A2710" s="3" t="s">
        <v>5505</v>
      </c>
      <c r="B2710" s="3" t="s">
        <v>5506</v>
      </c>
      <c r="C2710" s="3" t="s">
        <v>5507</v>
      </c>
      <c r="D2710" s="3" t="s">
        <v>1380</v>
      </c>
      <c r="E2710" s="3" t="s">
        <v>1710</v>
      </c>
      <c r="F2710" s="3">
        <v>49.99</v>
      </c>
      <c r="G2710" s="3" t="s">
        <v>6233</v>
      </c>
      <c r="H2710" s="3"/>
      <c r="I2710" s="3" t="s">
        <v>6234</v>
      </c>
      <c r="J2710" s="3">
        <v>10</v>
      </c>
      <c r="K2710" s="3">
        <v>10</v>
      </c>
      <c r="L2710" s="3">
        <v>0</v>
      </c>
      <c r="M2710" s="3">
        <v>0</v>
      </c>
      <c r="N2710" s="3">
        <v>10</v>
      </c>
      <c r="O2710" s="3">
        <v>0.19</v>
      </c>
      <c r="P2710" s="3">
        <v>0</v>
      </c>
      <c r="Q2710" s="3">
        <v>0</v>
      </c>
      <c r="R2710" s="3">
        <v>0</v>
      </c>
    </row>
    <row r="2711" spans="1:18">
      <c r="A2711" s="3" t="s">
        <v>1377</v>
      </c>
      <c r="B2711" s="3" t="s">
        <v>1378</v>
      </c>
      <c r="C2711" s="3" t="s">
        <v>1379</v>
      </c>
      <c r="D2711" s="3" t="s">
        <v>1380</v>
      </c>
      <c r="E2711" s="3" t="s">
        <v>1710</v>
      </c>
      <c r="F2711" s="3">
        <v>49.99</v>
      </c>
      <c r="G2711" s="3" t="s">
        <v>6233</v>
      </c>
      <c r="H2711" s="3"/>
      <c r="I2711" s="3" t="s">
        <v>6234</v>
      </c>
      <c r="J2711" s="3">
        <v>1</v>
      </c>
      <c r="K2711" s="3">
        <v>0</v>
      </c>
      <c r="L2711" s="3">
        <v>0</v>
      </c>
      <c r="M2711" s="3">
        <v>1</v>
      </c>
      <c r="N2711" s="3">
        <v>1</v>
      </c>
      <c r="O2711" s="3">
        <v>0.19</v>
      </c>
      <c r="P2711" s="3">
        <v>0</v>
      </c>
      <c r="Q2711" s="3">
        <v>0</v>
      </c>
      <c r="R2711" s="3">
        <v>0</v>
      </c>
    </row>
    <row r="2712" spans="1:18">
      <c r="A2712" s="3" t="s">
        <v>10018</v>
      </c>
      <c r="B2712" s="3" t="s">
        <v>10019</v>
      </c>
      <c r="C2712" s="3" t="s">
        <v>10020</v>
      </c>
      <c r="D2712" s="3" t="s">
        <v>1380</v>
      </c>
      <c r="E2712" s="3" t="s">
        <v>1710</v>
      </c>
      <c r="F2712" s="3">
        <v>49.99</v>
      </c>
      <c r="G2712" s="3" t="s">
        <v>6233</v>
      </c>
      <c r="H2712" s="3"/>
      <c r="I2712" s="3" t="s">
        <v>6234</v>
      </c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>
        <v>0.19</v>
      </c>
      <c r="P2712" s="3">
        <v>0</v>
      </c>
      <c r="Q2712" s="3">
        <v>0</v>
      </c>
      <c r="R2712" s="3">
        <v>0</v>
      </c>
    </row>
    <row r="2713" spans="1:18">
      <c r="A2713" s="3" t="s">
        <v>10021</v>
      </c>
      <c r="B2713" s="3" t="s">
        <v>10022</v>
      </c>
      <c r="C2713" s="3" t="s">
        <v>10023</v>
      </c>
      <c r="D2713" s="3" t="s">
        <v>10024</v>
      </c>
      <c r="E2713" s="3" t="s">
        <v>1710</v>
      </c>
      <c r="F2713" s="3">
        <v>49.99</v>
      </c>
      <c r="G2713" s="3" t="s">
        <v>6233</v>
      </c>
      <c r="H2713" s="3"/>
      <c r="I2713" s="3" t="s">
        <v>6234</v>
      </c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>
        <v>0.17</v>
      </c>
      <c r="P2713" s="3">
        <v>0</v>
      </c>
      <c r="Q2713" s="3">
        <v>0</v>
      </c>
      <c r="R2713" s="3">
        <v>0</v>
      </c>
    </row>
    <row r="2714" spans="1:18">
      <c r="A2714" s="3" t="s">
        <v>10025</v>
      </c>
      <c r="B2714" s="3" t="s">
        <v>10026</v>
      </c>
      <c r="C2714" s="3" t="s">
        <v>10027</v>
      </c>
      <c r="D2714" s="3" t="s">
        <v>10028</v>
      </c>
      <c r="E2714" s="3" t="s">
        <v>1710</v>
      </c>
      <c r="F2714" s="3">
        <v>49.99</v>
      </c>
      <c r="G2714" s="3" t="s">
        <v>6233</v>
      </c>
      <c r="H2714" s="3"/>
      <c r="I2714" s="3" t="s">
        <v>6234</v>
      </c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>
        <v>0.17</v>
      </c>
      <c r="P2714" s="3">
        <v>0</v>
      </c>
      <c r="Q2714" s="3">
        <v>0</v>
      </c>
      <c r="R2714" s="3">
        <v>0</v>
      </c>
    </row>
    <row r="2715" spans="1:18">
      <c r="A2715" s="3" t="s">
        <v>10029</v>
      </c>
      <c r="B2715" s="3" t="s">
        <v>10030</v>
      </c>
      <c r="C2715" s="3" t="s">
        <v>9372</v>
      </c>
      <c r="D2715" s="3" t="s">
        <v>10028</v>
      </c>
      <c r="E2715" s="3" t="s">
        <v>1710</v>
      </c>
      <c r="F2715" s="3">
        <v>19.99</v>
      </c>
      <c r="G2715" s="3" t="s">
        <v>6233</v>
      </c>
      <c r="H2715" s="3"/>
      <c r="I2715" s="3" t="s">
        <v>6234</v>
      </c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>
        <v>0.17</v>
      </c>
      <c r="P2715" s="3">
        <v>0</v>
      </c>
      <c r="Q2715" s="3">
        <v>0</v>
      </c>
      <c r="R2715" s="3">
        <v>0</v>
      </c>
    </row>
    <row r="2716" spans="1:18">
      <c r="A2716" s="3" t="s">
        <v>10031</v>
      </c>
      <c r="B2716" s="3" t="s">
        <v>10032</v>
      </c>
      <c r="C2716" s="3" t="s">
        <v>10033</v>
      </c>
      <c r="D2716" s="3"/>
      <c r="E2716" s="3" t="s">
        <v>6275</v>
      </c>
      <c r="F2716" s="3"/>
      <c r="G2716" s="3"/>
      <c r="H2716" s="3"/>
      <c r="I2716" s="3"/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/>
      <c r="P2716" s="3">
        <v>0</v>
      </c>
      <c r="Q2716" s="3">
        <v>0</v>
      </c>
      <c r="R2716" s="3">
        <v>0</v>
      </c>
    </row>
    <row r="2717" spans="1:18">
      <c r="A2717" s="3" t="s">
        <v>10034</v>
      </c>
      <c r="B2717" s="3" t="s">
        <v>10035</v>
      </c>
      <c r="C2717" s="3" t="s">
        <v>9378</v>
      </c>
      <c r="D2717" s="3"/>
      <c r="E2717" s="3" t="s">
        <v>6275</v>
      </c>
      <c r="F2717" s="3"/>
      <c r="G2717" s="3"/>
      <c r="H2717" s="3"/>
      <c r="I2717" s="3"/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/>
      <c r="P2717" s="3">
        <v>0</v>
      </c>
      <c r="Q2717" s="3">
        <v>0</v>
      </c>
      <c r="R2717" s="3">
        <v>0</v>
      </c>
    </row>
    <row r="2718" spans="1:18">
      <c r="A2718" s="3" t="s">
        <v>10036</v>
      </c>
      <c r="B2718" s="3" t="s">
        <v>10037</v>
      </c>
      <c r="C2718" s="3" t="s">
        <v>9381</v>
      </c>
      <c r="D2718" s="3"/>
      <c r="E2718" s="3" t="s">
        <v>6275</v>
      </c>
      <c r="F2718" s="3"/>
      <c r="G2718" s="3"/>
      <c r="H2718" s="3"/>
      <c r="I2718" s="3"/>
      <c r="J2718" s="3">
        <v>0</v>
      </c>
      <c r="K2718" s="3">
        <v>0</v>
      </c>
      <c r="L2718" s="3">
        <v>0</v>
      </c>
      <c r="M2718" s="3">
        <v>0</v>
      </c>
      <c r="N2718" s="3">
        <v>0</v>
      </c>
      <c r="O2718" s="3"/>
      <c r="P2718" s="3">
        <v>0</v>
      </c>
      <c r="Q2718" s="3">
        <v>0</v>
      </c>
      <c r="R2718" s="3">
        <v>0</v>
      </c>
    </row>
    <row r="2719" spans="1:18">
      <c r="A2719" s="3" t="s">
        <v>10038</v>
      </c>
      <c r="B2719" s="3" t="s">
        <v>10039</v>
      </c>
      <c r="C2719" s="3" t="s">
        <v>9384</v>
      </c>
      <c r="D2719" s="3" t="s">
        <v>10040</v>
      </c>
      <c r="E2719" s="3" t="s">
        <v>1710</v>
      </c>
      <c r="F2719" s="3">
        <v>49.99</v>
      </c>
      <c r="G2719" s="3" t="s">
        <v>6233</v>
      </c>
      <c r="H2719" s="3"/>
      <c r="I2719" s="3" t="s">
        <v>6234</v>
      </c>
      <c r="J2719" s="3">
        <v>0</v>
      </c>
      <c r="K2719" s="3">
        <v>0</v>
      </c>
      <c r="L2719" s="3">
        <v>0</v>
      </c>
      <c r="M2719" s="3">
        <v>0</v>
      </c>
      <c r="N2719" s="3">
        <v>0</v>
      </c>
      <c r="O2719" s="3">
        <v>0.17</v>
      </c>
      <c r="P2719" s="3">
        <v>0</v>
      </c>
      <c r="Q2719" s="3">
        <v>0</v>
      </c>
      <c r="R2719" s="3">
        <v>0</v>
      </c>
    </row>
    <row r="2720" spans="1:18">
      <c r="A2720" s="3" t="s">
        <v>10041</v>
      </c>
      <c r="B2720" s="3" t="s">
        <v>10042</v>
      </c>
      <c r="C2720" s="3" t="s">
        <v>589</v>
      </c>
      <c r="D2720" s="3"/>
      <c r="E2720" s="3" t="s">
        <v>6275</v>
      </c>
      <c r="F2720" s="3"/>
      <c r="G2720" s="3"/>
      <c r="H2720" s="3"/>
      <c r="I2720" s="3"/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/>
      <c r="P2720" s="3">
        <v>0</v>
      </c>
      <c r="Q2720" s="3">
        <v>0</v>
      </c>
      <c r="R2720" s="3">
        <v>0</v>
      </c>
    </row>
    <row r="2721" spans="1:18">
      <c r="A2721" s="3" t="s">
        <v>10043</v>
      </c>
      <c r="B2721" s="3" t="s">
        <v>10044</v>
      </c>
      <c r="C2721" s="3" t="s">
        <v>3361</v>
      </c>
      <c r="D2721" s="3"/>
      <c r="E2721" s="3" t="s">
        <v>6275</v>
      </c>
      <c r="F2721" s="3"/>
      <c r="G2721" s="3"/>
      <c r="H2721" s="3"/>
      <c r="I2721" s="3"/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/>
      <c r="P2721" s="3">
        <v>0</v>
      </c>
      <c r="Q2721" s="3">
        <v>0</v>
      </c>
      <c r="R2721" s="3">
        <v>0</v>
      </c>
    </row>
    <row r="2722" spans="1:18">
      <c r="A2722" s="3" t="s">
        <v>10045</v>
      </c>
      <c r="B2722" s="3" t="s">
        <v>10046</v>
      </c>
      <c r="C2722" s="3" t="s">
        <v>585</v>
      </c>
      <c r="D2722" s="3"/>
      <c r="E2722" s="3" t="s">
        <v>6275</v>
      </c>
      <c r="F2722" s="3"/>
      <c r="G2722" s="3"/>
      <c r="H2722" s="3"/>
      <c r="I2722" s="3"/>
      <c r="J2722" s="3">
        <v>0</v>
      </c>
      <c r="K2722" s="3">
        <v>0</v>
      </c>
      <c r="L2722" s="3">
        <v>0</v>
      </c>
      <c r="M2722" s="3">
        <v>0</v>
      </c>
      <c r="N2722" s="3">
        <v>0</v>
      </c>
      <c r="O2722" s="3"/>
      <c r="P2722" s="3">
        <v>0</v>
      </c>
      <c r="Q2722" s="3">
        <v>0</v>
      </c>
      <c r="R2722" s="3">
        <v>0</v>
      </c>
    </row>
    <row r="2723" spans="1:18">
      <c r="A2723" s="3" t="s">
        <v>10047</v>
      </c>
      <c r="B2723" s="3" t="s">
        <v>10048</v>
      </c>
      <c r="C2723" s="3" t="s">
        <v>573</v>
      </c>
      <c r="D2723" s="3"/>
      <c r="E2723" s="3" t="s">
        <v>6275</v>
      </c>
      <c r="F2723" s="3"/>
      <c r="G2723" s="3"/>
      <c r="H2723" s="3"/>
      <c r="I2723" s="3"/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/>
      <c r="P2723" s="3">
        <v>0</v>
      </c>
      <c r="Q2723" s="3">
        <v>0</v>
      </c>
      <c r="R2723" s="3">
        <v>0</v>
      </c>
    </row>
    <row r="2724" spans="1:18">
      <c r="A2724" s="3" t="s">
        <v>10049</v>
      </c>
      <c r="B2724" s="3" t="s">
        <v>10050</v>
      </c>
      <c r="C2724" s="3" t="s">
        <v>521</v>
      </c>
      <c r="D2724" s="3"/>
      <c r="E2724" s="3" t="s">
        <v>6275</v>
      </c>
      <c r="F2724" s="3"/>
      <c r="G2724" s="3"/>
      <c r="H2724" s="3"/>
      <c r="I2724" s="3"/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/>
      <c r="P2724" s="3">
        <v>0</v>
      </c>
      <c r="Q2724" s="3">
        <v>0</v>
      </c>
      <c r="R2724" s="3">
        <v>0</v>
      </c>
    </row>
    <row r="2725" spans="1:18">
      <c r="A2725" s="3" t="s">
        <v>10051</v>
      </c>
      <c r="B2725" s="3" t="s">
        <v>10052</v>
      </c>
      <c r="C2725" s="3" t="s">
        <v>569</v>
      </c>
      <c r="D2725" s="3"/>
      <c r="E2725" s="3" t="s">
        <v>6275</v>
      </c>
      <c r="F2725" s="3"/>
      <c r="G2725" s="3"/>
      <c r="H2725" s="3"/>
      <c r="I2725" s="3"/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/>
      <c r="P2725" s="3">
        <v>0</v>
      </c>
      <c r="Q2725" s="3">
        <v>0</v>
      </c>
      <c r="R2725" s="3">
        <v>0</v>
      </c>
    </row>
    <row r="2726" spans="1:18">
      <c r="A2726" s="3" t="s">
        <v>10053</v>
      </c>
      <c r="B2726" s="3" t="s">
        <v>10054</v>
      </c>
      <c r="C2726" s="3" t="s">
        <v>633</v>
      </c>
      <c r="D2726" s="3"/>
      <c r="E2726" s="3" t="s">
        <v>6275</v>
      </c>
      <c r="F2726" s="3"/>
      <c r="G2726" s="3"/>
      <c r="H2726" s="3"/>
      <c r="I2726" s="3"/>
      <c r="J2726" s="3">
        <v>0</v>
      </c>
      <c r="K2726" s="3">
        <v>0</v>
      </c>
      <c r="L2726" s="3">
        <v>0</v>
      </c>
      <c r="M2726" s="3">
        <v>0</v>
      </c>
      <c r="N2726" s="3">
        <v>0</v>
      </c>
      <c r="O2726" s="3"/>
      <c r="P2726" s="3">
        <v>0</v>
      </c>
      <c r="Q2726" s="3">
        <v>0</v>
      </c>
      <c r="R2726" s="3">
        <v>0</v>
      </c>
    </row>
    <row r="2727" spans="1:18">
      <c r="A2727" s="3" t="s">
        <v>10055</v>
      </c>
      <c r="B2727" s="3" t="s">
        <v>10056</v>
      </c>
      <c r="C2727" s="3" t="s">
        <v>649</v>
      </c>
      <c r="D2727" s="3"/>
      <c r="E2727" s="3" t="s">
        <v>6275</v>
      </c>
      <c r="F2727" s="3"/>
      <c r="G2727" s="3"/>
      <c r="H2727" s="3"/>
      <c r="I2727" s="3"/>
      <c r="J2727" s="3">
        <v>0</v>
      </c>
      <c r="K2727" s="3">
        <v>0</v>
      </c>
      <c r="L2727" s="3">
        <v>0</v>
      </c>
      <c r="M2727" s="3">
        <v>0</v>
      </c>
      <c r="N2727" s="3">
        <v>0</v>
      </c>
      <c r="O2727" s="3"/>
      <c r="P2727" s="3">
        <v>0</v>
      </c>
      <c r="Q2727" s="3">
        <v>0</v>
      </c>
      <c r="R2727" s="3">
        <v>0</v>
      </c>
    </row>
    <row r="2728" spans="1:18">
      <c r="A2728" s="3" t="s">
        <v>10057</v>
      </c>
      <c r="B2728" s="3" t="s">
        <v>10058</v>
      </c>
      <c r="C2728" s="3" t="s">
        <v>517</v>
      </c>
      <c r="D2728" s="3"/>
      <c r="E2728" s="3" t="s">
        <v>6275</v>
      </c>
      <c r="F2728" s="3"/>
      <c r="G2728" s="3"/>
      <c r="H2728" s="3"/>
      <c r="I2728" s="3"/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/>
      <c r="P2728" s="3">
        <v>0</v>
      </c>
      <c r="Q2728" s="3">
        <v>0</v>
      </c>
      <c r="R2728" s="3">
        <v>0</v>
      </c>
    </row>
    <row r="2729" spans="1:18">
      <c r="A2729" s="3" t="s">
        <v>10059</v>
      </c>
      <c r="B2729" s="3" t="s">
        <v>10060</v>
      </c>
      <c r="C2729" s="3" t="s">
        <v>3932</v>
      </c>
      <c r="D2729" s="3"/>
      <c r="E2729" s="3" t="s">
        <v>6275</v>
      </c>
      <c r="F2729" s="3"/>
      <c r="G2729" s="3"/>
      <c r="H2729" s="3"/>
      <c r="I2729" s="3"/>
      <c r="J2729" s="3">
        <v>0</v>
      </c>
      <c r="K2729" s="3">
        <v>0</v>
      </c>
      <c r="L2729" s="3">
        <v>0</v>
      </c>
      <c r="M2729" s="3">
        <v>0</v>
      </c>
      <c r="N2729" s="3">
        <v>0</v>
      </c>
      <c r="O2729" s="3"/>
      <c r="P2729" s="3">
        <v>0</v>
      </c>
      <c r="Q2729" s="3">
        <v>0</v>
      </c>
      <c r="R2729" s="3">
        <v>0</v>
      </c>
    </row>
    <row r="2730" spans="1:18">
      <c r="A2730" s="3" t="s">
        <v>10061</v>
      </c>
      <c r="B2730" s="3" t="s">
        <v>10062</v>
      </c>
      <c r="C2730" s="3" t="s">
        <v>617</v>
      </c>
      <c r="D2730" s="3"/>
      <c r="E2730" s="3" t="s">
        <v>6275</v>
      </c>
      <c r="F2730" s="3"/>
      <c r="G2730" s="3"/>
      <c r="H2730" s="3"/>
      <c r="I2730" s="3"/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/>
      <c r="P2730" s="3">
        <v>0</v>
      </c>
      <c r="Q2730" s="3">
        <v>0</v>
      </c>
      <c r="R2730" s="3">
        <v>0</v>
      </c>
    </row>
    <row r="2731" spans="1:18">
      <c r="A2731" s="3" t="s">
        <v>10063</v>
      </c>
      <c r="B2731" s="3" t="s">
        <v>10064</v>
      </c>
      <c r="C2731" s="3" t="s">
        <v>533</v>
      </c>
      <c r="D2731" s="3"/>
      <c r="E2731" s="3" t="s">
        <v>6275</v>
      </c>
      <c r="F2731" s="3"/>
      <c r="G2731" s="3"/>
      <c r="H2731" s="3"/>
      <c r="I2731" s="3"/>
      <c r="J2731" s="3">
        <v>0</v>
      </c>
      <c r="K2731" s="3">
        <v>0</v>
      </c>
      <c r="L2731" s="3">
        <v>0</v>
      </c>
      <c r="M2731" s="3">
        <v>0</v>
      </c>
      <c r="N2731" s="3">
        <v>0</v>
      </c>
      <c r="O2731" s="3"/>
      <c r="P2731" s="3">
        <v>0</v>
      </c>
      <c r="Q2731" s="3">
        <v>0</v>
      </c>
      <c r="R2731" s="3">
        <v>0</v>
      </c>
    </row>
    <row r="2732" spans="1:18">
      <c r="A2732" s="3" t="s">
        <v>10065</v>
      </c>
      <c r="B2732" s="3" t="s">
        <v>10066</v>
      </c>
      <c r="C2732" s="3" t="s">
        <v>2053</v>
      </c>
      <c r="D2732" s="3"/>
      <c r="E2732" s="3" t="s">
        <v>6275</v>
      </c>
      <c r="F2732" s="3"/>
      <c r="G2732" s="3"/>
      <c r="H2732" s="3"/>
      <c r="I2732" s="3"/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/>
      <c r="P2732" s="3">
        <v>0</v>
      </c>
      <c r="Q2732" s="3">
        <v>0</v>
      </c>
      <c r="R2732" s="3">
        <v>0</v>
      </c>
    </row>
    <row r="2733" spans="1:18">
      <c r="A2733" s="3" t="s">
        <v>10067</v>
      </c>
      <c r="B2733" s="3" t="s">
        <v>10068</v>
      </c>
      <c r="C2733" s="3" t="s">
        <v>529</v>
      </c>
      <c r="D2733" s="3"/>
      <c r="E2733" s="3" t="s">
        <v>6275</v>
      </c>
      <c r="F2733" s="3"/>
      <c r="G2733" s="3"/>
      <c r="H2733" s="3"/>
      <c r="I2733" s="3"/>
      <c r="J2733" s="3">
        <v>0</v>
      </c>
      <c r="K2733" s="3">
        <v>0</v>
      </c>
      <c r="L2733" s="3">
        <v>0</v>
      </c>
      <c r="M2733" s="3">
        <v>0</v>
      </c>
      <c r="N2733" s="3">
        <v>0</v>
      </c>
      <c r="O2733" s="3"/>
      <c r="P2733" s="3">
        <v>0</v>
      </c>
      <c r="Q2733" s="3">
        <v>0</v>
      </c>
      <c r="R2733" s="3">
        <v>0</v>
      </c>
    </row>
    <row r="2734" spans="1:18">
      <c r="A2734" s="3" t="s">
        <v>10069</v>
      </c>
      <c r="B2734" s="3" t="s">
        <v>10070</v>
      </c>
      <c r="C2734" s="3" t="s">
        <v>541</v>
      </c>
      <c r="D2734" s="3"/>
      <c r="E2734" s="3" t="s">
        <v>6275</v>
      </c>
      <c r="F2734" s="3"/>
      <c r="G2734" s="3"/>
      <c r="H2734" s="3"/>
      <c r="I2734" s="3"/>
      <c r="J2734" s="3">
        <v>0</v>
      </c>
      <c r="K2734" s="3">
        <v>0</v>
      </c>
      <c r="L2734" s="3">
        <v>0</v>
      </c>
      <c r="M2734" s="3">
        <v>0</v>
      </c>
      <c r="N2734" s="3">
        <v>0</v>
      </c>
      <c r="O2734" s="3"/>
      <c r="P2734" s="3">
        <v>0</v>
      </c>
      <c r="Q2734" s="3">
        <v>0</v>
      </c>
      <c r="R2734" s="3">
        <v>0</v>
      </c>
    </row>
    <row r="2735" spans="1:18">
      <c r="A2735" s="3" t="s">
        <v>10071</v>
      </c>
      <c r="B2735" s="3" t="s">
        <v>10072</v>
      </c>
      <c r="C2735" s="3" t="s">
        <v>513</v>
      </c>
      <c r="D2735" s="3"/>
      <c r="E2735" s="3" t="s">
        <v>6275</v>
      </c>
      <c r="F2735" s="3"/>
      <c r="G2735" s="3"/>
      <c r="H2735" s="3"/>
      <c r="I2735" s="3"/>
      <c r="J2735" s="3">
        <v>0</v>
      </c>
      <c r="K2735" s="3">
        <v>0</v>
      </c>
      <c r="L2735" s="3">
        <v>0</v>
      </c>
      <c r="M2735" s="3">
        <v>0</v>
      </c>
      <c r="N2735" s="3">
        <v>0</v>
      </c>
      <c r="O2735" s="3"/>
      <c r="P2735" s="3">
        <v>0</v>
      </c>
      <c r="Q2735" s="3">
        <v>0</v>
      </c>
      <c r="R2735" s="3">
        <v>0</v>
      </c>
    </row>
    <row r="2736" spans="1:18">
      <c r="A2736" s="3" t="s">
        <v>10073</v>
      </c>
      <c r="B2736" s="3" t="s">
        <v>10074</v>
      </c>
      <c r="C2736" s="3" t="s">
        <v>581</v>
      </c>
      <c r="D2736" s="3"/>
      <c r="E2736" s="3" t="s">
        <v>6275</v>
      </c>
      <c r="F2736" s="3"/>
      <c r="G2736" s="3"/>
      <c r="H2736" s="3"/>
      <c r="I2736" s="3"/>
      <c r="J2736" s="3">
        <v>0</v>
      </c>
      <c r="K2736" s="3">
        <v>0</v>
      </c>
      <c r="L2736" s="3">
        <v>0</v>
      </c>
      <c r="M2736" s="3">
        <v>0</v>
      </c>
      <c r="N2736" s="3">
        <v>0</v>
      </c>
      <c r="O2736" s="3"/>
      <c r="P2736" s="3">
        <v>0</v>
      </c>
      <c r="Q2736" s="3">
        <v>0</v>
      </c>
      <c r="R2736" s="3">
        <v>0</v>
      </c>
    </row>
    <row r="2737" spans="1:18">
      <c r="A2737" s="3" t="s">
        <v>10075</v>
      </c>
      <c r="B2737" s="3" t="s">
        <v>10076</v>
      </c>
      <c r="C2737" s="3" t="s">
        <v>5094</v>
      </c>
      <c r="D2737" s="3"/>
      <c r="E2737" s="3" t="s">
        <v>6275</v>
      </c>
      <c r="F2737" s="3"/>
      <c r="G2737" s="3"/>
      <c r="H2737" s="3"/>
      <c r="I2737" s="3"/>
      <c r="J2737" s="3">
        <v>0</v>
      </c>
      <c r="K2737" s="3">
        <v>0</v>
      </c>
      <c r="L2737" s="3">
        <v>0</v>
      </c>
      <c r="M2737" s="3">
        <v>0</v>
      </c>
      <c r="N2737" s="3">
        <v>0</v>
      </c>
      <c r="O2737" s="3"/>
      <c r="P2737" s="3">
        <v>0</v>
      </c>
      <c r="Q2737" s="3">
        <v>0</v>
      </c>
      <c r="R2737" s="3">
        <v>0</v>
      </c>
    </row>
    <row r="2738" spans="1:18">
      <c r="A2738" s="3" t="s">
        <v>10077</v>
      </c>
      <c r="B2738" s="3" t="s">
        <v>10078</v>
      </c>
      <c r="C2738" s="3" t="s">
        <v>4794</v>
      </c>
      <c r="D2738" s="3"/>
      <c r="E2738" s="3" t="s">
        <v>6275</v>
      </c>
      <c r="F2738" s="3"/>
      <c r="G2738" s="3"/>
      <c r="H2738" s="3"/>
      <c r="I2738" s="3"/>
      <c r="J2738" s="3">
        <v>0</v>
      </c>
      <c r="K2738" s="3">
        <v>0</v>
      </c>
      <c r="L2738" s="3">
        <v>0</v>
      </c>
      <c r="M2738" s="3">
        <v>0</v>
      </c>
      <c r="N2738" s="3">
        <v>0</v>
      </c>
      <c r="O2738" s="3"/>
      <c r="P2738" s="3">
        <v>0</v>
      </c>
      <c r="Q2738" s="3">
        <v>0</v>
      </c>
      <c r="R2738" s="3">
        <v>0</v>
      </c>
    </row>
    <row r="2739" spans="1:18">
      <c r="A2739" s="3" t="s">
        <v>10079</v>
      </c>
      <c r="B2739" s="3" t="s">
        <v>10080</v>
      </c>
      <c r="C2739" s="3" t="s">
        <v>5176</v>
      </c>
      <c r="D2739" s="3"/>
      <c r="E2739" s="3" t="s">
        <v>6275</v>
      </c>
      <c r="F2739" s="3"/>
      <c r="G2739" s="3"/>
      <c r="H2739" s="3"/>
      <c r="I2739" s="3"/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/>
      <c r="P2739" s="3">
        <v>0</v>
      </c>
      <c r="Q2739" s="3">
        <v>0</v>
      </c>
      <c r="R2739" s="3">
        <v>0</v>
      </c>
    </row>
    <row r="2740" spans="1:18">
      <c r="A2740" s="3" t="s">
        <v>10081</v>
      </c>
      <c r="B2740" s="3" t="s">
        <v>10082</v>
      </c>
      <c r="C2740" s="3" t="s">
        <v>5141</v>
      </c>
      <c r="D2740" s="3"/>
      <c r="E2740" s="3" t="s">
        <v>6275</v>
      </c>
      <c r="F2740" s="3"/>
      <c r="G2740" s="3"/>
      <c r="H2740" s="3"/>
      <c r="I2740" s="3"/>
      <c r="J2740" s="3">
        <v>0</v>
      </c>
      <c r="K2740" s="3">
        <v>0</v>
      </c>
      <c r="L2740" s="3">
        <v>0</v>
      </c>
      <c r="M2740" s="3">
        <v>0</v>
      </c>
      <c r="N2740" s="3">
        <v>0</v>
      </c>
      <c r="O2740" s="3"/>
      <c r="P2740" s="3">
        <v>0</v>
      </c>
      <c r="Q2740" s="3">
        <v>0</v>
      </c>
      <c r="R2740" s="3">
        <v>0</v>
      </c>
    </row>
    <row r="2741" spans="1:18">
      <c r="A2741" s="3" t="s">
        <v>10083</v>
      </c>
      <c r="B2741" s="3" t="s">
        <v>10084</v>
      </c>
      <c r="C2741" s="3" t="s">
        <v>613</v>
      </c>
      <c r="D2741" s="3"/>
      <c r="E2741" s="3" t="s">
        <v>6275</v>
      </c>
      <c r="F2741" s="3"/>
      <c r="G2741" s="3"/>
      <c r="H2741" s="3"/>
      <c r="I2741" s="3"/>
      <c r="J2741" s="3">
        <v>0</v>
      </c>
      <c r="K2741" s="3">
        <v>0</v>
      </c>
      <c r="L2741" s="3">
        <v>0</v>
      </c>
      <c r="M2741" s="3">
        <v>0</v>
      </c>
      <c r="N2741" s="3">
        <v>0</v>
      </c>
      <c r="O2741" s="3"/>
      <c r="P2741" s="3">
        <v>0</v>
      </c>
      <c r="Q2741" s="3">
        <v>0</v>
      </c>
      <c r="R2741" s="3">
        <v>0</v>
      </c>
    </row>
    <row r="2742" spans="1:18">
      <c r="A2742" s="3" t="s">
        <v>10085</v>
      </c>
      <c r="B2742" s="3" t="s">
        <v>10086</v>
      </c>
      <c r="C2742" s="3" t="s">
        <v>593</v>
      </c>
      <c r="D2742" s="3"/>
      <c r="E2742" s="3" t="s">
        <v>6275</v>
      </c>
      <c r="F2742" s="3"/>
      <c r="G2742" s="3"/>
      <c r="H2742" s="3"/>
      <c r="I2742" s="3"/>
      <c r="J2742" s="3">
        <v>0</v>
      </c>
      <c r="K2742" s="3">
        <v>0</v>
      </c>
      <c r="L2742" s="3">
        <v>0</v>
      </c>
      <c r="M2742" s="3">
        <v>0</v>
      </c>
      <c r="N2742" s="3">
        <v>0</v>
      </c>
      <c r="O2742" s="3"/>
      <c r="P2742" s="3">
        <v>0</v>
      </c>
      <c r="Q2742" s="3">
        <v>0</v>
      </c>
      <c r="R2742" s="3">
        <v>0</v>
      </c>
    </row>
    <row r="2743" spans="1:18">
      <c r="A2743" s="3" t="s">
        <v>10087</v>
      </c>
      <c r="B2743" s="3" t="s">
        <v>10088</v>
      </c>
      <c r="C2743" s="3" t="s">
        <v>577</v>
      </c>
      <c r="D2743" s="3"/>
      <c r="E2743" s="3" t="s">
        <v>6275</v>
      </c>
      <c r="F2743" s="3"/>
      <c r="G2743" s="3"/>
      <c r="H2743" s="3"/>
      <c r="I2743" s="3"/>
      <c r="J2743" s="3">
        <v>0</v>
      </c>
      <c r="K2743" s="3">
        <v>0</v>
      </c>
      <c r="L2743" s="3">
        <v>0</v>
      </c>
      <c r="M2743" s="3">
        <v>0</v>
      </c>
      <c r="N2743" s="3">
        <v>0</v>
      </c>
      <c r="O2743" s="3"/>
      <c r="P2743" s="3">
        <v>0</v>
      </c>
      <c r="Q2743" s="3">
        <v>0</v>
      </c>
      <c r="R2743" s="3">
        <v>0</v>
      </c>
    </row>
    <row r="2744" spans="1:18">
      <c r="A2744" s="3" t="s">
        <v>10089</v>
      </c>
      <c r="B2744" s="3" t="s">
        <v>10090</v>
      </c>
      <c r="C2744" s="3" t="s">
        <v>525</v>
      </c>
      <c r="D2744" s="3"/>
      <c r="E2744" s="3" t="s">
        <v>6275</v>
      </c>
      <c r="F2744" s="3"/>
      <c r="G2744" s="3"/>
      <c r="H2744" s="3"/>
      <c r="I2744" s="3"/>
      <c r="J2744" s="3">
        <v>0</v>
      </c>
      <c r="K2744" s="3">
        <v>0</v>
      </c>
      <c r="L2744" s="3">
        <v>0</v>
      </c>
      <c r="M2744" s="3">
        <v>0</v>
      </c>
      <c r="N2744" s="3">
        <v>0</v>
      </c>
      <c r="O2744" s="3"/>
      <c r="P2744" s="3">
        <v>0</v>
      </c>
      <c r="Q2744" s="3">
        <v>0</v>
      </c>
      <c r="R2744" s="3">
        <v>0</v>
      </c>
    </row>
    <row r="2745" spans="1:18">
      <c r="A2745" s="3" t="s">
        <v>10091</v>
      </c>
      <c r="B2745" s="3" t="s">
        <v>10092</v>
      </c>
      <c r="C2745" s="3" t="s">
        <v>537</v>
      </c>
      <c r="D2745" s="3"/>
      <c r="E2745" s="3" t="s">
        <v>6275</v>
      </c>
      <c r="F2745" s="3"/>
      <c r="G2745" s="3"/>
      <c r="H2745" s="3"/>
      <c r="I2745" s="3"/>
      <c r="J2745" s="3">
        <v>0</v>
      </c>
      <c r="K2745" s="3">
        <v>0</v>
      </c>
      <c r="L2745" s="3">
        <v>0</v>
      </c>
      <c r="M2745" s="3">
        <v>0</v>
      </c>
      <c r="N2745" s="3">
        <v>0</v>
      </c>
      <c r="O2745" s="3"/>
      <c r="P2745" s="3">
        <v>0</v>
      </c>
      <c r="Q2745" s="3">
        <v>0</v>
      </c>
      <c r="R2745" s="3">
        <v>0</v>
      </c>
    </row>
    <row r="2746" spans="1:18">
      <c r="A2746" s="3" t="s">
        <v>10093</v>
      </c>
      <c r="B2746" s="3" t="s">
        <v>10094</v>
      </c>
      <c r="C2746" s="3" t="s">
        <v>629</v>
      </c>
      <c r="D2746" s="3"/>
      <c r="E2746" s="3" t="s">
        <v>6275</v>
      </c>
      <c r="F2746" s="3"/>
      <c r="G2746" s="3"/>
      <c r="H2746" s="3"/>
      <c r="I2746" s="3"/>
      <c r="J2746" s="3">
        <v>0</v>
      </c>
      <c r="K2746" s="3">
        <v>0</v>
      </c>
      <c r="L2746" s="3">
        <v>0</v>
      </c>
      <c r="M2746" s="3">
        <v>0</v>
      </c>
      <c r="N2746" s="3">
        <v>0</v>
      </c>
      <c r="O2746" s="3"/>
      <c r="P2746" s="3">
        <v>0</v>
      </c>
      <c r="Q2746" s="3">
        <v>0</v>
      </c>
      <c r="R2746" s="3">
        <v>0</v>
      </c>
    </row>
    <row r="2747" spans="1:18">
      <c r="A2747" s="3" t="s">
        <v>10095</v>
      </c>
      <c r="B2747" s="3" t="s">
        <v>10096</v>
      </c>
      <c r="C2747" s="3" t="s">
        <v>509</v>
      </c>
      <c r="D2747" s="3"/>
      <c r="E2747" s="3" t="s">
        <v>6275</v>
      </c>
      <c r="F2747" s="3"/>
      <c r="G2747" s="3"/>
      <c r="H2747" s="3"/>
      <c r="I2747" s="3"/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/>
      <c r="P2747" s="3">
        <v>0</v>
      </c>
      <c r="Q2747" s="3">
        <v>0</v>
      </c>
      <c r="R2747" s="3">
        <v>0</v>
      </c>
    </row>
    <row r="2748" spans="1:18">
      <c r="A2748" s="3" t="s">
        <v>10097</v>
      </c>
      <c r="B2748" s="3" t="s">
        <v>10098</v>
      </c>
      <c r="C2748" s="3" t="s">
        <v>2340</v>
      </c>
      <c r="D2748" s="3"/>
      <c r="E2748" s="3" t="s">
        <v>6275</v>
      </c>
      <c r="F2748" s="3"/>
      <c r="G2748" s="3"/>
      <c r="H2748" s="3"/>
      <c r="I2748" s="3"/>
      <c r="J2748" s="3">
        <v>0</v>
      </c>
      <c r="K2748" s="3">
        <v>0</v>
      </c>
      <c r="L2748" s="3">
        <v>0</v>
      </c>
      <c r="M2748" s="3">
        <v>0</v>
      </c>
      <c r="N2748" s="3">
        <v>0</v>
      </c>
      <c r="O2748" s="3"/>
      <c r="P2748" s="3">
        <v>0</v>
      </c>
      <c r="Q2748" s="3">
        <v>0</v>
      </c>
      <c r="R2748" s="3">
        <v>0</v>
      </c>
    </row>
    <row r="2749" spans="1:18">
      <c r="A2749" s="3" t="s">
        <v>10099</v>
      </c>
      <c r="B2749" s="3" t="s">
        <v>10100</v>
      </c>
      <c r="C2749" s="3" t="s">
        <v>2902</v>
      </c>
      <c r="D2749" s="3"/>
      <c r="E2749" s="3" t="s">
        <v>6275</v>
      </c>
      <c r="F2749" s="3"/>
      <c r="G2749" s="3"/>
      <c r="H2749" s="3"/>
      <c r="I2749" s="3"/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/>
      <c r="P2749" s="3">
        <v>0</v>
      </c>
      <c r="Q2749" s="3">
        <v>0</v>
      </c>
      <c r="R2749" s="3">
        <v>0</v>
      </c>
    </row>
    <row r="2750" spans="1:18">
      <c r="A2750" s="3" t="s">
        <v>10101</v>
      </c>
      <c r="B2750" s="3" t="s">
        <v>10102</v>
      </c>
      <c r="C2750" s="3" t="s">
        <v>505</v>
      </c>
      <c r="D2750" s="3"/>
      <c r="E2750" s="3" t="s">
        <v>6275</v>
      </c>
      <c r="F2750" s="3"/>
      <c r="G2750" s="3"/>
      <c r="H2750" s="3"/>
      <c r="I2750" s="3"/>
      <c r="J2750" s="3">
        <v>0</v>
      </c>
      <c r="K2750" s="3">
        <v>0</v>
      </c>
      <c r="L2750" s="3">
        <v>0</v>
      </c>
      <c r="M2750" s="3">
        <v>0</v>
      </c>
      <c r="N2750" s="3">
        <v>0</v>
      </c>
      <c r="O2750" s="3"/>
      <c r="P2750" s="3">
        <v>0</v>
      </c>
      <c r="Q2750" s="3">
        <v>0</v>
      </c>
      <c r="R2750" s="3">
        <v>0</v>
      </c>
    </row>
    <row r="2751" spans="1:18">
      <c r="A2751" s="3" t="s">
        <v>10103</v>
      </c>
      <c r="B2751" s="3" t="s">
        <v>10104</v>
      </c>
      <c r="C2751" s="3" t="s">
        <v>565</v>
      </c>
      <c r="D2751" s="3"/>
      <c r="E2751" s="3" t="s">
        <v>6275</v>
      </c>
      <c r="F2751" s="3"/>
      <c r="G2751" s="3"/>
      <c r="H2751" s="3"/>
      <c r="I2751" s="3"/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/>
      <c r="P2751" s="3">
        <v>0</v>
      </c>
      <c r="Q2751" s="3">
        <v>0</v>
      </c>
      <c r="R2751" s="3">
        <v>0</v>
      </c>
    </row>
    <row r="2752" spans="1:18">
      <c r="A2752" s="3" t="s">
        <v>10105</v>
      </c>
      <c r="B2752" s="3" t="s">
        <v>10106</v>
      </c>
      <c r="C2752" s="3" t="s">
        <v>549</v>
      </c>
      <c r="D2752" s="3"/>
      <c r="E2752" s="3" t="s">
        <v>6275</v>
      </c>
      <c r="F2752" s="3"/>
      <c r="G2752" s="3"/>
      <c r="H2752" s="3"/>
      <c r="I2752" s="3"/>
      <c r="J2752" s="3">
        <v>0</v>
      </c>
      <c r="K2752" s="3">
        <v>0</v>
      </c>
      <c r="L2752" s="3">
        <v>0</v>
      </c>
      <c r="M2752" s="3">
        <v>0</v>
      </c>
      <c r="N2752" s="3">
        <v>0</v>
      </c>
      <c r="O2752" s="3"/>
      <c r="P2752" s="3">
        <v>0</v>
      </c>
      <c r="Q2752" s="3">
        <v>0</v>
      </c>
      <c r="R2752" s="3">
        <v>0</v>
      </c>
    </row>
    <row r="2753" spans="1:18">
      <c r="A2753" s="3" t="s">
        <v>10107</v>
      </c>
      <c r="B2753" s="3" t="s">
        <v>10108</v>
      </c>
      <c r="C2753" s="3" t="s">
        <v>601</v>
      </c>
      <c r="D2753" s="3"/>
      <c r="E2753" s="3" t="s">
        <v>6275</v>
      </c>
      <c r="F2753" s="3"/>
      <c r="G2753" s="3"/>
      <c r="H2753" s="3"/>
      <c r="I2753" s="3"/>
      <c r="J2753" s="3">
        <v>0</v>
      </c>
      <c r="K2753" s="3">
        <v>0</v>
      </c>
      <c r="L2753" s="3">
        <v>0</v>
      </c>
      <c r="M2753" s="3">
        <v>0</v>
      </c>
      <c r="N2753" s="3">
        <v>0</v>
      </c>
      <c r="O2753" s="3"/>
      <c r="P2753" s="3">
        <v>0</v>
      </c>
      <c r="Q2753" s="3">
        <v>0</v>
      </c>
      <c r="R2753" s="3">
        <v>0</v>
      </c>
    </row>
    <row r="2754" spans="1:18">
      <c r="A2754" s="3" t="s">
        <v>10109</v>
      </c>
      <c r="B2754" s="3" t="s">
        <v>10110</v>
      </c>
      <c r="C2754" s="3" t="s">
        <v>561</v>
      </c>
      <c r="D2754" s="3"/>
      <c r="E2754" s="3" t="s">
        <v>6275</v>
      </c>
      <c r="F2754" s="3"/>
      <c r="G2754" s="3"/>
      <c r="H2754" s="3"/>
      <c r="I2754" s="3"/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/>
      <c r="P2754" s="3">
        <v>0</v>
      </c>
      <c r="Q2754" s="3">
        <v>0</v>
      </c>
      <c r="R2754" s="3">
        <v>0</v>
      </c>
    </row>
    <row r="2755" spans="1:18">
      <c r="A2755" s="3" t="s">
        <v>10111</v>
      </c>
      <c r="B2755" s="3" t="s">
        <v>10112</v>
      </c>
      <c r="C2755" s="3" t="s">
        <v>545</v>
      </c>
      <c r="D2755" s="3"/>
      <c r="E2755" s="3" t="s">
        <v>6275</v>
      </c>
      <c r="F2755" s="3"/>
      <c r="G2755" s="3"/>
      <c r="H2755" s="3"/>
      <c r="I2755" s="3"/>
      <c r="J2755" s="3">
        <v>0</v>
      </c>
      <c r="K2755" s="3">
        <v>0</v>
      </c>
      <c r="L2755" s="3">
        <v>0</v>
      </c>
      <c r="M2755" s="3">
        <v>0</v>
      </c>
      <c r="N2755" s="3">
        <v>0</v>
      </c>
      <c r="O2755" s="3"/>
      <c r="P2755" s="3">
        <v>0</v>
      </c>
      <c r="Q2755" s="3">
        <v>0</v>
      </c>
      <c r="R2755" s="3">
        <v>0</v>
      </c>
    </row>
    <row r="2756" spans="1:18">
      <c r="A2756" s="3" t="s">
        <v>10113</v>
      </c>
      <c r="B2756" s="3" t="s">
        <v>10114</v>
      </c>
      <c r="C2756" s="3" t="s">
        <v>1908</v>
      </c>
      <c r="D2756" s="3"/>
      <c r="E2756" s="3" t="s">
        <v>6275</v>
      </c>
      <c r="F2756" s="3"/>
      <c r="G2756" s="3"/>
      <c r="H2756" s="3"/>
      <c r="I2756" s="3"/>
      <c r="J2756" s="3">
        <v>0</v>
      </c>
      <c r="K2756" s="3">
        <v>0</v>
      </c>
      <c r="L2756" s="3">
        <v>0</v>
      </c>
      <c r="M2756" s="3">
        <v>0</v>
      </c>
      <c r="N2756" s="3">
        <v>0</v>
      </c>
      <c r="O2756" s="3"/>
      <c r="P2756" s="3">
        <v>0</v>
      </c>
      <c r="Q2756" s="3">
        <v>0</v>
      </c>
      <c r="R2756" s="3">
        <v>0</v>
      </c>
    </row>
    <row r="2757" spans="1:18">
      <c r="A2757" s="3" t="s">
        <v>10115</v>
      </c>
      <c r="B2757" s="3" t="s">
        <v>10116</v>
      </c>
      <c r="C2757" s="3" t="s">
        <v>8492</v>
      </c>
      <c r="D2757" s="3"/>
      <c r="E2757" s="3" t="s">
        <v>6275</v>
      </c>
      <c r="F2757" s="3"/>
      <c r="G2757" s="3"/>
      <c r="H2757" s="3"/>
      <c r="I2757" s="3"/>
      <c r="J2757" s="3">
        <v>0</v>
      </c>
      <c r="K2757" s="3">
        <v>0</v>
      </c>
      <c r="L2757" s="3">
        <v>0</v>
      </c>
      <c r="M2757" s="3">
        <v>0</v>
      </c>
      <c r="N2757" s="3">
        <v>0</v>
      </c>
      <c r="O2757" s="3"/>
      <c r="P2757" s="3">
        <v>0</v>
      </c>
      <c r="Q2757" s="3">
        <v>0</v>
      </c>
      <c r="R2757" s="3">
        <v>0</v>
      </c>
    </row>
    <row r="2758" spans="1:18">
      <c r="A2758" s="3" t="s">
        <v>10117</v>
      </c>
      <c r="B2758" s="3" t="s">
        <v>10118</v>
      </c>
      <c r="C2758" s="3" t="s">
        <v>4984</v>
      </c>
      <c r="D2758" s="3"/>
      <c r="E2758" s="3" t="s">
        <v>6275</v>
      </c>
      <c r="F2758" s="3"/>
      <c r="G2758" s="3"/>
      <c r="H2758" s="3"/>
      <c r="I2758" s="3"/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/>
      <c r="P2758" s="3">
        <v>0</v>
      </c>
      <c r="Q2758" s="3">
        <v>0</v>
      </c>
      <c r="R2758" s="3">
        <v>0</v>
      </c>
    </row>
    <row r="2759" spans="1:18">
      <c r="A2759" s="3" t="s">
        <v>10119</v>
      </c>
      <c r="B2759" s="3" t="s">
        <v>10120</v>
      </c>
      <c r="C2759" s="3" t="s">
        <v>8500</v>
      </c>
      <c r="D2759" s="3"/>
      <c r="E2759" s="3" t="s">
        <v>6275</v>
      </c>
      <c r="F2759" s="3"/>
      <c r="G2759" s="3"/>
      <c r="H2759" s="3"/>
      <c r="I2759" s="3"/>
      <c r="J2759" s="3">
        <v>0</v>
      </c>
      <c r="K2759" s="3">
        <v>0</v>
      </c>
      <c r="L2759" s="3">
        <v>0</v>
      </c>
      <c r="M2759" s="3">
        <v>0</v>
      </c>
      <c r="N2759" s="3">
        <v>0</v>
      </c>
      <c r="O2759" s="3"/>
      <c r="P2759" s="3">
        <v>0</v>
      </c>
      <c r="Q2759" s="3">
        <v>0</v>
      </c>
      <c r="R2759" s="3">
        <v>0</v>
      </c>
    </row>
    <row r="2760" spans="1:18">
      <c r="A2760" s="3" t="s">
        <v>10121</v>
      </c>
      <c r="B2760" s="3" t="s">
        <v>10122</v>
      </c>
      <c r="C2760" s="3" t="s">
        <v>4571</v>
      </c>
      <c r="D2760" s="3"/>
      <c r="E2760" s="3" t="s">
        <v>6275</v>
      </c>
      <c r="F2760" s="3"/>
      <c r="G2760" s="3"/>
      <c r="H2760" s="3"/>
      <c r="I2760" s="3"/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/>
      <c r="P2760" s="3">
        <v>0</v>
      </c>
      <c r="Q2760" s="3">
        <v>0</v>
      </c>
      <c r="R2760" s="3">
        <v>0</v>
      </c>
    </row>
    <row r="2761" spans="1:18">
      <c r="A2761" s="3" t="s">
        <v>10123</v>
      </c>
      <c r="B2761" s="3" t="s">
        <v>10124</v>
      </c>
      <c r="C2761" s="3" t="s">
        <v>8504</v>
      </c>
      <c r="D2761" s="3"/>
      <c r="E2761" s="3" t="s">
        <v>6275</v>
      </c>
      <c r="F2761" s="3"/>
      <c r="G2761" s="3"/>
      <c r="H2761" s="3"/>
      <c r="I2761" s="3"/>
      <c r="J2761" s="3">
        <v>0</v>
      </c>
      <c r="K2761" s="3">
        <v>0</v>
      </c>
      <c r="L2761" s="3">
        <v>0</v>
      </c>
      <c r="M2761" s="3">
        <v>0</v>
      </c>
      <c r="N2761" s="3">
        <v>0</v>
      </c>
      <c r="O2761" s="3"/>
      <c r="P2761" s="3">
        <v>0</v>
      </c>
      <c r="Q2761" s="3">
        <v>0</v>
      </c>
      <c r="R2761" s="3">
        <v>0</v>
      </c>
    </row>
    <row r="2762" spans="1:18">
      <c r="A2762" s="3" t="s">
        <v>10125</v>
      </c>
      <c r="B2762" s="3" t="s">
        <v>10126</v>
      </c>
      <c r="C2762" s="3" t="s">
        <v>8512</v>
      </c>
      <c r="D2762" s="3"/>
      <c r="E2762" s="3" t="s">
        <v>6275</v>
      </c>
      <c r="F2762" s="3"/>
      <c r="G2762" s="3"/>
      <c r="H2762" s="3"/>
      <c r="I2762" s="3"/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/>
      <c r="P2762" s="3">
        <v>0</v>
      </c>
      <c r="Q2762" s="3">
        <v>0</v>
      </c>
      <c r="R2762" s="3">
        <v>0</v>
      </c>
    </row>
    <row r="2763" spans="1:18">
      <c r="A2763" s="3" t="s">
        <v>10127</v>
      </c>
      <c r="B2763" s="3" t="s">
        <v>10128</v>
      </c>
      <c r="C2763" s="3" t="s">
        <v>10129</v>
      </c>
      <c r="D2763" s="3"/>
      <c r="E2763" s="3" t="s">
        <v>6275</v>
      </c>
      <c r="F2763" s="3"/>
      <c r="G2763" s="3"/>
      <c r="H2763" s="3"/>
      <c r="I2763" s="3"/>
      <c r="J2763" s="3">
        <v>0</v>
      </c>
      <c r="K2763" s="3">
        <v>0</v>
      </c>
      <c r="L2763" s="3">
        <v>0</v>
      </c>
      <c r="M2763" s="3">
        <v>0</v>
      </c>
      <c r="N2763" s="3">
        <v>0</v>
      </c>
      <c r="O2763" s="3"/>
      <c r="P2763" s="3">
        <v>0</v>
      </c>
      <c r="Q2763" s="3">
        <v>0</v>
      </c>
      <c r="R2763" s="3">
        <v>0</v>
      </c>
    </row>
    <row r="2764" spans="1:18">
      <c r="A2764" s="3" t="s">
        <v>10130</v>
      </c>
      <c r="B2764" s="3" t="s">
        <v>10131</v>
      </c>
      <c r="C2764" s="3" t="s">
        <v>10132</v>
      </c>
      <c r="D2764" s="3"/>
      <c r="E2764" s="3" t="s">
        <v>6275</v>
      </c>
      <c r="F2764" s="3"/>
      <c r="G2764" s="3"/>
      <c r="H2764" s="3"/>
      <c r="I2764" s="3"/>
      <c r="J2764" s="3">
        <v>0</v>
      </c>
      <c r="K2764" s="3">
        <v>0</v>
      </c>
      <c r="L2764" s="3">
        <v>0</v>
      </c>
      <c r="M2764" s="3">
        <v>0</v>
      </c>
      <c r="N2764" s="3">
        <v>0</v>
      </c>
      <c r="O2764" s="3"/>
      <c r="P2764" s="3">
        <v>0</v>
      </c>
      <c r="Q2764" s="3">
        <v>0</v>
      </c>
      <c r="R2764" s="3">
        <v>0</v>
      </c>
    </row>
    <row r="2765" spans="1:18">
      <c r="A2765" s="3" t="s">
        <v>10133</v>
      </c>
      <c r="B2765" s="3" t="s">
        <v>10134</v>
      </c>
      <c r="C2765" s="3" t="s">
        <v>10135</v>
      </c>
      <c r="D2765" s="3"/>
      <c r="E2765" s="3" t="s">
        <v>6275</v>
      </c>
      <c r="F2765" s="3"/>
      <c r="G2765" s="3"/>
      <c r="H2765" s="3"/>
      <c r="I2765" s="3"/>
      <c r="J2765" s="3">
        <v>0</v>
      </c>
      <c r="K2765" s="3">
        <v>0</v>
      </c>
      <c r="L2765" s="3">
        <v>0</v>
      </c>
      <c r="M2765" s="3">
        <v>0</v>
      </c>
      <c r="N2765" s="3">
        <v>0</v>
      </c>
      <c r="O2765" s="3"/>
      <c r="P2765" s="3">
        <v>0</v>
      </c>
      <c r="Q2765" s="3">
        <v>0</v>
      </c>
      <c r="R2765" s="3">
        <v>0</v>
      </c>
    </row>
    <row r="2766" spans="1:18">
      <c r="A2766" s="3" t="s">
        <v>10136</v>
      </c>
      <c r="B2766" s="3" t="s">
        <v>10137</v>
      </c>
      <c r="C2766" s="3" t="s">
        <v>10138</v>
      </c>
      <c r="D2766" s="3"/>
      <c r="E2766" s="3" t="s">
        <v>6275</v>
      </c>
      <c r="F2766" s="3"/>
      <c r="G2766" s="3"/>
      <c r="H2766" s="3"/>
      <c r="I2766" s="3"/>
      <c r="J2766" s="3">
        <v>0</v>
      </c>
      <c r="K2766" s="3">
        <v>0</v>
      </c>
      <c r="L2766" s="3">
        <v>0</v>
      </c>
      <c r="M2766" s="3">
        <v>0</v>
      </c>
      <c r="N2766" s="3">
        <v>0</v>
      </c>
      <c r="O2766" s="3"/>
      <c r="P2766" s="3">
        <v>0</v>
      </c>
      <c r="Q2766" s="3">
        <v>0</v>
      </c>
      <c r="R2766" s="3">
        <v>0</v>
      </c>
    </row>
    <row r="2767" spans="1:18">
      <c r="A2767" s="3" t="s">
        <v>10139</v>
      </c>
      <c r="B2767" s="3" t="s">
        <v>10140</v>
      </c>
      <c r="C2767" s="3" t="s">
        <v>10141</v>
      </c>
      <c r="D2767" s="3"/>
      <c r="E2767" s="3" t="s">
        <v>6275</v>
      </c>
      <c r="F2767" s="3"/>
      <c r="G2767" s="3"/>
      <c r="H2767" s="3"/>
      <c r="I2767" s="3"/>
      <c r="J2767" s="3">
        <v>0</v>
      </c>
      <c r="K2767" s="3">
        <v>0</v>
      </c>
      <c r="L2767" s="3">
        <v>0</v>
      </c>
      <c r="M2767" s="3">
        <v>0</v>
      </c>
      <c r="N2767" s="3">
        <v>0</v>
      </c>
      <c r="O2767" s="3"/>
      <c r="P2767" s="3">
        <v>0</v>
      </c>
      <c r="Q2767" s="3">
        <v>0</v>
      </c>
      <c r="R2767" s="3">
        <v>0</v>
      </c>
    </row>
    <row r="2768" spans="1:18">
      <c r="A2768" s="3" t="s">
        <v>10142</v>
      </c>
      <c r="B2768" s="3" t="s">
        <v>10143</v>
      </c>
      <c r="C2768" s="3" t="s">
        <v>10144</v>
      </c>
      <c r="D2768" s="3"/>
      <c r="E2768" s="3" t="s">
        <v>6275</v>
      </c>
      <c r="F2768" s="3"/>
      <c r="G2768" s="3"/>
      <c r="H2768" s="3"/>
      <c r="I2768" s="3"/>
      <c r="J2768" s="3">
        <v>0</v>
      </c>
      <c r="K2768" s="3">
        <v>0</v>
      </c>
      <c r="L2768" s="3">
        <v>0</v>
      </c>
      <c r="M2768" s="3">
        <v>0</v>
      </c>
      <c r="N2768" s="3">
        <v>0</v>
      </c>
      <c r="O2768" s="3"/>
      <c r="P2768" s="3">
        <v>0</v>
      </c>
      <c r="Q2768" s="3">
        <v>0</v>
      </c>
      <c r="R2768" s="3">
        <v>0</v>
      </c>
    </row>
    <row r="2769" spans="1:18">
      <c r="A2769" s="3" t="s">
        <v>10145</v>
      </c>
      <c r="B2769" s="3" t="s">
        <v>10146</v>
      </c>
      <c r="C2769" s="3" t="s">
        <v>10147</v>
      </c>
      <c r="D2769" s="3"/>
      <c r="E2769" s="3" t="s">
        <v>6275</v>
      </c>
      <c r="F2769" s="3"/>
      <c r="G2769" s="3"/>
      <c r="H2769" s="3"/>
      <c r="I2769" s="3"/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/>
      <c r="P2769" s="3">
        <v>0</v>
      </c>
      <c r="Q2769" s="3">
        <v>0</v>
      </c>
      <c r="R2769" s="3">
        <v>0</v>
      </c>
    </row>
    <row r="2770" spans="1:18">
      <c r="A2770" s="3" t="s">
        <v>10148</v>
      </c>
      <c r="B2770" s="3" t="s">
        <v>10149</v>
      </c>
      <c r="C2770" s="3" t="s">
        <v>10150</v>
      </c>
      <c r="D2770" s="3"/>
      <c r="E2770" s="3" t="s">
        <v>6275</v>
      </c>
      <c r="F2770" s="3"/>
      <c r="G2770" s="3"/>
      <c r="H2770" s="3"/>
      <c r="I2770" s="3"/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/>
      <c r="P2770" s="3">
        <v>0</v>
      </c>
      <c r="Q2770" s="3">
        <v>0</v>
      </c>
      <c r="R2770" s="3">
        <v>0</v>
      </c>
    </row>
    <row r="2771" spans="1:18">
      <c r="A2771" s="3" t="s">
        <v>10151</v>
      </c>
      <c r="B2771" s="3" t="s">
        <v>10152</v>
      </c>
      <c r="C2771" s="3" t="s">
        <v>10153</v>
      </c>
      <c r="D2771" s="3"/>
      <c r="E2771" s="3" t="s">
        <v>6275</v>
      </c>
      <c r="F2771" s="3"/>
      <c r="G2771" s="3"/>
      <c r="H2771" s="3"/>
      <c r="I2771" s="3"/>
      <c r="J2771" s="3">
        <v>0</v>
      </c>
      <c r="K2771" s="3">
        <v>0</v>
      </c>
      <c r="L2771" s="3">
        <v>0</v>
      </c>
      <c r="M2771" s="3">
        <v>0</v>
      </c>
      <c r="N2771" s="3">
        <v>0</v>
      </c>
      <c r="O2771" s="3"/>
      <c r="P2771" s="3">
        <v>0</v>
      </c>
      <c r="Q2771" s="3">
        <v>0</v>
      </c>
      <c r="R2771" s="3">
        <v>0</v>
      </c>
    </row>
    <row r="2772" spans="1:18">
      <c r="A2772" s="3" t="s">
        <v>10154</v>
      </c>
      <c r="B2772" s="3" t="s">
        <v>10155</v>
      </c>
      <c r="C2772" s="3" t="s">
        <v>10156</v>
      </c>
      <c r="D2772" s="3"/>
      <c r="E2772" s="3" t="s">
        <v>6275</v>
      </c>
      <c r="F2772" s="3"/>
      <c r="G2772" s="3"/>
      <c r="H2772" s="3"/>
      <c r="I2772" s="3"/>
      <c r="J2772" s="3">
        <v>0</v>
      </c>
      <c r="K2772" s="3">
        <v>0</v>
      </c>
      <c r="L2772" s="3">
        <v>0</v>
      </c>
      <c r="M2772" s="3">
        <v>0</v>
      </c>
      <c r="N2772" s="3">
        <v>0</v>
      </c>
      <c r="O2772" s="3"/>
      <c r="P2772" s="3">
        <v>0</v>
      </c>
      <c r="Q2772" s="3">
        <v>0</v>
      </c>
      <c r="R2772" s="3">
        <v>0</v>
      </c>
    </row>
    <row r="2773" spans="1:18">
      <c r="A2773" s="3" t="s">
        <v>10157</v>
      </c>
      <c r="B2773" s="3" t="s">
        <v>10158</v>
      </c>
      <c r="C2773" s="3" t="s">
        <v>10159</v>
      </c>
      <c r="D2773" s="3"/>
      <c r="E2773" s="3" t="s">
        <v>6275</v>
      </c>
      <c r="F2773" s="3"/>
      <c r="G2773" s="3"/>
      <c r="H2773" s="3"/>
      <c r="I2773" s="3"/>
      <c r="J2773" s="3">
        <v>0</v>
      </c>
      <c r="K2773" s="3">
        <v>0</v>
      </c>
      <c r="L2773" s="3">
        <v>0</v>
      </c>
      <c r="M2773" s="3">
        <v>0</v>
      </c>
      <c r="N2773" s="3">
        <v>0</v>
      </c>
      <c r="O2773" s="3"/>
      <c r="P2773" s="3">
        <v>0</v>
      </c>
      <c r="Q2773" s="3">
        <v>0</v>
      </c>
      <c r="R2773" s="3">
        <v>0</v>
      </c>
    </row>
    <row r="2774" spans="1:18">
      <c r="A2774" s="3" t="s">
        <v>10160</v>
      </c>
      <c r="B2774" s="3" t="s">
        <v>10161</v>
      </c>
      <c r="C2774" s="3" t="s">
        <v>10162</v>
      </c>
      <c r="D2774" s="3"/>
      <c r="E2774" s="3" t="s">
        <v>6275</v>
      </c>
      <c r="F2774" s="3"/>
      <c r="G2774" s="3"/>
      <c r="H2774" s="3"/>
      <c r="I2774" s="3"/>
      <c r="J2774" s="3">
        <v>0</v>
      </c>
      <c r="K2774" s="3">
        <v>0</v>
      </c>
      <c r="L2774" s="3">
        <v>0</v>
      </c>
      <c r="M2774" s="3">
        <v>0</v>
      </c>
      <c r="N2774" s="3">
        <v>0</v>
      </c>
      <c r="O2774" s="3"/>
      <c r="P2774" s="3">
        <v>0</v>
      </c>
      <c r="Q2774" s="3">
        <v>0</v>
      </c>
      <c r="R2774" s="3">
        <v>0</v>
      </c>
    </row>
    <row r="2775" spans="1:18">
      <c r="A2775" s="3" t="s">
        <v>10163</v>
      </c>
      <c r="B2775" s="3" t="s">
        <v>10164</v>
      </c>
      <c r="C2775" s="3" t="s">
        <v>10165</v>
      </c>
      <c r="D2775" s="3"/>
      <c r="E2775" s="3" t="s">
        <v>6275</v>
      </c>
      <c r="F2775" s="3"/>
      <c r="G2775" s="3"/>
      <c r="H2775" s="3"/>
      <c r="I2775" s="3"/>
      <c r="J2775" s="3">
        <v>0</v>
      </c>
      <c r="K2775" s="3">
        <v>0</v>
      </c>
      <c r="L2775" s="3">
        <v>0</v>
      </c>
      <c r="M2775" s="3">
        <v>0</v>
      </c>
      <c r="N2775" s="3">
        <v>0</v>
      </c>
      <c r="O2775" s="3"/>
      <c r="P2775" s="3">
        <v>0</v>
      </c>
      <c r="Q2775" s="3">
        <v>0</v>
      </c>
      <c r="R2775" s="3">
        <v>0</v>
      </c>
    </row>
    <row r="2776" spans="1:18">
      <c r="A2776" s="3" t="s">
        <v>10166</v>
      </c>
      <c r="B2776" s="3" t="s">
        <v>10167</v>
      </c>
      <c r="C2776" s="3" t="s">
        <v>10168</v>
      </c>
      <c r="D2776" s="3"/>
      <c r="E2776" s="3" t="s">
        <v>6275</v>
      </c>
      <c r="F2776" s="3"/>
      <c r="G2776" s="3"/>
      <c r="H2776" s="3"/>
      <c r="I2776" s="3"/>
      <c r="J2776" s="3">
        <v>0</v>
      </c>
      <c r="K2776" s="3">
        <v>0</v>
      </c>
      <c r="L2776" s="3">
        <v>0</v>
      </c>
      <c r="M2776" s="3">
        <v>0</v>
      </c>
      <c r="N2776" s="3">
        <v>0</v>
      </c>
      <c r="O2776" s="3"/>
      <c r="P2776" s="3">
        <v>0</v>
      </c>
      <c r="Q2776" s="3">
        <v>0</v>
      </c>
      <c r="R2776" s="3">
        <v>0</v>
      </c>
    </row>
    <row r="2777" spans="1:18">
      <c r="A2777" s="3" t="s">
        <v>10169</v>
      </c>
      <c r="B2777" s="3" t="s">
        <v>10170</v>
      </c>
      <c r="C2777" s="3" t="s">
        <v>10171</v>
      </c>
      <c r="D2777" s="3"/>
      <c r="E2777" s="3" t="s">
        <v>6275</v>
      </c>
      <c r="F2777" s="3"/>
      <c r="G2777" s="3"/>
      <c r="H2777" s="3"/>
      <c r="I2777" s="3"/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/>
      <c r="P2777" s="3">
        <v>0</v>
      </c>
      <c r="Q2777" s="3">
        <v>0</v>
      </c>
      <c r="R2777" s="3">
        <v>0</v>
      </c>
    </row>
    <row r="2778" spans="1:18">
      <c r="A2778" s="3" t="s">
        <v>10172</v>
      </c>
      <c r="B2778" s="3" t="s">
        <v>10173</v>
      </c>
      <c r="C2778" s="3" t="s">
        <v>10174</v>
      </c>
      <c r="D2778" s="3"/>
      <c r="E2778" s="3" t="s">
        <v>6275</v>
      </c>
      <c r="F2778" s="3"/>
      <c r="G2778" s="3"/>
      <c r="H2778" s="3"/>
      <c r="I2778" s="3"/>
      <c r="J2778" s="3">
        <v>0</v>
      </c>
      <c r="K2778" s="3">
        <v>0</v>
      </c>
      <c r="L2778" s="3">
        <v>0</v>
      </c>
      <c r="M2778" s="3">
        <v>0</v>
      </c>
      <c r="N2778" s="3">
        <v>0</v>
      </c>
      <c r="O2778" s="3"/>
      <c r="P2778" s="3">
        <v>0</v>
      </c>
      <c r="Q2778" s="3">
        <v>0</v>
      </c>
      <c r="R2778" s="3">
        <v>0</v>
      </c>
    </row>
    <row r="2779" spans="1:18">
      <c r="A2779" s="3" t="s">
        <v>10175</v>
      </c>
      <c r="B2779" s="3" t="s">
        <v>10176</v>
      </c>
      <c r="C2779" s="3" t="s">
        <v>10177</v>
      </c>
      <c r="D2779" s="3"/>
      <c r="E2779" s="3" t="s">
        <v>6275</v>
      </c>
      <c r="F2779" s="3"/>
      <c r="G2779" s="3"/>
      <c r="H2779" s="3"/>
      <c r="I2779" s="3"/>
      <c r="J2779" s="3">
        <v>0</v>
      </c>
      <c r="K2779" s="3">
        <v>0</v>
      </c>
      <c r="L2779" s="3">
        <v>0</v>
      </c>
      <c r="M2779" s="3">
        <v>0</v>
      </c>
      <c r="N2779" s="3">
        <v>0</v>
      </c>
      <c r="O2779" s="3"/>
      <c r="P2779" s="3">
        <v>0</v>
      </c>
      <c r="Q2779" s="3">
        <v>0</v>
      </c>
      <c r="R2779" s="3">
        <v>0</v>
      </c>
    </row>
    <row r="2780" spans="1:18">
      <c r="A2780" s="3" t="s">
        <v>10178</v>
      </c>
      <c r="B2780" s="3" t="s">
        <v>10179</v>
      </c>
      <c r="C2780" s="3" t="s">
        <v>5181</v>
      </c>
      <c r="D2780" s="3"/>
      <c r="E2780" s="3" t="s">
        <v>6275</v>
      </c>
      <c r="F2780" s="3"/>
      <c r="G2780" s="3"/>
      <c r="H2780" s="3"/>
      <c r="I2780" s="3"/>
      <c r="J2780" s="3">
        <v>0</v>
      </c>
      <c r="K2780" s="3">
        <v>0</v>
      </c>
      <c r="L2780" s="3">
        <v>0</v>
      </c>
      <c r="M2780" s="3">
        <v>0</v>
      </c>
      <c r="N2780" s="3">
        <v>0</v>
      </c>
      <c r="O2780" s="3"/>
      <c r="P2780" s="3">
        <v>0</v>
      </c>
      <c r="Q2780" s="3">
        <v>0</v>
      </c>
      <c r="R2780" s="3">
        <v>0</v>
      </c>
    </row>
    <row r="2781" spans="1:18">
      <c r="A2781" s="3" t="s">
        <v>10180</v>
      </c>
      <c r="B2781" s="3" t="s">
        <v>10181</v>
      </c>
      <c r="C2781" s="3" t="s">
        <v>10182</v>
      </c>
      <c r="D2781" s="3"/>
      <c r="E2781" s="3" t="s">
        <v>6275</v>
      </c>
      <c r="F2781" s="3"/>
      <c r="G2781" s="3"/>
      <c r="H2781" s="3"/>
      <c r="I2781" s="3"/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/>
      <c r="P2781" s="3">
        <v>0</v>
      </c>
      <c r="Q2781" s="3">
        <v>0</v>
      </c>
      <c r="R2781" s="3">
        <v>0</v>
      </c>
    </row>
    <row r="2782" spans="1:18">
      <c r="A2782" s="3" t="s">
        <v>10183</v>
      </c>
      <c r="B2782" s="3" t="s">
        <v>10184</v>
      </c>
      <c r="C2782" s="3" t="s">
        <v>10185</v>
      </c>
      <c r="D2782" s="3"/>
      <c r="E2782" s="3" t="s">
        <v>6275</v>
      </c>
      <c r="F2782" s="3"/>
      <c r="G2782" s="3"/>
      <c r="H2782" s="3"/>
      <c r="I2782" s="3"/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/>
      <c r="P2782" s="3">
        <v>0</v>
      </c>
      <c r="Q2782" s="3">
        <v>0</v>
      </c>
      <c r="R2782" s="3">
        <v>0</v>
      </c>
    </row>
    <row r="2783" spans="1:18">
      <c r="A2783" s="3" t="s">
        <v>10186</v>
      </c>
      <c r="B2783" s="3" t="s">
        <v>10187</v>
      </c>
      <c r="C2783" s="3" t="s">
        <v>10188</v>
      </c>
      <c r="D2783" s="3"/>
      <c r="E2783" s="3" t="s">
        <v>6275</v>
      </c>
      <c r="F2783" s="3"/>
      <c r="G2783" s="3"/>
      <c r="H2783" s="3"/>
      <c r="I2783" s="3"/>
      <c r="J2783" s="3">
        <v>0</v>
      </c>
      <c r="K2783" s="3">
        <v>0</v>
      </c>
      <c r="L2783" s="3">
        <v>0</v>
      </c>
      <c r="M2783" s="3">
        <v>0</v>
      </c>
      <c r="N2783" s="3">
        <v>0</v>
      </c>
      <c r="O2783" s="3"/>
      <c r="P2783" s="3">
        <v>0</v>
      </c>
      <c r="Q2783" s="3">
        <v>0</v>
      </c>
      <c r="R2783" s="3">
        <v>0</v>
      </c>
    </row>
    <row r="2784" spans="1:18">
      <c r="A2784" s="3" t="s">
        <v>10189</v>
      </c>
      <c r="B2784" s="3" t="s">
        <v>10190</v>
      </c>
      <c r="C2784" s="3" t="s">
        <v>10191</v>
      </c>
      <c r="D2784" s="3"/>
      <c r="E2784" s="3" t="s">
        <v>6275</v>
      </c>
      <c r="F2784" s="3"/>
      <c r="G2784" s="3"/>
      <c r="H2784" s="3"/>
      <c r="I2784" s="3"/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/>
      <c r="P2784" s="3">
        <v>0</v>
      </c>
      <c r="Q2784" s="3">
        <v>0</v>
      </c>
      <c r="R2784" s="3">
        <v>0</v>
      </c>
    </row>
    <row r="2785" spans="1:18">
      <c r="A2785" s="3" t="s">
        <v>10192</v>
      </c>
      <c r="B2785" s="3" t="s">
        <v>10193</v>
      </c>
      <c r="C2785" s="3" t="s">
        <v>10194</v>
      </c>
      <c r="D2785" s="3"/>
      <c r="E2785" s="3" t="s">
        <v>6275</v>
      </c>
      <c r="F2785" s="3"/>
      <c r="G2785" s="3"/>
      <c r="H2785" s="3"/>
      <c r="I2785" s="3"/>
      <c r="J2785" s="3">
        <v>0</v>
      </c>
      <c r="K2785" s="3">
        <v>0</v>
      </c>
      <c r="L2785" s="3">
        <v>0</v>
      </c>
      <c r="M2785" s="3">
        <v>0</v>
      </c>
      <c r="N2785" s="3">
        <v>0</v>
      </c>
      <c r="O2785" s="3"/>
      <c r="P2785" s="3">
        <v>0</v>
      </c>
      <c r="Q2785" s="3">
        <v>0</v>
      </c>
      <c r="R2785" s="3">
        <v>0</v>
      </c>
    </row>
    <row r="2786" spans="1:18">
      <c r="A2786" s="3" t="s">
        <v>10195</v>
      </c>
      <c r="B2786" s="3" t="s">
        <v>10196</v>
      </c>
      <c r="C2786" s="3" t="s">
        <v>10197</v>
      </c>
      <c r="D2786" s="3"/>
      <c r="E2786" s="3" t="s">
        <v>6275</v>
      </c>
      <c r="F2786" s="3"/>
      <c r="G2786" s="3"/>
      <c r="H2786" s="3"/>
      <c r="I2786" s="3"/>
      <c r="J2786" s="3">
        <v>0</v>
      </c>
      <c r="K2786" s="3">
        <v>0</v>
      </c>
      <c r="L2786" s="3">
        <v>0</v>
      </c>
      <c r="M2786" s="3">
        <v>0</v>
      </c>
      <c r="N2786" s="3">
        <v>0</v>
      </c>
      <c r="O2786" s="3"/>
      <c r="P2786" s="3">
        <v>0</v>
      </c>
      <c r="Q2786" s="3">
        <v>0</v>
      </c>
      <c r="R2786" s="3">
        <v>0</v>
      </c>
    </row>
    <row r="2787" spans="1:18">
      <c r="A2787" s="3" t="s">
        <v>10198</v>
      </c>
      <c r="B2787" s="3" t="s">
        <v>10199</v>
      </c>
      <c r="C2787" s="3" t="s">
        <v>10200</v>
      </c>
      <c r="D2787" s="3"/>
      <c r="E2787" s="3" t="s">
        <v>6275</v>
      </c>
      <c r="F2787" s="3"/>
      <c r="G2787" s="3"/>
      <c r="H2787" s="3"/>
      <c r="I2787" s="3"/>
      <c r="J2787" s="3">
        <v>0</v>
      </c>
      <c r="K2787" s="3">
        <v>0</v>
      </c>
      <c r="L2787" s="3">
        <v>0</v>
      </c>
      <c r="M2787" s="3">
        <v>0</v>
      </c>
      <c r="N2787" s="3">
        <v>0</v>
      </c>
      <c r="O2787" s="3"/>
      <c r="P2787" s="3">
        <v>0</v>
      </c>
      <c r="Q2787" s="3">
        <v>0</v>
      </c>
      <c r="R2787" s="3">
        <v>0</v>
      </c>
    </row>
    <row r="2788" spans="1:18">
      <c r="A2788" s="3" t="s">
        <v>10201</v>
      </c>
      <c r="B2788" s="3" t="s">
        <v>10202</v>
      </c>
      <c r="C2788" s="3" t="s">
        <v>10203</v>
      </c>
      <c r="D2788" s="3"/>
      <c r="E2788" s="3" t="s">
        <v>6275</v>
      </c>
      <c r="F2788" s="3"/>
      <c r="G2788" s="3"/>
      <c r="H2788" s="3"/>
      <c r="I2788" s="3"/>
      <c r="J2788" s="3">
        <v>0</v>
      </c>
      <c r="K2788" s="3">
        <v>0</v>
      </c>
      <c r="L2788" s="3">
        <v>0</v>
      </c>
      <c r="M2788" s="3">
        <v>0</v>
      </c>
      <c r="N2788" s="3">
        <v>0</v>
      </c>
      <c r="O2788" s="3"/>
      <c r="P2788" s="3">
        <v>0</v>
      </c>
      <c r="Q2788" s="3">
        <v>0</v>
      </c>
      <c r="R2788" s="3">
        <v>0</v>
      </c>
    </row>
    <row r="2789" spans="1:18">
      <c r="A2789" s="3" t="s">
        <v>10204</v>
      </c>
      <c r="B2789" s="3" t="s">
        <v>10205</v>
      </c>
      <c r="C2789" s="3" t="s">
        <v>10206</v>
      </c>
      <c r="D2789" s="3"/>
      <c r="E2789" s="3" t="s">
        <v>6275</v>
      </c>
      <c r="F2789" s="3"/>
      <c r="G2789" s="3"/>
      <c r="H2789" s="3"/>
      <c r="I2789" s="3"/>
      <c r="J2789" s="3">
        <v>0</v>
      </c>
      <c r="K2789" s="3">
        <v>0</v>
      </c>
      <c r="L2789" s="3">
        <v>0</v>
      </c>
      <c r="M2789" s="3">
        <v>0</v>
      </c>
      <c r="N2789" s="3">
        <v>0</v>
      </c>
      <c r="O2789" s="3"/>
      <c r="P2789" s="3">
        <v>0</v>
      </c>
      <c r="Q2789" s="3">
        <v>0</v>
      </c>
      <c r="R2789" s="3">
        <v>0</v>
      </c>
    </row>
    <row r="2790" spans="1:18">
      <c r="A2790" s="3" t="s">
        <v>10207</v>
      </c>
      <c r="B2790" s="3" t="s">
        <v>10208</v>
      </c>
      <c r="C2790" s="3" t="s">
        <v>10209</v>
      </c>
      <c r="D2790" s="3"/>
      <c r="E2790" s="3" t="s">
        <v>6275</v>
      </c>
      <c r="F2790" s="3"/>
      <c r="G2790" s="3"/>
      <c r="H2790" s="3"/>
      <c r="I2790" s="3"/>
      <c r="J2790" s="3">
        <v>0</v>
      </c>
      <c r="K2790" s="3">
        <v>0</v>
      </c>
      <c r="L2790" s="3">
        <v>0</v>
      </c>
      <c r="M2790" s="3">
        <v>0</v>
      </c>
      <c r="N2790" s="3">
        <v>0</v>
      </c>
      <c r="O2790" s="3"/>
      <c r="P2790" s="3">
        <v>0</v>
      </c>
      <c r="Q2790" s="3">
        <v>0</v>
      </c>
      <c r="R2790" s="3">
        <v>0</v>
      </c>
    </row>
    <row r="2791" spans="1:18">
      <c r="A2791" s="3" t="s">
        <v>10210</v>
      </c>
      <c r="B2791" s="3" t="s">
        <v>10211</v>
      </c>
      <c r="C2791" s="3" t="s">
        <v>10212</v>
      </c>
      <c r="D2791" s="3"/>
      <c r="E2791" s="3" t="s">
        <v>6275</v>
      </c>
      <c r="F2791" s="3"/>
      <c r="G2791" s="3"/>
      <c r="H2791" s="3"/>
      <c r="I2791" s="3"/>
      <c r="J2791" s="3">
        <v>0</v>
      </c>
      <c r="K2791" s="3">
        <v>0</v>
      </c>
      <c r="L2791" s="3">
        <v>0</v>
      </c>
      <c r="M2791" s="3">
        <v>0</v>
      </c>
      <c r="N2791" s="3">
        <v>0</v>
      </c>
      <c r="O2791" s="3"/>
      <c r="P2791" s="3">
        <v>0</v>
      </c>
      <c r="Q2791" s="3">
        <v>0</v>
      </c>
      <c r="R2791" s="3">
        <v>0</v>
      </c>
    </row>
    <row r="2792" spans="1:18">
      <c r="A2792" s="3" t="s">
        <v>10213</v>
      </c>
      <c r="B2792" s="3" t="s">
        <v>10214</v>
      </c>
      <c r="C2792" s="3" t="s">
        <v>10215</v>
      </c>
      <c r="D2792" s="3"/>
      <c r="E2792" s="3" t="s">
        <v>6275</v>
      </c>
      <c r="F2792" s="3"/>
      <c r="G2792" s="3"/>
      <c r="H2792" s="3"/>
      <c r="I2792" s="3"/>
      <c r="J2792" s="3">
        <v>0</v>
      </c>
      <c r="K2792" s="3">
        <v>0</v>
      </c>
      <c r="L2792" s="3">
        <v>0</v>
      </c>
      <c r="M2792" s="3">
        <v>0</v>
      </c>
      <c r="N2792" s="3">
        <v>0</v>
      </c>
      <c r="O2792" s="3"/>
      <c r="P2792" s="3">
        <v>0</v>
      </c>
      <c r="Q2792" s="3">
        <v>0</v>
      </c>
      <c r="R2792" s="3">
        <v>0</v>
      </c>
    </row>
    <row r="2793" spans="1:18">
      <c r="A2793" s="3" t="s">
        <v>10216</v>
      </c>
      <c r="B2793" s="3" t="s">
        <v>10217</v>
      </c>
      <c r="C2793" s="3" t="s">
        <v>10218</v>
      </c>
      <c r="D2793" s="3"/>
      <c r="E2793" s="3" t="s">
        <v>6275</v>
      </c>
      <c r="F2793" s="3"/>
      <c r="G2793" s="3"/>
      <c r="H2793" s="3"/>
      <c r="I2793" s="3"/>
      <c r="J2793" s="3">
        <v>0</v>
      </c>
      <c r="K2793" s="3">
        <v>0</v>
      </c>
      <c r="L2793" s="3">
        <v>0</v>
      </c>
      <c r="M2793" s="3">
        <v>0</v>
      </c>
      <c r="N2793" s="3">
        <v>0</v>
      </c>
      <c r="O2793" s="3"/>
      <c r="P2793" s="3">
        <v>0</v>
      </c>
      <c r="Q2793" s="3">
        <v>0</v>
      </c>
      <c r="R2793" s="3">
        <v>0</v>
      </c>
    </row>
    <row r="2794" spans="1:18">
      <c r="A2794" s="3" t="s">
        <v>10219</v>
      </c>
      <c r="B2794" s="3" t="s">
        <v>10220</v>
      </c>
      <c r="C2794" s="3" t="s">
        <v>10221</v>
      </c>
      <c r="D2794" s="3"/>
      <c r="E2794" s="3" t="s">
        <v>6275</v>
      </c>
      <c r="F2794" s="3"/>
      <c r="G2794" s="3"/>
      <c r="H2794" s="3"/>
      <c r="I2794" s="3"/>
      <c r="J2794" s="3">
        <v>0</v>
      </c>
      <c r="K2794" s="3">
        <v>0</v>
      </c>
      <c r="L2794" s="3">
        <v>0</v>
      </c>
      <c r="M2794" s="3">
        <v>0</v>
      </c>
      <c r="N2794" s="3">
        <v>0</v>
      </c>
      <c r="O2794" s="3"/>
      <c r="P2794" s="3">
        <v>0</v>
      </c>
      <c r="Q2794" s="3">
        <v>0</v>
      </c>
      <c r="R2794" s="3">
        <v>0</v>
      </c>
    </row>
    <row r="2795" spans="1:18">
      <c r="A2795" s="3" t="s">
        <v>10222</v>
      </c>
      <c r="B2795" s="3" t="s">
        <v>10223</v>
      </c>
      <c r="C2795" s="3" t="s">
        <v>10224</v>
      </c>
      <c r="D2795" s="3"/>
      <c r="E2795" s="3" t="s">
        <v>6275</v>
      </c>
      <c r="F2795" s="3"/>
      <c r="G2795" s="3"/>
      <c r="H2795" s="3"/>
      <c r="I2795" s="3"/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/>
      <c r="P2795" s="3">
        <v>0</v>
      </c>
      <c r="Q2795" s="3">
        <v>0</v>
      </c>
      <c r="R2795" s="3">
        <v>0</v>
      </c>
    </row>
    <row r="2796" spans="1:18">
      <c r="A2796" s="3" t="s">
        <v>10225</v>
      </c>
      <c r="B2796" s="3" t="s">
        <v>10226</v>
      </c>
      <c r="C2796" s="3" t="s">
        <v>10227</v>
      </c>
      <c r="D2796" s="3"/>
      <c r="E2796" s="3" t="s">
        <v>6275</v>
      </c>
      <c r="F2796" s="3"/>
      <c r="G2796" s="3"/>
      <c r="H2796" s="3"/>
      <c r="I2796" s="3"/>
      <c r="J2796" s="3">
        <v>0</v>
      </c>
      <c r="K2796" s="3">
        <v>0</v>
      </c>
      <c r="L2796" s="3">
        <v>0</v>
      </c>
      <c r="M2796" s="3">
        <v>0</v>
      </c>
      <c r="N2796" s="3">
        <v>0</v>
      </c>
      <c r="O2796" s="3"/>
      <c r="P2796" s="3">
        <v>0</v>
      </c>
      <c r="Q2796" s="3">
        <v>0</v>
      </c>
      <c r="R2796" s="3">
        <v>0</v>
      </c>
    </row>
    <row r="2797" spans="1:18">
      <c r="A2797" s="3" t="s">
        <v>10228</v>
      </c>
      <c r="B2797" s="3" t="s">
        <v>10229</v>
      </c>
      <c r="C2797" s="3" t="s">
        <v>10230</v>
      </c>
      <c r="D2797" s="3"/>
      <c r="E2797" s="3" t="s">
        <v>6275</v>
      </c>
      <c r="F2797" s="3"/>
      <c r="G2797" s="3"/>
      <c r="H2797" s="3"/>
      <c r="I2797" s="3"/>
      <c r="J2797" s="3">
        <v>0</v>
      </c>
      <c r="K2797" s="3">
        <v>0</v>
      </c>
      <c r="L2797" s="3">
        <v>0</v>
      </c>
      <c r="M2797" s="3">
        <v>0</v>
      </c>
      <c r="N2797" s="3">
        <v>0</v>
      </c>
      <c r="O2797" s="3"/>
      <c r="P2797" s="3">
        <v>0</v>
      </c>
      <c r="Q2797" s="3">
        <v>0</v>
      </c>
      <c r="R2797" s="3">
        <v>0</v>
      </c>
    </row>
    <row r="2798" spans="1:18">
      <c r="A2798" s="3" t="s">
        <v>10231</v>
      </c>
      <c r="B2798" s="3" t="s">
        <v>10232</v>
      </c>
      <c r="C2798" s="3" t="s">
        <v>10233</v>
      </c>
      <c r="D2798" s="3"/>
      <c r="E2798" s="3" t="s">
        <v>6275</v>
      </c>
      <c r="F2798" s="3"/>
      <c r="G2798" s="3"/>
      <c r="H2798" s="3"/>
      <c r="I2798" s="3"/>
      <c r="J2798" s="3">
        <v>0</v>
      </c>
      <c r="K2798" s="3">
        <v>0</v>
      </c>
      <c r="L2798" s="3">
        <v>0</v>
      </c>
      <c r="M2798" s="3">
        <v>0</v>
      </c>
      <c r="N2798" s="3">
        <v>0</v>
      </c>
      <c r="O2798" s="3"/>
      <c r="P2798" s="3">
        <v>0</v>
      </c>
      <c r="Q2798" s="3">
        <v>0</v>
      </c>
      <c r="R2798" s="3">
        <v>0</v>
      </c>
    </row>
    <row r="2799" spans="1:18">
      <c r="A2799" s="3" t="s">
        <v>10234</v>
      </c>
      <c r="B2799" s="3" t="s">
        <v>10235</v>
      </c>
      <c r="C2799" s="3" t="s">
        <v>10236</v>
      </c>
      <c r="D2799" s="3"/>
      <c r="E2799" s="3" t="s">
        <v>6275</v>
      </c>
      <c r="F2799" s="3"/>
      <c r="G2799" s="3"/>
      <c r="H2799" s="3"/>
      <c r="I2799" s="3"/>
      <c r="J2799" s="3">
        <v>0</v>
      </c>
      <c r="K2799" s="3">
        <v>0</v>
      </c>
      <c r="L2799" s="3">
        <v>0</v>
      </c>
      <c r="M2799" s="3">
        <v>0</v>
      </c>
      <c r="N2799" s="3">
        <v>0</v>
      </c>
      <c r="O2799" s="3"/>
      <c r="P2799" s="3">
        <v>0</v>
      </c>
      <c r="Q2799" s="3">
        <v>0</v>
      </c>
      <c r="R2799" s="3">
        <v>0</v>
      </c>
    </row>
    <row r="2800" spans="1:18">
      <c r="A2800" s="3" t="s">
        <v>10237</v>
      </c>
      <c r="B2800" s="3" t="s">
        <v>10238</v>
      </c>
      <c r="C2800" s="3" t="s">
        <v>10239</v>
      </c>
      <c r="D2800" s="3"/>
      <c r="E2800" s="3" t="s">
        <v>6275</v>
      </c>
      <c r="F2800" s="3"/>
      <c r="G2800" s="3"/>
      <c r="H2800" s="3"/>
      <c r="I2800" s="3"/>
      <c r="J2800" s="3">
        <v>0</v>
      </c>
      <c r="K2800" s="3">
        <v>0</v>
      </c>
      <c r="L2800" s="3">
        <v>0</v>
      </c>
      <c r="M2800" s="3">
        <v>0</v>
      </c>
      <c r="N2800" s="3">
        <v>0</v>
      </c>
      <c r="O2800" s="3"/>
      <c r="P2800" s="3">
        <v>0</v>
      </c>
      <c r="Q2800" s="3">
        <v>0</v>
      </c>
      <c r="R2800" s="3">
        <v>0</v>
      </c>
    </row>
    <row r="2801" spans="1:18">
      <c r="A2801" s="3" t="s">
        <v>10240</v>
      </c>
      <c r="B2801" s="3" t="s">
        <v>10241</v>
      </c>
      <c r="C2801" s="3" t="s">
        <v>10242</v>
      </c>
      <c r="D2801" s="3"/>
      <c r="E2801" s="3" t="s">
        <v>6275</v>
      </c>
      <c r="F2801" s="3"/>
      <c r="G2801" s="3"/>
      <c r="H2801" s="3"/>
      <c r="I2801" s="3"/>
      <c r="J2801" s="3">
        <v>0</v>
      </c>
      <c r="K2801" s="3">
        <v>0</v>
      </c>
      <c r="L2801" s="3">
        <v>0</v>
      </c>
      <c r="M2801" s="3">
        <v>0</v>
      </c>
      <c r="N2801" s="3">
        <v>0</v>
      </c>
      <c r="O2801" s="3"/>
      <c r="P2801" s="3">
        <v>0</v>
      </c>
      <c r="Q2801" s="3">
        <v>0</v>
      </c>
      <c r="R2801" s="3">
        <v>0</v>
      </c>
    </row>
    <row r="2802" spans="1:18">
      <c r="A2802" s="3" t="s">
        <v>10243</v>
      </c>
      <c r="B2802" s="3" t="s">
        <v>10244</v>
      </c>
      <c r="C2802" s="3" t="s">
        <v>10245</v>
      </c>
      <c r="D2802" s="3"/>
      <c r="E2802" s="3" t="s">
        <v>6275</v>
      </c>
      <c r="F2802" s="3"/>
      <c r="G2802" s="3"/>
      <c r="H2802" s="3"/>
      <c r="I2802" s="3"/>
      <c r="J2802" s="3">
        <v>0</v>
      </c>
      <c r="K2802" s="3">
        <v>0</v>
      </c>
      <c r="L2802" s="3">
        <v>0</v>
      </c>
      <c r="M2802" s="3">
        <v>0</v>
      </c>
      <c r="N2802" s="3">
        <v>0</v>
      </c>
      <c r="O2802" s="3"/>
      <c r="P2802" s="3">
        <v>0</v>
      </c>
      <c r="Q2802" s="3">
        <v>0</v>
      </c>
      <c r="R2802" s="3">
        <v>0</v>
      </c>
    </row>
    <row r="2803" spans="1:18">
      <c r="A2803" s="3" t="s">
        <v>10246</v>
      </c>
      <c r="B2803" s="3" t="s">
        <v>10247</v>
      </c>
      <c r="C2803" s="3" t="s">
        <v>10248</v>
      </c>
      <c r="D2803" s="3"/>
      <c r="E2803" s="3" t="s">
        <v>6275</v>
      </c>
      <c r="F2803" s="3"/>
      <c r="G2803" s="3"/>
      <c r="H2803" s="3"/>
      <c r="I2803" s="3"/>
      <c r="J2803" s="3">
        <v>0</v>
      </c>
      <c r="K2803" s="3">
        <v>0</v>
      </c>
      <c r="L2803" s="3">
        <v>0</v>
      </c>
      <c r="M2803" s="3">
        <v>0</v>
      </c>
      <c r="N2803" s="3">
        <v>0</v>
      </c>
      <c r="O2803" s="3"/>
      <c r="P2803" s="3">
        <v>0</v>
      </c>
      <c r="Q2803" s="3">
        <v>0</v>
      </c>
      <c r="R2803" s="3">
        <v>0</v>
      </c>
    </row>
    <row r="2804" spans="1:18">
      <c r="A2804" s="3" t="s">
        <v>10249</v>
      </c>
      <c r="B2804" s="3" t="s">
        <v>10250</v>
      </c>
      <c r="C2804" s="3" t="s">
        <v>10251</v>
      </c>
      <c r="D2804" s="3"/>
      <c r="E2804" s="3" t="s">
        <v>6275</v>
      </c>
      <c r="F2804" s="3"/>
      <c r="G2804" s="3"/>
      <c r="H2804" s="3"/>
      <c r="I2804" s="3"/>
      <c r="J2804" s="3">
        <v>0</v>
      </c>
      <c r="K2804" s="3">
        <v>0</v>
      </c>
      <c r="L2804" s="3">
        <v>0</v>
      </c>
      <c r="M2804" s="3">
        <v>0</v>
      </c>
      <c r="N2804" s="3">
        <v>0</v>
      </c>
      <c r="O2804" s="3"/>
      <c r="P2804" s="3">
        <v>0</v>
      </c>
      <c r="Q2804" s="3">
        <v>0</v>
      </c>
      <c r="R2804" s="3">
        <v>0</v>
      </c>
    </row>
    <row r="2805" spans="1:18">
      <c r="A2805" s="3" t="s">
        <v>10252</v>
      </c>
      <c r="B2805" s="3" t="s">
        <v>10253</v>
      </c>
      <c r="C2805" s="3" t="s">
        <v>1425</v>
      </c>
      <c r="D2805" s="3"/>
      <c r="E2805" s="3" t="s">
        <v>6275</v>
      </c>
      <c r="F2805" s="3"/>
      <c r="G2805" s="3"/>
      <c r="H2805" s="3"/>
      <c r="I2805" s="3"/>
      <c r="J2805" s="3">
        <v>0</v>
      </c>
      <c r="K2805" s="3">
        <v>0</v>
      </c>
      <c r="L2805" s="3">
        <v>0</v>
      </c>
      <c r="M2805" s="3">
        <v>0</v>
      </c>
      <c r="N2805" s="3">
        <v>0</v>
      </c>
      <c r="O2805" s="3"/>
      <c r="P2805" s="3">
        <v>0</v>
      </c>
      <c r="Q2805" s="3">
        <v>0</v>
      </c>
      <c r="R2805" s="3">
        <v>0</v>
      </c>
    </row>
    <row r="2806" spans="1:18">
      <c r="A2806" s="3" t="s">
        <v>10254</v>
      </c>
      <c r="B2806" s="3" t="s">
        <v>10255</v>
      </c>
      <c r="C2806" s="3" t="s">
        <v>10256</v>
      </c>
      <c r="D2806" s="3"/>
      <c r="E2806" s="3" t="s">
        <v>6275</v>
      </c>
      <c r="F2806" s="3"/>
      <c r="G2806" s="3"/>
      <c r="H2806" s="3"/>
      <c r="I2806" s="3"/>
      <c r="J2806" s="3">
        <v>0</v>
      </c>
      <c r="K2806" s="3">
        <v>0</v>
      </c>
      <c r="L2806" s="3">
        <v>0</v>
      </c>
      <c r="M2806" s="3">
        <v>0</v>
      </c>
      <c r="N2806" s="3">
        <v>0</v>
      </c>
      <c r="O2806" s="3"/>
      <c r="P2806" s="3">
        <v>0</v>
      </c>
      <c r="Q2806" s="3">
        <v>0</v>
      </c>
      <c r="R2806" s="3">
        <v>0</v>
      </c>
    </row>
    <row r="2807" spans="1:18">
      <c r="A2807" s="3" t="s">
        <v>10257</v>
      </c>
      <c r="B2807" s="3" t="s">
        <v>10258</v>
      </c>
      <c r="C2807" s="3" t="s">
        <v>10259</v>
      </c>
      <c r="D2807" s="3"/>
      <c r="E2807" s="3" t="s">
        <v>6275</v>
      </c>
      <c r="F2807" s="3"/>
      <c r="G2807" s="3"/>
      <c r="H2807" s="3"/>
      <c r="I2807" s="3"/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/>
      <c r="P2807" s="3">
        <v>0</v>
      </c>
      <c r="Q2807" s="3">
        <v>0</v>
      </c>
      <c r="R2807" s="3">
        <v>0</v>
      </c>
    </row>
    <row r="2808" spans="1:18">
      <c r="A2808" s="3" t="s">
        <v>10260</v>
      </c>
      <c r="B2808" s="3" t="s">
        <v>10261</v>
      </c>
      <c r="C2808" s="3" t="s">
        <v>10262</v>
      </c>
      <c r="D2808" s="3"/>
      <c r="E2808" s="3" t="s">
        <v>6275</v>
      </c>
      <c r="F2808" s="3"/>
      <c r="G2808" s="3"/>
      <c r="H2808" s="3"/>
      <c r="I2808" s="3"/>
      <c r="J2808" s="3">
        <v>0</v>
      </c>
      <c r="K2808" s="3">
        <v>0</v>
      </c>
      <c r="L2808" s="3">
        <v>0</v>
      </c>
      <c r="M2808" s="3">
        <v>0</v>
      </c>
      <c r="N2808" s="3">
        <v>0</v>
      </c>
      <c r="O2808" s="3"/>
      <c r="P2808" s="3">
        <v>0</v>
      </c>
      <c r="Q2808" s="3">
        <v>0</v>
      </c>
      <c r="R2808" s="3">
        <v>0</v>
      </c>
    </row>
    <row r="2809" spans="1:18">
      <c r="A2809" s="3" t="s">
        <v>10263</v>
      </c>
      <c r="B2809" s="3" t="s">
        <v>10264</v>
      </c>
      <c r="C2809" s="3" t="s">
        <v>10265</v>
      </c>
      <c r="D2809" s="3"/>
      <c r="E2809" s="3" t="s">
        <v>6275</v>
      </c>
      <c r="F2809" s="3"/>
      <c r="G2809" s="3"/>
      <c r="H2809" s="3"/>
      <c r="I2809" s="3"/>
      <c r="J2809" s="3">
        <v>0</v>
      </c>
      <c r="K2809" s="3">
        <v>0</v>
      </c>
      <c r="L2809" s="3">
        <v>0</v>
      </c>
      <c r="M2809" s="3">
        <v>0</v>
      </c>
      <c r="N2809" s="3">
        <v>0</v>
      </c>
      <c r="O2809" s="3"/>
      <c r="P2809" s="3">
        <v>0</v>
      </c>
      <c r="Q2809" s="3">
        <v>0</v>
      </c>
      <c r="R2809" s="3">
        <v>0</v>
      </c>
    </row>
    <row r="2810" spans="1:18">
      <c r="A2810" s="3" t="s">
        <v>10266</v>
      </c>
      <c r="B2810" s="3" t="s">
        <v>10267</v>
      </c>
      <c r="C2810" s="3" t="s">
        <v>10268</v>
      </c>
      <c r="D2810" s="3"/>
      <c r="E2810" s="3" t="s">
        <v>6275</v>
      </c>
      <c r="F2810" s="3"/>
      <c r="G2810" s="3"/>
      <c r="H2810" s="3"/>
      <c r="I2810" s="3"/>
      <c r="J2810" s="3">
        <v>0</v>
      </c>
      <c r="K2810" s="3">
        <v>0</v>
      </c>
      <c r="L2810" s="3">
        <v>0</v>
      </c>
      <c r="M2810" s="3">
        <v>0</v>
      </c>
      <c r="N2810" s="3">
        <v>0</v>
      </c>
      <c r="O2810" s="3"/>
      <c r="P2810" s="3">
        <v>0</v>
      </c>
      <c r="Q2810" s="3">
        <v>0</v>
      </c>
      <c r="R2810" s="3">
        <v>0</v>
      </c>
    </row>
    <row r="2811" spans="1:18">
      <c r="A2811" s="3" t="s">
        <v>10269</v>
      </c>
      <c r="B2811" s="3" t="s">
        <v>10270</v>
      </c>
      <c r="C2811" s="3" t="s">
        <v>10271</v>
      </c>
      <c r="D2811" s="3"/>
      <c r="E2811" s="3" t="s">
        <v>6275</v>
      </c>
      <c r="F2811" s="3"/>
      <c r="G2811" s="3"/>
      <c r="H2811" s="3"/>
      <c r="I2811" s="3"/>
      <c r="J2811" s="3">
        <v>0</v>
      </c>
      <c r="K2811" s="3">
        <v>0</v>
      </c>
      <c r="L2811" s="3">
        <v>0</v>
      </c>
      <c r="M2811" s="3">
        <v>0</v>
      </c>
      <c r="N2811" s="3">
        <v>0</v>
      </c>
      <c r="O2811" s="3"/>
      <c r="P2811" s="3">
        <v>0</v>
      </c>
      <c r="Q2811" s="3">
        <v>0</v>
      </c>
      <c r="R2811" s="3">
        <v>0</v>
      </c>
    </row>
    <row r="2812" spans="1:18">
      <c r="A2812" s="3" t="s">
        <v>10272</v>
      </c>
      <c r="B2812" s="3" t="s">
        <v>10273</v>
      </c>
      <c r="C2812" s="3" t="s">
        <v>10274</v>
      </c>
      <c r="D2812" s="3"/>
      <c r="E2812" s="3" t="s">
        <v>6275</v>
      </c>
      <c r="F2812" s="3"/>
      <c r="G2812" s="3"/>
      <c r="H2812" s="3"/>
      <c r="I2812" s="3"/>
      <c r="J2812" s="3">
        <v>0</v>
      </c>
      <c r="K2812" s="3">
        <v>0</v>
      </c>
      <c r="L2812" s="3">
        <v>0</v>
      </c>
      <c r="M2812" s="3">
        <v>0</v>
      </c>
      <c r="N2812" s="3">
        <v>0</v>
      </c>
      <c r="O2812" s="3"/>
      <c r="P2812" s="3">
        <v>0</v>
      </c>
      <c r="Q2812" s="3">
        <v>0</v>
      </c>
      <c r="R2812" s="3">
        <v>0</v>
      </c>
    </row>
    <row r="2813" spans="1:18">
      <c r="A2813" s="3" t="s">
        <v>10275</v>
      </c>
      <c r="B2813" s="3" t="s">
        <v>10276</v>
      </c>
      <c r="C2813" s="3" t="s">
        <v>10277</v>
      </c>
      <c r="D2813" s="3"/>
      <c r="E2813" s="3" t="s">
        <v>6275</v>
      </c>
      <c r="F2813" s="3"/>
      <c r="G2813" s="3"/>
      <c r="H2813" s="3"/>
      <c r="I2813" s="3"/>
      <c r="J2813" s="3">
        <v>0</v>
      </c>
      <c r="K2813" s="3">
        <v>0</v>
      </c>
      <c r="L2813" s="3">
        <v>0</v>
      </c>
      <c r="M2813" s="3">
        <v>0</v>
      </c>
      <c r="N2813" s="3">
        <v>0</v>
      </c>
      <c r="O2813" s="3"/>
      <c r="P2813" s="3">
        <v>0</v>
      </c>
      <c r="Q2813" s="3">
        <v>0</v>
      </c>
      <c r="R2813" s="3">
        <v>0</v>
      </c>
    </row>
    <row r="2814" spans="1:18">
      <c r="A2814" s="3" t="s">
        <v>10278</v>
      </c>
      <c r="B2814" s="3" t="s">
        <v>10279</v>
      </c>
      <c r="C2814" s="3" t="s">
        <v>5769</v>
      </c>
      <c r="D2814" s="3"/>
      <c r="E2814" s="3" t="s">
        <v>6275</v>
      </c>
      <c r="F2814" s="3"/>
      <c r="G2814" s="3"/>
      <c r="H2814" s="3"/>
      <c r="I2814" s="3"/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/>
      <c r="P2814" s="3">
        <v>0</v>
      </c>
      <c r="Q2814" s="3">
        <v>0</v>
      </c>
      <c r="R2814" s="3">
        <v>0</v>
      </c>
    </row>
    <row r="2815" spans="1:18">
      <c r="A2815" s="3" t="s">
        <v>10280</v>
      </c>
      <c r="B2815" s="3" t="s">
        <v>10281</v>
      </c>
      <c r="C2815" s="3" t="s">
        <v>10282</v>
      </c>
      <c r="D2815" s="3"/>
      <c r="E2815" s="3" t="s">
        <v>6275</v>
      </c>
      <c r="F2815" s="3"/>
      <c r="G2815" s="3"/>
      <c r="H2815" s="3"/>
      <c r="I2815" s="3"/>
      <c r="J2815" s="3">
        <v>0</v>
      </c>
      <c r="K2815" s="3">
        <v>0</v>
      </c>
      <c r="L2815" s="3">
        <v>0</v>
      </c>
      <c r="M2815" s="3">
        <v>0</v>
      </c>
      <c r="N2815" s="3">
        <v>0</v>
      </c>
      <c r="O2815" s="3"/>
      <c r="P2815" s="3">
        <v>0</v>
      </c>
      <c r="Q2815" s="3">
        <v>0</v>
      </c>
      <c r="R2815" s="3">
        <v>0</v>
      </c>
    </row>
    <row r="2816" spans="1:18">
      <c r="A2816" s="3" t="s">
        <v>10283</v>
      </c>
      <c r="B2816" s="3" t="s">
        <v>10284</v>
      </c>
      <c r="C2816" s="3" t="s">
        <v>10285</v>
      </c>
      <c r="D2816" s="3"/>
      <c r="E2816" s="3" t="s">
        <v>6275</v>
      </c>
      <c r="F2816" s="3"/>
      <c r="G2816" s="3"/>
      <c r="H2816" s="3"/>
      <c r="I2816" s="3"/>
      <c r="J2816" s="3">
        <v>0</v>
      </c>
      <c r="K2816" s="3">
        <v>0</v>
      </c>
      <c r="L2816" s="3">
        <v>0</v>
      </c>
      <c r="M2816" s="3">
        <v>0</v>
      </c>
      <c r="N2816" s="3">
        <v>0</v>
      </c>
      <c r="O2816" s="3"/>
      <c r="P2816" s="3">
        <v>0</v>
      </c>
      <c r="Q2816" s="3">
        <v>0</v>
      </c>
      <c r="R2816" s="3">
        <v>0</v>
      </c>
    </row>
    <row r="2817" spans="1:18">
      <c r="A2817" s="3" t="s">
        <v>10286</v>
      </c>
      <c r="B2817" s="3" t="s">
        <v>10287</v>
      </c>
      <c r="C2817" s="3" t="s">
        <v>10288</v>
      </c>
      <c r="D2817" s="3"/>
      <c r="E2817" s="3" t="s">
        <v>6275</v>
      </c>
      <c r="F2817" s="3"/>
      <c r="G2817" s="3"/>
      <c r="H2817" s="3"/>
      <c r="I2817" s="3"/>
      <c r="J2817" s="3">
        <v>0</v>
      </c>
      <c r="K2817" s="3">
        <v>0</v>
      </c>
      <c r="L2817" s="3">
        <v>0</v>
      </c>
      <c r="M2817" s="3">
        <v>0</v>
      </c>
      <c r="N2817" s="3">
        <v>0</v>
      </c>
      <c r="O2817" s="3"/>
      <c r="P2817" s="3">
        <v>0</v>
      </c>
      <c r="Q2817" s="3">
        <v>0</v>
      </c>
      <c r="R2817" s="3">
        <v>0</v>
      </c>
    </row>
    <row r="2818" spans="1:18">
      <c r="A2818" s="3" t="s">
        <v>10289</v>
      </c>
      <c r="B2818" s="3" t="s">
        <v>10290</v>
      </c>
      <c r="C2818" s="3" t="s">
        <v>10291</v>
      </c>
      <c r="D2818" s="3"/>
      <c r="E2818" s="3" t="s">
        <v>6275</v>
      </c>
      <c r="F2818" s="3"/>
      <c r="G2818" s="3"/>
      <c r="H2818" s="3"/>
      <c r="I2818" s="3"/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/>
      <c r="P2818" s="3">
        <v>0</v>
      </c>
      <c r="Q2818" s="3">
        <v>0</v>
      </c>
      <c r="R2818" s="3">
        <v>0</v>
      </c>
    </row>
    <row r="2819" spans="1:18">
      <c r="A2819" s="3" t="s">
        <v>10292</v>
      </c>
      <c r="B2819" s="3" t="s">
        <v>10293</v>
      </c>
      <c r="C2819" s="3" t="s">
        <v>10294</v>
      </c>
      <c r="D2819" s="3"/>
      <c r="E2819" s="3" t="s">
        <v>6275</v>
      </c>
      <c r="F2819" s="3"/>
      <c r="G2819" s="3"/>
      <c r="H2819" s="3"/>
      <c r="I2819" s="3"/>
      <c r="J2819" s="3">
        <v>0</v>
      </c>
      <c r="K2819" s="3">
        <v>0</v>
      </c>
      <c r="L2819" s="3">
        <v>0</v>
      </c>
      <c r="M2819" s="3">
        <v>0</v>
      </c>
      <c r="N2819" s="3">
        <v>0</v>
      </c>
      <c r="O2819" s="3"/>
      <c r="P2819" s="3">
        <v>0</v>
      </c>
      <c r="Q2819" s="3">
        <v>0</v>
      </c>
      <c r="R2819" s="3">
        <v>0</v>
      </c>
    </row>
    <row r="2820" spans="1:18">
      <c r="A2820" s="3" t="s">
        <v>10295</v>
      </c>
      <c r="B2820" s="3" t="s">
        <v>10296</v>
      </c>
      <c r="C2820" s="3" t="s">
        <v>10297</v>
      </c>
      <c r="D2820" s="3"/>
      <c r="E2820" s="3" t="s">
        <v>6275</v>
      </c>
      <c r="F2820" s="3"/>
      <c r="G2820" s="3"/>
      <c r="H2820" s="3"/>
      <c r="I2820" s="3"/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/>
      <c r="P2820" s="3">
        <v>0</v>
      </c>
      <c r="Q2820" s="3">
        <v>0</v>
      </c>
      <c r="R2820" s="3">
        <v>0</v>
      </c>
    </row>
    <row r="2821" spans="1:18">
      <c r="A2821" s="3" t="s">
        <v>10298</v>
      </c>
      <c r="B2821" s="3" t="s">
        <v>10299</v>
      </c>
      <c r="C2821" s="3" t="s">
        <v>10300</v>
      </c>
      <c r="D2821" s="3"/>
      <c r="E2821" s="3" t="s">
        <v>6275</v>
      </c>
      <c r="F2821" s="3"/>
      <c r="G2821" s="3"/>
      <c r="H2821" s="3"/>
      <c r="I2821" s="3"/>
      <c r="J2821" s="3">
        <v>0</v>
      </c>
      <c r="K2821" s="3">
        <v>0</v>
      </c>
      <c r="L2821" s="3">
        <v>0</v>
      </c>
      <c r="M2821" s="3">
        <v>0</v>
      </c>
      <c r="N2821" s="3">
        <v>0</v>
      </c>
      <c r="O2821" s="3"/>
      <c r="P2821" s="3">
        <v>0</v>
      </c>
      <c r="Q2821" s="3">
        <v>0</v>
      </c>
      <c r="R2821" s="3">
        <v>0</v>
      </c>
    </row>
    <row r="2822" spans="1:18">
      <c r="A2822" s="3" t="s">
        <v>10301</v>
      </c>
      <c r="B2822" s="3" t="s">
        <v>10302</v>
      </c>
      <c r="C2822" s="3" t="s">
        <v>10303</v>
      </c>
      <c r="D2822" s="3"/>
      <c r="E2822" s="3" t="s">
        <v>6275</v>
      </c>
      <c r="F2822" s="3"/>
      <c r="G2822" s="3"/>
      <c r="H2822" s="3"/>
      <c r="I2822" s="3"/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/>
      <c r="P2822" s="3">
        <v>0</v>
      </c>
      <c r="Q2822" s="3">
        <v>0</v>
      </c>
      <c r="R2822" s="3">
        <v>0</v>
      </c>
    </row>
    <row r="2823" spans="1:18">
      <c r="A2823" s="3" t="s">
        <v>10304</v>
      </c>
      <c r="B2823" s="3" t="s">
        <v>10305</v>
      </c>
      <c r="C2823" s="3" t="s">
        <v>10306</v>
      </c>
      <c r="D2823" s="3"/>
      <c r="E2823" s="3" t="s">
        <v>6275</v>
      </c>
      <c r="F2823" s="3"/>
      <c r="G2823" s="3"/>
      <c r="H2823" s="3"/>
      <c r="I2823" s="3"/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/>
      <c r="P2823" s="3">
        <v>0</v>
      </c>
      <c r="Q2823" s="3">
        <v>0</v>
      </c>
      <c r="R2823" s="3">
        <v>0</v>
      </c>
    </row>
    <row r="2824" spans="1:18">
      <c r="A2824" s="3" t="s">
        <v>10307</v>
      </c>
      <c r="B2824" s="3" t="s">
        <v>10308</v>
      </c>
      <c r="C2824" s="3" t="s">
        <v>10309</v>
      </c>
      <c r="D2824" s="3"/>
      <c r="E2824" s="3" t="s">
        <v>6275</v>
      </c>
      <c r="F2824" s="3"/>
      <c r="G2824" s="3"/>
      <c r="H2824" s="3"/>
      <c r="I2824" s="3"/>
      <c r="J2824" s="3">
        <v>0</v>
      </c>
      <c r="K2824" s="3">
        <v>0</v>
      </c>
      <c r="L2824" s="3">
        <v>0</v>
      </c>
      <c r="M2824" s="3">
        <v>0</v>
      </c>
      <c r="N2824" s="3">
        <v>0</v>
      </c>
      <c r="O2824" s="3"/>
      <c r="P2824" s="3">
        <v>0</v>
      </c>
      <c r="Q2824" s="3">
        <v>0</v>
      </c>
      <c r="R2824" s="3">
        <v>0</v>
      </c>
    </row>
    <row r="2825" spans="1:18">
      <c r="A2825" s="3" t="s">
        <v>10310</v>
      </c>
      <c r="B2825" s="3" t="s">
        <v>10311</v>
      </c>
      <c r="C2825" s="3" t="s">
        <v>10312</v>
      </c>
      <c r="D2825" s="3"/>
      <c r="E2825" s="3" t="s">
        <v>6275</v>
      </c>
      <c r="F2825" s="3"/>
      <c r="G2825" s="3"/>
      <c r="H2825" s="3"/>
      <c r="I2825" s="3"/>
      <c r="J2825" s="3">
        <v>0</v>
      </c>
      <c r="K2825" s="3">
        <v>0</v>
      </c>
      <c r="L2825" s="3">
        <v>0</v>
      </c>
      <c r="M2825" s="3">
        <v>0</v>
      </c>
      <c r="N2825" s="3">
        <v>0</v>
      </c>
      <c r="O2825" s="3"/>
      <c r="P2825" s="3">
        <v>0</v>
      </c>
      <c r="Q2825" s="3">
        <v>0</v>
      </c>
      <c r="R2825" s="3">
        <v>0</v>
      </c>
    </row>
    <row r="2826" spans="1:18">
      <c r="A2826" s="3" t="s">
        <v>10313</v>
      </c>
      <c r="B2826" s="3" t="s">
        <v>10314</v>
      </c>
      <c r="C2826" s="3" t="s">
        <v>10315</v>
      </c>
      <c r="D2826" s="3"/>
      <c r="E2826" s="3" t="s">
        <v>6275</v>
      </c>
      <c r="F2826" s="3"/>
      <c r="G2826" s="3"/>
      <c r="H2826" s="3"/>
      <c r="I2826" s="3"/>
      <c r="J2826" s="3">
        <v>0</v>
      </c>
      <c r="K2826" s="3">
        <v>0</v>
      </c>
      <c r="L2826" s="3">
        <v>0</v>
      </c>
      <c r="M2826" s="3">
        <v>0</v>
      </c>
      <c r="N2826" s="3">
        <v>0</v>
      </c>
      <c r="O2826" s="3"/>
      <c r="P2826" s="3">
        <v>0</v>
      </c>
      <c r="Q2826" s="3">
        <v>0</v>
      </c>
      <c r="R2826" s="3">
        <v>0</v>
      </c>
    </row>
    <row r="2827" spans="1:18">
      <c r="A2827" s="3" t="s">
        <v>10316</v>
      </c>
      <c r="B2827" s="3" t="s">
        <v>10317</v>
      </c>
      <c r="C2827" s="3" t="s">
        <v>10318</v>
      </c>
      <c r="D2827" s="3"/>
      <c r="E2827" s="3" t="s">
        <v>6275</v>
      </c>
      <c r="F2827" s="3"/>
      <c r="G2827" s="3"/>
      <c r="H2827" s="3"/>
      <c r="I2827" s="3"/>
      <c r="J2827" s="3">
        <v>0</v>
      </c>
      <c r="K2827" s="3">
        <v>0</v>
      </c>
      <c r="L2827" s="3">
        <v>0</v>
      </c>
      <c r="M2827" s="3">
        <v>0</v>
      </c>
      <c r="N2827" s="3">
        <v>0</v>
      </c>
      <c r="O2827" s="3"/>
      <c r="P2827" s="3">
        <v>0</v>
      </c>
      <c r="Q2827" s="3">
        <v>0</v>
      </c>
      <c r="R2827" s="3">
        <v>0</v>
      </c>
    </row>
    <row r="2828" spans="1:18">
      <c r="A2828" s="3" t="s">
        <v>10319</v>
      </c>
      <c r="B2828" s="3" t="s">
        <v>10320</v>
      </c>
      <c r="C2828" s="3" t="s">
        <v>10321</v>
      </c>
      <c r="D2828" s="3"/>
      <c r="E2828" s="3" t="s">
        <v>6275</v>
      </c>
      <c r="F2828" s="3"/>
      <c r="G2828" s="3"/>
      <c r="H2828" s="3"/>
      <c r="I2828" s="3"/>
      <c r="J2828" s="3">
        <v>0</v>
      </c>
      <c r="K2828" s="3">
        <v>0</v>
      </c>
      <c r="L2828" s="3">
        <v>0</v>
      </c>
      <c r="M2828" s="3">
        <v>0</v>
      </c>
      <c r="N2828" s="3">
        <v>0</v>
      </c>
      <c r="O2828" s="3"/>
      <c r="P2828" s="3">
        <v>0</v>
      </c>
      <c r="Q2828" s="3">
        <v>0</v>
      </c>
      <c r="R2828" s="3">
        <v>0</v>
      </c>
    </row>
    <row r="2829" spans="1:18">
      <c r="A2829" s="3" t="s">
        <v>10322</v>
      </c>
      <c r="B2829" s="3" t="s">
        <v>10323</v>
      </c>
      <c r="C2829" s="3" t="s">
        <v>705</v>
      </c>
      <c r="D2829" s="3"/>
      <c r="E2829" s="3" t="s">
        <v>6275</v>
      </c>
      <c r="F2829" s="3"/>
      <c r="G2829" s="3"/>
      <c r="H2829" s="3"/>
      <c r="I2829" s="3"/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/>
      <c r="P2829" s="3">
        <v>0</v>
      </c>
      <c r="Q2829" s="3">
        <v>0</v>
      </c>
      <c r="R2829" s="3">
        <v>0</v>
      </c>
    </row>
    <row r="2830" spans="1:18">
      <c r="A2830" s="3" t="s">
        <v>10324</v>
      </c>
      <c r="B2830" s="3" t="s">
        <v>10325</v>
      </c>
      <c r="C2830" s="3" t="s">
        <v>689</v>
      </c>
      <c r="D2830" s="3"/>
      <c r="E2830" s="3" t="s">
        <v>6275</v>
      </c>
      <c r="F2830" s="3"/>
      <c r="G2830" s="3"/>
      <c r="H2830" s="3"/>
      <c r="I2830" s="3"/>
      <c r="J2830" s="3">
        <v>0</v>
      </c>
      <c r="K2830" s="3">
        <v>0</v>
      </c>
      <c r="L2830" s="3">
        <v>0</v>
      </c>
      <c r="M2830" s="3">
        <v>0</v>
      </c>
      <c r="N2830" s="3">
        <v>0</v>
      </c>
      <c r="O2830" s="3"/>
      <c r="P2830" s="3">
        <v>0</v>
      </c>
      <c r="Q2830" s="3">
        <v>0</v>
      </c>
      <c r="R2830" s="3">
        <v>0</v>
      </c>
    </row>
    <row r="2831" spans="1:18">
      <c r="A2831" s="3" t="s">
        <v>10326</v>
      </c>
      <c r="B2831" s="3" t="s">
        <v>10327</v>
      </c>
      <c r="C2831" s="3" t="s">
        <v>4114</v>
      </c>
      <c r="D2831" s="3"/>
      <c r="E2831" s="3" t="s">
        <v>6275</v>
      </c>
      <c r="F2831" s="3"/>
      <c r="G2831" s="3"/>
      <c r="H2831" s="3"/>
      <c r="I2831" s="3"/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/>
      <c r="P2831" s="3">
        <v>0</v>
      </c>
      <c r="Q2831" s="3">
        <v>0</v>
      </c>
      <c r="R2831" s="3">
        <v>0</v>
      </c>
    </row>
    <row r="2832" spans="1:18">
      <c r="A2832" s="3" t="s">
        <v>10328</v>
      </c>
      <c r="B2832" s="3" t="s">
        <v>10329</v>
      </c>
      <c r="C2832" s="3" t="s">
        <v>673</v>
      </c>
      <c r="D2832" s="3"/>
      <c r="E2832" s="3" t="s">
        <v>6275</v>
      </c>
      <c r="F2832" s="3"/>
      <c r="G2832" s="3"/>
      <c r="H2832" s="3"/>
      <c r="I2832" s="3"/>
      <c r="J2832" s="3">
        <v>0</v>
      </c>
      <c r="K2832" s="3">
        <v>0</v>
      </c>
      <c r="L2832" s="3">
        <v>0</v>
      </c>
      <c r="M2832" s="3">
        <v>0</v>
      </c>
      <c r="N2832" s="3">
        <v>0</v>
      </c>
      <c r="O2832" s="3"/>
      <c r="P2832" s="3">
        <v>0</v>
      </c>
      <c r="Q2832" s="3">
        <v>0</v>
      </c>
      <c r="R2832" s="3">
        <v>0</v>
      </c>
    </row>
    <row r="2833" spans="1:18">
      <c r="A2833" s="3" t="s">
        <v>10330</v>
      </c>
      <c r="B2833" s="3" t="s">
        <v>10331</v>
      </c>
      <c r="C2833" s="3" t="s">
        <v>717</v>
      </c>
      <c r="D2833" s="3"/>
      <c r="E2833" s="3" t="s">
        <v>6275</v>
      </c>
      <c r="F2833" s="3"/>
      <c r="G2833" s="3"/>
      <c r="H2833" s="3"/>
      <c r="I2833" s="3"/>
      <c r="J2833" s="3">
        <v>0</v>
      </c>
      <c r="K2833" s="3">
        <v>0</v>
      </c>
      <c r="L2833" s="3">
        <v>0</v>
      </c>
      <c r="M2833" s="3">
        <v>0</v>
      </c>
      <c r="N2833" s="3">
        <v>0</v>
      </c>
      <c r="O2833" s="3"/>
      <c r="P2833" s="3">
        <v>0</v>
      </c>
      <c r="Q2833" s="3">
        <v>0</v>
      </c>
      <c r="R2833" s="3">
        <v>0</v>
      </c>
    </row>
    <row r="2834" spans="1:18">
      <c r="A2834" s="3" t="s">
        <v>10332</v>
      </c>
      <c r="B2834" s="3" t="s">
        <v>10333</v>
      </c>
      <c r="C2834" s="3" t="s">
        <v>685</v>
      </c>
      <c r="D2834" s="3"/>
      <c r="E2834" s="3" t="s">
        <v>6275</v>
      </c>
      <c r="F2834" s="3"/>
      <c r="G2834" s="3"/>
      <c r="H2834" s="3"/>
      <c r="I2834" s="3"/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/>
      <c r="P2834" s="3">
        <v>0</v>
      </c>
      <c r="Q2834" s="3">
        <v>0</v>
      </c>
      <c r="R2834" s="3">
        <v>0</v>
      </c>
    </row>
    <row r="2835" spans="1:18">
      <c r="A2835" s="3" t="s">
        <v>10334</v>
      </c>
      <c r="B2835" s="3" t="s">
        <v>10335</v>
      </c>
      <c r="C2835" s="3" t="s">
        <v>697</v>
      </c>
      <c r="D2835" s="3"/>
      <c r="E2835" s="3" t="s">
        <v>6275</v>
      </c>
      <c r="F2835" s="3"/>
      <c r="G2835" s="3"/>
      <c r="H2835" s="3"/>
      <c r="I2835" s="3"/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/>
      <c r="P2835" s="3">
        <v>0</v>
      </c>
      <c r="Q2835" s="3">
        <v>0</v>
      </c>
      <c r="R2835" s="3">
        <v>0</v>
      </c>
    </row>
    <row r="2836" spans="1:18">
      <c r="A2836" s="3" t="s">
        <v>10336</v>
      </c>
      <c r="B2836" s="3" t="s">
        <v>10337</v>
      </c>
      <c r="C2836" s="3" t="s">
        <v>677</v>
      </c>
      <c r="D2836" s="3"/>
      <c r="E2836" s="3" t="s">
        <v>6275</v>
      </c>
      <c r="F2836" s="3"/>
      <c r="G2836" s="3"/>
      <c r="H2836" s="3"/>
      <c r="I2836" s="3"/>
      <c r="J2836" s="3">
        <v>0</v>
      </c>
      <c r="K2836" s="3">
        <v>0</v>
      </c>
      <c r="L2836" s="3">
        <v>0</v>
      </c>
      <c r="M2836" s="3">
        <v>0</v>
      </c>
      <c r="N2836" s="3">
        <v>0</v>
      </c>
      <c r="O2836" s="3"/>
      <c r="P2836" s="3">
        <v>0</v>
      </c>
      <c r="Q2836" s="3">
        <v>0</v>
      </c>
      <c r="R2836" s="3">
        <v>0</v>
      </c>
    </row>
    <row r="2837" spans="1:18">
      <c r="A2837" s="3" t="s">
        <v>10338</v>
      </c>
      <c r="B2837" s="3" t="s">
        <v>10339</v>
      </c>
      <c r="C2837" s="3" t="s">
        <v>669</v>
      </c>
      <c r="D2837" s="3"/>
      <c r="E2837" s="3" t="s">
        <v>6275</v>
      </c>
      <c r="F2837" s="3"/>
      <c r="G2837" s="3"/>
      <c r="H2837" s="3"/>
      <c r="I2837" s="3"/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/>
      <c r="P2837" s="3">
        <v>0</v>
      </c>
      <c r="Q2837" s="3">
        <v>0</v>
      </c>
      <c r="R2837" s="3">
        <v>0</v>
      </c>
    </row>
    <row r="2838" spans="1:18">
      <c r="A2838" s="3" t="s">
        <v>10340</v>
      </c>
      <c r="B2838" s="3" t="s">
        <v>10341</v>
      </c>
      <c r="C2838" s="3" t="s">
        <v>741</v>
      </c>
      <c r="D2838" s="3"/>
      <c r="E2838" s="3" t="s">
        <v>6275</v>
      </c>
      <c r="F2838" s="3"/>
      <c r="G2838" s="3"/>
      <c r="H2838" s="3"/>
      <c r="I2838" s="3"/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/>
      <c r="P2838" s="3">
        <v>0</v>
      </c>
      <c r="Q2838" s="3">
        <v>0</v>
      </c>
      <c r="R2838" s="3">
        <v>0</v>
      </c>
    </row>
    <row r="2839" spans="1:18">
      <c r="A2839" s="3" t="s">
        <v>10342</v>
      </c>
      <c r="B2839" s="3" t="s">
        <v>10343</v>
      </c>
      <c r="C2839" s="3" t="s">
        <v>701</v>
      </c>
      <c r="D2839" s="3"/>
      <c r="E2839" s="3" t="s">
        <v>6275</v>
      </c>
      <c r="F2839" s="3"/>
      <c r="G2839" s="3"/>
      <c r="H2839" s="3"/>
      <c r="I2839" s="3"/>
      <c r="J2839" s="3">
        <v>0</v>
      </c>
      <c r="K2839" s="3">
        <v>0</v>
      </c>
      <c r="L2839" s="3">
        <v>0</v>
      </c>
      <c r="M2839" s="3">
        <v>0</v>
      </c>
      <c r="N2839" s="3">
        <v>0</v>
      </c>
      <c r="O2839" s="3"/>
      <c r="P2839" s="3">
        <v>0</v>
      </c>
      <c r="Q2839" s="3">
        <v>0</v>
      </c>
      <c r="R2839" s="3">
        <v>0</v>
      </c>
    </row>
    <row r="2840" spans="1:18">
      <c r="A2840" s="3" t="s">
        <v>10344</v>
      </c>
      <c r="B2840" s="3" t="s">
        <v>10345</v>
      </c>
      <c r="C2840" s="3" t="s">
        <v>681</v>
      </c>
      <c r="D2840" s="3"/>
      <c r="E2840" s="3" t="s">
        <v>6275</v>
      </c>
      <c r="F2840" s="3"/>
      <c r="G2840" s="3"/>
      <c r="H2840" s="3"/>
      <c r="I2840" s="3"/>
      <c r="J2840" s="3">
        <v>0</v>
      </c>
      <c r="K2840" s="3">
        <v>0</v>
      </c>
      <c r="L2840" s="3">
        <v>0</v>
      </c>
      <c r="M2840" s="3">
        <v>0</v>
      </c>
      <c r="N2840" s="3">
        <v>0</v>
      </c>
      <c r="O2840" s="3"/>
      <c r="P2840" s="3">
        <v>0</v>
      </c>
      <c r="Q2840" s="3">
        <v>0</v>
      </c>
      <c r="R2840" s="3">
        <v>0</v>
      </c>
    </row>
    <row r="2841" spans="1:18">
      <c r="A2841" s="3" t="s">
        <v>10346</v>
      </c>
      <c r="B2841" s="3" t="s">
        <v>10347</v>
      </c>
      <c r="C2841" s="3" t="s">
        <v>3685</v>
      </c>
      <c r="D2841" s="3"/>
      <c r="E2841" s="3" t="s">
        <v>6275</v>
      </c>
      <c r="F2841" s="3"/>
      <c r="G2841" s="3"/>
      <c r="H2841" s="3"/>
      <c r="I2841" s="3"/>
      <c r="J2841" s="3">
        <v>0</v>
      </c>
      <c r="K2841" s="3">
        <v>0</v>
      </c>
      <c r="L2841" s="3">
        <v>0</v>
      </c>
      <c r="M2841" s="3">
        <v>0</v>
      </c>
      <c r="N2841" s="3">
        <v>0</v>
      </c>
      <c r="O2841" s="3"/>
      <c r="P2841" s="3">
        <v>0</v>
      </c>
      <c r="Q2841" s="3">
        <v>0</v>
      </c>
      <c r="R2841" s="3">
        <v>0</v>
      </c>
    </row>
    <row r="2842" spans="1:18">
      <c r="A2842" s="3" t="s">
        <v>10348</v>
      </c>
      <c r="B2842" s="3" t="s">
        <v>10349</v>
      </c>
      <c r="C2842" s="3" t="s">
        <v>4893</v>
      </c>
      <c r="D2842" s="3"/>
      <c r="E2842" s="3" t="s">
        <v>6275</v>
      </c>
      <c r="F2842" s="3"/>
      <c r="G2842" s="3"/>
      <c r="H2842" s="3"/>
      <c r="I2842" s="3"/>
      <c r="J2842" s="3">
        <v>0</v>
      </c>
      <c r="K2842" s="3">
        <v>0</v>
      </c>
      <c r="L2842" s="3">
        <v>0</v>
      </c>
      <c r="M2842" s="3">
        <v>0</v>
      </c>
      <c r="N2842" s="3">
        <v>0</v>
      </c>
      <c r="O2842" s="3"/>
      <c r="P2842" s="3">
        <v>0</v>
      </c>
      <c r="Q2842" s="3">
        <v>0</v>
      </c>
      <c r="R2842" s="3">
        <v>0</v>
      </c>
    </row>
    <row r="2843" spans="1:18">
      <c r="A2843" s="3" t="s">
        <v>10350</v>
      </c>
      <c r="B2843" s="3" t="s">
        <v>10351</v>
      </c>
      <c r="C2843" s="3" t="s">
        <v>725</v>
      </c>
      <c r="D2843" s="3"/>
      <c r="E2843" s="3" t="s">
        <v>6275</v>
      </c>
      <c r="F2843" s="3"/>
      <c r="G2843" s="3"/>
      <c r="H2843" s="3"/>
      <c r="I2843" s="3"/>
      <c r="J2843" s="3">
        <v>0</v>
      </c>
      <c r="K2843" s="3">
        <v>0</v>
      </c>
      <c r="L2843" s="3">
        <v>0</v>
      </c>
      <c r="M2843" s="3">
        <v>0</v>
      </c>
      <c r="N2843" s="3">
        <v>0</v>
      </c>
      <c r="O2843" s="3"/>
      <c r="P2843" s="3">
        <v>0</v>
      </c>
      <c r="Q2843" s="3">
        <v>0</v>
      </c>
      <c r="R2843" s="3">
        <v>0</v>
      </c>
    </row>
    <row r="2844" spans="1:18">
      <c r="A2844" s="3" t="s">
        <v>10352</v>
      </c>
      <c r="B2844" s="3" t="s">
        <v>10353</v>
      </c>
      <c r="C2844" s="3" t="s">
        <v>737</v>
      </c>
      <c r="D2844" s="3"/>
      <c r="E2844" s="3" t="s">
        <v>6275</v>
      </c>
      <c r="F2844" s="3"/>
      <c r="G2844" s="3"/>
      <c r="H2844" s="3"/>
      <c r="I2844" s="3"/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/>
      <c r="P2844" s="3">
        <v>0</v>
      </c>
      <c r="Q2844" s="3">
        <v>0</v>
      </c>
      <c r="R2844" s="3">
        <v>0</v>
      </c>
    </row>
    <row r="2845" spans="1:18">
      <c r="A2845" s="3" t="s">
        <v>10354</v>
      </c>
      <c r="B2845" s="3" t="s">
        <v>10355</v>
      </c>
      <c r="C2845" s="3" t="s">
        <v>665</v>
      </c>
      <c r="D2845" s="3"/>
      <c r="E2845" s="3" t="s">
        <v>6275</v>
      </c>
      <c r="F2845" s="3"/>
      <c r="G2845" s="3"/>
      <c r="H2845" s="3"/>
      <c r="I2845" s="3"/>
      <c r="J2845" s="3">
        <v>0</v>
      </c>
      <c r="K2845" s="3">
        <v>0</v>
      </c>
      <c r="L2845" s="3">
        <v>0</v>
      </c>
      <c r="M2845" s="3">
        <v>0</v>
      </c>
      <c r="N2845" s="3">
        <v>0</v>
      </c>
      <c r="O2845" s="3"/>
      <c r="P2845" s="3">
        <v>0</v>
      </c>
      <c r="Q2845" s="3">
        <v>0</v>
      </c>
      <c r="R2845" s="3">
        <v>0</v>
      </c>
    </row>
    <row r="2846" spans="1:18">
      <c r="A2846" s="3" t="s">
        <v>10356</v>
      </c>
      <c r="B2846" s="3" t="s">
        <v>10357</v>
      </c>
      <c r="C2846" s="3" t="s">
        <v>753</v>
      </c>
      <c r="D2846" s="3"/>
      <c r="E2846" s="3" t="s">
        <v>6275</v>
      </c>
      <c r="F2846" s="3"/>
      <c r="G2846" s="3"/>
      <c r="H2846" s="3"/>
      <c r="I2846" s="3"/>
      <c r="J2846" s="3">
        <v>0</v>
      </c>
      <c r="K2846" s="3">
        <v>0</v>
      </c>
      <c r="L2846" s="3">
        <v>0</v>
      </c>
      <c r="M2846" s="3">
        <v>0</v>
      </c>
      <c r="N2846" s="3">
        <v>0</v>
      </c>
      <c r="O2846" s="3"/>
      <c r="P2846" s="3">
        <v>0</v>
      </c>
      <c r="Q2846" s="3">
        <v>0</v>
      </c>
      <c r="R2846" s="3">
        <v>0</v>
      </c>
    </row>
    <row r="2847" spans="1:18">
      <c r="A2847" s="3" t="s">
        <v>10358</v>
      </c>
      <c r="B2847" s="3" t="s">
        <v>10359</v>
      </c>
      <c r="C2847" s="3" t="s">
        <v>721</v>
      </c>
      <c r="D2847" s="3"/>
      <c r="E2847" s="3" t="s">
        <v>6275</v>
      </c>
      <c r="F2847" s="3"/>
      <c r="G2847" s="3"/>
      <c r="H2847" s="3"/>
      <c r="I2847" s="3"/>
      <c r="J2847" s="3">
        <v>0</v>
      </c>
      <c r="K2847" s="3">
        <v>0</v>
      </c>
      <c r="L2847" s="3">
        <v>0</v>
      </c>
      <c r="M2847" s="3">
        <v>0</v>
      </c>
      <c r="N2847" s="3">
        <v>0</v>
      </c>
      <c r="O2847" s="3"/>
      <c r="P2847" s="3">
        <v>0</v>
      </c>
      <c r="Q2847" s="3">
        <v>0</v>
      </c>
      <c r="R2847" s="3">
        <v>0</v>
      </c>
    </row>
    <row r="2848" spans="1:18">
      <c r="A2848" s="3" t="s">
        <v>10360</v>
      </c>
      <c r="B2848" s="3" t="s">
        <v>10361</v>
      </c>
      <c r="C2848" s="3" t="s">
        <v>761</v>
      </c>
      <c r="D2848" s="3"/>
      <c r="E2848" s="3" t="s">
        <v>6275</v>
      </c>
      <c r="F2848" s="3"/>
      <c r="G2848" s="3"/>
      <c r="H2848" s="3"/>
      <c r="I2848" s="3"/>
      <c r="J2848" s="3">
        <v>0</v>
      </c>
      <c r="K2848" s="3">
        <v>0</v>
      </c>
      <c r="L2848" s="3">
        <v>0</v>
      </c>
      <c r="M2848" s="3">
        <v>0</v>
      </c>
      <c r="N2848" s="3">
        <v>0</v>
      </c>
      <c r="O2848" s="3"/>
      <c r="P2848" s="3">
        <v>0</v>
      </c>
      <c r="Q2848" s="3">
        <v>0</v>
      </c>
      <c r="R2848" s="3">
        <v>0</v>
      </c>
    </row>
    <row r="2849" spans="1:18">
      <c r="A2849" s="3" t="s">
        <v>10362</v>
      </c>
      <c r="B2849" s="3" t="s">
        <v>10363</v>
      </c>
      <c r="C2849" s="3" t="s">
        <v>745</v>
      </c>
      <c r="D2849" s="3"/>
      <c r="E2849" s="3" t="s">
        <v>6275</v>
      </c>
      <c r="F2849" s="3"/>
      <c r="G2849" s="3"/>
      <c r="H2849" s="3"/>
      <c r="I2849" s="3"/>
      <c r="J2849" s="3">
        <v>0</v>
      </c>
      <c r="K2849" s="3">
        <v>0</v>
      </c>
      <c r="L2849" s="3">
        <v>0</v>
      </c>
      <c r="M2849" s="3">
        <v>0</v>
      </c>
      <c r="N2849" s="3">
        <v>0</v>
      </c>
      <c r="O2849" s="3"/>
      <c r="P2849" s="3">
        <v>0</v>
      </c>
      <c r="Q2849" s="3">
        <v>0</v>
      </c>
      <c r="R2849" s="3">
        <v>0</v>
      </c>
    </row>
    <row r="2850" spans="1:18">
      <c r="A2850" s="3" t="s">
        <v>10364</v>
      </c>
      <c r="B2850" s="3" t="s">
        <v>10365</v>
      </c>
      <c r="C2850" s="3" t="s">
        <v>765</v>
      </c>
      <c r="D2850" s="3"/>
      <c r="E2850" s="3" t="s">
        <v>6275</v>
      </c>
      <c r="F2850" s="3"/>
      <c r="G2850" s="3"/>
      <c r="H2850" s="3"/>
      <c r="I2850" s="3"/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/>
      <c r="P2850" s="3">
        <v>0</v>
      </c>
      <c r="Q2850" s="3">
        <v>0</v>
      </c>
      <c r="R2850" s="3">
        <v>0</v>
      </c>
    </row>
    <row r="2851" spans="1:18">
      <c r="A2851" s="3" t="s">
        <v>10366</v>
      </c>
      <c r="B2851" s="3" t="s">
        <v>10367</v>
      </c>
      <c r="C2851" s="3" t="s">
        <v>749</v>
      </c>
      <c r="D2851" s="3"/>
      <c r="E2851" s="3" t="s">
        <v>6275</v>
      </c>
      <c r="F2851" s="3"/>
      <c r="G2851" s="3"/>
      <c r="H2851" s="3"/>
      <c r="I2851" s="3"/>
      <c r="J2851" s="3">
        <v>0</v>
      </c>
      <c r="K2851" s="3">
        <v>0</v>
      </c>
      <c r="L2851" s="3">
        <v>0</v>
      </c>
      <c r="M2851" s="3">
        <v>0</v>
      </c>
      <c r="N2851" s="3">
        <v>0</v>
      </c>
      <c r="O2851" s="3"/>
      <c r="P2851" s="3">
        <v>0</v>
      </c>
      <c r="Q2851" s="3">
        <v>0</v>
      </c>
      <c r="R2851" s="3">
        <v>0</v>
      </c>
    </row>
    <row r="2852" spans="1:18">
      <c r="A2852" s="3" t="s">
        <v>10368</v>
      </c>
      <c r="B2852" s="3" t="s">
        <v>10369</v>
      </c>
      <c r="C2852" s="3" t="s">
        <v>757</v>
      </c>
      <c r="D2852" s="3"/>
      <c r="E2852" s="3" t="s">
        <v>6275</v>
      </c>
      <c r="F2852" s="3"/>
      <c r="G2852" s="3"/>
      <c r="H2852" s="3"/>
      <c r="I2852" s="3"/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/>
      <c r="P2852" s="3">
        <v>0</v>
      </c>
      <c r="Q2852" s="3">
        <v>0</v>
      </c>
      <c r="R2852" s="3">
        <v>0</v>
      </c>
    </row>
    <row r="2853" spans="1:18">
      <c r="A2853" s="3" t="s">
        <v>10370</v>
      </c>
      <c r="B2853" s="3" t="s">
        <v>10371</v>
      </c>
      <c r="C2853" s="3" t="s">
        <v>5562</v>
      </c>
      <c r="D2853" s="3"/>
      <c r="E2853" s="3" t="s">
        <v>6275</v>
      </c>
      <c r="F2853" s="3"/>
      <c r="G2853" s="3"/>
      <c r="H2853" s="3"/>
      <c r="I2853" s="3"/>
      <c r="J2853" s="3">
        <v>0</v>
      </c>
      <c r="K2853" s="3">
        <v>0</v>
      </c>
      <c r="L2853" s="3">
        <v>0</v>
      </c>
      <c r="M2853" s="3">
        <v>0</v>
      </c>
      <c r="N2853" s="3">
        <v>0</v>
      </c>
      <c r="O2853" s="3"/>
      <c r="P2853" s="3">
        <v>0</v>
      </c>
      <c r="Q2853" s="3">
        <v>0</v>
      </c>
      <c r="R2853" s="3">
        <v>0</v>
      </c>
    </row>
    <row r="2854" spans="1:18">
      <c r="A2854" s="3" t="s">
        <v>10372</v>
      </c>
      <c r="B2854" s="3" t="s">
        <v>10373</v>
      </c>
      <c r="C2854" s="3" t="s">
        <v>1495</v>
      </c>
      <c r="D2854" s="3"/>
      <c r="E2854" s="3" t="s">
        <v>6275</v>
      </c>
      <c r="F2854" s="3"/>
      <c r="G2854" s="3"/>
      <c r="H2854" s="3"/>
      <c r="I2854" s="3"/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/>
      <c r="P2854" s="3">
        <v>0</v>
      </c>
      <c r="Q2854" s="3">
        <v>0</v>
      </c>
      <c r="R2854" s="3">
        <v>0</v>
      </c>
    </row>
    <row r="2855" spans="1:18">
      <c r="A2855" s="3" t="s">
        <v>10374</v>
      </c>
      <c r="B2855" s="3" t="s">
        <v>10375</v>
      </c>
      <c r="C2855" s="3" t="s">
        <v>1499</v>
      </c>
      <c r="D2855" s="3"/>
      <c r="E2855" s="3" t="s">
        <v>6275</v>
      </c>
      <c r="F2855" s="3"/>
      <c r="G2855" s="3"/>
      <c r="H2855" s="3"/>
      <c r="I2855" s="3"/>
      <c r="J2855" s="3">
        <v>0</v>
      </c>
      <c r="K2855" s="3">
        <v>0</v>
      </c>
      <c r="L2855" s="3">
        <v>0</v>
      </c>
      <c r="M2855" s="3">
        <v>0</v>
      </c>
      <c r="N2855" s="3">
        <v>0</v>
      </c>
      <c r="O2855" s="3"/>
      <c r="P2855" s="3">
        <v>0</v>
      </c>
      <c r="Q2855" s="3">
        <v>0</v>
      </c>
      <c r="R2855" s="3">
        <v>0</v>
      </c>
    </row>
    <row r="2856" spans="1:18">
      <c r="A2856" s="3" t="s">
        <v>10376</v>
      </c>
      <c r="B2856" s="3" t="s">
        <v>10377</v>
      </c>
      <c r="C2856" s="3" t="s">
        <v>10378</v>
      </c>
      <c r="D2856" s="3"/>
      <c r="E2856" s="3" t="s">
        <v>6275</v>
      </c>
      <c r="F2856" s="3"/>
      <c r="G2856" s="3"/>
      <c r="H2856" s="3"/>
      <c r="I2856" s="3"/>
      <c r="J2856" s="3">
        <v>0</v>
      </c>
      <c r="K2856" s="3">
        <v>0</v>
      </c>
      <c r="L2856" s="3">
        <v>0</v>
      </c>
      <c r="M2856" s="3">
        <v>0</v>
      </c>
      <c r="N2856" s="3">
        <v>0</v>
      </c>
      <c r="O2856" s="3"/>
      <c r="P2856" s="3">
        <v>0</v>
      </c>
      <c r="Q2856" s="3">
        <v>0</v>
      </c>
      <c r="R2856" s="3">
        <v>0</v>
      </c>
    </row>
    <row r="2857" spans="1:18">
      <c r="A2857" s="3" t="s">
        <v>10379</v>
      </c>
      <c r="B2857" s="3" t="s">
        <v>10380</v>
      </c>
      <c r="C2857" s="3" t="s">
        <v>1503</v>
      </c>
      <c r="D2857" s="3"/>
      <c r="E2857" s="3" t="s">
        <v>6275</v>
      </c>
      <c r="F2857" s="3"/>
      <c r="G2857" s="3"/>
      <c r="H2857" s="3"/>
      <c r="I2857" s="3"/>
      <c r="J2857" s="3">
        <v>0</v>
      </c>
      <c r="K2857" s="3">
        <v>0</v>
      </c>
      <c r="L2857" s="3">
        <v>0</v>
      </c>
      <c r="M2857" s="3">
        <v>0</v>
      </c>
      <c r="N2857" s="3">
        <v>0</v>
      </c>
      <c r="O2857" s="3"/>
      <c r="P2857" s="3">
        <v>0</v>
      </c>
      <c r="Q2857" s="3">
        <v>0</v>
      </c>
      <c r="R2857" s="3">
        <v>0</v>
      </c>
    </row>
    <row r="2858" spans="1:18">
      <c r="A2858" s="3" t="s">
        <v>10381</v>
      </c>
      <c r="B2858" s="3" t="s">
        <v>10382</v>
      </c>
      <c r="C2858" s="3" t="s">
        <v>1507</v>
      </c>
      <c r="D2858" s="3"/>
      <c r="E2858" s="3" t="s">
        <v>6275</v>
      </c>
      <c r="F2858" s="3"/>
      <c r="G2858" s="3"/>
      <c r="H2858" s="3"/>
      <c r="I2858" s="3"/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/>
      <c r="P2858" s="3">
        <v>0</v>
      </c>
      <c r="Q2858" s="3">
        <v>0</v>
      </c>
      <c r="R2858" s="3">
        <v>0</v>
      </c>
    </row>
    <row r="2859" spans="1:18">
      <c r="A2859" s="3" t="s">
        <v>10383</v>
      </c>
      <c r="B2859" s="3" t="s">
        <v>10384</v>
      </c>
      <c r="C2859" s="3" t="s">
        <v>4000</v>
      </c>
      <c r="D2859" s="3"/>
      <c r="E2859" s="3" t="s">
        <v>6275</v>
      </c>
      <c r="F2859" s="3"/>
      <c r="G2859" s="3"/>
      <c r="H2859" s="3"/>
      <c r="I2859" s="3"/>
      <c r="J2859" s="3">
        <v>0</v>
      </c>
      <c r="K2859" s="3">
        <v>0</v>
      </c>
      <c r="L2859" s="3">
        <v>0</v>
      </c>
      <c r="M2859" s="3">
        <v>0</v>
      </c>
      <c r="N2859" s="3">
        <v>0</v>
      </c>
      <c r="O2859" s="3"/>
      <c r="P2859" s="3">
        <v>0</v>
      </c>
      <c r="Q2859" s="3">
        <v>0</v>
      </c>
      <c r="R2859" s="3">
        <v>0</v>
      </c>
    </row>
    <row r="2860" spans="1:18">
      <c r="A2860" s="3" t="s">
        <v>10385</v>
      </c>
      <c r="B2860" s="3" t="s">
        <v>10386</v>
      </c>
      <c r="C2860" s="3" t="s">
        <v>1523</v>
      </c>
      <c r="D2860" s="3"/>
      <c r="E2860" s="3" t="s">
        <v>6275</v>
      </c>
      <c r="F2860" s="3"/>
      <c r="G2860" s="3"/>
      <c r="H2860" s="3"/>
      <c r="I2860" s="3"/>
      <c r="J2860" s="3">
        <v>0</v>
      </c>
      <c r="K2860" s="3">
        <v>0</v>
      </c>
      <c r="L2860" s="3">
        <v>0</v>
      </c>
      <c r="M2860" s="3">
        <v>0</v>
      </c>
      <c r="N2860" s="3">
        <v>0</v>
      </c>
      <c r="O2860" s="3"/>
      <c r="P2860" s="3">
        <v>0</v>
      </c>
      <c r="Q2860" s="3">
        <v>0</v>
      </c>
      <c r="R2860" s="3">
        <v>0</v>
      </c>
    </row>
    <row r="2861" spans="1:18">
      <c r="A2861" s="3" t="s">
        <v>10387</v>
      </c>
      <c r="B2861" s="3" t="s">
        <v>10388</v>
      </c>
      <c r="C2861" s="3" t="s">
        <v>4284</v>
      </c>
      <c r="D2861" s="3"/>
      <c r="E2861" s="3" t="s">
        <v>6275</v>
      </c>
      <c r="F2861" s="3"/>
      <c r="G2861" s="3"/>
      <c r="H2861" s="3"/>
      <c r="I2861" s="3"/>
      <c r="J2861" s="3">
        <v>0</v>
      </c>
      <c r="K2861" s="3">
        <v>0</v>
      </c>
      <c r="L2861" s="3">
        <v>0</v>
      </c>
      <c r="M2861" s="3">
        <v>0</v>
      </c>
      <c r="N2861" s="3">
        <v>0</v>
      </c>
      <c r="O2861" s="3"/>
      <c r="P2861" s="3">
        <v>0</v>
      </c>
      <c r="Q2861" s="3">
        <v>0</v>
      </c>
      <c r="R2861" s="3">
        <v>0</v>
      </c>
    </row>
    <row r="2862" spans="1:18">
      <c r="A2862" s="3" t="s">
        <v>10389</v>
      </c>
      <c r="B2862" s="3" t="s">
        <v>10390</v>
      </c>
      <c r="C2862" s="3" t="s">
        <v>10391</v>
      </c>
      <c r="D2862" s="3"/>
      <c r="E2862" s="3" t="s">
        <v>6275</v>
      </c>
      <c r="F2862" s="3"/>
      <c r="G2862" s="3"/>
      <c r="H2862" s="3"/>
      <c r="I2862" s="3"/>
      <c r="J2862" s="3">
        <v>0</v>
      </c>
      <c r="K2862" s="3">
        <v>0</v>
      </c>
      <c r="L2862" s="3">
        <v>0</v>
      </c>
      <c r="M2862" s="3">
        <v>0</v>
      </c>
      <c r="N2862" s="3">
        <v>0</v>
      </c>
      <c r="O2862" s="3"/>
      <c r="P2862" s="3">
        <v>0</v>
      </c>
      <c r="Q2862" s="3">
        <v>0</v>
      </c>
      <c r="R2862" s="3">
        <v>0</v>
      </c>
    </row>
    <row r="2863" spans="1:18">
      <c r="A2863" s="3" t="s">
        <v>10392</v>
      </c>
      <c r="B2863" s="3" t="s">
        <v>10393</v>
      </c>
      <c r="C2863" s="3" t="s">
        <v>6111</v>
      </c>
      <c r="D2863" s="3"/>
      <c r="E2863" s="3" t="s">
        <v>6275</v>
      </c>
      <c r="F2863" s="3"/>
      <c r="G2863" s="3"/>
      <c r="H2863" s="3"/>
      <c r="I2863" s="3"/>
      <c r="J2863" s="3">
        <v>0</v>
      </c>
      <c r="K2863" s="3">
        <v>0</v>
      </c>
      <c r="L2863" s="3">
        <v>0</v>
      </c>
      <c r="M2863" s="3">
        <v>0</v>
      </c>
      <c r="N2863" s="3">
        <v>0</v>
      </c>
      <c r="O2863" s="3"/>
      <c r="P2863" s="3">
        <v>0</v>
      </c>
      <c r="Q2863" s="3">
        <v>0</v>
      </c>
      <c r="R2863" s="3">
        <v>0</v>
      </c>
    </row>
    <row r="2864" spans="1:18">
      <c r="A2864" s="3" t="s">
        <v>10394</v>
      </c>
      <c r="B2864" s="3" t="s">
        <v>10395</v>
      </c>
      <c r="C2864" s="3" t="s">
        <v>1483</v>
      </c>
      <c r="D2864" s="3"/>
      <c r="E2864" s="3" t="s">
        <v>6275</v>
      </c>
      <c r="F2864" s="3"/>
      <c r="G2864" s="3"/>
      <c r="H2864" s="3"/>
      <c r="I2864" s="3"/>
      <c r="J2864" s="3">
        <v>0</v>
      </c>
      <c r="K2864" s="3">
        <v>0</v>
      </c>
      <c r="L2864" s="3">
        <v>0</v>
      </c>
      <c r="M2864" s="3">
        <v>0</v>
      </c>
      <c r="N2864" s="3">
        <v>0</v>
      </c>
      <c r="O2864" s="3"/>
      <c r="P2864" s="3">
        <v>0</v>
      </c>
      <c r="Q2864" s="3">
        <v>0</v>
      </c>
      <c r="R2864" s="3">
        <v>0</v>
      </c>
    </row>
    <row r="2865" spans="1:18">
      <c r="A2865" s="3" t="s">
        <v>10396</v>
      </c>
      <c r="B2865" s="3" t="s">
        <v>10397</v>
      </c>
      <c r="C2865" s="3" t="s">
        <v>1515</v>
      </c>
      <c r="D2865" s="3"/>
      <c r="E2865" s="3" t="s">
        <v>6275</v>
      </c>
      <c r="F2865" s="3"/>
      <c r="G2865" s="3"/>
      <c r="H2865" s="3"/>
      <c r="I2865" s="3"/>
      <c r="J2865" s="3">
        <v>0</v>
      </c>
      <c r="K2865" s="3">
        <v>0</v>
      </c>
      <c r="L2865" s="3">
        <v>0</v>
      </c>
      <c r="M2865" s="3">
        <v>0</v>
      </c>
      <c r="N2865" s="3">
        <v>0</v>
      </c>
      <c r="O2865" s="3"/>
      <c r="P2865" s="3">
        <v>0</v>
      </c>
      <c r="Q2865" s="3">
        <v>0</v>
      </c>
      <c r="R2865" s="3">
        <v>0</v>
      </c>
    </row>
    <row r="2866" spans="1:18">
      <c r="A2866" s="3" t="s">
        <v>10398</v>
      </c>
      <c r="B2866" s="3" t="s">
        <v>10399</v>
      </c>
      <c r="C2866" s="3" t="s">
        <v>5903</v>
      </c>
      <c r="D2866" s="3"/>
      <c r="E2866" s="3" t="s">
        <v>6275</v>
      </c>
      <c r="F2866" s="3"/>
      <c r="G2866" s="3"/>
      <c r="H2866" s="3"/>
      <c r="I2866" s="3"/>
      <c r="J2866" s="3">
        <v>0</v>
      </c>
      <c r="K2866" s="3">
        <v>0</v>
      </c>
      <c r="L2866" s="3">
        <v>0</v>
      </c>
      <c r="M2866" s="3">
        <v>0</v>
      </c>
      <c r="N2866" s="3">
        <v>0</v>
      </c>
      <c r="O2866" s="3"/>
      <c r="P2866" s="3">
        <v>0</v>
      </c>
      <c r="Q2866" s="3">
        <v>0</v>
      </c>
      <c r="R2866" s="3">
        <v>0</v>
      </c>
    </row>
    <row r="2867" spans="1:18">
      <c r="A2867" s="3" t="s">
        <v>10400</v>
      </c>
      <c r="B2867" s="3" t="s">
        <v>10401</v>
      </c>
      <c r="C2867" s="3" t="s">
        <v>1491</v>
      </c>
      <c r="D2867" s="3"/>
      <c r="E2867" s="3" t="s">
        <v>6275</v>
      </c>
      <c r="F2867" s="3"/>
      <c r="G2867" s="3"/>
      <c r="H2867" s="3"/>
      <c r="I2867" s="3"/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/>
      <c r="P2867" s="3">
        <v>0</v>
      </c>
      <c r="Q2867" s="3">
        <v>0</v>
      </c>
      <c r="R2867" s="3">
        <v>0</v>
      </c>
    </row>
    <row r="2868" spans="1:18">
      <c r="A2868" s="3" t="s">
        <v>10402</v>
      </c>
      <c r="B2868" s="3" t="s">
        <v>10403</v>
      </c>
      <c r="C2868" s="3" t="s">
        <v>473</v>
      </c>
      <c r="D2868" s="3"/>
      <c r="E2868" s="3" t="s">
        <v>6275</v>
      </c>
      <c r="F2868" s="3"/>
      <c r="G2868" s="3"/>
      <c r="H2868" s="3"/>
      <c r="I2868" s="3"/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/>
      <c r="P2868" s="3">
        <v>0</v>
      </c>
      <c r="Q2868" s="3">
        <v>0</v>
      </c>
      <c r="R2868" s="3">
        <v>0</v>
      </c>
    </row>
    <row r="2869" spans="1:18">
      <c r="A2869" s="3" t="s">
        <v>10404</v>
      </c>
      <c r="B2869" s="3" t="s">
        <v>10405</v>
      </c>
      <c r="C2869" s="3" t="s">
        <v>485</v>
      </c>
      <c r="D2869" s="3"/>
      <c r="E2869" s="3" t="s">
        <v>6275</v>
      </c>
      <c r="F2869" s="3"/>
      <c r="G2869" s="3"/>
      <c r="H2869" s="3"/>
      <c r="I2869" s="3"/>
      <c r="J2869" s="3">
        <v>0</v>
      </c>
      <c r="K2869" s="3">
        <v>0</v>
      </c>
      <c r="L2869" s="3">
        <v>0</v>
      </c>
      <c r="M2869" s="3">
        <v>0</v>
      </c>
      <c r="N2869" s="3">
        <v>0</v>
      </c>
      <c r="O2869" s="3"/>
      <c r="P2869" s="3">
        <v>0</v>
      </c>
      <c r="Q2869" s="3">
        <v>0</v>
      </c>
      <c r="R2869" s="3">
        <v>0</v>
      </c>
    </row>
    <row r="2870" spans="1:18">
      <c r="A2870" s="3" t="s">
        <v>10406</v>
      </c>
      <c r="B2870" s="3" t="s">
        <v>10407</v>
      </c>
      <c r="C2870" s="3" t="s">
        <v>477</v>
      </c>
      <c r="D2870" s="3"/>
      <c r="E2870" s="3" t="s">
        <v>6275</v>
      </c>
      <c r="F2870" s="3"/>
      <c r="G2870" s="3"/>
      <c r="H2870" s="3"/>
      <c r="I2870" s="3"/>
      <c r="J2870" s="3">
        <v>0</v>
      </c>
      <c r="K2870" s="3">
        <v>0</v>
      </c>
      <c r="L2870" s="3">
        <v>0</v>
      </c>
      <c r="M2870" s="3">
        <v>0</v>
      </c>
      <c r="N2870" s="3">
        <v>0</v>
      </c>
      <c r="O2870" s="3"/>
      <c r="P2870" s="3">
        <v>0</v>
      </c>
      <c r="Q2870" s="3">
        <v>0</v>
      </c>
      <c r="R2870" s="3">
        <v>0</v>
      </c>
    </row>
    <row r="2871" spans="1:18">
      <c r="A2871" s="3" t="s">
        <v>10408</v>
      </c>
      <c r="B2871" s="3" t="s">
        <v>10409</v>
      </c>
      <c r="C2871" s="3" t="s">
        <v>449</v>
      </c>
      <c r="D2871" s="3"/>
      <c r="E2871" s="3" t="s">
        <v>6275</v>
      </c>
      <c r="F2871" s="3"/>
      <c r="G2871" s="3"/>
      <c r="H2871" s="3"/>
      <c r="I2871" s="3"/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/>
      <c r="P2871" s="3">
        <v>0</v>
      </c>
      <c r="Q2871" s="3">
        <v>0</v>
      </c>
      <c r="R2871" s="3">
        <v>0</v>
      </c>
    </row>
    <row r="2872" spans="1:18">
      <c r="A2872" s="3" t="s">
        <v>10410</v>
      </c>
      <c r="B2872" s="3" t="s">
        <v>10411</v>
      </c>
      <c r="C2872" s="3" t="s">
        <v>489</v>
      </c>
      <c r="D2872" s="3"/>
      <c r="E2872" s="3" t="s">
        <v>6275</v>
      </c>
      <c r="F2872" s="3"/>
      <c r="G2872" s="3"/>
      <c r="H2872" s="3"/>
      <c r="I2872" s="3"/>
      <c r="J2872" s="3">
        <v>0</v>
      </c>
      <c r="K2872" s="3">
        <v>0</v>
      </c>
      <c r="L2872" s="3">
        <v>0</v>
      </c>
      <c r="M2872" s="3">
        <v>0</v>
      </c>
      <c r="N2872" s="3">
        <v>0</v>
      </c>
      <c r="O2872" s="3"/>
      <c r="P2872" s="3">
        <v>0</v>
      </c>
      <c r="Q2872" s="3">
        <v>0</v>
      </c>
      <c r="R2872" s="3">
        <v>0</v>
      </c>
    </row>
    <row r="2873" spans="1:18">
      <c r="A2873" s="3" t="s">
        <v>10412</v>
      </c>
      <c r="B2873" s="3" t="s">
        <v>10413</v>
      </c>
      <c r="C2873" s="3" t="s">
        <v>481</v>
      </c>
      <c r="D2873" s="3"/>
      <c r="E2873" s="3" t="s">
        <v>6275</v>
      </c>
      <c r="F2873" s="3"/>
      <c r="G2873" s="3"/>
      <c r="H2873" s="3"/>
      <c r="I2873" s="3"/>
      <c r="J2873" s="3">
        <v>0</v>
      </c>
      <c r="K2873" s="3">
        <v>0</v>
      </c>
      <c r="L2873" s="3">
        <v>0</v>
      </c>
      <c r="M2873" s="3">
        <v>0</v>
      </c>
      <c r="N2873" s="3">
        <v>0</v>
      </c>
      <c r="O2873" s="3"/>
      <c r="P2873" s="3">
        <v>0</v>
      </c>
      <c r="Q2873" s="3">
        <v>0</v>
      </c>
      <c r="R2873" s="3">
        <v>0</v>
      </c>
    </row>
    <row r="2874" spans="1:18">
      <c r="A2874" s="3" t="s">
        <v>10414</v>
      </c>
      <c r="B2874" s="3" t="s">
        <v>10415</v>
      </c>
      <c r="C2874" s="3" t="s">
        <v>457</v>
      </c>
      <c r="D2874" s="3"/>
      <c r="E2874" s="3" t="s">
        <v>6275</v>
      </c>
      <c r="F2874" s="3"/>
      <c r="G2874" s="3"/>
      <c r="H2874" s="3"/>
      <c r="I2874" s="3"/>
      <c r="J2874" s="3">
        <v>0</v>
      </c>
      <c r="K2874" s="3">
        <v>0</v>
      </c>
      <c r="L2874" s="3">
        <v>0</v>
      </c>
      <c r="M2874" s="3">
        <v>0</v>
      </c>
      <c r="N2874" s="3">
        <v>0</v>
      </c>
      <c r="O2874" s="3"/>
      <c r="P2874" s="3">
        <v>0</v>
      </c>
      <c r="Q2874" s="3">
        <v>0</v>
      </c>
      <c r="R2874" s="3">
        <v>0</v>
      </c>
    </row>
    <row r="2875" spans="1:18">
      <c r="A2875" s="3" t="s">
        <v>10416</v>
      </c>
      <c r="B2875" s="3" t="s">
        <v>10417</v>
      </c>
      <c r="C2875" s="3" t="s">
        <v>497</v>
      </c>
      <c r="D2875" s="3"/>
      <c r="E2875" s="3" t="s">
        <v>6275</v>
      </c>
      <c r="F2875" s="3"/>
      <c r="G2875" s="3"/>
      <c r="H2875" s="3"/>
      <c r="I2875" s="3"/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/>
      <c r="P2875" s="3">
        <v>0</v>
      </c>
      <c r="Q2875" s="3">
        <v>0</v>
      </c>
      <c r="R2875" s="3">
        <v>0</v>
      </c>
    </row>
    <row r="2876" spans="1:18">
      <c r="A2876" s="3" t="s">
        <v>10418</v>
      </c>
      <c r="B2876" s="3" t="s">
        <v>10419</v>
      </c>
      <c r="C2876" s="3" t="s">
        <v>377</v>
      </c>
      <c r="D2876" s="3"/>
      <c r="E2876" s="3" t="s">
        <v>6275</v>
      </c>
      <c r="F2876" s="3"/>
      <c r="G2876" s="3"/>
      <c r="H2876" s="3"/>
      <c r="I2876" s="3"/>
      <c r="J2876" s="3">
        <v>0</v>
      </c>
      <c r="K2876" s="3">
        <v>0</v>
      </c>
      <c r="L2876" s="3">
        <v>0</v>
      </c>
      <c r="M2876" s="3">
        <v>0</v>
      </c>
      <c r="N2876" s="3">
        <v>0</v>
      </c>
      <c r="O2876" s="3"/>
      <c r="P2876" s="3">
        <v>0</v>
      </c>
      <c r="Q2876" s="3">
        <v>0</v>
      </c>
      <c r="R2876" s="3">
        <v>0</v>
      </c>
    </row>
    <row r="2877" spans="1:18">
      <c r="A2877" s="3" t="s">
        <v>10420</v>
      </c>
      <c r="B2877" s="3" t="s">
        <v>10421</v>
      </c>
      <c r="C2877" s="3" t="s">
        <v>493</v>
      </c>
      <c r="D2877" s="3"/>
      <c r="E2877" s="3" t="s">
        <v>6275</v>
      </c>
      <c r="F2877" s="3"/>
      <c r="G2877" s="3"/>
      <c r="H2877" s="3"/>
      <c r="I2877" s="3"/>
      <c r="J2877" s="3">
        <v>0</v>
      </c>
      <c r="K2877" s="3">
        <v>0</v>
      </c>
      <c r="L2877" s="3">
        <v>0</v>
      </c>
      <c r="M2877" s="3">
        <v>0</v>
      </c>
      <c r="N2877" s="3">
        <v>0</v>
      </c>
      <c r="O2877" s="3"/>
      <c r="P2877" s="3">
        <v>0</v>
      </c>
      <c r="Q2877" s="3">
        <v>0</v>
      </c>
      <c r="R2877" s="3">
        <v>0</v>
      </c>
    </row>
    <row r="2878" spans="1:18">
      <c r="A2878" s="3" t="s">
        <v>10422</v>
      </c>
      <c r="B2878" s="3" t="s">
        <v>10423</v>
      </c>
      <c r="C2878" s="3" t="s">
        <v>401</v>
      </c>
      <c r="D2878" s="3"/>
      <c r="E2878" s="3" t="s">
        <v>6275</v>
      </c>
      <c r="F2878" s="3"/>
      <c r="G2878" s="3"/>
      <c r="H2878" s="3"/>
      <c r="I2878" s="3"/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/>
      <c r="P2878" s="3">
        <v>0</v>
      </c>
      <c r="Q2878" s="3">
        <v>0</v>
      </c>
      <c r="R2878" s="3">
        <v>0</v>
      </c>
    </row>
    <row r="2879" spans="1:18">
      <c r="A2879" s="3" t="s">
        <v>10424</v>
      </c>
      <c r="B2879" s="3" t="s">
        <v>10425</v>
      </c>
      <c r="C2879" s="3" t="s">
        <v>381</v>
      </c>
      <c r="D2879" s="3"/>
      <c r="E2879" s="3" t="s">
        <v>6275</v>
      </c>
      <c r="F2879" s="3"/>
      <c r="G2879" s="3"/>
      <c r="H2879" s="3"/>
      <c r="I2879" s="3"/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/>
      <c r="P2879" s="3">
        <v>0</v>
      </c>
      <c r="Q2879" s="3">
        <v>0</v>
      </c>
      <c r="R2879" s="3">
        <v>0</v>
      </c>
    </row>
    <row r="2880" spans="1:18">
      <c r="A2880" s="3" t="s">
        <v>10426</v>
      </c>
      <c r="B2880" s="3" t="s">
        <v>10427</v>
      </c>
      <c r="C2880" s="3" t="s">
        <v>417</v>
      </c>
      <c r="D2880" s="3"/>
      <c r="E2880" s="3" t="s">
        <v>6275</v>
      </c>
      <c r="F2880" s="3"/>
      <c r="G2880" s="3"/>
      <c r="H2880" s="3"/>
      <c r="I2880" s="3"/>
      <c r="J2880" s="3">
        <v>0</v>
      </c>
      <c r="K2880" s="3">
        <v>0</v>
      </c>
      <c r="L2880" s="3">
        <v>0</v>
      </c>
      <c r="M2880" s="3">
        <v>0</v>
      </c>
      <c r="N2880" s="3">
        <v>0</v>
      </c>
      <c r="O2880" s="3"/>
      <c r="P2880" s="3">
        <v>0</v>
      </c>
      <c r="Q2880" s="3">
        <v>0</v>
      </c>
      <c r="R2880" s="3">
        <v>0</v>
      </c>
    </row>
    <row r="2881" spans="1:18">
      <c r="A2881" s="3" t="s">
        <v>10428</v>
      </c>
      <c r="B2881" s="3" t="s">
        <v>10429</v>
      </c>
      <c r="C2881" s="3" t="s">
        <v>501</v>
      </c>
      <c r="D2881" s="3"/>
      <c r="E2881" s="3" t="s">
        <v>6275</v>
      </c>
      <c r="F2881" s="3"/>
      <c r="G2881" s="3"/>
      <c r="H2881" s="3"/>
      <c r="I2881" s="3"/>
      <c r="J2881" s="3">
        <v>0</v>
      </c>
      <c r="K2881" s="3">
        <v>0</v>
      </c>
      <c r="L2881" s="3">
        <v>0</v>
      </c>
      <c r="M2881" s="3">
        <v>0</v>
      </c>
      <c r="N2881" s="3">
        <v>0</v>
      </c>
      <c r="O2881" s="3"/>
      <c r="P2881" s="3">
        <v>0</v>
      </c>
      <c r="Q2881" s="3">
        <v>0</v>
      </c>
      <c r="R2881" s="3">
        <v>0</v>
      </c>
    </row>
    <row r="2882" spans="1:18">
      <c r="A2882" s="3" t="s">
        <v>10430</v>
      </c>
      <c r="B2882" s="3" t="s">
        <v>10431</v>
      </c>
      <c r="C2882" s="3" t="s">
        <v>409</v>
      </c>
      <c r="D2882" s="3"/>
      <c r="E2882" s="3" t="s">
        <v>6275</v>
      </c>
      <c r="F2882" s="3"/>
      <c r="G2882" s="3"/>
      <c r="H2882" s="3"/>
      <c r="I2882" s="3"/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/>
      <c r="P2882" s="3">
        <v>0</v>
      </c>
      <c r="Q2882" s="3">
        <v>0</v>
      </c>
      <c r="R2882" s="3">
        <v>0</v>
      </c>
    </row>
    <row r="2883" spans="1:18">
      <c r="A2883" s="3" t="s">
        <v>10432</v>
      </c>
      <c r="B2883" s="3" t="s">
        <v>10433</v>
      </c>
      <c r="C2883" s="3" t="s">
        <v>356</v>
      </c>
      <c r="D2883" s="3"/>
      <c r="E2883" s="3" t="s">
        <v>6275</v>
      </c>
      <c r="F2883" s="3"/>
      <c r="G2883" s="3"/>
      <c r="H2883" s="3"/>
      <c r="I2883" s="3"/>
      <c r="J2883" s="3">
        <v>0</v>
      </c>
      <c r="K2883" s="3">
        <v>0</v>
      </c>
      <c r="L2883" s="3">
        <v>0</v>
      </c>
      <c r="M2883" s="3">
        <v>0</v>
      </c>
      <c r="N2883" s="3">
        <v>0</v>
      </c>
      <c r="O2883" s="3"/>
      <c r="P2883" s="3">
        <v>0</v>
      </c>
      <c r="Q2883" s="3">
        <v>0</v>
      </c>
      <c r="R2883" s="3">
        <v>0</v>
      </c>
    </row>
    <row r="2884" spans="1:18">
      <c r="A2884" s="3" t="s">
        <v>10434</v>
      </c>
      <c r="B2884" s="3" t="s">
        <v>10435</v>
      </c>
      <c r="C2884" s="3" t="s">
        <v>363</v>
      </c>
      <c r="D2884" s="3"/>
      <c r="E2884" s="3" t="s">
        <v>6275</v>
      </c>
      <c r="F2884" s="3"/>
      <c r="G2884" s="3"/>
      <c r="H2884" s="3"/>
      <c r="I2884" s="3"/>
      <c r="J2884" s="3">
        <v>0</v>
      </c>
      <c r="K2884" s="3">
        <v>0</v>
      </c>
      <c r="L2884" s="3">
        <v>0</v>
      </c>
      <c r="M2884" s="3">
        <v>0</v>
      </c>
      <c r="N2884" s="3">
        <v>0</v>
      </c>
      <c r="O2884" s="3"/>
      <c r="P2884" s="3">
        <v>0</v>
      </c>
      <c r="Q2884" s="3">
        <v>0</v>
      </c>
      <c r="R2884" s="3">
        <v>0</v>
      </c>
    </row>
    <row r="2885" spans="1:18">
      <c r="A2885" s="3" t="s">
        <v>10436</v>
      </c>
      <c r="B2885" s="3" t="s">
        <v>10437</v>
      </c>
      <c r="C2885" s="3" t="s">
        <v>453</v>
      </c>
      <c r="D2885" s="3"/>
      <c r="E2885" s="3" t="s">
        <v>6275</v>
      </c>
      <c r="F2885" s="3"/>
      <c r="G2885" s="3"/>
      <c r="H2885" s="3"/>
      <c r="I2885" s="3"/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/>
      <c r="P2885" s="3">
        <v>0</v>
      </c>
      <c r="Q2885" s="3">
        <v>0</v>
      </c>
      <c r="R2885" s="3">
        <v>0</v>
      </c>
    </row>
    <row r="2886" spans="1:18">
      <c r="A2886" s="3" t="s">
        <v>10438</v>
      </c>
      <c r="B2886" s="3" t="s">
        <v>10439</v>
      </c>
      <c r="C2886" s="3" t="s">
        <v>373</v>
      </c>
      <c r="D2886" s="3"/>
      <c r="E2886" s="3" t="s">
        <v>6275</v>
      </c>
      <c r="F2886" s="3"/>
      <c r="G2886" s="3"/>
      <c r="H2886" s="3"/>
      <c r="I2886" s="3"/>
      <c r="J2886" s="3">
        <v>0</v>
      </c>
      <c r="K2886" s="3">
        <v>0</v>
      </c>
      <c r="L2886" s="3">
        <v>0</v>
      </c>
      <c r="M2886" s="3">
        <v>0</v>
      </c>
      <c r="N2886" s="3">
        <v>0</v>
      </c>
      <c r="O2886" s="3"/>
      <c r="P2886" s="3">
        <v>0</v>
      </c>
      <c r="Q2886" s="3">
        <v>0</v>
      </c>
      <c r="R2886" s="3">
        <v>0</v>
      </c>
    </row>
    <row r="2887" spans="1:18">
      <c r="A2887" s="3" t="s">
        <v>10440</v>
      </c>
      <c r="B2887" s="3" t="s">
        <v>10441</v>
      </c>
      <c r="C2887" s="3" t="s">
        <v>397</v>
      </c>
      <c r="D2887" s="3"/>
      <c r="E2887" s="3" t="s">
        <v>6275</v>
      </c>
      <c r="F2887" s="3"/>
      <c r="G2887" s="3"/>
      <c r="H2887" s="3"/>
      <c r="I2887" s="3"/>
      <c r="J2887" s="3">
        <v>0</v>
      </c>
      <c r="K2887" s="3">
        <v>0</v>
      </c>
      <c r="L2887" s="3">
        <v>0</v>
      </c>
      <c r="M2887" s="3">
        <v>0</v>
      </c>
      <c r="N2887" s="3">
        <v>0</v>
      </c>
      <c r="O2887" s="3"/>
      <c r="P2887" s="3">
        <v>0</v>
      </c>
      <c r="Q2887" s="3">
        <v>0</v>
      </c>
      <c r="R2887" s="3">
        <v>0</v>
      </c>
    </row>
    <row r="2888" spans="1:18">
      <c r="A2888" s="3" t="s">
        <v>10442</v>
      </c>
      <c r="B2888" s="3" t="s">
        <v>10443</v>
      </c>
      <c r="C2888" s="3" t="s">
        <v>1664</v>
      </c>
      <c r="D2888" s="3"/>
      <c r="E2888" s="3" t="s">
        <v>6275</v>
      </c>
      <c r="F2888" s="3"/>
      <c r="G2888" s="3"/>
      <c r="H2888" s="3"/>
      <c r="I2888" s="3"/>
      <c r="J2888" s="3">
        <v>0</v>
      </c>
      <c r="K2888" s="3">
        <v>0</v>
      </c>
      <c r="L2888" s="3">
        <v>0</v>
      </c>
      <c r="M2888" s="3">
        <v>0</v>
      </c>
      <c r="N2888" s="3">
        <v>0</v>
      </c>
      <c r="O2888" s="3"/>
      <c r="P2888" s="3">
        <v>0</v>
      </c>
      <c r="Q2888" s="3">
        <v>0</v>
      </c>
      <c r="R2888" s="3">
        <v>0</v>
      </c>
    </row>
    <row r="2889" spans="1:18">
      <c r="A2889" s="3" t="s">
        <v>10444</v>
      </c>
      <c r="B2889" s="3" t="s">
        <v>10445</v>
      </c>
      <c r="C2889" s="3" t="s">
        <v>1603</v>
      </c>
      <c r="D2889" s="3"/>
      <c r="E2889" s="3" t="s">
        <v>6275</v>
      </c>
      <c r="F2889" s="3"/>
      <c r="G2889" s="3"/>
      <c r="H2889" s="3"/>
      <c r="I2889" s="3"/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/>
      <c r="P2889" s="3">
        <v>0</v>
      </c>
      <c r="Q2889" s="3">
        <v>0</v>
      </c>
      <c r="R2889" s="3">
        <v>0</v>
      </c>
    </row>
    <row r="2890" spans="1:18">
      <c r="A2890" s="3" t="s">
        <v>10446</v>
      </c>
      <c r="B2890" s="3" t="s">
        <v>10447</v>
      </c>
      <c r="C2890" s="3" t="s">
        <v>1629</v>
      </c>
      <c r="D2890" s="3"/>
      <c r="E2890" s="3" t="s">
        <v>6275</v>
      </c>
      <c r="F2890" s="3"/>
      <c r="G2890" s="3"/>
      <c r="H2890" s="3"/>
      <c r="I2890" s="3"/>
      <c r="J2890" s="3">
        <v>0</v>
      </c>
      <c r="K2890" s="3">
        <v>0</v>
      </c>
      <c r="L2890" s="3">
        <v>0</v>
      </c>
      <c r="M2890" s="3">
        <v>0</v>
      </c>
      <c r="N2890" s="3">
        <v>0</v>
      </c>
      <c r="O2890" s="3"/>
      <c r="P2890" s="3">
        <v>0</v>
      </c>
      <c r="Q2890" s="3">
        <v>0</v>
      </c>
      <c r="R2890" s="3">
        <v>0</v>
      </c>
    </row>
    <row r="2891" spans="1:18">
      <c r="A2891" s="3" t="s">
        <v>10448</v>
      </c>
      <c r="B2891" s="3" t="s">
        <v>10449</v>
      </c>
      <c r="C2891" s="3" t="s">
        <v>1559</v>
      </c>
      <c r="D2891" s="3"/>
      <c r="E2891" s="3" t="s">
        <v>6275</v>
      </c>
      <c r="F2891" s="3"/>
      <c r="G2891" s="3"/>
      <c r="H2891" s="3"/>
      <c r="I2891" s="3"/>
      <c r="J2891" s="3">
        <v>0</v>
      </c>
      <c r="K2891" s="3">
        <v>0</v>
      </c>
      <c r="L2891" s="3">
        <v>0</v>
      </c>
      <c r="M2891" s="3">
        <v>0</v>
      </c>
      <c r="N2891" s="3">
        <v>0</v>
      </c>
      <c r="O2891" s="3"/>
      <c r="P2891" s="3">
        <v>0</v>
      </c>
      <c r="Q2891" s="3">
        <v>0</v>
      </c>
      <c r="R2891" s="3">
        <v>0</v>
      </c>
    </row>
    <row r="2892" spans="1:18">
      <c r="A2892" s="3" t="s">
        <v>10450</v>
      </c>
      <c r="B2892" s="3" t="s">
        <v>10451</v>
      </c>
      <c r="C2892" s="3" t="s">
        <v>1668</v>
      </c>
      <c r="D2892" s="3"/>
      <c r="E2892" s="3" t="s">
        <v>6275</v>
      </c>
      <c r="F2892" s="3"/>
      <c r="G2892" s="3"/>
      <c r="H2892" s="3"/>
      <c r="I2892" s="3"/>
      <c r="J2892" s="3">
        <v>0</v>
      </c>
      <c r="K2892" s="3">
        <v>0</v>
      </c>
      <c r="L2892" s="3">
        <v>0</v>
      </c>
      <c r="M2892" s="3">
        <v>0</v>
      </c>
      <c r="N2892" s="3">
        <v>0</v>
      </c>
      <c r="O2892" s="3"/>
      <c r="P2892" s="3">
        <v>0</v>
      </c>
      <c r="Q2892" s="3">
        <v>0</v>
      </c>
      <c r="R2892" s="3">
        <v>0</v>
      </c>
    </row>
    <row r="2893" spans="1:18">
      <c r="A2893" s="3" t="s">
        <v>10452</v>
      </c>
      <c r="B2893" s="3" t="s">
        <v>10453</v>
      </c>
      <c r="C2893" s="3" t="s">
        <v>1575</v>
      </c>
      <c r="D2893" s="3"/>
      <c r="E2893" s="3" t="s">
        <v>6275</v>
      </c>
      <c r="F2893" s="3"/>
      <c r="G2893" s="3"/>
      <c r="H2893" s="3"/>
      <c r="I2893" s="3"/>
      <c r="J2893" s="3">
        <v>0</v>
      </c>
      <c r="K2893" s="3">
        <v>0</v>
      </c>
      <c r="L2893" s="3">
        <v>0</v>
      </c>
      <c r="M2893" s="3">
        <v>0</v>
      </c>
      <c r="N2893" s="3">
        <v>0</v>
      </c>
      <c r="O2893" s="3"/>
      <c r="P2893" s="3">
        <v>0</v>
      </c>
      <c r="Q2893" s="3">
        <v>0</v>
      </c>
      <c r="R2893" s="3">
        <v>0</v>
      </c>
    </row>
    <row r="2894" spans="1:18">
      <c r="A2894" s="3" t="s">
        <v>10454</v>
      </c>
      <c r="B2894" s="3" t="s">
        <v>10455</v>
      </c>
      <c r="C2894" s="3" t="s">
        <v>1645</v>
      </c>
      <c r="D2894" s="3"/>
      <c r="E2894" s="3" t="s">
        <v>6275</v>
      </c>
      <c r="F2894" s="3"/>
      <c r="G2894" s="3"/>
      <c r="H2894" s="3"/>
      <c r="I2894" s="3"/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/>
      <c r="P2894" s="3">
        <v>0</v>
      </c>
      <c r="Q2894" s="3">
        <v>0</v>
      </c>
      <c r="R2894" s="3">
        <v>0</v>
      </c>
    </row>
    <row r="2895" spans="1:18">
      <c r="A2895" s="3" t="s">
        <v>10456</v>
      </c>
      <c r="B2895" s="3" t="s">
        <v>10457</v>
      </c>
      <c r="C2895" s="3" t="s">
        <v>1653</v>
      </c>
      <c r="D2895" s="3"/>
      <c r="E2895" s="3" t="s">
        <v>6275</v>
      </c>
      <c r="F2895" s="3"/>
      <c r="G2895" s="3"/>
      <c r="H2895" s="3"/>
      <c r="I2895" s="3"/>
      <c r="J2895" s="3">
        <v>0</v>
      </c>
      <c r="K2895" s="3">
        <v>0</v>
      </c>
      <c r="L2895" s="3">
        <v>0</v>
      </c>
      <c r="M2895" s="3">
        <v>0</v>
      </c>
      <c r="N2895" s="3">
        <v>0</v>
      </c>
      <c r="O2895" s="3"/>
      <c r="P2895" s="3">
        <v>0</v>
      </c>
      <c r="Q2895" s="3">
        <v>0</v>
      </c>
      <c r="R2895" s="3">
        <v>0</v>
      </c>
    </row>
    <row r="2896" spans="1:18">
      <c r="A2896" s="3" t="s">
        <v>10458</v>
      </c>
      <c r="B2896" s="3" t="s">
        <v>10459</v>
      </c>
      <c r="C2896" s="3" t="s">
        <v>1621</v>
      </c>
      <c r="D2896" s="3"/>
      <c r="E2896" s="3" t="s">
        <v>6275</v>
      </c>
      <c r="F2896" s="3"/>
      <c r="G2896" s="3"/>
      <c r="H2896" s="3"/>
      <c r="I2896" s="3"/>
      <c r="J2896" s="3">
        <v>0</v>
      </c>
      <c r="K2896" s="3">
        <v>0</v>
      </c>
      <c r="L2896" s="3">
        <v>0</v>
      </c>
      <c r="M2896" s="3">
        <v>0</v>
      </c>
      <c r="N2896" s="3">
        <v>0</v>
      </c>
      <c r="O2896" s="3"/>
      <c r="P2896" s="3">
        <v>0</v>
      </c>
      <c r="Q2896" s="3">
        <v>0</v>
      </c>
      <c r="R2896" s="3">
        <v>0</v>
      </c>
    </row>
    <row r="2897" spans="1:18">
      <c r="A2897" s="3" t="s">
        <v>10460</v>
      </c>
      <c r="B2897" s="3" t="s">
        <v>10461</v>
      </c>
      <c r="C2897" s="3" t="s">
        <v>1614</v>
      </c>
      <c r="D2897" s="3" t="s">
        <v>1615</v>
      </c>
      <c r="E2897" s="3" t="s">
        <v>1710</v>
      </c>
      <c r="F2897" s="3">
        <v>29.99</v>
      </c>
      <c r="G2897" s="3" t="s">
        <v>6233</v>
      </c>
      <c r="H2897" s="3"/>
      <c r="I2897" s="3" t="s">
        <v>6234</v>
      </c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>
        <v>0.06</v>
      </c>
      <c r="P2897" s="3">
        <v>0</v>
      </c>
      <c r="Q2897" s="3">
        <v>0</v>
      </c>
      <c r="R2897" s="3">
        <v>0</v>
      </c>
    </row>
    <row r="2898" spans="1:18">
      <c r="A2898" s="3" t="s">
        <v>10462</v>
      </c>
      <c r="B2898" s="3" t="s">
        <v>10463</v>
      </c>
      <c r="C2898" s="3" t="s">
        <v>1610</v>
      </c>
      <c r="D2898" s="3"/>
      <c r="E2898" s="3" t="s">
        <v>6275</v>
      </c>
      <c r="F2898" s="3"/>
      <c r="G2898" s="3"/>
      <c r="H2898" s="3"/>
      <c r="I2898" s="3"/>
      <c r="J2898" s="3">
        <v>0</v>
      </c>
      <c r="K2898" s="3">
        <v>0</v>
      </c>
      <c r="L2898" s="3">
        <v>0</v>
      </c>
      <c r="M2898" s="3">
        <v>0</v>
      </c>
      <c r="N2898" s="3">
        <v>0</v>
      </c>
      <c r="O2898" s="3"/>
      <c r="P2898" s="3">
        <v>0</v>
      </c>
      <c r="Q2898" s="3">
        <v>0</v>
      </c>
      <c r="R2898" s="3">
        <v>0</v>
      </c>
    </row>
    <row r="2899" spans="1:18">
      <c r="A2899" s="3" t="s">
        <v>10464</v>
      </c>
      <c r="B2899" s="3" t="s">
        <v>10465</v>
      </c>
      <c r="C2899" s="3" t="s">
        <v>1579</v>
      </c>
      <c r="D2899" s="3"/>
      <c r="E2899" s="3" t="s">
        <v>6275</v>
      </c>
      <c r="F2899" s="3"/>
      <c r="G2899" s="3"/>
      <c r="H2899" s="3"/>
      <c r="I2899" s="3"/>
      <c r="J2899" s="3">
        <v>0</v>
      </c>
      <c r="K2899" s="3">
        <v>0</v>
      </c>
      <c r="L2899" s="3">
        <v>0</v>
      </c>
      <c r="M2899" s="3">
        <v>0</v>
      </c>
      <c r="N2899" s="3">
        <v>0</v>
      </c>
      <c r="O2899" s="3"/>
      <c r="P2899" s="3">
        <v>0</v>
      </c>
      <c r="Q2899" s="3">
        <v>0</v>
      </c>
      <c r="R2899" s="3">
        <v>0</v>
      </c>
    </row>
    <row r="2900" spans="1:18">
      <c r="A2900" s="3" t="s">
        <v>10466</v>
      </c>
      <c r="B2900" s="3" t="s">
        <v>10467</v>
      </c>
      <c r="C2900" s="3" t="s">
        <v>1672</v>
      </c>
      <c r="D2900" s="3"/>
      <c r="E2900" s="3" t="s">
        <v>6275</v>
      </c>
      <c r="F2900" s="3"/>
      <c r="G2900" s="3"/>
      <c r="H2900" s="3"/>
      <c r="I2900" s="3"/>
      <c r="J2900" s="3">
        <v>0</v>
      </c>
      <c r="K2900" s="3">
        <v>0</v>
      </c>
      <c r="L2900" s="3">
        <v>0</v>
      </c>
      <c r="M2900" s="3">
        <v>0</v>
      </c>
      <c r="N2900" s="3">
        <v>0</v>
      </c>
      <c r="O2900" s="3"/>
      <c r="P2900" s="3">
        <v>0</v>
      </c>
      <c r="Q2900" s="3">
        <v>0</v>
      </c>
      <c r="R2900" s="3">
        <v>0</v>
      </c>
    </row>
    <row r="2901" spans="1:18">
      <c r="A2901" s="3" t="s">
        <v>10468</v>
      </c>
      <c r="B2901" s="3" t="s">
        <v>10469</v>
      </c>
      <c r="C2901" s="3" t="s">
        <v>1551</v>
      </c>
      <c r="D2901" s="3"/>
      <c r="E2901" s="3" t="s">
        <v>6275</v>
      </c>
      <c r="F2901" s="3"/>
      <c r="G2901" s="3"/>
      <c r="H2901" s="3"/>
      <c r="I2901" s="3"/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/>
      <c r="P2901" s="3">
        <v>0</v>
      </c>
      <c r="Q2901" s="3">
        <v>0</v>
      </c>
      <c r="R2901" s="3">
        <v>0</v>
      </c>
    </row>
    <row r="2902" spans="1:18">
      <c r="A2902" s="3" t="s">
        <v>10470</v>
      </c>
      <c r="B2902" s="3" t="s">
        <v>10471</v>
      </c>
      <c r="C2902" s="3" t="s">
        <v>1595</v>
      </c>
      <c r="D2902" s="3"/>
      <c r="E2902" s="3" t="s">
        <v>6275</v>
      </c>
      <c r="F2902" s="3"/>
      <c r="G2902" s="3"/>
      <c r="H2902" s="3"/>
      <c r="I2902" s="3"/>
      <c r="J2902" s="3">
        <v>0</v>
      </c>
      <c r="K2902" s="3">
        <v>0</v>
      </c>
      <c r="L2902" s="3">
        <v>0</v>
      </c>
      <c r="M2902" s="3">
        <v>0</v>
      </c>
      <c r="N2902" s="3">
        <v>0</v>
      </c>
      <c r="O2902" s="3"/>
      <c r="P2902" s="3">
        <v>0</v>
      </c>
      <c r="Q2902" s="3">
        <v>0</v>
      </c>
      <c r="R2902" s="3">
        <v>0</v>
      </c>
    </row>
    <row r="2903" spans="1:18">
      <c r="A2903" s="3" t="s">
        <v>10472</v>
      </c>
      <c r="B2903" s="3" t="s">
        <v>10473</v>
      </c>
      <c r="C2903" s="3" t="s">
        <v>1543</v>
      </c>
      <c r="D2903" s="3"/>
      <c r="E2903" s="3" t="s">
        <v>6275</v>
      </c>
      <c r="F2903" s="3"/>
      <c r="G2903" s="3"/>
      <c r="H2903" s="3"/>
      <c r="I2903" s="3"/>
      <c r="J2903" s="3">
        <v>0</v>
      </c>
      <c r="K2903" s="3">
        <v>0</v>
      </c>
      <c r="L2903" s="3">
        <v>0</v>
      </c>
      <c r="M2903" s="3">
        <v>0</v>
      </c>
      <c r="N2903" s="3">
        <v>0</v>
      </c>
      <c r="O2903" s="3"/>
      <c r="P2903" s="3">
        <v>0</v>
      </c>
      <c r="Q2903" s="3">
        <v>0</v>
      </c>
      <c r="R2903" s="3">
        <v>0</v>
      </c>
    </row>
    <row r="2904" spans="1:18">
      <c r="A2904" s="3" t="s">
        <v>10474</v>
      </c>
      <c r="B2904" s="3" t="s">
        <v>10475</v>
      </c>
      <c r="C2904" s="3" t="s">
        <v>1547</v>
      </c>
      <c r="D2904" s="3"/>
      <c r="E2904" s="3" t="s">
        <v>6275</v>
      </c>
      <c r="F2904" s="3"/>
      <c r="G2904" s="3"/>
      <c r="H2904" s="3"/>
      <c r="I2904" s="3"/>
      <c r="J2904" s="3">
        <v>0</v>
      </c>
      <c r="K2904" s="3">
        <v>0</v>
      </c>
      <c r="L2904" s="3">
        <v>0</v>
      </c>
      <c r="M2904" s="3">
        <v>0</v>
      </c>
      <c r="N2904" s="3">
        <v>0</v>
      </c>
      <c r="O2904" s="3"/>
      <c r="P2904" s="3">
        <v>0</v>
      </c>
      <c r="Q2904" s="3">
        <v>0</v>
      </c>
      <c r="R2904" s="3">
        <v>0</v>
      </c>
    </row>
    <row r="2905" spans="1:18">
      <c r="A2905" s="3" t="s">
        <v>10476</v>
      </c>
      <c r="B2905" s="3" t="s">
        <v>10477</v>
      </c>
      <c r="C2905" s="3" t="s">
        <v>1555</v>
      </c>
      <c r="D2905" s="3"/>
      <c r="E2905" s="3" t="s">
        <v>6275</v>
      </c>
      <c r="F2905" s="3"/>
      <c r="G2905" s="3"/>
      <c r="H2905" s="3"/>
      <c r="I2905" s="3"/>
      <c r="J2905" s="3">
        <v>0</v>
      </c>
      <c r="K2905" s="3">
        <v>0</v>
      </c>
      <c r="L2905" s="3">
        <v>0</v>
      </c>
      <c r="M2905" s="3">
        <v>0</v>
      </c>
      <c r="N2905" s="3">
        <v>0</v>
      </c>
      <c r="O2905" s="3"/>
      <c r="P2905" s="3">
        <v>0</v>
      </c>
      <c r="Q2905" s="3">
        <v>0</v>
      </c>
      <c r="R2905" s="3">
        <v>0</v>
      </c>
    </row>
    <row r="2906" spans="1:18">
      <c r="A2906" s="3" t="s">
        <v>10478</v>
      </c>
      <c r="B2906" s="3" t="s">
        <v>10479</v>
      </c>
      <c r="C2906" s="3" t="s">
        <v>3437</v>
      </c>
      <c r="D2906" s="3"/>
      <c r="E2906" s="3" t="s">
        <v>6275</v>
      </c>
      <c r="F2906" s="3"/>
      <c r="G2906" s="3"/>
      <c r="H2906" s="3"/>
      <c r="I2906" s="3"/>
      <c r="J2906" s="3">
        <v>0</v>
      </c>
      <c r="K2906" s="3">
        <v>0</v>
      </c>
      <c r="L2906" s="3">
        <v>0</v>
      </c>
      <c r="M2906" s="3">
        <v>0</v>
      </c>
      <c r="N2906" s="3">
        <v>0</v>
      </c>
      <c r="O2906" s="3"/>
      <c r="P2906" s="3">
        <v>0</v>
      </c>
      <c r="Q2906" s="3">
        <v>0</v>
      </c>
      <c r="R2906" s="3">
        <v>0</v>
      </c>
    </row>
    <row r="2907" spans="1:18">
      <c r="A2907" s="3" t="s">
        <v>10480</v>
      </c>
      <c r="B2907" s="3" t="s">
        <v>10481</v>
      </c>
      <c r="C2907" s="3" t="s">
        <v>1571</v>
      </c>
      <c r="D2907" s="3"/>
      <c r="E2907" s="3" t="s">
        <v>6275</v>
      </c>
      <c r="F2907" s="3"/>
      <c r="G2907" s="3"/>
      <c r="H2907" s="3"/>
      <c r="I2907" s="3"/>
      <c r="J2907" s="3">
        <v>0</v>
      </c>
      <c r="K2907" s="3">
        <v>0</v>
      </c>
      <c r="L2907" s="3">
        <v>0</v>
      </c>
      <c r="M2907" s="3">
        <v>0</v>
      </c>
      <c r="N2907" s="3">
        <v>0</v>
      </c>
      <c r="O2907" s="3"/>
      <c r="P2907" s="3">
        <v>0</v>
      </c>
      <c r="Q2907" s="3">
        <v>0</v>
      </c>
      <c r="R2907" s="3">
        <v>0</v>
      </c>
    </row>
    <row r="2908" spans="1:18">
      <c r="A2908" s="3" t="s">
        <v>10482</v>
      </c>
      <c r="B2908" s="3" t="s">
        <v>10483</v>
      </c>
      <c r="C2908" s="3" t="s">
        <v>1649</v>
      </c>
      <c r="D2908" s="3"/>
      <c r="E2908" s="3" t="s">
        <v>6275</v>
      </c>
      <c r="F2908" s="3"/>
      <c r="G2908" s="3"/>
      <c r="H2908" s="3"/>
      <c r="I2908" s="3"/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/>
      <c r="P2908" s="3">
        <v>0</v>
      </c>
      <c r="Q2908" s="3">
        <v>0</v>
      </c>
      <c r="R2908" s="3">
        <v>0</v>
      </c>
    </row>
    <row r="2909" spans="1:18">
      <c r="A2909" s="3" t="s">
        <v>10484</v>
      </c>
      <c r="B2909" s="3" t="s">
        <v>10485</v>
      </c>
      <c r="C2909" s="3" t="s">
        <v>1567</v>
      </c>
      <c r="D2909" s="3"/>
      <c r="E2909" s="3" t="s">
        <v>6275</v>
      </c>
      <c r="F2909" s="3"/>
      <c r="G2909" s="3"/>
      <c r="H2909" s="3"/>
      <c r="I2909" s="3"/>
      <c r="J2909" s="3">
        <v>0</v>
      </c>
      <c r="K2909" s="3">
        <v>0</v>
      </c>
      <c r="L2909" s="3">
        <v>0</v>
      </c>
      <c r="M2909" s="3">
        <v>0</v>
      </c>
      <c r="N2909" s="3">
        <v>0</v>
      </c>
      <c r="O2909" s="3"/>
      <c r="P2909" s="3">
        <v>0</v>
      </c>
      <c r="Q2909" s="3">
        <v>0</v>
      </c>
      <c r="R2909" s="3">
        <v>0</v>
      </c>
    </row>
    <row r="2910" spans="1:18">
      <c r="A2910" s="3" t="s">
        <v>10486</v>
      </c>
      <c r="B2910" s="3" t="s">
        <v>10487</v>
      </c>
      <c r="C2910" s="3" t="s">
        <v>1587</v>
      </c>
      <c r="D2910" s="3"/>
      <c r="E2910" s="3" t="s">
        <v>6275</v>
      </c>
      <c r="F2910" s="3"/>
      <c r="G2910" s="3"/>
      <c r="H2910" s="3"/>
      <c r="I2910" s="3"/>
      <c r="J2910" s="3">
        <v>0</v>
      </c>
      <c r="K2910" s="3">
        <v>0</v>
      </c>
      <c r="L2910" s="3">
        <v>0</v>
      </c>
      <c r="M2910" s="3">
        <v>0</v>
      </c>
      <c r="N2910" s="3">
        <v>0</v>
      </c>
      <c r="O2910" s="3"/>
      <c r="P2910" s="3">
        <v>0</v>
      </c>
      <c r="Q2910" s="3">
        <v>0</v>
      </c>
      <c r="R2910" s="3">
        <v>0</v>
      </c>
    </row>
    <row r="2911" spans="1:18">
      <c r="A2911" s="3" t="s">
        <v>10488</v>
      </c>
      <c r="B2911" s="3" t="s">
        <v>10489</v>
      </c>
      <c r="C2911" s="3" t="s">
        <v>1583</v>
      </c>
      <c r="D2911" s="3"/>
      <c r="E2911" s="3" t="s">
        <v>6275</v>
      </c>
      <c r="F2911" s="3"/>
      <c r="G2911" s="3"/>
      <c r="H2911" s="3"/>
      <c r="I2911" s="3"/>
      <c r="J2911" s="3">
        <v>0</v>
      </c>
      <c r="K2911" s="3">
        <v>0</v>
      </c>
      <c r="L2911" s="3">
        <v>0</v>
      </c>
      <c r="M2911" s="3">
        <v>0</v>
      </c>
      <c r="N2911" s="3">
        <v>0</v>
      </c>
      <c r="O2911" s="3"/>
      <c r="P2911" s="3">
        <v>0</v>
      </c>
      <c r="Q2911" s="3">
        <v>0</v>
      </c>
      <c r="R2911" s="3">
        <v>0</v>
      </c>
    </row>
    <row r="2912" spans="1:18">
      <c r="A2912" s="3" t="s">
        <v>10490</v>
      </c>
      <c r="B2912" s="3" t="s">
        <v>10491</v>
      </c>
      <c r="C2912" s="3" t="s">
        <v>1607</v>
      </c>
      <c r="D2912" s="3"/>
      <c r="E2912" s="3" t="s">
        <v>6275</v>
      </c>
      <c r="F2912" s="3"/>
      <c r="G2912" s="3"/>
      <c r="H2912" s="3"/>
      <c r="I2912" s="3"/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/>
      <c r="P2912" s="3">
        <v>0</v>
      </c>
      <c r="Q2912" s="3">
        <v>0</v>
      </c>
      <c r="R2912" s="3">
        <v>0</v>
      </c>
    </row>
    <row r="2913" spans="1:18">
      <c r="A2913" s="3" t="s">
        <v>10492</v>
      </c>
      <c r="B2913" s="3" t="s">
        <v>10493</v>
      </c>
      <c r="C2913" s="3" t="s">
        <v>1641</v>
      </c>
      <c r="D2913" s="3"/>
      <c r="E2913" s="3" t="s">
        <v>6275</v>
      </c>
      <c r="F2913" s="3"/>
      <c r="G2913" s="3"/>
      <c r="H2913" s="3"/>
      <c r="I2913" s="3"/>
      <c r="J2913" s="3">
        <v>0</v>
      </c>
      <c r="K2913" s="3">
        <v>0</v>
      </c>
      <c r="L2913" s="3">
        <v>0</v>
      </c>
      <c r="M2913" s="3">
        <v>0</v>
      </c>
      <c r="N2913" s="3">
        <v>0</v>
      </c>
      <c r="O2913" s="3"/>
      <c r="P2913" s="3">
        <v>0</v>
      </c>
      <c r="Q2913" s="3">
        <v>0</v>
      </c>
      <c r="R2913" s="3">
        <v>0</v>
      </c>
    </row>
    <row r="2914" spans="1:18">
      <c r="A2914" s="3" t="s">
        <v>10494</v>
      </c>
      <c r="B2914" s="3" t="s">
        <v>10495</v>
      </c>
      <c r="C2914" s="3" t="s">
        <v>1618</v>
      </c>
      <c r="D2914" s="3"/>
      <c r="E2914" s="3" t="s">
        <v>6275</v>
      </c>
      <c r="F2914" s="3"/>
      <c r="G2914" s="3"/>
      <c r="H2914" s="3"/>
      <c r="I2914" s="3"/>
      <c r="J2914" s="3">
        <v>0</v>
      </c>
      <c r="K2914" s="3">
        <v>0</v>
      </c>
      <c r="L2914" s="3">
        <v>0</v>
      </c>
      <c r="M2914" s="3">
        <v>0</v>
      </c>
      <c r="N2914" s="3">
        <v>0</v>
      </c>
      <c r="O2914" s="3"/>
      <c r="P2914" s="3">
        <v>0</v>
      </c>
      <c r="Q2914" s="3">
        <v>0</v>
      </c>
      <c r="R2914" s="3">
        <v>0</v>
      </c>
    </row>
    <row r="2915" spans="1:18">
      <c r="A2915" s="3" t="s">
        <v>10496</v>
      </c>
      <c r="B2915" s="3" t="s">
        <v>10497</v>
      </c>
      <c r="C2915" s="3" t="s">
        <v>2764</v>
      </c>
      <c r="D2915" s="3"/>
      <c r="E2915" s="3" t="s">
        <v>6275</v>
      </c>
      <c r="F2915" s="3"/>
      <c r="G2915" s="3"/>
      <c r="H2915" s="3"/>
      <c r="I2915" s="3"/>
      <c r="J2915" s="3">
        <v>0</v>
      </c>
      <c r="K2915" s="3">
        <v>0</v>
      </c>
      <c r="L2915" s="3">
        <v>0</v>
      </c>
      <c r="M2915" s="3">
        <v>0</v>
      </c>
      <c r="N2915" s="3">
        <v>0</v>
      </c>
      <c r="O2915" s="3"/>
      <c r="P2915" s="3">
        <v>0</v>
      </c>
      <c r="Q2915" s="3">
        <v>0</v>
      </c>
      <c r="R2915" s="3">
        <v>0</v>
      </c>
    </row>
    <row r="2916" spans="1:18">
      <c r="A2916" s="3" t="s">
        <v>10498</v>
      </c>
      <c r="B2916" s="3" t="s">
        <v>10499</v>
      </c>
      <c r="C2916" s="3" t="s">
        <v>1539</v>
      </c>
      <c r="D2916" s="3"/>
      <c r="E2916" s="3" t="s">
        <v>6275</v>
      </c>
      <c r="F2916" s="3"/>
      <c r="G2916" s="3"/>
      <c r="H2916" s="3"/>
      <c r="I2916" s="3"/>
      <c r="J2916" s="3">
        <v>0</v>
      </c>
      <c r="K2916" s="3">
        <v>0</v>
      </c>
      <c r="L2916" s="3">
        <v>0</v>
      </c>
      <c r="M2916" s="3">
        <v>0</v>
      </c>
      <c r="N2916" s="3">
        <v>0</v>
      </c>
      <c r="O2916" s="3"/>
      <c r="P2916" s="3">
        <v>0</v>
      </c>
      <c r="Q2916" s="3">
        <v>0</v>
      </c>
      <c r="R2916" s="3">
        <v>0</v>
      </c>
    </row>
    <row r="2917" spans="1:18">
      <c r="A2917" s="3" t="s">
        <v>10500</v>
      </c>
      <c r="B2917" s="3" t="s">
        <v>10501</v>
      </c>
      <c r="C2917" s="3" t="s">
        <v>2641</v>
      </c>
      <c r="D2917" s="3"/>
      <c r="E2917" s="3" t="s">
        <v>6275</v>
      </c>
      <c r="F2917" s="3"/>
      <c r="G2917" s="3"/>
      <c r="H2917" s="3"/>
      <c r="I2917" s="3"/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/>
      <c r="P2917" s="3">
        <v>0</v>
      </c>
      <c r="Q2917" s="3">
        <v>0</v>
      </c>
      <c r="R2917" s="3">
        <v>0</v>
      </c>
    </row>
    <row r="2918" spans="1:18">
      <c r="A2918" s="3" t="s">
        <v>10502</v>
      </c>
      <c r="B2918" s="3" t="s">
        <v>10503</v>
      </c>
      <c r="C2918" s="3" t="s">
        <v>553</v>
      </c>
      <c r="D2918" s="3"/>
      <c r="E2918" s="3" t="s">
        <v>6275</v>
      </c>
      <c r="F2918" s="3"/>
      <c r="G2918" s="3"/>
      <c r="H2918" s="3"/>
      <c r="I2918" s="3"/>
      <c r="J2918" s="3">
        <v>0</v>
      </c>
      <c r="K2918" s="3">
        <v>0</v>
      </c>
      <c r="L2918" s="3">
        <v>0</v>
      </c>
      <c r="M2918" s="3">
        <v>0</v>
      </c>
      <c r="N2918" s="3">
        <v>0</v>
      </c>
      <c r="O2918" s="3"/>
      <c r="P2918" s="3">
        <v>0</v>
      </c>
      <c r="Q2918" s="3">
        <v>0</v>
      </c>
      <c r="R2918" s="3">
        <v>0</v>
      </c>
    </row>
    <row r="2919" spans="1:18">
      <c r="A2919" s="3" t="s">
        <v>10504</v>
      </c>
      <c r="B2919" s="3" t="s">
        <v>10505</v>
      </c>
      <c r="C2919" s="3" t="s">
        <v>6164</v>
      </c>
      <c r="D2919" s="3"/>
      <c r="E2919" s="3" t="s">
        <v>6275</v>
      </c>
      <c r="F2919" s="3"/>
      <c r="G2919" s="3"/>
      <c r="H2919" s="3"/>
      <c r="I2919" s="3"/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/>
      <c r="P2919" s="3">
        <v>0</v>
      </c>
      <c r="Q2919" s="3">
        <v>0</v>
      </c>
      <c r="R2919" s="3">
        <v>0</v>
      </c>
    </row>
    <row r="2920" spans="1:18">
      <c r="A2920" s="3" t="s">
        <v>10506</v>
      </c>
      <c r="B2920" s="3" t="s">
        <v>10507</v>
      </c>
      <c r="C2920" s="3" t="s">
        <v>605</v>
      </c>
      <c r="D2920" s="3"/>
      <c r="E2920" s="3" t="s">
        <v>6275</v>
      </c>
      <c r="F2920" s="3"/>
      <c r="G2920" s="3"/>
      <c r="H2920" s="3"/>
      <c r="I2920" s="3"/>
      <c r="J2920" s="3">
        <v>0</v>
      </c>
      <c r="K2920" s="3">
        <v>0</v>
      </c>
      <c r="L2920" s="3">
        <v>0</v>
      </c>
      <c r="M2920" s="3">
        <v>0</v>
      </c>
      <c r="N2920" s="3">
        <v>0</v>
      </c>
      <c r="O2920" s="3"/>
      <c r="P2920" s="3">
        <v>0</v>
      </c>
      <c r="Q2920" s="3">
        <v>0</v>
      </c>
      <c r="R2920" s="3">
        <v>0</v>
      </c>
    </row>
    <row r="2921" spans="1:18">
      <c r="A2921" s="3" t="s">
        <v>10508</v>
      </c>
      <c r="B2921" s="3" t="s">
        <v>10509</v>
      </c>
      <c r="C2921" s="3" t="s">
        <v>609</v>
      </c>
      <c r="D2921" s="3"/>
      <c r="E2921" s="3" t="s">
        <v>6275</v>
      </c>
      <c r="F2921" s="3"/>
      <c r="G2921" s="3"/>
      <c r="H2921" s="3"/>
      <c r="I2921" s="3"/>
      <c r="J2921" s="3">
        <v>0</v>
      </c>
      <c r="K2921" s="3">
        <v>0</v>
      </c>
      <c r="L2921" s="3">
        <v>0</v>
      </c>
      <c r="M2921" s="3">
        <v>0</v>
      </c>
      <c r="N2921" s="3">
        <v>0</v>
      </c>
      <c r="O2921" s="3"/>
      <c r="P2921" s="3">
        <v>0</v>
      </c>
      <c r="Q2921" s="3">
        <v>0</v>
      </c>
      <c r="R2921" s="3">
        <v>0</v>
      </c>
    </row>
    <row r="2922" spans="1:18">
      <c r="A2922" s="3" t="s">
        <v>10510</v>
      </c>
      <c r="B2922" s="3" t="s">
        <v>10511</v>
      </c>
      <c r="C2922" s="3" t="s">
        <v>621</v>
      </c>
      <c r="D2922" s="3"/>
      <c r="E2922" s="3" t="s">
        <v>6275</v>
      </c>
      <c r="F2922" s="3"/>
      <c r="G2922" s="3"/>
      <c r="H2922" s="3"/>
      <c r="I2922" s="3"/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/>
      <c r="P2922" s="3">
        <v>0</v>
      </c>
      <c r="Q2922" s="3">
        <v>0</v>
      </c>
      <c r="R2922" s="3">
        <v>0</v>
      </c>
    </row>
    <row r="2923" spans="1:18">
      <c r="A2923" s="3" t="s">
        <v>10512</v>
      </c>
      <c r="B2923" s="3" t="s">
        <v>10513</v>
      </c>
      <c r="C2923" s="3" t="s">
        <v>2126</v>
      </c>
      <c r="D2923" s="3"/>
      <c r="E2923" s="3" t="s">
        <v>6275</v>
      </c>
      <c r="F2923" s="3"/>
      <c r="G2923" s="3"/>
      <c r="H2923" s="3"/>
      <c r="I2923" s="3"/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/>
      <c r="P2923" s="3">
        <v>0</v>
      </c>
      <c r="Q2923" s="3">
        <v>0</v>
      </c>
      <c r="R2923" s="3">
        <v>0</v>
      </c>
    </row>
    <row r="2924" spans="1:18">
      <c r="A2924" s="3" t="s">
        <v>10514</v>
      </c>
      <c r="B2924" s="3" t="s">
        <v>10515</v>
      </c>
      <c r="C2924" s="3" t="s">
        <v>557</v>
      </c>
      <c r="D2924" s="3"/>
      <c r="E2924" s="3" t="s">
        <v>6275</v>
      </c>
      <c r="F2924" s="3"/>
      <c r="G2924" s="3"/>
      <c r="H2924" s="3"/>
      <c r="I2924" s="3"/>
      <c r="J2924" s="3">
        <v>0</v>
      </c>
      <c r="K2924" s="3">
        <v>0</v>
      </c>
      <c r="L2924" s="3">
        <v>0</v>
      </c>
      <c r="M2924" s="3">
        <v>0</v>
      </c>
      <c r="N2924" s="3">
        <v>0</v>
      </c>
      <c r="O2924" s="3"/>
      <c r="P2924" s="3">
        <v>0</v>
      </c>
      <c r="Q2924" s="3">
        <v>0</v>
      </c>
      <c r="R2924" s="3">
        <v>0</v>
      </c>
    </row>
    <row r="2925" spans="1:18">
      <c r="A2925" s="3" t="s">
        <v>10516</v>
      </c>
      <c r="B2925" s="3" t="s">
        <v>10517</v>
      </c>
      <c r="C2925" s="3" t="s">
        <v>4838</v>
      </c>
      <c r="D2925" s="3"/>
      <c r="E2925" s="3" t="s">
        <v>6275</v>
      </c>
      <c r="F2925" s="3"/>
      <c r="G2925" s="3"/>
      <c r="H2925" s="3"/>
      <c r="I2925" s="3"/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/>
      <c r="P2925" s="3">
        <v>0</v>
      </c>
      <c r="Q2925" s="3">
        <v>0</v>
      </c>
      <c r="R2925" s="3">
        <v>0</v>
      </c>
    </row>
    <row r="2926" spans="1:18">
      <c r="A2926" s="3" t="s">
        <v>10518</v>
      </c>
      <c r="B2926" s="3" t="s">
        <v>10519</v>
      </c>
      <c r="C2926" s="3" t="s">
        <v>2449</v>
      </c>
      <c r="D2926" s="3"/>
      <c r="E2926" s="3" t="s">
        <v>6275</v>
      </c>
      <c r="F2926" s="3"/>
      <c r="G2926" s="3"/>
      <c r="H2926" s="3"/>
      <c r="I2926" s="3"/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/>
      <c r="P2926" s="3">
        <v>0</v>
      </c>
      <c r="Q2926" s="3">
        <v>0</v>
      </c>
      <c r="R2926" s="3">
        <v>0</v>
      </c>
    </row>
    <row r="2927" spans="1:18">
      <c r="A2927" s="3" t="s">
        <v>10520</v>
      </c>
      <c r="B2927" s="3" t="s">
        <v>10521</v>
      </c>
      <c r="C2927" s="3" t="s">
        <v>5016</v>
      </c>
      <c r="D2927" s="3"/>
      <c r="E2927" s="3" t="s">
        <v>6275</v>
      </c>
      <c r="F2927" s="3"/>
      <c r="G2927" s="3"/>
      <c r="H2927" s="3"/>
      <c r="I2927" s="3"/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/>
      <c r="P2927" s="3">
        <v>0</v>
      </c>
      <c r="Q2927" s="3">
        <v>0</v>
      </c>
      <c r="R2927" s="3">
        <v>0</v>
      </c>
    </row>
    <row r="2928" spans="1:18">
      <c r="A2928" s="3" t="s">
        <v>10522</v>
      </c>
      <c r="B2928" s="3" t="s">
        <v>10523</v>
      </c>
      <c r="C2928" s="3" t="s">
        <v>637</v>
      </c>
      <c r="D2928" s="3"/>
      <c r="E2928" s="3" t="s">
        <v>6275</v>
      </c>
      <c r="F2928" s="3"/>
      <c r="G2928" s="3"/>
      <c r="H2928" s="3"/>
      <c r="I2928" s="3"/>
      <c r="J2928" s="3">
        <v>0</v>
      </c>
      <c r="K2928" s="3">
        <v>0</v>
      </c>
      <c r="L2928" s="3">
        <v>0</v>
      </c>
      <c r="M2928" s="3">
        <v>0</v>
      </c>
      <c r="N2928" s="3">
        <v>0</v>
      </c>
      <c r="O2928" s="3"/>
      <c r="P2928" s="3">
        <v>0</v>
      </c>
      <c r="Q2928" s="3">
        <v>0</v>
      </c>
      <c r="R2928" s="3">
        <v>0</v>
      </c>
    </row>
    <row r="2929" spans="1:18">
      <c r="A2929" s="3" t="s">
        <v>10524</v>
      </c>
      <c r="B2929" s="3" t="s">
        <v>10525</v>
      </c>
      <c r="C2929" s="3" t="s">
        <v>2807</v>
      </c>
      <c r="D2929" s="3"/>
      <c r="E2929" s="3" t="s">
        <v>6275</v>
      </c>
      <c r="F2929" s="3"/>
      <c r="G2929" s="3"/>
      <c r="H2929" s="3"/>
      <c r="I2929" s="3"/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/>
      <c r="P2929" s="3">
        <v>0</v>
      </c>
      <c r="Q2929" s="3">
        <v>0</v>
      </c>
      <c r="R2929" s="3">
        <v>0</v>
      </c>
    </row>
    <row r="2930" spans="1:18">
      <c r="A2930" s="3" t="s">
        <v>10526</v>
      </c>
      <c r="B2930" s="3" t="s">
        <v>10527</v>
      </c>
      <c r="C2930" s="3" t="s">
        <v>4597</v>
      </c>
      <c r="D2930" s="3"/>
      <c r="E2930" s="3" t="s">
        <v>6275</v>
      </c>
      <c r="F2930" s="3"/>
      <c r="G2930" s="3"/>
      <c r="H2930" s="3"/>
      <c r="I2930" s="3"/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/>
      <c r="P2930" s="3">
        <v>0</v>
      </c>
      <c r="Q2930" s="3">
        <v>0</v>
      </c>
      <c r="R2930" s="3">
        <v>0</v>
      </c>
    </row>
    <row r="2931" spans="1:18">
      <c r="A2931" s="3" t="s">
        <v>10528</v>
      </c>
      <c r="B2931" s="3" t="s">
        <v>10529</v>
      </c>
      <c r="C2931" s="3" t="s">
        <v>625</v>
      </c>
      <c r="D2931" s="3"/>
      <c r="E2931" s="3" t="s">
        <v>6275</v>
      </c>
      <c r="F2931" s="3"/>
      <c r="G2931" s="3"/>
      <c r="H2931" s="3"/>
      <c r="I2931" s="3"/>
      <c r="J2931" s="3">
        <v>0</v>
      </c>
      <c r="K2931" s="3">
        <v>0</v>
      </c>
      <c r="L2931" s="3">
        <v>0</v>
      </c>
      <c r="M2931" s="3">
        <v>0</v>
      </c>
      <c r="N2931" s="3">
        <v>0</v>
      </c>
      <c r="O2931" s="3"/>
      <c r="P2931" s="3">
        <v>0</v>
      </c>
      <c r="Q2931" s="3">
        <v>0</v>
      </c>
      <c r="R2931" s="3">
        <v>0</v>
      </c>
    </row>
    <row r="2932" spans="1:18">
      <c r="A2932" s="3" t="s">
        <v>10530</v>
      </c>
      <c r="B2932" s="3" t="s">
        <v>10531</v>
      </c>
      <c r="C2932" s="3" t="s">
        <v>3964</v>
      </c>
      <c r="D2932" s="3"/>
      <c r="E2932" s="3" t="s">
        <v>6275</v>
      </c>
      <c r="F2932" s="3"/>
      <c r="G2932" s="3"/>
      <c r="H2932" s="3"/>
      <c r="I2932" s="3"/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/>
      <c r="P2932" s="3">
        <v>0</v>
      </c>
      <c r="Q2932" s="3">
        <v>0</v>
      </c>
      <c r="R2932" s="3">
        <v>0</v>
      </c>
    </row>
    <row r="2933" spans="1:18">
      <c r="A2933" s="3" t="s">
        <v>10532</v>
      </c>
      <c r="B2933" s="3" t="s">
        <v>10533</v>
      </c>
      <c r="C2933" s="3" t="s">
        <v>4229</v>
      </c>
      <c r="D2933" s="3"/>
      <c r="E2933" s="3" t="s">
        <v>6275</v>
      </c>
      <c r="F2933" s="3"/>
      <c r="G2933" s="3"/>
      <c r="H2933" s="3"/>
      <c r="I2933" s="3"/>
      <c r="J2933" s="3">
        <v>0</v>
      </c>
      <c r="K2933" s="3">
        <v>0</v>
      </c>
      <c r="L2933" s="3">
        <v>0</v>
      </c>
      <c r="M2933" s="3">
        <v>0</v>
      </c>
      <c r="N2933" s="3">
        <v>0</v>
      </c>
      <c r="O2933" s="3"/>
      <c r="P2933" s="3">
        <v>0</v>
      </c>
      <c r="Q2933" s="3">
        <v>0</v>
      </c>
      <c r="R2933" s="3">
        <v>0</v>
      </c>
    </row>
    <row r="2934" spans="1:18">
      <c r="A2934" s="3" t="s">
        <v>10534</v>
      </c>
      <c r="B2934" s="3" t="s">
        <v>10535</v>
      </c>
      <c r="C2934" s="3" t="s">
        <v>3468</v>
      </c>
      <c r="D2934" s="3"/>
      <c r="E2934" s="3" t="s">
        <v>6275</v>
      </c>
      <c r="F2934" s="3"/>
      <c r="G2934" s="3"/>
      <c r="H2934" s="3"/>
      <c r="I2934" s="3"/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/>
      <c r="P2934" s="3">
        <v>0</v>
      </c>
      <c r="Q2934" s="3">
        <v>0</v>
      </c>
      <c r="R2934" s="3">
        <v>0</v>
      </c>
    </row>
    <row r="2935" spans="1:18">
      <c r="A2935" s="3" t="s">
        <v>10536</v>
      </c>
      <c r="B2935" s="3" t="s">
        <v>10537</v>
      </c>
      <c r="C2935" s="3" t="s">
        <v>645</v>
      </c>
      <c r="D2935" s="3"/>
      <c r="E2935" s="3" t="s">
        <v>6275</v>
      </c>
      <c r="F2935" s="3"/>
      <c r="G2935" s="3"/>
      <c r="H2935" s="3"/>
      <c r="I2935" s="3"/>
      <c r="J2935" s="3">
        <v>0</v>
      </c>
      <c r="K2935" s="3">
        <v>0</v>
      </c>
      <c r="L2935" s="3">
        <v>0</v>
      </c>
      <c r="M2935" s="3">
        <v>0</v>
      </c>
      <c r="N2935" s="3">
        <v>0</v>
      </c>
      <c r="O2935" s="3"/>
      <c r="P2935" s="3">
        <v>0</v>
      </c>
      <c r="Q2935" s="3">
        <v>0</v>
      </c>
      <c r="R2935" s="3">
        <v>0</v>
      </c>
    </row>
    <row r="2936" spans="1:18">
      <c r="A2936" s="3" t="s">
        <v>10538</v>
      </c>
      <c r="B2936" s="3" t="s">
        <v>10539</v>
      </c>
      <c r="C2936" s="3" t="s">
        <v>5751</v>
      </c>
      <c r="D2936" s="3"/>
      <c r="E2936" s="3" t="s">
        <v>6275</v>
      </c>
      <c r="F2936" s="3"/>
      <c r="G2936" s="3"/>
      <c r="H2936" s="3"/>
      <c r="I2936" s="3"/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/>
      <c r="P2936" s="3">
        <v>0</v>
      </c>
      <c r="Q2936" s="3">
        <v>0</v>
      </c>
      <c r="R2936" s="3">
        <v>0</v>
      </c>
    </row>
    <row r="2937" spans="1:18">
      <c r="A2937" s="3" t="s">
        <v>10540</v>
      </c>
      <c r="B2937" s="3" t="s">
        <v>10541</v>
      </c>
      <c r="C2937" s="3" t="s">
        <v>2964</v>
      </c>
      <c r="D2937" s="3"/>
      <c r="E2937" s="3" t="s">
        <v>6275</v>
      </c>
      <c r="F2937" s="3"/>
      <c r="G2937" s="3"/>
      <c r="H2937" s="3"/>
      <c r="I2937" s="3"/>
      <c r="J2937" s="3">
        <v>0</v>
      </c>
      <c r="K2937" s="3">
        <v>0</v>
      </c>
      <c r="L2937" s="3">
        <v>0</v>
      </c>
      <c r="M2937" s="3">
        <v>0</v>
      </c>
      <c r="N2937" s="3">
        <v>0</v>
      </c>
      <c r="O2937" s="3"/>
      <c r="P2937" s="3">
        <v>0</v>
      </c>
      <c r="Q2937" s="3">
        <v>0</v>
      </c>
      <c r="R2937" s="3">
        <v>0</v>
      </c>
    </row>
    <row r="2938" spans="1:18">
      <c r="A2938" s="3" t="s">
        <v>10542</v>
      </c>
      <c r="B2938" s="3" t="s">
        <v>10543</v>
      </c>
      <c r="C2938" s="3" t="s">
        <v>5624</v>
      </c>
      <c r="D2938" s="3"/>
      <c r="E2938" s="3" t="s">
        <v>6275</v>
      </c>
      <c r="F2938" s="3"/>
      <c r="G2938" s="3"/>
      <c r="H2938" s="3"/>
      <c r="I2938" s="3"/>
      <c r="J2938" s="3">
        <v>0</v>
      </c>
      <c r="K2938" s="3">
        <v>0</v>
      </c>
      <c r="L2938" s="3">
        <v>0</v>
      </c>
      <c r="M2938" s="3">
        <v>0</v>
      </c>
      <c r="N2938" s="3">
        <v>0</v>
      </c>
      <c r="O2938" s="3"/>
      <c r="P2938" s="3">
        <v>0</v>
      </c>
      <c r="Q2938" s="3">
        <v>0</v>
      </c>
      <c r="R2938" s="3">
        <v>0</v>
      </c>
    </row>
    <row r="2939" spans="1:18">
      <c r="A2939" s="3" t="s">
        <v>10544</v>
      </c>
      <c r="B2939" s="3" t="s">
        <v>10545</v>
      </c>
      <c r="C2939" s="3" t="s">
        <v>5355</v>
      </c>
      <c r="D2939" s="3"/>
      <c r="E2939" s="3" t="s">
        <v>6275</v>
      </c>
      <c r="F2939" s="3"/>
      <c r="G2939" s="3"/>
      <c r="H2939" s="3"/>
      <c r="I2939" s="3"/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/>
      <c r="P2939" s="3">
        <v>0</v>
      </c>
      <c r="Q2939" s="3">
        <v>0</v>
      </c>
      <c r="R2939" s="3">
        <v>0</v>
      </c>
    </row>
    <row r="2940" spans="1:18">
      <c r="A2940" s="3" t="s">
        <v>10546</v>
      </c>
      <c r="B2940" s="3" t="s">
        <v>10547</v>
      </c>
      <c r="C2940" s="3" t="s">
        <v>2237</v>
      </c>
      <c r="D2940" s="3"/>
      <c r="E2940" s="3" t="s">
        <v>6275</v>
      </c>
      <c r="F2940" s="3"/>
      <c r="G2940" s="3"/>
      <c r="H2940" s="3"/>
      <c r="I2940" s="3"/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/>
      <c r="P2940" s="3">
        <v>0</v>
      </c>
      <c r="Q2940" s="3">
        <v>0</v>
      </c>
      <c r="R2940" s="3">
        <v>0</v>
      </c>
    </row>
    <row r="2941" spans="1:18">
      <c r="A2941" s="3" t="s">
        <v>10548</v>
      </c>
      <c r="B2941" s="3" t="s">
        <v>10549</v>
      </c>
      <c r="C2941" s="3" t="s">
        <v>2986</v>
      </c>
      <c r="D2941" s="3"/>
      <c r="E2941" s="3" t="s">
        <v>6275</v>
      </c>
      <c r="F2941" s="3"/>
      <c r="G2941" s="3"/>
      <c r="H2941" s="3"/>
      <c r="I2941" s="3"/>
      <c r="J2941" s="3">
        <v>0</v>
      </c>
      <c r="K2941" s="3">
        <v>0</v>
      </c>
      <c r="L2941" s="3">
        <v>0</v>
      </c>
      <c r="M2941" s="3">
        <v>0</v>
      </c>
      <c r="N2941" s="3">
        <v>0</v>
      </c>
      <c r="O2941" s="3"/>
      <c r="P2941" s="3">
        <v>0</v>
      </c>
      <c r="Q2941" s="3">
        <v>0</v>
      </c>
      <c r="R2941" s="3">
        <v>0</v>
      </c>
    </row>
    <row r="2942" spans="1:18">
      <c r="A2942" s="3" t="s">
        <v>10550</v>
      </c>
      <c r="B2942" s="3" t="s">
        <v>10551</v>
      </c>
      <c r="C2942" s="3" t="s">
        <v>641</v>
      </c>
      <c r="D2942" s="3"/>
      <c r="E2942" s="3" t="s">
        <v>6275</v>
      </c>
      <c r="F2942" s="3"/>
      <c r="G2942" s="3"/>
      <c r="H2942" s="3"/>
      <c r="I2942" s="3"/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/>
      <c r="P2942" s="3">
        <v>0</v>
      </c>
      <c r="Q2942" s="3">
        <v>0</v>
      </c>
      <c r="R2942" s="3">
        <v>0</v>
      </c>
    </row>
    <row r="2943" spans="1:18">
      <c r="A2943" s="3" t="s">
        <v>10552</v>
      </c>
      <c r="B2943" s="3" t="s">
        <v>10553</v>
      </c>
      <c r="C2943" s="3" t="s">
        <v>3092</v>
      </c>
      <c r="D2943" s="3"/>
      <c r="E2943" s="3" t="s">
        <v>6275</v>
      </c>
      <c r="F2943" s="3"/>
      <c r="G2943" s="3"/>
      <c r="H2943" s="3"/>
      <c r="I2943" s="3"/>
      <c r="J2943" s="3">
        <v>0</v>
      </c>
      <c r="K2943" s="3">
        <v>0</v>
      </c>
      <c r="L2943" s="3">
        <v>0</v>
      </c>
      <c r="M2943" s="3">
        <v>0</v>
      </c>
      <c r="N2943" s="3">
        <v>0</v>
      </c>
      <c r="O2943" s="3"/>
      <c r="P2943" s="3">
        <v>0</v>
      </c>
      <c r="Q2943" s="3">
        <v>0</v>
      </c>
      <c r="R2943" s="3">
        <v>0</v>
      </c>
    </row>
    <row r="2944" spans="1:18">
      <c r="A2944" s="3" t="s">
        <v>10554</v>
      </c>
      <c r="B2944" s="3" t="s">
        <v>10555</v>
      </c>
      <c r="C2944" s="3" t="s">
        <v>8460</v>
      </c>
      <c r="D2944" s="3"/>
      <c r="E2944" s="3" t="s">
        <v>6275</v>
      </c>
      <c r="F2944" s="3"/>
      <c r="G2944" s="3"/>
      <c r="H2944" s="3"/>
      <c r="I2944" s="3"/>
      <c r="J2944" s="3">
        <v>0</v>
      </c>
      <c r="K2944" s="3">
        <v>0</v>
      </c>
      <c r="L2944" s="3">
        <v>0</v>
      </c>
      <c r="M2944" s="3">
        <v>0</v>
      </c>
      <c r="N2944" s="3">
        <v>0</v>
      </c>
      <c r="O2944" s="3"/>
      <c r="P2944" s="3">
        <v>0</v>
      </c>
      <c r="Q2944" s="3">
        <v>0</v>
      </c>
      <c r="R2944" s="3">
        <v>0</v>
      </c>
    </row>
    <row r="2945" spans="1:18">
      <c r="A2945" s="3" t="s">
        <v>10556</v>
      </c>
      <c r="B2945" s="3" t="s">
        <v>10557</v>
      </c>
      <c r="C2945" s="3" t="s">
        <v>5322</v>
      </c>
      <c r="D2945" s="3"/>
      <c r="E2945" s="3" t="s">
        <v>6275</v>
      </c>
      <c r="F2945" s="3"/>
      <c r="G2945" s="3"/>
      <c r="H2945" s="3"/>
      <c r="I2945" s="3"/>
      <c r="J2945" s="3">
        <v>0</v>
      </c>
      <c r="K2945" s="3">
        <v>0</v>
      </c>
      <c r="L2945" s="3">
        <v>0</v>
      </c>
      <c r="M2945" s="3">
        <v>0</v>
      </c>
      <c r="N2945" s="3">
        <v>0</v>
      </c>
      <c r="O2945" s="3"/>
      <c r="P2945" s="3">
        <v>0</v>
      </c>
      <c r="Q2945" s="3">
        <v>0</v>
      </c>
      <c r="R2945" s="3">
        <v>0</v>
      </c>
    </row>
    <row r="2946" spans="1:18">
      <c r="A2946" s="3" t="s">
        <v>10558</v>
      </c>
      <c r="B2946" s="3" t="s">
        <v>10559</v>
      </c>
      <c r="C2946" s="3" t="s">
        <v>6173</v>
      </c>
      <c r="D2946" s="3"/>
      <c r="E2946" s="3" t="s">
        <v>6275</v>
      </c>
      <c r="F2946" s="3"/>
      <c r="G2946" s="3"/>
      <c r="H2946" s="3"/>
      <c r="I2946" s="3"/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/>
      <c r="P2946" s="3">
        <v>0</v>
      </c>
      <c r="Q2946" s="3">
        <v>0</v>
      </c>
      <c r="R2946" s="3">
        <v>0</v>
      </c>
    </row>
    <row r="2947" spans="1:18">
      <c r="A2947" s="3" t="s">
        <v>10560</v>
      </c>
      <c r="B2947" s="3" t="s">
        <v>10561</v>
      </c>
      <c r="C2947" s="3" t="s">
        <v>2688</v>
      </c>
      <c r="D2947" s="3"/>
      <c r="E2947" s="3" t="s">
        <v>6275</v>
      </c>
      <c r="F2947" s="3"/>
      <c r="G2947" s="3"/>
      <c r="H2947" s="3"/>
      <c r="I2947" s="3"/>
      <c r="J2947" s="3">
        <v>0</v>
      </c>
      <c r="K2947" s="3">
        <v>0</v>
      </c>
      <c r="L2947" s="3">
        <v>0</v>
      </c>
      <c r="M2947" s="3">
        <v>0</v>
      </c>
      <c r="N2947" s="3">
        <v>0</v>
      </c>
      <c r="O2947" s="3"/>
      <c r="P2947" s="3">
        <v>0</v>
      </c>
      <c r="Q2947" s="3">
        <v>0</v>
      </c>
      <c r="R2947" s="3">
        <v>0</v>
      </c>
    </row>
    <row r="2948" spans="1:18">
      <c r="A2948" s="3" t="s">
        <v>10562</v>
      </c>
      <c r="B2948" s="3" t="s">
        <v>10563</v>
      </c>
      <c r="C2948" s="3" t="s">
        <v>4884</v>
      </c>
      <c r="D2948" s="3"/>
      <c r="E2948" s="3" t="s">
        <v>6275</v>
      </c>
      <c r="F2948" s="3"/>
      <c r="G2948" s="3"/>
      <c r="H2948" s="3"/>
      <c r="I2948" s="3"/>
      <c r="J2948" s="3">
        <v>0</v>
      </c>
      <c r="K2948" s="3">
        <v>0</v>
      </c>
      <c r="L2948" s="3">
        <v>0</v>
      </c>
      <c r="M2948" s="3">
        <v>0</v>
      </c>
      <c r="N2948" s="3">
        <v>0</v>
      </c>
      <c r="O2948" s="3"/>
      <c r="P2948" s="3">
        <v>0</v>
      </c>
      <c r="Q2948" s="3">
        <v>0</v>
      </c>
      <c r="R2948" s="3">
        <v>0</v>
      </c>
    </row>
    <row r="2949" spans="1:18">
      <c r="A2949" s="3" t="s">
        <v>10564</v>
      </c>
      <c r="B2949" s="3" t="s">
        <v>10565</v>
      </c>
      <c r="C2949" s="3" t="s">
        <v>597</v>
      </c>
      <c r="D2949" s="3"/>
      <c r="E2949" s="3" t="s">
        <v>6275</v>
      </c>
      <c r="F2949" s="3"/>
      <c r="G2949" s="3"/>
      <c r="H2949" s="3"/>
      <c r="I2949" s="3"/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/>
      <c r="P2949" s="3">
        <v>0</v>
      </c>
      <c r="Q2949" s="3">
        <v>0</v>
      </c>
      <c r="R2949" s="3">
        <v>0</v>
      </c>
    </row>
    <row r="2950" spans="1:18">
      <c r="A2950" s="3" t="s">
        <v>10566</v>
      </c>
      <c r="B2950" s="3" t="s">
        <v>10567</v>
      </c>
      <c r="C2950" s="3" t="s">
        <v>4470</v>
      </c>
      <c r="D2950" s="3"/>
      <c r="E2950" s="3" t="s">
        <v>6275</v>
      </c>
      <c r="F2950" s="3"/>
      <c r="G2950" s="3"/>
      <c r="H2950" s="3"/>
      <c r="I2950" s="3"/>
      <c r="J2950" s="3">
        <v>0</v>
      </c>
      <c r="K2950" s="3">
        <v>0</v>
      </c>
      <c r="L2950" s="3">
        <v>0</v>
      </c>
      <c r="M2950" s="3">
        <v>0</v>
      </c>
      <c r="N2950" s="3">
        <v>0</v>
      </c>
      <c r="O2950" s="3"/>
      <c r="P2950" s="3">
        <v>0</v>
      </c>
      <c r="Q2950" s="3">
        <v>0</v>
      </c>
      <c r="R2950" s="3">
        <v>0</v>
      </c>
    </row>
    <row r="2951" spans="1:18">
      <c r="A2951" s="3" t="s">
        <v>10568</v>
      </c>
      <c r="B2951" s="3" t="s">
        <v>10569</v>
      </c>
      <c r="C2951" s="3" t="s">
        <v>657</v>
      </c>
      <c r="D2951" s="3"/>
      <c r="E2951" s="3" t="s">
        <v>6275</v>
      </c>
      <c r="F2951" s="3"/>
      <c r="G2951" s="3"/>
      <c r="H2951" s="3"/>
      <c r="I2951" s="3"/>
      <c r="J2951" s="3">
        <v>0</v>
      </c>
      <c r="K2951" s="3">
        <v>0</v>
      </c>
      <c r="L2951" s="3">
        <v>0</v>
      </c>
      <c r="M2951" s="3">
        <v>0</v>
      </c>
      <c r="N2951" s="3">
        <v>0</v>
      </c>
      <c r="O2951" s="3"/>
      <c r="P2951" s="3">
        <v>0</v>
      </c>
      <c r="Q2951" s="3">
        <v>0</v>
      </c>
      <c r="R2951" s="3">
        <v>0</v>
      </c>
    </row>
    <row r="2952" spans="1:18">
      <c r="A2952" s="3" t="s">
        <v>10570</v>
      </c>
      <c r="B2952" s="3" t="s">
        <v>10571</v>
      </c>
      <c r="C2952" s="3" t="s">
        <v>661</v>
      </c>
      <c r="D2952" s="3"/>
      <c r="E2952" s="3" t="s">
        <v>6275</v>
      </c>
      <c r="F2952" s="3"/>
      <c r="G2952" s="3"/>
      <c r="H2952" s="3"/>
      <c r="I2952" s="3"/>
      <c r="J2952" s="3">
        <v>0</v>
      </c>
      <c r="K2952" s="3">
        <v>0</v>
      </c>
      <c r="L2952" s="3">
        <v>0</v>
      </c>
      <c r="M2952" s="3">
        <v>0</v>
      </c>
      <c r="N2952" s="3">
        <v>0</v>
      </c>
      <c r="O2952" s="3"/>
      <c r="P2952" s="3">
        <v>0</v>
      </c>
      <c r="Q2952" s="3">
        <v>0</v>
      </c>
      <c r="R2952" s="3">
        <v>0</v>
      </c>
    </row>
    <row r="2953" spans="1:18">
      <c r="A2953" s="3" t="s">
        <v>4530</v>
      </c>
      <c r="B2953" s="3" t="s">
        <v>4531</v>
      </c>
      <c r="C2953" s="3" t="s">
        <v>2973</v>
      </c>
      <c r="D2953" s="3"/>
      <c r="E2953" s="3" t="s">
        <v>6275</v>
      </c>
      <c r="F2953" s="3"/>
      <c r="G2953" s="3"/>
      <c r="H2953" s="3"/>
      <c r="I2953" s="3"/>
      <c r="J2953" s="3">
        <v>1</v>
      </c>
      <c r="K2953" s="3">
        <v>1</v>
      </c>
      <c r="L2953" s="3">
        <v>0</v>
      </c>
      <c r="M2953" s="3">
        <v>0</v>
      </c>
      <c r="N2953" s="3">
        <v>1</v>
      </c>
      <c r="O2953" s="3"/>
      <c r="P2953" s="3">
        <v>0</v>
      </c>
      <c r="Q2953" s="3">
        <v>0</v>
      </c>
      <c r="R2953" s="3">
        <v>0</v>
      </c>
    </row>
    <row r="2954" spans="1:18">
      <c r="A2954" s="3" t="s">
        <v>10572</v>
      </c>
      <c r="B2954" s="3" t="s">
        <v>10573</v>
      </c>
      <c r="C2954" s="3" t="s">
        <v>385</v>
      </c>
      <c r="D2954" s="3"/>
      <c r="E2954" s="3" t="s">
        <v>6275</v>
      </c>
      <c r="F2954" s="3"/>
      <c r="G2954" s="3"/>
      <c r="H2954" s="3"/>
      <c r="I2954" s="3"/>
      <c r="J2954" s="3">
        <v>0</v>
      </c>
      <c r="K2954" s="3">
        <v>0</v>
      </c>
      <c r="L2954" s="3">
        <v>0</v>
      </c>
      <c r="M2954" s="3">
        <v>0</v>
      </c>
      <c r="N2954" s="3">
        <v>0</v>
      </c>
      <c r="O2954" s="3"/>
      <c r="P2954" s="3">
        <v>0</v>
      </c>
      <c r="Q2954" s="3">
        <v>0</v>
      </c>
      <c r="R2954" s="3">
        <v>0</v>
      </c>
    </row>
    <row r="2955" spans="1:18">
      <c r="A2955" s="3" t="s">
        <v>10574</v>
      </c>
      <c r="B2955" s="3" t="s">
        <v>10575</v>
      </c>
      <c r="C2955" s="3" t="s">
        <v>437</v>
      </c>
      <c r="D2955" s="3"/>
      <c r="E2955" s="3" t="s">
        <v>6275</v>
      </c>
      <c r="F2955" s="3"/>
      <c r="G2955" s="3"/>
      <c r="H2955" s="3"/>
      <c r="I2955" s="3"/>
      <c r="J2955" s="3">
        <v>0</v>
      </c>
      <c r="K2955" s="3">
        <v>0</v>
      </c>
      <c r="L2955" s="3">
        <v>0</v>
      </c>
      <c r="M2955" s="3">
        <v>0</v>
      </c>
      <c r="N2955" s="3">
        <v>0</v>
      </c>
      <c r="O2955" s="3"/>
      <c r="P2955" s="3">
        <v>0</v>
      </c>
      <c r="Q2955" s="3">
        <v>0</v>
      </c>
      <c r="R2955" s="3">
        <v>0</v>
      </c>
    </row>
    <row r="2956" spans="1:18">
      <c r="A2956" s="3" t="s">
        <v>10576</v>
      </c>
      <c r="B2956" s="3" t="s">
        <v>10577</v>
      </c>
      <c r="C2956" s="3" t="s">
        <v>441</v>
      </c>
      <c r="D2956" s="3"/>
      <c r="E2956" s="3" t="s">
        <v>6275</v>
      </c>
      <c r="F2956" s="3"/>
      <c r="G2956" s="3"/>
      <c r="H2956" s="3"/>
      <c r="I2956" s="3"/>
      <c r="J2956" s="3">
        <v>0</v>
      </c>
      <c r="K2956" s="3">
        <v>0</v>
      </c>
      <c r="L2956" s="3">
        <v>0</v>
      </c>
      <c r="M2956" s="3">
        <v>0</v>
      </c>
      <c r="N2956" s="3">
        <v>0</v>
      </c>
      <c r="O2956" s="3"/>
      <c r="P2956" s="3">
        <v>0</v>
      </c>
      <c r="Q2956" s="3">
        <v>0</v>
      </c>
      <c r="R2956" s="3">
        <v>0</v>
      </c>
    </row>
    <row r="2957" spans="1:18">
      <c r="A2957" s="3" t="s">
        <v>10578</v>
      </c>
      <c r="B2957" s="3" t="s">
        <v>10579</v>
      </c>
      <c r="C2957" s="3" t="s">
        <v>421</v>
      </c>
      <c r="D2957" s="3"/>
      <c r="E2957" s="3" t="s">
        <v>6275</v>
      </c>
      <c r="F2957" s="3"/>
      <c r="G2957" s="3"/>
      <c r="H2957" s="3"/>
      <c r="I2957" s="3"/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/>
      <c r="P2957" s="3">
        <v>0</v>
      </c>
      <c r="Q2957" s="3">
        <v>0</v>
      </c>
      <c r="R2957" s="3">
        <v>0</v>
      </c>
    </row>
    <row r="2958" spans="1:18">
      <c r="A2958" s="3" t="s">
        <v>10580</v>
      </c>
      <c r="B2958" s="3" t="s">
        <v>10581</v>
      </c>
      <c r="C2958" s="3" t="s">
        <v>8331</v>
      </c>
      <c r="D2958" s="3"/>
      <c r="E2958" s="3" t="s">
        <v>6275</v>
      </c>
      <c r="F2958" s="3"/>
      <c r="G2958" s="3"/>
      <c r="H2958" s="3"/>
      <c r="I2958" s="3"/>
      <c r="J2958" s="3">
        <v>0</v>
      </c>
      <c r="K2958" s="3">
        <v>0</v>
      </c>
      <c r="L2958" s="3">
        <v>0</v>
      </c>
      <c r="M2958" s="3">
        <v>0</v>
      </c>
      <c r="N2958" s="3">
        <v>0</v>
      </c>
      <c r="O2958" s="3"/>
      <c r="P2958" s="3">
        <v>0</v>
      </c>
      <c r="Q2958" s="3">
        <v>0</v>
      </c>
      <c r="R2958" s="3">
        <v>0</v>
      </c>
    </row>
    <row r="2959" spans="1:18">
      <c r="A2959" s="3" t="s">
        <v>10582</v>
      </c>
      <c r="B2959" s="3" t="s">
        <v>10583</v>
      </c>
      <c r="C2959" s="3" t="s">
        <v>405</v>
      </c>
      <c r="D2959" s="3"/>
      <c r="E2959" s="3" t="s">
        <v>6275</v>
      </c>
      <c r="F2959" s="3"/>
      <c r="G2959" s="3"/>
      <c r="H2959" s="3"/>
      <c r="I2959" s="3"/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/>
      <c r="P2959" s="3">
        <v>0</v>
      </c>
      <c r="Q2959" s="3">
        <v>0</v>
      </c>
      <c r="R2959" s="3">
        <v>0</v>
      </c>
    </row>
    <row r="2960" spans="1:18">
      <c r="A2960" s="3" t="s">
        <v>10584</v>
      </c>
      <c r="B2960" s="3" t="s">
        <v>10585</v>
      </c>
      <c r="C2960" s="3" t="s">
        <v>413</v>
      </c>
      <c r="D2960" s="3"/>
      <c r="E2960" s="3" t="s">
        <v>6275</v>
      </c>
      <c r="F2960" s="3"/>
      <c r="G2960" s="3"/>
      <c r="H2960" s="3"/>
      <c r="I2960" s="3"/>
      <c r="J2960" s="3">
        <v>0</v>
      </c>
      <c r="K2960" s="3">
        <v>0</v>
      </c>
      <c r="L2960" s="3">
        <v>0</v>
      </c>
      <c r="M2960" s="3">
        <v>0</v>
      </c>
      <c r="N2960" s="3">
        <v>0</v>
      </c>
      <c r="O2960" s="3"/>
      <c r="P2960" s="3">
        <v>0</v>
      </c>
      <c r="Q2960" s="3">
        <v>0</v>
      </c>
      <c r="R2960" s="3">
        <v>0</v>
      </c>
    </row>
    <row r="2961" spans="1:18">
      <c r="A2961" s="3" t="s">
        <v>10586</v>
      </c>
      <c r="B2961" s="3" t="s">
        <v>10587</v>
      </c>
      <c r="C2961" s="3" t="s">
        <v>389</v>
      </c>
      <c r="D2961" s="3"/>
      <c r="E2961" s="3" t="s">
        <v>6275</v>
      </c>
      <c r="F2961" s="3"/>
      <c r="G2961" s="3"/>
      <c r="H2961" s="3"/>
      <c r="I2961" s="3"/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/>
      <c r="P2961" s="3">
        <v>0</v>
      </c>
      <c r="Q2961" s="3">
        <v>0</v>
      </c>
      <c r="R2961" s="3">
        <v>0</v>
      </c>
    </row>
    <row r="2962" spans="1:18">
      <c r="A2962" s="3" t="s">
        <v>10588</v>
      </c>
      <c r="B2962" s="3" t="s">
        <v>10589</v>
      </c>
      <c r="C2962" s="3" t="s">
        <v>8335</v>
      </c>
      <c r="D2962" s="3"/>
      <c r="E2962" s="3" t="s">
        <v>6275</v>
      </c>
      <c r="F2962" s="3"/>
      <c r="G2962" s="3"/>
      <c r="H2962" s="3"/>
      <c r="I2962" s="3"/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/>
      <c r="P2962" s="3">
        <v>0</v>
      </c>
      <c r="Q2962" s="3">
        <v>0</v>
      </c>
      <c r="R2962" s="3">
        <v>0</v>
      </c>
    </row>
    <row r="2963" spans="1:18">
      <c r="A2963" s="3" t="s">
        <v>10590</v>
      </c>
      <c r="B2963" s="3" t="s">
        <v>10591</v>
      </c>
      <c r="C2963" s="3" t="s">
        <v>1759</v>
      </c>
      <c r="D2963" s="3"/>
      <c r="E2963" s="3" t="s">
        <v>6275</v>
      </c>
      <c r="F2963" s="3"/>
      <c r="G2963" s="3"/>
      <c r="H2963" s="3"/>
      <c r="I2963" s="3"/>
      <c r="J2963" s="3">
        <v>0</v>
      </c>
      <c r="K2963" s="3">
        <v>0</v>
      </c>
      <c r="L2963" s="3">
        <v>0</v>
      </c>
      <c r="M2963" s="3">
        <v>0</v>
      </c>
      <c r="N2963" s="3">
        <v>0</v>
      </c>
      <c r="O2963" s="3"/>
      <c r="P2963" s="3">
        <v>0</v>
      </c>
      <c r="Q2963" s="3">
        <v>0</v>
      </c>
      <c r="R2963" s="3">
        <v>0</v>
      </c>
    </row>
    <row r="2964" spans="1:18">
      <c r="A2964" s="3" t="s">
        <v>10592</v>
      </c>
      <c r="B2964" s="3" t="s">
        <v>10593</v>
      </c>
      <c r="C2964" s="3" t="s">
        <v>425</v>
      </c>
      <c r="D2964" s="3"/>
      <c r="E2964" s="3" t="s">
        <v>6275</v>
      </c>
      <c r="F2964" s="3"/>
      <c r="G2964" s="3"/>
      <c r="H2964" s="3"/>
      <c r="I2964" s="3"/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/>
      <c r="P2964" s="3">
        <v>0</v>
      </c>
      <c r="Q2964" s="3">
        <v>0</v>
      </c>
      <c r="R2964" s="3">
        <v>0</v>
      </c>
    </row>
    <row r="2965" spans="1:18">
      <c r="A2965" s="3" t="s">
        <v>10594</v>
      </c>
      <c r="B2965" s="3" t="s">
        <v>10595</v>
      </c>
      <c r="C2965" s="3" t="s">
        <v>469</v>
      </c>
      <c r="D2965" s="3"/>
      <c r="E2965" s="3" t="s">
        <v>6275</v>
      </c>
      <c r="F2965" s="3"/>
      <c r="G2965" s="3"/>
      <c r="H2965" s="3"/>
      <c r="I2965" s="3"/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/>
      <c r="P2965" s="3">
        <v>0</v>
      </c>
      <c r="Q2965" s="3">
        <v>0</v>
      </c>
      <c r="R2965" s="3">
        <v>0</v>
      </c>
    </row>
    <row r="2966" spans="1:18">
      <c r="A2966" s="3" t="s">
        <v>10596</v>
      </c>
      <c r="B2966" s="3" t="s">
        <v>10597</v>
      </c>
      <c r="C2966" s="3" t="s">
        <v>6130</v>
      </c>
      <c r="D2966" s="3"/>
      <c r="E2966" s="3" t="s">
        <v>6275</v>
      </c>
      <c r="F2966" s="3"/>
      <c r="G2966" s="3"/>
      <c r="H2966" s="3"/>
      <c r="I2966" s="3"/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/>
      <c r="P2966" s="3">
        <v>0</v>
      </c>
      <c r="Q2966" s="3">
        <v>0</v>
      </c>
      <c r="R2966" s="3">
        <v>0</v>
      </c>
    </row>
    <row r="2967" spans="1:18">
      <c r="A2967" s="3" t="s">
        <v>10598</v>
      </c>
      <c r="B2967" s="3" t="s">
        <v>10599</v>
      </c>
      <c r="C2967" s="3" t="s">
        <v>10600</v>
      </c>
      <c r="D2967" s="3" t="s">
        <v>10601</v>
      </c>
      <c r="E2967" s="3" t="s">
        <v>1710</v>
      </c>
      <c r="F2967" s="3">
        <v>39.99</v>
      </c>
      <c r="G2967" s="3" t="s">
        <v>6233</v>
      </c>
      <c r="H2967" s="3"/>
      <c r="I2967" s="3" t="s">
        <v>6234</v>
      </c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>
        <v>0.14</v>
      </c>
      <c r="P2967" s="3">
        <v>0</v>
      </c>
      <c r="Q2967" s="3">
        <v>0</v>
      </c>
      <c r="R2967" s="3">
        <v>0</v>
      </c>
    </row>
    <row r="2968" spans="1:18">
      <c r="A2968" s="3" t="s">
        <v>5243</v>
      </c>
      <c r="B2968" s="3" t="s">
        <v>5244</v>
      </c>
      <c r="C2968" s="3" t="s">
        <v>5245</v>
      </c>
      <c r="D2968" s="3" t="s">
        <v>5246</v>
      </c>
      <c r="E2968" s="3" t="s">
        <v>1710</v>
      </c>
      <c r="F2968" s="3">
        <v>39.99</v>
      </c>
      <c r="G2968" s="3" t="s">
        <v>6233</v>
      </c>
      <c r="H2968" s="3"/>
      <c r="I2968" s="3" t="s">
        <v>6234</v>
      </c>
      <c r="J2968" s="3">
        <v>6</v>
      </c>
      <c r="K2968" s="3">
        <v>6</v>
      </c>
      <c r="L2968" s="3">
        <v>0</v>
      </c>
      <c r="M2968" s="3">
        <v>0</v>
      </c>
      <c r="N2968" s="3">
        <v>6</v>
      </c>
      <c r="O2968" s="3">
        <v>0.14</v>
      </c>
      <c r="P2968" s="3">
        <v>0</v>
      </c>
      <c r="Q2968" s="3">
        <v>0</v>
      </c>
      <c r="R2968" s="3">
        <v>0</v>
      </c>
    </row>
    <row r="2969" spans="1:18">
      <c r="A2969" s="3" t="s">
        <v>2386</v>
      </c>
      <c r="B2969" s="3" t="s">
        <v>2387</v>
      </c>
      <c r="C2969" s="3" t="s">
        <v>2388</v>
      </c>
      <c r="D2969" s="3" t="s">
        <v>2389</v>
      </c>
      <c r="E2969" s="3" t="s">
        <v>1710</v>
      </c>
      <c r="F2969" s="3">
        <v>39.99</v>
      </c>
      <c r="G2969" s="3" t="s">
        <v>6233</v>
      </c>
      <c r="H2969" s="3"/>
      <c r="I2969" s="3" t="s">
        <v>6234</v>
      </c>
      <c r="J2969" s="3">
        <v>3</v>
      </c>
      <c r="K2969" s="3">
        <v>3</v>
      </c>
      <c r="L2969" s="3">
        <v>0</v>
      </c>
      <c r="M2969" s="3">
        <v>0</v>
      </c>
      <c r="N2969" s="3">
        <v>3</v>
      </c>
      <c r="O2969" s="3">
        <v>0.14</v>
      </c>
      <c r="P2969" s="3">
        <v>0</v>
      </c>
      <c r="Q2969" s="3">
        <v>0</v>
      </c>
      <c r="R2969" s="3">
        <v>0</v>
      </c>
    </row>
    <row r="2970" spans="1:18">
      <c r="A2970" s="3" t="s">
        <v>10602</v>
      </c>
      <c r="B2970" s="3" t="s">
        <v>10603</v>
      </c>
      <c r="C2970" s="3" t="s">
        <v>9363</v>
      </c>
      <c r="D2970" s="3" t="s">
        <v>10604</v>
      </c>
      <c r="E2970" s="3" t="s">
        <v>1710</v>
      </c>
      <c r="F2970" s="3">
        <v>39.99</v>
      </c>
      <c r="G2970" s="3" t="s">
        <v>6233</v>
      </c>
      <c r="H2970" s="3"/>
      <c r="I2970" s="3" t="s">
        <v>6234</v>
      </c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>
        <v>0.14</v>
      </c>
      <c r="P2970" s="3">
        <v>0</v>
      </c>
      <c r="Q2970" s="3">
        <v>0</v>
      </c>
      <c r="R2970" s="3">
        <v>0</v>
      </c>
    </row>
    <row r="2971" spans="1:18">
      <c r="A2971" s="3" t="s">
        <v>10605</v>
      </c>
      <c r="B2971" s="3" t="s">
        <v>10606</v>
      </c>
      <c r="C2971" s="3" t="s">
        <v>9366</v>
      </c>
      <c r="D2971" s="3" t="s">
        <v>10607</v>
      </c>
      <c r="E2971" s="3" t="s">
        <v>1710</v>
      </c>
      <c r="F2971" s="3">
        <v>39.99</v>
      </c>
      <c r="G2971" s="3" t="s">
        <v>6233</v>
      </c>
      <c r="H2971" s="3"/>
      <c r="I2971" s="3" t="s">
        <v>6234</v>
      </c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>
        <v>0.14</v>
      </c>
      <c r="P2971" s="3">
        <v>0</v>
      </c>
      <c r="Q2971" s="3">
        <v>0</v>
      </c>
      <c r="R2971" s="3">
        <v>0</v>
      </c>
    </row>
    <row r="2972" spans="1:18">
      <c r="A2972" s="3" t="s">
        <v>1423</v>
      </c>
      <c r="B2972" s="3" t="s">
        <v>1424</v>
      </c>
      <c r="C2972" s="3" t="s">
        <v>1425</v>
      </c>
      <c r="D2972" s="3" t="s">
        <v>1426</v>
      </c>
      <c r="E2972" s="3" t="s">
        <v>1710</v>
      </c>
      <c r="F2972" s="3">
        <v>39.99</v>
      </c>
      <c r="G2972" s="3" t="s">
        <v>6234</v>
      </c>
      <c r="H2972" s="3">
        <v>0</v>
      </c>
      <c r="I2972" s="3" t="s">
        <v>6233</v>
      </c>
      <c r="J2972" s="3">
        <v>1</v>
      </c>
      <c r="K2972" s="3">
        <v>0</v>
      </c>
      <c r="L2972" s="3">
        <v>0</v>
      </c>
      <c r="M2972" s="3">
        <v>1</v>
      </c>
      <c r="N2972" s="3">
        <v>1</v>
      </c>
      <c r="O2972" s="3">
        <v>0.16</v>
      </c>
      <c r="P2972" s="3">
        <v>0</v>
      </c>
      <c r="Q2972" s="3">
        <v>0</v>
      </c>
      <c r="R2972" s="3">
        <v>0</v>
      </c>
    </row>
    <row r="2973" spans="1:18">
      <c r="A2973" s="3" t="s">
        <v>3719</v>
      </c>
      <c r="B2973" s="3" t="s">
        <v>3720</v>
      </c>
      <c r="C2973" s="3" t="s">
        <v>3721</v>
      </c>
      <c r="D2973" s="3" t="s">
        <v>3722</v>
      </c>
      <c r="E2973" s="3" t="s">
        <v>1710</v>
      </c>
      <c r="F2973" s="3">
        <v>30</v>
      </c>
      <c r="G2973" s="3" t="s">
        <v>6233</v>
      </c>
      <c r="H2973" s="3"/>
      <c r="I2973" s="3" t="s">
        <v>6234</v>
      </c>
      <c r="J2973" s="3">
        <v>1</v>
      </c>
      <c r="K2973" s="3">
        <v>1</v>
      </c>
      <c r="L2973" s="3">
        <v>0</v>
      </c>
      <c r="M2973" s="3">
        <v>0</v>
      </c>
      <c r="N2973" s="3">
        <v>1</v>
      </c>
      <c r="O2973" s="3">
        <v>0.16</v>
      </c>
      <c r="P2973" s="3">
        <v>0</v>
      </c>
      <c r="Q2973" s="3">
        <v>0</v>
      </c>
      <c r="R2973" s="3">
        <v>0</v>
      </c>
    </row>
    <row r="2974" spans="1:18">
      <c r="A2974" s="3" t="s">
        <v>10608</v>
      </c>
      <c r="B2974" s="3" t="s">
        <v>10609</v>
      </c>
      <c r="C2974" s="3" t="s">
        <v>10610</v>
      </c>
      <c r="D2974" s="3"/>
      <c r="E2974" s="3" t="s">
        <v>6275</v>
      </c>
      <c r="F2974" s="3"/>
      <c r="G2974" s="3"/>
      <c r="H2974" s="3"/>
      <c r="I2974" s="3"/>
      <c r="J2974" s="3">
        <v>0</v>
      </c>
      <c r="K2974" s="3">
        <v>0</v>
      </c>
      <c r="L2974" s="3">
        <v>0</v>
      </c>
      <c r="M2974" s="3">
        <v>0</v>
      </c>
      <c r="N2974" s="3">
        <v>0</v>
      </c>
      <c r="O2974" s="3"/>
      <c r="P2974" s="3">
        <v>0</v>
      </c>
      <c r="Q2974" s="3">
        <v>0</v>
      </c>
      <c r="R2974" s="3">
        <v>0</v>
      </c>
    </row>
    <row r="2975" spans="1:18">
      <c r="A2975" s="3" t="s">
        <v>10611</v>
      </c>
      <c r="B2975" s="3" t="s">
        <v>10612</v>
      </c>
      <c r="C2975" s="3" t="s">
        <v>10271</v>
      </c>
      <c r="D2975" s="3"/>
      <c r="E2975" s="3" t="s">
        <v>6275</v>
      </c>
      <c r="F2975" s="3"/>
      <c r="G2975" s="3"/>
      <c r="H2975" s="3"/>
      <c r="I2975" s="3"/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/>
      <c r="P2975" s="3">
        <v>0</v>
      </c>
      <c r="Q2975" s="3">
        <v>0</v>
      </c>
      <c r="R2975" s="3">
        <v>0</v>
      </c>
    </row>
    <row r="2976" spans="1:18">
      <c r="A2976" s="3" t="s">
        <v>5767</v>
      </c>
      <c r="B2976" s="3" t="s">
        <v>5768</v>
      </c>
      <c r="C2976" s="3" t="s">
        <v>5769</v>
      </c>
      <c r="D2976" s="3" t="s">
        <v>5770</v>
      </c>
      <c r="E2976" s="3" t="s">
        <v>1710</v>
      </c>
      <c r="F2976" s="3">
        <v>30</v>
      </c>
      <c r="G2976" s="3" t="s">
        <v>6233</v>
      </c>
      <c r="H2976" s="3"/>
      <c r="I2976" s="3" t="s">
        <v>6234</v>
      </c>
      <c r="J2976" s="3">
        <v>4</v>
      </c>
      <c r="K2976" s="3">
        <v>4</v>
      </c>
      <c r="L2976" s="3">
        <v>0</v>
      </c>
      <c r="M2976" s="3">
        <v>0</v>
      </c>
      <c r="N2976" s="3">
        <v>4</v>
      </c>
      <c r="O2976" s="3">
        <v>0.16</v>
      </c>
      <c r="P2976" s="3">
        <v>0</v>
      </c>
      <c r="Q2976" s="3">
        <v>0</v>
      </c>
      <c r="R2976" s="3">
        <v>0</v>
      </c>
    </row>
    <row r="2977" spans="1:18">
      <c r="A2977" s="3" t="s">
        <v>10613</v>
      </c>
      <c r="B2977" s="3" t="s">
        <v>10614</v>
      </c>
      <c r="C2977" s="3" t="s">
        <v>10285</v>
      </c>
      <c r="D2977" s="3"/>
      <c r="E2977" s="3" t="s">
        <v>6275</v>
      </c>
      <c r="F2977" s="3"/>
      <c r="G2977" s="3"/>
      <c r="H2977" s="3"/>
      <c r="I2977" s="3"/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/>
      <c r="P2977" s="3">
        <v>0</v>
      </c>
      <c r="Q2977" s="3">
        <v>0</v>
      </c>
      <c r="R2977" s="3">
        <v>0</v>
      </c>
    </row>
    <row r="2978" spans="1:18">
      <c r="A2978" s="3" t="s">
        <v>10615</v>
      </c>
      <c r="B2978" s="3" t="s">
        <v>10616</v>
      </c>
      <c r="C2978" s="3" t="s">
        <v>10291</v>
      </c>
      <c r="D2978" s="3"/>
      <c r="E2978" s="3" t="s">
        <v>6275</v>
      </c>
      <c r="F2978" s="3"/>
      <c r="G2978" s="3"/>
      <c r="H2978" s="3"/>
      <c r="I2978" s="3"/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/>
      <c r="P2978" s="3">
        <v>0</v>
      </c>
      <c r="Q2978" s="3">
        <v>0</v>
      </c>
      <c r="R2978" s="3">
        <v>0</v>
      </c>
    </row>
    <row r="2979" spans="1:18">
      <c r="A2979" s="3" t="s">
        <v>10617</v>
      </c>
      <c r="B2979" s="3" t="s">
        <v>10618</v>
      </c>
      <c r="C2979" s="3" t="s">
        <v>10619</v>
      </c>
      <c r="D2979" s="3"/>
      <c r="E2979" s="3" t="s">
        <v>6275</v>
      </c>
      <c r="F2979" s="3"/>
      <c r="G2979" s="3"/>
      <c r="H2979" s="3"/>
      <c r="I2979" s="3"/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/>
      <c r="P2979" s="3">
        <v>0</v>
      </c>
      <c r="Q2979" s="3">
        <v>0</v>
      </c>
      <c r="R2979" s="3">
        <v>0</v>
      </c>
    </row>
    <row r="2980" spans="1:18">
      <c r="A2980" s="3" t="s">
        <v>10620</v>
      </c>
      <c r="B2980" s="3" t="s">
        <v>10621</v>
      </c>
      <c r="C2980" s="3" t="s">
        <v>10303</v>
      </c>
      <c r="D2980" s="3"/>
      <c r="E2980" s="3" t="s">
        <v>6275</v>
      </c>
      <c r="F2980" s="3"/>
      <c r="G2980" s="3"/>
      <c r="H2980" s="3"/>
      <c r="I2980" s="3"/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/>
      <c r="P2980" s="3">
        <v>0</v>
      </c>
      <c r="Q2980" s="3">
        <v>0</v>
      </c>
      <c r="R2980" s="3">
        <v>0</v>
      </c>
    </row>
    <row r="2981" spans="1:18">
      <c r="A2981" s="3" t="s">
        <v>10622</v>
      </c>
      <c r="B2981" s="3" t="s">
        <v>10623</v>
      </c>
      <c r="C2981" s="3" t="s">
        <v>10306</v>
      </c>
      <c r="D2981" s="3"/>
      <c r="E2981" s="3" t="s">
        <v>6275</v>
      </c>
      <c r="F2981" s="3"/>
      <c r="G2981" s="3"/>
      <c r="H2981" s="3"/>
      <c r="I2981" s="3"/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/>
      <c r="P2981" s="3">
        <v>0</v>
      </c>
      <c r="Q2981" s="3">
        <v>0</v>
      </c>
      <c r="R2981" s="3">
        <v>0</v>
      </c>
    </row>
    <row r="2982" spans="1:18">
      <c r="A2982" s="3" t="s">
        <v>10624</v>
      </c>
      <c r="B2982" s="3" t="s">
        <v>10625</v>
      </c>
      <c r="C2982" s="3" t="s">
        <v>10315</v>
      </c>
      <c r="D2982" s="3"/>
      <c r="E2982" s="3" t="s">
        <v>6275</v>
      </c>
      <c r="F2982" s="3"/>
      <c r="G2982" s="3"/>
      <c r="H2982" s="3"/>
      <c r="I2982" s="3"/>
      <c r="J2982" s="3">
        <v>0</v>
      </c>
      <c r="K2982" s="3">
        <v>0</v>
      </c>
      <c r="L2982" s="3">
        <v>0</v>
      </c>
      <c r="M2982" s="3">
        <v>0</v>
      </c>
      <c r="N2982" s="3">
        <v>0</v>
      </c>
      <c r="O2982" s="3"/>
      <c r="P2982" s="3">
        <v>0</v>
      </c>
      <c r="Q2982" s="3">
        <v>0</v>
      </c>
      <c r="R2982" s="3">
        <v>0</v>
      </c>
    </row>
    <row r="2983" spans="1:18">
      <c r="A2983" s="3" t="s">
        <v>5997</v>
      </c>
      <c r="B2983" s="3" t="s">
        <v>5998</v>
      </c>
      <c r="C2983" s="3" t="s">
        <v>5999</v>
      </c>
      <c r="D2983" s="3" t="s">
        <v>6000</v>
      </c>
      <c r="E2983" s="3" t="s">
        <v>1710</v>
      </c>
      <c r="F2983" s="3">
        <v>38</v>
      </c>
      <c r="G2983" s="3" t="s">
        <v>6233</v>
      </c>
      <c r="H2983" s="3"/>
      <c r="I2983" s="3" t="s">
        <v>6234</v>
      </c>
      <c r="J2983" s="3">
        <v>6</v>
      </c>
      <c r="K2983" s="3">
        <v>5</v>
      </c>
      <c r="L2983" s="3">
        <v>1</v>
      </c>
      <c r="M2983" s="3">
        <v>0</v>
      </c>
      <c r="N2983" s="3">
        <v>25</v>
      </c>
      <c r="O2983" s="3">
        <v>0.11</v>
      </c>
      <c r="P2983" s="3">
        <v>0</v>
      </c>
      <c r="Q2983" s="3">
        <v>19</v>
      </c>
      <c r="R2983" s="3">
        <v>0</v>
      </c>
    </row>
    <row r="2984" spans="1:18">
      <c r="A2984" s="3" t="s">
        <v>1469</v>
      </c>
      <c r="B2984" s="3" t="s">
        <v>1470</v>
      </c>
      <c r="C2984" s="3" t="s">
        <v>1471</v>
      </c>
      <c r="D2984" s="3" t="s">
        <v>1472</v>
      </c>
      <c r="E2984" s="3" t="s">
        <v>1710</v>
      </c>
      <c r="F2984" s="3">
        <v>38</v>
      </c>
      <c r="G2984" s="3" t="s">
        <v>6233</v>
      </c>
      <c r="H2984" s="3"/>
      <c r="I2984" s="3" t="s">
        <v>6234</v>
      </c>
      <c r="J2984" s="3">
        <v>7</v>
      </c>
      <c r="K2984" s="3">
        <v>0</v>
      </c>
      <c r="L2984" s="3">
        <v>1</v>
      </c>
      <c r="M2984" s="3">
        <v>6</v>
      </c>
      <c r="N2984" s="3">
        <v>16</v>
      </c>
      <c r="O2984" s="3">
        <v>0.11</v>
      </c>
      <c r="P2984" s="3">
        <v>0</v>
      </c>
      <c r="Q2984" s="3">
        <v>9</v>
      </c>
      <c r="R2984" s="3">
        <v>0</v>
      </c>
    </row>
    <row r="2985" spans="1:18">
      <c r="A2985" s="3" t="s">
        <v>2199</v>
      </c>
      <c r="B2985" s="3" t="s">
        <v>2200</v>
      </c>
      <c r="C2985" s="3" t="s">
        <v>2201</v>
      </c>
      <c r="D2985" s="3" t="s">
        <v>2202</v>
      </c>
      <c r="E2985" s="3" t="s">
        <v>1710</v>
      </c>
      <c r="F2985" s="3">
        <v>38</v>
      </c>
      <c r="G2985" s="3" t="s">
        <v>6233</v>
      </c>
      <c r="H2985" s="3"/>
      <c r="I2985" s="3" t="s">
        <v>6234</v>
      </c>
      <c r="J2985" s="3">
        <v>18</v>
      </c>
      <c r="K2985" s="3">
        <v>18</v>
      </c>
      <c r="L2985" s="3">
        <v>0</v>
      </c>
      <c r="M2985" s="3">
        <v>0</v>
      </c>
      <c r="N2985" s="3">
        <v>18</v>
      </c>
      <c r="O2985" s="3">
        <v>0.11</v>
      </c>
      <c r="P2985" s="3">
        <v>0</v>
      </c>
      <c r="Q2985" s="3">
        <v>0</v>
      </c>
      <c r="R2985" s="3">
        <v>0</v>
      </c>
    </row>
    <row r="2986" spans="1:18">
      <c r="A2986" s="3" t="s">
        <v>1477</v>
      </c>
      <c r="B2986" s="3" t="s">
        <v>1478</v>
      </c>
      <c r="C2986" s="3" t="s">
        <v>1479</v>
      </c>
      <c r="D2986" s="3" t="s">
        <v>1480</v>
      </c>
      <c r="E2986" s="3" t="s">
        <v>1710</v>
      </c>
      <c r="F2986" s="3">
        <v>38</v>
      </c>
      <c r="G2986" s="3" t="s">
        <v>6233</v>
      </c>
      <c r="H2986" s="3"/>
      <c r="I2986" s="3" t="s">
        <v>6234</v>
      </c>
      <c r="J2986" s="3">
        <v>13</v>
      </c>
      <c r="K2986" s="3">
        <v>11</v>
      </c>
      <c r="L2986" s="3">
        <v>1</v>
      </c>
      <c r="M2986" s="3">
        <v>1</v>
      </c>
      <c r="N2986" s="3">
        <v>18</v>
      </c>
      <c r="O2986" s="3">
        <v>0.11</v>
      </c>
      <c r="P2986" s="3">
        <v>0</v>
      </c>
      <c r="Q2986" s="3">
        <v>5</v>
      </c>
      <c r="R2986" s="3">
        <v>0</v>
      </c>
    </row>
    <row r="2987" spans="1:18">
      <c r="A2987" s="3" t="s">
        <v>5135</v>
      </c>
      <c r="B2987" s="3" t="s">
        <v>5136</v>
      </c>
      <c r="C2987" s="3" t="s">
        <v>5137</v>
      </c>
      <c r="D2987" s="3" t="s">
        <v>5138</v>
      </c>
      <c r="E2987" s="3" t="s">
        <v>1710</v>
      </c>
      <c r="F2987" s="3">
        <v>38</v>
      </c>
      <c r="G2987" s="3" t="s">
        <v>6233</v>
      </c>
      <c r="H2987" s="3"/>
      <c r="I2987" s="3" t="s">
        <v>6234</v>
      </c>
      <c r="J2987" s="3">
        <v>16</v>
      </c>
      <c r="K2987" s="3">
        <v>16</v>
      </c>
      <c r="L2987" s="3">
        <v>0</v>
      </c>
      <c r="M2987" s="3">
        <v>0</v>
      </c>
      <c r="N2987" s="3">
        <v>16</v>
      </c>
      <c r="O2987" s="3">
        <v>0.11</v>
      </c>
      <c r="P2987" s="3">
        <v>0</v>
      </c>
      <c r="Q2987" s="3">
        <v>0</v>
      </c>
      <c r="R2987" s="3">
        <v>0</v>
      </c>
    </row>
    <row r="2988" spans="1:18">
      <c r="A2988" s="3" t="s">
        <v>1449</v>
      </c>
      <c r="B2988" s="3" t="s">
        <v>1450</v>
      </c>
      <c r="C2988" s="3" t="s">
        <v>1451</v>
      </c>
      <c r="D2988" s="3" t="s">
        <v>1452</v>
      </c>
      <c r="E2988" s="3" t="s">
        <v>1710</v>
      </c>
      <c r="F2988" s="3">
        <v>38</v>
      </c>
      <c r="G2988" s="3" t="s">
        <v>6233</v>
      </c>
      <c r="H2988" s="3"/>
      <c r="I2988" s="3" t="s">
        <v>6234</v>
      </c>
      <c r="J2988" s="3">
        <v>1</v>
      </c>
      <c r="K2988" s="3">
        <v>0</v>
      </c>
      <c r="L2988" s="3">
        <v>0</v>
      </c>
      <c r="M2988" s="3">
        <v>1</v>
      </c>
      <c r="N2988" s="3">
        <v>8</v>
      </c>
      <c r="O2988" s="3">
        <v>0.1</v>
      </c>
      <c r="P2988" s="3">
        <v>0</v>
      </c>
      <c r="Q2988" s="3">
        <v>7</v>
      </c>
      <c r="R2988" s="3">
        <v>0</v>
      </c>
    </row>
    <row r="2989" spans="1:18">
      <c r="A2989" s="3" t="s">
        <v>1438</v>
      </c>
      <c r="B2989" s="3" t="s">
        <v>1439</v>
      </c>
      <c r="C2989" s="3" t="s">
        <v>1440</v>
      </c>
      <c r="D2989" s="3" t="s">
        <v>1430</v>
      </c>
      <c r="E2989" s="3" t="s">
        <v>1710</v>
      </c>
      <c r="F2989" s="3">
        <v>38</v>
      </c>
      <c r="G2989" s="3" t="s">
        <v>6233</v>
      </c>
      <c r="H2989" s="3"/>
      <c r="I2989" s="3" t="s">
        <v>6234</v>
      </c>
      <c r="J2989" s="3">
        <v>18</v>
      </c>
      <c r="K2989" s="3">
        <v>0</v>
      </c>
      <c r="L2989" s="3">
        <v>2</v>
      </c>
      <c r="M2989" s="3">
        <v>16</v>
      </c>
      <c r="N2989" s="3">
        <v>18</v>
      </c>
      <c r="O2989" s="3">
        <v>0.1</v>
      </c>
      <c r="P2989" s="3">
        <v>0</v>
      </c>
      <c r="Q2989" s="3">
        <v>0</v>
      </c>
      <c r="R2989" s="3">
        <v>0</v>
      </c>
    </row>
    <row r="2990" spans="1:18">
      <c r="A2990" s="3" t="s">
        <v>1461</v>
      </c>
      <c r="B2990" s="3" t="s">
        <v>1462</v>
      </c>
      <c r="C2990" s="3" t="s">
        <v>1463</v>
      </c>
      <c r="D2990" s="3" t="s">
        <v>1464</v>
      </c>
      <c r="E2990" s="3" t="s">
        <v>1710</v>
      </c>
      <c r="F2990" s="3">
        <v>38</v>
      </c>
      <c r="G2990" s="3" t="s">
        <v>6233</v>
      </c>
      <c r="H2990" s="3"/>
      <c r="I2990" s="3" t="s">
        <v>6234</v>
      </c>
      <c r="J2990" s="3">
        <v>19</v>
      </c>
      <c r="K2990" s="3">
        <v>11</v>
      </c>
      <c r="L2990" s="3">
        <v>4</v>
      </c>
      <c r="M2990" s="3">
        <v>4</v>
      </c>
      <c r="N2990" s="3">
        <v>37</v>
      </c>
      <c r="O2990" s="3">
        <v>0.1</v>
      </c>
      <c r="P2990" s="3">
        <v>0</v>
      </c>
      <c r="Q2990" s="3">
        <v>18</v>
      </c>
      <c r="R2990" s="3">
        <v>0</v>
      </c>
    </row>
    <row r="2991" spans="1:18">
      <c r="A2991" s="3" t="s">
        <v>1453</v>
      </c>
      <c r="B2991" s="3" t="s">
        <v>1454</v>
      </c>
      <c r="C2991" s="3" t="s">
        <v>1455</v>
      </c>
      <c r="D2991" s="3" t="s">
        <v>1456</v>
      </c>
      <c r="E2991" s="3" t="s">
        <v>1710</v>
      </c>
      <c r="F2991" s="3">
        <v>38</v>
      </c>
      <c r="G2991" s="3" t="s">
        <v>6233</v>
      </c>
      <c r="H2991" s="3"/>
      <c r="I2991" s="3" t="s">
        <v>6234</v>
      </c>
      <c r="J2991" s="3">
        <v>11</v>
      </c>
      <c r="K2991" s="3">
        <v>6</v>
      </c>
      <c r="L2991" s="3">
        <v>4</v>
      </c>
      <c r="M2991" s="3">
        <v>1</v>
      </c>
      <c r="N2991" s="3">
        <v>11</v>
      </c>
      <c r="O2991" s="3">
        <v>0.1</v>
      </c>
      <c r="P2991" s="3">
        <v>0</v>
      </c>
      <c r="Q2991" s="3">
        <v>0</v>
      </c>
      <c r="R2991" s="3">
        <v>0</v>
      </c>
    </row>
    <row r="2992" spans="1:18">
      <c r="A2992" s="3" t="s">
        <v>5213</v>
      </c>
      <c r="B2992" s="3" t="s">
        <v>5214</v>
      </c>
      <c r="C2992" s="3" t="s">
        <v>5215</v>
      </c>
      <c r="D2992" s="3" t="s">
        <v>5216</v>
      </c>
      <c r="E2992" s="3" t="s">
        <v>1710</v>
      </c>
      <c r="F2992" s="3">
        <v>38</v>
      </c>
      <c r="G2992" s="3" t="s">
        <v>6233</v>
      </c>
      <c r="H2992" s="3"/>
      <c r="I2992" s="3" t="s">
        <v>6234</v>
      </c>
      <c r="J2992" s="3">
        <v>18</v>
      </c>
      <c r="K2992" s="3">
        <v>18</v>
      </c>
      <c r="L2992" s="3">
        <v>0</v>
      </c>
      <c r="M2992" s="3">
        <v>0</v>
      </c>
      <c r="N2992" s="3">
        <v>18</v>
      </c>
      <c r="O2992" s="3">
        <v>0.1</v>
      </c>
      <c r="P2992" s="3">
        <v>0</v>
      </c>
      <c r="Q2992" s="3">
        <v>0</v>
      </c>
      <c r="R2992" s="3">
        <v>0</v>
      </c>
    </row>
    <row r="2993" spans="1:18">
      <c r="A2993" s="3" t="s">
        <v>1445</v>
      </c>
      <c r="B2993" s="3" t="s">
        <v>1446</v>
      </c>
      <c r="C2993" s="3" t="s">
        <v>1447</v>
      </c>
      <c r="D2993" s="3" t="s">
        <v>1448</v>
      </c>
      <c r="E2993" s="3" t="s">
        <v>1710</v>
      </c>
      <c r="F2993" s="3">
        <v>38</v>
      </c>
      <c r="G2993" s="3" t="s">
        <v>6233</v>
      </c>
      <c r="H2993" s="3"/>
      <c r="I2993" s="3" t="s">
        <v>6234</v>
      </c>
      <c r="J2993" s="3">
        <v>28</v>
      </c>
      <c r="K2993" s="3">
        <v>17</v>
      </c>
      <c r="L2993" s="3">
        <v>1</v>
      </c>
      <c r="M2993" s="3">
        <v>10</v>
      </c>
      <c r="N2993" s="3">
        <v>33</v>
      </c>
      <c r="O2993" s="3">
        <v>0.1</v>
      </c>
      <c r="P2993" s="3">
        <v>0</v>
      </c>
      <c r="Q2993" s="3">
        <v>5</v>
      </c>
      <c r="R2993" s="3">
        <v>0</v>
      </c>
    </row>
    <row r="2994" spans="1:18">
      <c r="A2994" s="3" t="s">
        <v>1473</v>
      </c>
      <c r="B2994" s="3" t="s">
        <v>1474</v>
      </c>
      <c r="C2994" s="3" t="s">
        <v>1475</v>
      </c>
      <c r="D2994" s="3" t="s">
        <v>1476</v>
      </c>
      <c r="E2994" s="3" t="s">
        <v>1710</v>
      </c>
      <c r="F2994" s="3">
        <v>38</v>
      </c>
      <c r="G2994" s="3" t="s">
        <v>6233</v>
      </c>
      <c r="H2994" s="3"/>
      <c r="I2994" s="3" t="s">
        <v>6234</v>
      </c>
      <c r="J2994" s="3">
        <v>60</v>
      </c>
      <c r="K2994" s="3">
        <v>46</v>
      </c>
      <c r="L2994" s="3">
        <v>11</v>
      </c>
      <c r="M2994" s="3">
        <v>3</v>
      </c>
      <c r="N2994" s="3">
        <v>60</v>
      </c>
      <c r="O2994" s="3">
        <v>0.1</v>
      </c>
      <c r="P2994" s="3">
        <v>0</v>
      </c>
      <c r="Q2994" s="3">
        <v>0</v>
      </c>
      <c r="R2994" s="3">
        <v>0</v>
      </c>
    </row>
    <row r="2995" spans="1:18">
      <c r="A2995" s="3" t="s">
        <v>1465</v>
      </c>
      <c r="B2995" s="3" t="s">
        <v>1466</v>
      </c>
      <c r="C2995" s="3" t="s">
        <v>1467</v>
      </c>
      <c r="D2995" s="3" t="s">
        <v>1468</v>
      </c>
      <c r="E2995" s="3" t="s">
        <v>1710</v>
      </c>
      <c r="F2995" s="3">
        <v>38</v>
      </c>
      <c r="G2995" s="3" t="s">
        <v>6233</v>
      </c>
      <c r="H2995" s="3"/>
      <c r="I2995" s="3" t="s">
        <v>6234</v>
      </c>
      <c r="J2995" s="3">
        <v>69</v>
      </c>
      <c r="K2995" s="3">
        <v>56</v>
      </c>
      <c r="L2995" s="3">
        <v>8</v>
      </c>
      <c r="M2995" s="3">
        <v>5</v>
      </c>
      <c r="N2995" s="3">
        <v>69</v>
      </c>
      <c r="O2995" s="3">
        <v>0.21</v>
      </c>
      <c r="P2995" s="3">
        <v>0</v>
      </c>
      <c r="Q2995" s="3">
        <v>0</v>
      </c>
      <c r="R2995" s="3">
        <v>0</v>
      </c>
    </row>
    <row r="2996" spans="1:18">
      <c r="A2996" s="3" t="s">
        <v>1431</v>
      </c>
      <c r="B2996" s="3" t="s">
        <v>1432</v>
      </c>
      <c r="C2996" s="3" t="s">
        <v>1433</v>
      </c>
      <c r="D2996" s="3" t="s">
        <v>1434</v>
      </c>
      <c r="E2996" s="3" t="s">
        <v>1710</v>
      </c>
      <c r="F2996" s="3">
        <v>38</v>
      </c>
      <c r="G2996" s="3" t="s">
        <v>6233</v>
      </c>
      <c r="H2996" s="3"/>
      <c r="I2996" s="3" t="s">
        <v>6234</v>
      </c>
      <c r="J2996" s="3">
        <v>4</v>
      </c>
      <c r="K2996" s="3">
        <v>1</v>
      </c>
      <c r="L2996" s="3">
        <v>1</v>
      </c>
      <c r="M2996" s="3">
        <v>2</v>
      </c>
      <c r="N2996" s="3">
        <v>4</v>
      </c>
      <c r="O2996" s="3">
        <v>0.1</v>
      </c>
      <c r="P2996" s="3">
        <v>0</v>
      </c>
      <c r="Q2996" s="3">
        <v>0</v>
      </c>
      <c r="R2996" s="3">
        <v>0</v>
      </c>
    </row>
    <row r="2997" spans="1:18">
      <c r="A2997" s="3" t="s">
        <v>6184</v>
      </c>
      <c r="B2997" s="3" t="s">
        <v>6185</v>
      </c>
      <c r="C2997" s="3" t="s">
        <v>6186</v>
      </c>
      <c r="D2997" s="3" t="s">
        <v>6187</v>
      </c>
      <c r="E2997" s="3" t="s">
        <v>1710</v>
      </c>
      <c r="F2997" s="3">
        <v>38</v>
      </c>
      <c r="G2997" s="3" t="s">
        <v>6233</v>
      </c>
      <c r="H2997" s="3"/>
      <c r="I2997" s="3" t="s">
        <v>6234</v>
      </c>
      <c r="J2997" s="3">
        <v>13</v>
      </c>
      <c r="K2997" s="3">
        <v>11</v>
      </c>
      <c r="L2997" s="3">
        <v>2</v>
      </c>
      <c r="M2997" s="3">
        <v>0</v>
      </c>
      <c r="N2997" s="3">
        <v>13</v>
      </c>
      <c r="O2997" s="3">
        <v>0.1</v>
      </c>
      <c r="P2997" s="3">
        <v>0</v>
      </c>
      <c r="Q2997" s="3">
        <v>0</v>
      </c>
      <c r="R2997" s="3">
        <v>0</v>
      </c>
    </row>
    <row r="2998" spans="1:18">
      <c r="A2998" s="3" t="s">
        <v>1441</v>
      </c>
      <c r="B2998" s="3" t="s">
        <v>1442</v>
      </c>
      <c r="C2998" s="3" t="s">
        <v>1443</v>
      </c>
      <c r="D2998" s="3" t="s">
        <v>1444</v>
      </c>
      <c r="E2998" s="3" t="s">
        <v>1710</v>
      </c>
      <c r="F2998" s="3">
        <v>38</v>
      </c>
      <c r="G2998" s="3" t="s">
        <v>6233</v>
      </c>
      <c r="H2998" s="3"/>
      <c r="I2998" s="3" t="s">
        <v>6234</v>
      </c>
      <c r="J2998" s="3">
        <v>15</v>
      </c>
      <c r="K2998" s="3">
        <v>6</v>
      </c>
      <c r="L2998" s="3">
        <v>8</v>
      </c>
      <c r="M2998" s="3">
        <v>1</v>
      </c>
      <c r="N2998" s="3">
        <v>41</v>
      </c>
      <c r="O2998" s="3">
        <v>0.1</v>
      </c>
      <c r="P2998" s="3">
        <v>0</v>
      </c>
      <c r="Q2998" s="3">
        <v>26</v>
      </c>
      <c r="R2998" s="3">
        <v>0</v>
      </c>
    </row>
    <row r="2999" spans="1:18">
      <c r="A2999" s="3" t="s">
        <v>1435</v>
      </c>
      <c r="B2999" s="3" t="s">
        <v>1436</v>
      </c>
      <c r="C2999" s="3" t="s">
        <v>1437</v>
      </c>
      <c r="D2999" s="3" t="s">
        <v>1430</v>
      </c>
      <c r="E2999" s="3" t="s">
        <v>1710</v>
      </c>
      <c r="F2999" s="3">
        <v>38</v>
      </c>
      <c r="G2999" s="3" t="s">
        <v>6233</v>
      </c>
      <c r="H2999" s="3"/>
      <c r="I2999" s="3" t="s">
        <v>6234</v>
      </c>
      <c r="J2999" s="3">
        <v>13</v>
      </c>
      <c r="K2999" s="3">
        <v>5</v>
      </c>
      <c r="L2999" s="3">
        <v>4</v>
      </c>
      <c r="M2999" s="3">
        <v>4</v>
      </c>
      <c r="N2999" s="3">
        <v>18</v>
      </c>
      <c r="O2999" s="3">
        <v>0.1</v>
      </c>
      <c r="P2999" s="3">
        <v>0</v>
      </c>
      <c r="Q2999" s="3">
        <v>5</v>
      </c>
      <c r="R2999" s="3">
        <v>0</v>
      </c>
    </row>
    <row r="3000" spans="1:18">
      <c r="A3000" s="3" t="s">
        <v>1427</v>
      </c>
      <c r="B3000" s="3" t="s">
        <v>1428</v>
      </c>
      <c r="C3000" s="3" t="s">
        <v>1429</v>
      </c>
      <c r="D3000" s="3" t="s">
        <v>1430</v>
      </c>
      <c r="E3000" s="3" t="s">
        <v>1710</v>
      </c>
      <c r="F3000" s="3">
        <v>38</v>
      </c>
      <c r="G3000" s="3" t="s">
        <v>6233</v>
      </c>
      <c r="H3000" s="3"/>
      <c r="I3000" s="3" t="s">
        <v>6234</v>
      </c>
      <c r="J3000" s="3">
        <v>51</v>
      </c>
      <c r="K3000" s="3">
        <v>46</v>
      </c>
      <c r="L3000" s="3">
        <v>3</v>
      </c>
      <c r="M3000" s="3">
        <v>2</v>
      </c>
      <c r="N3000" s="3">
        <v>51</v>
      </c>
      <c r="O3000" s="3">
        <v>0.1</v>
      </c>
      <c r="P3000" s="3">
        <v>0</v>
      </c>
      <c r="Q3000" s="3">
        <v>0</v>
      </c>
      <c r="R3000" s="3">
        <v>0</v>
      </c>
    </row>
    <row r="3001" spans="1:18">
      <c r="A3001" s="3" t="s">
        <v>1457</v>
      </c>
      <c r="B3001" s="3" t="s">
        <v>1458</v>
      </c>
      <c r="C3001" s="3" t="s">
        <v>1459</v>
      </c>
      <c r="D3001" s="3" t="s">
        <v>1460</v>
      </c>
      <c r="E3001" s="3" t="s">
        <v>1710</v>
      </c>
      <c r="F3001" s="3">
        <v>38</v>
      </c>
      <c r="G3001" s="3" t="s">
        <v>6233</v>
      </c>
      <c r="H3001" s="3"/>
      <c r="I3001" s="3" t="s">
        <v>6234</v>
      </c>
      <c r="J3001" s="3">
        <v>22</v>
      </c>
      <c r="K3001" s="3">
        <v>15</v>
      </c>
      <c r="L3001" s="3">
        <v>5</v>
      </c>
      <c r="M3001" s="3">
        <v>2</v>
      </c>
      <c r="N3001" s="3">
        <v>22</v>
      </c>
      <c r="O3001" s="3">
        <v>0.1</v>
      </c>
      <c r="P3001" s="3">
        <v>0</v>
      </c>
      <c r="Q3001" s="3">
        <v>0</v>
      </c>
      <c r="R3001" s="3">
        <v>0</v>
      </c>
    </row>
    <row r="3002" spans="1:18">
      <c r="A3002" s="3" t="s">
        <v>4740</v>
      </c>
      <c r="B3002" s="3" t="s">
        <v>4741</v>
      </c>
      <c r="C3002" s="3" t="s">
        <v>4742</v>
      </c>
      <c r="D3002" s="3" t="s">
        <v>4743</v>
      </c>
      <c r="E3002" s="3" t="s">
        <v>1710</v>
      </c>
      <c r="F3002" s="3">
        <v>38</v>
      </c>
      <c r="G3002" s="3" t="s">
        <v>6233</v>
      </c>
      <c r="H3002" s="3"/>
      <c r="I3002" s="3" t="s">
        <v>6234</v>
      </c>
      <c r="J3002" s="3">
        <v>10</v>
      </c>
      <c r="K3002" s="3">
        <v>8</v>
      </c>
      <c r="L3002" s="3">
        <v>2</v>
      </c>
      <c r="M3002" s="3">
        <v>0</v>
      </c>
      <c r="N3002" s="3">
        <v>18</v>
      </c>
      <c r="O3002" s="3">
        <v>0.1</v>
      </c>
      <c r="P3002" s="3">
        <v>0</v>
      </c>
      <c r="Q3002" s="3">
        <v>8</v>
      </c>
      <c r="R3002" s="3">
        <v>0</v>
      </c>
    </row>
    <row r="3003" spans="1:18">
      <c r="A3003" s="3" t="s">
        <v>10626</v>
      </c>
      <c r="B3003" s="3" t="s">
        <v>10627</v>
      </c>
      <c r="C3003" s="3" t="s">
        <v>10628</v>
      </c>
      <c r="D3003" s="3"/>
      <c r="E3003" s="3" t="s">
        <v>6275</v>
      </c>
      <c r="F3003" s="3"/>
      <c r="G3003" s="3"/>
      <c r="H3003" s="3"/>
      <c r="I3003" s="3"/>
      <c r="J3003" s="3">
        <v>0</v>
      </c>
      <c r="K3003" s="3">
        <v>0</v>
      </c>
      <c r="L3003" s="3">
        <v>0</v>
      </c>
      <c r="M3003" s="3">
        <v>0</v>
      </c>
      <c r="N3003" s="3">
        <v>0</v>
      </c>
      <c r="O3003" s="3"/>
      <c r="P3003" s="3">
        <v>0</v>
      </c>
      <c r="Q3003" s="3">
        <v>0</v>
      </c>
      <c r="R3003" s="3">
        <v>0</v>
      </c>
    </row>
    <row r="3004" spans="1:18">
      <c r="A3004" s="3" t="s">
        <v>10629</v>
      </c>
      <c r="B3004" s="3" t="s">
        <v>10630</v>
      </c>
      <c r="C3004" s="3" t="s">
        <v>10631</v>
      </c>
      <c r="D3004" s="3"/>
      <c r="E3004" s="3" t="s">
        <v>6275</v>
      </c>
      <c r="F3004" s="3"/>
      <c r="G3004" s="3"/>
      <c r="H3004" s="3"/>
      <c r="I3004" s="3"/>
      <c r="J3004" s="3">
        <v>0</v>
      </c>
      <c r="K3004" s="3">
        <v>0</v>
      </c>
      <c r="L3004" s="3">
        <v>0</v>
      </c>
      <c r="M3004" s="3">
        <v>0</v>
      </c>
      <c r="N3004" s="3">
        <v>0</v>
      </c>
      <c r="O3004" s="3"/>
      <c r="P3004" s="3">
        <v>0</v>
      </c>
      <c r="Q3004" s="3">
        <v>0</v>
      </c>
      <c r="R3004" s="3">
        <v>0</v>
      </c>
    </row>
    <row r="3005" spans="1:18">
      <c r="A3005" s="3" t="s">
        <v>10632</v>
      </c>
      <c r="B3005" s="3" t="s">
        <v>10633</v>
      </c>
      <c r="C3005" s="3" t="s">
        <v>10634</v>
      </c>
      <c r="D3005" s="3" t="s">
        <v>10635</v>
      </c>
      <c r="E3005" s="3" t="s">
        <v>1710</v>
      </c>
      <c r="F3005" s="3">
        <v>38</v>
      </c>
      <c r="G3005" s="3" t="s">
        <v>6233</v>
      </c>
      <c r="H3005" s="3"/>
      <c r="I3005" s="3" t="s">
        <v>6234</v>
      </c>
      <c r="J3005" s="3">
        <v>0</v>
      </c>
      <c r="K3005" s="3">
        <v>0</v>
      </c>
      <c r="L3005" s="3">
        <v>0</v>
      </c>
      <c r="M3005" s="3">
        <v>0</v>
      </c>
      <c r="N3005" s="3">
        <v>0</v>
      </c>
      <c r="O3005" s="3">
        <v>0.07</v>
      </c>
      <c r="P3005" s="3">
        <v>0</v>
      </c>
      <c r="Q3005" s="3">
        <v>0</v>
      </c>
      <c r="R3005" s="3">
        <v>0</v>
      </c>
    </row>
    <row r="3006" spans="1:18">
      <c r="A3006" s="3" t="s">
        <v>10636</v>
      </c>
      <c r="B3006" s="3" t="s">
        <v>10637</v>
      </c>
      <c r="C3006" s="3" t="s">
        <v>10638</v>
      </c>
      <c r="D3006" s="3"/>
      <c r="E3006" s="3" t="s">
        <v>6275</v>
      </c>
      <c r="F3006" s="3"/>
      <c r="G3006" s="3"/>
      <c r="H3006" s="3"/>
      <c r="I3006" s="3"/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/>
      <c r="P3006" s="3">
        <v>0</v>
      </c>
      <c r="Q3006" s="3">
        <v>0</v>
      </c>
      <c r="R3006" s="3">
        <v>0</v>
      </c>
    </row>
    <row r="3007" spans="1:18">
      <c r="A3007" s="3" t="s">
        <v>10639</v>
      </c>
      <c r="B3007" s="3" t="s">
        <v>10640</v>
      </c>
      <c r="C3007" s="3" t="s">
        <v>10641</v>
      </c>
      <c r="D3007" s="3" t="s">
        <v>10642</v>
      </c>
      <c r="E3007" s="3" t="s">
        <v>1710</v>
      </c>
      <c r="F3007" s="3">
        <v>38</v>
      </c>
      <c r="G3007" s="3" t="s">
        <v>6233</v>
      </c>
      <c r="H3007" s="3"/>
      <c r="I3007" s="3" t="s">
        <v>6234</v>
      </c>
      <c r="J3007" s="3">
        <v>0</v>
      </c>
      <c r="K3007" s="3">
        <v>0</v>
      </c>
      <c r="L3007" s="3">
        <v>0</v>
      </c>
      <c r="M3007" s="3">
        <v>0</v>
      </c>
      <c r="N3007" s="3">
        <v>0</v>
      </c>
      <c r="O3007" s="3">
        <v>0.07</v>
      </c>
      <c r="P3007" s="3">
        <v>0</v>
      </c>
      <c r="Q3007" s="3">
        <v>0</v>
      </c>
      <c r="R3007" s="3">
        <v>0</v>
      </c>
    </row>
    <row r="3008" spans="1:18">
      <c r="A3008" s="3" t="s">
        <v>10643</v>
      </c>
      <c r="B3008" s="3" t="s">
        <v>10644</v>
      </c>
      <c r="C3008" s="3" t="s">
        <v>10645</v>
      </c>
      <c r="D3008" s="3" t="s">
        <v>10646</v>
      </c>
      <c r="E3008" s="3" t="s">
        <v>1710</v>
      </c>
      <c r="F3008" s="3">
        <v>19.99</v>
      </c>
      <c r="G3008" s="3" t="s">
        <v>6233</v>
      </c>
      <c r="H3008" s="3"/>
      <c r="I3008" s="3" t="s">
        <v>6234</v>
      </c>
      <c r="J3008" s="3">
        <v>0</v>
      </c>
      <c r="K3008" s="3">
        <v>0</v>
      </c>
      <c r="L3008" s="3">
        <v>0</v>
      </c>
      <c r="M3008" s="3">
        <v>0</v>
      </c>
      <c r="N3008" s="3">
        <v>0</v>
      </c>
      <c r="O3008" s="3">
        <v>0.07</v>
      </c>
      <c r="P3008" s="3">
        <v>0</v>
      </c>
      <c r="Q3008" s="3">
        <v>0</v>
      </c>
      <c r="R3008" s="3">
        <v>0</v>
      </c>
    </row>
    <row r="3009" spans="1:18">
      <c r="A3009" s="3" t="s">
        <v>4573</v>
      </c>
      <c r="B3009" s="3" t="s">
        <v>4574</v>
      </c>
      <c r="C3009" s="3" t="s">
        <v>4575</v>
      </c>
      <c r="D3009" s="3" t="s">
        <v>4576</v>
      </c>
      <c r="E3009" s="3" t="s">
        <v>1710</v>
      </c>
      <c r="F3009" s="3">
        <v>38</v>
      </c>
      <c r="G3009" s="3" t="s">
        <v>6233</v>
      </c>
      <c r="H3009" s="3"/>
      <c r="I3009" s="3" t="s">
        <v>6234</v>
      </c>
      <c r="J3009" s="3">
        <v>1</v>
      </c>
      <c r="K3009" s="3">
        <v>1</v>
      </c>
      <c r="L3009" s="3">
        <v>0</v>
      </c>
      <c r="M3009" s="3">
        <v>0</v>
      </c>
      <c r="N3009" s="3">
        <v>1</v>
      </c>
      <c r="O3009" s="3">
        <v>0.07</v>
      </c>
      <c r="P3009" s="3">
        <v>0</v>
      </c>
      <c r="Q3009" s="3">
        <v>0</v>
      </c>
      <c r="R3009" s="3">
        <v>0</v>
      </c>
    </row>
    <row r="3010" spans="1:18">
      <c r="A3010" s="3" t="s">
        <v>10647</v>
      </c>
      <c r="B3010" s="3" t="s">
        <v>10648</v>
      </c>
      <c r="C3010" s="3" t="s">
        <v>10649</v>
      </c>
      <c r="D3010" s="3"/>
      <c r="E3010" s="3" t="s">
        <v>6275</v>
      </c>
      <c r="F3010" s="3"/>
      <c r="G3010" s="3"/>
      <c r="H3010" s="3"/>
      <c r="I3010" s="3"/>
      <c r="J3010" s="3">
        <v>0</v>
      </c>
      <c r="K3010" s="3">
        <v>0</v>
      </c>
      <c r="L3010" s="3">
        <v>0</v>
      </c>
      <c r="M3010" s="3">
        <v>0</v>
      </c>
      <c r="N3010" s="3">
        <v>0</v>
      </c>
      <c r="O3010" s="3"/>
      <c r="P3010" s="3">
        <v>0</v>
      </c>
      <c r="Q3010" s="3">
        <v>0</v>
      </c>
      <c r="R3010" s="3">
        <v>0</v>
      </c>
    </row>
    <row r="3011" spans="1:18">
      <c r="A3011" s="3" t="s">
        <v>5617</v>
      </c>
      <c r="B3011" s="3" t="s">
        <v>5618</v>
      </c>
      <c r="C3011" s="3" t="s">
        <v>5619</v>
      </c>
      <c r="D3011" s="3" t="s">
        <v>5620</v>
      </c>
      <c r="E3011" s="3" t="s">
        <v>1710</v>
      </c>
      <c r="F3011" s="3">
        <v>13.88</v>
      </c>
      <c r="G3011" s="3" t="s">
        <v>6233</v>
      </c>
      <c r="H3011" s="3"/>
      <c r="I3011" s="3" t="s">
        <v>6234</v>
      </c>
      <c r="J3011" s="3">
        <v>15</v>
      </c>
      <c r="K3011" s="3">
        <v>15</v>
      </c>
      <c r="L3011" s="3">
        <v>0</v>
      </c>
      <c r="M3011" s="3">
        <v>0</v>
      </c>
      <c r="N3011" s="3">
        <v>15</v>
      </c>
      <c r="O3011" s="3">
        <v>0.05</v>
      </c>
      <c r="P3011" s="3">
        <v>0</v>
      </c>
      <c r="Q3011" s="3">
        <v>0</v>
      </c>
      <c r="R3011" s="3">
        <v>0</v>
      </c>
    </row>
    <row r="3012" spans="1:18">
      <c r="A3012" s="3" t="s">
        <v>3222</v>
      </c>
      <c r="B3012" s="3" t="s">
        <v>3223</v>
      </c>
      <c r="C3012" s="3" t="s">
        <v>3224</v>
      </c>
      <c r="D3012" s="3" t="s">
        <v>3225</v>
      </c>
      <c r="E3012" s="3" t="s">
        <v>1710</v>
      </c>
      <c r="F3012" s="3">
        <v>13.88</v>
      </c>
      <c r="G3012" s="3" t="s">
        <v>6233</v>
      </c>
      <c r="H3012" s="3"/>
      <c r="I3012" s="3" t="s">
        <v>6234</v>
      </c>
      <c r="J3012" s="3">
        <v>8</v>
      </c>
      <c r="K3012" s="3">
        <v>8</v>
      </c>
      <c r="L3012" s="3">
        <v>0</v>
      </c>
      <c r="M3012" s="3">
        <v>0</v>
      </c>
      <c r="N3012" s="3">
        <v>8</v>
      </c>
      <c r="O3012" s="3">
        <v>0.04</v>
      </c>
      <c r="P3012" s="3">
        <v>0</v>
      </c>
      <c r="Q3012" s="3">
        <v>0</v>
      </c>
      <c r="R3012" s="3">
        <v>0</v>
      </c>
    </row>
    <row r="3013" spans="1:18">
      <c r="A3013" s="3" t="s">
        <v>2498</v>
      </c>
      <c r="B3013" s="3" t="s">
        <v>2499</v>
      </c>
      <c r="C3013" s="3" t="s">
        <v>2500</v>
      </c>
      <c r="D3013" s="3" t="s">
        <v>2501</v>
      </c>
      <c r="E3013" s="3" t="s">
        <v>1710</v>
      </c>
      <c r="F3013" s="3">
        <v>13.88</v>
      </c>
      <c r="G3013" s="3" t="s">
        <v>6233</v>
      </c>
      <c r="H3013" s="3"/>
      <c r="I3013" s="3" t="s">
        <v>6234</v>
      </c>
      <c r="J3013" s="3">
        <v>6</v>
      </c>
      <c r="K3013" s="3">
        <v>6</v>
      </c>
      <c r="L3013" s="3">
        <v>0</v>
      </c>
      <c r="M3013" s="3">
        <v>0</v>
      </c>
      <c r="N3013" s="3">
        <v>6</v>
      </c>
      <c r="O3013" s="3">
        <v>0.04</v>
      </c>
      <c r="P3013" s="3">
        <v>0</v>
      </c>
      <c r="Q3013" s="3">
        <v>0</v>
      </c>
      <c r="R3013" s="3">
        <v>0</v>
      </c>
    </row>
    <row r="3014" spans="1:18">
      <c r="A3014" s="3" t="s">
        <v>3255</v>
      </c>
      <c r="B3014" s="3" t="s">
        <v>3256</v>
      </c>
      <c r="C3014" s="3" t="s">
        <v>3257</v>
      </c>
      <c r="D3014" s="3" t="s">
        <v>3258</v>
      </c>
      <c r="E3014" s="3" t="s">
        <v>1710</v>
      </c>
      <c r="F3014" s="3">
        <v>13.88</v>
      </c>
      <c r="G3014" s="3" t="s">
        <v>6233</v>
      </c>
      <c r="H3014" s="3"/>
      <c r="I3014" s="3" t="s">
        <v>6234</v>
      </c>
      <c r="J3014" s="3">
        <v>10</v>
      </c>
      <c r="K3014" s="3">
        <v>10</v>
      </c>
      <c r="L3014" s="3">
        <v>0</v>
      </c>
      <c r="M3014" s="3">
        <v>0</v>
      </c>
      <c r="N3014" s="3">
        <v>10</v>
      </c>
      <c r="O3014" s="3">
        <v>0.04</v>
      </c>
      <c r="P3014" s="3">
        <v>0</v>
      </c>
      <c r="Q3014" s="3">
        <v>0</v>
      </c>
      <c r="R3014" s="3">
        <v>0</v>
      </c>
    </row>
    <row r="3015" spans="1:18">
      <c r="A3015" s="3" t="s">
        <v>10650</v>
      </c>
      <c r="B3015" s="3" t="s">
        <v>10651</v>
      </c>
      <c r="C3015" s="3" t="s">
        <v>10129</v>
      </c>
      <c r="D3015" s="3" t="s">
        <v>10652</v>
      </c>
      <c r="E3015" s="3" t="s">
        <v>1710</v>
      </c>
      <c r="F3015" s="3">
        <v>29.99</v>
      </c>
      <c r="G3015" s="3" t="s">
        <v>6233</v>
      </c>
      <c r="H3015" s="3"/>
      <c r="I3015" s="3" t="s">
        <v>6234</v>
      </c>
      <c r="J3015" s="3">
        <v>0</v>
      </c>
      <c r="K3015" s="3">
        <v>0</v>
      </c>
      <c r="L3015" s="3">
        <v>0</v>
      </c>
      <c r="M3015" s="3">
        <v>0</v>
      </c>
      <c r="N3015" s="3">
        <v>0</v>
      </c>
      <c r="O3015" s="3">
        <v>0.26</v>
      </c>
      <c r="P3015" s="3">
        <v>0</v>
      </c>
      <c r="Q3015" s="3">
        <v>0</v>
      </c>
      <c r="R3015" s="3">
        <v>0</v>
      </c>
    </row>
    <row r="3016" spans="1:18">
      <c r="A3016" s="3" t="s">
        <v>10653</v>
      </c>
      <c r="B3016" s="3" t="s">
        <v>10654</v>
      </c>
      <c r="C3016" s="3" t="s">
        <v>10156</v>
      </c>
      <c r="D3016" s="3" t="s">
        <v>10655</v>
      </c>
      <c r="E3016" s="3" t="s">
        <v>1710</v>
      </c>
      <c r="F3016" s="3">
        <v>16.58</v>
      </c>
      <c r="G3016" s="3" t="s">
        <v>6233</v>
      </c>
      <c r="H3016" s="3"/>
      <c r="I3016" s="3" t="s">
        <v>6234</v>
      </c>
      <c r="J3016" s="3">
        <v>0</v>
      </c>
      <c r="K3016" s="3">
        <v>0</v>
      </c>
      <c r="L3016" s="3">
        <v>0</v>
      </c>
      <c r="M3016" s="3">
        <v>0</v>
      </c>
      <c r="N3016" s="3">
        <v>0</v>
      </c>
      <c r="O3016" s="3">
        <v>0.12</v>
      </c>
      <c r="P3016" s="3">
        <v>0</v>
      </c>
      <c r="Q3016" s="3">
        <v>0</v>
      </c>
      <c r="R3016" s="3">
        <v>0</v>
      </c>
    </row>
    <row r="3017" spans="1:18">
      <c r="A3017" s="3" t="s">
        <v>10656</v>
      </c>
      <c r="B3017" s="3" t="s">
        <v>10657</v>
      </c>
      <c r="C3017" s="3" t="s">
        <v>10159</v>
      </c>
      <c r="D3017" s="3" t="s">
        <v>10658</v>
      </c>
      <c r="E3017" s="3" t="s">
        <v>1710</v>
      </c>
      <c r="F3017" s="3">
        <v>29.99</v>
      </c>
      <c r="G3017" s="3" t="s">
        <v>6233</v>
      </c>
      <c r="H3017" s="3"/>
      <c r="I3017" s="3" t="s">
        <v>6234</v>
      </c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>
        <v>0.13</v>
      </c>
      <c r="P3017" s="3">
        <v>0</v>
      </c>
      <c r="Q3017" s="3">
        <v>0</v>
      </c>
      <c r="R3017" s="3">
        <v>0</v>
      </c>
    </row>
    <row r="3018" spans="1:18">
      <c r="A3018" s="3" t="s">
        <v>5179</v>
      </c>
      <c r="B3018" s="3" t="s">
        <v>5180</v>
      </c>
      <c r="C3018" s="3" t="s">
        <v>5181</v>
      </c>
      <c r="D3018" s="3"/>
      <c r="E3018" s="3" t="s">
        <v>6275</v>
      </c>
      <c r="F3018" s="3"/>
      <c r="G3018" s="3"/>
      <c r="H3018" s="3"/>
      <c r="I3018" s="3"/>
      <c r="J3018" s="3">
        <v>1</v>
      </c>
      <c r="K3018" s="3">
        <v>1</v>
      </c>
      <c r="L3018" s="3">
        <v>0</v>
      </c>
      <c r="M3018" s="3">
        <v>0</v>
      </c>
      <c r="N3018" s="3">
        <v>1</v>
      </c>
      <c r="O3018" s="3"/>
      <c r="P3018" s="3">
        <v>0</v>
      </c>
      <c r="Q3018" s="3">
        <v>0</v>
      </c>
      <c r="R3018" s="3">
        <v>0</v>
      </c>
    </row>
    <row r="3019" spans="1:18">
      <c r="A3019" s="3" t="s">
        <v>10659</v>
      </c>
      <c r="B3019" s="3" t="s">
        <v>10660</v>
      </c>
      <c r="C3019" s="3" t="s">
        <v>10182</v>
      </c>
      <c r="D3019" s="3" t="s">
        <v>10652</v>
      </c>
      <c r="E3019" s="3" t="s">
        <v>1710</v>
      </c>
      <c r="F3019" s="3">
        <v>12.58</v>
      </c>
      <c r="G3019" s="3" t="s">
        <v>6233</v>
      </c>
      <c r="H3019" s="3"/>
      <c r="I3019" s="3" t="s">
        <v>6234</v>
      </c>
      <c r="J3019" s="3">
        <v>0</v>
      </c>
      <c r="K3019" s="3">
        <v>0</v>
      </c>
      <c r="L3019" s="3">
        <v>0</v>
      </c>
      <c r="M3019" s="3">
        <v>0</v>
      </c>
      <c r="N3019" s="3">
        <v>0</v>
      </c>
      <c r="O3019" s="3">
        <v>0.22</v>
      </c>
      <c r="P3019" s="3">
        <v>0</v>
      </c>
      <c r="Q3019" s="3">
        <v>0</v>
      </c>
      <c r="R3019" s="3">
        <v>0</v>
      </c>
    </row>
    <row r="3020" spans="1:18">
      <c r="A3020" s="3" t="s">
        <v>10661</v>
      </c>
      <c r="B3020" s="3" t="s">
        <v>10662</v>
      </c>
      <c r="C3020" s="3" t="s">
        <v>10206</v>
      </c>
      <c r="D3020" s="3" t="s">
        <v>10663</v>
      </c>
      <c r="E3020" s="3" t="s">
        <v>1710</v>
      </c>
      <c r="F3020" s="3">
        <v>18.99</v>
      </c>
      <c r="G3020" s="3" t="s">
        <v>6233</v>
      </c>
      <c r="H3020" s="3"/>
      <c r="I3020" s="3" t="s">
        <v>6234</v>
      </c>
      <c r="J3020" s="3">
        <v>0</v>
      </c>
      <c r="K3020" s="3">
        <v>0</v>
      </c>
      <c r="L3020" s="3">
        <v>0</v>
      </c>
      <c r="M3020" s="3">
        <v>0</v>
      </c>
      <c r="N3020" s="3">
        <v>0</v>
      </c>
      <c r="O3020" s="3">
        <v>0.12</v>
      </c>
      <c r="P3020" s="3">
        <v>0</v>
      </c>
      <c r="Q3020" s="3">
        <v>0</v>
      </c>
      <c r="R3020" s="3">
        <v>0</v>
      </c>
    </row>
    <row r="3021" spans="1:18">
      <c r="A3021" s="3" t="s">
        <v>10664</v>
      </c>
      <c r="B3021" s="3" t="s">
        <v>10665</v>
      </c>
      <c r="C3021" s="3" t="s">
        <v>10215</v>
      </c>
      <c r="D3021" s="3" t="s">
        <v>10666</v>
      </c>
      <c r="E3021" s="3" t="s">
        <v>1710</v>
      </c>
      <c r="F3021" s="3">
        <v>19.99</v>
      </c>
      <c r="G3021" s="3" t="s">
        <v>6233</v>
      </c>
      <c r="H3021" s="3"/>
      <c r="I3021" s="3" t="s">
        <v>6234</v>
      </c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>
        <v>0.26</v>
      </c>
      <c r="P3021" s="3">
        <v>0</v>
      </c>
      <c r="Q3021" s="3">
        <v>0</v>
      </c>
      <c r="R3021" s="3">
        <v>0</v>
      </c>
    </row>
    <row r="3022" spans="1:18">
      <c r="A3022" s="3" t="s">
        <v>10667</v>
      </c>
      <c r="B3022" s="3" t="s">
        <v>10668</v>
      </c>
      <c r="C3022" s="3" t="s">
        <v>10669</v>
      </c>
      <c r="D3022" s="3"/>
      <c r="E3022" s="3" t="s">
        <v>6275</v>
      </c>
      <c r="F3022" s="3"/>
      <c r="G3022" s="3"/>
      <c r="H3022" s="3"/>
      <c r="I3022" s="3"/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/>
      <c r="P3022" s="3">
        <v>0</v>
      </c>
      <c r="Q3022" s="3">
        <v>0</v>
      </c>
      <c r="R3022" s="3">
        <v>0</v>
      </c>
    </row>
    <row r="3023" spans="1:18">
      <c r="A3023" s="3" t="s">
        <v>10670</v>
      </c>
      <c r="B3023" s="3" t="s">
        <v>10671</v>
      </c>
      <c r="C3023" s="3" t="s">
        <v>10672</v>
      </c>
      <c r="D3023" s="3"/>
      <c r="E3023" s="3" t="s">
        <v>6275</v>
      </c>
      <c r="F3023" s="3"/>
      <c r="G3023" s="3"/>
      <c r="H3023" s="3"/>
      <c r="I3023" s="3"/>
      <c r="J3023" s="3">
        <v>0</v>
      </c>
      <c r="K3023" s="3">
        <v>0</v>
      </c>
      <c r="L3023" s="3">
        <v>0</v>
      </c>
      <c r="M3023" s="3">
        <v>0</v>
      </c>
      <c r="N3023" s="3">
        <v>0</v>
      </c>
      <c r="O3023" s="3"/>
      <c r="P3023" s="3">
        <v>0</v>
      </c>
      <c r="Q3023" s="3">
        <v>0</v>
      </c>
      <c r="R3023" s="3">
        <v>0</v>
      </c>
    </row>
    <row r="3024" spans="1:18">
      <c r="A3024" s="3" t="s">
        <v>10673</v>
      </c>
      <c r="B3024" s="3" t="s">
        <v>10674</v>
      </c>
      <c r="C3024" s="3" t="s">
        <v>10675</v>
      </c>
      <c r="D3024" s="3"/>
      <c r="E3024" s="3" t="s">
        <v>6275</v>
      </c>
      <c r="F3024" s="3"/>
      <c r="G3024" s="3"/>
      <c r="H3024" s="3"/>
      <c r="I3024" s="3"/>
      <c r="J3024" s="3">
        <v>0</v>
      </c>
      <c r="K3024" s="3">
        <v>0</v>
      </c>
      <c r="L3024" s="3">
        <v>0</v>
      </c>
      <c r="M3024" s="3">
        <v>0</v>
      </c>
      <c r="N3024" s="3">
        <v>0</v>
      </c>
      <c r="O3024" s="3"/>
      <c r="P3024" s="3">
        <v>0</v>
      </c>
      <c r="Q3024" s="3">
        <v>0</v>
      </c>
      <c r="R3024" s="3">
        <v>0</v>
      </c>
    </row>
    <row r="3025" spans="1:18">
      <c r="A3025" s="3" t="s">
        <v>10676</v>
      </c>
      <c r="B3025" s="3" t="s">
        <v>10677</v>
      </c>
      <c r="C3025" s="3" t="s">
        <v>10678</v>
      </c>
      <c r="D3025" s="3"/>
      <c r="E3025" s="3" t="s">
        <v>6275</v>
      </c>
      <c r="F3025" s="3"/>
      <c r="G3025" s="3"/>
      <c r="H3025" s="3"/>
      <c r="I3025" s="3"/>
      <c r="J3025" s="3">
        <v>0</v>
      </c>
      <c r="K3025" s="3">
        <v>0</v>
      </c>
      <c r="L3025" s="3">
        <v>0</v>
      </c>
      <c r="M3025" s="3">
        <v>0</v>
      </c>
      <c r="N3025" s="3">
        <v>0</v>
      </c>
      <c r="O3025" s="3"/>
      <c r="P3025" s="3">
        <v>0</v>
      </c>
      <c r="Q3025" s="3">
        <v>0</v>
      </c>
      <c r="R3025" s="3">
        <v>0</v>
      </c>
    </row>
    <row r="3026" spans="1:18">
      <c r="A3026" s="3" t="s">
        <v>10679</v>
      </c>
      <c r="B3026" s="3" t="s">
        <v>10680</v>
      </c>
      <c r="C3026" s="3" t="s">
        <v>10681</v>
      </c>
      <c r="D3026" s="3"/>
      <c r="E3026" s="3" t="s">
        <v>6275</v>
      </c>
      <c r="F3026" s="3"/>
      <c r="G3026" s="3"/>
      <c r="H3026" s="3"/>
      <c r="I3026" s="3"/>
      <c r="J3026" s="3">
        <v>0</v>
      </c>
      <c r="K3026" s="3">
        <v>0</v>
      </c>
      <c r="L3026" s="3">
        <v>0</v>
      </c>
      <c r="M3026" s="3">
        <v>0</v>
      </c>
      <c r="N3026" s="3">
        <v>0</v>
      </c>
      <c r="O3026" s="3"/>
      <c r="P3026" s="3">
        <v>0</v>
      </c>
      <c r="Q3026" s="3">
        <v>0</v>
      </c>
      <c r="R3026" s="3">
        <v>0</v>
      </c>
    </row>
    <row r="3027" spans="1:18">
      <c r="A3027" s="3" t="s">
        <v>10682</v>
      </c>
      <c r="B3027" s="3" t="s">
        <v>10683</v>
      </c>
      <c r="C3027" s="3" t="s">
        <v>10684</v>
      </c>
      <c r="D3027" s="3"/>
      <c r="E3027" s="3" t="s">
        <v>6275</v>
      </c>
      <c r="F3027" s="3"/>
      <c r="G3027" s="3"/>
      <c r="H3027" s="3"/>
      <c r="I3027" s="3"/>
      <c r="J3027" s="3">
        <v>0</v>
      </c>
      <c r="K3027" s="3">
        <v>0</v>
      </c>
      <c r="L3027" s="3">
        <v>0</v>
      </c>
      <c r="M3027" s="3">
        <v>0</v>
      </c>
      <c r="N3027" s="3">
        <v>0</v>
      </c>
      <c r="O3027" s="3"/>
      <c r="P3027" s="3">
        <v>0</v>
      </c>
      <c r="Q3027" s="3">
        <v>0</v>
      </c>
      <c r="R3027" s="3">
        <v>0</v>
      </c>
    </row>
    <row r="3028" spans="1:18">
      <c r="A3028" s="3" t="s">
        <v>5049</v>
      </c>
      <c r="B3028" s="3" t="s">
        <v>5050</v>
      </c>
      <c r="C3028" s="3" t="s">
        <v>5051</v>
      </c>
      <c r="D3028" s="3" t="s">
        <v>5052</v>
      </c>
      <c r="E3028" s="3" t="s">
        <v>1710</v>
      </c>
      <c r="F3028" s="3">
        <v>19.99</v>
      </c>
      <c r="G3028" s="3" t="s">
        <v>6233</v>
      </c>
      <c r="H3028" s="3"/>
      <c r="I3028" s="3" t="s">
        <v>6234</v>
      </c>
      <c r="J3028" s="3">
        <v>4</v>
      </c>
      <c r="K3028" s="3">
        <v>4</v>
      </c>
      <c r="L3028" s="3">
        <v>0</v>
      </c>
      <c r="M3028" s="3">
        <v>0</v>
      </c>
      <c r="N3028" s="3">
        <v>4</v>
      </c>
      <c r="O3028" s="3">
        <v>0.08</v>
      </c>
      <c r="P3028" s="3">
        <v>0</v>
      </c>
      <c r="Q3028" s="3">
        <v>0</v>
      </c>
      <c r="R3028" s="3">
        <v>0</v>
      </c>
    </row>
    <row r="3029" spans="1:18">
      <c r="A3029" s="3" t="s">
        <v>1795</v>
      </c>
      <c r="B3029" s="3" t="s">
        <v>1796</v>
      </c>
      <c r="C3029" s="3" t="s">
        <v>1797</v>
      </c>
      <c r="D3029" s="3" t="s">
        <v>1798</v>
      </c>
      <c r="E3029" s="3" t="s">
        <v>1710</v>
      </c>
      <c r="F3029" s="3">
        <v>19.99</v>
      </c>
      <c r="G3029" s="3" t="s">
        <v>6233</v>
      </c>
      <c r="H3029" s="3"/>
      <c r="I3029" s="3" t="s">
        <v>6234</v>
      </c>
      <c r="J3029" s="3">
        <v>13</v>
      </c>
      <c r="K3029" s="3">
        <v>13</v>
      </c>
      <c r="L3029" s="3">
        <v>0</v>
      </c>
      <c r="M3029" s="3">
        <v>0</v>
      </c>
      <c r="N3029" s="3">
        <v>13</v>
      </c>
      <c r="O3029" s="3">
        <v>0.1</v>
      </c>
      <c r="P3029" s="3">
        <v>0</v>
      </c>
      <c r="Q3029" s="3">
        <v>0</v>
      </c>
      <c r="R3029" s="3">
        <v>0</v>
      </c>
    </row>
    <row r="3030" spans="1:18">
      <c r="A3030" s="3" t="s">
        <v>1525</v>
      </c>
      <c r="B3030" s="3" t="s">
        <v>1526</v>
      </c>
      <c r="C3030" s="3" t="s">
        <v>1527</v>
      </c>
      <c r="D3030" s="3" t="s">
        <v>1528</v>
      </c>
      <c r="E3030" s="3" t="s">
        <v>1710</v>
      </c>
      <c r="F3030" s="3">
        <v>19.99</v>
      </c>
      <c r="G3030" s="3" t="s">
        <v>6233</v>
      </c>
      <c r="H3030" s="3"/>
      <c r="I3030" s="3" t="s">
        <v>6234</v>
      </c>
      <c r="J3030" s="3">
        <v>55</v>
      </c>
      <c r="K3030" s="3">
        <v>48</v>
      </c>
      <c r="L3030" s="3">
        <v>6</v>
      </c>
      <c r="M3030" s="3">
        <v>1</v>
      </c>
      <c r="N3030" s="3">
        <v>68</v>
      </c>
      <c r="O3030" s="3">
        <v>0.1</v>
      </c>
      <c r="P3030" s="3">
        <v>0</v>
      </c>
      <c r="Q3030" s="3">
        <v>13</v>
      </c>
      <c r="R3030" s="3">
        <v>0</v>
      </c>
    </row>
    <row r="3031" spans="1:18">
      <c r="A3031" s="3" t="s">
        <v>1533</v>
      </c>
      <c r="B3031" s="3" t="s">
        <v>1534</v>
      </c>
      <c r="C3031" s="3" t="s">
        <v>1535</v>
      </c>
      <c r="D3031" s="3" t="s">
        <v>1536</v>
      </c>
      <c r="E3031" s="3" t="s">
        <v>1710</v>
      </c>
      <c r="F3031" s="3">
        <v>19.99</v>
      </c>
      <c r="G3031" s="3" t="s">
        <v>6233</v>
      </c>
      <c r="H3031" s="3"/>
      <c r="I3031" s="3" t="s">
        <v>6234</v>
      </c>
      <c r="J3031" s="3">
        <v>28</v>
      </c>
      <c r="K3031" s="3">
        <v>10</v>
      </c>
      <c r="L3031" s="3">
        <v>3</v>
      </c>
      <c r="M3031" s="3">
        <v>15</v>
      </c>
      <c r="N3031" s="3">
        <v>28</v>
      </c>
      <c r="O3031" s="3">
        <v>0.08</v>
      </c>
      <c r="P3031" s="3">
        <v>0</v>
      </c>
      <c r="Q3031" s="3">
        <v>0</v>
      </c>
      <c r="R3031" s="3">
        <v>0</v>
      </c>
    </row>
    <row r="3032" spans="1:18">
      <c r="A3032" s="3" t="s">
        <v>3325</v>
      </c>
      <c r="B3032" s="3" t="s">
        <v>3326</v>
      </c>
      <c r="C3032" s="3" t="s">
        <v>3327</v>
      </c>
      <c r="D3032" s="3" t="s">
        <v>3328</v>
      </c>
      <c r="E3032" s="3" t="s">
        <v>1710</v>
      </c>
      <c r="F3032" s="3">
        <v>19.99</v>
      </c>
      <c r="G3032" s="3" t="s">
        <v>6233</v>
      </c>
      <c r="H3032" s="3"/>
      <c r="I3032" s="3" t="s">
        <v>6234</v>
      </c>
      <c r="J3032" s="3">
        <v>34</v>
      </c>
      <c r="K3032" s="3">
        <v>33</v>
      </c>
      <c r="L3032" s="3">
        <v>1</v>
      </c>
      <c r="M3032" s="3">
        <v>0</v>
      </c>
      <c r="N3032" s="3">
        <v>34</v>
      </c>
      <c r="O3032" s="3">
        <v>0.08</v>
      </c>
      <c r="P3032" s="3">
        <v>0</v>
      </c>
      <c r="Q3032" s="3">
        <v>0</v>
      </c>
      <c r="R3032" s="3">
        <v>0</v>
      </c>
    </row>
    <row r="3033" spans="1:18">
      <c r="A3033" s="3" t="s">
        <v>2626</v>
      </c>
      <c r="B3033" s="3" t="s">
        <v>2627</v>
      </c>
      <c r="C3033" s="3" t="s">
        <v>2628</v>
      </c>
      <c r="D3033" s="3" t="s">
        <v>2629</v>
      </c>
      <c r="E3033" s="3" t="s">
        <v>1710</v>
      </c>
      <c r="F3033" s="3">
        <v>19.99</v>
      </c>
      <c r="G3033" s="3" t="s">
        <v>6233</v>
      </c>
      <c r="H3033" s="3"/>
      <c r="I3033" s="3" t="s">
        <v>6234</v>
      </c>
      <c r="J3033" s="3">
        <v>28</v>
      </c>
      <c r="K3033" s="3">
        <v>23</v>
      </c>
      <c r="L3033" s="3">
        <v>5</v>
      </c>
      <c r="M3033" s="3">
        <v>0</v>
      </c>
      <c r="N3033" s="3">
        <v>33</v>
      </c>
      <c r="O3033" s="3">
        <v>0.08</v>
      </c>
      <c r="P3033" s="3">
        <v>0</v>
      </c>
      <c r="Q3033" s="3">
        <v>5</v>
      </c>
      <c r="R3033" s="3">
        <v>0</v>
      </c>
    </row>
    <row r="3034" spans="1:18">
      <c r="A3034" s="3" t="s">
        <v>1517</v>
      </c>
      <c r="B3034" s="3" t="s">
        <v>1518</v>
      </c>
      <c r="C3034" s="3" t="s">
        <v>1519</v>
      </c>
      <c r="D3034" s="3" t="s">
        <v>1520</v>
      </c>
      <c r="E3034" s="3" t="s">
        <v>1710</v>
      </c>
      <c r="F3034" s="3">
        <v>19.99</v>
      </c>
      <c r="G3034" s="3" t="s">
        <v>6233</v>
      </c>
      <c r="H3034" s="3"/>
      <c r="I3034" s="3" t="s">
        <v>6234</v>
      </c>
      <c r="J3034" s="3">
        <v>24</v>
      </c>
      <c r="K3034" s="3">
        <v>18</v>
      </c>
      <c r="L3034" s="3">
        <v>5</v>
      </c>
      <c r="M3034" s="3">
        <v>1</v>
      </c>
      <c r="N3034" s="3">
        <v>50</v>
      </c>
      <c r="O3034" s="3">
        <v>0.08</v>
      </c>
      <c r="P3034" s="3">
        <v>0</v>
      </c>
      <c r="Q3034" s="3">
        <v>26</v>
      </c>
      <c r="R3034" s="3">
        <v>0</v>
      </c>
    </row>
    <row r="3035" spans="1:18">
      <c r="A3035" s="3" t="s">
        <v>1485</v>
      </c>
      <c r="B3035" s="3" t="s">
        <v>1486</v>
      </c>
      <c r="C3035" s="3" t="s">
        <v>1487</v>
      </c>
      <c r="D3035" s="3" t="s">
        <v>1488</v>
      </c>
      <c r="E3035" s="3" t="s">
        <v>1710</v>
      </c>
      <c r="F3035" s="3">
        <v>19.99</v>
      </c>
      <c r="G3035" s="3" t="s">
        <v>6233</v>
      </c>
      <c r="H3035" s="3"/>
      <c r="I3035" s="3" t="s">
        <v>6234</v>
      </c>
      <c r="J3035" s="3">
        <v>39</v>
      </c>
      <c r="K3035" s="3">
        <v>11</v>
      </c>
      <c r="L3035" s="3">
        <v>4</v>
      </c>
      <c r="M3035" s="3">
        <v>24</v>
      </c>
      <c r="N3035" s="3">
        <v>39</v>
      </c>
      <c r="O3035" s="3">
        <v>0.08</v>
      </c>
      <c r="P3035" s="3">
        <v>0</v>
      </c>
      <c r="Q3035" s="3">
        <v>0</v>
      </c>
      <c r="R3035" s="3">
        <v>0</v>
      </c>
    </row>
    <row r="3036" spans="1:18">
      <c r="A3036" s="3" t="s">
        <v>3630</v>
      </c>
      <c r="B3036" s="3" t="s">
        <v>3631</v>
      </c>
      <c r="C3036" s="3" t="s">
        <v>3632</v>
      </c>
      <c r="D3036" s="3" t="s">
        <v>3633</v>
      </c>
      <c r="E3036" s="3" t="s">
        <v>1710</v>
      </c>
      <c r="F3036" s="3">
        <v>19.99</v>
      </c>
      <c r="G3036" s="3" t="s">
        <v>6233</v>
      </c>
      <c r="H3036" s="3"/>
      <c r="I3036" s="3" t="s">
        <v>6234</v>
      </c>
      <c r="J3036" s="3">
        <v>21</v>
      </c>
      <c r="K3036" s="3">
        <v>21</v>
      </c>
      <c r="L3036" s="3">
        <v>0</v>
      </c>
      <c r="M3036" s="3">
        <v>0</v>
      </c>
      <c r="N3036" s="3">
        <v>30</v>
      </c>
      <c r="O3036" s="3">
        <v>0.08</v>
      </c>
      <c r="P3036" s="3">
        <v>0</v>
      </c>
      <c r="Q3036" s="3">
        <v>9</v>
      </c>
      <c r="R3036" s="3">
        <v>0</v>
      </c>
    </row>
    <row r="3037" spans="1:18">
      <c r="A3037" s="3" t="s">
        <v>4532</v>
      </c>
      <c r="B3037" s="3" t="s">
        <v>4533</v>
      </c>
      <c r="C3037" s="3" t="s">
        <v>4534</v>
      </c>
      <c r="D3037" s="3" t="s">
        <v>4535</v>
      </c>
      <c r="E3037" s="3" t="s">
        <v>1710</v>
      </c>
      <c r="F3037" s="3">
        <v>19.99</v>
      </c>
      <c r="G3037" s="3" t="s">
        <v>6233</v>
      </c>
      <c r="H3037" s="3"/>
      <c r="I3037" s="3" t="s">
        <v>6234</v>
      </c>
      <c r="J3037" s="3">
        <v>31</v>
      </c>
      <c r="K3037" s="3">
        <v>28</v>
      </c>
      <c r="L3037" s="3">
        <v>3</v>
      </c>
      <c r="M3037" s="3">
        <v>0</v>
      </c>
      <c r="N3037" s="3">
        <v>41</v>
      </c>
      <c r="O3037" s="3">
        <v>0.08</v>
      </c>
      <c r="P3037" s="3">
        <v>0</v>
      </c>
      <c r="Q3037" s="3">
        <v>10</v>
      </c>
      <c r="R3037" s="3">
        <v>0</v>
      </c>
    </row>
    <row r="3038" spans="1:18">
      <c r="A3038" s="3" t="s">
        <v>1509</v>
      </c>
      <c r="B3038" s="3" t="s">
        <v>1510</v>
      </c>
      <c r="C3038" s="3" t="s">
        <v>1511</v>
      </c>
      <c r="D3038" s="3" t="s">
        <v>1512</v>
      </c>
      <c r="E3038" s="3" t="s">
        <v>1710</v>
      </c>
      <c r="F3038" s="3">
        <v>19.99</v>
      </c>
      <c r="G3038" s="3" t="s">
        <v>6233</v>
      </c>
      <c r="H3038" s="3"/>
      <c r="I3038" s="3" t="s">
        <v>6234</v>
      </c>
      <c r="J3038" s="3">
        <v>56</v>
      </c>
      <c r="K3038" s="3">
        <v>45</v>
      </c>
      <c r="L3038" s="3">
        <v>7</v>
      </c>
      <c r="M3038" s="3">
        <v>4</v>
      </c>
      <c r="N3038" s="3">
        <v>56</v>
      </c>
      <c r="O3038" s="3">
        <v>0.08</v>
      </c>
      <c r="P3038" s="3">
        <v>0</v>
      </c>
      <c r="Q3038" s="3">
        <v>0</v>
      </c>
      <c r="R3038" s="3">
        <v>0</v>
      </c>
    </row>
    <row r="3039" spans="1:18">
      <c r="A3039" s="3" t="s">
        <v>1529</v>
      </c>
      <c r="B3039" s="3" t="s">
        <v>1530</v>
      </c>
      <c r="C3039" s="3" t="s">
        <v>1531</v>
      </c>
      <c r="D3039" s="3" t="s">
        <v>1532</v>
      </c>
      <c r="E3039" s="3" t="s">
        <v>1710</v>
      </c>
      <c r="F3039" s="3">
        <v>19.99</v>
      </c>
      <c r="G3039" s="3" t="s">
        <v>6233</v>
      </c>
      <c r="H3039" s="3"/>
      <c r="I3039" s="3" t="s">
        <v>6234</v>
      </c>
      <c r="J3039" s="3">
        <v>26</v>
      </c>
      <c r="K3039" s="3">
        <v>19</v>
      </c>
      <c r="L3039" s="3">
        <v>1</v>
      </c>
      <c r="M3039" s="3">
        <v>6</v>
      </c>
      <c r="N3039" s="3">
        <v>34</v>
      </c>
      <c r="O3039" s="3">
        <v>0.08</v>
      </c>
      <c r="P3039" s="3">
        <v>0</v>
      </c>
      <c r="Q3039" s="3">
        <v>8</v>
      </c>
      <c r="R3039" s="3">
        <v>0</v>
      </c>
    </row>
    <row r="3040" spans="1:18">
      <c r="A3040" s="3" t="s">
        <v>10685</v>
      </c>
      <c r="B3040" s="3" t="s">
        <v>10686</v>
      </c>
      <c r="C3040" s="3" t="s">
        <v>10687</v>
      </c>
      <c r="D3040" s="3" t="s">
        <v>10688</v>
      </c>
      <c r="E3040" s="3" t="s">
        <v>1710</v>
      </c>
      <c r="F3040" s="3">
        <v>9.99</v>
      </c>
      <c r="G3040" s="3" t="s">
        <v>6233</v>
      </c>
      <c r="H3040" s="3"/>
      <c r="I3040" s="3" t="s">
        <v>6234</v>
      </c>
      <c r="J3040" s="3">
        <v>0</v>
      </c>
      <c r="K3040" s="3">
        <v>0</v>
      </c>
      <c r="L3040" s="3">
        <v>0</v>
      </c>
      <c r="M3040" s="3">
        <v>0</v>
      </c>
      <c r="N3040" s="3">
        <v>0</v>
      </c>
      <c r="O3040" s="3">
        <v>0.05</v>
      </c>
      <c r="P3040" s="3">
        <v>0</v>
      </c>
      <c r="Q3040" s="3">
        <v>0</v>
      </c>
      <c r="R3040" s="3">
        <v>0</v>
      </c>
    </row>
    <row r="3041" spans="1:18">
      <c r="A3041" s="3" t="s">
        <v>10689</v>
      </c>
      <c r="B3041" s="3" t="s">
        <v>10690</v>
      </c>
      <c r="C3041" s="3" t="s">
        <v>10691</v>
      </c>
      <c r="D3041" s="3" t="s">
        <v>10692</v>
      </c>
      <c r="E3041" s="3" t="s">
        <v>1710</v>
      </c>
      <c r="F3041" s="3">
        <v>19.99</v>
      </c>
      <c r="G3041" s="3" t="s">
        <v>6233</v>
      </c>
      <c r="H3041" s="3"/>
      <c r="I3041" s="3" t="s">
        <v>6234</v>
      </c>
      <c r="J3041" s="3">
        <v>0</v>
      </c>
      <c r="K3041" s="3">
        <v>0</v>
      </c>
      <c r="L3041" s="3">
        <v>0</v>
      </c>
      <c r="M3041" s="3">
        <v>0</v>
      </c>
      <c r="N3041" s="3">
        <v>0</v>
      </c>
      <c r="O3041" s="3">
        <v>0.05</v>
      </c>
      <c r="P3041" s="3">
        <v>0</v>
      </c>
      <c r="Q3041" s="3">
        <v>0</v>
      </c>
      <c r="R3041" s="3">
        <v>0</v>
      </c>
    </row>
    <row r="3042" spans="1:18">
      <c r="A3042" s="3" t="s">
        <v>10693</v>
      </c>
      <c r="B3042" s="3" t="s">
        <v>10694</v>
      </c>
      <c r="C3042" s="3" t="s">
        <v>10695</v>
      </c>
      <c r="D3042" s="3" t="s">
        <v>10696</v>
      </c>
      <c r="E3042" s="3" t="s">
        <v>1710</v>
      </c>
      <c r="F3042" s="3">
        <v>21.99</v>
      </c>
      <c r="G3042" s="3" t="s">
        <v>6233</v>
      </c>
      <c r="H3042" s="3"/>
      <c r="I3042" s="3" t="s">
        <v>6234</v>
      </c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>
        <v>0.05</v>
      </c>
      <c r="P3042" s="3">
        <v>0</v>
      </c>
      <c r="Q3042" s="3">
        <v>0</v>
      </c>
      <c r="R3042" s="3">
        <v>0</v>
      </c>
    </row>
    <row r="3043" spans="1:18">
      <c r="A3043" s="3" t="s">
        <v>4627</v>
      </c>
      <c r="B3043" s="3" t="s">
        <v>4628</v>
      </c>
      <c r="C3043" s="3" t="s">
        <v>4629</v>
      </c>
      <c r="D3043" s="3" t="s">
        <v>4630</v>
      </c>
      <c r="E3043" s="3" t="s">
        <v>1710</v>
      </c>
      <c r="F3043" s="3">
        <v>9.99</v>
      </c>
      <c r="G3043" s="3" t="s">
        <v>6233</v>
      </c>
      <c r="H3043" s="3"/>
      <c r="I3043" s="3" t="s">
        <v>6234</v>
      </c>
      <c r="J3043" s="3">
        <v>1</v>
      </c>
      <c r="K3043" s="3">
        <v>1</v>
      </c>
      <c r="L3043" s="3">
        <v>0</v>
      </c>
      <c r="M3043" s="3">
        <v>0</v>
      </c>
      <c r="N3043" s="3">
        <v>1</v>
      </c>
      <c r="O3043" s="3">
        <v>0.05</v>
      </c>
      <c r="P3043" s="3">
        <v>0</v>
      </c>
      <c r="Q3043" s="3">
        <v>0</v>
      </c>
      <c r="R3043" s="3">
        <v>0</v>
      </c>
    </row>
    <row r="3044" spans="1:18">
      <c r="A3044" s="3" t="s">
        <v>10697</v>
      </c>
      <c r="B3044" s="3" t="s">
        <v>10698</v>
      </c>
      <c r="C3044" s="3" t="s">
        <v>10699</v>
      </c>
      <c r="D3044" s="3" t="s">
        <v>10700</v>
      </c>
      <c r="E3044" s="3" t="s">
        <v>1710</v>
      </c>
      <c r="F3044" s="3">
        <v>5.99</v>
      </c>
      <c r="G3044" s="3" t="s">
        <v>6233</v>
      </c>
      <c r="H3044" s="3"/>
      <c r="I3044" s="3" t="s">
        <v>6234</v>
      </c>
      <c r="J3044" s="3">
        <v>0</v>
      </c>
      <c r="K3044" s="3">
        <v>0</v>
      </c>
      <c r="L3044" s="3">
        <v>0</v>
      </c>
      <c r="M3044" s="3">
        <v>0</v>
      </c>
      <c r="N3044" s="3">
        <v>0</v>
      </c>
      <c r="O3044" s="3">
        <v>0.05</v>
      </c>
      <c r="P3044" s="3">
        <v>0</v>
      </c>
      <c r="Q3044" s="3">
        <v>0</v>
      </c>
      <c r="R3044" s="3">
        <v>0</v>
      </c>
    </row>
    <row r="3045" spans="1:18">
      <c r="A3045" s="3" t="s">
        <v>10701</v>
      </c>
      <c r="B3045" s="3" t="s">
        <v>10702</v>
      </c>
      <c r="C3045" s="3" t="s">
        <v>10703</v>
      </c>
      <c r="D3045" s="3"/>
      <c r="E3045" s="3" t="s">
        <v>6275</v>
      </c>
      <c r="F3045" s="3"/>
      <c r="G3045" s="3"/>
      <c r="H3045" s="3"/>
      <c r="I3045" s="3"/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/>
      <c r="P3045" s="3">
        <v>0</v>
      </c>
      <c r="Q3045" s="3">
        <v>0</v>
      </c>
      <c r="R3045" s="3">
        <v>0</v>
      </c>
    </row>
    <row r="3046" spans="1:18">
      <c r="A3046" s="3" t="s">
        <v>5560</v>
      </c>
      <c r="B3046" s="3" t="s">
        <v>5561</v>
      </c>
      <c r="C3046" s="3" t="s">
        <v>5562</v>
      </c>
      <c r="D3046" s="3" t="s">
        <v>5563</v>
      </c>
      <c r="E3046" s="3" t="s">
        <v>1710</v>
      </c>
      <c r="F3046" s="3">
        <v>38</v>
      </c>
      <c r="G3046" s="3" t="s">
        <v>6233</v>
      </c>
      <c r="H3046" s="3"/>
      <c r="I3046" s="3" t="s">
        <v>6234</v>
      </c>
      <c r="J3046" s="3">
        <v>4</v>
      </c>
      <c r="K3046" s="3">
        <v>3</v>
      </c>
      <c r="L3046" s="3">
        <v>1</v>
      </c>
      <c r="M3046" s="3">
        <v>0</v>
      </c>
      <c r="N3046" s="3">
        <v>4</v>
      </c>
      <c r="O3046" s="3">
        <v>0.08</v>
      </c>
      <c r="P3046" s="3">
        <v>0</v>
      </c>
      <c r="Q3046" s="3">
        <v>0</v>
      </c>
      <c r="R3046" s="3">
        <v>0</v>
      </c>
    </row>
    <row r="3047" spans="1:18">
      <c r="A3047" s="3" t="s">
        <v>10704</v>
      </c>
      <c r="B3047" s="3" t="s">
        <v>10705</v>
      </c>
      <c r="C3047" s="3" t="s">
        <v>5562</v>
      </c>
      <c r="D3047" s="3"/>
      <c r="E3047" s="3" t="s">
        <v>6275</v>
      </c>
      <c r="F3047" s="3"/>
      <c r="G3047" s="3"/>
      <c r="H3047" s="3"/>
      <c r="I3047" s="3"/>
      <c r="J3047" s="3">
        <v>0</v>
      </c>
      <c r="K3047" s="3">
        <v>0</v>
      </c>
      <c r="L3047" s="3">
        <v>0</v>
      </c>
      <c r="M3047" s="3">
        <v>0</v>
      </c>
      <c r="N3047" s="3">
        <v>0</v>
      </c>
      <c r="O3047" s="3"/>
      <c r="P3047" s="3">
        <v>0</v>
      </c>
      <c r="Q3047" s="3">
        <v>0</v>
      </c>
      <c r="R3047" s="3">
        <v>0</v>
      </c>
    </row>
    <row r="3048" spans="1:18">
      <c r="A3048" s="3" t="s">
        <v>1493</v>
      </c>
      <c r="B3048" s="3" t="s">
        <v>1494</v>
      </c>
      <c r="C3048" s="3" t="s">
        <v>1495</v>
      </c>
      <c r="D3048" s="3" t="s">
        <v>1496</v>
      </c>
      <c r="E3048" s="3" t="s">
        <v>1710</v>
      </c>
      <c r="F3048" s="3">
        <v>38</v>
      </c>
      <c r="G3048" s="3" t="s">
        <v>6233</v>
      </c>
      <c r="H3048" s="3"/>
      <c r="I3048" s="3" t="s">
        <v>6234</v>
      </c>
      <c r="J3048" s="3">
        <v>43</v>
      </c>
      <c r="K3048" s="3">
        <v>38</v>
      </c>
      <c r="L3048" s="3">
        <v>2</v>
      </c>
      <c r="M3048" s="3">
        <v>3</v>
      </c>
      <c r="N3048" s="3">
        <v>61</v>
      </c>
      <c r="O3048" s="3">
        <v>0.08</v>
      </c>
      <c r="P3048" s="3">
        <v>0</v>
      </c>
      <c r="Q3048" s="3">
        <v>18</v>
      </c>
      <c r="R3048" s="3">
        <v>0</v>
      </c>
    </row>
    <row r="3049" spans="1:18">
      <c r="A3049" s="3" t="s">
        <v>1497</v>
      </c>
      <c r="B3049" s="3" t="s">
        <v>1498</v>
      </c>
      <c r="C3049" s="3" t="s">
        <v>1499</v>
      </c>
      <c r="D3049" s="3" t="s">
        <v>1500</v>
      </c>
      <c r="E3049" s="3" t="s">
        <v>1710</v>
      </c>
      <c r="F3049" s="3">
        <v>26.99</v>
      </c>
      <c r="G3049" s="3" t="s">
        <v>6233</v>
      </c>
      <c r="H3049" s="3"/>
      <c r="I3049" s="3" t="s">
        <v>6234</v>
      </c>
      <c r="J3049" s="3">
        <v>10</v>
      </c>
      <c r="K3049" s="3">
        <v>1</v>
      </c>
      <c r="L3049" s="3">
        <v>5</v>
      </c>
      <c r="M3049" s="3">
        <v>4</v>
      </c>
      <c r="N3049" s="3">
        <v>54</v>
      </c>
      <c r="O3049" s="3">
        <v>0.08</v>
      </c>
      <c r="P3049" s="3">
        <v>0</v>
      </c>
      <c r="Q3049" s="3">
        <v>44</v>
      </c>
      <c r="R3049" s="3">
        <v>0</v>
      </c>
    </row>
    <row r="3050" spans="1:18">
      <c r="A3050" s="3" t="s">
        <v>10706</v>
      </c>
      <c r="B3050" s="3" t="s">
        <v>10707</v>
      </c>
      <c r="C3050" s="3" t="s">
        <v>10378</v>
      </c>
      <c r="D3050" s="3" t="s">
        <v>10708</v>
      </c>
      <c r="E3050" s="3" t="s">
        <v>1710</v>
      </c>
      <c r="F3050" s="3">
        <v>26.99</v>
      </c>
      <c r="G3050" s="3" t="s">
        <v>6233</v>
      </c>
      <c r="H3050" s="3"/>
      <c r="I3050" s="3" t="s">
        <v>6234</v>
      </c>
      <c r="J3050" s="3">
        <v>2</v>
      </c>
      <c r="K3050" s="3">
        <v>0</v>
      </c>
      <c r="L3050" s="3">
        <v>2</v>
      </c>
      <c r="M3050" s="3">
        <v>0</v>
      </c>
      <c r="N3050" s="3">
        <v>51</v>
      </c>
      <c r="O3050" s="3">
        <v>0.08</v>
      </c>
      <c r="P3050" s="3">
        <v>0</v>
      </c>
      <c r="Q3050" s="3">
        <v>49</v>
      </c>
      <c r="R3050" s="3">
        <v>0</v>
      </c>
    </row>
    <row r="3051" spans="1:18">
      <c r="A3051" s="3" t="s">
        <v>1501</v>
      </c>
      <c r="B3051" s="3" t="s">
        <v>1502</v>
      </c>
      <c r="C3051" s="3" t="s">
        <v>1503</v>
      </c>
      <c r="D3051" s="3" t="s">
        <v>1504</v>
      </c>
      <c r="E3051" s="3" t="s">
        <v>1710</v>
      </c>
      <c r="F3051" s="3">
        <v>38</v>
      </c>
      <c r="G3051" s="3" t="s">
        <v>6233</v>
      </c>
      <c r="H3051" s="3"/>
      <c r="I3051" s="3" t="s">
        <v>6234</v>
      </c>
      <c r="J3051" s="3">
        <v>28</v>
      </c>
      <c r="K3051" s="3">
        <v>27</v>
      </c>
      <c r="L3051" s="3">
        <v>0</v>
      </c>
      <c r="M3051" s="3">
        <v>1</v>
      </c>
      <c r="N3051" s="3">
        <v>43</v>
      </c>
      <c r="O3051" s="3">
        <v>0.08</v>
      </c>
      <c r="P3051" s="3">
        <v>0</v>
      </c>
      <c r="Q3051" s="3">
        <v>15</v>
      </c>
      <c r="R3051" s="3">
        <v>0</v>
      </c>
    </row>
    <row r="3052" spans="1:18">
      <c r="A3052" s="3" t="s">
        <v>1505</v>
      </c>
      <c r="B3052" s="3" t="s">
        <v>1506</v>
      </c>
      <c r="C3052" s="3" t="s">
        <v>1507</v>
      </c>
      <c r="D3052" s="3" t="s">
        <v>1508</v>
      </c>
      <c r="E3052" s="3" t="s">
        <v>1710</v>
      </c>
      <c r="F3052" s="3">
        <v>38</v>
      </c>
      <c r="G3052" s="3" t="s">
        <v>6233</v>
      </c>
      <c r="H3052" s="3"/>
      <c r="I3052" s="3" t="s">
        <v>6234</v>
      </c>
      <c r="J3052" s="3">
        <v>9</v>
      </c>
      <c r="K3052" s="3">
        <v>6</v>
      </c>
      <c r="L3052" s="3">
        <v>0</v>
      </c>
      <c r="M3052" s="3">
        <v>3</v>
      </c>
      <c r="N3052" s="3">
        <v>9</v>
      </c>
      <c r="O3052" s="3">
        <v>0.07</v>
      </c>
      <c r="P3052" s="3">
        <v>0</v>
      </c>
      <c r="Q3052" s="3">
        <v>0</v>
      </c>
      <c r="R3052" s="3">
        <v>0</v>
      </c>
    </row>
    <row r="3053" spans="1:18">
      <c r="A3053" s="3" t="s">
        <v>10709</v>
      </c>
      <c r="B3053" s="3" t="s">
        <v>10710</v>
      </c>
      <c r="C3053" s="3" t="s">
        <v>1507</v>
      </c>
      <c r="D3053" s="3"/>
      <c r="E3053" s="3" t="s">
        <v>6275</v>
      </c>
      <c r="F3053" s="3"/>
      <c r="G3053" s="3"/>
      <c r="H3053" s="3"/>
      <c r="I3053" s="3"/>
      <c r="J3053" s="3">
        <v>0</v>
      </c>
      <c r="K3053" s="3">
        <v>0</v>
      </c>
      <c r="L3053" s="3">
        <v>0</v>
      </c>
      <c r="M3053" s="3">
        <v>0</v>
      </c>
      <c r="N3053" s="3">
        <v>0</v>
      </c>
      <c r="O3053" s="3"/>
      <c r="P3053" s="3">
        <v>0</v>
      </c>
      <c r="Q3053" s="3">
        <v>0</v>
      </c>
      <c r="R3053" s="3">
        <v>0</v>
      </c>
    </row>
    <row r="3054" spans="1:18">
      <c r="A3054" s="3" t="s">
        <v>3998</v>
      </c>
      <c r="B3054" s="3" t="s">
        <v>3999</v>
      </c>
      <c r="C3054" s="3" t="s">
        <v>4000</v>
      </c>
      <c r="D3054" s="3" t="s">
        <v>4001</v>
      </c>
      <c r="E3054" s="3" t="s">
        <v>1710</v>
      </c>
      <c r="F3054" s="3">
        <v>26.99</v>
      </c>
      <c r="G3054" s="3" t="s">
        <v>6233</v>
      </c>
      <c r="H3054" s="3"/>
      <c r="I3054" s="3" t="s">
        <v>6234</v>
      </c>
      <c r="J3054" s="3">
        <v>3</v>
      </c>
      <c r="K3054" s="3">
        <v>0</v>
      </c>
      <c r="L3054" s="3">
        <v>3</v>
      </c>
      <c r="M3054" s="3">
        <v>0</v>
      </c>
      <c r="N3054" s="3">
        <v>42</v>
      </c>
      <c r="O3054" s="3">
        <v>0.08</v>
      </c>
      <c r="P3054" s="3">
        <v>0</v>
      </c>
      <c r="Q3054" s="3">
        <v>39</v>
      </c>
      <c r="R3054" s="3">
        <v>0</v>
      </c>
    </row>
    <row r="3055" spans="1:18">
      <c r="A3055" s="3" t="s">
        <v>1521</v>
      </c>
      <c r="B3055" s="3" t="s">
        <v>1522</v>
      </c>
      <c r="C3055" s="3" t="s">
        <v>1523</v>
      </c>
      <c r="D3055" s="3" t="s">
        <v>1524</v>
      </c>
      <c r="E3055" s="3" t="s">
        <v>1710</v>
      </c>
      <c r="F3055" s="3">
        <v>38</v>
      </c>
      <c r="G3055" s="3" t="s">
        <v>6233</v>
      </c>
      <c r="H3055" s="3"/>
      <c r="I3055" s="3" t="s">
        <v>6234</v>
      </c>
      <c r="J3055" s="3">
        <v>11</v>
      </c>
      <c r="K3055" s="3">
        <v>7</v>
      </c>
      <c r="L3055" s="3">
        <v>2</v>
      </c>
      <c r="M3055" s="3">
        <v>2</v>
      </c>
      <c r="N3055" s="3">
        <v>46</v>
      </c>
      <c r="O3055" s="3">
        <v>0.08</v>
      </c>
      <c r="P3055" s="3">
        <v>0</v>
      </c>
      <c r="Q3055" s="3">
        <v>35</v>
      </c>
      <c r="R3055" s="3">
        <v>0</v>
      </c>
    </row>
    <row r="3056" spans="1:18">
      <c r="A3056" s="3" t="s">
        <v>4282</v>
      </c>
      <c r="B3056" s="3" t="s">
        <v>4283</v>
      </c>
      <c r="C3056" s="3" t="s">
        <v>4284</v>
      </c>
      <c r="D3056" s="3" t="s">
        <v>4285</v>
      </c>
      <c r="E3056" s="3" t="s">
        <v>1710</v>
      </c>
      <c r="F3056" s="3">
        <v>38</v>
      </c>
      <c r="G3056" s="3" t="s">
        <v>6233</v>
      </c>
      <c r="H3056" s="3"/>
      <c r="I3056" s="3" t="s">
        <v>6234</v>
      </c>
      <c r="J3056" s="3">
        <v>2</v>
      </c>
      <c r="K3056" s="3">
        <v>0</v>
      </c>
      <c r="L3056" s="3">
        <v>2</v>
      </c>
      <c r="M3056" s="3">
        <v>0</v>
      </c>
      <c r="N3056" s="3">
        <v>38</v>
      </c>
      <c r="O3056" s="3">
        <v>0.08</v>
      </c>
      <c r="P3056" s="3">
        <v>0</v>
      </c>
      <c r="Q3056" s="3">
        <v>36</v>
      </c>
      <c r="R3056" s="3">
        <v>0</v>
      </c>
    </row>
    <row r="3057" spans="1:18">
      <c r="A3057" s="3" t="s">
        <v>10711</v>
      </c>
      <c r="B3057" s="3" t="s">
        <v>10712</v>
      </c>
      <c r="C3057" s="3" t="s">
        <v>10391</v>
      </c>
      <c r="D3057" s="3" t="s">
        <v>10713</v>
      </c>
      <c r="E3057" s="3" t="s">
        <v>1710</v>
      </c>
      <c r="F3057" s="3">
        <v>38</v>
      </c>
      <c r="G3057" s="3" t="s">
        <v>6233</v>
      </c>
      <c r="H3057" s="3"/>
      <c r="I3057" s="3" t="s">
        <v>6234</v>
      </c>
      <c r="J3057" s="3">
        <v>0</v>
      </c>
      <c r="K3057" s="3">
        <v>0</v>
      </c>
      <c r="L3057" s="3">
        <v>0</v>
      </c>
      <c r="M3057" s="3">
        <v>0</v>
      </c>
      <c r="N3057" s="3">
        <v>0</v>
      </c>
      <c r="O3057" s="3">
        <v>0.08</v>
      </c>
      <c r="P3057" s="3">
        <v>0</v>
      </c>
      <c r="Q3057" s="3">
        <v>0</v>
      </c>
      <c r="R3057" s="3">
        <v>0</v>
      </c>
    </row>
    <row r="3058" spans="1:18">
      <c r="A3058" s="3" t="s">
        <v>6109</v>
      </c>
      <c r="B3058" s="3" t="s">
        <v>6110</v>
      </c>
      <c r="C3058" s="3" t="s">
        <v>6111</v>
      </c>
      <c r="D3058" s="3" t="s">
        <v>6112</v>
      </c>
      <c r="E3058" s="3" t="s">
        <v>1710</v>
      </c>
      <c r="F3058" s="3">
        <v>38</v>
      </c>
      <c r="G3058" s="3" t="s">
        <v>6233</v>
      </c>
      <c r="H3058" s="3"/>
      <c r="I3058" s="3" t="s">
        <v>6234</v>
      </c>
      <c r="J3058" s="3">
        <v>22</v>
      </c>
      <c r="K3058" s="3">
        <v>22</v>
      </c>
      <c r="L3058" s="3">
        <v>0</v>
      </c>
      <c r="M3058" s="3">
        <v>0</v>
      </c>
      <c r="N3058" s="3">
        <v>22</v>
      </c>
      <c r="O3058" s="3">
        <v>0.05</v>
      </c>
      <c r="P3058" s="3">
        <v>0</v>
      </c>
      <c r="Q3058" s="3">
        <v>0</v>
      </c>
      <c r="R3058" s="3">
        <v>0</v>
      </c>
    </row>
    <row r="3059" spans="1:18">
      <c r="A3059" s="3" t="s">
        <v>10714</v>
      </c>
      <c r="B3059" s="3" t="s">
        <v>10715</v>
      </c>
      <c r="C3059" s="3" t="s">
        <v>6111</v>
      </c>
      <c r="D3059" s="3"/>
      <c r="E3059" s="3" t="s">
        <v>6275</v>
      </c>
      <c r="F3059" s="3"/>
      <c r="G3059" s="3"/>
      <c r="H3059" s="3"/>
      <c r="I3059" s="3"/>
      <c r="J3059" s="3">
        <v>0</v>
      </c>
      <c r="K3059" s="3">
        <v>0</v>
      </c>
      <c r="L3059" s="3">
        <v>0</v>
      </c>
      <c r="M3059" s="3">
        <v>0</v>
      </c>
      <c r="N3059" s="3">
        <v>0</v>
      </c>
      <c r="O3059" s="3"/>
      <c r="P3059" s="3">
        <v>0</v>
      </c>
      <c r="Q3059" s="3">
        <v>0</v>
      </c>
      <c r="R3059" s="3">
        <v>0</v>
      </c>
    </row>
    <row r="3060" spans="1:18">
      <c r="A3060" s="3" t="s">
        <v>1481</v>
      </c>
      <c r="B3060" s="3" t="s">
        <v>1482</v>
      </c>
      <c r="C3060" s="3" t="s">
        <v>1483</v>
      </c>
      <c r="D3060" s="3" t="s">
        <v>1484</v>
      </c>
      <c r="E3060" s="3" t="s">
        <v>1710</v>
      </c>
      <c r="F3060" s="3">
        <v>38</v>
      </c>
      <c r="G3060" s="3" t="s">
        <v>6233</v>
      </c>
      <c r="H3060" s="3"/>
      <c r="I3060" s="3" t="s">
        <v>6234</v>
      </c>
      <c r="J3060" s="3">
        <v>3</v>
      </c>
      <c r="K3060" s="3">
        <v>0</v>
      </c>
      <c r="L3060" s="3">
        <v>2</v>
      </c>
      <c r="M3060" s="3">
        <v>1</v>
      </c>
      <c r="N3060" s="3">
        <v>43</v>
      </c>
      <c r="O3060" s="3">
        <v>0.08</v>
      </c>
      <c r="P3060" s="3">
        <v>0</v>
      </c>
      <c r="Q3060" s="3">
        <v>40</v>
      </c>
      <c r="R3060" s="3">
        <v>0</v>
      </c>
    </row>
    <row r="3061" spans="1:18">
      <c r="A3061" s="3" t="s">
        <v>1513</v>
      </c>
      <c r="B3061" s="3" t="s">
        <v>1514</v>
      </c>
      <c r="C3061" s="3" t="s">
        <v>1515</v>
      </c>
      <c r="D3061" s="3" t="s">
        <v>1516</v>
      </c>
      <c r="E3061" s="3" t="s">
        <v>1710</v>
      </c>
      <c r="F3061" s="3">
        <v>38</v>
      </c>
      <c r="G3061" s="3" t="s">
        <v>6233</v>
      </c>
      <c r="H3061" s="3"/>
      <c r="I3061" s="3" t="s">
        <v>6234</v>
      </c>
      <c r="J3061" s="3">
        <v>17</v>
      </c>
      <c r="K3061" s="3">
        <v>12</v>
      </c>
      <c r="L3061" s="3">
        <v>1</v>
      </c>
      <c r="M3061" s="3">
        <v>4</v>
      </c>
      <c r="N3061" s="3">
        <v>17</v>
      </c>
      <c r="O3061" s="3">
        <v>0.08</v>
      </c>
      <c r="P3061" s="3">
        <v>0</v>
      </c>
      <c r="Q3061" s="3">
        <v>0</v>
      </c>
      <c r="R3061" s="3">
        <v>0</v>
      </c>
    </row>
    <row r="3062" spans="1:18">
      <c r="A3062" s="3" t="s">
        <v>5901</v>
      </c>
      <c r="B3062" s="3" t="s">
        <v>5902</v>
      </c>
      <c r="C3062" s="3" t="s">
        <v>5903</v>
      </c>
      <c r="D3062" s="3" t="s">
        <v>5904</v>
      </c>
      <c r="E3062" s="3" t="s">
        <v>1710</v>
      </c>
      <c r="F3062" s="3">
        <v>38</v>
      </c>
      <c r="G3062" s="3" t="s">
        <v>6233</v>
      </c>
      <c r="H3062" s="3"/>
      <c r="I3062" s="3" t="s">
        <v>6234</v>
      </c>
      <c r="J3062" s="3">
        <v>7</v>
      </c>
      <c r="K3062" s="3">
        <v>5</v>
      </c>
      <c r="L3062" s="3">
        <v>2</v>
      </c>
      <c r="M3062" s="3">
        <v>0</v>
      </c>
      <c r="N3062" s="3">
        <v>35</v>
      </c>
      <c r="O3062" s="3">
        <v>0.08</v>
      </c>
      <c r="P3062" s="3">
        <v>0</v>
      </c>
      <c r="Q3062" s="3">
        <v>28</v>
      </c>
      <c r="R3062" s="3">
        <v>0</v>
      </c>
    </row>
    <row r="3063" spans="1:18">
      <c r="A3063" s="3" t="s">
        <v>1489</v>
      </c>
      <c r="B3063" s="3" t="s">
        <v>1490</v>
      </c>
      <c r="C3063" s="3" t="s">
        <v>1491</v>
      </c>
      <c r="D3063" s="3" t="s">
        <v>1492</v>
      </c>
      <c r="E3063" s="3" t="s">
        <v>1710</v>
      </c>
      <c r="F3063" s="3">
        <v>38</v>
      </c>
      <c r="G3063" s="3" t="s">
        <v>6233</v>
      </c>
      <c r="H3063" s="3"/>
      <c r="I3063" s="3" t="s">
        <v>6234</v>
      </c>
      <c r="J3063" s="3">
        <v>12</v>
      </c>
      <c r="K3063" s="3">
        <v>11</v>
      </c>
      <c r="L3063" s="3">
        <v>0</v>
      </c>
      <c r="M3063" s="3">
        <v>1</v>
      </c>
      <c r="N3063" s="3">
        <v>12</v>
      </c>
      <c r="O3063" s="3">
        <v>0.08</v>
      </c>
      <c r="P3063" s="3">
        <v>0</v>
      </c>
      <c r="Q3063" s="3">
        <v>0</v>
      </c>
      <c r="R3063" s="3">
        <v>0</v>
      </c>
    </row>
    <row r="3064" spans="1:18">
      <c r="A3064" s="3" t="s">
        <v>10716</v>
      </c>
      <c r="B3064" s="3" t="s">
        <v>10717</v>
      </c>
      <c r="C3064" s="3" t="s">
        <v>1491</v>
      </c>
      <c r="D3064" s="3"/>
      <c r="E3064" s="3" t="s">
        <v>6275</v>
      </c>
      <c r="F3064" s="3"/>
      <c r="G3064" s="3"/>
      <c r="H3064" s="3"/>
      <c r="I3064" s="3"/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/>
      <c r="P3064" s="3">
        <v>0</v>
      </c>
      <c r="Q3064" s="3">
        <v>0</v>
      </c>
      <c r="R3064" s="3">
        <v>0</v>
      </c>
    </row>
    <row r="3065" spans="1:18">
      <c r="A3065" s="3" t="s">
        <v>10718</v>
      </c>
      <c r="B3065" s="3" t="s">
        <v>10719</v>
      </c>
      <c r="C3065" s="3" t="s">
        <v>10720</v>
      </c>
      <c r="D3065" s="3"/>
      <c r="E3065" s="3" t="s">
        <v>6275</v>
      </c>
      <c r="F3065" s="3"/>
      <c r="G3065" s="3"/>
      <c r="H3065" s="3"/>
      <c r="I3065" s="3"/>
      <c r="J3065" s="3">
        <v>0</v>
      </c>
      <c r="K3065" s="3">
        <v>0</v>
      </c>
      <c r="L3065" s="3">
        <v>0</v>
      </c>
      <c r="M3065" s="3">
        <v>0</v>
      </c>
      <c r="N3065" s="3">
        <v>0</v>
      </c>
      <c r="O3065" s="3"/>
      <c r="P3065" s="3">
        <v>0</v>
      </c>
      <c r="Q3065" s="3">
        <v>0</v>
      </c>
      <c r="R3065" s="3">
        <v>0</v>
      </c>
    </row>
    <row r="3066" spans="1:18">
      <c r="A3066" s="3" t="s">
        <v>10721</v>
      </c>
      <c r="B3066" s="3" t="s">
        <v>10722</v>
      </c>
      <c r="C3066" s="3" t="s">
        <v>10723</v>
      </c>
      <c r="D3066" s="3" t="s">
        <v>10724</v>
      </c>
      <c r="E3066" s="3" t="s">
        <v>1710</v>
      </c>
      <c r="F3066" s="3">
        <v>19.99</v>
      </c>
      <c r="G3066" s="3" t="s">
        <v>6233</v>
      </c>
      <c r="H3066" s="3"/>
      <c r="I3066" s="3" t="s">
        <v>6234</v>
      </c>
      <c r="J3066" s="3">
        <v>0</v>
      </c>
      <c r="K3066" s="3">
        <v>0</v>
      </c>
      <c r="L3066" s="3">
        <v>0</v>
      </c>
      <c r="M3066" s="3">
        <v>0</v>
      </c>
      <c r="N3066" s="3">
        <v>0</v>
      </c>
      <c r="O3066" s="3">
        <v>0.07</v>
      </c>
      <c r="P3066" s="3">
        <v>0</v>
      </c>
      <c r="Q3066" s="3">
        <v>0</v>
      </c>
      <c r="R3066" s="3">
        <v>0</v>
      </c>
    </row>
    <row r="3067" spans="1:18">
      <c r="A3067" s="3" t="s">
        <v>10725</v>
      </c>
      <c r="B3067" s="3" t="s">
        <v>10726</v>
      </c>
      <c r="C3067" s="3" t="s">
        <v>10727</v>
      </c>
      <c r="D3067" s="3" t="s">
        <v>10728</v>
      </c>
      <c r="E3067" s="3" t="s">
        <v>1710</v>
      </c>
      <c r="F3067" s="3">
        <v>18.99</v>
      </c>
      <c r="G3067" s="3" t="s">
        <v>6233</v>
      </c>
      <c r="H3067" s="3"/>
      <c r="I3067" s="3" t="s">
        <v>6234</v>
      </c>
      <c r="J3067" s="3">
        <v>4</v>
      </c>
      <c r="K3067" s="3">
        <v>0</v>
      </c>
      <c r="L3067" s="3">
        <v>4</v>
      </c>
      <c r="M3067" s="3">
        <v>0</v>
      </c>
      <c r="N3067" s="3">
        <v>4</v>
      </c>
      <c r="O3067" s="3">
        <v>0.07</v>
      </c>
      <c r="P3067" s="3">
        <v>0</v>
      </c>
      <c r="Q3067" s="3">
        <v>0</v>
      </c>
      <c r="R3067" s="3">
        <v>0</v>
      </c>
    </row>
    <row r="3068" spans="1:18">
      <c r="A3068" s="3" t="s">
        <v>2933</v>
      </c>
      <c r="B3068" s="3" t="s">
        <v>2934</v>
      </c>
      <c r="C3068" s="3" t="s">
        <v>2935</v>
      </c>
      <c r="D3068" s="3" t="s">
        <v>2936</v>
      </c>
      <c r="E3068" s="3" t="s">
        <v>1710</v>
      </c>
      <c r="F3068" s="3">
        <v>15.99</v>
      </c>
      <c r="G3068" s="3" t="s">
        <v>6233</v>
      </c>
      <c r="H3068" s="3"/>
      <c r="I3068" s="3" t="s">
        <v>6234</v>
      </c>
      <c r="J3068" s="3">
        <v>1</v>
      </c>
      <c r="K3068" s="3">
        <v>1</v>
      </c>
      <c r="L3068" s="3">
        <v>0</v>
      </c>
      <c r="M3068" s="3">
        <v>0</v>
      </c>
      <c r="N3068" s="3">
        <v>1</v>
      </c>
      <c r="O3068" s="3">
        <v>0.07</v>
      </c>
      <c r="P3068" s="3">
        <v>0</v>
      </c>
      <c r="Q3068" s="3">
        <v>0</v>
      </c>
      <c r="R3068" s="3">
        <v>0</v>
      </c>
    </row>
    <row r="3069" spans="1:18">
      <c r="A3069" s="3" t="s">
        <v>10729</v>
      </c>
      <c r="B3069" s="3" t="s">
        <v>10730</v>
      </c>
      <c r="C3069" s="3" t="s">
        <v>10731</v>
      </c>
      <c r="D3069" s="3" t="s">
        <v>10732</v>
      </c>
      <c r="E3069" s="3" t="s">
        <v>1710</v>
      </c>
      <c r="F3069" s="3">
        <v>18.99</v>
      </c>
      <c r="G3069" s="3" t="s">
        <v>6233</v>
      </c>
      <c r="H3069" s="3"/>
      <c r="I3069" s="3" t="s">
        <v>6234</v>
      </c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>
        <v>0.07</v>
      </c>
      <c r="P3069" s="3">
        <v>0</v>
      </c>
      <c r="Q3069" s="3">
        <v>0</v>
      </c>
      <c r="R3069" s="3">
        <v>0</v>
      </c>
    </row>
    <row r="3070" spans="1:18">
      <c r="A3070" s="3" t="s">
        <v>4131</v>
      </c>
      <c r="B3070" s="3" t="s">
        <v>4132</v>
      </c>
      <c r="C3070" s="3" t="s">
        <v>4133</v>
      </c>
      <c r="D3070" s="3" t="s">
        <v>4134</v>
      </c>
      <c r="E3070" s="3" t="s">
        <v>1710</v>
      </c>
      <c r="F3070" s="3">
        <v>9.99</v>
      </c>
      <c r="G3070" s="3" t="s">
        <v>6234</v>
      </c>
      <c r="H3070" s="3">
        <v>1</v>
      </c>
      <c r="I3070" s="3" t="s">
        <v>6233</v>
      </c>
      <c r="J3070" s="3">
        <v>1</v>
      </c>
      <c r="K3070" s="3">
        <v>1</v>
      </c>
      <c r="L3070" s="3">
        <v>0</v>
      </c>
      <c r="M3070" s="3">
        <v>0</v>
      </c>
      <c r="N3070" s="3">
        <v>1</v>
      </c>
      <c r="O3070" s="3">
        <v>0.07</v>
      </c>
      <c r="P3070" s="3">
        <v>0</v>
      </c>
      <c r="Q3070" s="3">
        <v>0</v>
      </c>
      <c r="R3070" s="3">
        <v>0</v>
      </c>
    </row>
    <row r="3071" spans="1:18">
      <c r="A3071" s="3" t="s">
        <v>1643</v>
      </c>
      <c r="B3071" s="3" t="s">
        <v>1644</v>
      </c>
      <c r="C3071" s="3" t="s">
        <v>1645</v>
      </c>
      <c r="D3071" s="3" t="s">
        <v>1646</v>
      </c>
      <c r="E3071" s="3" t="s">
        <v>1710</v>
      </c>
      <c r="F3071" s="3">
        <v>40</v>
      </c>
      <c r="G3071" s="3" t="s">
        <v>6233</v>
      </c>
      <c r="H3071" s="3"/>
      <c r="I3071" s="3" t="s">
        <v>6234</v>
      </c>
      <c r="J3071" s="3">
        <v>44</v>
      </c>
      <c r="K3071" s="3">
        <v>37</v>
      </c>
      <c r="L3071" s="3">
        <v>5</v>
      </c>
      <c r="M3071" s="3">
        <v>2</v>
      </c>
      <c r="N3071" s="3">
        <v>89</v>
      </c>
      <c r="O3071" s="3">
        <v>0.08</v>
      </c>
      <c r="P3071" s="3">
        <v>0</v>
      </c>
      <c r="Q3071" s="3">
        <v>45</v>
      </c>
      <c r="R3071" s="3">
        <v>0</v>
      </c>
    </row>
    <row r="3072" spans="1:18">
      <c r="A3072" s="3" t="s">
        <v>1651</v>
      </c>
      <c r="B3072" s="3" t="s">
        <v>1652</v>
      </c>
      <c r="C3072" s="3" t="s">
        <v>1653</v>
      </c>
      <c r="D3072" s="3" t="s">
        <v>1654</v>
      </c>
      <c r="E3072" s="3" t="s">
        <v>1710</v>
      </c>
      <c r="F3072" s="3">
        <v>40</v>
      </c>
      <c r="G3072" s="3" t="s">
        <v>6233</v>
      </c>
      <c r="H3072" s="3"/>
      <c r="I3072" s="3" t="s">
        <v>6234</v>
      </c>
      <c r="J3072" s="3">
        <v>112</v>
      </c>
      <c r="K3072" s="3">
        <v>85</v>
      </c>
      <c r="L3072" s="3">
        <v>16</v>
      </c>
      <c r="M3072" s="3">
        <v>11</v>
      </c>
      <c r="N3072" s="3">
        <v>288</v>
      </c>
      <c r="O3072" s="3">
        <v>0.18</v>
      </c>
      <c r="P3072" s="3">
        <v>0</v>
      </c>
      <c r="Q3072" s="3">
        <v>165</v>
      </c>
      <c r="R3072" s="3">
        <v>11</v>
      </c>
    </row>
    <row r="3073" spans="1:18">
      <c r="A3073" s="3" t="s">
        <v>1619</v>
      </c>
      <c r="B3073" s="3" t="s">
        <v>1620</v>
      </c>
      <c r="C3073" s="3" t="s">
        <v>1621</v>
      </c>
      <c r="D3073" s="3" t="s">
        <v>1622</v>
      </c>
      <c r="E3073" s="3" t="s">
        <v>1710</v>
      </c>
      <c r="F3073" s="3">
        <v>40</v>
      </c>
      <c r="G3073" s="3" t="s">
        <v>6233</v>
      </c>
      <c r="H3073" s="3"/>
      <c r="I3073" s="3" t="s">
        <v>6234</v>
      </c>
      <c r="J3073" s="3">
        <v>169</v>
      </c>
      <c r="K3073" s="3">
        <v>106</v>
      </c>
      <c r="L3073" s="3">
        <v>43</v>
      </c>
      <c r="M3073" s="3">
        <v>20</v>
      </c>
      <c r="N3073" s="3">
        <v>732</v>
      </c>
      <c r="O3073" s="3">
        <v>0.12</v>
      </c>
      <c r="P3073" s="3">
        <v>0</v>
      </c>
      <c r="Q3073" s="3">
        <v>512</v>
      </c>
      <c r="R3073" s="3">
        <v>51</v>
      </c>
    </row>
    <row r="3074" spans="1:18">
      <c r="A3074" s="3" t="s">
        <v>1612</v>
      </c>
      <c r="B3074" s="3" t="s">
        <v>1613</v>
      </c>
      <c r="C3074" s="3" t="s">
        <v>1614</v>
      </c>
      <c r="D3074" s="3" t="s">
        <v>1615</v>
      </c>
      <c r="E3074" s="3" t="s">
        <v>1710</v>
      </c>
      <c r="F3074" s="3">
        <v>40</v>
      </c>
      <c r="G3074" s="3" t="s">
        <v>6233</v>
      </c>
      <c r="H3074" s="3"/>
      <c r="I3074" s="3" t="s">
        <v>6234</v>
      </c>
      <c r="J3074" s="3">
        <v>31</v>
      </c>
      <c r="K3074" s="3">
        <v>0</v>
      </c>
      <c r="L3074" s="3">
        <v>25</v>
      </c>
      <c r="M3074" s="3">
        <v>6</v>
      </c>
      <c r="N3074" s="3">
        <v>582</v>
      </c>
      <c r="O3074" s="3">
        <v>0.06</v>
      </c>
      <c r="P3074" s="3">
        <v>0</v>
      </c>
      <c r="Q3074" s="3">
        <v>450</v>
      </c>
      <c r="R3074" s="3">
        <v>101</v>
      </c>
    </row>
    <row r="3075" spans="1:18">
      <c r="A3075" s="3" t="s">
        <v>1608</v>
      </c>
      <c r="B3075" s="3" t="s">
        <v>1609</v>
      </c>
      <c r="C3075" s="3" t="s">
        <v>1610</v>
      </c>
      <c r="D3075" s="3" t="s">
        <v>1611</v>
      </c>
      <c r="E3075" s="3" t="s">
        <v>1710</v>
      </c>
      <c r="F3075" s="3">
        <v>40</v>
      </c>
      <c r="G3075" s="3" t="s">
        <v>6233</v>
      </c>
      <c r="H3075" s="3"/>
      <c r="I3075" s="3" t="s">
        <v>6234</v>
      </c>
      <c r="J3075" s="3">
        <v>32</v>
      </c>
      <c r="K3075" s="3">
        <v>18</v>
      </c>
      <c r="L3075" s="3">
        <v>6</v>
      </c>
      <c r="M3075" s="3">
        <v>8</v>
      </c>
      <c r="N3075" s="3">
        <v>167</v>
      </c>
      <c r="O3075" s="3">
        <v>0.11</v>
      </c>
      <c r="P3075" s="3">
        <v>0</v>
      </c>
      <c r="Q3075" s="3">
        <v>135</v>
      </c>
      <c r="R3075" s="3">
        <v>0</v>
      </c>
    </row>
    <row r="3076" spans="1:18">
      <c r="A3076" s="3" t="s">
        <v>1577</v>
      </c>
      <c r="B3076" s="3" t="s">
        <v>1578</v>
      </c>
      <c r="C3076" s="3" t="s">
        <v>1579</v>
      </c>
      <c r="D3076" s="3" t="s">
        <v>1580</v>
      </c>
      <c r="E3076" s="3" t="s">
        <v>1710</v>
      </c>
      <c r="F3076" s="3">
        <v>40</v>
      </c>
      <c r="G3076" s="3" t="s">
        <v>6233</v>
      </c>
      <c r="H3076" s="3"/>
      <c r="I3076" s="3" t="s">
        <v>6234</v>
      </c>
      <c r="J3076" s="3">
        <v>211</v>
      </c>
      <c r="K3076" s="3">
        <v>156</v>
      </c>
      <c r="L3076" s="3">
        <v>35</v>
      </c>
      <c r="M3076" s="3">
        <v>20</v>
      </c>
      <c r="N3076" s="3">
        <v>561</v>
      </c>
      <c r="O3076" s="3">
        <v>0.04</v>
      </c>
      <c r="P3076" s="3">
        <v>0</v>
      </c>
      <c r="Q3076" s="3">
        <v>350</v>
      </c>
      <c r="R3076" s="3">
        <v>0</v>
      </c>
    </row>
    <row r="3077" spans="1:18">
      <c r="A3077" s="3" t="s">
        <v>10733</v>
      </c>
      <c r="B3077" s="3" t="s">
        <v>10734</v>
      </c>
      <c r="C3077" s="3" t="s">
        <v>1645</v>
      </c>
      <c r="D3077" s="3"/>
      <c r="E3077" s="3" t="s">
        <v>6275</v>
      </c>
      <c r="F3077" s="3"/>
      <c r="G3077" s="3"/>
      <c r="H3077" s="3"/>
      <c r="I3077" s="3"/>
      <c r="J3077" s="3">
        <v>0</v>
      </c>
      <c r="K3077" s="3">
        <v>0</v>
      </c>
      <c r="L3077" s="3">
        <v>0</v>
      </c>
      <c r="M3077" s="3">
        <v>0</v>
      </c>
      <c r="N3077" s="3">
        <v>0</v>
      </c>
      <c r="O3077" s="3"/>
      <c r="P3077" s="3">
        <v>0</v>
      </c>
      <c r="Q3077" s="3">
        <v>0</v>
      </c>
      <c r="R3077" s="3">
        <v>0</v>
      </c>
    </row>
    <row r="3078" spans="1:18">
      <c r="A3078" s="3" t="s">
        <v>1670</v>
      </c>
      <c r="B3078" s="3" t="s">
        <v>1671</v>
      </c>
      <c r="C3078" s="3" t="s">
        <v>1672</v>
      </c>
      <c r="D3078" s="3" t="s">
        <v>1673</v>
      </c>
      <c r="E3078" s="3" t="s">
        <v>1710</v>
      </c>
      <c r="F3078" s="3">
        <v>40</v>
      </c>
      <c r="G3078" s="3" t="s">
        <v>6233</v>
      </c>
      <c r="H3078" s="3"/>
      <c r="I3078" s="3" t="s">
        <v>6234</v>
      </c>
      <c r="J3078" s="3">
        <v>18</v>
      </c>
      <c r="K3078" s="3">
        <v>14</v>
      </c>
      <c r="L3078" s="3">
        <v>3</v>
      </c>
      <c r="M3078" s="3">
        <v>1</v>
      </c>
      <c r="N3078" s="3">
        <v>38</v>
      </c>
      <c r="O3078" s="3">
        <v>0.06</v>
      </c>
      <c r="P3078" s="3">
        <v>0</v>
      </c>
      <c r="Q3078" s="3">
        <v>10</v>
      </c>
      <c r="R3078" s="3">
        <v>10</v>
      </c>
    </row>
    <row r="3079" spans="1:18">
      <c r="A3079" s="3" t="s">
        <v>10735</v>
      </c>
      <c r="B3079" s="3" t="s">
        <v>10736</v>
      </c>
      <c r="C3079" s="3" t="s">
        <v>1595</v>
      </c>
      <c r="D3079" s="3"/>
      <c r="E3079" s="3" t="s">
        <v>6275</v>
      </c>
      <c r="F3079" s="3"/>
      <c r="G3079" s="3"/>
      <c r="H3079" s="3"/>
      <c r="I3079" s="3"/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/>
      <c r="P3079" s="3">
        <v>0</v>
      </c>
      <c r="Q3079" s="3">
        <v>0</v>
      </c>
      <c r="R3079" s="3">
        <v>0</v>
      </c>
    </row>
    <row r="3080" spans="1:18">
      <c r="A3080" s="3" t="s">
        <v>1549</v>
      </c>
      <c r="B3080" s="3" t="s">
        <v>1550</v>
      </c>
      <c r="C3080" s="3" t="s">
        <v>1551</v>
      </c>
      <c r="D3080" s="3" t="s">
        <v>1552</v>
      </c>
      <c r="E3080" s="3" t="s">
        <v>1710</v>
      </c>
      <c r="F3080" s="3">
        <v>40</v>
      </c>
      <c r="G3080" s="3" t="s">
        <v>6233</v>
      </c>
      <c r="H3080" s="3"/>
      <c r="I3080" s="3" t="s">
        <v>6234</v>
      </c>
      <c r="J3080" s="3">
        <v>9</v>
      </c>
      <c r="K3080" s="3">
        <v>6</v>
      </c>
      <c r="L3080" s="3">
        <v>1</v>
      </c>
      <c r="M3080" s="3">
        <v>2</v>
      </c>
      <c r="N3080" s="3">
        <v>9</v>
      </c>
      <c r="O3080" s="3">
        <v>0.12</v>
      </c>
      <c r="P3080" s="3">
        <v>0</v>
      </c>
      <c r="Q3080" s="3">
        <v>0</v>
      </c>
      <c r="R3080" s="3">
        <v>0</v>
      </c>
    </row>
    <row r="3081" spans="1:18">
      <c r="A3081" s="3" t="s">
        <v>1593</v>
      </c>
      <c r="B3081" s="3" t="s">
        <v>1594</v>
      </c>
      <c r="C3081" s="3" t="s">
        <v>1595</v>
      </c>
      <c r="D3081" s="3" t="s">
        <v>1596</v>
      </c>
      <c r="E3081" s="3" t="s">
        <v>1710</v>
      </c>
      <c r="F3081" s="3">
        <v>40</v>
      </c>
      <c r="G3081" s="3" t="s">
        <v>6233</v>
      </c>
      <c r="H3081" s="3"/>
      <c r="I3081" s="3" t="s">
        <v>6234</v>
      </c>
      <c r="J3081" s="3">
        <v>22</v>
      </c>
      <c r="K3081" s="3">
        <v>15</v>
      </c>
      <c r="L3081" s="3">
        <v>2</v>
      </c>
      <c r="M3081" s="3">
        <v>5</v>
      </c>
      <c r="N3081" s="3">
        <v>53</v>
      </c>
      <c r="O3081" s="3">
        <v>0.11</v>
      </c>
      <c r="P3081" s="3">
        <v>0</v>
      </c>
      <c r="Q3081" s="3">
        <v>31</v>
      </c>
      <c r="R3081" s="3">
        <v>0</v>
      </c>
    </row>
    <row r="3082" spans="1:18">
      <c r="A3082" s="3" t="s">
        <v>1541</v>
      </c>
      <c r="B3082" s="3" t="s">
        <v>1542</v>
      </c>
      <c r="C3082" s="3" t="s">
        <v>1543</v>
      </c>
      <c r="D3082" s="3" t="s">
        <v>1544</v>
      </c>
      <c r="E3082" s="3" t="s">
        <v>1710</v>
      </c>
      <c r="F3082" s="3">
        <v>40</v>
      </c>
      <c r="G3082" s="3" t="s">
        <v>6233</v>
      </c>
      <c r="H3082" s="3"/>
      <c r="I3082" s="3" t="s">
        <v>6234</v>
      </c>
      <c r="J3082" s="3">
        <v>40</v>
      </c>
      <c r="K3082" s="3">
        <v>32</v>
      </c>
      <c r="L3082" s="3">
        <v>3</v>
      </c>
      <c r="M3082" s="3">
        <v>5</v>
      </c>
      <c r="N3082" s="3">
        <v>134</v>
      </c>
      <c r="O3082" s="3">
        <v>0.06</v>
      </c>
      <c r="P3082" s="3">
        <v>0</v>
      </c>
      <c r="Q3082" s="3">
        <v>94</v>
      </c>
      <c r="R3082" s="3">
        <v>0</v>
      </c>
    </row>
    <row r="3083" spans="1:18">
      <c r="A3083" s="3" t="s">
        <v>1545</v>
      </c>
      <c r="B3083" s="3" t="s">
        <v>1546</v>
      </c>
      <c r="C3083" s="3" t="s">
        <v>1547</v>
      </c>
      <c r="D3083" s="3" t="s">
        <v>1548</v>
      </c>
      <c r="E3083" s="3" t="s">
        <v>1710</v>
      </c>
      <c r="F3083" s="3">
        <v>40</v>
      </c>
      <c r="G3083" s="3" t="s">
        <v>6233</v>
      </c>
      <c r="H3083" s="3"/>
      <c r="I3083" s="3" t="s">
        <v>6234</v>
      </c>
      <c r="J3083" s="3">
        <v>28</v>
      </c>
      <c r="K3083" s="3">
        <v>25</v>
      </c>
      <c r="L3083" s="3">
        <v>2</v>
      </c>
      <c r="M3083" s="3">
        <v>1</v>
      </c>
      <c r="N3083" s="3">
        <v>44</v>
      </c>
      <c r="O3083" s="3">
        <v>0.06</v>
      </c>
      <c r="P3083" s="3">
        <v>0</v>
      </c>
      <c r="Q3083" s="3">
        <v>16</v>
      </c>
      <c r="R3083" s="3">
        <v>0</v>
      </c>
    </row>
    <row r="3084" spans="1:18">
      <c r="A3084" s="3" t="s">
        <v>1553</v>
      </c>
      <c r="B3084" s="3" t="s">
        <v>1554</v>
      </c>
      <c r="C3084" s="3" t="s">
        <v>1555</v>
      </c>
      <c r="D3084" s="3" t="s">
        <v>1556</v>
      </c>
      <c r="E3084" s="3" t="s">
        <v>1710</v>
      </c>
      <c r="F3084" s="3">
        <v>40</v>
      </c>
      <c r="G3084" s="3" t="s">
        <v>6233</v>
      </c>
      <c r="H3084" s="3"/>
      <c r="I3084" s="3" t="s">
        <v>6234</v>
      </c>
      <c r="J3084" s="3">
        <v>35</v>
      </c>
      <c r="K3084" s="3">
        <v>29</v>
      </c>
      <c r="L3084" s="3">
        <v>5</v>
      </c>
      <c r="M3084" s="3">
        <v>1</v>
      </c>
      <c r="N3084" s="3">
        <v>45</v>
      </c>
      <c r="O3084" s="3">
        <v>0.18</v>
      </c>
      <c r="P3084" s="3">
        <v>0</v>
      </c>
      <c r="Q3084" s="3">
        <v>10</v>
      </c>
      <c r="R3084" s="3">
        <v>0</v>
      </c>
    </row>
    <row r="3085" spans="1:18">
      <c r="A3085" s="3" t="s">
        <v>1573</v>
      </c>
      <c r="B3085" s="3" t="s">
        <v>1574</v>
      </c>
      <c r="C3085" s="3" t="s">
        <v>1575</v>
      </c>
      <c r="D3085" s="3" t="s">
        <v>1576</v>
      </c>
      <c r="E3085" s="3" t="s">
        <v>1710</v>
      </c>
      <c r="F3085" s="3">
        <v>40</v>
      </c>
      <c r="G3085" s="3" t="s">
        <v>6233</v>
      </c>
      <c r="H3085" s="3"/>
      <c r="I3085" s="3" t="s">
        <v>6234</v>
      </c>
      <c r="J3085" s="3">
        <v>92</v>
      </c>
      <c r="K3085" s="3">
        <v>52</v>
      </c>
      <c r="L3085" s="3">
        <v>27</v>
      </c>
      <c r="M3085" s="3">
        <v>13</v>
      </c>
      <c r="N3085" s="3">
        <v>277</v>
      </c>
      <c r="O3085" s="3">
        <v>0.08</v>
      </c>
      <c r="P3085" s="3">
        <v>0</v>
      </c>
      <c r="Q3085" s="3">
        <v>135</v>
      </c>
      <c r="R3085" s="3">
        <v>50</v>
      </c>
    </row>
    <row r="3086" spans="1:18">
      <c r="A3086" s="3" t="s">
        <v>1662</v>
      </c>
      <c r="B3086" s="3" t="s">
        <v>1663</v>
      </c>
      <c r="C3086" s="3" t="s">
        <v>1664</v>
      </c>
      <c r="D3086" s="3" t="s">
        <v>1665</v>
      </c>
      <c r="E3086" s="3" t="s">
        <v>1710</v>
      </c>
      <c r="F3086" s="3">
        <v>40</v>
      </c>
      <c r="G3086" s="3" t="s">
        <v>6233</v>
      </c>
      <c r="H3086" s="3"/>
      <c r="I3086" s="3" t="s">
        <v>6234</v>
      </c>
      <c r="J3086" s="3">
        <v>203</v>
      </c>
      <c r="K3086" s="3">
        <v>156</v>
      </c>
      <c r="L3086" s="3">
        <v>33</v>
      </c>
      <c r="M3086" s="3">
        <v>14</v>
      </c>
      <c r="N3086" s="3">
        <v>652</v>
      </c>
      <c r="O3086" s="3">
        <v>0.08</v>
      </c>
      <c r="P3086" s="3">
        <v>0</v>
      </c>
      <c r="Q3086" s="3">
        <v>300</v>
      </c>
      <c r="R3086" s="3">
        <v>149</v>
      </c>
    </row>
    <row r="3087" spans="1:18">
      <c r="A3087" s="3" t="s">
        <v>1601</v>
      </c>
      <c r="B3087" s="3" t="s">
        <v>1602</v>
      </c>
      <c r="C3087" s="3" t="s">
        <v>1603</v>
      </c>
      <c r="D3087" s="3" t="s">
        <v>1604</v>
      </c>
      <c r="E3087" s="3" t="s">
        <v>1710</v>
      </c>
      <c r="F3087" s="3">
        <v>40</v>
      </c>
      <c r="G3087" s="3" t="s">
        <v>6233</v>
      </c>
      <c r="H3087" s="3"/>
      <c r="I3087" s="3" t="s">
        <v>6234</v>
      </c>
      <c r="J3087" s="3">
        <v>95</v>
      </c>
      <c r="K3087" s="3">
        <v>75</v>
      </c>
      <c r="L3087" s="3">
        <v>14</v>
      </c>
      <c r="M3087" s="3">
        <v>6</v>
      </c>
      <c r="N3087" s="3">
        <v>313</v>
      </c>
      <c r="O3087" s="3">
        <v>0.08</v>
      </c>
      <c r="P3087" s="3">
        <v>0</v>
      </c>
      <c r="Q3087" s="3">
        <v>168</v>
      </c>
      <c r="R3087" s="3">
        <v>50</v>
      </c>
    </row>
    <row r="3088" spans="1:18">
      <c r="A3088" s="3" t="s">
        <v>1627</v>
      </c>
      <c r="B3088" s="3" t="s">
        <v>1628</v>
      </c>
      <c r="C3088" s="3" t="s">
        <v>1629</v>
      </c>
      <c r="D3088" s="3" t="s">
        <v>1630</v>
      </c>
      <c r="E3088" s="3" t="s">
        <v>1710</v>
      </c>
      <c r="F3088" s="3">
        <v>40</v>
      </c>
      <c r="G3088" s="3" t="s">
        <v>6233</v>
      </c>
      <c r="H3088" s="3"/>
      <c r="I3088" s="3" t="s">
        <v>6234</v>
      </c>
      <c r="J3088" s="3">
        <v>13</v>
      </c>
      <c r="K3088" s="3">
        <v>0</v>
      </c>
      <c r="L3088" s="3">
        <v>10</v>
      </c>
      <c r="M3088" s="3">
        <v>3</v>
      </c>
      <c r="N3088" s="3">
        <v>218</v>
      </c>
      <c r="O3088" s="3">
        <v>0.08</v>
      </c>
      <c r="P3088" s="3">
        <v>0</v>
      </c>
      <c r="Q3088" s="3">
        <v>150</v>
      </c>
      <c r="R3088" s="3">
        <v>55</v>
      </c>
    </row>
    <row r="3089" spans="1:18">
      <c r="A3089" s="3" t="s">
        <v>1557</v>
      </c>
      <c r="B3089" s="3" t="s">
        <v>1558</v>
      </c>
      <c r="C3089" s="3" t="s">
        <v>1559</v>
      </c>
      <c r="D3089" s="3" t="s">
        <v>1560</v>
      </c>
      <c r="E3089" s="3" t="s">
        <v>1710</v>
      </c>
      <c r="F3089" s="3">
        <v>40</v>
      </c>
      <c r="G3089" s="3" t="s">
        <v>6233</v>
      </c>
      <c r="H3089" s="3"/>
      <c r="I3089" s="3" t="s">
        <v>6234</v>
      </c>
      <c r="J3089" s="3">
        <v>154</v>
      </c>
      <c r="K3089" s="3">
        <v>107</v>
      </c>
      <c r="L3089" s="3">
        <v>37</v>
      </c>
      <c r="M3089" s="3">
        <v>10</v>
      </c>
      <c r="N3089" s="3">
        <v>304</v>
      </c>
      <c r="O3089" s="3">
        <v>0.13</v>
      </c>
      <c r="P3089" s="3">
        <v>0</v>
      </c>
      <c r="Q3089" s="3">
        <v>150</v>
      </c>
      <c r="R3089" s="3">
        <v>0</v>
      </c>
    </row>
    <row r="3090" spans="1:18">
      <c r="A3090" s="3" t="s">
        <v>1666</v>
      </c>
      <c r="B3090" s="3" t="s">
        <v>1667</v>
      </c>
      <c r="C3090" s="3" t="s">
        <v>1668</v>
      </c>
      <c r="D3090" s="3" t="s">
        <v>1669</v>
      </c>
      <c r="E3090" s="3" t="s">
        <v>1710</v>
      </c>
      <c r="F3090" s="3">
        <v>40</v>
      </c>
      <c r="G3090" s="3" t="s">
        <v>6233</v>
      </c>
      <c r="H3090" s="3"/>
      <c r="I3090" s="3" t="s">
        <v>6234</v>
      </c>
      <c r="J3090" s="3">
        <v>27</v>
      </c>
      <c r="K3090" s="3">
        <v>25</v>
      </c>
      <c r="L3090" s="3">
        <v>1</v>
      </c>
      <c r="M3090" s="3">
        <v>1</v>
      </c>
      <c r="N3090" s="3">
        <v>37</v>
      </c>
      <c r="O3090" s="3">
        <v>0.08</v>
      </c>
      <c r="P3090" s="3">
        <v>0</v>
      </c>
      <c r="Q3090" s="3">
        <v>10</v>
      </c>
      <c r="R3090" s="3">
        <v>0</v>
      </c>
    </row>
    <row r="3091" spans="1:18">
      <c r="A3091" s="3" t="s">
        <v>3435</v>
      </c>
      <c r="B3091" s="3" t="s">
        <v>3436</v>
      </c>
      <c r="C3091" s="3" t="s">
        <v>3437</v>
      </c>
      <c r="D3091" s="3" t="s">
        <v>3438</v>
      </c>
      <c r="E3091" s="3" t="s">
        <v>1710</v>
      </c>
      <c r="F3091" s="3">
        <v>40</v>
      </c>
      <c r="G3091" s="3" t="s">
        <v>6233</v>
      </c>
      <c r="H3091" s="3"/>
      <c r="I3091" s="3" t="s">
        <v>6234</v>
      </c>
      <c r="J3091" s="3">
        <v>27</v>
      </c>
      <c r="K3091" s="3">
        <v>26</v>
      </c>
      <c r="L3091" s="3">
        <v>1</v>
      </c>
      <c r="M3091" s="3">
        <v>0</v>
      </c>
      <c r="N3091" s="3">
        <v>40</v>
      </c>
      <c r="O3091" s="3">
        <v>0.03</v>
      </c>
      <c r="P3091" s="3">
        <v>0</v>
      </c>
      <c r="Q3091" s="3">
        <v>13</v>
      </c>
      <c r="R3091" s="3">
        <v>0</v>
      </c>
    </row>
    <row r="3092" spans="1:18">
      <c r="A3092" s="3" t="s">
        <v>10737</v>
      </c>
      <c r="B3092" s="3" t="s">
        <v>10738</v>
      </c>
      <c r="C3092" s="3" t="s">
        <v>3437</v>
      </c>
      <c r="D3092" s="3"/>
      <c r="E3092" s="3" t="s">
        <v>6275</v>
      </c>
      <c r="F3092" s="3"/>
      <c r="G3092" s="3"/>
      <c r="H3092" s="3"/>
      <c r="I3092" s="3"/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/>
      <c r="P3092" s="3">
        <v>0</v>
      </c>
      <c r="Q3092" s="3">
        <v>0</v>
      </c>
      <c r="R3092" s="3">
        <v>0</v>
      </c>
    </row>
    <row r="3093" spans="1:18">
      <c r="A3093" s="3" t="s">
        <v>1569</v>
      </c>
      <c r="B3093" s="3" t="s">
        <v>1570</v>
      </c>
      <c r="C3093" s="3" t="s">
        <v>1571</v>
      </c>
      <c r="D3093" s="3" t="s">
        <v>1572</v>
      </c>
      <c r="E3093" s="3" t="s">
        <v>1710</v>
      </c>
      <c r="F3093" s="3">
        <v>40</v>
      </c>
      <c r="G3093" s="3" t="s">
        <v>6233</v>
      </c>
      <c r="H3093" s="3"/>
      <c r="I3093" s="3" t="s">
        <v>6234</v>
      </c>
      <c r="J3093" s="3">
        <v>39</v>
      </c>
      <c r="K3093" s="3">
        <v>27</v>
      </c>
      <c r="L3093" s="3">
        <v>5</v>
      </c>
      <c r="M3093" s="3">
        <v>7</v>
      </c>
      <c r="N3093" s="3">
        <v>39</v>
      </c>
      <c r="O3093" s="3">
        <v>0.23</v>
      </c>
      <c r="P3093" s="3">
        <v>0</v>
      </c>
      <c r="Q3093" s="3">
        <v>0</v>
      </c>
      <c r="R3093" s="3">
        <v>0</v>
      </c>
    </row>
    <row r="3094" spans="1:18">
      <c r="A3094" s="3" t="s">
        <v>1647</v>
      </c>
      <c r="B3094" s="3" t="s">
        <v>1648</v>
      </c>
      <c r="C3094" s="3" t="s">
        <v>1649</v>
      </c>
      <c r="D3094" s="3" t="s">
        <v>1650</v>
      </c>
      <c r="E3094" s="3" t="s">
        <v>1710</v>
      </c>
      <c r="F3094" s="3">
        <v>40</v>
      </c>
      <c r="G3094" s="3" t="s">
        <v>6233</v>
      </c>
      <c r="H3094" s="3"/>
      <c r="I3094" s="3" t="s">
        <v>6234</v>
      </c>
      <c r="J3094" s="3">
        <v>7</v>
      </c>
      <c r="K3094" s="3">
        <v>0</v>
      </c>
      <c r="L3094" s="3">
        <v>6</v>
      </c>
      <c r="M3094" s="3">
        <v>1</v>
      </c>
      <c r="N3094" s="3">
        <v>16</v>
      </c>
      <c r="O3094" s="3">
        <v>0.13</v>
      </c>
      <c r="P3094" s="3">
        <v>0</v>
      </c>
      <c r="Q3094" s="3">
        <v>0</v>
      </c>
      <c r="R3094" s="3">
        <v>9</v>
      </c>
    </row>
    <row r="3095" spans="1:18">
      <c r="A3095" s="3" t="s">
        <v>1565</v>
      </c>
      <c r="B3095" s="3" t="s">
        <v>1566</v>
      </c>
      <c r="C3095" s="3" t="s">
        <v>1567</v>
      </c>
      <c r="D3095" s="3" t="s">
        <v>1568</v>
      </c>
      <c r="E3095" s="3" t="s">
        <v>1710</v>
      </c>
      <c r="F3095" s="3">
        <v>40</v>
      </c>
      <c r="G3095" s="3" t="s">
        <v>6233</v>
      </c>
      <c r="H3095" s="3"/>
      <c r="I3095" s="3" t="s">
        <v>6234</v>
      </c>
      <c r="J3095" s="3">
        <v>20</v>
      </c>
      <c r="K3095" s="3">
        <v>13</v>
      </c>
      <c r="L3095" s="3">
        <v>4</v>
      </c>
      <c r="M3095" s="3">
        <v>3</v>
      </c>
      <c r="N3095" s="3">
        <v>60</v>
      </c>
      <c r="O3095" s="3">
        <v>0.03</v>
      </c>
      <c r="P3095" s="3">
        <v>0</v>
      </c>
      <c r="Q3095" s="3">
        <v>30</v>
      </c>
      <c r="R3095" s="3">
        <v>10</v>
      </c>
    </row>
    <row r="3096" spans="1:18">
      <c r="A3096" s="3" t="s">
        <v>10739</v>
      </c>
      <c r="B3096" s="3" t="s">
        <v>10740</v>
      </c>
      <c r="C3096" s="3" t="s">
        <v>1567</v>
      </c>
      <c r="D3096" s="3"/>
      <c r="E3096" s="3" t="s">
        <v>6275</v>
      </c>
      <c r="F3096" s="3"/>
      <c r="G3096" s="3"/>
      <c r="H3096" s="3"/>
      <c r="I3096" s="3"/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/>
      <c r="P3096" s="3">
        <v>0</v>
      </c>
      <c r="Q3096" s="3">
        <v>0</v>
      </c>
      <c r="R3096" s="3">
        <v>0</v>
      </c>
    </row>
    <row r="3097" spans="1:18">
      <c r="A3097" s="3" t="s">
        <v>1585</v>
      </c>
      <c r="B3097" s="3" t="s">
        <v>1586</v>
      </c>
      <c r="C3097" s="3" t="s">
        <v>1587</v>
      </c>
      <c r="D3097" s="3" t="s">
        <v>1588</v>
      </c>
      <c r="E3097" s="3" t="s">
        <v>1710</v>
      </c>
      <c r="F3097" s="3">
        <v>40</v>
      </c>
      <c r="G3097" s="3" t="s">
        <v>6233</v>
      </c>
      <c r="H3097" s="3"/>
      <c r="I3097" s="3" t="s">
        <v>6234</v>
      </c>
      <c r="J3097" s="3">
        <v>14</v>
      </c>
      <c r="K3097" s="3">
        <v>6</v>
      </c>
      <c r="L3097" s="3">
        <v>5</v>
      </c>
      <c r="M3097" s="3">
        <v>3</v>
      </c>
      <c r="N3097" s="3">
        <v>39</v>
      </c>
      <c r="O3097" s="3">
        <v>0.17</v>
      </c>
      <c r="P3097" s="3">
        <v>0</v>
      </c>
      <c r="Q3097" s="3">
        <v>0</v>
      </c>
      <c r="R3097" s="3">
        <v>25</v>
      </c>
    </row>
    <row r="3098" spans="1:18">
      <c r="A3098" s="3" t="s">
        <v>10741</v>
      </c>
      <c r="B3098" s="3" t="s">
        <v>10742</v>
      </c>
      <c r="C3098" s="3" t="s">
        <v>1587</v>
      </c>
      <c r="D3098" s="3"/>
      <c r="E3098" s="3" t="s">
        <v>6275</v>
      </c>
      <c r="F3098" s="3"/>
      <c r="G3098" s="3"/>
      <c r="H3098" s="3"/>
      <c r="I3098" s="3"/>
      <c r="J3098" s="3">
        <v>0</v>
      </c>
      <c r="K3098" s="3">
        <v>0</v>
      </c>
      <c r="L3098" s="3">
        <v>0</v>
      </c>
      <c r="M3098" s="3">
        <v>0</v>
      </c>
      <c r="N3098" s="3">
        <v>0</v>
      </c>
      <c r="O3098" s="3"/>
      <c r="P3098" s="3">
        <v>0</v>
      </c>
      <c r="Q3098" s="3">
        <v>0</v>
      </c>
      <c r="R3098" s="3">
        <v>0</v>
      </c>
    </row>
    <row r="3099" spans="1:18">
      <c r="A3099" s="3" t="s">
        <v>1581</v>
      </c>
      <c r="B3099" s="3" t="s">
        <v>1582</v>
      </c>
      <c r="C3099" s="3" t="s">
        <v>1583</v>
      </c>
      <c r="D3099" s="3" t="s">
        <v>1584</v>
      </c>
      <c r="E3099" s="3" t="s">
        <v>1710</v>
      </c>
      <c r="F3099" s="3">
        <v>40</v>
      </c>
      <c r="G3099" s="3" t="s">
        <v>6233</v>
      </c>
      <c r="H3099" s="3"/>
      <c r="I3099" s="3" t="s">
        <v>6234</v>
      </c>
      <c r="J3099" s="3">
        <v>25</v>
      </c>
      <c r="K3099" s="3">
        <v>19</v>
      </c>
      <c r="L3099" s="3">
        <v>5</v>
      </c>
      <c r="M3099" s="3">
        <v>1</v>
      </c>
      <c r="N3099" s="3">
        <v>57</v>
      </c>
      <c r="O3099" s="3">
        <v>0.12</v>
      </c>
      <c r="P3099" s="3">
        <v>0</v>
      </c>
      <c r="Q3099" s="3">
        <v>11</v>
      </c>
      <c r="R3099" s="3">
        <v>21</v>
      </c>
    </row>
    <row r="3100" spans="1:18">
      <c r="A3100" s="3" t="s">
        <v>1605</v>
      </c>
      <c r="B3100" s="3" t="s">
        <v>1606</v>
      </c>
      <c r="C3100" s="3" t="s">
        <v>1607</v>
      </c>
      <c r="D3100" s="3" t="s">
        <v>1540</v>
      </c>
      <c r="E3100" s="3" t="s">
        <v>1710</v>
      </c>
      <c r="F3100" s="3">
        <v>40</v>
      </c>
      <c r="G3100" s="3" t="s">
        <v>6233</v>
      </c>
      <c r="H3100" s="3"/>
      <c r="I3100" s="3" t="s">
        <v>6234</v>
      </c>
      <c r="J3100" s="3">
        <v>29</v>
      </c>
      <c r="K3100" s="3">
        <v>21</v>
      </c>
      <c r="L3100" s="3">
        <v>6</v>
      </c>
      <c r="M3100" s="3">
        <v>2</v>
      </c>
      <c r="N3100" s="3">
        <v>59</v>
      </c>
      <c r="O3100" s="3">
        <v>0.11</v>
      </c>
      <c r="P3100" s="3">
        <v>0</v>
      </c>
      <c r="Q3100" s="3">
        <v>30</v>
      </c>
      <c r="R3100" s="3">
        <v>0</v>
      </c>
    </row>
    <row r="3101" spans="1:18">
      <c r="A3101" s="3" t="s">
        <v>10743</v>
      </c>
      <c r="B3101" s="3" t="s">
        <v>10744</v>
      </c>
      <c r="C3101" s="3" t="s">
        <v>1607</v>
      </c>
      <c r="D3101" s="3"/>
      <c r="E3101" s="3" t="s">
        <v>6275</v>
      </c>
      <c r="F3101" s="3"/>
      <c r="G3101" s="3"/>
      <c r="H3101" s="3"/>
      <c r="I3101" s="3"/>
      <c r="J3101" s="3">
        <v>0</v>
      </c>
      <c r="K3101" s="3">
        <v>0</v>
      </c>
      <c r="L3101" s="3">
        <v>0</v>
      </c>
      <c r="M3101" s="3">
        <v>0</v>
      </c>
      <c r="N3101" s="3">
        <v>0</v>
      </c>
      <c r="O3101" s="3"/>
      <c r="P3101" s="3">
        <v>0</v>
      </c>
      <c r="Q3101" s="3">
        <v>0</v>
      </c>
      <c r="R3101" s="3">
        <v>0</v>
      </c>
    </row>
    <row r="3102" spans="1:18">
      <c r="A3102" s="3" t="s">
        <v>1639</v>
      </c>
      <c r="B3102" s="3" t="s">
        <v>1640</v>
      </c>
      <c r="C3102" s="3" t="s">
        <v>1641</v>
      </c>
      <c r="D3102" s="3" t="s">
        <v>1642</v>
      </c>
      <c r="E3102" s="3" t="s">
        <v>1710</v>
      </c>
      <c r="F3102" s="3">
        <v>40</v>
      </c>
      <c r="G3102" s="3" t="s">
        <v>6233</v>
      </c>
      <c r="H3102" s="3"/>
      <c r="I3102" s="3" t="s">
        <v>6234</v>
      </c>
      <c r="J3102" s="3">
        <v>43</v>
      </c>
      <c r="K3102" s="3">
        <v>36</v>
      </c>
      <c r="L3102" s="3">
        <v>4</v>
      </c>
      <c r="M3102" s="3">
        <v>3</v>
      </c>
      <c r="N3102" s="3">
        <v>48</v>
      </c>
      <c r="O3102" s="3">
        <v>0.11</v>
      </c>
      <c r="P3102" s="3">
        <v>0</v>
      </c>
      <c r="Q3102" s="3">
        <v>5</v>
      </c>
      <c r="R3102" s="3">
        <v>0</v>
      </c>
    </row>
    <row r="3103" spans="1:18">
      <c r="A3103" s="3" t="s">
        <v>10745</v>
      </c>
      <c r="B3103" s="3" t="s">
        <v>10746</v>
      </c>
      <c r="C3103" s="3" t="s">
        <v>1641</v>
      </c>
      <c r="D3103" s="3"/>
      <c r="E3103" s="3" t="s">
        <v>6275</v>
      </c>
      <c r="F3103" s="3"/>
      <c r="G3103" s="3"/>
      <c r="H3103" s="3"/>
      <c r="I3103" s="3"/>
      <c r="J3103" s="3">
        <v>0</v>
      </c>
      <c r="K3103" s="3">
        <v>0</v>
      </c>
      <c r="L3103" s="3">
        <v>0</v>
      </c>
      <c r="M3103" s="3">
        <v>0</v>
      </c>
      <c r="N3103" s="3">
        <v>0</v>
      </c>
      <c r="O3103" s="3"/>
      <c r="P3103" s="3">
        <v>0</v>
      </c>
      <c r="Q3103" s="3">
        <v>0</v>
      </c>
      <c r="R3103" s="3">
        <v>0</v>
      </c>
    </row>
    <row r="3104" spans="1:18">
      <c r="A3104" s="3" t="s">
        <v>1616</v>
      </c>
      <c r="B3104" s="3" t="s">
        <v>1617</v>
      </c>
      <c r="C3104" s="3" t="s">
        <v>1618</v>
      </c>
      <c r="D3104" s="3" t="s">
        <v>1540</v>
      </c>
      <c r="E3104" s="3" t="s">
        <v>1710</v>
      </c>
      <c r="F3104" s="3">
        <v>29.99</v>
      </c>
      <c r="G3104" s="3" t="s">
        <v>6233</v>
      </c>
      <c r="H3104" s="3"/>
      <c r="I3104" s="3" t="s">
        <v>6234</v>
      </c>
      <c r="J3104" s="3">
        <v>17</v>
      </c>
      <c r="K3104" s="3">
        <v>11</v>
      </c>
      <c r="L3104" s="3">
        <v>3</v>
      </c>
      <c r="M3104" s="3">
        <v>3</v>
      </c>
      <c r="N3104" s="3">
        <v>44</v>
      </c>
      <c r="O3104" s="3">
        <v>0.11</v>
      </c>
      <c r="P3104" s="3">
        <v>0</v>
      </c>
      <c r="Q3104" s="3">
        <v>27</v>
      </c>
      <c r="R3104" s="3">
        <v>0</v>
      </c>
    </row>
    <row r="3105" spans="1:18">
      <c r="A3105" s="3" t="s">
        <v>2762</v>
      </c>
      <c r="B3105" s="3" t="s">
        <v>2763</v>
      </c>
      <c r="C3105" s="3" t="s">
        <v>2764</v>
      </c>
      <c r="D3105" s="3" t="s">
        <v>1540</v>
      </c>
      <c r="E3105" s="3" t="s">
        <v>1710</v>
      </c>
      <c r="F3105" s="3">
        <v>40</v>
      </c>
      <c r="G3105" s="3" t="s">
        <v>6233</v>
      </c>
      <c r="H3105" s="3"/>
      <c r="I3105" s="3" t="s">
        <v>6234</v>
      </c>
      <c r="J3105" s="3">
        <v>22</v>
      </c>
      <c r="K3105" s="3">
        <v>22</v>
      </c>
      <c r="L3105" s="3">
        <v>0</v>
      </c>
      <c r="M3105" s="3">
        <v>0</v>
      </c>
      <c r="N3105" s="3">
        <v>42</v>
      </c>
      <c r="O3105" s="3">
        <v>0.11</v>
      </c>
      <c r="P3105" s="3">
        <v>0</v>
      </c>
      <c r="Q3105" s="3">
        <v>20</v>
      </c>
      <c r="R3105" s="3">
        <v>0</v>
      </c>
    </row>
    <row r="3106" spans="1:18">
      <c r="A3106" s="3" t="s">
        <v>1537</v>
      </c>
      <c r="B3106" s="3" t="s">
        <v>1538</v>
      </c>
      <c r="C3106" s="3" t="s">
        <v>1539</v>
      </c>
      <c r="D3106" s="3" t="s">
        <v>1540</v>
      </c>
      <c r="E3106" s="3" t="s">
        <v>1710</v>
      </c>
      <c r="F3106" s="3">
        <v>40</v>
      </c>
      <c r="G3106" s="3" t="s">
        <v>6233</v>
      </c>
      <c r="H3106" s="3"/>
      <c r="I3106" s="3" t="s">
        <v>6234</v>
      </c>
      <c r="J3106" s="3">
        <v>25</v>
      </c>
      <c r="K3106" s="3">
        <v>18</v>
      </c>
      <c r="L3106" s="3">
        <v>5</v>
      </c>
      <c r="M3106" s="3">
        <v>2</v>
      </c>
      <c r="N3106" s="3">
        <v>103</v>
      </c>
      <c r="O3106" s="3">
        <v>0.11</v>
      </c>
      <c r="P3106" s="3">
        <v>0</v>
      </c>
      <c r="Q3106" s="3">
        <v>78</v>
      </c>
      <c r="R3106" s="3">
        <v>0</v>
      </c>
    </row>
    <row r="3107" spans="1:18">
      <c r="A3107" s="3" t="s">
        <v>10747</v>
      </c>
      <c r="B3107" s="3" t="s">
        <v>10748</v>
      </c>
      <c r="C3107" s="3" t="s">
        <v>1539</v>
      </c>
      <c r="D3107" s="3"/>
      <c r="E3107" s="3" t="s">
        <v>6275</v>
      </c>
      <c r="F3107" s="3"/>
      <c r="G3107" s="3"/>
      <c r="H3107" s="3"/>
      <c r="I3107" s="3"/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/>
      <c r="P3107" s="3">
        <v>0</v>
      </c>
      <c r="Q3107" s="3">
        <v>0</v>
      </c>
      <c r="R3107" s="3">
        <v>0</v>
      </c>
    </row>
    <row r="3108" spans="1:18">
      <c r="A3108" s="3" t="s">
        <v>2639</v>
      </c>
      <c r="B3108" s="3" t="s">
        <v>2640</v>
      </c>
      <c r="C3108" s="3" t="s">
        <v>2641</v>
      </c>
      <c r="D3108" s="3" t="s">
        <v>1540</v>
      </c>
      <c r="E3108" s="3" t="s">
        <v>1710</v>
      </c>
      <c r="F3108" s="3">
        <v>40</v>
      </c>
      <c r="G3108" s="3" t="s">
        <v>6233</v>
      </c>
      <c r="H3108" s="3"/>
      <c r="I3108" s="3" t="s">
        <v>6234</v>
      </c>
      <c r="J3108" s="3">
        <v>19</v>
      </c>
      <c r="K3108" s="3">
        <v>19</v>
      </c>
      <c r="L3108" s="3">
        <v>0</v>
      </c>
      <c r="M3108" s="3">
        <v>0</v>
      </c>
      <c r="N3108" s="3">
        <v>29</v>
      </c>
      <c r="O3108" s="3">
        <v>0.11</v>
      </c>
      <c r="P3108" s="3">
        <v>0</v>
      </c>
      <c r="Q3108" s="3">
        <v>0</v>
      </c>
      <c r="R3108" s="3">
        <v>10</v>
      </c>
    </row>
    <row r="3109" spans="1:18">
      <c r="A3109" s="3" t="s">
        <v>1623</v>
      </c>
      <c r="B3109" s="3" t="s">
        <v>1624</v>
      </c>
      <c r="C3109" s="3" t="s">
        <v>1625</v>
      </c>
      <c r="D3109" s="3" t="s">
        <v>1626</v>
      </c>
      <c r="E3109" s="3" t="s">
        <v>1710</v>
      </c>
      <c r="F3109" s="3">
        <v>25.99</v>
      </c>
      <c r="G3109" s="3" t="s">
        <v>6233</v>
      </c>
      <c r="H3109" s="3"/>
      <c r="I3109" s="3" t="s">
        <v>6234</v>
      </c>
      <c r="J3109" s="3">
        <v>4</v>
      </c>
      <c r="K3109" s="3">
        <v>0</v>
      </c>
      <c r="L3109" s="3">
        <v>1</v>
      </c>
      <c r="M3109" s="3">
        <v>3</v>
      </c>
      <c r="N3109" s="3">
        <v>4</v>
      </c>
      <c r="O3109" s="3">
        <v>0.11</v>
      </c>
      <c r="P3109" s="3">
        <v>0</v>
      </c>
      <c r="Q3109" s="3">
        <v>0</v>
      </c>
      <c r="R3109" s="3">
        <v>0</v>
      </c>
    </row>
    <row r="3110" spans="1:18">
      <c r="A3110" s="3" t="s">
        <v>1655</v>
      </c>
      <c r="B3110" s="3" t="s">
        <v>1656</v>
      </c>
      <c r="C3110" s="3" t="s">
        <v>1657</v>
      </c>
      <c r="D3110" s="3" t="s">
        <v>1658</v>
      </c>
      <c r="E3110" s="3" t="s">
        <v>1710</v>
      </c>
      <c r="F3110" s="3">
        <v>35.99</v>
      </c>
      <c r="G3110" s="3" t="s">
        <v>6233</v>
      </c>
      <c r="H3110" s="3"/>
      <c r="I3110" s="3" t="s">
        <v>6234</v>
      </c>
      <c r="J3110" s="3">
        <v>1</v>
      </c>
      <c r="K3110" s="3">
        <v>0</v>
      </c>
      <c r="L3110" s="3">
        <v>0</v>
      </c>
      <c r="M3110" s="3">
        <v>1</v>
      </c>
      <c r="N3110" s="3">
        <v>1</v>
      </c>
      <c r="O3110" s="3">
        <v>0.11</v>
      </c>
      <c r="P3110" s="3">
        <v>0</v>
      </c>
      <c r="Q3110" s="3">
        <v>0</v>
      </c>
      <c r="R3110" s="3">
        <v>0</v>
      </c>
    </row>
    <row r="3111" spans="1:18">
      <c r="A3111" s="3" t="s">
        <v>1631</v>
      </c>
      <c r="B3111" s="3" t="s">
        <v>1632</v>
      </c>
      <c r="C3111" s="3" t="s">
        <v>1633</v>
      </c>
      <c r="D3111" s="3" t="s">
        <v>1634</v>
      </c>
      <c r="E3111" s="3" t="s">
        <v>1710</v>
      </c>
      <c r="F3111" s="3">
        <v>35.99</v>
      </c>
      <c r="G3111" s="3" t="s">
        <v>6233</v>
      </c>
      <c r="H3111" s="3"/>
      <c r="I3111" s="3" t="s">
        <v>6234</v>
      </c>
      <c r="J3111" s="3">
        <v>4</v>
      </c>
      <c r="K3111" s="3">
        <v>0</v>
      </c>
      <c r="L3111" s="3">
        <v>3</v>
      </c>
      <c r="M3111" s="3">
        <v>1</v>
      </c>
      <c r="N3111" s="3">
        <v>4</v>
      </c>
      <c r="O3111" s="3">
        <v>0.11</v>
      </c>
      <c r="P3111" s="3">
        <v>0</v>
      </c>
      <c r="Q3111" s="3">
        <v>0</v>
      </c>
      <c r="R3111" s="3">
        <v>0</v>
      </c>
    </row>
    <row r="3112" spans="1:18">
      <c r="A3112" s="3" t="s">
        <v>3492</v>
      </c>
      <c r="B3112" s="3" t="s">
        <v>3493</v>
      </c>
      <c r="C3112" s="3" t="s">
        <v>3494</v>
      </c>
      <c r="D3112" s="3" t="s">
        <v>3495</v>
      </c>
      <c r="E3112" s="3" t="s">
        <v>1710</v>
      </c>
      <c r="F3112" s="3">
        <v>35.99</v>
      </c>
      <c r="G3112" s="3" t="s">
        <v>6233</v>
      </c>
      <c r="H3112" s="3"/>
      <c r="I3112" s="3" t="s">
        <v>6234</v>
      </c>
      <c r="J3112" s="3">
        <v>1</v>
      </c>
      <c r="K3112" s="3">
        <v>0</v>
      </c>
      <c r="L3112" s="3">
        <v>1</v>
      </c>
      <c r="M3112" s="3">
        <v>0</v>
      </c>
      <c r="N3112" s="3">
        <v>1</v>
      </c>
      <c r="O3112" s="3">
        <v>0.11</v>
      </c>
      <c r="P3112" s="3">
        <v>0</v>
      </c>
      <c r="Q3112" s="3">
        <v>0</v>
      </c>
      <c r="R3112" s="3">
        <v>0</v>
      </c>
    </row>
    <row r="3113" spans="1:18">
      <c r="A3113" s="3" t="s">
        <v>1561</v>
      </c>
      <c r="B3113" s="3" t="s">
        <v>1562</v>
      </c>
      <c r="C3113" s="3" t="s">
        <v>1563</v>
      </c>
      <c r="D3113" s="3" t="s">
        <v>1564</v>
      </c>
      <c r="E3113" s="3" t="s">
        <v>1710</v>
      </c>
      <c r="F3113" s="3">
        <v>35.99</v>
      </c>
      <c r="G3113" s="3" t="s">
        <v>6233</v>
      </c>
      <c r="H3113" s="3"/>
      <c r="I3113" s="3" t="s">
        <v>6234</v>
      </c>
      <c r="J3113" s="3">
        <v>4</v>
      </c>
      <c r="K3113" s="3">
        <v>0</v>
      </c>
      <c r="L3113" s="3">
        <v>2</v>
      </c>
      <c r="M3113" s="3">
        <v>2</v>
      </c>
      <c r="N3113" s="3">
        <v>4</v>
      </c>
      <c r="O3113" s="3">
        <v>0.11</v>
      </c>
      <c r="P3113" s="3">
        <v>0</v>
      </c>
      <c r="Q3113" s="3">
        <v>0</v>
      </c>
      <c r="R3113" s="3">
        <v>0</v>
      </c>
    </row>
    <row r="3114" spans="1:18">
      <c r="A3114" s="3" t="s">
        <v>1597</v>
      </c>
      <c r="B3114" s="3" t="s">
        <v>1598</v>
      </c>
      <c r="C3114" s="3" t="s">
        <v>1599</v>
      </c>
      <c r="D3114" s="3" t="s">
        <v>1600</v>
      </c>
      <c r="E3114" s="3" t="s">
        <v>1710</v>
      </c>
      <c r="F3114" s="3">
        <v>35.99</v>
      </c>
      <c r="G3114" s="3" t="s">
        <v>6233</v>
      </c>
      <c r="H3114" s="3"/>
      <c r="I3114" s="3" t="s">
        <v>6234</v>
      </c>
      <c r="J3114" s="3">
        <v>5</v>
      </c>
      <c r="K3114" s="3">
        <v>0</v>
      </c>
      <c r="L3114" s="3">
        <v>1</v>
      </c>
      <c r="M3114" s="3">
        <v>4</v>
      </c>
      <c r="N3114" s="3">
        <v>5</v>
      </c>
      <c r="O3114" s="3">
        <v>0.11</v>
      </c>
      <c r="P3114" s="3">
        <v>0</v>
      </c>
      <c r="Q3114" s="3">
        <v>0</v>
      </c>
      <c r="R3114" s="3">
        <v>0</v>
      </c>
    </row>
    <row r="3115" spans="1:18">
      <c r="A3115" s="3" t="s">
        <v>2231</v>
      </c>
      <c r="B3115" s="3" t="s">
        <v>2232</v>
      </c>
      <c r="C3115" s="3" t="s">
        <v>2233</v>
      </c>
      <c r="D3115" s="3" t="s">
        <v>2234</v>
      </c>
      <c r="E3115" s="3" t="s">
        <v>1710</v>
      </c>
      <c r="F3115" s="3">
        <v>39</v>
      </c>
      <c r="G3115" s="3" t="s">
        <v>6233</v>
      </c>
      <c r="H3115" s="3"/>
      <c r="I3115" s="3" t="s">
        <v>6234</v>
      </c>
      <c r="J3115" s="3">
        <v>2</v>
      </c>
      <c r="K3115" s="3">
        <v>0</v>
      </c>
      <c r="L3115" s="3">
        <v>2</v>
      </c>
      <c r="M3115" s="3">
        <v>0</v>
      </c>
      <c r="N3115" s="3">
        <v>2</v>
      </c>
      <c r="O3115" s="3">
        <v>0.11</v>
      </c>
      <c r="P3115" s="3">
        <v>0</v>
      </c>
      <c r="Q3115" s="3">
        <v>0</v>
      </c>
      <c r="R3115" s="3">
        <v>0</v>
      </c>
    </row>
    <row r="3116" spans="1:18">
      <c r="A3116" s="3" t="s">
        <v>1589</v>
      </c>
      <c r="B3116" s="3" t="s">
        <v>1590</v>
      </c>
      <c r="C3116" s="3" t="s">
        <v>1591</v>
      </c>
      <c r="D3116" s="3" t="s">
        <v>1592</v>
      </c>
      <c r="E3116" s="3" t="s">
        <v>1710</v>
      </c>
      <c r="F3116" s="3">
        <v>28.58</v>
      </c>
      <c r="G3116" s="3" t="s">
        <v>6233</v>
      </c>
      <c r="H3116" s="3"/>
      <c r="I3116" s="3" t="s">
        <v>6234</v>
      </c>
      <c r="J3116" s="3">
        <v>35</v>
      </c>
      <c r="K3116" s="3">
        <v>33</v>
      </c>
      <c r="L3116" s="3">
        <v>1</v>
      </c>
      <c r="M3116" s="3">
        <v>1</v>
      </c>
      <c r="N3116" s="3">
        <v>35</v>
      </c>
      <c r="O3116" s="3">
        <v>0.11</v>
      </c>
      <c r="P3116" s="3">
        <v>0</v>
      </c>
      <c r="Q3116" s="3">
        <v>0</v>
      </c>
      <c r="R3116" s="3">
        <v>0</v>
      </c>
    </row>
    <row r="3117" spans="1:18">
      <c r="A3117" s="3" t="s">
        <v>1635</v>
      </c>
      <c r="B3117" s="3" t="s">
        <v>1636</v>
      </c>
      <c r="C3117" s="3" t="s">
        <v>1637</v>
      </c>
      <c r="D3117" s="3" t="s">
        <v>1638</v>
      </c>
      <c r="E3117" s="3" t="s">
        <v>1710</v>
      </c>
      <c r="F3117" s="3">
        <v>29.98</v>
      </c>
      <c r="G3117" s="3" t="s">
        <v>6233</v>
      </c>
      <c r="H3117" s="3"/>
      <c r="I3117" s="3" t="s">
        <v>6234</v>
      </c>
      <c r="J3117" s="3">
        <v>7</v>
      </c>
      <c r="K3117" s="3">
        <v>4</v>
      </c>
      <c r="L3117" s="3">
        <v>1</v>
      </c>
      <c r="M3117" s="3">
        <v>2</v>
      </c>
      <c r="N3117" s="3">
        <v>7</v>
      </c>
      <c r="O3117" s="3">
        <v>0.11</v>
      </c>
      <c r="P3117" s="3">
        <v>0</v>
      </c>
      <c r="Q3117" s="3">
        <v>0</v>
      </c>
      <c r="R3117" s="3">
        <v>0</v>
      </c>
    </row>
    <row r="3118" spans="1:18">
      <c r="A3118" s="3" t="s">
        <v>4231</v>
      </c>
      <c r="B3118" s="3" t="s">
        <v>4232</v>
      </c>
      <c r="C3118" s="3" t="s">
        <v>4233</v>
      </c>
      <c r="D3118" s="3" t="s">
        <v>4234</v>
      </c>
      <c r="E3118" s="3" t="s">
        <v>1710</v>
      </c>
      <c r="F3118" s="3">
        <v>28.58</v>
      </c>
      <c r="G3118" s="3" t="s">
        <v>6233</v>
      </c>
      <c r="H3118" s="3"/>
      <c r="I3118" s="3" t="s">
        <v>6234</v>
      </c>
      <c r="J3118" s="3">
        <v>23</v>
      </c>
      <c r="K3118" s="3">
        <v>23</v>
      </c>
      <c r="L3118" s="3">
        <v>0</v>
      </c>
      <c r="M3118" s="3">
        <v>0</v>
      </c>
      <c r="N3118" s="3">
        <v>23</v>
      </c>
      <c r="O3118" s="3">
        <v>0.11</v>
      </c>
      <c r="P3118" s="3">
        <v>0</v>
      </c>
      <c r="Q3118" s="3">
        <v>0</v>
      </c>
      <c r="R3118" s="3">
        <v>0</v>
      </c>
    </row>
    <row r="3119" spans="1:18">
      <c r="A3119" s="3" t="s">
        <v>1659</v>
      </c>
      <c r="B3119" s="3" t="s">
        <v>1660</v>
      </c>
      <c r="C3119" s="3" t="s">
        <v>1661</v>
      </c>
      <c r="D3119" s="3" t="s">
        <v>1564</v>
      </c>
      <c r="E3119" s="3" t="s">
        <v>1710</v>
      </c>
      <c r="F3119" s="3">
        <v>29.98</v>
      </c>
      <c r="G3119" s="3" t="s">
        <v>6233</v>
      </c>
      <c r="H3119" s="3"/>
      <c r="I3119" s="3" t="s">
        <v>6234</v>
      </c>
      <c r="J3119" s="3">
        <v>3</v>
      </c>
      <c r="K3119" s="3">
        <v>0</v>
      </c>
      <c r="L3119" s="3">
        <v>2</v>
      </c>
      <c r="M3119" s="3">
        <v>1</v>
      </c>
      <c r="N3119" s="3">
        <v>3</v>
      </c>
      <c r="O3119" s="3">
        <v>0.11</v>
      </c>
      <c r="P3119" s="3">
        <v>0</v>
      </c>
      <c r="Q3119" s="3">
        <v>0</v>
      </c>
      <c r="R3119" s="3">
        <v>0</v>
      </c>
    </row>
    <row r="3120" spans="1:18">
      <c r="A3120" s="3" t="s">
        <v>4824</v>
      </c>
      <c r="B3120" s="3" t="s">
        <v>4825</v>
      </c>
      <c r="C3120" s="3" t="s">
        <v>4826</v>
      </c>
      <c r="D3120" s="3" t="s">
        <v>4827</v>
      </c>
      <c r="E3120" s="3" t="s">
        <v>1710</v>
      </c>
      <c r="F3120" s="3">
        <v>28.58</v>
      </c>
      <c r="G3120" s="3" t="s">
        <v>6233</v>
      </c>
      <c r="H3120" s="3"/>
      <c r="I3120" s="3" t="s">
        <v>6234</v>
      </c>
      <c r="J3120" s="3">
        <v>2</v>
      </c>
      <c r="K3120" s="3">
        <v>0</v>
      </c>
      <c r="L3120" s="3">
        <v>2</v>
      </c>
      <c r="M3120" s="3">
        <v>0</v>
      </c>
      <c r="N3120" s="3">
        <v>2</v>
      </c>
      <c r="O3120" s="3">
        <v>0.11</v>
      </c>
      <c r="P3120" s="3">
        <v>0</v>
      </c>
      <c r="Q3120" s="3">
        <v>0</v>
      </c>
      <c r="R3120" s="3">
        <v>0</v>
      </c>
    </row>
    <row r="3121" spans="1:18">
      <c r="A3121" s="3" t="s">
        <v>10749</v>
      </c>
      <c r="B3121" s="3" t="s">
        <v>10750</v>
      </c>
      <c r="C3121" s="3" t="s">
        <v>10751</v>
      </c>
      <c r="D3121" s="3"/>
      <c r="E3121" s="3" t="s">
        <v>6275</v>
      </c>
      <c r="F3121" s="3"/>
      <c r="G3121" s="3"/>
      <c r="H3121" s="3"/>
      <c r="I3121" s="3"/>
      <c r="J3121" s="3">
        <v>0</v>
      </c>
      <c r="K3121" s="3">
        <v>0</v>
      </c>
      <c r="L3121" s="3">
        <v>0</v>
      </c>
      <c r="M3121" s="3">
        <v>0</v>
      </c>
      <c r="N3121" s="3">
        <v>0</v>
      </c>
      <c r="O3121" s="3"/>
      <c r="P3121" s="3">
        <v>0</v>
      </c>
      <c r="Q3121" s="3">
        <v>0</v>
      </c>
      <c r="R3121" s="3">
        <v>0</v>
      </c>
    </row>
    <row r="3122" spans="1:18">
      <c r="A3122" s="3" t="s">
        <v>10752</v>
      </c>
      <c r="B3122" s="3" t="s">
        <v>10753</v>
      </c>
      <c r="C3122" s="3" t="s">
        <v>1625</v>
      </c>
      <c r="D3122" s="3"/>
      <c r="E3122" s="3" t="s">
        <v>6275</v>
      </c>
      <c r="F3122" s="3"/>
      <c r="G3122" s="3"/>
      <c r="H3122" s="3"/>
      <c r="I3122" s="3"/>
      <c r="J3122" s="3">
        <v>0</v>
      </c>
      <c r="K3122" s="3">
        <v>0</v>
      </c>
      <c r="L3122" s="3">
        <v>0</v>
      </c>
      <c r="M3122" s="3">
        <v>0</v>
      </c>
      <c r="N3122" s="3">
        <v>0</v>
      </c>
      <c r="O3122" s="3"/>
      <c r="P3122" s="3">
        <v>0</v>
      </c>
      <c r="Q3122" s="3">
        <v>0</v>
      </c>
      <c r="R3122" s="3">
        <v>0</v>
      </c>
    </row>
    <row r="3123" spans="1:18">
      <c r="A3123" s="3" t="s">
        <v>10754</v>
      </c>
      <c r="B3123" s="3" t="s">
        <v>10755</v>
      </c>
      <c r="C3123" s="3" t="s">
        <v>10756</v>
      </c>
      <c r="D3123" s="3"/>
      <c r="E3123" s="3" t="s">
        <v>6275</v>
      </c>
      <c r="F3123" s="3"/>
      <c r="G3123" s="3"/>
      <c r="H3123" s="3"/>
      <c r="I3123" s="3"/>
      <c r="J3123" s="3">
        <v>0</v>
      </c>
      <c r="K3123" s="3">
        <v>0</v>
      </c>
      <c r="L3123" s="3">
        <v>0</v>
      </c>
      <c r="M3123" s="3">
        <v>0</v>
      </c>
      <c r="N3123" s="3">
        <v>0</v>
      </c>
      <c r="O3123" s="3"/>
      <c r="P3123" s="3">
        <v>0</v>
      </c>
      <c r="Q3123" s="3">
        <v>0</v>
      </c>
      <c r="R3123" s="3">
        <v>0</v>
      </c>
    </row>
    <row r="3124" spans="1:18">
      <c r="A3124" s="3" t="s">
        <v>10757</v>
      </c>
      <c r="B3124" s="3" t="s">
        <v>10758</v>
      </c>
      <c r="C3124" s="3" t="s">
        <v>1637</v>
      </c>
      <c r="D3124" s="3"/>
      <c r="E3124" s="3" t="s">
        <v>6275</v>
      </c>
      <c r="F3124" s="3"/>
      <c r="G3124" s="3"/>
      <c r="H3124" s="3"/>
      <c r="I3124" s="3"/>
      <c r="J3124" s="3">
        <v>0</v>
      </c>
      <c r="K3124" s="3">
        <v>0</v>
      </c>
      <c r="L3124" s="3">
        <v>0</v>
      </c>
      <c r="M3124" s="3">
        <v>0</v>
      </c>
      <c r="N3124" s="3">
        <v>0</v>
      </c>
      <c r="O3124" s="3"/>
      <c r="P3124" s="3">
        <v>0</v>
      </c>
      <c r="Q3124" s="3">
        <v>0</v>
      </c>
      <c r="R3124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161"/>
  <sheetViews>
    <sheetView tabSelected="1" workbookViewId="0">
      <selection activeCell="M42" sqref="M42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10759</v>
      </c>
      <c r="C1" t="s">
        <v>10760</v>
      </c>
      <c r="D1" t="s">
        <v>10761</v>
      </c>
      <c r="E1" t="s">
        <v>10762</v>
      </c>
      <c r="F1" t="s">
        <v>10763</v>
      </c>
      <c r="G1" t="s">
        <v>6</v>
      </c>
      <c r="H1" s="2" t="s">
        <v>7</v>
      </c>
      <c r="I1" t="s">
        <v>5</v>
      </c>
      <c r="J1" t="s">
        <v>1679</v>
      </c>
      <c r="K1" t="s">
        <v>1680</v>
      </c>
      <c r="L1" t="s">
        <v>1681</v>
      </c>
      <c r="M1" t="s">
        <v>1682</v>
      </c>
      <c r="N1" t="s">
        <v>10764</v>
      </c>
    </row>
    <row r="2" s="1" customFormat="1" spans="1:14">
      <c r="A2" s="1" t="s">
        <v>10765</v>
      </c>
      <c r="B2" s="1">
        <f>SUM(B3:B65536)</f>
        <v>22918</v>
      </c>
      <c r="C2" s="1">
        <f t="shared" ref="C2:N2" si="0">SUM(C3:C65536)</f>
        <v>1478</v>
      </c>
      <c r="D2" s="1">
        <f t="shared" si="0"/>
        <v>6528</v>
      </c>
      <c r="E2" s="1">
        <f t="shared" si="0"/>
        <v>2045</v>
      </c>
      <c r="F2" s="1">
        <f t="shared" si="0"/>
        <v>8573</v>
      </c>
      <c r="G2" s="1">
        <f t="shared" si="0"/>
        <v>1253</v>
      </c>
      <c r="H2" s="1">
        <f t="shared" si="0"/>
        <v>601</v>
      </c>
      <c r="I2" s="1">
        <f t="shared" si="0"/>
        <v>499</v>
      </c>
      <c r="J2" s="1">
        <f t="shared" si="0"/>
        <v>2864</v>
      </c>
      <c r="K2" s="1">
        <f t="shared" si="0"/>
        <v>5856</v>
      </c>
      <c r="L2" s="1">
        <f t="shared" si="0"/>
        <v>481</v>
      </c>
      <c r="M2" s="1">
        <f t="shared" si="0"/>
        <v>254</v>
      </c>
      <c r="N2" s="1">
        <f t="shared" si="0"/>
        <v>9455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1</v>
      </c>
      <c r="M3">
        <f>IFERROR(VLOOKUP(A3,库龄!B:N,12,0),0)</f>
        <v>1</v>
      </c>
      <c r="N3">
        <f t="shared" ref="N3:N66" si="2">SUM(J3:M3)</f>
        <v>2</v>
      </c>
    </row>
    <row r="4" spans="1:14">
      <c r="A4" s="3" t="s">
        <v>12</v>
      </c>
      <c r="B4">
        <f>IFERROR(VLOOKUP(A4,管理亚马逊库存!A:K,11,0),"")</f>
        <v>4</v>
      </c>
      <c r="C4">
        <f>IFERROR(VLOOKUP(A4,管理亚马逊库存!A:L,12,0),"")</f>
        <v>0</v>
      </c>
      <c r="D4">
        <f>IFERROR(VLOOKUP(A4,管理亚马逊库存!A:Q,17,0),"")</f>
        <v>7</v>
      </c>
      <c r="E4">
        <f>IFERROR(VLOOKUP(A4,管理亚马逊库存!A:R,18,0),"")</f>
        <v>0</v>
      </c>
      <c r="F4">
        <f t="shared" si="1"/>
        <v>7</v>
      </c>
      <c r="G4">
        <f>IFERROR(VLOOKUP(A4,预留库存!A:G,7,0),0)</f>
        <v>2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3</v>
      </c>
      <c r="C5">
        <f>IFERROR(VLOOKUP(A5,管理亚马逊库存!A:L,12,0),"")</f>
        <v>2</v>
      </c>
      <c r="D5">
        <f>IFERROR(VLOOKUP(A5,管理亚马逊库存!A:Q,17,0),"")</f>
        <v>6</v>
      </c>
      <c r="E5">
        <f>IFERROR(VLOOKUP(A5,管理亚马逊库存!A:R,18,0),"")</f>
        <v>0</v>
      </c>
      <c r="F5">
        <f t="shared" si="1"/>
        <v>6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7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1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16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2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9</v>
      </c>
      <c r="C8">
        <f>IFERROR(VLOOKUP(A8,管理亚马逊库存!A:L,12,0),"")</f>
        <v>1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4</v>
      </c>
      <c r="C9">
        <f>IFERROR(VLOOKUP(A9,管理亚马逊库存!A:L,12,0),"")</f>
        <v>1</v>
      </c>
      <c r="D9">
        <f>IFERROR(VLOOKUP(A9,管理亚马逊库存!A:Q,17,0),"")</f>
        <v>13</v>
      </c>
      <c r="E9">
        <f>IFERROR(VLOOKUP(A9,管理亚马逊库存!A:R,18,0),"")</f>
        <v>0</v>
      </c>
      <c r="F9">
        <f t="shared" si="1"/>
        <v>13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6</v>
      </c>
      <c r="C10">
        <f>IFERROR(VLOOKUP(A10,管理亚马逊库存!A:L,12,0),"")</f>
        <v>1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0</v>
      </c>
      <c r="C11">
        <f>IFERROR(VLOOKUP(A11,管理亚马逊库存!A:L,12,0),"")</f>
        <v>3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0</v>
      </c>
      <c r="C12">
        <f>IFERROR(VLOOKUP(A12,管理亚马逊库存!A:L,12,0),"")</f>
        <v>1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5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6</v>
      </c>
      <c r="C13">
        <f>IFERROR(VLOOKUP(A13,管理亚马逊库存!A:L,12,0),"")</f>
        <v>0</v>
      </c>
      <c r="D13">
        <f>IFERROR(VLOOKUP(A13,管理亚马逊库存!A:Q,17,0),"")</f>
        <v>2</v>
      </c>
      <c r="E13">
        <f>IFERROR(VLOOKUP(A13,管理亚马逊库存!A:R,18,0),"")</f>
        <v>0</v>
      </c>
      <c r="F13">
        <f t="shared" si="1"/>
        <v>2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0</v>
      </c>
      <c r="C14">
        <f>IFERROR(VLOOKUP(A14,管理亚马逊库存!A:L,12,0),"")</f>
        <v>1</v>
      </c>
      <c r="D14">
        <f>IFERROR(VLOOKUP(A14,管理亚马逊库存!A:Q,17,0),"")</f>
        <v>51</v>
      </c>
      <c r="E14">
        <f>IFERROR(VLOOKUP(A14,管理亚马逊库存!A:R,18,0),"")</f>
        <v>0</v>
      </c>
      <c r="F14">
        <f t="shared" si="1"/>
        <v>51</v>
      </c>
      <c r="G14">
        <f>IFERROR(VLOOKUP(A14,预留库存!A:G,7,0),0)</f>
        <v>14</v>
      </c>
      <c r="H14">
        <f>IFERROR(VLOOKUP(A14,预留库存!A:H,8,0),0)</f>
        <v>1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3</v>
      </c>
      <c r="C15">
        <f>IFERROR(VLOOKUP(A15,管理亚马逊库存!A:L,12,0),"")</f>
        <v>2</v>
      </c>
      <c r="D15">
        <f>IFERROR(VLOOKUP(A15,管理亚马逊库存!A:Q,17,0),"")</f>
        <v>15</v>
      </c>
      <c r="E15">
        <f>IFERROR(VLOOKUP(A15,管理亚马逊库存!A:R,18,0),"")</f>
        <v>0</v>
      </c>
      <c r="F15">
        <f t="shared" si="1"/>
        <v>15</v>
      </c>
      <c r="G15">
        <f>IFERROR(VLOOKUP(A15,预留库存!A:G,7,0),0)</f>
        <v>1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10</v>
      </c>
      <c r="C16">
        <f>IFERROR(VLOOKUP(A16,管理亚马逊库存!A:L,12,0),"")</f>
        <v>1</v>
      </c>
      <c r="D16">
        <f>IFERROR(VLOOKUP(A16,管理亚马逊库存!A:Q,17,0),"")</f>
        <v>12</v>
      </c>
      <c r="E16">
        <f>IFERROR(VLOOKUP(A16,管理亚马逊库存!A:R,18,0),"")</f>
        <v>0</v>
      </c>
      <c r="F16">
        <f t="shared" si="1"/>
        <v>12</v>
      </c>
      <c r="G16">
        <f>IFERROR(VLOOKUP(A16,预留库存!A:G,7,0),0)</f>
        <v>2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3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5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11</v>
      </c>
      <c r="C18">
        <f>IFERROR(VLOOKUP(A18,管理亚马逊库存!A:L,12,0),"")</f>
        <v>4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13</v>
      </c>
      <c r="C19">
        <f>IFERROR(VLOOKUP(A19,管理亚马逊库存!A:L,12,0),"")</f>
        <v>1</v>
      </c>
      <c r="D19">
        <f>IFERROR(VLOOKUP(A19,管理亚马逊库存!A:Q,17,0),"")</f>
        <v>4</v>
      </c>
      <c r="E19">
        <f>IFERROR(VLOOKUP(A19,管理亚马逊库存!A:R,18,0),"")</f>
        <v>0</v>
      </c>
      <c r="F19">
        <f t="shared" si="1"/>
        <v>4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1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3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4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4</v>
      </c>
    </row>
    <row r="21" spans="1:14">
      <c r="A21" s="3" t="s">
        <v>80</v>
      </c>
      <c r="B21">
        <f>IFERROR(VLOOKUP(A21,管理亚马逊库存!A:K,11,0),"")</f>
        <v>0</v>
      </c>
      <c r="C21">
        <f>IFERROR(VLOOKUP(A21,管理亚马逊库存!A:L,12,0),"")</f>
        <v>2</v>
      </c>
      <c r="D21">
        <f>IFERROR(VLOOKUP(A21,管理亚马逊库存!A:Q,17,0),"")</f>
        <v>10</v>
      </c>
      <c r="E21">
        <f>IFERROR(VLOOKUP(A21,管理亚马逊库存!A:R,18,0),"")</f>
        <v>0</v>
      </c>
      <c r="F21">
        <f t="shared" si="1"/>
        <v>10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18</v>
      </c>
      <c r="C22">
        <f>IFERROR(VLOOKUP(A22,管理亚马逊库存!A:L,12,0),"")</f>
        <v>1</v>
      </c>
      <c r="D22">
        <f>IFERROR(VLOOKUP(A22,管理亚马逊库存!A:Q,17,0),"")</f>
        <v>8</v>
      </c>
      <c r="E22">
        <f>IFERROR(VLOOKUP(A22,管理亚马逊库存!A:R,18,0),"")</f>
        <v>0</v>
      </c>
      <c r="F22">
        <f t="shared" si="1"/>
        <v>8</v>
      </c>
      <c r="G22">
        <f>IFERROR(VLOOKUP(A22,预留库存!A:G,7,0),0)</f>
        <v>0</v>
      </c>
      <c r="H22">
        <f>IFERROR(VLOOKUP(A22,预留库存!A:H,8,0),0)</f>
        <v>1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88</v>
      </c>
      <c r="B23">
        <f>IFERROR(VLOOKUP(A23,管理亚马逊库存!A:K,11,0),"")</f>
        <v>0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2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92</v>
      </c>
      <c r="B24">
        <f>IFERROR(VLOOKUP(A24,管理亚马逊库存!A:K,11,0),"")</f>
        <v>2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3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3</v>
      </c>
    </row>
    <row r="25" spans="1:14">
      <c r="A25" s="3" t="s">
        <v>96</v>
      </c>
      <c r="B25">
        <f>IFERROR(VLOOKUP(A25,管理亚马逊库存!A:K,11,0),"")</f>
        <v>115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1</v>
      </c>
      <c r="J25">
        <f>IFERROR(VLOOKUP(A25,库龄!B:K,9,0),0)</f>
        <v>50</v>
      </c>
      <c r="K25">
        <f>IFERROR(VLOOKUP(A25,库龄!B:L,10,0),0)</f>
        <v>59</v>
      </c>
      <c r="L25">
        <f>IFERROR(VLOOKUP(A25,库龄!B:M,11,0),0)</f>
        <v>0</v>
      </c>
      <c r="M25">
        <f>IFERROR(VLOOKUP(A25,库龄!B:N,12,0),0)</f>
        <v>0</v>
      </c>
      <c r="N25">
        <f t="shared" si="2"/>
        <v>109</v>
      </c>
    </row>
    <row r="26" spans="1:14">
      <c r="A26" s="3" t="s">
        <v>100</v>
      </c>
      <c r="B26">
        <f>IFERROR(VLOOKUP(A26,管理亚马逊库存!A:K,11,0),"")</f>
        <v>103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1</v>
      </c>
      <c r="J26">
        <f>IFERROR(VLOOKUP(A26,库龄!B:K,9,0),0)</f>
        <v>43</v>
      </c>
      <c r="K26">
        <f>IFERROR(VLOOKUP(A26,库龄!B:L,10,0),0)</f>
        <v>53</v>
      </c>
      <c r="L26">
        <f>IFERROR(VLOOKUP(A26,库龄!B:M,11,0),0)</f>
        <v>0</v>
      </c>
      <c r="M26">
        <f>IFERROR(VLOOKUP(A26,库龄!B:N,12,0),0)</f>
        <v>0</v>
      </c>
      <c r="N26">
        <f t="shared" si="2"/>
        <v>96</v>
      </c>
    </row>
    <row r="27" spans="1:14">
      <c r="A27" s="3" t="s">
        <v>104</v>
      </c>
      <c r="B27">
        <f>IFERROR(VLOOKUP(A27,管理亚马逊库存!A:K,11,0),"")</f>
        <v>208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24</v>
      </c>
      <c r="K27">
        <f>IFERROR(VLOOKUP(A27,库龄!B:L,10,0),0)</f>
        <v>183</v>
      </c>
      <c r="L27">
        <f>IFERROR(VLOOKUP(A27,库龄!B:M,11,0),0)</f>
        <v>0</v>
      </c>
      <c r="M27">
        <f>IFERROR(VLOOKUP(A27,库龄!B:N,12,0),0)</f>
        <v>0</v>
      </c>
      <c r="N27">
        <f t="shared" si="2"/>
        <v>207</v>
      </c>
    </row>
    <row r="28" spans="1:14">
      <c r="A28" s="3" t="s">
        <v>108</v>
      </c>
      <c r="B28">
        <f>IFERROR(VLOOKUP(A28,管理亚马逊库存!A:K,11,0),"")</f>
        <v>57</v>
      </c>
      <c r="C28">
        <f>IFERROR(VLOOKUP(A28,管理亚马逊库存!A:L,12,0),"")</f>
        <v>8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58</v>
      </c>
      <c r="L28">
        <f>IFERROR(VLOOKUP(A28,库龄!B:M,11,0),0)</f>
        <v>0</v>
      </c>
      <c r="M28">
        <f>IFERROR(VLOOKUP(A28,库龄!B:N,12,0),0)</f>
        <v>0</v>
      </c>
      <c r="N28">
        <f t="shared" si="2"/>
        <v>58</v>
      </c>
    </row>
    <row r="29" spans="1:14">
      <c r="A29" s="3" t="s">
        <v>112</v>
      </c>
      <c r="B29">
        <f>IFERROR(VLOOKUP(A29,管理亚马逊库存!A:K,11,0),"")</f>
        <v>134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1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3</v>
      </c>
      <c r="K29">
        <f>IFERROR(VLOOKUP(A29,库龄!B:L,10,0),0)</f>
        <v>130</v>
      </c>
      <c r="L29">
        <f>IFERROR(VLOOKUP(A29,库龄!B:M,11,0),0)</f>
        <v>0</v>
      </c>
      <c r="M29">
        <f>IFERROR(VLOOKUP(A29,库龄!B:N,12,0),0)</f>
        <v>0</v>
      </c>
      <c r="N29">
        <f t="shared" si="2"/>
        <v>133</v>
      </c>
    </row>
    <row r="30" spans="1:14">
      <c r="A30" s="3" t="s">
        <v>116</v>
      </c>
      <c r="B30">
        <f>IFERROR(VLOOKUP(A30,管理亚马逊库存!A:K,11,0),"")</f>
        <v>28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5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5</v>
      </c>
    </row>
    <row r="31" spans="1:14">
      <c r="A31" s="3" t="s">
        <v>120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124</v>
      </c>
      <c r="B32">
        <f>IFERROR(VLOOKUP(A32,管理亚马逊库存!A:K,11,0),"")</f>
        <v>2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128</v>
      </c>
      <c r="B33">
        <f>IFERROR(VLOOKUP(A33,管理亚马逊库存!A:K,11,0),"")</f>
        <v>7</v>
      </c>
      <c r="C33">
        <f>IFERROR(VLOOKUP(A33,管理亚马逊库存!A:L,12,0),"")</f>
        <v>0</v>
      </c>
      <c r="D33">
        <f>IFERROR(VLOOKUP(A33,管理亚马逊库存!A:Q,17,0),"")</f>
        <v>10</v>
      </c>
      <c r="E33">
        <f>IFERROR(VLOOKUP(A33,管理亚马逊库存!A:R,18,0),"")</f>
        <v>0</v>
      </c>
      <c r="F33">
        <f t="shared" si="1"/>
        <v>10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132</v>
      </c>
      <c r="B34">
        <f>IFERROR(VLOOKUP(A34,管理亚马逊库存!A:K,11,0),"")</f>
        <v>0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3</v>
      </c>
      <c r="I34">
        <f>IFERROR(VLOOKUP(A34,预留库存!A:F,6,0),0)</f>
        <v>0</v>
      </c>
      <c r="J34">
        <f>IFERROR(VLOOKUP(A34,库龄!B:K,9,0),0)</f>
        <v>3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3</v>
      </c>
    </row>
    <row r="35" spans="1:14">
      <c r="A35" s="3" t="s">
        <v>136</v>
      </c>
      <c r="B35">
        <f>IFERROR(VLOOKUP(A35,管理亚马逊库存!A:K,11,0),"")</f>
        <v>35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2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140</v>
      </c>
      <c r="B36">
        <f>IFERROR(VLOOKUP(A36,管理亚马逊库存!A:K,11,0),"")</f>
        <v>7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1</v>
      </c>
      <c r="J36">
        <f>IFERROR(VLOOKUP(A36,库龄!B:K,9,0),0)</f>
        <v>6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6</v>
      </c>
    </row>
    <row r="37" spans="1:14">
      <c r="A37" s="3" t="s">
        <v>144</v>
      </c>
      <c r="B37">
        <f>IFERROR(VLOOKUP(A37,管理亚马逊库存!A:K,11,0),"")</f>
        <v>9</v>
      </c>
      <c r="C37">
        <f>IFERROR(VLOOKUP(A37,管理亚马逊库存!A:L,12,0),"")</f>
        <v>0</v>
      </c>
      <c r="D37">
        <f>IFERROR(VLOOKUP(A37,管理亚马逊库存!A:Q,17,0),"")</f>
        <v>5</v>
      </c>
      <c r="E37">
        <f>IFERROR(VLOOKUP(A37,管理亚马逊库存!A:R,18,0),"")</f>
        <v>0</v>
      </c>
      <c r="F37">
        <f t="shared" si="1"/>
        <v>5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148</v>
      </c>
      <c r="B38">
        <f>IFERROR(VLOOKUP(A38,管理亚马逊库存!A:K,11,0),"")</f>
        <v>14</v>
      </c>
      <c r="C38">
        <f>IFERROR(VLOOKUP(A38,管理亚马逊库存!A:L,12,0),"")</f>
        <v>1</v>
      </c>
      <c r="D38">
        <f>IFERROR(VLOOKUP(A38,管理亚马逊库存!A:Q,17,0),"")</f>
        <v>10</v>
      </c>
      <c r="E38">
        <f>IFERROR(VLOOKUP(A38,管理亚马逊库存!A:R,18,0),"")</f>
        <v>0</v>
      </c>
      <c r="F38">
        <f t="shared" si="1"/>
        <v>10</v>
      </c>
      <c r="G38">
        <f>IFERROR(VLOOKUP(A38,预留库存!A:G,7,0),0)</f>
        <v>1</v>
      </c>
      <c r="H38">
        <f>IFERROR(VLOOKUP(A38,预留库存!A:H,8,0),0)</f>
        <v>0</v>
      </c>
      <c r="I38">
        <f>IFERROR(VLOOKUP(A38,预留库存!A:F,6,0),0)</f>
        <v>1</v>
      </c>
      <c r="J38">
        <f>IFERROR(VLOOKUP(A38,库龄!B:K,9,0),0)</f>
        <v>9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9</v>
      </c>
    </row>
    <row r="39" spans="1:14">
      <c r="A39" s="3" t="s">
        <v>152</v>
      </c>
      <c r="B39">
        <f>IFERROR(VLOOKUP(A39,管理亚马逊库存!A:K,11,0),"")</f>
        <v>5</v>
      </c>
      <c r="C39">
        <f>IFERROR(VLOOKUP(A39,管理亚马逊库存!A:L,12,0),"")</f>
        <v>0</v>
      </c>
      <c r="D39">
        <f>IFERROR(VLOOKUP(A39,管理亚马逊库存!A:Q,17,0),"")</f>
        <v>7</v>
      </c>
      <c r="E39">
        <f>IFERROR(VLOOKUP(A39,管理亚马逊库存!A:R,18,0),"")</f>
        <v>0</v>
      </c>
      <c r="F39">
        <f t="shared" si="1"/>
        <v>7</v>
      </c>
      <c r="G39">
        <f>IFERROR(VLOOKUP(A39,预留库存!A:G,7,0),0)</f>
        <v>4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156</v>
      </c>
      <c r="B40">
        <f>IFERROR(VLOOKUP(A40,管理亚马逊库存!A:K,11,0),"")</f>
        <v>7</v>
      </c>
      <c r="C40">
        <f>IFERROR(VLOOKUP(A40,管理亚马逊库存!A:L,12,0),"")</f>
        <v>0</v>
      </c>
      <c r="D40">
        <f>IFERROR(VLOOKUP(A40,管理亚马逊库存!A:Q,17,0),"")</f>
        <v>10</v>
      </c>
      <c r="E40">
        <f>IFERROR(VLOOKUP(A40,管理亚马逊库存!A:R,18,0),"")</f>
        <v>0</v>
      </c>
      <c r="F40">
        <f t="shared" si="1"/>
        <v>10</v>
      </c>
      <c r="G40">
        <f>IFERROR(VLOOKUP(A40,预留库存!A:G,7,0),0)</f>
        <v>2</v>
      </c>
      <c r="H40">
        <f>IFERROR(VLOOKUP(A40,预留库存!A:H,8,0),0)</f>
        <v>3</v>
      </c>
      <c r="I40">
        <f>IFERROR(VLOOKUP(A40,预留库存!A:F,6,0),0)</f>
        <v>3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160</v>
      </c>
      <c r="B41">
        <f>IFERROR(VLOOKUP(A41,管理亚马逊库存!A:K,11,0),"")</f>
        <v>2</v>
      </c>
      <c r="C41">
        <f>IFERROR(VLOOKUP(A41,管理亚马逊库存!A:L,12,0),"")</f>
        <v>0</v>
      </c>
      <c r="D41">
        <f>IFERROR(VLOOKUP(A41,管理亚马逊库存!A:Q,17,0),"")</f>
        <v>15</v>
      </c>
      <c r="E41">
        <f>IFERROR(VLOOKUP(A41,管理亚马逊库存!A:R,18,0),"")</f>
        <v>5</v>
      </c>
      <c r="F41">
        <f t="shared" si="1"/>
        <v>20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164</v>
      </c>
      <c r="B42">
        <f>IFERROR(VLOOKUP(A42,管理亚马逊库存!A:K,11,0),"")</f>
        <v>6</v>
      </c>
      <c r="C42">
        <f>IFERROR(VLOOKUP(A42,管理亚马逊库存!A:L,12,0),"")</f>
        <v>1</v>
      </c>
      <c r="D42">
        <f>IFERROR(VLOOKUP(A42,管理亚马逊库存!A:Q,17,0),"")</f>
        <v>5</v>
      </c>
      <c r="E42">
        <f>IFERROR(VLOOKUP(A42,管理亚马逊库存!A:R,18,0),"")</f>
        <v>15</v>
      </c>
      <c r="F42">
        <f t="shared" si="1"/>
        <v>20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168</v>
      </c>
      <c r="B43">
        <f>IFERROR(VLOOKUP(A43,管理亚马逊库存!A:K,11,0),"")</f>
        <v>57</v>
      </c>
      <c r="C43">
        <f>IFERROR(VLOOKUP(A43,管理亚马逊库存!A:L,12,0),"")</f>
        <v>1</v>
      </c>
      <c r="D43">
        <f>IFERROR(VLOOKUP(A43,管理亚马逊库存!A:Q,17,0),"")</f>
        <v>22</v>
      </c>
      <c r="E43">
        <f>IFERROR(VLOOKUP(A43,管理亚马逊库存!A:R,18,0),"")</f>
        <v>0</v>
      </c>
      <c r="F43">
        <f t="shared" si="1"/>
        <v>22</v>
      </c>
      <c r="G43">
        <f>IFERROR(VLOOKUP(A43,预留库存!A:G,7,0),0)</f>
        <v>0</v>
      </c>
      <c r="H43">
        <f>IFERROR(VLOOKUP(A43,预留库存!A:H,8,0),0)</f>
        <v>2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172</v>
      </c>
      <c r="B44">
        <f>IFERROR(VLOOKUP(A44,管理亚马逊库存!A:K,11,0),"")</f>
        <v>10</v>
      </c>
      <c r="C44">
        <f>IFERROR(VLOOKUP(A44,管理亚马逊库存!A:L,12,0),"")</f>
        <v>1</v>
      </c>
      <c r="D44">
        <f>IFERROR(VLOOKUP(A44,管理亚马逊库存!A:Q,17,0),"")</f>
        <v>14</v>
      </c>
      <c r="E44">
        <f>IFERROR(VLOOKUP(A44,管理亚马逊库存!A:R,18,0),"")</f>
        <v>0</v>
      </c>
      <c r="F44">
        <f t="shared" si="1"/>
        <v>14</v>
      </c>
      <c r="G44">
        <f>IFERROR(VLOOKUP(A44,预留库存!A:G,7,0),0)</f>
        <v>2</v>
      </c>
      <c r="H44">
        <f>IFERROR(VLOOKUP(A44,预留库存!A:H,8,0),0)</f>
        <v>0</v>
      </c>
      <c r="I44">
        <f>IFERROR(VLOOKUP(A44,预留库存!A:F,6,0),0)</f>
        <v>5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176</v>
      </c>
      <c r="B45">
        <f>IFERROR(VLOOKUP(A45,管理亚马逊库存!A:K,11,0),"")</f>
        <v>61</v>
      </c>
      <c r="C45">
        <f>IFERROR(VLOOKUP(A45,管理亚马逊库存!A:L,12,0),"")</f>
        <v>0</v>
      </c>
      <c r="D45">
        <f>IFERROR(VLOOKUP(A45,管理亚马逊库存!A:Q,17,0),"")</f>
        <v>134</v>
      </c>
      <c r="E45">
        <f>IFERROR(VLOOKUP(A45,管理亚马逊库存!A:R,18,0),"")</f>
        <v>0</v>
      </c>
      <c r="F45">
        <f t="shared" si="1"/>
        <v>134</v>
      </c>
      <c r="G45">
        <f>IFERROR(VLOOKUP(A45,预留库存!A:G,7,0),0)</f>
        <v>47</v>
      </c>
      <c r="H45">
        <f>IFERROR(VLOOKUP(A45,预留库存!A:H,8,0),0)</f>
        <v>4</v>
      </c>
      <c r="I45">
        <f>IFERROR(VLOOKUP(A45,预留库存!A:F,6,0),0)</f>
        <v>2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180</v>
      </c>
      <c r="B46">
        <f>IFERROR(VLOOKUP(A46,管理亚马逊库存!A:K,11,0),"")</f>
        <v>11</v>
      </c>
      <c r="C46">
        <f>IFERROR(VLOOKUP(A46,管理亚马逊库存!A:L,12,0),"")</f>
        <v>0</v>
      </c>
      <c r="D46">
        <f>IFERROR(VLOOKUP(A46,管理亚马逊库存!A:Q,17,0),"")</f>
        <v>25</v>
      </c>
      <c r="E46">
        <f>IFERROR(VLOOKUP(A46,管理亚马逊库存!A:R,18,0),"")</f>
        <v>0</v>
      </c>
      <c r="F46">
        <f t="shared" si="1"/>
        <v>25</v>
      </c>
      <c r="G46">
        <f>IFERROR(VLOOKUP(A46,预留库存!A:G,7,0),0)</f>
        <v>1</v>
      </c>
      <c r="H46">
        <f>IFERROR(VLOOKUP(A46,预留库存!A:H,8,0),0)</f>
        <v>4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184</v>
      </c>
      <c r="B47">
        <f>IFERROR(VLOOKUP(A47,管理亚马逊库存!A:K,11,0),"")</f>
        <v>40</v>
      </c>
      <c r="C47">
        <f>IFERROR(VLOOKUP(A47,管理亚马逊库存!A:L,12,0),"")</f>
        <v>1</v>
      </c>
      <c r="D47">
        <f>IFERROR(VLOOKUP(A47,管理亚马逊库存!A:Q,17,0),"")</f>
        <v>81</v>
      </c>
      <c r="E47">
        <f>IFERROR(VLOOKUP(A47,管理亚马逊库存!A:R,18,0),"")</f>
        <v>0</v>
      </c>
      <c r="F47">
        <f t="shared" si="1"/>
        <v>81</v>
      </c>
      <c r="G47">
        <f>IFERROR(VLOOKUP(A47,预留库存!A:G,7,0),0)</f>
        <v>1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188</v>
      </c>
      <c r="B48">
        <f>IFERROR(VLOOKUP(A48,管理亚马逊库存!A:K,11,0),"")</f>
        <v>38</v>
      </c>
      <c r="C48">
        <f>IFERROR(VLOOKUP(A48,管理亚马逊库存!A:L,12,0),"")</f>
        <v>3</v>
      </c>
      <c r="D48">
        <f>IFERROR(VLOOKUP(A48,管理亚马逊库存!A:Q,17,0),"")</f>
        <v>98</v>
      </c>
      <c r="E48">
        <f>IFERROR(VLOOKUP(A48,管理亚马逊库存!A:R,18,0),"")</f>
        <v>0</v>
      </c>
      <c r="F48">
        <f t="shared" si="1"/>
        <v>98</v>
      </c>
      <c r="G48">
        <f>IFERROR(VLOOKUP(A48,预留库存!A:G,7,0),0)</f>
        <v>21</v>
      </c>
      <c r="H48">
        <f>IFERROR(VLOOKUP(A48,预留库存!A:H,8,0),0)</f>
        <v>5</v>
      </c>
      <c r="I48">
        <f>IFERROR(VLOOKUP(A48,预留库存!A:F,6,0),0)</f>
        <v>5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192</v>
      </c>
      <c r="B49">
        <f>IFERROR(VLOOKUP(A49,管理亚马逊库存!A:K,11,0),"")</f>
        <v>6</v>
      </c>
      <c r="C49">
        <f>IFERROR(VLOOKUP(A49,管理亚马逊库存!A:L,12,0),"")</f>
        <v>0</v>
      </c>
      <c r="D49">
        <f>IFERROR(VLOOKUP(A49,管理亚马逊库存!A:Q,17,0),"")</f>
        <v>14</v>
      </c>
      <c r="E49">
        <f>IFERROR(VLOOKUP(A49,管理亚马逊库存!A:R,18,0),"")</f>
        <v>0</v>
      </c>
      <c r="F49">
        <f t="shared" si="1"/>
        <v>14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2</v>
      </c>
      <c r="J49">
        <f>IFERROR(VLOOKUP(A49,库龄!B:K,9,0),0)</f>
        <v>2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2</v>
      </c>
    </row>
    <row r="50" spans="1:14">
      <c r="A50" s="3" t="s">
        <v>196</v>
      </c>
      <c r="B50">
        <f>IFERROR(VLOOKUP(A50,管理亚马逊库存!A:K,11,0),"")</f>
        <v>58</v>
      </c>
      <c r="C50">
        <f>IFERROR(VLOOKUP(A50,管理亚马逊库存!A:L,12,0),"")</f>
        <v>0</v>
      </c>
      <c r="D50">
        <f>IFERROR(VLOOKUP(A50,管理亚马逊库存!A:Q,17,0),"")</f>
        <v>90</v>
      </c>
      <c r="E50">
        <f>IFERROR(VLOOKUP(A50,管理亚马逊库存!A:R,18,0),"")</f>
        <v>0</v>
      </c>
      <c r="F50">
        <f t="shared" si="1"/>
        <v>90</v>
      </c>
      <c r="G50">
        <f>IFERROR(VLOOKUP(A50,预留库存!A:G,7,0),0)</f>
        <v>2</v>
      </c>
      <c r="H50">
        <f>IFERROR(VLOOKUP(A50,预留库存!A:H,8,0),0)</f>
        <v>5</v>
      </c>
      <c r="I50">
        <f>IFERROR(VLOOKUP(A50,预留库存!A:F,6,0),0)</f>
        <v>3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200</v>
      </c>
      <c r="B51">
        <f>IFERROR(VLOOKUP(A51,管理亚马逊库存!A:K,11,0),"")</f>
        <v>16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1</v>
      </c>
      <c r="H51">
        <f>IFERROR(VLOOKUP(A51,预留库存!A:H,8,0),0)</f>
        <v>1</v>
      </c>
      <c r="I51">
        <f>IFERROR(VLOOKUP(A51,预留库存!A:F,6,0),0)</f>
        <v>1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204</v>
      </c>
      <c r="B52">
        <f>IFERROR(VLOOKUP(A52,管理亚马逊库存!A:K,11,0),"")</f>
        <v>18</v>
      </c>
      <c r="C52">
        <f>IFERROR(VLOOKUP(A52,管理亚马逊库存!A:L,12,0),"")</f>
        <v>0</v>
      </c>
      <c r="D52">
        <f>IFERROR(VLOOKUP(A52,管理亚马逊库存!A:Q,17,0),"")</f>
        <v>25</v>
      </c>
      <c r="E52">
        <f>IFERROR(VLOOKUP(A52,管理亚马逊库存!A:R,18,0),"")</f>
        <v>0</v>
      </c>
      <c r="F52">
        <f t="shared" si="1"/>
        <v>25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208</v>
      </c>
      <c r="B53">
        <f>IFERROR(VLOOKUP(A53,管理亚马逊库存!A:K,11,0),"")</f>
        <v>0</v>
      </c>
      <c r="C53">
        <f>IFERROR(VLOOKUP(A53,管理亚马逊库存!A:L,12,0),"")</f>
        <v>0</v>
      </c>
      <c r="D53">
        <f>IFERROR(VLOOKUP(A53,管理亚马逊库存!A:Q,17,0),"")</f>
        <v>19</v>
      </c>
      <c r="E53">
        <f>IFERROR(VLOOKUP(A53,管理亚马逊库存!A:R,18,0),"")</f>
        <v>0</v>
      </c>
      <c r="F53">
        <f t="shared" si="1"/>
        <v>19</v>
      </c>
      <c r="G53">
        <f>IFERROR(VLOOKUP(A53,预留库存!A:G,7,0),0)</f>
        <v>5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212</v>
      </c>
      <c r="B54">
        <f>IFERROR(VLOOKUP(A54,管理亚马逊库存!A:K,11,0),"")</f>
        <v>0</v>
      </c>
      <c r="C54">
        <f>IFERROR(VLOOKUP(A54,管理亚马逊库存!A:L,12,0),"")</f>
        <v>0</v>
      </c>
      <c r="D54">
        <f>IFERROR(VLOOKUP(A54,管理亚马逊库存!A:Q,17,0),"")</f>
        <v>7</v>
      </c>
      <c r="E54">
        <f>IFERROR(VLOOKUP(A54,管理亚马逊库存!A:R,18,0),"")</f>
        <v>0</v>
      </c>
      <c r="F54">
        <f t="shared" si="1"/>
        <v>7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216</v>
      </c>
      <c r="B55">
        <f>IFERROR(VLOOKUP(A55,管理亚马逊库存!A:K,11,0),"")</f>
        <v>0</v>
      </c>
      <c r="C55">
        <f>IFERROR(VLOOKUP(A55,管理亚马逊库存!A:L,12,0),"")</f>
        <v>0</v>
      </c>
      <c r="D55">
        <f>IFERROR(VLOOKUP(A55,管理亚马逊库存!A:Q,17,0),"")</f>
        <v>65</v>
      </c>
      <c r="E55">
        <f>IFERROR(VLOOKUP(A55,管理亚马逊库存!A:R,18,0),"")</f>
        <v>0</v>
      </c>
      <c r="F55">
        <f t="shared" si="1"/>
        <v>65</v>
      </c>
      <c r="G55">
        <f>IFERROR(VLOOKUP(A55,预留库存!A:G,7,0),0)</f>
        <v>1</v>
      </c>
      <c r="H55">
        <f>IFERROR(VLOOKUP(A55,预留库存!A:H,8,0),0)</f>
        <v>0</v>
      </c>
      <c r="I55">
        <f>IFERROR(VLOOKUP(A55,预留库存!A:F,6,0),0)</f>
        <v>1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220</v>
      </c>
      <c r="B56">
        <f>IFERROR(VLOOKUP(A56,管理亚马逊库存!A:K,11,0),"")</f>
        <v>31</v>
      </c>
      <c r="C56">
        <f>IFERROR(VLOOKUP(A56,管理亚马逊库存!A:L,12,0),"")</f>
        <v>0</v>
      </c>
      <c r="D56">
        <f>IFERROR(VLOOKUP(A56,管理亚马逊库存!A:Q,17,0),"")</f>
        <v>6</v>
      </c>
      <c r="E56">
        <f>IFERROR(VLOOKUP(A56,管理亚马逊库存!A:R,18,0),"")</f>
        <v>0</v>
      </c>
      <c r="F56">
        <f t="shared" si="1"/>
        <v>6</v>
      </c>
      <c r="G56">
        <f>IFERROR(VLOOKUP(A56,预留库存!A:G,7,0),0)</f>
        <v>1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224</v>
      </c>
      <c r="B57">
        <f>IFERROR(VLOOKUP(A57,管理亚马逊库存!A:K,11,0),"")</f>
        <v>28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1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228</v>
      </c>
      <c r="B58">
        <f>IFERROR(VLOOKUP(A58,管理亚马逊库存!A:K,11,0),"")</f>
        <v>29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232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20</v>
      </c>
      <c r="F59">
        <f t="shared" si="1"/>
        <v>20</v>
      </c>
      <c r="G59">
        <f>IFERROR(VLOOKUP(A59,预留库存!A:G,7,0),0)</f>
        <v>2</v>
      </c>
      <c r="H59">
        <f>IFERROR(VLOOKUP(A59,预留库存!A:H,8,0),0)</f>
        <v>1</v>
      </c>
      <c r="I59">
        <f>IFERROR(VLOOKUP(A59,预留库存!A:F,6,0),0)</f>
        <v>7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236</v>
      </c>
      <c r="B60">
        <f>IFERROR(VLOOKUP(A60,管理亚马逊库存!A:K,11,0),"")</f>
        <v>15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240</v>
      </c>
      <c r="B61">
        <f>IFERROR(VLOOKUP(A61,管理亚马逊库存!A:K,11,0),"")</f>
        <v>0</v>
      </c>
      <c r="C61">
        <f>IFERROR(VLOOKUP(A61,管理亚马逊库存!A:L,12,0),"")</f>
        <v>1</v>
      </c>
      <c r="D61">
        <f>IFERROR(VLOOKUP(A61,管理亚马逊库存!A:Q,17,0),"")</f>
        <v>128</v>
      </c>
      <c r="E61">
        <f>IFERROR(VLOOKUP(A61,管理亚马逊库存!A:R,18,0),"")</f>
        <v>0</v>
      </c>
      <c r="F61">
        <f t="shared" si="1"/>
        <v>128</v>
      </c>
      <c r="G61">
        <f>IFERROR(VLOOKUP(A61,预留库存!A:G,7,0),0)</f>
        <v>0</v>
      </c>
      <c r="H61">
        <f>IFERROR(VLOOKUP(A61,预留库存!A:H,8,0),0)</f>
        <v>2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244</v>
      </c>
      <c r="B62">
        <f>IFERROR(VLOOKUP(A62,管理亚马逊库存!A:K,11,0),"")</f>
        <v>3</v>
      </c>
      <c r="C62">
        <f>IFERROR(VLOOKUP(A62,管理亚马逊库存!A:L,12,0),"")</f>
        <v>0</v>
      </c>
      <c r="D62">
        <f>IFERROR(VLOOKUP(A62,管理亚马逊库存!A:Q,17,0),"")</f>
        <v>10</v>
      </c>
      <c r="E62">
        <f>IFERROR(VLOOKUP(A62,管理亚马逊库存!A:R,18,0),"")</f>
        <v>0</v>
      </c>
      <c r="F62">
        <f t="shared" si="1"/>
        <v>10</v>
      </c>
      <c r="G62">
        <f>IFERROR(VLOOKUP(A62,预留库存!A:G,7,0),0)</f>
        <v>2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248</v>
      </c>
      <c r="B63">
        <f>IFERROR(VLOOKUP(A63,管理亚马逊库存!A:K,11,0),"")</f>
        <v>37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1</v>
      </c>
      <c r="H63">
        <f>IFERROR(VLOOKUP(A63,预留库存!A:H,8,0),0)</f>
        <v>0</v>
      </c>
      <c r="I63">
        <f>IFERROR(VLOOKUP(A63,预留库存!A:F,6,0),0)</f>
        <v>1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252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1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3</v>
      </c>
      <c r="L64">
        <f>IFERROR(VLOOKUP(A64,库龄!B:M,11,0),0)</f>
        <v>0</v>
      </c>
      <c r="M64">
        <f>IFERROR(VLOOKUP(A64,库龄!B:N,12,0),0)</f>
        <v>0</v>
      </c>
      <c r="N64">
        <f t="shared" si="2"/>
        <v>3</v>
      </c>
    </row>
    <row r="65" spans="1:14">
      <c r="A65" s="3" t="s">
        <v>256</v>
      </c>
      <c r="B65">
        <f>IFERROR(VLOOKUP(A65,管理亚马逊库存!A:K,11,0),"")</f>
        <v>39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1</v>
      </c>
      <c r="J65">
        <f>IFERROR(VLOOKUP(A65,库龄!B:K,9,0),0)</f>
        <v>2</v>
      </c>
      <c r="K65">
        <f>IFERROR(VLOOKUP(A65,库龄!B:L,10,0),0)</f>
        <v>38</v>
      </c>
      <c r="L65">
        <f>IFERROR(VLOOKUP(A65,库龄!B:M,11,0),0)</f>
        <v>0</v>
      </c>
      <c r="M65">
        <f>IFERROR(VLOOKUP(A65,库龄!B:N,12,0),0)</f>
        <v>0</v>
      </c>
      <c r="N65">
        <f t="shared" si="2"/>
        <v>40</v>
      </c>
    </row>
    <row r="66" spans="1:14">
      <c r="A66" s="3" t="s">
        <v>260</v>
      </c>
      <c r="B66">
        <f>IFERROR(VLOOKUP(A66,管理亚马逊库存!A:K,11,0),"")</f>
        <v>14</v>
      </c>
      <c r="C66">
        <f>IFERROR(VLOOKUP(A66,管理亚马逊库存!A:L,12,0),"")</f>
        <v>0</v>
      </c>
      <c r="D66">
        <f>IFERROR(VLOOKUP(A66,管理亚马逊库存!A:Q,17,0),"")</f>
        <v>5</v>
      </c>
      <c r="E66">
        <f>IFERROR(VLOOKUP(A66,管理亚马逊库存!A:R,18,0),"")</f>
        <v>0</v>
      </c>
      <c r="F66">
        <f t="shared" si="1"/>
        <v>5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264</v>
      </c>
      <c r="B67">
        <f>IFERROR(VLOOKUP(A67,管理亚马逊库存!A:K,11,0),"")</f>
        <v>64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2</v>
      </c>
      <c r="I67">
        <f>IFERROR(VLOOKUP(A67,预留库存!A:F,6,0),0)</f>
        <v>0</v>
      </c>
      <c r="J67">
        <f>IFERROR(VLOOKUP(A67,库龄!B:K,9,0),0)</f>
        <v>12</v>
      </c>
      <c r="K67">
        <f>IFERROR(VLOOKUP(A67,库龄!B:L,10,0),0)</f>
        <v>54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66</v>
      </c>
    </row>
    <row r="68" spans="1:14">
      <c r="A68" s="3" t="s">
        <v>268</v>
      </c>
      <c r="B68">
        <f>IFERROR(VLOOKUP(A68,管理亚马逊库存!A:K,11,0),"")</f>
        <v>30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1</v>
      </c>
      <c r="J68">
        <f>IFERROR(VLOOKUP(A68,库龄!B:K,9,0),0)</f>
        <v>9</v>
      </c>
      <c r="K68">
        <f>IFERROR(VLOOKUP(A68,库龄!B:L,10,0),0)</f>
        <v>7</v>
      </c>
      <c r="L68">
        <f>IFERROR(VLOOKUP(A68,库龄!B:M,11,0),0)</f>
        <v>15</v>
      </c>
      <c r="M68">
        <f>IFERROR(VLOOKUP(A68,库龄!B:N,12,0),0)</f>
        <v>0</v>
      </c>
      <c r="N68">
        <f t="shared" si="4"/>
        <v>31</v>
      </c>
    </row>
    <row r="69" spans="1:14">
      <c r="A69" s="3" t="s">
        <v>272</v>
      </c>
      <c r="B69">
        <f>IFERROR(VLOOKUP(A69,管理亚马逊库存!A:K,11,0),"")</f>
        <v>33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9</v>
      </c>
      <c r="K69">
        <f>IFERROR(VLOOKUP(A69,库龄!B:L,10,0),0)</f>
        <v>27</v>
      </c>
      <c r="L69">
        <f>IFERROR(VLOOKUP(A69,库龄!B:M,11,0),0)</f>
        <v>0</v>
      </c>
      <c r="M69">
        <f>IFERROR(VLOOKUP(A69,库龄!B:N,12,0),0)</f>
        <v>0</v>
      </c>
      <c r="N69">
        <f t="shared" si="4"/>
        <v>36</v>
      </c>
    </row>
    <row r="70" spans="1:14">
      <c r="A70" s="3" t="s">
        <v>276</v>
      </c>
      <c r="B70">
        <f>IFERROR(VLOOKUP(A70,管理亚马逊库存!A:K,11,0),"")</f>
        <v>22</v>
      </c>
      <c r="C70">
        <f>IFERROR(VLOOKUP(A70,管理亚马逊库存!A:L,12,0),"")</f>
        <v>1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2</v>
      </c>
      <c r="I70">
        <f>IFERROR(VLOOKUP(A70,预留库存!A:F,6,0),0)</f>
        <v>0</v>
      </c>
      <c r="J70">
        <f>IFERROR(VLOOKUP(A70,库龄!B:K,9,0),0)</f>
        <v>21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21</v>
      </c>
    </row>
    <row r="71" spans="1:14">
      <c r="A71" s="3" t="s">
        <v>280</v>
      </c>
      <c r="B71">
        <f>IFERROR(VLOOKUP(A71,管理亚马逊库存!A:K,11,0),"")</f>
        <v>10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1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284</v>
      </c>
      <c r="B72">
        <f>IFERROR(VLOOKUP(A72,管理亚马逊库存!A:K,11,0),"")</f>
        <v>22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1</v>
      </c>
      <c r="H72">
        <f>IFERROR(VLOOKUP(A72,预留库存!A:H,8,0),0)</f>
        <v>0</v>
      </c>
      <c r="I72">
        <f>IFERROR(VLOOKUP(A72,预留库存!A:F,6,0),0)</f>
        <v>1</v>
      </c>
      <c r="J72">
        <f>IFERROR(VLOOKUP(A72,库龄!B:K,9,0),0)</f>
        <v>2</v>
      </c>
      <c r="K72">
        <f>IFERROR(VLOOKUP(A72,库龄!B:L,10,0),0)</f>
        <v>22</v>
      </c>
      <c r="L72">
        <f>IFERROR(VLOOKUP(A72,库龄!B:M,11,0),0)</f>
        <v>0</v>
      </c>
      <c r="M72">
        <f>IFERROR(VLOOKUP(A72,库龄!B:N,12,0),0)</f>
        <v>0</v>
      </c>
      <c r="N72">
        <f t="shared" si="4"/>
        <v>24</v>
      </c>
    </row>
    <row r="73" spans="1:14">
      <c r="A73" s="3" t="s">
        <v>288</v>
      </c>
      <c r="B73">
        <f>IFERROR(VLOOKUP(A73,管理亚马逊库存!A:K,11,0),"")</f>
        <v>9</v>
      </c>
      <c r="C73">
        <f>IFERROR(VLOOKUP(A73,管理亚马逊库存!A:L,12,0),"")</f>
        <v>1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1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292</v>
      </c>
      <c r="B74">
        <f>IFERROR(VLOOKUP(A74,管理亚马逊库存!A:K,11,0),"")</f>
        <v>22</v>
      </c>
      <c r="C74">
        <f>IFERROR(VLOOKUP(A74,管理亚马逊库存!A:L,12,0),"")</f>
        <v>1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1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296</v>
      </c>
      <c r="B75">
        <f>IFERROR(VLOOKUP(A75,管理亚马逊库存!A:K,11,0),"")</f>
        <v>24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0</v>
      </c>
      <c r="J75">
        <f>IFERROR(VLOOKUP(A75,库龄!B:K,9,0),0)</f>
        <v>17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17</v>
      </c>
    </row>
    <row r="76" spans="1:14">
      <c r="A76" s="3" t="s">
        <v>300</v>
      </c>
      <c r="B76">
        <f>IFERROR(VLOOKUP(A76,管理亚马逊库存!A:K,11,0),"")</f>
        <v>3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1</v>
      </c>
      <c r="H76">
        <f>IFERROR(VLOOKUP(A76,预留库存!A:H,8,0),0)</f>
        <v>3</v>
      </c>
      <c r="I76">
        <f>IFERROR(VLOOKUP(A76,预留库存!A:F,6,0),0)</f>
        <v>1</v>
      </c>
      <c r="J76">
        <f>IFERROR(VLOOKUP(A76,库龄!B:K,9,0),0)</f>
        <v>13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13</v>
      </c>
    </row>
    <row r="77" spans="1:14">
      <c r="A77" s="3" t="s">
        <v>304</v>
      </c>
      <c r="B77">
        <f>IFERROR(VLOOKUP(A77,管理亚马逊库存!A:K,11,0),"")</f>
        <v>9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308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312</v>
      </c>
      <c r="B79">
        <f>IFERROR(VLOOKUP(A79,管理亚马逊库存!A:K,11,0),"")</f>
        <v>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1</v>
      </c>
      <c r="J79">
        <f>IFERROR(VLOOKUP(A79,库龄!B:K,9,0),0)</f>
        <v>1</v>
      </c>
      <c r="K79">
        <f>IFERROR(VLOOKUP(A79,库龄!B:L,10,0),0)</f>
        <v>0</v>
      </c>
      <c r="L79">
        <f>IFERROR(VLOOKUP(A79,库龄!B:M,11,0),0)</f>
        <v>3</v>
      </c>
      <c r="M79">
        <f>IFERROR(VLOOKUP(A79,库龄!B:N,12,0),0)</f>
        <v>0</v>
      </c>
      <c r="N79">
        <f t="shared" si="4"/>
        <v>4</v>
      </c>
    </row>
    <row r="80" spans="1:14">
      <c r="A80" s="3" t="s">
        <v>315</v>
      </c>
      <c r="B80">
        <f>IFERROR(VLOOKUP(A80,管理亚马逊库存!A:K,11,0),"")</f>
        <v>6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1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1</v>
      </c>
      <c r="K80">
        <f>IFERROR(VLOOKUP(A80,库龄!B:L,10,0),0)</f>
        <v>0</v>
      </c>
      <c r="L80">
        <f>IFERROR(VLOOKUP(A80,库龄!B:M,11,0),0)</f>
        <v>5</v>
      </c>
      <c r="M80">
        <f>IFERROR(VLOOKUP(A80,库龄!B:N,12,0),0)</f>
        <v>0</v>
      </c>
      <c r="N80">
        <f t="shared" si="4"/>
        <v>6</v>
      </c>
    </row>
    <row r="81" spans="1:14">
      <c r="A81" s="3" t="s">
        <v>319</v>
      </c>
      <c r="B81">
        <f>IFERROR(VLOOKUP(A81,管理亚马逊库存!A:K,11,0),"")</f>
        <v>6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1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1</v>
      </c>
      <c r="K81">
        <f>IFERROR(VLOOKUP(A81,库龄!B:L,10,0),0)</f>
        <v>1</v>
      </c>
      <c r="L81">
        <f>IFERROR(VLOOKUP(A81,库龄!B:M,11,0),0)</f>
        <v>3</v>
      </c>
      <c r="M81">
        <f>IFERROR(VLOOKUP(A81,库龄!B:N,12,0),0)</f>
        <v>0</v>
      </c>
      <c r="N81">
        <f t="shared" si="4"/>
        <v>5</v>
      </c>
    </row>
    <row r="82" spans="1:14">
      <c r="A82" s="3" t="s">
        <v>322</v>
      </c>
      <c r="B82">
        <f>IFERROR(VLOOKUP(A82,管理亚马逊库存!A:K,11,0),"")</f>
        <v>114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326</v>
      </c>
      <c r="B83">
        <f>IFERROR(VLOOKUP(A83,管理亚马逊库存!A:K,11,0),"")</f>
        <v>123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1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330</v>
      </c>
      <c r="B84">
        <f>IFERROR(VLOOKUP(A84,管理亚马逊库存!A:K,11,0),"")</f>
        <v>2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1</v>
      </c>
      <c r="J84">
        <f>IFERROR(VLOOKUP(A84,库龄!B:K,9,0),0)</f>
        <v>3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3</v>
      </c>
    </row>
    <row r="85" spans="1:14">
      <c r="A85" s="3" t="s">
        <v>334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1</v>
      </c>
      <c r="J85">
        <f>IFERROR(VLOOKUP(A85,库龄!B:K,9,0),0)</f>
        <v>0</v>
      </c>
      <c r="K85">
        <f>IFERROR(VLOOKUP(A85,库龄!B:L,10,0),0)</f>
        <v>1</v>
      </c>
      <c r="L85">
        <f>IFERROR(VLOOKUP(A85,库龄!B:M,11,0),0)</f>
        <v>0</v>
      </c>
      <c r="M85">
        <f>IFERROR(VLOOKUP(A85,库龄!B:N,12,0),0)</f>
        <v>0</v>
      </c>
      <c r="N85">
        <f t="shared" si="4"/>
        <v>1</v>
      </c>
    </row>
    <row r="86" spans="1:14">
      <c r="A86" s="3" t="s">
        <v>338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1</v>
      </c>
      <c r="J86">
        <f>IFERROR(VLOOKUP(A86,库龄!B:K,9,0),0)</f>
        <v>1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1</v>
      </c>
    </row>
    <row r="87" spans="1:14">
      <c r="A87" s="3" t="s">
        <v>342</v>
      </c>
      <c r="B87">
        <f>IFERROR(VLOOKUP(A87,管理亚马逊库存!A:K,11,0),"")</f>
        <v>31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IFERROR(VLOOKUP(A87,库龄!B:K,9,0),0)</f>
        <v>1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1</v>
      </c>
    </row>
    <row r="88" spans="1:14">
      <c r="A88" s="3" t="s">
        <v>346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1</v>
      </c>
      <c r="H88">
        <f>IFERROR(VLOOKUP(A88,预留库存!A:H,8,0),0)</f>
        <v>0</v>
      </c>
      <c r="I88">
        <f>IFERROR(VLOOKUP(A88,预留库存!A:F,6,0),0)</f>
        <v>1</v>
      </c>
      <c r="J88">
        <f>IFERROR(VLOOKUP(A88,库龄!B:K,9,0),0)</f>
        <v>1</v>
      </c>
      <c r="K88">
        <f>IFERROR(VLOOKUP(A88,库龄!B:L,10,0),0)</f>
        <v>4</v>
      </c>
      <c r="L88">
        <f>IFERROR(VLOOKUP(A88,库龄!B:M,11,0),0)</f>
        <v>0</v>
      </c>
      <c r="M88">
        <f>IFERROR(VLOOKUP(A88,库龄!B:N,12,0),0)</f>
        <v>0</v>
      </c>
      <c r="N88">
        <f t="shared" si="4"/>
        <v>5</v>
      </c>
    </row>
    <row r="89" spans="1:14">
      <c r="A89" s="3" t="s">
        <v>350</v>
      </c>
      <c r="B89">
        <f>IFERROR(VLOOKUP(A89,管理亚马逊库存!A:K,11,0),"")</f>
        <v>6</v>
      </c>
      <c r="C89">
        <f>IFERROR(VLOOKUP(A89,管理亚马逊库存!A:L,12,0),"")</f>
        <v>1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1</v>
      </c>
      <c r="H89">
        <f>IFERROR(VLOOKUP(A89,预留库存!A:H,8,0),0)</f>
        <v>2</v>
      </c>
      <c r="I89">
        <f>IFERROR(VLOOKUP(A89,预留库存!A:F,6,0),0)</f>
        <v>0</v>
      </c>
      <c r="J89">
        <f>IFERROR(VLOOKUP(A89,库龄!B:K,9,0),0)</f>
        <v>6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6</v>
      </c>
    </row>
    <row r="90" spans="1:14">
      <c r="A90" s="3" t="s">
        <v>354</v>
      </c>
      <c r="B90">
        <f>IFERROR(VLOOKUP(A90,管理亚马逊库存!A:K,11,0),"")</f>
        <v>103</v>
      </c>
      <c r="C90">
        <f>IFERROR(VLOOKUP(A90,管理亚马逊库存!A:L,12,0),"")</f>
        <v>6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3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358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1</v>
      </c>
      <c r="J91">
        <f>IFERROR(VLOOKUP(A91,库龄!B:K,9,0),0)</f>
        <v>1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1</v>
      </c>
    </row>
    <row r="92" spans="1:14">
      <c r="A92" s="3" t="s">
        <v>361</v>
      </c>
      <c r="B92">
        <f>IFERROR(VLOOKUP(A92,管理亚马逊库存!A:K,11,0),"")</f>
        <v>45</v>
      </c>
      <c r="C92">
        <f>IFERROR(VLOOKUP(A92,管理亚马逊库存!A:L,12,0),"")</f>
        <v>3</v>
      </c>
      <c r="D92">
        <f>IFERROR(VLOOKUP(A92,管理亚马逊库存!A:Q,17,0),"")</f>
        <v>0</v>
      </c>
      <c r="E92">
        <f>IFERROR(VLOOKUP(A92,管理亚马逊库存!A:R,18,0),"")</f>
        <v>20</v>
      </c>
      <c r="F92">
        <f t="shared" si="3"/>
        <v>20</v>
      </c>
      <c r="G92">
        <f>IFERROR(VLOOKUP(A92,预留库存!A:G,7,0),0)</f>
        <v>0</v>
      </c>
      <c r="H92">
        <f>IFERROR(VLOOKUP(A92,预留库存!A:H,8,0),0)</f>
        <v>3</v>
      </c>
      <c r="I92">
        <f>IFERROR(VLOOKUP(A92,预留库存!A:F,6,0),0)</f>
        <v>1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365</v>
      </c>
      <c r="B93">
        <f>IFERROR(VLOOKUP(A93,管理亚马逊库存!A:K,11,0),"")</f>
        <v>10</v>
      </c>
      <c r="C93">
        <f>IFERROR(VLOOKUP(A93,管理亚马逊库存!A:L,12,0),"")</f>
        <v>1</v>
      </c>
      <c r="D93">
        <f>IFERROR(VLOOKUP(A93,管理亚马逊库存!A:Q,17,0),"")</f>
        <v>6</v>
      </c>
      <c r="E93">
        <f>IFERROR(VLOOKUP(A93,管理亚马逊库存!A:R,18,0),"")</f>
        <v>0</v>
      </c>
      <c r="F93">
        <f t="shared" si="3"/>
        <v>6</v>
      </c>
      <c r="G93">
        <f>IFERROR(VLOOKUP(A93,预留库存!A:G,7,0),0)</f>
        <v>1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368</v>
      </c>
      <c r="B94">
        <f>IFERROR(VLOOKUP(A94,管理亚马逊库存!A:K,11,0),"")</f>
        <v>4</v>
      </c>
      <c r="C94">
        <f>IFERROR(VLOOKUP(A94,管理亚马逊库存!A:L,12,0),"")</f>
        <v>5</v>
      </c>
      <c r="D94">
        <f>IFERROR(VLOOKUP(A94,管理亚马逊库存!A:Q,17,0),"")</f>
        <v>28</v>
      </c>
      <c r="E94">
        <f>IFERROR(VLOOKUP(A94,管理亚马逊库存!A:R,18,0),"")</f>
        <v>0</v>
      </c>
      <c r="F94">
        <f t="shared" si="3"/>
        <v>28</v>
      </c>
      <c r="G94">
        <f>IFERROR(VLOOKUP(A94,预留库存!A:G,7,0),0)</f>
        <v>0</v>
      </c>
      <c r="H94">
        <f>IFERROR(VLOOKUP(A94,预留库存!A:H,8,0),0)</f>
        <v>1</v>
      </c>
      <c r="I94">
        <f>IFERROR(VLOOKUP(A94,预留库存!A:F,6,0),0)</f>
        <v>1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371</v>
      </c>
      <c r="B95">
        <f>IFERROR(VLOOKUP(A95,管理亚马逊库存!A:K,11,0),"")</f>
        <v>125</v>
      </c>
      <c r="C95">
        <f>IFERROR(VLOOKUP(A95,管理亚马逊库存!A:L,12,0),"")</f>
        <v>6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1</v>
      </c>
      <c r="I95">
        <f>IFERROR(VLOOKUP(A95,预留库存!A:F,6,0),0)</f>
        <v>1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375</v>
      </c>
      <c r="B96">
        <f>IFERROR(VLOOKUP(A96,管理亚马逊库存!A:K,11,0),"")</f>
        <v>78</v>
      </c>
      <c r="C96">
        <f>IFERROR(VLOOKUP(A96,管理亚马逊库存!A:L,12,0),"")</f>
        <v>9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5</v>
      </c>
      <c r="H96">
        <f>IFERROR(VLOOKUP(A96,预留库存!A:H,8,0),0)</f>
        <v>6</v>
      </c>
      <c r="I96">
        <f>IFERROR(VLOOKUP(A96,预留库存!A:F,6,0),0)</f>
        <v>3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379</v>
      </c>
      <c r="B97">
        <f>IFERROR(VLOOKUP(A97,管理亚马逊库存!A:K,11,0),"")</f>
        <v>43</v>
      </c>
      <c r="C97">
        <f>IFERROR(VLOOKUP(A97,管理亚马逊库存!A:L,12,0),"")</f>
        <v>6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3</v>
      </c>
      <c r="H97">
        <f>IFERROR(VLOOKUP(A97,预留库存!A:H,8,0),0)</f>
        <v>1</v>
      </c>
      <c r="I97">
        <f>IFERROR(VLOOKUP(A97,预留库存!A:F,6,0),0)</f>
        <v>1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383</v>
      </c>
      <c r="B98">
        <f>IFERROR(VLOOKUP(A98,管理亚马逊库存!A:K,11,0),"")</f>
        <v>0</v>
      </c>
      <c r="C98">
        <f>IFERROR(VLOOKUP(A98,管理亚马逊库存!A:L,12,0),"")</f>
        <v>6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8</v>
      </c>
      <c r="I98">
        <f>IFERROR(VLOOKUP(A98,预留库存!A:F,6,0),0)</f>
        <v>4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387</v>
      </c>
      <c r="B99">
        <f>IFERROR(VLOOKUP(A99,管理亚马逊库存!A:K,11,0),"")</f>
        <v>17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2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391</v>
      </c>
      <c r="B100">
        <f>IFERROR(VLOOKUP(A100,管理亚马逊库存!A:K,11,0),"")</f>
        <v>16</v>
      </c>
      <c r="C100">
        <f>IFERROR(VLOOKUP(A100,管理亚马逊库存!A:L,12,0),"")</f>
        <v>4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1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395</v>
      </c>
      <c r="B101">
        <f>IFERROR(VLOOKUP(A101,管理亚马逊库存!A:K,11,0),"")</f>
        <v>20</v>
      </c>
      <c r="C101">
        <f>IFERROR(VLOOKUP(A101,管理亚马逊库存!A:L,12,0),"")</f>
        <v>2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1</v>
      </c>
      <c r="H101">
        <f>IFERROR(VLOOKUP(A101,预留库存!A:H,8,0),0)</f>
        <v>0</v>
      </c>
      <c r="I101">
        <f>IFERROR(VLOOKUP(A101,预留库存!A:F,6,0),0)</f>
        <v>1</v>
      </c>
      <c r="J101">
        <f>IFERROR(VLOOKUP(A101,库龄!B:K,9,0),0)</f>
        <v>1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1</v>
      </c>
    </row>
    <row r="102" spans="1:14">
      <c r="A102" s="3" t="s">
        <v>399</v>
      </c>
      <c r="B102">
        <f>IFERROR(VLOOKUP(A102,管理亚马逊库存!A:K,11,0),"")</f>
        <v>98</v>
      </c>
      <c r="C102">
        <f>IFERROR(VLOOKUP(A102,管理亚马逊库存!A:L,12,0),"")</f>
        <v>4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1</v>
      </c>
      <c r="H102">
        <f>IFERROR(VLOOKUP(A102,预留库存!A:H,8,0),0)</f>
        <v>1</v>
      </c>
      <c r="I102">
        <f>IFERROR(VLOOKUP(A102,预留库存!A:F,6,0),0)</f>
        <v>2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403</v>
      </c>
      <c r="B103">
        <f>IFERROR(VLOOKUP(A103,管理亚马逊库存!A:K,11,0),"")</f>
        <v>6</v>
      </c>
      <c r="C103">
        <f>IFERROR(VLOOKUP(A103,管理亚马逊库存!A:L,12,0),"")</f>
        <v>6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3</v>
      </c>
      <c r="H103">
        <f>IFERROR(VLOOKUP(A103,预留库存!A:H,8,0),0)</f>
        <v>5</v>
      </c>
      <c r="I103">
        <f>IFERROR(VLOOKUP(A103,预留库存!A:F,6,0),0)</f>
        <v>3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407</v>
      </c>
      <c r="B104">
        <f>IFERROR(VLOOKUP(A104,管理亚马逊库存!A:K,11,0),"")</f>
        <v>43</v>
      </c>
      <c r="C104">
        <f>IFERROR(VLOOKUP(A104,管理亚马逊库存!A:L,12,0),"")</f>
        <v>2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3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411</v>
      </c>
      <c r="B105">
        <f>IFERROR(VLOOKUP(A105,管理亚马逊库存!A:K,11,0),"")</f>
        <v>1</v>
      </c>
      <c r="C105">
        <f>IFERROR(VLOOKUP(A105,管理亚马逊库存!A:L,12,0),"")</f>
        <v>1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1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415</v>
      </c>
      <c r="B106">
        <f>IFERROR(VLOOKUP(A106,管理亚马逊库存!A:K,11,0),"")</f>
        <v>130</v>
      </c>
      <c r="C106">
        <f>IFERROR(VLOOKUP(A106,管理亚马逊库存!A:L,12,0),"")</f>
        <v>9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2</v>
      </c>
      <c r="H106">
        <f>IFERROR(VLOOKUP(A106,预留库存!A:H,8,0),0)</f>
        <v>3</v>
      </c>
      <c r="I106">
        <f>IFERROR(VLOOKUP(A106,预留库存!A:F,6,0),0)</f>
        <v>3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419</v>
      </c>
      <c r="B107">
        <f>IFERROR(VLOOKUP(A107,管理亚马逊库存!A:K,11,0),"")</f>
        <v>0</v>
      </c>
      <c r="C107">
        <f>IFERROR(VLOOKUP(A107,管理亚马逊库存!A:L,12,0),"")</f>
        <v>2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1</v>
      </c>
      <c r="I107">
        <f>IFERROR(VLOOKUP(A107,预留库存!A:F,6,0),0)</f>
        <v>1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423</v>
      </c>
      <c r="B108">
        <f>IFERROR(VLOOKUP(A108,管理亚马逊库存!A:K,11,0),"")</f>
        <v>4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1</v>
      </c>
      <c r="I108">
        <f>IFERROR(VLOOKUP(A108,预留库存!A:F,6,0),0)</f>
        <v>0</v>
      </c>
      <c r="J108">
        <f>IFERROR(VLOOKUP(A108,库龄!B:K,9,0),0)</f>
        <v>13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13</v>
      </c>
    </row>
    <row r="109" spans="1:14">
      <c r="A109" s="3" t="s">
        <v>427</v>
      </c>
      <c r="B109">
        <f>IFERROR(VLOOKUP(A109,管理亚马逊库存!A:K,11,0),"")</f>
        <v>0</v>
      </c>
      <c r="C109">
        <f>IFERROR(VLOOKUP(A109,管理亚马逊库存!A:L,12,0),"")</f>
        <v>5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4</v>
      </c>
      <c r="I109">
        <f>IFERROR(VLOOKUP(A109,预留库存!A:F,6,0),0)</f>
        <v>2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431</v>
      </c>
      <c r="B110">
        <f>IFERROR(VLOOKUP(A110,管理亚马逊库存!A:K,11,0),"")</f>
        <v>0</v>
      </c>
      <c r="C110">
        <f>IFERROR(VLOOKUP(A110,管理亚马逊库存!A:L,12,0),"")</f>
        <v>2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2</v>
      </c>
      <c r="I110">
        <f>IFERROR(VLOOKUP(A110,预留库存!A:F,6,0),0)</f>
        <v>1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435</v>
      </c>
      <c r="B111">
        <f>IFERROR(VLOOKUP(A111,管理亚马逊库存!A:K,11,0),"")</f>
        <v>0</v>
      </c>
      <c r="C111">
        <f>IFERROR(VLOOKUP(A111,管理亚马逊库存!A:L,12,0),"")</f>
        <v>2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2</v>
      </c>
      <c r="I111">
        <f>IFERROR(VLOOKUP(A111,预留库存!A:F,6,0),0)</f>
        <v>2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439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2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443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1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447</v>
      </c>
      <c r="B114">
        <f>IFERROR(VLOOKUP(A114,管理亚马逊库存!A:K,11,0),"")</f>
        <v>31</v>
      </c>
      <c r="C114">
        <f>IFERROR(VLOOKUP(A114,管理亚马逊库存!A:L,12,0),"")</f>
        <v>10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4</v>
      </c>
      <c r="H114">
        <f>IFERROR(VLOOKUP(A114,预留库存!A:H,8,0),0)</f>
        <v>7</v>
      </c>
      <c r="I114">
        <f>IFERROR(VLOOKUP(A114,预留库存!A:F,6,0),0)</f>
        <v>5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451</v>
      </c>
      <c r="B115">
        <f>IFERROR(VLOOKUP(A115,管理亚马逊库存!A:K,11,0),"")</f>
        <v>72</v>
      </c>
      <c r="C115">
        <f>IFERROR(VLOOKUP(A115,管理亚马逊库存!A:L,12,0),"")</f>
        <v>8</v>
      </c>
      <c r="D115">
        <f>IFERROR(VLOOKUP(A115,管理亚马逊库存!A:Q,17,0),"")</f>
        <v>0</v>
      </c>
      <c r="E115">
        <f>IFERROR(VLOOKUP(A115,管理亚马逊库存!A:R,18,0),"")</f>
        <v>21</v>
      </c>
      <c r="F115">
        <f t="shared" si="3"/>
        <v>21</v>
      </c>
      <c r="G115">
        <f>IFERROR(VLOOKUP(A115,预留库存!A:G,7,0),0)</f>
        <v>2</v>
      </c>
      <c r="H115">
        <f>IFERROR(VLOOKUP(A115,预留库存!A:H,8,0),0)</f>
        <v>2</v>
      </c>
      <c r="I115">
        <f>IFERROR(VLOOKUP(A115,预留库存!A:F,6,0),0)</f>
        <v>3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455</v>
      </c>
      <c r="B116">
        <f>IFERROR(VLOOKUP(A116,管理亚马逊库存!A:K,11,0),"")</f>
        <v>58</v>
      </c>
      <c r="C116">
        <f>IFERROR(VLOOKUP(A116,管理亚马逊库存!A:L,12,0),"")</f>
        <v>11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2</v>
      </c>
      <c r="H116">
        <f>IFERROR(VLOOKUP(A116,预留库存!A:H,8,0),0)</f>
        <v>3</v>
      </c>
      <c r="I116">
        <f>IFERROR(VLOOKUP(A116,预留库存!A:F,6,0),0)</f>
        <v>2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459</v>
      </c>
      <c r="B117">
        <f>IFERROR(VLOOKUP(A117,管理亚马逊库存!A:K,11,0),"")</f>
        <v>0</v>
      </c>
      <c r="C117">
        <f>IFERROR(VLOOKUP(A117,管理亚马逊库存!A:L,12,0),"")</f>
        <v>3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1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463</v>
      </c>
      <c r="B118">
        <f>IFERROR(VLOOKUP(A118,管理亚马逊库存!A:K,11,0),"")</f>
        <v>10</v>
      </c>
      <c r="C118">
        <f>IFERROR(VLOOKUP(A118,管理亚马逊库存!A:L,12,0),"")</f>
        <v>2</v>
      </c>
      <c r="D118">
        <f>IFERROR(VLOOKUP(A118,管理亚马逊库存!A:Q,17,0),"")</f>
        <v>5</v>
      </c>
      <c r="E118">
        <f>IFERROR(VLOOKUP(A118,管理亚马逊库存!A:R,18,0),"")</f>
        <v>0</v>
      </c>
      <c r="F118">
        <f t="shared" si="3"/>
        <v>5</v>
      </c>
      <c r="G118">
        <f>IFERROR(VLOOKUP(A118,预留库存!A:G,7,0),0)</f>
        <v>0</v>
      </c>
      <c r="H118">
        <f>IFERROR(VLOOKUP(A118,预留库存!A:H,8,0),0)</f>
        <v>2</v>
      </c>
      <c r="I118">
        <f>IFERROR(VLOOKUP(A118,预留库存!A:F,6,0),0)</f>
        <v>1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467</v>
      </c>
      <c r="B119">
        <f>IFERROR(VLOOKUP(A119,管理亚马逊库存!A:K,11,0),"")</f>
        <v>18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1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471</v>
      </c>
      <c r="B120">
        <f>IFERROR(VLOOKUP(A120,管理亚马逊库存!A:K,11,0),"")</f>
        <v>21</v>
      </c>
      <c r="C120">
        <f>IFERROR(VLOOKUP(A120,管理亚马逊库存!A:L,12,0),"")</f>
        <v>8</v>
      </c>
      <c r="D120">
        <f>IFERROR(VLOOKUP(A120,管理亚马逊库存!A:Q,17,0),"")</f>
        <v>0</v>
      </c>
      <c r="E120">
        <f>IFERROR(VLOOKUP(A120,管理亚马逊库存!A:R,18,0),"")</f>
        <v>24</v>
      </c>
      <c r="F120">
        <f t="shared" si="3"/>
        <v>24</v>
      </c>
      <c r="G120">
        <f>IFERROR(VLOOKUP(A120,预留库存!A:G,7,0),0)</f>
        <v>1</v>
      </c>
      <c r="H120">
        <f>IFERROR(VLOOKUP(A120,预留库存!A:H,8,0),0)</f>
        <v>3</v>
      </c>
      <c r="I120">
        <f>IFERROR(VLOOKUP(A120,预留库存!A:F,6,0),0)</f>
        <v>1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475</v>
      </c>
      <c r="B121">
        <f>IFERROR(VLOOKUP(A121,管理亚马逊库存!A:K,11,0),"")</f>
        <v>0</v>
      </c>
      <c r="C121">
        <f>IFERROR(VLOOKUP(A121,管理亚马逊库存!A:L,12,0),"")</f>
        <v>14</v>
      </c>
      <c r="D121">
        <f>IFERROR(VLOOKUP(A121,管理亚马逊库存!A:Q,17,0),"")</f>
        <v>0</v>
      </c>
      <c r="E121">
        <f>IFERROR(VLOOKUP(A121,管理亚马逊库存!A:R,18,0),"")</f>
        <v>1</v>
      </c>
      <c r="F121">
        <f t="shared" si="3"/>
        <v>1</v>
      </c>
      <c r="G121">
        <f>IFERROR(VLOOKUP(A121,预留库存!A:G,7,0),0)</f>
        <v>8</v>
      </c>
      <c r="H121">
        <f>IFERROR(VLOOKUP(A121,预留库存!A:H,8,0),0)</f>
        <v>9</v>
      </c>
      <c r="I121">
        <f>IFERROR(VLOOKUP(A121,预留库存!A:F,6,0),0)</f>
        <v>5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479</v>
      </c>
      <c r="B122">
        <f>IFERROR(VLOOKUP(A122,管理亚马逊库存!A:K,11,0),"")</f>
        <v>68</v>
      </c>
      <c r="C122">
        <f>IFERROR(VLOOKUP(A122,管理亚马逊库存!A:L,12,0),"")</f>
        <v>6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2</v>
      </c>
      <c r="H122">
        <f>IFERROR(VLOOKUP(A122,预留库存!A:H,8,0),0)</f>
        <v>1</v>
      </c>
      <c r="I122">
        <f>IFERROR(VLOOKUP(A122,预留库存!A:F,6,0),0)</f>
        <v>3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483</v>
      </c>
      <c r="B123">
        <f>IFERROR(VLOOKUP(A123,管理亚马逊库存!A:K,11,0),"")</f>
        <v>32</v>
      </c>
      <c r="C123">
        <f>IFERROR(VLOOKUP(A123,管理亚马逊库存!A:L,12,0),"")</f>
        <v>7</v>
      </c>
      <c r="D123">
        <f>IFERROR(VLOOKUP(A123,管理亚马逊库存!A:Q,17,0),"")</f>
        <v>0</v>
      </c>
      <c r="E123">
        <f>IFERROR(VLOOKUP(A123,管理亚马逊库存!A:R,18,0),"")</f>
        <v>1</v>
      </c>
      <c r="F123">
        <f t="shared" si="3"/>
        <v>1</v>
      </c>
      <c r="G123">
        <f>IFERROR(VLOOKUP(A123,预留库存!A:G,7,0),0)</f>
        <v>6</v>
      </c>
      <c r="H123">
        <f>IFERROR(VLOOKUP(A123,预留库存!A:H,8,0),0)</f>
        <v>8</v>
      </c>
      <c r="I123">
        <f>IFERROR(VLOOKUP(A123,预留库存!A:F,6,0),0)</f>
        <v>10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487</v>
      </c>
      <c r="B124">
        <f>IFERROR(VLOOKUP(A124,管理亚马逊库存!A:K,11,0),"")</f>
        <v>16</v>
      </c>
      <c r="C124">
        <f>IFERROR(VLOOKUP(A124,管理亚马逊库存!A:L,12,0),"")</f>
        <v>1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2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491</v>
      </c>
      <c r="B125">
        <f>IFERROR(VLOOKUP(A125,管理亚马逊库存!A:K,11,0),"")</f>
        <v>35</v>
      </c>
      <c r="C125">
        <f>IFERROR(VLOOKUP(A125,管理亚马逊库存!A:L,12,0),"")</f>
        <v>1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1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495</v>
      </c>
      <c r="B126">
        <f>IFERROR(VLOOKUP(A126,管理亚马逊库存!A:K,11,0),"")</f>
        <v>62</v>
      </c>
      <c r="C126">
        <f>IFERROR(VLOOKUP(A126,管理亚马逊库存!A:L,12,0),"")</f>
        <v>13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64</v>
      </c>
      <c r="H126">
        <f>IFERROR(VLOOKUP(A126,预留库存!A:H,8,0),0)</f>
        <v>11</v>
      </c>
      <c r="I126">
        <f>IFERROR(VLOOKUP(A126,预留库存!A:F,6,0),0)</f>
        <v>6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499</v>
      </c>
      <c r="B127">
        <f>IFERROR(VLOOKUP(A127,管理亚马逊库存!A:K,11,0),"")</f>
        <v>137</v>
      </c>
      <c r="C127">
        <f>IFERROR(VLOOKUP(A127,管理亚马逊库存!A:L,12,0),"")</f>
        <v>9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3</v>
      </c>
      <c r="H127">
        <f>IFERROR(VLOOKUP(A127,预留库存!A:H,8,0),0)</f>
        <v>0</v>
      </c>
      <c r="I127">
        <f>IFERROR(VLOOKUP(A127,预留库存!A:F,6,0),0)</f>
        <v>4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503</v>
      </c>
      <c r="B128">
        <f>IFERROR(VLOOKUP(A128,管理亚马逊库存!A:K,11,0),"")</f>
        <v>2</v>
      </c>
      <c r="C128">
        <f>IFERROR(VLOOKUP(A128,管理亚马逊库存!A:L,12,0),"")</f>
        <v>1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2</v>
      </c>
      <c r="I128">
        <f>IFERROR(VLOOKUP(A128,预留库存!A:F,6,0),0)</f>
        <v>1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507</v>
      </c>
      <c r="B129">
        <f>IFERROR(VLOOKUP(A129,管理亚马逊库存!A:K,11,0),"")</f>
        <v>16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2</v>
      </c>
      <c r="H129">
        <f>IFERROR(VLOOKUP(A129,预留库存!A:H,8,0),0)</f>
        <v>2</v>
      </c>
      <c r="I129">
        <f>IFERROR(VLOOKUP(A129,预留库存!A:F,6,0),0)</f>
        <v>4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511</v>
      </c>
      <c r="B130">
        <f>IFERROR(VLOOKUP(A130,管理亚马逊库存!A:K,11,0),"")</f>
        <v>85</v>
      </c>
      <c r="C130">
        <f>IFERROR(VLOOKUP(A130,管理亚马逊库存!A:L,12,0),"")</f>
        <v>3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1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515</v>
      </c>
      <c r="B131">
        <f>IFERROR(VLOOKUP(A131,管理亚马逊库存!A:K,11,0),"")</f>
        <v>117</v>
      </c>
      <c r="C131">
        <f>IFERROR(VLOOKUP(A131,管理亚马逊库存!A:L,12,0),"")</f>
        <v>9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2</v>
      </c>
      <c r="I131">
        <f>IFERROR(VLOOKUP(A131,预留库存!A:F,6,0),0)</f>
        <v>1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519</v>
      </c>
      <c r="B132">
        <f>IFERROR(VLOOKUP(A132,管理亚马逊库存!A:K,11,0),"")</f>
        <v>72</v>
      </c>
      <c r="C132">
        <f>IFERROR(VLOOKUP(A132,管理亚马逊库存!A:L,12,0),"")</f>
        <v>6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1</v>
      </c>
      <c r="H132">
        <f>IFERROR(VLOOKUP(A132,预留库存!A:H,8,0),0)</f>
        <v>4</v>
      </c>
      <c r="I132">
        <f>IFERROR(VLOOKUP(A132,预留库存!A:F,6,0),0)</f>
        <v>2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523</v>
      </c>
      <c r="B133">
        <f>IFERROR(VLOOKUP(A133,管理亚马逊库存!A:K,11,0),"")</f>
        <v>85</v>
      </c>
      <c r="C133">
        <f>IFERROR(VLOOKUP(A133,管理亚马逊库存!A:L,12,0),"")</f>
        <v>12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3</v>
      </c>
      <c r="H133">
        <f>IFERROR(VLOOKUP(A133,预留库存!A:H,8,0),0)</f>
        <v>5</v>
      </c>
      <c r="I133">
        <f>IFERROR(VLOOKUP(A133,预留库存!A:F,6,0),0)</f>
        <v>3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527</v>
      </c>
      <c r="B134">
        <f>IFERROR(VLOOKUP(A134,管理亚马逊库存!A:K,11,0),"")</f>
        <v>45</v>
      </c>
      <c r="C134">
        <f>IFERROR(VLOOKUP(A134,管理亚马逊库存!A:L,12,0),"")</f>
        <v>3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2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531</v>
      </c>
      <c r="B135">
        <f>IFERROR(VLOOKUP(A135,管理亚马逊库存!A:K,11,0),"")</f>
        <v>18</v>
      </c>
      <c r="C135">
        <f>IFERROR(VLOOKUP(A135,管理亚马逊库存!A:L,12,0),"")</f>
        <v>2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1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535</v>
      </c>
      <c r="B136">
        <f>IFERROR(VLOOKUP(A136,管理亚马逊库存!A:K,11,0),"")</f>
        <v>157</v>
      </c>
      <c r="C136">
        <f>IFERROR(VLOOKUP(A136,管理亚马逊库存!A:L,12,0),"")</f>
        <v>20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2</v>
      </c>
      <c r="H136">
        <f>IFERROR(VLOOKUP(A136,预留库存!A:H,8,0),0)</f>
        <v>2</v>
      </c>
      <c r="I136">
        <f>IFERROR(VLOOKUP(A136,预留库存!A:F,6,0),0)</f>
        <v>1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539</v>
      </c>
      <c r="B137">
        <f>IFERROR(VLOOKUP(A137,管理亚马逊库存!A:K,11,0),"")</f>
        <v>62</v>
      </c>
      <c r="C137">
        <f>IFERROR(VLOOKUP(A137,管理亚马逊库存!A:L,12,0),"")</f>
        <v>2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1</v>
      </c>
      <c r="H137">
        <f>IFERROR(VLOOKUP(A137,预留库存!A:H,8,0),0)</f>
        <v>2</v>
      </c>
      <c r="I137">
        <f>IFERROR(VLOOKUP(A137,预留库存!A:F,6,0),0)</f>
        <v>1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543</v>
      </c>
      <c r="B138">
        <f>IFERROR(VLOOKUP(A138,管理亚马逊库存!A:K,11,0),"")</f>
        <v>55</v>
      </c>
      <c r="C138">
        <f>IFERROR(VLOOKUP(A138,管理亚马逊库存!A:L,12,0),"")</f>
        <v>3</v>
      </c>
      <c r="D138">
        <f>IFERROR(VLOOKUP(A138,管理亚马逊库存!A:Q,17,0),"")</f>
        <v>0</v>
      </c>
      <c r="E138">
        <f>IFERROR(VLOOKUP(A138,管理亚马逊库存!A:R,18,0),"")</f>
        <v>9</v>
      </c>
      <c r="F138">
        <f t="shared" si="5"/>
        <v>9</v>
      </c>
      <c r="G138">
        <f>IFERROR(VLOOKUP(A138,预留库存!A:G,7,0),0)</f>
        <v>0</v>
      </c>
      <c r="H138">
        <f>IFERROR(VLOOKUP(A138,预留库存!A:H,8,0),0)</f>
        <v>2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547</v>
      </c>
      <c r="B139">
        <f>IFERROR(VLOOKUP(A139,管理亚马逊库存!A:K,11,0),"")</f>
        <v>48</v>
      </c>
      <c r="C139">
        <f>IFERROR(VLOOKUP(A139,管理亚马逊库存!A:L,12,0),"")</f>
        <v>2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2</v>
      </c>
      <c r="I139">
        <f>IFERROR(VLOOKUP(A139,预留库存!A:F,6,0),0)</f>
        <v>1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551</v>
      </c>
      <c r="B140">
        <f>IFERROR(VLOOKUP(A140,管理亚马逊库存!A:K,11,0),"")</f>
        <v>5</v>
      </c>
      <c r="C140">
        <f>IFERROR(VLOOKUP(A140,管理亚马逊库存!A:L,12,0),"")</f>
        <v>0</v>
      </c>
      <c r="D140">
        <f>IFERROR(VLOOKUP(A140,管理亚马逊库存!A:Q,17,0),"")</f>
        <v>5</v>
      </c>
      <c r="E140">
        <f>IFERROR(VLOOKUP(A140,管理亚马逊库存!A:R,18,0),"")</f>
        <v>0</v>
      </c>
      <c r="F140">
        <f t="shared" si="5"/>
        <v>5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1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555</v>
      </c>
      <c r="B141">
        <f>IFERROR(VLOOKUP(A141,管理亚马逊库存!A:K,11,0),"")</f>
        <v>23</v>
      </c>
      <c r="C141">
        <f>IFERROR(VLOOKUP(A141,管理亚马逊库存!A:L,12,0),"")</f>
        <v>5</v>
      </c>
      <c r="D141">
        <f>IFERROR(VLOOKUP(A141,管理亚马逊库存!A:Q,17,0),"")</f>
        <v>21</v>
      </c>
      <c r="E141">
        <f>IFERROR(VLOOKUP(A141,管理亚马逊库存!A:R,18,0),"")</f>
        <v>0</v>
      </c>
      <c r="F141">
        <f t="shared" si="5"/>
        <v>21</v>
      </c>
      <c r="G141">
        <f>IFERROR(VLOOKUP(A141,预留库存!A:G,7,0),0)</f>
        <v>0</v>
      </c>
      <c r="H141">
        <f>IFERROR(VLOOKUP(A141,预留库存!A:H,8,0),0)</f>
        <v>1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559</v>
      </c>
      <c r="B142">
        <f>IFERROR(VLOOKUP(A142,管理亚马逊库存!A:K,11,0),"")</f>
        <v>41</v>
      </c>
      <c r="C142">
        <f>IFERROR(VLOOKUP(A142,管理亚马逊库存!A:L,12,0),"")</f>
        <v>5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1</v>
      </c>
      <c r="H142">
        <f>IFERROR(VLOOKUP(A142,预留库存!A:H,8,0),0)</f>
        <v>3</v>
      </c>
      <c r="I142">
        <f>IFERROR(VLOOKUP(A142,预留库存!A:F,6,0),0)</f>
        <v>1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563</v>
      </c>
      <c r="B143">
        <f>IFERROR(VLOOKUP(A143,管理亚马逊库存!A:K,11,0),"")</f>
        <v>15</v>
      </c>
      <c r="C143">
        <f>IFERROR(VLOOKUP(A143,管理亚马逊库存!A:L,12,0),"")</f>
        <v>5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2</v>
      </c>
      <c r="H143">
        <f>IFERROR(VLOOKUP(A143,预留库存!A:H,8,0),0)</f>
        <v>1</v>
      </c>
      <c r="I143">
        <f>IFERROR(VLOOKUP(A143,预留库存!A:F,6,0),0)</f>
        <v>5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567</v>
      </c>
      <c r="B144">
        <f>IFERROR(VLOOKUP(A144,管理亚马逊库存!A:K,11,0),"")</f>
        <v>130</v>
      </c>
      <c r="C144">
        <f>IFERROR(VLOOKUP(A144,管理亚马逊库存!A:L,12,0),"")</f>
        <v>7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1</v>
      </c>
      <c r="H144">
        <f>IFERROR(VLOOKUP(A144,预留库存!A:H,8,0),0)</f>
        <v>4</v>
      </c>
      <c r="I144">
        <f>IFERROR(VLOOKUP(A144,预留库存!A:F,6,0),0)</f>
        <v>2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571</v>
      </c>
      <c r="B145">
        <f>IFERROR(VLOOKUP(A145,管理亚马逊库存!A:K,11,0),"")</f>
        <v>63</v>
      </c>
      <c r="C145">
        <f>IFERROR(VLOOKUP(A145,管理亚马逊库存!A:L,12,0),"")</f>
        <v>4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2</v>
      </c>
      <c r="H145">
        <f>IFERROR(VLOOKUP(A145,预留库存!A:H,8,0),0)</f>
        <v>0</v>
      </c>
      <c r="I145">
        <f>IFERROR(VLOOKUP(A145,预留库存!A:F,6,0),0)</f>
        <v>3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575</v>
      </c>
      <c r="B146">
        <f>IFERROR(VLOOKUP(A146,管理亚马逊库存!A:K,11,0),"")</f>
        <v>41</v>
      </c>
      <c r="C146">
        <f>IFERROR(VLOOKUP(A146,管理亚马逊库存!A:L,12,0),"")</f>
        <v>4</v>
      </c>
      <c r="D146">
        <f>IFERROR(VLOOKUP(A146,管理亚马逊库存!A:Q,17,0),"")</f>
        <v>0</v>
      </c>
      <c r="E146">
        <f>IFERROR(VLOOKUP(A146,管理亚马逊库存!A:R,18,0),"")</f>
        <v>50</v>
      </c>
      <c r="F146">
        <f t="shared" si="5"/>
        <v>50</v>
      </c>
      <c r="G146">
        <f>IFERROR(VLOOKUP(A146,预留库存!A:G,7,0),0)</f>
        <v>2</v>
      </c>
      <c r="H146">
        <f>IFERROR(VLOOKUP(A146,预留库存!A:H,8,0),0)</f>
        <v>2</v>
      </c>
      <c r="I146">
        <f>IFERROR(VLOOKUP(A146,预留库存!A:F,6,0),0)</f>
        <v>2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579</v>
      </c>
      <c r="B147">
        <f>IFERROR(VLOOKUP(A147,管理亚马逊库存!A:K,11,0),"")</f>
        <v>41</v>
      </c>
      <c r="C147">
        <f>IFERROR(VLOOKUP(A147,管理亚马逊库存!A:L,12,0),"")</f>
        <v>4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4</v>
      </c>
      <c r="I147">
        <f>IFERROR(VLOOKUP(A147,预留库存!A:F,6,0),0)</f>
        <v>1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583</v>
      </c>
      <c r="B148">
        <f>IFERROR(VLOOKUP(A148,管理亚马逊库存!A:K,11,0),"")</f>
        <v>32</v>
      </c>
      <c r="C148">
        <f>IFERROR(VLOOKUP(A148,管理亚马逊库存!A:L,12,0),"")</f>
        <v>1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1</v>
      </c>
      <c r="H148">
        <f>IFERROR(VLOOKUP(A148,预留库存!A:H,8,0),0)</f>
        <v>0</v>
      </c>
      <c r="I148">
        <f>IFERROR(VLOOKUP(A148,预留库存!A:F,6,0),0)</f>
        <v>1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587</v>
      </c>
      <c r="B149">
        <f>IFERROR(VLOOKUP(A149,管理亚马逊库存!A:K,11,0),"")</f>
        <v>28</v>
      </c>
      <c r="C149">
        <f>IFERROR(VLOOKUP(A149,管理亚马逊库存!A:L,12,0),"")</f>
        <v>3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1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591</v>
      </c>
      <c r="B150">
        <f>IFERROR(VLOOKUP(A150,管理亚马逊库存!A:K,11,0),"")</f>
        <v>82</v>
      </c>
      <c r="C150">
        <f>IFERROR(VLOOKUP(A150,管理亚马逊库存!A:L,12,0),"")</f>
        <v>8</v>
      </c>
      <c r="D150">
        <f>IFERROR(VLOOKUP(A150,管理亚马逊库存!A:Q,17,0),"")</f>
        <v>0</v>
      </c>
      <c r="E150">
        <f>IFERROR(VLOOKUP(A150,管理亚马逊库存!A:R,18,0),"")</f>
        <v>2</v>
      </c>
      <c r="F150">
        <f t="shared" si="5"/>
        <v>2</v>
      </c>
      <c r="G150">
        <f>IFERROR(VLOOKUP(A150,预留库存!A:G,7,0),0)</f>
        <v>0</v>
      </c>
      <c r="H150">
        <f>IFERROR(VLOOKUP(A150,预留库存!A:H,8,0),0)</f>
        <v>2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595</v>
      </c>
      <c r="B151">
        <f>IFERROR(VLOOKUP(A151,管理亚马逊库存!A:K,11,0),"")</f>
        <v>7</v>
      </c>
      <c r="C151">
        <f>IFERROR(VLOOKUP(A151,管理亚马逊库存!A:L,12,0),"")</f>
        <v>1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1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599</v>
      </c>
      <c r="B152">
        <f>IFERROR(VLOOKUP(A152,管理亚马逊库存!A:K,11,0),"")</f>
        <v>53</v>
      </c>
      <c r="C152">
        <f>IFERROR(VLOOKUP(A152,管理亚马逊库存!A:L,12,0),"")</f>
        <v>3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1</v>
      </c>
      <c r="H152">
        <f>IFERROR(VLOOKUP(A152,预留库存!A:H,8,0),0)</f>
        <v>1</v>
      </c>
      <c r="I152">
        <f>IFERROR(VLOOKUP(A152,预留库存!A:F,6,0),0)</f>
        <v>1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603</v>
      </c>
      <c r="B153">
        <f>IFERROR(VLOOKUP(A153,管理亚马逊库存!A:K,11,0),"")</f>
        <v>0</v>
      </c>
      <c r="C153">
        <f>IFERROR(VLOOKUP(A153,管理亚马逊库存!A:L,12,0),"")</f>
        <v>3</v>
      </c>
      <c r="D153">
        <f>IFERROR(VLOOKUP(A153,管理亚马逊库存!A:Q,17,0),"")</f>
        <v>10</v>
      </c>
      <c r="E153">
        <f>IFERROR(VLOOKUP(A153,管理亚马逊库存!A:R,18,0),"")</f>
        <v>5</v>
      </c>
      <c r="F153">
        <f t="shared" si="5"/>
        <v>15</v>
      </c>
      <c r="G153">
        <f>IFERROR(VLOOKUP(A153,预留库存!A:G,7,0),0)</f>
        <v>0</v>
      </c>
      <c r="H153">
        <f>IFERROR(VLOOKUP(A153,预留库存!A:H,8,0),0)</f>
        <v>1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607</v>
      </c>
      <c r="B154">
        <f>IFERROR(VLOOKUP(A154,管理亚马逊库存!A:K,11,0),"")</f>
        <v>16</v>
      </c>
      <c r="C154">
        <f>IFERROR(VLOOKUP(A154,管理亚马逊库存!A:L,12,0),"")</f>
        <v>3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1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611</v>
      </c>
      <c r="B155">
        <f>IFERROR(VLOOKUP(A155,管理亚马逊库存!A:K,11,0),"")</f>
        <v>48</v>
      </c>
      <c r="C155">
        <f>IFERROR(VLOOKUP(A155,管理亚马逊库存!A:L,12,0),"")</f>
        <v>4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1</v>
      </c>
      <c r="H155">
        <f>IFERROR(VLOOKUP(A155,预留库存!A:H,8,0),0)</f>
        <v>1</v>
      </c>
      <c r="I155">
        <f>IFERROR(VLOOKUP(A155,预留库存!A:F,6,0),0)</f>
        <v>4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615</v>
      </c>
      <c r="B156">
        <f>IFERROR(VLOOKUP(A156,管理亚马逊库存!A:K,11,0),"")</f>
        <v>25</v>
      </c>
      <c r="C156">
        <f>IFERROR(VLOOKUP(A156,管理亚马逊库存!A:L,12,0),"")</f>
        <v>1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1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619</v>
      </c>
      <c r="B157">
        <f>IFERROR(VLOOKUP(A157,管理亚马逊库存!A:K,11,0),"")</f>
        <v>22</v>
      </c>
      <c r="C157">
        <f>IFERROR(VLOOKUP(A157,管理亚马逊库存!A:L,12,0),"")</f>
        <v>4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1</v>
      </c>
      <c r="I157">
        <f>IFERROR(VLOOKUP(A157,预留库存!A:F,6,0),0)</f>
        <v>1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623</v>
      </c>
      <c r="B158">
        <f>IFERROR(VLOOKUP(A158,管理亚马逊库存!A:K,11,0),"")</f>
        <v>4</v>
      </c>
      <c r="C158">
        <f>IFERROR(VLOOKUP(A158,管理亚马逊库存!A:L,12,0),"")</f>
        <v>0</v>
      </c>
      <c r="D158">
        <f>IFERROR(VLOOKUP(A158,管理亚马逊库存!A:Q,17,0),"")</f>
        <v>5</v>
      </c>
      <c r="E158">
        <f>IFERROR(VLOOKUP(A158,管理亚马逊库存!A:R,18,0),"")</f>
        <v>0</v>
      </c>
      <c r="F158">
        <f t="shared" si="5"/>
        <v>5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1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627</v>
      </c>
      <c r="B159">
        <f>IFERROR(VLOOKUP(A159,管理亚马逊库存!A:K,11,0),"")</f>
        <v>180</v>
      </c>
      <c r="C159">
        <f>IFERROR(VLOOKUP(A159,管理亚马逊库存!A:L,12,0),"")</f>
        <v>8</v>
      </c>
      <c r="D159">
        <f>IFERROR(VLOOKUP(A159,管理亚马逊库存!A:Q,17,0),"")</f>
        <v>0</v>
      </c>
      <c r="E159">
        <f>IFERROR(VLOOKUP(A159,管理亚马逊库存!A:R,18,0),"")</f>
        <v>32</v>
      </c>
      <c r="F159">
        <f t="shared" si="5"/>
        <v>32</v>
      </c>
      <c r="G159">
        <f>IFERROR(VLOOKUP(A159,预留库存!A:G,7,0),0)</f>
        <v>1</v>
      </c>
      <c r="H159">
        <f>IFERROR(VLOOKUP(A159,预留库存!A:H,8,0),0)</f>
        <v>4</v>
      </c>
      <c r="I159">
        <f>IFERROR(VLOOKUP(A159,预留库存!A:F,6,0),0)</f>
        <v>2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631</v>
      </c>
      <c r="B160">
        <f>IFERROR(VLOOKUP(A160,管理亚马逊库存!A:K,11,0),"")</f>
        <v>105</v>
      </c>
      <c r="C160">
        <f>IFERROR(VLOOKUP(A160,管理亚马逊库存!A:L,12,0),"")</f>
        <v>8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2</v>
      </c>
      <c r="H160">
        <f>IFERROR(VLOOKUP(A160,预留库存!A:H,8,0),0)</f>
        <v>6</v>
      </c>
      <c r="I160">
        <f>IFERROR(VLOOKUP(A160,预留库存!A:F,6,0),0)</f>
        <v>5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635</v>
      </c>
      <c r="B161">
        <f>IFERROR(VLOOKUP(A161,管理亚马逊库存!A:K,11,0),"")</f>
        <v>8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1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639</v>
      </c>
      <c r="B162">
        <f>IFERROR(VLOOKUP(A162,管理亚马逊库存!A:K,11,0),"")</f>
        <v>7</v>
      </c>
      <c r="C162">
        <f>IFERROR(VLOOKUP(A162,管理亚马逊库存!A:L,12,0),"")</f>
        <v>1</v>
      </c>
      <c r="D162">
        <f>IFERROR(VLOOKUP(A162,管理亚马逊库存!A:Q,17,0),"")</f>
        <v>8</v>
      </c>
      <c r="E162">
        <f>IFERROR(VLOOKUP(A162,管理亚马逊库存!A:R,18,0),"")</f>
        <v>0</v>
      </c>
      <c r="F162">
        <f t="shared" si="5"/>
        <v>8</v>
      </c>
      <c r="G162">
        <f>IFERROR(VLOOKUP(A162,预留库存!A:G,7,0),0)</f>
        <v>1</v>
      </c>
      <c r="H162">
        <f>IFERROR(VLOOKUP(A162,预留库存!A:H,8,0),0)</f>
        <v>2</v>
      </c>
      <c r="I162">
        <f>IFERROR(VLOOKUP(A162,预留库存!A:F,6,0),0)</f>
        <v>1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643</v>
      </c>
      <c r="B163">
        <f>IFERROR(VLOOKUP(A163,管理亚马逊库存!A:K,11,0),"")</f>
        <v>24</v>
      </c>
      <c r="C163">
        <f>IFERROR(VLOOKUP(A163,管理亚马逊库存!A:L,12,0),"")</f>
        <v>2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1</v>
      </c>
      <c r="H163">
        <f>IFERROR(VLOOKUP(A163,预留库存!A:H,8,0),0)</f>
        <v>0</v>
      </c>
      <c r="I163">
        <f>IFERROR(VLOOKUP(A163,预留库存!A:F,6,0),0)</f>
        <v>1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647</v>
      </c>
      <c r="B164">
        <f>IFERROR(VLOOKUP(A164,管理亚马逊库存!A:K,11,0),"")</f>
        <v>126</v>
      </c>
      <c r="C164">
        <f>IFERROR(VLOOKUP(A164,管理亚马逊库存!A:L,12,0),"")</f>
        <v>7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3</v>
      </c>
      <c r="H164">
        <f>IFERROR(VLOOKUP(A164,预留库存!A:H,8,0),0)</f>
        <v>3</v>
      </c>
      <c r="I164">
        <f>IFERROR(VLOOKUP(A164,预留库存!A:F,6,0),0)</f>
        <v>4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651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2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655</v>
      </c>
      <c r="B166">
        <f>IFERROR(VLOOKUP(A166,管理亚马逊库存!A:K,11,0),"")</f>
        <v>25</v>
      </c>
      <c r="C166">
        <f>IFERROR(VLOOKUP(A166,管理亚马逊库存!A:L,12,0),"")</f>
        <v>3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1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659</v>
      </c>
      <c r="B167">
        <f>IFERROR(VLOOKUP(A167,管理亚马逊库存!A:K,11,0),"")</f>
        <v>26</v>
      </c>
      <c r="C167">
        <f>IFERROR(VLOOKUP(A167,管理亚马逊库存!A:L,12,0),"")</f>
        <v>1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1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663</v>
      </c>
      <c r="B168">
        <f>IFERROR(VLOOKUP(A168,管理亚马逊库存!A:K,11,0),"")</f>
        <v>12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20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667</v>
      </c>
      <c r="B169">
        <f>IFERROR(VLOOKUP(A169,管理亚马逊库存!A:K,11,0),"")</f>
        <v>12</v>
      </c>
      <c r="C169">
        <f>IFERROR(VLOOKUP(A169,管理亚马逊库存!A:L,12,0),"")</f>
        <v>2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49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671</v>
      </c>
      <c r="B170">
        <f>IFERROR(VLOOKUP(A170,管理亚马逊库存!A:K,11,0),"")</f>
        <v>10</v>
      </c>
      <c r="C170">
        <f>IFERROR(VLOOKUP(A170,管理亚马逊库存!A:L,12,0),"")</f>
        <v>2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1</v>
      </c>
      <c r="I170">
        <f>IFERROR(VLOOKUP(A170,预留库存!A:F,6,0),0)</f>
        <v>0</v>
      </c>
      <c r="J170">
        <f>IFERROR(VLOOKUP(A170,库龄!B:K,9,0),0)</f>
        <v>1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1</v>
      </c>
    </row>
    <row r="171" spans="1:14">
      <c r="A171" s="3" t="s">
        <v>675</v>
      </c>
      <c r="B171">
        <f>IFERROR(VLOOKUP(A171,管理亚马逊库存!A:K,11,0),"")</f>
        <v>45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11</v>
      </c>
      <c r="H171">
        <f>IFERROR(VLOOKUP(A171,预留库存!A:H,8,0),0)</f>
        <v>0</v>
      </c>
      <c r="I171">
        <f>IFERROR(VLOOKUP(A171,预留库存!A:F,6,0),0)</f>
        <v>2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679</v>
      </c>
      <c r="B172">
        <f>IFERROR(VLOOKUP(A172,管理亚马逊库存!A:K,11,0),"")</f>
        <v>40</v>
      </c>
      <c r="C172">
        <f>IFERROR(VLOOKUP(A172,管理亚马逊库存!A:L,12,0),"")</f>
        <v>1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1</v>
      </c>
      <c r="H172">
        <f>IFERROR(VLOOKUP(A172,预留库存!A:H,8,0),0)</f>
        <v>0</v>
      </c>
      <c r="I172">
        <f>IFERROR(VLOOKUP(A172,预留库存!A:F,6,0),0)</f>
        <v>1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683</v>
      </c>
      <c r="B173">
        <f>IFERROR(VLOOKUP(A173,管理亚马逊库存!A:K,11,0),"")</f>
        <v>0</v>
      </c>
      <c r="C173">
        <f>IFERROR(VLOOKUP(A173,管理亚马逊库存!A:L,12,0),"")</f>
        <v>3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2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687</v>
      </c>
      <c r="B174">
        <f>IFERROR(VLOOKUP(A174,管理亚马逊库存!A:K,11,0),"")</f>
        <v>11</v>
      </c>
      <c r="C174">
        <f>IFERROR(VLOOKUP(A174,管理亚马逊库存!A:L,12,0),"")</f>
        <v>3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11</v>
      </c>
      <c r="H174">
        <f>IFERROR(VLOOKUP(A174,预留库存!A:H,8,0),0)</f>
        <v>2</v>
      </c>
      <c r="I174">
        <f>IFERROR(VLOOKUP(A174,预留库存!A:F,6,0),0)</f>
        <v>1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691</v>
      </c>
      <c r="B175">
        <f>IFERROR(VLOOKUP(A175,管理亚马逊库存!A:K,11,0),"")</f>
        <v>1</v>
      </c>
      <c r="C175">
        <f>IFERROR(VLOOKUP(A175,管理亚马逊库存!A:L,12,0),"")</f>
        <v>1</v>
      </c>
      <c r="D175">
        <f>IFERROR(VLOOKUP(A175,管理亚马逊库存!A:Q,17,0),"")</f>
        <v>5</v>
      </c>
      <c r="E175">
        <f>IFERROR(VLOOKUP(A175,管理亚马逊库存!A:R,18,0),"")</f>
        <v>0</v>
      </c>
      <c r="F175">
        <f t="shared" si="5"/>
        <v>5</v>
      </c>
      <c r="G175">
        <f>IFERROR(VLOOKUP(A175,预留库存!A:G,7,0),0)</f>
        <v>0</v>
      </c>
      <c r="H175">
        <f>IFERROR(VLOOKUP(A175,预留库存!A:H,8,0),0)</f>
        <v>4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695</v>
      </c>
      <c r="B176">
        <f>IFERROR(VLOOKUP(A176,管理亚马逊库存!A:K,11,0),"")</f>
        <v>0</v>
      </c>
      <c r="C176">
        <f>IFERROR(VLOOKUP(A176,管理亚马逊库存!A:L,12,0),"")</f>
        <v>5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51</v>
      </c>
      <c r="H176">
        <f>IFERROR(VLOOKUP(A176,预留库存!A:H,8,0),0)</f>
        <v>0</v>
      </c>
      <c r="I176">
        <f>IFERROR(VLOOKUP(A176,预留库存!A:F,6,0),0)</f>
        <v>4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699</v>
      </c>
      <c r="B177">
        <f>IFERROR(VLOOKUP(A177,管理亚马逊库存!A:K,11,0),"")</f>
        <v>7</v>
      </c>
      <c r="C177">
        <f>IFERROR(VLOOKUP(A177,管理亚马逊库存!A:L,12,0),"")</f>
        <v>3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2</v>
      </c>
      <c r="H177">
        <f>IFERROR(VLOOKUP(A177,预留库存!A:H,8,0),0)</f>
        <v>6</v>
      </c>
      <c r="I177">
        <f>IFERROR(VLOOKUP(A177,预留库存!A:F,6,0),0)</f>
        <v>2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703</v>
      </c>
      <c r="B178">
        <f>IFERROR(VLOOKUP(A178,管理亚马逊库存!A:K,11,0),"")</f>
        <v>5</v>
      </c>
      <c r="C178">
        <f>IFERROR(VLOOKUP(A178,管理亚马逊库存!A:L,12,0),"")</f>
        <v>1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1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707</v>
      </c>
      <c r="B179">
        <f>IFERROR(VLOOKUP(A179,管理亚马逊库存!A:K,11,0),"")</f>
        <v>1</v>
      </c>
      <c r="C179">
        <f>IFERROR(VLOOKUP(A179,管理亚马逊库存!A:L,12,0),"")</f>
        <v>1</v>
      </c>
      <c r="D179">
        <f>IFERROR(VLOOKUP(A179,管理亚马逊库存!A:Q,17,0),"")</f>
        <v>5</v>
      </c>
      <c r="E179">
        <f>IFERROR(VLOOKUP(A179,管理亚马逊库存!A:R,18,0),"")</f>
        <v>0</v>
      </c>
      <c r="F179">
        <f t="shared" si="5"/>
        <v>5</v>
      </c>
      <c r="G179">
        <f>IFERROR(VLOOKUP(A179,预留库存!A:G,7,0),0)</f>
        <v>0</v>
      </c>
      <c r="H179">
        <f>IFERROR(VLOOKUP(A179,预留库存!A:H,8,0),0)</f>
        <v>1</v>
      </c>
      <c r="I179">
        <f>IFERROR(VLOOKUP(A179,预留库存!A:F,6,0),0)</f>
        <v>0</v>
      </c>
      <c r="J179">
        <f>IFERROR(VLOOKUP(A179,库龄!B:K,9,0),0)</f>
        <v>3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3</v>
      </c>
    </row>
    <row r="180" spans="1:14">
      <c r="A180" s="3" t="s">
        <v>711</v>
      </c>
      <c r="B180">
        <f>IFERROR(VLOOKUP(A180,管理亚马逊库存!A:K,11,0),"")</f>
        <v>33</v>
      </c>
      <c r="C180">
        <f>IFERROR(VLOOKUP(A180,管理亚马逊库存!A:L,12,0),"")</f>
        <v>1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19</v>
      </c>
      <c r="H180">
        <f>IFERROR(VLOOKUP(A180,预留库存!A:H,8,0),0)</f>
        <v>2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715</v>
      </c>
      <c r="B181">
        <f>IFERROR(VLOOKUP(A181,管理亚马逊库存!A:K,11,0),"")</f>
        <v>0</v>
      </c>
      <c r="C181">
        <f>IFERROR(VLOOKUP(A181,管理亚马逊库存!A:L,12,0),"")</f>
        <v>4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1</v>
      </c>
      <c r="H181">
        <f>IFERROR(VLOOKUP(A181,预留库存!A:H,8,0),0)</f>
        <v>2</v>
      </c>
      <c r="I181">
        <f>IFERROR(VLOOKUP(A181,预留库存!A:F,6,0),0)</f>
        <v>5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719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6</v>
      </c>
      <c r="H182">
        <f>IFERROR(VLOOKUP(A182,预留库存!A:H,8,0),0)</f>
        <v>1</v>
      </c>
      <c r="I182">
        <f>IFERROR(VLOOKUP(A182,预留库存!A:F,6,0),0)</f>
        <v>1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723</v>
      </c>
      <c r="B183">
        <f>IFERROR(VLOOKUP(A183,管理亚马逊库存!A:K,11,0),"")</f>
        <v>50</v>
      </c>
      <c r="C183">
        <f>IFERROR(VLOOKUP(A183,管理亚马逊库存!A:L,12,0),"")</f>
        <v>2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15</v>
      </c>
      <c r="H183">
        <f>IFERROR(VLOOKUP(A183,预留库存!A:H,8,0),0)</f>
        <v>1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727</v>
      </c>
      <c r="B184">
        <f>IFERROR(VLOOKUP(A184,管理亚马逊库存!A:K,11,0),"")</f>
        <v>50</v>
      </c>
      <c r="C184">
        <f>IFERROR(VLOOKUP(A184,管理亚马逊库存!A:L,12,0),"")</f>
        <v>7</v>
      </c>
      <c r="D184">
        <f>IFERROR(VLOOKUP(A184,管理亚马逊库存!A:Q,17,0),"")</f>
        <v>8</v>
      </c>
      <c r="E184">
        <f>IFERROR(VLOOKUP(A184,管理亚马逊库存!A:R,18,0),"")</f>
        <v>0</v>
      </c>
      <c r="F184">
        <f t="shared" si="5"/>
        <v>8</v>
      </c>
      <c r="G184">
        <f>IFERROR(VLOOKUP(A184,预留库存!A:G,7,0),0)</f>
        <v>1</v>
      </c>
      <c r="H184">
        <f>IFERROR(VLOOKUP(A184,预留库存!A:H,8,0),0)</f>
        <v>0</v>
      </c>
      <c r="I184">
        <f>IFERROR(VLOOKUP(A184,预留库存!A:F,6,0),0)</f>
        <v>1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731</v>
      </c>
      <c r="B185">
        <f>IFERROR(VLOOKUP(A185,管理亚马逊库存!A:K,11,0),"")</f>
        <v>23</v>
      </c>
      <c r="C185">
        <f>IFERROR(VLOOKUP(A185,管理亚马逊库存!A:L,12,0),"")</f>
        <v>1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1</v>
      </c>
      <c r="J185">
        <f>IFERROR(VLOOKUP(A185,库龄!B:K,9,0),0)</f>
        <v>12</v>
      </c>
      <c r="K185">
        <f>IFERROR(VLOOKUP(A185,库龄!B:L,10,0),0)</f>
        <v>3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15</v>
      </c>
    </row>
    <row r="186" spans="1:14">
      <c r="A186" s="3" t="s">
        <v>735</v>
      </c>
      <c r="B186">
        <f>IFERROR(VLOOKUP(A186,管理亚马逊库存!A:K,11,0),"")</f>
        <v>36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21</v>
      </c>
      <c r="H186">
        <f>IFERROR(VLOOKUP(A186,预留库存!A:H,8,0),0)</f>
        <v>0</v>
      </c>
      <c r="I186">
        <f>IFERROR(VLOOKUP(A186,预留库存!A:F,6,0),0)</f>
        <v>2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739</v>
      </c>
      <c r="B187">
        <f>IFERROR(VLOOKUP(A187,管理亚马逊库存!A:K,11,0),"")</f>
        <v>46</v>
      </c>
      <c r="C187">
        <f>IFERROR(VLOOKUP(A187,管理亚马逊库存!A:L,12,0),"")</f>
        <v>2</v>
      </c>
      <c r="D187">
        <f>IFERROR(VLOOKUP(A187,管理亚马逊库存!A:Q,17,0),"")</f>
        <v>14</v>
      </c>
      <c r="E187">
        <f>IFERROR(VLOOKUP(A187,管理亚马逊库存!A:R,18,0),"")</f>
        <v>0</v>
      </c>
      <c r="F187">
        <f t="shared" si="5"/>
        <v>14</v>
      </c>
      <c r="G187">
        <f>IFERROR(VLOOKUP(A187,预留库存!A:G,7,0),0)</f>
        <v>0</v>
      </c>
      <c r="H187">
        <f>IFERROR(VLOOKUP(A187,预留库存!A:H,8,0),0)</f>
        <v>3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743</v>
      </c>
      <c r="B188">
        <f>IFERROR(VLOOKUP(A188,管理亚马逊库存!A:K,11,0),"")</f>
        <v>0</v>
      </c>
      <c r="C188">
        <f>IFERROR(VLOOKUP(A188,管理亚马逊库存!A:L,12,0),"")</f>
        <v>1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1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747</v>
      </c>
      <c r="B189">
        <f>IFERROR(VLOOKUP(A189,管理亚马逊库存!A:K,11,0),"")</f>
        <v>23</v>
      </c>
      <c r="C189">
        <f>IFERROR(VLOOKUP(A189,管理亚马逊库存!A:L,12,0),"")</f>
        <v>2</v>
      </c>
      <c r="D189">
        <f>IFERROR(VLOOKUP(A189,管理亚马逊库存!A:Q,17,0),"")</f>
        <v>2</v>
      </c>
      <c r="E189">
        <f>IFERROR(VLOOKUP(A189,管理亚马逊库存!A:R,18,0),"")</f>
        <v>0</v>
      </c>
      <c r="F189">
        <f t="shared" si="5"/>
        <v>2</v>
      </c>
      <c r="G189">
        <f>IFERROR(VLOOKUP(A189,预留库存!A:G,7,0),0)</f>
        <v>1</v>
      </c>
      <c r="H189">
        <f>IFERROR(VLOOKUP(A189,预留库存!A:H,8,0),0)</f>
        <v>3</v>
      </c>
      <c r="I189">
        <f>IFERROR(VLOOKUP(A189,预留库存!A:F,6,0),0)</f>
        <v>1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751</v>
      </c>
      <c r="B190">
        <f>IFERROR(VLOOKUP(A190,管理亚马逊库存!A:K,11,0),"")</f>
        <v>14</v>
      </c>
      <c r="C190">
        <f>IFERROR(VLOOKUP(A190,管理亚马逊库存!A:L,12,0),"")</f>
        <v>1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2</v>
      </c>
      <c r="H190">
        <f>IFERROR(VLOOKUP(A190,预留库存!A:H,8,0),0)</f>
        <v>0</v>
      </c>
      <c r="I190">
        <f>IFERROR(VLOOKUP(A190,预留库存!A:F,6,0),0)</f>
        <v>1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755</v>
      </c>
      <c r="B191">
        <f>IFERROR(VLOOKUP(A191,管理亚马逊库存!A:K,11,0),"")</f>
        <v>32</v>
      </c>
      <c r="C191">
        <f>IFERROR(VLOOKUP(A191,管理亚马逊库存!A:L,12,0),"")</f>
        <v>1</v>
      </c>
      <c r="D191">
        <f>IFERROR(VLOOKUP(A191,管理亚马逊库存!A:Q,17,0),"")</f>
        <v>7</v>
      </c>
      <c r="E191">
        <f>IFERROR(VLOOKUP(A191,管理亚马逊库存!A:R,18,0),"")</f>
        <v>0</v>
      </c>
      <c r="F191">
        <f t="shared" si="5"/>
        <v>7</v>
      </c>
      <c r="G191">
        <f>IFERROR(VLOOKUP(A191,预留库存!A:G,7,0),0)</f>
        <v>0</v>
      </c>
      <c r="H191">
        <f>IFERROR(VLOOKUP(A191,预留库存!A:H,8,0),0)</f>
        <v>1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759</v>
      </c>
      <c r="B192">
        <f>IFERROR(VLOOKUP(A192,管理亚马逊库存!A:K,11,0),"")</f>
        <v>0</v>
      </c>
      <c r="C192">
        <f>IFERROR(VLOOKUP(A192,管理亚马逊库存!A:L,12,0),"")</f>
        <v>3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8</v>
      </c>
      <c r="H192">
        <f>IFERROR(VLOOKUP(A192,预留库存!A:H,8,0),0)</f>
        <v>3</v>
      </c>
      <c r="I192">
        <f>IFERROR(VLOOKUP(A192,预留库存!A:F,6,0),0)</f>
        <v>5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763</v>
      </c>
      <c r="B193">
        <f>IFERROR(VLOOKUP(A193,管理亚马逊库存!A:K,11,0),"")</f>
        <v>22</v>
      </c>
      <c r="C193">
        <f>IFERROR(VLOOKUP(A193,管理亚马逊库存!A:L,12,0),"")</f>
        <v>3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3</v>
      </c>
      <c r="I193">
        <f>IFERROR(VLOOKUP(A193,预留库存!A:F,6,0),0)</f>
        <v>4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767</v>
      </c>
      <c r="B194">
        <f>IFERROR(VLOOKUP(A194,管理亚马逊库存!A:K,11,0),"")</f>
        <v>16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1</v>
      </c>
      <c r="I194">
        <f>IFERROR(VLOOKUP(A194,预留库存!A:F,6,0),0)</f>
        <v>0</v>
      </c>
      <c r="J194">
        <f>IFERROR(VLOOKUP(A194,库龄!B:K,9,0),0)</f>
        <v>3</v>
      </c>
      <c r="K194">
        <f>IFERROR(VLOOKUP(A194,库龄!B:L,10,0),0)</f>
        <v>3</v>
      </c>
      <c r="L194">
        <f>IFERROR(VLOOKUP(A194,库龄!B:M,11,0),0)</f>
        <v>2</v>
      </c>
      <c r="M194">
        <f>IFERROR(VLOOKUP(A194,库龄!B:N,12,0),0)</f>
        <v>0</v>
      </c>
      <c r="N194">
        <f t="shared" si="6"/>
        <v>8</v>
      </c>
    </row>
    <row r="195" spans="1:14">
      <c r="A195" s="3" t="s">
        <v>771</v>
      </c>
      <c r="B195">
        <f>IFERROR(VLOOKUP(A195,管理亚马逊库存!A:K,11,0),"")</f>
        <v>24</v>
      </c>
      <c r="C195">
        <f>IFERROR(VLOOKUP(A195,管理亚马逊库存!A:L,12,0),"")</f>
        <v>6</v>
      </c>
      <c r="D195">
        <f>IFERROR(VLOOKUP(A195,管理亚马逊库存!A:Q,17,0),"")</f>
        <v>17</v>
      </c>
      <c r="E195">
        <f>IFERROR(VLOOKUP(A195,管理亚马逊库存!A:R,18,0),"")</f>
        <v>0</v>
      </c>
      <c r="F195">
        <f t="shared" ref="F195:F258" si="7">SUM(D195:E195)</f>
        <v>17</v>
      </c>
      <c r="G195">
        <f>IFERROR(VLOOKUP(A195,预留库存!A:G,7,0),0)</f>
        <v>12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775</v>
      </c>
      <c r="B196">
        <f>IFERROR(VLOOKUP(A196,管理亚马逊库存!A:K,11,0),"")</f>
        <v>71</v>
      </c>
      <c r="C196">
        <f>IFERROR(VLOOKUP(A196,管理亚马逊库存!A:L,12,0),"")</f>
        <v>10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1</v>
      </c>
      <c r="H196">
        <f>IFERROR(VLOOKUP(A196,预留库存!A:H,8,0),0)</f>
        <v>0</v>
      </c>
      <c r="I196">
        <f>IFERROR(VLOOKUP(A196,预留库存!A:F,6,0),0)</f>
        <v>1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779</v>
      </c>
      <c r="B197">
        <f>IFERROR(VLOOKUP(A197,管理亚马逊库存!A:K,11,0),"")</f>
        <v>0</v>
      </c>
      <c r="C197">
        <f>IFERROR(VLOOKUP(A197,管理亚马逊库存!A:L,12,0),"")</f>
        <v>5</v>
      </c>
      <c r="D197">
        <f>IFERROR(VLOOKUP(A197,管理亚马逊库存!A:Q,17,0),"")</f>
        <v>0</v>
      </c>
      <c r="E197">
        <f>IFERROR(VLOOKUP(A197,管理亚马逊库存!A:R,18,0),"")</f>
        <v>1</v>
      </c>
      <c r="F197">
        <f t="shared" si="7"/>
        <v>1</v>
      </c>
      <c r="G197">
        <f>IFERROR(VLOOKUP(A197,预留库存!A:G,7,0),0)</f>
        <v>0</v>
      </c>
      <c r="H197">
        <f>IFERROR(VLOOKUP(A197,预留库存!A:H,8,0),0)</f>
        <v>2</v>
      </c>
      <c r="I197">
        <f>IFERROR(VLOOKUP(A197,预留库存!A:F,6,0),0)</f>
        <v>1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783</v>
      </c>
      <c r="B198">
        <f>IFERROR(VLOOKUP(A198,管理亚马逊库存!A:K,11,0),"")</f>
        <v>0</v>
      </c>
      <c r="C198">
        <f>IFERROR(VLOOKUP(A198,管理亚马逊库存!A:L,12,0),"")</f>
        <v>1</v>
      </c>
      <c r="D198">
        <f>IFERROR(VLOOKUP(A198,管理亚马逊库存!A:Q,17,0),"")</f>
        <v>0</v>
      </c>
      <c r="E198">
        <f>IFERROR(VLOOKUP(A198,管理亚马逊库存!A:R,18,0),"")</f>
        <v>5</v>
      </c>
      <c r="F198">
        <f t="shared" si="7"/>
        <v>5</v>
      </c>
      <c r="G198">
        <f>IFERROR(VLOOKUP(A198,预留库存!A:G,7,0),0)</f>
        <v>0</v>
      </c>
      <c r="H198">
        <f>IFERROR(VLOOKUP(A198,预留库存!A:H,8,0),0)</f>
        <v>1</v>
      </c>
      <c r="I198">
        <f>IFERROR(VLOOKUP(A198,预留库存!A:F,6,0),0)</f>
        <v>1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787</v>
      </c>
      <c r="B199">
        <f>IFERROR(VLOOKUP(A199,管理亚马逊库存!A:K,11,0),"")</f>
        <v>0</v>
      </c>
      <c r="C199">
        <f>IFERROR(VLOOKUP(A199,管理亚马逊库存!A:L,12,0),"")</f>
        <v>9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3</v>
      </c>
      <c r="I199">
        <f>IFERROR(VLOOKUP(A199,预留库存!A:F,6,0),0)</f>
        <v>2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791</v>
      </c>
      <c r="B200">
        <f>IFERROR(VLOOKUP(A200,管理亚马逊库存!A:K,11,0),"")</f>
        <v>0</v>
      </c>
      <c r="C200">
        <f>IFERROR(VLOOKUP(A200,管理亚马逊库存!A:L,12,0),"")</f>
        <v>5</v>
      </c>
      <c r="D200">
        <f>IFERROR(VLOOKUP(A200,管理亚马逊库存!A:Q,17,0),"")</f>
        <v>2</v>
      </c>
      <c r="E200">
        <f>IFERROR(VLOOKUP(A200,管理亚马逊库存!A:R,18,0),"")</f>
        <v>0</v>
      </c>
      <c r="F200">
        <f t="shared" si="7"/>
        <v>2</v>
      </c>
      <c r="G200">
        <f>IFERROR(VLOOKUP(A200,预留库存!A:G,7,0),0)</f>
        <v>0</v>
      </c>
      <c r="H200">
        <f>IFERROR(VLOOKUP(A200,预留库存!A:H,8,0),0)</f>
        <v>2</v>
      </c>
      <c r="I200">
        <f>IFERROR(VLOOKUP(A200,预留库存!A:F,6,0),0)</f>
        <v>1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795</v>
      </c>
      <c r="B201">
        <f>IFERROR(VLOOKUP(A201,管理亚马逊库存!A:K,11,0),"")</f>
        <v>20</v>
      </c>
      <c r="C201">
        <f>IFERROR(VLOOKUP(A201,管理亚马逊库存!A:L,12,0),"")</f>
        <v>1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1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799</v>
      </c>
      <c r="B202">
        <f>IFERROR(VLOOKUP(A202,管理亚马逊库存!A:K,11,0),"")</f>
        <v>0</v>
      </c>
      <c r="C202">
        <f>IFERROR(VLOOKUP(A202,管理亚马逊库存!A:L,12,0),"")</f>
        <v>4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1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803</v>
      </c>
      <c r="B203">
        <f>IFERROR(VLOOKUP(A203,管理亚马逊库存!A:K,11,0),"")</f>
        <v>0</v>
      </c>
      <c r="C203">
        <f>IFERROR(VLOOKUP(A203,管理亚马逊库存!A:L,12,0),"")</f>
        <v>2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4</v>
      </c>
      <c r="I203">
        <f>IFERROR(VLOOKUP(A203,预留库存!A:F,6,0),0)</f>
        <v>2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807</v>
      </c>
      <c r="B204">
        <f>IFERROR(VLOOKUP(A204,管理亚马逊库存!A:K,11,0),"")</f>
        <v>0</v>
      </c>
      <c r="C204">
        <f>IFERROR(VLOOKUP(A204,管理亚马逊库存!A:L,12,0),"")</f>
        <v>10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4</v>
      </c>
      <c r="I204">
        <f>IFERROR(VLOOKUP(A204,预留库存!A:F,6,0),0)</f>
        <v>1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811</v>
      </c>
      <c r="B205">
        <f>IFERROR(VLOOKUP(A205,管理亚马逊库存!A:K,11,0),"")</f>
        <v>0</v>
      </c>
      <c r="C205">
        <f>IFERROR(VLOOKUP(A205,管理亚马逊库存!A:L,12,0),"")</f>
        <v>5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1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815</v>
      </c>
      <c r="B206">
        <f>IFERROR(VLOOKUP(A206,管理亚马逊库存!A:K,11,0),"")</f>
        <v>0</v>
      </c>
      <c r="C206">
        <f>IFERROR(VLOOKUP(A206,管理亚马逊库存!A:L,12,0),"")</f>
        <v>3</v>
      </c>
      <c r="D206">
        <f>IFERROR(VLOOKUP(A206,管理亚马逊库存!A:Q,17,0),"")</f>
        <v>5</v>
      </c>
      <c r="E206">
        <f>IFERROR(VLOOKUP(A206,管理亚马逊库存!A:R,18,0),"")</f>
        <v>0</v>
      </c>
      <c r="F206">
        <f t="shared" si="7"/>
        <v>5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2</v>
      </c>
      <c r="J206">
        <f>IFERROR(VLOOKUP(A206,库龄!B:K,9,0),0)</f>
        <v>1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1</v>
      </c>
    </row>
    <row r="207" spans="1:14">
      <c r="A207" s="3" t="s">
        <v>819</v>
      </c>
      <c r="B207">
        <f>IFERROR(VLOOKUP(A207,管理亚马逊库存!A:K,11,0),"")</f>
        <v>0</v>
      </c>
      <c r="C207">
        <f>IFERROR(VLOOKUP(A207,管理亚马逊库存!A:L,12,0),"")</f>
        <v>3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1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823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2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827</v>
      </c>
      <c r="B209">
        <f>IFERROR(VLOOKUP(A209,管理亚马逊库存!A:K,11,0),"")</f>
        <v>0</v>
      </c>
      <c r="C209">
        <f>IFERROR(VLOOKUP(A209,管理亚马逊库存!A:L,12,0),"")</f>
        <v>5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1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831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1</v>
      </c>
      <c r="H210">
        <f>IFERROR(VLOOKUP(A210,预留库存!A:H,8,0),0)</f>
        <v>2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835</v>
      </c>
      <c r="B211">
        <f>IFERROR(VLOOKUP(A211,管理亚马逊库存!A:K,11,0),"")</f>
        <v>0</v>
      </c>
      <c r="C211">
        <f>IFERROR(VLOOKUP(A211,管理亚马逊库存!A:L,12,0),"")</f>
        <v>8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2</v>
      </c>
      <c r="I211">
        <f>IFERROR(VLOOKUP(A211,预留库存!A:F,6,0),0)</f>
        <v>2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839</v>
      </c>
      <c r="B212">
        <f>IFERROR(VLOOKUP(A212,管理亚马逊库存!A:K,11,0),"")</f>
        <v>0</v>
      </c>
      <c r="C212">
        <f>IFERROR(VLOOKUP(A212,管理亚马逊库存!A:L,12,0),"")</f>
        <v>5</v>
      </c>
      <c r="D212">
        <f>IFERROR(VLOOKUP(A212,管理亚马逊库存!A:Q,17,0),"")</f>
        <v>25</v>
      </c>
      <c r="E212">
        <f>IFERROR(VLOOKUP(A212,管理亚马逊库存!A:R,18,0),"")</f>
        <v>0</v>
      </c>
      <c r="F212">
        <f t="shared" si="7"/>
        <v>25</v>
      </c>
      <c r="G212">
        <f>IFERROR(VLOOKUP(A212,预留库存!A:G,7,0),0)</f>
        <v>0</v>
      </c>
      <c r="H212">
        <f>IFERROR(VLOOKUP(A212,预留库存!A:H,8,0),0)</f>
        <v>2</v>
      </c>
      <c r="I212">
        <f>IFERROR(VLOOKUP(A212,预留库存!A:F,6,0),0)</f>
        <v>4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843</v>
      </c>
      <c r="B213">
        <f>IFERROR(VLOOKUP(A213,管理亚马逊库存!A:K,11,0),"")</f>
        <v>0</v>
      </c>
      <c r="C213">
        <f>IFERROR(VLOOKUP(A213,管理亚马逊库存!A:L,12,0),"")</f>
        <v>4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4</v>
      </c>
      <c r="I213">
        <f>IFERROR(VLOOKUP(A213,预留库存!A:F,6,0),0)</f>
        <v>1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847</v>
      </c>
      <c r="B214">
        <f>IFERROR(VLOOKUP(A214,管理亚马逊库存!A:K,11,0),"")</f>
        <v>0</v>
      </c>
      <c r="C214">
        <f>IFERROR(VLOOKUP(A214,管理亚马逊库存!A:L,12,0),"")</f>
        <v>3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1</v>
      </c>
      <c r="H214">
        <f>IFERROR(VLOOKUP(A214,预留库存!A:H,8,0),0)</f>
        <v>4</v>
      </c>
      <c r="I214">
        <f>IFERROR(VLOOKUP(A214,预留库存!A:F,6,0),0)</f>
        <v>1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851</v>
      </c>
      <c r="B215">
        <f>IFERROR(VLOOKUP(A215,管理亚马逊库存!A:K,11,0),"")</f>
        <v>0</v>
      </c>
      <c r="C215">
        <f>IFERROR(VLOOKUP(A215,管理亚马逊库存!A:L,12,0),"")</f>
        <v>3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5</v>
      </c>
      <c r="I215">
        <f>IFERROR(VLOOKUP(A215,预留库存!A:F,6,0),0)</f>
        <v>1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855</v>
      </c>
      <c r="B216">
        <f>IFERROR(VLOOKUP(A216,管理亚马逊库存!A:K,11,0),"")</f>
        <v>0</v>
      </c>
      <c r="C216">
        <f>IFERROR(VLOOKUP(A216,管理亚马逊库存!A:L,12,0),"")</f>
        <v>2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3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859</v>
      </c>
      <c r="B217">
        <f>IFERROR(VLOOKUP(A217,管理亚马逊库存!A:K,11,0),"")</f>
        <v>0</v>
      </c>
      <c r="C217">
        <f>IFERROR(VLOOKUP(A217,管理亚马逊库存!A:L,12,0),"")</f>
        <v>1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1</v>
      </c>
      <c r="I217">
        <f>IFERROR(VLOOKUP(A217,预留库存!A:F,6,0),0)</f>
        <v>1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863</v>
      </c>
      <c r="B218">
        <f>IFERROR(VLOOKUP(A218,管理亚马逊库存!A:K,11,0),"")</f>
        <v>12</v>
      </c>
      <c r="C218">
        <f>IFERROR(VLOOKUP(A218,管理亚马逊库存!A:L,12,0),"")</f>
        <v>3</v>
      </c>
      <c r="D218">
        <f>IFERROR(VLOOKUP(A218,管理亚马逊库存!A:Q,17,0),"")</f>
        <v>1</v>
      </c>
      <c r="E218">
        <f>IFERROR(VLOOKUP(A218,管理亚马逊库存!A:R,18,0),"")</f>
        <v>0</v>
      </c>
      <c r="F218">
        <f t="shared" si="7"/>
        <v>1</v>
      </c>
      <c r="G218">
        <f>IFERROR(VLOOKUP(A218,预留库存!A:G,7,0),0)</f>
        <v>0</v>
      </c>
      <c r="H218">
        <f>IFERROR(VLOOKUP(A218,预留库存!A:H,8,0),0)</f>
        <v>2</v>
      </c>
      <c r="I218">
        <f>IFERROR(VLOOKUP(A218,预留库存!A:F,6,0),0)</f>
        <v>2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867</v>
      </c>
      <c r="B219">
        <f>IFERROR(VLOOKUP(A219,管理亚马逊库存!A:K,11,0),"")</f>
        <v>8</v>
      </c>
      <c r="C219">
        <f>IFERROR(VLOOKUP(A219,管理亚马逊库存!A:L,12,0),"")</f>
        <v>1</v>
      </c>
      <c r="D219">
        <f>IFERROR(VLOOKUP(A219,管理亚马逊库存!A:Q,17,0),"")</f>
        <v>0</v>
      </c>
      <c r="E219">
        <f>IFERROR(VLOOKUP(A219,管理亚马逊库存!A:R,18,0),"")</f>
        <v>5</v>
      </c>
      <c r="F219">
        <f t="shared" si="7"/>
        <v>5</v>
      </c>
      <c r="G219">
        <f>IFERROR(VLOOKUP(A219,预留库存!A:G,7,0),0)</f>
        <v>2</v>
      </c>
      <c r="H219">
        <f>IFERROR(VLOOKUP(A219,预留库存!A:H,8,0),0)</f>
        <v>0</v>
      </c>
      <c r="I219">
        <f>IFERROR(VLOOKUP(A219,预留库存!A:F,6,0),0)</f>
        <v>1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871</v>
      </c>
      <c r="B220">
        <f>IFERROR(VLOOKUP(A220,管理亚马逊库存!A:K,11,0),"")</f>
        <v>4</v>
      </c>
      <c r="C220">
        <f>IFERROR(VLOOKUP(A220,管理亚马逊库存!A:L,12,0),"")</f>
        <v>4</v>
      </c>
      <c r="D220">
        <f>IFERROR(VLOOKUP(A220,管理亚马逊库存!A:Q,17,0),"")</f>
        <v>2</v>
      </c>
      <c r="E220">
        <f>IFERROR(VLOOKUP(A220,管理亚马逊库存!A:R,18,0),"")</f>
        <v>0</v>
      </c>
      <c r="F220">
        <f t="shared" si="7"/>
        <v>2</v>
      </c>
      <c r="G220">
        <f>IFERROR(VLOOKUP(A220,预留库存!A:G,7,0),0)</f>
        <v>2</v>
      </c>
      <c r="H220">
        <f>IFERROR(VLOOKUP(A220,预留库存!A:H,8,0),0)</f>
        <v>1</v>
      </c>
      <c r="I220">
        <f>IFERROR(VLOOKUP(A220,预留库存!A:F,6,0),0)</f>
        <v>1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875</v>
      </c>
      <c r="B221">
        <f>IFERROR(VLOOKUP(A221,管理亚马逊库存!A:K,11,0),"")</f>
        <v>7</v>
      </c>
      <c r="C221">
        <f>IFERROR(VLOOKUP(A221,管理亚马逊库存!A:L,12,0),"")</f>
        <v>3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5</v>
      </c>
      <c r="H221">
        <f>IFERROR(VLOOKUP(A221,预留库存!A:H,8,0),0)</f>
        <v>2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879</v>
      </c>
      <c r="B222">
        <f>IFERROR(VLOOKUP(A222,管理亚马逊库存!A:K,11,0),"")</f>
        <v>16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1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883</v>
      </c>
      <c r="B223">
        <f>IFERROR(VLOOKUP(A223,管理亚马逊库存!A:K,11,0),"")</f>
        <v>31</v>
      </c>
      <c r="C223">
        <f>IFERROR(VLOOKUP(A223,管理亚马逊库存!A:L,12,0),"")</f>
        <v>2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1</v>
      </c>
      <c r="H223">
        <f>IFERROR(VLOOKUP(A223,预留库存!A:H,8,0),0)</f>
        <v>2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887</v>
      </c>
      <c r="B224">
        <f>IFERROR(VLOOKUP(A224,管理亚马逊库存!A:K,11,0),"")</f>
        <v>20</v>
      </c>
      <c r="C224">
        <f>IFERROR(VLOOKUP(A224,管理亚马逊库存!A:L,12,0),"")</f>
        <v>2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1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891</v>
      </c>
      <c r="B225">
        <f>IFERROR(VLOOKUP(A225,管理亚马逊库存!A:K,11,0),"")</f>
        <v>25</v>
      </c>
      <c r="C225">
        <f>IFERROR(VLOOKUP(A225,管理亚马逊库存!A:L,12,0),"")</f>
        <v>2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1</v>
      </c>
      <c r="H225">
        <f>IFERROR(VLOOKUP(A225,预留库存!A:H,8,0),0)</f>
        <v>0</v>
      </c>
      <c r="I225">
        <f>IFERROR(VLOOKUP(A225,预留库存!A:F,6,0),0)</f>
        <v>1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895</v>
      </c>
      <c r="B226">
        <f>IFERROR(VLOOKUP(A226,管理亚马逊库存!A:K,11,0),"")</f>
        <v>7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1</v>
      </c>
      <c r="H226">
        <f>IFERROR(VLOOKUP(A226,预留库存!A:H,8,0),0)</f>
        <v>0</v>
      </c>
      <c r="I226">
        <f>IFERROR(VLOOKUP(A226,预留库存!A:F,6,0),0)</f>
        <v>1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899</v>
      </c>
      <c r="B227">
        <f>IFERROR(VLOOKUP(A227,管理亚马逊库存!A:K,11,0),"")</f>
        <v>33</v>
      </c>
      <c r="C227">
        <f>IFERROR(VLOOKUP(A227,管理亚马逊库存!A:L,12,0),"")</f>
        <v>2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2</v>
      </c>
      <c r="H227">
        <f>IFERROR(VLOOKUP(A227,预留库存!A:H,8,0),0)</f>
        <v>0</v>
      </c>
      <c r="I227">
        <f>IFERROR(VLOOKUP(A227,预留库存!A:F,6,0),0)</f>
        <v>2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903</v>
      </c>
      <c r="B228">
        <f>IFERROR(VLOOKUP(A228,管理亚马逊库存!A:K,11,0),"")</f>
        <v>10</v>
      </c>
      <c r="C228">
        <f>IFERROR(VLOOKUP(A228,管理亚马逊库存!A:L,12,0),"")</f>
        <v>1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1</v>
      </c>
      <c r="H228">
        <f>IFERROR(VLOOKUP(A228,预留库存!A:H,8,0),0)</f>
        <v>2</v>
      </c>
      <c r="I228">
        <f>IFERROR(VLOOKUP(A228,预留库存!A:F,6,0),0)</f>
        <v>3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907</v>
      </c>
      <c r="B229">
        <f>IFERROR(VLOOKUP(A229,管理亚马逊库存!A:K,11,0),"")</f>
        <v>0</v>
      </c>
      <c r="C229">
        <f>IFERROR(VLOOKUP(A229,管理亚马逊库存!A:L,12,0),"")</f>
        <v>1</v>
      </c>
      <c r="D229">
        <f>IFERROR(VLOOKUP(A229,管理亚马逊库存!A:Q,17,0),"")</f>
        <v>10</v>
      </c>
      <c r="E229">
        <f>IFERROR(VLOOKUP(A229,管理亚马逊库存!A:R,18,0),"")</f>
        <v>0</v>
      </c>
      <c r="F229">
        <f t="shared" si="7"/>
        <v>10</v>
      </c>
      <c r="G229">
        <f>IFERROR(VLOOKUP(A229,预留库存!A:G,7,0),0)</f>
        <v>0</v>
      </c>
      <c r="H229">
        <f>IFERROR(VLOOKUP(A229,预留库存!A:H,8,0),0)</f>
        <v>1</v>
      </c>
      <c r="I229">
        <f>IFERROR(VLOOKUP(A229,预留库存!A:F,6,0),0)</f>
        <v>1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911</v>
      </c>
      <c r="B230">
        <f>IFERROR(VLOOKUP(A230,管理亚马逊库存!A:K,11,0),"")</f>
        <v>17</v>
      </c>
      <c r="C230">
        <f>IFERROR(VLOOKUP(A230,管理亚马逊库存!A:L,12,0),"")</f>
        <v>1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5</v>
      </c>
      <c r="H230">
        <f>IFERROR(VLOOKUP(A230,预留库存!A:H,8,0),0)</f>
        <v>0</v>
      </c>
      <c r="I230">
        <f>IFERROR(VLOOKUP(A230,预留库存!A:F,6,0),0)</f>
        <v>3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915</v>
      </c>
      <c r="B231">
        <f>IFERROR(VLOOKUP(A231,管理亚马逊库存!A:K,11,0),"")</f>
        <v>13</v>
      </c>
      <c r="C231">
        <f>IFERROR(VLOOKUP(A231,管理亚马逊库存!A:L,12,0),"")</f>
        <v>0</v>
      </c>
      <c r="D231">
        <f>IFERROR(VLOOKUP(A231,管理亚马逊库存!A:Q,17,0),"")</f>
        <v>18</v>
      </c>
      <c r="E231">
        <f>IFERROR(VLOOKUP(A231,管理亚马逊库存!A:R,18,0),"")</f>
        <v>0</v>
      </c>
      <c r="F231">
        <f t="shared" si="7"/>
        <v>18</v>
      </c>
      <c r="G231">
        <f>IFERROR(VLOOKUP(A231,预留库存!A:G,7,0),0)</f>
        <v>2</v>
      </c>
      <c r="H231">
        <f>IFERROR(VLOOKUP(A231,预留库存!A:H,8,0),0)</f>
        <v>4</v>
      </c>
      <c r="I231">
        <f>IFERROR(VLOOKUP(A231,预留库存!A:F,6,0),0)</f>
        <v>1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919</v>
      </c>
      <c r="B232">
        <f>IFERROR(VLOOKUP(A232,管理亚马逊库存!A:K,11,0),"")</f>
        <v>19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1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923</v>
      </c>
      <c r="B233">
        <f>IFERROR(VLOOKUP(A233,管理亚马逊库存!A:K,11,0),"")</f>
        <v>0</v>
      </c>
      <c r="C233">
        <f>IFERROR(VLOOKUP(A233,管理亚马逊库存!A:L,12,0),"")</f>
        <v>2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1</v>
      </c>
      <c r="H233">
        <f>IFERROR(VLOOKUP(A233,预留库存!A:H,8,0),0)</f>
        <v>1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927</v>
      </c>
      <c r="B234">
        <f>IFERROR(VLOOKUP(A234,管理亚马逊库存!A:K,11,0),"")</f>
        <v>0</v>
      </c>
      <c r="C234">
        <f>IFERROR(VLOOKUP(A234,管理亚马逊库存!A:L,12,0),"")</f>
        <v>4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1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931</v>
      </c>
      <c r="B235">
        <f>IFERROR(VLOOKUP(A235,管理亚马逊库存!A:K,11,0),"")</f>
        <v>26</v>
      </c>
      <c r="C235">
        <f>IFERROR(VLOOKUP(A235,管理亚马逊库存!A:L,12,0),"")</f>
        <v>4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1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935</v>
      </c>
      <c r="B236">
        <f>IFERROR(VLOOKUP(A236,管理亚马逊库存!A:K,11,0),"")</f>
        <v>41</v>
      </c>
      <c r="C236">
        <f>IFERROR(VLOOKUP(A236,管理亚马逊库存!A:L,12,0),"")</f>
        <v>2</v>
      </c>
      <c r="D236">
        <f>IFERROR(VLOOKUP(A236,管理亚马逊库存!A:Q,17,0),"")</f>
        <v>21</v>
      </c>
      <c r="E236">
        <f>IFERROR(VLOOKUP(A236,管理亚马逊库存!A:R,18,0),"")</f>
        <v>0</v>
      </c>
      <c r="F236">
        <f t="shared" si="7"/>
        <v>21</v>
      </c>
      <c r="G236">
        <f>IFERROR(VLOOKUP(A236,预留库存!A:G,7,0),0)</f>
        <v>0</v>
      </c>
      <c r="H236">
        <f>IFERROR(VLOOKUP(A236,预留库存!A:H,8,0),0)</f>
        <v>1</v>
      </c>
      <c r="I236">
        <f>IFERROR(VLOOKUP(A236,预留库存!A:F,6,0),0)</f>
        <v>2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939</v>
      </c>
      <c r="B237">
        <f>IFERROR(VLOOKUP(A237,管理亚马逊库存!A:K,11,0),"")</f>
        <v>0</v>
      </c>
      <c r="C237">
        <f>IFERROR(VLOOKUP(A237,管理亚马逊库存!A:L,12,0),"")</f>
        <v>1</v>
      </c>
      <c r="D237">
        <f>IFERROR(VLOOKUP(A237,管理亚马逊库存!A:Q,17,0),"")</f>
        <v>4</v>
      </c>
      <c r="E237">
        <f>IFERROR(VLOOKUP(A237,管理亚马逊库存!A:R,18,0),"")</f>
        <v>0</v>
      </c>
      <c r="F237">
        <f t="shared" si="7"/>
        <v>4</v>
      </c>
      <c r="G237">
        <f>IFERROR(VLOOKUP(A237,预留库存!A:G,7,0),0)</f>
        <v>0</v>
      </c>
      <c r="H237">
        <f>IFERROR(VLOOKUP(A237,预留库存!A:H,8,0),0)</f>
        <v>1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943</v>
      </c>
      <c r="B238">
        <f>IFERROR(VLOOKUP(A238,管理亚马逊库存!A:K,11,0),"")</f>
        <v>13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1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947</v>
      </c>
      <c r="B239">
        <f>IFERROR(VLOOKUP(A239,管理亚马逊库存!A:K,11,0),"")</f>
        <v>13</v>
      </c>
      <c r="C239">
        <f>IFERROR(VLOOKUP(A239,管理亚马逊库存!A:L,12,0),"")</f>
        <v>2</v>
      </c>
      <c r="D239">
        <f>IFERROR(VLOOKUP(A239,管理亚马逊库存!A:Q,17,0),"")</f>
        <v>7</v>
      </c>
      <c r="E239">
        <f>IFERROR(VLOOKUP(A239,管理亚马逊库存!A:R,18,0),"")</f>
        <v>0</v>
      </c>
      <c r="F239">
        <f t="shared" si="7"/>
        <v>7</v>
      </c>
      <c r="G239">
        <f>IFERROR(VLOOKUP(A239,预留库存!A:G,7,0),0)</f>
        <v>0</v>
      </c>
      <c r="H239">
        <f>IFERROR(VLOOKUP(A239,预留库存!A:H,8,0),0)</f>
        <v>1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951</v>
      </c>
      <c r="B240">
        <f>IFERROR(VLOOKUP(A240,管理亚马逊库存!A:K,11,0),"")</f>
        <v>11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1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955</v>
      </c>
      <c r="B241">
        <f>IFERROR(VLOOKUP(A241,管理亚马逊库存!A:K,11,0),"")</f>
        <v>6</v>
      </c>
      <c r="C241">
        <f>IFERROR(VLOOKUP(A241,管理亚马逊库存!A:L,12,0),"")</f>
        <v>1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1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959</v>
      </c>
      <c r="B242">
        <f>IFERROR(VLOOKUP(A242,管理亚马逊库存!A:K,11,0),"")</f>
        <v>18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1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963</v>
      </c>
      <c r="B243">
        <f>IFERROR(VLOOKUP(A243,管理亚马逊库存!A:K,11,0),"")</f>
        <v>4</v>
      </c>
      <c r="C243">
        <f>IFERROR(VLOOKUP(A243,管理亚马逊库存!A:L,12,0),"")</f>
        <v>1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1</v>
      </c>
      <c r="H243">
        <f>IFERROR(VLOOKUP(A243,预留库存!A:H,8,0),0)</f>
        <v>0</v>
      </c>
      <c r="I243">
        <f>IFERROR(VLOOKUP(A243,预留库存!A:F,6,0),0)</f>
        <v>1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967</v>
      </c>
      <c r="B244">
        <f>IFERROR(VLOOKUP(A244,管理亚马逊库存!A:K,11,0),"")</f>
        <v>5</v>
      </c>
      <c r="C244">
        <f>IFERROR(VLOOKUP(A244,管理亚马逊库存!A:L,12,0),"")</f>
        <v>2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1</v>
      </c>
      <c r="H244">
        <f>IFERROR(VLOOKUP(A244,预留库存!A:H,8,0),0)</f>
        <v>1</v>
      </c>
      <c r="I244">
        <f>IFERROR(VLOOKUP(A244,预留库存!A:F,6,0),0)</f>
        <v>2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971</v>
      </c>
      <c r="B245">
        <f>IFERROR(VLOOKUP(A245,管理亚马逊库存!A:K,11,0),"")</f>
        <v>7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1</v>
      </c>
      <c r="I245">
        <f>IFERROR(VLOOKUP(A245,预留库存!A:F,6,0),0)</f>
        <v>1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975</v>
      </c>
      <c r="B246">
        <f>IFERROR(VLOOKUP(A246,管理亚马逊库存!A:K,11,0),"")</f>
        <v>15</v>
      </c>
      <c r="C246">
        <f>IFERROR(VLOOKUP(A246,管理亚马逊库存!A:L,12,0),"")</f>
        <v>3</v>
      </c>
      <c r="D246">
        <f>IFERROR(VLOOKUP(A246,管理亚马逊库存!A:Q,17,0),"")</f>
        <v>0</v>
      </c>
      <c r="E246">
        <f>IFERROR(VLOOKUP(A246,管理亚马逊库存!A:R,18,0),"")</f>
        <v>1</v>
      </c>
      <c r="F246">
        <f t="shared" si="7"/>
        <v>1</v>
      </c>
      <c r="G246">
        <f>IFERROR(VLOOKUP(A246,预留库存!A:G,7,0),0)</f>
        <v>11</v>
      </c>
      <c r="H246">
        <f>IFERROR(VLOOKUP(A246,预留库存!A:H,8,0),0)</f>
        <v>3</v>
      </c>
      <c r="I246">
        <f>IFERROR(VLOOKUP(A246,预留库存!A:F,6,0),0)</f>
        <v>3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979</v>
      </c>
      <c r="B247">
        <f>IFERROR(VLOOKUP(A247,管理亚马逊库存!A:K,11,0),"")</f>
        <v>2</v>
      </c>
      <c r="C247">
        <f>IFERROR(VLOOKUP(A247,管理亚马逊库存!A:L,12,0),"")</f>
        <v>1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1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983</v>
      </c>
      <c r="B248">
        <f>IFERROR(VLOOKUP(A248,管理亚马逊库存!A:K,11,0),"")</f>
        <v>2</v>
      </c>
      <c r="C248">
        <f>IFERROR(VLOOKUP(A248,管理亚马逊库存!A:L,12,0),"")</f>
        <v>1</v>
      </c>
      <c r="D248">
        <f>IFERROR(VLOOKUP(A248,管理亚马逊库存!A:Q,17,0),"")</f>
        <v>1</v>
      </c>
      <c r="E248">
        <f>IFERROR(VLOOKUP(A248,管理亚马逊库存!A:R,18,0),"")</f>
        <v>0</v>
      </c>
      <c r="F248">
        <f t="shared" si="7"/>
        <v>1</v>
      </c>
      <c r="G248">
        <f>IFERROR(VLOOKUP(A248,预留库存!A:G,7,0),0)</f>
        <v>6</v>
      </c>
      <c r="H248">
        <f>IFERROR(VLOOKUP(A248,预留库存!A:H,8,0),0)</f>
        <v>0</v>
      </c>
      <c r="I248">
        <f>IFERROR(VLOOKUP(A248,预留库存!A:F,6,0),0)</f>
        <v>2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987</v>
      </c>
      <c r="B249">
        <f>IFERROR(VLOOKUP(A249,管理亚马逊库存!A:K,11,0),"")</f>
        <v>15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1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991</v>
      </c>
      <c r="B250">
        <f>IFERROR(VLOOKUP(A250,管理亚马逊库存!A:K,11,0),"")</f>
        <v>20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1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995</v>
      </c>
      <c r="B251">
        <f>IFERROR(VLOOKUP(A251,管理亚马逊库存!A:K,11,0),"")</f>
        <v>7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1</v>
      </c>
      <c r="H251">
        <f>IFERROR(VLOOKUP(A251,预留库存!A:H,8,0),0)</f>
        <v>1</v>
      </c>
      <c r="I251">
        <f>IFERROR(VLOOKUP(A251,预留库存!A:F,6,0),0)</f>
        <v>2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999</v>
      </c>
      <c r="B252">
        <f>IFERROR(VLOOKUP(A252,管理亚马逊库存!A:K,11,0),"")</f>
        <v>10</v>
      </c>
      <c r="C252">
        <f>IFERROR(VLOOKUP(A252,管理亚马逊库存!A:L,12,0),"")</f>
        <v>4</v>
      </c>
      <c r="D252">
        <f>IFERROR(VLOOKUP(A252,管理亚马逊库存!A:Q,17,0),"")</f>
        <v>37</v>
      </c>
      <c r="E252">
        <f>IFERROR(VLOOKUP(A252,管理亚马逊库存!A:R,18,0),"")</f>
        <v>0</v>
      </c>
      <c r="F252">
        <f t="shared" si="7"/>
        <v>37</v>
      </c>
      <c r="G252">
        <f>IFERROR(VLOOKUP(A252,预留库存!A:G,7,0),0)</f>
        <v>1</v>
      </c>
      <c r="H252">
        <f>IFERROR(VLOOKUP(A252,预留库存!A:H,8,0),0)</f>
        <v>1</v>
      </c>
      <c r="I252">
        <f>IFERROR(VLOOKUP(A252,预留库存!A:F,6,0),0)</f>
        <v>1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1003</v>
      </c>
      <c r="B253">
        <f>IFERROR(VLOOKUP(A253,管理亚马逊库存!A:K,11,0),"")</f>
        <v>8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1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1006</v>
      </c>
      <c r="B254">
        <f>IFERROR(VLOOKUP(A254,管理亚马逊库存!A:K,11,0),"")</f>
        <v>0</v>
      </c>
      <c r="C254">
        <f>IFERROR(VLOOKUP(A254,管理亚马逊库存!A:L,12,0),"")</f>
        <v>4</v>
      </c>
      <c r="D254">
        <f>IFERROR(VLOOKUP(A254,管理亚马逊库存!A:Q,17,0),"")</f>
        <v>25</v>
      </c>
      <c r="E254">
        <f>IFERROR(VLOOKUP(A254,管理亚马逊库存!A:R,18,0),"")</f>
        <v>0</v>
      </c>
      <c r="F254">
        <f t="shared" si="7"/>
        <v>25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1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1010</v>
      </c>
      <c r="B255">
        <f>IFERROR(VLOOKUP(A255,管理亚马逊库存!A:K,11,0),"")</f>
        <v>12</v>
      </c>
      <c r="C255">
        <f>IFERROR(VLOOKUP(A255,管理亚马逊库存!A:L,12,0),"")</f>
        <v>4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6</v>
      </c>
      <c r="H255">
        <f>IFERROR(VLOOKUP(A255,预留库存!A:H,8,0),0)</f>
        <v>2</v>
      </c>
      <c r="I255">
        <f>IFERROR(VLOOKUP(A255,预留库存!A:F,6,0),0)</f>
        <v>4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1014</v>
      </c>
      <c r="B256">
        <f>IFERROR(VLOOKUP(A256,管理亚马逊库存!A:K,11,0),"")</f>
        <v>1</v>
      </c>
      <c r="C256">
        <f>IFERROR(VLOOKUP(A256,管理亚马逊库存!A:L,12,0),"")</f>
        <v>1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1</v>
      </c>
      <c r="H256">
        <f>IFERROR(VLOOKUP(A256,预留库存!A:H,8,0),0)</f>
        <v>0</v>
      </c>
      <c r="I256">
        <f>IFERROR(VLOOKUP(A256,预留库存!A:F,6,0),0)</f>
        <v>1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1018</v>
      </c>
      <c r="B257">
        <f>IFERROR(VLOOKUP(A257,管理亚马逊库存!A:K,11,0),"")</f>
        <v>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1</v>
      </c>
      <c r="I257">
        <f>IFERROR(VLOOKUP(A257,预留库存!A:F,6,0),0)</f>
        <v>2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1022</v>
      </c>
      <c r="B258">
        <f>IFERROR(VLOOKUP(A258,管理亚马逊库存!A:K,11,0),"")</f>
        <v>0</v>
      </c>
      <c r="C258">
        <f>IFERROR(VLOOKUP(A258,管理亚马逊库存!A:L,12,0),"")</f>
        <v>2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1</v>
      </c>
      <c r="I258">
        <f>IFERROR(VLOOKUP(A258,预留库存!A:F,6,0),0)</f>
        <v>1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1026</v>
      </c>
      <c r="B259">
        <f>IFERROR(VLOOKUP(A259,管理亚马逊库存!A:K,11,0),"")</f>
        <v>12</v>
      </c>
      <c r="C259">
        <f>IFERROR(VLOOKUP(A259,管理亚马逊库存!A:L,12,0),"")</f>
        <v>1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2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1030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4</v>
      </c>
      <c r="I260">
        <f>IFERROR(VLOOKUP(A260,预留库存!A:F,6,0),0)</f>
        <v>4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1034</v>
      </c>
      <c r="B261">
        <f>IFERROR(VLOOKUP(A261,管理亚马逊库存!A:K,11,0),"")</f>
        <v>0</v>
      </c>
      <c r="C261">
        <f>IFERROR(VLOOKUP(A261,管理亚马逊库存!A:L,12,0),"")</f>
        <v>6</v>
      </c>
      <c r="D261">
        <f>IFERROR(VLOOKUP(A261,管理亚马逊库存!A:Q,17,0),"")</f>
        <v>0</v>
      </c>
      <c r="E261">
        <f>IFERROR(VLOOKUP(A261,管理亚马逊库存!A:R,18,0),"")</f>
        <v>53</v>
      </c>
      <c r="F261">
        <f t="shared" si="9"/>
        <v>53</v>
      </c>
      <c r="G261">
        <f>IFERROR(VLOOKUP(A261,预留库存!A:G,7,0),0)</f>
        <v>0</v>
      </c>
      <c r="H261">
        <f>IFERROR(VLOOKUP(A261,预留库存!A:H,8,0),0)</f>
        <v>1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1038</v>
      </c>
      <c r="B262">
        <f>IFERROR(VLOOKUP(A262,管理亚马逊库存!A:K,11,0),"")</f>
        <v>4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20</v>
      </c>
      <c r="F262">
        <f t="shared" si="9"/>
        <v>20</v>
      </c>
      <c r="G262">
        <f>IFERROR(VLOOKUP(A262,预留库存!A:G,7,0),0)</f>
        <v>0</v>
      </c>
      <c r="H262">
        <f>IFERROR(VLOOKUP(A262,预留库存!A:H,8,0),0)</f>
        <v>1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1042</v>
      </c>
      <c r="B263">
        <f>IFERROR(VLOOKUP(A263,管理亚马逊库存!A:K,11,0),"")</f>
        <v>6</v>
      </c>
      <c r="C263">
        <f>IFERROR(VLOOKUP(A263,管理亚马逊库存!A:L,12,0),"")</f>
        <v>1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2</v>
      </c>
      <c r="H263">
        <f>IFERROR(VLOOKUP(A263,预留库存!A:H,8,0),0)</f>
        <v>3</v>
      </c>
      <c r="I263">
        <f>IFERROR(VLOOKUP(A263,预留库存!A:F,6,0),0)</f>
        <v>3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1046</v>
      </c>
      <c r="B264">
        <f>IFERROR(VLOOKUP(A264,管理亚马逊库存!A:K,11,0),"")</f>
        <v>18</v>
      </c>
      <c r="C264">
        <f>IFERROR(VLOOKUP(A264,管理亚马逊库存!A:L,12,0),"")</f>
        <v>1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1</v>
      </c>
      <c r="H264">
        <f>IFERROR(VLOOKUP(A264,预留库存!A:H,8,0),0)</f>
        <v>1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1050</v>
      </c>
      <c r="B265">
        <f>IFERROR(VLOOKUP(A265,管理亚马逊库存!A:K,11,0),"")</f>
        <v>0</v>
      </c>
      <c r="C265">
        <f>IFERROR(VLOOKUP(A265,管理亚马逊库存!A:L,12,0),"")</f>
        <v>11</v>
      </c>
      <c r="D265">
        <f>IFERROR(VLOOKUP(A265,管理亚马逊库存!A:Q,17,0),"")</f>
        <v>0</v>
      </c>
      <c r="E265">
        <f>IFERROR(VLOOKUP(A265,管理亚马逊库存!A:R,18,0),"")</f>
        <v>143</v>
      </c>
      <c r="F265">
        <f t="shared" si="9"/>
        <v>143</v>
      </c>
      <c r="G265">
        <f>IFERROR(VLOOKUP(A265,预留库存!A:G,7,0),0)</f>
        <v>0</v>
      </c>
      <c r="H265">
        <f>IFERROR(VLOOKUP(A265,预留库存!A:H,8,0),0)</f>
        <v>1</v>
      </c>
      <c r="I265">
        <f>IFERROR(VLOOKUP(A265,预留库存!A:F,6,0),0)</f>
        <v>1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1054</v>
      </c>
      <c r="B266">
        <f>IFERROR(VLOOKUP(A266,管理亚马逊库存!A:K,11,0),"")</f>
        <v>0</v>
      </c>
      <c r="C266">
        <f>IFERROR(VLOOKUP(A266,管理亚马逊库存!A:L,12,0),"")</f>
        <v>5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1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1058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20</v>
      </c>
      <c r="F267">
        <f t="shared" si="9"/>
        <v>20</v>
      </c>
      <c r="G267">
        <f>IFERROR(VLOOKUP(A267,预留库存!A:G,7,0),0)</f>
        <v>0</v>
      </c>
      <c r="H267">
        <f>IFERROR(VLOOKUP(A267,预留库存!A:H,8,0),0)</f>
        <v>1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1062</v>
      </c>
      <c r="B268">
        <f>IFERROR(VLOOKUP(A268,管理亚马逊库存!A:K,11,0),"")</f>
        <v>0</v>
      </c>
      <c r="C268">
        <f>IFERROR(VLOOKUP(A268,管理亚马逊库存!A:L,12,0),"")</f>
        <v>4</v>
      </c>
      <c r="D268">
        <f>IFERROR(VLOOKUP(A268,管理亚马逊库存!A:Q,17,0),"")</f>
        <v>0</v>
      </c>
      <c r="E268">
        <f>IFERROR(VLOOKUP(A268,管理亚马逊库存!A:R,18,0),"")</f>
        <v>28</v>
      </c>
      <c r="F268">
        <f t="shared" si="9"/>
        <v>28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1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1066</v>
      </c>
      <c r="B269">
        <f>IFERROR(VLOOKUP(A269,管理亚马逊库存!A:K,11,0),"")</f>
        <v>14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1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1070</v>
      </c>
      <c r="B270">
        <f>IFERROR(VLOOKUP(A270,管理亚马逊库存!A:K,11,0),"")</f>
        <v>0</v>
      </c>
      <c r="C270">
        <f>IFERROR(VLOOKUP(A270,管理亚马逊库存!A:L,12,0),"")</f>
        <v>2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1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1074</v>
      </c>
      <c r="B271">
        <f>IFERROR(VLOOKUP(A271,管理亚马逊库存!A:K,11,0),"")</f>
        <v>0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1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1078</v>
      </c>
      <c r="B272">
        <f>IFERROR(VLOOKUP(A272,管理亚马逊库存!A:K,11,0),"")</f>
        <v>13</v>
      </c>
      <c r="C272">
        <f>IFERROR(VLOOKUP(A272,管理亚马逊库存!A:L,12,0),"")</f>
        <v>4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2</v>
      </c>
      <c r="H272">
        <f>IFERROR(VLOOKUP(A272,预留库存!A:H,8,0),0)</f>
        <v>4</v>
      </c>
      <c r="I272">
        <f>IFERROR(VLOOKUP(A272,预留库存!A:F,6,0),0)</f>
        <v>7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1082</v>
      </c>
      <c r="B273">
        <f>IFERROR(VLOOKUP(A273,管理亚马逊库存!A:K,11,0),"")</f>
        <v>47</v>
      </c>
      <c r="C273">
        <f>IFERROR(VLOOKUP(A273,管理亚马逊库存!A:L,12,0),"")</f>
        <v>3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2</v>
      </c>
      <c r="I273">
        <f>IFERROR(VLOOKUP(A273,预留库存!A:F,6,0),0)</f>
        <v>2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1086</v>
      </c>
      <c r="B274">
        <f>IFERROR(VLOOKUP(A274,管理亚马逊库存!A:K,11,0),"")</f>
        <v>24</v>
      </c>
      <c r="C274">
        <f>IFERROR(VLOOKUP(A274,管理亚马逊库存!A:L,12,0),"")</f>
        <v>2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1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1090</v>
      </c>
      <c r="B275">
        <f>IFERROR(VLOOKUP(A275,管理亚马逊库存!A:K,11,0),"")</f>
        <v>0</v>
      </c>
      <c r="C275">
        <f>IFERROR(VLOOKUP(A275,管理亚马逊库存!A:L,12,0),"")</f>
        <v>3</v>
      </c>
      <c r="D275">
        <f>IFERROR(VLOOKUP(A275,管理亚马逊库存!A:Q,17,0),"")</f>
        <v>0</v>
      </c>
      <c r="E275">
        <f>IFERROR(VLOOKUP(A275,管理亚马逊库存!A:R,18,0),"")</f>
        <v>100</v>
      </c>
      <c r="F275">
        <f t="shared" si="9"/>
        <v>100</v>
      </c>
      <c r="G275">
        <f>IFERROR(VLOOKUP(A275,预留库存!A:G,7,0),0)</f>
        <v>0</v>
      </c>
      <c r="H275">
        <f>IFERROR(VLOOKUP(A275,预留库存!A:H,8,0),0)</f>
        <v>4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1094</v>
      </c>
      <c r="B276">
        <f>IFERROR(VLOOKUP(A276,管理亚马逊库存!A:K,11,0),"")</f>
        <v>0</v>
      </c>
      <c r="C276">
        <f>IFERROR(VLOOKUP(A276,管理亚马逊库存!A:L,12,0),"")</f>
        <v>4</v>
      </c>
      <c r="D276">
        <f>IFERROR(VLOOKUP(A276,管理亚马逊库存!A:Q,17,0),"")</f>
        <v>0</v>
      </c>
      <c r="E276">
        <f>IFERROR(VLOOKUP(A276,管理亚马逊库存!A:R,18,0),"")</f>
        <v>40</v>
      </c>
      <c r="F276">
        <f t="shared" si="9"/>
        <v>40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1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1098</v>
      </c>
      <c r="B277">
        <f>IFERROR(VLOOKUP(A277,管理亚马逊库存!A:K,11,0),"")</f>
        <v>3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18</v>
      </c>
      <c r="F277">
        <f t="shared" si="9"/>
        <v>18</v>
      </c>
      <c r="G277">
        <f>IFERROR(VLOOKUP(A277,预留库存!A:G,7,0),0)</f>
        <v>1</v>
      </c>
      <c r="H277">
        <f>IFERROR(VLOOKUP(A277,预留库存!A:H,8,0),0)</f>
        <v>2</v>
      </c>
      <c r="I277">
        <f>IFERROR(VLOOKUP(A277,预留库存!A:F,6,0),0)</f>
        <v>1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1102</v>
      </c>
      <c r="B278">
        <f>IFERROR(VLOOKUP(A278,管理亚马逊库存!A:K,11,0),"")</f>
        <v>0</v>
      </c>
      <c r="C278">
        <f>IFERROR(VLOOKUP(A278,管理亚马逊库存!A:L,12,0),"")</f>
        <v>1</v>
      </c>
      <c r="D278">
        <f>IFERROR(VLOOKUP(A278,管理亚马逊库存!A:Q,17,0),"")</f>
        <v>0</v>
      </c>
      <c r="E278">
        <f>IFERROR(VLOOKUP(A278,管理亚马逊库存!A:R,18,0),"")</f>
        <v>8</v>
      </c>
      <c r="F278">
        <f t="shared" si="9"/>
        <v>8</v>
      </c>
      <c r="G278">
        <f>IFERROR(VLOOKUP(A278,预留库存!A:G,7,0),0)</f>
        <v>0</v>
      </c>
      <c r="H278">
        <f>IFERROR(VLOOKUP(A278,预留库存!A:H,8,0),0)</f>
        <v>3</v>
      </c>
      <c r="I278">
        <f>IFERROR(VLOOKUP(A278,预留库存!A:F,6,0),0)</f>
        <v>3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1106</v>
      </c>
      <c r="B279">
        <f>IFERROR(VLOOKUP(A279,管理亚马逊库存!A:K,11,0),"")</f>
        <v>3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1</v>
      </c>
      <c r="H279">
        <f>IFERROR(VLOOKUP(A279,预留库存!A:H,8,0),0)</f>
        <v>1</v>
      </c>
      <c r="I279">
        <f>IFERROR(VLOOKUP(A279,预留库存!A:F,6,0),0)</f>
        <v>1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1110</v>
      </c>
      <c r="B280">
        <f>IFERROR(VLOOKUP(A280,管理亚马逊库存!A:K,11,0),"")</f>
        <v>13</v>
      </c>
      <c r="C280">
        <f>IFERROR(VLOOKUP(A280,管理亚马逊库存!A:L,12,0),"")</f>
        <v>2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1</v>
      </c>
      <c r="H280">
        <f>IFERROR(VLOOKUP(A280,预留库存!A:H,8,0),0)</f>
        <v>1</v>
      </c>
      <c r="I280">
        <f>IFERROR(VLOOKUP(A280,预留库存!A:F,6,0),0)</f>
        <v>1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1114</v>
      </c>
      <c r="B281">
        <f>IFERROR(VLOOKUP(A281,管理亚马逊库存!A:K,11,0),"")</f>
        <v>4</v>
      </c>
      <c r="C281">
        <f>IFERROR(VLOOKUP(A281,管理亚马逊库存!A:L,12,0),"")</f>
        <v>1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1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1118</v>
      </c>
      <c r="B282">
        <f>IFERROR(VLOOKUP(A282,管理亚马逊库存!A:K,11,0),"")</f>
        <v>10</v>
      </c>
      <c r="C282">
        <f>IFERROR(VLOOKUP(A282,管理亚马逊库存!A:L,12,0),"")</f>
        <v>2</v>
      </c>
      <c r="D282">
        <f>IFERROR(VLOOKUP(A282,管理亚马逊库存!A:Q,17,0),"")</f>
        <v>13</v>
      </c>
      <c r="E282">
        <f>IFERROR(VLOOKUP(A282,管理亚马逊库存!A:R,18,0),"")</f>
        <v>0</v>
      </c>
      <c r="F282">
        <f t="shared" si="9"/>
        <v>13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2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1122</v>
      </c>
      <c r="B283">
        <f>IFERROR(VLOOKUP(A283,管理亚马逊库存!A:K,11,0),"")</f>
        <v>1</v>
      </c>
      <c r="C283">
        <f>IFERROR(VLOOKUP(A283,管理亚马逊库存!A:L,12,0),"")</f>
        <v>4</v>
      </c>
      <c r="D283">
        <f>IFERROR(VLOOKUP(A283,管理亚马逊库存!A:Q,17,0),"")</f>
        <v>4</v>
      </c>
      <c r="E283">
        <f>IFERROR(VLOOKUP(A283,管理亚马逊库存!A:R,18,0),"")</f>
        <v>0</v>
      </c>
      <c r="F283">
        <f t="shared" si="9"/>
        <v>4</v>
      </c>
      <c r="G283">
        <f>IFERROR(VLOOKUP(A283,预留库存!A:G,7,0),0)</f>
        <v>13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1126</v>
      </c>
      <c r="B284">
        <f>IFERROR(VLOOKUP(A284,管理亚马逊库存!A:K,11,0),"")</f>
        <v>21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1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1129</v>
      </c>
      <c r="B285">
        <f>IFERROR(VLOOKUP(A285,管理亚马逊库存!A:K,11,0),"")</f>
        <v>3</v>
      </c>
      <c r="C285">
        <f>IFERROR(VLOOKUP(A285,管理亚马逊库存!A:L,12,0),"")</f>
        <v>1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1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1133</v>
      </c>
      <c r="B286">
        <f>IFERROR(VLOOKUP(A286,管理亚马逊库存!A:K,11,0),"")</f>
        <v>7</v>
      </c>
      <c r="C286">
        <f>IFERROR(VLOOKUP(A286,管理亚马逊库存!A:L,12,0),"")</f>
        <v>0</v>
      </c>
      <c r="D286">
        <f>IFERROR(VLOOKUP(A286,管理亚马逊库存!A:Q,17,0),"")</f>
        <v>8</v>
      </c>
      <c r="E286">
        <f>IFERROR(VLOOKUP(A286,管理亚马逊库存!A:R,18,0),"")</f>
        <v>0</v>
      </c>
      <c r="F286">
        <f t="shared" si="9"/>
        <v>8</v>
      </c>
      <c r="G286">
        <f>IFERROR(VLOOKUP(A286,预留库存!A:G,7,0),0)</f>
        <v>1</v>
      </c>
      <c r="H286">
        <f>IFERROR(VLOOKUP(A286,预留库存!A:H,8,0),0)</f>
        <v>0</v>
      </c>
      <c r="I286">
        <f>IFERROR(VLOOKUP(A286,预留库存!A:F,6,0),0)</f>
        <v>1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1137</v>
      </c>
      <c r="B287">
        <f>IFERROR(VLOOKUP(A287,管理亚马逊库存!A:K,11,0),"")</f>
        <v>5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5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1141</v>
      </c>
      <c r="B288">
        <f>IFERROR(VLOOKUP(A288,管理亚马逊库存!A:K,11,0),"")</f>
        <v>8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1</v>
      </c>
      <c r="I288">
        <f>IFERROR(VLOOKUP(A288,预留库存!A:F,6,0),0)</f>
        <v>2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1144</v>
      </c>
      <c r="B289">
        <f>IFERROR(VLOOKUP(A289,管理亚马逊库存!A:K,11,0),"")</f>
        <v>9</v>
      </c>
      <c r="C289">
        <f>IFERROR(VLOOKUP(A289,管理亚马逊库存!A:L,12,0),"")</f>
        <v>0</v>
      </c>
      <c r="D289">
        <f>IFERROR(VLOOKUP(A289,管理亚马逊库存!A:Q,17,0),"")</f>
        <v>10</v>
      </c>
      <c r="E289">
        <f>IFERROR(VLOOKUP(A289,管理亚马逊库存!A:R,18,0),"")</f>
        <v>0</v>
      </c>
      <c r="F289">
        <f t="shared" si="9"/>
        <v>10</v>
      </c>
      <c r="G289">
        <f>IFERROR(VLOOKUP(A289,预留库存!A:G,7,0),0)</f>
        <v>0</v>
      </c>
      <c r="H289">
        <f>IFERROR(VLOOKUP(A289,预留库存!A:H,8,0),0)</f>
        <v>1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1148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8</v>
      </c>
      <c r="E290">
        <f>IFERROR(VLOOKUP(A290,管理亚马逊库存!A:R,18,0),"")</f>
        <v>0</v>
      </c>
      <c r="F290">
        <f t="shared" si="9"/>
        <v>8</v>
      </c>
      <c r="G290">
        <f>IFERROR(VLOOKUP(A290,预留库存!A:G,7,0),0)</f>
        <v>1</v>
      </c>
      <c r="H290">
        <f>IFERROR(VLOOKUP(A290,预留库存!A:H,8,0),0)</f>
        <v>1</v>
      </c>
      <c r="I290">
        <f>IFERROR(VLOOKUP(A290,预留库存!A:F,6,0),0)</f>
        <v>1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1151</v>
      </c>
      <c r="B291">
        <f>IFERROR(VLOOKUP(A291,管理亚马逊库存!A:K,11,0),"")</f>
        <v>0</v>
      </c>
      <c r="C291">
        <f>IFERROR(VLOOKUP(A291,管理亚马逊库存!A:L,12,0),"")</f>
        <v>1</v>
      </c>
      <c r="D291">
        <f>IFERROR(VLOOKUP(A291,管理亚马逊库存!A:Q,17,0),"")</f>
        <v>5</v>
      </c>
      <c r="E291">
        <f>IFERROR(VLOOKUP(A291,管理亚马逊库存!A:R,18,0),"")</f>
        <v>0</v>
      </c>
      <c r="F291">
        <f t="shared" si="9"/>
        <v>5</v>
      </c>
      <c r="G291">
        <f>IFERROR(VLOOKUP(A291,预留库存!A:G,7,0),0)</f>
        <v>0</v>
      </c>
      <c r="H291">
        <f>IFERROR(VLOOKUP(A291,预留库存!A:H,8,0),0)</f>
        <v>2</v>
      </c>
      <c r="I291">
        <f>IFERROR(VLOOKUP(A291,预留库存!A:F,6,0),0)</f>
        <v>1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1154</v>
      </c>
      <c r="B292">
        <f>IFERROR(VLOOKUP(A292,管理亚马逊库存!A:K,11,0),"")</f>
        <v>4</v>
      </c>
      <c r="C292">
        <f>IFERROR(VLOOKUP(A292,管理亚马逊库存!A:L,12,0),"")</f>
        <v>0</v>
      </c>
      <c r="D292">
        <f>IFERROR(VLOOKUP(A292,管理亚马逊库存!A:Q,17,0),"")</f>
        <v>13</v>
      </c>
      <c r="E292">
        <f>IFERROR(VLOOKUP(A292,管理亚马逊库存!A:R,18,0),"")</f>
        <v>0</v>
      </c>
      <c r="F292">
        <f t="shared" si="9"/>
        <v>13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1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1157</v>
      </c>
      <c r="B293">
        <f>IFERROR(VLOOKUP(A293,管理亚马逊库存!A:K,11,0),"")</f>
        <v>13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1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1161</v>
      </c>
      <c r="B294">
        <f>IFERROR(VLOOKUP(A294,管理亚马逊库存!A:K,11,0),"")</f>
        <v>10</v>
      </c>
      <c r="C294">
        <f>IFERROR(VLOOKUP(A294,管理亚马逊库存!A:L,12,0),"")</f>
        <v>3</v>
      </c>
      <c r="D294">
        <f>IFERROR(VLOOKUP(A294,管理亚马逊库存!A:Q,17,0),"")</f>
        <v>6</v>
      </c>
      <c r="E294">
        <f>IFERROR(VLOOKUP(A294,管理亚马逊库存!A:R,18,0),"")</f>
        <v>0</v>
      </c>
      <c r="F294">
        <f t="shared" si="9"/>
        <v>6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1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1164</v>
      </c>
      <c r="B295">
        <f>IFERROR(VLOOKUP(A295,管理亚马逊库存!A:K,11,0),"")</f>
        <v>10</v>
      </c>
      <c r="C295">
        <f>IFERROR(VLOOKUP(A295,管理亚马逊库存!A:L,12,0),"")</f>
        <v>2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1</v>
      </c>
      <c r="H295">
        <f>IFERROR(VLOOKUP(A295,预留库存!A:H,8,0),0)</f>
        <v>1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1167</v>
      </c>
      <c r="B296">
        <f>IFERROR(VLOOKUP(A296,管理亚马逊库存!A:K,11,0),"")</f>
        <v>3</v>
      </c>
      <c r="C296">
        <f>IFERROR(VLOOKUP(A296,管理亚马逊库存!A:L,12,0),"")</f>
        <v>1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1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1171</v>
      </c>
      <c r="B297">
        <f>IFERROR(VLOOKUP(A297,管理亚马逊库存!A:K,11,0),"")</f>
        <v>1</v>
      </c>
      <c r="C297">
        <f>IFERROR(VLOOKUP(A297,管理亚马逊库存!A:L,12,0),"")</f>
        <v>0</v>
      </c>
      <c r="D297">
        <f>IFERROR(VLOOKUP(A297,管理亚马逊库存!A:Q,17,0),"")</f>
        <v>5</v>
      </c>
      <c r="E297">
        <f>IFERROR(VLOOKUP(A297,管理亚马逊库存!A:R,18,0),"")</f>
        <v>0</v>
      </c>
      <c r="F297">
        <f t="shared" si="9"/>
        <v>5</v>
      </c>
      <c r="G297">
        <f>IFERROR(VLOOKUP(A297,预留库存!A:G,7,0),0)</f>
        <v>2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1174</v>
      </c>
      <c r="B298">
        <f>IFERROR(VLOOKUP(A298,管理亚马逊库存!A:K,11,0),"")</f>
        <v>0</v>
      </c>
      <c r="C298">
        <f>IFERROR(VLOOKUP(A298,管理亚马逊库存!A:L,12,0),"")</f>
        <v>3</v>
      </c>
      <c r="D298">
        <f>IFERROR(VLOOKUP(A298,管理亚马逊库存!A:Q,17,0),"")</f>
        <v>20</v>
      </c>
      <c r="E298">
        <f>IFERROR(VLOOKUP(A298,管理亚马逊库存!A:R,18,0),"")</f>
        <v>0</v>
      </c>
      <c r="F298">
        <f t="shared" si="9"/>
        <v>20</v>
      </c>
      <c r="G298">
        <f>IFERROR(VLOOKUP(A298,预留库存!A:G,7,0),0)</f>
        <v>0</v>
      </c>
      <c r="H298">
        <f>IFERROR(VLOOKUP(A298,预留库存!A:H,8,0),0)</f>
        <v>1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1178</v>
      </c>
      <c r="B299">
        <f>IFERROR(VLOOKUP(A299,管理亚马逊库存!A:K,11,0),"")</f>
        <v>12</v>
      </c>
      <c r="C299">
        <f>IFERROR(VLOOKUP(A299,管理亚马逊库存!A:L,12,0),"")</f>
        <v>2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1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1182</v>
      </c>
      <c r="B300">
        <f>IFERROR(VLOOKUP(A300,管理亚马逊库存!A:K,11,0),"")</f>
        <v>0</v>
      </c>
      <c r="C300">
        <f>IFERROR(VLOOKUP(A300,管理亚马逊库存!A:L,12,0),"")</f>
        <v>1</v>
      </c>
      <c r="D300">
        <f>IFERROR(VLOOKUP(A300,管理亚马逊库存!A:Q,17,0),"")</f>
        <v>0</v>
      </c>
      <c r="E300">
        <f>IFERROR(VLOOKUP(A300,管理亚马逊库存!A:R,18,0),"")</f>
        <v>10</v>
      </c>
      <c r="F300">
        <f t="shared" si="9"/>
        <v>10</v>
      </c>
      <c r="G300">
        <f>IFERROR(VLOOKUP(A300,预留库存!A:G,7,0),0)</f>
        <v>0</v>
      </c>
      <c r="H300">
        <f>IFERROR(VLOOKUP(A300,预留库存!A:H,8,0),0)</f>
        <v>1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1185</v>
      </c>
      <c r="B301">
        <f>IFERROR(VLOOKUP(A301,管理亚马逊库存!A:K,11,0),"")</f>
        <v>14</v>
      </c>
      <c r="C301">
        <f>IFERROR(VLOOKUP(A301,管理亚马逊库存!A:L,12,0),"")</f>
        <v>2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1</v>
      </c>
      <c r="I301">
        <f>IFERROR(VLOOKUP(A301,预留库存!A:F,6,0),0)</f>
        <v>2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1188</v>
      </c>
      <c r="B302">
        <f>IFERROR(VLOOKUP(A302,管理亚马逊库存!A:K,11,0),"")</f>
        <v>2</v>
      </c>
      <c r="C302">
        <f>IFERROR(VLOOKUP(A302,管理亚马逊库存!A:L,12,0),"")</f>
        <v>0</v>
      </c>
      <c r="D302">
        <f>IFERROR(VLOOKUP(A302,管理亚马逊库存!A:Q,17,0),"")</f>
        <v>20</v>
      </c>
      <c r="E302">
        <f>IFERROR(VLOOKUP(A302,管理亚马逊库存!A:R,18,0),"")</f>
        <v>0</v>
      </c>
      <c r="F302">
        <f t="shared" si="9"/>
        <v>20</v>
      </c>
      <c r="G302">
        <f>IFERROR(VLOOKUP(A302,预留库存!A:G,7,0),0)</f>
        <v>19</v>
      </c>
      <c r="H302">
        <f>IFERROR(VLOOKUP(A302,预留库存!A:H,8,0),0)</f>
        <v>3</v>
      </c>
      <c r="I302">
        <f>IFERROR(VLOOKUP(A302,预留库存!A:F,6,0),0)</f>
        <v>1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1191</v>
      </c>
      <c r="B303">
        <f>IFERROR(VLOOKUP(A303,管理亚马逊库存!A:K,11,0),"")</f>
        <v>0</v>
      </c>
      <c r="C303">
        <f>IFERROR(VLOOKUP(A303,管理亚马逊库存!A:L,12,0),"")</f>
        <v>3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1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1195</v>
      </c>
      <c r="B304">
        <f>IFERROR(VLOOKUP(A304,管理亚马逊库存!A:K,11,0),"")</f>
        <v>3</v>
      </c>
      <c r="C304">
        <f>IFERROR(VLOOKUP(A304,管理亚马逊库存!A:L,12,0),"")</f>
        <v>1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1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1199</v>
      </c>
      <c r="B305">
        <f>IFERROR(VLOOKUP(A305,管理亚马逊库存!A:K,11,0),"")</f>
        <v>8</v>
      </c>
      <c r="C305">
        <f>IFERROR(VLOOKUP(A305,管理亚马逊库存!A:L,12,0),"")</f>
        <v>3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1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1202</v>
      </c>
      <c r="B306">
        <f>IFERROR(VLOOKUP(A306,管理亚马逊库存!A:K,11,0),"")</f>
        <v>0</v>
      </c>
      <c r="C306">
        <f>IFERROR(VLOOKUP(A306,管理亚马逊库存!A:L,12,0),"")</f>
        <v>1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1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1206</v>
      </c>
      <c r="B307">
        <f>IFERROR(VLOOKUP(A307,管理亚马逊库存!A:K,11,0),"")</f>
        <v>14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1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1210</v>
      </c>
      <c r="B308">
        <f>IFERROR(VLOOKUP(A308,管理亚马逊库存!A:K,11,0),"")</f>
        <v>0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1</v>
      </c>
      <c r="H308">
        <f>IFERROR(VLOOKUP(A308,预留库存!A:H,8,0),0)</f>
        <v>1</v>
      </c>
      <c r="I308">
        <f>IFERROR(VLOOKUP(A308,预留库存!A:F,6,0),0)</f>
        <v>2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1214</v>
      </c>
      <c r="B309">
        <f>IFERROR(VLOOKUP(A309,管理亚马逊库存!A:K,11,0),"")</f>
        <v>8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1</v>
      </c>
      <c r="H309">
        <f>IFERROR(VLOOKUP(A309,预留库存!A:H,8,0),0)</f>
        <v>0</v>
      </c>
      <c r="I309">
        <f>IFERROR(VLOOKUP(A309,预留库存!A:F,6,0),0)</f>
        <v>1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1217</v>
      </c>
      <c r="B310">
        <f>IFERROR(VLOOKUP(A310,管理亚马逊库存!A:K,11,0),"")</f>
        <v>11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1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1220</v>
      </c>
      <c r="B311">
        <f>IFERROR(VLOOKUP(A311,管理亚马逊库存!A:K,11,0),"")</f>
        <v>19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36</v>
      </c>
      <c r="H311">
        <f>IFERROR(VLOOKUP(A311,预留库存!A:H,8,0),0)</f>
        <v>5</v>
      </c>
      <c r="I311">
        <f>IFERROR(VLOOKUP(A311,预留库存!A:F,6,0),0)</f>
        <v>1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1224</v>
      </c>
      <c r="B312">
        <f>IFERROR(VLOOKUP(A312,管理亚马逊库存!A:K,11,0),"")</f>
        <v>27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22</v>
      </c>
      <c r="H312">
        <f>IFERROR(VLOOKUP(A312,预留库存!A:H,8,0),0)</f>
        <v>9</v>
      </c>
      <c r="I312">
        <f>IFERROR(VLOOKUP(A312,预留库存!A:F,6,0),0)</f>
        <v>3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1228</v>
      </c>
      <c r="B313">
        <f>IFERROR(VLOOKUP(A313,管理亚马逊库存!A:K,11,0),"")</f>
        <v>12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19</v>
      </c>
      <c r="F313">
        <f t="shared" si="9"/>
        <v>19</v>
      </c>
      <c r="G313">
        <f>IFERROR(VLOOKUP(A313,预留库存!A:G,7,0),0)</f>
        <v>0</v>
      </c>
      <c r="H313">
        <f>IFERROR(VLOOKUP(A313,预留库存!A:H,8,0),0)</f>
        <v>1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1232</v>
      </c>
      <c r="B314">
        <f>IFERROR(VLOOKUP(A314,管理亚马逊库存!A:K,11,0),"")</f>
        <v>20</v>
      </c>
      <c r="C314">
        <f>IFERROR(VLOOKUP(A314,管理亚马逊库存!A:L,12,0),"")</f>
        <v>0</v>
      </c>
      <c r="D314">
        <f>IFERROR(VLOOKUP(A314,管理亚马逊库存!A:Q,17,0),"")</f>
        <v>20</v>
      </c>
      <c r="E314">
        <f>IFERROR(VLOOKUP(A314,管理亚马逊库存!A:R,18,0),"")</f>
        <v>0</v>
      </c>
      <c r="F314">
        <f t="shared" si="9"/>
        <v>20</v>
      </c>
      <c r="G314">
        <f>IFERROR(VLOOKUP(A314,预留库存!A:G,7,0),0)</f>
        <v>1</v>
      </c>
      <c r="H314">
        <f>IFERROR(VLOOKUP(A314,预留库存!A:H,8,0),0)</f>
        <v>5</v>
      </c>
      <c r="I314">
        <f>IFERROR(VLOOKUP(A314,预留库存!A:F,6,0),0)</f>
        <v>1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1236</v>
      </c>
      <c r="B315">
        <f>IFERROR(VLOOKUP(A315,管理亚马逊库存!A:K,11,0),"")</f>
        <v>44</v>
      </c>
      <c r="C315">
        <f>IFERROR(VLOOKUP(A315,管理亚马逊库存!A:L,12,0),"")</f>
        <v>1</v>
      </c>
      <c r="D315">
        <f>IFERROR(VLOOKUP(A315,管理亚马逊库存!A:Q,17,0),"")</f>
        <v>20</v>
      </c>
      <c r="E315">
        <f>IFERROR(VLOOKUP(A315,管理亚马逊库存!A:R,18,0),"")</f>
        <v>0</v>
      </c>
      <c r="F315">
        <f t="shared" si="9"/>
        <v>20</v>
      </c>
      <c r="G315">
        <f>IFERROR(VLOOKUP(A315,预留库存!A:G,7,0),0)</f>
        <v>1</v>
      </c>
      <c r="H315">
        <f>IFERROR(VLOOKUP(A315,预留库存!A:H,8,0),0)</f>
        <v>2</v>
      </c>
      <c r="I315">
        <f>IFERROR(VLOOKUP(A315,预留库存!A:F,6,0),0)</f>
        <v>2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1240</v>
      </c>
      <c r="B316">
        <f>IFERROR(VLOOKUP(A316,管理亚马逊库存!A:K,11,0),"")</f>
        <v>3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1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1244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97</v>
      </c>
      <c r="E317">
        <f>IFERROR(VLOOKUP(A317,管理亚马逊库存!A:R,18,0),"")</f>
        <v>30</v>
      </c>
      <c r="F317">
        <f t="shared" si="9"/>
        <v>127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1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1248</v>
      </c>
      <c r="B318">
        <f>IFERROR(VLOOKUP(A318,管理亚马逊库存!A:K,11,0),"")</f>
        <v>28</v>
      </c>
      <c r="C318">
        <f>IFERROR(VLOOKUP(A318,管理亚马逊库存!A:L,12,0),"")</f>
        <v>1</v>
      </c>
      <c r="D318">
        <f>IFERROR(VLOOKUP(A318,管理亚马逊库存!A:Q,17,0),"")</f>
        <v>30</v>
      </c>
      <c r="E318">
        <f>IFERROR(VLOOKUP(A318,管理亚马逊库存!A:R,18,0),"")</f>
        <v>0</v>
      </c>
      <c r="F318">
        <f t="shared" si="9"/>
        <v>30</v>
      </c>
      <c r="G318">
        <f>IFERROR(VLOOKUP(A318,预留库存!A:G,7,0),0)</f>
        <v>62</v>
      </c>
      <c r="H318">
        <f>IFERROR(VLOOKUP(A318,预留库存!A:H,8,0),0)</f>
        <v>3</v>
      </c>
      <c r="I318">
        <f>IFERROR(VLOOKUP(A318,预留库存!A:F,6,0),0)</f>
        <v>5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1252</v>
      </c>
      <c r="B319">
        <f>IFERROR(VLOOKUP(A319,管理亚马逊库存!A:K,11,0),"")</f>
        <v>68</v>
      </c>
      <c r="C319">
        <f>IFERROR(VLOOKUP(A319,管理亚马逊库存!A:L,12,0),"")</f>
        <v>1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1</v>
      </c>
      <c r="H319">
        <f>IFERROR(VLOOKUP(A319,预留库存!A:H,8,0),0)</f>
        <v>0</v>
      </c>
      <c r="I319">
        <f>IFERROR(VLOOKUP(A319,预留库存!A:F,6,0),0)</f>
        <v>1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1256</v>
      </c>
      <c r="B320">
        <f>IFERROR(VLOOKUP(A320,管理亚马逊库存!A:K,11,0),"")</f>
        <v>0</v>
      </c>
      <c r="C320">
        <f>IFERROR(VLOOKUP(A320,管理亚马逊库存!A:L,12,0),"")</f>
        <v>2</v>
      </c>
      <c r="D320">
        <f>IFERROR(VLOOKUP(A320,管理亚马逊库存!A:Q,17,0),"")</f>
        <v>25</v>
      </c>
      <c r="E320">
        <f>IFERROR(VLOOKUP(A320,管理亚马逊库存!A:R,18,0),"")</f>
        <v>13</v>
      </c>
      <c r="F320">
        <f t="shared" si="9"/>
        <v>38</v>
      </c>
      <c r="G320">
        <f>IFERROR(VLOOKUP(A320,预留库存!A:G,7,0),0)</f>
        <v>21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1260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35</v>
      </c>
      <c r="E321">
        <f>IFERROR(VLOOKUP(A321,管理亚马逊库存!A:R,18,0),"")</f>
        <v>0</v>
      </c>
      <c r="F321">
        <f t="shared" si="9"/>
        <v>35</v>
      </c>
      <c r="G321">
        <f>IFERROR(VLOOKUP(A321,预留库存!A:G,7,0),0)</f>
        <v>0</v>
      </c>
      <c r="H321">
        <f>IFERROR(VLOOKUP(A321,预留库存!A:H,8,0),0)</f>
        <v>1</v>
      </c>
      <c r="I321">
        <f>IFERROR(VLOOKUP(A321,预留库存!A:F,6,0),0)</f>
        <v>1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1264</v>
      </c>
      <c r="B322">
        <f>IFERROR(VLOOKUP(A322,管理亚马逊库存!A:K,11,0),"")</f>
        <v>14</v>
      </c>
      <c r="C322">
        <f>IFERROR(VLOOKUP(A322,管理亚马逊库存!A:L,12,0),"")</f>
        <v>0</v>
      </c>
      <c r="D322">
        <f>IFERROR(VLOOKUP(A322,管理亚马逊库存!A:Q,17,0),"")</f>
        <v>26</v>
      </c>
      <c r="E322">
        <f>IFERROR(VLOOKUP(A322,管理亚马逊库存!A:R,18,0),"")</f>
        <v>25</v>
      </c>
      <c r="F322">
        <f t="shared" si="9"/>
        <v>51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1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1268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5</v>
      </c>
      <c r="E323">
        <f>IFERROR(VLOOKUP(A323,管理亚马逊库存!A:R,18,0),"")</f>
        <v>0</v>
      </c>
      <c r="F323">
        <f t="shared" ref="F323:F386" si="11">SUM(D323:E323)</f>
        <v>5</v>
      </c>
      <c r="G323">
        <f>IFERROR(VLOOKUP(A323,预留库存!A:G,7,0),0)</f>
        <v>1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1271</v>
      </c>
      <c r="B324">
        <f>IFERROR(VLOOKUP(A324,管理亚马逊库存!A:K,11,0),"")</f>
        <v>0</v>
      </c>
      <c r="C324">
        <f>IFERROR(VLOOKUP(A324,管理亚马逊库存!A:L,12,0),"")</f>
        <v>2</v>
      </c>
      <c r="D324">
        <f>IFERROR(VLOOKUP(A324,管理亚马逊库存!A:Q,17,0),"")</f>
        <v>60</v>
      </c>
      <c r="E324">
        <f>IFERROR(VLOOKUP(A324,管理亚马逊库存!A:R,18,0),"")</f>
        <v>0</v>
      </c>
      <c r="F324">
        <f t="shared" si="11"/>
        <v>60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1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1275</v>
      </c>
      <c r="B325">
        <f>IFERROR(VLOOKUP(A325,管理亚马逊库存!A:K,11,0),"")</f>
        <v>15</v>
      </c>
      <c r="C325">
        <f>IFERROR(VLOOKUP(A325,管理亚马逊库存!A:L,12,0),"")</f>
        <v>1</v>
      </c>
      <c r="D325">
        <f>IFERROR(VLOOKUP(A325,管理亚马逊库存!A:Q,17,0),"")</f>
        <v>39</v>
      </c>
      <c r="E325">
        <f>IFERROR(VLOOKUP(A325,管理亚马逊库存!A:R,18,0),"")</f>
        <v>23</v>
      </c>
      <c r="F325">
        <f t="shared" si="11"/>
        <v>62</v>
      </c>
      <c r="G325">
        <f>IFERROR(VLOOKUP(A325,预留库存!A:G,7,0),0)</f>
        <v>9</v>
      </c>
      <c r="H325">
        <f>IFERROR(VLOOKUP(A325,预留库存!A:H,8,0),0)</f>
        <v>3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1279</v>
      </c>
      <c r="B326">
        <f>IFERROR(VLOOKUP(A326,管理亚马逊库存!A:K,11,0),"")</f>
        <v>8</v>
      </c>
      <c r="C326">
        <f>IFERROR(VLOOKUP(A326,管理亚马逊库存!A:L,12,0),"")</f>
        <v>2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1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1283</v>
      </c>
      <c r="B327">
        <f>IFERROR(VLOOKUP(A327,管理亚马逊库存!A:K,11,0),"")</f>
        <v>0</v>
      </c>
      <c r="C327">
        <f>IFERROR(VLOOKUP(A327,管理亚马逊库存!A:L,12,0),"")</f>
        <v>1</v>
      </c>
      <c r="D327">
        <f>IFERROR(VLOOKUP(A327,管理亚马逊库存!A:Q,17,0),"")</f>
        <v>10</v>
      </c>
      <c r="E327">
        <f>IFERROR(VLOOKUP(A327,管理亚马逊库存!A:R,18,0),"")</f>
        <v>0</v>
      </c>
      <c r="F327">
        <f t="shared" si="11"/>
        <v>10</v>
      </c>
      <c r="G327">
        <f>IFERROR(VLOOKUP(A327,预留库存!A:G,7,0),0)</f>
        <v>0</v>
      </c>
      <c r="H327">
        <f>IFERROR(VLOOKUP(A327,预留库存!A:H,8,0),0)</f>
        <v>1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1286</v>
      </c>
      <c r="B328">
        <f>IFERROR(VLOOKUP(A328,管理亚马逊库存!A:K,11,0),"")</f>
        <v>13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13</v>
      </c>
      <c r="F328">
        <f t="shared" si="11"/>
        <v>13</v>
      </c>
      <c r="G328">
        <f>IFERROR(VLOOKUP(A328,预留库存!A:G,7,0),0)</f>
        <v>0</v>
      </c>
      <c r="H328">
        <f>IFERROR(VLOOKUP(A328,预留库存!A:H,8,0),0)</f>
        <v>2</v>
      </c>
      <c r="I328">
        <f>IFERROR(VLOOKUP(A328,预留库存!A:F,6,0),0)</f>
        <v>1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1290</v>
      </c>
      <c r="B329">
        <f>IFERROR(VLOOKUP(A329,管理亚马逊库存!A:K,11,0),"")</f>
        <v>24</v>
      </c>
      <c r="C329">
        <f>IFERROR(VLOOKUP(A329,管理亚马逊库存!A:L,12,0),"")</f>
        <v>3</v>
      </c>
      <c r="D329">
        <f>IFERROR(VLOOKUP(A329,管理亚马逊库存!A:Q,17,0),"")</f>
        <v>9</v>
      </c>
      <c r="E329">
        <f>IFERROR(VLOOKUP(A329,管理亚马逊库存!A:R,18,0),"")</f>
        <v>0</v>
      </c>
      <c r="F329">
        <f t="shared" si="11"/>
        <v>9</v>
      </c>
      <c r="G329">
        <f>IFERROR(VLOOKUP(A329,预留库存!A:G,7,0),0)</f>
        <v>0</v>
      </c>
      <c r="H329">
        <f>IFERROR(VLOOKUP(A329,预留库存!A:H,8,0),0)</f>
        <v>1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1294</v>
      </c>
      <c r="B330">
        <f>IFERROR(VLOOKUP(A330,管理亚马逊库存!A:K,11,0),"")</f>
        <v>15</v>
      </c>
      <c r="C330">
        <f>IFERROR(VLOOKUP(A330,管理亚马逊库存!A:L,12,0),"")</f>
        <v>2</v>
      </c>
      <c r="D330">
        <f>IFERROR(VLOOKUP(A330,管理亚马逊库存!A:Q,17,0),"")</f>
        <v>5</v>
      </c>
      <c r="E330">
        <f>IFERROR(VLOOKUP(A330,管理亚马逊库存!A:R,18,0),"")</f>
        <v>0</v>
      </c>
      <c r="F330">
        <f t="shared" si="11"/>
        <v>5</v>
      </c>
      <c r="G330">
        <f>IFERROR(VLOOKUP(A330,预留库存!A:G,7,0),0)</f>
        <v>2</v>
      </c>
      <c r="H330">
        <f>IFERROR(VLOOKUP(A330,预留库存!A:H,8,0),0)</f>
        <v>4</v>
      </c>
      <c r="I330">
        <f>IFERROR(VLOOKUP(A330,预留库存!A:F,6,0),0)</f>
        <v>1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1298</v>
      </c>
      <c r="B331">
        <f>IFERROR(VLOOKUP(A331,管理亚马逊库存!A:K,11,0),"")</f>
        <v>17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13</v>
      </c>
      <c r="H331">
        <f>IFERROR(VLOOKUP(A331,预留库存!A:H,8,0),0)</f>
        <v>2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1302</v>
      </c>
      <c r="B332">
        <f>IFERROR(VLOOKUP(A332,管理亚马逊库存!A:K,11,0),"")</f>
        <v>0</v>
      </c>
      <c r="C332">
        <f>IFERROR(VLOOKUP(A332,管理亚马逊库存!A:L,12,0),"")</f>
        <v>1</v>
      </c>
      <c r="D332">
        <f>IFERROR(VLOOKUP(A332,管理亚马逊库存!A:Q,17,0),"")</f>
        <v>48</v>
      </c>
      <c r="E332">
        <f>IFERROR(VLOOKUP(A332,管理亚马逊库存!A:R,18,0),"")</f>
        <v>0</v>
      </c>
      <c r="F332">
        <f t="shared" si="11"/>
        <v>48</v>
      </c>
      <c r="G332">
        <f>IFERROR(VLOOKUP(A332,预留库存!A:G,7,0),0)</f>
        <v>96</v>
      </c>
      <c r="H332">
        <f>IFERROR(VLOOKUP(A332,预留库存!A:H,8,0),0)</f>
        <v>0</v>
      </c>
      <c r="I332">
        <f>IFERROR(VLOOKUP(A332,预留库存!A:F,6,0),0)</f>
        <v>2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1306</v>
      </c>
      <c r="B333">
        <f>IFERROR(VLOOKUP(A333,管理亚马逊库存!A:K,11,0),"")</f>
        <v>22</v>
      </c>
      <c r="C333">
        <f>IFERROR(VLOOKUP(A333,管理亚马逊库存!A:L,12,0),"")</f>
        <v>4</v>
      </c>
      <c r="D333">
        <f>IFERROR(VLOOKUP(A333,管理亚马逊库存!A:Q,17,0),"")</f>
        <v>66</v>
      </c>
      <c r="E333">
        <f>IFERROR(VLOOKUP(A333,管理亚马逊库存!A:R,18,0),"")</f>
        <v>0</v>
      </c>
      <c r="F333">
        <f t="shared" si="11"/>
        <v>66</v>
      </c>
      <c r="G333">
        <f>IFERROR(VLOOKUP(A333,预留库存!A:G,7,0),0)</f>
        <v>100</v>
      </c>
      <c r="H333">
        <f>IFERROR(VLOOKUP(A333,预留库存!A:H,8,0),0)</f>
        <v>2</v>
      </c>
      <c r="I333">
        <f>IFERROR(VLOOKUP(A333,预留库存!A:F,6,0),0)</f>
        <v>1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1310</v>
      </c>
      <c r="B334">
        <f>IFERROR(VLOOKUP(A334,管理亚马逊库存!A:K,11,0),"")</f>
        <v>6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1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1313</v>
      </c>
      <c r="B335">
        <f>IFERROR(VLOOKUP(A335,管理亚马逊库存!A:K,11,0),"")</f>
        <v>0</v>
      </c>
      <c r="C335">
        <f>IFERROR(VLOOKUP(A335,管理亚马逊库存!A:L,12,0),"")</f>
        <v>1</v>
      </c>
      <c r="D335">
        <f>IFERROR(VLOOKUP(A335,管理亚马逊库存!A:Q,17,0),"")</f>
        <v>65</v>
      </c>
      <c r="E335">
        <f>IFERROR(VLOOKUP(A335,管理亚马逊库存!A:R,18,0),"")</f>
        <v>0</v>
      </c>
      <c r="F335">
        <f t="shared" si="11"/>
        <v>65</v>
      </c>
      <c r="G335">
        <f>IFERROR(VLOOKUP(A335,预留库存!A:G,7,0),0)</f>
        <v>0</v>
      </c>
      <c r="H335">
        <f>IFERROR(VLOOKUP(A335,预留库存!A:H,8,0),0)</f>
        <v>3</v>
      </c>
      <c r="I335">
        <f>IFERROR(VLOOKUP(A335,预留库存!A:F,6,0),0)</f>
        <v>1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1317</v>
      </c>
      <c r="B336">
        <f>IFERROR(VLOOKUP(A336,管理亚马逊库存!A:K,11,0),"")</f>
        <v>77</v>
      </c>
      <c r="C336">
        <f>IFERROR(VLOOKUP(A336,管理亚马逊库存!A:L,12,0),"")</f>
        <v>1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14</v>
      </c>
      <c r="H336">
        <f>IFERROR(VLOOKUP(A336,预留库存!A:H,8,0),0)</f>
        <v>2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1321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5</v>
      </c>
      <c r="E337">
        <f>IFERROR(VLOOKUP(A337,管理亚马逊库存!A:R,18,0),"")</f>
        <v>0</v>
      </c>
      <c r="F337">
        <f t="shared" si="11"/>
        <v>5</v>
      </c>
      <c r="G337">
        <f>IFERROR(VLOOKUP(A337,预留库存!A:G,7,0),0)</f>
        <v>0</v>
      </c>
      <c r="H337">
        <f>IFERROR(VLOOKUP(A337,预留库存!A:H,8,0),0)</f>
        <v>1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1325</v>
      </c>
      <c r="B338">
        <f>IFERROR(VLOOKUP(A338,管理亚马逊库存!A:K,11,0),"")</f>
        <v>3</v>
      </c>
      <c r="C338">
        <f>IFERROR(VLOOKUP(A338,管理亚马逊库存!A:L,12,0),"")</f>
        <v>1</v>
      </c>
      <c r="D338">
        <f>IFERROR(VLOOKUP(A338,管理亚马逊库存!A:Q,17,0),"")</f>
        <v>10</v>
      </c>
      <c r="E338">
        <f>IFERROR(VLOOKUP(A338,管理亚马逊库存!A:R,18,0),"")</f>
        <v>0</v>
      </c>
      <c r="F338">
        <f t="shared" si="11"/>
        <v>10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1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1329</v>
      </c>
      <c r="B339">
        <f>IFERROR(VLOOKUP(A339,管理亚马逊库存!A:K,11,0),"")</f>
        <v>9</v>
      </c>
      <c r="C339">
        <f>IFERROR(VLOOKUP(A339,管理亚马逊库存!A:L,12,0),"")</f>
        <v>3</v>
      </c>
      <c r="D339">
        <f>IFERROR(VLOOKUP(A339,管理亚马逊库存!A:Q,17,0),"")</f>
        <v>30</v>
      </c>
      <c r="E339">
        <f>IFERROR(VLOOKUP(A339,管理亚马逊库存!A:R,18,0),"")</f>
        <v>0</v>
      </c>
      <c r="F339">
        <f t="shared" si="11"/>
        <v>30</v>
      </c>
      <c r="G339">
        <f>IFERROR(VLOOKUP(A339,预留库存!A:G,7,0),0)</f>
        <v>0</v>
      </c>
      <c r="H339">
        <f>IFERROR(VLOOKUP(A339,预留库存!A:H,8,0),0)</f>
        <v>2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1333</v>
      </c>
      <c r="B340">
        <f>IFERROR(VLOOKUP(A340,管理亚马逊库存!A:K,11,0),"")</f>
        <v>6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54</v>
      </c>
      <c r="H340">
        <f>IFERROR(VLOOKUP(A340,预留库存!A:H,8,0),0)</f>
        <v>8</v>
      </c>
      <c r="I340">
        <f>IFERROR(VLOOKUP(A340,预留库存!A:F,6,0),0)</f>
        <v>2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1337</v>
      </c>
      <c r="B341">
        <f>IFERROR(VLOOKUP(A341,管理亚马逊库存!A:K,11,0),"")</f>
        <v>10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1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1341</v>
      </c>
      <c r="B342">
        <f>IFERROR(VLOOKUP(A342,管理亚马逊库存!A:K,11,0),"")</f>
        <v>15</v>
      </c>
      <c r="C342">
        <f>IFERROR(VLOOKUP(A342,管理亚马逊库存!A:L,12,0),"")</f>
        <v>0</v>
      </c>
      <c r="D342">
        <f>IFERROR(VLOOKUP(A342,管理亚马逊库存!A:Q,17,0),"")</f>
        <v>5</v>
      </c>
      <c r="E342">
        <f>IFERROR(VLOOKUP(A342,管理亚马逊库存!A:R,18,0),"")</f>
        <v>15</v>
      </c>
      <c r="F342">
        <f t="shared" si="11"/>
        <v>20</v>
      </c>
      <c r="G342">
        <f>IFERROR(VLOOKUP(A342,预留库存!A:G,7,0),0)</f>
        <v>0</v>
      </c>
      <c r="H342">
        <f>IFERROR(VLOOKUP(A342,预留库存!A:H,8,0),0)</f>
        <v>3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1345</v>
      </c>
      <c r="B343">
        <f>IFERROR(VLOOKUP(A343,管理亚马逊库存!A:K,11,0),"")</f>
        <v>25</v>
      </c>
      <c r="C343">
        <f>IFERROR(VLOOKUP(A343,管理亚马逊库存!A:L,12,0),"")</f>
        <v>2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1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1349</v>
      </c>
      <c r="B344">
        <f>IFERROR(VLOOKUP(A344,管理亚马逊库存!A:K,11,0),"")</f>
        <v>1</v>
      </c>
      <c r="C344">
        <f>IFERROR(VLOOKUP(A344,管理亚马逊库存!A:L,12,0),"")</f>
        <v>0</v>
      </c>
      <c r="D344">
        <f>IFERROR(VLOOKUP(A344,管理亚马逊库存!A:Q,17,0),"")</f>
        <v>24</v>
      </c>
      <c r="E344">
        <f>IFERROR(VLOOKUP(A344,管理亚马逊库存!A:R,18,0),"")</f>
        <v>0</v>
      </c>
      <c r="F344">
        <f t="shared" si="11"/>
        <v>24</v>
      </c>
      <c r="G344">
        <f>IFERROR(VLOOKUP(A344,预留库存!A:G,7,0),0)</f>
        <v>5</v>
      </c>
      <c r="H344">
        <f>IFERROR(VLOOKUP(A344,预留库存!A:H,8,0),0)</f>
        <v>5</v>
      </c>
      <c r="I344">
        <f>IFERROR(VLOOKUP(A344,预留库存!A:F,6,0),0)</f>
        <v>8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1353</v>
      </c>
      <c r="B345">
        <f>IFERROR(VLOOKUP(A345,管理亚马逊库存!A:K,11,0),"")</f>
        <v>0</v>
      </c>
      <c r="C345">
        <f>IFERROR(VLOOKUP(A345,管理亚马逊库存!A:L,12,0),"")</f>
        <v>6</v>
      </c>
      <c r="D345">
        <f>IFERROR(VLOOKUP(A345,管理亚马逊库存!A:Q,17,0),"")</f>
        <v>37</v>
      </c>
      <c r="E345">
        <f>IFERROR(VLOOKUP(A345,管理亚马逊库存!A:R,18,0),"")</f>
        <v>49</v>
      </c>
      <c r="F345">
        <f t="shared" si="11"/>
        <v>86</v>
      </c>
      <c r="G345">
        <f>IFERROR(VLOOKUP(A345,预留库存!A:G,7,0),0)</f>
        <v>0</v>
      </c>
      <c r="H345">
        <f>IFERROR(VLOOKUP(A345,预留库存!A:H,8,0),0)</f>
        <v>2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1357</v>
      </c>
      <c r="B346">
        <f>IFERROR(VLOOKUP(A346,管理亚马逊库存!A:K,11,0),"")</f>
        <v>13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2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1361</v>
      </c>
      <c r="B347">
        <f>IFERROR(VLOOKUP(A347,管理亚马逊库存!A:K,11,0),"")</f>
        <v>0</v>
      </c>
      <c r="C347">
        <f>IFERROR(VLOOKUP(A347,管理亚马逊库存!A:L,12,0),"")</f>
        <v>2</v>
      </c>
      <c r="D347">
        <f>IFERROR(VLOOKUP(A347,管理亚马逊库存!A:Q,17,0),"")</f>
        <v>37</v>
      </c>
      <c r="E347">
        <f>IFERROR(VLOOKUP(A347,管理亚马逊库存!A:R,18,0),"")</f>
        <v>0</v>
      </c>
      <c r="F347">
        <f t="shared" si="11"/>
        <v>37</v>
      </c>
      <c r="G347">
        <f>IFERROR(VLOOKUP(A347,预留库存!A:G,7,0),0)</f>
        <v>0</v>
      </c>
      <c r="H347">
        <f>IFERROR(VLOOKUP(A347,预留库存!A:H,8,0),0)</f>
        <v>1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1365</v>
      </c>
      <c r="B348">
        <f>IFERROR(VLOOKUP(A348,管理亚马逊库存!A:K,11,0),"")</f>
        <v>0</v>
      </c>
      <c r="C348">
        <f>IFERROR(VLOOKUP(A348,管理亚马逊库存!A:L,12,0),"")</f>
        <v>1</v>
      </c>
      <c r="D348">
        <f>IFERROR(VLOOKUP(A348,管理亚马逊库存!A:Q,17,0),"")</f>
        <v>47</v>
      </c>
      <c r="E348">
        <f>IFERROR(VLOOKUP(A348,管理亚马逊库存!A:R,18,0),"")</f>
        <v>15</v>
      </c>
      <c r="F348">
        <f t="shared" si="11"/>
        <v>62</v>
      </c>
      <c r="G348">
        <f>IFERROR(VLOOKUP(A348,预留库存!A:G,7,0),0)</f>
        <v>0</v>
      </c>
      <c r="H348">
        <f>IFERROR(VLOOKUP(A348,预留库存!A:H,8,0),0)</f>
        <v>4</v>
      </c>
      <c r="I348">
        <f>IFERROR(VLOOKUP(A348,预留库存!A:F,6,0),0)</f>
        <v>1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1369</v>
      </c>
      <c r="B349">
        <f>IFERROR(VLOOKUP(A349,管理亚马逊库存!A:K,11,0),"")</f>
        <v>26</v>
      </c>
      <c r="C349">
        <f>IFERROR(VLOOKUP(A349,管理亚马逊库存!A:L,12,0),"")</f>
        <v>0</v>
      </c>
      <c r="D349">
        <f>IFERROR(VLOOKUP(A349,管理亚马逊库存!A:Q,17,0),"")</f>
        <v>20</v>
      </c>
      <c r="E349">
        <f>IFERROR(VLOOKUP(A349,管理亚马逊库存!A:R,18,0),"")</f>
        <v>0</v>
      </c>
      <c r="F349">
        <f t="shared" si="11"/>
        <v>20</v>
      </c>
      <c r="G349">
        <f>IFERROR(VLOOKUP(A349,预留库存!A:G,7,0),0)</f>
        <v>0</v>
      </c>
      <c r="H349">
        <f>IFERROR(VLOOKUP(A349,预留库存!A:H,8,0),0)</f>
        <v>2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1373</v>
      </c>
      <c r="B350">
        <f>IFERROR(VLOOKUP(A350,管理亚马逊库存!A:K,11,0),"")</f>
        <v>3</v>
      </c>
      <c r="C350">
        <f>IFERROR(VLOOKUP(A350,管理亚马逊库存!A:L,12,0),"")</f>
        <v>1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1</v>
      </c>
      <c r="I350">
        <f>IFERROR(VLOOKUP(A350,预留库存!A:F,6,0),0)</f>
        <v>0</v>
      </c>
      <c r="J350">
        <f>IFERROR(VLOOKUP(A350,库龄!B:K,9,0),0)</f>
        <v>1</v>
      </c>
      <c r="K350">
        <f>IFERROR(VLOOKUP(A350,库龄!B:L,10,0),0)</f>
        <v>0</v>
      </c>
      <c r="L350">
        <f>IFERROR(VLOOKUP(A350,库龄!B:M,11,0),0)</f>
        <v>3</v>
      </c>
      <c r="M350">
        <f>IFERROR(VLOOKUP(A350,库龄!B:N,12,0),0)</f>
        <v>0</v>
      </c>
      <c r="N350">
        <f t="shared" si="12"/>
        <v>4</v>
      </c>
    </row>
    <row r="351" spans="1:14">
      <c r="A351" s="3" t="s">
        <v>1377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1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1381</v>
      </c>
      <c r="B352">
        <f>IFERROR(VLOOKUP(A352,管理亚马逊库存!A:K,11,0),"")</f>
        <v>23</v>
      </c>
      <c r="C352">
        <f>IFERROR(VLOOKUP(A352,管理亚马逊库存!A:L,12,0),"")</f>
        <v>1</v>
      </c>
      <c r="D352">
        <f>IFERROR(VLOOKUP(A352,管理亚马逊库存!A:Q,17,0),"")</f>
        <v>30</v>
      </c>
      <c r="E352">
        <f>IFERROR(VLOOKUP(A352,管理亚马逊库存!A:R,18,0),"")</f>
        <v>19</v>
      </c>
      <c r="F352">
        <f t="shared" si="11"/>
        <v>49</v>
      </c>
      <c r="G352">
        <f>IFERROR(VLOOKUP(A352,预留库存!A:G,7,0),0)</f>
        <v>1</v>
      </c>
      <c r="H352">
        <f>IFERROR(VLOOKUP(A352,预留库存!A:H,8,0),0)</f>
        <v>1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1385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52</v>
      </c>
      <c r="E353">
        <f>IFERROR(VLOOKUP(A353,管理亚马逊库存!A:R,18,0),"")</f>
        <v>0</v>
      </c>
      <c r="F353">
        <f t="shared" si="11"/>
        <v>52</v>
      </c>
      <c r="G353">
        <f>IFERROR(VLOOKUP(A353,预留库存!A:G,7,0),0)</f>
        <v>0</v>
      </c>
      <c r="H353">
        <f>IFERROR(VLOOKUP(A353,预留库存!A:H,8,0),0)</f>
        <v>1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1389</v>
      </c>
      <c r="B354">
        <f>IFERROR(VLOOKUP(A354,管理亚马逊库存!A:K,11,0),"")</f>
        <v>0</v>
      </c>
      <c r="C354">
        <f>IFERROR(VLOOKUP(A354,管理亚马逊库存!A:L,12,0),"")</f>
        <v>2</v>
      </c>
      <c r="D354">
        <f>IFERROR(VLOOKUP(A354,管理亚马逊库存!A:Q,17,0),"")</f>
        <v>20</v>
      </c>
      <c r="E354">
        <f>IFERROR(VLOOKUP(A354,管理亚马逊库存!A:R,18,0),"")</f>
        <v>0</v>
      </c>
      <c r="F354">
        <f t="shared" si="11"/>
        <v>20</v>
      </c>
      <c r="G354">
        <f>IFERROR(VLOOKUP(A354,预留库存!A:G,7,0),0)</f>
        <v>19</v>
      </c>
      <c r="H354">
        <f>IFERROR(VLOOKUP(A354,预留库存!A:H,8,0),0)</f>
        <v>0</v>
      </c>
      <c r="I354">
        <f>IFERROR(VLOOKUP(A354,预留库存!A:F,6,0),0)</f>
        <v>1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1393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39</v>
      </c>
      <c r="F355">
        <f t="shared" si="11"/>
        <v>39</v>
      </c>
      <c r="G355">
        <f>IFERROR(VLOOKUP(A355,预留库存!A:G,7,0),0)</f>
        <v>40</v>
      </c>
      <c r="H355">
        <f>IFERROR(VLOOKUP(A355,预留库存!A:H,8,0),0)</f>
        <v>0</v>
      </c>
      <c r="I355">
        <f>IFERROR(VLOOKUP(A355,预留库存!A:F,6,0),0)</f>
        <v>7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1397</v>
      </c>
      <c r="B356">
        <f>IFERROR(VLOOKUP(A356,管理亚马逊库存!A:K,11,0),"")</f>
        <v>0</v>
      </c>
      <c r="C356">
        <f>IFERROR(VLOOKUP(A356,管理亚马逊库存!A:L,12,0),"")</f>
        <v>1</v>
      </c>
      <c r="D356">
        <f>IFERROR(VLOOKUP(A356,管理亚马逊库存!A:Q,17,0),"")</f>
        <v>24</v>
      </c>
      <c r="E356">
        <f>IFERROR(VLOOKUP(A356,管理亚马逊库存!A:R,18,0),"")</f>
        <v>0</v>
      </c>
      <c r="F356">
        <f t="shared" si="11"/>
        <v>24</v>
      </c>
      <c r="G356">
        <f>IFERROR(VLOOKUP(A356,预留库存!A:G,7,0),0)</f>
        <v>22</v>
      </c>
      <c r="H356">
        <f>IFERROR(VLOOKUP(A356,预留库存!A:H,8,0),0)</f>
        <v>0</v>
      </c>
      <c r="I356">
        <f>IFERROR(VLOOKUP(A356,预留库存!A:F,6,0),0)</f>
        <v>4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1401</v>
      </c>
      <c r="B357">
        <f>IFERROR(VLOOKUP(A357,管理亚马逊库存!A:K,11,0),"")</f>
        <v>22</v>
      </c>
      <c r="C357">
        <f>IFERROR(VLOOKUP(A357,管理亚马逊库存!A:L,12,0),"")</f>
        <v>2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1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1405</v>
      </c>
      <c r="B358">
        <f>IFERROR(VLOOKUP(A358,管理亚马逊库存!A:K,11,0),"")</f>
        <v>6</v>
      </c>
      <c r="C358">
        <f>IFERROR(VLOOKUP(A358,管理亚马逊库存!A:L,12,0),"")</f>
        <v>3</v>
      </c>
      <c r="D358">
        <f>IFERROR(VLOOKUP(A358,管理亚马逊库存!A:Q,17,0),"")</f>
        <v>10</v>
      </c>
      <c r="E358">
        <f>IFERROR(VLOOKUP(A358,管理亚马逊库存!A:R,18,0),"")</f>
        <v>0</v>
      </c>
      <c r="F358">
        <f t="shared" si="11"/>
        <v>10</v>
      </c>
      <c r="G358">
        <f>IFERROR(VLOOKUP(A358,预留库存!A:G,7,0),0)</f>
        <v>2</v>
      </c>
      <c r="H358">
        <f>IFERROR(VLOOKUP(A358,预留库存!A:H,8,0),0)</f>
        <v>1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1408</v>
      </c>
      <c r="B359">
        <f>IFERROR(VLOOKUP(A359,管理亚马逊库存!A:K,11,0),"")</f>
        <v>0</v>
      </c>
      <c r="C359">
        <f>IFERROR(VLOOKUP(A359,管理亚马逊库存!A:L,12,0),"")</f>
        <v>1</v>
      </c>
      <c r="D359">
        <f>IFERROR(VLOOKUP(A359,管理亚马逊库存!A:Q,17,0),"")</f>
        <v>49</v>
      </c>
      <c r="E359">
        <f>IFERROR(VLOOKUP(A359,管理亚马逊库存!A:R,18,0),"")</f>
        <v>0</v>
      </c>
      <c r="F359">
        <f t="shared" si="11"/>
        <v>49</v>
      </c>
      <c r="G359">
        <f>IFERROR(VLOOKUP(A359,预留库存!A:G,7,0),0)</f>
        <v>5</v>
      </c>
      <c r="H359">
        <f>IFERROR(VLOOKUP(A359,预留库存!A:H,8,0),0)</f>
        <v>12</v>
      </c>
      <c r="I359">
        <f>IFERROR(VLOOKUP(A359,预留库存!A:F,6,0),0)</f>
        <v>4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1412</v>
      </c>
      <c r="B360">
        <f>IFERROR(VLOOKUP(A360,管理亚马逊库存!A:K,11,0),"")</f>
        <v>17</v>
      </c>
      <c r="C360">
        <f>IFERROR(VLOOKUP(A360,管理亚马逊库存!A:L,12,0),"")</f>
        <v>5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1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1415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9</v>
      </c>
      <c r="E361">
        <f>IFERROR(VLOOKUP(A361,管理亚马逊库存!A:R,18,0),"")</f>
        <v>25</v>
      </c>
      <c r="F361">
        <f t="shared" si="11"/>
        <v>34</v>
      </c>
      <c r="G361">
        <f>IFERROR(VLOOKUP(A361,预留库存!A:G,7,0),0)</f>
        <v>0</v>
      </c>
      <c r="H361">
        <f>IFERROR(VLOOKUP(A361,预留库存!A:H,8,0),0)</f>
        <v>4</v>
      </c>
      <c r="I361">
        <f>IFERROR(VLOOKUP(A361,预留库存!A:F,6,0),0)</f>
        <v>7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1419</v>
      </c>
      <c r="B362">
        <f>IFERROR(VLOOKUP(A362,管理亚马逊库存!A:K,11,0),"")</f>
        <v>9</v>
      </c>
      <c r="C362">
        <f>IFERROR(VLOOKUP(A362,管理亚马逊库存!A:L,12,0),"")</f>
        <v>2</v>
      </c>
      <c r="D362">
        <f>IFERROR(VLOOKUP(A362,管理亚马逊库存!A:Q,17,0),"")</f>
        <v>30</v>
      </c>
      <c r="E362">
        <f>IFERROR(VLOOKUP(A362,管理亚马逊库存!A:R,18,0),"")</f>
        <v>0</v>
      </c>
      <c r="F362">
        <f t="shared" si="11"/>
        <v>30</v>
      </c>
      <c r="G362">
        <f>IFERROR(VLOOKUP(A362,预留库存!A:G,7,0),0)</f>
        <v>0</v>
      </c>
      <c r="H362">
        <f>IFERROR(VLOOKUP(A362,预留库存!A:H,8,0),0)</f>
        <v>5</v>
      </c>
      <c r="I362">
        <f>IFERROR(VLOOKUP(A362,预留库存!A:F,6,0),0)</f>
        <v>2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1423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1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1427</v>
      </c>
      <c r="B364">
        <f>IFERROR(VLOOKUP(A364,管理亚马逊库存!A:K,11,0),"")</f>
        <v>46</v>
      </c>
      <c r="C364">
        <f>IFERROR(VLOOKUP(A364,管理亚马逊库存!A:L,12,0),"")</f>
        <v>3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2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1431</v>
      </c>
      <c r="B365">
        <f>IFERROR(VLOOKUP(A365,管理亚马逊库存!A:K,11,0),"")</f>
        <v>1</v>
      </c>
      <c r="C365">
        <f>IFERROR(VLOOKUP(A365,管理亚马逊库存!A:L,12,0),"")</f>
        <v>1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1</v>
      </c>
      <c r="H365">
        <f>IFERROR(VLOOKUP(A365,预留库存!A:H,8,0),0)</f>
        <v>0</v>
      </c>
      <c r="I365">
        <f>IFERROR(VLOOKUP(A365,预留库存!A:F,6,0),0)</f>
        <v>1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1435</v>
      </c>
      <c r="B366">
        <f>IFERROR(VLOOKUP(A366,管理亚马逊库存!A:K,11,0),"")</f>
        <v>5</v>
      </c>
      <c r="C366">
        <f>IFERROR(VLOOKUP(A366,管理亚马逊库存!A:L,12,0),"")</f>
        <v>4</v>
      </c>
      <c r="D366">
        <f>IFERROR(VLOOKUP(A366,管理亚马逊库存!A:Q,17,0),"")</f>
        <v>5</v>
      </c>
      <c r="E366">
        <f>IFERROR(VLOOKUP(A366,管理亚马逊库存!A:R,18,0),"")</f>
        <v>0</v>
      </c>
      <c r="F366">
        <f t="shared" si="11"/>
        <v>5</v>
      </c>
      <c r="G366">
        <f>IFERROR(VLOOKUP(A366,预留库存!A:G,7,0),0)</f>
        <v>2</v>
      </c>
      <c r="H366">
        <f>IFERROR(VLOOKUP(A366,预留库存!A:H,8,0),0)</f>
        <v>0</v>
      </c>
      <c r="I366">
        <f>IFERROR(VLOOKUP(A366,预留库存!A:F,6,0),0)</f>
        <v>2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1438</v>
      </c>
      <c r="B367">
        <f>IFERROR(VLOOKUP(A367,管理亚马逊库存!A:K,11,0),"")</f>
        <v>0</v>
      </c>
      <c r="C367">
        <f>IFERROR(VLOOKUP(A367,管理亚马逊库存!A:L,12,0),"")</f>
        <v>2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10</v>
      </c>
      <c r="H367">
        <f>IFERROR(VLOOKUP(A367,预留库存!A:H,8,0),0)</f>
        <v>1</v>
      </c>
      <c r="I367">
        <f>IFERROR(VLOOKUP(A367,预留库存!A:F,6,0),0)</f>
        <v>5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1441</v>
      </c>
      <c r="B368">
        <f>IFERROR(VLOOKUP(A368,管理亚马逊库存!A:K,11,0),"")</f>
        <v>6</v>
      </c>
      <c r="C368">
        <f>IFERROR(VLOOKUP(A368,管理亚马逊库存!A:L,12,0),"")</f>
        <v>8</v>
      </c>
      <c r="D368">
        <f>IFERROR(VLOOKUP(A368,管理亚马逊库存!A:Q,17,0),"")</f>
        <v>26</v>
      </c>
      <c r="E368">
        <f>IFERROR(VLOOKUP(A368,管理亚马逊库存!A:R,18,0),"")</f>
        <v>0</v>
      </c>
      <c r="F368">
        <f t="shared" si="11"/>
        <v>26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1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1445</v>
      </c>
      <c r="B369">
        <f>IFERROR(VLOOKUP(A369,管理亚马逊库存!A:K,11,0),"")</f>
        <v>17</v>
      </c>
      <c r="C369">
        <f>IFERROR(VLOOKUP(A369,管理亚马逊库存!A:L,12,0),"")</f>
        <v>1</v>
      </c>
      <c r="D369">
        <f>IFERROR(VLOOKUP(A369,管理亚马逊库存!A:Q,17,0),"")</f>
        <v>5</v>
      </c>
      <c r="E369">
        <f>IFERROR(VLOOKUP(A369,管理亚马逊库存!A:R,18,0),"")</f>
        <v>0</v>
      </c>
      <c r="F369">
        <f t="shared" si="11"/>
        <v>5</v>
      </c>
      <c r="G369">
        <f>IFERROR(VLOOKUP(A369,预留库存!A:G,7,0),0)</f>
        <v>7</v>
      </c>
      <c r="H369">
        <f>IFERROR(VLOOKUP(A369,预留库存!A:H,8,0),0)</f>
        <v>3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1449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7</v>
      </c>
      <c r="E370">
        <f>IFERROR(VLOOKUP(A370,管理亚马逊库存!A:R,18,0),"")</f>
        <v>0</v>
      </c>
      <c r="F370">
        <f t="shared" si="11"/>
        <v>7</v>
      </c>
      <c r="G370">
        <f>IFERROR(VLOOKUP(A370,预留库存!A:G,7,0),0)</f>
        <v>1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1453</v>
      </c>
      <c r="B371">
        <f>IFERROR(VLOOKUP(A371,管理亚马逊库存!A:K,11,0),"")</f>
        <v>6</v>
      </c>
      <c r="C371">
        <f>IFERROR(VLOOKUP(A371,管理亚马逊库存!A:L,12,0),"")</f>
        <v>4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1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1457</v>
      </c>
      <c r="B372">
        <f>IFERROR(VLOOKUP(A372,管理亚马逊库存!A:K,11,0),"")</f>
        <v>15</v>
      </c>
      <c r="C372">
        <f>IFERROR(VLOOKUP(A372,管理亚马逊库存!A:L,12,0),"")</f>
        <v>5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1</v>
      </c>
      <c r="H372">
        <f>IFERROR(VLOOKUP(A372,预留库存!A:H,8,0),0)</f>
        <v>0</v>
      </c>
      <c r="I372">
        <f>IFERROR(VLOOKUP(A372,预留库存!A:F,6,0),0)</f>
        <v>1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1461</v>
      </c>
      <c r="B373">
        <f>IFERROR(VLOOKUP(A373,管理亚马逊库存!A:K,11,0),"")</f>
        <v>11</v>
      </c>
      <c r="C373">
        <f>IFERROR(VLOOKUP(A373,管理亚马逊库存!A:L,12,0),"")</f>
        <v>4</v>
      </c>
      <c r="D373">
        <f>IFERROR(VLOOKUP(A373,管理亚马逊库存!A:Q,17,0),"")</f>
        <v>18</v>
      </c>
      <c r="E373">
        <f>IFERROR(VLOOKUP(A373,管理亚马逊库存!A:R,18,0),"")</f>
        <v>0</v>
      </c>
      <c r="F373">
        <f t="shared" si="11"/>
        <v>18</v>
      </c>
      <c r="G373">
        <f>IFERROR(VLOOKUP(A373,预留库存!A:G,7,0),0)</f>
        <v>1</v>
      </c>
      <c r="H373">
        <f>IFERROR(VLOOKUP(A373,预留库存!A:H,8,0),0)</f>
        <v>2</v>
      </c>
      <c r="I373">
        <f>IFERROR(VLOOKUP(A373,预留库存!A:F,6,0),0)</f>
        <v>1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1465</v>
      </c>
      <c r="B374">
        <f>IFERROR(VLOOKUP(A374,管理亚马逊库存!A:K,11,0),"")</f>
        <v>56</v>
      </c>
      <c r="C374">
        <f>IFERROR(VLOOKUP(A374,管理亚马逊库存!A:L,12,0),"")</f>
        <v>8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4</v>
      </c>
      <c r="I374">
        <f>IFERROR(VLOOKUP(A374,预留库存!A:F,6,0),0)</f>
        <v>1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1469</v>
      </c>
      <c r="B375">
        <f>IFERROR(VLOOKUP(A375,管理亚马逊库存!A:K,11,0),"")</f>
        <v>0</v>
      </c>
      <c r="C375">
        <f>IFERROR(VLOOKUP(A375,管理亚马逊库存!A:L,12,0),"")</f>
        <v>1</v>
      </c>
      <c r="D375">
        <f>IFERROR(VLOOKUP(A375,管理亚马逊库存!A:Q,17,0),"")</f>
        <v>9</v>
      </c>
      <c r="E375">
        <f>IFERROR(VLOOKUP(A375,管理亚马逊库存!A:R,18,0),"")</f>
        <v>0</v>
      </c>
      <c r="F375">
        <f t="shared" si="11"/>
        <v>9</v>
      </c>
      <c r="G375">
        <f>IFERROR(VLOOKUP(A375,预留库存!A:G,7,0),0)</f>
        <v>6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1473</v>
      </c>
      <c r="B376">
        <f>IFERROR(VLOOKUP(A376,管理亚马逊库存!A:K,11,0),"")</f>
        <v>46</v>
      </c>
      <c r="C376">
        <f>IFERROR(VLOOKUP(A376,管理亚马逊库存!A:L,12,0),"")</f>
        <v>11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1</v>
      </c>
      <c r="H376">
        <f>IFERROR(VLOOKUP(A376,预留库存!A:H,8,0),0)</f>
        <v>1</v>
      </c>
      <c r="I376">
        <f>IFERROR(VLOOKUP(A376,预留库存!A:F,6,0),0)</f>
        <v>1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1477</v>
      </c>
      <c r="B377">
        <f>IFERROR(VLOOKUP(A377,管理亚马逊库存!A:K,11,0),"")</f>
        <v>11</v>
      </c>
      <c r="C377">
        <f>IFERROR(VLOOKUP(A377,管理亚马逊库存!A:L,12,0),"")</f>
        <v>1</v>
      </c>
      <c r="D377">
        <f>IFERROR(VLOOKUP(A377,管理亚马逊库存!A:Q,17,0),"")</f>
        <v>5</v>
      </c>
      <c r="E377">
        <f>IFERROR(VLOOKUP(A377,管理亚马逊库存!A:R,18,0),"")</f>
        <v>0</v>
      </c>
      <c r="F377">
        <f t="shared" si="11"/>
        <v>5</v>
      </c>
      <c r="G377">
        <f>IFERROR(VLOOKUP(A377,预留库存!A:G,7,0),0)</f>
        <v>0</v>
      </c>
      <c r="H377">
        <f>IFERROR(VLOOKUP(A377,预留库存!A:H,8,0),0)</f>
        <v>1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1481</v>
      </c>
      <c r="B378">
        <f>IFERROR(VLOOKUP(A378,管理亚马逊库存!A:K,11,0),"")</f>
        <v>0</v>
      </c>
      <c r="C378">
        <f>IFERROR(VLOOKUP(A378,管理亚马逊库存!A:L,12,0),"")</f>
        <v>2</v>
      </c>
      <c r="D378">
        <f>IFERROR(VLOOKUP(A378,管理亚马逊库存!A:Q,17,0),"")</f>
        <v>40</v>
      </c>
      <c r="E378">
        <f>IFERROR(VLOOKUP(A378,管理亚马逊库存!A:R,18,0),"")</f>
        <v>0</v>
      </c>
      <c r="F378">
        <f t="shared" si="11"/>
        <v>40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1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1485</v>
      </c>
      <c r="B379">
        <f>IFERROR(VLOOKUP(A379,管理亚马逊库存!A:K,11,0),"")</f>
        <v>11</v>
      </c>
      <c r="C379">
        <f>IFERROR(VLOOKUP(A379,管理亚马逊库存!A:L,12,0),"")</f>
        <v>4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17</v>
      </c>
      <c r="H379">
        <f>IFERROR(VLOOKUP(A379,预留库存!A:H,8,0),0)</f>
        <v>3</v>
      </c>
      <c r="I379">
        <f>IFERROR(VLOOKUP(A379,预留库存!A:F,6,0),0)</f>
        <v>4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1489</v>
      </c>
      <c r="B380">
        <f>IFERROR(VLOOKUP(A380,管理亚马逊库存!A:K,11,0),"")</f>
        <v>11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1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1493</v>
      </c>
      <c r="B381">
        <f>IFERROR(VLOOKUP(A381,管理亚马逊库存!A:K,11,0),"")</f>
        <v>38</v>
      </c>
      <c r="C381">
        <f>IFERROR(VLOOKUP(A381,管理亚马逊库存!A:L,12,0),"")</f>
        <v>2</v>
      </c>
      <c r="D381">
        <f>IFERROR(VLOOKUP(A381,管理亚马逊库存!A:Q,17,0),"")</f>
        <v>18</v>
      </c>
      <c r="E381">
        <f>IFERROR(VLOOKUP(A381,管理亚马逊库存!A:R,18,0),"")</f>
        <v>0</v>
      </c>
      <c r="F381">
        <f t="shared" si="11"/>
        <v>18</v>
      </c>
      <c r="G381">
        <f>IFERROR(VLOOKUP(A381,预留库存!A:G,7,0),0)</f>
        <v>1</v>
      </c>
      <c r="H381">
        <f>IFERROR(VLOOKUP(A381,预留库存!A:H,8,0),0)</f>
        <v>1</v>
      </c>
      <c r="I381">
        <f>IFERROR(VLOOKUP(A381,预留库存!A:F,6,0),0)</f>
        <v>1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1497</v>
      </c>
      <c r="B382">
        <f>IFERROR(VLOOKUP(A382,管理亚马逊库存!A:K,11,0),"")</f>
        <v>1</v>
      </c>
      <c r="C382">
        <f>IFERROR(VLOOKUP(A382,管理亚马逊库存!A:L,12,0),"")</f>
        <v>5</v>
      </c>
      <c r="D382">
        <f>IFERROR(VLOOKUP(A382,管理亚马逊库存!A:Q,17,0),"")</f>
        <v>44</v>
      </c>
      <c r="E382">
        <f>IFERROR(VLOOKUP(A382,管理亚马逊库存!A:R,18,0),"")</f>
        <v>0</v>
      </c>
      <c r="F382">
        <f t="shared" si="11"/>
        <v>44</v>
      </c>
      <c r="G382">
        <f>IFERROR(VLOOKUP(A382,预留库存!A:G,7,0),0)</f>
        <v>2</v>
      </c>
      <c r="H382">
        <f>IFERROR(VLOOKUP(A382,预留库存!A:H,8,0),0)</f>
        <v>1</v>
      </c>
      <c r="I382">
        <f>IFERROR(VLOOKUP(A382,预留库存!A:F,6,0),0)</f>
        <v>1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1501</v>
      </c>
      <c r="B383">
        <f>IFERROR(VLOOKUP(A383,管理亚马逊库存!A:K,11,0),"")</f>
        <v>27</v>
      </c>
      <c r="C383">
        <f>IFERROR(VLOOKUP(A383,管理亚马逊库存!A:L,12,0),"")</f>
        <v>0</v>
      </c>
      <c r="D383">
        <f>IFERROR(VLOOKUP(A383,管理亚马逊库存!A:Q,17,0),"")</f>
        <v>15</v>
      </c>
      <c r="E383">
        <f>IFERROR(VLOOKUP(A383,管理亚马逊库存!A:R,18,0),"")</f>
        <v>0</v>
      </c>
      <c r="F383">
        <f t="shared" si="11"/>
        <v>15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1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1505</v>
      </c>
      <c r="B384">
        <f>IFERROR(VLOOKUP(A384,管理亚马逊库存!A:K,11,0),"")</f>
        <v>6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1</v>
      </c>
      <c r="H384">
        <f>IFERROR(VLOOKUP(A384,预留库存!A:H,8,0),0)</f>
        <v>0</v>
      </c>
      <c r="I384">
        <f>IFERROR(VLOOKUP(A384,预留库存!A:F,6,0),0)</f>
        <v>2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1509</v>
      </c>
      <c r="B385">
        <f>IFERROR(VLOOKUP(A385,管理亚马逊库存!A:K,11,0),"")</f>
        <v>45</v>
      </c>
      <c r="C385">
        <f>IFERROR(VLOOKUP(A385,管理亚马逊库存!A:L,12,0),"")</f>
        <v>7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2</v>
      </c>
      <c r="H385">
        <f>IFERROR(VLOOKUP(A385,预留库存!A:H,8,0),0)</f>
        <v>0</v>
      </c>
      <c r="I385">
        <f>IFERROR(VLOOKUP(A385,预留库存!A:F,6,0),0)</f>
        <v>2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1513</v>
      </c>
      <c r="B386">
        <f>IFERROR(VLOOKUP(A386,管理亚马逊库存!A:K,11,0),"")</f>
        <v>12</v>
      </c>
      <c r="C386">
        <f>IFERROR(VLOOKUP(A386,管理亚马逊库存!A:L,12,0),"")</f>
        <v>1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3</v>
      </c>
      <c r="H386">
        <f>IFERROR(VLOOKUP(A386,预留库存!A:H,8,0),0)</f>
        <v>0</v>
      </c>
      <c r="I386">
        <f>IFERROR(VLOOKUP(A386,预留库存!A:F,6,0),0)</f>
        <v>1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1517</v>
      </c>
      <c r="B387">
        <f>IFERROR(VLOOKUP(A387,管理亚马逊库存!A:K,11,0),"")</f>
        <v>18</v>
      </c>
      <c r="C387">
        <f>IFERROR(VLOOKUP(A387,管理亚马逊库存!A:L,12,0),"")</f>
        <v>5</v>
      </c>
      <c r="D387">
        <f>IFERROR(VLOOKUP(A387,管理亚马逊库存!A:Q,17,0),"")</f>
        <v>26</v>
      </c>
      <c r="E387">
        <f>IFERROR(VLOOKUP(A387,管理亚马逊库存!A:R,18,0),"")</f>
        <v>0</v>
      </c>
      <c r="F387">
        <f t="shared" ref="F387:F450" si="13">SUM(D387:E387)</f>
        <v>26</v>
      </c>
      <c r="G387">
        <f>IFERROR(VLOOKUP(A387,预留库存!A:G,7,0),0)</f>
        <v>0</v>
      </c>
      <c r="H387">
        <f>IFERROR(VLOOKUP(A387,预留库存!A:H,8,0),0)</f>
        <v>1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1521</v>
      </c>
      <c r="B388">
        <f>IFERROR(VLOOKUP(A388,管理亚马逊库存!A:K,11,0),"")</f>
        <v>7</v>
      </c>
      <c r="C388">
        <f>IFERROR(VLOOKUP(A388,管理亚马逊库存!A:L,12,0),"")</f>
        <v>2</v>
      </c>
      <c r="D388">
        <f>IFERROR(VLOOKUP(A388,管理亚马逊库存!A:Q,17,0),"")</f>
        <v>35</v>
      </c>
      <c r="E388">
        <f>IFERROR(VLOOKUP(A388,管理亚马逊库存!A:R,18,0),"")</f>
        <v>0</v>
      </c>
      <c r="F388">
        <f t="shared" si="13"/>
        <v>35</v>
      </c>
      <c r="G388">
        <f>IFERROR(VLOOKUP(A388,预留库存!A:G,7,0),0)</f>
        <v>0</v>
      </c>
      <c r="H388">
        <f>IFERROR(VLOOKUP(A388,预留库存!A:H,8,0),0)</f>
        <v>2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1525</v>
      </c>
      <c r="B389">
        <f>IFERROR(VLOOKUP(A389,管理亚马逊库存!A:K,11,0),"")</f>
        <v>48</v>
      </c>
      <c r="C389">
        <f>IFERROR(VLOOKUP(A389,管理亚马逊库存!A:L,12,0),"")</f>
        <v>6</v>
      </c>
      <c r="D389">
        <f>IFERROR(VLOOKUP(A389,管理亚马逊库存!A:Q,17,0),"")</f>
        <v>13</v>
      </c>
      <c r="E389">
        <f>IFERROR(VLOOKUP(A389,管理亚马逊库存!A:R,18,0),"")</f>
        <v>0</v>
      </c>
      <c r="F389">
        <f t="shared" si="13"/>
        <v>13</v>
      </c>
      <c r="G389">
        <f>IFERROR(VLOOKUP(A389,预留库存!A:G,7,0),0)</f>
        <v>0</v>
      </c>
      <c r="H389">
        <f>IFERROR(VLOOKUP(A389,预留库存!A:H,8,0),0)</f>
        <v>1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1529</v>
      </c>
      <c r="B390">
        <f>IFERROR(VLOOKUP(A390,管理亚马逊库存!A:K,11,0),"")</f>
        <v>19</v>
      </c>
      <c r="C390">
        <f>IFERROR(VLOOKUP(A390,管理亚马逊库存!A:L,12,0),"")</f>
        <v>1</v>
      </c>
      <c r="D390">
        <f>IFERROR(VLOOKUP(A390,管理亚马逊库存!A:Q,17,0),"")</f>
        <v>8</v>
      </c>
      <c r="E390">
        <f>IFERROR(VLOOKUP(A390,管理亚马逊库存!A:R,18,0),"")</f>
        <v>0</v>
      </c>
      <c r="F390">
        <f t="shared" si="13"/>
        <v>8</v>
      </c>
      <c r="G390">
        <f>IFERROR(VLOOKUP(A390,预留库存!A:G,7,0),0)</f>
        <v>6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1533</v>
      </c>
      <c r="B391">
        <f>IFERROR(VLOOKUP(A391,管理亚马逊库存!A:K,11,0),"")</f>
        <v>10</v>
      </c>
      <c r="C391">
        <f>IFERROR(VLOOKUP(A391,管理亚马逊库存!A:L,12,0),"")</f>
        <v>3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12</v>
      </c>
      <c r="H391">
        <f>IFERROR(VLOOKUP(A391,预留库存!A:H,8,0),0)</f>
        <v>2</v>
      </c>
      <c r="I391">
        <f>IFERROR(VLOOKUP(A391,预留库存!A:F,6,0),0)</f>
        <v>1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1537</v>
      </c>
      <c r="B392">
        <f>IFERROR(VLOOKUP(A392,管理亚马逊库存!A:K,11,0),"")</f>
        <v>18</v>
      </c>
      <c r="C392">
        <f>IFERROR(VLOOKUP(A392,管理亚马逊库存!A:L,12,0),"")</f>
        <v>5</v>
      </c>
      <c r="D392">
        <f>IFERROR(VLOOKUP(A392,管理亚马逊库存!A:Q,17,0),"")</f>
        <v>78</v>
      </c>
      <c r="E392">
        <f>IFERROR(VLOOKUP(A392,管理亚马逊库存!A:R,18,0),"")</f>
        <v>0</v>
      </c>
      <c r="F392">
        <f t="shared" si="13"/>
        <v>78</v>
      </c>
      <c r="G392">
        <f>IFERROR(VLOOKUP(A392,预留库存!A:G,7,0),0)</f>
        <v>1</v>
      </c>
      <c r="H392">
        <f>IFERROR(VLOOKUP(A392,预留库存!A:H,8,0),0)</f>
        <v>0</v>
      </c>
      <c r="I392">
        <f>IFERROR(VLOOKUP(A392,预留库存!A:F,6,0),0)</f>
        <v>1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1541</v>
      </c>
      <c r="B393">
        <f>IFERROR(VLOOKUP(A393,管理亚马逊库存!A:K,11,0),"")</f>
        <v>32</v>
      </c>
      <c r="C393">
        <f>IFERROR(VLOOKUP(A393,管理亚马逊库存!A:L,12,0),"")</f>
        <v>3</v>
      </c>
      <c r="D393">
        <f>IFERROR(VLOOKUP(A393,管理亚马逊库存!A:Q,17,0),"")</f>
        <v>94</v>
      </c>
      <c r="E393">
        <f>IFERROR(VLOOKUP(A393,管理亚马逊库存!A:R,18,0),"")</f>
        <v>0</v>
      </c>
      <c r="F393">
        <f t="shared" si="13"/>
        <v>94</v>
      </c>
      <c r="G393">
        <f>IFERROR(VLOOKUP(A393,预留库存!A:G,7,0),0)</f>
        <v>0</v>
      </c>
      <c r="H393">
        <f>IFERROR(VLOOKUP(A393,预留库存!A:H,8,0),0)</f>
        <v>4</v>
      </c>
      <c r="I393">
        <f>IFERROR(VLOOKUP(A393,预留库存!A:F,6,0),0)</f>
        <v>1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1545</v>
      </c>
      <c r="B394">
        <f>IFERROR(VLOOKUP(A394,管理亚马逊库存!A:K,11,0),"")</f>
        <v>25</v>
      </c>
      <c r="C394">
        <f>IFERROR(VLOOKUP(A394,管理亚马逊库存!A:L,12,0),"")</f>
        <v>2</v>
      </c>
      <c r="D394">
        <f>IFERROR(VLOOKUP(A394,管理亚马逊库存!A:Q,17,0),"")</f>
        <v>16</v>
      </c>
      <c r="E394">
        <f>IFERROR(VLOOKUP(A394,管理亚马逊库存!A:R,18,0),"")</f>
        <v>0</v>
      </c>
      <c r="F394">
        <f t="shared" si="13"/>
        <v>16</v>
      </c>
      <c r="G394">
        <f>IFERROR(VLOOKUP(A394,预留库存!A:G,7,0),0)</f>
        <v>0</v>
      </c>
      <c r="H394">
        <f>IFERROR(VLOOKUP(A394,预留库存!A:H,8,0),0)</f>
        <v>1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1549</v>
      </c>
      <c r="B395">
        <f>IFERROR(VLOOKUP(A395,管理亚马逊库存!A:K,11,0),"")</f>
        <v>6</v>
      </c>
      <c r="C395">
        <f>IFERROR(VLOOKUP(A395,管理亚马逊库存!A:L,12,0),"")</f>
        <v>1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2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1553</v>
      </c>
      <c r="B396">
        <f>IFERROR(VLOOKUP(A396,管理亚马逊库存!A:K,11,0),"")</f>
        <v>29</v>
      </c>
      <c r="C396">
        <f>IFERROR(VLOOKUP(A396,管理亚马逊库存!A:L,12,0),"")</f>
        <v>5</v>
      </c>
      <c r="D396">
        <f>IFERROR(VLOOKUP(A396,管理亚马逊库存!A:Q,17,0),"")</f>
        <v>10</v>
      </c>
      <c r="E396">
        <f>IFERROR(VLOOKUP(A396,管理亚马逊库存!A:R,18,0),"")</f>
        <v>0</v>
      </c>
      <c r="F396">
        <f t="shared" si="13"/>
        <v>10</v>
      </c>
      <c r="G396">
        <f>IFERROR(VLOOKUP(A396,预留库存!A:G,7,0),0)</f>
        <v>0</v>
      </c>
      <c r="H396">
        <f>IFERROR(VLOOKUP(A396,预留库存!A:H,8,0),0)</f>
        <v>1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1557</v>
      </c>
      <c r="B397">
        <f>IFERROR(VLOOKUP(A397,管理亚马逊库存!A:K,11,0),"")</f>
        <v>107</v>
      </c>
      <c r="C397">
        <f>IFERROR(VLOOKUP(A397,管理亚马逊库存!A:L,12,0),"")</f>
        <v>37</v>
      </c>
      <c r="D397">
        <f>IFERROR(VLOOKUP(A397,管理亚马逊库存!A:Q,17,0),"")</f>
        <v>150</v>
      </c>
      <c r="E397">
        <f>IFERROR(VLOOKUP(A397,管理亚马逊库存!A:R,18,0),"")</f>
        <v>0</v>
      </c>
      <c r="F397">
        <f t="shared" si="13"/>
        <v>150</v>
      </c>
      <c r="G397">
        <f>IFERROR(VLOOKUP(A397,预留库存!A:G,7,0),0)</f>
        <v>2</v>
      </c>
      <c r="H397">
        <f>IFERROR(VLOOKUP(A397,预留库存!A:H,8,0),0)</f>
        <v>3</v>
      </c>
      <c r="I397">
        <f>IFERROR(VLOOKUP(A397,预留库存!A:F,6,0),0)</f>
        <v>5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1561</v>
      </c>
      <c r="B398">
        <f>IFERROR(VLOOKUP(A398,管理亚马逊库存!A:K,11,0),"")</f>
        <v>0</v>
      </c>
      <c r="C398">
        <f>IFERROR(VLOOKUP(A398,管理亚马逊库存!A:L,12,0),"")</f>
        <v>2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1</v>
      </c>
      <c r="H398">
        <f>IFERROR(VLOOKUP(A398,预留库存!A:H,8,0),0)</f>
        <v>0</v>
      </c>
      <c r="I398">
        <f>IFERROR(VLOOKUP(A398,预留库存!A:F,6,0),0)</f>
        <v>1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1565</v>
      </c>
      <c r="B399">
        <f>IFERROR(VLOOKUP(A399,管理亚马逊库存!A:K,11,0),"")</f>
        <v>13</v>
      </c>
      <c r="C399">
        <f>IFERROR(VLOOKUP(A399,管理亚马逊库存!A:L,12,0),"")</f>
        <v>4</v>
      </c>
      <c r="D399">
        <f>IFERROR(VLOOKUP(A399,管理亚马逊库存!A:Q,17,0),"")</f>
        <v>30</v>
      </c>
      <c r="E399">
        <f>IFERROR(VLOOKUP(A399,管理亚马逊库存!A:R,18,0),"")</f>
        <v>10</v>
      </c>
      <c r="F399">
        <f t="shared" si="13"/>
        <v>40</v>
      </c>
      <c r="G399">
        <f>IFERROR(VLOOKUP(A399,预留库存!A:G,7,0),0)</f>
        <v>1</v>
      </c>
      <c r="H399">
        <f>IFERROR(VLOOKUP(A399,预留库存!A:H,8,0),0)</f>
        <v>1</v>
      </c>
      <c r="I399">
        <f>IFERROR(VLOOKUP(A399,预留库存!A:F,6,0),0)</f>
        <v>1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1569</v>
      </c>
      <c r="B400">
        <f>IFERROR(VLOOKUP(A400,管理亚马逊库存!A:K,11,0),"")</f>
        <v>27</v>
      </c>
      <c r="C400">
        <f>IFERROR(VLOOKUP(A400,管理亚马逊库存!A:L,12,0),"")</f>
        <v>5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3</v>
      </c>
      <c r="H400">
        <f>IFERROR(VLOOKUP(A400,预留库存!A:H,8,0),0)</f>
        <v>3</v>
      </c>
      <c r="I400">
        <f>IFERROR(VLOOKUP(A400,预留库存!A:F,6,0),0)</f>
        <v>1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1573</v>
      </c>
      <c r="B401">
        <f>IFERROR(VLOOKUP(A401,管理亚马逊库存!A:K,11,0),"")</f>
        <v>52</v>
      </c>
      <c r="C401">
        <f>IFERROR(VLOOKUP(A401,管理亚马逊库存!A:L,12,0),"")</f>
        <v>27</v>
      </c>
      <c r="D401">
        <f>IFERROR(VLOOKUP(A401,管理亚马逊库存!A:Q,17,0),"")</f>
        <v>135</v>
      </c>
      <c r="E401">
        <f>IFERROR(VLOOKUP(A401,管理亚马逊库存!A:R,18,0),"")</f>
        <v>50</v>
      </c>
      <c r="F401">
        <f t="shared" si="13"/>
        <v>185</v>
      </c>
      <c r="G401">
        <f>IFERROR(VLOOKUP(A401,预留库存!A:G,7,0),0)</f>
        <v>3</v>
      </c>
      <c r="H401">
        <f>IFERROR(VLOOKUP(A401,预留库存!A:H,8,0),0)</f>
        <v>5</v>
      </c>
      <c r="I401">
        <f>IFERROR(VLOOKUP(A401,预留库存!A:F,6,0),0)</f>
        <v>5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1577</v>
      </c>
      <c r="B402">
        <f>IFERROR(VLOOKUP(A402,管理亚马逊库存!A:K,11,0),"")</f>
        <v>156</v>
      </c>
      <c r="C402">
        <f>IFERROR(VLOOKUP(A402,管理亚马逊库存!A:L,12,0),"")</f>
        <v>35</v>
      </c>
      <c r="D402">
        <f>IFERROR(VLOOKUP(A402,管理亚马逊库存!A:Q,17,0),"")</f>
        <v>350</v>
      </c>
      <c r="E402">
        <f>IFERROR(VLOOKUP(A402,管理亚马逊库存!A:R,18,0),"")</f>
        <v>0</v>
      </c>
      <c r="F402">
        <f t="shared" si="13"/>
        <v>350</v>
      </c>
      <c r="G402">
        <f>IFERROR(VLOOKUP(A402,预留库存!A:G,7,0),0)</f>
        <v>4</v>
      </c>
      <c r="H402">
        <f>IFERROR(VLOOKUP(A402,预留库存!A:H,8,0),0)</f>
        <v>6</v>
      </c>
      <c r="I402">
        <f>IFERROR(VLOOKUP(A402,预留库存!A:F,6,0),0)</f>
        <v>10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1581</v>
      </c>
      <c r="B403">
        <f>IFERROR(VLOOKUP(A403,管理亚马逊库存!A:K,11,0),"")</f>
        <v>19</v>
      </c>
      <c r="C403">
        <f>IFERROR(VLOOKUP(A403,管理亚马逊库存!A:L,12,0),"")</f>
        <v>5</v>
      </c>
      <c r="D403">
        <f>IFERROR(VLOOKUP(A403,管理亚马逊库存!A:Q,17,0),"")</f>
        <v>11</v>
      </c>
      <c r="E403">
        <f>IFERROR(VLOOKUP(A403,管理亚马逊库存!A:R,18,0),"")</f>
        <v>21</v>
      </c>
      <c r="F403">
        <f t="shared" si="13"/>
        <v>32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1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1585</v>
      </c>
      <c r="B404">
        <f>IFERROR(VLOOKUP(A404,管理亚马逊库存!A:K,11,0),"")</f>
        <v>6</v>
      </c>
      <c r="C404">
        <f>IFERROR(VLOOKUP(A404,管理亚马逊库存!A:L,12,0),"")</f>
        <v>5</v>
      </c>
      <c r="D404">
        <f>IFERROR(VLOOKUP(A404,管理亚马逊库存!A:Q,17,0),"")</f>
        <v>0</v>
      </c>
      <c r="E404">
        <f>IFERROR(VLOOKUP(A404,管理亚马逊库存!A:R,18,0),"")</f>
        <v>25</v>
      </c>
      <c r="F404">
        <f t="shared" si="13"/>
        <v>25</v>
      </c>
      <c r="G404">
        <f>IFERROR(VLOOKUP(A404,预留库存!A:G,7,0),0)</f>
        <v>1</v>
      </c>
      <c r="H404">
        <f>IFERROR(VLOOKUP(A404,预留库存!A:H,8,0),0)</f>
        <v>0</v>
      </c>
      <c r="I404">
        <f>IFERROR(VLOOKUP(A404,预留库存!A:F,6,0),0)</f>
        <v>1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1589</v>
      </c>
      <c r="B405">
        <f>IFERROR(VLOOKUP(A405,管理亚马逊库存!A:K,11,0),"")</f>
        <v>33</v>
      </c>
      <c r="C405">
        <f>IFERROR(VLOOKUP(A405,管理亚马逊库存!A:L,12,0),"")</f>
        <v>1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1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1593</v>
      </c>
      <c r="B406">
        <f>IFERROR(VLOOKUP(A406,管理亚马逊库存!A:K,11,0),"")</f>
        <v>15</v>
      </c>
      <c r="C406">
        <f>IFERROR(VLOOKUP(A406,管理亚马逊库存!A:L,12,0),"")</f>
        <v>2</v>
      </c>
      <c r="D406">
        <f>IFERROR(VLOOKUP(A406,管理亚马逊库存!A:Q,17,0),"")</f>
        <v>31</v>
      </c>
      <c r="E406">
        <f>IFERROR(VLOOKUP(A406,管理亚马逊库存!A:R,18,0),"")</f>
        <v>0</v>
      </c>
      <c r="F406">
        <f t="shared" si="13"/>
        <v>31</v>
      </c>
      <c r="G406">
        <f>IFERROR(VLOOKUP(A406,预留库存!A:G,7,0),0)</f>
        <v>2</v>
      </c>
      <c r="H406">
        <f>IFERROR(VLOOKUP(A406,预留库存!A:H,8,0),0)</f>
        <v>2</v>
      </c>
      <c r="I406">
        <f>IFERROR(VLOOKUP(A406,预留库存!A:F,6,0),0)</f>
        <v>1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1597</v>
      </c>
      <c r="B407">
        <f>IFERROR(VLOOKUP(A407,管理亚马逊库存!A:K,11,0),"")</f>
        <v>0</v>
      </c>
      <c r="C407">
        <f>IFERROR(VLOOKUP(A407,管理亚马逊库存!A:L,12,0),"")</f>
        <v>1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2</v>
      </c>
      <c r="I407">
        <f>IFERROR(VLOOKUP(A407,预留库存!A:F,6,0),0)</f>
        <v>2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1601</v>
      </c>
      <c r="B408">
        <f>IFERROR(VLOOKUP(A408,管理亚马逊库存!A:K,11,0),"")</f>
        <v>75</v>
      </c>
      <c r="C408">
        <f>IFERROR(VLOOKUP(A408,管理亚马逊库存!A:L,12,0),"")</f>
        <v>14</v>
      </c>
      <c r="D408">
        <f>IFERROR(VLOOKUP(A408,管理亚马逊库存!A:Q,17,0),"")</f>
        <v>168</v>
      </c>
      <c r="E408">
        <f>IFERROR(VLOOKUP(A408,管理亚马逊库存!A:R,18,0),"")</f>
        <v>50</v>
      </c>
      <c r="F408">
        <f t="shared" si="13"/>
        <v>218</v>
      </c>
      <c r="G408">
        <f>IFERROR(VLOOKUP(A408,预留库存!A:G,7,0),0)</f>
        <v>2</v>
      </c>
      <c r="H408">
        <f>IFERROR(VLOOKUP(A408,预留库存!A:H,8,0),0)</f>
        <v>1</v>
      </c>
      <c r="I408">
        <f>IFERROR(VLOOKUP(A408,预留库存!A:F,6,0),0)</f>
        <v>3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1605</v>
      </c>
      <c r="B409">
        <f>IFERROR(VLOOKUP(A409,管理亚马逊库存!A:K,11,0),"")</f>
        <v>21</v>
      </c>
      <c r="C409">
        <f>IFERROR(VLOOKUP(A409,管理亚马逊库存!A:L,12,0),"")</f>
        <v>6</v>
      </c>
      <c r="D409">
        <f>IFERROR(VLOOKUP(A409,管理亚马逊库存!A:Q,17,0),"")</f>
        <v>30</v>
      </c>
      <c r="E409">
        <f>IFERROR(VLOOKUP(A409,管理亚马逊库存!A:R,18,0),"")</f>
        <v>0</v>
      </c>
      <c r="F409">
        <f t="shared" si="13"/>
        <v>30</v>
      </c>
      <c r="G409">
        <f>IFERROR(VLOOKUP(A409,预留库存!A:G,7,0),0)</f>
        <v>0</v>
      </c>
      <c r="H409">
        <f>IFERROR(VLOOKUP(A409,预留库存!A:H,8,0),0)</f>
        <v>1</v>
      </c>
      <c r="I409">
        <f>IFERROR(VLOOKUP(A409,预留库存!A:F,6,0),0)</f>
        <v>1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1608</v>
      </c>
      <c r="B410">
        <f>IFERROR(VLOOKUP(A410,管理亚马逊库存!A:K,11,0),"")</f>
        <v>18</v>
      </c>
      <c r="C410">
        <f>IFERROR(VLOOKUP(A410,管理亚马逊库存!A:L,12,0),"")</f>
        <v>6</v>
      </c>
      <c r="D410">
        <f>IFERROR(VLOOKUP(A410,管理亚马逊库存!A:Q,17,0),"")</f>
        <v>135</v>
      </c>
      <c r="E410">
        <f>IFERROR(VLOOKUP(A410,管理亚马逊库存!A:R,18,0),"")</f>
        <v>0</v>
      </c>
      <c r="F410">
        <f t="shared" si="13"/>
        <v>135</v>
      </c>
      <c r="G410">
        <f>IFERROR(VLOOKUP(A410,预留库存!A:G,7,0),0)</f>
        <v>4</v>
      </c>
      <c r="H410">
        <f>IFERROR(VLOOKUP(A410,预留库存!A:H,8,0),0)</f>
        <v>0</v>
      </c>
      <c r="I410">
        <f>IFERROR(VLOOKUP(A410,预留库存!A:F,6,0),0)</f>
        <v>4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1612</v>
      </c>
      <c r="B411">
        <f>IFERROR(VLOOKUP(A411,管理亚马逊库存!A:K,11,0),"")</f>
        <v>0</v>
      </c>
      <c r="C411">
        <f>IFERROR(VLOOKUP(A411,管理亚马逊库存!A:L,12,0),"")</f>
        <v>25</v>
      </c>
      <c r="D411">
        <f>IFERROR(VLOOKUP(A411,管理亚马逊库存!A:Q,17,0),"")</f>
        <v>450</v>
      </c>
      <c r="E411">
        <f>IFERROR(VLOOKUP(A411,管理亚马逊库存!A:R,18,0),"")</f>
        <v>101</v>
      </c>
      <c r="F411">
        <f t="shared" si="13"/>
        <v>551</v>
      </c>
      <c r="G411">
        <f>IFERROR(VLOOKUP(A411,预留库存!A:G,7,0),0)</f>
        <v>0</v>
      </c>
      <c r="H411">
        <f>IFERROR(VLOOKUP(A411,预留库存!A:H,8,0),0)</f>
        <v>4</v>
      </c>
      <c r="I411">
        <f>IFERROR(VLOOKUP(A411,预留库存!A:F,6,0),0)</f>
        <v>2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1616</v>
      </c>
      <c r="B412">
        <f>IFERROR(VLOOKUP(A412,管理亚马逊库存!A:K,11,0),"")</f>
        <v>11</v>
      </c>
      <c r="C412">
        <f>IFERROR(VLOOKUP(A412,管理亚马逊库存!A:L,12,0),"")</f>
        <v>3</v>
      </c>
      <c r="D412">
        <f>IFERROR(VLOOKUP(A412,管理亚马逊库存!A:Q,17,0),"")</f>
        <v>27</v>
      </c>
      <c r="E412">
        <f>IFERROR(VLOOKUP(A412,管理亚马逊库存!A:R,18,0),"")</f>
        <v>0</v>
      </c>
      <c r="F412">
        <f t="shared" si="13"/>
        <v>27</v>
      </c>
      <c r="G412">
        <f>IFERROR(VLOOKUP(A412,预留库存!A:G,7,0),0)</f>
        <v>0</v>
      </c>
      <c r="H412">
        <f>IFERROR(VLOOKUP(A412,预留库存!A:H,8,0),0)</f>
        <v>1</v>
      </c>
      <c r="I412">
        <f>IFERROR(VLOOKUP(A412,预留库存!A:F,6,0),0)</f>
        <v>2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1619</v>
      </c>
      <c r="B413">
        <f>IFERROR(VLOOKUP(A413,管理亚马逊库存!A:K,11,0),"")</f>
        <v>106</v>
      </c>
      <c r="C413">
        <f>IFERROR(VLOOKUP(A413,管理亚马逊库存!A:L,12,0),"")</f>
        <v>43</v>
      </c>
      <c r="D413">
        <f>IFERROR(VLOOKUP(A413,管理亚马逊库存!A:Q,17,0),"")</f>
        <v>512</v>
      </c>
      <c r="E413">
        <f>IFERROR(VLOOKUP(A413,管理亚马逊库存!A:R,18,0),"")</f>
        <v>51</v>
      </c>
      <c r="F413">
        <f t="shared" si="13"/>
        <v>563</v>
      </c>
      <c r="G413">
        <f>IFERROR(VLOOKUP(A413,预留库存!A:G,7,0),0)</f>
        <v>4</v>
      </c>
      <c r="H413">
        <f>IFERROR(VLOOKUP(A413,预留库存!A:H,8,0),0)</f>
        <v>8</v>
      </c>
      <c r="I413">
        <f>IFERROR(VLOOKUP(A413,预留库存!A:F,6,0),0)</f>
        <v>8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1623</v>
      </c>
      <c r="B414">
        <f>IFERROR(VLOOKUP(A414,管理亚马逊库存!A:K,11,0),"")</f>
        <v>0</v>
      </c>
      <c r="C414">
        <f>IFERROR(VLOOKUP(A414,管理亚马逊库存!A:L,12,0),"")</f>
        <v>1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2</v>
      </c>
      <c r="I414">
        <f>IFERROR(VLOOKUP(A414,预留库存!A:F,6,0),0)</f>
        <v>1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1627</v>
      </c>
      <c r="B415">
        <f>IFERROR(VLOOKUP(A415,管理亚马逊库存!A:K,11,0),"")</f>
        <v>0</v>
      </c>
      <c r="C415">
        <f>IFERROR(VLOOKUP(A415,管理亚马逊库存!A:L,12,0),"")</f>
        <v>10</v>
      </c>
      <c r="D415">
        <f>IFERROR(VLOOKUP(A415,管理亚马逊库存!A:Q,17,0),"")</f>
        <v>150</v>
      </c>
      <c r="E415">
        <f>IFERROR(VLOOKUP(A415,管理亚马逊库存!A:R,18,0),"")</f>
        <v>55</v>
      </c>
      <c r="F415">
        <f t="shared" si="13"/>
        <v>205</v>
      </c>
      <c r="G415">
        <f>IFERROR(VLOOKUP(A415,预留库存!A:G,7,0),0)</f>
        <v>0</v>
      </c>
      <c r="H415">
        <f>IFERROR(VLOOKUP(A415,预留库存!A:H,8,0),0)</f>
        <v>2</v>
      </c>
      <c r="I415">
        <f>IFERROR(VLOOKUP(A415,预留库存!A:F,6,0),0)</f>
        <v>1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1631</v>
      </c>
      <c r="B416">
        <f>IFERROR(VLOOKUP(A416,管理亚马逊库存!A:K,11,0),"")</f>
        <v>0</v>
      </c>
      <c r="C416">
        <f>IFERROR(VLOOKUP(A416,管理亚马逊库存!A:L,12,0),"")</f>
        <v>3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1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1635</v>
      </c>
      <c r="B417">
        <f>IFERROR(VLOOKUP(A417,管理亚马逊库存!A:K,11,0),"")</f>
        <v>4</v>
      </c>
      <c r="C417">
        <f>IFERROR(VLOOKUP(A417,管理亚马逊库存!A:L,12,0),"")</f>
        <v>1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2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1639</v>
      </c>
      <c r="B418">
        <f>IFERROR(VLOOKUP(A418,管理亚马逊库存!A:K,11,0),"")</f>
        <v>36</v>
      </c>
      <c r="C418">
        <f>IFERROR(VLOOKUP(A418,管理亚马逊库存!A:L,12,0),"")</f>
        <v>4</v>
      </c>
      <c r="D418">
        <f>IFERROR(VLOOKUP(A418,管理亚马逊库存!A:Q,17,0),"")</f>
        <v>5</v>
      </c>
      <c r="E418">
        <f>IFERROR(VLOOKUP(A418,管理亚马逊库存!A:R,18,0),"")</f>
        <v>0</v>
      </c>
      <c r="F418">
        <f t="shared" si="13"/>
        <v>5</v>
      </c>
      <c r="G418">
        <f>IFERROR(VLOOKUP(A418,预留库存!A:G,7,0),0)</f>
        <v>0</v>
      </c>
      <c r="H418">
        <f>IFERROR(VLOOKUP(A418,预留库存!A:H,8,0),0)</f>
        <v>2</v>
      </c>
      <c r="I418">
        <f>IFERROR(VLOOKUP(A418,预留库存!A:F,6,0),0)</f>
        <v>1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1643</v>
      </c>
      <c r="B419">
        <f>IFERROR(VLOOKUP(A419,管理亚马逊库存!A:K,11,0),"")</f>
        <v>37</v>
      </c>
      <c r="C419">
        <f>IFERROR(VLOOKUP(A419,管理亚马逊库存!A:L,12,0),"")</f>
        <v>5</v>
      </c>
      <c r="D419">
        <f>IFERROR(VLOOKUP(A419,管理亚马逊库存!A:Q,17,0),"")</f>
        <v>45</v>
      </c>
      <c r="E419">
        <f>IFERROR(VLOOKUP(A419,管理亚马逊库存!A:R,18,0),"")</f>
        <v>0</v>
      </c>
      <c r="F419">
        <f t="shared" si="13"/>
        <v>45</v>
      </c>
      <c r="G419">
        <f>IFERROR(VLOOKUP(A419,预留库存!A:G,7,0),0)</f>
        <v>1</v>
      </c>
      <c r="H419">
        <f>IFERROR(VLOOKUP(A419,预留库存!A:H,8,0),0)</f>
        <v>0</v>
      </c>
      <c r="I419">
        <f>IFERROR(VLOOKUP(A419,预留库存!A:F,6,0),0)</f>
        <v>1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1647</v>
      </c>
      <c r="B420">
        <f>IFERROR(VLOOKUP(A420,管理亚马逊库存!A:K,11,0),"")</f>
        <v>0</v>
      </c>
      <c r="C420">
        <f>IFERROR(VLOOKUP(A420,管理亚马逊库存!A:L,12,0),"")</f>
        <v>6</v>
      </c>
      <c r="D420">
        <f>IFERROR(VLOOKUP(A420,管理亚马逊库存!A:Q,17,0),"")</f>
        <v>0</v>
      </c>
      <c r="E420">
        <f>IFERROR(VLOOKUP(A420,管理亚马逊库存!A:R,18,0),"")</f>
        <v>9</v>
      </c>
      <c r="F420">
        <f t="shared" si="13"/>
        <v>9</v>
      </c>
      <c r="G420">
        <f>IFERROR(VLOOKUP(A420,预留库存!A:G,7,0),0)</f>
        <v>1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1651</v>
      </c>
      <c r="B421">
        <f>IFERROR(VLOOKUP(A421,管理亚马逊库存!A:K,11,0),"")</f>
        <v>85</v>
      </c>
      <c r="C421">
        <f>IFERROR(VLOOKUP(A421,管理亚马逊库存!A:L,12,0),"")</f>
        <v>16</v>
      </c>
      <c r="D421">
        <f>IFERROR(VLOOKUP(A421,管理亚马逊库存!A:Q,17,0),"")</f>
        <v>165</v>
      </c>
      <c r="E421">
        <f>IFERROR(VLOOKUP(A421,管理亚马逊库存!A:R,18,0),"")</f>
        <v>11</v>
      </c>
      <c r="F421">
        <f t="shared" si="13"/>
        <v>176</v>
      </c>
      <c r="G421">
        <f>IFERROR(VLOOKUP(A421,预留库存!A:G,7,0),0)</f>
        <v>3</v>
      </c>
      <c r="H421">
        <f>IFERROR(VLOOKUP(A421,预留库存!A:H,8,0),0)</f>
        <v>4</v>
      </c>
      <c r="I421">
        <f>IFERROR(VLOOKUP(A421,预留库存!A:F,6,0),0)</f>
        <v>4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1655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1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1659</v>
      </c>
      <c r="B423">
        <f>IFERROR(VLOOKUP(A423,管理亚马逊库存!A:K,11,0),"")</f>
        <v>0</v>
      </c>
      <c r="C423">
        <f>IFERROR(VLOOKUP(A423,管理亚马逊库存!A:L,12,0),"")</f>
        <v>2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1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1662</v>
      </c>
      <c r="B424">
        <f>IFERROR(VLOOKUP(A424,管理亚马逊库存!A:K,11,0),"")</f>
        <v>156</v>
      </c>
      <c r="C424">
        <f>IFERROR(VLOOKUP(A424,管理亚马逊库存!A:L,12,0),"")</f>
        <v>33</v>
      </c>
      <c r="D424">
        <f>IFERROR(VLOOKUP(A424,管理亚马逊库存!A:Q,17,0),"")</f>
        <v>300</v>
      </c>
      <c r="E424">
        <f>IFERROR(VLOOKUP(A424,管理亚马逊库存!A:R,18,0),"")</f>
        <v>149</v>
      </c>
      <c r="F424">
        <f t="shared" si="13"/>
        <v>449</v>
      </c>
      <c r="G424">
        <f>IFERROR(VLOOKUP(A424,预留库存!A:G,7,0),0)</f>
        <v>4</v>
      </c>
      <c r="H424">
        <f>IFERROR(VLOOKUP(A424,预留库存!A:H,8,0),0)</f>
        <v>6</v>
      </c>
      <c r="I424">
        <f>IFERROR(VLOOKUP(A424,预留库存!A:F,6,0),0)</f>
        <v>4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1666</v>
      </c>
      <c r="B425">
        <f>IFERROR(VLOOKUP(A425,管理亚马逊库存!A:K,11,0),"")</f>
        <v>25</v>
      </c>
      <c r="C425">
        <f>IFERROR(VLOOKUP(A425,管理亚马逊库存!A:L,12,0),"")</f>
        <v>1</v>
      </c>
      <c r="D425">
        <f>IFERROR(VLOOKUP(A425,管理亚马逊库存!A:Q,17,0),"")</f>
        <v>10</v>
      </c>
      <c r="E425">
        <f>IFERROR(VLOOKUP(A425,管理亚马逊库存!A:R,18,0),"")</f>
        <v>0</v>
      </c>
      <c r="F425">
        <f t="shared" si="13"/>
        <v>10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1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1670</v>
      </c>
      <c r="B426">
        <f>IFERROR(VLOOKUP(A426,管理亚马逊库存!A:K,11,0),"")</f>
        <v>14</v>
      </c>
      <c r="C426">
        <f>IFERROR(VLOOKUP(A426,管理亚马逊库存!A:L,12,0),"")</f>
        <v>3</v>
      </c>
      <c r="D426">
        <f>IFERROR(VLOOKUP(A426,管理亚马逊库存!A:Q,17,0),"")</f>
        <v>10</v>
      </c>
      <c r="E426">
        <f>IFERROR(VLOOKUP(A426,管理亚马逊库存!A:R,18,0),"")</f>
        <v>10</v>
      </c>
      <c r="F426">
        <f t="shared" si="13"/>
        <v>20</v>
      </c>
      <c r="G426">
        <f>IFERROR(VLOOKUP(A426,预留库存!A:G,7,0),0)</f>
        <v>0</v>
      </c>
      <c r="H426">
        <f>IFERROR(VLOOKUP(A426,预留库存!A:H,8,0),0)</f>
        <v>1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1706</v>
      </c>
      <c r="B427">
        <f>IFERROR(VLOOKUP(A427,管理亚马逊库存!A:K,11,0),"")</f>
        <v>9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1716</v>
      </c>
      <c r="B428">
        <f>IFERROR(VLOOKUP(A428,管理亚马逊库存!A:K,11,0),"")</f>
        <v>7</v>
      </c>
      <c r="C428">
        <f>IFERROR(VLOOKUP(A428,管理亚马逊库存!A:L,12,0),"")</f>
        <v>1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6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6</v>
      </c>
    </row>
    <row r="429" spans="1:14">
      <c r="A429" s="3" t="s">
        <v>1723</v>
      </c>
      <c r="B429">
        <f>IFERROR(VLOOKUP(A429,管理亚马逊库存!A:K,11,0),"")</f>
        <v>48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7</v>
      </c>
      <c r="K429">
        <f>IFERROR(VLOOKUP(A429,库龄!B:L,10,0),0)</f>
        <v>41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48</v>
      </c>
    </row>
    <row r="430" spans="1:14">
      <c r="A430" s="3" t="s">
        <v>1728</v>
      </c>
      <c r="B430">
        <f>IFERROR(VLOOKUP(A430,管理亚马逊库存!A:K,11,0),"")</f>
        <v>91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27</v>
      </c>
      <c r="K430">
        <f>IFERROR(VLOOKUP(A430,库龄!B:L,10,0),0)</f>
        <v>58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85</v>
      </c>
    </row>
    <row r="431" spans="1:14">
      <c r="A431" s="3" t="s">
        <v>1735</v>
      </c>
      <c r="B431">
        <f>IFERROR(VLOOKUP(A431,管理亚马逊库存!A:K,11,0),"")</f>
        <v>10</v>
      </c>
      <c r="C431">
        <f>IFERROR(VLOOKUP(A431,管理亚马逊库存!A:L,12,0),"")</f>
        <v>1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1740</v>
      </c>
      <c r="B432">
        <f>IFERROR(VLOOKUP(A432,管理亚马逊库存!A:K,11,0),"")</f>
        <v>1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1</v>
      </c>
    </row>
    <row r="433" spans="1:14">
      <c r="A433" s="3" t="s">
        <v>1745</v>
      </c>
      <c r="B433">
        <f>IFERROR(VLOOKUP(A433,管理亚马逊库存!A:K,11,0),"")</f>
        <v>14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1</v>
      </c>
      <c r="K433">
        <f>IFERROR(VLOOKUP(A433,库龄!B:L,10,0),0)</f>
        <v>12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13</v>
      </c>
    </row>
    <row r="434" spans="1:14">
      <c r="A434" s="3" t="s">
        <v>1752</v>
      </c>
      <c r="B434">
        <f>IFERROR(VLOOKUP(A434,管理亚马逊库存!A:K,11,0),"")</f>
        <v>10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1757</v>
      </c>
      <c r="B435">
        <f>IFERROR(VLOOKUP(A435,管理亚马逊库存!A:K,11,0),"")</f>
        <v>19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3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3</v>
      </c>
    </row>
    <row r="436" spans="1:14">
      <c r="A436" s="3" t="s">
        <v>1762</v>
      </c>
      <c r="B436">
        <f>IFERROR(VLOOKUP(A436,管理亚马逊库存!A:K,11,0),"")</f>
        <v>23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1766</v>
      </c>
      <c r="B437">
        <f>IFERROR(VLOOKUP(A437,管理亚马逊库存!A:K,11,0),"")</f>
        <v>21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21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21</v>
      </c>
    </row>
    <row r="438" spans="1:14">
      <c r="A438" s="3" t="s">
        <v>1771</v>
      </c>
      <c r="B438">
        <f>IFERROR(VLOOKUP(A438,管理亚马逊库存!A:K,11,0),"")</f>
        <v>8</v>
      </c>
      <c r="C438">
        <f>IFERROR(VLOOKUP(A438,管理亚马逊库存!A:L,12,0),"")</f>
        <v>2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1778</v>
      </c>
      <c r="B439">
        <f>IFERROR(VLOOKUP(A439,管理亚马逊库存!A:K,11,0),"")</f>
        <v>1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1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1</v>
      </c>
    </row>
    <row r="440" spans="1:14">
      <c r="A440" s="3" t="s">
        <v>1785</v>
      </c>
      <c r="B440">
        <f>IFERROR(VLOOKUP(A440,管理亚马逊库存!A:K,11,0),"")</f>
        <v>0</v>
      </c>
      <c r="C440">
        <f>IFERROR(VLOOKUP(A440,管理亚马逊库存!A:L,12,0),"")</f>
        <v>2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1790</v>
      </c>
      <c r="B441">
        <f>IFERROR(VLOOKUP(A441,管理亚马逊库存!A:K,11,0),"")</f>
        <v>17</v>
      </c>
      <c r="C441">
        <f>IFERROR(VLOOKUP(A441,管理亚马逊库存!A:L,12,0),"")</f>
        <v>1</v>
      </c>
      <c r="D441">
        <f>IFERROR(VLOOKUP(A441,管理亚马逊库存!A:Q,17,0),"")</f>
        <v>2</v>
      </c>
      <c r="E441">
        <f>IFERROR(VLOOKUP(A441,管理亚马逊库存!A:R,18,0),"")</f>
        <v>0</v>
      </c>
      <c r="F441">
        <f t="shared" si="13"/>
        <v>2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1795</v>
      </c>
      <c r="B442">
        <f>IFERROR(VLOOKUP(A442,管理亚马逊库存!A:K,11,0),"")</f>
        <v>13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1802</v>
      </c>
      <c r="B443">
        <f>IFERROR(VLOOKUP(A443,管理亚马逊库存!A:K,11,0),"")</f>
        <v>2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2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2</v>
      </c>
    </row>
    <row r="444" spans="1:14">
      <c r="A444" s="3" t="s">
        <v>1807</v>
      </c>
      <c r="B444">
        <f>IFERROR(VLOOKUP(A444,管理亚马逊库存!A:K,11,0),"")</f>
        <v>4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1</v>
      </c>
      <c r="K444">
        <f>IFERROR(VLOOKUP(A444,库龄!B:L,10,0),0)</f>
        <v>2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3</v>
      </c>
    </row>
    <row r="445" spans="1:14">
      <c r="A445" s="3" t="s">
        <v>1812</v>
      </c>
      <c r="B445">
        <f>IFERROR(VLOOKUP(A445,管理亚马逊库存!A:K,11,0),"")</f>
        <v>3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3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3</v>
      </c>
    </row>
    <row r="446" spans="1:14">
      <c r="A446" s="3" t="s">
        <v>1817</v>
      </c>
      <c r="B446">
        <f>IFERROR(VLOOKUP(A446,管理亚马逊库存!A:K,11,0),"")</f>
        <v>10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1822</v>
      </c>
      <c r="B447">
        <f>IFERROR(VLOOKUP(A447,管理亚马逊库存!A:K,11,0),"")</f>
        <v>2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2</v>
      </c>
      <c r="N447">
        <f t="shared" si="14"/>
        <v>2</v>
      </c>
    </row>
    <row r="448" spans="1:14">
      <c r="A448" s="3" t="s">
        <v>1827</v>
      </c>
      <c r="B448">
        <f>IFERROR(VLOOKUP(A448,管理亚马逊库存!A:K,11,0),"")</f>
        <v>11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11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11</v>
      </c>
    </row>
    <row r="449" spans="1:14">
      <c r="A449" s="3" t="s">
        <v>1832</v>
      </c>
      <c r="B449">
        <f>IFERROR(VLOOKUP(A449,管理亚马逊库存!A:K,11,0),"")</f>
        <v>15</v>
      </c>
      <c r="C449">
        <f>IFERROR(VLOOKUP(A449,管理亚马逊库存!A:L,12,0),"")</f>
        <v>2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1836</v>
      </c>
      <c r="B450">
        <f>IFERROR(VLOOKUP(A450,管理亚马逊库存!A:K,11,0),"")</f>
        <v>6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1</v>
      </c>
      <c r="K450">
        <f>IFERROR(VLOOKUP(A450,库龄!B:L,10,0),0)</f>
        <v>0</v>
      </c>
      <c r="L450">
        <f>IFERROR(VLOOKUP(A450,库龄!B:M,11,0),0)</f>
        <v>5</v>
      </c>
      <c r="M450">
        <f>IFERROR(VLOOKUP(A450,库龄!B:N,12,0),0)</f>
        <v>0</v>
      </c>
      <c r="N450">
        <f t="shared" si="14"/>
        <v>6</v>
      </c>
    </row>
    <row r="451" spans="1:14">
      <c r="A451" s="3" t="s">
        <v>1842</v>
      </c>
      <c r="B451">
        <f>IFERROR(VLOOKUP(A451,管理亚马逊库存!A:K,11,0),"")</f>
        <v>1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1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1</v>
      </c>
    </row>
    <row r="452" spans="1:14">
      <c r="A452" s="3" t="s">
        <v>1847</v>
      </c>
      <c r="B452">
        <f>IFERROR(VLOOKUP(A452,管理亚马逊库存!A:K,11,0),"")</f>
        <v>7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7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7</v>
      </c>
    </row>
    <row r="453" spans="1:14">
      <c r="A453" s="3" t="s">
        <v>1852</v>
      </c>
      <c r="B453">
        <f>IFERROR(VLOOKUP(A453,管理亚马逊库存!A:K,11,0),"")</f>
        <v>3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3</v>
      </c>
      <c r="M453">
        <f>IFERROR(VLOOKUP(A453,库龄!B:N,12,0),0)</f>
        <v>0</v>
      </c>
      <c r="N453">
        <f t="shared" si="16"/>
        <v>3</v>
      </c>
    </row>
    <row r="454" spans="1:14">
      <c r="A454" s="3" t="s">
        <v>1858</v>
      </c>
      <c r="B454">
        <f>IFERROR(VLOOKUP(A454,管理亚马逊库存!A:K,11,0),"")</f>
        <v>3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2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2</v>
      </c>
    </row>
    <row r="455" spans="1:14">
      <c r="A455" s="3" t="s">
        <v>1863</v>
      </c>
      <c r="B455">
        <f>IFERROR(VLOOKUP(A455,管理亚马逊库存!A:K,11,0),"")</f>
        <v>5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5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5</v>
      </c>
    </row>
    <row r="456" spans="1:14">
      <c r="A456" s="3" t="s">
        <v>1868</v>
      </c>
      <c r="B456">
        <f>IFERROR(VLOOKUP(A456,管理亚马逊库存!A:K,11,0),"")</f>
        <v>1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2</v>
      </c>
      <c r="M456">
        <f>IFERROR(VLOOKUP(A456,库龄!B:N,12,0),0)</f>
        <v>0</v>
      </c>
      <c r="N456">
        <f t="shared" si="16"/>
        <v>2</v>
      </c>
    </row>
    <row r="457" spans="1:14">
      <c r="A457" s="3" t="s">
        <v>1873</v>
      </c>
      <c r="B457">
        <f>IFERROR(VLOOKUP(A457,管理亚马逊库存!A:K,11,0),"")</f>
        <v>4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4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4</v>
      </c>
    </row>
    <row r="458" spans="1:14">
      <c r="A458" s="3" t="s">
        <v>1877</v>
      </c>
      <c r="B458">
        <f>IFERROR(VLOOKUP(A458,管理亚马逊库存!A:K,11,0),"")</f>
        <v>2</v>
      </c>
      <c r="C458">
        <f>IFERROR(VLOOKUP(A458,管理亚马逊库存!A:L,12,0),"")</f>
        <v>2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1884</v>
      </c>
      <c r="B459">
        <f>IFERROR(VLOOKUP(A459,管理亚马逊库存!A:K,11,0),"")</f>
        <v>10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1887</v>
      </c>
      <c r="B460">
        <f>IFERROR(VLOOKUP(A460,管理亚马逊库存!A:K,11,0),"")</f>
        <v>12</v>
      </c>
      <c r="C460">
        <f>IFERROR(VLOOKUP(A460,管理亚马逊库存!A:L,12,0),"")</f>
        <v>1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1892</v>
      </c>
      <c r="B461">
        <f>IFERROR(VLOOKUP(A461,管理亚马逊库存!A:K,11,0),"")</f>
        <v>1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1</v>
      </c>
      <c r="M461">
        <f>IFERROR(VLOOKUP(A461,库龄!B:N,12,0),0)</f>
        <v>0</v>
      </c>
      <c r="N461">
        <f t="shared" si="16"/>
        <v>1</v>
      </c>
    </row>
    <row r="462" spans="1:14">
      <c r="A462" s="3" t="s">
        <v>1897</v>
      </c>
      <c r="B462">
        <f>IFERROR(VLOOKUP(A462,管理亚马逊库存!A:K,11,0),"")</f>
        <v>3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1901</v>
      </c>
      <c r="B463">
        <f>IFERROR(VLOOKUP(A463,管理亚马逊库存!A:K,11,0),"")</f>
        <v>1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1906</v>
      </c>
      <c r="B464">
        <f>IFERROR(VLOOKUP(A464,管理亚马逊库存!A:K,11,0),"")</f>
        <v>0</v>
      </c>
      <c r="C464">
        <f>IFERROR(VLOOKUP(A464,管理亚马逊库存!A:L,12,0),"")</f>
        <v>2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1910</v>
      </c>
      <c r="B465">
        <f>IFERROR(VLOOKUP(A465,管理亚马逊库存!A:K,11,0),"")</f>
        <v>7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8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8</v>
      </c>
    </row>
    <row r="466" spans="1:14">
      <c r="A466" s="3" t="s">
        <v>1915</v>
      </c>
      <c r="B466">
        <f>IFERROR(VLOOKUP(A466,管理亚马逊库存!A:K,11,0),"")</f>
        <v>10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1920</v>
      </c>
      <c r="B467">
        <f>IFERROR(VLOOKUP(A467,管理亚马逊库存!A:K,11,0),"")</f>
        <v>112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23</v>
      </c>
      <c r="K467">
        <f>IFERROR(VLOOKUP(A467,库龄!B:L,10,0),0)</f>
        <v>81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104</v>
      </c>
    </row>
    <row r="468" spans="1:14">
      <c r="A468" s="3" t="s">
        <v>1924</v>
      </c>
      <c r="B468">
        <f>IFERROR(VLOOKUP(A468,管理亚马逊库存!A:K,11,0),"")</f>
        <v>9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9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9</v>
      </c>
    </row>
    <row r="469" spans="1:14">
      <c r="A469" s="3" t="s">
        <v>1929</v>
      </c>
      <c r="B469">
        <f>IFERROR(VLOOKUP(A469,管理亚马逊库存!A:K,11,0),"")</f>
        <v>113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4</v>
      </c>
      <c r="K469">
        <f>IFERROR(VLOOKUP(A469,库龄!B:L,10,0),0)</f>
        <v>108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112</v>
      </c>
    </row>
    <row r="470" spans="1:14">
      <c r="A470" s="3" t="s">
        <v>1933</v>
      </c>
      <c r="B470">
        <f>IFERROR(VLOOKUP(A470,管理亚马逊库存!A:K,11,0),"")</f>
        <v>2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1937</v>
      </c>
      <c r="B471">
        <f>IFERROR(VLOOKUP(A471,管理亚马逊库存!A:K,11,0),"")</f>
        <v>13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7</v>
      </c>
      <c r="L471">
        <f>IFERROR(VLOOKUP(A471,库龄!B:M,11,0),0)</f>
        <v>1</v>
      </c>
      <c r="M471">
        <f>IFERROR(VLOOKUP(A471,库龄!B:N,12,0),0)</f>
        <v>0</v>
      </c>
      <c r="N471">
        <f t="shared" si="16"/>
        <v>8</v>
      </c>
    </row>
    <row r="472" spans="1:14">
      <c r="A472" s="3" t="s">
        <v>1941</v>
      </c>
      <c r="B472">
        <f>IFERROR(VLOOKUP(A472,管理亚马逊库存!A:K,11,0),"")</f>
        <v>10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1944</v>
      </c>
      <c r="B473">
        <f>IFERROR(VLOOKUP(A473,管理亚马逊库存!A:K,11,0),"")</f>
        <v>13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12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12</v>
      </c>
    </row>
    <row r="474" spans="1:14">
      <c r="A474" s="3" t="s">
        <v>1948</v>
      </c>
      <c r="B474">
        <f>IFERROR(VLOOKUP(A474,管理亚马逊库存!A:K,11,0),"")</f>
        <v>1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1</v>
      </c>
      <c r="M474">
        <f>IFERROR(VLOOKUP(A474,库龄!B:N,12,0),0)</f>
        <v>0</v>
      </c>
      <c r="N474">
        <f t="shared" si="16"/>
        <v>1</v>
      </c>
    </row>
    <row r="475" spans="1:14">
      <c r="A475" s="3" t="s">
        <v>1953</v>
      </c>
      <c r="B475">
        <f>IFERROR(VLOOKUP(A475,管理亚马逊库存!A:K,11,0),"")</f>
        <v>6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6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6</v>
      </c>
    </row>
    <row r="476" spans="1:14">
      <c r="A476" s="3" t="s">
        <v>1958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1963</v>
      </c>
      <c r="B477">
        <f>IFERROR(VLOOKUP(A477,管理亚马逊库存!A:K,11,0),"")</f>
        <v>5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1967</v>
      </c>
      <c r="B478">
        <f>IFERROR(VLOOKUP(A478,管理亚马逊库存!A:K,11,0),"")</f>
        <v>5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5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5</v>
      </c>
    </row>
    <row r="479" spans="1:14">
      <c r="A479" s="3" t="s">
        <v>1971</v>
      </c>
      <c r="B479">
        <f>IFERROR(VLOOKUP(A479,管理亚马逊库存!A:K,11,0),"")</f>
        <v>1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1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1</v>
      </c>
    </row>
    <row r="480" spans="1:14">
      <c r="A480" s="3" t="s">
        <v>1975</v>
      </c>
      <c r="B480">
        <f>IFERROR(VLOOKUP(A480,管理亚马逊库存!A:K,11,0),"")</f>
        <v>15</v>
      </c>
      <c r="C480">
        <f>IFERROR(VLOOKUP(A480,管理亚马逊库存!A:L,12,0),"")</f>
        <v>1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1979</v>
      </c>
      <c r="B481">
        <f>IFERROR(VLOOKUP(A481,管理亚马逊库存!A:K,11,0),"")</f>
        <v>9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1982</v>
      </c>
      <c r="B482">
        <f>IFERROR(VLOOKUP(A482,管理亚马逊库存!A:K,11,0),"")</f>
        <v>3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3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3</v>
      </c>
    </row>
    <row r="483" spans="1:14">
      <c r="A483" s="3" t="s">
        <v>1987</v>
      </c>
      <c r="B483">
        <f>IFERROR(VLOOKUP(A483,管理亚马逊库存!A:K,11,0),"")</f>
        <v>63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18</v>
      </c>
      <c r="K483">
        <f>IFERROR(VLOOKUP(A483,库龄!B:L,10,0),0)</f>
        <v>45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63</v>
      </c>
    </row>
    <row r="484" spans="1:14">
      <c r="A484" s="3" t="s">
        <v>1992</v>
      </c>
      <c r="B484">
        <f>IFERROR(VLOOKUP(A484,管理亚马逊库存!A:K,11,0),"")</f>
        <v>9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9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9</v>
      </c>
    </row>
    <row r="485" spans="1:14">
      <c r="A485" s="3" t="s">
        <v>1998</v>
      </c>
      <c r="B485">
        <f>IFERROR(VLOOKUP(A485,管理亚马逊库存!A:K,11,0),"")</f>
        <v>9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9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9</v>
      </c>
    </row>
    <row r="486" spans="1:14">
      <c r="A486" s="3" t="s">
        <v>2003</v>
      </c>
      <c r="B486">
        <f>IFERROR(VLOOKUP(A486,管理亚马逊库存!A:K,11,0),"")</f>
        <v>36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2008</v>
      </c>
      <c r="B487">
        <f>IFERROR(VLOOKUP(A487,管理亚马逊库存!A:K,11,0),"")</f>
        <v>5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2012</v>
      </c>
      <c r="B488">
        <f>IFERROR(VLOOKUP(A488,管理亚马逊库存!A:K,11,0),"")</f>
        <v>17</v>
      </c>
      <c r="C488">
        <f>IFERROR(VLOOKUP(A488,管理亚马逊库存!A:L,12,0),"")</f>
        <v>2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2019</v>
      </c>
      <c r="B489">
        <f>IFERROR(VLOOKUP(A489,管理亚马逊库存!A:K,11,0),"")</f>
        <v>10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2023</v>
      </c>
      <c r="B490">
        <f>IFERROR(VLOOKUP(A490,管理亚马逊库存!A:K,11,0),"")</f>
        <v>28</v>
      </c>
      <c r="C490">
        <f>IFERROR(VLOOKUP(A490,管理亚马逊库存!A:L,12,0),"")</f>
        <v>1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2027</v>
      </c>
      <c r="B491">
        <f>IFERROR(VLOOKUP(A491,管理亚马逊库存!A:K,11,0),"")</f>
        <v>1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1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1</v>
      </c>
    </row>
    <row r="492" spans="1:14">
      <c r="A492" s="3" t="s">
        <v>2032</v>
      </c>
      <c r="B492">
        <f>IFERROR(VLOOKUP(A492,管理亚马逊库存!A:K,11,0),"")</f>
        <v>10</v>
      </c>
      <c r="C492">
        <f>IFERROR(VLOOKUP(A492,管理亚马逊库存!A:L,12,0),"")</f>
        <v>1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2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3</v>
      </c>
      <c r="N492">
        <f t="shared" si="16"/>
        <v>5</v>
      </c>
    </row>
    <row r="493" spans="1:14">
      <c r="A493" s="3" t="s">
        <v>2037</v>
      </c>
      <c r="B493">
        <f>IFERROR(VLOOKUP(A493,管理亚马逊库存!A:K,11,0),"")</f>
        <v>1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2041</v>
      </c>
      <c r="B494">
        <f>IFERROR(VLOOKUP(A494,管理亚马逊库存!A:K,11,0),"")</f>
        <v>10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10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10</v>
      </c>
    </row>
    <row r="495" spans="1:14">
      <c r="A495" s="3" t="s">
        <v>2045</v>
      </c>
      <c r="B495">
        <f>IFERROR(VLOOKUP(A495,管理亚马逊库存!A:K,11,0),"")</f>
        <v>3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3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3</v>
      </c>
    </row>
    <row r="496" spans="1:14">
      <c r="A496" s="3" t="s">
        <v>2051</v>
      </c>
      <c r="B496">
        <f>IFERROR(VLOOKUP(A496,管理亚马逊库存!A:K,11,0),"")</f>
        <v>52</v>
      </c>
      <c r="C496">
        <f>IFERROR(VLOOKUP(A496,管理亚马逊库存!A:L,12,0),"")</f>
        <v>3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2056</v>
      </c>
      <c r="B497">
        <f>IFERROR(VLOOKUP(A497,管理亚马逊库存!A:K,11,0),"")</f>
        <v>6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4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4</v>
      </c>
    </row>
    <row r="498" spans="1:14">
      <c r="A498" s="3" t="s">
        <v>2061</v>
      </c>
      <c r="B498">
        <f>IFERROR(VLOOKUP(A498,管理亚马逊库存!A:K,11,0),"")</f>
        <v>15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2066</v>
      </c>
      <c r="B499">
        <f>IFERROR(VLOOKUP(A499,管理亚马逊库存!A:K,11,0),"")</f>
        <v>9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1</v>
      </c>
      <c r="K499">
        <f>IFERROR(VLOOKUP(A499,库龄!B:L,10,0),0)</f>
        <v>8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9</v>
      </c>
    </row>
    <row r="500" spans="1:14">
      <c r="A500" s="3" t="s">
        <v>2072</v>
      </c>
      <c r="B500">
        <f>IFERROR(VLOOKUP(A500,管理亚马逊库存!A:K,11,0),"")</f>
        <v>8</v>
      </c>
      <c r="C500">
        <f>IFERROR(VLOOKUP(A500,管理亚马逊库存!A:L,12,0),"")</f>
        <v>1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2077</v>
      </c>
      <c r="B501">
        <f>IFERROR(VLOOKUP(A501,管理亚马逊库存!A:K,11,0),"")</f>
        <v>4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2083</v>
      </c>
      <c r="B502">
        <f>IFERROR(VLOOKUP(A502,管理亚马逊库存!A:K,11,0),"")</f>
        <v>12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2087</v>
      </c>
      <c r="B503">
        <f>IFERROR(VLOOKUP(A503,管理亚马逊库存!A:K,11,0),"")</f>
        <v>3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3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3</v>
      </c>
    </row>
    <row r="504" spans="1:14">
      <c r="A504" s="3" t="s">
        <v>2090</v>
      </c>
      <c r="B504">
        <f>IFERROR(VLOOKUP(A504,管理亚马逊库存!A:K,11,0),"")</f>
        <v>12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2095</v>
      </c>
      <c r="B505">
        <f>IFERROR(VLOOKUP(A505,管理亚马逊库存!A:K,11,0),"")</f>
        <v>6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6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6</v>
      </c>
    </row>
    <row r="506" spans="1:14">
      <c r="A506" s="3" t="s">
        <v>2100</v>
      </c>
      <c r="B506">
        <f>IFERROR(VLOOKUP(A506,管理亚马逊库存!A:K,11,0),"")</f>
        <v>1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2105</v>
      </c>
      <c r="B507">
        <f>IFERROR(VLOOKUP(A507,管理亚马逊库存!A:K,11,0),"")</f>
        <v>7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7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7</v>
      </c>
    </row>
    <row r="508" spans="1:14">
      <c r="A508" s="3" t="s">
        <v>2111</v>
      </c>
      <c r="B508">
        <f>IFERROR(VLOOKUP(A508,管理亚马逊库存!A:K,11,0),"")</f>
        <v>4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4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4</v>
      </c>
    </row>
    <row r="509" spans="1:14">
      <c r="A509" s="3" t="s">
        <v>2115</v>
      </c>
      <c r="B509">
        <f>IFERROR(VLOOKUP(A509,管理亚马逊库存!A:K,11,0),"")</f>
        <v>4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4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4</v>
      </c>
    </row>
    <row r="510" spans="1:14">
      <c r="A510" s="3" t="s">
        <v>2119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2124</v>
      </c>
      <c r="B511">
        <f>IFERROR(VLOOKUP(A511,管理亚马逊库存!A:K,11,0),"")</f>
        <v>9</v>
      </c>
      <c r="C511">
        <f>IFERROR(VLOOKUP(A511,管理亚马逊库存!A:L,12,0),"")</f>
        <v>2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3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3</v>
      </c>
    </row>
    <row r="512" spans="1:14">
      <c r="A512" s="3" t="s">
        <v>2129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2134</v>
      </c>
      <c r="B513">
        <f>IFERROR(VLOOKUP(A513,管理亚马逊库存!A:K,11,0),"")</f>
        <v>5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5</v>
      </c>
      <c r="M513">
        <f>IFERROR(VLOOKUP(A513,库龄!B:N,12,0),0)</f>
        <v>0</v>
      </c>
      <c r="N513">
        <f t="shared" si="16"/>
        <v>5</v>
      </c>
    </row>
    <row r="514" spans="1:14">
      <c r="A514" s="3" t="s">
        <v>2138</v>
      </c>
      <c r="B514">
        <f>IFERROR(VLOOKUP(A514,管理亚马逊库存!A:K,11,0),"")</f>
        <v>6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6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6</v>
      </c>
    </row>
    <row r="515" spans="1:14">
      <c r="A515" s="3" t="s">
        <v>2141</v>
      </c>
      <c r="B515">
        <f>IFERROR(VLOOKUP(A515,管理亚马逊库存!A:K,11,0),"")</f>
        <v>6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2145</v>
      </c>
      <c r="B516">
        <f>IFERROR(VLOOKUP(A516,管理亚马逊库存!A:K,11,0),"")</f>
        <v>1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1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1</v>
      </c>
    </row>
    <row r="517" spans="1:14">
      <c r="A517" s="3" t="s">
        <v>2151</v>
      </c>
      <c r="B517">
        <f>IFERROR(VLOOKUP(A517,管理亚马逊库存!A:K,11,0),"")</f>
        <v>4</v>
      </c>
      <c r="C517">
        <f>IFERROR(VLOOKUP(A517,管理亚马逊库存!A:L,12,0),"")</f>
        <v>1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2156</v>
      </c>
      <c r="B518">
        <f>IFERROR(VLOOKUP(A518,管理亚马逊库存!A:K,11,0),"")</f>
        <v>5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2161</v>
      </c>
      <c r="B519">
        <f>IFERROR(VLOOKUP(A519,管理亚马逊库存!A:K,11,0),"")</f>
        <v>8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2</v>
      </c>
      <c r="K519">
        <f>IFERROR(VLOOKUP(A519,库龄!B:L,10,0),0)</f>
        <v>6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8</v>
      </c>
    </row>
    <row r="520" spans="1:14">
      <c r="A520" s="3" t="s">
        <v>2166</v>
      </c>
      <c r="B520">
        <f>IFERROR(VLOOKUP(A520,管理亚马逊库存!A:K,11,0),"")</f>
        <v>3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2170</v>
      </c>
      <c r="B521">
        <f>IFERROR(VLOOKUP(A521,管理亚马逊库存!A:K,11,0),"")</f>
        <v>5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5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5</v>
      </c>
    </row>
    <row r="522" spans="1:14">
      <c r="A522" s="3" t="s">
        <v>2175</v>
      </c>
      <c r="B522">
        <f>IFERROR(VLOOKUP(A522,管理亚马逊库存!A:K,11,0),"")</f>
        <v>15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15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15</v>
      </c>
    </row>
    <row r="523" spans="1:14">
      <c r="A523" s="3" t="s">
        <v>2179</v>
      </c>
      <c r="B523">
        <f>IFERROR(VLOOKUP(A523,管理亚马逊库存!A:K,11,0),"")</f>
        <v>9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8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8</v>
      </c>
    </row>
    <row r="524" spans="1:14">
      <c r="A524" s="3" t="s">
        <v>2183</v>
      </c>
      <c r="B524">
        <f>IFERROR(VLOOKUP(A524,管理亚马逊库存!A:K,11,0),"")</f>
        <v>4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2</v>
      </c>
      <c r="M524">
        <f>IFERROR(VLOOKUP(A524,库龄!B:N,12,0),0)</f>
        <v>0</v>
      </c>
      <c r="N524">
        <f t="shared" si="18"/>
        <v>2</v>
      </c>
    </row>
    <row r="525" spans="1:14">
      <c r="A525" s="3" t="s">
        <v>2187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2191</v>
      </c>
      <c r="B526">
        <f>IFERROR(VLOOKUP(A526,管理亚马逊库存!A:K,11,0),"")</f>
        <v>1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1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1</v>
      </c>
    </row>
    <row r="527" spans="1:14">
      <c r="A527" s="3" t="s">
        <v>2195</v>
      </c>
      <c r="B527">
        <f>IFERROR(VLOOKUP(A527,管理亚马逊库存!A:K,11,0),"")</f>
        <v>9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1</v>
      </c>
      <c r="K527">
        <f>IFERROR(VLOOKUP(A527,库龄!B:L,10,0),0)</f>
        <v>6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7</v>
      </c>
    </row>
    <row r="528" spans="1:14">
      <c r="A528" s="3" t="s">
        <v>2199</v>
      </c>
      <c r="B528">
        <f>IFERROR(VLOOKUP(A528,管理亚马逊库存!A:K,11,0),"")</f>
        <v>18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2205</v>
      </c>
      <c r="B529">
        <f>IFERROR(VLOOKUP(A529,管理亚马逊库存!A:K,11,0),"")</f>
        <v>2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2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2</v>
      </c>
    </row>
    <row r="530" spans="1:14">
      <c r="A530" s="3" t="s">
        <v>2209</v>
      </c>
      <c r="B530">
        <f>IFERROR(VLOOKUP(A530,管理亚马逊库存!A:K,11,0),"")</f>
        <v>4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4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4</v>
      </c>
    </row>
    <row r="531" spans="1:14">
      <c r="A531" s="3" t="s">
        <v>2214</v>
      </c>
      <c r="B531">
        <f>IFERROR(VLOOKUP(A531,管理亚马逊库存!A:K,11,0),"")</f>
        <v>5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1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5</v>
      </c>
      <c r="N531">
        <f t="shared" si="18"/>
        <v>6</v>
      </c>
    </row>
    <row r="532" spans="1:14">
      <c r="A532" s="3" t="s">
        <v>2218</v>
      </c>
      <c r="B532">
        <f>IFERROR(VLOOKUP(A532,管理亚马逊库存!A:K,11,0),"")</f>
        <v>3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2222</v>
      </c>
      <c r="B533">
        <f>IFERROR(VLOOKUP(A533,管理亚马逊库存!A:K,11,0),"")</f>
        <v>7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1</v>
      </c>
      <c r="K533">
        <f>IFERROR(VLOOKUP(A533,库龄!B:L,10,0),0)</f>
        <v>0</v>
      </c>
      <c r="L533">
        <f>IFERROR(VLOOKUP(A533,库龄!B:M,11,0),0)</f>
        <v>3</v>
      </c>
      <c r="M533">
        <f>IFERROR(VLOOKUP(A533,库龄!B:N,12,0),0)</f>
        <v>0</v>
      </c>
      <c r="N533">
        <f t="shared" si="18"/>
        <v>4</v>
      </c>
    </row>
    <row r="534" spans="1:14">
      <c r="A534" s="3" t="s">
        <v>2227</v>
      </c>
      <c r="B534">
        <f>IFERROR(VLOOKUP(A534,管理亚马逊库存!A:K,11,0),"")</f>
        <v>3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2231</v>
      </c>
      <c r="B535">
        <f>IFERROR(VLOOKUP(A535,管理亚马逊库存!A:K,11,0),"")</f>
        <v>0</v>
      </c>
      <c r="C535">
        <f>IFERROR(VLOOKUP(A535,管理亚马逊库存!A:L,12,0),"")</f>
        <v>2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2235</v>
      </c>
      <c r="B536">
        <f>IFERROR(VLOOKUP(A536,管理亚马逊库存!A:K,11,0),"")</f>
        <v>11</v>
      </c>
      <c r="C536">
        <f>IFERROR(VLOOKUP(A536,管理亚马逊库存!A:L,12,0),"")</f>
        <v>1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9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9</v>
      </c>
    </row>
    <row r="537" spans="1:14">
      <c r="A537" s="3" t="s">
        <v>2240</v>
      </c>
      <c r="B537">
        <f>IFERROR(VLOOKUP(A537,管理亚马逊库存!A:K,11,0),"")</f>
        <v>8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8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8</v>
      </c>
    </row>
    <row r="538" spans="1:14">
      <c r="A538" s="3" t="s">
        <v>2245</v>
      </c>
      <c r="B538">
        <f>IFERROR(VLOOKUP(A538,管理亚马逊库存!A:K,11,0),"")</f>
        <v>34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7</v>
      </c>
      <c r="K538">
        <f>IFERROR(VLOOKUP(A538,库龄!B:L,10,0),0)</f>
        <v>1</v>
      </c>
      <c r="L538">
        <f>IFERROR(VLOOKUP(A538,库龄!B:M,11,0),0)</f>
        <v>24</v>
      </c>
      <c r="M538">
        <f>IFERROR(VLOOKUP(A538,库龄!B:N,12,0),0)</f>
        <v>0</v>
      </c>
      <c r="N538">
        <f t="shared" si="18"/>
        <v>32</v>
      </c>
    </row>
    <row r="539" spans="1:14">
      <c r="A539" s="3" t="s">
        <v>2252</v>
      </c>
      <c r="B539">
        <f>IFERROR(VLOOKUP(A539,管理亚马逊库存!A:K,11,0),"")</f>
        <v>32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3</v>
      </c>
      <c r="K539">
        <f>IFERROR(VLOOKUP(A539,库龄!B:L,10,0),0)</f>
        <v>7</v>
      </c>
      <c r="L539">
        <f>IFERROR(VLOOKUP(A539,库龄!B:M,11,0),0)</f>
        <v>24</v>
      </c>
      <c r="M539">
        <f>IFERROR(VLOOKUP(A539,库龄!B:N,12,0),0)</f>
        <v>0</v>
      </c>
      <c r="N539">
        <f t="shared" si="18"/>
        <v>34</v>
      </c>
    </row>
    <row r="540" spans="1:14">
      <c r="A540" s="3" t="s">
        <v>2257</v>
      </c>
      <c r="B540">
        <f>IFERROR(VLOOKUP(A540,管理亚马逊库存!A:K,11,0),"")</f>
        <v>6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2261</v>
      </c>
      <c r="B541">
        <f>IFERROR(VLOOKUP(A541,管理亚马逊库存!A:K,11,0),"")</f>
        <v>11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11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11</v>
      </c>
    </row>
    <row r="542" spans="1:14">
      <c r="A542" s="3" t="s">
        <v>2266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8</v>
      </c>
      <c r="E542">
        <f>IFERROR(VLOOKUP(A542,管理亚马逊库存!A:R,18,0),"")</f>
        <v>0</v>
      </c>
      <c r="F542">
        <f t="shared" si="17"/>
        <v>8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2271</v>
      </c>
      <c r="B543">
        <f>IFERROR(VLOOKUP(A543,管理亚马逊库存!A:K,11,0),"")</f>
        <v>5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5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5</v>
      </c>
    </row>
    <row r="544" spans="1:14">
      <c r="A544" s="3" t="s">
        <v>2276</v>
      </c>
      <c r="B544">
        <f>IFERROR(VLOOKUP(A544,管理亚马逊库存!A:K,11,0),"")</f>
        <v>2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2</v>
      </c>
      <c r="M544">
        <f>IFERROR(VLOOKUP(A544,库龄!B:N,12,0),0)</f>
        <v>0</v>
      </c>
      <c r="N544">
        <f t="shared" si="18"/>
        <v>2</v>
      </c>
    </row>
    <row r="545" spans="1:14">
      <c r="A545" s="3" t="s">
        <v>2280</v>
      </c>
      <c r="B545">
        <f>IFERROR(VLOOKUP(A545,管理亚马逊库存!A:K,11,0),"")</f>
        <v>9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9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9</v>
      </c>
    </row>
    <row r="546" spans="1:14">
      <c r="A546" s="3" t="s">
        <v>2284</v>
      </c>
      <c r="B546">
        <f>IFERROR(VLOOKUP(A546,管理亚马逊库存!A:K,11,0),"")</f>
        <v>6</v>
      </c>
      <c r="C546">
        <f>IFERROR(VLOOKUP(A546,管理亚马逊库存!A:L,12,0),"")</f>
        <v>0</v>
      </c>
      <c r="D546">
        <f>IFERROR(VLOOKUP(A546,管理亚马逊库存!A:Q,17,0),"")</f>
        <v>5</v>
      </c>
      <c r="E546">
        <f>IFERROR(VLOOKUP(A546,管理亚马逊库存!A:R,18,0),"")</f>
        <v>0</v>
      </c>
      <c r="F546">
        <f t="shared" si="17"/>
        <v>5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2288</v>
      </c>
      <c r="B547">
        <f>IFERROR(VLOOKUP(A547,管理亚马逊库存!A:K,11,0),"")</f>
        <v>7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1</v>
      </c>
      <c r="M547">
        <f>IFERROR(VLOOKUP(A547,库龄!B:N,12,0),0)</f>
        <v>3</v>
      </c>
      <c r="N547">
        <f t="shared" si="18"/>
        <v>4</v>
      </c>
    </row>
    <row r="548" spans="1:14">
      <c r="A548" s="3" t="s">
        <v>2292</v>
      </c>
      <c r="B548">
        <f>IFERROR(VLOOKUP(A548,管理亚马逊库存!A:K,11,0),"")</f>
        <v>9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2296</v>
      </c>
      <c r="B549">
        <f>IFERROR(VLOOKUP(A549,管理亚马逊库存!A:K,11,0),"")</f>
        <v>6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1</v>
      </c>
      <c r="M549">
        <f>IFERROR(VLOOKUP(A549,库龄!B:N,12,0),0)</f>
        <v>3</v>
      </c>
      <c r="N549">
        <f t="shared" si="18"/>
        <v>4</v>
      </c>
    </row>
    <row r="550" spans="1:14">
      <c r="A550" s="3" t="s">
        <v>2301</v>
      </c>
      <c r="B550">
        <f>IFERROR(VLOOKUP(A550,管理亚马逊库存!A:K,11,0),"")</f>
        <v>10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2304</v>
      </c>
      <c r="B551">
        <f>IFERROR(VLOOKUP(A551,管理亚马逊库存!A:K,11,0),"")</f>
        <v>12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12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12</v>
      </c>
    </row>
    <row r="552" spans="1:14">
      <c r="A552" s="3" t="s">
        <v>2308</v>
      </c>
      <c r="B552">
        <f>IFERROR(VLOOKUP(A552,管理亚马逊库存!A:K,11,0),"")</f>
        <v>8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8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8</v>
      </c>
    </row>
    <row r="553" spans="1:14">
      <c r="A553" s="3" t="s">
        <v>2313</v>
      </c>
      <c r="B553">
        <f>IFERROR(VLOOKUP(A553,管理亚马逊库存!A:K,11,0),"")</f>
        <v>3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3</v>
      </c>
      <c r="M553">
        <f>IFERROR(VLOOKUP(A553,库龄!B:N,12,0),0)</f>
        <v>0</v>
      </c>
      <c r="N553">
        <f t="shared" si="18"/>
        <v>3</v>
      </c>
    </row>
    <row r="554" spans="1:14">
      <c r="A554" s="3" t="s">
        <v>2317</v>
      </c>
      <c r="B554">
        <f>IFERROR(VLOOKUP(A554,管理亚马逊库存!A:K,11,0),"")</f>
        <v>13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3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3</v>
      </c>
    </row>
    <row r="555" spans="1:14">
      <c r="A555" s="3" t="s">
        <v>2321</v>
      </c>
      <c r="B555">
        <f>IFERROR(VLOOKUP(A555,管理亚马逊库存!A:K,11,0),"")</f>
        <v>12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8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8</v>
      </c>
    </row>
    <row r="556" spans="1:14">
      <c r="A556" s="3" t="s">
        <v>2325</v>
      </c>
      <c r="B556">
        <f>IFERROR(VLOOKUP(A556,管理亚马逊库存!A:K,11,0),"")</f>
        <v>9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9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9</v>
      </c>
    </row>
    <row r="557" spans="1:14">
      <c r="A557" s="3" t="s">
        <v>2329</v>
      </c>
      <c r="B557">
        <f>IFERROR(VLOOKUP(A557,管理亚马逊库存!A:K,11,0),"")</f>
        <v>11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1</v>
      </c>
      <c r="K557">
        <f>IFERROR(VLOOKUP(A557,库龄!B:L,10,0),0)</f>
        <v>10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11</v>
      </c>
    </row>
    <row r="558" spans="1:14">
      <c r="A558" s="3" t="s">
        <v>2334</v>
      </c>
      <c r="B558">
        <f>IFERROR(VLOOKUP(A558,管理亚马逊库存!A:K,11,0),"")</f>
        <v>3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2338</v>
      </c>
      <c r="B559">
        <f>IFERROR(VLOOKUP(A559,管理亚马逊库存!A:K,11,0),"")</f>
        <v>6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2342</v>
      </c>
      <c r="B560">
        <f>IFERROR(VLOOKUP(A560,管理亚马逊库存!A:K,11,0),"")</f>
        <v>3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3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3</v>
      </c>
    </row>
    <row r="561" spans="1:14">
      <c r="A561" s="3" t="s">
        <v>2347</v>
      </c>
      <c r="B561">
        <f>IFERROR(VLOOKUP(A561,管理亚马逊库存!A:K,11,0),"")</f>
        <v>2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1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1</v>
      </c>
    </row>
    <row r="562" spans="1:14">
      <c r="A562" s="3" t="s">
        <v>2352</v>
      </c>
      <c r="B562">
        <f>IFERROR(VLOOKUP(A562,管理亚马逊库存!A:K,11,0),"")</f>
        <v>74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4</v>
      </c>
      <c r="K562">
        <f>IFERROR(VLOOKUP(A562,库龄!B:L,10,0),0)</f>
        <v>70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74</v>
      </c>
    </row>
    <row r="563" spans="1:14">
      <c r="A563" s="3" t="s">
        <v>2356</v>
      </c>
      <c r="B563">
        <f>IFERROR(VLOOKUP(A563,管理亚马逊库存!A:K,11,0),"")</f>
        <v>32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3</v>
      </c>
      <c r="K563">
        <f>IFERROR(VLOOKUP(A563,库龄!B:L,10,0),0)</f>
        <v>2</v>
      </c>
      <c r="L563">
        <f>IFERROR(VLOOKUP(A563,库龄!B:M,11,0),0)</f>
        <v>26</v>
      </c>
      <c r="M563">
        <f>IFERROR(VLOOKUP(A563,库龄!B:N,12,0),0)</f>
        <v>0</v>
      </c>
      <c r="N563">
        <f t="shared" si="18"/>
        <v>31</v>
      </c>
    </row>
    <row r="564" spans="1:14">
      <c r="A564" s="3" t="s">
        <v>2361</v>
      </c>
      <c r="B564">
        <f>IFERROR(VLOOKUP(A564,管理亚马逊库存!A:K,11,0),"")</f>
        <v>4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1</v>
      </c>
      <c r="K564">
        <f>IFERROR(VLOOKUP(A564,库龄!B:L,10,0),0)</f>
        <v>2</v>
      </c>
      <c r="L564">
        <f>IFERROR(VLOOKUP(A564,库龄!B:M,11,0),0)</f>
        <v>1</v>
      </c>
      <c r="M564">
        <f>IFERROR(VLOOKUP(A564,库龄!B:N,12,0),0)</f>
        <v>0</v>
      </c>
      <c r="N564">
        <f t="shared" si="18"/>
        <v>4</v>
      </c>
    </row>
    <row r="565" spans="1:14">
      <c r="A565" s="3" t="s">
        <v>2366</v>
      </c>
      <c r="B565">
        <f>IFERROR(VLOOKUP(A565,管理亚马逊库存!A:K,11,0),"")</f>
        <v>12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6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6</v>
      </c>
    </row>
    <row r="566" spans="1:14">
      <c r="A566" s="3" t="s">
        <v>2371</v>
      </c>
      <c r="B566">
        <f>IFERROR(VLOOKUP(A566,管理亚马逊库存!A:K,11,0),"")</f>
        <v>6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6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6</v>
      </c>
    </row>
    <row r="567" spans="1:14">
      <c r="A567" s="3" t="s">
        <v>2375</v>
      </c>
      <c r="B567">
        <f>IFERROR(VLOOKUP(A567,管理亚马逊库存!A:K,11,0),"")</f>
        <v>15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2378</v>
      </c>
      <c r="B568">
        <f>IFERROR(VLOOKUP(A568,管理亚马逊库存!A:K,11,0),"")</f>
        <v>8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8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8</v>
      </c>
    </row>
    <row r="569" spans="1:14">
      <c r="A569" s="3" t="s">
        <v>2382</v>
      </c>
      <c r="B569">
        <f>IFERROR(VLOOKUP(A569,管理亚马逊库存!A:K,11,0),"")</f>
        <v>32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5</v>
      </c>
      <c r="K569">
        <f>IFERROR(VLOOKUP(A569,库龄!B:L,10,0),0)</f>
        <v>27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32</v>
      </c>
    </row>
    <row r="570" spans="1:14">
      <c r="A570" s="3" t="s">
        <v>2386</v>
      </c>
      <c r="B570">
        <f>IFERROR(VLOOKUP(A570,管理亚马逊库存!A:K,11,0),"")</f>
        <v>3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1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1</v>
      </c>
      <c r="N570">
        <f t="shared" si="18"/>
        <v>2</v>
      </c>
    </row>
    <row r="571" spans="1:14">
      <c r="A571" s="3" t="s">
        <v>2391</v>
      </c>
      <c r="B571">
        <f>IFERROR(VLOOKUP(A571,管理亚马逊库存!A:K,11,0),"")</f>
        <v>9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2394</v>
      </c>
      <c r="B572">
        <f>IFERROR(VLOOKUP(A572,管理亚马逊库存!A:K,11,0),"")</f>
        <v>6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1</v>
      </c>
      <c r="K572">
        <f>IFERROR(VLOOKUP(A572,库龄!B:L,10,0),0)</f>
        <v>5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6</v>
      </c>
    </row>
    <row r="573" spans="1:14">
      <c r="A573" s="3" t="s">
        <v>2399</v>
      </c>
      <c r="B573">
        <f>IFERROR(VLOOKUP(A573,管理亚马逊库存!A:K,11,0),"")</f>
        <v>4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1</v>
      </c>
      <c r="K573">
        <f>IFERROR(VLOOKUP(A573,库龄!B:L,10,0),0)</f>
        <v>3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4</v>
      </c>
    </row>
    <row r="574" spans="1:14">
      <c r="A574" s="3" t="s">
        <v>2403</v>
      </c>
      <c r="B574">
        <f>IFERROR(VLOOKUP(A574,管理亚马逊库存!A:K,11,0),"")</f>
        <v>0</v>
      </c>
      <c r="C574">
        <f>IFERROR(VLOOKUP(A574,管理亚马逊库存!A:L,12,0),"")</f>
        <v>0</v>
      </c>
      <c r="D574">
        <f>IFERROR(VLOOKUP(A574,管理亚马逊库存!A:Q,17,0),"")</f>
        <v>9</v>
      </c>
      <c r="E574">
        <f>IFERROR(VLOOKUP(A574,管理亚马逊库存!A:R,18,0),"")</f>
        <v>0</v>
      </c>
      <c r="F574">
        <f t="shared" si="17"/>
        <v>9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2407</v>
      </c>
      <c r="B575">
        <f>IFERROR(VLOOKUP(A575,管理亚马逊库存!A:K,11,0),"")</f>
        <v>138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6</v>
      </c>
      <c r="K575">
        <f>IFERROR(VLOOKUP(A575,库龄!B:L,10,0),0)</f>
        <v>125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131</v>
      </c>
    </row>
    <row r="576" spans="1:14">
      <c r="A576" s="3" t="s">
        <v>2411</v>
      </c>
      <c r="B576">
        <f>IFERROR(VLOOKUP(A576,管理亚马逊库存!A:K,11,0),"")</f>
        <v>1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2416</v>
      </c>
      <c r="B577">
        <f>IFERROR(VLOOKUP(A577,管理亚马逊库存!A:K,11,0),"")</f>
        <v>5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5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5</v>
      </c>
    </row>
    <row r="578" spans="1:14">
      <c r="A578" s="3" t="s">
        <v>2421</v>
      </c>
      <c r="B578">
        <f>IFERROR(VLOOKUP(A578,管理亚马逊库存!A:K,11,0),"")</f>
        <v>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2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2</v>
      </c>
    </row>
    <row r="579" spans="1:14">
      <c r="A579" s="3" t="s">
        <v>2425</v>
      </c>
      <c r="B579">
        <f>IFERROR(VLOOKUP(A579,管理亚马逊库存!A:K,11,0),"")</f>
        <v>3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2431</v>
      </c>
      <c r="B580">
        <f>IFERROR(VLOOKUP(A580,管理亚马逊库存!A:K,11,0),"")</f>
        <v>0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2434</v>
      </c>
      <c r="B581">
        <f>IFERROR(VLOOKUP(A581,管理亚马逊库存!A:K,11,0),"")</f>
        <v>4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1</v>
      </c>
      <c r="K581">
        <f>IFERROR(VLOOKUP(A581,库龄!B:L,10,0),0)</f>
        <v>1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2</v>
      </c>
    </row>
    <row r="582" spans="1:14">
      <c r="A582" s="3" t="s">
        <v>2438</v>
      </c>
      <c r="B582">
        <f>IFERROR(VLOOKUP(A582,管理亚马逊库存!A:K,11,0),"")</f>
        <v>8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8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8</v>
      </c>
    </row>
    <row r="583" spans="1:14">
      <c r="A583" s="3" t="s">
        <v>2443</v>
      </c>
      <c r="B583">
        <f>IFERROR(VLOOKUP(A583,管理亚马逊库存!A:K,11,0),"")</f>
        <v>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2447</v>
      </c>
      <c r="B584">
        <f>IFERROR(VLOOKUP(A584,管理亚马逊库存!A:K,11,0),"")</f>
        <v>7</v>
      </c>
      <c r="C584">
        <f>IFERROR(VLOOKUP(A584,管理亚马逊库存!A:L,12,0),"")</f>
        <v>1</v>
      </c>
      <c r="D584">
        <f>IFERROR(VLOOKUP(A584,管理亚马逊库存!A:Q,17,0),"")</f>
        <v>4</v>
      </c>
      <c r="E584">
        <f>IFERROR(VLOOKUP(A584,管理亚马逊库存!A:R,18,0),"")</f>
        <v>0</v>
      </c>
      <c r="F584">
        <f t="shared" si="19"/>
        <v>4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2451</v>
      </c>
      <c r="B585">
        <f>IFERROR(VLOOKUP(A585,管理亚马逊库存!A:K,11,0),"")</f>
        <v>1</v>
      </c>
      <c r="C585">
        <f>IFERROR(VLOOKUP(A585,管理亚马逊库存!A:L,12,0),"")</f>
        <v>2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2455</v>
      </c>
      <c r="B586">
        <f>IFERROR(VLOOKUP(A586,管理亚马逊库存!A:K,11,0),"")</f>
        <v>10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10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10</v>
      </c>
    </row>
    <row r="587" spans="1:14">
      <c r="A587" s="3" t="s">
        <v>2459</v>
      </c>
      <c r="B587">
        <f>IFERROR(VLOOKUP(A587,管理亚马逊库存!A:K,11,0),"")</f>
        <v>8</v>
      </c>
      <c r="C587">
        <f>IFERROR(VLOOKUP(A587,管理亚马逊库存!A:L,12,0),"")</f>
        <v>4</v>
      </c>
      <c r="D587">
        <f>IFERROR(VLOOKUP(A587,管理亚马逊库存!A:Q,17,0),"")</f>
        <v>1</v>
      </c>
      <c r="E587">
        <f>IFERROR(VLOOKUP(A587,管理亚马逊库存!A:R,18,0),"")</f>
        <v>0</v>
      </c>
      <c r="F587">
        <f t="shared" si="19"/>
        <v>1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2463</v>
      </c>
      <c r="B588">
        <f>IFERROR(VLOOKUP(A588,管理亚马逊库存!A:K,11,0),"")</f>
        <v>25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6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6</v>
      </c>
    </row>
    <row r="589" spans="1:14">
      <c r="A589" s="3" t="s">
        <v>2468</v>
      </c>
      <c r="B589">
        <f>IFERROR(VLOOKUP(A589,管理亚马逊库存!A:K,11,0),"")</f>
        <v>5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5</v>
      </c>
      <c r="M589">
        <f>IFERROR(VLOOKUP(A589,库龄!B:N,12,0),0)</f>
        <v>0</v>
      </c>
      <c r="N589">
        <f t="shared" si="20"/>
        <v>5</v>
      </c>
    </row>
    <row r="590" spans="1:14">
      <c r="A590" s="3" t="s">
        <v>2471</v>
      </c>
      <c r="B590">
        <f>IFERROR(VLOOKUP(A590,管理亚马逊库存!A:K,11,0),"")</f>
        <v>24</v>
      </c>
      <c r="C590">
        <f>IFERROR(VLOOKUP(A590,管理亚马逊库存!A:L,12,0),"")</f>
        <v>1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2475</v>
      </c>
      <c r="B591">
        <f>IFERROR(VLOOKUP(A591,管理亚马逊库存!A:K,11,0),"")</f>
        <v>3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3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3</v>
      </c>
    </row>
    <row r="592" spans="1:14">
      <c r="A592" s="3" t="s">
        <v>2480</v>
      </c>
      <c r="B592">
        <f>IFERROR(VLOOKUP(A592,管理亚马逊库存!A:K,11,0),"")</f>
        <v>15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2484</v>
      </c>
      <c r="B593">
        <f>IFERROR(VLOOKUP(A593,管理亚马逊库存!A:K,11,0),"")</f>
        <v>6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1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1</v>
      </c>
    </row>
    <row r="594" spans="1:14">
      <c r="A594" s="3" t="s">
        <v>2488</v>
      </c>
      <c r="B594">
        <f>IFERROR(VLOOKUP(A594,管理亚马逊库存!A:K,11,0),"")</f>
        <v>6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6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6</v>
      </c>
    </row>
    <row r="595" spans="1:14">
      <c r="A595" s="3" t="s">
        <v>2492</v>
      </c>
      <c r="B595">
        <f>IFERROR(VLOOKUP(A595,管理亚马逊库存!A:K,11,0),"")</f>
        <v>15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2498</v>
      </c>
      <c r="B596">
        <f>IFERROR(VLOOKUP(A596,管理亚马逊库存!A:K,11,0),"")</f>
        <v>6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1</v>
      </c>
      <c r="L596">
        <f>IFERROR(VLOOKUP(A596,库龄!B:M,11,0),0)</f>
        <v>5</v>
      </c>
      <c r="M596">
        <f>IFERROR(VLOOKUP(A596,库龄!B:N,12,0),0)</f>
        <v>0</v>
      </c>
      <c r="N596">
        <f t="shared" si="20"/>
        <v>6</v>
      </c>
    </row>
    <row r="597" spans="1:14">
      <c r="A597" s="3" t="s">
        <v>2503</v>
      </c>
      <c r="B597">
        <f>IFERROR(VLOOKUP(A597,管理亚马逊库存!A:K,11,0),"")</f>
        <v>2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2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2</v>
      </c>
    </row>
    <row r="598" spans="1:14">
      <c r="A598" s="3" t="s">
        <v>2507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1</v>
      </c>
      <c r="L598">
        <f>IFERROR(VLOOKUP(A598,库龄!B:M,11,0),0)</f>
        <v>1</v>
      </c>
      <c r="M598">
        <f>IFERROR(VLOOKUP(A598,库龄!B:N,12,0),0)</f>
        <v>0</v>
      </c>
      <c r="N598">
        <f t="shared" si="20"/>
        <v>2</v>
      </c>
    </row>
    <row r="599" spans="1:14">
      <c r="A599" s="3" t="s">
        <v>2511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1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1</v>
      </c>
    </row>
    <row r="600" spans="1:14">
      <c r="A600" s="3" t="s">
        <v>2516</v>
      </c>
      <c r="B600">
        <f>IFERROR(VLOOKUP(A600,管理亚马逊库存!A:K,11,0),"")</f>
        <v>1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1</v>
      </c>
      <c r="M600">
        <f>IFERROR(VLOOKUP(A600,库龄!B:N,12,0),0)</f>
        <v>0</v>
      </c>
      <c r="N600">
        <f t="shared" si="20"/>
        <v>1</v>
      </c>
    </row>
    <row r="601" spans="1:14">
      <c r="A601" s="3" t="s">
        <v>2521</v>
      </c>
      <c r="B601">
        <f>IFERROR(VLOOKUP(A601,管理亚马逊库存!A:K,11,0),"")</f>
        <v>8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8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8</v>
      </c>
    </row>
    <row r="602" spans="1:14">
      <c r="A602" s="3" t="s">
        <v>2525</v>
      </c>
      <c r="B602">
        <f>IFERROR(VLOOKUP(A602,管理亚马逊库存!A:K,11,0),"")</f>
        <v>3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3</v>
      </c>
      <c r="N602">
        <f t="shared" si="20"/>
        <v>3</v>
      </c>
    </row>
    <row r="603" spans="1:14">
      <c r="A603" s="3" t="s">
        <v>2530</v>
      </c>
      <c r="B603">
        <f>IFERROR(VLOOKUP(A603,管理亚马逊库存!A:K,11,0),"")</f>
        <v>1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2534</v>
      </c>
      <c r="B604">
        <f>IFERROR(VLOOKUP(A604,管理亚马逊库存!A:K,11,0),"")</f>
        <v>10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2538</v>
      </c>
      <c r="B605">
        <f>IFERROR(VLOOKUP(A605,管理亚马逊库存!A:K,11,0),"")</f>
        <v>6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2543</v>
      </c>
      <c r="B606">
        <f>IFERROR(VLOOKUP(A606,管理亚马逊库存!A:K,11,0),"")</f>
        <v>5</v>
      </c>
      <c r="C606">
        <f>IFERROR(VLOOKUP(A606,管理亚马逊库存!A:L,12,0),"")</f>
        <v>2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5</v>
      </c>
      <c r="N606">
        <f t="shared" si="20"/>
        <v>5</v>
      </c>
    </row>
    <row r="607" spans="1:14">
      <c r="A607" s="3" t="s">
        <v>2547</v>
      </c>
      <c r="B607">
        <f>IFERROR(VLOOKUP(A607,管理亚马逊库存!A:K,11,0),"")</f>
        <v>14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2551</v>
      </c>
      <c r="B608">
        <f>IFERROR(VLOOKUP(A608,管理亚马逊库存!A:K,11,0),"")</f>
        <v>3</v>
      </c>
      <c r="C608">
        <f>IFERROR(VLOOKUP(A608,管理亚马逊库存!A:L,12,0),"")</f>
        <v>1</v>
      </c>
      <c r="D608">
        <f>IFERROR(VLOOKUP(A608,管理亚马逊库存!A:Q,17,0),"")</f>
        <v>2</v>
      </c>
      <c r="E608">
        <f>IFERROR(VLOOKUP(A608,管理亚马逊库存!A:R,18,0),"")</f>
        <v>0</v>
      </c>
      <c r="F608">
        <f t="shared" si="19"/>
        <v>2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2554</v>
      </c>
      <c r="B609">
        <f>IFERROR(VLOOKUP(A609,管理亚马逊库存!A:K,11,0),"")</f>
        <v>3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1</v>
      </c>
      <c r="L609">
        <f>IFERROR(VLOOKUP(A609,库龄!B:M,11,0),0)</f>
        <v>0</v>
      </c>
      <c r="M609">
        <f>IFERROR(VLOOKUP(A609,库龄!B:N,12,0),0)</f>
        <v>2</v>
      </c>
      <c r="N609">
        <f t="shared" si="20"/>
        <v>3</v>
      </c>
    </row>
    <row r="610" spans="1:14">
      <c r="A610" s="3" t="s">
        <v>2557</v>
      </c>
      <c r="B610">
        <f>IFERROR(VLOOKUP(A610,管理亚马逊库存!A:K,11,0),"")</f>
        <v>78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1</v>
      </c>
      <c r="K610">
        <f>IFERROR(VLOOKUP(A610,库龄!B:L,10,0),0)</f>
        <v>76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77</v>
      </c>
    </row>
    <row r="611" spans="1:14">
      <c r="A611" s="3" t="s">
        <v>2561</v>
      </c>
      <c r="B611">
        <f>IFERROR(VLOOKUP(A611,管理亚马逊库存!A:K,11,0),"")</f>
        <v>1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2566</v>
      </c>
      <c r="B612">
        <f>IFERROR(VLOOKUP(A612,管理亚马逊库存!A:K,11,0),"")</f>
        <v>17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17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17</v>
      </c>
    </row>
    <row r="613" spans="1:14">
      <c r="A613" s="3" t="s">
        <v>2570</v>
      </c>
      <c r="B613">
        <f>IFERROR(VLOOKUP(A613,管理亚马逊库存!A:K,11,0),"")</f>
        <v>3</v>
      </c>
      <c r="C613">
        <f>IFERROR(VLOOKUP(A613,管理亚马逊库存!A:L,12,0),"")</f>
        <v>0</v>
      </c>
      <c r="D613">
        <f>IFERROR(VLOOKUP(A613,管理亚马逊库存!A:Q,17,0),"")</f>
        <v>10</v>
      </c>
      <c r="E613">
        <f>IFERROR(VLOOKUP(A613,管理亚马逊库存!A:R,18,0),"")</f>
        <v>0</v>
      </c>
      <c r="F613">
        <f t="shared" si="19"/>
        <v>10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2574</v>
      </c>
      <c r="B614">
        <f>IFERROR(VLOOKUP(A614,管理亚马逊库存!A:K,11,0),"")</f>
        <v>11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1</v>
      </c>
      <c r="L614">
        <f>IFERROR(VLOOKUP(A614,库龄!B:M,11,0),0)</f>
        <v>10</v>
      </c>
      <c r="M614">
        <f>IFERROR(VLOOKUP(A614,库龄!B:N,12,0),0)</f>
        <v>0</v>
      </c>
      <c r="N614">
        <f t="shared" si="20"/>
        <v>11</v>
      </c>
    </row>
    <row r="615" spans="1:14">
      <c r="A615" s="3" t="s">
        <v>2579</v>
      </c>
      <c r="B615">
        <f>IFERROR(VLOOKUP(A615,管理亚马逊库存!A:K,11,0),"")</f>
        <v>11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2583</v>
      </c>
      <c r="B616">
        <f>IFERROR(VLOOKUP(A616,管理亚马逊库存!A:K,11,0),"")</f>
        <v>0</v>
      </c>
      <c r="C616">
        <f>IFERROR(VLOOKUP(A616,管理亚马逊库存!A:L,12,0),"")</f>
        <v>2</v>
      </c>
      <c r="D616">
        <f>IFERROR(VLOOKUP(A616,管理亚马逊库存!A:Q,17,0),"")</f>
        <v>10</v>
      </c>
      <c r="E616">
        <f>IFERROR(VLOOKUP(A616,管理亚马逊库存!A:R,18,0),"")</f>
        <v>0</v>
      </c>
      <c r="F616">
        <f t="shared" si="19"/>
        <v>10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2587</v>
      </c>
      <c r="B617">
        <f>IFERROR(VLOOKUP(A617,管理亚马逊库存!A:K,11,0),"")</f>
        <v>4</v>
      </c>
      <c r="C617">
        <f>IFERROR(VLOOKUP(A617,管理亚马逊库存!A:L,12,0),"")</f>
        <v>3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2591</v>
      </c>
      <c r="B618">
        <f>IFERROR(VLOOKUP(A618,管理亚马逊库存!A:K,11,0),"")</f>
        <v>27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25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25</v>
      </c>
    </row>
    <row r="619" spans="1:14">
      <c r="A619" s="3" t="s">
        <v>2594</v>
      </c>
      <c r="B619">
        <f>IFERROR(VLOOKUP(A619,管理亚马逊库存!A:K,11,0),"")</f>
        <v>8</v>
      </c>
      <c r="C619">
        <f>IFERROR(VLOOKUP(A619,管理亚马逊库存!A:L,12,0),"")</f>
        <v>1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2598</v>
      </c>
      <c r="B620">
        <f>IFERROR(VLOOKUP(A620,管理亚马逊库存!A:K,11,0),"")</f>
        <v>15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2602</v>
      </c>
      <c r="B621">
        <f>IFERROR(VLOOKUP(A621,管理亚马逊库存!A:K,11,0),"")</f>
        <v>7</v>
      </c>
      <c r="C621">
        <f>IFERROR(VLOOKUP(A621,管理亚马逊库存!A:L,12,0),"")</f>
        <v>0</v>
      </c>
      <c r="D621">
        <f>IFERROR(VLOOKUP(A621,管理亚马逊库存!A:Q,17,0),"")</f>
        <v>5</v>
      </c>
      <c r="E621">
        <f>IFERROR(VLOOKUP(A621,管理亚马逊库存!A:R,18,0),"")</f>
        <v>0</v>
      </c>
      <c r="F621">
        <f t="shared" si="19"/>
        <v>5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6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6</v>
      </c>
    </row>
    <row r="622" spans="1:14">
      <c r="A622" s="3" t="s">
        <v>2607</v>
      </c>
      <c r="B622">
        <f>IFERROR(VLOOKUP(A622,管理亚马逊库存!A:K,11,0),"")</f>
        <v>8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8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8</v>
      </c>
    </row>
    <row r="623" spans="1:14">
      <c r="A623" s="3" t="s">
        <v>2611</v>
      </c>
      <c r="B623">
        <f>IFERROR(VLOOKUP(A623,管理亚马逊库存!A:K,11,0),"")</f>
        <v>1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2617</v>
      </c>
      <c r="B624">
        <f>IFERROR(VLOOKUP(A624,管理亚马逊库存!A:K,11,0),"")</f>
        <v>85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5</v>
      </c>
      <c r="K624">
        <f>IFERROR(VLOOKUP(A624,库龄!B:L,10,0),0)</f>
        <v>79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84</v>
      </c>
    </row>
    <row r="625" spans="1:14">
      <c r="A625" s="3" t="s">
        <v>2621</v>
      </c>
      <c r="B625">
        <f>IFERROR(VLOOKUP(A625,管理亚马逊库存!A:K,11,0),"")</f>
        <v>2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2626</v>
      </c>
      <c r="B626">
        <f>IFERROR(VLOOKUP(A626,管理亚马逊库存!A:K,11,0),"")</f>
        <v>23</v>
      </c>
      <c r="C626">
        <f>IFERROR(VLOOKUP(A626,管理亚马逊库存!A:L,12,0),"")</f>
        <v>5</v>
      </c>
      <c r="D626">
        <f>IFERROR(VLOOKUP(A626,管理亚马逊库存!A:Q,17,0),"")</f>
        <v>5</v>
      </c>
      <c r="E626">
        <f>IFERROR(VLOOKUP(A626,管理亚马逊库存!A:R,18,0),"")</f>
        <v>0</v>
      </c>
      <c r="F626">
        <f t="shared" si="19"/>
        <v>5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2631</v>
      </c>
      <c r="B627">
        <f>IFERROR(VLOOKUP(A627,管理亚马逊库存!A:K,11,0),"")</f>
        <v>5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5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5</v>
      </c>
    </row>
    <row r="628" spans="1:14">
      <c r="A628" s="3" t="s">
        <v>2634</v>
      </c>
      <c r="B628">
        <f>IFERROR(VLOOKUP(A628,管理亚马逊库存!A:K,11,0),"")</f>
        <v>13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1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1</v>
      </c>
    </row>
    <row r="629" spans="1:14">
      <c r="A629" s="3" t="s">
        <v>2639</v>
      </c>
      <c r="B629">
        <f>IFERROR(VLOOKUP(A629,管理亚马逊库存!A:K,11,0),"")</f>
        <v>19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10</v>
      </c>
      <c r="F629">
        <f t="shared" si="19"/>
        <v>10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2644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2648</v>
      </c>
      <c r="B631">
        <f>IFERROR(VLOOKUP(A631,管理亚马逊库存!A:K,11,0),"")</f>
        <v>10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2652</v>
      </c>
      <c r="B632">
        <f>IFERROR(VLOOKUP(A632,管理亚马逊库存!A:K,11,0),"")</f>
        <v>2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2656</v>
      </c>
      <c r="B633">
        <f>IFERROR(VLOOKUP(A633,管理亚马逊库存!A:K,11,0),"")</f>
        <v>38</v>
      </c>
      <c r="C633">
        <f>IFERROR(VLOOKUP(A633,管理亚马逊库存!A:L,12,0),"")</f>
        <v>1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23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23</v>
      </c>
    </row>
    <row r="634" spans="1:14">
      <c r="A634" s="3" t="s">
        <v>2659</v>
      </c>
      <c r="B634">
        <f>IFERROR(VLOOKUP(A634,管理亚马逊库存!A:K,11,0),"")</f>
        <v>0</v>
      </c>
      <c r="C634">
        <f>IFERROR(VLOOKUP(A634,管理亚马逊库存!A:L,12,0),"")</f>
        <v>1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2663</v>
      </c>
      <c r="B635">
        <f>IFERROR(VLOOKUP(A635,管理亚马逊库存!A:K,11,0),"")</f>
        <v>6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6</v>
      </c>
      <c r="M635">
        <f>IFERROR(VLOOKUP(A635,库龄!B:N,12,0),0)</f>
        <v>0</v>
      </c>
      <c r="N635">
        <f t="shared" si="20"/>
        <v>6</v>
      </c>
    </row>
    <row r="636" spans="1:14">
      <c r="A636" s="3" t="s">
        <v>2667</v>
      </c>
      <c r="B636">
        <f>IFERROR(VLOOKUP(A636,管理亚马逊库存!A:K,11,0),"")</f>
        <v>79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16</v>
      </c>
      <c r="K636">
        <f>IFERROR(VLOOKUP(A636,库龄!B:L,10,0),0)</f>
        <v>56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72</v>
      </c>
    </row>
    <row r="637" spans="1:14">
      <c r="A637" s="3" t="s">
        <v>2671</v>
      </c>
      <c r="B637">
        <f>IFERROR(VLOOKUP(A637,管理亚马逊库存!A:K,11,0),"")</f>
        <v>10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2674</v>
      </c>
      <c r="B638">
        <f>IFERROR(VLOOKUP(A638,管理亚马逊库存!A:K,11,0),"")</f>
        <v>11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6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6</v>
      </c>
    </row>
    <row r="639" spans="1:14">
      <c r="A639" s="3" t="s">
        <v>2678</v>
      </c>
      <c r="B639">
        <f>IFERROR(VLOOKUP(A639,管理亚马逊库存!A:K,11,0),"")</f>
        <v>9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9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9</v>
      </c>
    </row>
    <row r="640" spans="1:14">
      <c r="A640" s="3" t="s">
        <v>2682</v>
      </c>
      <c r="B640">
        <f>IFERROR(VLOOKUP(A640,管理亚马逊库存!A:K,11,0),"")</f>
        <v>19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2686</v>
      </c>
      <c r="B641">
        <f>IFERROR(VLOOKUP(A641,管理亚马逊库存!A:K,11,0),"")</f>
        <v>15</v>
      </c>
      <c r="C641">
        <f>IFERROR(VLOOKUP(A641,管理亚马逊库存!A:L,12,0),"")</f>
        <v>1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15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15</v>
      </c>
    </row>
    <row r="642" spans="1:14">
      <c r="A642" s="3" t="s">
        <v>2690</v>
      </c>
      <c r="B642">
        <f>IFERROR(VLOOKUP(A642,管理亚马逊库存!A:K,11,0),"")</f>
        <v>6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2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1</v>
      </c>
      <c r="N642">
        <f t="shared" si="20"/>
        <v>3</v>
      </c>
    </row>
    <row r="643" spans="1:14">
      <c r="A643" s="3" t="s">
        <v>2696</v>
      </c>
      <c r="B643">
        <f>IFERROR(VLOOKUP(A643,管理亚马逊库存!A:K,11,0),"")</f>
        <v>7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4</v>
      </c>
      <c r="K643">
        <f>IFERROR(VLOOKUP(A643,库龄!B:L,10,0),0)</f>
        <v>1</v>
      </c>
      <c r="L643">
        <f>IFERROR(VLOOKUP(A643,库龄!B:M,11,0),0)</f>
        <v>2</v>
      </c>
      <c r="M643">
        <f>IFERROR(VLOOKUP(A643,库龄!B:N,12,0),0)</f>
        <v>0</v>
      </c>
      <c r="N643">
        <f t="shared" ref="N643:N706" si="22">SUM(J643:M643)</f>
        <v>7</v>
      </c>
    </row>
    <row r="644" spans="1:14">
      <c r="A644" s="3" t="s">
        <v>2700</v>
      </c>
      <c r="B644">
        <f>IFERROR(VLOOKUP(A644,管理亚马逊库存!A:K,11,0),"")</f>
        <v>24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24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24</v>
      </c>
    </row>
    <row r="645" spans="1:14">
      <c r="A645" s="3" t="s">
        <v>2704</v>
      </c>
      <c r="B645">
        <f>IFERROR(VLOOKUP(A645,管理亚马逊库存!A:K,11,0),"")</f>
        <v>8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2</v>
      </c>
      <c r="K645">
        <f>IFERROR(VLOOKUP(A645,库龄!B:L,10,0),0)</f>
        <v>1</v>
      </c>
      <c r="L645">
        <f>IFERROR(VLOOKUP(A645,库龄!B:M,11,0),0)</f>
        <v>4</v>
      </c>
      <c r="M645">
        <f>IFERROR(VLOOKUP(A645,库龄!B:N,12,0),0)</f>
        <v>0</v>
      </c>
      <c r="N645">
        <f t="shared" si="22"/>
        <v>7</v>
      </c>
    </row>
    <row r="646" spans="1:14">
      <c r="A646" s="3" t="s">
        <v>2709</v>
      </c>
      <c r="B646">
        <f>IFERROR(VLOOKUP(A646,管理亚马逊库存!A:K,11,0),"")</f>
        <v>2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2</v>
      </c>
      <c r="N646">
        <f t="shared" si="22"/>
        <v>2</v>
      </c>
    </row>
    <row r="647" spans="1:14">
      <c r="A647" s="3" t="s">
        <v>2712</v>
      </c>
      <c r="B647">
        <f>IFERROR(VLOOKUP(A647,管理亚马逊库存!A:K,11,0),"")</f>
        <v>5</v>
      </c>
      <c r="C647">
        <f>IFERROR(VLOOKUP(A647,管理亚马逊库存!A:L,12,0),"")</f>
        <v>2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2716</v>
      </c>
      <c r="B648">
        <f>IFERROR(VLOOKUP(A648,管理亚马逊库存!A:K,11,0),"")</f>
        <v>4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2721</v>
      </c>
      <c r="B649">
        <f>IFERROR(VLOOKUP(A649,管理亚马逊库存!A:K,11,0),"")</f>
        <v>1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2725</v>
      </c>
      <c r="B650">
        <f>IFERROR(VLOOKUP(A650,管理亚马逊库存!A:K,11,0),"")</f>
        <v>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2730</v>
      </c>
      <c r="B651">
        <f>IFERROR(VLOOKUP(A651,管理亚马逊库存!A:K,11,0),"")</f>
        <v>3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3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3</v>
      </c>
    </row>
    <row r="652" spans="1:14">
      <c r="A652" s="3" t="s">
        <v>2734</v>
      </c>
      <c r="B652">
        <f>IFERROR(VLOOKUP(A652,管理亚马逊库存!A:K,11,0),"")</f>
        <v>9</v>
      </c>
      <c r="C652">
        <f>IFERROR(VLOOKUP(A652,管理亚马逊库存!A:L,12,0),"")</f>
        <v>2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2737</v>
      </c>
      <c r="B653">
        <f>IFERROR(VLOOKUP(A653,管理亚马逊库存!A:K,11,0),"")</f>
        <v>5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2741</v>
      </c>
      <c r="B654">
        <f>IFERROR(VLOOKUP(A654,管理亚马逊库存!A:K,11,0),"")</f>
        <v>8</v>
      </c>
      <c r="C654">
        <f>IFERROR(VLOOKUP(A654,管理亚马逊库存!A:L,12,0),"")</f>
        <v>1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2744</v>
      </c>
      <c r="B655">
        <f>IFERROR(VLOOKUP(A655,管理亚马逊库存!A:K,11,0),"")</f>
        <v>77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7</v>
      </c>
      <c r="K655">
        <f>IFERROR(VLOOKUP(A655,库龄!B:L,10,0),0)</f>
        <v>68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75</v>
      </c>
    </row>
    <row r="656" spans="1:14">
      <c r="A656" s="3" t="s">
        <v>2749</v>
      </c>
      <c r="B656">
        <f>IFERROR(VLOOKUP(A656,管理亚马逊库存!A:K,11,0),"")</f>
        <v>8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1</v>
      </c>
      <c r="L656">
        <f>IFERROR(VLOOKUP(A656,库龄!B:M,11,0),0)</f>
        <v>7</v>
      </c>
      <c r="M656">
        <f>IFERROR(VLOOKUP(A656,库龄!B:N,12,0),0)</f>
        <v>0</v>
      </c>
      <c r="N656">
        <f t="shared" si="22"/>
        <v>8</v>
      </c>
    </row>
    <row r="657" spans="1:14">
      <c r="A657" s="3" t="s">
        <v>2755</v>
      </c>
      <c r="B657">
        <f>IFERROR(VLOOKUP(A657,管理亚马逊库存!A:K,11,0),"")</f>
        <v>15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2759</v>
      </c>
      <c r="B658">
        <f>IFERROR(VLOOKUP(A658,管理亚马逊库存!A:K,11,0),"")</f>
        <v>10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2762</v>
      </c>
      <c r="B659">
        <f>IFERROR(VLOOKUP(A659,管理亚马逊库存!A:K,11,0),"")</f>
        <v>22</v>
      </c>
      <c r="C659">
        <f>IFERROR(VLOOKUP(A659,管理亚马逊库存!A:L,12,0),"")</f>
        <v>0</v>
      </c>
      <c r="D659">
        <f>IFERROR(VLOOKUP(A659,管理亚马逊库存!A:Q,17,0),"")</f>
        <v>20</v>
      </c>
      <c r="E659">
        <f>IFERROR(VLOOKUP(A659,管理亚马逊库存!A:R,18,0),"")</f>
        <v>0</v>
      </c>
      <c r="F659">
        <f t="shared" si="21"/>
        <v>20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2765</v>
      </c>
      <c r="B660">
        <f>IFERROR(VLOOKUP(A660,管理亚马逊库存!A:K,11,0),"")</f>
        <v>15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2770</v>
      </c>
      <c r="B661">
        <f>IFERROR(VLOOKUP(A661,管理亚马逊库存!A:K,11,0),"")</f>
        <v>9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2773</v>
      </c>
      <c r="B662">
        <f>IFERROR(VLOOKUP(A662,管理亚马逊库存!A:K,11,0),"")</f>
        <v>5</v>
      </c>
      <c r="C662">
        <f>IFERROR(VLOOKUP(A662,管理亚马逊库存!A:L,12,0),"")</f>
        <v>1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4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4</v>
      </c>
    </row>
    <row r="663" spans="1:14">
      <c r="A663" s="3" t="s">
        <v>2777</v>
      </c>
      <c r="B663">
        <f>IFERROR(VLOOKUP(A663,管理亚马逊库存!A:K,11,0),"")</f>
        <v>1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1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1</v>
      </c>
    </row>
    <row r="664" spans="1:14">
      <c r="A664" s="3" t="s">
        <v>2780</v>
      </c>
      <c r="B664">
        <f>IFERROR(VLOOKUP(A664,管理亚马逊库存!A:K,11,0),"")</f>
        <v>1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1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1</v>
      </c>
    </row>
    <row r="665" spans="1:14">
      <c r="A665" s="3" t="s">
        <v>2785</v>
      </c>
      <c r="B665">
        <f>IFERROR(VLOOKUP(A665,管理亚马逊库存!A:K,11,0),"")</f>
        <v>1</v>
      </c>
      <c r="C665">
        <f>IFERROR(VLOOKUP(A665,管理亚马逊库存!A:L,12,0),"")</f>
        <v>1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2791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35</v>
      </c>
      <c r="F666">
        <f t="shared" si="21"/>
        <v>35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2795</v>
      </c>
      <c r="B667">
        <f>IFERROR(VLOOKUP(A667,管理亚马逊库存!A:K,11,0),"")</f>
        <v>9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9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9</v>
      </c>
    </row>
    <row r="668" spans="1:14">
      <c r="A668" s="3" t="s">
        <v>2800</v>
      </c>
      <c r="B668">
        <f>IFERROR(VLOOKUP(A668,管理亚马逊库存!A:K,11,0),"")</f>
        <v>125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29</v>
      </c>
      <c r="K668">
        <f>IFERROR(VLOOKUP(A668,库龄!B:L,10,0),0)</f>
        <v>90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119</v>
      </c>
    </row>
    <row r="669" spans="1:14">
      <c r="A669" s="3" t="s">
        <v>2805</v>
      </c>
      <c r="B669">
        <f>IFERROR(VLOOKUP(A669,管理亚马逊库存!A:K,11,0),"")</f>
        <v>13</v>
      </c>
      <c r="C669">
        <f>IFERROR(VLOOKUP(A669,管理亚马逊库存!A:L,12,0),"")</f>
        <v>1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7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7</v>
      </c>
    </row>
    <row r="670" spans="1:14">
      <c r="A670" s="3" t="s">
        <v>2809</v>
      </c>
      <c r="B670">
        <f>IFERROR(VLOOKUP(A670,管理亚马逊库存!A:K,11,0),"")</f>
        <v>2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2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2</v>
      </c>
    </row>
    <row r="671" spans="1:14">
      <c r="A671" s="3" t="s">
        <v>2813</v>
      </c>
      <c r="B671">
        <f>IFERROR(VLOOKUP(A671,管理亚马逊库存!A:K,11,0),"")</f>
        <v>30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30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30</v>
      </c>
    </row>
    <row r="672" spans="1:14">
      <c r="A672" s="3" t="s">
        <v>2817</v>
      </c>
      <c r="B672">
        <f>IFERROR(VLOOKUP(A672,管理亚马逊库存!A:K,11,0),"")</f>
        <v>5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1</v>
      </c>
      <c r="K672">
        <f>IFERROR(VLOOKUP(A672,库龄!B:L,10,0),0)</f>
        <v>4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5</v>
      </c>
    </row>
    <row r="673" spans="1:14">
      <c r="A673" s="3" t="s">
        <v>2822</v>
      </c>
      <c r="B673">
        <f>IFERROR(VLOOKUP(A673,管理亚马逊库存!A:K,11,0),"")</f>
        <v>34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2826</v>
      </c>
      <c r="B674">
        <f>IFERROR(VLOOKUP(A674,管理亚马逊库存!A:K,11,0),"")</f>
        <v>10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10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10</v>
      </c>
    </row>
    <row r="675" spans="1:14">
      <c r="A675" s="3" t="s">
        <v>2830</v>
      </c>
      <c r="B675">
        <f>IFERROR(VLOOKUP(A675,管理亚马逊库存!A:K,11,0),"")</f>
        <v>1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1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1</v>
      </c>
    </row>
    <row r="676" spans="1:14">
      <c r="A676" s="3" t="s">
        <v>2835</v>
      </c>
      <c r="B676">
        <f>IFERROR(VLOOKUP(A676,管理亚马逊库存!A:K,11,0),"")</f>
        <v>9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2839</v>
      </c>
      <c r="B677">
        <f>IFERROR(VLOOKUP(A677,管理亚马逊库存!A:K,11,0),"")</f>
        <v>38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38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38</v>
      </c>
    </row>
    <row r="678" spans="1:14">
      <c r="A678" s="3" t="s">
        <v>2843</v>
      </c>
      <c r="B678">
        <f>IFERROR(VLOOKUP(A678,管理亚马逊库存!A:K,11,0),"")</f>
        <v>2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2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2</v>
      </c>
    </row>
    <row r="679" spans="1:14">
      <c r="A679" s="3" t="s">
        <v>2846</v>
      </c>
      <c r="B679">
        <f>IFERROR(VLOOKUP(A679,管理亚马逊库存!A:K,11,0),"")</f>
        <v>7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4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4</v>
      </c>
    </row>
    <row r="680" spans="1:14">
      <c r="A680" s="3" t="s">
        <v>2851</v>
      </c>
      <c r="B680">
        <f>IFERROR(VLOOKUP(A680,管理亚马逊库存!A:K,11,0),"")</f>
        <v>9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2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4</v>
      </c>
      <c r="N680">
        <f t="shared" si="22"/>
        <v>6</v>
      </c>
    </row>
    <row r="681" spans="1:14">
      <c r="A681" s="3" t="s">
        <v>2856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2860</v>
      </c>
      <c r="B682">
        <f>IFERROR(VLOOKUP(A682,管理亚马逊库存!A:K,11,0),"")</f>
        <v>10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1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1</v>
      </c>
    </row>
    <row r="683" spans="1:14">
      <c r="A683" s="3" t="s">
        <v>2865</v>
      </c>
      <c r="B683">
        <f>IFERROR(VLOOKUP(A683,管理亚马逊库存!A:K,11,0),"")</f>
        <v>1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2869</v>
      </c>
      <c r="B684">
        <f>IFERROR(VLOOKUP(A684,管理亚马逊库存!A:K,11,0),"")</f>
        <v>15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8</v>
      </c>
      <c r="K684">
        <f>IFERROR(VLOOKUP(A684,库龄!B:L,10,0),0)</f>
        <v>7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15</v>
      </c>
    </row>
    <row r="685" spans="1:14">
      <c r="A685" s="3" t="s">
        <v>2874</v>
      </c>
      <c r="B685">
        <f>IFERROR(VLOOKUP(A685,管理亚马逊库存!A:K,11,0),"")</f>
        <v>91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6</v>
      </c>
      <c r="K685">
        <f>IFERROR(VLOOKUP(A685,库龄!B:L,10,0),0)</f>
        <v>83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89</v>
      </c>
    </row>
    <row r="686" spans="1:14">
      <c r="A686" s="3" t="s">
        <v>2879</v>
      </c>
      <c r="B686">
        <f>IFERROR(VLOOKUP(A686,管理亚马逊库存!A:K,11,0),"")</f>
        <v>2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1</v>
      </c>
      <c r="K686">
        <f>IFERROR(VLOOKUP(A686,库龄!B:L,10,0),0)</f>
        <v>1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2</v>
      </c>
    </row>
    <row r="687" spans="1:14">
      <c r="A687" s="3" t="s">
        <v>2885</v>
      </c>
      <c r="B687">
        <f>IFERROR(VLOOKUP(A687,管理亚马逊库存!A:K,11,0),"")</f>
        <v>1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1</v>
      </c>
      <c r="N687">
        <f t="shared" si="22"/>
        <v>1</v>
      </c>
    </row>
    <row r="688" spans="1:14">
      <c r="A688" s="3" t="s">
        <v>2889</v>
      </c>
      <c r="B688">
        <f>IFERROR(VLOOKUP(A688,管理亚马逊库存!A:K,11,0),"")</f>
        <v>1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2893</v>
      </c>
      <c r="B689">
        <f>IFERROR(VLOOKUP(A689,管理亚马逊库存!A:K,11,0),"")</f>
        <v>11</v>
      </c>
      <c r="C689">
        <f>IFERROR(VLOOKUP(A689,管理亚马逊库存!A:L,12,0),"")</f>
        <v>2</v>
      </c>
      <c r="D689">
        <f>IFERROR(VLOOKUP(A689,管理亚马逊库存!A:Q,17,0),"")</f>
        <v>8</v>
      </c>
      <c r="E689">
        <f>IFERROR(VLOOKUP(A689,管理亚马逊库存!A:R,18,0),"")</f>
        <v>0</v>
      </c>
      <c r="F689">
        <f t="shared" si="21"/>
        <v>8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2896</v>
      </c>
      <c r="B690">
        <f>IFERROR(VLOOKUP(A690,管理亚马逊库存!A:K,11,0),"")</f>
        <v>20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2900</v>
      </c>
      <c r="B691">
        <f>IFERROR(VLOOKUP(A691,管理亚马逊库存!A:K,11,0),"")</f>
        <v>4</v>
      </c>
      <c r="C691">
        <f>IFERROR(VLOOKUP(A691,管理亚马逊库存!A:L,12,0),"")</f>
        <v>2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2904</v>
      </c>
      <c r="B692">
        <f>IFERROR(VLOOKUP(A692,管理亚马逊库存!A:K,11,0),"")</f>
        <v>48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8</v>
      </c>
      <c r="K692">
        <f>IFERROR(VLOOKUP(A692,库龄!B:L,10,0),0)</f>
        <v>41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49</v>
      </c>
    </row>
    <row r="693" spans="1:14">
      <c r="A693" s="3" t="s">
        <v>2908</v>
      </c>
      <c r="B693">
        <f>IFERROR(VLOOKUP(A693,管理亚马逊库存!A:K,11,0),"")</f>
        <v>45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25</v>
      </c>
      <c r="K693">
        <f>IFERROR(VLOOKUP(A693,库龄!B:L,10,0),0)</f>
        <v>19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44</v>
      </c>
    </row>
    <row r="694" spans="1:14">
      <c r="A694" s="3" t="s">
        <v>2913</v>
      </c>
      <c r="B694">
        <f>IFERROR(VLOOKUP(A694,管理亚马逊库存!A:K,11,0),"")</f>
        <v>2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2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2</v>
      </c>
    </row>
    <row r="695" spans="1:14">
      <c r="A695" s="3" t="s">
        <v>2917</v>
      </c>
      <c r="B695">
        <f>IFERROR(VLOOKUP(A695,管理亚马逊库存!A:K,11,0),"")</f>
        <v>66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30</v>
      </c>
      <c r="K695">
        <f>IFERROR(VLOOKUP(A695,库龄!B:L,10,0),0)</f>
        <v>26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56</v>
      </c>
    </row>
    <row r="696" spans="1:14">
      <c r="A696" s="3" t="s">
        <v>2921</v>
      </c>
      <c r="B696">
        <f>IFERROR(VLOOKUP(A696,管理亚马逊库存!A:K,11,0),"")</f>
        <v>7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7</v>
      </c>
      <c r="N696">
        <f t="shared" si="22"/>
        <v>7</v>
      </c>
    </row>
    <row r="697" spans="1:14">
      <c r="A697" s="3" t="s">
        <v>2925</v>
      </c>
      <c r="B697">
        <f>IFERROR(VLOOKUP(A697,管理亚马逊库存!A:K,11,0),"")</f>
        <v>15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2928</v>
      </c>
      <c r="B698">
        <f>IFERROR(VLOOKUP(A698,管理亚马逊库存!A:K,11,0),"")</f>
        <v>62</v>
      </c>
      <c r="C698">
        <f>IFERROR(VLOOKUP(A698,管理亚马逊库存!A:L,12,0),"")</f>
        <v>9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2933</v>
      </c>
      <c r="B699">
        <f>IFERROR(VLOOKUP(A699,管理亚马逊库存!A:K,11,0),"")</f>
        <v>1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2938</v>
      </c>
      <c r="B700">
        <f>IFERROR(VLOOKUP(A700,管理亚马逊库存!A:K,11,0),"")</f>
        <v>9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2</v>
      </c>
      <c r="K700">
        <f>IFERROR(VLOOKUP(A700,库龄!B:L,10,0),0)</f>
        <v>6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8</v>
      </c>
    </row>
    <row r="701" spans="1:14">
      <c r="A701" s="3" t="s">
        <v>2942</v>
      </c>
      <c r="B701">
        <f>IFERROR(VLOOKUP(A701,管理亚马逊库存!A:K,11,0),"")</f>
        <v>14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2946</v>
      </c>
      <c r="B702">
        <f>IFERROR(VLOOKUP(A702,管理亚马逊库存!A:K,11,0),"")</f>
        <v>2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2</v>
      </c>
      <c r="M702">
        <f>IFERROR(VLOOKUP(A702,库龄!B:N,12,0),0)</f>
        <v>0</v>
      </c>
      <c r="N702">
        <f t="shared" si="22"/>
        <v>2</v>
      </c>
    </row>
    <row r="703" spans="1:14">
      <c r="A703" s="3" t="s">
        <v>2950</v>
      </c>
      <c r="B703">
        <f>IFERROR(VLOOKUP(A703,管理亚马逊库存!A:K,11,0),"")</f>
        <v>9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9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9</v>
      </c>
    </row>
    <row r="704" spans="1:14">
      <c r="A704" s="3" t="s">
        <v>2954</v>
      </c>
      <c r="B704">
        <f>IFERROR(VLOOKUP(A704,管理亚马逊库存!A:K,11,0),"")</f>
        <v>14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2958</v>
      </c>
      <c r="B705">
        <f>IFERROR(VLOOKUP(A705,管理亚马逊库存!A:K,11,0),"")</f>
        <v>5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2962</v>
      </c>
      <c r="B706">
        <f>IFERROR(VLOOKUP(A706,管理亚马逊库存!A:K,11,0),"")</f>
        <v>11</v>
      </c>
      <c r="C706">
        <f>IFERROR(VLOOKUP(A706,管理亚马逊库存!A:L,12,0),"")</f>
        <v>1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8</v>
      </c>
      <c r="K706">
        <f>IFERROR(VLOOKUP(A706,库龄!B:L,10,0),0)</f>
        <v>0</v>
      </c>
      <c r="L706">
        <f>IFERROR(VLOOKUP(A706,库龄!B:M,11,0),0)</f>
        <v>1</v>
      </c>
      <c r="M706">
        <f>IFERROR(VLOOKUP(A706,库龄!B:N,12,0),0)</f>
        <v>2</v>
      </c>
      <c r="N706">
        <f t="shared" si="22"/>
        <v>11</v>
      </c>
    </row>
    <row r="707" spans="1:14">
      <c r="A707" s="3" t="s">
        <v>2966</v>
      </c>
      <c r="B707">
        <f>IFERROR(VLOOKUP(A707,管理亚马逊库存!A:K,11,0),"")</f>
        <v>4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4</v>
      </c>
      <c r="N707">
        <f t="shared" ref="N707:N770" si="24">SUM(J707:M707)</f>
        <v>4</v>
      </c>
    </row>
    <row r="708" spans="1:14">
      <c r="A708" s="3" t="s">
        <v>2971</v>
      </c>
      <c r="B708">
        <f>IFERROR(VLOOKUP(A708,管理亚马逊库存!A:K,11,0),"")</f>
        <v>22</v>
      </c>
      <c r="C708">
        <f>IFERROR(VLOOKUP(A708,管理亚马逊库存!A:L,12,0),"")</f>
        <v>2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2975</v>
      </c>
      <c r="B709">
        <f>IFERROR(VLOOKUP(A709,管理亚马逊库存!A:K,11,0),"")</f>
        <v>2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1</v>
      </c>
      <c r="K709">
        <f>IFERROR(VLOOKUP(A709,库龄!B:L,10,0),0)</f>
        <v>1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2</v>
      </c>
    </row>
    <row r="710" spans="1:14">
      <c r="A710" s="3" t="s">
        <v>2979</v>
      </c>
      <c r="B710">
        <f>IFERROR(VLOOKUP(A710,管理亚马逊库存!A:K,11,0),"")</f>
        <v>4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4</v>
      </c>
      <c r="N710">
        <f t="shared" si="24"/>
        <v>4</v>
      </c>
    </row>
    <row r="711" spans="1:14">
      <c r="A711" s="3" t="s">
        <v>2984</v>
      </c>
      <c r="B711">
        <f>IFERROR(VLOOKUP(A711,管理亚马逊库存!A:K,11,0),"")</f>
        <v>9</v>
      </c>
      <c r="C711">
        <f>IFERROR(VLOOKUP(A711,管理亚马逊库存!A:L,12,0),"")</f>
        <v>1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6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6</v>
      </c>
    </row>
    <row r="712" spans="1:14">
      <c r="A712" s="3" t="s">
        <v>2989</v>
      </c>
      <c r="B712">
        <f>IFERROR(VLOOKUP(A712,管理亚马逊库存!A:K,11,0),"")</f>
        <v>9</v>
      </c>
      <c r="C712">
        <f>IFERROR(VLOOKUP(A712,管理亚马逊库存!A:L,12,0),"")</f>
        <v>1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2993</v>
      </c>
      <c r="B713">
        <f>IFERROR(VLOOKUP(A713,管理亚马逊库存!A:K,11,0),"")</f>
        <v>16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13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13</v>
      </c>
    </row>
    <row r="714" spans="1:14">
      <c r="A714" s="3" t="s">
        <v>2996</v>
      </c>
      <c r="B714">
        <f>IFERROR(VLOOKUP(A714,管理亚马逊库存!A:K,11,0),"")</f>
        <v>12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12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12</v>
      </c>
    </row>
    <row r="715" spans="1:14">
      <c r="A715" s="3" t="s">
        <v>3000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50</v>
      </c>
      <c r="E715">
        <f>IFERROR(VLOOKUP(A715,管理亚马逊库存!A:R,18,0),"")</f>
        <v>0</v>
      </c>
      <c r="F715">
        <f t="shared" si="23"/>
        <v>50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3005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3010</v>
      </c>
      <c r="B717">
        <f>IFERROR(VLOOKUP(A717,管理亚马逊库存!A:K,11,0),"")</f>
        <v>21</v>
      </c>
      <c r="C717">
        <f>IFERROR(VLOOKUP(A717,管理亚马逊库存!A:L,12,0),"")</f>
        <v>0</v>
      </c>
      <c r="D717">
        <f>IFERROR(VLOOKUP(A717,管理亚马逊库存!A:Q,17,0),"")</f>
        <v>29</v>
      </c>
      <c r="E717">
        <f>IFERROR(VLOOKUP(A717,管理亚马逊库存!A:R,18,0),"")</f>
        <v>0</v>
      </c>
      <c r="F717">
        <f t="shared" si="23"/>
        <v>29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3014</v>
      </c>
      <c r="B718">
        <f>IFERROR(VLOOKUP(A718,管理亚马逊库存!A:K,11,0),"")</f>
        <v>3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2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2</v>
      </c>
    </row>
    <row r="719" spans="1:14">
      <c r="A719" s="3" t="s">
        <v>3018</v>
      </c>
      <c r="B719">
        <f>IFERROR(VLOOKUP(A719,管理亚马逊库存!A:K,11,0),"")</f>
        <v>6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3023</v>
      </c>
      <c r="B720">
        <f>IFERROR(VLOOKUP(A720,管理亚马逊库存!A:K,11,0),"")</f>
        <v>63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29</v>
      </c>
      <c r="K720">
        <f>IFERROR(VLOOKUP(A720,库龄!B:L,10,0),0)</f>
        <v>29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58</v>
      </c>
    </row>
    <row r="721" spans="1:14">
      <c r="A721" s="3" t="s">
        <v>3027</v>
      </c>
      <c r="B721">
        <f>IFERROR(VLOOKUP(A721,管理亚马逊库存!A:K,11,0),"")</f>
        <v>51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6</v>
      </c>
      <c r="K721">
        <f>IFERROR(VLOOKUP(A721,库龄!B:L,10,0),0)</f>
        <v>44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50</v>
      </c>
    </row>
    <row r="722" spans="1:14">
      <c r="A722" s="3" t="s">
        <v>3031</v>
      </c>
      <c r="B722">
        <f>IFERROR(VLOOKUP(A722,管理亚马逊库存!A:K,11,0),"")</f>
        <v>4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4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4</v>
      </c>
    </row>
    <row r="723" spans="1:14">
      <c r="A723" s="3" t="s">
        <v>3036</v>
      </c>
      <c r="B723">
        <f>IFERROR(VLOOKUP(A723,管理亚马逊库存!A:K,11,0),"")</f>
        <v>3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3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3</v>
      </c>
    </row>
    <row r="724" spans="1:14">
      <c r="A724" s="3" t="s">
        <v>3040</v>
      </c>
      <c r="B724">
        <f>IFERROR(VLOOKUP(A724,管理亚马逊库存!A:K,11,0),"")</f>
        <v>25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3044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3048</v>
      </c>
      <c r="B726">
        <f>IFERROR(VLOOKUP(A726,管理亚马逊库存!A:K,11,0),"")</f>
        <v>2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3051</v>
      </c>
      <c r="B727">
        <f>IFERROR(VLOOKUP(A727,管理亚马逊库存!A:K,11,0),"")</f>
        <v>15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3055</v>
      </c>
      <c r="B728">
        <f>IFERROR(VLOOKUP(A728,管理亚马逊库存!A:K,11,0),"")</f>
        <v>23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1</v>
      </c>
      <c r="K728">
        <f>IFERROR(VLOOKUP(A728,库龄!B:L,10,0),0)</f>
        <v>22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23</v>
      </c>
    </row>
    <row r="729" spans="1:14">
      <c r="A729" s="3" t="s">
        <v>3059</v>
      </c>
      <c r="B729">
        <f>IFERROR(VLOOKUP(A729,管理亚马逊库存!A:K,11,0),"")</f>
        <v>7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6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6</v>
      </c>
    </row>
    <row r="730" spans="1:14">
      <c r="A730" s="3" t="s">
        <v>3062</v>
      </c>
      <c r="B730">
        <f>IFERROR(VLOOKUP(A730,管理亚马逊库存!A:K,11,0),"")</f>
        <v>10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3065</v>
      </c>
      <c r="B731">
        <f>IFERROR(VLOOKUP(A731,管理亚马逊库存!A:K,11,0),"")</f>
        <v>13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3069</v>
      </c>
      <c r="B732">
        <f>IFERROR(VLOOKUP(A732,管理亚马逊库存!A:K,11,0),"")</f>
        <v>7</v>
      </c>
      <c r="C732">
        <f>IFERROR(VLOOKUP(A732,管理亚马逊库存!A:L,12,0),"")</f>
        <v>0</v>
      </c>
      <c r="D732">
        <f>IFERROR(VLOOKUP(A732,管理亚马逊库存!A:Q,17,0),"")</f>
        <v>5</v>
      </c>
      <c r="E732">
        <f>IFERROR(VLOOKUP(A732,管理亚马逊库存!A:R,18,0),"")</f>
        <v>0</v>
      </c>
      <c r="F732">
        <f t="shared" si="23"/>
        <v>5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3075</v>
      </c>
      <c r="B733">
        <f>IFERROR(VLOOKUP(A733,管理亚马逊库存!A:K,11,0),"")</f>
        <v>4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3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3</v>
      </c>
    </row>
    <row r="734" spans="1:14">
      <c r="A734" s="3" t="s">
        <v>3079</v>
      </c>
      <c r="B734">
        <f>IFERROR(VLOOKUP(A734,管理亚马逊库存!A:K,11,0),"")</f>
        <v>1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1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1</v>
      </c>
    </row>
    <row r="735" spans="1:14">
      <c r="A735" s="3" t="s">
        <v>3083</v>
      </c>
      <c r="B735">
        <f>IFERROR(VLOOKUP(A735,管理亚马逊库存!A:K,11,0),"")</f>
        <v>9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3087</v>
      </c>
      <c r="B736">
        <f>IFERROR(VLOOKUP(A736,管理亚马逊库存!A:K,11,0),"")</f>
        <v>15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3090</v>
      </c>
      <c r="B737">
        <f>IFERROR(VLOOKUP(A737,管理亚马逊库存!A:K,11,0),"")</f>
        <v>12</v>
      </c>
      <c r="C737">
        <f>IFERROR(VLOOKUP(A737,管理亚马逊库存!A:L,12,0),"")</f>
        <v>2</v>
      </c>
      <c r="D737">
        <f>IFERROR(VLOOKUP(A737,管理亚马逊库存!A:Q,17,0),"")</f>
        <v>5</v>
      </c>
      <c r="E737">
        <f>IFERROR(VLOOKUP(A737,管理亚马逊库存!A:R,18,0),"")</f>
        <v>0</v>
      </c>
      <c r="F737">
        <f t="shared" si="23"/>
        <v>5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3094</v>
      </c>
      <c r="B738">
        <f>IFERROR(VLOOKUP(A738,管理亚马逊库存!A:K,11,0),"")</f>
        <v>10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3099</v>
      </c>
      <c r="B739">
        <f>IFERROR(VLOOKUP(A739,管理亚马逊库存!A:K,11,0),"")</f>
        <v>1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1</v>
      </c>
      <c r="N739">
        <f t="shared" si="24"/>
        <v>1</v>
      </c>
    </row>
    <row r="740" spans="1:14">
      <c r="A740" s="3" t="s">
        <v>3105</v>
      </c>
      <c r="B740">
        <f>IFERROR(VLOOKUP(A740,管理亚马逊库存!A:K,11,0),"")</f>
        <v>1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1</v>
      </c>
      <c r="M740">
        <f>IFERROR(VLOOKUP(A740,库龄!B:N,12,0),0)</f>
        <v>0</v>
      </c>
      <c r="N740">
        <f t="shared" si="24"/>
        <v>1</v>
      </c>
    </row>
    <row r="741" spans="1:14">
      <c r="A741" s="3" t="s">
        <v>3108</v>
      </c>
      <c r="B741">
        <f>IFERROR(VLOOKUP(A741,管理亚马逊库存!A:K,11,0),"")</f>
        <v>2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2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2</v>
      </c>
    </row>
    <row r="742" spans="1:14">
      <c r="A742" s="3" t="s">
        <v>3114</v>
      </c>
      <c r="B742">
        <f>IFERROR(VLOOKUP(A742,管理亚马逊库存!A:K,11,0),"")</f>
        <v>9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9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9</v>
      </c>
    </row>
    <row r="743" spans="1:14">
      <c r="A743" s="3" t="s">
        <v>3118</v>
      </c>
      <c r="B743">
        <f>IFERROR(VLOOKUP(A743,管理亚马逊库存!A:K,11,0),"")</f>
        <v>1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3123</v>
      </c>
      <c r="B744">
        <f>IFERROR(VLOOKUP(A744,管理亚马逊库存!A:K,11,0),"")</f>
        <v>2</v>
      </c>
      <c r="C744">
        <f>IFERROR(VLOOKUP(A744,管理亚马逊库存!A:L,12,0),"")</f>
        <v>1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3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3</v>
      </c>
    </row>
    <row r="745" spans="1:14">
      <c r="A745" s="3" t="s">
        <v>3127</v>
      </c>
      <c r="B745">
        <f>IFERROR(VLOOKUP(A745,管理亚马逊库存!A:K,11,0),"")</f>
        <v>5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3131</v>
      </c>
      <c r="B746">
        <f>IFERROR(VLOOKUP(A746,管理亚马逊库存!A:K,11,0),"")</f>
        <v>2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1</v>
      </c>
      <c r="K746">
        <f>IFERROR(VLOOKUP(A746,库龄!B:L,10,0),0)</f>
        <v>1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2</v>
      </c>
    </row>
    <row r="747" spans="1:14">
      <c r="A747" s="3" t="s">
        <v>3135</v>
      </c>
      <c r="B747">
        <f>IFERROR(VLOOKUP(A747,管理亚马逊库存!A:K,11,0),"")</f>
        <v>12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3</v>
      </c>
      <c r="K747">
        <f>IFERROR(VLOOKUP(A747,库龄!B:L,10,0),0)</f>
        <v>4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7</v>
      </c>
    </row>
    <row r="748" spans="1:14">
      <c r="A748" s="3" t="s">
        <v>3138</v>
      </c>
      <c r="B748">
        <f>IFERROR(VLOOKUP(A748,管理亚马逊库存!A:K,11,0),"")</f>
        <v>1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1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1</v>
      </c>
    </row>
    <row r="749" spans="1:14">
      <c r="A749" s="3" t="s">
        <v>3142</v>
      </c>
      <c r="B749">
        <f>IFERROR(VLOOKUP(A749,管理亚马逊库存!A:K,11,0),"")</f>
        <v>2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3146</v>
      </c>
      <c r="B750">
        <f>IFERROR(VLOOKUP(A750,管理亚马逊库存!A:K,11,0),"")</f>
        <v>5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1</v>
      </c>
      <c r="K750">
        <f>IFERROR(VLOOKUP(A750,库龄!B:L,10,0),0)</f>
        <v>3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4</v>
      </c>
    </row>
    <row r="751" spans="1:14">
      <c r="A751" s="3" t="s">
        <v>3149</v>
      </c>
      <c r="B751">
        <f>IFERROR(VLOOKUP(A751,管理亚马逊库存!A:K,11,0),"")</f>
        <v>18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9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9</v>
      </c>
    </row>
    <row r="752" spans="1:14">
      <c r="A752" s="3" t="s">
        <v>3153</v>
      </c>
      <c r="B752">
        <f>IFERROR(VLOOKUP(A752,管理亚马逊库存!A:K,11,0),"")</f>
        <v>23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19</v>
      </c>
      <c r="K752">
        <f>IFERROR(VLOOKUP(A752,库龄!B:L,10,0),0)</f>
        <v>0</v>
      </c>
      <c r="L752">
        <f>IFERROR(VLOOKUP(A752,库龄!B:M,11,0),0)</f>
        <v>2</v>
      </c>
      <c r="M752">
        <f>IFERROR(VLOOKUP(A752,库龄!B:N,12,0),0)</f>
        <v>0</v>
      </c>
      <c r="N752">
        <f t="shared" si="24"/>
        <v>21</v>
      </c>
    </row>
    <row r="753" spans="1:14">
      <c r="A753" s="3" t="s">
        <v>3156</v>
      </c>
      <c r="B753">
        <f>IFERROR(VLOOKUP(A753,管理亚马逊库存!A:K,11,0),"")</f>
        <v>6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4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4</v>
      </c>
    </row>
    <row r="754" spans="1:14">
      <c r="A754" s="3" t="s">
        <v>3160</v>
      </c>
      <c r="B754">
        <f>IFERROR(VLOOKUP(A754,管理亚马逊库存!A:K,11,0),"")</f>
        <v>94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21</v>
      </c>
      <c r="K754">
        <f>IFERROR(VLOOKUP(A754,库龄!B:L,10,0),0)</f>
        <v>67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88</v>
      </c>
    </row>
    <row r="755" spans="1:14">
      <c r="A755" s="3" t="s">
        <v>3165</v>
      </c>
      <c r="B755">
        <f>IFERROR(VLOOKUP(A755,管理亚马逊库存!A:K,11,0),"")</f>
        <v>3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1</v>
      </c>
      <c r="K755">
        <f>IFERROR(VLOOKUP(A755,库龄!B:L,10,0),0)</f>
        <v>0</v>
      </c>
      <c r="L755">
        <f>IFERROR(VLOOKUP(A755,库龄!B:M,11,0),0)</f>
        <v>2</v>
      </c>
      <c r="M755">
        <f>IFERROR(VLOOKUP(A755,库龄!B:N,12,0),0)</f>
        <v>0</v>
      </c>
      <c r="N755">
        <f t="shared" si="24"/>
        <v>3</v>
      </c>
    </row>
    <row r="756" spans="1:14">
      <c r="A756" s="3" t="s">
        <v>3170</v>
      </c>
      <c r="B756">
        <f>IFERROR(VLOOKUP(A756,管理亚马逊库存!A:K,11,0),"")</f>
        <v>12</v>
      </c>
      <c r="C756">
        <f>IFERROR(VLOOKUP(A756,管理亚马逊库存!A:L,12,0),"")</f>
        <v>1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3175</v>
      </c>
      <c r="B757">
        <f>IFERROR(VLOOKUP(A757,管理亚马逊库存!A:K,11,0),"")</f>
        <v>1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1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1</v>
      </c>
    </row>
    <row r="758" spans="1:14">
      <c r="A758" s="3" t="s">
        <v>3179</v>
      </c>
      <c r="B758">
        <f>IFERROR(VLOOKUP(A758,管理亚马逊库存!A:K,11,0),"")</f>
        <v>0</v>
      </c>
      <c r="C758">
        <f>IFERROR(VLOOKUP(A758,管理亚马逊库存!A:L,12,0),"")</f>
        <v>2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3184</v>
      </c>
      <c r="B759">
        <f>IFERROR(VLOOKUP(A759,管理亚马逊库存!A:K,11,0),"")</f>
        <v>1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3188</v>
      </c>
      <c r="B760">
        <f>IFERROR(VLOOKUP(A760,管理亚马逊库存!A:K,11,0),"")</f>
        <v>11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8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8</v>
      </c>
    </row>
    <row r="761" spans="1:14">
      <c r="A761" s="3" t="s">
        <v>3191</v>
      </c>
      <c r="B761">
        <f>IFERROR(VLOOKUP(A761,管理亚马逊库存!A:K,11,0),"")</f>
        <v>3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3195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3199</v>
      </c>
      <c r="B763">
        <f>IFERROR(VLOOKUP(A763,管理亚马逊库存!A:K,11,0),"")</f>
        <v>2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1</v>
      </c>
      <c r="K763">
        <f>IFERROR(VLOOKUP(A763,库龄!B:L,10,0),0)</f>
        <v>1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2</v>
      </c>
    </row>
    <row r="764" spans="1:14">
      <c r="A764" s="3" t="s">
        <v>3204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3209</v>
      </c>
      <c r="B765">
        <f>IFERROR(VLOOKUP(A765,管理亚马逊库存!A:K,11,0),"")</f>
        <v>1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3212</v>
      </c>
      <c r="B766">
        <f>IFERROR(VLOOKUP(A766,管理亚马逊库存!A:K,11,0),"")</f>
        <v>10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5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5</v>
      </c>
    </row>
    <row r="767" spans="1:14">
      <c r="A767" s="3" t="s">
        <v>3215</v>
      </c>
      <c r="B767">
        <f>IFERROR(VLOOKUP(A767,管理亚马逊库存!A:K,11,0),"")</f>
        <v>3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1</v>
      </c>
      <c r="K767">
        <f>IFERROR(VLOOKUP(A767,库龄!B:L,10,0),0)</f>
        <v>2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3</v>
      </c>
    </row>
    <row r="768" spans="1:14">
      <c r="A768" s="3" t="s">
        <v>3218</v>
      </c>
      <c r="B768">
        <f>IFERROR(VLOOKUP(A768,管理亚马逊库存!A:K,11,0),"")</f>
        <v>7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7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7</v>
      </c>
    </row>
    <row r="769" spans="1:14">
      <c r="A769" s="3" t="s">
        <v>3222</v>
      </c>
      <c r="B769">
        <f>IFERROR(VLOOKUP(A769,管理亚马逊库存!A:K,11,0),"")</f>
        <v>8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7</v>
      </c>
      <c r="M769">
        <f>IFERROR(VLOOKUP(A769,库龄!B:N,12,0),0)</f>
        <v>0</v>
      </c>
      <c r="N769">
        <f t="shared" si="24"/>
        <v>7</v>
      </c>
    </row>
    <row r="770" spans="1:14">
      <c r="A770" s="3" t="s">
        <v>3228</v>
      </c>
      <c r="B770">
        <f>IFERROR(VLOOKUP(A770,管理亚马逊库存!A:K,11,0),"")</f>
        <v>23</v>
      </c>
      <c r="C770">
        <f>IFERROR(VLOOKUP(A770,管理亚马逊库存!A:L,12,0),"")</f>
        <v>1</v>
      </c>
      <c r="D770">
        <f>IFERROR(VLOOKUP(A770,管理亚马逊库存!A:Q,17,0),"")</f>
        <v>2</v>
      </c>
      <c r="E770">
        <f>IFERROR(VLOOKUP(A770,管理亚马逊库存!A:R,18,0),"")</f>
        <v>0</v>
      </c>
      <c r="F770">
        <f t="shared" si="23"/>
        <v>2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3231</v>
      </c>
      <c r="B771">
        <f>IFERROR(VLOOKUP(A771,管理亚马逊库存!A:K,11,0),"")</f>
        <v>5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5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5</v>
      </c>
    </row>
    <row r="772" spans="1:14">
      <c r="A772" s="3" t="s">
        <v>3235</v>
      </c>
      <c r="B772">
        <f>IFERROR(VLOOKUP(A772,管理亚马逊库存!A:K,11,0),"")</f>
        <v>1</v>
      </c>
      <c r="C772">
        <f>IFERROR(VLOOKUP(A772,管理亚马逊库存!A:L,12,0),"")</f>
        <v>1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3239</v>
      </c>
      <c r="B773">
        <f>IFERROR(VLOOKUP(A773,管理亚马逊库存!A:K,11,0),"")</f>
        <v>1</v>
      </c>
      <c r="C773">
        <f>IFERROR(VLOOKUP(A773,管理亚马逊库存!A:L,12,0),"")</f>
        <v>1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3243</v>
      </c>
      <c r="B774">
        <f>IFERROR(VLOOKUP(A774,管理亚马逊库存!A:K,11,0),"")</f>
        <v>10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3246</v>
      </c>
      <c r="B775">
        <f>IFERROR(VLOOKUP(A775,管理亚马逊库存!A:K,11,0),"")</f>
        <v>12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3250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3255</v>
      </c>
      <c r="B777">
        <f>IFERROR(VLOOKUP(A777,管理亚马逊库存!A:K,11,0),"")</f>
        <v>10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1</v>
      </c>
      <c r="K777">
        <f>IFERROR(VLOOKUP(A777,库龄!B:L,10,0),0)</f>
        <v>1</v>
      </c>
      <c r="L777">
        <f>IFERROR(VLOOKUP(A777,库龄!B:M,11,0),0)</f>
        <v>4</v>
      </c>
      <c r="M777">
        <f>IFERROR(VLOOKUP(A777,库龄!B:N,12,0),0)</f>
        <v>4</v>
      </c>
      <c r="N777">
        <f t="shared" si="26"/>
        <v>10</v>
      </c>
    </row>
    <row r="778" spans="1:14">
      <c r="A778" s="3" t="s">
        <v>3259</v>
      </c>
      <c r="B778">
        <f>IFERROR(VLOOKUP(A778,管理亚马逊库存!A:K,11,0),"")</f>
        <v>10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3263</v>
      </c>
      <c r="B779">
        <f>IFERROR(VLOOKUP(A779,管理亚马逊库存!A:K,11,0),"")</f>
        <v>3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3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3</v>
      </c>
    </row>
    <row r="780" spans="1:14">
      <c r="A780" s="3" t="s">
        <v>3267</v>
      </c>
      <c r="B780">
        <f>IFERROR(VLOOKUP(A780,管理亚马逊库存!A:K,11,0),"")</f>
        <v>7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3272</v>
      </c>
      <c r="B781">
        <f>IFERROR(VLOOKUP(A781,管理亚马逊库存!A:K,11,0),"")</f>
        <v>8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1</v>
      </c>
      <c r="K781">
        <f>IFERROR(VLOOKUP(A781,库龄!B:L,10,0),0)</f>
        <v>0</v>
      </c>
      <c r="L781">
        <f>IFERROR(VLOOKUP(A781,库龄!B:M,11,0),0)</f>
        <v>7</v>
      </c>
      <c r="M781">
        <f>IFERROR(VLOOKUP(A781,库龄!B:N,12,0),0)</f>
        <v>0</v>
      </c>
      <c r="N781">
        <f t="shared" si="26"/>
        <v>8</v>
      </c>
    </row>
    <row r="782" spans="1:14">
      <c r="A782" s="3" t="s">
        <v>3276</v>
      </c>
      <c r="B782">
        <f>IFERROR(VLOOKUP(A782,管理亚马逊库存!A:K,11,0),"")</f>
        <v>1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3280</v>
      </c>
      <c r="B783">
        <f>IFERROR(VLOOKUP(A783,管理亚马逊库存!A:K,11,0),"")</f>
        <v>8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6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6</v>
      </c>
    </row>
    <row r="784" spans="1:14">
      <c r="A784" s="3" t="s">
        <v>3284</v>
      </c>
      <c r="B784">
        <f>IFERROR(VLOOKUP(A784,管理亚马逊库存!A:K,11,0),"")</f>
        <v>2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2</v>
      </c>
      <c r="M784">
        <f>IFERROR(VLOOKUP(A784,库龄!B:N,12,0),0)</f>
        <v>0</v>
      </c>
      <c r="N784">
        <f t="shared" si="26"/>
        <v>2</v>
      </c>
    </row>
    <row r="785" spans="1:14">
      <c r="A785" s="3" t="s">
        <v>3287</v>
      </c>
      <c r="B785">
        <f>IFERROR(VLOOKUP(A785,管理亚马逊库存!A:K,11,0),"")</f>
        <v>9</v>
      </c>
      <c r="C785">
        <f>IFERROR(VLOOKUP(A785,管理亚马逊库存!A:L,12,0),"")</f>
        <v>1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1</v>
      </c>
      <c r="K785">
        <f>IFERROR(VLOOKUP(A785,库龄!B:L,10,0),0)</f>
        <v>0</v>
      </c>
      <c r="L785">
        <f>IFERROR(VLOOKUP(A785,库龄!B:M,11,0),0)</f>
        <v>4</v>
      </c>
      <c r="M785">
        <f>IFERROR(VLOOKUP(A785,库龄!B:N,12,0),0)</f>
        <v>3</v>
      </c>
      <c r="N785">
        <f t="shared" si="26"/>
        <v>8</v>
      </c>
    </row>
    <row r="786" spans="1:14">
      <c r="A786" s="3" t="s">
        <v>3294</v>
      </c>
      <c r="B786">
        <f>IFERROR(VLOOKUP(A786,管理亚马逊库存!A:K,11,0),"")</f>
        <v>6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5</v>
      </c>
      <c r="M786">
        <f>IFERROR(VLOOKUP(A786,库龄!B:N,12,0),0)</f>
        <v>0</v>
      </c>
      <c r="N786">
        <f t="shared" si="26"/>
        <v>5</v>
      </c>
    </row>
    <row r="787" spans="1:14">
      <c r="A787" s="3" t="s">
        <v>3298</v>
      </c>
      <c r="B787">
        <f>IFERROR(VLOOKUP(A787,管理亚马逊库存!A:K,11,0),"")</f>
        <v>2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2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2</v>
      </c>
    </row>
    <row r="788" spans="1:14">
      <c r="A788" s="3" t="s">
        <v>3302</v>
      </c>
      <c r="B788">
        <f>IFERROR(VLOOKUP(A788,管理亚马逊库存!A:K,11,0),"")</f>
        <v>6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1</v>
      </c>
      <c r="K788">
        <f>IFERROR(VLOOKUP(A788,库龄!B:L,10,0),0)</f>
        <v>5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6</v>
      </c>
    </row>
    <row r="789" spans="1:14">
      <c r="A789" s="3" t="s">
        <v>3306</v>
      </c>
      <c r="B789">
        <f>IFERROR(VLOOKUP(A789,管理亚马逊库存!A:K,11,0),"")</f>
        <v>5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5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5</v>
      </c>
    </row>
    <row r="790" spans="1:14">
      <c r="A790" s="3" t="s">
        <v>3310</v>
      </c>
      <c r="B790">
        <f>IFERROR(VLOOKUP(A790,管理亚马逊库存!A:K,11,0),"")</f>
        <v>4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4</v>
      </c>
      <c r="M790">
        <f>IFERROR(VLOOKUP(A790,库龄!B:N,12,0),0)</f>
        <v>0</v>
      </c>
      <c r="N790">
        <f t="shared" si="26"/>
        <v>4</v>
      </c>
    </row>
    <row r="791" spans="1:14">
      <c r="A791" s="3" t="s">
        <v>3315</v>
      </c>
      <c r="B791">
        <f>IFERROR(VLOOKUP(A791,管理亚马逊库存!A:K,11,0),"")</f>
        <v>17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18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18</v>
      </c>
    </row>
    <row r="792" spans="1:14">
      <c r="A792" s="3" t="s">
        <v>3318</v>
      </c>
      <c r="B792">
        <f>IFERROR(VLOOKUP(A792,管理亚马逊库存!A:K,11,0),"")</f>
        <v>1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3321</v>
      </c>
      <c r="B793">
        <f>IFERROR(VLOOKUP(A793,管理亚马逊库存!A:K,11,0),"")</f>
        <v>8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3325</v>
      </c>
      <c r="B794">
        <f>IFERROR(VLOOKUP(A794,管理亚马逊库存!A:K,11,0),"")</f>
        <v>33</v>
      </c>
      <c r="C794">
        <f>IFERROR(VLOOKUP(A794,管理亚马逊库存!A:L,12,0),"")</f>
        <v>1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3329</v>
      </c>
      <c r="B795">
        <f>IFERROR(VLOOKUP(A795,管理亚马逊库存!A:K,11,0),"")</f>
        <v>1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1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1</v>
      </c>
    </row>
    <row r="796" spans="1:14">
      <c r="A796" s="3" t="s">
        <v>3333</v>
      </c>
      <c r="B796">
        <f>IFERROR(VLOOKUP(A796,管理亚马逊库存!A:K,11,0),"")</f>
        <v>2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3336</v>
      </c>
      <c r="B797">
        <f>IFERROR(VLOOKUP(A797,管理亚马逊库存!A:K,11,0),"")</f>
        <v>147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15</v>
      </c>
      <c r="K797">
        <f>IFERROR(VLOOKUP(A797,库龄!B:L,10,0),0)</f>
        <v>129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144</v>
      </c>
    </row>
    <row r="798" spans="1:14">
      <c r="A798" s="3" t="s">
        <v>3340</v>
      </c>
      <c r="B798">
        <f>IFERROR(VLOOKUP(A798,管理亚马逊库存!A:K,11,0),"")</f>
        <v>9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9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9</v>
      </c>
    </row>
    <row r="799" spans="1:14">
      <c r="A799" s="3" t="s">
        <v>3343</v>
      </c>
      <c r="B799">
        <f>IFERROR(VLOOKUP(A799,管理亚马逊库存!A:K,11,0),"")</f>
        <v>1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1</v>
      </c>
      <c r="M799">
        <f>IFERROR(VLOOKUP(A799,库龄!B:N,12,0),0)</f>
        <v>0</v>
      </c>
      <c r="N799">
        <f t="shared" si="26"/>
        <v>1</v>
      </c>
    </row>
    <row r="800" spans="1:14">
      <c r="A800" s="3" t="s">
        <v>3347</v>
      </c>
      <c r="B800">
        <f>IFERROR(VLOOKUP(A800,管理亚马逊库存!A:K,11,0),"")</f>
        <v>10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3350</v>
      </c>
      <c r="B801">
        <f>IFERROR(VLOOKUP(A801,管理亚马逊库存!A:K,11,0),"")</f>
        <v>8</v>
      </c>
      <c r="C801">
        <f>IFERROR(VLOOKUP(A801,管理亚马逊库存!A:L,12,0),"")</f>
        <v>1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3355</v>
      </c>
      <c r="B802">
        <f>IFERROR(VLOOKUP(A802,管理亚马逊库存!A:K,11,0),"")</f>
        <v>33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32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32</v>
      </c>
    </row>
    <row r="803" spans="1:14">
      <c r="A803" s="3" t="s">
        <v>3359</v>
      </c>
      <c r="B803">
        <f>IFERROR(VLOOKUP(A803,管理亚马逊库存!A:K,11,0),"")</f>
        <v>22</v>
      </c>
      <c r="C803">
        <f>IFERROR(VLOOKUP(A803,管理亚马逊库存!A:L,12,0),"")</f>
        <v>4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3363</v>
      </c>
      <c r="B804">
        <f>IFERROR(VLOOKUP(A804,管理亚马逊库存!A:K,11,0),"")</f>
        <v>7</v>
      </c>
      <c r="C804">
        <f>IFERROR(VLOOKUP(A804,管理亚马逊库存!A:L,12,0),"")</f>
        <v>1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3366</v>
      </c>
      <c r="B805">
        <f>IFERROR(VLOOKUP(A805,管理亚马逊库存!A:K,11,0),"")</f>
        <v>1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3370</v>
      </c>
      <c r="B806">
        <f>IFERROR(VLOOKUP(A806,管理亚马逊库存!A:K,11,0),"")</f>
        <v>40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40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40</v>
      </c>
    </row>
    <row r="807" spans="1:14">
      <c r="A807" s="3" t="s">
        <v>3374</v>
      </c>
      <c r="B807">
        <f>IFERROR(VLOOKUP(A807,管理亚马逊库存!A:K,11,0),"")</f>
        <v>13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3379</v>
      </c>
      <c r="B808">
        <f>IFERROR(VLOOKUP(A808,管理亚马逊库存!A:K,11,0),"")</f>
        <v>7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5</v>
      </c>
      <c r="M808">
        <f>IFERROR(VLOOKUP(A808,库龄!B:N,12,0),0)</f>
        <v>2</v>
      </c>
      <c r="N808">
        <f t="shared" si="26"/>
        <v>7</v>
      </c>
    </row>
    <row r="809" spans="1:14">
      <c r="A809" s="3" t="s">
        <v>3382</v>
      </c>
      <c r="B809">
        <f>IFERROR(VLOOKUP(A809,管理亚马逊库存!A:K,11,0),"")</f>
        <v>22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15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15</v>
      </c>
    </row>
    <row r="810" spans="1:14">
      <c r="A810" s="3" t="s">
        <v>3387</v>
      </c>
      <c r="B810">
        <f>IFERROR(VLOOKUP(A810,管理亚马逊库存!A:K,11,0),"")</f>
        <v>1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1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1</v>
      </c>
    </row>
    <row r="811" spans="1:14">
      <c r="A811" s="3" t="s">
        <v>3391</v>
      </c>
      <c r="B811">
        <f>IFERROR(VLOOKUP(A811,管理亚马逊库存!A:K,11,0),"")</f>
        <v>9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9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9</v>
      </c>
    </row>
    <row r="812" spans="1:14">
      <c r="A812" s="3" t="s">
        <v>3395</v>
      </c>
      <c r="B812">
        <f>IFERROR(VLOOKUP(A812,管理亚马逊库存!A:K,11,0),"")</f>
        <v>9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9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9</v>
      </c>
    </row>
    <row r="813" spans="1:14">
      <c r="A813" s="3" t="s">
        <v>3399</v>
      </c>
      <c r="B813">
        <f>IFERROR(VLOOKUP(A813,管理亚马逊库存!A:K,11,0),"")</f>
        <v>2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1</v>
      </c>
      <c r="K813">
        <f>IFERROR(VLOOKUP(A813,库龄!B:L,10,0),0)</f>
        <v>1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2</v>
      </c>
    </row>
    <row r="814" spans="1:14">
      <c r="A814" s="3" t="s">
        <v>3403</v>
      </c>
      <c r="B814">
        <f>IFERROR(VLOOKUP(A814,管理亚马逊库存!A:K,11,0),"")</f>
        <v>7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7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7</v>
      </c>
    </row>
    <row r="815" spans="1:14">
      <c r="A815" s="3" t="s">
        <v>3407</v>
      </c>
      <c r="B815">
        <f>IFERROR(VLOOKUP(A815,管理亚马逊库存!A:K,11,0),"")</f>
        <v>92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9</v>
      </c>
      <c r="K815">
        <f>IFERROR(VLOOKUP(A815,库龄!B:L,10,0),0)</f>
        <v>82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91</v>
      </c>
    </row>
    <row r="816" spans="1:14">
      <c r="A816" s="3" t="s">
        <v>3411</v>
      </c>
      <c r="B816">
        <f>IFERROR(VLOOKUP(A816,管理亚马逊库存!A:K,11,0),"")</f>
        <v>16</v>
      </c>
      <c r="C816">
        <f>IFERROR(VLOOKUP(A816,管理亚马逊库存!A:L,12,0),"")</f>
        <v>2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3415</v>
      </c>
      <c r="B817">
        <f>IFERROR(VLOOKUP(A817,管理亚马逊库存!A:K,11,0),"")</f>
        <v>1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1</v>
      </c>
      <c r="N817">
        <f t="shared" si="26"/>
        <v>1</v>
      </c>
    </row>
    <row r="818" spans="1:14">
      <c r="A818" s="3" t="s">
        <v>3419</v>
      </c>
      <c r="B818">
        <f>IFERROR(VLOOKUP(A818,管理亚马逊库存!A:K,11,0),"")</f>
        <v>2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3425</v>
      </c>
      <c r="B819">
        <f>IFERROR(VLOOKUP(A819,管理亚马逊库存!A:K,11,0),"")</f>
        <v>4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1</v>
      </c>
      <c r="K819">
        <f>IFERROR(VLOOKUP(A819,库龄!B:L,10,0),0)</f>
        <v>3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4</v>
      </c>
    </row>
    <row r="820" spans="1:14">
      <c r="A820" s="3" t="s">
        <v>3428</v>
      </c>
      <c r="B820">
        <f>IFERROR(VLOOKUP(A820,管理亚马逊库存!A:K,11,0),"")</f>
        <v>105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18</v>
      </c>
      <c r="K820">
        <f>IFERROR(VLOOKUP(A820,库龄!B:L,10,0),0)</f>
        <v>84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102</v>
      </c>
    </row>
    <row r="821" spans="1:14">
      <c r="A821" s="3" t="s">
        <v>3432</v>
      </c>
      <c r="B821">
        <f>IFERROR(VLOOKUP(A821,管理亚马逊库存!A:K,11,0),"")</f>
        <v>3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1</v>
      </c>
      <c r="K821">
        <f>IFERROR(VLOOKUP(A821,库龄!B:L,10,0),0)</f>
        <v>2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3</v>
      </c>
    </row>
    <row r="822" spans="1:14">
      <c r="A822" s="3" t="s">
        <v>3435</v>
      </c>
      <c r="B822">
        <f>IFERROR(VLOOKUP(A822,管理亚马逊库存!A:K,11,0),"")</f>
        <v>26</v>
      </c>
      <c r="C822">
        <f>IFERROR(VLOOKUP(A822,管理亚马逊库存!A:L,12,0),"")</f>
        <v>1</v>
      </c>
      <c r="D822">
        <f>IFERROR(VLOOKUP(A822,管理亚马逊库存!A:Q,17,0),"")</f>
        <v>13</v>
      </c>
      <c r="E822">
        <f>IFERROR(VLOOKUP(A822,管理亚马逊库存!A:R,18,0),"")</f>
        <v>0</v>
      </c>
      <c r="F822">
        <f t="shared" si="25"/>
        <v>13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4</v>
      </c>
      <c r="K822">
        <f>IFERROR(VLOOKUP(A822,库龄!B:L,10,0),0)</f>
        <v>1</v>
      </c>
      <c r="L822">
        <f>IFERROR(VLOOKUP(A822,库龄!B:M,11,0),0)</f>
        <v>11</v>
      </c>
      <c r="M822">
        <f>IFERROR(VLOOKUP(A822,库龄!B:N,12,0),0)</f>
        <v>0</v>
      </c>
      <c r="N822">
        <f t="shared" si="26"/>
        <v>16</v>
      </c>
    </row>
    <row r="823" spans="1:14">
      <c r="A823" s="3" t="s">
        <v>3440</v>
      </c>
      <c r="B823">
        <f>IFERROR(VLOOKUP(A823,管理亚马逊库存!A:K,11,0),"")</f>
        <v>4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4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4</v>
      </c>
    </row>
    <row r="824" spans="1:14">
      <c r="A824" s="3" t="s">
        <v>3445</v>
      </c>
      <c r="B824">
        <f>IFERROR(VLOOKUP(A824,管理亚马逊库存!A:K,11,0),"")</f>
        <v>2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2</v>
      </c>
      <c r="N824">
        <f t="shared" si="26"/>
        <v>2</v>
      </c>
    </row>
    <row r="825" spans="1:14">
      <c r="A825" s="3" t="s">
        <v>3449</v>
      </c>
      <c r="B825">
        <f>IFERROR(VLOOKUP(A825,管理亚马逊库存!A:K,11,0),"")</f>
        <v>2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2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2</v>
      </c>
    </row>
    <row r="826" spans="1:14">
      <c r="A826" s="3" t="s">
        <v>3454</v>
      </c>
      <c r="B826">
        <f>IFERROR(VLOOKUP(A826,管理亚马逊库存!A:K,11,0),"")</f>
        <v>79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43</v>
      </c>
      <c r="K826">
        <f>IFERROR(VLOOKUP(A826,库龄!B:L,10,0),0)</f>
        <v>25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68</v>
      </c>
    </row>
    <row r="827" spans="1:14">
      <c r="A827" s="3" t="s">
        <v>3458</v>
      </c>
      <c r="B827">
        <f>IFERROR(VLOOKUP(A827,管理亚马逊库存!A:K,11,0),"")</f>
        <v>10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3461</v>
      </c>
      <c r="B828">
        <f>IFERROR(VLOOKUP(A828,管理亚马逊库存!A:K,11,0),"")</f>
        <v>4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4</v>
      </c>
      <c r="M828">
        <f>IFERROR(VLOOKUP(A828,库龄!B:N,12,0),0)</f>
        <v>0</v>
      </c>
      <c r="N828">
        <f t="shared" si="26"/>
        <v>4</v>
      </c>
    </row>
    <row r="829" spans="1:14">
      <c r="A829" s="3" t="s">
        <v>3466</v>
      </c>
      <c r="B829">
        <f>IFERROR(VLOOKUP(A829,管理亚马逊库存!A:K,11,0),"")</f>
        <v>16</v>
      </c>
      <c r="C829">
        <f>IFERROR(VLOOKUP(A829,管理亚马逊库存!A:L,12,0),"")</f>
        <v>2</v>
      </c>
      <c r="D829">
        <f>IFERROR(VLOOKUP(A829,管理亚马逊库存!A:Q,17,0),"")</f>
        <v>10</v>
      </c>
      <c r="E829">
        <f>IFERROR(VLOOKUP(A829,管理亚马逊库存!A:R,18,0),"")</f>
        <v>0</v>
      </c>
      <c r="F829">
        <f t="shared" si="25"/>
        <v>10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3470</v>
      </c>
      <c r="B830">
        <f>IFERROR(VLOOKUP(A830,管理亚马逊库存!A:K,11,0),"")</f>
        <v>26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26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26</v>
      </c>
    </row>
    <row r="831" spans="1:14">
      <c r="A831" s="3" t="s">
        <v>3474</v>
      </c>
      <c r="B831">
        <f>IFERROR(VLOOKUP(A831,管理亚马逊库存!A:K,11,0),"")</f>
        <v>102</v>
      </c>
      <c r="C831">
        <f>IFERROR(VLOOKUP(A831,管理亚马逊库存!A:L,12,0),"")</f>
        <v>1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28</v>
      </c>
      <c r="K831">
        <f>IFERROR(VLOOKUP(A831,库龄!B:L,10,0),0)</f>
        <v>64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92</v>
      </c>
    </row>
    <row r="832" spans="1:14">
      <c r="A832" s="3" t="s">
        <v>3478</v>
      </c>
      <c r="B832">
        <f>IFERROR(VLOOKUP(A832,管理亚马逊库存!A:K,11,0),"")</f>
        <v>8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8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8</v>
      </c>
    </row>
    <row r="833" spans="1:14">
      <c r="A833" s="3" t="s">
        <v>3482</v>
      </c>
      <c r="B833">
        <f>IFERROR(VLOOKUP(A833,管理亚马逊库存!A:K,11,0),"")</f>
        <v>39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31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31</v>
      </c>
    </row>
    <row r="834" spans="1:14">
      <c r="A834" s="3" t="s">
        <v>3487</v>
      </c>
      <c r="B834">
        <f>IFERROR(VLOOKUP(A834,管理亚马逊库存!A:K,11,0),"")</f>
        <v>1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3492</v>
      </c>
      <c r="B835">
        <f>IFERROR(VLOOKUP(A835,管理亚马逊库存!A:K,11,0),"")</f>
        <v>0</v>
      </c>
      <c r="C835">
        <f>IFERROR(VLOOKUP(A835,管理亚马逊库存!A:L,12,0),"")</f>
        <v>1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7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7</v>
      </c>
    </row>
    <row r="836" spans="1:14">
      <c r="A836" s="3" t="s">
        <v>3496</v>
      </c>
      <c r="B836">
        <f>IFERROR(VLOOKUP(A836,管理亚马逊库存!A:K,11,0),"")</f>
        <v>12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3500</v>
      </c>
      <c r="B837">
        <f>IFERROR(VLOOKUP(A837,管理亚马逊库存!A:K,11,0),"")</f>
        <v>8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7</v>
      </c>
      <c r="N837">
        <f t="shared" si="28"/>
        <v>7</v>
      </c>
    </row>
    <row r="838" spans="1:14">
      <c r="A838" s="3" t="s">
        <v>3504</v>
      </c>
      <c r="B838">
        <f>IFERROR(VLOOKUP(A838,管理亚马逊库存!A:K,11,0),"")</f>
        <v>2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2</v>
      </c>
      <c r="N838">
        <f t="shared" si="28"/>
        <v>2</v>
      </c>
    </row>
    <row r="839" spans="1:14">
      <c r="A839" s="3" t="s">
        <v>3509</v>
      </c>
      <c r="B839">
        <f>IFERROR(VLOOKUP(A839,管理亚马逊库存!A:K,11,0),"")</f>
        <v>79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79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79</v>
      </c>
    </row>
    <row r="840" spans="1:14">
      <c r="A840" s="3" t="s">
        <v>3513</v>
      </c>
      <c r="B840">
        <f>IFERROR(VLOOKUP(A840,管理亚马逊库存!A:K,11,0),"")</f>
        <v>5</v>
      </c>
      <c r="C840">
        <f>IFERROR(VLOOKUP(A840,管理亚马逊库存!A:L,12,0),"")</f>
        <v>1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3517</v>
      </c>
      <c r="B841">
        <f>IFERROR(VLOOKUP(A841,管理亚马逊库存!A:K,11,0),"")</f>
        <v>1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1</v>
      </c>
      <c r="M841">
        <f>IFERROR(VLOOKUP(A841,库龄!B:N,12,0),0)</f>
        <v>0</v>
      </c>
      <c r="N841">
        <f t="shared" si="28"/>
        <v>1</v>
      </c>
    </row>
    <row r="842" spans="1:14">
      <c r="A842" s="3" t="s">
        <v>3520</v>
      </c>
      <c r="B842">
        <f>IFERROR(VLOOKUP(A842,管理亚马逊库存!A:K,11,0),"")</f>
        <v>1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1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1</v>
      </c>
    </row>
    <row r="843" spans="1:14">
      <c r="A843" s="3" t="s">
        <v>3524</v>
      </c>
      <c r="B843">
        <f>IFERROR(VLOOKUP(A843,管理亚马逊库存!A:K,11,0),"")</f>
        <v>9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9</v>
      </c>
      <c r="N843">
        <f t="shared" si="28"/>
        <v>9</v>
      </c>
    </row>
    <row r="844" spans="1:14">
      <c r="A844" s="3" t="s">
        <v>3529</v>
      </c>
      <c r="B844">
        <f>IFERROR(VLOOKUP(A844,管理亚马逊库存!A:K,11,0),"")</f>
        <v>15</v>
      </c>
      <c r="C844">
        <f>IFERROR(VLOOKUP(A844,管理亚马逊库存!A:L,12,0),"")</f>
        <v>1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3533</v>
      </c>
      <c r="B845">
        <f>IFERROR(VLOOKUP(A845,管理亚马逊库存!A:K,11,0),"")</f>
        <v>1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1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1</v>
      </c>
    </row>
    <row r="846" spans="1:14">
      <c r="A846" s="3" t="s">
        <v>3538</v>
      </c>
      <c r="B846">
        <f>IFERROR(VLOOKUP(A846,管理亚马逊库存!A:K,11,0),"")</f>
        <v>6</v>
      </c>
      <c r="C846">
        <f>IFERROR(VLOOKUP(A846,管理亚马逊库存!A:L,12,0),"")</f>
        <v>0</v>
      </c>
      <c r="D846">
        <f>IFERROR(VLOOKUP(A846,管理亚马逊库存!A:Q,17,0),"")</f>
        <v>5</v>
      </c>
      <c r="E846">
        <f>IFERROR(VLOOKUP(A846,管理亚马逊库存!A:R,18,0),"")</f>
        <v>0</v>
      </c>
      <c r="F846">
        <f t="shared" si="27"/>
        <v>5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3542</v>
      </c>
      <c r="B847">
        <f>IFERROR(VLOOKUP(A847,管理亚马逊库存!A:K,11,0),"")</f>
        <v>6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4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4</v>
      </c>
    </row>
    <row r="848" spans="1:14">
      <c r="A848" s="3" t="s">
        <v>3547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3551</v>
      </c>
      <c r="B849">
        <f>IFERROR(VLOOKUP(A849,管理亚马逊库存!A:K,11,0),"")</f>
        <v>15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3554</v>
      </c>
      <c r="B850">
        <f>IFERROR(VLOOKUP(A850,管理亚马逊库存!A:K,11,0),"")</f>
        <v>8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5</v>
      </c>
      <c r="N850">
        <f t="shared" si="28"/>
        <v>5</v>
      </c>
    </row>
    <row r="851" spans="1:14">
      <c r="A851" s="3" t="s">
        <v>3558</v>
      </c>
      <c r="B851">
        <f>IFERROR(VLOOKUP(A851,管理亚马逊库存!A:K,11,0),"")</f>
        <v>3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3</v>
      </c>
      <c r="N851">
        <f t="shared" si="28"/>
        <v>3</v>
      </c>
    </row>
    <row r="852" spans="1:14">
      <c r="A852" s="3" t="s">
        <v>3561</v>
      </c>
      <c r="B852">
        <f>IFERROR(VLOOKUP(A852,管理亚马逊库存!A:K,11,0),"")</f>
        <v>3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1</v>
      </c>
      <c r="K852">
        <f>IFERROR(VLOOKUP(A852,库龄!B:L,10,0),0)</f>
        <v>1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2</v>
      </c>
    </row>
    <row r="853" spans="1:14">
      <c r="A853" s="3" t="s">
        <v>3565</v>
      </c>
      <c r="B853">
        <f>IFERROR(VLOOKUP(A853,管理亚马逊库存!A:K,11,0),"")</f>
        <v>1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3570</v>
      </c>
      <c r="B854">
        <f>IFERROR(VLOOKUP(A854,管理亚马逊库存!A:K,11,0),"")</f>
        <v>7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2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2</v>
      </c>
    </row>
    <row r="855" spans="1:14">
      <c r="A855" s="3" t="s">
        <v>3574</v>
      </c>
      <c r="B855">
        <f>IFERROR(VLOOKUP(A855,管理亚马逊库存!A:K,11,0),"")</f>
        <v>3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3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3</v>
      </c>
    </row>
    <row r="856" spans="1:14">
      <c r="A856" s="3" t="s">
        <v>3578</v>
      </c>
      <c r="B856">
        <f>IFERROR(VLOOKUP(A856,管理亚马逊库存!A:K,11,0),"")</f>
        <v>2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2</v>
      </c>
      <c r="N856">
        <f t="shared" si="28"/>
        <v>2</v>
      </c>
    </row>
    <row r="857" spans="1:14">
      <c r="A857" s="3" t="s">
        <v>3582</v>
      </c>
      <c r="B857">
        <f>IFERROR(VLOOKUP(A857,管理亚马逊库存!A:K,11,0),"")</f>
        <v>1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1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1</v>
      </c>
    </row>
    <row r="858" spans="1:14">
      <c r="A858" s="3" t="s">
        <v>3587</v>
      </c>
      <c r="B858">
        <f>IFERROR(VLOOKUP(A858,管理亚马逊库存!A:K,11,0),"")</f>
        <v>0</v>
      </c>
      <c r="C858">
        <f>IFERROR(VLOOKUP(A858,管理亚马逊库存!A:L,12,0),"")</f>
        <v>5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3591</v>
      </c>
      <c r="B859">
        <f>IFERROR(VLOOKUP(A859,管理亚马逊库存!A:K,11,0),"")</f>
        <v>2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2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2</v>
      </c>
    </row>
    <row r="860" spans="1:14">
      <c r="A860" s="3" t="s">
        <v>3594</v>
      </c>
      <c r="B860">
        <f>IFERROR(VLOOKUP(A860,管理亚马逊库存!A:K,11,0),"")</f>
        <v>5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3598</v>
      </c>
      <c r="B861">
        <f>IFERROR(VLOOKUP(A861,管理亚马逊库存!A:K,11,0),"")</f>
        <v>1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1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1</v>
      </c>
    </row>
    <row r="862" spans="1:14">
      <c r="A862" s="3" t="s">
        <v>3603</v>
      </c>
      <c r="B862">
        <f>IFERROR(VLOOKUP(A862,管理亚马逊库存!A:K,11,0),"")</f>
        <v>3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3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3</v>
      </c>
    </row>
    <row r="863" spans="1:14">
      <c r="A863" s="3" t="s">
        <v>3607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5</v>
      </c>
      <c r="E863">
        <f>IFERROR(VLOOKUP(A863,管理亚马逊库存!A:R,18,0),"")</f>
        <v>0</v>
      </c>
      <c r="F863">
        <f t="shared" si="27"/>
        <v>5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3610</v>
      </c>
      <c r="B864">
        <f>IFERROR(VLOOKUP(A864,管理亚马逊库存!A:K,11,0),"")</f>
        <v>27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5</v>
      </c>
      <c r="K864">
        <f>IFERROR(VLOOKUP(A864,库龄!B:L,10,0),0)</f>
        <v>4</v>
      </c>
      <c r="L864">
        <f>IFERROR(VLOOKUP(A864,库龄!B:M,11,0),0)</f>
        <v>16</v>
      </c>
      <c r="M864">
        <f>IFERROR(VLOOKUP(A864,库龄!B:N,12,0),0)</f>
        <v>0</v>
      </c>
      <c r="N864">
        <f t="shared" si="28"/>
        <v>25</v>
      </c>
    </row>
    <row r="865" spans="1:14">
      <c r="A865" s="3" t="s">
        <v>3614</v>
      </c>
      <c r="B865">
        <f>IFERROR(VLOOKUP(A865,管理亚马逊库存!A:K,11,0),"")</f>
        <v>55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11</v>
      </c>
      <c r="K865">
        <f>IFERROR(VLOOKUP(A865,库龄!B:L,10,0),0)</f>
        <v>39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50</v>
      </c>
    </row>
    <row r="866" spans="1:14">
      <c r="A866" s="3" t="s">
        <v>3618</v>
      </c>
      <c r="B866">
        <f>IFERROR(VLOOKUP(A866,管理亚马逊库存!A:K,11,0),"")</f>
        <v>8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3623</v>
      </c>
      <c r="B867">
        <f>IFERROR(VLOOKUP(A867,管理亚马逊库存!A:K,11,0),"")</f>
        <v>5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1</v>
      </c>
      <c r="K867">
        <f>IFERROR(VLOOKUP(A867,库龄!B:L,10,0),0)</f>
        <v>4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5</v>
      </c>
    </row>
    <row r="868" spans="1:14">
      <c r="A868" s="3" t="s">
        <v>3626</v>
      </c>
      <c r="B868">
        <f>IFERROR(VLOOKUP(A868,管理亚马逊库存!A:K,11,0),"")</f>
        <v>5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3630</v>
      </c>
      <c r="B869">
        <f>IFERROR(VLOOKUP(A869,管理亚马逊库存!A:K,11,0),"")</f>
        <v>21</v>
      </c>
      <c r="C869">
        <f>IFERROR(VLOOKUP(A869,管理亚马逊库存!A:L,12,0),"")</f>
        <v>0</v>
      </c>
      <c r="D869">
        <f>IFERROR(VLOOKUP(A869,管理亚马逊库存!A:Q,17,0),"")</f>
        <v>9</v>
      </c>
      <c r="E869">
        <f>IFERROR(VLOOKUP(A869,管理亚马逊库存!A:R,18,0),"")</f>
        <v>0</v>
      </c>
      <c r="F869">
        <f t="shared" si="27"/>
        <v>9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3634</v>
      </c>
      <c r="B870">
        <f>IFERROR(VLOOKUP(A870,管理亚马逊库存!A:K,11,0),"")</f>
        <v>3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2</v>
      </c>
      <c r="L870">
        <f>IFERROR(VLOOKUP(A870,库龄!B:M,11,0),0)</f>
        <v>1</v>
      </c>
      <c r="M870">
        <f>IFERROR(VLOOKUP(A870,库龄!B:N,12,0),0)</f>
        <v>0</v>
      </c>
      <c r="N870">
        <f t="shared" si="28"/>
        <v>3</v>
      </c>
    </row>
    <row r="871" spans="1:14">
      <c r="A871" s="3" t="s">
        <v>3637</v>
      </c>
      <c r="B871">
        <f>IFERROR(VLOOKUP(A871,管理亚马逊库存!A:K,11,0),"")</f>
        <v>12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12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12</v>
      </c>
    </row>
    <row r="872" spans="1:14">
      <c r="A872" s="3" t="s">
        <v>3641</v>
      </c>
      <c r="B872">
        <f>IFERROR(VLOOKUP(A872,管理亚马逊库存!A:K,11,0),"")</f>
        <v>5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2</v>
      </c>
      <c r="K872">
        <f>IFERROR(VLOOKUP(A872,库龄!B:L,10,0),0)</f>
        <v>1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3</v>
      </c>
    </row>
    <row r="873" spans="1:14">
      <c r="A873" s="3" t="s">
        <v>3645</v>
      </c>
      <c r="B873">
        <f>IFERROR(VLOOKUP(A873,管理亚马逊库存!A:K,11,0),"")</f>
        <v>2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1</v>
      </c>
      <c r="L873">
        <f>IFERROR(VLOOKUP(A873,库龄!B:M,11,0),0)</f>
        <v>0</v>
      </c>
      <c r="M873">
        <f>IFERROR(VLOOKUP(A873,库龄!B:N,12,0),0)</f>
        <v>1</v>
      </c>
      <c r="N873">
        <f t="shared" si="28"/>
        <v>2</v>
      </c>
    </row>
    <row r="874" spans="1:14">
      <c r="A874" s="3" t="s">
        <v>3649</v>
      </c>
      <c r="B874">
        <f>IFERROR(VLOOKUP(A874,管理亚马逊库存!A:K,11,0),"")</f>
        <v>1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2</v>
      </c>
      <c r="N874">
        <f t="shared" si="28"/>
        <v>2</v>
      </c>
    </row>
    <row r="875" spans="1:14">
      <c r="A875" s="3" t="s">
        <v>3652</v>
      </c>
      <c r="B875">
        <f>IFERROR(VLOOKUP(A875,管理亚马逊库存!A:K,11,0),"")</f>
        <v>1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1</v>
      </c>
      <c r="M875">
        <f>IFERROR(VLOOKUP(A875,库龄!B:N,12,0),0)</f>
        <v>0</v>
      </c>
      <c r="N875">
        <f t="shared" si="28"/>
        <v>1</v>
      </c>
    </row>
    <row r="876" spans="1:14">
      <c r="A876" s="3" t="s">
        <v>3656</v>
      </c>
      <c r="B876">
        <f>IFERROR(VLOOKUP(A876,管理亚马逊库存!A:K,11,0),"")</f>
        <v>4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1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3</v>
      </c>
      <c r="N876">
        <f t="shared" si="28"/>
        <v>4</v>
      </c>
    </row>
    <row r="877" spans="1:14">
      <c r="A877" s="3" t="s">
        <v>3661</v>
      </c>
      <c r="B877">
        <f>IFERROR(VLOOKUP(A877,管理亚马逊库存!A:K,11,0),"")</f>
        <v>2</v>
      </c>
      <c r="C877">
        <f>IFERROR(VLOOKUP(A877,管理亚马逊库存!A:L,12,0),"")</f>
        <v>1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1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1</v>
      </c>
    </row>
    <row r="878" spans="1:14">
      <c r="A878" s="3" t="s">
        <v>3665</v>
      </c>
      <c r="B878">
        <f>IFERROR(VLOOKUP(A878,管理亚马逊库存!A:K,11,0),"")</f>
        <v>1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1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1</v>
      </c>
    </row>
    <row r="879" spans="1:14">
      <c r="A879" s="3" t="s">
        <v>3670</v>
      </c>
      <c r="B879">
        <f>IFERROR(VLOOKUP(A879,管理亚马逊库存!A:K,11,0),"")</f>
        <v>1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3673</v>
      </c>
      <c r="B880">
        <f>IFERROR(VLOOKUP(A880,管理亚马逊库存!A:K,11,0),"")</f>
        <v>1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3678</v>
      </c>
      <c r="B881">
        <f>IFERROR(VLOOKUP(A881,管理亚马逊库存!A:K,11,0),"")</f>
        <v>73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65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65</v>
      </c>
    </row>
    <row r="882" spans="1:14">
      <c r="A882" s="3" t="s">
        <v>3683</v>
      </c>
      <c r="B882">
        <f>IFERROR(VLOOKUP(A882,管理亚马逊库存!A:K,11,0),"")</f>
        <v>10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3687</v>
      </c>
      <c r="B883">
        <f>IFERROR(VLOOKUP(A883,管理亚马逊库存!A:K,11,0),"")</f>
        <v>6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2</v>
      </c>
      <c r="K883">
        <f>IFERROR(VLOOKUP(A883,库龄!B:L,10,0),0)</f>
        <v>1</v>
      </c>
      <c r="L883">
        <f>IFERROR(VLOOKUP(A883,库龄!B:M,11,0),0)</f>
        <v>3</v>
      </c>
      <c r="M883">
        <f>IFERROR(VLOOKUP(A883,库龄!B:N,12,0),0)</f>
        <v>0</v>
      </c>
      <c r="N883">
        <f t="shared" si="28"/>
        <v>6</v>
      </c>
    </row>
    <row r="884" spans="1:14">
      <c r="A884" s="3" t="s">
        <v>3692</v>
      </c>
      <c r="B884">
        <f>IFERROR(VLOOKUP(A884,管理亚马逊库存!A:K,11,0),"")</f>
        <v>4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3697</v>
      </c>
      <c r="B885">
        <f>IFERROR(VLOOKUP(A885,管理亚马逊库存!A:K,11,0),"")</f>
        <v>36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5</v>
      </c>
      <c r="K885">
        <f>IFERROR(VLOOKUP(A885,库龄!B:L,10,0),0)</f>
        <v>29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34</v>
      </c>
    </row>
    <row r="886" spans="1:14">
      <c r="A886" s="3" t="s">
        <v>3701</v>
      </c>
      <c r="B886">
        <f>IFERROR(VLOOKUP(A886,管理亚马逊库存!A:K,11,0),"")</f>
        <v>17</v>
      </c>
      <c r="C886">
        <f>IFERROR(VLOOKUP(A886,管理亚马逊库存!A:L,12,0),"")</f>
        <v>2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3705</v>
      </c>
      <c r="B887">
        <f>IFERROR(VLOOKUP(A887,管理亚马逊库存!A:K,11,0),"")</f>
        <v>1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1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1</v>
      </c>
    </row>
    <row r="888" spans="1:14">
      <c r="A888" s="3" t="s">
        <v>3709</v>
      </c>
      <c r="B888">
        <f>IFERROR(VLOOKUP(A888,管理亚马逊库存!A:K,11,0),"")</f>
        <v>10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3712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3716</v>
      </c>
      <c r="B890">
        <f>IFERROR(VLOOKUP(A890,管理亚马逊库存!A:K,11,0),"")</f>
        <v>10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3719</v>
      </c>
      <c r="B891">
        <f>IFERROR(VLOOKUP(A891,管理亚马逊库存!A:K,11,0),"")</f>
        <v>1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3723</v>
      </c>
      <c r="B892">
        <f>IFERROR(VLOOKUP(A892,管理亚马逊库存!A:K,11,0),"")</f>
        <v>5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1</v>
      </c>
      <c r="L892">
        <f>IFERROR(VLOOKUP(A892,库龄!B:M,11,0),0)</f>
        <v>0</v>
      </c>
      <c r="M892">
        <f>IFERROR(VLOOKUP(A892,库龄!B:N,12,0),0)</f>
        <v>4</v>
      </c>
      <c r="N892">
        <f t="shared" si="28"/>
        <v>5</v>
      </c>
    </row>
    <row r="893" spans="1:14">
      <c r="A893" s="3" t="s">
        <v>3728</v>
      </c>
      <c r="B893">
        <f>IFERROR(VLOOKUP(A893,管理亚马逊库存!A:K,11,0),"")</f>
        <v>2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3731</v>
      </c>
      <c r="B894">
        <f>IFERROR(VLOOKUP(A894,管理亚马逊库存!A:K,11,0),"")</f>
        <v>3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3</v>
      </c>
      <c r="N894">
        <f t="shared" si="28"/>
        <v>3</v>
      </c>
    </row>
    <row r="895" spans="1:14">
      <c r="A895" s="3" t="s">
        <v>3735</v>
      </c>
      <c r="B895">
        <f>IFERROR(VLOOKUP(A895,管理亚马逊库存!A:K,11,0),"")</f>
        <v>3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3</v>
      </c>
      <c r="M895">
        <f>IFERROR(VLOOKUP(A895,库龄!B:N,12,0),0)</f>
        <v>0</v>
      </c>
      <c r="N895">
        <f t="shared" si="28"/>
        <v>3</v>
      </c>
    </row>
    <row r="896" spans="1:14">
      <c r="A896" s="3" t="s">
        <v>3740</v>
      </c>
      <c r="B896">
        <f>IFERROR(VLOOKUP(A896,管理亚马逊库存!A:K,11,0),"")</f>
        <v>9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9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9</v>
      </c>
    </row>
    <row r="897" spans="1:14">
      <c r="A897" s="3" t="s">
        <v>3744</v>
      </c>
      <c r="B897">
        <f>IFERROR(VLOOKUP(A897,管理亚马逊库存!A:K,11,0),"")</f>
        <v>7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7</v>
      </c>
      <c r="M897">
        <f>IFERROR(VLOOKUP(A897,库龄!B:N,12,0),0)</f>
        <v>0</v>
      </c>
      <c r="N897">
        <f t="shared" si="28"/>
        <v>7</v>
      </c>
    </row>
    <row r="898" spans="1:14">
      <c r="A898" s="3" t="s">
        <v>3749</v>
      </c>
      <c r="B898">
        <f>IFERROR(VLOOKUP(A898,管理亚马逊库存!A:K,11,0),"")</f>
        <v>15</v>
      </c>
      <c r="C898">
        <f>IFERROR(VLOOKUP(A898,管理亚马逊库存!A:L,12,0),"")</f>
        <v>1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3753</v>
      </c>
      <c r="B899">
        <f>IFERROR(VLOOKUP(A899,管理亚马逊库存!A:K,11,0),"")</f>
        <v>21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1</v>
      </c>
      <c r="K899">
        <f>IFERROR(VLOOKUP(A899,库龄!B:L,10,0),0)</f>
        <v>18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19</v>
      </c>
    </row>
    <row r="900" spans="1:14">
      <c r="A900" s="3" t="s">
        <v>3757</v>
      </c>
      <c r="B900">
        <f>IFERROR(VLOOKUP(A900,管理亚马逊库存!A:K,11,0),"")</f>
        <v>3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3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3</v>
      </c>
    </row>
    <row r="901" spans="1:14">
      <c r="A901" s="3" t="s">
        <v>3761</v>
      </c>
      <c r="B901">
        <f>IFERROR(VLOOKUP(A901,管理亚马逊库存!A:K,11,0),"")</f>
        <v>2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3766</v>
      </c>
      <c r="B902">
        <f>IFERROR(VLOOKUP(A902,管理亚马逊库存!A:K,11,0),"")</f>
        <v>48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8</v>
      </c>
      <c r="K902">
        <f>IFERROR(VLOOKUP(A902,库龄!B:L,10,0),0)</f>
        <v>40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48</v>
      </c>
    </row>
    <row r="903" spans="1:14">
      <c r="A903" s="3" t="s">
        <v>3770</v>
      </c>
      <c r="B903">
        <f>IFERROR(VLOOKUP(A903,管理亚马逊库存!A:K,11,0),"")</f>
        <v>1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1</v>
      </c>
      <c r="N903">
        <f t="shared" si="30"/>
        <v>1</v>
      </c>
    </row>
    <row r="904" spans="1:14">
      <c r="A904" s="3" t="s">
        <v>3774</v>
      </c>
      <c r="B904">
        <f>IFERROR(VLOOKUP(A904,管理亚马逊库存!A:K,11,0),"")</f>
        <v>1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1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1</v>
      </c>
    </row>
    <row r="905" spans="1:14">
      <c r="A905" s="3" t="s">
        <v>3778</v>
      </c>
      <c r="B905">
        <f>IFERROR(VLOOKUP(A905,管理亚马逊库存!A:K,11,0),"")</f>
        <v>1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1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1</v>
      </c>
    </row>
    <row r="906" spans="1:14">
      <c r="A906" s="3" t="s">
        <v>3783</v>
      </c>
      <c r="B906">
        <f>IFERROR(VLOOKUP(A906,管理亚马逊库存!A:K,11,0),"")</f>
        <v>14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3787</v>
      </c>
      <c r="B907">
        <f>IFERROR(VLOOKUP(A907,管理亚马逊库存!A:K,11,0),"")</f>
        <v>5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5</v>
      </c>
      <c r="N907">
        <f t="shared" si="30"/>
        <v>5</v>
      </c>
    </row>
    <row r="908" spans="1:14">
      <c r="A908" s="3" t="s">
        <v>3792</v>
      </c>
      <c r="B908">
        <f>IFERROR(VLOOKUP(A908,管理亚马逊库存!A:K,11,0),"")</f>
        <v>15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3796</v>
      </c>
      <c r="B909">
        <f>IFERROR(VLOOKUP(A909,管理亚马逊库存!A:K,11,0),"")</f>
        <v>57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53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53</v>
      </c>
    </row>
    <row r="910" spans="1:14">
      <c r="A910" s="3" t="s">
        <v>3799</v>
      </c>
      <c r="B910">
        <f>IFERROR(VLOOKUP(A910,管理亚马逊库存!A:K,11,0),"")</f>
        <v>6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6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6</v>
      </c>
    </row>
    <row r="911" spans="1:14">
      <c r="A911" s="3" t="s">
        <v>3802</v>
      </c>
      <c r="B911">
        <f>IFERROR(VLOOKUP(A911,管理亚马逊库存!A:K,11,0),"")</f>
        <v>11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10</v>
      </c>
      <c r="K911">
        <f>IFERROR(VLOOKUP(A911,库龄!B:L,10,0),0)</f>
        <v>1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11</v>
      </c>
    </row>
    <row r="912" spans="1:14">
      <c r="A912" s="3" t="s">
        <v>3805</v>
      </c>
      <c r="B912">
        <f>IFERROR(VLOOKUP(A912,管理亚马逊库存!A:K,11,0),"")</f>
        <v>18</v>
      </c>
      <c r="C912">
        <f>IFERROR(VLOOKUP(A912,管理亚马逊库存!A:L,12,0),"")</f>
        <v>1</v>
      </c>
      <c r="D912">
        <f>IFERROR(VLOOKUP(A912,管理亚马逊库存!A:Q,17,0),"")</f>
        <v>8</v>
      </c>
      <c r="E912">
        <f>IFERROR(VLOOKUP(A912,管理亚马逊库存!A:R,18,0),"")</f>
        <v>0</v>
      </c>
      <c r="F912">
        <f t="shared" si="29"/>
        <v>8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3809</v>
      </c>
      <c r="B913">
        <f>IFERROR(VLOOKUP(A913,管理亚马逊库存!A:K,11,0),"")</f>
        <v>5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3812</v>
      </c>
      <c r="B914">
        <f>IFERROR(VLOOKUP(A914,管理亚马逊库存!A:K,11,0),"")</f>
        <v>2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2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2</v>
      </c>
    </row>
    <row r="915" spans="1:14">
      <c r="A915" s="3" t="s">
        <v>3816</v>
      </c>
      <c r="B915">
        <f>IFERROR(VLOOKUP(A915,管理亚马逊库存!A:K,11,0),"")</f>
        <v>13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13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13</v>
      </c>
    </row>
    <row r="916" spans="1:14">
      <c r="A916" s="3" t="s">
        <v>3821</v>
      </c>
      <c r="B916">
        <f>IFERROR(VLOOKUP(A916,管理亚马逊库存!A:K,11,0),"")</f>
        <v>1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1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1</v>
      </c>
    </row>
    <row r="917" spans="1:14">
      <c r="A917" s="3" t="s">
        <v>3825</v>
      </c>
      <c r="B917">
        <f>IFERROR(VLOOKUP(A917,管理亚马逊库存!A:K,11,0),"")</f>
        <v>3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4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4</v>
      </c>
    </row>
    <row r="918" spans="1:14">
      <c r="A918" s="3" t="s">
        <v>3828</v>
      </c>
      <c r="B918">
        <f>IFERROR(VLOOKUP(A918,管理亚马逊库存!A:K,11,0),"")</f>
        <v>16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1</v>
      </c>
      <c r="K918">
        <f>IFERROR(VLOOKUP(A918,库龄!B:L,10,0),0)</f>
        <v>0</v>
      </c>
      <c r="L918">
        <f>IFERROR(VLOOKUP(A918,库龄!B:M,11,0),0)</f>
        <v>14</v>
      </c>
      <c r="M918">
        <f>IFERROR(VLOOKUP(A918,库龄!B:N,12,0),0)</f>
        <v>0</v>
      </c>
      <c r="N918">
        <f t="shared" si="30"/>
        <v>15</v>
      </c>
    </row>
    <row r="919" spans="1:14">
      <c r="A919" s="3" t="s">
        <v>3831</v>
      </c>
      <c r="B919">
        <f>IFERROR(VLOOKUP(A919,管理亚马逊库存!A:K,11,0),"")</f>
        <v>3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1</v>
      </c>
      <c r="K919">
        <f>IFERROR(VLOOKUP(A919,库龄!B:L,10,0),0)</f>
        <v>2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3</v>
      </c>
    </row>
    <row r="920" spans="1:14">
      <c r="A920" s="3" t="s">
        <v>3835</v>
      </c>
      <c r="B920">
        <f>IFERROR(VLOOKUP(A920,管理亚马逊库存!A:K,11,0),"")</f>
        <v>3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3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3</v>
      </c>
    </row>
    <row r="921" spans="1:14">
      <c r="A921" s="3" t="s">
        <v>3839</v>
      </c>
      <c r="B921">
        <f>IFERROR(VLOOKUP(A921,管理亚马逊库存!A:K,11,0),"")</f>
        <v>14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14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14</v>
      </c>
    </row>
    <row r="922" spans="1:14">
      <c r="A922" s="3" t="s">
        <v>3844</v>
      </c>
      <c r="B922">
        <f>IFERROR(VLOOKUP(A922,管理亚马逊库存!A:K,11,0),"")</f>
        <v>104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22</v>
      </c>
      <c r="K922">
        <f>IFERROR(VLOOKUP(A922,库龄!B:L,10,0),0)</f>
        <v>72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94</v>
      </c>
    </row>
    <row r="923" spans="1:14">
      <c r="A923" s="3" t="s">
        <v>3849</v>
      </c>
      <c r="B923">
        <f>IFERROR(VLOOKUP(A923,管理亚马逊库存!A:K,11,0),"")</f>
        <v>2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1</v>
      </c>
      <c r="K923">
        <f>IFERROR(VLOOKUP(A923,库龄!B:L,10,0),0)</f>
        <v>1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2</v>
      </c>
    </row>
    <row r="924" spans="1:14">
      <c r="A924" s="3" t="s">
        <v>3852</v>
      </c>
      <c r="B924">
        <f>IFERROR(VLOOKUP(A924,管理亚马逊库存!A:K,11,0),"")</f>
        <v>0</v>
      </c>
      <c r="C924">
        <f>IFERROR(VLOOKUP(A924,管理亚马逊库存!A:L,12,0),"")</f>
        <v>1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3856</v>
      </c>
      <c r="B925">
        <f>IFERROR(VLOOKUP(A925,管理亚马逊库存!A:K,11,0),"")</f>
        <v>21</v>
      </c>
      <c r="C925">
        <f>IFERROR(VLOOKUP(A925,管理亚马逊库存!A:L,12,0),"")</f>
        <v>1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3860</v>
      </c>
      <c r="B926">
        <f>IFERROR(VLOOKUP(A926,管理亚马逊库存!A:K,11,0),"")</f>
        <v>11</v>
      </c>
      <c r="C926">
        <f>IFERROR(VLOOKUP(A926,管理亚马逊库存!A:L,12,0),"")</f>
        <v>3</v>
      </c>
      <c r="D926">
        <f>IFERROR(VLOOKUP(A926,管理亚马逊库存!A:Q,17,0),"")</f>
        <v>3</v>
      </c>
      <c r="E926">
        <f>IFERROR(VLOOKUP(A926,管理亚马逊库存!A:R,18,0),"")</f>
        <v>0</v>
      </c>
      <c r="F926">
        <f t="shared" si="29"/>
        <v>3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3866</v>
      </c>
      <c r="B927">
        <f>IFERROR(VLOOKUP(A927,管理亚马逊库存!A:K,11,0),"")</f>
        <v>1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1</v>
      </c>
      <c r="M927">
        <f>IFERROR(VLOOKUP(A927,库龄!B:N,12,0),0)</f>
        <v>0</v>
      </c>
      <c r="N927">
        <f t="shared" si="30"/>
        <v>1</v>
      </c>
    </row>
    <row r="928" spans="1:14">
      <c r="A928" s="3" t="s">
        <v>3871</v>
      </c>
      <c r="B928">
        <f>IFERROR(VLOOKUP(A928,管理亚马逊库存!A:K,11,0),"")</f>
        <v>12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12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12</v>
      </c>
    </row>
    <row r="929" spans="1:14">
      <c r="A929" s="3" t="s">
        <v>3875</v>
      </c>
      <c r="B929">
        <f>IFERROR(VLOOKUP(A929,管理亚马逊库存!A:K,11,0),"")</f>
        <v>9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3878</v>
      </c>
      <c r="B930">
        <f>IFERROR(VLOOKUP(A930,管理亚马逊库存!A:K,11,0),"")</f>
        <v>1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1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1</v>
      </c>
    </row>
    <row r="931" spans="1:14">
      <c r="A931" s="3" t="s">
        <v>3882</v>
      </c>
      <c r="B931">
        <f>IFERROR(VLOOKUP(A931,管理亚马逊库存!A:K,11,0),"")</f>
        <v>2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1</v>
      </c>
      <c r="K931">
        <f>IFERROR(VLOOKUP(A931,库龄!B:L,10,0),0)</f>
        <v>0</v>
      </c>
      <c r="L931">
        <f>IFERROR(VLOOKUP(A931,库龄!B:M,11,0),0)</f>
        <v>1</v>
      </c>
      <c r="M931">
        <f>IFERROR(VLOOKUP(A931,库龄!B:N,12,0),0)</f>
        <v>0</v>
      </c>
      <c r="N931">
        <f t="shared" si="30"/>
        <v>2</v>
      </c>
    </row>
    <row r="932" spans="1:14">
      <c r="A932" s="3" t="s">
        <v>3885</v>
      </c>
      <c r="B932">
        <f>IFERROR(VLOOKUP(A932,管理亚马逊库存!A:K,11,0),"")</f>
        <v>18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3</v>
      </c>
      <c r="K932">
        <f>IFERROR(VLOOKUP(A932,库龄!B:L,10,0),0)</f>
        <v>14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17</v>
      </c>
    </row>
    <row r="933" spans="1:14">
      <c r="A933" s="3" t="s">
        <v>3889</v>
      </c>
      <c r="B933">
        <f>IFERROR(VLOOKUP(A933,管理亚马逊库存!A:K,11,0),"")</f>
        <v>4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2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2</v>
      </c>
    </row>
    <row r="934" spans="1:14">
      <c r="A934" s="3" t="s">
        <v>3894</v>
      </c>
      <c r="B934">
        <f>IFERROR(VLOOKUP(A934,管理亚马逊库存!A:K,11,0),"")</f>
        <v>6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1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5</v>
      </c>
      <c r="N934">
        <f t="shared" si="30"/>
        <v>6</v>
      </c>
    </row>
    <row r="935" spans="1:14">
      <c r="A935" s="3" t="s">
        <v>3899</v>
      </c>
      <c r="B935">
        <f>IFERROR(VLOOKUP(A935,管理亚马逊库存!A:K,11,0),"")</f>
        <v>10</v>
      </c>
      <c r="C935">
        <f>IFERROR(VLOOKUP(A935,管理亚马逊库存!A:L,12,0),"")</f>
        <v>2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3902</v>
      </c>
      <c r="B936">
        <f>IFERROR(VLOOKUP(A936,管理亚马逊库存!A:K,11,0),"")</f>
        <v>15</v>
      </c>
      <c r="C936">
        <f>IFERROR(VLOOKUP(A936,管理亚马逊库存!A:L,12,0),"")</f>
        <v>1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3906</v>
      </c>
      <c r="B937">
        <f>IFERROR(VLOOKUP(A937,管理亚马逊库存!A:K,11,0),"")</f>
        <v>3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3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3</v>
      </c>
    </row>
    <row r="938" spans="1:14">
      <c r="A938" s="3" t="s">
        <v>3910</v>
      </c>
      <c r="B938">
        <f>IFERROR(VLOOKUP(A938,管理亚马逊库存!A:K,11,0),"")</f>
        <v>5</v>
      </c>
      <c r="C938">
        <f>IFERROR(VLOOKUP(A938,管理亚马逊库存!A:L,12,0),"")</f>
        <v>1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3914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3918</v>
      </c>
      <c r="B940">
        <f>IFERROR(VLOOKUP(A940,管理亚马逊库存!A:K,11,0),"")</f>
        <v>14</v>
      </c>
      <c r="C940">
        <f>IFERROR(VLOOKUP(A940,管理亚马逊库存!A:L,12,0),"")</f>
        <v>1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3922</v>
      </c>
      <c r="B941">
        <f>IFERROR(VLOOKUP(A941,管理亚马逊库存!A:K,11,0),"")</f>
        <v>9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3925</v>
      </c>
      <c r="B942">
        <f>IFERROR(VLOOKUP(A942,管理亚马逊库存!A:K,11,0),"")</f>
        <v>12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1</v>
      </c>
      <c r="K942">
        <f>IFERROR(VLOOKUP(A942,库龄!B:L,10,0),0)</f>
        <v>11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12</v>
      </c>
    </row>
    <row r="943" spans="1:14">
      <c r="A943" s="3" t="s">
        <v>3930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3936</v>
      </c>
      <c r="B944">
        <f>IFERROR(VLOOKUP(A944,管理亚马逊库存!A:K,11,0),"")</f>
        <v>18</v>
      </c>
      <c r="C944">
        <f>IFERROR(VLOOKUP(A944,管理亚马逊库存!A:L,12,0),"")</f>
        <v>1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3940</v>
      </c>
      <c r="B945">
        <f>IFERROR(VLOOKUP(A945,管理亚马逊库存!A:K,11,0),"")</f>
        <v>15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3943</v>
      </c>
      <c r="B946">
        <f>IFERROR(VLOOKUP(A946,管理亚马逊库存!A:K,11,0),"")</f>
        <v>2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2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2</v>
      </c>
    </row>
    <row r="947" spans="1:14">
      <c r="A947" s="3" t="s">
        <v>3947</v>
      </c>
      <c r="B947">
        <f>IFERROR(VLOOKUP(A947,管理亚马逊库存!A:K,11,0),"")</f>
        <v>18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18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18</v>
      </c>
    </row>
    <row r="948" spans="1:14">
      <c r="A948" s="3" t="s">
        <v>3951</v>
      </c>
      <c r="B948">
        <f>IFERROR(VLOOKUP(A948,管理亚马逊库存!A:K,11,0),"")</f>
        <v>2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2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2</v>
      </c>
    </row>
    <row r="949" spans="1:14">
      <c r="A949" s="3" t="s">
        <v>3955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3958</v>
      </c>
      <c r="B950">
        <f>IFERROR(VLOOKUP(A950,管理亚马逊库存!A:K,11,0),"")</f>
        <v>6</v>
      </c>
      <c r="C950">
        <f>IFERROR(VLOOKUP(A950,管理亚马逊库存!A:L,12,0),"")</f>
        <v>1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3962</v>
      </c>
      <c r="B951">
        <f>IFERROR(VLOOKUP(A951,管理亚马逊库存!A:K,11,0),"")</f>
        <v>1</v>
      </c>
      <c r="C951">
        <f>IFERROR(VLOOKUP(A951,管理亚马逊库存!A:L,12,0),"")</f>
        <v>1</v>
      </c>
      <c r="D951">
        <f>IFERROR(VLOOKUP(A951,管理亚马逊库存!A:Q,17,0),"")</f>
        <v>8</v>
      </c>
      <c r="E951">
        <f>IFERROR(VLOOKUP(A951,管理亚马逊库存!A:R,18,0),"")</f>
        <v>12</v>
      </c>
      <c r="F951">
        <f t="shared" si="29"/>
        <v>20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3966</v>
      </c>
      <c r="B952">
        <f>IFERROR(VLOOKUP(A952,管理亚马逊库存!A:K,11,0),"")</f>
        <v>2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2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2</v>
      </c>
    </row>
    <row r="953" spans="1:14">
      <c r="A953" s="3" t="s">
        <v>3970</v>
      </c>
      <c r="B953">
        <f>IFERROR(VLOOKUP(A953,管理亚马逊库存!A:K,11,0),"")</f>
        <v>2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2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2</v>
      </c>
    </row>
    <row r="954" spans="1:14">
      <c r="A954" s="3" t="s">
        <v>3974</v>
      </c>
      <c r="B954">
        <f>IFERROR(VLOOKUP(A954,管理亚马逊库存!A:K,11,0),"")</f>
        <v>5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5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5</v>
      </c>
    </row>
    <row r="955" spans="1:14">
      <c r="A955" s="3" t="s">
        <v>3979</v>
      </c>
      <c r="B955">
        <f>IFERROR(VLOOKUP(A955,管理亚马逊库存!A:K,11,0),"")</f>
        <v>7</v>
      </c>
      <c r="C955">
        <f>IFERROR(VLOOKUP(A955,管理亚马逊库存!A:L,12,0),"")</f>
        <v>1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3983</v>
      </c>
      <c r="B956">
        <f>IFERROR(VLOOKUP(A956,管理亚马逊库存!A:K,11,0),"")</f>
        <v>15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3987</v>
      </c>
      <c r="B957">
        <f>IFERROR(VLOOKUP(A957,管理亚马逊库存!A:K,11,0),"")</f>
        <v>7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7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7</v>
      </c>
    </row>
    <row r="958" spans="1:14">
      <c r="A958" s="3" t="s">
        <v>3991</v>
      </c>
      <c r="B958">
        <f>IFERROR(VLOOKUP(A958,管理亚马逊库存!A:K,11,0),"")</f>
        <v>9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1</v>
      </c>
      <c r="K958">
        <f>IFERROR(VLOOKUP(A958,库龄!B:L,10,0),0)</f>
        <v>8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9</v>
      </c>
    </row>
    <row r="959" spans="1:14">
      <c r="A959" s="3" t="s">
        <v>3995</v>
      </c>
      <c r="B959">
        <f>IFERROR(VLOOKUP(A959,管理亚马逊库存!A:K,11,0),"")</f>
        <v>15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3998</v>
      </c>
      <c r="B960">
        <f>IFERROR(VLOOKUP(A960,管理亚马逊库存!A:K,11,0),"")</f>
        <v>0</v>
      </c>
      <c r="C960">
        <f>IFERROR(VLOOKUP(A960,管理亚马逊库存!A:L,12,0),"")</f>
        <v>3</v>
      </c>
      <c r="D960">
        <f>IFERROR(VLOOKUP(A960,管理亚马逊库存!A:Q,17,0),"")</f>
        <v>39</v>
      </c>
      <c r="E960">
        <f>IFERROR(VLOOKUP(A960,管理亚马逊库存!A:R,18,0),"")</f>
        <v>0</v>
      </c>
      <c r="F960">
        <f t="shared" si="29"/>
        <v>39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4002</v>
      </c>
      <c r="B961">
        <f>IFERROR(VLOOKUP(A961,管理亚马逊库存!A:K,11,0),"")</f>
        <v>3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3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3</v>
      </c>
    </row>
    <row r="962" spans="1:14">
      <c r="A962" s="3" t="s">
        <v>4007</v>
      </c>
      <c r="B962">
        <f>IFERROR(VLOOKUP(A962,管理亚马逊库存!A:K,11,0),"")</f>
        <v>1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1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1</v>
      </c>
    </row>
    <row r="963" spans="1:14">
      <c r="A963" s="3" t="s">
        <v>4012</v>
      </c>
      <c r="B963">
        <f>IFERROR(VLOOKUP(A963,管理亚马逊库存!A:K,11,0),"")</f>
        <v>1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1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1</v>
      </c>
    </row>
    <row r="964" spans="1:14">
      <c r="A964" s="3" t="s">
        <v>4016</v>
      </c>
      <c r="B964">
        <f>IFERROR(VLOOKUP(A964,管理亚马逊库存!A:K,11,0),"")</f>
        <v>30</v>
      </c>
      <c r="C964">
        <f>IFERROR(VLOOKUP(A964,管理亚马逊库存!A:L,12,0),"")</f>
        <v>5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4019</v>
      </c>
      <c r="B965">
        <f>IFERROR(VLOOKUP(A965,管理亚马逊库存!A:K,11,0),"")</f>
        <v>14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4024</v>
      </c>
      <c r="B966">
        <f>IFERROR(VLOOKUP(A966,管理亚马逊库存!A:K,11,0),"")</f>
        <v>8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4028</v>
      </c>
      <c r="B967">
        <f>IFERROR(VLOOKUP(A967,管理亚马逊库存!A:K,11,0),"")</f>
        <v>0</v>
      </c>
      <c r="C967">
        <f>IFERROR(VLOOKUP(A967,管理亚马逊库存!A:L,12,0),"")</f>
        <v>1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1</v>
      </c>
      <c r="M967">
        <f>IFERROR(VLOOKUP(A967,库龄!B:N,12,0),0)</f>
        <v>0</v>
      </c>
      <c r="N967">
        <f t="shared" si="32"/>
        <v>1</v>
      </c>
    </row>
    <row r="968" spans="1:14">
      <c r="A968" s="3" t="s">
        <v>4032</v>
      </c>
      <c r="B968">
        <f>IFERROR(VLOOKUP(A968,管理亚马逊库存!A:K,11,0),"")</f>
        <v>7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4035</v>
      </c>
      <c r="B969">
        <f>IFERROR(VLOOKUP(A969,管理亚马逊库存!A:K,11,0),"")</f>
        <v>33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33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33</v>
      </c>
    </row>
    <row r="970" spans="1:14">
      <c r="A970" s="3" t="s">
        <v>4039</v>
      </c>
      <c r="B970">
        <f>IFERROR(VLOOKUP(A970,管理亚马逊库存!A:K,11,0),"")</f>
        <v>2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2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2</v>
      </c>
    </row>
    <row r="971" spans="1:14">
      <c r="A971" s="3" t="s">
        <v>4042</v>
      </c>
      <c r="B971">
        <f>IFERROR(VLOOKUP(A971,管理亚马逊库存!A:K,11,0),"")</f>
        <v>9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4045</v>
      </c>
      <c r="B972">
        <f>IFERROR(VLOOKUP(A972,管理亚马逊库存!A:K,11,0),"")</f>
        <v>8</v>
      </c>
      <c r="C972">
        <f>IFERROR(VLOOKUP(A972,管理亚马逊库存!A:L,12,0),"")</f>
        <v>0</v>
      </c>
      <c r="D972">
        <f>IFERROR(VLOOKUP(A972,管理亚马逊库存!A:Q,17,0),"")</f>
        <v>2</v>
      </c>
      <c r="E972">
        <f>IFERROR(VLOOKUP(A972,管理亚马逊库存!A:R,18,0),"")</f>
        <v>0</v>
      </c>
      <c r="F972">
        <f t="shared" si="31"/>
        <v>2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4049</v>
      </c>
      <c r="B973">
        <f>IFERROR(VLOOKUP(A973,管理亚马逊库存!A:K,11,0),"")</f>
        <v>1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1</v>
      </c>
      <c r="M973">
        <f>IFERROR(VLOOKUP(A973,库龄!B:N,12,0),0)</f>
        <v>0</v>
      </c>
      <c r="N973">
        <f t="shared" si="32"/>
        <v>1</v>
      </c>
    </row>
    <row r="974" spans="1:14">
      <c r="A974" s="3" t="s">
        <v>4054</v>
      </c>
      <c r="B974">
        <f>IFERROR(VLOOKUP(A974,管理亚马逊库存!A:K,11,0),"")</f>
        <v>15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4057</v>
      </c>
      <c r="B975">
        <f>IFERROR(VLOOKUP(A975,管理亚马逊库存!A:K,11,0),"")</f>
        <v>135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26</v>
      </c>
      <c r="K975">
        <f>IFERROR(VLOOKUP(A975,库龄!B:L,10,0),0)</f>
        <v>101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127</v>
      </c>
    </row>
    <row r="976" spans="1:14">
      <c r="A976" s="3" t="s">
        <v>4061</v>
      </c>
      <c r="B976">
        <f>IFERROR(VLOOKUP(A976,管理亚马逊库存!A:K,11,0),"")</f>
        <v>11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4065</v>
      </c>
      <c r="B977">
        <f>IFERROR(VLOOKUP(A977,管理亚马逊库存!A:K,11,0),"")</f>
        <v>9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4068</v>
      </c>
      <c r="B978">
        <f>IFERROR(VLOOKUP(A978,管理亚马逊库存!A:K,11,0),"")</f>
        <v>147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4073</v>
      </c>
      <c r="B979">
        <f>IFERROR(VLOOKUP(A979,管理亚马逊库存!A:K,11,0),"")</f>
        <v>2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4077</v>
      </c>
      <c r="B980">
        <f>IFERROR(VLOOKUP(A980,管理亚马逊库存!A:K,11,0),"")</f>
        <v>1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4081</v>
      </c>
      <c r="B981">
        <f>IFERROR(VLOOKUP(A981,管理亚马逊库存!A:K,11,0),"")</f>
        <v>2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4085</v>
      </c>
      <c r="B982">
        <f>IFERROR(VLOOKUP(A982,管理亚马逊库存!A:K,11,0),"")</f>
        <v>14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4088</v>
      </c>
      <c r="B983">
        <f>IFERROR(VLOOKUP(A983,管理亚马逊库存!A:K,11,0),"")</f>
        <v>1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1</v>
      </c>
      <c r="M983">
        <f>IFERROR(VLOOKUP(A983,库龄!B:N,12,0),0)</f>
        <v>0</v>
      </c>
      <c r="N983">
        <f t="shared" si="32"/>
        <v>1</v>
      </c>
    </row>
    <row r="984" spans="1:14">
      <c r="A984" s="3" t="s">
        <v>4092</v>
      </c>
      <c r="B984">
        <f>IFERROR(VLOOKUP(A984,管理亚马逊库存!A:K,11,0),"")</f>
        <v>2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1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1</v>
      </c>
    </row>
    <row r="985" spans="1:14">
      <c r="A985" s="3" t="s">
        <v>4096</v>
      </c>
      <c r="B985">
        <f>IFERROR(VLOOKUP(A985,管理亚马逊库存!A:K,11,0),"")</f>
        <v>10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4099</v>
      </c>
      <c r="B986">
        <f>IFERROR(VLOOKUP(A986,管理亚马逊库存!A:K,11,0),"")</f>
        <v>24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24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24</v>
      </c>
    </row>
    <row r="987" spans="1:14">
      <c r="A987" s="3" t="s">
        <v>4103</v>
      </c>
      <c r="B987">
        <f>IFERROR(VLOOKUP(A987,管理亚马逊库存!A:K,11,0),"")</f>
        <v>3</v>
      </c>
      <c r="C987">
        <f>IFERROR(VLOOKUP(A987,管理亚马逊库存!A:L,12,0),"")</f>
        <v>1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4107</v>
      </c>
      <c r="B988">
        <f>IFERROR(VLOOKUP(A988,管理亚马逊库存!A:K,11,0),"")</f>
        <v>1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1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1</v>
      </c>
    </row>
    <row r="989" spans="1:14">
      <c r="A989" s="3" t="s">
        <v>4112</v>
      </c>
      <c r="B989">
        <f>IFERROR(VLOOKUP(A989,管理亚马逊库存!A:K,11,0),"")</f>
        <v>22</v>
      </c>
      <c r="C989">
        <f>IFERROR(VLOOKUP(A989,管理亚马逊库存!A:L,12,0),"")</f>
        <v>2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4117</v>
      </c>
      <c r="B990">
        <f>IFERROR(VLOOKUP(A990,管理亚马逊库存!A:K,11,0),"")</f>
        <v>4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4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4</v>
      </c>
    </row>
    <row r="991" spans="1:14">
      <c r="A991" s="3" t="s">
        <v>4120</v>
      </c>
      <c r="B991">
        <f>IFERROR(VLOOKUP(A991,管理亚马逊库存!A:K,11,0),"")</f>
        <v>73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9</v>
      </c>
      <c r="K991">
        <f>IFERROR(VLOOKUP(A991,库龄!B:L,10,0),0)</f>
        <v>61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70</v>
      </c>
    </row>
    <row r="992" spans="1:14">
      <c r="A992" s="3" t="s">
        <v>4124</v>
      </c>
      <c r="B992">
        <f>IFERROR(VLOOKUP(A992,管理亚马逊库存!A:K,11,0),"")</f>
        <v>12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2</v>
      </c>
      <c r="K992">
        <f>IFERROR(VLOOKUP(A992,库龄!B:L,10,0),0)</f>
        <v>10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12</v>
      </c>
    </row>
    <row r="993" spans="1:14">
      <c r="A993" s="3" t="s">
        <v>4128</v>
      </c>
      <c r="B993">
        <f>IFERROR(VLOOKUP(A993,管理亚马逊库存!A:K,11,0),"")</f>
        <v>4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4</v>
      </c>
      <c r="M993">
        <f>IFERROR(VLOOKUP(A993,库龄!B:N,12,0),0)</f>
        <v>0</v>
      </c>
      <c r="N993">
        <f t="shared" si="32"/>
        <v>4</v>
      </c>
    </row>
    <row r="994" spans="1:14">
      <c r="A994" s="3" t="s">
        <v>4131</v>
      </c>
      <c r="B994">
        <f>IFERROR(VLOOKUP(A994,管理亚马逊库存!A:K,11,0),"")</f>
        <v>1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4135</v>
      </c>
      <c r="B995">
        <f>IFERROR(VLOOKUP(A995,管理亚马逊库存!A:K,11,0),"")</f>
        <v>4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4</v>
      </c>
      <c r="M995">
        <f>IFERROR(VLOOKUP(A995,库龄!B:N,12,0),0)</f>
        <v>0</v>
      </c>
      <c r="N995">
        <f t="shared" si="32"/>
        <v>4</v>
      </c>
    </row>
    <row r="996" spans="1:14">
      <c r="A996" s="3" t="s">
        <v>4140</v>
      </c>
      <c r="B996">
        <f>IFERROR(VLOOKUP(A996,管理亚马逊库存!A:K,11,0),"")</f>
        <v>11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6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6</v>
      </c>
    </row>
    <row r="997" spans="1:14">
      <c r="A997" s="3" t="s">
        <v>4143</v>
      </c>
      <c r="B997">
        <f>IFERROR(VLOOKUP(A997,管理亚马逊库存!A:K,11,0),"")</f>
        <v>4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4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4</v>
      </c>
    </row>
    <row r="998" spans="1:14">
      <c r="A998" s="3" t="s">
        <v>4147</v>
      </c>
      <c r="B998">
        <f>IFERROR(VLOOKUP(A998,管理亚马逊库存!A:K,11,0),"")</f>
        <v>1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4151</v>
      </c>
      <c r="B999">
        <f>IFERROR(VLOOKUP(A999,管理亚马逊库存!A:K,11,0),"")</f>
        <v>10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4154</v>
      </c>
      <c r="B1000">
        <f>IFERROR(VLOOKUP(A1000,管理亚马逊库存!A:K,11,0),"")</f>
        <v>4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4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4</v>
      </c>
    </row>
    <row r="1001" spans="1:14">
      <c r="A1001" s="3" t="s">
        <v>4158</v>
      </c>
      <c r="B1001">
        <f>IFERROR(VLOOKUP(A1001,管理亚马逊库存!A:K,11,0),"")</f>
        <v>36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1</v>
      </c>
      <c r="K1001">
        <f>IFERROR(VLOOKUP(A1001,库龄!B:L,10,0),0)</f>
        <v>35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36</v>
      </c>
    </row>
    <row r="1002" spans="1:14">
      <c r="A1002" s="3" t="s">
        <v>4161</v>
      </c>
      <c r="B1002">
        <f>IFERROR(VLOOKUP(A1002,管理亚马逊库存!A:K,11,0),"")</f>
        <v>5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5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5</v>
      </c>
    </row>
    <row r="1003" spans="1:14">
      <c r="A1003" s="3" t="s">
        <v>4164</v>
      </c>
      <c r="B1003">
        <f>IFERROR(VLOOKUP(A1003,管理亚马逊库存!A:K,11,0),"")</f>
        <v>21</v>
      </c>
      <c r="C1003">
        <f>IFERROR(VLOOKUP(A1003,管理亚马逊库存!A:L,12,0),"")</f>
        <v>1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19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19</v>
      </c>
    </row>
    <row r="1004" spans="1:14">
      <c r="A1004" s="3" t="s">
        <v>4168</v>
      </c>
      <c r="B1004">
        <f>IFERROR(VLOOKUP(A1004,管理亚马逊库存!A:K,11,0),"")</f>
        <v>8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8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8</v>
      </c>
    </row>
    <row r="1005" spans="1:14">
      <c r="A1005" s="3" t="s">
        <v>4172</v>
      </c>
      <c r="B1005">
        <f>IFERROR(VLOOKUP(A1005,管理亚马逊库存!A:K,11,0),"")</f>
        <v>10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4177</v>
      </c>
      <c r="B1006">
        <f>IFERROR(VLOOKUP(A1006,管理亚马逊库存!A:K,11,0),"")</f>
        <v>10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4181</v>
      </c>
      <c r="B1007">
        <f>IFERROR(VLOOKUP(A1007,管理亚马逊库存!A:K,11,0),"")</f>
        <v>46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2</v>
      </c>
      <c r="K1007">
        <f>IFERROR(VLOOKUP(A1007,库龄!B:L,10,0),0)</f>
        <v>43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45</v>
      </c>
    </row>
    <row r="1008" spans="1:14">
      <c r="A1008" s="3" t="s">
        <v>4185</v>
      </c>
      <c r="B1008">
        <f>IFERROR(VLOOKUP(A1008,管理亚马逊库存!A:K,11,0),"")</f>
        <v>8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4188</v>
      </c>
      <c r="B1009">
        <f>IFERROR(VLOOKUP(A1009,管理亚马逊库存!A:K,11,0),"")</f>
        <v>3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2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2</v>
      </c>
    </row>
    <row r="1010" spans="1:14">
      <c r="A1010" s="3" t="s">
        <v>4192</v>
      </c>
      <c r="B1010">
        <f>IFERROR(VLOOKUP(A1010,管理亚马逊库存!A:K,11,0),"")</f>
        <v>18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4196</v>
      </c>
      <c r="B1011">
        <f>IFERROR(VLOOKUP(A1011,管理亚马逊库存!A:K,11,0),"")</f>
        <v>10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9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9</v>
      </c>
    </row>
    <row r="1012" spans="1:14">
      <c r="A1012" s="3" t="s">
        <v>4201</v>
      </c>
      <c r="B1012">
        <f>IFERROR(VLOOKUP(A1012,管理亚马逊库存!A:K,11,0),"")</f>
        <v>5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5</v>
      </c>
      <c r="M1012">
        <f>IFERROR(VLOOKUP(A1012,库龄!B:N,12,0),0)</f>
        <v>0</v>
      </c>
      <c r="N1012">
        <f t="shared" si="32"/>
        <v>5</v>
      </c>
    </row>
    <row r="1013" spans="1:14">
      <c r="A1013" s="3" t="s">
        <v>4205</v>
      </c>
      <c r="B1013">
        <f>IFERROR(VLOOKUP(A1013,管理亚马逊库存!A:K,11,0),"")</f>
        <v>22</v>
      </c>
      <c r="C1013">
        <f>IFERROR(VLOOKUP(A1013,管理亚马逊库存!A:L,12,0),"")</f>
        <v>1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4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4</v>
      </c>
    </row>
    <row r="1014" spans="1:14">
      <c r="A1014" s="3" t="s">
        <v>4209</v>
      </c>
      <c r="B1014">
        <f>IFERROR(VLOOKUP(A1014,管理亚马逊库存!A:K,11,0),"")</f>
        <v>1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4213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5</v>
      </c>
      <c r="E1015">
        <f>IFERROR(VLOOKUP(A1015,管理亚马逊库存!A:R,18,0),"")</f>
        <v>0</v>
      </c>
      <c r="F1015">
        <f t="shared" si="31"/>
        <v>5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4217</v>
      </c>
      <c r="B1016">
        <f>IFERROR(VLOOKUP(A1016,管理亚马逊库存!A:K,11,0),"")</f>
        <v>2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2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2</v>
      </c>
    </row>
    <row r="1017" spans="1:14">
      <c r="A1017" s="3" t="s">
        <v>4220</v>
      </c>
      <c r="B1017">
        <f>IFERROR(VLOOKUP(A1017,管理亚马逊库存!A:K,11,0),"")</f>
        <v>1</v>
      </c>
      <c r="C1017">
        <f>IFERROR(VLOOKUP(A1017,管理亚马逊库存!A:L,12,0),"")</f>
        <v>1</v>
      </c>
      <c r="D1017">
        <f>IFERROR(VLOOKUP(A1017,管理亚马逊库存!A:Q,17,0),"")</f>
        <v>11</v>
      </c>
      <c r="E1017">
        <f>IFERROR(VLOOKUP(A1017,管理亚马逊库存!A:R,18,0),"")</f>
        <v>0</v>
      </c>
      <c r="F1017">
        <f t="shared" si="31"/>
        <v>11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4223</v>
      </c>
      <c r="B1018">
        <f>IFERROR(VLOOKUP(A1018,管理亚马逊库存!A:K,11,0),"")</f>
        <v>13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4227</v>
      </c>
      <c r="B1019">
        <f>IFERROR(VLOOKUP(A1019,管理亚马逊库存!A:K,11,0),"")</f>
        <v>23</v>
      </c>
      <c r="C1019">
        <f>IFERROR(VLOOKUP(A1019,管理亚马逊库存!A:L,12,0),"")</f>
        <v>5</v>
      </c>
      <c r="D1019">
        <f>IFERROR(VLOOKUP(A1019,管理亚马逊库存!A:Q,17,0),"")</f>
        <v>4</v>
      </c>
      <c r="E1019">
        <f>IFERROR(VLOOKUP(A1019,管理亚马逊库存!A:R,18,0),"")</f>
        <v>0</v>
      </c>
      <c r="F1019">
        <f t="shared" si="31"/>
        <v>4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4231</v>
      </c>
      <c r="B1020">
        <f>IFERROR(VLOOKUP(A1020,管理亚马逊库存!A:K,11,0),"")</f>
        <v>23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4235</v>
      </c>
      <c r="B1021">
        <f>IFERROR(VLOOKUP(A1021,管理亚马逊库存!A:K,11,0),"")</f>
        <v>2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2</v>
      </c>
      <c r="M1021">
        <f>IFERROR(VLOOKUP(A1021,库龄!B:N,12,0),0)</f>
        <v>0</v>
      </c>
      <c r="N1021">
        <f t="shared" si="32"/>
        <v>2</v>
      </c>
    </row>
    <row r="1022" spans="1:14">
      <c r="A1022" s="3" t="s">
        <v>4238</v>
      </c>
      <c r="B1022">
        <f>IFERROR(VLOOKUP(A1022,管理亚马逊库存!A:K,11,0),"")</f>
        <v>0</v>
      </c>
      <c r="C1022">
        <f>IFERROR(VLOOKUP(A1022,管理亚马逊库存!A:L,12,0),"")</f>
        <v>1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4242</v>
      </c>
      <c r="B1023">
        <f>IFERROR(VLOOKUP(A1023,管理亚马逊库存!A:K,11,0),"")</f>
        <v>3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3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3</v>
      </c>
    </row>
    <row r="1024" spans="1:14">
      <c r="A1024" s="3" t="s">
        <v>4246</v>
      </c>
      <c r="B1024">
        <f>IFERROR(VLOOKUP(A1024,管理亚马逊库存!A:K,11,0),"")</f>
        <v>15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4249</v>
      </c>
      <c r="B1025">
        <f>IFERROR(VLOOKUP(A1025,管理亚马逊库存!A:K,11,0),"")</f>
        <v>8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1</v>
      </c>
      <c r="K1025">
        <f>IFERROR(VLOOKUP(A1025,库龄!B:L,10,0),0)</f>
        <v>7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8</v>
      </c>
    </row>
    <row r="1026" spans="1:14">
      <c r="A1026" s="3" t="s">
        <v>4253</v>
      </c>
      <c r="B1026">
        <f>IFERROR(VLOOKUP(A1026,管理亚马逊库存!A:K,11,0),"")</f>
        <v>0</v>
      </c>
      <c r="C1026">
        <f>IFERROR(VLOOKUP(A1026,管理亚马逊库存!A:L,12,0),"")</f>
        <v>1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4258</v>
      </c>
      <c r="B1027">
        <f>IFERROR(VLOOKUP(A1027,管理亚马逊库存!A:K,11,0),"")</f>
        <v>41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40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40</v>
      </c>
    </row>
    <row r="1028" spans="1:14">
      <c r="A1028" s="3" t="s">
        <v>4262</v>
      </c>
      <c r="B1028">
        <f>IFERROR(VLOOKUP(A1028,管理亚马逊库存!A:K,11,0),"")</f>
        <v>8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1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1</v>
      </c>
    </row>
    <row r="1029" spans="1:14">
      <c r="A1029" s="3" t="s">
        <v>4265</v>
      </c>
      <c r="B1029">
        <f>IFERROR(VLOOKUP(A1029,管理亚马逊库存!A:K,11,0),"")</f>
        <v>3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3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3</v>
      </c>
    </row>
    <row r="1030" spans="1:14">
      <c r="A1030" s="3" t="s">
        <v>4269</v>
      </c>
      <c r="B1030">
        <f>IFERROR(VLOOKUP(A1030,管理亚马逊库存!A:K,11,0),"")</f>
        <v>81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51</v>
      </c>
      <c r="K1030">
        <f>IFERROR(VLOOKUP(A1030,库龄!B:L,10,0),0)</f>
        <v>24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75</v>
      </c>
    </row>
    <row r="1031" spans="1:14">
      <c r="A1031" s="3" t="s">
        <v>4274</v>
      </c>
      <c r="B1031">
        <f>IFERROR(VLOOKUP(A1031,管理亚马逊库存!A:K,11,0),"")</f>
        <v>15</v>
      </c>
      <c r="C1031">
        <f>IFERROR(VLOOKUP(A1031,管理亚马逊库存!A:L,12,0),"")</f>
        <v>1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4277</v>
      </c>
      <c r="B1032">
        <f>IFERROR(VLOOKUP(A1032,管理亚马逊库存!A:K,11,0),"")</f>
        <v>8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1</v>
      </c>
      <c r="K1032">
        <f>IFERROR(VLOOKUP(A1032,库龄!B:L,10,0),0)</f>
        <v>7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8</v>
      </c>
    </row>
    <row r="1033" spans="1:14">
      <c r="A1033" s="3" t="s">
        <v>4282</v>
      </c>
      <c r="B1033">
        <f>IFERROR(VLOOKUP(A1033,管理亚马逊库存!A:K,11,0),"")</f>
        <v>0</v>
      </c>
      <c r="C1033">
        <f>IFERROR(VLOOKUP(A1033,管理亚马逊库存!A:L,12,0),"")</f>
        <v>2</v>
      </c>
      <c r="D1033">
        <f>IFERROR(VLOOKUP(A1033,管理亚马逊库存!A:Q,17,0),"")</f>
        <v>36</v>
      </c>
      <c r="E1033">
        <f>IFERROR(VLOOKUP(A1033,管理亚马逊库存!A:R,18,0),"")</f>
        <v>0</v>
      </c>
      <c r="F1033">
        <f t="shared" si="33"/>
        <v>36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4286</v>
      </c>
      <c r="B1034">
        <f>IFERROR(VLOOKUP(A1034,管理亚马逊库存!A:K,11,0),"")</f>
        <v>2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2</v>
      </c>
      <c r="M1034">
        <f>IFERROR(VLOOKUP(A1034,库龄!B:N,12,0),0)</f>
        <v>0</v>
      </c>
      <c r="N1034">
        <f t="shared" si="34"/>
        <v>2</v>
      </c>
    </row>
    <row r="1035" spans="1:14">
      <c r="A1035" s="3" t="s">
        <v>4290</v>
      </c>
      <c r="B1035">
        <f>IFERROR(VLOOKUP(A1035,管理亚马逊库存!A:K,11,0),"")</f>
        <v>11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11</v>
      </c>
      <c r="M1035">
        <f>IFERROR(VLOOKUP(A1035,库龄!B:N,12,0),0)</f>
        <v>0</v>
      </c>
      <c r="N1035">
        <f t="shared" si="34"/>
        <v>11</v>
      </c>
    </row>
    <row r="1036" spans="1:14">
      <c r="A1036" s="3" t="s">
        <v>4294</v>
      </c>
      <c r="B1036">
        <f>IFERROR(VLOOKUP(A1036,管理亚马逊库存!A:K,11,0),"")</f>
        <v>11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11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11</v>
      </c>
    </row>
    <row r="1037" spans="1:14">
      <c r="A1037" s="3" t="s">
        <v>4298</v>
      </c>
      <c r="B1037">
        <f>IFERROR(VLOOKUP(A1037,管理亚马逊库存!A:K,11,0),"")</f>
        <v>15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4301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4305</v>
      </c>
      <c r="B1039">
        <f>IFERROR(VLOOKUP(A1039,管理亚马逊库存!A:K,11,0),"")</f>
        <v>50</v>
      </c>
      <c r="C1039">
        <f>IFERROR(VLOOKUP(A1039,管理亚马逊库存!A:L,12,0),"")</f>
        <v>1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3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3</v>
      </c>
    </row>
    <row r="1040" spans="1:14">
      <c r="A1040" s="3" t="s">
        <v>4309</v>
      </c>
      <c r="B1040">
        <f>IFERROR(VLOOKUP(A1040,管理亚马逊库存!A:K,11,0),"")</f>
        <v>8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2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2</v>
      </c>
    </row>
    <row r="1041" spans="1:14">
      <c r="A1041" s="3" t="s">
        <v>4313</v>
      </c>
      <c r="B1041">
        <f>IFERROR(VLOOKUP(A1041,管理亚马逊库存!A:K,11,0),"")</f>
        <v>5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5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5</v>
      </c>
    </row>
    <row r="1042" spans="1:14">
      <c r="A1042" s="3" t="s">
        <v>4318</v>
      </c>
      <c r="B1042">
        <f>IFERROR(VLOOKUP(A1042,管理亚马逊库存!A:K,11,0),"")</f>
        <v>1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4322</v>
      </c>
      <c r="B1043">
        <f>IFERROR(VLOOKUP(A1043,管理亚马逊库存!A:K,11,0),"")</f>
        <v>35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35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35</v>
      </c>
    </row>
    <row r="1044" spans="1:14">
      <c r="A1044" s="3" t="s">
        <v>4326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4330</v>
      </c>
      <c r="B1045">
        <f>IFERROR(VLOOKUP(A1045,管理亚马逊库存!A:K,11,0),"")</f>
        <v>9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9</v>
      </c>
      <c r="N1045">
        <f t="shared" si="34"/>
        <v>9</v>
      </c>
    </row>
    <row r="1046" spans="1:14">
      <c r="A1046" s="3" t="s">
        <v>4336</v>
      </c>
      <c r="B1046">
        <f>IFERROR(VLOOKUP(A1046,管理亚马逊库存!A:K,11,0),"")</f>
        <v>10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10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10</v>
      </c>
    </row>
    <row r="1047" spans="1:14">
      <c r="A1047" s="3" t="s">
        <v>4340</v>
      </c>
      <c r="B1047">
        <f>IFERROR(VLOOKUP(A1047,管理亚马逊库存!A:K,11,0),"")</f>
        <v>0</v>
      </c>
      <c r="C1047">
        <f>IFERROR(VLOOKUP(A1047,管理亚马逊库存!A:L,12,0),"")</f>
        <v>2</v>
      </c>
      <c r="D1047">
        <f>IFERROR(VLOOKUP(A1047,管理亚马逊库存!A:Q,17,0),"")</f>
        <v>0</v>
      </c>
      <c r="E1047">
        <f>IFERROR(VLOOKUP(A1047,管理亚马逊库存!A:R,18,0),"")</f>
        <v>5</v>
      </c>
      <c r="F1047">
        <f t="shared" si="33"/>
        <v>5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4344</v>
      </c>
      <c r="B1048">
        <f>IFERROR(VLOOKUP(A1048,管理亚马逊库存!A:K,11,0),"")</f>
        <v>14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11</v>
      </c>
      <c r="K1048">
        <f>IFERROR(VLOOKUP(A1048,库龄!B:L,10,0),0)</f>
        <v>1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12</v>
      </c>
    </row>
    <row r="1049" spans="1:14">
      <c r="A1049" s="3" t="s">
        <v>4348</v>
      </c>
      <c r="B1049">
        <f>IFERROR(VLOOKUP(A1049,管理亚马逊库存!A:K,11,0),"")</f>
        <v>8</v>
      </c>
      <c r="C1049">
        <f>IFERROR(VLOOKUP(A1049,管理亚马逊库存!A:L,12,0),"")</f>
        <v>1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4353</v>
      </c>
      <c r="B1050">
        <f>IFERROR(VLOOKUP(A1050,管理亚马逊库存!A:K,11,0),"")</f>
        <v>15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4356</v>
      </c>
      <c r="B1051">
        <f>IFERROR(VLOOKUP(A1051,管理亚马逊库存!A:K,11,0),"")</f>
        <v>14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4360</v>
      </c>
      <c r="B1052">
        <f>IFERROR(VLOOKUP(A1052,管理亚马逊库存!A:K,11,0),"")</f>
        <v>6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5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5</v>
      </c>
    </row>
    <row r="1053" spans="1:14">
      <c r="A1053" s="3" t="s">
        <v>4364</v>
      </c>
      <c r="B1053">
        <f>IFERROR(VLOOKUP(A1053,管理亚马逊库存!A:K,11,0),"")</f>
        <v>15</v>
      </c>
      <c r="C1053">
        <f>IFERROR(VLOOKUP(A1053,管理亚马逊库存!A:L,12,0),"")</f>
        <v>3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4368</v>
      </c>
      <c r="B1054">
        <f>IFERROR(VLOOKUP(A1054,管理亚马逊库存!A:K,11,0),"")</f>
        <v>14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4372</v>
      </c>
      <c r="B1055">
        <f>IFERROR(VLOOKUP(A1055,管理亚马逊库存!A:K,11,0),"")</f>
        <v>2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4375</v>
      </c>
      <c r="B1056">
        <f>IFERROR(VLOOKUP(A1056,管理亚马逊库存!A:K,11,0),"")</f>
        <v>35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25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25</v>
      </c>
    </row>
    <row r="1057" spans="1:14">
      <c r="A1057" s="3" t="s">
        <v>4379</v>
      </c>
      <c r="B1057">
        <f>IFERROR(VLOOKUP(A1057,管理亚马逊库存!A:K,11,0),"")</f>
        <v>15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4383</v>
      </c>
      <c r="B1058">
        <f>IFERROR(VLOOKUP(A1058,管理亚马逊库存!A:K,11,0),"")</f>
        <v>1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4387</v>
      </c>
      <c r="B1059">
        <f>IFERROR(VLOOKUP(A1059,管理亚马逊库存!A:K,11,0),"")</f>
        <v>41</v>
      </c>
      <c r="C1059">
        <f>IFERROR(VLOOKUP(A1059,管理亚马逊库存!A:L,12,0),"")</f>
        <v>6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16</v>
      </c>
      <c r="K1059">
        <f>IFERROR(VLOOKUP(A1059,库龄!B:L,10,0),0)</f>
        <v>22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38</v>
      </c>
    </row>
    <row r="1060" spans="1:14">
      <c r="A1060" s="3" t="s">
        <v>4391</v>
      </c>
      <c r="B1060">
        <f>IFERROR(VLOOKUP(A1060,管理亚马逊库存!A:K,11,0),"")</f>
        <v>9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1</v>
      </c>
      <c r="K1060">
        <f>IFERROR(VLOOKUP(A1060,库龄!B:L,10,0),0)</f>
        <v>0</v>
      </c>
      <c r="L1060">
        <f>IFERROR(VLOOKUP(A1060,库龄!B:M,11,0),0)</f>
        <v>7</v>
      </c>
      <c r="M1060">
        <f>IFERROR(VLOOKUP(A1060,库龄!B:N,12,0),0)</f>
        <v>0</v>
      </c>
      <c r="N1060">
        <f t="shared" si="34"/>
        <v>8</v>
      </c>
    </row>
    <row r="1061" spans="1:14">
      <c r="A1061" s="3" t="s">
        <v>4395</v>
      </c>
      <c r="B1061">
        <f>IFERROR(VLOOKUP(A1061,管理亚马逊库存!A:K,11,0),"")</f>
        <v>1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1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1</v>
      </c>
    </row>
    <row r="1062" spans="1:14">
      <c r="A1062" s="3" t="s">
        <v>4399</v>
      </c>
      <c r="B1062">
        <f>IFERROR(VLOOKUP(A1062,管理亚马逊库存!A:K,11,0),"")</f>
        <v>10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4402</v>
      </c>
      <c r="B1063">
        <f>IFERROR(VLOOKUP(A1063,管理亚马逊库存!A:K,11,0),"")</f>
        <v>39</v>
      </c>
      <c r="C1063">
        <f>IFERROR(VLOOKUP(A1063,管理亚马逊库存!A:L,12,0),"")</f>
        <v>5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4407</v>
      </c>
      <c r="B1064">
        <f>IFERROR(VLOOKUP(A1064,管理亚马逊库存!A:K,11,0),"")</f>
        <v>113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7</v>
      </c>
      <c r="K1064">
        <f>IFERROR(VLOOKUP(A1064,库龄!B:L,10,0),0)</f>
        <v>102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109</v>
      </c>
    </row>
    <row r="1065" spans="1:14">
      <c r="A1065" s="3" t="s">
        <v>4412</v>
      </c>
      <c r="B1065">
        <f>IFERROR(VLOOKUP(A1065,管理亚马逊库存!A:K,11,0),"")</f>
        <v>9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2</v>
      </c>
      <c r="K1065">
        <f>IFERROR(VLOOKUP(A1065,库龄!B:L,10,0),0)</f>
        <v>0</v>
      </c>
      <c r="L1065">
        <f>IFERROR(VLOOKUP(A1065,库龄!B:M,11,0),0)</f>
        <v>6</v>
      </c>
      <c r="M1065">
        <f>IFERROR(VLOOKUP(A1065,库龄!B:N,12,0),0)</f>
        <v>0</v>
      </c>
      <c r="N1065">
        <f t="shared" si="34"/>
        <v>8</v>
      </c>
    </row>
    <row r="1066" spans="1:14">
      <c r="A1066" s="3" t="s">
        <v>4416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1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1</v>
      </c>
    </row>
    <row r="1067" spans="1:14">
      <c r="A1067" s="3" t="s">
        <v>4420</v>
      </c>
      <c r="B1067">
        <f>IFERROR(VLOOKUP(A1067,管理亚马逊库存!A:K,11,0),"")</f>
        <v>15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4423</v>
      </c>
      <c r="B1068">
        <f>IFERROR(VLOOKUP(A1068,管理亚马逊库存!A:K,11,0),"")</f>
        <v>8</v>
      </c>
      <c r="C1068">
        <f>IFERROR(VLOOKUP(A1068,管理亚马逊库存!A:L,12,0),"")</f>
        <v>1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4426</v>
      </c>
      <c r="B1069">
        <f>IFERROR(VLOOKUP(A1069,管理亚马逊库存!A:K,11,0),"")</f>
        <v>16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4430</v>
      </c>
      <c r="B1070">
        <f>IFERROR(VLOOKUP(A1070,管理亚马逊库存!A:K,11,0),"")</f>
        <v>28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4434</v>
      </c>
      <c r="B1071">
        <f>IFERROR(VLOOKUP(A1071,管理亚马逊库存!A:K,11,0),"")</f>
        <v>54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50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50</v>
      </c>
    </row>
    <row r="1072" spans="1:14">
      <c r="A1072" s="3" t="s">
        <v>4440</v>
      </c>
      <c r="B1072">
        <f>IFERROR(VLOOKUP(A1072,管理亚马逊库存!A:K,11,0),"")</f>
        <v>10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4443</v>
      </c>
      <c r="B1073">
        <f>IFERROR(VLOOKUP(A1073,管理亚马逊库存!A:K,11,0),"")</f>
        <v>1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1</v>
      </c>
      <c r="N1073">
        <f t="shared" si="34"/>
        <v>1</v>
      </c>
    </row>
    <row r="1074" spans="1:14">
      <c r="A1074" s="3" t="s">
        <v>4448</v>
      </c>
      <c r="B1074">
        <f>IFERROR(VLOOKUP(A1074,管理亚马逊库存!A:K,11,0),"")</f>
        <v>3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1</v>
      </c>
      <c r="K1074">
        <f>IFERROR(VLOOKUP(A1074,库龄!B:L,10,0),0)</f>
        <v>2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3</v>
      </c>
    </row>
    <row r="1075" spans="1:14">
      <c r="A1075" s="3" t="s">
        <v>4452</v>
      </c>
      <c r="B1075">
        <f>IFERROR(VLOOKUP(A1075,管理亚马逊库存!A:K,11,0),"")</f>
        <v>1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4455</v>
      </c>
      <c r="B1076">
        <f>IFERROR(VLOOKUP(A1076,管理亚马逊库存!A:K,11,0),"")</f>
        <v>2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4459</v>
      </c>
      <c r="B1077">
        <f>IFERROR(VLOOKUP(A1077,管理亚马逊库存!A:K,11,0),"")</f>
        <v>10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4462</v>
      </c>
      <c r="B1078">
        <f>IFERROR(VLOOKUP(A1078,管理亚马逊库存!A:K,11,0),"")</f>
        <v>0</v>
      </c>
      <c r="C1078">
        <f>IFERROR(VLOOKUP(A1078,管理亚马逊库存!A:L,12,0),"")</f>
        <v>1</v>
      </c>
      <c r="D1078">
        <f>IFERROR(VLOOKUP(A1078,管理亚马逊库存!A:Q,17,0),"")</f>
        <v>5</v>
      </c>
      <c r="E1078">
        <f>IFERROR(VLOOKUP(A1078,管理亚马逊库存!A:R,18,0),"")</f>
        <v>0</v>
      </c>
      <c r="F1078">
        <f t="shared" si="33"/>
        <v>5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4465</v>
      </c>
      <c r="B1079">
        <f>IFERROR(VLOOKUP(A1079,管理亚马逊库存!A:K,11,0),"")</f>
        <v>4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4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4</v>
      </c>
    </row>
    <row r="1080" spans="1:14">
      <c r="A1080" s="3" t="s">
        <v>4468</v>
      </c>
      <c r="B1080">
        <f>IFERROR(VLOOKUP(A1080,管理亚马逊库存!A:K,11,0),"")</f>
        <v>14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4472</v>
      </c>
      <c r="B1081">
        <f>IFERROR(VLOOKUP(A1081,管理亚马逊库存!A:K,11,0),"")</f>
        <v>3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1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1</v>
      </c>
    </row>
    <row r="1082" spans="1:14">
      <c r="A1082" s="3" t="s">
        <v>4475</v>
      </c>
      <c r="B1082">
        <f>IFERROR(VLOOKUP(A1082,管理亚马逊库存!A:K,11,0),"")</f>
        <v>9</v>
      </c>
      <c r="C1082">
        <f>IFERROR(VLOOKUP(A1082,管理亚马逊库存!A:L,12,0),"")</f>
        <v>1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4479</v>
      </c>
      <c r="B1083">
        <f>IFERROR(VLOOKUP(A1083,管理亚马逊库存!A:K,11,0),"")</f>
        <v>18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1</v>
      </c>
      <c r="K1083">
        <f>IFERROR(VLOOKUP(A1083,库龄!B:L,10,0),0)</f>
        <v>17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18</v>
      </c>
    </row>
    <row r="1084" spans="1:14">
      <c r="A1084" s="3" t="s">
        <v>4482</v>
      </c>
      <c r="B1084">
        <f>IFERROR(VLOOKUP(A1084,管理亚马逊库存!A:K,11,0),"")</f>
        <v>2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2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2</v>
      </c>
    </row>
    <row r="1085" spans="1:14">
      <c r="A1085" s="3" t="s">
        <v>4486</v>
      </c>
      <c r="B1085">
        <f>IFERROR(VLOOKUP(A1085,管理亚马逊库存!A:K,11,0),"")</f>
        <v>1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20</v>
      </c>
      <c r="F1085">
        <f t="shared" si="33"/>
        <v>20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4490</v>
      </c>
      <c r="B1086">
        <f>IFERROR(VLOOKUP(A1086,管理亚马逊库存!A:K,11,0),"")</f>
        <v>10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4495</v>
      </c>
      <c r="B1087">
        <f>IFERROR(VLOOKUP(A1087,管理亚马逊库存!A:K,11,0),"")</f>
        <v>15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4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4</v>
      </c>
    </row>
    <row r="1088" spans="1:14">
      <c r="A1088" s="3" t="s">
        <v>4498</v>
      </c>
      <c r="B1088">
        <f>IFERROR(VLOOKUP(A1088,管理亚马逊库存!A:K,11,0),"")</f>
        <v>3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5</v>
      </c>
      <c r="N1088">
        <f t="shared" si="34"/>
        <v>5</v>
      </c>
    </row>
    <row r="1089" spans="1:14">
      <c r="A1089" s="3" t="s">
        <v>4501</v>
      </c>
      <c r="B1089">
        <f>IFERROR(VLOOKUP(A1089,管理亚马逊库存!A:K,11,0),"")</f>
        <v>53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7</v>
      </c>
      <c r="K1089">
        <f>IFERROR(VLOOKUP(A1089,库龄!B:L,10,0),0)</f>
        <v>45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52</v>
      </c>
    </row>
    <row r="1090" spans="1:14">
      <c r="A1090" s="3" t="s">
        <v>4504</v>
      </c>
      <c r="B1090">
        <f>IFERROR(VLOOKUP(A1090,管理亚马逊库存!A:K,11,0),"")</f>
        <v>3</v>
      </c>
      <c r="C1090">
        <f>IFERROR(VLOOKUP(A1090,管理亚马逊库存!A:L,12,0),"")</f>
        <v>1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3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3</v>
      </c>
    </row>
    <row r="1091" spans="1:14">
      <c r="A1091" s="3" t="s">
        <v>4508</v>
      </c>
      <c r="B1091">
        <f>IFERROR(VLOOKUP(A1091,管理亚马逊库存!A:K,11,0),"")</f>
        <v>15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4511</v>
      </c>
      <c r="B1092">
        <f>IFERROR(VLOOKUP(A1092,管理亚马逊库存!A:K,11,0),"")</f>
        <v>23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4515</v>
      </c>
      <c r="B1093">
        <f>IFERROR(VLOOKUP(A1093,管理亚马逊库存!A:K,11,0),"")</f>
        <v>14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4519</v>
      </c>
      <c r="B1094">
        <f>IFERROR(VLOOKUP(A1094,管理亚马逊库存!A:K,11,0),"")</f>
        <v>11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11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11</v>
      </c>
    </row>
    <row r="1095" spans="1:14">
      <c r="A1095" s="3" t="s">
        <v>4522</v>
      </c>
      <c r="B1095">
        <f>IFERROR(VLOOKUP(A1095,管理亚马逊库存!A:K,11,0),"")</f>
        <v>7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2</v>
      </c>
      <c r="K1095">
        <f>IFERROR(VLOOKUP(A1095,库龄!B:L,10,0),0)</f>
        <v>5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7</v>
      </c>
    </row>
    <row r="1096" spans="1:14">
      <c r="A1096" s="3" t="s">
        <v>4526</v>
      </c>
      <c r="B1096">
        <f>IFERROR(VLOOKUP(A1096,管理亚马逊库存!A:K,11,0),"")</f>
        <v>88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6</v>
      </c>
      <c r="K1096">
        <f>IFERROR(VLOOKUP(A1096,库龄!B:L,10,0),0)</f>
        <v>81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87</v>
      </c>
    </row>
    <row r="1097" spans="1:14">
      <c r="A1097" s="3" t="s">
        <v>4530</v>
      </c>
      <c r="B1097">
        <f>IFERROR(VLOOKUP(A1097,管理亚马逊库存!A:K,11,0),"")</f>
        <v>1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4532</v>
      </c>
      <c r="B1098">
        <f>IFERROR(VLOOKUP(A1098,管理亚马逊库存!A:K,11,0),"")</f>
        <v>28</v>
      </c>
      <c r="C1098">
        <f>IFERROR(VLOOKUP(A1098,管理亚马逊库存!A:L,12,0),"")</f>
        <v>3</v>
      </c>
      <c r="D1098">
        <f>IFERROR(VLOOKUP(A1098,管理亚马逊库存!A:Q,17,0),"")</f>
        <v>10</v>
      </c>
      <c r="E1098">
        <f>IFERROR(VLOOKUP(A1098,管理亚马逊库存!A:R,18,0),"")</f>
        <v>0</v>
      </c>
      <c r="F1098">
        <f t="shared" si="35"/>
        <v>10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4537</v>
      </c>
      <c r="B1099">
        <f>IFERROR(VLOOKUP(A1099,管理亚马逊库存!A:K,11,0),"")</f>
        <v>18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4541</v>
      </c>
      <c r="B1100">
        <f>IFERROR(VLOOKUP(A1100,管理亚马逊库存!A:K,11,0),"")</f>
        <v>7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6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6</v>
      </c>
    </row>
    <row r="1101" spans="1:14">
      <c r="A1101" s="3" t="s">
        <v>4545</v>
      </c>
      <c r="B1101">
        <f>IFERROR(VLOOKUP(A1101,管理亚马逊库存!A:K,11,0),"")</f>
        <v>13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4548</v>
      </c>
      <c r="B1102">
        <f>IFERROR(VLOOKUP(A1102,管理亚马逊库存!A:K,11,0),"")</f>
        <v>4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4</v>
      </c>
      <c r="M1102">
        <f>IFERROR(VLOOKUP(A1102,库龄!B:N,12,0),0)</f>
        <v>0</v>
      </c>
      <c r="N1102">
        <f t="shared" si="36"/>
        <v>4</v>
      </c>
    </row>
    <row r="1103" spans="1:14">
      <c r="A1103" s="3" t="s">
        <v>4552</v>
      </c>
      <c r="B1103">
        <f>IFERROR(VLOOKUP(A1103,管理亚马逊库存!A:K,11,0),"")</f>
        <v>9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4556</v>
      </c>
      <c r="B1104">
        <f>IFERROR(VLOOKUP(A1104,管理亚马逊库存!A:K,11,0),"")</f>
        <v>1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1</v>
      </c>
      <c r="M1104">
        <f>IFERROR(VLOOKUP(A1104,库龄!B:N,12,0),0)</f>
        <v>0</v>
      </c>
      <c r="N1104">
        <f t="shared" si="36"/>
        <v>1</v>
      </c>
    </row>
    <row r="1105" spans="1:14">
      <c r="A1105" s="3" t="s">
        <v>4560</v>
      </c>
      <c r="B1105">
        <f>IFERROR(VLOOKUP(A1105,管理亚马逊库存!A:K,11,0),"")</f>
        <v>7</v>
      </c>
      <c r="C1105">
        <f>IFERROR(VLOOKUP(A1105,管理亚马逊库存!A:L,12,0),"")</f>
        <v>1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4563</v>
      </c>
      <c r="B1106">
        <f>IFERROR(VLOOKUP(A1106,管理亚马逊库存!A:K,11,0),"")</f>
        <v>9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4566</v>
      </c>
      <c r="B1107">
        <f>IFERROR(VLOOKUP(A1107,管理亚马逊库存!A:K,11,0),"")</f>
        <v>14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4569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4573</v>
      </c>
      <c r="B1109">
        <f>IFERROR(VLOOKUP(A1109,管理亚马逊库存!A:K,11,0),"")</f>
        <v>1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4577</v>
      </c>
      <c r="B1110">
        <f>IFERROR(VLOOKUP(A1110,管理亚马逊库存!A:K,11,0),"")</f>
        <v>61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3</v>
      </c>
      <c r="K1110">
        <f>IFERROR(VLOOKUP(A1110,库龄!B:L,10,0),0)</f>
        <v>51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54</v>
      </c>
    </row>
    <row r="1111" spans="1:14">
      <c r="A1111" s="3" t="s">
        <v>4581</v>
      </c>
      <c r="B1111">
        <f>IFERROR(VLOOKUP(A1111,管理亚马逊库存!A:K,11,0),"")</f>
        <v>8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8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8</v>
      </c>
    </row>
    <row r="1112" spans="1:14">
      <c r="A1112" s="3" t="s">
        <v>4585</v>
      </c>
      <c r="B1112">
        <f>IFERROR(VLOOKUP(A1112,管理亚马逊库存!A:K,11,0),"")</f>
        <v>1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1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1</v>
      </c>
    </row>
    <row r="1113" spans="1:14">
      <c r="A1113" s="3" t="s">
        <v>4589</v>
      </c>
      <c r="B1113">
        <f>IFERROR(VLOOKUP(A1113,管理亚马逊库存!A:K,11,0),"")</f>
        <v>19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12</v>
      </c>
      <c r="L1113">
        <f>IFERROR(VLOOKUP(A1113,库龄!B:M,11,0),0)</f>
        <v>6</v>
      </c>
      <c r="M1113">
        <f>IFERROR(VLOOKUP(A1113,库龄!B:N,12,0),0)</f>
        <v>0</v>
      </c>
      <c r="N1113">
        <f t="shared" si="36"/>
        <v>18</v>
      </c>
    </row>
    <row r="1114" spans="1:14">
      <c r="A1114" s="3" t="s">
        <v>4592</v>
      </c>
      <c r="B1114">
        <f>IFERROR(VLOOKUP(A1114,管理亚马逊库存!A:K,11,0),"")</f>
        <v>10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4595</v>
      </c>
      <c r="B1115">
        <f>IFERROR(VLOOKUP(A1115,管理亚马逊库存!A:K,11,0),"")</f>
        <v>17</v>
      </c>
      <c r="C1115">
        <f>IFERROR(VLOOKUP(A1115,管理亚马逊库存!A:L,12,0),"")</f>
        <v>2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4599</v>
      </c>
      <c r="B1116">
        <f>IFERROR(VLOOKUP(A1116,管理亚马逊库存!A:K,11,0),"")</f>
        <v>10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10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10</v>
      </c>
    </row>
    <row r="1117" spans="1:14">
      <c r="A1117" s="3" t="s">
        <v>4603</v>
      </c>
      <c r="B1117">
        <f>IFERROR(VLOOKUP(A1117,管理亚马逊库存!A:K,11,0),"")</f>
        <v>2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2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2</v>
      </c>
    </row>
    <row r="1118" spans="1:14">
      <c r="A1118" s="3" t="s">
        <v>4607</v>
      </c>
      <c r="B1118">
        <f>IFERROR(VLOOKUP(A1118,管理亚马逊库存!A:K,11,0),"")</f>
        <v>10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4610</v>
      </c>
      <c r="B1119">
        <f>IFERROR(VLOOKUP(A1119,管理亚马逊库存!A:K,11,0),"")</f>
        <v>5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2</v>
      </c>
      <c r="K1119">
        <f>IFERROR(VLOOKUP(A1119,库龄!B:L,10,0),0)</f>
        <v>1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3</v>
      </c>
    </row>
    <row r="1120" spans="1:14">
      <c r="A1120" s="3" t="s">
        <v>4614</v>
      </c>
      <c r="B1120">
        <f>IFERROR(VLOOKUP(A1120,管理亚马逊库存!A:K,11,0),"")</f>
        <v>3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3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3</v>
      </c>
    </row>
    <row r="1121" spans="1:14">
      <c r="A1121" s="3" t="s">
        <v>4619</v>
      </c>
      <c r="B1121">
        <f>IFERROR(VLOOKUP(A1121,管理亚马逊库存!A:K,11,0),"")</f>
        <v>74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14</v>
      </c>
      <c r="K1121">
        <f>IFERROR(VLOOKUP(A1121,库龄!B:L,10,0),0)</f>
        <v>49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63</v>
      </c>
    </row>
    <row r="1122" spans="1:14">
      <c r="A1122" s="3" t="s">
        <v>4623</v>
      </c>
      <c r="B1122">
        <f>IFERROR(VLOOKUP(A1122,管理亚马逊库存!A:K,11,0),"")</f>
        <v>0</v>
      </c>
      <c r="C1122">
        <f>IFERROR(VLOOKUP(A1122,管理亚马逊库存!A:L,12,0),"")</f>
        <v>3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4627</v>
      </c>
      <c r="B1123">
        <f>IFERROR(VLOOKUP(A1123,管理亚马逊库存!A:K,11,0),"")</f>
        <v>1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4631</v>
      </c>
      <c r="B1124">
        <f>IFERROR(VLOOKUP(A1124,管理亚马逊库存!A:K,11,0),"")</f>
        <v>0</v>
      </c>
      <c r="C1124">
        <f>IFERROR(VLOOKUP(A1124,管理亚马逊库存!A:L,12,0),"")</f>
        <v>3</v>
      </c>
      <c r="D1124">
        <f>IFERROR(VLOOKUP(A1124,管理亚马逊库存!A:Q,17,0),"")</f>
        <v>9</v>
      </c>
      <c r="E1124">
        <f>IFERROR(VLOOKUP(A1124,管理亚马逊库存!A:R,18,0),"")</f>
        <v>0</v>
      </c>
      <c r="F1124">
        <f t="shared" si="35"/>
        <v>9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4636</v>
      </c>
      <c r="B1125">
        <f>IFERROR(VLOOKUP(A1125,管理亚马逊库存!A:K,11,0),"")</f>
        <v>15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4640</v>
      </c>
      <c r="B1126">
        <f>IFERROR(VLOOKUP(A1126,管理亚马逊库存!A:K,11,0),"")</f>
        <v>127</v>
      </c>
      <c r="C1126">
        <f>IFERROR(VLOOKUP(A1126,管理亚马逊库存!A:L,12,0),"")</f>
        <v>2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34</v>
      </c>
      <c r="K1126">
        <f>IFERROR(VLOOKUP(A1126,库龄!B:L,10,0),0)</f>
        <v>79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113</v>
      </c>
    </row>
    <row r="1127" spans="1:14">
      <c r="A1127" s="3" t="s">
        <v>4644</v>
      </c>
      <c r="B1127">
        <f>IFERROR(VLOOKUP(A1127,管理亚马逊库存!A:K,11,0),"")</f>
        <v>2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4648</v>
      </c>
      <c r="B1128">
        <f>IFERROR(VLOOKUP(A1128,管理亚马逊库存!A:K,11,0),"")</f>
        <v>47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12</v>
      </c>
      <c r="K1128">
        <f>IFERROR(VLOOKUP(A1128,库龄!B:L,10,0),0)</f>
        <v>34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46</v>
      </c>
    </row>
    <row r="1129" spans="1:14">
      <c r="A1129" s="3" t="s">
        <v>4652</v>
      </c>
      <c r="B1129">
        <f>IFERROR(VLOOKUP(A1129,管理亚马逊库存!A:K,11,0),"")</f>
        <v>3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2</v>
      </c>
      <c r="K1129">
        <f>IFERROR(VLOOKUP(A1129,库龄!B:L,10,0),0)</f>
        <v>1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3</v>
      </c>
    </row>
    <row r="1130" spans="1:14">
      <c r="A1130" s="3" t="s">
        <v>4655</v>
      </c>
      <c r="B1130">
        <f>IFERROR(VLOOKUP(A1130,管理亚马逊库存!A:K,11,0),"")</f>
        <v>12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1</v>
      </c>
      <c r="K1130">
        <f>IFERROR(VLOOKUP(A1130,库龄!B:L,10,0),0)</f>
        <v>1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2</v>
      </c>
    </row>
    <row r="1131" spans="1:14">
      <c r="A1131" s="3" t="s">
        <v>4659</v>
      </c>
      <c r="B1131">
        <f>IFERROR(VLOOKUP(A1131,管理亚马逊库存!A:K,11,0),"")</f>
        <v>2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2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2</v>
      </c>
    </row>
    <row r="1132" spans="1:14">
      <c r="A1132" s="3" t="s">
        <v>4662</v>
      </c>
      <c r="B1132">
        <f>IFERROR(VLOOKUP(A1132,管理亚马逊库存!A:K,11,0),"")</f>
        <v>2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2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2</v>
      </c>
    </row>
    <row r="1133" spans="1:14">
      <c r="A1133" s="3" t="s">
        <v>4666</v>
      </c>
      <c r="B1133">
        <f>IFERROR(VLOOKUP(A1133,管理亚马逊库存!A:K,11,0),"")</f>
        <v>10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4669</v>
      </c>
      <c r="B1134">
        <f>IFERROR(VLOOKUP(A1134,管理亚马逊库存!A:K,11,0),"")</f>
        <v>41</v>
      </c>
      <c r="C1134">
        <f>IFERROR(VLOOKUP(A1134,管理亚马逊库存!A:L,12,0),"")</f>
        <v>4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4673</v>
      </c>
      <c r="B1135">
        <f>IFERROR(VLOOKUP(A1135,管理亚马逊库存!A:K,11,0),"")</f>
        <v>1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1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1</v>
      </c>
    </row>
    <row r="1136" spans="1:14">
      <c r="A1136" s="3" t="s">
        <v>4677</v>
      </c>
      <c r="B1136">
        <f>IFERROR(VLOOKUP(A1136,管理亚马逊库存!A:K,11,0),"")</f>
        <v>21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1</v>
      </c>
      <c r="K1136">
        <f>IFERROR(VLOOKUP(A1136,库龄!B:L,10,0),0)</f>
        <v>20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21</v>
      </c>
    </row>
    <row r="1137" spans="1:14">
      <c r="A1137" s="3" t="s">
        <v>4681</v>
      </c>
      <c r="B1137">
        <f>IFERROR(VLOOKUP(A1137,管理亚马逊库存!A:K,11,0),"")</f>
        <v>9</v>
      </c>
      <c r="C1137">
        <f>IFERROR(VLOOKUP(A1137,管理亚马逊库存!A:L,12,0),"")</f>
        <v>1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4686</v>
      </c>
      <c r="B1138">
        <f>IFERROR(VLOOKUP(A1138,管理亚马逊库存!A:K,11,0),"")</f>
        <v>10</v>
      </c>
      <c r="C1138">
        <f>IFERROR(VLOOKUP(A1138,管理亚马逊库存!A:L,12,0),"")</f>
        <v>3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4690</v>
      </c>
      <c r="B1139">
        <f>IFERROR(VLOOKUP(A1139,管理亚马逊库存!A:K,11,0),"")</f>
        <v>3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3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3</v>
      </c>
    </row>
    <row r="1140" spans="1:14">
      <c r="A1140" s="3" t="s">
        <v>4694</v>
      </c>
      <c r="B1140">
        <f>IFERROR(VLOOKUP(A1140,管理亚马逊库存!A:K,11,0),"")</f>
        <v>41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37</v>
      </c>
      <c r="L1140">
        <f>IFERROR(VLOOKUP(A1140,库龄!B:M,11,0),0)</f>
        <v>4</v>
      </c>
      <c r="M1140">
        <f>IFERROR(VLOOKUP(A1140,库龄!B:N,12,0),0)</f>
        <v>0</v>
      </c>
      <c r="N1140">
        <f t="shared" si="36"/>
        <v>41</v>
      </c>
    </row>
    <row r="1141" spans="1:14">
      <c r="A1141" s="3" t="s">
        <v>4698</v>
      </c>
      <c r="B1141">
        <f>IFERROR(VLOOKUP(A1141,管理亚马逊库存!A:K,11,0),"")</f>
        <v>8</v>
      </c>
      <c r="C1141">
        <f>IFERROR(VLOOKUP(A1141,管理亚马逊库存!A:L,12,0),"")</f>
        <v>0</v>
      </c>
      <c r="D1141">
        <f>IFERROR(VLOOKUP(A1141,管理亚马逊库存!A:Q,17,0),"")</f>
        <v>4</v>
      </c>
      <c r="E1141">
        <f>IFERROR(VLOOKUP(A1141,管理亚马逊库存!A:R,18,0),"")</f>
        <v>0</v>
      </c>
      <c r="F1141">
        <f t="shared" si="35"/>
        <v>4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4702</v>
      </c>
      <c r="B1142">
        <f>IFERROR(VLOOKUP(A1142,管理亚马逊库存!A:K,11,0),"")</f>
        <v>15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4705</v>
      </c>
      <c r="B1143">
        <f>IFERROR(VLOOKUP(A1143,管理亚马逊库存!A:K,11,0),"")</f>
        <v>13</v>
      </c>
      <c r="C1143">
        <f>IFERROR(VLOOKUP(A1143,管理亚马逊库存!A:L,12,0),"")</f>
        <v>2</v>
      </c>
      <c r="D1143">
        <f>IFERROR(VLOOKUP(A1143,管理亚马逊库存!A:Q,17,0),"")</f>
        <v>5</v>
      </c>
      <c r="E1143">
        <f>IFERROR(VLOOKUP(A1143,管理亚马逊库存!A:R,18,0),"")</f>
        <v>0</v>
      </c>
      <c r="F1143">
        <f t="shared" si="35"/>
        <v>5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4709</v>
      </c>
      <c r="B1144">
        <f>IFERROR(VLOOKUP(A1144,管理亚马逊库存!A:K,11,0),"")</f>
        <v>2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2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2</v>
      </c>
    </row>
    <row r="1145" spans="1:14">
      <c r="A1145" s="3" t="s">
        <v>4713</v>
      </c>
      <c r="B1145">
        <f>IFERROR(VLOOKUP(A1145,管理亚马逊库存!A:K,11,0),"")</f>
        <v>5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5</v>
      </c>
      <c r="M1145">
        <f>IFERROR(VLOOKUP(A1145,库龄!B:N,12,0),0)</f>
        <v>0</v>
      </c>
      <c r="N1145">
        <f t="shared" si="36"/>
        <v>5</v>
      </c>
    </row>
    <row r="1146" spans="1:14">
      <c r="A1146" s="3" t="s">
        <v>4717</v>
      </c>
      <c r="B1146">
        <f>IFERROR(VLOOKUP(A1146,管理亚马逊库存!A:K,11,0),"")</f>
        <v>7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4721</v>
      </c>
      <c r="B1147">
        <f>IFERROR(VLOOKUP(A1147,管理亚马逊库存!A:K,11,0),"")</f>
        <v>8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1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1</v>
      </c>
    </row>
    <row r="1148" spans="1:14">
      <c r="A1148" s="3" t="s">
        <v>4726</v>
      </c>
      <c r="B1148">
        <f>IFERROR(VLOOKUP(A1148,管理亚马逊库存!A:K,11,0),"")</f>
        <v>19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19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19</v>
      </c>
    </row>
    <row r="1149" spans="1:14">
      <c r="A1149" s="3" t="s">
        <v>4730</v>
      </c>
      <c r="B1149">
        <f>IFERROR(VLOOKUP(A1149,管理亚马逊库存!A:K,11,0),"")</f>
        <v>2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2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2</v>
      </c>
    </row>
    <row r="1150" spans="1:14">
      <c r="A1150" s="3" t="s">
        <v>4736</v>
      </c>
      <c r="B1150">
        <f>IFERROR(VLOOKUP(A1150,管理亚马逊库存!A:K,11,0),"")</f>
        <v>3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3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3</v>
      </c>
    </row>
    <row r="1151" spans="1:14">
      <c r="A1151" s="3" t="s">
        <v>4740</v>
      </c>
      <c r="B1151">
        <f>IFERROR(VLOOKUP(A1151,管理亚马逊库存!A:K,11,0),"")</f>
        <v>8</v>
      </c>
      <c r="C1151">
        <f>IFERROR(VLOOKUP(A1151,管理亚马逊库存!A:L,12,0),"")</f>
        <v>2</v>
      </c>
      <c r="D1151">
        <f>IFERROR(VLOOKUP(A1151,管理亚马逊库存!A:Q,17,0),"")</f>
        <v>8</v>
      </c>
      <c r="E1151">
        <f>IFERROR(VLOOKUP(A1151,管理亚马逊库存!A:R,18,0),"")</f>
        <v>0</v>
      </c>
      <c r="F1151">
        <f t="shared" si="35"/>
        <v>8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4744</v>
      </c>
      <c r="B1152">
        <f>IFERROR(VLOOKUP(A1152,管理亚马逊库存!A:K,11,0),"")</f>
        <v>3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1</v>
      </c>
      <c r="K1152">
        <f>IFERROR(VLOOKUP(A1152,库龄!B:L,10,0),0)</f>
        <v>2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3</v>
      </c>
    </row>
    <row r="1153" spans="1:14">
      <c r="A1153" s="3" t="s">
        <v>4748</v>
      </c>
      <c r="B1153">
        <f>IFERROR(VLOOKUP(A1153,管理亚马逊库存!A:K,11,0),"")</f>
        <v>3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3</v>
      </c>
      <c r="M1153">
        <f>IFERROR(VLOOKUP(A1153,库龄!B:N,12,0),0)</f>
        <v>0</v>
      </c>
      <c r="N1153">
        <f t="shared" si="36"/>
        <v>3</v>
      </c>
    </row>
    <row r="1154" spans="1:14">
      <c r="A1154" s="3" t="s">
        <v>4751</v>
      </c>
      <c r="B1154">
        <f>IFERROR(VLOOKUP(A1154,管理亚马逊库存!A:K,11,0),"")</f>
        <v>2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1</v>
      </c>
      <c r="K1154">
        <f>IFERROR(VLOOKUP(A1154,库龄!B:L,10,0),0)</f>
        <v>1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2</v>
      </c>
    </row>
    <row r="1155" spans="1:14">
      <c r="A1155" s="3" t="s">
        <v>4754</v>
      </c>
      <c r="B1155">
        <f>IFERROR(VLOOKUP(A1155,管理亚马逊库存!A:K,11,0),"")</f>
        <v>112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7</v>
      </c>
      <c r="K1155">
        <f>IFERROR(VLOOKUP(A1155,库龄!B:L,10,0),0)</f>
        <v>102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109</v>
      </c>
    </row>
    <row r="1156" spans="1:14">
      <c r="A1156" s="3" t="s">
        <v>4758</v>
      </c>
      <c r="B1156">
        <f>IFERROR(VLOOKUP(A1156,管理亚马逊库存!A:K,11,0),"")</f>
        <v>14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1</v>
      </c>
      <c r="K1156">
        <f>IFERROR(VLOOKUP(A1156,库龄!B:L,10,0),0)</f>
        <v>13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14</v>
      </c>
    </row>
    <row r="1157" spans="1:14">
      <c r="A1157" s="3" t="s">
        <v>4762</v>
      </c>
      <c r="B1157">
        <f>IFERROR(VLOOKUP(A1157,管理亚马逊库存!A:K,11,0),"")</f>
        <v>1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1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1</v>
      </c>
    </row>
    <row r="1158" spans="1:14">
      <c r="A1158" s="3" t="s">
        <v>4767</v>
      </c>
      <c r="B1158">
        <f>IFERROR(VLOOKUP(A1158,管理亚马逊库存!A:K,11,0),"")</f>
        <v>1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1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1</v>
      </c>
    </row>
    <row r="1159" spans="1:14">
      <c r="A1159" s="3" t="s">
        <v>4772</v>
      </c>
      <c r="B1159">
        <f>IFERROR(VLOOKUP(A1159,管理亚马逊库存!A:K,11,0),"")</f>
        <v>20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7</v>
      </c>
      <c r="L1159">
        <f>IFERROR(VLOOKUP(A1159,库龄!B:M,11,0),0)</f>
        <v>13</v>
      </c>
      <c r="M1159">
        <f>IFERROR(VLOOKUP(A1159,库龄!B:N,12,0),0)</f>
        <v>0</v>
      </c>
      <c r="N1159">
        <f t="shared" si="38"/>
        <v>20</v>
      </c>
    </row>
    <row r="1160" spans="1:14">
      <c r="A1160" s="3" t="s">
        <v>4775</v>
      </c>
      <c r="B1160">
        <f>IFERROR(VLOOKUP(A1160,管理亚马逊库存!A:K,11,0),"")</f>
        <v>0</v>
      </c>
      <c r="C1160">
        <f>IFERROR(VLOOKUP(A1160,管理亚马逊库存!A:L,12,0),"")</f>
        <v>1</v>
      </c>
      <c r="D1160">
        <f>IFERROR(VLOOKUP(A1160,管理亚马逊库存!A:Q,17,0),"")</f>
        <v>120</v>
      </c>
      <c r="E1160">
        <f>IFERROR(VLOOKUP(A1160,管理亚马逊库存!A:R,18,0),"")</f>
        <v>0</v>
      </c>
      <c r="F1160">
        <f t="shared" si="37"/>
        <v>120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4779</v>
      </c>
      <c r="B1161">
        <f>IFERROR(VLOOKUP(A1161,管理亚马逊库存!A:K,11,0),"")</f>
        <v>1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4784</v>
      </c>
      <c r="B1162">
        <f>IFERROR(VLOOKUP(A1162,管理亚马逊库存!A:K,11,0),"")</f>
        <v>8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2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2</v>
      </c>
    </row>
    <row r="1163" spans="1:14">
      <c r="A1163" s="3" t="s">
        <v>4788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4792</v>
      </c>
      <c r="B1164">
        <f>IFERROR(VLOOKUP(A1164,管理亚马逊库存!A:K,11,0),"")</f>
        <v>10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4797</v>
      </c>
      <c r="B1165">
        <f>IFERROR(VLOOKUP(A1165,管理亚马逊库存!A:K,11,0),"")</f>
        <v>10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4800</v>
      </c>
      <c r="B1166">
        <f>IFERROR(VLOOKUP(A1166,管理亚马逊库存!A:K,11,0),"")</f>
        <v>17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4805</v>
      </c>
      <c r="B1167">
        <f>IFERROR(VLOOKUP(A1167,管理亚马逊库存!A:K,11,0),"")</f>
        <v>4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4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4</v>
      </c>
    </row>
    <row r="1168" spans="1:14">
      <c r="A1168" s="3" t="s">
        <v>4808</v>
      </c>
      <c r="B1168">
        <f>IFERROR(VLOOKUP(A1168,管理亚马逊库存!A:K,11,0),"")</f>
        <v>12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4812</v>
      </c>
      <c r="B1169">
        <f>IFERROR(VLOOKUP(A1169,管理亚马逊库存!A:K,11,0),"")</f>
        <v>11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4816</v>
      </c>
      <c r="B1170">
        <f>IFERROR(VLOOKUP(A1170,管理亚马逊库存!A:K,11,0),"")</f>
        <v>3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3</v>
      </c>
      <c r="N1170">
        <f t="shared" si="38"/>
        <v>3</v>
      </c>
    </row>
    <row r="1171" spans="1:14">
      <c r="A1171" s="3" t="s">
        <v>4820</v>
      </c>
      <c r="B1171">
        <f>IFERROR(VLOOKUP(A1171,管理亚马逊库存!A:K,11,0),"")</f>
        <v>12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4824</v>
      </c>
      <c r="B1172">
        <f>IFERROR(VLOOKUP(A1172,管理亚马逊库存!A:K,11,0),"")</f>
        <v>0</v>
      </c>
      <c r="C1172">
        <f>IFERROR(VLOOKUP(A1172,管理亚马逊库存!A:L,12,0),"")</f>
        <v>2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4828</v>
      </c>
      <c r="B1173">
        <f>IFERROR(VLOOKUP(A1173,管理亚马逊库存!A:K,11,0),"")</f>
        <v>6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2</v>
      </c>
      <c r="K1173">
        <f>IFERROR(VLOOKUP(A1173,库龄!B:L,10,0),0)</f>
        <v>4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6</v>
      </c>
    </row>
    <row r="1174" spans="1:14">
      <c r="A1174" s="3" t="s">
        <v>4832</v>
      </c>
      <c r="B1174">
        <f>IFERROR(VLOOKUP(A1174,管理亚马逊库存!A:K,11,0),"")</f>
        <v>16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16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16</v>
      </c>
    </row>
    <row r="1175" spans="1:14">
      <c r="A1175" s="3" t="s">
        <v>4836</v>
      </c>
      <c r="B1175">
        <f>IFERROR(VLOOKUP(A1175,管理亚马逊库存!A:K,11,0),"")</f>
        <v>9</v>
      </c>
      <c r="C1175">
        <f>IFERROR(VLOOKUP(A1175,管理亚马逊库存!A:L,12,0),"")</f>
        <v>2</v>
      </c>
      <c r="D1175">
        <f>IFERROR(VLOOKUP(A1175,管理亚马逊库存!A:Q,17,0),"")</f>
        <v>18</v>
      </c>
      <c r="E1175">
        <f>IFERROR(VLOOKUP(A1175,管理亚马逊库存!A:R,18,0),"")</f>
        <v>0</v>
      </c>
      <c r="F1175">
        <f t="shared" si="37"/>
        <v>18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4840</v>
      </c>
      <c r="B1176">
        <f>IFERROR(VLOOKUP(A1176,管理亚马逊库存!A:K,11,0),"")</f>
        <v>15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4843</v>
      </c>
      <c r="B1177">
        <f>IFERROR(VLOOKUP(A1177,管理亚马逊库存!A:K,11,0),"")</f>
        <v>3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3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3</v>
      </c>
    </row>
    <row r="1178" spans="1:14">
      <c r="A1178" s="3" t="s">
        <v>4847</v>
      </c>
      <c r="B1178">
        <f>IFERROR(VLOOKUP(A1178,管理亚马逊库存!A:K,11,0),"")</f>
        <v>10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10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10</v>
      </c>
    </row>
    <row r="1179" spans="1:14">
      <c r="A1179" s="3" t="s">
        <v>4852</v>
      </c>
      <c r="B1179">
        <f>IFERROR(VLOOKUP(A1179,管理亚马逊库存!A:K,11,0),"")</f>
        <v>1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1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1</v>
      </c>
    </row>
    <row r="1180" spans="1:14">
      <c r="A1180" s="3" t="s">
        <v>4856</v>
      </c>
      <c r="B1180">
        <f>IFERROR(VLOOKUP(A1180,管理亚马逊库存!A:K,11,0),"")</f>
        <v>5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5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5</v>
      </c>
    </row>
    <row r="1181" spans="1:14">
      <c r="A1181" s="3" t="s">
        <v>4861</v>
      </c>
      <c r="B1181">
        <f>IFERROR(VLOOKUP(A1181,管理亚马逊库存!A:K,11,0),"")</f>
        <v>1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4865</v>
      </c>
      <c r="B1182">
        <f>IFERROR(VLOOKUP(A1182,管理亚马逊库存!A:K,11,0),"")</f>
        <v>62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8</v>
      </c>
      <c r="K1182">
        <f>IFERROR(VLOOKUP(A1182,库龄!B:L,10,0),0)</f>
        <v>51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59</v>
      </c>
    </row>
    <row r="1183" spans="1:14">
      <c r="A1183" s="3" t="s">
        <v>4869</v>
      </c>
      <c r="B1183">
        <f>IFERROR(VLOOKUP(A1183,管理亚马逊库存!A:K,11,0),"")</f>
        <v>14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1</v>
      </c>
      <c r="K1183">
        <f>IFERROR(VLOOKUP(A1183,库龄!B:L,10,0),0)</f>
        <v>13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14</v>
      </c>
    </row>
    <row r="1184" spans="1:14">
      <c r="A1184" s="3" t="s">
        <v>4872</v>
      </c>
      <c r="B1184">
        <f>IFERROR(VLOOKUP(A1184,管理亚马逊库存!A:K,11,0),"")</f>
        <v>9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4875</v>
      </c>
      <c r="B1185">
        <f>IFERROR(VLOOKUP(A1185,管理亚马逊库存!A:K,11,0),"")</f>
        <v>2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2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2</v>
      </c>
    </row>
    <row r="1186" spans="1:14">
      <c r="A1186" s="3" t="s">
        <v>4879</v>
      </c>
      <c r="B1186">
        <f>IFERROR(VLOOKUP(A1186,管理亚马逊库存!A:K,11,0),"")</f>
        <v>15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4882</v>
      </c>
      <c r="B1187">
        <f>IFERROR(VLOOKUP(A1187,管理亚马逊库存!A:K,11,0),"")</f>
        <v>23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4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4</v>
      </c>
    </row>
    <row r="1188" spans="1:14">
      <c r="A1188" s="3" t="s">
        <v>4886</v>
      </c>
      <c r="B1188">
        <f>IFERROR(VLOOKUP(A1188,管理亚马逊库存!A:K,11,0),"")</f>
        <v>2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1</v>
      </c>
      <c r="K1188">
        <f>IFERROR(VLOOKUP(A1188,库龄!B:L,10,0),0)</f>
        <v>1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2</v>
      </c>
    </row>
    <row r="1189" spans="1:14">
      <c r="A1189" s="3" t="s">
        <v>4891</v>
      </c>
      <c r="B1189">
        <f>IFERROR(VLOOKUP(A1189,管理亚马逊库存!A:K,11,0),"")</f>
        <v>45</v>
      </c>
      <c r="C1189">
        <f>IFERROR(VLOOKUP(A1189,管理亚马逊库存!A:L,12,0),"")</f>
        <v>1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4895</v>
      </c>
      <c r="B1190">
        <f>IFERROR(VLOOKUP(A1190,管理亚马逊库存!A:K,11,0),"")</f>
        <v>7</v>
      </c>
      <c r="C1190">
        <f>IFERROR(VLOOKUP(A1190,管理亚马逊库存!A:L,12,0),"")</f>
        <v>1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8</v>
      </c>
      <c r="N1190">
        <f t="shared" si="38"/>
        <v>8</v>
      </c>
    </row>
    <row r="1191" spans="1:14">
      <c r="A1191" s="3" t="s">
        <v>4898</v>
      </c>
      <c r="B1191">
        <f>IFERROR(VLOOKUP(A1191,管理亚马逊库存!A:K,11,0),"")</f>
        <v>9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4902</v>
      </c>
      <c r="B1192">
        <f>IFERROR(VLOOKUP(A1192,管理亚马逊库存!A:K,11,0),"")</f>
        <v>15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4907</v>
      </c>
      <c r="B1193">
        <f>IFERROR(VLOOKUP(A1193,管理亚马逊库存!A:K,11,0),"")</f>
        <v>4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1</v>
      </c>
      <c r="L1193">
        <f>IFERROR(VLOOKUP(A1193,库龄!B:M,11,0),0)</f>
        <v>3</v>
      </c>
      <c r="M1193">
        <f>IFERROR(VLOOKUP(A1193,库龄!B:N,12,0),0)</f>
        <v>0</v>
      </c>
      <c r="N1193">
        <f t="shared" si="38"/>
        <v>4</v>
      </c>
    </row>
    <row r="1194" spans="1:14">
      <c r="A1194" s="3" t="s">
        <v>4912</v>
      </c>
      <c r="B1194">
        <f>IFERROR(VLOOKUP(A1194,管理亚马逊库存!A:K,11,0),"")</f>
        <v>1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1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1</v>
      </c>
    </row>
    <row r="1195" spans="1:14">
      <c r="A1195" s="3" t="s">
        <v>4917</v>
      </c>
      <c r="B1195">
        <f>IFERROR(VLOOKUP(A1195,管理亚马逊库存!A:K,11,0),"")</f>
        <v>4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1</v>
      </c>
      <c r="K1195">
        <f>IFERROR(VLOOKUP(A1195,库龄!B:L,10,0),0)</f>
        <v>3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4</v>
      </c>
    </row>
    <row r="1196" spans="1:14">
      <c r="A1196" s="3" t="s">
        <v>4921</v>
      </c>
      <c r="B1196">
        <f>IFERROR(VLOOKUP(A1196,管理亚马逊库存!A:K,11,0),"")</f>
        <v>32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32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32</v>
      </c>
    </row>
    <row r="1197" spans="1:14">
      <c r="A1197" s="3" t="s">
        <v>4925</v>
      </c>
      <c r="B1197">
        <f>IFERROR(VLOOKUP(A1197,管理亚马逊库存!A:K,11,0),"")</f>
        <v>2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2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2</v>
      </c>
    </row>
    <row r="1198" spans="1:14">
      <c r="A1198" s="3" t="s">
        <v>4929</v>
      </c>
      <c r="B1198">
        <f>IFERROR(VLOOKUP(A1198,管理亚马逊库存!A:K,11,0),"")</f>
        <v>10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4933</v>
      </c>
      <c r="B1199">
        <f>IFERROR(VLOOKUP(A1199,管理亚马逊库存!A:K,11,0),"")</f>
        <v>5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1</v>
      </c>
      <c r="M1199">
        <f>IFERROR(VLOOKUP(A1199,库龄!B:N,12,0),0)</f>
        <v>4</v>
      </c>
      <c r="N1199">
        <f t="shared" si="38"/>
        <v>5</v>
      </c>
    </row>
    <row r="1200" spans="1:14">
      <c r="A1200" s="3" t="s">
        <v>4938</v>
      </c>
      <c r="B1200">
        <f>IFERROR(VLOOKUP(A1200,管理亚马逊库存!A:K,11,0),"")</f>
        <v>68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37</v>
      </c>
      <c r="K1200">
        <f>IFERROR(VLOOKUP(A1200,库龄!B:L,10,0),0)</f>
        <v>14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51</v>
      </c>
    </row>
    <row r="1201" spans="1:14">
      <c r="A1201" s="3" t="s">
        <v>4942</v>
      </c>
      <c r="B1201">
        <f>IFERROR(VLOOKUP(A1201,管理亚马逊库存!A:K,11,0),"")</f>
        <v>4</v>
      </c>
      <c r="C1201">
        <f>IFERROR(VLOOKUP(A1201,管理亚马逊库存!A:L,12,0),"")</f>
        <v>0</v>
      </c>
      <c r="D1201">
        <f>IFERROR(VLOOKUP(A1201,管理亚马逊库存!A:Q,17,0),"")</f>
        <v>5</v>
      </c>
      <c r="E1201">
        <f>IFERROR(VLOOKUP(A1201,管理亚马逊库存!A:R,18,0),"")</f>
        <v>0</v>
      </c>
      <c r="F1201">
        <f t="shared" si="37"/>
        <v>5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4945</v>
      </c>
      <c r="B1202">
        <f>IFERROR(VLOOKUP(A1202,管理亚马逊库存!A:K,11,0),"")</f>
        <v>1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4948</v>
      </c>
      <c r="B1203">
        <f>IFERROR(VLOOKUP(A1203,管理亚马逊库存!A:K,11,0),"")</f>
        <v>8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8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8</v>
      </c>
    </row>
    <row r="1204" spans="1:14">
      <c r="A1204" s="3" t="s">
        <v>4952</v>
      </c>
      <c r="B1204">
        <f>IFERROR(VLOOKUP(A1204,管理亚马逊库存!A:K,11,0),"")</f>
        <v>14</v>
      </c>
      <c r="C1204">
        <f>IFERROR(VLOOKUP(A1204,管理亚马逊库存!A:L,12,0),"")</f>
        <v>1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4956</v>
      </c>
      <c r="B1205">
        <f>IFERROR(VLOOKUP(A1205,管理亚马逊库存!A:K,11,0),"")</f>
        <v>3</v>
      </c>
      <c r="C1205">
        <f>IFERROR(VLOOKUP(A1205,管理亚马逊库存!A:L,12,0),"")</f>
        <v>1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4960</v>
      </c>
      <c r="B1206">
        <f>IFERROR(VLOOKUP(A1206,管理亚马逊库存!A:K,11,0),"")</f>
        <v>1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2</v>
      </c>
      <c r="N1206">
        <f t="shared" si="38"/>
        <v>2</v>
      </c>
    </row>
    <row r="1207" spans="1:14">
      <c r="A1207" s="3" t="s">
        <v>4964</v>
      </c>
      <c r="B1207">
        <f>IFERROR(VLOOKUP(A1207,管理亚马逊库存!A:K,11,0),"")</f>
        <v>2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1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1</v>
      </c>
    </row>
    <row r="1208" spans="1:14">
      <c r="A1208" s="3" t="s">
        <v>4969</v>
      </c>
      <c r="B1208">
        <f>IFERROR(VLOOKUP(A1208,管理亚马逊库存!A:K,11,0),"")</f>
        <v>1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4973</v>
      </c>
      <c r="B1209">
        <f>IFERROR(VLOOKUP(A1209,管理亚马逊库存!A:K,11,0),"")</f>
        <v>10</v>
      </c>
      <c r="C1209">
        <f>IFERROR(VLOOKUP(A1209,管理亚马逊库存!A:L,12,0),"")</f>
        <v>3</v>
      </c>
      <c r="D1209">
        <f>IFERROR(VLOOKUP(A1209,管理亚马逊库存!A:Q,17,0),"")</f>
        <v>4</v>
      </c>
      <c r="E1209">
        <f>IFERROR(VLOOKUP(A1209,管理亚马逊库存!A:R,18,0),"")</f>
        <v>0</v>
      </c>
      <c r="F1209">
        <f t="shared" si="37"/>
        <v>4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4977</v>
      </c>
      <c r="B1210">
        <f>IFERROR(VLOOKUP(A1210,管理亚马逊库存!A:K,11,0),"")</f>
        <v>3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1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2</v>
      </c>
      <c r="N1210">
        <f t="shared" si="38"/>
        <v>3</v>
      </c>
    </row>
    <row r="1211" spans="1:14">
      <c r="A1211" s="3" t="s">
        <v>4982</v>
      </c>
      <c r="B1211">
        <f>IFERROR(VLOOKUP(A1211,管理亚马逊库存!A:K,11,0),"")</f>
        <v>3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4</v>
      </c>
      <c r="M1211">
        <f>IFERROR(VLOOKUP(A1211,库龄!B:N,12,0),0)</f>
        <v>0</v>
      </c>
      <c r="N1211">
        <f t="shared" si="38"/>
        <v>4</v>
      </c>
    </row>
    <row r="1212" spans="1:14">
      <c r="A1212" s="3" t="s">
        <v>4987</v>
      </c>
      <c r="B1212">
        <f>IFERROR(VLOOKUP(A1212,管理亚马逊库存!A:K,11,0),"")</f>
        <v>9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4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4</v>
      </c>
    </row>
    <row r="1213" spans="1:14">
      <c r="A1213" s="3" t="s">
        <v>4990</v>
      </c>
      <c r="B1213">
        <f>IFERROR(VLOOKUP(A1213,管理亚马逊库存!A:K,11,0),"")</f>
        <v>7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7</v>
      </c>
      <c r="N1213">
        <f t="shared" si="38"/>
        <v>7</v>
      </c>
    </row>
    <row r="1214" spans="1:14">
      <c r="A1214" s="3" t="s">
        <v>4995</v>
      </c>
      <c r="B1214">
        <f>IFERROR(VLOOKUP(A1214,管理亚马逊库存!A:K,11,0),"")</f>
        <v>8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8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8</v>
      </c>
    </row>
    <row r="1215" spans="1:14">
      <c r="A1215" s="3" t="s">
        <v>4999</v>
      </c>
      <c r="B1215">
        <f>IFERROR(VLOOKUP(A1215,管理亚马逊库存!A:K,11,0),"")</f>
        <v>3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1</v>
      </c>
      <c r="M1215">
        <f>IFERROR(VLOOKUP(A1215,库龄!B:N,12,0),0)</f>
        <v>2</v>
      </c>
      <c r="N1215">
        <f t="shared" si="38"/>
        <v>3</v>
      </c>
    </row>
    <row r="1216" spans="1:14">
      <c r="A1216" s="3" t="s">
        <v>5002</v>
      </c>
      <c r="B1216">
        <f>IFERROR(VLOOKUP(A1216,管理亚马逊库存!A:K,11,0),"")</f>
        <v>4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4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4</v>
      </c>
    </row>
    <row r="1217" spans="1:14">
      <c r="A1217" s="3" t="s">
        <v>5006</v>
      </c>
      <c r="B1217">
        <f>IFERROR(VLOOKUP(A1217,管理亚马逊库存!A:K,11,0),"")</f>
        <v>14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5010</v>
      </c>
      <c r="B1218">
        <f>IFERROR(VLOOKUP(A1218,管理亚马逊库存!A:K,11,0),"")</f>
        <v>63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4</v>
      </c>
      <c r="K1218">
        <f>IFERROR(VLOOKUP(A1218,库龄!B:L,10,0),0)</f>
        <v>59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63</v>
      </c>
    </row>
    <row r="1219" spans="1:14">
      <c r="A1219" s="3" t="s">
        <v>5014</v>
      </c>
      <c r="B1219">
        <f>IFERROR(VLOOKUP(A1219,管理亚马逊库存!A:K,11,0),"")</f>
        <v>9</v>
      </c>
      <c r="C1219">
        <f>IFERROR(VLOOKUP(A1219,管理亚马逊库存!A:L,12,0),"")</f>
        <v>1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5019</v>
      </c>
      <c r="B1220">
        <f>IFERROR(VLOOKUP(A1220,管理亚马逊库存!A:K,11,0),"")</f>
        <v>9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8</v>
      </c>
      <c r="L1220">
        <f>IFERROR(VLOOKUP(A1220,库龄!B:M,11,0),0)</f>
        <v>1</v>
      </c>
      <c r="M1220">
        <f>IFERROR(VLOOKUP(A1220,库龄!B:N,12,0),0)</f>
        <v>0</v>
      </c>
      <c r="N1220">
        <f t="shared" si="40"/>
        <v>9</v>
      </c>
    </row>
    <row r="1221" spans="1:14">
      <c r="A1221" s="3" t="s">
        <v>5022</v>
      </c>
      <c r="B1221">
        <f>IFERROR(VLOOKUP(A1221,管理亚马逊库存!A:K,11,0),"")</f>
        <v>2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2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2</v>
      </c>
    </row>
    <row r="1222" spans="1:14">
      <c r="A1222" s="3" t="s">
        <v>5026</v>
      </c>
      <c r="B1222">
        <f>IFERROR(VLOOKUP(A1222,管理亚马逊库存!A:K,11,0),"")</f>
        <v>12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7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7</v>
      </c>
    </row>
    <row r="1223" spans="1:14">
      <c r="A1223" s="3" t="s">
        <v>5029</v>
      </c>
      <c r="B1223">
        <f>IFERROR(VLOOKUP(A1223,管理亚马逊库存!A:K,11,0),"")</f>
        <v>17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12</v>
      </c>
      <c r="L1223">
        <f>IFERROR(VLOOKUP(A1223,库龄!B:M,11,0),0)</f>
        <v>4</v>
      </c>
      <c r="M1223">
        <f>IFERROR(VLOOKUP(A1223,库龄!B:N,12,0),0)</f>
        <v>0</v>
      </c>
      <c r="N1223">
        <f t="shared" si="40"/>
        <v>16</v>
      </c>
    </row>
    <row r="1224" spans="1:14">
      <c r="A1224" s="3" t="s">
        <v>5033</v>
      </c>
      <c r="B1224">
        <f>IFERROR(VLOOKUP(A1224,管理亚马逊库存!A:K,11,0),"")</f>
        <v>8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8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8</v>
      </c>
    </row>
    <row r="1225" spans="1:14">
      <c r="A1225" s="3" t="s">
        <v>5038</v>
      </c>
      <c r="B1225">
        <f>IFERROR(VLOOKUP(A1225,管理亚马逊库存!A:K,11,0),"")</f>
        <v>15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5041</v>
      </c>
      <c r="B1226">
        <f>IFERROR(VLOOKUP(A1226,管理亚马逊库存!A:K,11,0),"")</f>
        <v>14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5045</v>
      </c>
      <c r="B1227">
        <f>IFERROR(VLOOKUP(A1227,管理亚马逊库存!A:K,11,0),"")</f>
        <v>20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17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17</v>
      </c>
    </row>
    <row r="1228" spans="1:14">
      <c r="A1228" s="3" t="s">
        <v>5049</v>
      </c>
      <c r="B1228">
        <f>IFERROR(VLOOKUP(A1228,管理亚马逊库存!A:K,11,0),"")</f>
        <v>4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5053</v>
      </c>
      <c r="B1229">
        <f>IFERROR(VLOOKUP(A1229,管理亚马逊库存!A:K,11,0),"")</f>
        <v>6</v>
      </c>
      <c r="C1229">
        <f>IFERROR(VLOOKUP(A1229,管理亚马逊库存!A:L,12,0),"")</f>
        <v>0</v>
      </c>
      <c r="D1229">
        <f>IFERROR(VLOOKUP(A1229,管理亚马逊库存!A:Q,17,0),"")</f>
        <v>5</v>
      </c>
      <c r="E1229">
        <f>IFERROR(VLOOKUP(A1229,管理亚马逊库存!A:R,18,0),"")</f>
        <v>0</v>
      </c>
      <c r="F1229">
        <f t="shared" si="39"/>
        <v>5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5057</v>
      </c>
      <c r="B1230">
        <f>IFERROR(VLOOKUP(A1230,管理亚马逊库存!A:K,11,0),"")</f>
        <v>6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5062</v>
      </c>
      <c r="B1231">
        <f>IFERROR(VLOOKUP(A1231,管理亚马逊库存!A:K,11,0),"")</f>
        <v>5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5065</v>
      </c>
      <c r="B1232">
        <f>IFERROR(VLOOKUP(A1232,管理亚马逊库存!A:K,11,0),"")</f>
        <v>15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5069</v>
      </c>
      <c r="B1233">
        <f>IFERROR(VLOOKUP(A1233,管理亚马逊库存!A:K,11,0),"")</f>
        <v>12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2</v>
      </c>
      <c r="K1233">
        <f>IFERROR(VLOOKUP(A1233,库龄!B:L,10,0),0)</f>
        <v>10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12</v>
      </c>
    </row>
    <row r="1234" spans="1:14">
      <c r="A1234" s="3" t="s">
        <v>5074</v>
      </c>
      <c r="B1234">
        <f>IFERROR(VLOOKUP(A1234,管理亚马逊库存!A:K,11,0),"")</f>
        <v>5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5</v>
      </c>
      <c r="M1234">
        <f>IFERROR(VLOOKUP(A1234,库龄!B:N,12,0),0)</f>
        <v>0</v>
      </c>
      <c r="N1234">
        <f t="shared" si="40"/>
        <v>5</v>
      </c>
    </row>
    <row r="1235" spans="1:14">
      <c r="A1235" s="3" t="s">
        <v>5078</v>
      </c>
      <c r="B1235">
        <f>IFERROR(VLOOKUP(A1235,管理亚马逊库存!A:K,11,0),"")</f>
        <v>10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5081</v>
      </c>
      <c r="B1236">
        <f>IFERROR(VLOOKUP(A1236,管理亚马逊库存!A:K,11,0),"")</f>
        <v>13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5085</v>
      </c>
      <c r="B1237">
        <f>IFERROR(VLOOKUP(A1237,管理亚马逊库存!A:K,11,0),"")</f>
        <v>4</v>
      </c>
      <c r="C1237">
        <f>IFERROR(VLOOKUP(A1237,管理亚马逊库存!A:L,12,0),"")</f>
        <v>0</v>
      </c>
      <c r="D1237">
        <f>IFERROR(VLOOKUP(A1237,管理亚马逊库存!A:Q,17,0),"")</f>
        <v>3</v>
      </c>
      <c r="E1237">
        <f>IFERROR(VLOOKUP(A1237,管理亚马逊库存!A:R,18,0),"")</f>
        <v>0</v>
      </c>
      <c r="F1237">
        <f t="shared" si="39"/>
        <v>3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5089</v>
      </c>
      <c r="B1238">
        <f>IFERROR(VLOOKUP(A1238,管理亚马逊库存!A:K,11,0),"")</f>
        <v>7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1</v>
      </c>
      <c r="K1238">
        <f>IFERROR(VLOOKUP(A1238,库龄!B:L,10,0),0)</f>
        <v>6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7</v>
      </c>
    </row>
    <row r="1239" spans="1:14">
      <c r="A1239" s="3" t="s">
        <v>5092</v>
      </c>
      <c r="B1239">
        <f>IFERROR(VLOOKUP(A1239,管理亚马逊库存!A:K,11,0),"")</f>
        <v>57</v>
      </c>
      <c r="C1239">
        <f>IFERROR(VLOOKUP(A1239,管理亚马逊库存!A:L,12,0),"")</f>
        <v>1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5096</v>
      </c>
      <c r="B1240">
        <f>IFERROR(VLOOKUP(A1240,管理亚马逊库存!A:K,11,0),"")</f>
        <v>1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5100</v>
      </c>
      <c r="B1241">
        <f>IFERROR(VLOOKUP(A1241,管理亚马逊库存!A:K,11,0),"")</f>
        <v>6</v>
      </c>
      <c r="C1241">
        <f>IFERROR(VLOOKUP(A1241,管理亚马逊库存!A:L,12,0),"")</f>
        <v>1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1</v>
      </c>
      <c r="M1241">
        <f>IFERROR(VLOOKUP(A1241,库龄!B:N,12,0),0)</f>
        <v>4</v>
      </c>
      <c r="N1241">
        <f t="shared" si="40"/>
        <v>5</v>
      </c>
    </row>
    <row r="1242" spans="1:14">
      <c r="A1242" s="3" t="s">
        <v>5104</v>
      </c>
      <c r="B1242">
        <f>IFERROR(VLOOKUP(A1242,管理亚马逊库存!A:K,11,0),"")</f>
        <v>3</v>
      </c>
      <c r="C1242">
        <f>IFERROR(VLOOKUP(A1242,管理亚马逊库存!A:L,12,0),"")</f>
        <v>0</v>
      </c>
      <c r="D1242">
        <f>IFERROR(VLOOKUP(A1242,管理亚马逊库存!A:Q,17,0),"")</f>
        <v>13</v>
      </c>
      <c r="E1242">
        <f>IFERROR(VLOOKUP(A1242,管理亚马逊库存!A:R,18,0),"")</f>
        <v>0</v>
      </c>
      <c r="F1242">
        <f t="shared" si="39"/>
        <v>13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5107</v>
      </c>
      <c r="B1243">
        <f>IFERROR(VLOOKUP(A1243,管理亚马逊库存!A:K,11,0),"")</f>
        <v>15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5110</v>
      </c>
      <c r="B1244">
        <f>IFERROR(VLOOKUP(A1244,管理亚马逊库存!A:K,11,0),"")</f>
        <v>9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9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9</v>
      </c>
    </row>
    <row r="1245" spans="1:14">
      <c r="A1245" s="3" t="s">
        <v>5115</v>
      </c>
      <c r="B1245">
        <f>IFERROR(VLOOKUP(A1245,管理亚马逊库存!A:K,11,0),"")</f>
        <v>3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1</v>
      </c>
      <c r="K1245">
        <f>IFERROR(VLOOKUP(A1245,库龄!B:L,10,0),0)</f>
        <v>2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3</v>
      </c>
    </row>
    <row r="1246" spans="1:14">
      <c r="A1246" s="3" t="s">
        <v>5118</v>
      </c>
      <c r="B1246">
        <f>IFERROR(VLOOKUP(A1246,管理亚马逊库存!A:K,11,0),"")</f>
        <v>10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5121</v>
      </c>
      <c r="B1247">
        <f>IFERROR(VLOOKUP(A1247,管理亚马逊库存!A:K,11,0),"")</f>
        <v>71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7</v>
      </c>
      <c r="K1247">
        <f>IFERROR(VLOOKUP(A1247,库龄!B:L,10,0),0)</f>
        <v>62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69</v>
      </c>
    </row>
    <row r="1248" spans="1:14">
      <c r="A1248" s="3" t="s">
        <v>5126</v>
      </c>
      <c r="B1248">
        <f>IFERROR(VLOOKUP(A1248,管理亚马逊库存!A:K,11,0),"")</f>
        <v>3</v>
      </c>
      <c r="C1248">
        <f>IFERROR(VLOOKUP(A1248,管理亚马逊库存!A:L,12,0),"")</f>
        <v>1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2</v>
      </c>
      <c r="N1248">
        <f t="shared" si="40"/>
        <v>2</v>
      </c>
    </row>
    <row r="1249" spans="1:14">
      <c r="A1249" s="3" t="s">
        <v>5130</v>
      </c>
      <c r="B1249">
        <f>IFERROR(VLOOKUP(A1249,管理亚马逊库存!A:K,11,0),"")</f>
        <v>5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1</v>
      </c>
      <c r="K1249">
        <f>IFERROR(VLOOKUP(A1249,库龄!B:L,10,0),0)</f>
        <v>4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5</v>
      </c>
    </row>
    <row r="1250" spans="1:14">
      <c r="A1250" s="3" t="s">
        <v>5135</v>
      </c>
      <c r="B1250">
        <f>IFERROR(VLOOKUP(A1250,管理亚马逊库存!A:K,11,0),"")</f>
        <v>16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5139</v>
      </c>
      <c r="B1251">
        <f>IFERROR(VLOOKUP(A1251,管理亚马逊库存!A:K,11,0),"")</f>
        <v>22</v>
      </c>
      <c r="C1251">
        <f>IFERROR(VLOOKUP(A1251,管理亚马逊库存!A:L,12,0),"")</f>
        <v>1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5144</v>
      </c>
      <c r="B1252">
        <f>IFERROR(VLOOKUP(A1252,管理亚马逊库存!A:K,11,0),"")</f>
        <v>59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47</v>
      </c>
      <c r="L1252">
        <f>IFERROR(VLOOKUP(A1252,库龄!B:M,11,0),0)</f>
        <v>12</v>
      </c>
      <c r="M1252">
        <f>IFERROR(VLOOKUP(A1252,库龄!B:N,12,0),0)</f>
        <v>0</v>
      </c>
      <c r="N1252">
        <f t="shared" si="40"/>
        <v>59</v>
      </c>
    </row>
    <row r="1253" spans="1:14">
      <c r="A1253" s="3" t="s">
        <v>5147</v>
      </c>
      <c r="B1253">
        <f>IFERROR(VLOOKUP(A1253,管理亚马逊库存!A:K,11,0),"")</f>
        <v>21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2</v>
      </c>
      <c r="L1253">
        <f>IFERROR(VLOOKUP(A1253,库龄!B:M,11,0),0)</f>
        <v>6</v>
      </c>
      <c r="M1253">
        <f>IFERROR(VLOOKUP(A1253,库龄!B:N,12,0),0)</f>
        <v>11</v>
      </c>
      <c r="N1253">
        <f t="shared" si="40"/>
        <v>19</v>
      </c>
    </row>
    <row r="1254" spans="1:14">
      <c r="A1254" s="3" t="s">
        <v>5153</v>
      </c>
      <c r="B1254">
        <f>IFERROR(VLOOKUP(A1254,管理亚马逊库存!A:K,11,0),"")</f>
        <v>2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2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2</v>
      </c>
    </row>
    <row r="1255" spans="1:14">
      <c r="A1255" s="3" t="s">
        <v>5156</v>
      </c>
      <c r="B1255">
        <f>IFERROR(VLOOKUP(A1255,管理亚马逊库存!A:K,11,0),"")</f>
        <v>2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2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2</v>
      </c>
    </row>
    <row r="1256" spans="1:14">
      <c r="A1256" s="3" t="s">
        <v>5160</v>
      </c>
      <c r="B1256">
        <f>IFERROR(VLOOKUP(A1256,管理亚马逊库存!A:K,11,0),"")</f>
        <v>10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5163</v>
      </c>
      <c r="B1257">
        <f>IFERROR(VLOOKUP(A1257,管理亚马逊库存!A:K,11,0),"")</f>
        <v>2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2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2</v>
      </c>
    </row>
    <row r="1258" spans="1:14">
      <c r="A1258" s="3" t="s">
        <v>5167</v>
      </c>
      <c r="B1258">
        <f>IFERROR(VLOOKUP(A1258,管理亚马逊库存!A:K,11,0),"")</f>
        <v>1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2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2</v>
      </c>
    </row>
    <row r="1259" spans="1:14">
      <c r="A1259" s="3" t="s">
        <v>5170</v>
      </c>
      <c r="B1259">
        <f>IFERROR(VLOOKUP(A1259,管理亚马逊库存!A:K,11,0),"")</f>
        <v>1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5174</v>
      </c>
      <c r="B1260">
        <f>IFERROR(VLOOKUP(A1260,管理亚马逊库存!A:K,11,0),"")</f>
        <v>6</v>
      </c>
      <c r="C1260">
        <f>IFERROR(VLOOKUP(A1260,管理亚马逊库存!A:L,12,0),"")</f>
        <v>1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5179</v>
      </c>
      <c r="B1261">
        <f>IFERROR(VLOOKUP(A1261,管理亚马逊库存!A:K,11,0),"")</f>
        <v>1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5183</v>
      </c>
      <c r="B1262">
        <f>IFERROR(VLOOKUP(A1262,管理亚马逊库存!A:K,11,0),"")</f>
        <v>2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5187</v>
      </c>
      <c r="B1263">
        <f>IFERROR(VLOOKUP(A1263,管理亚马逊库存!A:K,11,0),"")</f>
        <v>7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5191</v>
      </c>
      <c r="B1264">
        <f>IFERROR(VLOOKUP(A1264,管理亚马逊库存!A:K,11,0),"")</f>
        <v>11</v>
      </c>
      <c r="C1264">
        <f>IFERROR(VLOOKUP(A1264,管理亚马逊库存!A:L,12,0),"")</f>
        <v>1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9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9</v>
      </c>
    </row>
    <row r="1265" spans="1:14">
      <c r="A1265" s="3" t="s">
        <v>5196</v>
      </c>
      <c r="B1265">
        <f>IFERROR(VLOOKUP(A1265,管理亚马逊库存!A:K,11,0),"")</f>
        <v>10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5199</v>
      </c>
      <c r="B1266">
        <f>IFERROR(VLOOKUP(A1266,管理亚马逊库存!A:K,11,0),"")</f>
        <v>1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1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1</v>
      </c>
    </row>
    <row r="1267" spans="1:14">
      <c r="A1267" s="3" t="s">
        <v>5204</v>
      </c>
      <c r="B1267">
        <f>IFERROR(VLOOKUP(A1267,管理亚马逊库存!A:K,11,0),"")</f>
        <v>19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16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16</v>
      </c>
    </row>
    <row r="1268" spans="1:14">
      <c r="A1268" s="3" t="s">
        <v>5207</v>
      </c>
      <c r="B1268">
        <f>IFERROR(VLOOKUP(A1268,管理亚马逊库存!A:K,11,0),"")</f>
        <v>10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5210</v>
      </c>
      <c r="B1269">
        <f>IFERROR(VLOOKUP(A1269,管理亚马逊库存!A:K,11,0),"")</f>
        <v>8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5213</v>
      </c>
      <c r="B1270">
        <f>IFERROR(VLOOKUP(A1270,管理亚马逊库存!A:K,11,0),"")</f>
        <v>18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5217</v>
      </c>
      <c r="B1271">
        <f>IFERROR(VLOOKUP(A1271,管理亚马逊库存!A:K,11,0),"")</f>
        <v>42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4</v>
      </c>
      <c r="K1271">
        <f>IFERROR(VLOOKUP(A1271,库龄!B:L,10,0),0)</f>
        <v>37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41</v>
      </c>
    </row>
    <row r="1272" spans="1:14">
      <c r="A1272" s="3" t="s">
        <v>5220</v>
      </c>
      <c r="B1272">
        <f>IFERROR(VLOOKUP(A1272,管理亚马逊库存!A:K,11,0),"")</f>
        <v>51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16</v>
      </c>
      <c r="K1272">
        <f>IFERROR(VLOOKUP(A1272,库龄!B:L,10,0),0)</f>
        <v>35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51</v>
      </c>
    </row>
    <row r="1273" spans="1:14">
      <c r="A1273" s="3" t="s">
        <v>5224</v>
      </c>
      <c r="B1273">
        <f>IFERROR(VLOOKUP(A1273,管理亚马逊库存!A:K,11,0),"")</f>
        <v>14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5228</v>
      </c>
      <c r="B1274">
        <f>IFERROR(VLOOKUP(A1274,管理亚马逊库存!A:K,11,0),"")</f>
        <v>9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5</v>
      </c>
      <c r="M1274">
        <f>IFERROR(VLOOKUP(A1274,库龄!B:N,12,0),0)</f>
        <v>5</v>
      </c>
      <c r="N1274">
        <f t="shared" si="40"/>
        <v>10</v>
      </c>
    </row>
    <row r="1275" spans="1:14">
      <c r="A1275" s="3" t="s">
        <v>5232</v>
      </c>
      <c r="B1275">
        <f>IFERROR(VLOOKUP(A1275,管理亚马逊库存!A:K,11,0),"")</f>
        <v>2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1</v>
      </c>
      <c r="K1275">
        <f>IFERROR(VLOOKUP(A1275,库龄!B:L,10,0),0)</f>
        <v>1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2</v>
      </c>
    </row>
    <row r="1276" spans="1:14">
      <c r="A1276" s="3" t="s">
        <v>5235</v>
      </c>
      <c r="B1276">
        <f>IFERROR(VLOOKUP(A1276,管理亚马逊库存!A:K,11,0),"")</f>
        <v>3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1</v>
      </c>
      <c r="K1276">
        <f>IFERROR(VLOOKUP(A1276,库龄!B:L,10,0),0)</f>
        <v>1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2</v>
      </c>
    </row>
    <row r="1277" spans="1:14">
      <c r="A1277" s="3" t="s">
        <v>5239</v>
      </c>
      <c r="B1277">
        <f>IFERROR(VLOOKUP(A1277,管理亚马逊库存!A:K,11,0),"")</f>
        <v>4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4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4</v>
      </c>
    </row>
    <row r="1278" spans="1:14">
      <c r="A1278" s="3" t="s">
        <v>5243</v>
      </c>
      <c r="B1278">
        <f>IFERROR(VLOOKUP(A1278,管理亚马逊库存!A:K,11,0),"")</f>
        <v>6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6</v>
      </c>
      <c r="N1278">
        <f t="shared" si="40"/>
        <v>6</v>
      </c>
    </row>
    <row r="1279" spans="1:14">
      <c r="A1279" s="3" t="s">
        <v>5247</v>
      </c>
      <c r="B1279">
        <f>IFERROR(VLOOKUP(A1279,管理亚马逊库存!A:K,11,0),"")</f>
        <v>7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7</v>
      </c>
      <c r="N1279">
        <f t="shared" si="40"/>
        <v>7</v>
      </c>
    </row>
    <row r="1280" spans="1:14">
      <c r="A1280" s="3" t="s">
        <v>5252</v>
      </c>
      <c r="B1280">
        <f>IFERROR(VLOOKUP(A1280,管理亚马逊库存!A:K,11,0),"")</f>
        <v>15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5256</v>
      </c>
      <c r="B1281">
        <f>IFERROR(VLOOKUP(A1281,管理亚马逊库存!A:K,11,0),"")</f>
        <v>4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4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4</v>
      </c>
    </row>
    <row r="1282" spans="1:14">
      <c r="A1282" s="3" t="s">
        <v>5260</v>
      </c>
      <c r="B1282">
        <f>IFERROR(VLOOKUP(A1282,管理亚马逊库存!A:K,11,0),"")</f>
        <v>10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10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10</v>
      </c>
    </row>
    <row r="1283" spans="1:14">
      <c r="A1283" s="3" t="s">
        <v>5264</v>
      </c>
      <c r="B1283">
        <f>IFERROR(VLOOKUP(A1283,管理亚马逊库存!A:K,11,0),"")</f>
        <v>1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1</v>
      </c>
      <c r="M1283">
        <f>IFERROR(VLOOKUP(A1283,库龄!B:N,12,0),0)</f>
        <v>0</v>
      </c>
      <c r="N1283">
        <f t="shared" ref="N1283:N1346" si="42">SUM(J1283:M1283)</f>
        <v>1</v>
      </c>
    </row>
    <row r="1284" spans="1:14">
      <c r="A1284" s="3" t="s">
        <v>5268</v>
      </c>
      <c r="B1284">
        <f>IFERROR(VLOOKUP(A1284,管理亚马逊库存!A:K,11,0),"")</f>
        <v>10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1</v>
      </c>
      <c r="M1284">
        <f>IFERROR(VLOOKUP(A1284,库龄!B:N,12,0),0)</f>
        <v>2</v>
      </c>
      <c r="N1284">
        <f t="shared" si="42"/>
        <v>3</v>
      </c>
    </row>
    <row r="1285" spans="1:14">
      <c r="A1285" s="3" t="s">
        <v>5272</v>
      </c>
      <c r="B1285">
        <f>IFERROR(VLOOKUP(A1285,管理亚马逊库存!A:K,11,0),"")</f>
        <v>10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10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10</v>
      </c>
    </row>
    <row r="1286" spans="1:14">
      <c r="A1286" s="3" t="s">
        <v>5276</v>
      </c>
      <c r="B1286">
        <f>IFERROR(VLOOKUP(A1286,管理亚马逊库存!A:K,11,0),"")</f>
        <v>10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5279</v>
      </c>
      <c r="B1287">
        <f>IFERROR(VLOOKUP(A1287,管理亚马逊库存!A:K,11,0),"")</f>
        <v>9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9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9</v>
      </c>
    </row>
    <row r="1288" spans="1:14">
      <c r="A1288" s="3" t="s">
        <v>5283</v>
      </c>
      <c r="B1288">
        <f>IFERROR(VLOOKUP(A1288,管理亚马逊库存!A:K,11,0),"")</f>
        <v>1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1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1</v>
      </c>
    </row>
    <row r="1289" spans="1:14">
      <c r="A1289" s="3" t="s">
        <v>5287</v>
      </c>
      <c r="B1289">
        <f>IFERROR(VLOOKUP(A1289,管理亚马逊库存!A:K,11,0),"")</f>
        <v>1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1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1</v>
      </c>
    </row>
    <row r="1290" spans="1:14">
      <c r="A1290" s="3" t="s">
        <v>5292</v>
      </c>
      <c r="B1290">
        <f>IFERROR(VLOOKUP(A1290,管理亚马逊库存!A:K,11,0),"")</f>
        <v>12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5295</v>
      </c>
      <c r="B1291">
        <f>IFERROR(VLOOKUP(A1291,管理亚马逊库存!A:K,11,0),"")</f>
        <v>15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5299</v>
      </c>
      <c r="B1292">
        <f>IFERROR(VLOOKUP(A1292,管理亚马逊库存!A:K,11,0),"")</f>
        <v>2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5303</v>
      </c>
      <c r="B1293">
        <f>IFERROR(VLOOKUP(A1293,管理亚马逊库存!A:K,11,0),"")</f>
        <v>9</v>
      </c>
      <c r="C1293">
        <f>IFERROR(VLOOKUP(A1293,管理亚马逊库存!A:L,12,0),"")</f>
        <v>1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5306</v>
      </c>
      <c r="B1294">
        <f>IFERROR(VLOOKUP(A1294,管理亚马逊库存!A:K,11,0),"")</f>
        <v>20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5310</v>
      </c>
      <c r="B1295">
        <f>IFERROR(VLOOKUP(A1295,管理亚马逊库存!A:K,11,0),"")</f>
        <v>15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5313</v>
      </c>
      <c r="B1296">
        <f>IFERROR(VLOOKUP(A1296,管理亚马逊库存!A:K,11,0),"")</f>
        <v>4</v>
      </c>
      <c r="C1296">
        <f>IFERROR(VLOOKUP(A1296,管理亚马逊库存!A:L,12,0),"")</f>
        <v>4</v>
      </c>
      <c r="D1296">
        <f>IFERROR(VLOOKUP(A1296,管理亚马逊库存!A:Q,17,0),"")</f>
        <v>1</v>
      </c>
      <c r="E1296">
        <f>IFERROR(VLOOKUP(A1296,管理亚马逊库存!A:R,18,0),"")</f>
        <v>0</v>
      </c>
      <c r="F1296">
        <f t="shared" si="41"/>
        <v>1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5316</v>
      </c>
      <c r="B1297">
        <f>IFERROR(VLOOKUP(A1297,管理亚马逊库存!A:K,11,0),"")</f>
        <v>53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16</v>
      </c>
      <c r="K1297">
        <f>IFERROR(VLOOKUP(A1297,库龄!B:L,10,0),0)</f>
        <v>33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49</v>
      </c>
    </row>
    <row r="1298" spans="1:14">
      <c r="A1298" s="3" t="s">
        <v>5320</v>
      </c>
      <c r="B1298">
        <f>IFERROR(VLOOKUP(A1298,管理亚马逊库存!A:K,11,0),"")</f>
        <v>12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12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12</v>
      </c>
    </row>
    <row r="1299" spans="1:14">
      <c r="A1299" s="3" t="s">
        <v>5324</v>
      </c>
      <c r="B1299">
        <f>IFERROR(VLOOKUP(A1299,管理亚马逊库存!A:K,11,0),"")</f>
        <v>9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1</v>
      </c>
      <c r="K1299">
        <f>IFERROR(VLOOKUP(A1299,库龄!B:L,10,0),0)</f>
        <v>8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9</v>
      </c>
    </row>
    <row r="1300" spans="1:14">
      <c r="A1300" s="3" t="s">
        <v>5328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5332</v>
      </c>
      <c r="B1301">
        <f>IFERROR(VLOOKUP(A1301,管理亚马逊库存!A:K,11,0),"")</f>
        <v>0</v>
      </c>
      <c r="C1301">
        <f>IFERROR(VLOOKUP(A1301,管理亚马逊库存!A:L,12,0),"")</f>
        <v>4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5336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5341</v>
      </c>
      <c r="B1303">
        <f>IFERROR(VLOOKUP(A1303,管理亚马逊库存!A:K,11,0),"")</f>
        <v>9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5345</v>
      </c>
      <c r="B1304">
        <f>IFERROR(VLOOKUP(A1304,管理亚马逊库存!A:K,11,0),"")</f>
        <v>7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7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7</v>
      </c>
    </row>
    <row r="1305" spans="1:14">
      <c r="A1305" s="3" t="s">
        <v>5349</v>
      </c>
      <c r="B1305">
        <f>IFERROR(VLOOKUP(A1305,管理亚马逊库存!A:K,11,0),"")</f>
        <v>10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5353</v>
      </c>
      <c r="B1306">
        <f>IFERROR(VLOOKUP(A1306,管理亚马逊库存!A:K,11,0),"")</f>
        <v>4</v>
      </c>
      <c r="C1306">
        <f>IFERROR(VLOOKUP(A1306,管理亚马逊库存!A:L,12,0),"")</f>
        <v>0</v>
      </c>
      <c r="D1306">
        <f>IFERROR(VLOOKUP(A1306,管理亚马逊库存!A:Q,17,0),"")</f>
        <v>5</v>
      </c>
      <c r="E1306">
        <f>IFERROR(VLOOKUP(A1306,管理亚马逊库存!A:R,18,0),"")</f>
        <v>0</v>
      </c>
      <c r="F1306">
        <f t="shared" si="41"/>
        <v>5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5358</v>
      </c>
      <c r="B1307">
        <f>IFERROR(VLOOKUP(A1307,管理亚马逊库存!A:K,11,0),"")</f>
        <v>2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2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2</v>
      </c>
    </row>
    <row r="1308" spans="1:14">
      <c r="A1308" s="3" t="s">
        <v>5362</v>
      </c>
      <c r="B1308">
        <f>IFERROR(VLOOKUP(A1308,管理亚马逊库存!A:K,11,0),"")</f>
        <v>47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16</v>
      </c>
      <c r="K1308">
        <f>IFERROR(VLOOKUP(A1308,库龄!B:L,10,0),0)</f>
        <v>29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45</v>
      </c>
    </row>
    <row r="1309" spans="1:14">
      <c r="A1309" s="3" t="s">
        <v>5366</v>
      </c>
      <c r="B1309">
        <f>IFERROR(VLOOKUP(A1309,管理亚马逊库存!A:K,11,0),"")</f>
        <v>5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5370</v>
      </c>
      <c r="B1310">
        <f>IFERROR(VLOOKUP(A1310,管理亚马逊库存!A:K,11,0),"")</f>
        <v>1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1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1</v>
      </c>
    </row>
    <row r="1311" spans="1:14">
      <c r="A1311" s="3" t="s">
        <v>5374</v>
      </c>
      <c r="B1311">
        <f>IFERROR(VLOOKUP(A1311,管理亚马逊库存!A:K,11,0),"")</f>
        <v>3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2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2</v>
      </c>
    </row>
    <row r="1312" spans="1:14">
      <c r="A1312" s="3" t="s">
        <v>5379</v>
      </c>
      <c r="B1312">
        <f>IFERROR(VLOOKUP(A1312,管理亚马逊库存!A:K,11,0),"")</f>
        <v>20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20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20</v>
      </c>
    </row>
    <row r="1313" spans="1:14">
      <c r="A1313" s="3" t="s">
        <v>5383</v>
      </c>
      <c r="B1313">
        <f>IFERROR(VLOOKUP(A1313,管理亚马逊库存!A:K,11,0),"")</f>
        <v>44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42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42</v>
      </c>
    </row>
    <row r="1314" spans="1:14">
      <c r="A1314" s="3" t="s">
        <v>5387</v>
      </c>
      <c r="B1314">
        <f>IFERROR(VLOOKUP(A1314,管理亚马逊库存!A:K,11,0),"")</f>
        <v>2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1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1</v>
      </c>
    </row>
    <row r="1315" spans="1:14">
      <c r="A1315" s="3" t="s">
        <v>5391</v>
      </c>
      <c r="B1315">
        <f>IFERROR(VLOOKUP(A1315,管理亚马逊库存!A:K,11,0),"")</f>
        <v>3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2</v>
      </c>
      <c r="K1315">
        <f>IFERROR(VLOOKUP(A1315,库龄!B:L,10,0),0)</f>
        <v>1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3</v>
      </c>
    </row>
    <row r="1316" spans="1:14">
      <c r="A1316" s="3" t="s">
        <v>5394</v>
      </c>
      <c r="B1316">
        <f>IFERROR(VLOOKUP(A1316,管理亚马逊库存!A:K,11,0),"")</f>
        <v>4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5398</v>
      </c>
      <c r="B1317">
        <f>IFERROR(VLOOKUP(A1317,管理亚马逊库存!A:K,11,0),"")</f>
        <v>8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8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8</v>
      </c>
    </row>
    <row r="1318" spans="1:14">
      <c r="A1318" s="3" t="s">
        <v>5402</v>
      </c>
      <c r="B1318">
        <f>IFERROR(VLOOKUP(A1318,管理亚马逊库存!A:K,11,0),"")</f>
        <v>1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1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1</v>
      </c>
    </row>
    <row r="1319" spans="1:14">
      <c r="A1319" s="3" t="s">
        <v>5406</v>
      </c>
      <c r="B1319">
        <f>IFERROR(VLOOKUP(A1319,管理亚马逊库存!A:K,11,0),"")</f>
        <v>10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5409</v>
      </c>
      <c r="B1320">
        <f>IFERROR(VLOOKUP(A1320,管理亚马逊库存!A:K,11,0),"")</f>
        <v>5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1</v>
      </c>
      <c r="K1320">
        <f>IFERROR(VLOOKUP(A1320,库龄!B:L,10,0),0)</f>
        <v>3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4</v>
      </c>
    </row>
    <row r="1321" spans="1:14">
      <c r="A1321" s="3" t="s">
        <v>5414</v>
      </c>
      <c r="B1321">
        <f>IFERROR(VLOOKUP(A1321,管理亚马逊库存!A:K,11,0),"")</f>
        <v>10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5417</v>
      </c>
      <c r="B1322">
        <f>IFERROR(VLOOKUP(A1322,管理亚马逊库存!A:K,11,0),"")</f>
        <v>3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2</v>
      </c>
      <c r="M1322">
        <f>IFERROR(VLOOKUP(A1322,库龄!B:N,12,0),0)</f>
        <v>0</v>
      </c>
      <c r="N1322">
        <f t="shared" si="42"/>
        <v>2</v>
      </c>
    </row>
    <row r="1323" spans="1:14">
      <c r="A1323" s="3" t="s">
        <v>5420</v>
      </c>
      <c r="B1323">
        <f>IFERROR(VLOOKUP(A1323,管理亚马逊库存!A:K,11,0),"")</f>
        <v>10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5423</v>
      </c>
      <c r="B1324">
        <f>IFERROR(VLOOKUP(A1324,管理亚马逊库存!A:K,11,0),"")</f>
        <v>15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11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11</v>
      </c>
    </row>
    <row r="1325" spans="1:14">
      <c r="A1325" s="3" t="s">
        <v>5427</v>
      </c>
      <c r="B1325">
        <f>IFERROR(VLOOKUP(A1325,管理亚马逊库存!A:K,11,0),"")</f>
        <v>7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5433</v>
      </c>
      <c r="B1326">
        <f>IFERROR(VLOOKUP(A1326,管理亚马逊库存!A:K,11,0),"")</f>
        <v>7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1</v>
      </c>
      <c r="K1326">
        <f>IFERROR(VLOOKUP(A1326,库龄!B:L,10,0),0)</f>
        <v>5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6</v>
      </c>
    </row>
    <row r="1327" spans="1:14">
      <c r="A1327" s="3" t="s">
        <v>5438</v>
      </c>
      <c r="B1327">
        <f>IFERROR(VLOOKUP(A1327,管理亚马逊库存!A:K,11,0),"")</f>
        <v>27</v>
      </c>
      <c r="C1327">
        <f>IFERROR(VLOOKUP(A1327,管理亚马逊库存!A:L,12,0),"")</f>
        <v>3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5441</v>
      </c>
      <c r="B1328">
        <f>IFERROR(VLOOKUP(A1328,管理亚马逊库存!A:K,11,0),"")</f>
        <v>2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2</v>
      </c>
      <c r="M1328">
        <f>IFERROR(VLOOKUP(A1328,库龄!B:N,12,0),0)</f>
        <v>0</v>
      </c>
      <c r="N1328">
        <f t="shared" si="42"/>
        <v>2</v>
      </c>
    </row>
    <row r="1329" spans="1:14">
      <c r="A1329" s="3" t="s">
        <v>5445</v>
      </c>
      <c r="B1329">
        <f>IFERROR(VLOOKUP(A1329,管理亚马逊库存!A:K,11,0),"")</f>
        <v>15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5448</v>
      </c>
      <c r="B1330">
        <f>IFERROR(VLOOKUP(A1330,管理亚马逊库存!A:K,11,0),"")</f>
        <v>10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10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10</v>
      </c>
    </row>
    <row r="1331" spans="1:14">
      <c r="A1331" s="3" t="s">
        <v>5452</v>
      </c>
      <c r="B1331">
        <f>IFERROR(VLOOKUP(A1331,管理亚马逊库存!A:K,11,0),"")</f>
        <v>2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2</v>
      </c>
      <c r="M1331">
        <f>IFERROR(VLOOKUP(A1331,库龄!B:N,12,0),0)</f>
        <v>0</v>
      </c>
      <c r="N1331">
        <f t="shared" si="42"/>
        <v>2</v>
      </c>
    </row>
    <row r="1332" spans="1:14">
      <c r="A1332" s="3" t="s">
        <v>5455</v>
      </c>
      <c r="B1332">
        <f>IFERROR(VLOOKUP(A1332,管理亚马逊库存!A:K,11,0),"")</f>
        <v>4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5460</v>
      </c>
      <c r="B1333">
        <f>IFERROR(VLOOKUP(A1333,管理亚马逊库存!A:K,11,0),"")</f>
        <v>15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5463</v>
      </c>
      <c r="B1334">
        <f>IFERROR(VLOOKUP(A1334,管理亚马逊库存!A:K,11,0),"")</f>
        <v>6</v>
      </c>
      <c r="C1334">
        <f>IFERROR(VLOOKUP(A1334,管理亚马逊库存!A:L,12,0),"")</f>
        <v>1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5467</v>
      </c>
      <c r="B1335">
        <f>IFERROR(VLOOKUP(A1335,管理亚马逊库存!A:K,11,0),"")</f>
        <v>8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2</v>
      </c>
      <c r="K1335">
        <f>IFERROR(VLOOKUP(A1335,库龄!B:L,10,0),0)</f>
        <v>0</v>
      </c>
      <c r="L1335">
        <f>IFERROR(VLOOKUP(A1335,库龄!B:M,11,0),0)</f>
        <v>1</v>
      </c>
      <c r="M1335">
        <f>IFERROR(VLOOKUP(A1335,库龄!B:N,12,0),0)</f>
        <v>2</v>
      </c>
      <c r="N1335">
        <f t="shared" si="42"/>
        <v>5</v>
      </c>
    </row>
    <row r="1336" spans="1:14">
      <c r="A1336" s="3" t="s">
        <v>5471</v>
      </c>
      <c r="B1336">
        <f>IFERROR(VLOOKUP(A1336,管理亚马逊库存!A:K,11,0),"")</f>
        <v>32</v>
      </c>
      <c r="C1336">
        <f>IFERROR(VLOOKUP(A1336,管理亚马逊库存!A:L,12,0),"")</f>
        <v>0</v>
      </c>
      <c r="D1336">
        <f>IFERROR(VLOOKUP(A1336,管理亚马逊库存!A:Q,17,0),"")</f>
        <v>4</v>
      </c>
      <c r="E1336">
        <f>IFERROR(VLOOKUP(A1336,管理亚马逊库存!A:R,18,0),"")</f>
        <v>0</v>
      </c>
      <c r="F1336">
        <f t="shared" si="41"/>
        <v>4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5475</v>
      </c>
      <c r="B1337">
        <f>IFERROR(VLOOKUP(A1337,管理亚马逊库存!A:K,11,0),"")</f>
        <v>9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9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9</v>
      </c>
    </row>
    <row r="1338" spans="1:14">
      <c r="A1338" s="3" t="s">
        <v>5479</v>
      </c>
      <c r="B1338">
        <f>IFERROR(VLOOKUP(A1338,管理亚马逊库存!A:K,11,0),"")</f>
        <v>12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5482</v>
      </c>
      <c r="B1339">
        <f>IFERROR(VLOOKUP(A1339,管理亚马逊库存!A:K,11,0),"")</f>
        <v>15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5485</v>
      </c>
      <c r="B1340">
        <f>IFERROR(VLOOKUP(A1340,管理亚马逊库存!A:K,11,0),"")</f>
        <v>8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8</v>
      </c>
      <c r="N1340">
        <f t="shared" si="42"/>
        <v>8</v>
      </c>
    </row>
    <row r="1341" spans="1:14">
      <c r="A1341" s="3" t="s">
        <v>5490</v>
      </c>
      <c r="B1341">
        <f>IFERROR(VLOOKUP(A1341,管理亚马逊库存!A:K,11,0),"")</f>
        <v>2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2</v>
      </c>
      <c r="M1341">
        <f>IFERROR(VLOOKUP(A1341,库龄!B:N,12,0),0)</f>
        <v>0</v>
      </c>
      <c r="N1341">
        <f t="shared" si="42"/>
        <v>2</v>
      </c>
    </row>
    <row r="1342" spans="1:14">
      <c r="A1342" s="3" t="s">
        <v>5494</v>
      </c>
      <c r="B1342">
        <f>IFERROR(VLOOKUP(A1342,管理亚马逊库存!A:K,11,0),"")</f>
        <v>3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5498</v>
      </c>
      <c r="B1343">
        <f>IFERROR(VLOOKUP(A1343,管理亚马逊库存!A:K,11,0),"")</f>
        <v>4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4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4</v>
      </c>
    </row>
    <row r="1344" spans="1:14">
      <c r="A1344" s="3" t="s">
        <v>5501</v>
      </c>
      <c r="B1344">
        <f>IFERROR(VLOOKUP(A1344,管理亚马逊库存!A:K,11,0),"")</f>
        <v>9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4</v>
      </c>
      <c r="K1344">
        <f>IFERROR(VLOOKUP(A1344,库龄!B:L,10,0),0)</f>
        <v>3</v>
      </c>
      <c r="L1344">
        <f>IFERROR(VLOOKUP(A1344,库龄!B:M,11,0),0)</f>
        <v>1</v>
      </c>
      <c r="M1344">
        <f>IFERROR(VLOOKUP(A1344,库龄!B:N,12,0),0)</f>
        <v>0</v>
      </c>
      <c r="N1344">
        <f t="shared" si="42"/>
        <v>8</v>
      </c>
    </row>
    <row r="1345" spans="1:14">
      <c r="A1345" s="3" t="s">
        <v>5505</v>
      </c>
      <c r="B1345">
        <f>IFERROR(VLOOKUP(A1345,管理亚马逊库存!A:K,11,0),"")</f>
        <v>10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5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5</v>
      </c>
    </row>
    <row r="1346" spans="1:14">
      <c r="A1346" s="3" t="s">
        <v>5508</v>
      </c>
      <c r="B1346">
        <f>IFERROR(VLOOKUP(A1346,管理亚马逊库存!A:K,11,0),"")</f>
        <v>8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5511</v>
      </c>
      <c r="B1347">
        <f>IFERROR(VLOOKUP(A1347,管理亚马逊库存!A:K,11,0),"")</f>
        <v>24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24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24</v>
      </c>
    </row>
    <row r="1348" spans="1:14">
      <c r="A1348" s="3" t="s">
        <v>5515</v>
      </c>
      <c r="B1348">
        <f>IFERROR(VLOOKUP(A1348,管理亚马逊库存!A:K,11,0),"")</f>
        <v>7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2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5</v>
      </c>
      <c r="N1348">
        <f t="shared" si="44"/>
        <v>7</v>
      </c>
    </row>
    <row r="1349" spans="1:14">
      <c r="A1349" s="3" t="s">
        <v>5519</v>
      </c>
      <c r="B1349">
        <f>IFERROR(VLOOKUP(A1349,管理亚马逊库存!A:K,11,0),"")</f>
        <v>5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1</v>
      </c>
      <c r="K1349">
        <f>IFERROR(VLOOKUP(A1349,库龄!B:L,10,0),0)</f>
        <v>4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5</v>
      </c>
    </row>
    <row r="1350" spans="1:14">
      <c r="A1350" s="3" t="s">
        <v>5523</v>
      </c>
      <c r="B1350">
        <f>IFERROR(VLOOKUP(A1350,管理亚马逊库存!A:K,11,0),"")</f>
        <v>11</v>
      </c>
      <c r="C1350">
        <f>IFERROR(VLOOKUP(A1350,管理亚马逊库存!A:L,12,0),"")</f>
        <v>0</v>
      </c>
      <c r="D1350">
        <f>IFERROR(VLOOKUP(A1350,管理亚马逊库存!A:Q,17,0),"")</f>
        <v>3</v>
      </c>
      <c r="E1350">
        <f>IFERROR(VLOOKUP(A1350,管理亚马逊库存!A:R,18,0),"")</f>
        <v>0</v>
      </c>
      <c r="F1350">
        <f t="shared" si="43"/>
        <v>3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5526</v>
      </c>
      <c r="B1351">
        <f>IFERROR(VLOOKUP(A1351,管理亚马逊库存!A:K,11,0),"")</f>
        <v>2</v>
      </c>
      <c r="C1351">
        <f>IFERROR(VLOOKUP(A1351,管理亚马逊库存!A:L,12,0),"")</f>
        <v>1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5530</v>
      </c>
      <c r="B1352">
        <f>IFERROR(VLOOKUP(A1352,管理亚马逊库存!A:K,11,0),"")</f>
        <v>2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5533</v>
      </c>
      <c r="B1353">
        <f>IFERROR(VLOOKUP(A1353,管理亚马逊库存!A:K,11,0),"")</f>
        <v>8</v>
      </c>
      <c r="C1353">
        <f>IFERROR(VLOOKUP(A1353,管理亚马逊库存!A:L,12,0),"")</f>
        <v>2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5538</v>
      </c>
      <c r="B1354">
        <f>IFERROR(VLOOKUP(A1354,管理亚马逊库存!A:K,11,0),"")</f>
        <v>9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5542</v>
      </c>
      <c r="B1355">
        <f>IFERROR(VLOOKUP(A1355,管理亚马逊库存!A:K,11,0),"")</f>
        <v>3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2</v>
      </c>
      <c r="K1355">
        <f>IFERROR(VLOOKUP(A1355,库龄!B:L,10,0),0)</f>
        <v>0</v>
      </c>
      <c r="L1355">
        <f>IFERROR(VLOOKUP(A1355,库龄!B:M,11,0),0)</f>
        <v>1</v>
      </c>
      <c r="M1355">
        <f>IFERROR(VLOOKUP(A1355,库龄!B:N,12,0),0)</f>
        <v>0</v>
      </c>
      <c r="N1355">
        <f t="shared" si="44"/>
        <v>3</v>
      </c>
    </row>
    <row r="1356" spans="1:14">
      <c r="A1356" s="3" t="s">
        <v>5546</v>
      </c>
      <c r="B1356">
        <f>IFERROR(VLOOKUP(A1356,管理亚马逊库存!A:K,11,0),"")</f>
        <v>22</v>
      </c>
      <c r="C1356">
        <f>IFERROR(VLOOKUP(A1356,管理亚马逊库存!A:L,12,0),"")</f>
        <v>2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5550</v>
      </c>
      <c r="B1357">
        <f>IFERROR(VLOOKUP(A1357,管理亚马逊库存!A:K,11,0),"")</f>
        <v>90</v>
      </c>
      <c r="C1357">
        <f>IFERROR(VLOOKUP(A1357,管理亚马逊库存!A:L,12,0),"")</f>
        <v>6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1</v>
      </c>
      <c r="K1357">
        <f>IFERROR(VLOOKUP(A1357,库龄!B:L,10,0),0)</f>
        <v>82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83</v>
      </c>
    </row>
    <row r="1358" spans="1:14">
      <c r="A1358" s="3" t="s">
        <v>5556</v>
      </c>
      <c r="B1358">
        <f>IFERROR(VLOOKUP(A1358,管理亚马逊库存!A:K,11,0),"")</f>
        <v>1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1</v>
      </c>
      <c r="N1358">
        <f t="shared" si="44"/>
        <v>1</v>
      </c>
    </row>
    <row r="1359" spans="1:14">
      <c r="A1359" s="3" t="s">
        <v>5560</v>
      </c>
      <c r="B1359">
        <f>IFERROR(VLOOKUP(A1359,管理亚马逊库存!A:K,11,0),"")</f>
        <v>3</v>
      </c>
      <c r="C1359">
        <f>IFERROR(VLOOKUP(A1359,管理亚马逊库存!A:L,12,0),"")</f>
        <v>1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5564</v>
      </c>
      <c r="B1360">
        <f>IFERROR(VLOOKUP(A1360,管理亚马逊库存!A:K,11,0),"")</f>
        <v>1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1</v>
      </c>
      <c r="M1360">
        <f>IFERROR(VLOOKUP(A1360,库龄!B:N,12,0),0)</f>
        <v>0</v>
      </c>
      <c r="N1360">
        <f t="shared" si="44"/>
        <v>1</v>
      </c>
    </row>
    <row r="1361" spans="1:14">
      <c r="A1361" s="3" t="s">
        <v>5568</v>
      </c>
      <c r="B1361">
        <f>IFERROR(VLOOKUP(A1361,管理亚马逊库存!A:K,11,0),"")</f>
        <v>8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1</v>
      </c>
      <c r="K1361">
        <f>IFERROR(VLOOKUP(A1361,库龄!B:L,10,0),0)</f>
        <v>0</v>
      </c>
      <c r="L1361">
        <f>IFERROR(VLOOKUP(A1361,库龄!B:M,11,0),0)</f>
        <v>2</v>
      </c>
      <c r="M1361">
        <f>IFERROR(VLOOKUP(A1361,库龄!B:N,12,0),0)</f>
        <v>0</v>
      </c>
      <c r="N1361">
        <f t="shared" si="44"/>
        <v>3</v>
      </c>
    </row>
    <row r="1362" spans="1:14">
      <c r="A1362" s="3" t="s">
        <v>5571</v>
      </c>
      <c r="B1362">
        <f>IFERROR(VLOOKUP(A1362,管理亚马逊库存!A:K,11,0),"")</f>
        <v>11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11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11</v>
      </c>
    </row>
    <row r="1363" spans="1:14">
      <c r="A1363" s="3" t="s">
        <v>5576</v>
      </c>
      <c r="B1363">
        <f>IFERROR(VLOOKUP(A1363,管理亚马逊库存!A:K,11,0),"")</f>
        <v>9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8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8</v>
      </c>
    </row>
    <row r="1364" spans="1:14">
      <c r="A1364" s="3" t="s">
        <v>5580</v>
      </c>
      <c r="B1364">
        <f>IFERROR(VLOOKUP(A1364,管理亚马逊库存!A:K,11,0),"")</f>
        <v>7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2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2</v>
      </c>
    </row>
    <row r="1365" spans="1:14">
      <c r="A1365" s="3" t="s">
        <v>5584</v>
      </c>
      <c r="B1365">
        <f>IFERROR(VLOOKUP(A1365,管理亚马逊库存!A:K,11,0),"")</f>
        <v>1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5588</v>
      </c>
      <c r="B1366">
        <f>IFERROR(VLOOKUP(A1366,管理亚马逊库存!A:K,11,0),"")</f>
        <v>94</v>
      </c>
      <c r="C1366">
        <f>IFERROR(VLOOKUP(A1366,管理亚马逊库存!A:L,12,0),"")</f>
        <v>12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2</v>
      </c>
      <c r="K1366">
        <f>IFERROR(VLOOKUP(A1366,库龄!B:L,10,0),0)</f>
        <v>87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89</v>
      </c>
    </row>
    <row r="1367" spans="1:14">
      <c r="A1367" s="3" t="s">
        <v>5592</v>
      </c>
      <c r="B1367">
        <f>IFERROR(VLOOKUP(A1367,管理亚马逊库存!A:K,11,0),"")</f>
        <v>8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1</v>
      </c>
      <c r="K1367">
        <f>IFERROR(VLOOKUP(A1367,库龄!B:L,10,0),0)</f>
        <v>7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8</v>
      </c>
    </row>
    <row r="1368" spans="1:14">
      <c r="A1368" s="3" t="s">
        <v>5595</v>
      </c>
      <c r="B1368">
        <f>IFERROR(VLOOKUP(A1368,管理亚马逊库存!A:K,11,0),"")</f>
        <v>5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5</v>
      </c>
      <c r="N1368">
        <f t="shared" si="44"/>
        <v>5</v>
      </c>
    </row>
    <row r="1369" spans="1:14">
      <c r="A1369" s="3" t="s">
        <v>5600</v>
      </c>
      <c r="B1369">
        <f>IFERROR(VLOOKUP(A1369,管理亚马逊库存!A:K,11,0),"")</f>
        <v>88</v>
      </c>
      <c r="C1369">
        <f>IFERROR(VLOOKUP(A1369,管理亚马逊库存!A:L,12,0),"")</f>
        <v>1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5604</v>
      </c>
      <c r="B1370">
        <f>IFERROR(VLOOKUP(A1370,管理亚马逊库存!A:K,11,0),"")</f>
        <v>10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5608</v>
      </c>
      <c r="B1371">
        <f>IFERROR(VLOOKUP(A1371,管理亚马逊库存!A:K,11,0),"")</f>
        <v>1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1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1</v>
      </c>
    </row>
    <row r="1372" spans="1:14">
      <c r="A1372" s="3" t="s">
        <v>5612</v>
      </c>
      <c r="B1372">
        <f>IFERROR(VLOOKUP(A1372,管理亚马逊库存!A:K,11,0),"")</f>
        <v>67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16</v>
      </c>
      <c r="K1372">
        <f>IFERROR(VLOOKUP(A1372,库龄!B:L,10,0),0)</f>
        <v>45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61</v>
      </c>
    </row>
    <row r="1373" spans="1:14">
      <c r="A1373" s="3" t="s">
        <v>5617</v>
      </c>
      <c r="B1373">
        <f>IFERROR(VLOOKUP(A1373,管理亚马逊库存!A:K,11,0),"")</f>
        <v>15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1</v>
      </c>
      <c r="L1373">
        <f>IFERROR(VLOOKUP(A1373,库龄!B:M,11,0),0)</f>
        <v>14</v>
      </c>
      <c r="M1373">
        <f>IFERROR(VLOOKUP(A1373,库龄!B:N,12,0),0)</f>
        <v>0</v>
      </c>
      <c r="N1373">
        <f t="shared" si="44"/>
        <v>15</v>
      </c>
    </row>
    <row r="1374" spans="1:14">
      <c r="A1374" s="3" t="s">
        <v>5622</v>
      </c>
      <c r="B1374">
        <f>IFERROR(VLOOKUP(A1374,管理亚马逊库存!A:K,11,0),"")</f>
        <v>14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14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14</v>
      </c>
    </row>
    <row r="1375" spans="1:14">
      <c r="A1375" s="3" t="s">
        <v>5626</v>
      </c>
      <c r="B1375">
        <f>IFERROR(VLOOKUP(A1375,管理亚马逊库存!A:K,11,0),"")</f>
        <v>10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5629</v>
      </c>
      <c r="B1376">
        <f>IFERROR(VLOOKUP(A1376,管理亚马逊库存!A:K,11,0),"")</f>
        <v>20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8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8</v>
      </c>
    </row>
    <row r="1377" spans="1:14">
      <c r="A1377" s="3" t="s">
        <v>5632</v>
      </c>
      <c r="B1377">
        <f>IFERROR(VLOOKUP(A1377,管理亚马逊库存!A:K,11,0),"")</f>
        <v>10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5635</v>
      </c>
      <c r="B1378">
        <f>IFERROR(VLOOKUP(A1378,管理亚马逊库存!A:K,11,0),"")</f>
        <v>1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1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1</v>
      </c>
    </row>
    <row r="1379" spans="1:14">
      <c r="A1379" s="3" t="s">
        <v>5639</v>
      </c>
      <c r="B1379">
        <f>IFERROR(VLOOKUP(A1379,管理亚马逊库存!A:K,11,0),"")</f>
        <v>15</v>
      </c>
      <c r="C1379">
        <f>IFERROR(VLOOKUP(A1379,管理亚马逊库存!A:L,12,0),"")</f>
        <v>4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5643</v>
      </c>
      <c r="B1380">
        <f>IFERROR(VLOOKUP(A1380,管理亚马逊库存!A:K,11,0),"")</f>
        <v>15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5646</v>
      </c>
      <c r="B1381">
        <f>IFERROR(VLOOKUP(A1381,管理亚马逊库存!A:K,11,0),"")</f>
        <v>1</v>
      </c>
      <c r="C1381">
        <f>IFERROR(VLOOKUP(A1381,管理亚马逊库存!A:L,12,0),"")</f>
        <v>2</v>
      </c>
      <c r="D1381">
        <f>IFERROR(VLOOKUP(A1381,管理亚马逊库存!A:Q,17,0),"")</f>
        <v>7</v>
      </c>
      <c r="E1381">
        <f>IFERROR(VLOOKUP(A1381,管理亚马逊库存!A:R,18,0),"")</f>
        <v>0</v>
      </c>
      <c r="F1381">
        <f t="shared" si="43"/>
        <v>7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5649</v>
      </c>
      <c r="B1382">
        <f>IFERROR(VLOOKUP(A1382,管理亚马逊库存!A:K,11,0),"")</f>
        <v>85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8</v>
      </c>
      <c r="K1382">
        <f>IFERROR(VLOOKUP(A1382,库龄!B:L,10,0),0)</f>
        <v>77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85</v>
      </c>
    </row>
    <row r="1383" spans="1:14">
      <c r="A1383" s="3" t="s">
        <v>5654</v>
      </c>
      <c r="B1383">
        <f>IFERROR(VLOOKUP(A1383,管理亚马逊库存!A:K,11,0),"")</f>
        <v>2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2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2</v>
      </c>
    </row>
    <row r="1384" spans="1:14">
      <c r="A1384" s="3" t="s">
        <v>5658</v>
      </c>
      <c r="B1384">
        <f>IFERROR(VLOOKUP(A1384,管理亚马逊库存!A:K,11,0),"")</f>
        <v>2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2</v>
      </c>
      <c r="M1384">
        <f>IFERROR(VLOOKUP(A1384,库龄!B:N,12,0),0)</f>
        <v>0</v>
      </c>
      <c r="N1384">
        <f t="shared" si="44"/>
        <v>2</v>
      </c>
    </row>
    <row r="1385" spans="1:14">
      <c r="A1385" s="3" t="s">
        <v>5663</v>
      </c>
      <c r="B1385">
        <f>IFERROR(VLOOKUP(A1385,管理亚马逊库存!A:K,11,0),"")</f>
        <v>2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2</v>
      </c>
      <c r="N1385">
        <f t="shared" si="44"/>
        <v>2</v>
      </c>
    </row>
    <row r="1386" spans="1:14">
      <c r="A1386" s="3" t="s">
        <v>5666</v>
      </c>
      <c r="B1386">
        <f>IFERROR(VLOOKUP(A1386,管理亚马逊库存!A:K,11,0),"")</f>
        <v>1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1</v>
      </c>
      <c r="M1386">
        <f>IFERROR(VLOOKUP(A1386,库龄!B:N,12,0),0)</f>
        <v>0</v>
      </c>
      <c r="N1386">
        <f t="shared" si="44"/>
        <v>1</v>
      </c>
    </row>
    <row r="1387" spans="1:14">
      <c r="A1387" s="3" t="s">
        <v>5669</v>
      </c>
      <c r="B1387">
        <f>IFERROR(VLOOKUP(A1387,管理亚马逊库存!A:K,11,0),"")</f>
        <v>5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6</v>
      </c>
      <c r="N1387">
        <f t="shared" si="44"/>
        <v>6</v>
      </c>
    </row>
    <row r="1388" spans="1:14">
      <c r="A1388" s="3" t="s">
        <v>5672</v>
      </c>
      <c r="B1388">
        <f>IFERROR(VLOOKUP(A1388,管理亚马逊库存!A:K,11,0),"")</f>
        <v>10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5675</v>
      </c>
      <c r="B1389">
        <f>IFERROR(VLOOKUP(A1389,管理亚马逊库存!A:K,11,0),"")</f>
        <v>3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5679</v>
      </c>
      <c r="B1390">
        <f>IFERROR(VLOOKUP(A1390,管理亚马逊库存!A:K,11,0),"")</f>
        <v>1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1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1</v>
      </c>
    </row>
    <row r="1391" spans="1:14">
      <c r="A1391" s="3" t="s">
        <v>5683</v>
      </c>
      <c r="B1391">
        <f>IFERROR(VLOOKUP(A1391,管理亚马逊库存!A:K,11,0),"")</f>
        <v>2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2</v>
      </c>
      <c r="N1391">
        <f t="shared" si="44"/>
        <v>2</v>
      </c>
    </row>
    <row r="1392" spans="1:14">
      <c r="A1392" s="3" t="s">
        <v>5687</v>
      </c>
      <c r="B1392">
        <f>IFERROR(VLOOKUP(A1392,管理亚马逊库存!A:K,11,0),"")</f>
        <v>21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17</v>
      </c>
      <c r="L1392">
        <f>IFERROR(VLOOKUP(A1392,库龄!B:M,11,0),0)</f>
        <v>3</v>
      </c>
      <c r="M1392">
        <f>IFERROR(VLOOKUP(A1392,库龄!B:N,12,0),0)</f>
        <v>0</v>
      </c>
      <c r="N1392">
        <f t="shared" si="44"/>
        <v>20</v>
      </c>
    </row>
    <row r="1393" spans="1:14">
      <c r="A1393" s="3" t="s">
        <v>5690</v>
      </c>
      <c r="B1393">
        <f>IFERROR(VLOOKUP(A1393,管理亚马逊库存!A:K,11,0),"")</f>
        <v>2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5694</v>
      </c>
      <c r="B1394">
        <f>IFERROR(VLOOKUP(A1394,管理亚马逊库存!A:K,11,0),"")</f>
        <v>3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5698</v>
      </c>
      <c r="B1395">
        <f>IFERROR(VLOOKUP(A1395,管理亚马逊库存!A:K,11,0),"")</f>
        <v>85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8</v>
      </c>
      <c r="K1395">
        <f>IFERROR(VLOOKUP(A1395,库龄!B:L,10,0),0)</f>
        <v>74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82</v>
      </c>
    </row>
    <row r="1396" spans="1:14">
      <c r="A1396" s="3" t="s">
        <v>5702</v>
      </c>
      <c r="B1396">
        <f>IFERROR(VLOOKUP(A1396,管理亚马逊库存!A:K,11,0),"")</f>
        <v>118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21</v>
      </c>
      <c r="K1396">
        <f>IFERROR(VLOOKUP(A1396,库龄!B:L,10,0),0)</f>
        <v>84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105</v>
      </c>
    </row>
    <row r="1397" spans="1:14">
      <c r="A1397" s="3" t="s">
        <v>5706</v>
      </c>
      <c r="B1397">
        <f>IFERROR(VLOOKUP(A1397,管理亚马逊库存!A:K,11,0),"")</f>
        <v>14</v>
      </c>
      <c r="C1397">
        <f>IFERROR(VLOOKUP(A1397,管理亚马逊库存!A:L,12,0),"")</f>
        <v>0</v>
      </c>
      <c r="D1397">
        <f>IFERROR(VLOOKUP(A1397,管理亚马逊库存!A:Q,17,0),"")</f>
        <v>5</v>
      </c>
      <c r="E1397">
        <f>IFERROR(VLOOKUP(A1397,管理亚马逊库存!A:R,18,0),"")</f>
        <v>0</v>
      </c>
      <c r="F1397">
        <f t="shared" si="43"/>
        <v>5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5709</v>
      </c>
      <c r="B1398">
        <f>IFERROR(VLOOKUP(A1398,管理亚马逊库存!A:K,11,0),"")</f>
        <v>56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12</v>
      </c>
      <c r="K1398">
        <f>IFERROR(VLOOKUP(A1398,库龄!B:L,10,0),0)</f>
        <v>42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54</v>
      </c>
    </row>
    <row r="1399" spans="1:14">
      <c r="A1399" s="3" t="s">
        <v>5713</v>
      </c>
      <c r="B1399">
        <f>IFERROR(VLOOKUP(A1399,管理亚马逊库存!A:K,11,0),"")</f>
        <v>9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5716</v>
      </c>
      <c r="B1400">
        <f>IFERROR(VLOOKUP(A1400,管理亚马逊库存!A:K,11,0),"")</f>
        <v>11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2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2</v>
      </c>
    </row>
    <row r="1401" spans="1:14">
      <c r="A1401" s="3" t="s">
        <v>5720</v>
      </c>
      <c r="B1401">
        <f>IFERROR(VLOOKUP(A1401,管理亚马逊库存!A:K,11,0),"")</f>
        <v>2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2</v>
      </c>
      <c r="M1401">
        <f>IFERROR(VLOOKUP(A1401,库龄!B:N,12,0),0)</f>
        <v>0</v>
      </c>
      <c r="N1401">
        <f t="shared" si="44"/>
        <v>2</v>
      </c>
    </row>
    <row r="1402" spans="1:14">
      <c r="A1402" s="3" t="s">
        <v>5723</v>
      </c>
      <c r="B1402">
        <f>IFERROR(VLOOKUP(A1402,管理亚马逊库存!A:K,11,0),"")</f>
        <v>2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1</v>
      </c>
      <c r="L1402">
        <f>IFERROR(VLOOKUP(A1402,库龄!B:M,11,0),0)</f>
        <v>1</v>
      </c>
      <c r="M1402">
        <f>IFERROR(VLOOKUP(A1402,库龄!B:N,12,0),0)</f>
        <v>0</v>
      </c>
      <c r="N1402">
        <f t="shared" si="44"/>
        <v>2</v>
      </c>
    </row>
    <row r="1403" spans="1:14">
      <c r="A1403" s="3" t="s">
        <v>5728</v>
      </c>
      <c r="B1403">
        <f>IFERROR(VLOOKUP(A1403,管理亚马逊库存!A:K,11,0),"")</f>
        <v>13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5733</v>
      </c>
      <c r="B1404">
        <f>IFERROR(VLOOKUP(A1404,管理亚马逊库存!A:K,11,0),"")</f>
        <v>10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5736</v>
      </c>
      <c r="B1405">
        <f>IFERROR(VLOOKUP(A1405,管理亚马逊库存!A:K,11,0),"")</f>
        <v>3</v>
      </c>
      <c r="C1405">
        <f>IFERROR(VLOOKUP(A1405,管理亚马逊库存!A:L,12,0),"")</f>
        <v>1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5741</v>
      </c>
      <c r="B1406">
        <f>IFERROR(VLOOKUP(A1406,管理亚马逊库存!A:K,11,0),"")</f>
        <v>14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14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14</v>
      </c>
    </row>
    <row r="1407" spans="1:14">
      <c r="A1407" s="3" t="s">
        <v>5746</v>
      </c>
      <c r="B1407">
        <f>IFERROR(VLOOKUP(A1407,管理亚马逊库存!A:K,11,0),"")</f>
        <v>6</v>
      </c>
      <c r="C1407">
        <f>IFERROR(VLOOKUP(A1407,管理亚马逊库存!A:L,12,0),"")</f>
        <v>2</v>
      </c>
      <c r="D1407">
        <f>IFERROR(VLOOKUP(A1407,管理亚马逊库存!A:Q,17,0),"")</f>
        <v>5</v>
      </c>
      <c r="E1407">
        <f>IFERROR(VLOOKUP(A1407,管理亚马逊库存!A:R,18,0),"")</f>
        <v>0</v>
      </c>
      <c r="F1407">
        <f t="shared" si="43"/>
        <v>5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5749</v>
      </c>
      <c r="B1408">
        <f>IFERROR(VLOOKUP(A1408,管理亚马逊库存!A:K,11,0),"")</f>
        <v>16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3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3</v>
      </c>
    </row>
    <row r="1409" spans="1:14">
      <c r="A1409" s="3" t="s">
        <v>5754</v>
      </c>
      <c r="B1409">
        <f>IFERROR(VLOOKUP(A1409,管理亚马逊库存!A:K,11,0),"")</f>
        <v>8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5757</v>
      </c>
      <c r="B1410">
        <f>IFERROR(VLOOKUP(A1410,管理亚马逊库存!A:K,11,0),"")</f>
        <v>1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5760</v>
      </c>
      <c r="B1411">
        <f>IFERROR(VLOOKUP(A1411,管理亚马逊库存!A:K,11,0),"")</f>
        <v>2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2</v>
      </c>
      <c r="M1411">
        <f>IFERROR(VLOOKUP(A1411,库龄!B:N,12,0),0)</f>
        <v>0</v>
      </c>
      <c r="N1411">
        <f t="shared" ref="N1411:N1474" si="46">SUM(J1411:M1411)</f>
        <v>2</v>
      </c>
    </row>
    <row r="1412" spans="1:14">
      <c r="A1412" s="3" t="s">
        <v>5763</v>
      </c>
      <c r="B1412">
        <f>IFERROR(VLOOKUP(A1412,管理亚马逊库存!A:K,11,0),"")</f>
        <v>10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5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5</v>
      </c>
    </row>
    <row r="1413" spans="1:14">
      <c r="A1413" s="3" t="s">
        <v>5767</v>
      </c>
      <c r="B1413">
        <f>IFERROR(VLOOKUP(A1413,管理亚马逊库存!A:K,11,0),"")</f>
        <v>4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4</v>
      </c>
      <c r="N1413">
        <f t="shared" si="46"/>
        <v>4</v>
      </c>
    </row>
    <row r="1414" spans="1:14">
      <c r="A1414" s="3" t="s">
        <v>5771</v>
      </c>
      <c r="B1414">
        <f>IFERROR(VLOOKUP(A1414,管理亚马逊库存!A:K,11,0),"")</f>
        <v>13</v>
      </c>
      <c r="C1414">
        <f>IFERROR(VLOOKUP(A1414,管理亚马逊库存!A:L,12,0),"")</f>
        <v>1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5775</v>
      </c>
      <c r="B1415">
        <f>IFERROR(VLOOKUP(A1415,管理亚马逊库存!A:K,11,0),"")</f>
        <v>10</v>
      </c>
      <c r="C1415">
        <f>IFERROR(VLOOKUP(A1415,管理亚马逊库存!A:L,12,0),"")</f>
        <v>1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5778</v>
      </c>
      <c r="B1416">
        <f>IFERROR(VLOOKUP(A1416,管理亚马逊库存!A:K,11,0),"")</f>
        <v>2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1</v>
      </c>
      <c r="L1416">
        <f>IFERROR(VLOOKUP(A1416,库龄!B:M,11,0),0)</f>
        <v>1</v>
      </c>
      <c r="M1416">
        <f>IFERROR(VLOOKUP(A1416,库龄!B:N,12,0),0)</f>
        <v>0</v>
      </c>
      <c r="N1416">
        <f t="shared" si="46"/>
        <v>2</v>
      </c>
    </row>
    <row r="1417" spans="1:14">
      <c r="A1417" s="3" t="s">
        <v>5781</v>
      </c>
      <c r="B1417">
        <f>IFERROR(VLOOKUP(A1417,管理亚马逊库存!A:K,11,0),"")</f>
        <v>10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10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10</v>
      </c>
    </row>
    <row r="1418" spans="1:14">
      <c r="A1418" s="3" t="s">
        <v>5785</v>
      </c>
      <c r="B1418">
        <f>IFERROR(VLOOKUP(A1418,管理亚马逊库存!A:K,11,0),"")</f>
        <v>1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5789</v>
      </c>
      <c r="B1419">
        <f>IFERROR(VLOOKUP(A1419,管理亚马逊库存!A:K,11,0),"")</f>
        <v>18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5793</v>
      </c>
      <c r="B1420">
        <f>IFERROR(VLOOKUP(A1420,管理亚马逊库存!A:K,11,0),"")</f>
        <v>0</v>
      </c>
      <c r="C1420">
        <f>IFERROR(VLOOKUP(A1420,管理亚马逊库存!A:L,12,0),"")</f>
        <v>1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5797</v>
      </c>
      <c r="B1421">
        <f>IFERROR(VLOOKUP(A1421,管理亚马逊库存!A:K,11,0),"")</f>
        <v>6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1</v>
      </c>
      <c r="K1421">
        <f>IFERROR(VLOOKUP(A1421,库龄!B:L,10,0),0)</f>
        <v>5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6</v>
      </c>
    </row>
    <row r="1422" spans="1:14">
      <c r="A1422" s="3" t="s">
        <v>5800</v>
      </c>
      <c r="B1422">
        <f>IFERROR(VLOOKUP(A1422,管理亚马逊库存!A:K,11,0),"")</f>
        <v>34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3</v>
      </c>
      <c r="K1422">
        <f>IFERROR(VLOOKUP(A1422,库龄!B:L,10,0),0)</f>
        <v>31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34</v>
      </c>
    </row>
    <row r="1423" spans="1:14">
      <c r="A1423" s="3" t="s">
        <v>5803</v>
      </c>
      <c r="B1423">
        <f>IFERROR(VLOOKUP(A1423,管理亚马逊库存!A:K,11,0),"")</f>
        <v>1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5806</v>
      </c>
      <c r="B1424">
        <f>IFERROR(VLOOKUP(A1424,管理亚马逊库存!A:K,11,0),"")</f>
        <v>69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9</v>
      </c>
      <c r="K1424">
        <f>IFERROR(VLOOKUP(A1424,库龄!B:L,10,0),0)</f>
        <v>53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62</v>
      </c>
    </row>
    <row r="1425" spans="1:14">
      <c r="A1425" s="3" t="s">
        <v>5811</v>
      </c>
      <c r="B1425">
        <f>IFERROR(VLOOKUP(A1425,管理亚马逊库存!A:K,11,0),"")</f>
        <v>17</v>
      </c>
      <c r="C1425">
        <f>IFERROR(VLOOKUP(A1425,管理亚马逊库存!A:L,12,0),"")</f>
        <v>1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5814</v>
      </c>
      <c r="B1426">
        <f>IFERROR(VLOOKUP(A1426,管理亚马逊库存!A:K,11,0),"")</f>
        <v>5</v>
      </c>
      <c r="C1426">
        <f>IFERROR(VLOOKUP(A1426,管理亚马逊库存!A:L,12,0),"")</f>
        <v>1</v>
      </c>
      <c r="D1426">
        <f>IFERROR(VLOOKUP(A1426,管理亚马逊库存!A:Q,17,0),"")</f>
        <v>5</v>
      </c>
      <c r="E1426">
        <f>IFERROR(VLOOKUP(A1426,管理亚马逊库存!A:R,18,0),"")</f>
        <v>0</v>
      </c>
      <c r="F1426">
        <f t="shared" si="45"/>
        <v>5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5818</v>
      </c>
      <c r="B1427">
        <f>IFERROR(VLOOKUP(A1427,管理亚马逊库存!A:K,11,0),"")</f>
        <v>10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5821</v>
      </c>
      <c r="B1428">
        <f>IFERROR(VLOOKUP(A1428,管理亚马逊库存!A:K,11,0),"")</f>
        <v>7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2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3</v>
      </c>
      <c r="N1428">
        <f t="shared" si="46"/>
        <v>5</v>
      </c>
    </row>
    <row r="1429" spans="1:14">
      <c r="A1429" s="3" t="s">
        <v>5825</v>
      </c>
      <c r="B1429">
        <f>IFERROR(VLOOKUP(A1429,管理亚马逊库存!A:K,11,0),"")</f>
        <v>39</v>
      </c>
      <c r="C1429">
        <f>IFERROR(VLOOKUP(A1429,管理亚马逊库存!A:L,12,0),"")</f>
        <v>1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18</v>
      </c>
      <c r="K1429">
        <f>IFERROR(VLOOKUP(A1429,库龄!B:L,10,0),0)</f>
        <v>18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36</v>
      </c>
    </row>
    <row r="1430" spans="1:14">
      <c r="A1430" s="3" t="s">
        <v>5829</v>
      </c>
      <c r="B1430">
        <f>IFERROR(VLOOKUP(A1430,管理亚马逊库存!A:K,11,0),"")</f>
        <v>1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5834</v>
      </c>
      <c r="B1431">
        <f>IFERROR(VLOOKUP(A1431,管理亚马逊库存!A:K,11,0),"")</f>
        <v>4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3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3</v>
      </c>
    </row>
    <row r="1432" spans="1:14">
      <c r="A1432" s="3" t="s">
        <v>5837</v>
      </c>
      <c r="B1432">
        <f>IFERROR(VLOOKUP(A1432,管理亚马逊库存!A:K,11,0),"")</f>
        <v>2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2</v>
      </c>
      <c r="M1432">
        <f>IFERROR(VLOOKUP(A1432,库龄!B:N,12,0),0)</f>
        <v>0</v>
      </c>
      <c r="N1432">
        <f t="shared" si="46"/>
        <v>2</v>
      </c>
    </row>
    <row r="1433" spans="1:14">
      <c r="A1433" s="3" t="s">
        <v>5840</v>
      </c>
      <c r="B1433">
        <f>IFERROR(VLOOKUP(A1433,管理亚马逊库存!A:K,11,0),"")</f>
        <v>3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5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5</v>
      </c>
    </row>
    <row r="1434" spans="1:14">
      <c r="A1434" s="3" t="s">
        <v>5844</v>
      </c>
      <c r="B1434">
        <f>IFERROR(VLOOKUP(A1434,管理亚马逊库存!A:K,11,0),"")</f>
        <v>2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2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2</v>
      </c>
    </row>
    <row r="1435" spans="1:14">
      <c r="A1435" s="3" t="s">
        <v>5848</v>
      </c>
      <c r="B1435">
        <f>IFERROR(VLOOKUP(A1435,管理亚马逊库存!A:K,11,0),"")</f>
        <v>12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5852</v>
      </c>
      <c r="B1436">
        <f>IFERROR(VLOOKUP(A1436,管理亚马逊库存!A:K,11,0),"")</f>
        <v>18</v>
      </c>
      <c r="C1436">
        <f>IFERROR(VLOOKUP(A1436,管理亚马逊库存!A:L,12,0),"")</f>
        <v>1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5856</v>
      </c>
      <c r="B1437">
        <f>IFERROR(VLOOKUP(A1437,管理亚马逊库存!A:K,11,0),"")</f>
        <v>4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5859</v>
      </c>
      <c r="B1438">
        <f>IFERROR(VLOOKUP(A1438,管理亚马逊库存!A:K,11,0),"")</f>
        <v>5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5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5</v>
      </c>
    </row>
    <row r="1439" spans="1:14">
      <c r="A1439" s="3" t="s">
        <v>5863</v>
      </c>
      <c r="B1439">
        <f>IFERROR(VLOOKUP(A1439,管理亚马逊库存!A:K,11,0),"")</f>
        <v>1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1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1</v>
      </c>
    </row>
    <row r="1440" spans="1:14">
      <c r="A1440" s="3" t="s">
        <v>5867</v>
      </c>
      <c r="B1440">
        <f>IFERROR(VLOOKUP(A1440,管理亚马逊库存!A:K,11,0),"")</f>
        <v>10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1</v>
      </c>
      <c r="K1440">
        <f>IFERROR(VLOOKUP(A1440,库龄!B:L,10,0),0)</f>
        <v>8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9</v>
      </c>
    </row>
    <row r="1441" spans="1:14">
      <c r="A1441" s="3" t="s">
        <v>5870</v>
      </c>
      <c r="B1441">
        <f>IFERROR(VLOOKUP(A1441,管理亚马逊库存!A:K,11,0),"")</f>
        <v>15</v>
      </c>
      <c r="C1441">
        <f>IFERROR(VLOOKUP(A1441,管理亚马逊库存!A:L,12,0),"")</f>
        <v>1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5874</v>
      </c>
      <c r="B1442">
        <f>IFERROR(VLOOKUP(A1442,管理亚马逊库存!A:K,11,0),"")</f>
        <v>14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7</v>
      </c>
      <c r="K1442">
        <f>IFERROR(VLOOKUP(A1442,库龄!B:L,10,0),0)</f>
        <v>4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11</v>
      </c>
    </row>
    <row r="1443" spans="1:14">
      <c r="A1443" s="3" t="s">
        <v>5879</v>
      </c>
      <c r="B1443">
        <f>IFERROR(VLOOKUP(A1443,管理亚马逊库存!A:K,11,0),"")</f>
        <v>2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1</v>
      </c>
      <c r="K1443">
        <f>IFERROR(VLOOKUP(A1443,库龄!B:L,10,0),0)</f>
        <v>0</v>
      </c>
      <c r="L1443">
        <f>IFERROR(VLOOKUP(A1443,库龄!B:M,11,0),0)</f>
        <v>1</v>
      </c>
      <c r="M1443">
        <f>IFERROR(VLOOKUP(A1443,库龄!B:N,12,0),0)</f>
        <v>0</v>
      </c>
      <c r="N1443">
        <f t="shared" si="46"/>
        <v>2</v>
      </c>
    </row>
    <row r="1444" spans="1:14">
      <c r="A1444" s="3" t="s">
        <v>5883</v>
      </c>
      <c r="B1444">
        <f>IFERROR(VLOOKUP(A1444,管理亚马逊库存!A:K,11,0),"")</f>
        <v>4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5887</v>
      </c>
      <c r="B1445">
        <f>IFERROR(VLOOKUP(A1445,管理亚马逊库存!A:K,11,0),"")</f>
        <v>6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1</v>
      </c>
      <c r="K1445">
        <f>IFERROR(VLOOKUP(A1445,库龄!B:L,10,0),0)</f>
        <v>0</v>
      </c>
      <c r="L1445">
        <f>IFERROR(VLOOKUP(A1445,库龄!B:M,11,0),0)</f>
        <v>5</v>
      </c>
      <c r="M1445">
        <f>IFERROR(VLOOKUP(A1445,库龄!B:N,12,0),0)</f>
        <v>0</v>
      </c>
      <c r="N1445">
        <f t="shared" si="46"/>
        <v>6</v>
      </c>
    </row>
    <row r="1446" spans="1:14">
      <c r="A1446" s="3" t="s">
        <v>5892</v>
      </c>
      <c r="B1446">
        <f>IFERROR(VLOOKUP(A1446,管理亚马逊库存!A:K,11,0),"")</f>
        <v>25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6</v>
      </c>
      <c r="K1446">
        <f>IFERROR(VLOOKUP(A1446,库龄!B:L,10,0),0)</f>
        <v>18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24</v>
      </c>
    </row>
    <row r="1447" spans="1:14">
      <c r="A1447" s="3" t="s">
        <v>5898</v>
      </c>
      <c r="B1447">
        <f>IFERROR(VLOOKUP(A1447,管理亚马逊库存!A:K,11,0),"")</f>
        <v>1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1</v>
      </c>
      <c r="M1447">
        <f>IFERROR(VLOOKUP(A1447,库龄!B:N,12,0),0)</f>
        <v>0</v>
      </c>
      <c r="N1447">
        <f t="shared" si="46"/>
        <v>1</v>
      </c>
    </row>
    <row r="1448" spans="1:14">
      <c r="A1448" s="3" t="s">
        <v>5901</v>
      </c>
      <c r="B1448">
        <f>IFERROR(VLOOKUP(A1448,管理亚马逊库存!A:K,11,0),"")</f>
        <v>5</v>
      </c>
      <c r="C1448">
        <f>IFERROR(VLOOKUP(A1448,管理亚马逊库存!A:L,12,0),"")</f>
        <v>2</v>
      </c>
      <c r="D1448">
        <f>IFERROR(VLOOKUP(A1448,管理亚马逊库存!A:Q,17,0),"")</f>
        <v>28</v>
      </c>
      <c r="E1448">
        <f>IFERROR(VLOOKUP(A1448,管理亚马逊库存!A:R,18,0),"")</f>
        <v>0</v>
      </c>
      <c r="F1448">
        <f t="shared" si="45"/>
        <v>28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5905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5909</v>
      </c>
      <c r="B1450">
        <f>IFERROR(VLOOKUP(A1450,管理亚马逊库存!A:K,11,0),"")</f>
        <v>15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5914</v>
      </c>
      <c r="B1451">
        <f>IFERROR(VLOOKUP(A1451,管理亚马逊库存!A:K,11,0),"")</f>
        <v>15</v>
      </c>
      <c r="C1451">
        <f>IFERROR(VLOOKUP(A1451,管理亚马逊库存!A:L,12,0),"")</f>
        <v>0</v>
      </c>
      <c r="D1451">
        <f>IFERROR(VLOOKUP(A1451,管理亚马逊库存!A:Q,17,0),"")</f>
        <v>1</v>
      </c>
      <c r="E1451">
        <f>IFERROR(VLOOKUP(A1451,管理亚马逊库存!A:R,18,0),"")</f>
        <v>0</v>
      </c>
      <c r="F1451">
        <f t="shared" si="45"/>
        <v>1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5919</v>
      </c>
      <c r="B1452">
        <f>IFERROR(VLOOKUP(A1452,管理亚马逊库存!A:K,11,0),"")</f>
        <v>20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5923</v>
      </c>
      <c r="B1453">
        <f>IFERROR(VLOOKUP(A1453,管理亚马逊库存!A:K,11,0),"")</f>
        <v>15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5927</v>
      </c>
      <c r="B1454">
        <f>IFERROR(VLOOKUP(A1454,管理亚马逊库存!A:K,11,0),"")</f>
        <v>10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5930</v>
      </c>
      <c r="B1455">
        <f>IFERROR(VLOOKUP(A1455,管理亚马逊库存!A:K,11,0),"")</f>
        <v>10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5933</v>
      </c>
      <c r="B1456">
        <f>IFERROR(VLOOKUP(A1456,管理亚马逊库存!A:K,11,0),"")</f>
        <v>10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5936</v>
      </c>
      <c r="B1457">
        <f>IFERROR(VLOOKUP(A1457,管理亚马逊库存!A:K,11,0),"")</f>
        <v>97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7</v>
      </c>
      <c r="K1457">
        <f>IFERROR(VLOOKUP(A1457,库龄!B:L,10,0),0)</f>
        <v>86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93</v>
      </c>
    </row>
    <row r="1458" spans="1:14">
      <c r="A1458" s="3" t="s">
        <v>5941</v>
      </c>
      <c r="B1458">
        <f>IFERROR(VLOOKUP(A1458,管理亚马逊库存!A:K,11,0),"")</f>
        <v>15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5945</v>
      </c>
      <c r="B1459">
        <f>IFERROR(VLOOKUP(A1459,管理亚马逊库存!A:K,11,0),"")</f>
        <v>4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3</v>
      </c>
      <c r="M1459">
        <f>IFERROR(VLOOKUP(A1459,库龄!B:N,12,0),0)</f>
        <v>0</v>
      </c>
      <c r="N1459">
        <f t="shared" si="46"/>
        <v>3</v>
      </c>
    </row>
    <row r="1460" spans="1:14">
      <c r="A1460" s="3" t="s">
        <v>5949</v>
      </c>
      <c r="B1460">
        <f>IFERROR(VLOOKUP(A1460,管理亚马逊库存!A:K,11,0),"")</f>
        <v>4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3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3</v>
      </c>
    </row>
    <row r="1461" spans="1:14">
      <c r="A1461" s="3" t="s">
        <v>5953</v>
      </c>
      <c r="B1461">
        <f>IFERROR(VLOOKUP(A1461,管理亚马逊库存!A:K,11,0),"")</f>
        <v>11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5957</v>
      </c>
      <c r="B1462">
        <f>IFERROR(VLOOKUP(A1462,管理亚马逊库存!A:K,11,0),"")</f>
        <v>44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15</v>
      </c>
      <c r="K1462">
        <f>IFERROR(VLOOKUP(A1462,库龄!B:L,10,0),0)</f>
        <v>29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44</v>
      </c>
    </row>
    <row r="1463" spans="1:14">
      <c r="A1463" s="3" t="s">
        <v>5961</v>
      </c>
      <c r="B1463">
        <f>IFERROR(VLOOKUP(A1463,管理亚马逊库存!A:K,11,0),"")</f>
        <v>15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5964</v>
      </c>
      <c r="B1464">
        <f>IFERROR(VLOOKUP(A1464,管理亚马逊库存!A:K,11,0),"")</f>
        <v>1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1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1</v>
      </c>
    </row>
    <row r="1465" spans="1:14">
      <c r="A1465" s="3" t="s">
        <v>5967</v>
      </c>
      <c r="B1465">
        <f>IFERROR(VLOOKUP(A1465,管理亚马逊库存!A:K,11,0),"")</f>
        <v>12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5971</v>
      </c>
      <c r="B1466">
        <f>IFERROR(VLOOKUP(A1466,管理亚马逊库存!A:K,11,0),"")</f>
        <v>2</v>
      </c>
      <c r="C1466">
        <f>IFERROR(VLOOKUP(A1466,管理亚马逊库存!A:L,12,0),"")</f>
        <v>3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5975</v>
      </c>
      <c r="B1467">
        <f>IFERROR(VLOOKUP(A1467,管理亚马逊库存!A:K,11,0),"")</f>
        <v>0</v>
      </c>
      <c r="C1467">
        <f>IFERROR(VLOOKUP(A1467,管理亚马逊库存!A:L,12,0),"")</f>
        <v>1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5979</v>
      </c>
      <c r="B1468">
        <f>IFERROR(VLOOKUP(A1468,管理亚马逊库存!A:K,11,0),"")</f>
        <v>21</v>
      </c>
      <c r="C1468">
        <f>IFERROR(VLOOKUP(A1468,管理亚马逊库存!A:L,12,0),"")</f>
        <v>1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8</v>
      </c>
      <c r="K1468">
        <f>IFERROR(VLOOKUP(A1468,库龄!B:L,10,0),0)</f>
        <v>9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17</v>
      </c>
    </row>
    <row r="1469" spans="1:14">
      <c r="A1469" s="3" t="s">
        <v>5983</v>
      </c>
      <c r="B1469">
        <f>IFERROR(VLOOKUP(A1469,管理亚马逊库存!A:K,11,0),"")</f>
        <v>1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2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2</v>
      </c>
    </row>
    <row r="1470" spans="1:14">
      <c r="A1470" s="3" t="s">
        <v>5989</v>
      </c>
      <c r="B1470">
        <f>IFERROR(VLOOKUP(A1470,管理亚马逊库存!A:K,11,0),"")</f>
        <v>5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5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5</v>
      </c>
    </row>
    <row r="1471" spans="1:14">
      <c r="A1471" s="3" t="s">
        <v>5993</v>
      </c>
      <c r="B1471">
        <f>IFERROR(VLOOKUP(A1471,管理亚马逊库存!A:K,11,0),"")</f>
        <v>1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1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1</v>
      </c>
    </row>
    <row r="1472" spans="1:14">
      <c r="A1472" s="3" t="s">
        <v>5997</v>
      </c>
      <c r="B1472">
        <f>IFERROR(VLOOKUP(A1472,管理亚马逊库存!A:K,11,0),"")</f>
        <v>5</v>
      </c>
      <c r="C1472">
        <f>IFERROR(VLOOKUP(A1472,管理亚马逊库存!A:L,12,0),"")</f>
        <v>1</v>
      </c>
      <c r="D1472">
        <f>IFERROR(VLOOKUP(A1472,管理亚马逊库存!A:Q,17,0),"")</f>
        <v>19</v>
      </c>
      <c r="E1472">
        <f>IFERROR(VLOOKUP(A1472,管理亚马逊库存!A:R,18,0),"")</f>
        <v>0</v>
      </c>
      <c r="F1472">
        <f t="shared" si="45"/>
        <v>19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6001</v>
      </c>
      <c r="B1473">
        <f>IFERROR(VLOOKUP(A1473,管理亚马逊库存!A:K,11,0),"")</f>
        <v>11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11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11</v>
      </c>
    </row>
    <row r="1474" spans="1:14">
      <c r="A1474" s="3" t="s">
        <v>6005</v>
      </c>
      <c r="B1474">
        <f>IFERROR(VLOOKUP(A1474,管理亚马逊库存!A:K,11,0),"")</f>
        <v>10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10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10</v>
      </c>
    </row>
    <row r="1475" spans="1:14">
      <c r="A1475" s="3" t="s">
        <v>6009</v>
      </c>
      <c r="B1475">
        <f>IFERROR(VLOOKUP(A1475,管理亚马逊库存!A:K,11,0),"")</f>
        <v>3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1</v>
      </c>
      <c r="K1475">
        <f>IFERROR(VLOOKUP(A1475,库龄!B:L,10,0),0)</f>
        <v>2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3</v>
      </c>
    </row>
    <row r="1476" spans="1:14">
      <c r="A1476" s="3" t="s">
        <v>6012</v>
      </c>
      <c r="B1476">
        <f>IFERROR(VLOOKUP(A1476,管理亚马逊库存!A:K,11,0),"")</f>
        <v>15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6015</v>
      </c>
      <c r="B1477">
        <f>IFERROR(VLOOKUP(A1477,管理亚马逊库存!A:K,11,0),"")</f>
        <v>2</v>
      </c>
      <c r="C1477">
        <f>IFERROR(VLOOKUP(A1477,管理亚马逊库存!A:L,12,0),"")</f>
        <v>4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6019</v>
      </c>
      <c r="B1478">
        <f>IFERROR(VLOOKUP(A1478,管理亚马逊库存!A:K,11,0),"")</f>
        <v>10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6022</v>
      </c>
      <c r="B1479">
        <f>IFERROR(VLOOKUP(A1479,管理亚马逊库存!A:K,11,0),"")</f>
        <v>16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6026</v>
      </c>
      <c r="B1480">
        <f>IFERROR(VLOOKUP(A1480,管理亚马逊库存!A:K,11,0),"")</f>
        <v>8</v>
      </c>
      <c r="C1480">
        <f>IFERROR(VLOOKUP(A1480,管理亚马逊库存!A:L,12,0),"")</f>
        <v>1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6029</v>
      </c>
      <c r="B1481">
        <f>IFERROR(VLOOKUP(A1481,管理亚马逊库存!A:K,11,0),"")</f>
        <v>9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6034</v>
      </c>
      <c r="B1482">
        <f>IFERROR(VLOOKUP(A1482,管理亚马逊库存!A:K,11,0),"")</f>
        <v>20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11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11</v>
      </c>
    </row>
    <row r="1483" spans="1:14">
      <c r="A1483" s="3" t="s">
        <v>6037</v>
      </c>
      <c r="B1483">
        <f>IFERROR(VLOOKUP(A1483,管理亚马逊库存!A:K,11,0),"")</f>
        <v>5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5</v>
      </c>
      <c r="M1483">
        <f>IFERROR(VLOOKUP(A1483,库龄!B:N,12,0),0)</f>
        <v>0</v>
      </c>
      <c r="N1483">
        <f t="shared" si="48"/>
        <v>5</v>
      </c>
    </row>
    <row r="1484" spans="1:14">
      <c r="A1484" s="3" t="s">
        <v>6041</v>
      </c>
      <c r="B1484">
        <f>IFERROR(VLOOKUP(A1484,管理亚马逊库存!A:K,11,0),"")</f>
        <v>2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3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3</v>
      </c>
    </row>
    <row r="1485" spans="1:14">
      <c r="A1485" s="3" t="s">
        <v>6046</v>
      </c>
      <c r="B1485">
        <f>IFERROR(VLOOKUP(A1485,管理亚马逊库存!A:K,11,0),"")</f>
        <v>2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2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2</v>
      </c>
    </row>
    <row r="1486" spans="1:14">
      <c r="A1486" s="3" t="s">
        <v>6049</v>
      </c>
      <c r="B1486">
        <f>IFERROR(VLOOKUP(A1486,管理亚马逊库存!A:K,11,0),"")</f>
        <v>1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1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1</v>
      </c>
    </row>
    <row r="1487" spans="1:14">
      <c r="A1487" s="3" t="s">
        <v>6053</v>
      </c>
      <c r="B1487">
        <f>IFERROR(VLOOKUP(A1487,管理亚马逊库存!A:K,11,0),"")</f>
        <v>28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5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5</v>
      </c>
    </row>
    <row r="1488" spans="1:14">
      <c r="A1488" s="3" t="s">
        <v>6056</v>
      </c>
      <c r="B1488">
        <f>IFERROR(VLOOKUP(A1488,管理亚马逊库存!A:K,11,0),"")</f>
        <v>10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6061</v>
      </c>
      <c r="B1489">
        <f>IFERROR(VLOOKUP(A1489,管理亚马逊库存!A:K,11,0),"")</f>
        <v>11</v>
      </c>
      <c r="C1489">
        <f>IFERROR(VLOOKUP(A1489,管理亚马逊库存!A:L,12,0),"")</f>
        <v>0</v>
      </c>
      <c r="D1489">
        <f>IFERROR(VLOOKUP(A1489,管理亚马逊库存!A:Q,17,0),"")</f>
        <v>5</v>
      </c>
      <c r="E1489">
        <f>IFERROR(VLOOKUP(A1489,管理亚马逊库存!A:R,18,0),"")</f>
        <v>0</v>
      </c>
      <c r="F1489">
        <f t="shared" si="47"/>
        <v>5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6066</v>
      </c>
      <c r="B1490">
        <f>IFERROR(VLOOKUP(A1490,管理亚马逊库存!A:K,11,0),"")</f>
        <v>17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17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17</v>
      </c>
    </row>
    <row r="1491" spans="1:14">
      <c r="A1491" s="3" t="s">
        <v>6069</v>
      </c>
      <c r="B1491">
        <f>IFERROR(VLOOKUP(A1491,管理亚马逊库存!A:K,11,0),"")</f>
        <v>1</v>
      </c>
      <c r="C1491">
        <f>IFERROR(VLOOKUP(A1491,管理亚马逊库存!A:L,12,0),"")</f>
        <v>3</v>
      </c>
      <c r="D1491">
        <f>IFERROR(VLOOKUP(A1491,管理亚马逊库存!A:Q,17,0),"")</f>
        <v>8</v>
      </c>
      <c r="E1491">
        <f>IFERROR(VLOOKUP(A1491,管理亚马逊库存!A:R,18,0),"")</f>
        <v>0</v>
      </c>
      <c r="F1491">
        <f t="shared" si="47"/>
        <v>8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6072</v>
      </c>
      <c r="B1492">
        <f>IFERROR(VLOOKUP(A1492,管理亚马逊库存!A:K,11,0),"")</f>
        <v>16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3</v>
      </c>
      <c r="K1492">
        <f>IFERROR(VLOOKUP(A1492,库龄!B:L,10,0),0)</f>
        <v>0</v>
      </c>
      <c r="L1492">
        <f>IFERROR(VLOOKUP(A1492,库龄!B:M,11,0),0)</f>
        <v>1</v>
      </c>
      <c r="M1492">
        <f>IFERROR(VLOOKUP(A1492,库龄!B:N,12,0),0)</f>
        <v>12</v>
      </c>
      <c r="N1492">
        <f t="shared" si="48"/>
        <v>16</v>
      </c>
    </row>
    <row r="1493" spans="1:14">
      <c r="A1493" s="3" t="s">
        <v>6076</v>
      </c>
      <c r="B1493">
        <f>IFERROR(VLOOKUP(A1493,管理亚马逊库存!A:K,11,0),"")</f>
        <v>21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21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21</v>
      </c>
    </row>
    <row r="1494" spans="1:14">
      <c r="A1494" s="3" t="s">
        <v>6080</v>
      </c>
      <c r="B1494">
        <f>IFERROR(VLOOKUP(A1494,管理亚马逊库存!A:K,11,0),"")</f>
        <v>0</v>
      </c>
      <c r="C1494">
        <f>IFERROR(VLOOKUP(A1494,管理亚马逊库存!A:L,12,0),"")</f>
        <v>2</v>
      </c>
      <c r="D1494">
        <f>IFERROR(VLOOKUP(A1494,管理亚马逊库存!A:Q,17,0),"")</f>
        <v>10</v>
      </c>
      <c r="E1494">
        <f>IFERROR(VLOOKUP(A1494,管理亚马逊库存!A:R,18,0),"")</f>
        <v>0</v>
      </c>
      <c r="F1494">
        <f t="shared" si="47"/>
        <v>10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6085</v>
      </c>
      <c r="B1495">
        <f>IFERROR(VLOOKUP(A1495,管理亚马逊库存!A:K,11,0),"")</f>
        <v>1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1</v>
      </c>
      <c r="N1495">
        <f t="shared" si="48"/>
        <v>1</v>
      </c>
    </row>
    <row r="1496" spans="1:14">
      <c r="A1496" s="3" t="s">
        <v>6089</v>
      </c>
      <c r="B1496">
        <f>IFERROR(VLOOKUP(A1496,管理亚马逊库存!A:K,11,0),"")</f>
        <v>9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9</v>
      </c>
      <c r="M1496">
        <f>IFERROR(VLOOKUP(A1496,库龄!B:N,12,0),0)</f>
        <v>0</v>
      </c>
      <c r="N1496">
        <f t="shared" si="48"/>
        <v>9</v>
      </c>
    </row>
    <row r="1497" spans="1:14">
      <c r="A1497" s="3" t="s">
        <v>6092</v>
      </c>
      <c r="B1497">
        <f>IFERROR(VLOOKUP(A1497,管理亚马逊库存!A:K,11,0),"")</f>
        <v>41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6</v>
      </c>
      <c r="K1497">
        <f>IFERROR(VLOOKUP(A1497,库龄!B:L,10,0),0)</f>
        <v>35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41</v>
      </c>
    </row>
    <row r="1498" spans="1:14">
      <c r="A1498" s="3" t="s">
        <v>6096</v>
      </c>
      <c r="B1498">
        <f>IFERROR(VLOOKUP(A1498,管理亚马逊库存!A:K,11,0),"")</f>
        <v>15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6101</v>
      </c>
      <c r="B1499">
        <f>IFERROR(VLOOKUP(A1499,管理亚马逊库存!A:K,11,0),"")</f>
        <v>10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10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10</v>
      </c>
    </row>
    <row r="1500" spans="1:14">
      <c r="A1500" s="3" t="s">
        <v>6105</v>
      </c>
      <c r="B1500">
        <f>IFERROR(VLOOKUP(A1500,管理亚马逊库存!A:K,11,0),"")</f>
        <v>8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1</v>
      </c>
      <c r="K1500">
        <f>IFERROR(VLOOKUP(A1500,库龄!B:L,10,0),0)</f>
        <v>8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9</v>
      </c>
    </row>
    <row r="1501" spans="1:14">
      <c r="A1501" s="3" t="s">
        <v>6109</v>
      </c>
      <c r="B1501">
        <f>IFERROR(VLOOKUP(A1501,管理亚马逊库存!A:K,11,0),"")</f>
        <v>22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6114</v>
      </c>
      <c r="B1502">
        <f>IFERROR(VLOOKUP(A1502,管理亚马逊库存!A:K,11,0),"")</f>
        <v>3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1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1</v>
      </c>
    </row>
    <row r="1503" spans="1:14">
      <c r="A1503" s="3" t="s">
        <v>6120</v>
      </c>
      <c r="B1503">
        <f>IFERROR(VLOOKUP(A1503,管理亚马逊库存!A:K,11,0),"")</f>
        <v>2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6124</v>
      </c>
      <c r="B1504">
        <f>IFERROR(VLOOKUP(A1504,管理亚马逊库存!A:K,11,0),"")</f>
        <v>1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1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1</v>
      </c>
    </row>
    <row r="1505" spans="1:14">
      <c r="A1505" s="3" t="s">
        <v>6128</v>
      </c>
      <c r="B1505">
        <f>IFERROR(VLOOKUP(A1505,管理亚马逊库存!A:K,11,0),"")</f>
        <v>21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6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5</v>
      </c>
      <c r="N1505">
        <f t="shared" si="48"/>
        <v>11</v>
      </c>
    </row>
    <row r="1506" spans="1:14">
      <c r="A1506" s="3" t="s">
        <v>6132</v>
      </c>
      <c r="B1506">
        <f>IFERROR(VLOOKUP(A1506,管理亚马逊库存!A:K,11,0),"")</f>
        <v>2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2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2</v>
      </c>
    </row>
    <row r="1507" spans="1:14">
      <c r="A1507" s="3" t="s">
        <v>6135</v>
      </c>
      <c r="B1507">
        <f>IFERROR(VLOOKUP(A1507,管理亚马逊库存!A:K,11,0),"")</f>
        <v>13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6139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1</v>
      </c>
      <c r="M1508">
        <f>IFERROR(VLOOKUP(A1508,库龄!B:N,12,0),0)</f>
        <v>0</v>
      </c>
      <c r="N1508">
        <f t="shared" si="48"/>
        <v>1</v>
      </c>
    </row>
    <row r="1509" spans="1:14">
      <c r="A1509" s="3" t="s">
        <v>6143</v>
      </c>
      <c r="B1509">
        <f>IFERROR(VLOOKUP(A1509,管理亚马逊库存!A:K,11,0),"")</f>
        <v>4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4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4</v>
      </c>
    </row>
    <row r="1510" spans="1:14">
      <c r="A1510" s="3" t="s">
        <v>6147</v>
      </c>
      <c r="B1510">
        <f>IFERROR(VLOOKUP(A1510,管理亚马逊库存!A:K,11,0),"")</f>
        <v>15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6150</v>
      </c>
      <c r="B1511">
        <f>IFERROR(VLOOKUP(A1511,管理亚马逊库存!A:K,11,0),"")</f>
        <v>26</v>
      </c>
      <c r="C1511">
        <f>IFERROR(VLOOKUP(A1511,管理亚马逊库存!A:L,12,0),"")</f>
        <v>2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6154</v>
      </c>
      <c r="B1512">
        <f>IFERROR(VLOOKUP(A1512,管理亚马逊库存!A:K,11,0),"")</f>
        <v>10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10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10</v>
      </c>
    </row>
    <row r="1513" spans="1:14">
      <c r="A1513" s="3" t="s">
        <v>6158</v>
      </c>
      <c r="B1513">
        <f>IFERROR(VLOOKUP(A1513,管理亚马逊库存!A:K,11,0),"")</f>
        <v>10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6162</v>
      </c>
      <c r="B1514">
        <f>IFERROR(VLOOKUP(A1514,管理亚马逊库存!A:K,11,0),"")</f>
        <v>11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5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5</v>
      </c>
    </row>
    <row r="1515" spans="1:14">
      <c r="A1515" s="3" t="s">
        <v>6167</v>
      </c>
      <c r="B1515">
        <f>IFERROR(VLOOKUP(A1515,管理亚马逊库存!A:K,11,0),"")</f>
        <v>10</v>
      </c>
      <c r="C1515">
        <f>IFERROR(VLOOKUP(A1515,管理亚马逊库存!A:L,12,0),"")</f>
        <v>4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6171</v>
      </c>
      <c r="B1516">
        <f>IFERROR(VLOOKUP(A1516,管理亚马逊库存!A:K,11,0),"")</f>
        <v>14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14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14</v>
      </c>
    </row>
    <row r="1517" spans="1:14">
      <c r="A1517" s="3" t="s">
        <v>6175</v>
      </c>
      <c r="B1517">
        <f>IFERROR(VLOOKUP(A1517,管理亚马逊库存!A:K,11,0),"")</f>
        <v>4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4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4</v>
      </c>
    </row>
    <row r="1518" spans="1:14">
      <c r="A1518" s="3" t="s">
        <v>6179</v>
      </c>
      <c r="B1518">
        <f>IFERROR(VLOOKUP(A1518,管理亚马逊库存!A:K,11,0),"")</f>
        <v>43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31</v>
      </c>
      <c r="K1518">
        <f>IFERROR(VLOOKUP(A1518,库龄!B:L,10,0),0)</f>
        <v>9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40</v>
      </c>
    </row>
    <row r="1519" spans="1:14">
      <c r="A1519" s="3" t="s">
        <v>6184</v>
      </c>
      <c r="B1519">
        <f>IFERROR(VLOOKUP(A1519,管理亚马逊库存!A:K,11,0),"")</f>
        <v>11</v>
      </c>
      <c r="C1519">
        <f>IFERROR(VLOOKUP(A1519,管理亚马逊库存!A:L,12,0),"")</f>
        <v>2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1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1</v>
      </c>
    </row>
    <row r="1520" spans="1:14">
      <c r="A1520" s="3" t="s">
        <v>6188</v>
      </c>
      <c r="B1520">
        <f>IFERROR(VLOOKUP(A1520,管理亚马逊库存!A:K,11,0),"")</f>
        <v>1</v>
      </c>
      <c r="C1520">
        <f>IFERROR(VLOOKUP(A1520,管理亚马逊库存!A:L,12,0),"")</f>
        <v>1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6192</v>
      </c>
      <c r="B1521">
        <f>IFERROR(VLOOKUP(A1521,管理亚马逊库存!A:K,11,0),"")</f>
        <v>15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6195</v>
      </c>
      <c r="B1522">
        <f>IFERROR(VLOOKUP(A1522,管理亚马逊库存!A:K,11,0),"")</f>
        <v>2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6199</v>
      </c>
      <c r="B1523">
        <f>IFERROR(VLOOKUP(A1523,管理亚马逊库存!A:K,11,0),"")</f>
        <v>3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3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3</v>
      </c>
    </row>
    <row r="1524" spans="1:14">
      <c r="A1524" s="3" t="s">
        <v>6202</v>
      </c>
      <c r="B1524">
        <f>IFERROR(VLOOKUP(A1524,管理亚马逊库存!A:K,11,0),"")</f>
        <v>2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6205</v>
      </c>
      <c r="B1525">
        <f>IFERROR(VLOOKUP(A1525,管理亚马逊库存!A:K,11,0),"")</f>
        <v>13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2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2</v>
      </c>
    </row>
    <row r="1526" spans="1:14">
      <c r="A1526" s="3" t="s">
        <v>6209</v>
      </c>
      <c r="B1526">
        <f>IFERROR(VLOOKUP(A1526,管理亚马逊库存!A:K,11,0),"")</f>
        <v>12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12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12</v>
      </c>
    </row>
    <row r="1527" spans="1:14">
      <c r="A1527" s="3" t="s">
        <v>6213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6229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6235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6239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6243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6247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6251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6255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6259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6263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6266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6269</v>
      </c>
      <c r="B1538">
        <f>IFERROR(VLOOKUP(A1538,管理亚马逊库存!A:K,11,0),"")</f>
        <v>0</v>
      </c>
      <c r="C1538">
        <f>IFERROR(VLOOKUP(A1538,管理亚马逊库存!A:L,12,0),"")</f>
        <v>1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6272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6276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6279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6282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6285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6288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6291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6294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6297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6300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6303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6306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6309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6312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6315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6318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6321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6324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6327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6330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6333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6336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6339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6342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6345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6348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6351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6354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6357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6360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6363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6366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6369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6372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6375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6378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6381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6384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6387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6390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6393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6396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6399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6402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6405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6408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6411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6414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6417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6420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6423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6426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6429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6432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6435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6438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6441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6444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6447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6450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6453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6456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6459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6462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6465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6468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6471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6474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6477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6480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6483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6486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6489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6492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6495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6498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6501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6504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6507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6510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6513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6516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6519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6522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6525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6528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6531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6534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6537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6540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6543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6546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6549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6552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6555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6558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6561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6564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6567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6570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6573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6576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6580</v>
      </c>
      <c r="B1641">
        <f>IFERROR(VLOOKUP(A1641,管理亚马逊库存!A:K,11,0),"")</f>
        <v>0</v>
      </c>
      <c r="C1641">
        <f>IFERROR(VLOOKUP(A1641,管理亚马逊库存!A:L,12,0),"")</f>
        <v>1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6584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6588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6594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6600</v>
      </c>
      <c r="B1645">
        <f>IFERROR(VLOOKUP(A1645,管理亚马逊库存!A:K,11,0),"")</f>
        <v>0</v>
      </c>
      <c r="C1645">
        <f>IFERROR(VLOOKUP(A1645,管理亚马逊库存!A:L,12,0),"")</f>
        <v>1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6607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6617</v>
      </c>
      <c r="B1647">
        <f>IFERROR(VLOOKUP(A1647,管理亚马逊库存!A:K,11,0),"")</f>
        <v>0</v>
      </c>
      <c r="C1647">
        <f>IFERROR(VLOOKUP(A1647,管理亚马逊库存!A:L,12,0),"")</f>
        <v>1</v>
      </c>
      <c r="D1647">
        <f>IFERROR(VLOOKUP(A1647,管理亚马逊库存!A:Q,17,0),"")</f>
        <v>32</v>
      </c>
      <c r="E1647">
        <f>IFERROR(VLOOKUP(A1647,管理亚马逊库存!A:R,18,0),"")</f>
        <v>0</v>
      </c>
      <c r="F1647">
        <f t="shared" si="51"/>
        <v>32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6622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6627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6638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6643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6646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6649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6652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6655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6658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6661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6664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6667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6670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6673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6676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6679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6682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6685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6688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6691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6694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6697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6700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6703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6706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6709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6712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6715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6718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6721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6724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6727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6730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6733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6736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6739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6742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6745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6748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6751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6754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6757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6760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6763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6766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6769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6773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6777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6781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6785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6789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6793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6797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6801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6805</v>
      </c>
      <c r="B1702">
        <f>IFERROR(VLOOKUP(A1702,管理亚马逊库存!A:K,11,0),"")</f>
        <v>0</v>
      </c>
      <c r="C1702">
        <f>IFERROR(VLOOKUP(A1702,管理亚马逊库存!A:L,12,0),"")</f>
        <v>2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6809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6813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6817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6821</v>
      </c>
      <c r="B1706">
        <f>IFERROR(VLOOKUP(A1706,管理亚马逊库存!A:K,11,0),"")</f>
        <v>0</v>
      </c>
      <c r="C1706">
        <f>IFERROR(VLOOKUP(A1706,管理亚马逊库存!A:L,12,0),"")</f>
        <v>1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6825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6829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6832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6834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6836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6838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6842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6846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6850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6854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6858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6862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6866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6870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6874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6877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6880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6883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6886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6889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6893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6897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6900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6903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6906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6909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6912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6915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6918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6921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6924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6927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6930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6933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6936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6939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6942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6945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6948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6951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6954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6957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6960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6963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6966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6969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6972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6974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6976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6978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6980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6982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6984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6986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6988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6991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6994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6997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7000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7002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7005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7007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7010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7014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7017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7020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7023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7026</v>
      </c>
      <c r="B1774">
        <f>IFERROR(VLOOKUP(A1774,管理亚马逊库存!A:K,11,0),"")</f>
        <v>1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7030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7034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7038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7041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7045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7048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7051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7054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7066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7070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7076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7078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7080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7082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7084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7086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7088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7090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7092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7094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7096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7098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7100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7102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7104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7106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7108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7110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7112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7114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7116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7118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7120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7123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7126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7129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7132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7135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7138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7141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7144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7147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7150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7153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7156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7159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7162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7165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7168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7171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7174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7177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7180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7183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7186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7189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7192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7195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7198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7201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7204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7207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7210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7213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7217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7220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7223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7226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7229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7232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7235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7238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7241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7244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7248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7252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7256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7260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7264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7268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7272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7276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7280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7283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7287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7291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7294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7297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7300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7303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7307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7311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7314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7316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7318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7320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7322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7324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7326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7328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7330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7332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7334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7336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7338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7340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7342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7344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7346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7348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7350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7352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7354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7356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7358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7360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7362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7364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7366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7368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7370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7372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7374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7376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7378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7380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7382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7384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7386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7388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7390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7392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7394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7396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7398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7400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7402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7404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7406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7408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7410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7412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7414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7416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7418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7420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7422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7424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7426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7430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7433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7436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7439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7442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7445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7448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7451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7454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7457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7460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7463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7466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7469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7472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7475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7478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7481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7484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7487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7490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7494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7498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7501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7505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7509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7512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7515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7518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7521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7524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7527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7529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7531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7533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7535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7537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7541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7544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7548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7552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7555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7557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7560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7563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7566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7569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7572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7575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7578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7581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7584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7586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7588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7590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7592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7594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7596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7598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7600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7602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7604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7606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7608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7610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7612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7614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7616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7618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7620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7622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7624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7626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7628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7630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7632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7634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7636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7638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7640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7644</v>
      </c>
      <c r="B2004">
        <f>IFERROR(VLOOKUP(A2004,管理亚马逊库存!A:K,11,0),"")</f>
        <v>0</v>
      </c>
      <c r="C2004">
        <f>IFERROR(VLOOKUP(A2004,管理亚马逊库存!A:L,12,0),"")</f>
        <v>1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7648</v>
      </c>
      <c r="B2005">
        <f>IFERROR(VLOOKUP(A2005,管理亚马逊库存!A:K,11,0),"")</f>
        <v>1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7652</v>
      </c>
      <c r="B2006">
        <f>IFERROR(VLOOKUP(A2006,管理亚马逊库存!A:K,11,0),"")</f>
        <v>30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7656</v>
      </c>
      <c r="B2007">
        <f>IFERROR(VLOOKUP(A2007,管理亚马逊库存!A:K,11,0),"")</f>
        <v>30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7660</v>
      </c>
      <c r="B2008">
        <f>IFERROR(VLOOKUP(A2008,管理亚马逊库存!A:K,11,0),"")</f>
        <v>30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7664</v>
      </c>
      <c r="B2009">
        <f>IFERROR(VLOOKUP(A2009,管理亚马逊库存!A:K,11,0),"")</f>
        <v>30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7668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7672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7675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7678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7682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7685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7688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7692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7695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7698</v>
      </c>
      <c r="B2019">
        <f>IFERROR(VLOOKUP(A2019,管理亚马逊库存!A:K,11,0),"")</f>
        <v>0</v>
      </c>
      <c r="C2019">
        <f>IFERROR(VLOOKUP(A2019,管理亚马逊库存!A:L,12,0),"")</f>
        <v>1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7701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7704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7707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7711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7714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7717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7720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7723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7726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7729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7732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7735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7739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7743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7747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7750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7753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7756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7759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7763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7767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7771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7775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7778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7782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7786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7790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7794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7796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7798</v>
      </c>
      <c r="B2049">
        <f>IFERROR(VLOOKUP(A2049,管理亚马逊库存!A:K,11,0),"")</f>
        <v>10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7802</v>
      </c>
      <c r="B2050">
        <f>IFERROR(VLOOKUP(A2050,管理亚马逊库存!A:K,11,0),"")</f>
        <v>5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7806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7809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7812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7815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7819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7823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7827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7831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7836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7840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7844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7847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7850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7853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7856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7859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7862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7865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7869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7872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7875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7878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7881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7884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7887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7891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7894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7898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7902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7906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7910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7913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7916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7920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7923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7926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7929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7932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7936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7939</v>
      </c>
      <c r="B2090">
        <f>IFERROR(VLOOKUP(A2090,管理亚马逊库存!A:K,11,0),"")</f>
        <v>0</v>
      </c>
      <c r="C2090">
        <f>IFERROR(VLOOKUP(A2090,管理亚马逊库存!A:L,12,0),"")</f>
        <v>1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7942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7945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7948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7951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7954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7959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7963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7967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7971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7974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7978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7982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7985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7988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7991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7994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7998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8001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8005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8009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8013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8017</v>
      </c>
      <c r="B2112">
        <f>IFERROR(VLOOKUP(A2112,管理亚马逊库存!A:K,11,0),"")</f>
        <v>10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8021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8024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8027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8030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8033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8036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8039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8042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8046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20</v>
      </c>
      <c r="E2121">
        <f>IFERROR(VLOOKUP(A2121,管理亚马逊库存!A:R,18,0),"")</f>
        <v>0</v>
      </c>
      <c r="F2121">
        <f t="shared" si="67"/>
        <v>20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8050</v>
      </c>
      <c r="B2122">
        <f>IFERROR(VLOOKUP(A2122,管理亚马逊库存!A:K,11,0),"")</f>
        <v>5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8053</v>
      </c>
      <c r="B2123">
        <f>IFERROR(VLOOKUP(A2123,管理亚马逊库存!A:K,11,0),"")</f>
        <v>5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8056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8060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8064</v>
      </c>
      <c r="B2126">
        <f>IFERROR(VLOOKUP(A2126,管理亚马逊库存!A:K,11,0),"")</f>
        <v>5</v>
      </c>
      <c r="C2126">
        <f>IFERROR(VLOOKUP(A2126,管理亚马逊库存!A:L,12,0),"")</f>
        <v>0</v>
      </c>
      <c r="D2126">
        <f>IFERROR(VLOOKUP(A2126,管理亚马逊库存!A:Q,17,0),"")</f>
        <v>1</v>
      </c>
      <c r="E2126">
        <f>IFERROR(VLOOKUP(A2126,管理亚马逊库存!A:R,18,0),"")</f>
        <v>0</v>
      </c>
      <c r="F2126">
        <f t="shared" si="67"/>
        <v>1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8067</v>
      </c>
      <c r="B2127">
        <f>IFERROR(VLOOKUP(A2127,管理亚马逊库存!A:K,11,0),"")</f>
        <v>5</v>
      </c>
      <c r="C2127">
        <f>IFERROR(VLOOKUP(A2127,管理亚马逊库存!A:L,12,0),"")</f>
        <v>0</v>
      </c>
      <c r="D2127">
        <f>IFERROR(VLOOKUP(A2127,管理亚马逊库存!A:Q,17,0),"")</f>
        <v>1</v>
      </c>
      <c r="E2127">
        <f>IFERROR(VLOOKUP(A2127,管理亚马逊库存!A:R,18,0),"")</f>
        <v>0</v>
      </c>
      <c r="F2127">
        <f t="shared" si="67"/>
        <v>1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8070</v>
      </c>
      <c r="B2128">
        <f>IFERROR(VLOOKUP(A2128,管理亚马逊库存!A:K,11,0),"")</f>
        <v>5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8073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8076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8079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8083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8087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8091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8095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8099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8103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8107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8111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8115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8119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8123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8127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8131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8135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8139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8142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8145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8148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8152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8155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8158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8161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8164</v>
      </c>
      <c r="B2154">
        <f>IFERROR(VLOOKUP(A2154,管理亚马逊库存!A:K,11,0),"")</f>
        <v>0</v>
      </c>
      <c r="C2154">
        <f>IFERROR(VLOOKUP(A2154,管理亚马逊库存!A:L,12,0),"")</f>
        <v>1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8167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8170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8173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8176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8179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8182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8185</v>
      </c>
      <c r="B2161">
        <f>IFERROR(VLOOKUP(A2161,管理亚马逊库存!A:K,11,0),"")</f>
        <v>0</v>
      </c>
      <c r="C2161">
        <f>IFERROR(VLOOKUP(A2161,管理亚马逊库存!A:L,12,0),"")</f>
        <v>1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8189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8192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8196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8200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8204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8207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8210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8213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8217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8220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8223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8226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8229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8232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8235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8238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8241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8244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8248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8252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8256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8260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8264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8268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8272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8276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8280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8284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8288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8292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8296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8300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8304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8308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8312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8315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8319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8322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8326</v>
      </c>
      <c r="B2200">
        <f>IFERROR(VLOOKUP(A2200,管理亚马逊库存!A:K,11,0),"")</f>
        <v>0</v>
      </c>
      <c r="C2200">
        <f>IFERROR(VLOOKUP(A2200,管理亚马逊库存!A:L,12,0),"")</f>
        <v>1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8329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8333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8338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8342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8345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8347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8349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8351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8353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8355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8357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8359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8361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8363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8365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8367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8369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8371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8373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8375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8377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8379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8381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8383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8385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8387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8389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8391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8394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8397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8400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8403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8406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8409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8412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8415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8418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8421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8423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8425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8427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8429</v>
      </c>
      <c r="B2242">
        <f>IFERROR(VLOOKUP(A2242,管理亚马逊库存!A:K,11,0),"")</f>
        <v>0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8431</v>
      </c>
      <c r="B2243">
        <f>IFERROR(VLOOKUP(A2243,管理亚马逊库存!A:K,11,0),"")</f>
        <v>0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8436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8438</v>
      </c>
      <c r="B2245">
        <f>IFERROR(VLOOKUP(A2245,管理亚马逊库存!A:K,11,0),"")</f>
        <v>0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8440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8443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8445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8447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8449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8451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8458</v>
      </c>
      <c r="B2252">
        <f>IFERROR(VLOOKUP(A2252,管理亚马逊库存!A:K,11,0),"")</f>
        <v>14</v>
      </c>
      <c r="C2252">
        <f>IFERROR(VLOOKUP(A2252,管理亚马逊库存!A:L,12,0),"")</f>
        <v>4</v>
      </c>
      <c r="D2252">
        <f>IFERROR(VLOOKUP(A2252,管理亚马逊库存!A:Q,17,0),"")</f>
        <v>28</v>
      </c>
      <c r="E2252">
        <f>IFERROR(VLOOKUP(A2252,管理亚马逊库存!A:R,18,0),"")</f>
        <v>0</v>
      </c>
      <c r="F2252">
        <f t="shared" si="71"/>
        <v>28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8463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8466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8469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8472</v>
      </c>
      <c r="B2256">
        <f>IFERROR(VLOOKUP(A2256,管理亚马逊库存!A:K,11,0),"")</f>
        <v>0</v>
      </c>
      <c r="C2256">
        <f>IFERROR(VLOOKUP(A2256,管理亚马逊库存!A:L,12,0),"")</f>
        <v>1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8475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8478</v>
      </c>
      <c r="B2258">
        <f>IFERROR(VLOOKUP(A2258,管理亚马逊库存!A:K,11,0),"")</f>
        <v>0</v>
      </c>
      <c r="C2258">
        <f>IFERROR(VLOOKUP(A2258,管理亚马逊库存!A:L,12,0),"")</f>
        <v>1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8481</v>
      </c>
      <c r="B2259">
        <f>IFERROR(VLOOKUP(A2259,管理亚马逊库存!A:K,11,0),"")</f>
        <v>0</v>
      </c>
      <c r="C2259">
        <f>IFERROR(VLOOKUP(A2259,管理亚马逊库存!A:L,12,0),"")</f>
        <v>1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8484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8487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8490</v>
      </c>
      <c r="B2262">
        <f>IFERROR(VLOOKUP(A2262,管理亚马逊库存!A:K,11,0),"")</f>
        <v>0</v>
      </c>
      <c r="C2262">
        <f>IFERROR(VLOOKUP(A2262,管理亚马逊库存!A:L,12,0),"")</f>
        <v>0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8494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8498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8502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8506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8510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8514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8518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8522</v>
      </c>
      <c r="B2270">
        <f>IFERROR(VLOOKUP(A2270,管理亚马逊库存!A:K,11,0),"")</f>
        <v>1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8526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8530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8533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8536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8539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8542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8544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8546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8549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8552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8555</v>
      </c>
      <c r="B2281">
        <f>IFERROR(VLOOKUP(A2281,管理亚马逊库存!A:K,11,0),"")</f>
        <v>0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8558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8561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8564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8567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8570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8573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8576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8579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8582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8585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8588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8591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8594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8597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8600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8603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8606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8609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8612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8615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8618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8621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8623</v>
      </c>
      <c r="B2304">
        <f>IFERROR(VLOOKUP(A2304,管理亚马逊库存!A:K,11,0),"")</f>
        <v>0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8625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8627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8629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8631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8633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8635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8637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8639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8641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8643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8645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8647</v>
      </c>
      <c r="B2316">
        <f>IFERROR(VLOOKUP(A2316,管理亚马逊库存!A:K,11,0),"")</f>
        <v>0</v>
      </c>
      <c r="C2316">
        <f>IFERROR(VLOOKUP(A2316,管理亚马逊库存!A:L,12,0),"")</f>
        <v>0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8649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8651</v>
      </c>
      <c r="B2318">
        <f>IFERROR(VLOOKUP(A2318,管理亚马逊库存!A:K,11,0),"")</f>
        <v>0</v>
      </c>
      <c r="C2318">
        <f>IFERROR(VLOOKUP(A2318,管理亚马逊库存!A:L,12,0),"")</f>
        <v>0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8653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8655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8657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8659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8661</v>
      </c>
      <c r="B2323">
        <f>IFERROR(VLOOKUP(A2323,管理亚马逊库存!A:K,11,0),"")</f>
        <v>0</v>
      </c>
      <c r="C2323">
        <f>IFERROR(VLOOKUP(A2323,管理亚马逊库存!A:L,12,0),"")</f>
        <v>0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8663</v>
      </c>
      <c r="B2324">
        <f>IFERROR(VLOOKUP(A2324,管理亚马逊库存!A:K,11,0),"")</f>
        <v>0</v>
      </c>
      <c r="C2324">
        <f>IFERROR(VLOOKUP(A2324,管理亚马逊库存!A:L,12,0),"")</f>
        <v>0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8665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8667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8669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8671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8673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8675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8677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8679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8681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8683</v>
      </c>
      <c r="B2334">
        <f>IFERROR(VLOOKUP(A2334,管理亚马逊库存!A:K,11,0),"")</f>
        <v>0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8685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8687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8689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8691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8693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8695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8698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8701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8704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8707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8710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8713</v>
      </c>
      <c r="B2346">
        <f>IFERROR(VLOOKUP(A2346,管理亚马逊库存!A:K,11,0),"")</f>
        <v>0</v>
      </c>
      <c r="C2346">
        <f>IFERROR(VLOOKUP(A2346,管理亚马逊库存!A:L,12,0),"")</f>
        <v>0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8716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8719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8722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8725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8728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8731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8734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8737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8740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8743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8746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8749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8752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8755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8758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8761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8764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8767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8769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8771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8773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8775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8777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8779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8781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8783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8785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8787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8789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8791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8793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8795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8797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8799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8801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8803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8805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8807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8809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8811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8813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8815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8817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0</v>
      </c>
      <c r="F2389">
        <f t="shared" si="7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8819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8822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0</v>
      </c>
      <c r="F2391">
        <f t="shared" si="7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8825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8828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0</v>
      </c>
      <c r="F2393">
        <f t="shared" si="7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8831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8833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8836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0</v>
      </c>
      <c r="F2396">
        <f t="shared" si="7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8838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0</v>
      </c>
      <c r="F2397">
        <f t="shared" si="7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8841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8844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0</v>
      </c>
      <c r="F2399">
        <f t="shared" si="7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8846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8849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8852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0</v>
      </c>
      <c r="F2402">
        <f t="shared" si="7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8855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0</v>
      </c>
      <c r="F2403">
        <f t="shared" si="7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8857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8859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8861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8863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8865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8867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8869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8871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8873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8875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8877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8879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8881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8883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8885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8887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8889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8891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8893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8895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8897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8899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8901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8903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8906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8908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8910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8912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8914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8916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8918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8920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8922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8924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8926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8928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8930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8932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8934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8936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8938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8940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8942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8944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8946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8948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8950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8953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8956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8959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8962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8965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8968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8971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8974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8977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8980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8983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8986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8989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8992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8995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8998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9001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9004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9006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9008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9010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9012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9014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9016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9018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9020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9023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9026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9029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9032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9035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9038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9041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9044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9047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9050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9053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9056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9059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9062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9065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9068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9071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9074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9077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9080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9083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9086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9089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9092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9095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9098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9101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9104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9107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9110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9113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9116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9119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9122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9125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9128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9131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9134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9137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9140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9143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9146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9149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9152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9155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9158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9161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9164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9167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9170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9173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9176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9179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9182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9185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9188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9191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9194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9197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9200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9203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9206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9209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9212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9215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9218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9221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9224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9226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9228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9230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9232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9234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9236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9238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9240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9242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9244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9246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9248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9250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9252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9254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9256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9258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9260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9262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9264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9266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9268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9270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9272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9274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9276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9278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9280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9282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9284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9287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9290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9293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9296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9299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9301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9303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9305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9307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9309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9312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9315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9318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9321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9324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9326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9329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9331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9333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9335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9337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9340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9342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9344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9346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9348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9351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9353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9355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9357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9359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9361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9364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9367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9370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9373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9376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9379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9382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9385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9387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9389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9391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9393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9395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9397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9399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9401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9403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9405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9407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9409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9411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9413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9415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9417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9419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9421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9423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9425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9428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9431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9434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9437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9440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9443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9446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9449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9452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9455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9457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9460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9463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9466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9468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9471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9473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9475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9477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9480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9483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9486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9489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9492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9495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9498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9501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9504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9507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9510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9513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9516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9519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9522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9525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9528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9531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9534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9537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9540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9543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9546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9549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9552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9555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9558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9561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9564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9567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9570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9573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9576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9579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9582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9585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9588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9591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9594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9597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9600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9603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9606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9609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9612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9615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9619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9622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9625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9628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9631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9634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9637</v>
      </c>
      <c r="B2706">
        <f>IFERROR(VLOOKUP(A2706,管理亚马逊库存!A:K,11,0),"")</f>
        <v>18</v>
      </c>
      <c r="C2706">
        <f>IFERROR(VLOOKUP(A2706,管理亚马逊库存!A:L,12,0),"")</f>
        <v>2</v>
      </c>
      <c r="D2706">
        <f>IFERROR(VLOOKUP(A2706,管理亚马逊库存!A:Q,17,0),"")</f>
        <v>4</v>
      </c>
      <c r="E2706">
        <f>IFERROR(VLOOKUP(A2706,管理亚马逊库存!A:R,18,0),"")</f>
        <v>0</v>
      </c>
      <c r="F2706">
        <f t="shared" si="85"/>
        <v>4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9641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20</v>
      </c>
      <c r="F2707">
        <f t="shared" si="85"/>
        <v>20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9645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20</v>
      </c>
      <c r="F2708">
        <f t="shared" si="85"/>
        <v>20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9649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9653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9657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9661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9665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9669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9673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9677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9681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9685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0</v>
      </c>
      <c r="E2718">
        <f>IFERROR(VLOOKUP(A2718,管理亚马逊库存!A:R,18,0),"")</f>
        <v>0</v>
      </c>
      <c r="F2718">
        <f t="shared" si="85"/>
        <v>0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9689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0</v>
      </c>
      <c r="E2719">
        <f>IFERROR(VLOOKUP(A2719,管理亚马逊库存!A:R,18,0),"")</f>
        <v>0</v>
      </c>
      <c r="F2719">
        <f t="shared" si="85"/>
        <v>0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9693</v>
      </c>
      <c r="B2720">
        <f>IFERROR(VLOOKUP(A2720,管理亚马逊库存!A:K,11,0),"")</f>
        <v>0</v>
      </c>
      <c r="C2720">
        <f>IFERROR(VLOOKUP(A2720,管理亚马逊库存!A:L,12,0),"")</f>
        <v>1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9697</v>
      </c>
      <c r="B2721">
        <f>IFERROR(VLOOKUP(A2721,管理亚马逊库存!A:K,11,0),"")</f>
        <v>0</v>
      </c>
      <c r="C2721">
        <f>IFERROR(VLOOKUP(A2721,管理亚马逊库存!A:L,12,0),"")</f>
        <v>1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9701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9704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0</v>
      </c>
      <c r="E2723">
        <f>IFERROR(VLOOKUP(A2723,管理亚马逊库存!A:R,18,0),"")</f>
        <v>0</v>
      </c>
      <c r="F2723">
        <f t="shared" si="85"/>
        <v>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9707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0</v>
      </c>
      <c r="E2724">
        <f>IFERROR(VLOOKUP(A2724,管理亚马逊库存!A:R,18,0),"")</f>
        <v>0</v>
      </c>
      <c r="F2724">
        <f t="shared" si="85"/>
        <v>0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9710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0</v>
      </c>
      <c r="E2725">
        <f>IFERROR(VLOOKUP(A2725,管理亚马逊库存!A:R,18,0),"")</f>
        <v>0</v>
      </c>
      <c r="F2725">
        <f t="shared" si="85"/>
        <v>0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9713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9716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9719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9722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9725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0</v>
      </c>
      <c r="E2730">
        <f>IFERROR(VLOOKUP(A2730,管理亚马逊库存!A:R,18,0),"")</f>
        <v>0</v>
      </c>
      <c r="F2730">
        <f t="shared" si="85"/>
        <v>0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9728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0</v>
      </c>
      <c r="E2731">
        <f>IFERROR(VLOOKUP(A2731,管理亚马逊库存!A:R,18,0),"")</f>
        <v>0</v>
      </c>
      <c r="F2731">
        <f t="shared" si="85"/>
        <v>0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9731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0</v>
      </c>
      <c r="E2732">
        <f>IFERROR(VLOOKUP(A2732,管理亚马逊库存!A:R,18,0),"")</f>
        <v>0</v>
      </c>
      <c r="F2732">
        <f t="shared" si="85"/>
        <v>0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9734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9737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9740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9743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0</v>
      </c>
      <c r="F2736">
        <f t="shared" si="85"/>
        <v>0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9746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9748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9752</v>
      </c>
      <c r="B2739">
        <f>IFERROR(VLOOKUP(A2739,管理亚马逊库存!A:K,11,0),"")</f>
        <v>11</v>
      </c>
      <c r="C2739">
        <f>IFERROR(VLOOKUP(A2739,管理亚马逊库存!A:L,12,0),"")</f>
        <v>2</v>
      </c>
      <c r="D2739">
        <f>IFERROR(VLOOKUP(A2739,管理亚马逊库存!A:Q,17,0),"")</f>
        <v>7</v>
      </c>
      <c r="E2739">
        <f>IFERROR(VLOOKUP(A2739,管理亚马逊库存!A:R,18,0),"")</f>
        <v>0</v>
      </c>
      <c r="F2739">
        <f t="shared" si="85"/>
        <v>7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9754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9758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9761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9764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9767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9771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9775</v>
      </c>
      <c r="B2746">
        <f>IFERROR(VLOOKUP(A2746,管理亚马逊库存!A:K,11,0),"")</f>
        <v>1</v>
      </c>
      <c r="C2746">
        <f>IFERROR(VLOOKUP(A2746,管理亚马逊库存!A:L,12,0),"")</f>
        <v>1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9779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9783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9787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9791</v>
      </c>
      <c r="B2750">
        <f>IFERROR(VLOOKUP(A2750,管理亚马逊库存!A:K,11,0),"")</f>
        <v>0</v>
      </c>
      <c r="C2750">
        <f>IFERROR(VLOOKUP(A2750,管理亚马逊库存!A:L,12,0),"")</f>
        <v>2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9795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9799</v>
      </c>
      <c r="B2752">
        <f>IFERROR(VLOOKUP(A2752,管理亚马逊库存!A:K,11,0),"")</f>
        <v>1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9802</v>
      </c>
      <c r="B2753">
        <f>IFERROR(VLOOKUP(A2753,管理亚马逊库存!A:K,11,0),"")</f>
        <v>2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9806</v>
      </c>
      <c r="B2754">
        <f>IFERROR(VLOOKUP(A2754,管理亚马逊库存!A:K,11,0),"")</f>
        <v>0</v>
      </c>
      <c r="C2754">
        <f>IFERROR(VLOOKUP(A2754,管理亚马逊库存!A:L,12,0),"")</f>
        <v>1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9809</v>
      </c>
      <c r="B2755">
        <f>IFERROR(VLOOKUP(A2755,管理亚马逊库存!A:K,11,0),"")</f>
        <v>0</v>
      </c>
      <c r="C2755">
        <f>IFERROR(VLOOKUP(A2755,管理亚马逊库存!A:L,12,0),"")</f>
        <v>1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9812</v>
      </c>
      <c r="B2756">
        <f>IFERROR(VLOOKUP(A2756,管理亚马逊库存!A:K,11,0),"")</f>
        <v>0</v>
      </c>
      <c r="C2756">
        <f>IFERROR(VLOOKUP(A2756,管理亚马逊库存!A:L,12,0),"")</f>
        <v>3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9816</v>
      </c>
      <c r="B2757">
        <f>IFERROR(VLOOKUP(A2757,管理亚马逊库存!A:K,11,0),"")</f>
        <v>0</v>
      </c>
      <c r="C2757">
        <f>IFERROR(VLOOKUP(A2757,管理亚马逊库存!A:L,12,0),"")</f>
        <v>1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9819</v>
      </c>
      <c r="B2758">
        <f>IFERROR(VLOOKUP(A2758,管理亚马逊库存!A:K,11,0),"")</f>
        <v>2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15</v>
      </c>
      <c r="F2758">
        <f t="shared" si="87"/>
        <v>15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9821</v>
      </c>
      <c r="B2759">
        <f>IFERROR(VLOOKUP(A2759,管理亚马逊库存!A:K,11,0),"")</f>
        <v>18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9824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9827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27</v>
      </c>
      <c r="E2761">
        <f>IFERROR(VLOOKUP(A2761,管理亚马逊库存!A:R,18,0),"")</f>
        <v>0</v>
      </c>
      <c r="F2761">
        <f t="shared" si="87"/>
        <v>27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9830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9833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9835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9837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9840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9843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9846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9849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9852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9855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9858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9861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3</v>
      </c>
      <c r="E2773">
        <f>IFERROR(VLOOKUP(A2773,管理亚马逊库存!A:R,18,0),"")</f>
        <v>0</v>
      </c>
      <c r="F2773">
        <f t="shared" si="87"/>
        <v>3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9864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3</v>
      </c>
      <c r="E2774">
        <f>IFERROR(VLOOKUP(A2774,管理亚马逊库存!A:R,18,0),"")</f>
        <v>0</v>
      </c>
      <c r="F2774">
        <f t="shared" si="87"/>
        <v>3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9867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9870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3</v>
      </c>
      <c r="E2776">
        <f>IFERROR(VLOOKUP(A2776,管理亚马逊库存!A:R,18,0),"")</f>
        <v>0</v>
      </c>
      <c r="F2776">
        <f t="shared" si="87"/>
        <v>3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9873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0</v>
      </c>
      <c r="E2777">
        <f>IFERROR(VLOOKUP(A2777,管理亚马逊库存!A:R,18,0),"")</f>
        <v>0</v>
      </c>
      <c r="F2777">
        <f t="shared" si="87"/>
        <v>0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9876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9879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9882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9885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9888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9891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5</v>
      </c>
      <c r="E2783">
        <f>IFERROR(VLOOKUP(A2783,管理亚马逊库存!A:R,18,0),"")</f>
        <v>0</v>
      </c>
      <c r="F2783">
        <f t="shared" si="87"/>
        <v>5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9894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17</v>
      </c>
      <c r="E2784">
        <f>IFERROR(VLOOKUP(A2784,管理亚马逊库存!A:R,18,0),"")</f>
        <v>0</v>
      </c>
      <c r="F2784">
        <f t="shared" si="87"/>
        <v>17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9897</v>
      </c>
      <c r="B2785">
        <f>IFERROR(VLOOKUP(A2785,管理亚马逊库存!A:K,11,0),"")</f>
        <v>0</v>
      </c>
      <c r="C2785">
        <f>IFERROR(VLOOKUP(A2785,管理亚马逊库存!A:L,12,0),"")</f>
        <v>1</v>
      </c>
      <c r="D2785">
        <f>IFERROR(VLOOKUP(A2785,管理亚马逊库存!A:Q,17,0),"")</f>
        <v>10</v>
      </c>
      <c r="E2785">
        <f>IFERROR(VLOOKUP(A2785,管理亚马逊库存!A:R,18,0),"")</f>
        <v>12</v>
      </c>
      <c r="F2785">
        <f t="shared" si="87"/>
        <v>22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9913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20</v>
      </c>
      <c r="F2786">
        <f t="shared" si="87"/>
        <v>20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9917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20</v>
      </c>
      <c r="F2787">
        <f t="shared" si="87"/>
        <v>20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9921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20</v>
      </c>
      <c r="F2788">
        <f t="shared" si="87"/>
        <v>20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9925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20</v>
      </c>
      <c r="F2789">
        <f t="shared" si="87"/>
        <v>20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9929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25</v>
      </c>
      <c r="F2790">
        <f t="shared" si="87"/>
        <v>25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9933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25</v>
      </c>
      <c r="F2791">
        <f t="shared" si="87"/>
        <v>25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9937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25</v>
      </c>
      <c r="F2792">
        <f t="shared" si="87"/>
        <v>25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9941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25</v>
      </c>
      <c r="F2793">
        <f t="shared" si="87"/>
        <v>25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9945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20</v>
      </c>
      <c r="F2794">
        <f t="shared" si="87"/>
        <v>20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9949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20</v>
      </c>
      <c r="F2795">
        <f t="shared" si="87"/>
        <v>20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9953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20</v>
      </c>
      <c r="F2796">
        <f t="shared" si="87"/>
        <v>20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9957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20</v>
      </c>
      <c r="F2797">
        <f t="shared" si="87"/>
        <v>20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9961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20</v>
      </c>
      <c r="F2798">
        <f t="shared" si="87"/>
        <v>20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9965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35</v>
      </c>
      <c r="E2799">
        <f>IFERROR(VLOOKUP(A2799,管理亚马逊库存!A:R,18,0),"")</f>
        <v>35</v>
      </c>
      <c r="F2799">
        <f t="shared" si="87"/>
        <v>70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9969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20</v>
      </c>
      <c r="F2800">
        <f t="shared" si="87"/>
        <v>20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9972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20</v>
      </c>
      <c r="F2801">
        <f t="shared" si="87"/>
        <v>20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9975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20</v>
      </c>
      <c r="F2802">
        <f t="shared" si="87"/>
        <v>20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9978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23</v>
      </c>
      <c r="E2803">
        <f>IFERROR(VLOOKUP(A2803,管理亚马逊库存!A:R,18,0),"")</f>
        <v>20</v>
      </c>
      <c r="F2803">
        <f t="shared" si="87"/>
        <v>43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9981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43</v>
      </c>
      <c r="E2804">
        <f>IFERROR(VLOOKUP(A2804,管理亚马逊库存!A:R,18,0),"")</f>
        <v>17</v>
      </c>
      <c r="F2804">
        <f t="shared" si="87"/>
        <v>60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9984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30</v>
      </c>
      <c r="E2805">
        <f>IFERROR(VLOOKUP(A2805,管理亚马逊库存!A:R,18,0),"")</f>
        <v>0</v>
      </c>
      <c r="F2805">
        <f t="shared" si="87"/>
        <v>30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9988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9992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9996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9999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10002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10004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10008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10011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10014</v>
      </c>
      <c r="B2814">
        <f>IFERROR(VLOOKUP(A2814,管理亚马逊库存!A:K,11,0),"")</f>
        <v>0</v>
      </c>
      <c r="C2814">
        <f>IFERROR(VLOOKUP(A2814,管理亚马逊库存!A:L,12,0),"")</f>
        <v>1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10018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10021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10025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10029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10031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10034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10036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10038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10041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10043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10045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10047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10049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10051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10053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10055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10057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10059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10061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10063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10065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10067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10069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10071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10073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10075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10077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10079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10081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10083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10085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10087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10089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10091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10093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10095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10097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10099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10101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10103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10105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0</v>
      </c>
      <c r="F2855">
        <f t="shared" si="89"/>
        <v>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10107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0</v>
      </c>
      <c r="E2856">
        <f>IFERROR(VLOOKUP(A2856,管理亚马逊库存!A:R,18,0),"")</f>
        <v>0</v>
      </c>
      <c r="F2856">
        <f t="shared" si="89"/>
        <v>0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10109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10111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10113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0</v>
      </c>
      <c r="E2859">
        <f>IFERROR(VLOOKUP(A2859,管理亚马逊库存!A:R,18,0),"")</f>
        <v>0</v>
      </c>
      <c r="F2859">
        <f t="shared" si="89"/>
        <v>0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10115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10117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10119</v>
      </c>
      <c r="B2862">
        <f>IFERROR(VLOOKUP(A2862,管理亚马逊库存!A:K,11,0),"")</f>
        <v>0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10121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10123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10125</v>
      </c>
      <c r="B2865">
        <f>IFERROR(VLOOKUP(A2865,管理亚马逊库存!A:K,11,0),"")</f>
        <v>0</v>
      </c>
      <c r="C2865">
        <f>IFERROR(VLOOKUP(A2865,管理亚马逊库存!A:L,12,0),"")</f>
        <v>0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10127</v>
      </c>
      <c r="B2866">
        <f>IFERROR(VLOOKUP(A2866,管理亚马逊库存!A:K,11,0),"")</f>
        <v>0</v>
      </c>
      <c r="C2866">
        <f>IFERROR(VLOOKUP(A2866,管理亚马逊库存!A:L,12,0),"")</f>
        <v>0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10130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10133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10136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10139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10142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10145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10148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10151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10154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10157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10160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10163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10166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10169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10172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10175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10178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10180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10183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10186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10189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10192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10195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10198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10201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10204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10207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10210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10213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10216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10219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10222</v>
      </c>
      <c r="B2898">
        <f>IFERROR(VLOOKUP(A2898,管理亚马逊库存!A:K,11,0),"")</f>
        <v>0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10225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10228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10231</v>
      </c>
      <c r="B2901">
        <f>IFERROR(VLOOKUP(A2901,管理亚马逊库存!A:K,11,0),"")</f>
        <v>0</v>
      </c>
      <c r="C2901">
        <f>IFERROR(VLOOKUP(A2901,管理亚马逊库存!A:L,12,0),"")</f>
        <v>0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10234</v>
      </c>
      <c r="B2902">
        <f>IFERROR(VLOOKUP(A2902,管理亚马逊库存!A:K,11,0),"")</f>
        <v>0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10237</v>
      </c>
      <c r="B2903">
        <f>IFERROR(VLOOKUP(A2903,管理亚马逊库存!A:K,11,0),"")</f>
        <v>0</v>
      </c>
      <c r="C2903">
        <f>IFERROR(VLOOKUP(A2903,管理亚马逊库存!A:L,12,0),"")</f>
        <v>0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10240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10243</v>
      </c>
      <c r="B2905">
        <f>IFERROR(VLOOKUP(A2905,管理亚马逊库存!A:K,11,0),"")</f>
        <v>0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10246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10249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10252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10254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10257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10260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10263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10266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0</v>
      </c>
      <c r="E2913">
        <f>IFERROR(VLOOKUP(A2913,管理亚马逊库存!A:R,18,0),"")</f>
        <v>0</v>
      </c>
      <c r="F2913">
        <f t="shared" si="91"/>
        <v>0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10269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10272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10275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0</v>
      </c>
      <c r="E2916">
        <f>IFERROR(VLOOKUP(A2916,管理亚马逊库存!A:R,18,0),"")</f>
        <v>0</v>
      </c>
      <c r="F2916">
        <f t="shared" si="91"/>
        <v>0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10278</v>
      </c>
      <c r="B2917">
        <f>IFERROR(VLOOKUP(A2917,管理亚马逊库存!A:K,11,0),"")</f>
        <v>0</v>
      </c>
      <c r="C2917">
        <f>IFERROR(VLOOKUP(A2917,管理亚马逊库存!A:L,12,0),"")</f>
        <v>0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10280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10283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0</v>
      </c>
      <c r="E2919">
        <f>IFERROR(VLOOKUP(A2919,管理亚马逊库存!A:R,18,0),"")</f>
        <v>0</v>
      </c>
      <c r="F2919">
        <f t="shared" si="91"/>
        <v>0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10286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10289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10292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10295</v>
      </c>
      <c r="B2923">
        <f>IFERROR(VLOOKUP(A2923,管理亚马逊库存!A:K,11,0),"")</f>
        <v>0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10298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10301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10304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10307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10310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0</v>
      </c>
      <c r="F2928">
        <f t="shared" si="91"/>
        <v>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10313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10316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0</v>
      </c>
      <c r="F2930">
        <f t="shared" si="91"/>
        <v>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10319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10322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10324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0</v>
      </c>
      <c r="F2933">
        <f t="shared" si="91"/>
        <v>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10326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10328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0</v>
      </c>
      <c r="F2935">
        <f t="shared" si="91"/>
        <v>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10330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10332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10334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10336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10338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10340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10342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10344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10346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10348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10350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10352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10354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10356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10358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10360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10362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10364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10366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10368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10370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10372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10374</v>
      </c>
      <c r="B2958">
        <f>IFERROR(VLOOKUP(A2958,管理亚马逊库存!A:K,11,0),"")</f>
        <v>0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10376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10379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10381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10383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10385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10387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10389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10392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10394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10396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10398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10400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10402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10404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10406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10408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10410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10412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10414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10416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10418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10420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10422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10424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10426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10428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10430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10432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10434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10436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10438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10440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10442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10444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10446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10448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10450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10452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10454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10456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10458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10460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10462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10464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10466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10468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10470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10472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10474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10476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10478</v>
      </c>
      <c r="B3009">
        <f>IFERROR(VLOOKUP(A3009,管理亚马逊库存!A:K,11,0),"")</f>
        <v>0</v>
      </c>
      <c r="C3009">
        <f>IFERROR(VLOOKUP(A3009,管理亚马逊库存!A:L,12,0),"")</f>
        <v>0</v>
      </c>
      <c r="D3009">
        <f>IFERROR(VLOOKUP(A3009,管理亚马逊库存!A:Q,17,0),"")</f>
        <v>0</v>
      </c>
      <c r="E3009">
        <f>IFERROR(VLOOKUP(A3009,管理亚马逊库存!A:R,18,0),"")</f>
        <v>0</v>
      </c>
      <c r="F3009">
        <f t="shared" si="93"/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10480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10482</v>
      </c>
      <c r="B3011">
        <f>IFERROR(VLOOKUP(A3011,管理亚马逊库存!A:K,11,0),"")</f>
        <v>0</v>
      </c>
      <c r="C3011">
        <f>IFERROR(VLOOKUP(A3011,管理亚马逊库存!A:L,12,0),"")</f>
        <v>0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10484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10486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0</v>
      </c>
      <c r="F3013">
        <f t="shared" si="95"/>
        <v>0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10488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10490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10492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10494</v>
      </c>
      <c r="B3017">
        <f>IFERROR(VLOOKUP(A3017,管理亚马逊库存!A:K,11,0),"")</f>
        <v>0</v>
      </c>
      <c r="C3017">
        <f>IFERROR(VLOOKUP(A3017,管理亚马逊库存!A:L,12,0),"")</f>
        <v>0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10496</v>
      </c>
      <c r="B3018">
        <f>IFERROR(VLOOKUP(A3018,管理亚马逊库存!A:K,11,0),"")</f>
        <v>0</v>
      </c>
      <c r="C3018">
        <f>IFERROR(VLOOKUP(A3018,管理亚马逊库存!A:L,12,0),"")</f>
        <v>0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10498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10500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0</v>
      </c>
      <c r="F3020">
        <f t="shared" si="95"/>
        <v>0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10502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10504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10506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10508</v>
      </c>
      <c r="B3024">
        <f>IFERROR(VLOOKUP(A3024,管理亚马逊库存!A:K,11,0),"")</f>
        <v>0</v>
      </c>
      <c r="C3024">
        <f>IFERROR(VLOOKUP(A3024,管理亚马逊库存!A:L,12,0),"")</f>
        <v>0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10510</v>
      </c>
      <c r="B3025">
        <f>IFERROR(VLOOKUP(A3025,管理亚马逊库存!A:K,11,0),"")</f>
        <v>0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10512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10514</v>
      </c>
      <c r="B3027">
        <f>IFERROR(VLOOKUP(A3027,管理亚马逊库存!A:K,11,0),"")</f>
        <v>0</v>
      </c>
      <c r="C3027">
        <f>IFERROR(VLOOKUP(A3027,管理亚马逊库存!A:L,12,0),"")</f>
        <v>0</v>
      </c>
      <c r="D3027">
        <f>IFERROR(VLOOKUP(A3027,管理亚马逊库存!A:Q,17,0),"")</f>
        <v>0</v>
      </c>
      <c r="E3027">
        <f>IFERROR(VLOOKUP(A3027,管理亚马逊库存!A:R,18,0),"")</f>
        <v>0</v>
      </c>
      <c r="F3027">
        <f t="shared" si="95"/>
        <v>0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10516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10518</v>
      </c>
      <c r="B3029">
        <f>IFERROR(VLOOKUP(A3029,管理亚马逊库存!A:K,11,0),"")</f>
        <v>0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10520</v>
      </c>
      <c r="B3030">
        <f>IFERROR(VLOOKUP(A3030,管理亚马逊库存!A:K,11,0),"")</f>
        <v>0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10522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10524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10526</v>
      </c>
      <c r="B3033">
        <f>IFERROR(VLOOKUP(A3033,管理亚马逊库存!A:K,11,0),"")</f>
        <v>0</v>
      </c>
      <c r="C3033">
        <f>IFERROR(VLOOKUP(A3033,管理亚马逊库存!A:L,12,0),"")</f>
        <v>0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10528</v>
      </c>
      <c r="B3034">
        <f>IFERROR(VLOOKUP(A3034,管理亚马逊库存!A:K,11,0),"")</f>
        <v>0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10530</v>
      </c>
      <c r="B3035">
        <f>IFERROR(VLOOKUP(A3035,管理亚马逊库存!A:K,11,0),"")</f>
        <v>0</v>
      </c>
      <c r="C3035">
        <f>IFERROR(VLOOKUP(A3035,管理亚马逊库存!A:L,12,0),"")</f>
        <v>0</v>
      </c>
      <c r="D3035">
        <f>IFERROR(VLOOKUP(A3035,管理亚马逊库存!A:Q,17,0),"")</f>
        <v>0</v>
      </c>
      <c r="E3035">
        <f>IFERROR(VLOOKUP(A3035,管理亚马逊库存!A:R,18,0),"")</f>
        <v>0</v>
      </c>
      <c r="F3035">
        <f t="shared" si="95"/>
        <v>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10532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10534</v>
      </c>
      <c r="B3037">
        <f>IFERROR(VLOOKUP(A3037,管理亚马逊库存!A:K,11,0),"")</f>
        <v>0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10536</v>
      </c>
      <c r="B3038">
        <f>IFERROR(VLOOKUP(A3038,管理亚马逊库存!A:K,11,0),"")</f>
        <v>0</v>
      </c>
      <c r="C3038">
        <f>IFERROR(VLOOKUP(A3038,管理亚马逊库存!A:L,12,0),"")</f>
        <v>0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10538</v>
      </c>
      <c r="B3039">
        <f>IFERROR(VLOOKUP(A3039,管理亚马逊库存!A:K,11,0),"")</f>
        <v>0</v>
      </c>
      <c r="C3039">
        <f>IFERROR(VLOOKUP(A3039,管理亚马逊库存!A:L,12,0),"")</f>
        <v>0</v>
      </c>
      <c r="D3039">
        <f>IFERROR(VLOOKUP(A3039,管理亚马逊库存!A:Q,17,0),"")</f>
        <v>0</v>
      </c>
      <c r="E3039">
        <f>IFERROR(VLOOKUP(A3039,管理亚马逊库存!A:R,18,0),"")</f>
        <v>0</v>
      </c>
      <c r="F3039">
        <f t="shared" si="95"/>
        <v>0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10540</v>
      </c>
      <c r="B3040">
        <f>IFERROR(VLOOKUP(A3040,管理亚马逊库存!A:K,11,0),"")</f>
        <v>0</v>
      </c>
      <c r="C3040">
        <f>IFERROR(VLOOKUP(A3040,管理亚马逊库存!A:L,12,0),"")</f>
        <v>0</v>
      </c>
      <c r="D3040">
        <f>IFERROR(VLOOKUP(A3040,管理亚马逊库存!A:Q,17,0),"")</f>
        <v>0</v>
      </c>
      <c r="E3040">
        <f>IFERROR(VLOOKUP(A3040,管理亚马逊库存!A:R,18,0),"")</f>
        <v>0</v>
      </c>
      <c r="F3040">
        <f t="shared" si="95"/>
        <v>0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10542</v>
      </c>
      <c r="B3041">
        <f>IFERROR(VLOOKUP(A3041,管理亚马逊库存!A:K,11,0),"")</f>
        <v>0</v>
      </c>
      <c r="C3041">
        <f>IFERROR(VLOOKUP(A3041,管理亚马逊库存!A:L,12,0),"")</f>
        <v>0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10544</v>
      </c>
      <c r="B3042">
        <f>IFERROR(VLOOKUP(A3042,管理亚马逊库存!A:K,11,0),"")</f>
        <v>0</v>
      </c>
      <c r="C3042">
        <f>IFERROR(VLOOKUP(A3042,管理亚马逊库存!A:L,12,0),"")</f>
        <v>0</v>
      </c>
      <c r="D3042">
        <f>IFERROR(VLOOKUP(A3042,管理亚马逊库存!A:Q,17,0),"")</f>
        <v>0</v>
      </c>
      <c r="E3042">
        <f>IFERROR(VLOOKUP(A3042,管理亚马逊库存!A:R,18,0),"")</f>
        <v>0</v>
      </c>
      <c r="F3042">
        <f t="shared" si="95"/>
        <v>0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10546</v>
      </c>
      <c r="B3043">
        <f>IFERROR(VLOOKUP(A3043,管理亚马逊库存!A:K,11,0),"")</f>
        <v>0</v>
      </c>
      <c r="C3043">
        <f>IFERROR(VLOOKUP(A3043,管理亚马逊库存!A:L,12,0),"")</f>
        <v>0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10548</v>
      </c>
      <c r="B3044">
        <f>IFERROR(VLOOKUP(A3044,管理亚马逊库存!A:K,11,0),"")</f>
        <v>0</v>
      </c>
      <c r="C3044">
        <f>IFERROR(VLOOKUP(A3044,管理亚马逊库存!A:L,12,0),"")</f>
        <v>0</v>
      </c>
      <c r="D3044">
        <f>IFERROR(VLOOKUP(A3044,管理亚马逊库存!A:Q,17,0),"")</f>
        <v>0</v>
      </c>
      <c r="E3044">
        <f>IFERROR(VLOOKUP(A3044,管理亚马逊库存!A:R,18,0),"")</f>
        <v>0</v>
      </c>
      <c r="F3044">
        <f t="shared" si="95"/>
        <v>0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10550</v>
      </c>
      <c r="B3045">
        <f>IFERROR(VLOOKUP(A3045,管理亚马逊库存!A:K,11,0),"")</f>
        <v>0</v>
      </c>
      <c r="C3045">
        <f>IFERROR(VLOOKUP(A3045,管理亚马逊库存!A:L,12,0),"")</f>
        <v>0</v>
      </c>
      <c r="D3045">
        <f>IFERROR(VLOOKUP(A3045,管理亚马逊库存!A:Q,17,0),"")</f>
        <v>0</v>
      </c>
      <c r="E3045">
        <f>IFERROR(VLOOKUP(A3045,管理亚马逊库存!A:R,18,0),"")</f>
        <v>0</v>
      </c>
      <c r="F3045">
        <f t="shared" si="95"/>
        <v>0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10552</v>
      </c>
      <c r="B3046">
        <f>IFERROR(VLOOKUP(A3046,管理亚马逊库存!A:K,11,0),"")</f>
        <v>0</v>
      </c>
      <c r="C3046">
        <f>IFERROR(VLOOKUP(A3046,管理亚马逊库存!A:L,12,0),"")</f>
        <v>0</v>
      </c>
      <c r="D3046">
        <f>IFERROR(VLOOKUP(A3046,管理亚马逊库存!A:Q,17,0),"")</f>
        <v>0</v>
      </c>
      <c r="E3046">
        <f>IFERROR(VLOOKUP(A3046,管理亚马逊库存!A:R,18,0),"")</f>
        <v>0</v>
      </c>
      <c r="F3046">
        <f t="shared" si="95"/>
        <v>0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10554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10556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10558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10560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10562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10564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10566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10568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10570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10572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10574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10576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10578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10580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10582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10584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10586</v>
      </c>
      <c r="B3063">
        <f>IFERROR(VLOOKUP(A3063,管理亚马逊库存!A:K,11,0),"")</f>
        <v>0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10588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10590</v>
      </c>
      <c r="B3065">
        <f>IFERROR(VLOOKUP(A3065,管理亚马逊库存!A:K,11,0),"")</f>
        <v>0</v>
      </c>
      <c r="C3065">
        <f>IFERROR(VLOOKUP(A3065,管理亚马逊库存!A:L,12,0),"")</f>
        <v>0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10592</v>
      </c>
      <c r="B3066">
        <f>IFERROR(VLOOKUP(A3066,管理亚马逊库存!A:K,11,0),"")</f>
        <v>0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10594</v>
      </c>
      <c r="B3067">
        <f>IFERROR(VLOOKUP(A3067,管理亚马逊库存!A:K,11,0),"")</f>
        <v>0</v>
      </c>
      <c r="C3067">
        <f>IFERROR(VLOOKUP(A3067,管理亚马逊库存!A:L,12,0),"")</f>
        <v>0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10596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10598</v>
      </c>
      <c r="B3069">
        <f>IFERROR(VLOOKUP(A3069,管理亚马逊库存!A:K,11,0),"")</f>
        <v>0</v>
      </c>
      <c r="C3069">
        <f>IFERROR(VLOOKUP(A3069,管理亚马逊库存!A:L,12,0),"")</f>
        <v>0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10602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10605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10608</v>
      </c>
      <c r="B3072">
        <f>IFERROR(VLOOKUP(A3072,管理亚马逊库存!A:K,11,0),"")</f>
        <v>0</v>
      </c>
      <c r="C3072">
        <f>IFERROR(VLOOKUP(A3072,管理亚马逊库存!A:L,12,0),"")</f>
        <v>0</v>
      </c>
      <c r="D3072">
        <f>IFERROR(VLOOKUP(A3072,管理亚马逊库存!A:Q,17,0),"")</f>
        <v>0</v>
      </c>
      <c r="E3072">
        <f>IFERROR(VLOOKUP(A3072,管理亚马逊库存!A:R,18,0),"")</f>
        <v>0</v>
      </c>
      <c r="F3072">
        <f t="shared" si="95"/>
        <v>0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10611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10613</v>
      </c>
      <c r="B3074">
        <f>IFERROR(VLOOKUP(A3074,管理亚马逊库存!A:K,11,0),"")</f>
        <v>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10615</v>
      </c>
      <c r="B3075">
        <f>IFERROR(VLOOKUP(A3075,管理亚马逊库存!A:K,11,0),"")</f>
        <v>0</v>
      </c>
      <c r="C3075">
        <f>IFERROR(VLOOKUP(A3075,管理亚马逊库存!A:L,12,0),"")</f>
        <v>0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25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25" si="98">SUM(J3075:M3075)</f>
        <v>0</v>
      </c>
    </row>
    <row r="3076" spans="1:14">
      <c r="A3076" s="3" t="s">
        <v>10617</v>
      </c>
      <c r="B3076">
        <f>IFERROR(VLOOKUP(A3076,管理亚马逊库存!A:K,11,0),"")</f>
        <v>0</v>
      </c>
      <c r="C3076">
        <f>IFERROR(VLOOKUP(A3076,管理亚马逊库存!A:L,12,0),"")</f>
        <v>0</v>
      </c>
      <c r="D3076">
        <f>IFERROR(VLOOKUP(A3076,管理亚马逊库存!A:Q,17,0),"")</f>
        <v>0</v>
      </c>
      <c r="E3076">
        <f>IFERROR(VLOOKUP(A3076,管理亚马逊库存!A:R,18,0),"")</f>
        <v>0</v>
      </c>
      <c r="F3076">
        <f t="shared" si="97"/>
        <v>0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10620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10622</v>
      </c>
      <c r="B3078">
        <f>IFERROR(VLOOKUP(A3078,管理亚马逊库存!A:K,11,0),"")</f>
        <v>0</v>
      </c>
      <c r="C3078">
        <f>IFERROR(VLOOKUP(A3078,管理亚马逊库存!A:L,12,0),"")</f>
        <v>0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10624</v>
      </c>
      <c r="B3079">
        <f>IFERROR(VLOOKUP(A3079,管理亚马逊库存!A:K,11,0),"")</f>
        <v>0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10626</v>
      </c>
      <c r="B3080">
        <f>IFERROR(VLOOKUP(A3080,管理亚马逊库存!A:K,11,0),"")</f>
        <v>0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10629</v>
      </c>
      <c r="B3081">
        <f>IFERROR(VLOOKUP(A3081,管理亚马逊库存!A:K,11,0),"")</f>
        <v>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10632</v>
      </c>
      <c r="B3082">
        <f>IFERROR(VLOOKUP(A3082,管理亚马逊库存!A:K,11,0),"")</f>
        <v>0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10636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0</v>
      </c>
      <c r="F3083">
        <f t="shared" si="97"/>
        <v>0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10639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0</v>
      </c>
      <c r="F3084">
        <f t="shared" si="97"/>
        <v>0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10643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10647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10650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10653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10656</v>
      </c>
      <c r="B3089">
        <f>IFERROR(VLOOKUP(A3089,管理亚马逊库存!A:K,11,0),"")</f>
        <v>0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10659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10661</v>
      </c>
      <c r="B3091">
        <f>IFERROR(VLOOKUP(A3091,管理亚马逊库存!A:K,11,0),"")</f>
        <v>0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10664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10667</v>
      </c>
      <c r="B3093">
        <f>IFERROR(VLOOKUP(A3093,管理亚马逊库存!A:K,11,0),"")</f>
        <v>0</v>
      </c>
      <c r="C3093">
        <f>IFERROR(VLOOKUP(A3093,管理亚马逊库存!A:L,12,0),"")</f>
        <v>0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10670</v>
      </c>
      <c r="B3094">
        <f>IFERROR(VLOOKUP(A3094,管理亚马逊库存!A:K,11,0),"")</f>
        <v>0</v>
      </c>
      <c r="C3094">
        <f>IFERROR(VLOOKUP(A3094,管理亚马逊库存!A:L,12,0),"")</f>
        <v>0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10673</v>
      </c>
      <c r="B3095">
        <f>IFERROR(VLOOKUP(A3095,管理亚马逊库存!A:K,11,0),"")</f>
        <v>0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10676</v>
      </c>
      <c r="B3096">
        <f>IFERROR(VLOOKUP(A3096,管理亚马逊库存!A:K,11,0),"")</f>
        <v>0</v>
      </c>
      <c r="C3096">
        <f>IFERROR(VLOOKUP(A3096,管理亚马逊库存!A:L,12,0),"")</f>
        <v>0</v>
      </c>
      <c r="D3096">
        <f>IFERROR(VLOOKUP(A3096,管理亚马逊库存!A:Q,17,0),"")</f>
        <v>0</v>
      </c>
      <c r="E3096">
        <f>IFERROR(VLOOKUP(A3096,管理亚马逊库存!A:R,18,0),"")</f>
        <v>0</v>
      </c>
      <c r="F3096">
        <f t="shared" si="97"/>
        <v>0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10679</v>
      </c>
      <c r="B3097">
        <f>IFERROR(VLOOKUP(A3097,管理亚马逊库存!A:K,11,0),"")</f>
        <v>0</v>
      </c>
      <c r="C3097">
        <f>IFERROR(VLOOKUP(A3097,管理亚马逊库存!A:L,12,0),"")</f>
        <v>0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10682</v>
      </c>
      <c r="B3098">
        <f>IFERROR(VLOOKUP(A3098,管理亚马逊库存!A:K,11,0),"")</f>
        <v>0</v>
      </c>
      <c r="C3098">
        <f>IFERROR(VLOOKUP(A3098,管理亚马逊库存!A:L,12,0),"")</f>
        <v>0</v>
      </c>
      <c r="D3098">
        <f>IFERROR(VLOOKUP(A3098,管理亚马逊库存!A:Q,17,0),"")</f>
        <v>0</v>
      </c>
      <c r="E3098">
        <f>IFERROR(VLOOKUP(A3098,管理亚马逊库存!A:R,18,0),"")</f>
        <v>0</v>
      </c>
      <c r="F3098">
        <f t="shared" si="97"/>
        <v>0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10685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10689</v>
      </c>
      <c r="B3100">
        <f>IFERROR(VLOOKUP(A3100,管理亚马逊库存!A:K,11,0),"")</f>
        <v>0</v>
      </c>
      <c r="C3100">
        <f>IFERROR(VLOOKUP(A3100,管理亚马逊库存!A:L,12,0),"")</f>
        <v>0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10693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10697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10701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0</v>
      </c>
      <c r="F3103">
        <f t="shared" si="97"/>
        <v>0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10704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10706</v>
      </c>
      <c r="B3105">
        <f>IFERROR(VLOOKUP(A3105,管理亚马逊库存!A:K,11,0),"")</f>
        <v>0</v>
      </c>
      <c r="C3105">
        <f>IFERROR(VLOOKUP(A3105,管理亚马逊库存!A:L,12,0),"")</f>
        <v>2</v>
      </c>
      <c r="D3105">
        <f>IFERROR(VLOOKUP(A3105,管理亚马逊库存!A:Q,17,0),"")</f>
        <v>49</v>
      </c>
      <c r="E3105">
        <f>IFERROR(VLOOKUP(A3105,管理亚马逊库存!A:R,18,0),"")</f>
        <v>0</v>
      </c>
      <c r="F3105">
        <f t="shared" si="97"/>
        <v>49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10709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10711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0</v>
      </c>
      <c r="F3107">
        <f t="shared" si="97"/>
        <v>0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10714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10716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10718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10721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10725</v>
      </c>
      <c r="B3112">
        <f>IFERROR(VLOOKUP(A3112,管理亚马逊库存!A:K,11,0),"")</f>
        <v>0</v>
      </c>
      <c r="C3112">
        <f>IFERROR(VLOOKUP(A3112,管理亚马逊库存!A:L,12,0),"")</f>
        <v>4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10729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10733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10735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10737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10739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10741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10743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10745</v>
      </c>
      <c r="B3120">
        <f>IFERROR(VLOOKUP(A3120,管理亚马逊库存!A:K,11,0),"")</f>
        <v>0</v>
      </c>
      <c r="C3120">
        <f>IFERROR(VLOOKUP(A3120,管理亚马逊库存!A:L,12,0),"")</f>
        <v>0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10747</v>
      </c>
      <c r="B3121">
        <f>IFERROR(VLOOKUP(A3121,管理亚马逊库存!A:K,11,0),"")</f>
        <v>0</v>
      </c>
      <c r="C3121">
        <f>IFERROR(VLOOKUP(A3121,管理亚马逊库存!A:L,12,0),"")</f>
        <v>0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10749</v>
      </c>
      <c r="B3122">
        <f>IFERROR(VLOOKUP(A3122,管理亚马逊库存!A:K,11,0),"")</f>
        <v>0</v>
      </c>
      <c r="C3122">
        <f>IFERROR(VLOOKUP(A3122,管理亚马逊库存!A:L,12,0),"")</f>
        <v>0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10752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1:14">
      <c r="A3124" s="3" t="s">
        <v>10754</v>
      </c>
      <c r="B3124">
        <f>IFERROR(VLOOKUP(A3124,管理亚马逊库存!A:K,11,0),"")</f>
        <v>0</v>
      </c>
      <c r="C3124">
        <f>IFERROR(VLOOKUP(A3124,管理亚马逊库存!A:L,12,0),"")</f>
        <v>0</v>
      </c>
      <c r="D3124">
        <f>IFERROR(VLOOKUP(A3124,管理亚马逊库存!A:Q,17,0),"")</f>
        <v>0</v>
      </c>
      <c r="E3124">
        <f>IFERROR(VLOOKUP(A3124,管理亚马逊库存!A:R,18,0),"")</f>
        <v>0</v>
      </c>
      <c r="F3124">
        <f t="shared" si="97"/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 t="shared" si="98"/>
        <v>0</v>
      </c>
    </row>
    <row r="3125" spans="1:14">
      <c r="A3125" s="3" t="s">
        <v>10757</v>
      </c>
      <c r="B3125">
        <f>IFERROR(VLOOKUP(A3125,管理亚马逊库存!A:K,11,0),"")</f>
        <v>0</v>
      </c>
      <c r="C3125">
        <f>IFERROR(VLOOKUP(A3125,管理亚马逊库存!A:L,12,0),"")</f>
        <v>0</v>
      </c>
      <c r="D3125">
        <f>IFERROR(VLOOKUP(A3125,管理亚马逊库存!A:Q,17,0),"")</f>
        <v>0</v>
      </c>
      <c r="E3125">
        <f>IFERROR(VLOOKUP(A3125,管理亚马逊库存!A:R,18,0),"")</f>
        <v>0</v>
      </c>
      <c r="F3125">
        <f t="shared" si="97"/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 t="shared" si="98"/>
        <v>0</v>
      </c>
    </row>
    <row r="3126" spans="2:14">
      <c r="B3126" t="str">
        <f>IFERROR(VLOOKUP(A3126,管理亚马逊库存!A:K,11,0),"")</f>
        <v/>
      </c>
      <c r="C3126" t="str">
        <f>IFERROR(VLOOKUP(A3126,管理亚马逊库存!A:L,12,0),"")</f>
        <v/>
      </c>
      <c r="D3126" t="str">
        <f>IFERROR(VLOOKUP(A3126,管理亚马逊库存!A:Q,17,0),"")</f>
        <v/>
      </c>
      <c r="E3126" t="str">
        <f>IFERROR(VLOOKUP(A3126,管理亚马逊库存!A:R,18,0),"")</f>
        <v/>
      </c>
      <c r="F3126">
        <f>SUM(D3126:E3126)</f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>SUM(J3126:M3126)</f>
        <v>0</v>
      </c>
    </row>
    <row r="3127" spans="2:14">
      <c r="B3127" t="str">
        <f>IFERROR(VLOOKUP(A3127,管理亚马逊库存!A:K,11,0),"")</f>
        <v/>
      </c>
      <c r="C3127" t="str">
        <f>IFERROR(VLOOKUP(A3127,管理亚马逊库存!A:L,12,0),"")</f>
        <v/>
      </c>
      <c r="D3127" t="str">
        <f>IFERROR(VLOOKUP(A3127,管理亚马逊库存!A:Q,17,0),"")</f>
        <v/>
      </c>
      <c r="E3127" t="str">
        <f>IFERROR(VLOOKUP(A3127,管理亚马逊库存!A:R,18,0),"")</f>
        <v/>
      </c>
      <c r="F3127">
        <f>SUM(D3127:E3127)</f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>SUM(J3127:M3127)</f>
        <v>0</v>
      </c>
    </row>
    <row r="3128" spans="2:14">
      <c r="B3128" t="str">
        <f>IFERROR(VLOOKUP(A3128,管理亚马逊库存!A:K,11,0),"")</f>
        <v/>
      </c>
      <c r="C3128" t="str">
        <f>IFERROR(VLOOKUP(A3128,管理亚马逊库存!A:L,12,0),"")</f>
        <v/>
      </c>
      <c r="D3128" t="str">
        <f>IFERROR(VLOOKUP(A3128,管理亚马逊库存!A:Q,17,0),"")</f>
        <v/>
      </c>
      <c r="E3128" t="str">
        <f>IFERROR(VLOOKUP(A3128,管理亚马逊库存!A:R,18,0),"")</f>
        <v/>
      </c>
      <c r="F3128">
        <f>SUM(D3128:E3128)</f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>SUM(J3128:M3128)</f>
        <v>0</v>
      </c>
    </row>
    <row r="3129" spans="2:14">
      <c r="B3129" t="str">
        <f>IFERROR(VLOOKUP(A3129,管理亚马逊库存!A:K,11,0),"")</f>
        <v/>
      </c>
      <c r="C3129" t="str">
        <f>IFERROR(VLOOKUP(A3129,管理亚马逊库存!A:L,12,0),"")</f>
        <v/>
      </c>
      <c r="D3129" t="str">
        <f>IFERROR(VLOOKUP(A3129,管理亚马逊库存!A:Q,17,0),"")</f>
        <v/>
      </c>
      <c r="E3129" t="str">
        <f>IFERROR(VLOOKUP(A3129,管理亚马逊库存!A:R,18,0),"")</f>
        <v/>
      </c>
      <c r="F3129">
        <f>SUM(D3129:E3129)</f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>SUM(J3129:M3129)</f>
        <v>0</v>
      </c>
    </row>
    <row r="3130" spans="2:14">
      <c r="B3130" t="str">
        <f>IFERROR(VLOOKUP(A3130,管理亚马逊库存!A:K,11,0),"")</f>
        <v/>
      </c>
      <c r="C3130" t="str">
        <f>IFERROR(VLOOKUP(A3130,管理亚马逊库存!A:L,12,0),"")</f>
        <v/>
      </c>
      <c r="D3130" t="str">
        <f>IFERROR(VLOOKUP(A3130,管理亚马逊库存!A:Q,17,0),"")</f>
        <v/>
      </c>
      <c r="E3130" t="str">
        <f>IFERROR(VLOOKUP(A3130,管理亚马逊库存!A:R,18,0),"")</f>
        <v/>
      </c>
      <c r="F3130">
        <f>SUM(D3130:E3130)</f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>SUM(J3130:M3130)</f>
        <v>0</v>
      </c>
    </row>
    <row r="3131" spans="2:14">
      <c r="B3131" t="str">
        <f>IFERROR(VLOOKUP(A3131,管理亚马逊库存!A:K,11,0),"")</f>
        <v/>
      </c>
      <c r="C3131" t="str">
        <f>IFERROR(VLOOKUP(A3131,管理亚马逊库存!A:L,12,0),"")</f>
        <v/>
      </c>
      <c r="D3131" t="str">
        <f>IFERROR(VLOOKUP(A3131,管理亚马逊库存!A:Q,17,0),"")</f>
        <v/>
      </c>
      <c r="E3131" t="str">
        <f>IFERROR(VLOOKUP(A3131,管理亚马逊库存!A:R,18,0),"")</f>
        <v/>
      </c>
      <c r="F3131">
        <f>SUM(D3131:E3131)</f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>SUM(J3131:M3131)</f>
        <v>0</v>
      </c>
    </row>
    <row r="3132" spans="2:14">
      <c r="B3132" t="str">
        <f>IFERROR(VLOOKUP(A3132,管理亚马逊库存!A:K,11,0),"")</f>
        <v/>
      </c>
      <c r="C3132" t="str">
        <f>IFERROR(VLOOKUP(A3132,管理亚马逊库存!A:L,12,0),"")</f>
        <v/>
      </c>
      <c r="D3132" t="str">
        <f>IFERROR(VLOOKUP(A3132,管理亚马逊库存!A:Q,17,0),"")</f>
        <v/>
      </c>
      <c r="E3132" t="str">
        <f>IFERROR(VLOOKUP(A3132,管理亚马逊库存!A:R,18,0),"")</f>
        <v/>
      </c>
      <c r="F3132">
        <f>SUM(D3132:E3132)</f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>SUM(J3132:M3132)</f>
        <v>0</v>
      </c>
    </row>
    <row r="3133" spans="2:14">
      <c r="B3133" t="str">
        <f>IFERROR(VLOOKUP(A3133,管理亚马逊库存!A:K,11,0),"")</f>
        <v/>
      </c>
      <c r="C3133" t="str">
        <f>IFERROR(VLOOKUP(A3133,管理亚马逊库存!A:L,12,0),"")</f>
        <v/>
      </c>
      <c r="D3133" t="str">
        <f>IFERROR(VLOOKUP(A3133,管理亚马逊库存!A:Q,17,0),"")</f>
        <v/>
      </c>
      <c r="E3133" t="str">
        <f>IFERROR(VLOOKUP(A3133,管理亚马逊库存!A:R,18,0),"")</f>
        <v/>
      </c>
      <c r="F3133">
        <f>SUM(D3133:E3133)</f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>SUM(J3133:M3133)</f>
        <v>0</v>
      </c>
    </row>
    <row r="3134" spans="2:14">
      <c r="B3134" t="str">
        <f>IFERROR(VLOOKUP(A3134,管理亚马逊库存!A:K,11,0),"")</f>
        <v/>
      </c>
      <c r="C3134" t="str">
        <f>IFERROR(VLOOKUP(A3134,管理亚马逊库存!A:L,12,0),"")</f>
        <v/>
      </c>
      <c r="D3134" t="str">
        <f>IFERROR(VLOOKUP(A3134,管理亚马逊库存!A:Q,17,0),"")</f>
        <v/>
      </c>
      <c r="E3134" t="str">
        <f>IFERROR(VLOOKUP(A3134,管理亚马逊库存!A:R,18,0),"")</f>
        <v/>
      </c>
      <c r="F3134">
        <f>SUM(D3134:E3134)</f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>SUM(J3134:M3134)</f>
        <v>0</v>
      </c>
    </row>
    <row r="3135" spans="2:14">
      <c r="B3135" t="str">
        <f>IFERROR(VLOOKUP(A3135,管理亚马逊库存!A:K,11,0),"")</f>
        <v/>
      </c>
      <c r="C3135" t="str">
        <f>IFERROR(VLOOKUP(A3135,管理亚马逊库存!A:L,12,0),"")</f>
        <v/>
      </c>
      <c r="D3135" t="str">
        <f>IFERROR(VLOOKUP(A3135,管理亚马逊库存!A:Q,17,0),"")</f>
        <v/>
      </c>
      <c r="E3135" t="str">
        <f>IFERROR(VLOOKUP(A3135,管理亚马逊库存!A:R,18,0),"")</f>
        <v/>
      </c>
      <c r="F3135">
        <f>SUM(D3135:E3135)</f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>SUM(J3135:M3135)</f>
        <v>0</v>
      </c>
    </row>
    <row r="3136" spans="2:14">
      <c r="B3136" t="str">
        <f>IFERROR(VLOOKUP(A3136,管理亚马逊库存!A:K,11,0),"")</f>
        <v/>
      </c>
      <c r="C3136" t="str">
        <f>IFERROR(VLOOKUP(A3136,管理亚马逊库存!A:L,12,0),"")</f>
        <v/>
      </c>
      <c r="D3136" t="str">
        <f>IFERROR(VLOOKUP(A3136,管理亚马逊库存!A:Q,17,0),"")</f>
        <v/>
      </c>
      <c r="E3136" t="str">
        <f>IFERROR(VLOOKUP(A3136,管理亚马逊库存!A:R,18,0),"")</f>
        <v/>
      </c>
      <c r="F3136">
        <f>SUM(D3136:E3136)</f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>SUM(J3136:M3136)</f>
        <v>0</v>
      </c>
    </row>
    <row r="3137" spans="2:14">
      <c r="B3137" t="str">
        <f>IFERROR(VLOOKUP(A3137,管理亚马逊库存!A:K,11,0),"")</f>
        <v/>
      </c>
      <c r="C3137" t="str">
        <f>IFERROR(VLOOKUP(A3137,管理亚马逊库存!A:L,12,0),"")</f>
        <v/>
      </c>
      <c r="D3137" t="str">
        <f>IFERROR(VLOOKUP(A3137,管理亚马逊库存!A:Q,17,0),"")</f>
        <v/>
      </c>
      <c r="E3137" t="str">
        <f>IFERROR(VLOOKUP(A3137,管理亚马逊库存!A:R,18,0),"")</f>
        <v/>
      </c>
      <c r="F3137">
        <f>SUM(D3137:E3137)</f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>SUM(J3137:M3137)</f>
        <v>0</v>
      </c>
    </row>
    <row r="3138" spans="2:14">
      <c r="B3138" t="str">
        <f>IFERROR(VLOOKUP(A3138,管理亚马逊库存!A:K,11,0),"")</f>
        <v/>
      </c>
      <c r="C3138" t="str">
        <f>IFERROR(VLOOKUP(A3138,管理亚马逊库存!A:L,12,0),"")</f>
        <v/>
      </c>
      <c r="D3138" t="str">
        <f>IFERROR(VLOOKUP(A3138,管理亚马逊库存!A:Q,17,0),"")</f>
        <v/>
      </c>
      <c r="E3138" t="str">
        <f>IFERROR(VLOOKUP(A3138,管理亚马逊库存!A:R,18,0),"")</f>
        <v/>
      </c>
      <c r="F3138">
        <f>SUM(D3138:E3138)</f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>SUM(J3138:M3138)</f>
        <v>0</v>
      </c>
    </row>
    <row r="3139" spans="2:14">
      <c r="B3139" t="str">
        <f>IFERROR(VLOOKUP(A3139,管理亚马逊库存!A:K,11,0),"")</f>
        <v/>
      </c>
      <c r="C3139" t="str">
        <f>IFERROR(VLOOKUP(A3139,管理亚马逊库存!A:L,12,0),"")</f>
        <v/>
      </c>
      <c r="D3139" t="str">
        <f>IFERROR(VLOOKUP(A3139,管理亚马逊库存!A:Q,17,0),"")</f>
        <v/>
      </c>
      <c r="E3139" t="str">
        <f>IFERROR(VLOOKUP(A3139,管理亚马逊库存!A:R,18,0),"")</f>
        <v/>
      </c>
      <c r="F3139">
        <f t="shared" ref="F3139:F3161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161" si="100">SUM(J3139:M3139)</f>
        <v>0</v>
      </c>
    </row>
    <row r="3140" spans="2:14">
      <c r="B3140" t="str">
        <f>IFERROR(VLOOKUP(A3140,管理亚马逊库存!A:K,11,0),"")</f>
        <v/>
      </c>
      <c r="C3140" t="str">
        <f>IFERROR(VLOOKUP(A3140,管理亚马逊库存!A:L,12,0),"")</f>
        <v/>
      </c>
      <c r="D3140" t="str">
        <f>IFERROR(VLOOKUP(A3140,管理亚马逊库存!A:Q,17,0),"")</f>
        <v/>
      </c>
      <c r="E3140" t="str">
        <f>IFERROR(VLOOKUP(A3140,管理亚马逊库存!A:R,18,0),"")</f>
        <v/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2:14">
      <c r="B3141" t="str">
        <f>IFERROR(VLOOKUP(A3141,管理亚马逊库存!A:K,11,0),"")</f>
        <v/>
      </c>
      <c r="C3141" t="str">
        <f>IFERROR(VLOOKUP(A3141,管理亚马逊库存!A:L,12,0),"")</f>
        <v/>
      </c>
      <c r="D3141" t="str">
        <f>IFERROR(VLOOKUP(A3141,管理亚马逊库存!A:Q,17,0),"")</f>
        <v/>
      </c>
      <c r="E3141" t="str">
        <f>IFERROR(VLOOKUP(A3141,管理亚马逊库存!A:R,18,0),"")</f>
        <v/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2:14">
      <c r="B3142" t="str">
        <f>IFERROR(VLOOKUP(A3142,管理亚马逊库存!A:K,11,0),"")</f>
        <v/>
      </c>
      <c r="C3142" t="str">
        <f>IFERROR(VLOOKUP(A3142,管理亚马逊库存!A:L,12,0),"")</f>
        <v/>
      </c>
      <c r="D3142" t="str">
        <f>IFERROR(VLOOKUP(A3142,管理亚马逊库存!A:Q,17,0),"")</f>
        <v/>
      </c>
      <c r="E3142" t="str">
        <f>IFERROR(VLOOKUP(A3142,管理亚马逊库存!A:R,18,0),"")</f>
        <v/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2:14">
      <c r="B3143" t="str">
        <f>IFERROR(VLOOKUP(A3143,管理亚马逊库存!A:K,11,0),"")</f>
        <v/>
      </c>
      <c r="C3143" t="str">
        <f>IFERROR(VLOOKUP(A3143,管理亚马逊库存!A:L,12,0),"")</f>
        <v/>
      </c>
      <c r="D3143" t="str">
        <f>IFERROR(VLOOKUP(A3143,管理亚马逊库存!A:Q,17,0),"")</f>
        <v/>
      </c>
      <c r="E3143" t="str">
        <f>IFERROR(VLOOKUP(A3143,管理亚马逊库存!A:R,18,0),"")</f>
        <v/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2:14">
      <c r="B3144" t="str">
        <f>IFERROR(VLOOKUP(A3144,管理亚马逊库存!A:K,11,0),"")</f>
        <v/>
      </c>
      <c r="C3144" t="str">
        <f>IFERROR(VLOOKUP(A3144,管理亚马逊库存!A:L,12,0),"")</f>
        <v/>
      </c>
      <c r="D3144" t="str">
        <f>IFERROR(VLOOKUP(A3144,管理亚马逊库存!A:Q,17,0),"")</f>
        <v/>
      </c>
      <c r="E3144" t="str">
        <f>IFERROR(VLOOKUP(A3144,管理亚马逊库存!A:R,18,0),"")</f>
        <v/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2:14">
      <c r="B3145" t="str">
        <f>IFERROR(VLOOKUP(A3145,管理亚马逊库存!A:K,11,0),"")</f>
        <v/>
      </c>
      <c r="C3145" t="str">
        <f>IFERROR(VLOOKUP(A3145,管理亚马逊库存!A:L,12,0),"")</f>
        <v/>
      </c>
      <c r="D3145" t="str">
        <f>IFERROR(VLOOKUP(A3145,管理亚马逊库存!A:Q,17,0),"")</f>
        <v/>
      </c>
      <c r="E3145" t="str">
        <f>IFERROR(VLOOKUP(A3145,管理亚马逊库存!A:R,18,0),"")</f>
        <v/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2:14">
      <c r="B3146" t="str">
        <f>IFERROR(VLOOKUP(A3146,管理亚马逊库存!A:K,11,0),"")</f>
        <v/>
      </c>
      <c r="C3146" t="str">
        <f>IFERROR(VLOOKUP(A3146,管理亚马逊库存!A:L,12,0),"")</f>
        <v/>
      </c>
      <c r="D3146" t="str">
        <f>IFERROR(VLOOKUP(A3146,管理亚马逊库存!A:Q,17,0),"")</f>
        <v/>
      </c>
      <c r="E3146" t="str">
        <f>IFERROR(VLOOKUP(A3146,管理亚马逊库存!A:R,18,0),"")</f>
        <v/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2:14">
      <c r="B3147" t="str">
        <f>IFERROR(VLOOKUP(A3147,管理亚马逊库存!A:K,11,0),"")</f>
        <v/>
      </c>
      <c r="C3147" t="str">
        <f>IFERROR(VLOOKUP(A3147,管理亚马逊库存!A:L,12,0),"")</f>
        <v/>
      </c>
      <c r="D3147" t="str">
        <f>IFERROR(VLOOKUP(A3147,管理亚马逊库存!A:Q,17,0),"")</f>
        <v/>
      </c>
      <c r="E3147" t="str">
        <f>IFERROR(VLOOKUP(A3147,管理亚马逊库存!A:R,18,0),"")</f>
        <v/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2:14">
      <c r="B3148" t="str">
        <f>IFERROR(VLOOKUP(A3148,管理亚马逊库存!A:K,11,0),"")</f>
        <v/>
      </c>
      <c r="C3148" t="str">
        <f>IFERROR(VLOOKUP(A3148,管理亚马逊库存!A:L,12,0),"")</f>
        <v/>
      </c>
      <c r="D3148" t="str">
        <f>IFERROR(VLOOKUP(A3148,管理亚马逊库存!A:Q,17,0),"")</f>
        <v/>
      </c>
      <c r="E3148" t="str">
        <f>IFERROR(VLOOKUP(A3148,管理亚马逊库存!A:R,18,0),"")</f>
        <v/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2:14">
      <c r="B3149" t="str">
        <f>IFERROR(VLOOKUP(A3149,管理亚马逊库存!A:K,11,0),"")</f>
        <v/>
      </c>
      <c r="C3149" t="str">
        <f>IFERROR(VLOOKUP(A3149,管理亚马逊库存!A:L,12,0),"")</f>
        <v/>
      </c>
      <c r="D3149" t="str">
        <f>IFERROR(VLOOKUP(A3149,管理亚马逊库存!A:Q,17,0),"")</f>
        <v/>
      </c>
      <c r="E3149" t="str">
        <f>IFERROR(VLOOKUP(A3149,管理亚马逊库存!A:R,18,0),"")</f>
        <v/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2:14">
      <c r="B3150" t="str">
        <f>IFERROR(VLOOKUP(A3150,管理亚马逊库存!A:K,11,0),"")</f>
        <v/>
      </c>
      <c r="C3150" t="str">
        <f>IFERROR(VLOOKUP(A3150,管理亚马逊库存!A:L,12,0),"")</f>
        <v/>
      </c>
      <c r="D3150" t="str">
        <f>IFERROR(VLOOKUP(A3150,管理亚马逊库存!A:Q,17,0),"")</f>
        <v/>
      </c>
      <c r="E3150" t="str">
        <f>IFERROR(VLOOKUP(A3150,管理亚马逊库存!A:R,18,0),"")</f>
        <v/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2:14">
      <c r="B3151" t="str">
        <f>IFERROR(VLOOKUP(A3151,管理亚马逊库存!A:K,11,0),"")</f>
        <v/>
      </c>
      <c r="C3151" t="str">
        <f>IFERROR(VLOOKUP(A3151,管理亚马逊库存!A:L,12,0),"")</f>
        <v/>
      </c>
      <c r="D3151" t="str">
        <f>IFERROR(VLOOKUP(A3151,管理亚马逊库存!A:Q,17,0),"")</f>
        <v/>
      </c>
      <c r="E3151" t="str">
        <f>IFERROR(VLOOKUP(A3151,管理亚马逊库存!A:R,18,0),"")</f>
        <v/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2:14">
      <c r="B3152" t="str">
        <f>IFERROR(VLOOKUP(A3152,管理亚马逊库存!A:K,11,0),"")</f>
        <v/>
      </c>
      <c r="C3152" t="str">
        <f>IFERROR(VLOOKUP(A3152,管理亚马逊库存!A:L,12,0),"")</f>
        <v/>
      </c>
      <c r="D3152" t="str">
        <f>IFERROR(VLOOKUP(A3152,管理亚马逊库存!A:Q,17,0),"")</f>
        <v/>
      </c>
      <c r="E3152" t="str">
        <f>IFERROR(VLOOKUP(A3152,管理亚马逊库存!A:R,18,0),"")</f>
        <v/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2:14">
      <c r="B3153" t="str">
        <f>IFERROR(VLOOKUP(A3153,管理亚马逊库存!A:K,11,0),"")</f>
        <v/>
      </c>
      <c r="C3153" t="str">
        <f>IFERROR(VLOOKUP(A3153,管理亚马逊库存!A:L,12,0),"")</f>
        <v/>
      </c>
      <c r="D3153" t="str">
        <f>IFERROR(VLOOKUP(A3153,管理亚马逊库存!A:Q,17,0),"")</f>
        <v/>
      </c>
      <c r="E3153" t="str">
        <f>IFERROR(VLOOKUP(A3153,管理亚马逊库存!A:R,18,0),"")</f>
        <v/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2:14">
      <c r="B3154" t="str">
        <f>IFERROR(VLOOKUP(A3154,管理亚马逊库存!A:K,11,0),"")</f>
        <v/>
      </c>
      <c r="C3154" t="str">
        <f>IFERROR(VLOOKUP(A3154,管理亚马逊库存!A:L,12,0),"")</f>
        <v/>
      </c>
      <c r="D3154" t="str">
        <f>IFERROR(VLOOKUP(A3154,管理亚马逊库存!A:Q,17,0),"")</f>
        <v/>
      </c>
      <c r="E3154" t="str">
        <f>IFERROR(VLOOKUP(A3154,管理亚马逊库存!A:R,18,0),"")</f>
        <v/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2:14">
      <c r="B3155" t="str">
        <f>IFERROR(VLOOKUP(A3155,管理亚马逊库存!A:K,11,0),"")</f>
        <v/>
      </c>
      <c r="C3155" t="str">
        <f>IFERROR(VLOOKUP(A3155,管理亚马逊库存!A:L,12,0),"")</f>
        <v/>
      </c>
      <c r="D3155" t="str">
        <f>IFERROR(VLOOKUP(A3155,管理亚马逊库存!A:Q,17,0),"")</f>
        <v/>
      </c>
      <c r="E3155" t="str">
        <f>IFERROR(VLOOKUP(A3155,管理亚马逊库存!A:R,18,0),"")</f>
        <v/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2:14">
      <c r="B3156" t="str">
        <f>IFERROR(VLOOKUP(A3156,管理亚马逊库存!A:K,11,0),"")</f>
        <v/>
      </c>
      <c r="C3156" t="str">
        <f>IFERROR(VLOOKUP(A3156,管理亚马逊库存!A:L,12,0),"")</f>
        <v/>
      </c>
      <c r="D3156" t="str">
        <f>IFERROR(VLOOKUP(A3156,管理亚马逊库存!A:Q,17,0),"")</f>
        <v/>
      </c>
      <c r="E3156" t="str">
        <f>IFERROR(VLOOKUP(A3156,管理亚马逊库存!A:R,18,0),"")</f>
        <v/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2:14">
      <c r="B3157" t="str">
        <f>IFERROR(VLOOKUP(A3157,管理亚马逊库存!A:K,11,0),"")</f>
        <v/>
      </c>
      <c r="C3157" t="str">
        <f>IFERROR(VLOOKUP(A3157,管理亚马逊库存!A:L,12,0),"")</f>
        <v/>
      </c>
      <c r="D3157" t="str">
        <f>IFERROR(VLOOKUP(A3157,管理亚马逊库存!A:Q,17,0),"")</f>
        <v/>
      </c>
      <c r="E3157" t="str">
        <f>IFERROR(VLOOKUP(A3157,管理亚马逊库存!A:R,18,0),"")</f>
        <v/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2:14">
      <c r="B3158" t="str">
        <f>IFERROR(VLOOKUP(A3158,管理亚马逊库存!A:K,11,0),"")</f>
        <v/>
      </c>
      <c r="C3158" t="str">
        <f>IFERROR(VLOOKUP(A3158,管理亚马逊库存!A:L,12,0),"")</f>
        <v/>
      </c>
      <c r="D3158" t="str">
        <f>IFERROR(VLOOKUP(A3158,管理亚马逊库存!A:Q,17,0),"")</f>
        <v/>
      </c>
      <c r="E3158" t="str">
        <f>IFERROR(VLOOKUP(A3158,管理亚马逊库存!A:R,18,0),"")</f>
        <v/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2:14">
      <c r="B3159" t="str">
        <f>IFERROR(VLOOKUP(A3159,管理亚马逊库存!A:K,11,0),"")</f>
        <v/>
      </c>
      <c r="C3159" t="str">
        <f>IFERROR(VLOOKUP(A3159,管理亚马逊库存!A:L,12,0),"")</f>
        <v/>
      </c>
      <c r="D3159" t="str">
        <f>IFERROR(VLOOKUP(A3159,管理亚马逊库存!A:Q,17,0),"")</f>
        <v/>
      </c>
      <c r="E3159" t="str">
        <f>IFERROR(VLOOKUP(A3159,管理亚马逊库存!A:R,18,0),"")</f>
        <v/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  <row r="3160" spans="2:14">
      <c r="B3160" t="str">
        <f>IFERROR(VLOOKUP(A3160,管理亚马逊库存!A:K,11,0),"")</f>
        <v/>
      </c>
      <c r="C3160" t="str">
        <f>IFERROR(VLOOKUP(A3160,管理亚马逊库存!A:L,12,0),"")</f>
        <v/>
      </c>
      <c r="D3160" t="str">
        <f>IFERROR(VLOOKUP(A3160,管理亚马逊库存!A:Q,17,0),"")</f>
        <v/>
      </c>
      <c r="E3160" t="str">
        <f>IFERROR(VLOOKUP(A3160,管理亚马逊库存!A:R,18,0),"")</f>
        <v/>
      </c>
      <c r="F3160">
        <f t="shared" si="99"/>
        <v>0</v>
      </c>
      <c r="G3160">
        <f>IFERROR(VLOOKUP(A3160,预留库存!A:G,7,0),0)</f>
        <v>0</v>
      </c>
      <c r="H3160">
        <f>IFERROR(VLOOKUP(A3160,预留库存!A:H,8,0),0)</f>
        <v>0</v>
      </c>
      <c r="I3160">
        <f>IFERROR(VLOOKUP(A3160,预留库存!A:F,6,0),0)</f>
        <v>0</v>
      </c>
      <c r="J3160">
        <f>IFERROR(VLOOKUP(A3160,库龄!B:K,9,0),0)</f>
        <v>0</v>
      </c>
      <c r="K3160">
        <f>IFERROR(VLOOKUP(A3160,库龄!B:L,10,0),0)</f>
        <v>0</v>
      </c>
      <c r="L3160">
        <f>IFERROR(VLOOKUP(A3160,库龄!B:M,11,0),0)</f>
        <v>0</v>
      </c>
      <c r="M3160">
        <f>IFERROR(VLOOKUP(A3160,库龄!B:N,12,0),0)</f>
        <v>0</v>
      </c>
      <c r="N3160">
        <f t="shared" si="100"/>
        <v>0</v>
      </c>
    </row>
    <row r="3161" spans="2:14">
      <c r="B3161" t="str">
        <f>IFERROR(VLOOKUP(A3161,管理亚马逊库存!A:K,11,0),"")</f>
        <v/>
      </c>
      <c r="C3161" t="str">
        <f>IFERROR(VLOOKUP(A3161,管理亚马逊库存!A:L,12,0),"")</f>
        <v/>
      </c>
      <c r="D3161" t="str">
        <f>IFERROR(VLOOKUP(A3161,管理亚马逊库存!A:Q,17,0),"")</f>
        <v/>
      </c>
      <c r="E3161" t="str">
        <f>IFERROR(VLOOKUP(A3161,管理亚马逊库存!A:R,18,0),"")</f>
        <v/>
      </c>
      <c r="F3161">
        <f t="shared" si="99"/>
        <v>0</v>
      </c>
      <c r="G3161">
        <f>IFERROR(VLOOKUP(A3161,预留库存!A:G,7,0),0)</f>
        <v>0</v>
      </c>
      <c r="H3161">
        <f>IFERROR(VLOOKUP(A3161,预留库存!A:H,8,0),0)</f>
        <v>0</v>
      </c>
      <c r="I3161">
        <f>IFERROR(VLOOKUP(A3161,预留库存!A:F,6,0),0)</f>
        <v>0</v>
      </c>
      <c r="J3161">
        <f>IFERROR(VLOOKUP(A3161,库龄!B:K,9,0),0)</f>
        <v>0</v>
      </c>
      <c r="K3161">
        <f>IFERROR(VLOOKUP(A3161,库龄!B:L,10,0),0)</f>
        <v>0</v>
      </c>
      <c r="L3161">
        <f>IFERROR(VLOOKUP(A3161,库龄!B:M,11,0),0)</f>
        <v>0</v>
      </c>
      <c r="M3161">
        <f>IFERROR(VLOOKUP(A3161,库龄!B:N,12,0),0)</f>
        <v>0</v>
      </c>
      <c r="N3161">
        <f t="shared" si="100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3</xdr:row>
                <xdr:rowOff>0</xdr:rowOff>
              </from>
              <to>
                <xdr:col>16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2018-07-04T09:08:06Z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