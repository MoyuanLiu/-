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</externalReferences>
  <definedNames>
    <definedName name="_xlnm._FilterDatabase" localSheetId="0" hidden="1">'库存（子SKU）'!$A$4:$BI$209</definedName>
    <definedName name="_xlnm._FilterDatabase" localSheetId="1" hidden="1">'库存（父sku）'!$A$4:$AT$242</definedName>
  </definedNames>
  <calcPr calcId="144525" concurrentCalc="0"/>
</workbook>
</file>

<file path=xl/sharedStrings.xml><?xml version="1.0" encoding="utf-8"?>
<sst xmlns="http://schemas.openxmlformats.org/spreadsheetml/2006/main" count="724">
  <si>
    <t>Yesteria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</si>
  <si>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</si>
  <si>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</si>
  <si>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</si>
  <si>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</si>
  <si>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</si>
  <si>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</si>
  <si>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</si>
  <si>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</si>
  <si>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</si>
  <si>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</si>
  <si>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</si>
  <si>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货龄报告下载时间6.19，
亚马逊后台更新时间6.13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</si>
  <si>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</si>
  <si>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</si>
  <si>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</si>
  <si>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</si>
  <si>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</si>
  <si>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</si>
  <si>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</si>
  <si>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</si>
  <si>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</si>
  <si>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</si>
  <si>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</si>
  <si>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</si>
  <si>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</si>
  <si>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</si>
  <si>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</si>
  <si>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</si>
  <si>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</si>
  <si>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</si>
  <si>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</si>
  <si>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</si>
  <si>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</si>
  <si>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</si>
  <si>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</si>
  <si>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</si>
  <si>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</si>
  <si>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</si>
  <si>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</si>
  <si>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</si>
  <si>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</si>
  <si>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</si>
  <si>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</si>
  <si>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</si>
  <si>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</si>
  <si>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</si>
  <si>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</si>
  <si>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</si>
  <si>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</si>
  <si>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</si>
  <si>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DO-YCLQ001-PI-22</t>
  </si>
  <si>
    <t>B06XPJWWR4</t>
  </si>
  <si>
    <t>DO-YCLQ001</t>
  </si>
  <si>
    <t/>
  </si>
  <si>
    <t>DO-YCLQ005-PI-22</t>
  </si>
  <si>
    <t>B079JQDDN7</t>
  </si>
  <si>
    <t>DO-YCLQ005</t>
  </si>
  <si>
    <t>DO-YCLQ007-R0-24</t>
  </si>
  <si>
    <t>B07D4D4876</t>
  </si>
  <si>
    <t>DO-YCLQ007</t>
  </si>
  <si>
    <t>DO-YCLQ008-PI-24</t>
  </si>
  <si>
    <t>B07D4DRFYN</t>
  </si>
  <si>
    <t>DO-YCLQ008</t>
  </si>
  <si>
    <t>DO-YCLQ009-W0-24</t>
  </si>
  <si>
    <t>B07D4DC72D</t>
  </si>
  <si>
    <t>DO-YCLQ009</t>
  </si>
  <si>
    <t>DO-YCLQ010-W0-24</t>
  </si>
  <si>
    <t>B07D4D6Q9C</t>
  </si>
  <si>
    <t>DO-YCLQ010</t>
  </si>
  <si>
    <t>DO-YCLQ011-B0-24</t>
  </si>
  <si>
    <t>B07D4DDT41</t>
  </si>
  <si>
    <t>DO-YCLQ011</t>
  </si>
  <si>
    <t>DO-YCLQ012-PI-16</t>
  </si>
  <si>
    <t>B07DDB7VBP</t>
  </si>
  <si>
    <t>DO-YCLQ012</t>
  </si>
  <si>
    <t>DO-YCLQ013-W0-16</t>
  </si>
  <si>
    <t>B079NYR8GC</t>
  </si>
  <si>
    <t>DO-YCLQ013</t>
  </si>
  <si>
    <t>DO-YCLQ014-PI-22</t>
  </si>
  <si>
    <t>B07CM9N213</t>
  </si>
  <si>
    <t>DO-YCLQ014</t>
  </si>
  <si>
    <t>DO-YCLQ015-W0-22</t>
  </si>
  <si>
    <t>B0792VKCCR</t>
  </si>
  <si>
    <t>DO-YCLQ015</t>
  </si>
  <si>
    <t>DO-YCLQ016-NZ-22</t>
  </si>
  <si>
    <t>B079JXQJSM</t>
  </si>
  <si>
    <t>DO-YCLQ016</t>
  </si>
  <si>
    <t>DO-YCLQ017-PI-22</t>
  </si>
  <si>
    <t>B076J6949M</t>
  </si>
  <si>
    <t>DO-YCLQ017</t>
  </si>
  <si>
    <t>DO-YCLQ018-PI-22</t>
  </si>
  <si>
    <t>B076J2TBNG</t>
  </si>
  <si>
    <t>DO-YCLQ018</t>
  </si>
  <si>
    <t>DO-YCLQ019-R0-22</t>
  </si>
  <si>
    <t>B07CN76YH9</t>
  </si>
  <si>
    <t>DO-YCLQ019</t>
  </si>
  <si>
    <t>DO-YCLQ020-B7-22</t>
  </si>
  <si>
    <t>B07BFVYCH2</t>
  </si>
  <si>
    <t>DO-YCLQ020</t>
  </si>
  <si>
    <t>DO-YULQ001-PI-22</t>
  </si>
  <si>
    <t>B079JQCWQ6</t>
  </si>
  <si>
    <t>DO-YULQ001</t>
  </si>
  <si>
    <t>DO-YULQ004-B7-11</t>
  </si>
  <si>
    <t>B078Y5BTZC</t>
  </si>
  <si>
    <t>DO-YULQ004</t>
  </si>
  <si>
    <t>无销量广告费为0.06</t>
  </si>
  <si>
    <t>DO-YULQ004-PI-11</t>
  </si>
  <si>
    <t>B078Y2G7XW</t>
  </si>
  <si>
    <t>DO-YULQ005-W0-11</t>
  </si>
  <si>
    <t>B079JQGCBR</t>
  </si>
  <si>
    <t>DO-YULQ005</t>
  </si>
  <si>
    <t>DO-YULQ006-B7-10</t>
  </si>
  <si>
    <t>B078Y8Y5F7</t>
  </si>
  <si>
    <t>DO-YULQ006</t>
  </si>
  <si>
    <t>DO-YULQ006-PI-10</t>
  </si>
  <si>
    <t>B078XZR24D</t>
  </si>
  <si>
    <t>DO-YULQ006-PI-11</t>
  </si>
  <si>
    <t>DO-YULQ008-LGR-16</t>
  </si>
  <si>
    <t>B0795D6KPS</t>
  </si>
  <si>
    <t>DO-YULQ008</t>
  </si>
  <si>
    <t>无销量广告费为8.63</t>
  </si>
  <si>
    <t>DO-YULQ008-Y0-17</t>
  </si>
  <si>
    <t>B0795VRN2N</t>
  </si>
  <si>
    <t>无销量广告费为0.76</t>
  </si>
  <si>
    <t>DO-YULQ009-PI-16</t>
  </si>
  <si>
    <t>B07FDCC8ZC</t>
  </si>
  <si>
    <t>DO-YULQ009</t>
  </si>
  <si>
    <t>无销量广告费为9.99</t>
  </si>
  <si>
    <t>DO-YULQ010-P0-22</t>
  </si>
  <si>
    <t>B078X59HSZ</t>
  </si>
  <si>
    <t>DO-YULQ010</t>
  </si>
  <si>
    <t>DO-YULQ010-PI-15</t>
  </si>
  <si>
    <t>B0794ZPQ8B</t>
  </si>
  <si>
    <t>DO-YULQ010-PI-22</t>
  </si>
  <si>
    <t>B079NSK8NL</t>
  </si>
  <si>
    <t>DO-YULQ011-NZ-22</t>
  </si>
  <si>
    <t>B0793QLQ3Z</t>
  </si>
  <si>
    <t>DO-YULQ011</t>
  </si>
  <si>
    <t>无销量广告费为2.34</t>
  </si>
  <si>
    <t>无销量广告费为21.71</t>
  </si>
  <si>
    <t>无销量广告费为145.43</t>
  </si>
  <si>
    <t>DO-YULQ012-PI-22</t>
  </si>
  <si>
    <t>B076J2H7FC</t>
  </si>
  <si>
    <t>DO-YULQ012</t>
  </si>
  <si>
    <t>DO-YULQ018-B0-18</t>
  </si>
  <si>
    <t>B0792VG6VZ</t>
  </si>
  <si>
    <t>DO-YULQ018</t>
  </si>
  <si>
    <t>DO-YULQ018-P4-16</t>
  </si>
  <si>
    <t>B078X5DJLB</t>
  </si>
  <si>
    <t>无销量广告费为35.71</t>
  </si>
  <si>
    <t>无销量广告费为4.69</t>
  </si>
  <si>
    <t>DO-YULQ021-PI-22</t>
  </si>
  <si>
    <t>B079NWXG5Z</t>
  </si>
  <si>
    <t>DO-YULQ021</t>
  </si>
  <si>
    <t>DO-YULQ021-W0-22</t>
  </si>
  <si>
    <t>B079P52R76</t>
  </si>
  <si>
    <t>无销量广告费为2.49</t>
  </si>
  <si>
    <t>无销量广告费为1.62</t>
  </si>
  <si>
    <t>无销量广告费为13.72</t>
  </si>
  <si>
    <t>无销量广告费为13.86</t>
  </si>
  <si>
    <t>DO-YULQ039-R0-22</t>
  </si>
  <si>
    <t>B07F73THXK</t>
  </si>
  <si>
    <t>DO-YULQ039</t>
  </si>
  <si>
    <t>无销量广告费为14.98</t>
  </si>
  <si>
    <t>无销量广告费为3.4</t>
  </si>
  <si>
    <t>DO-YULQ042-W0-22</t>
  </si>
  <si>
    <t>B07B9C9WPT</t>
  </si>
  <si>
    <t>DO-YULQ042</t>
  </si>
  <si>
    <t>无销量广告费为10.61</t>
  </si>
  <si>
    <t>DO-YULQ058-BR-10</t>
  </si>
  <si>
    <t>B0793PS7QX</t>
  </si>
  <si>
    <t>DO-YULQ058</t>
  </si>
  <si>
    <t>DO-YULQ058-SH-10</t>
  </si>
  <si>
    <t>B0793QZPK1</t>
  </si>
  <si>
    <t>DO-YULQ061-LGR-22</t>
  </si>
  <si>
    <t>B078X5DZRT</t>
  </si>
  <si>
    <t>DO-YULQ061</t>
  </si>
  <si>
    <t>DO-YULQ061-W0-22</t>
  </si>
  <si>
    <t>B079DRCQ6B</t>
  </si>
  <si>
    <t>DO-YULQ062-PI-22</t>
  </si>
  <si>
    <t>B079JRDT89</t>
  </si>
  <si>
    <t>DO-YULQ062</t>
  </si>
  <si>
    <t>DO-YULQ063-PI-22</t>
  </si>
  <si>
    <t>B079P24VZF</t>
  </si>
  <si>
    <t>DO-YULQ063</t>
  </si>
  <si>
    <t>无销量广告费为52.68</t>
  </si>
  <si>
    <t>DO-YULQ064-X0-22</t>
  </si>
  <si>
    <t>B079NY4SZ4</t>
  </si>
  <si>
    <t>DO-YULQ064</t>
  </si>
  <si>
    <t>DO-YULQ070-PI-16</t>
  </si>
  <si>
    <t>DO-YULQ070</t>
  </si>
  <si>
    <t>DO-YULQ071-B7-16</t>
  </si>
  <si>
    <t>B07BFV7XQM</t>
  </si>
  <si>
    <t>DO-YULQ071</t>
  </si>
  <si>
    <t>无销量广告费为49.78</t>
  </si>
  <si>
    <t>无销量广告费为50.19</t>
  </si>
  <si>
    <t>DO-YULQ071-PI-16</t>
  </si>
  <si>
    <t>B07BFVXXX8</t>
  </si>
  <si>
    <t>DO-YULQ073-LGR-22</t>
  </si>
  <si>
    <t>B0792VRZ89</t>
  </si>
  <si>
    <t>DO-YULQ073</t>
  </si>
  <si>
    <t>无销量广告费为5.66</t>
  </si>
  <si>
    <t>无销量广告费为60.04</t>
  </si>
  <si>
    <t>DO-YULQ081-B7-10</t>
  </si>
  <si>
    <t>B07BLRH5BR</t>
  </si>
  <si>
    <t>DO-YULQ081</t>
  </si>
  <si>
    <t>无销量广告费为1.86</t>
  </si>
  <si>
    <t>无销量广告费为0.56</t>
  </si>
  <si>
    <t>无销量广告费为34.46</t>
  </si>
  <si>
    <t>DO-YULQ081-PI-10</t>
  </si>
  <si>
    <t>B07BLRWT2V</t>
  </si>
  <si>
    <t>无销量广告费为5.28</t>
  </si>
  <si>
    <t>DO-YULQ100-B7-22</t>
  </si>
  <si>
    <t>B079JRPXZ8</t>
  </si>
  <si>
    <t>DO-YULQ100</t>
  </si>
  <si>
    <t>DO-YULQ100-G0-10</t>
  </si>
  <si>
    <t>B07B9SLG9M</t>
  </si>
  <si>
    <t>DO-YULQ100-R0-10</t>
  </si>
  <si>
    <t>B07B9Q9YNG</t>
  </si>
  <si>
    <t>DO-YULQ105-R2-22</t>
  </si>
  <si>
    <t>B0794Z23LW</t>
  </si>
  <si>
    <t>DO-YULQ105</t>
  </si>
  <si>
    <t>无销量广告费为18.87</t>
  </si>
  <si>
    <t>DO-YULQ107-PI-22</t>
  </si>
  <si>
    <t>B0795PQJS1</t>
  </si>
  <si>
    <t>DO-YULQ107</t>
  </si>
  <si>
    <t>无销量广告费为15.72</t>
  </si>
  <si>
    <t>DO-YULQ111-R2-22</t>
  </si>
  <si>
    <t>B078X5HG51</t>
  </si>
  <si>
    <t>DO-YULQ111</t>
  </si>
  <si>
    <t>DO-YULQ115-R2-22</t>
  </si>
  <si>
    <t>B0788N9R3H</t>
  </si>
  <si>
    <t>DO-YULQ115</t>
  </si>
  <si>
    <t>DO-YULQ121-PI-22</t>
  </si>
  <si>
    <t>B07CM347WF</t>
  </si>
  <si>
    <t>DO-YULQ121</t>
  </si>
  <si>
    <t>无销量广告费为124.8</t>
  </si>
  <si>
    <t>无销量广告费为125.86</t>
  </si>
  <si>
    <t>DO-YULQ123-FB-22</t>
  </si>
  <si>
    <t>B0792VZN9S</t>
  </si>
  <si>
    <t>DO-YULQ123</t>
  </si>
  <si>
    <t>DO-YULQ123-W0-22</t>
  </si>
  <si>
    <t>B07CM52CNC</t>
  </si>
  <si>
    <t>DO-YULQ150-B7-18</t>
  </si>
  <si>
    <t>B0795QK1TP</t>
  </si>
  <si>
    <t>DO-YULQ150</t>
  </si>
  <si>
    <t>DO-YULQ150-K0-22</t>
  </si>
  <si>
    <t>B07CN274MC</t>
  </si>
  <si>
    <t>无销量广告费为59.66</t>
  </si>
  <si>
    <t>DO-YULQ150-PI-20</t>
  </si>
  <si>
    <t>B07CM664M7</t>
  </si>
  <si>
    <t>DO-YULQ151-W0-16</t>
  </si>
  <si>
    <t>B07CN4J157</t>
  </si>
  <si>
    <t>DO-YULQ151</t>
  </si>
  <si>
    <t>无销量广告费为52.56</t>
  </si>
  <si>
    <t>DO-YULQ152-B7-22</t>
  </si>
  <si>
    <t>B079JRG1TM</t>
  </si>
  <si>
    <t>DO-YULQ152</t>
  </si>
  <si>
    <t>无销量广告费为11.09</t>
  </si>
  <si>
    <t>无销量广告费为76.69</t>
  </si>
  <si>
    <t>DO-YULQ152-Z1-22</t>
  </si>
  <si>
    <t>B07CN4J1B2</t>
  </si>
  <si>
    <t>无销量广告费为2.58</t>
  </si>
  <si>
    <t>无销量广告费为85.38</t>
  </si>
  <si>
    <t>DO-YULQ153-B7-22</t>
  </si>
  <si>
    <t>B07BDDC5WH</t>
  </si>
  <si>
    <t>DO-YULQ153</t>
  </si>
  <si>
    <t>无销量广告费为88.57</t>
  </si>
  <si>
    <t>DO-YULQ153-TW-20</t>
  </si>
  <si>
    <t>B07CLYNY71</t>
  </si>
  <si>
    <t>DO-YULQ158-W0-22</t>
  </si>
  <si>
    <t>B0795M2NML</t>
  </si>
  <si>
    <t>DO-YULQ158</t>
  </si>
  <si>
    <t>无销量广告费为19.64</t>
  </si>
  <si>
    <t>无销量广告费为202.38</t>
  </si>
  <si>
    <t>DO-YULQ159-R2-22</t>
  </si>
  <si>
    <t>B07BNCFZXN</t>
  </si>
  <si>
    <t>DO-YULQ159</t>
  </si>
  <si>
    <t>DO-YULQ162-PI-16</t>
  </si>
  <si>
    <t>B07BFVF3GM</t>
  </si>
  <si>
    <t>DO-YULQ162</t>
  </si>
  <si>
    <t>无销量广告费为57.21</t>
  </si>
  <si>
    <t>DO-YULQ163-B7-22</t>
  </si>
  <si>
    <t>B078XBDF6J</t>
  </si>
  <si>
    <t>DO-YULQ163</t>
  </si>
  <si>
    <t>无销量广告费为25.35</t>
  </si>
  <si>
    <t>无销量广告费为142.57</t>
  </si>
  <si>
    <t>DO-YULQ163-PI-22</t>
  </si>
  <si>
    <t>B078XBY1MZ</t>
  </si>
  <si>
    <t>DO-YULQ165-B7-16</t>
  </si>
  <si>
    <t>B07BLVB7FH</t>
  </si>
  <si>
    <t>DO-YULQ165</t>
  </si>
  <si>
    <t>无销量广告费为49.98</t>
  </si>
  <si>
    <t>无销量广告费为40.41</t>
  </si>
  <si>
    <t>无销量广告费为8.23</t>
  </si>
  <si>
    <t>DO-YULQ165-PI-16</t>
  </si>
  <si>
    <t>B07BLTPG2G</t>
  </si>
  <si>
    <t>DO-YULQ170-SH-22</t>
  </si>
  <si>
    <t>B07F72X354</t>
  </si>
  <si>
    <t>DO-YULQ170</t>
  </si>
  <si>
    <t>无销量广告费为5.73</t>
  </si>
  <si>
    <t>无销量广告费为3.09</t>
  </si>
  <si>
    <t>DO-YULQ171-B0-22</t>
  </si>
  <si>
    <t>B079NW9791</t>
  </si>
  <si>
    <t>DO-YULQ171</t>
  </si>
  <si>
    <t>无销量广告费为12.46</t>
  </si>
  <si>
    <t>无销量广告费为20.36</t>
  </si>
  <si>
    <t>DO-YULQ171-LGR-22</t>
  </si>
  <si>
    <t>B0795117ZD</t>
  </si>
  <si>
    <t>无销量广告费为0.1</t>
  </si>
  <si>
    <t>无销量广告费为122.1</t>
  </si>
  <si>
    <t>DO-YULQ172-BD-22</t>
  </si>
  <si>
    <t>B079513H1Q</t>
  </si>
  <si>
    <t>DO-YULQ172</t>
  </si>
  <si>
    <t>DO-YULQ173-B7-22</t>
  </si>
  <si>
    <t>DO-YULQ173</t>
  </si>
  <si>
    <t>DO-YULQ187-BR-22</t>
  </si>
  <si>
    <t>B07FYF8J1H</t>
  </si>
  <si>
    <t>DO-YULQ187</t>
  </si>
  <si>
    <t>无销量广告费为3.12</t>
  </si>
  <si>
    <t>DO-YULQ187-CV-22</t>
  </si>
  <si>
    <t>B07FYGT2PC</t>
  </si>
  <si>
    <t>DO-YULQ188-PI-22</t>
  </si>
  <si>
    <t>B07G156Z7C</t>
  </si>
  <si>
    <t>DO-YULQ188</t>
  </si>
  <si>
    <t>DO-YULQ190-B7-22</t>
  </si>
  <si>
    <t>B07G2BPXQ7</t>
  </si>
  <si>
    <t>DO-YULQ190</t>
  </si>
  <si>
    <t>无销量广告费为4.56</t>
  </si>
  <si>
    <t>DO-YULQ191-E0-22</t>
  </si>
  <si>
    <t>B07G1Z8D76</t>
  </si>
  <si>
    <t>DO-YULQ191</t>
  </si>
  <si>
    <t>无销量广告费为1.92</t>
  </si>
  <si>
    <t>DO-YULQ192-G0-22</t>
  </si>
  <si>
    <t>B07G41G2GB</t>
  </si>
  <si>
    <t>DO-YULQ192</t>
  </si>
  <si>
    <t>无销量广告费为6.81</t>
  </si>
  <si>
    <t>DO-YULQ193-PI-24</t>
  </si>
  <si>
    <t>B07GDM6C8J</t>
  </si>
  <si>
    <t>DO-YULQ193</t>
  </si>
  <si>
    <t>DO-YULQ194-R0-24</t>
  </si>
  <si>
    <t>B07GDPF7DB</t>
  </si>
  <si>
    <t>DO-YULQ194</t>
  </si>
  <si>
    <t>DO-YULQ195-R0-24</t>
  </si>
  <si>
    <t>B07GDNLTVF</t>
  </si>
  <si>
    <t>DO-YULQ195</t>
  </si>
  <si>
    <t>DO-YULQ196-PI-24</t>
  </si>
  <si>
    <t>B07GDQS6D2</t>
  </si>
  <si>
    <t>DO-YULQ196</t>
  </si>
  <si>
    <t>DO-YULQ197-PI-22</t>
  </si>
  <si>
    <t>B07GPX8D2X</t>
  </si>
  <si>
    <t>DO-YULQ197</t>
  </si>
  <si>
    <t>DO-YULQ198-PI-22</t>
  </si>
  <si>
    <t>B07GPFK1RT</t>
  </si>
  <si>
    <t>DO-YULQ198</t>
  </si>
  <si>
    <t>DO-YULQ200-PI-10</t>
  </si>
  <si>
    <t>B07B9Q774Z</t>
  </si>
  <si>
    <t>DO-YULQ200</t>
  </si>
  <si>
    <t>DO-YULQ200-W0-10</t>
  </si>
  <si>
    <t>B07B94LQJR</t>
  </si>
  <si>
    <t>DO-YULQ203-P4-22</t>
  </si>
  <si>
    <t>B0793R99F1</t>
  </si>
  <si>
    <t>DO-YULQ203</t>
  </si>
  <si>
    <t>DO-YULQ220-R2-22</t>
  </si>
  <si>
    <t>B079DPVXXZ</t>
  </si>
  <si>
    <t>DO-YULQ220</t>
  </si>
  <si>
    <t>DO-YULQ230-PI-16</t>
  </si>
  <si>
    <t>B0795M8J8G</t>
  </si>
  <si>
    <t>DO-YULQ230</t>
  </si>
  <si>
    <t>无销量广告费为29.42</t>
  </si>
  <si>
    <t>DO-YULQ232-W0-10</t>
  </si>
  <si>
    <t>B07DL5ZGP8</t>
  </si>
  <si>
    <t>DO-YULQ232</t>
  </si>
  <si>
    <t>无销量广告费为4.59</t>
  </si>
  <si>
    <t>无销量广告费为17.3</t>
  </si>
  <si>
    <t>DO-YULQ259-PI-22</t>
  </si>
  <si>
    <t>B07DQH5M4P</t>
  </si>
  <si>
    <t>DO-YULQ259</t>
  </si>
  <si>
    <t>DO-YULQ330-PI-18</t>
  </si>
  <si>
    <t>B0792VK5C4</t>
  </si>
  <si>
    <t>DO-YULQ330</t>
  </si>
  <si>
    <t>无销量广告费为1.75</t>
  </si>
  <si>
    <t>无销量广告费为63.99</t>
  </si>
  <si>
    <t>无销量广告费为64.49</t>
  </si>
  <si>
    <t>DO-YULQ332-LGR-20</t>
  </si>
  <si>
    <t>B0792VHP6W</t>
  </si>
  <si>
    <t>DO-YULQ332</t>
  </si>
  <si>
    <t>DO-YULQ350-PI-22</t>
  </si>
  <si>
    <t>B0795M8ZGB</t>
  </si>
  <si>
    <t>DO-YULQ350</t>
  </si>
  <si>
    <t>无销量广告费为12.06</t>
  </si>
  <si>
    <t>无销量广告费为13.02</t>
  </si>
  <si>
    <t>DO-YULQ372-R0-22</t>
  </si>
  <si>
    <t>B07BSC5Q33</t>
  </si>
  <si>
    <t>DO-YULQ372</t>
  </si>
  <si>
    <t>无销量广告费为6.34</t>
  </si>
  <si>
    <t>DO-YULQ504-PI-22</t>
  </si>
  <si>
    <t>B07F71667Y</t>
  </si>
  <si>
    <t>DO-YULQ504</t>
  </si>
  <si>
    <t>无销量广告费为4.6</t>
  </si>
  <si>
    <t>无销量广告费为2.25</t>
  </si>
  <si>
    <t>DO-YULQ507-PI-24</t>
  </si>
  <si>
    <t>B07FD9B9Q1</t>
  </si>
  <si>
    <t>DO-YULQ507</t>
  </si>
  <si>
    <t>DO-YULQ516-B0-22</t>
  </si>
  <si>
    <t>B07BFVWCV4</t>
  </si>
  <si>
    <t>DO-YULQ516</t>
  </si>
  <si>
    <t>无销量广告费为152.51</t>
  </si>
  <si>
    <t>DO-YULQ604-PI-22</t>
  </si>
  <si>
    <t>B078XB1WC9</t>
  </si>
  <si>
    <t>DO-YULQ604</t>
  </si>
  <si>
    <t>DO-YULQ606-W0-22</t>
  </si>
  <si>
    <t>B07BSFP5QZ</t>
  </si>
  <si>
    <t>DO-YULQ606</t>
  </si>
  <si>
    <t>DO-YULQ610-R2-22</t>
  </si>
  <si>
    <t>B0793RW7P4</t>
  </si>
  <si>
    <t>DO-YULQ610</t>
  </si>
  <si>
    <t>无销量广告费为49.6</t>
  </si>
  <si>
    <t>无销量广告费为13.3</t>
  </si>
  <si>
    <t>DO-YULQ611-TW-22</t>
  </si>
  <si>
    <t>B0793RG3PM</t>
  </si>
  <si>
    <t>DO-YULQ611</t>
  </si>
  <si>
    <t>无销量广告费为40.37</t>
  </si>
  <si>
    <t>无销量广告费为53.61</t>
  </si>
  <si>
    <t>无销量广告费为339.63</t>
  </si>
  <si>
    <t>DO-YULQ620-NZ-22</t>
  </si>
  <si>
    <t>DO-YULQ620</t>
  </si>
  <si>
    <t>DO-YULQ620-PI-22</t>
  </si>
  <si>
    <t>无销量广告费为78.33</t>
  </si>
  <si>
    <t>DO-YULQ630-R2-15</t>
  </si>
  <si>
    <t>B0794XFL8V</t>
  </si>
  <si>
    <t>DO-YULQ630</t>
  </si>
  <si>
    <t>DO-YULQ631-R2-22</t>
  </si>
  <si>
    <t>B07BSHY6ZL</t>
  </si>
  <si>
    <t>DO-YULQ631</t>
  </si>
  <si>
    <t>无销量广告费为39.27</t>
  </si>
  <si>
    <t>无销量广告费为136.75</t>
  </si>
  <si>
    <t>无销量广告费为137.63</t>
  </si>
  <si>
    <t>DO-YULQ638-LGR-20</t>
  </si>
  <si>
    <t>B07B7G22RT</t>
  </si>
  <si>
    <t>DO-YULQ638</t>
  </si>
  <si>
    <t>无销量广告费为0.48</t>
  </si>
  <si>
    <t>DO-YULQ638-PI-20</t>
  </si>
  <si>
    <t>B07929YDZM</t>
  </si>
  <si>
    <t>无销量广告费为32.56</t>
  </si>
  <si>
    <t>无销量广告费为66.61</t>
  </si>
  <si>
    <t>DO-YULQ639-LGR-22</t>
  </si>
  <si>
    <t>B07BFVHDDP</t>
  </si>
  <si>
    <t>DO-YULQ639</t>
  </si>
  <si>
    <t>DO-YULQ639-R2-22</t>
  </si>
  <si>
    <t>B07BFVXKTL</t>
  </si>
  <si>
    <t>DO-YULQ663-PI-15</t>
  </si>
  <si>
    <t>B07BRK2R83</t>
  </si>
  <si>
    <t>DO-YULQ663</t>
  </si>
  <si>
    <t>DO-YULQ664-AX-16</t>
  </si>
  <si>
    <t>B07BSN65PZ</t>
  </si>
  <si>
    <t>DO-YULQ664</t>
  </si>
  <si>
    <t>无销量广告费为137.12</t>
  </si>
  <si>
    <t>DO-YULQ693-PI-22</t>
  </si>
  <si>
    <t>B07GFNKM38</t>
  </si>
  <si>
    <t>DO-YULQ693</t>
  </si>
  <si>
    <t>DO-YULQ694-B7-22</t>
  </si>
  <si>
    <t>B07GFD5GDW</t>
  </si>
  <si>
    <t>DO-YULQ694</t>
  </si>
  <si>
    <t>DO-YULQ695-PI-18</t>
  </si>
  <si>
    <t>B07GF8PTSB</t>
  </si>
  <si>
    <t>DO-YULQ695</t>
  </si>
  <si>
    <t>DO-YULQ696-K0-17</t>
  </si>
  <si>
    <t>B07GNBMCQ4</t>
  </si>
  <si>
    <t>DO-YULQ696</t>
  </si>
  <si>
    <t>DO-YULQ697-BR-17</t>
  </si>
  <si>
    <t>B07GN8J746</t>
  </si>
  <si>
    <t>DO-YULQ697</t>
  </si>
  <si>
    <t>DO-YULQ698-W0-22</t>
  </si>
  <si>
    <t>B07GDLQ6SZ</t>
  </si>
  <si>
    <t>DO-YULQ698</t>
  </si>
  <si>
    <t>DO-YULQ699-B7-11</t>
  </si>
  <si>
    <t>B07GDL3PH6</t>
  </si>
  <si>
    <t>DO-YULQ699</t>
  </si>
  <si>
    <t>DO-YULQ699-B7-22</t>
  </si>
  <si>
    <t>B07GDJ7XVW</t>
  </si>
  <si>
    <t>DO-YULQ699-PI-22</t>
  </si>
  <si>
    <t>B07GDJYGMH</t>
  </si>
  <si>
    <t>DO-YULQ700-PI-22</t>
  </si>
  <si>
    <t>B07CM58KHK</t>
  </si>
  <si>
    <t>DO-YULQ700</t>
  </si>
  <si>
    <t>无销量广告费为256.75</t>
  </si>
  <si>
    <t>DO-YULQ701-PI-22</t>
  </si>
  <si>
    <t>DO-YULQ701</t>
  </si>
  <si>
    <t>无销量广告费为89.8</t>
  </si>
  <si>
    <t>DO-YULQ702-PI-22</t>
  </si>
  <si>
    <t>B07CM6R65H</t>
  </si>
  <si>
    <t>DO-YULQ702</t>
  </si>
  <si>
    <t>DO-YULQ703-PI-22</t>
  </si>
  <si>
    <t>DO-YULQ703</t>
  </si>
  <si>
    <t>DO-YULQ704-B0-24</t>
  </si>
  <si>
    <t>DO-YULQ704</t>
  </si>
  <si>
    <t>无销量广告费为25.22</t>
  </si>
  <si>
    <t>DO-YULQ705-0R-10</t>
  </si>
  <si>
    <t>B078XZRP4X</t>
  </si>
  <si>
    <t>DO-YULQ705</t>
  </si>
  <si>
    <t>DO-YULQ705-BR-11</t>
  </si>
  <si>
    <t>B079K3D4WY</t>
  </si>
  <si>
    <t>DO-YULQ705-GR-11</t>
  </si>
  <si>
    <t>B079JWNR6Z</t>
  </si>
  <si>
    <t>DO-YULQ705-W0-22</t>
  </si>
  <si>
    <t>无销量广告费为11.32</t>
  </si>
  <si>
    <t>无销量广告费为18.49</t>
  </si>
  <si>
    <t>DO-YULQ706-R0-24</t>
  </si>
  <si>
    <t>DO-YULQ706</t>
  </si>
  <si>
    <t>无销量广告费为6.25</t>
  </si>
  <si>
    <t>无销量广告费为14.84</t>
  </si>
  <si>
    <t>DO-YULQ707-PI-24</t>
  </si>
  <si>
    <t>DO-YULQ707</t>
  </si>
  <si>
    <t>无销量广告费为60.22</t>
  </si>
  <si>
    <t>DO-YULQ708-W0-24</t>
  </si>
  <si>
    <t>DO-YULQ708</t>
  </si>
  <si>
    <t>DO-YULQ712-W0-22</t>
  </si>
  <si>
    <t>B07FD6C9T4</t>
  </si>
  <si>
    <t>DO-YULQ712</t>
  </si>
  <si>
    <t>DO-YULQ718-WA-16</t>
  </si>
  <si>
    <t>B07FNY8W44</t>
  </si>
  <si>
    <t>DO-YULQ718</t>
  </si>
  <si>
    <t>DO-YULQ719-B7-16</t>
  </si>
  <si>
    <t>B07FNKS38N</t>
  </si>
  <si>
    <t>DO-YULQ719</t>
  </si>
  <si>
    <t>无销量广告费为7.39</t>
  </si>
  <si>
    <t>无销量广告费为0.64</t>
  </si>
  <si>
    <t>DO-YULQ720-W0-16</t>
  </si>
  <si>
    <t>B07FNL69J7</t>
  </si>
  <si>
    <t>DO-YULQ720</t>
  </si>
  <si>
    <t>无销量广告费为0.02</t>
  </si>
  <si>
    <t>无销量广告费为2.06</t>
  </si>
  <si>
    <t>DO-YULQ721-PI-16</t>
  </si>
  <si>
    <t>B07FNJYWTX</t>
  </si>
  <si>
    <t>DO-YULQ721</t>
  </si>
  <si>
    <t>无销量广告费为3.59</t>
  </si>
  <si>
    <t>无销量广告费为12.52</t>
  </si>
  <si>
    <t>无销量广告费为0.74</t>
  </si>
  <si>
    <t>DO-YULQ812-W0-18</t>
  </si>
  <si>
    <t>DO-YULQ812</t>
  </si>
  <si>
    <t>无销量广告费为14.26</t>
  </si>
  <si>
    <t>DO-YULQ905-B7-22</t>
  </si>
  <si>
    <t>B076J5RSFF</t>
  </si>
  <si>
    <t>DO-YULQ905</t>
  </si>
  <si>
    <t>DO-YULQ985-B7-20</t>
  </si>
  <si>
    <t>B07CM67KDW</t>
  </si>
  <si>
    <t>DOLL-004-LB-10</t>
  </si>
  <si>
    <t>B076Q71HXL</t>
  </si>
  <si>
    <t>DOLL-004</t>
  </si>
  <si>
    <t>DOLL-004-PI-10</t>
  </si>
  <si>
    <t>B076Q8RG21</t>
  </si>
  <si>
    <t>DOLL-005-WO-11</t>
  </si>
  <si>
    <t>B076PDDZW9</t>
  </si>
  <si>
    <t>DOLL-005</t>
  </si>
  <si>
    <t>无销量广告费为5.55</t>
  </si>
  <si>
    <t>无销量广告费为29.1</t>
  </si>
  <si>
    <t>DOLL-006-B7-10</t>
  </si>
  <si>
    <t>B07GNDGJRN</t>
  </si>
  <si>
    <t>DOLL-006</t>
  </si>
  <si>
    <t>DOLL-006-LB-11</t>
  </si>
  <si>
    <t>B076Q79H79</t>
  </si>
  <si>
    <t>DOLL-006-PI-10</t>
  </si>
  <si>
    <t>B076Q7DCP1</t>
  </si>
  <si>
    <t>DOLL-007-NO-17</t>
  </si>
  <si>
    <t>B077HPT67J</t>
  </si>
  <si>
    <t>DOLL-007</t>
  </si>
  <si>
    <t>DOLL-007XM-WO-17</t>
  </si>
  <si>
    <t>B077HQRC9P</t>
  </si>
  <si>
    <t>DOLL-008-W0-22</t>
  </si>
  <si>
    <t>B079M128Y6</t>
  </si>
  <si>
    <t>DOLL-008</t>
  </si>
  <si>
    <t>无销量广告费为12.73</t>
  </si>
  <si>
    <t>DOLL-010-PI-22</t>
  </si>
  <si>
    <t>DOLL-010</t>
  </si>
  <si>
    <t>DOLL-020-PI-22</t>
  </si>
  <si>
    <t>B06XPKHVHC</t>
  </si>
  <si>
    <t>DOLL-020</t>
  </si>
  <si>
    <t>DOLL-0601-PI-22</t>
  </si>
  <si>
    <t>DOLL-0601</t>
  </si>
  <si>
    <t>DOLL-0603-NZ-22</t>
  </si>
  <si>
    <t>B077SDPC6N</t>
  </si>
  <si>
    <t>DOLL-0603</t>
  </si>
  <si>
    <t>DOLL-0605-PI-22</t>
  </si>
  <si>
    <t>DOLL-0605</t>
  </si>
  <si>
    <t>DOLL-0630-PI-22</t>
  </si>
  <si>
    <t>B076J4L24W</t>
  </si>
  <si>
    <t>DOLL-0630</t>
  </si>
  <si>
    <t>无销量广告费为16.6</t>
  </si>
  <si>
    <t>DOLL-100-LB-22</t>
  </si>
  <si>
    <t>B077SHDMC8</t>
  </si>
  <si>
    <t>DOLL-100</t>
  </si>
  <si>
    <t>无销量广告费为13.8</t>
  </si>
  <si>
    <t>DOLL-1523-B7-22</t>
  </si>
  <si>
    <t>B0784T23ZQ</t>
  </si>
  <si>
    <t>DOLL-1523</t>
  </si>
  <si>
    <t>DOLL-1613-LB-11</t>
  </si>
  <si>
    <t>B076MVRP3M</t>
  </si>
  <si>
    <t>DOLL-1613</t>
  </si>
  <si>
    <t>无销量广告费为0.13</t>
  </si>
  <si>
    <t>无销量广告费为20.17</t>
  </si>
  <si>
    <t>DOLL-1613-LB-22</t>
  </si>
  <si>
    <t>B076MT3BDS</t>
  </si>
  <si>
    <t>无销量广告费为1.5</t>
  </si>
  <si>
    <t>无销量广告费为22.29</t>
  </si>
  <si>
    <t>DOLL-1613-PI-22</t>
  </si>
  <si>
    <t>B076MW1Y4F</t>
  </si>
  <si>
    <t>无销量广告费为0.34</t>
  </si>
  <si>
    <t>无销量广告费为0.55</t>
  </si>
  <si>
    <t>无销量广告费为3.98</t>
  </si>
  <si>
    <t>DOLL-1630-R0-22</t>
  </si>
  <si>
    <t>B076P99TGC</t>
  </si>
  <si>
    <t>DOLL-1630</t>
  </si>
  <si>
    <t>DOLL-6089-B0-22</t>
  </si>
  <si>
    <t>B077SNDT1X</t>
  </si>
  <si>
    <t>DOLL-6089</t>
  </si>
  <si>
    <t>DOLL-7056-0R-11</t>
  </si>
  <si>
    <t>B0788NF4TB</t>
  </si>
  <si>
    <t>DOLL-7056</t>
  </si>
  <si>
    <t>DOLL-7056-BR-11</t>
  </si>
  <si>
    <t>B0788P8DCG</t>
  </si>
  <si>
    <t>DOLL-7056-LGR-11</t>
  </si>
  <si>
    <t>B077HNP6TL</t>
  </si>
  <si>
    <t>DOLL-7056-YO-11</t>
  </si>
  <si>
    <t>B07GNH48DH</t>
  </si>
  <si>
    <t>DOLL-7056B-YO-11</t>
  </si>
  <si>
    <t>DOLL-9042-B0-22</t>
  </si>
  <si>
    <t>DOLL-9042</t>
  </si>
  <si>
    <t>DOLL-AD010-03R-22</t>
  </si>
  <si>
    <t>B0788N4FMR</t>
  </si>
  <si>
    <t>DOLL-AD010</t>
  </si>
  <si>
    <t>DOLL-AD011-PI-22</t>
  </si>
  <si>
    <t>B077SGXYL6</t>
  </si>
  <si>
    <t>DOLL-AD011</t>
  </si>
  <si>
    <t>DOLLDRESS-003-PI-20</t>
  </si>
  <si>
    <t>B076K8YDNV</t>
  </si>
  <si>
    <t>DOLLDRESS-003</t>
  </si>
  <si>
    <t>DOLLDRESS-003-PI-M</t>
  </si>
  <si>
    <t>B0785S857P</t>
  </si>
  <si>
    <t>DOLLDRESS-003-R2-M</t>
  </si>
  <si>
    <t>B077Z474QH</t>
  </si>
  <si>
    <t>DOLLDRESS-003-WO-M</t>
  </si>
  <si>
    <t>B077Z6B9TS</t>
  </si>
  <si>
    <t>无销量广告费为44.24</t>
  </si>
  <si>
    <t>NZZH-FLQ52</t>
  </si>
  <si>
    <t>B077VNWLJW</t>
  </si>
  <si>
    <t>YF-YULQ002-B7-20</t>
  </si>
  <si>
    <t>B079NXJZ52</t>
  </si>
  <si>
    <t>YF-YULQ002</t>
  </si>
  <si>
    <t>YF-YULQ003-R2-20</t>
  </si>
  <si>
    <t>B076KQB6X1</t>
  </si>
  <si>
    <t>YF-YULQ003</t>
  </si>
  <si>
    <t>YF-YULQ003-W0-20</t>
  </si>
  <si>
    <t>B077T29TYP</t>
  </si>
  <si>
    <t>YF-YULQ007-PI-20</t>
  </si>
  <si>
    <t>B074P4D14G</t>
  </si>
  <si>
    <t>YF-YULQ007</t>
  </si>
  <si>
    <t>YF-YULQ008-BL-22</t>
  </si>
  <si>
    <t>B07FDCRR6Q</t>
  </si>
  <si>
    <t>YF-YULQ008</t>
  </si>
  <si>
    <t>YF-YULQ009-YE-22</t>
  </si>
  <si>
    <t>B07FDD4P8H</t>
  </si>
  <si>
    <t>YF-YULQ009</t>
  </si>
  <si>
    <t>YF-YULQ010-PI-22</t>
  </si>
  <si>
    <t>B07FD841D5</t>
  </si>
  <si>
    <t>YF-YULQ010</t>
  </si>
  <si>
    <t>YF-YULQ162-B7-20</t>
  </si>
  <si>
    <t>B079P28VV3</t>
  </si>
  <si>
    <t>YF-YULQ162</t>
  </si>
  <si>
    <t>YF-YULQ602-PI-20</t>
  </si>
  <si>
    <t>B079P55XYW</t>
  </si>
  <si>
    <t>YF-YULQ602</t>
  </si>
  <si>
    <t>YF-YULQ905-B7-20</t>
  </si>
  <si>
    <t>B079NX5R9C</t>
  </si>
  <si>
    <t>YF-YULQ905</t>
  </si>
  <si>
    <t>DOLLDRESS-003-R2-20</t>
  </si>
  <si>
    <t>DO-YULQ161-G0-16</t>
  </si>
  <si>
    <t>B079NY4PYK</t>
  </si>
  <si>
    <t>DO-YULQ161</t>
  </si>
  <si>
    <t>DOLL-1613-PI-11</t>
  </si>
  <si>
    <t>B076MTPGQ1</t>
  </si>
  <si>
    <t>DOLLDRESS-1612-GO-23</t>
  </si>
  <si>
    <t>B0778B83P8</t>
  </si>
  <si>
    <t>DOLLDRESS-1612</t>
  </si>
  <si>
    <t>DO-YULQ002-PI-22</t>
  </si>
  <si>
    <t>B078X6K4KJ</t>
  </si>
  <si>
    <t>DO-YULQ002</t>
  </si>
  <si>
    <t>DO-YULQ101-PI-22</t>
  </si>
  <si>
    <t>B078YMSFZJ</t>
  </si>
  <si>
    <t>DO-YULQ101</t>
  </si>
  <si>
    <t>无销量广告费为0.6</t>
  </si>
  <si>
    <t>DO-YULQ161-PI-22</t>
  </si>
  <si>
    <t>无销量广告费为88.02</t>
  </si>
  <si>
    <t>DO-YULQ605-PI-22</t>
  </si>
  <si>
    <t>B07BSD41QJ</t>
  </si>
  <si>
    <t>DO-YULQ605</t>
  </si>
  <si>
    <t>无销量广告费为36.43</t>
  </si>
  <si>
    <t>DO-YULQ111-PI-22</t>
  </si>
  <si>
    <t>B079JQ6R99</t>
  </si>
  <si>
    <t>无销量广告费为16.25</t>
  </si>
  <si>
    <t>DO-YULQ605-PI-16</t>
  </si>
  <si>
    <t>B0792PFKL5</t>
  </si>
  <si>
    <t>无销量广告费为2.45</t>
  </si>
  <si>
    <t>广告曝光</t>
  </si>
  <si>
    <t>页面浏览次数</t>
  </si>
  <si>
    <t>转化率（销量/页面浏览次数）</t>
  </si>
  <si>
    <t>货龄报告下载时间6.04,
亚马逊后台更新时间6.08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</si>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</sst>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4" formatCode="_ &quot;￥&quot;* #,##0.00_ ;_ &quot;￥&quot;* \-#,##0.00_ ;_ &quot;￥&quot;* &quot;-&quot;??_ ;_ @_ "/>
    <numFmt numFmtId="176" formatCode="yyyy&quot;年&quot;m&quot;月&quot;d&quot;日&quot;;@"/>
    <numFmt numFmtId="177" formatCode="0.00_ 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</numFmts>
  <fonts count="26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indexed="8"/>
      <name val="等线"/>
      <charset val="134"/>
      <scheme val="minor"/>
    </font>
    <font>
      <sz val="11"/>
      <color theme="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9C0006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65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/>
        <bgColor indexed="64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1" fillId="14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0" fillId="19" borderId="3" applyNumberFormat="0" applyFont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6" fillId="0" borderId="4" applyNumberFormat="0" applyFill="0" applyAlignment="0" applyProtection="0">
      <alignment vertical="center"/>
    </xf>
    <xf numFmtId="0" fontId="21" fillId="0" borderId="4" applyNumberFormat="0" applyFill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4" fillId="0" borderId="6" applyNumberFormat="0" applyFill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10" fillId="13" borderId="1" applyNumberFormat="0" applyAlignment="0" applyProtection="0">
      <alignment vertical="center"/>
    </xf>
    <xf numFmtId="0" fontId="18" fillId="13" borderId="2" applyNumberFormat="0" applyAlignment="0" applyProtection="0">
      <alignment vertical="center"/>
    </xf>
    <xf numFmtId="0" fontId="22" fillId="27" borderId="7" applyNumberFormat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25" fillId="29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</cellStyleXfs>
  <cellXfs count="41">
    <xf numFmtId="0" fontId="0" fillId="0" borderId="0" xfId="0"/>
    <xf numFmtId="176" fontId="0" fillId="0" borderId="0" xfId="0" applyNumberFormat="1" applyAlignment="1">
      <alignment horizontal="center"/>
    </xf>
    <xf numFmtId="176" fontId="0" fillId="0" borderId="0" xfId="0" applyNumberFormat="1"/>
    <xf numFmtId="176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7" fontId="0" fillId="0" borderId="0" xfId="0" applyNumberFormat="1" applyProtection="1"/>
    <xf numFmtId="177" fontId="0" fillId="0" borderId="0" xfId="0" applyNumberFormat="1"/>
    <xf numFmtId="0" fontId="2" fillId="0" borderId="0" xfId="0" applyFont="1" applyProtection="1"/>
    <xf numFmtId="177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0" fontId="0" fillId="0" borderId="0" xfId="0" applyFont="1"/>
    <xf numFmtId="0" fontId="0" fillId="0" borderId="0" xfId="0" applyAlignment="1"/>
    <xf numFmtId="0" fontId="1" fillId="0" borderId="0" xfId="0" applyFont="1" applyProtection="1"/>
    <xf numFmtId="177" fontId="1" fillId="0" borderId="0" xfId="0" applyNumberFormat="1" applyFont="1" applyProtection="1"/>
    <xf numFmtId="0" fontId="0" fillId="0" borderId="0" xfId="0" applyBorder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7" fontId="2" fillId="0" borderId="0" xfId="0" applyNumberFormat="1" applyFont="1"/>
    <xf numFmtId="177" fontId="0" fillId="0" borderId="0" xfId="0" applyNumberFormat="1" applyAlignment="1">
      <alignment horizontal="center"/>
    </xf>
    <xf numFmtId="177" fontId="1" fillId="0" borderId="0" xfId="0" applyNumberFormat="1" applyFont="1"/>
    <xf numFmtId="0" fontId="0" fillId="2" borderId="0" xfId="0" applyFill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7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7" fontId="0" fillId="3" borderId="0" xfId="0" applyNumberFormat="1" applyFill="1"/>
    <xf numFmtId="176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6" fillId="0" borderId="0" xfId="0" applyFont="1" applyFill="1" applyAlignment="1"/>
    <xf numFmtId="14" fontId="0" fillId="0" borderId="0" xfId="0" applyNumberFormat="1" applyFill="1" applyAlignment="1">
      <alignment vertical="center"/>
    </xf>
    <xf numFmtId="0" fontId="6" fillId="0" borderId="0" xfId="0" applyFont="1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</xdr:row>
          <xdr:rowOff>6350</xdr:rowOff>
        </xdr:from>
        <xdr:to>
          <xdr:col>47</xdr:col>
          <xdr:colOff>9525</xdr:colOff>
          <xdr:row>2</xdr:row>
          <xdr:rowOff>304800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32875" y="323850"/>
              <a:ext cx="685800" cy="2984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1085850</xdr:colOff>
          <xdr:row>2</xdr:row>
          <xdr:rowOff>19050</xdr:rowOff>
        </xdr:from>
        <xdr:to>
          <xdr:col>3</xdr:col>
          <xdr:colOff>95885</xdr:colOff>
          <xdr:row>4</xdr:row>
          <xdr:rowOff>19050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14625" y="381000"/>
              <a:ext cx="800735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\liuliang\Yesteria&#23376;&#21830;&#21697;&#27969;&#37327;&#21608;&#25253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\ad\&#24191;&#21578;&#21608;&#25253;&#21578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\allorder\all%20orders(&#24211;&#23384;&#25253;&#21578;&#20351;&#29992;)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B079JQCWQ6</v>
          </cell>
          <cell r="B2">
            <v>1221</v>
          </cell>
          <cell r="C2">
            <v>1035</v>
          </cell>
          <cell r="D2">
            <v>1221</v>
          </cell>
          <cell r="E2">
            <v>1631</v>
          </cell>
        </row>
        <row r="3">
          <cell r="A3" t="str">
            <v>B06XPKHVHC</v>
          </cell>
          <cell r="B3">
            <v>1144</v>
          </cell>
          <cell r="C3">
            <v>792</v>
          </cell>
          <cell r="D3">
            <v>813</v>
          </cell>
          <cell r="E3">
            <v>798</v>
          </cell>
        </row>
        <row r="4">
          <cell r="A4" t="str">
            <v>B06XPJWWR4</v>
          </cell>
          <cell r="B4">
            <v>817</v>
          </cell>
          <cell r="C4">
            <v>1473</v>
          </cell>
          <cell r="D4">
            <v>1332</v>
          </cell>
          <cell r="E4">
            <v>1292</v>
          </cell>
        </row>
        <row r="5">
          <cell r="A5" t="str">
            <v>B07BFVYCH2</v>
          </cell>
          <cell r="B5">
            <v>661</v>
          </cell>
          <cell r="C5">
            <v>981</v>
          </cell>
          <cell r="D5">
            <v>798</v>
          </cell>
          <cell r="E5">
            <v>635</v>
          </cell>
        </row>
        <row r="6">
          <cell r="A6" t="str">
            <v>B074P4D14G</v>
          </cell>
          <cell r="B6">
            <v>208</v>
          </cell>
          <cell r="C6">
            <v>252</v>
          </cell>
          <cell r="D6">
            <v>181</v>
          </cell>
          <cell r="E6">
            <v>188</v>
          </cell>
        </row>
        <row r="7">
          <cell r="A7" t="str">
            <v>B079NYR8GC</v>
          </cell>
          <cell r="B7">
            <v>336</v>
          </cell>
          <cell r="C7">
            <v>295</v>
          </cell>
          <cell r="D7">
            <v>513</v>
          </cell>
          <cell r="E7">
            <v>267</v>
          </cell>
        </row>
        <row r="8">
          <cell r="A8" t="str">
            <v>B076J6949M</v>
          </cell>
          <cell r="B8">
            <v>606</v>
          </cell>
          <cell r="C8">
            <v>431</v>
          </cell>
          <cell r="D8">
            <v>381</v>
          </cell>
          <cell r="E8">
            <v>429</v>
          </cell>
        </row>
        <row r="9">
          <cell r="A9" t="str">
            <v>B0792VZN9S</v>
          </cell>
          <cell r="B9">
            <v>295</v>
          </cell>
          <cell r="C9">
            <v>425</v>
          </cell>
          <cell r="D9">
            <v>368</v>
          </cell>
          <cell r="E9">
            <v>547</v>
          </cell>
        </row>
        <row r="10">
          <cell r="A10" t="str">
            <v>B079JRPXZ8</v>
          </cell>
          <cell r="B10">
            <v>588</v>
          </cell>
          <cell r="C10">
            <v>860</v>
          </cell>
          <cell r="D10">
            <v>1005</v>
          </cell>
          <cell r="E10">
            <v>673</v>
          </cell>
        </row>
        <row r="11">
          <cell r="A11" t="str">
            <v>B07CM6R65H</v>
          </cell>
          <cell r="B11">
            <v>904</v>
          </cell>
          <cell r="C11">
            <v>679</v>
          </cell>
          <cell r="D11">
            <v>373</v>
          </cell>
          <cell r="E11">
            <v>569</v>
          </cell>
        </row>
        <row r="12">
          <cell r="A12" t="str">
            <v>B0792VKCCR</v>
          </cell>
          <cell r="B12">
            <v>158</v>
          </cell>
          <cell r="C12">
            <v>372</v>
          </cell>
          <cell r="D12">
            <v>174</v>
          </cell>
          <cell r="E12">
            <v>96</v>
          </cell>
        </row>
        <row r="13">
          <cell r="A13" t="str">
            <v>B079JRDT89</v>
          </cell>
          <cell r="B13">
            <v>23</v>
          </cell>
          <cell r="C13">
            <v>0</v>
          </cell>
          <cell r="D13">
            <v>111</v>
          </cell>
          <cell r="E13">
            <v>94</v>
          </cell>
        </row>
        <row r="14">
          <cell r="A14" t="str">
            <v>B076J2H7FC</v>
          </cell>
          <cell r="B14">
            <v>109</v>
          </cell>
          <cell r="C14">
            <v>133</v>
          </cell>
          <cell r="D14">
            <v>124</v>
          </cell>
          <cell r="E14">
            <v>76</v>
          </cell>
        </row>
        <row r="15">
          <cell r="A15" t="str">
            <v>B076J2TBNG</v>
          </cell>
          <cell r="B15">
            <v>407</v>
          </cell>
          <cell r="C15">
            <v>403</v>
          </cell>
          <cell r="D15">
            <v>642</v>
          </cell>
          <cell r="E15">
            <v>343</v>
          </cell>
        </row>
        <row r="16">
          <cell r="A16" t="str">
            <v>B076P99TGC</v>
          </cell>
          <cell r="B16">
            <v>194</v>
          </cell>
          <cell r="C16">
            <v>437</v>
          </cell>
          <cell r="D16">
            <v>202</v>
          </cell>
          <cell r="E16">
            <v>144</v>
          </cell>
        </row>
        <row r="17">
          <cell r="A17" t="str">
            <v>B077SDPC6N</v>
          </cell>
          <cell r="B17">
            <v>194</v>
          </cell>
          <cell r="C17">
            <v>168</v>
          </cell>
          <cell r="D17">
            <v>223</v>
          </cell>
          <cell r="E17">
            <v>252</v>
          </cell>
        </row>
        <row r="18">
          <cell r="A18" t="str">
            <v>B079NXJZ52</v>
          </cell>
          <cell r="B18">
            <v>34</v>
          </cell>
          <cell r="C18">
            <v>35</v>
          </cell>
          <cell r="D18">
            <v>26</v>
          </cell>
          <cell r="E18">
            <v>44</v>
          </cell>
        </row>
        <row r="19">
          <cell r="A19" t="str">
            <v>B07CM58KHK</v>
          </cell>
          <cell r="B19">
            <v>319</v>
          </cell>
          <cell r="C19">
            <v>497</v>
          </cell>
          <cell r="D19">
            <v>0</v>
          </cell>
          <cell r="E19">
            <v>289</v>
          </cell>
        </row>
        <row r="20">
          <cell r="A20" t="str">
            <v>B07CM664M7</v>
          </cell>
          <cell r="B20">
            <v>429</v>
          </cell>
          <cell r="C20">
            <v>220</v>
          </cell>
          <cell r="D20">
            <v>677</v>
          </cell>
          <cell r="E20">
            <v>944</v>
          </cell>
        </row>
        <row r="21">
          <cell r="A21" t="str">
            <v>B076J4L24W</v>
          </cell>
          <cell r="B21">
            <v>69</v>
          </cell>
          <cell r="C21">
            <v>57</v>
          </cell>
          <cell r="D21">
            <v>57</v>
          </cell>
          <cell r="E21">
            <v>62</v>
          </cell>
        </row>
        <row r="22">
          <cell r="A22" t="str">
            <v>B076J5RSFF</v>
          </cell>
          <cell r="B22">
            <v>111</v>
          </cell>
          <cell r="C22">
            <v>128</v>
          </cell>
          <cell r="D22">
            <v>141</v>
          </cell>
          <cell r="E22">
            <v>64</v>
          </cell>
        </row>
        <row r="23">
          <cell r="A23" t="str">
            <v>B076K8YDNV</v>
          </cell>
          <cell r="B23">
            <v>44</v>
          </cell>
          <cell r="C23">
            <v>59</v>
          </cell>
          <cell r="D23">
            <v>30</v>
          </cell>
          <cell r="E23">
            <v>46</v>
          </cell>
        </row>
        <row r="24">
          <cell r="A24" t="str">
            <v>B076KQB6X1</v>
          </cell>
          <cell r="B24">
            <v>115</v>
          </cell>
          <cell r="C24">
            <v>113</v>
          </cell>
          <cell r="D24">
            <v>49</v>
          </cell>
          <cell r="E24">
            <v>21</v>
          </cell>
        </row>
        <row r="25">
          <cell r="A25" t="str">
            <v>B076Q7DCP1</v>
          </cell>
          <cell r="B25">
            <v>91</v>
          </cell>
          <cell r="C25">
            <v>105</v>
          </cell>
          <cell r="D25">
            <v>72</v>
          </cell>
          <cell r="E25">
            <v>134</v>
          </cell>
        </row>
        <row r="26">
          <cell r="A26" t="str">
            <v>B076Q8RG21</v>
          </cell>
          <cell r="B26">
            <v>0</v>
          </cell>
          <cell r="C26">
            <v>312</v>
          </cell>
          <cell r="D26">
            <v>260</v>
          </cell>
          <cell r="E26">
            <v>173</v>
          </cell>
        </row>
        <row r="27">
          <cell r="A27" t="str">
            <v>B0778B83P8</v>
          </cell>
          <cell r="B27">
            <v>0</v>
          </cell>
          <cell r="C27">
            <v>0</v>
          </cell>
          <cell r="D27">
            <v>0</v>
          </cell>
          <cell r="E27">
            <v>6</v>
          </cell>
        </row>
        <row r="28">
          <cell r="A28" t="str">
            <v>B077HNP6TL</v>
          </cell>
          <cell r="B28">
            <v>109</v>
          </cell>
          <cell r="C28">
            <v>142</v>
          </cell>
          <cell r="D28">
            <v>127</v>
          </cell>
          <cell r="E28">
            <v>135</v>
          </cell>
        </row>
        <row r="29">
          <cell r="A29" t="str">
            <v>B077SGXYL6</v>
          </cell>
          <cell r="B29">
            <v>38</v>
          </cell>
          <cell r="C29">
            <v>66</v>
          </cell>
          <cell r="D29">
            <v>60</v>
          </cell>
          <cell r="E29">
            <v>44</v>
          </cell>
        </row>
        <row r="30">
          <cell r="A30" t="str">
            <v>B077T29TYP</v>
          </cell>
          <cell r="B30">
            <v>54</v>
          </cell>
          <cell r="C30">
            <v>49</v>
          </cell>
          <cell r="D30">
            <v>36</v>
          </cell>
          <cell r="E30">
            <v>39</v>
          </cell>
        </row>
        <row r="31">
          <cell r="A31" t="str">
            <v>B077Z474QH</v>
          </cell>
          <cell r="B31">
            <v>16</v>
          </cell>
          <cell r="C31">
            <v>86</v>
          </cell>
          <cell r="D31">
            <v>43</v>
          </cell>
          <cell r="E31">
            <v>24</v>
          </cell>
        </row>
        <row r="32">
          <cell r="A32" t="str">
            <v>B0785S857P</v>
          </cell>
          <cell r="B32">
            <v>0</v>
          </cell>
          <cell r="C32">
            <v>0</v>
          </cell>
          <cell r="D32">
            <v>14</v>
          </cell>
          <cell r="E32">
            <v>26</v>
          </cell>
        </row>
        <row r="33">
          <cell r="A33" t="str">
            <v>B078Y2G7XW</v>
          </cell>
          <cell r="B33">
            <v>52</v>
          </cell>
          <cell r="C33">
            <v>23</v>
          </cell>
          <cell r="D33">
            <v>42</v>
          </cell>
          <cell r="E33">
            <v>25</v>
          </cell>
        </row>
        <row r="34">
          <cell r="A34" t="str">
            <v>B0792VHP6W</v>
          </cell>
          <cell r="B34">
            <v>28</v>
          </cell>
          <cell r="C34">
            <v>29</v>
          </cell>
          <cell r="D34">
            <v>24</v>
          </cell>
          <cell r="E34">
            <v>8</v>
          </cell>
        </row>
        <row r="35">
          <cell r="A35" t="str">
            <v>B0793R99F1</v>
          </cell>
          <cell r="B35">
            <v>19</v>
          </cell>
          <cell r="C35">
            <v>15</v>
          </cell>
          <cell r="D35">
            <v>8</v>
          </cell>
          <cell r="E35">
            <v>21</v>
          </cell>
        </row>
        <row r="36">
          <cell r="A36" t="str">
            <v>B0793RG3PM</v>
          </cell>
          <cell r="B36">
            <v>308</v>
          </cell>
          <cell r="C36">
            <v>245</v>
          </cell>
          <cell r="D36">
            <v>280</v>
          </cell>
          <cell r="E36">
            <v>493</v>
          </cell>
        </row>
        <row r="37">
          <cell r="A37" t="str">
            <v>B079513H1Q</v>
          </cell>
          <cell r="B37">
            <v>9</v>
          </cell>
          <cell r="C37">
            <v>13</v>
          </cell>
          <cell r="D37">
            <v>11</v>
          </cell>
          <cell r="E37">
            <v>21</v>
          </cell>
        </row>
        <row r="38">
          <cell r="A38" t="str">
            <v>B079JXQJSM</v>
          </cell>
          <cell r="B38">
            <v>279</v>
          </cell>
          <cell r="C38">
            <v>508</v>
          </cell>
          <cell r="D38">
            <v>621</v>
          </cell>
          <cell r="E38">
            <v>328</v>
          </cell>
        </row>
        <row r="39">
          <cell r="A39" t="str">
            <v>B079NW9791</v>
          </cell>
          <cell r="B39">
            <v>77</v>
          </cell>
          <cell r="C39">
            <v>76</v>
          </cell>
          <cell r="D39">
            <v>107</v>
          </cell>
          <cell r="E39">
            <v>89</v>
          </cell>
        </row>
        <row r="40">
          <cell r="A40" t="str">
            <v>B079NY4PYK</v>
          </cell>
          <cell r="B40">
            <v>0</v>
          </cell>
          <cell r="C40">
            <v>0</v>
          </cell>
          <cell r="D40">
            <v>82</v>
          </cell>
          <cell r="E40">
            <v>34</v>
          </cell>
        </row>
        <row r="41">
          <cell r="A41" t="str">
            <v>B07B7G22RT</v>
          </cell>
          <cell r="B41">
            <v>63</v>
          </cell>
          <cell r="C41">
            <v>56</v>
          </cell>
          <cell r="D41">
            <v>52</v>
          </cell>
          <cell r="E41">
            <v>58</v>
          </cell>
        </row>
        <row r="42">
          <cell r="A42" t="str">
            <v>B07BSFP5QZ</v>
          </cell>
          <cell r="B42">
            <v>0</v>
          </cell>
          <cell r="C42">
            <v>32</v>
          </cell>
          <cell r="D42">
            <v>92</v>
          </cell>
          <cell r="E42">
            <v>51</v>
          </cell>
        </row>
        <row r="43">
          <cell r="A43" t="str">
            <v>B07BSN65PZ</v>
          </cell>
          <cell r="B43">
            <v>114</v>
          </cell>
          <cell r="C43">
            <v>21</v>
          </cell>
          <cell r="D43">
            <v>55</v>
          </cell>
          <cell r="E43">
            <v>84</v>
          </cell>
        </row>
        <row r="44">
          <cell r="A44" t="str">
            <v>B07CN76YH9</v>
          </cell>
          <cell r="B44">
            <v>277</v>
          </cell>
          <cell r="C44">
            <v>212</v>
          </cell>
          <cell r="D44">
            <v>244</v>
          </cell>
          <cell r="E44">
            <v>204</v>
          </cell>
        </row>
        <row r="45">
          <cell r="A45" t="str">
            <v>B07D4DC72D</v>
          </cell>
          <cell r="B45">
            <v>37</v>
          </cell>
          <cell r="C45">
            <v>0</v>
          </cell>
          <cell r="D45">
            <v>100</v>
          </cell>
          <cell r="E45">
            <v>79</v>
          </cell>
        </row>
        <row r="46">
          <cell r="A46" t="str">
            <v>B076MT3BDS</v>
          </cell>
          <cell r="B46">
            <v>0</v>
          </cell>
          <cell r="C46">
            <v>18</v>
          </cell>
          <cell r="D46">
            <v>26</v>
          </cell>
          <cell r="E46">
            <v>56</v>
          </cell>
        </row>
        <row r="47">
          <cell r="A47" t="str">
            <v>B076Q71HXL</v>
          </cell>
          <cell r="B47">
            <v>80</v>
          </cell>
          <cell r="C47">
            <v>121</v>
          </cell>
          <cell r="D47">
            <v>118</v>
          </cell>
          <cell r="E47">
            <v>151</v>
          </cell>
        </row>
        <row r="48">
          <cell r="A48" t="str">
            <v>B077SHDMC8</v>
          </cell>
          <cell r="B48">
            <v>10</v>
          </cell>
          <cell r="C48">
            <v>72</v>
          </cell>
          <cell r="D48">
            <v>65</v>
          </cell>
          <cell r="E48">
            <v>16</v>
          </cell>
        </row>
        <row r="49">
          <cell r="A49" t="str">
            <v>B0784T23ZQ</v>
          </cell>
          <cell r="B49">
            <v>34</v>
          </cell>
          <cell r="C49">
            <v>90</v>
          </cell>
          <cell r="D49">
            <v>60</v>
          </cell>
          <cell r="E49">
            <v>24</v>
          </cell>
        </row>
        <row r="50">
          <cell r="A50" t="str">
            <v>B078X59HSZ</v>
          </cell>
          <cell r="B50">
            <v>182</v>
          </cell>
          <cell r="C50">
            <v>158</v>
          </cell>
          <cell r="D50">
            <v>145</v>
          </cell>
          <cell r="E50">
            <v>215</v>
          </cell>
        </row>
        <row r="51">
          <cell r="A51" t="str">
            <v>B078XBDF6J</v>
          </cell>
          <cell r="B51">
            <v>341</v>
          </cell>
          <cell r="C51">
            <v>203</v>
          </cell>
          <cell r="D51">
            <v>303</v>
          </cell>
          <cell r="E51">
            <v>225</v>
          </cell>
        </row>
        <row r="52">
          <cell r="A52" t="str">
            <v>B078Y5BTZC</v>
          </cell>
          <cell r="B52">
            <v>67</v>
          </cell>
          <cell r="C52">
            <v>53</v>
          </cell>
          <cell r="D52">
            <v>47</v>
          </cell>
          <cell r="E52">
            <v>13</v>
          </cell>
        </row>
        <row r="53">
          <cell r="A53" t="str">
            <v>B078Y8Y5F7</v>
          </cell>
          <cell r="B53">
            <v>0</v>
          </cell>
          <cell r="C53">
            <v>0</v>
          </cell>
          <cell r="D53">
            <v>0</v>
          </cell>
          <cell r="E53">
            <v>8</v>
          </cell>
        </row>
        <row r="54">
          <cell r="A54" t="str">
            <v>B07929YDZM</v>
          </cell>
          <cell r="B54">
            <v>227</v>
          </cell>
          <cell r="C54">
            <v>167</v>
          </cell>
          <cell r="D54">
            <v>140</v>
          </cell>
          <cell r="E54">
            <v>207</v>
          </cell>
        </row>
        <row r="55">
          <cell r="A55" t="str">
            <v>B0792VG6VZ</v>
          </cell>
          <cell r="B55">
            <v>89</v>
          </cell>
          <cell r="C55">
            <v>111</v>
          </cell>
          <cell r="D55">
            <v>102</v>
          </cell>
          <cell r="E55">
            <v>42</v>
          </cell>
        </row>
        <row r="56">
          <cell r="A56" t="str">
            <v>B0792VK5C4</v>
          </cell>
          <cell r="B56">
            <v>0</v>
          </cell>
          <cell r="C56">
            <v>32</v>
          </cell>
          <cell r="D56">
            <v>134</v>
          </cell>
          <cell r="E56">
            <v>168</v>
          </cell>
        </row>
        <row r="57">
          <cell r="A57" t="str">
            <v>B0792VRZ89</v>
          </cell>
          <cell r="B57">
            <v>44</v>
          </cell>
          <cell r="C57">
            <v>94</v>
          </cell>
          <cell r="D57">
            <v>50</v>
          </cell>
          <cell r="E57">
            <v>78</v>
          </cell>
        </row>
        <row r="58">
          <cell r="A58" t="str">
            <v>B0793PS7QX</v>
          </cell>
          <cell r="B58">
            <v>15</v>
          </cell>
          <cell r="C58">
            <v>39</v>
          </cell>
          <cell r="D58">
            <v>53</v>
          </cell>
          <cell r="E58">
            <v>48</v>
          </cell>
        </row>
        <row r="59">
          <cell r="A59" t="str">
            <v>B0793QZPK1</v>
          </cell>
          <cell r="B59">
            <v>79</v>
          </cell>
          <cell r="C59">
            <v>116</v>
          </cell>
          <cell r="D59">
            <v>61</v>
          </cell>
          <cell r="E59">
            <v>82</v>
          </cell>
        </row>
        <row r="60">
          <cell r="A60" t="str">
            <v>B0794ZPQ8B</v>
          </cell>
          <cell r="B60">
            <v>70</v>
          </cell>
          <cell r="C60">
            <v>50</v>
          </cell>
          <cell r="D60">
            <v>51</v>
          </cell>
          <cell r="E60">
            <v>58</v>
          </cell>
        </row>
        <row r="61">
          <cell r="A61" t="str">
            <v>B0795M8J8G</v>
          </cell>
          <cell r="B61">
            <v>215</v>
          </cell>
          <cell r="C61">
            <v>110</v>
          </cell>
          <cell r="D61">
            <v>191</v>
          </cell>
          <cell r="E61">
            <v>141</v>
          </cell>
        </row>
        <row r="62">
          <cell r="A62" t="str">
            <v>B0795M8ZGB</v>
          </cell>
          <cell r="B62">
            <v>87</v>
          </cell>
          <cell r="C62">
            <v>70</v>
          </cell>
          <cell r="D62">
            <v>76</v>
          </cell>
          <cell r="E62">
            <v>48</v>
          </cell>
        </row>
        <row r="63">
          <cell r="A63" t="str">
            <v>B0795PQJS1</v>
          </cell>
          <cell r="B63">
            <v>98</v>
          </cell>
          <cell r="C63">
            <v>97</v>
          </cell>
          <cell r="D63">
            <v>198</v>
          </cell>
          <cell r="E63">
            <v>182</v>
          </cell>
        </row>
        <row r="64">
          <cell r="A64" t="str">
            <v>B0795QK1TP</v>
          </cell>
          <cell r="B64">
            <v>182</v>
          </cell>
          <cell r="C64">
            <v>215</v>
          </cell>
          <cell r="D64">
            <v>204</v>
          </cell>
          <cell r="E64">
            <v>99</v>
          </cell>
        </row>
        <row r="65">
          <cell r="A65" t="str">
            <v>B079JQDDN7</v>
          </cell>
          <cell r="B65">
            <v>617</v>
          </cell>
          <cell r="C65">
            <v>304</v>
          </cell>
          <cell r="D65">
            <v>484</v>
          </cell>
          <cell r="E65">
            <v>235</v>
          </cell>
        </row>
        <row r="66">
          <cell r="A66" t="str">
            <v>B079JQGCBR</v>
          </cell>
          <cell r="B66">
            <v>76</v>
          </cell>
          <cell r="C66">
            <v>91</v>
          </cell>
          <cell r="D66">
            <v>89</v>
          </cell>
          <cell r="E66">
            <v>74</v>
          </cell>
        </row>
        <row r="67">
          <cell r="A67" t="str">
            <v>B079JRG1TM</v>
          </cell>
          <cell r="B67">
            <v>32</v>
          </cell>
          <cell r="C67">
            <v>96</v>
          </cell>
          <cell r="D67">
            <v>154</v>
          </cell>
          <cell r="E67">
            <v>65</v>
          </cell>
        </row>
        <row r="68">
          <cell r="A68" t="str">
            <v>B079NX5R9C</v>
          </cell>
          <cell r="B68">
            <v>53</v>
          </cell>
          <cell r="C68">
            <v>59</v>
          </cell>
          <cell r="D68">
            <v>58</v>
          </cell>
          <cell r="E68">
            <v>31</v>
          </cell>
        </row>
        <row r="69">
          <cell r="A69" t="str">
            <v>B079NY4SZ4</v>
          </cell>
          <cell r="B69">
            <v>21</v>
          </cell>
          <cell r="C69">
            <v>31</v>
          </cell>
          <cell r="D69">
            <v>14</v>
          </cell>
          <cell r="E69">
            <v>15</v>
          </cell>
        </row>
        <row r="70">
          <cell r="A70" t="str">
            <v>B079P24VZF</v>
          </cell>
          <cell r="B70">
            <v>207</v>
          </cell>
          <cell r="C70">
            <v>120</v>
          </cell>
          <cell r="D70">
            <v>135</v>
          </cell>
          <cell r="E70">
            <v>98</v>
          </cell>
        </row>
        <row r="71">
          <cell r="A71" t="str">
            <v>B079P55XYW</v>
          </cell>
          <cell r="B71">
            <v>28</v>
          </cell>
          <cell r="C71">
            <v>21</v>
          </cell>
          <cell r="D71">
            <v>11</v>
          </cell>
          <cell r="E71">
            <v>11</v>
          </cell>
        </row>
        <row r="72">
          <cell r="A72" t="str">
            <v>B07BDDC5WH</v>
          </cell>
          <cell r="B72">
            <v>55</v>
          </cell>
          <cell r="C72">
            <v>80</v>
          </cell>
          <cell r="D72">
            <v>90</v>
          </cell>
          <cell r="E72">
            <v>144</v>
          </cell>
        </row>
        <row r="73">
          <cell r="A73" t="str">
            <v>B07BFVF3GM</v>
          </cell>
          <cell r="B73">
            <v>191</v>
          </cell>
          <cell r="C73">
            <v>88</v>
          </cell>
          <cell r="D73">
            <v>106</v>
          </cell>
          <cell r="E73">
            <v>71</v>
          </cell>
        </row>
        <row r="74">
          <cell r="A74" t="str">
            <v>B07BLTPG2G</v>
          </cell>
          <cell r="B74">
            <v>51</v>
          </cell>
          <cell r="C74">
            <v>57</v>
          </cell>
          <cell r="D74">
            <v>55</v>
          </cell>
          <cell r="E74">
            <v>11</v>
          </cell>
        </row>
        <row r="75">
          <cell r="A75" t="str">
            <v>B07CM52CNC</v>
          </cell>
          <cell r="B75">
            <v>9</v>
          </cell>
          <cell r="C75">
            <v>11</v>
          </cell>
          <cell r="D75">
            <v>6</v>
          </cell>
          <cell r="E75">
            <v>17</v>
          </cell>
        </row>
        <row r="76">
          <cell r="A76" t="str">
            <v>B07CM67KDW</v>
          </cell>
          <cell r="B76">
            <v>101</v>
          </cell>
          <cell r="C76">
            <v>134</v>
          </cell>
          <cell r="D76">
            <v>99</v>
          </cell>
          <cell r="E76">
            <v>255</v>
          </cell>
        </row>
        <row r="77">
          <cell r="A77" t="str">
            <v>B07D4D6Q9C</v>
          </cell>
          <cell r="B77">
            <v>44</v>
          </cell>
          <cell r="C77">
            <v>66</v>
          </cell>
          <cell r="D77">
            <v>40</v>
          </cell>
          <cell r="E77">
            <v>46</v>
          </cell>
        </row>
        <row r="78">
          <cell r="A78" t="str">
            <v>B07DL5ZGP8</v>
          </cell>
          <cell r="B78">
            <v>306</v>
          </cell>
          <cell r="C78">
            <v>53</v>
          </cell>
          <cell r="D78">
            <v>53</v>
          </cell>
          <cell r="E78">
            <v>27</v>
          </cell>
        </row>
        <row r="79">
          <cell r="A79" t="str">
            <v>B07FDCRR6Q</v>
          </cell>
          <cell r="B79">
            <v>40</v>
          </cell>
          <cell r="C79">
            <v>20</v>
          </cell>
          <cell r="D79">
            <v>18</v>
          </cell>
          <cell r="E79">
            <v>3</v>
          </cell>
        </row>
        <row r="80">
          <cell r="A80" t="str">
            <v>B076MVRP3M</v>
          </cell>
          <cell r="B80">
            <v>6</v>
          </cell>
          <cell r="C80">
            <v>1</v>
          </cell>
          <cell r="D80">
            <v>6</v>
          </cell>
          <cell r="E80">
            <v>12</v>
          </cell>
        </row>
        <row r="81">
          <cell r="A81" t="str">
            <v>B076MW1Y4F</v>
          </cell>
          <cell r="B81">
            <v>16</v>
          </cell>
          <cell r="C81">
            <v>15</v>
          </cell>
          <cell r="D81">
            <v>13</v>
          </cell>
          <cell r="E81">
            <v>15</v>
          </cell>
        </row>
        <row r="82">
          <cell r="A82" t="str">
            <v>B076PDDZW9</v>
          </cell>
          <cell r="B82">
            <v>76</v>
          </cell>
          <cell r="C82">
            <v>91</v>
          </cell>
          <cell r="D82">
            <v>39</v>
          </cell>
          <cell r="E82">
            <v>53</v>
          </cell>
        </row>
        <row r="83">
          <cell r="A83" t="str">
            <v>B076Q79H79</v>
          </cell>
          <cell r="B83">
            <v>0</v>
          </cell>
          <cell r="C83">
            <v>5</v>
          </cell>
          <cell r="D83">
            <v>42</v>
          </cell>
          <cell r="E83">
            <v>34</v>
          </cell>
        </row>
        <row r="84">
          <cell r="A84" t="str">
            <v>B077HPT67J</v>
          </cell>
          <cell r="B84">
            <v>0</v>
          </cell>
          <cell r="C84">
            <v>3</v>
          </cell>
          <cell r="D84">
            <v>21</v>
          </cell>
          <cell r="E84">
            <v>16</v>
          </cell>
        </row>
        <row r="85">
          <cell r="A85" t="str">
            <v>B077HQRC9P</v>
          </cell>
          <cell r="B85">
            <v>0</v>
          </cell>
          <cell r="C85">
            <v>4</v>
          </cell>
          <cell r="D85">
            <v>28</v>
          </cell>
          <cell r="E85">
            <v>26</v>
          </cell>
        </row>
        <row r="86">
          <cell r="A86" t="str">
            <v>B077SNDT1X</v>
          </cell>
          <cell r="B86">
            <v>8</v>
          </cell>
          <cell r="C86">
            <v>9</v>
          </cell>
          <cell r="D86">
            <v>7</v>
          </cell>
          <cell r="E86">
            <v>8</v>
          </cell>
        </row>
        <row r="87">
          <cell r="A87" t="str">
            <v>B077VNWLJW</v>
          </cell>
          <cell r="B87">
            <v>5</v>
          </cell>
          <cell r="C87">
            <v>9</v>
          </cell>
          <cell r="D87">
            <v>8</v>
          </cell>
          <cell r="E87">
            <v>12</v>
          </cell>
        </row>
        <row r="88">
          <cell r="A88" t="str">
            <v>B0788N4FMR</v>
          </cell>
          <cell r="B88">
            <v>0</v>
          </cell>
          <cell r="C88">
            <v>4</v>
          </cell>
          <cell r="D88">
            <v>22</v>
          </cell>
          <cell r="E88">
            <v>16</v>
          </cell>
        </row>
        <row r="89">
          <cell r="A89" t="str">
            <v>B0788N9R3H</v>
          </cell>
          <cell r="B89">
            <v>8</v>
          </cell>
          <cell r="C89">
            <v>7</v>
          </cell>
          <cell r="D89">
            <v>6</v>
          </cell>
          <cell r="E89">
            <v>8</v>
          </cell>
        </row>
        <row r="90">
          <cell r="A90" t="str">
            <v>B0788NF4TB</v>
          </cell>
          <cell r="B90">
            <v>8</v>
          </cell>
          <cell r="C90">
            <v>15</v>
          </cell>
          <cell r="D90">
            <v>22</v>
          </cell>
          <cell r="E90">
            <v>25</v>
          </cell>
        </row>
        <row r="91">
          <cell r="A91" t="str">
            <v>B0788P8DCG</v>
          </cell>
          <cell r="B91">
            <v>15</v>
          </cell>
          <cell r="C91">
            <v>23</v>
          </cell>
          <cell r="D91">
            <v>29</v>
          </cell>
          <cell r="E91">
            <v>51</v>
          </cell>
        </row>
        <row r="92">
          <cell r="A92" t="str">
            <v>B078X5DJLB</v>
          </cell>
          <cell r="B92">
            <v>180</v>
          </cell>
          <cell r="C92">
            <v>203</v>
          </cell>
          <cell r="D92">
            <v>154</v>
          </cell>
          <cell r="E92">
            <v>49</v>
          </cell>
        </row>
        <row r="93">
          <cell r="A93" t="str">
            <v>B078X5DZRT</v>
          </cell>
          <cell r="B93">
            <v>38</v>
          </cell>
          <cell r="C93">
            <v>47</v>
          </cell>
          <cell r="D93">
            <v>62</v>
          </cell>
          <cell r="E93">
            <v>74</v>
          </cell>
        </row>
        <row r="94">
          <cell r="A94" t="str">
            <v>B078X5HG51</v>
          </cell>
          <cell r="B94">
            <v>6</v>
          </cell>
          <cell r="C94">
            <v>5</v>
          </cell>
          <cell r="D94">
            <v>12</v>
          </cell>
          <cell r="E94">
            <v>4</v>
          </cell>
        </row>
        <row r="95">
          <cell r="A95" t="str">
            <v>B078X6K4KJ</v>
          </cell>
          <cell r="B95">
            <v>0</v>
          </cell>
          <cell r="C95">
            <v>13</v>
          </cell>
          <cell r="D95">
            <v>20</v>
          </cell>
          <cell r="E95">
            <v>20</v>
          </cell>
        </row>
        <row r="96">
          <cell r="A96" t="str">
            <v>B078XB1WC9</v>
          </cell>
          <cell r="B96">
            <v>24</v>
          </cell>
          <cell r="C96">
            <v>52</v>
          </cell>
          <cell r="D96">
            <v>46</v>
          </cell>
          <cell r="E96">
            <v>27</v>
          </cell>
        </row>
        <row r="97">
          <cell r="A97" t="str">
            <v>B078XBY1MZ</v>
          </cell>
          <cell r="B97">
            <v>45</v>
          </cell>
          <cell r="C97">
            <v>40</v>
          </cell>
          <cell r="D97">
            <v>47</v>
          </cell>
          <cell r="E97">
            <v>41</v>
          </cell>
        </row>
        <row r="98">
          <cell r="A98" t="str">
            <v>B078XZR24D</v>
          </cell>
          <cell r="B98">
            <v>17</v>
          </cell>
          <cell r="C98">
            <v>30</v>
          </cell>
          <cell r="D98">
            <v>13</v>
          </cell>
          <cell r="E98">
            <v>3</v>
          </cell>
        </row>
        <row r="99">
          <cell r="A99" t="str">
            <v>B078XZRP4X</v>
          </cell>
          <cell r="B99">
            <v>7</v>
          </cell>
          <cell r="C99">
            <v>15</v>
          </cell>
          <cell r="D99">
            <v>9</v>
          </cell>
          <cell r="E99">
            <v>8</v>
          </cell>
        </row>
        <row r="100">
          <cell r="A100" t="str">
            <v>B0793QLQ3Z</v>
          </cell>
          <cell r="B100">
            <v>25</v>
          </cell>
          <cell r="C100">
            <v>104</v>
          </cell>
          <cell r="D100">
            <v>58</v>
          </cell>
          <cell r="E100">
            <v>36</v>
          </cell>
        </row>
        <row r="101">
          <cell r="A101" t="str">
            <v>B0793RW7P4</v>
          </cell>
          <cell r="B101">
            <v>232</v>
          </cell>
          <cell r="C101">
            <v>19</v>
          </cell>
          <cell r="D101">
            <v>23</v>
          </cell>
          <cell r="E101">
            <v>16</v>
          </cell>
        </row>
        <row r="102">
          <cell r="A102" t="str">
            <v>B0794XFL8V</v>
          </cell>
          <cell r="B102">
            <v>5</v>
          </cell>
          <cell r="C102">
            <v>9</v>
          </cell>
          <cell r="D102">
            <v>21</v>
          </cell>
          <cell r="E102">
            <v>12</v>
          </cell>
        </row>
        <row r="103">
          <cell r="A103" t="str">
            <v>B0794Z23LW</v>
          </cell>
          <cell r="B103">
            <v>73</v>
          </cell>
          <cell r="C103">
            <v>102</v>
          </cell>
          <cell r="D103">
            <v>51</v>
          </cell>
          <cell r="E103">
            <v>12</v>
          </cell>
        </row>
        <row r="104">
          <cell r="A104" t="str">
            <v>B0795117ZD</v>
          </cell>
          <cell r="B104">
            <v>79</v>
          </cell>
          <cell r="C104">
            <v>67</v>
          </cell>
          <cell r="D104">
            <v>75</v>
          </cell>
          <cell r="E104">
            <v>184</v>
          </cell>
        </row>
        <row r="105">
          <cell r="A105" t="str">
            <v>B0795D6KPS</v>
          </cell>
          <cell r="B105">
            <v>12</v>
          </cell>
          <cell r="C105">
            <v>12</v>
          </cell>
          <cell r="D105">
            <v>12</v>
          </cell>
          <cell r="E105">
            <v>7</v>
          </cell>
        </row>
        <row r="106">
          <cell r="A106" t="str">
            <v>B0795M2NML</v>
          </cell>
          <cell r="B106">
            <v>68</v>
          </cell>
          <cell r="C106">
            <v>108</v>
          </cell>
          <cell r="D106">
            <v>67</v>
          </cell>
          <cell r="E106">
            <v>42</v>
          </cell>
        </row>
        <row r="107">
          <cell r="A107" t="str">
            <v>B0795VRN2N</v>
          </cell>
          <cell r="B107">
            <v>13</v>
          </cell>
          <cell r="C107">
            <v>8</v>
          </cell>
          <cell r="D107">
            <v>9</v>
          </cell>
          <cell r="E107">
            <v>3</v>
          </cell>
        </row>
        <row r="108">
          <cell r="A108" t="str">
            <v>B079DPVXXZ</v>
          </cell>
          <cell r="B108">
            <v>14</v>
          </cell>
          <cell r="C108">
            <v>4</v>
          </cell>
          <cell r="D108">
            <v>4</v>
          </cell>
          <cell r="E108">
            <v>2</v>
          </cell>
        </row>
        <row r="109">
          <cell r="A109" t="str">
            <v>B079DRCQ6B</v>
          </cell>
          <cell r="B109">
            <v>604</v>
          </cell>
          <cell r="C109">
            <v>584</v>
          </cell>
          <cell r="D109">
            <v>85</v>
          </cell>
          <cell r="E109">
            <v>46</v>
          </cell>
        </row>
        <row r="110">
          <cell r="A110" t="str">
            <v>B079JWNR6Z</v>
          </cell>
          <cell r="B110">
            <v>59</v>
          </cell>
          <cell r="C110">
            <v>69</v>
          </cell>
          <cell r="D110">
            <v>52</v>
          </cell>
          <cell r="E110">
            <v>52</v>
          </cell>
        </row>
        <row r="111">
          <cell r="A111" t="str">
            <v>B079K3D4WY</v>
          </cell>
          <cell r="B111">
            <v>30</v>
          </cell>
          <cell r="C111">
            <v>47</v>
          </cell>
          <cell r="D111">
            <v>54</v>
          </cell>
          <cell r="E111">
            <v>40</v>
          </cell>
        </row>
        <row r="112">
          <cell r="A112" t="str">
            <v>B079M128Y6</v>
          </cell>
          <cell r="B112">
            <v>13</v>
          </cell>
          <cell r="C112">
            <v>34</v>
          </cell>
          <cell r="D112">
            <v>25</v>
          </cell>
          <cell r="E112">
            <v>11</v>
          </cell>
        </row>
        <row r="113">
          <cell r="A113" t="str">
            <v>B079NSK8NL</v>
          </cell>
          <cell r="B113">
            <v>5</v>
          </cell>
          <cell r="C113">
            <v>4</v>
          </cell>
          <cell r="D113">
            <v>2</v>
          </cell>
          <cell r="E113">
            <v>1</v>
          </cell>
        </row>
        <row r="114">
          <cell r="A114" t="str">
            <v>B079NWXG5Z</v>
          </cell>
          <cell r="B114">
            <v>5</v>
          </cell>
          <cell r="C114">
            <v>2</v>
          </cell>
          <cell r="D114">
            <v>3</v>
          </cell>
          <cell r="E114">
            <v>1</v>
          </cell>
        </row>
        <row r="115">
          <cell r="A115" t="str">
            <v>B079P28VV3</v>
          </cell>
          <cell r="B115">
            <v>13</v>
          </cell>
          <cell r="C115">
            <v>13</v>
          </cell>
          <cell r="D115">
            <v>15</v>
          </cell>
          <cell r="E115">
            <v>16</v>
          </cell>
        </row>
        <row r="116">
          <cell r="A116" t="str">
            <v>B079P52R76</v>
          </cell>
          <cell r="B116">
            <v>23</v>
          </cell>
          <cell r="C116">
            <v>24</v>
          </cell>
          <cell r="D116">
            <v>19</v>
          </cell>
          <cell r="E116">
            <v>36</v>
          </cell>
        </row>
        <row r="117">
          <cell r="A117" t="str">
            <v>B07B94LQJR</v>
          </cell>
          <cell r="B117">
            <v>59</v>
          </cell>
          <cell r="C117">
            <v>85</v>
          </cell>
          <cell r="D117">
            <v>74</v>
          </cell>
          <cell r="E117">
            <v>82</v>
          </cell>
        </row>
        <row r="118">
          <cell r="A118" t="str">
            <v>B07B9C9WPT</v>
          </cell>
          <cell r="B118">
            <v>65</v>
          </cell>
          <cell r="C118">
            <v>51</v>
          </cell>
          <cell r="D118">
            <v>26</v>
          </cell>
          <cell r="E118">
            <v>4</v>
          </cell>
        </row>
        <row r="119">
          <cell r="A119" t="str">
            <v>B07B9Q774Z</v>
          </cell>
          <cell r="B119">
            <v>20</v>
          </cell>
          <cell r="C119">
            <v>21</v>
          </cell>
          <cell r="D119">
            <v>15</v>
          </cell>
          <cell r="E119">
            <v>17</v>
          </cell>
        </row>
        <row r="120">
          <cell r="A120" t="str">
            <v>B07B9Q9YNG</v>
          </cell>
          <cell r="B120">
            <v>58</v>
          </cell>
          <cell r="C120">
            <v>90</v>
          </cell>
          <cell r="D120">
            <v>72</v>
          </cell>
          <cell r="E120">
            <v>31</v>
          </cell>
        </row>
        <row r="121">
          <cell r="A121" t="str">
            <v>B07B9SLG9M</v>
          </cell>
          <cell r="B121">
            <v>18</v>
          </cell>
          <cell r="C121">
            <v>16</v>
          </cell>
          <cell r="D121">
            <v>34</v>
          </cell>
          <cell r="E121">
            <v>14</v>
          </cell>
        </row>
        <row r="122">
          <cell r="A122" t="str">
            <v>B07BFV7XQM</v>
          </cell>
          <cell r="B122">
            <v>12</v>
          </cell>
          <cell r="C122">
            <v>10</v>
          </cell>
          <cell r="D122">
            <v>43</v>
          </cell>
          <cell r="E122">
            <v>41</v>
          </cell>
        </row>
        <row r="123">
          <cell r="A123" t="str">
            <v>B07BFVHDDP</v>
          </cell>
          <cell r="B123">
            <v>44</v>
          </cell>
          <cell r="C123">
            <v>38</v>
          </cell>
          <cell r="D123">
            <v>36</v>
          </cell>
          <cell r="E123">
            <v>8</v>
          </cell>
        </row>
        <row r="124">
          <cell r="A124" t="str">
            <v>B07BFVWCV4</v>
          </cell>
          <cell r="B124">
            <v>168</v>
          </cell>
          <cell r="C124">
            <v>185</v>
          </cell>
          <cell r="D124">
            <v>73</v>
          </cell>
          <cell r="E124">
            <v>74</v>
          </cell>
        </row>
        <row r="125">
          <cell r="A125" t="str">
            <v>B07BFVXKTL</v>
          </cell>
          <cell r="B125">
            <v>12</v>
          </cell>
          <cell r="C125">
            <v>29</v>
          </cell>
          <cell r="D125">
            <v>17</v>
          </cell>
          <cell r="E125">
            <v>19</v>
          </cell>
        </row>
        <row r="126">
          <cell r="A126" t="str">
            <v>B07BFVXXX8</v>
          </cell>
          <cell r="B126">
            <v>24</v>
          </cell>
          <cell r="C126">
            <v>22</v>
          </cell>
          <cell r="D126">
            <v>33</v>
          </cell>
          <cell r="E126">
            <v>24</v>
          </cell>
        </row>
        <row r="127">
          <cell r="A127" t="str">
            <v>B07BLRH5BR</v>
          </cell>
          <cell r="B127">
            <v>25</v>
          </cell>
          <cell r="C127">
            <v>8</v>
          </cell>
          <cell r="D127">
            <v>22</v>
          </cell>
          <cell r="E127">
            <v>14</v>
          </cell>
        </row>
        <row r="128">
          <cell r="A128" t="str">
            <v>B07BLRWT2V</v>
          </cell>
          <cell r="B128">
            <v>16</v>
          </cell>
          <cell r="C128">
            <v>12</v>
          </cell>
          <cell r="D128">
            <v>11</v>
          </cell>
          <cell r="E128">
            <v>12</v>
          </cell>
        </row>
        <row r="129">
          <cell r="A129" t="str">
            <v>B07BLVB7FH</v>
          </cell>
          <cell r="B129">
            <v>273</v>
          </cell>
          <cell r="C129">
            <v>272</v>
          </cell>
          <cell r="D129">
            <v>137</v>
          </cell>
          <cell r="E129">
            <v>28</v>
          </cell>
        </row>
        <row r="130">
          <cell r="A130" t="str">
            <v>B07BNCFZXN</v>
          </cell>
          <cell r="B130">
            <v>194</v>
          </cell>
          <cell r="C130">
            <v>30</v>
          </cell>
          <cell r="D130">
            <v>37</v>
          </cell>
          <cell r="E130">
            <v>31</v>
          </cell>
        </row>
        <row r="131">
          <cell r="A131" t="str">
            <v>B07BSC5Q33</v>
          </cell>
          <cell r="B131">
            <v>0</v>
          </cell>
          <cell r="C131">
            <v>30</v>
          </cell>
          <cell r="D131">
            <v>47</v>
          </cell>
          <cell r="E131">
            <v>46</v>
          </cell>
        </row>
        <row r="132">
          <cell r="A132" t="str">
            <v>B07BSHY6ZL</v>
          </cell>
          <cell r="B132">
            <v>151</v>
          </cell>
          <cell r="C132">
            <v>125</v>
          </cell>
          <cell r="D132">
            <v>119</v>
          </cell>
          <cell r="E132">
            <v>205</v>
          </cell>
        </row>
        <row r="133">
          <cell r="A133" t="str">
            <v>B07CLYNY71</v>
          </cell>
          <cell r="B133">
            <v>23</v>
          </cell>
          <cell r="C133">
            <v>20</v>
          </cell>
          <cell r="D133">
            <v>10</v>
          </cell>
          <cell r="E133">
            <v>18</v>
          </cell>
        </row>
        <row r="134">
          <cell r="A134" t="str">
            <v>B07CM347WF</v>
          </cell>
          <cell r="B134">
            <v>39</v>
          </cell>
          <cell r="C134">
            <v>180</v>
          </cell>
          <cell r="D134">
            <v>134</v>
          </cell>
          <cell r="E134">
            <v>252</v>
          </cell>
        </row>
        <row r="135">
          <cell r="A135" t="str">
            <v>B07CM9N213</v>
          </cell>
          <cell r="B135">
            <v>228</v>
          </cell>
          <cell r="C135">
            <v>195</v>
          </cell>
          <cell r="D135">
            <v>216</v>
          </cell>
          <cell r="E135">
            <v>14</v>
          </cell>
        </row>
        <row r="136">
          <cell r="A136" t="str">
            <v>B07CN274MC</v>
          </cell>
          <cell r="B136">
            <v>61</v>
          </cell>
          <cell r="C136">
            <v>61</v>
          </cell>
          <cell r="D136">
            <v>36</v>
          </cell>
          <cell r="E136">
            <v>76</v>
          </cell>
        </row>
        <row r="137">
          <cell r="A137" t="str">
            <v>B07CN4J157</v>
          </cell>
          <cell r="B137">
            <v>18</v>
          </cell>
          <cell r="C137">
            <v>19</v>
          </cell>
          <cell r="D137">
            <v>20</v>
          </cell>
          <cell r="E137">
            <v>21</v>
          </cell>
        </row>
        <row r="138">
          <cell r="A138" t="str">
            <v>B07CN4J1B2</v>
          </cell>
          <cell r="B138">
            <v>16</v>
          </cell>
          <cell r="C138">
            <v>61</v>
          </cell>
          <cell r="D138">
            <v>48</v>
          </cell>
          <cell r="E138">
            <v>59</v>
          </cell>
        </row>
        <row r="139">
          <cell r="A139" t="str">
            <v>B07D4D4876</v>
          </cell>
          <cell r="B139">
            <v>153</v>
          </cell>
          <cell r="C139">
            <v>96</v>
          </cell>
          <cell r="D139">
            <v>70</v>
          </cell>
          <cell r="E139">
            <v>31</v>
          </cell>
        </row>
        <row r="140">
          <cell r="A140" t="str">
            <v>B07D4DDT41</v>
          </cell>
          <cell r="B140">
            <v>158</v>
          </cell>
          <cell r="C140">
            <v>118</v>
          </cell>
          <cell r="D140">
            <v>147</v>
          </cell>
          <cell r="E140">
            <v>90</v>
          </cell>
        </row>
        <row r="141">
          <cell r="A141" t="str">
            <v>B07D4DRFYN</v>
          </cell>
          <cell r="B141">
            <v>286</v>
          </cell>
          <cell r="C141">
            <v>301</v>
          </cell>
          <cell r="D141">
            <v>174</v>
          </cell>
          <cell r="E141">
            <v>124</v>
          </cell>
        </row>
        <row r="142">
          <cell r="A142" t="str">
            <v>B07F71667Y</v>
          </cell>
          <cell r="B142">
            <v>103</v>
          </cell>
          <cell r="C142">
            <v>44</v>
          </cell>
          <cell r="D142">
            <v>16</v>
          </cell>
          <cell r="E142">
            <v>29</v>
          </cell>
        </row>
        <row r="143">
          <cell r="A143" t="str">
            <v>B07F72X354</v>
          </cell>
          <cell r="B143">
            <v>47</v>
          </cell>
          <cell r="C143">
            <v>28</v>
          </cell>
          <cell r="D143">
            <v>12</v>
          </cell>
          <cell r="E143">
            <v>31</v>
          </cell>
        </row>
        <row r="144">
          <cell r="A144" t="str">
            <v>B07F73THXK</v>
          </cell>
          <cell r="B144">
            <v>125</v>
          </cell>
          <cell r="C144">
            <v>59</v>
          </cell>
          <cell r="D144">
            <v>22</v>
          </cell>
          <cell r="E144">
            <v>22</v>
          </cell>
        </row>
        <row r="145">
          <cell r="A145" t="str">
            <v>B07FD841D5</v>
          </cell>
          <cell r="B145">
            <v>0</v>
          </cell>
          <cell r="C145">
            <v>39</v>
          </cell>
          <cell r="D145">
            <v>26</v>
          </cell>
          <cell r="E145">
            <v>2</v>
          </cell>
        </row>
        <row r="146">
          <cell r="A146" t="str">
            <v>B07FD9B9Q1</v>
          </cell>
          <cell r="B146">
            <v>35</v>
          </cell>
          <cell r="C146">
            <v>4</v>
          </cell>
          <cell r="D146">
            <v>1</v>
          </cell>
          <cell r="E146">
            <v>2</v>
          </cell>
        </row>
        <row r="147">
          <cell r="A147" t="str">
            <v>B07FDCC8ZC</v>
          </cell>
          <cell r="B147">
            <v>7</v>
          </cell>
          <cell r="C147">
            <v>5</v>
          </cell>
          <cell r="D147">
            <v>45</v>
          </cell>
          <cell r="E147">
            <v>18</v>
          </cell>
        </row>
        <row r="148">
          <cell r="A148" t="str">
            <v>B07FDD4P8H</v>
          </cell>
          <cell r="B148">
            <v>19</v>
          </cell>
          <cell r="C148">
            <v>21</v>
          </cell>
          <cell r="D148">
            <v>11</v>
          </cell>
          <cell r="E148">
            <v>5</v>
          </cell>
        </row>
        <row r="149">
          <cell r="A149" t="str">
            <v>B07FNJYWTX</v>
          </cell>
          <cell r="B149">
            <v>36</v>
          </cell>
          <cell r="C149">
            <v>72</v>
          </cell>
          <cell r="D149">
            <v>20</v>
          </cell>
          <cell r="E149">
            <v>9</v>
          </cell>
        </row>
        <row r="150">
          <cell r="A150" t="str">
            <v>B07FNKS38N</v>
          </cell>
          <cell r="B150">
            <v>31</v>
          </cell>
          <cell r="C150">
            <v>36</v>
          </cell>
          <cell r="D150">
            <v>24</v>
          </cell>
          <cell r="E150">
            <v>6</v>
          </cell>
        </row>
        <row r="151">
          <cell r="A151" t="str">
            <v>B07FNL69J7</v>
          </cell>
          <cell r="B151">
            <v>94</v>
          </cell>
          <cell r="C151">
            <v>284</v>
          </cell>
          <cell r="D151">
            <v>178</v>
          </cell>
          <cell r="E151">
            <v>46</v>
          </cell>
        </row>
        <row r="152">
          <cell r="A152" t="str">
            <v>B07FYF8J1H</v>
          </cell>
          <cell r="B152">
            <v>53</v>
          </cell>
          <cell r="C152">
            <v>3</v>
          </cell>
          <cell r="D152">
            <v>2</v>
          </cell>
          <cell r="E152">
            <v>19</v>
          </cell>
        </row>
        <row r="153">
          <cell r="A153" t="str">
            <v>B07FYGT2PC</v>
          </cell>
          <cell r="B153">
            <v>51</v>
          </cell>
          <cell r="C153">
            <v>0</v>
          </cell>
          <cell r="D153">
            <v>2</v>
          </cell>
          <cell r="E153">
            <v>4</v>
          </cell>
        </row>
        <row r="154">
          <cell r="A154" t="str">
            <v>B07BRK2R83</v>
          </cell>
          <cell r="B154">
            <v>4</v>
          </cell>
          <cell r="C154">
            <v>2</v>
          </cell>
          <cell r="D154">
            <v>4</v>
          </cell>
          <cell r="E154">
            <v>0</v>
          </cell>
        </row>
        <row r="155">
          <cell r="A155" t="str">
            <v>B07FD6C9T4</v>
          </cell>
          <cell r="B155">
            <v>8</v>
          </cell>
          <cell r="C155">
            <v>13</v>
          </cell>
          <cell r="D155">
            <v>3</v>
          </cell>
          <cell r="E155">
            <v>0</v>
          </cell>
        </row>
        <row r="156">
          <cell r="A156" t="str">
            <v>B07G2BPXQ7</v>
          </cell>
          <cell r="B156">
            <v>35</v>
          </cell>
          <cell r="C156">
            <v>6</v>
          </cell>
          <cell r="D156">
            <v>1</v>
          </cell>
          <cell r="E156">
            <v>0</v>
          </cell>
        </row>
        <row r="157">
          <cell r="A157" t="str">
            <v>B07G41G2GB</v>
          </cell>
          <cell r="B157">
            <v>45</v>
          </cell>
          <cell r="C157">
            <v>10</v>
          </cell>
          <cell r="D157">
            <v>2</v>
          </cell>
          <cell r="E157">
            <v>0</v>
          </cell>
        </row>
        <row r="158">
          <cell r="A158" t="str">
            <v>B07G1Z8D76</v>
          </cell>
          <cell r="B158">
            <v>16</v>
          </cell>
          <cell r="C158">
            <v>6</v>
          </cell>
          <cell r="D158">
            <v>0</v>
          </cell>
          <cell r="E158">
            <v>0</v>
          </cell>
        </row>
        <row r="159">
          <cell r="A159" t="str">
            <v>B07GDPF7DB</v>
          </cell>
          <cell r="B159">
            <v>2</v>
          </cell>
          <cell r="C159">
            <v>0</v>
          </cell>
          <cell r="D159">
            <v>0</v>
          </cell>
          <cell r="E159">
            <v>0</v>
          </cell>
        </row>
        <row r="160">
          <cell r="A160" t="str">
            <v>B07GDQS6D2</v>
          </cell>
          <cell r="B160">
            <v>3</v>
          </cell>
          <cell r="C160">
            <v>0</v>
          </cell>
          <cell r="D160">
            <v>0</v>
          </cell>
          <cell r="E160">
            <v>0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2010.61</v>
          </cell>
        </row>
        <row r="3">
          <cell r="G3">
            <v>1540.2</v>
          </cell>
        </row>
        <row r="3">
          <cell r="J3">
            <v>6945.35</v>
          </cell>
        </row>
        <row r="3">
          <cell r="M3">
            <v>6964.24</v>
          </cell>
        </row>
        <row r="4">
          <cell r="A4" t="str">
            <v>DOLL-1613-PI-22</v>
          </cell>
          <cell r="B4">
            <v>41</v>
          </cell>
          <cell r="C4">
            <v>1</v>
          </cell>
          <cell r="D4">
            <v>0.34</v>
          </cell>
          <cell r="E4">
            <v>138</v>
          </cell>
          <cell r="F4">
            <v>2</v>
          </cell>
          <cell r="G4">
            <v>0.55</v>
          </cell>
          <cell r="H4">
            <v>1192</v>
          </cell>
          <cell r="I4">
            <v>25</v>
          </cell>
          <cell r="J4">
            <v>3.98</v>
          </cell>
          <cell r="K4">
            <v>1192</v>
          </cell>
          <cell r="L4">
            <v>25</v>
          </cell>
          <cell r="M4">
            <v>3.98</v>
          </cell>
        </row>
        <row r="5">
          <cell r="A5" t="str">
            <v>DOLL-1613-LB-22</v>
          </cell>
          <cell r="B5">
            <v>0</v>
          </cell>
          <cell r="C5">
            <v>0</v>
          </cell>
          <cell r="D5">
            <v>0</v>
          </cell>
          <cell r="E5">
            <v>974</v>
          </cell>
          <cell r="F5">
            <v>8</v>
          </cell>
          <cell r="G5">
            <v>1.5</v>
          </cell>
          <cell r="H5">
            <v>12669</v>
          </cell>
          <cell r="I5">
            <v>80</v>
          </cell>
          <cell r="J5">
            <v>22.29</v>
          </cell>
          <cell r="K5">
            <v>12711</v>
          </cell>
          <cell r="L5">
            <v>80</v>
          </cell>
          <cell r="M5">
            <v>22.29</v>
          </cell>
        </row>
        <row r="6">
          <cell r="A6" t="str">
            <v>DOLL-1613-LB-11</v>
          </cell>
          <cell r="B6">
            <v>37</v>
          </cell>
          <cell r="C6">
            <v>1</v>
          </cell>
          <cell r="D6">
            <v>0.13</v>
          </cell>
          <cell r="E6">
            <v>81</v>
          </cell>
          <cell r="F6">
            <v>0</v>
          </cell>
          <cell r="G6">
            <v>0</v>
          </cell>
          <cell r="H6">
            <v>11011</v>
          </cell>
          <cell r="I6">
            <v>125</v>
          </cell>
          <cell r="J6">
            <v>20.17</v>
          </cell>
          <cell r="K6">
            <v>11011</v>
          </cell>
          <cell r="L6">
            <v>125</v>
          </cell>
          <cell r="M6">
            <v>20.17</v>
          </cell>
        </row>
        <row r="7">
          <cell r="A7" t="str">
            <v>DO-YULQ101-PI-22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236</v>
          </cell>
          <cell r="I7">
            <v>3</v>
          </cell>
          <cell r="J7">
            <v>0.6</v>
          </cell>
          <cell r="K7">
            <v>236</v>
          </cell>
          <cell r="L7">
            <v>3</v>
          </cell>
          <cell r="M7">
            <v>0.6</v>
          </cell>
        </row>
        <row r="8">
          <cell r="A8" t="str">
            <v>DO-YULQ161-PI-22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152059</v>
          </cell>
          <cell r="I8">
            <v>544</v>
          </cell>
          <cell r="J8">
            <v>88.02</v>
          </cell>
          <cell r="K8">
            <v>152059</v>
          </cell>
          <cell r="L8">
            <v>544</v>
          </cell>
          <cell r="M8">
            <v>88.02</v>
          </cell>
        </row>
        <row r="9">
          <cell r="A9" t="str">
            <v>DO-YULQ001-PI-22</v>
          </cell>
          <cell r="B9">
            <v>175759</v>
          </cell>
          <cell r="C9">
            <v>770</v>
          </cell>
          <cell r="D9">
            <v>109.69</v>
          </cell>
          <cell r="E9">
            <v>116770</v>
          </cell>
          <cell r="F9">
            <v>538</v>
          </cell>
          <cell r="G9">
            <v>73.66</v>
          </cell>
          <cell r="H9">
            <v>681465</v>
          </cell>
          <cell r="I9">
            <v>2828</v>
          </cell>
          <cell r="J9">
            <v>608.44</v>
          </cell>
          <cell r="K9">
            <v>684003</v>
          </cell>
          <cell r="L9">
            <v>2840</v>
          </cell>
          <cell r="M9">
            <v>611.61</v>
          </cell>
        </row>
        <row r="10">
          <cell r="A10" t="str">
            <v>DOLL-010-PI-22</v>
          </cell>
          <cell r="B10">
            <v>92461</v>
          </cell>
          <cell r="C10">
            <v>289</v>
          </cell>
          <cell r="D10">
            <v>86.75</v>
          </cell>
          <cell r="E10">
            <v>40000</v>
          </cell>
          <cell r="F10">
            <v>159</v>
          </cell>
          <cell r="G10">
            <v>48.46</v>
          </cell>
          <cell r="H10">
            <v>278529</v>
          </cell>
          <cell r="I10">
            <v>1430</v>
          </cell>
          <cell r="J10">
            <v>281.81</v>
          </cell>
          <cell r="K10">
            <v>279023</v>
          </cell>
          <cell r="L10">
            <v>1431</v>
          </cell>
          <cell r="M10">
            <v>282.1</v>
          </cell>
        </row>
        <row r="11">
          <cell r="A11" t="str">
            <v>DOLL-0605-PI-22</v>
          </cell>
          <cell r="B11">
            <v>66385</v>
          </cell>
          <cell r="C11">
            <v>319</v>
          </cell>
          <cell r="D11">
            <v>89.69</v>
          </cell>
          <cell r="E11">
            <v>0</v>
          </cell>
          <cell r="F11">
            <v>0</v>
          </cell>
          <cell r="G11">
            <v>0</v>
          </cell>
          <cell r="H11">
            <v>50890</v>
          </cell>
          <cell r="I11">
            <v>279</v>
          </cell>
          <cell r="J11">
            <v>69.5</v>
          </cell>
          <cell r="K11">
            <v>50890</v>
          </cell>
          <cell r="L11">
            <v>279</v>
          </cell>
          <cell r="M11">
            <v>69.5</v>
          </cell>
        </row>
        <row r="12">
          <cell r="A12" t="str">
            <v>DOLL-020-PI-22</v>
          </cell>
          <cell r="B12">
            <v>74861</v>
          </cell>
          <cell r="C12">
            <v>497</v>
          </cell>
          <cell r="D12">
            <v>160.97</v>
          </cell>
          <cell r="E12">
            <v>23442</v>
          </cell>
          <cell r="F12">
            <v>184</v>
          </cell>
          <cell r="G12">
            <v>64.98</v>
          </cell>
          <cell r="H12">
            <v>242920</v>
          </cell>
          <cell r="I12">
            <v>1731</v>
          </cell>
          <cell r="J12">
            <v>364.92</v>
          </cell>
          <cell r="K12">
            <v>243750</v>
          </cell>
          <cell r="L12">
            <v>1734</v>
          </cell>
          <cell r="M12">
            <v>365.48</v>
          </cell>
        </row>
        <row r="13">
          <cell r="A13" t="str">
            <v>DOLL-7056-LGR-11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57765</v>
          </cell>
          <cell r="I13">
            <v>282</v>
          </cell>
          <cell r="J13">
            <v>57.64</v>
          </cell>
          <cell r="K13">
            <v>57765</v>
          </cell>
          <cell r="L13">
            <v>282</v>
          </cell>
          <cell r="M13">
            <v>57.64</v>
          </cell>
        </row>
        <row r="14">
          <cell r="A14" t="str">
            <v>DO-YULQ152-B7-22</v>
          </cell>
          <cell r="B14">
            <v>9397</v>
          </cell>
          <cell r="C14">
            <v>19</v>
          </cell>
          <cell r="D14">
            <v>2.74</v>
          </cell>
          <cell r="E14">
            <v>27137</v>
          </cell>
          <cell r="F14">
            <v>73</v>
          </cell>
          <cell r="G14">
            <v>11.09</v>
          </cell>
          <cell r="H14">
            <v>174599</v>
          </cell>
          <cell r="I14">
            <v>463</v>
          </cell>
          <cell r="J14">
            <v>76.69</v>
          </cell>
          <cell r="K14">
            <v>174794</v>
          </cell>
          <cell r="L14">
            <v>463</v>
          </cell>
          <cell r="M14">
            <v>76.69</v>
          </cell>
        </row>
        <row r="15">
          <cell r="A15" t="str">
            <v>DOLL-0630-PI-22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23482</v>
          </cell>
          <cell r="I15">
            <v>119</v>
          </cell>
          <cell r="J15">
            <v>16.6</v>
          </cell>
          <cell r="K15">
            <v>23482</v>
          </cell>
          <cell r="L15">
            <v>119</v>
          </cell>
          <cell r="M15">
            <v>16.6</v>
          </cell>
        </row>
        <row r="16">
          <cell r="A16" t="str">
            <v>DOLL-0603-NZ-22</v>
          </cell>
          <cell r="B16">
            <v>37951</v>
          </cell>
          <cell r="C16">
            <v>108</v>
          </cell>
          <cell r="D16">
            <v>34.21</v>
          </cell>
          <cell r="E16">
            <v>37950</v>
          </cell>
          <cell r="F16">
            <v>139</v>
          </cell>
          <cell r="G16">
            <v>39.51</v>
          </cell>
          <cell r="H16">
            <v>162405</v>
          </cell>
          <cell r="I16">
            <v>760</v>
          </cell>
          <cell r="J16">
            <v>191.5</v>
          </cell>
          <cell r="K16">
            <v>164186</v>
          </cell>
          <cell r="L16">
            <v>761</v>
          </cell>
          <cell r="M16">
            <v>191.66</v>
          </cell>
        </row>
        <row r="17">
          <cell r="A17" t="str">
            <v>DO-YULQ171-B0-22</v>
          </cell>
          <cell r="B17">
            <v>7141</v>
          </cell>
          <cell r="C17">
            <v>45</v>
          </cell>
          <cell r="D17">
            <v>12.46</v>
          </cell>
          <cell r="E17">
            <v>0</v>
          </cell>
          <cell r="F17">
            <v>0</v>
          </cell>
          <cell r="G17">
            <v>0</v>
          </cell>
          <cell r="H17">
            <v>15887</v>
          </cell>
          <cell r="I17">
            <v>18</v>
          </cell>
          <cell r="J17">
            <v>20.36</v>
          </cell>
          <cell r="K17">
            <v>15887</v>
          </cell>
          <cell r="L17">
            <v>18</v>
          </cell>
          <cell r="M17">
            <v>20.36</v>
          </cell>
        </row>
        <row r="18">
          <cell r="A18" t="str">
            <v>DOLL-008-W0-22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8505</v>
          </cell>
          <cell r="I18">
            <v>97</v>
          </cell>
          <cell r="J18">
            <v>12.73</v>
          </cell>
          <cell r="K18">
            <v>8505</v>
          </cell>
          <cell r="L18">
            <v>97</v>
          </cell>
          <cell r="M18">
            <v>12.73</v>
          </cell>
        </row>
        <row r="19">
          <cell r="A19" t="str">
            <v>DO-YULQ610-R2-22</v>
          </cell>
          <cell r="B19">
            <v>36874</v>
          </cell>
          <cell r="C19">
            <v>183</v>
          </cell>
          <cell r="D19">
            <v>49.6</v>
          </cell>
          <cell r="E19">
            <v>0</v>
          </cell>
          <cell r="F19">
            <v>0</v>
          </cell>
          <cell r="G19">
            <v>0</v>
          </cell>
          <cell r="H19">
            <v>15876</v>
          </cell>
          <cell r="I19">
            <v>99</v>
          </cell>
          <cell r="J19">
            <v>13.3</v>
          </cell>
          <cell r="K19">
            <v>15876</v>
          </cell>
          <cell r="L19">
            <v>99</v>
          </cell>
          <cell r="M19">
            <v>13.3</v>
          </cell>
        </row>
        <row r="20">
          <cell r="A20" t="str">
            <v>DO-YULQ171-LGR-22</v>
          </cell>
          <cell r="B20">
            <v>33</v>
          </cell>
          <cell r="C20">
            <v>1</v>
          </cell>
          <cell r="D20">
            <v>0.1</v>
          </cell>
          <cell r="E20">
            <v>0</v>
          </cell>
          <cell r="F20">
            <v>0</v>
          </cell>
          <cell r="G20">
            <v>0</v>
          </cell>
          <cell r="H20">
            <v>126941</v>
          </cell>
          <cell r="I20">
            <v>520</v>
          </cell>
          <cell r="J20">
            <v>121.29</v>
          </cell>
          <cell r="K20">
            <v>127202</v>
          </cell>
          <cell r="L20">
            <v>522</v>
          </cell>
          <cell r="M20">
            <v>122.1</v>
          </cell>
        </row>
        <row r="21">
          <cell r="A21" t="str">
            <v>DO-YULQ230-PI-16</v>
          </cell>
          <cell r="B21">
            <v>27548</v>
          </cell>
          <cell r="C21">
            <v>103</v>
          </cell>
          <cell r="D21">
            <v>29.42</v>
          </cell>
          <cell r="E21">
            <v>8377</v>
          </cell>
          <cell r="F21">
            <v>32</v>
          </cell>
          <cell r="G21">
            <v>9.24</v>
          </cell>
          <cell r="H21">
            <v>46443</v>
          </cell>
          <cell r="I21">
            <v>253</v>
          </cell>
          <cell r="J21">
            <v>41.04</v>
          </cell>
          <cell r="K21">
            <v>46621</v>
          </cell>
          <cell r="L21">
            <v>255</v>
          </cell>
          <cell r="M21">
            <v>41.62</v>
          </cell>
        </row>
        <row r="22">
          <cell r="A22" t="str">
            <v>DO-YULQ153-B7-22</v>
          </cell>
          <cell r="B22">
            <v>33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73447</v>
          </cell>
          <cell r="I22">
            <v>350</v>
          </cell>
          <cell r="J22">
            <v>88.57</v>
          </cell>
          <cell r="K22">
            <v>73628</v>
          </cell>
          <cell r="L22">
            <v>353</v>
          </cell>
          <cell r="M22">
            <v>89.77</v>
          </cell>
        </row>
        <row r="23">
          <cell r="A23" t="str">
            <v>DO-YULQ638-LGR-20</v>
          </cell>
          <cell r="B23">
            <v>16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4</v>
          </cell>
          <cell r="I23">
            <v>2</v>
          </cell>
          <cell r="J23">
            <v>0.48</v>
          </cell>
          <cell r="K23">
            <v>4</v>
          </cell>
          <cell r="L23">
            <v>2</v>
          </cell>
          <cell r="M23">
            <v>0.48</v>
          </cell>
        </row>
        <row r="24">
          <cell r="A24" t="str">
            <v>DO-YULQ639-LGR-22</v>
          </cell>
          <cell r="B24">
            <v>9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2</v>
          </cell>
          <cell r="I24">
            <v>0</v>
          </cell>
          <cell r="J24">
            <v>0</v>
          </cell>
          <cell r="K24">
            <v>2</v>
          </cell>
          <cell r="L24">
            <v>0</v>
          </cell>
          <cell r="M24">
            <v>0</v>
          </cell>
        </row>
        <row r="25">
          <cell r="A25" t="str">
            <v>DOLL-1630-R0-22</v>
          </cell>
          <cell r="B25">
            <v>6127</v>
          </cell>
          <cell r="C25">
            <v>34</v>
          </cell>
          <cell r="D25">
            <v>8.85</v>
          </cell>
          <cell r="E25">
            <v>36494</v>
          </cell>
          <cell r="F25">
            <v>159</v>
          </cell>
          <cell r="G25">
            <v>40.29</v>
          </cell>
          <cell r="H25">
            <v>14</v>
          </cell>
          <cell r="I25">
            <v>0</v>
          </cell>
          <cell r="J25">
            <v>0</v>
          </cell>
          <cell r="K25">
            <v>14</v>
          </cell>
          <cell r="L25">
            <v>0</v>
          </cell>
          <cell r="M25">
            <v>0</v>
          </cell>
        </row>
        <row r="26">
          <cell r="A26" t="str">
            <v>DO-YULQ639-R2-22</v>
          </cell>
          <cell r="B26">
            <v>10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19</v>
          </cell>
          <cell r="I26">
            <v>0</v>
          </cell>
          <cell r="J26">
            <v>0</v>
          </cell>
          <cell r="K26">
            <v>19</v>
          </cell>
          <cell r="L26">
            <v>0</v>
          </cell>
          <cell r="M26">
            <v>0</v>
          </cell>
        </row>
        <row r="27">
          <cell r="A27" t="str">
            <v>DO-YULQ010-P0-22</v>
          </cell>
          <cell r="B27">
            <v>20215</v>
          </cell>
          <cell r="C27">
            <v>164</v>
          </cell>
          <cell r="D27">
            <v>54.31</v>
          </cell>
          <cell r="E27">
            <v>17018</v>
          </cell>
          <cell r="F27">
            <v>162</v>
          </cell>
          <cell r="G27">
            <v>50.87</v>
          </cell>
          <cell r="H27">
            <v>43019</v>
          </cell>
          <cell r="I27">
            <v>450</v>
          </cell>
          <cell r="J27">
            <v>85.67</v>
          </cell>
          <cell r="K27">
            <v>43268</v>
          </cell>
          <cell r="L27">
            <v>450</v>
          </cell>
          <cell r="M27">
            <v>85.67</v>
          </cell>
        </row>
        <row r="28">
          <cell r="A28" t="str">
            <v>DO-YULQ011-NZ-22</v>
          </cell>
          <cell r="B28">
            <v>5812</v>
          </cell>
          <cell r="C28">
            <v>6</v>
          </cell>
          <cell r="D28">
            <v>2.34</v>
          </cell>
          <cell r="E28">
            <v>34231</v>
          </cell>
          <cell r="F28">
            <v>69</v>
          </cell>
          <cell r="G28">
            <v>21.71</v>
          </cell>
          <cell r="H28">
            <v>495665</v>
          </cell>
          <cell r="I28">
            <v>554</v>
          </cell>
          <cell r="J28">
            <v>145.43</v>
          </cell>
          <cell r="K28">
            <v>495668</v>
          </cell>
          <cell r="L28">
            <v>554</v>
          </cell>
          <cell r="M28">
            <v>145.43</v>
          </cell>
        </row>
        <row r="29">
          <cell r="A29" t="str">
            <v>DO-YULQ158-W0-22</v>
          </cell>
          <cell r="B29">
            <v>10035</v>
          </cell>
          <cell r="C29">
            <v>52</v>
          </cell>
          <cell r="D29">
            <v>19.64</v>
          </cell>
          <cell r="E29">
            <v>19362</v>
          </cell>
          <cell r="F29">
            <v>108</v>
          </cell>
          <cell r="G29">
            <v>35.79</v>
          </cell>
          <cell r="H29">
            <v>322313</v>
          </cell>
          <cell r="I29">
            <v>792</v>
          </cell>
          <cell r="J29">
            <v>202.38</v>
          </cell>
          <cell r="K29">
            <v>322318</v>
          </cell>
          <cell r="L29">
            <v>792</v>
          </cell>
          <cell r="M29">
            <v>202.38</v>
          </cell>
        </row>
        <row r="30">
          <cell r="A30" t="str">
            <v>DO-YULQ638-PI-20</v>
          </cell>
          <cell r="B30">
            <v>18959</v>
          </cell>
          <cell r="C30">
            <v>94</v>
          </cell>
          <cell r="D30">
            <v>32.56</v>
          </cell>
          <cell r="E30">
            <v>19685</v>
          </cell>
          <cell r="F30">
            <v>84</v>
          </cell>
          <cell r="G30">
            <v>21.81</v>
          </cell>
          <cell r="H30">
            <v>56804</v>
          </cell>
          <cell r="I30">
            <v>187</v>
          </cell>
          <cell r="J30">
            <v>66.61</v>
          </cell>
          <cell r="K30">
            <v>56917</v>
          </cell>
          <cell r="L30">
            <v>188</v>
          </cell>
          <cell r="M30">
            <v>66.97</v>
          </cell>
        </row>
        <row r="31">
          <cell r="A31" t="str">
            <v>DOLL-004-PI-10</v>
          </cell>
          <cell r="B31">
            <v>0</v>
          </cell>
          <cell r="C31">
            <v>0</v>
          </cell>
          <cell r="D31">
            <v>0</v>
          </cell>
          <cell r="E31">
            <v>10909</v>
          </cell>
          <cell r="F31">
            <v>157</v>
          </cell>
          <cell r="G31">
            <v>38</v>
          </cell>
          <cell r="H31">
            <v>5079</v>
          </cell>
          <cell r="I31">
            <v>105</v>
          </cell>
          <cell r="J31">
            <v>19.84</v>
          </cell>
          <cell r="K31">
            <v>5169</v>
          </cell>
          <cell r="L31">
            <v>106</v>
          </cell>
          <cell r="M31">
            <v>20.03</v>
          </cell>
        </row>
        <row r="32">
          <cell r="A32" t="str">
            <v>DOLL-AD011-PI-22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18953</v>
          </cell>
          <cell r="I32">
            <v>131</v>
          </cell>
          <cell r="J32">
            <v>19.11</v>
          </cell>
          <cell r="K32">
            <v>18953</v>
          </cell>
          <cell r="L32">
            <v>131</v>
          </cell>
          <cell r="M32">
            <v>19.11</v>
          </cell>
        </row>
        <row r="33">
          <cell r="A33" t="str">
            <v>DO-YULQ516-B0-22</v>
          </cell>
          <cell r="B33">
            <v>10369</v>
          </cell>
          <cell r="C33">
            <v>123</v>
          </cell>
          <cell r="D33">
            <v>23.45</v>
          </cell>
          <cell r="E33">
            <v>14188</v>
          </cell>
          <cell r="F33">
            <v>114</v>
          </cell>
          <cell r="G33">
            <v>19.8</v>
          </cell>
          <cell r="H33">
            <v>99282</v>
          </cell>
          <cell r="I33">
            <v>496</v>
          </cell>
          <cell r="J33">
            <v>152.33</v>
          </cell>
          <cell r="K33">
            <v>99448</v>
          </cell>
          <cell r="L33">
            <v>497</v>
          </cell>
          <cell r="M33">
            <v>152.51</v>
          </cell>
        </row>
        <row r="34">
          <cell r="A34" t="str">
            <v>DOLL-006-PI-10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16294</v>
          </cell>
          <cell r="I34">
            <v>84</v>
          </cell>
          <cell r="J34">
            <v>15.06</v>
          </cell>
          <cell r="K34">
            <v>16294</v>
          </cell>
          <cell r="L34">
            <v>84</v>
          </cell>
          <cell r="M34">
            <v>15.06</v>
          </cell>
        </row>
        <row r="35">
          <cell r="A35" t="str">
            <v>DO-YULQ071-B7-16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49721</v>
          </cell>
          <cell r="I35">
            <v>229</v>
          </cell>
          <cell r="J35">
            <v>49.78</v>
          </cell>
          <cell r="K35">
            <v>49757</v>
          </cell>
          <cell r="L35">
            <v>230</v>
          </cell>
          <cell r="M35">
            <v>50.19</v>
          </cell>
        </row>
        <row r="36">
          <cell r="A36" t="str">
            <v>DO-YULQ021-W0-22</v>
          </cell>
          <cell r="B36">
            <v>1084</v>
          </cell>
          <cell r="C36">
            <v>10</v>
          </cell>
          <cell r="D36">
            <v>2.49</v>
          </cell>
          <cell r="E36">
            <v>602</v>
          </cell>
          <cell r="F36">
            <v>6</v>
          </cell>
          <cell r="G36">
            <v>1.62</v>
          </cell>
          <cell r="H36">
            <v>12377</v>
          </cell>
          <cell r="I36">
            <v>84</v>
          </cell>
          <cell r="J36">
            <v>13.72</v>
          </cell>
          <cell r="K36">
            <v>12415</v>
          </cell>
          <cell r="L36">
            <v>85</v>
          </cell>
          <cell r="M36">
            <v>13.86</v>
          </cell>
        </row>
        <row r="37">
          <cell r="A37" t="str">
            <v>DO-YULQ063-PI-22</v>
          </cell>
          <cell r="B37">
            <v>19611</v>
          </cell>
          <cell r="C37">
            <v>117</v>
          </cell>
          <cell r="D37">
            <v>35.96</v>
          </cell>
          <cell r="E37">
            <v>17557</v>
          </cell>
          <cell r="F37">
            <v>78</v>
          </cell>
          <cell r="G37">
            <v>22.97</v>
          </cell>
          <cell r="H37">
            <v>64626</v>
          </cell>
          <cell r="I37">
            <v>310</v>
          </cell>
          <cell r="J37">
            <v>52.68</v>
          </cell>
          <cell r="K37">
            <v>64875</v>
          </cell>
          <cell r="L37">
            <v>311</v>
          </cell>
          <cell r="M37">
            <v>52.73</v>
          </cell>
        </row>
        <row r="38">
          <cell r="A38" t="str">
            <v>DO-YULQ070-PI-16</v>
          </cell>
          <cell r="B38">
            <v>30784</v>
          </cell>
          <cell r="C38">
            <v>144</v>
          </cell>
          <cell r="D38">
            <v>41.11</v>
          </cell>
          <cell r="E38">
            <v>41322</v>
          </cell>
          <cell r="F38">
            <v>137</v>
          </cell>
          <cell r="G38">
            <v>36.68</v>
          </cell>
          <cell r="H38">
            <v>79488</v>
          </cell>
          <cell r="I38">
            <v>448</v>
          </cell>
          <cell r="J38">
            <v>90.56</v>
          </cell>
          <cell r="K38">
            <v>79979</v>
          </cell>
          <cell r="L38">
            <v>451</v>
          </cell>
          <cell r="M38">
            <v>91.2</v>
          </cell>
        </row>
        <row r="39">
          <cell r="A39" t="str">
            <v>DO-YULQ162-PI-16</v>
          </cell>
          <cell r="B39">
            <v>15264</v>
          </cell>
          <cell r="C39">
            <v>89</v>
          </cell>
          <cell r="D39">
            <v>27.87</v>
          </cell>
          <cell r="E39">
            <v>9838</v>
          </cell>
          <cell r="F39">
            <v>56</v>
          </cell>
          <cell r="G39">
            <v>14.58</v>
          </cell>
          <cell r="H39">
            <v>62824</v>
          </cell>
          <cell r="I39">
            <v>283</v>
          </cell>
          <cell r="J39">
            <v>57.21</v>
          </cell>
          <cell r="K39">
            <v>62955</v>
          </cell>
          <cell r="L39">
            <v>284</v>
          </cell>
          <cell r="M39">
            <v>57.36</v>
          </cell>
        </row>
        <row r="40">
          <cell r="A40" t="str">
            <v>DO-YULQ107-PI-22</v>
          </cell>
          <cell r="B40">
            <v>14903</v>
          </cell>
          <cell r="C40">
            <v>59</v>
          </cell>
          <cell r="D40">
            <v>15.72</v>
          </cell>
          <cell r="E40">
            <v>6671</v>
          </cell>
          <cell r="F40">
            <v>33</v>
          </cell>
          <cell r="G40">
            <v>8.38</v>
          </cell>
          <cell r="H40">
            <v>183870</v>
          </cell>
          <cell r="I40">
            <v>640</v>
          </cell>
          <cell r="J40">
            <v>128.94</v>
          </cell>
          <cell r="K40">
            <v>184603</v>
          </cell>
          <cell r="L40">
            <v>640</v>
          </cell>
          <cell r="M40">
            <v>128.94</v>
          </cell>
        </row>
        <row r="41">
          <cell r="A41" t="str">
            <v>DO-YULQ105-R2-22</v>
          </cell>
          <cell r="B41">
            <v>4996</v>
          </cell>
          <cell r="C41">
            <v>55</v>
          </cell>
          <cell r="D41">
            <v>14.87</v>
          </cell>
          <cell r="E41">
            <v>11072</v>
          </cell>
          <cell r="F41">
            <v>87</v>
          </cell>
          <cell r="G41">
            <v>25.16</v>
          </cell>
          <cell r="H41">
            <v>18799</v>
          </cell>
          <cell r="I41">
            <v>117</v>
          </cell>
          <cell r="J41">
            <v>18.87</v>
          </cell>
          <cell r="K41">
            <v>18799</v>
          </cell>
          <cell r="L41">
            <v>117</v>
          </cell>
          <cell r="M41">
            <v>18.87</v>
          </cell>
        </row>
        <row r="42">
          <cell r="A42" t="str">
            <v>DO-YULQ664-AX-16</v>
          </cell>
          <cell r="B42">
            <v>6381</v>
          </cell>
          <cell r="C42">
            <v>68</v>
          </cell>
          <cell r="D42">
            <v>19.76</v>
          </cell>
          <cell r="E42">
            <v>0</v>
          </cell>
          <cell r="F42">
            <v>0</v>
          </cell>
          <cell r="G42">
            <v>0</v>
          </cell>
          <cell r="H42">
            <v>80588</v>
          </cell>
          <cell r="I42">
            <v>612</v>
          </cell>
          <cell r="J42">
            <v>137.12</v>
          </cell>
          <cell r="K42">
            <v>80640</v>
          </cell>
          <cell r="L42">
            <v>613</v>
          </cell>
          <cell r="M42">
            <v>137.41</v>
          </cell>
        </row>
        <row r="43">
          <cell r="A43" t="str">
            <v>DO-YULQ606-W0-22</v>
          </cell>
          <cell r="B43">
            <v>0</v>
          </cell>
          <cell r="C43">
            <v>0</v>
          </cell>
          <cell r="D43">
            <v>0</v>
          </cell>
          <cell r="E43">
            <v>79</v>
          </cell>
          <cell r="F43">
            <v>0</v>
          </cell>
          <cell r="G43">
            <v>0</v>
          </cell>
          <cell r="H43">
            <v>8521</v>
          </cell>
          <cell r="I43">
            <v>101</v>
          </cell>
          <cell r="J43">
            <v>19.01</v>
          </cell>
          <cell r="K43">
            <v>8522</v>
          </cell>
          <cell r="L43">
            <v>101</v>
          </cell>
          <cell r="M43">
            <v>19.01</v>
          </cell>
        </row>
        <row r="44">
          <cell r="A44" t="str">
            <v>DO-YULQ372-R0-22</v>
          </cell>
          <cell r="B44">
            <v>0</v>
          </cell>
          <cell r="C44">
            <v>0</v>
          </cell>
          <cell r="D44">
            <v>0</v>
          </cell>
          <cell r="E44">
            <v>8830</v>
          </cell>
          <cell r="F44">
            <v>35</v>
          </cell>
          <cell r="G44">
            <v>9.87</v>
          </cell>
          <cell r="H44">
            <v>6155</v>
          </cell>
          <cell r="I44">
            <v>24</v>
          </cell>
          <cell r="J44">
            <v>6.34</v>
          </cell>
          <cell r="K44">
            <v>6196</v>
          </cell>
          <cell r="L44">
            <v>24</v>
          </cell>
          <cell r="M44">
            <v>6.34</v>
          </cell>
        </row>
        <row r="45">
          <cell r="A45" t="str">
            <v>DO-YULQ631-R2-22</v>
          </cell>
          <cell r="B45">
            <v>29798</v>
          </cell>
          <cell r="C45">
            <v>120</v>
          </cell>
          <cell r="D45">
            <v>39.27</v>
          </cell>
          <cell r="E45">
            <v>9401</v>
          </cell>
          <cell r="F45">
            <v>65</v>
          </cell>
          <cell r="G45">
            <v>16.51</v>
          </cell>
          <cell r="H45">
            <v>81802</v>
          </cell>
          <cell r="I45">
            <v>559</v>
          </cell>
          <cell r="J45">
            <v>136.75</v>
          </cell>
          <cell r="K45">
            <v>82026</v>
          </cell>
          <cell r="L45">
            <v>561</v>
          </cell>
          <cell r="M45">
            <v>137.63</v>
          </cell>
        </row>
        <row r="46">
          <cell r="A46" t="str">
            <v>DO-YULQ605-PI-22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19073</v>
          </cell>
          <cell r="I46">
            <v>249</v>
          </cell>
          <cell r="J46">
            <v>36.43</v>
          </cell>
          <cell r="K46">
            <v>19073</v>
          </cell>
          <cell r="L46">
            <v>249</v>
          </cell>
          <cell r="M46">
            <v>36.43</v>
          </cell>
        </row>
        <row r="47">
          <cell r="A47" t="str">
            <v>DO-YULQ163-B7-22</v>
          </cell>
          <cell r="B47">
            <v>104937</v>
          </cell>
          <cell r="C47">
            <v>317</v>
          </cell>
          <cell r="D47">
            <v>46.66</v>
          </cell>
          <cell r="E47">
            <v>46197</v>
          </cell>
          <cell r="F47">
            <v>165</v>
          </cell>
          <cell r="G47">
            <v>25.35</v>
          </cell>
          <cell r="H47">
            <v>151772</v>
          </cell>
          <cell r="I47">
            <v>697</v>
          </cell>
          <cell r="J47">
            <v>142.57</v>
          </cell>
          <cell r="K47">
            <v>152205</v>
          </cell>
          <cell r="L47">
            <v>697</v>
          </cell>
          <cell r="M47">
            <v>142.57</v>
          </cell>
        </row>
        <row r="48">
          <cell r="A48" t="str">
            <v>DO-YULQ073-LGR-22</v>
          </cell>
          <cell r="B48">
            <v>4899</v>
          </cell>
          <cell r="C48">
            <v>23</v>
          </cell>
          <cell r="D48">
            <v>5.66</v>
          </cell>
          <cell r="E48">
            <v>7880</v>
          </cell>
          <cell r="F48">
            <v>55</v>
          </cell>
          <cell r="G48">
            <v>13.63</v>
          </cell>
          <cell r="H48">
            <v>32815</v>
          </cell>
          <cell r="I48">
            <v>240</v>
          </cell>
          <cell r="J48">
            <v>60.04</v>
          </cell>
          <cell r="K48">
            <v>32890</v>
          </cell>
          <cell r="L48">
            <v>241</v>
          </cell>
          <cell r="M48">
            <v>60.54</v>
          </cell>
        </row>
        <row r="49">
          <cell r="A49" t="str">
            <v>DO-YULQ012-PI-22</v>
          </cell>
          <cell r="B49">
            <v>68</v>
          </cell>
          <cell r="C49">
            <v>0</v>
          </cell>
          <cell r="D49">
            <v>0</v>
          </cell>
          <cell r="E49">
            <v>172</v>
          </cell>
          <cell r="F49">
            <v>2</v>
          </cell>
          <cell r="G49">
            <v>0.63</v>
          </cell>
          <cell r="H49">
            <v>899</v>
          </cell>
          <cell r="I49">
            <v>0</v>
          </cell>
          <cell r="J49">
            <v>0</v>
          </cell>
          <cell r="K49">
            <v>899</v>
          </cell>
          <cell r="L49">
            <v>0</v>
          </cell>
          <cell r="M49">
            <v>0</v>
          </cell>
        </row>
        <row r="50">
          <cell r="A50" t="str">
            <v>DO-YULQ123-FB-22</v>
          </cell>
          <cell r="B50">
            <v>2581</v>
          </cell>
          <cell r="C50">
            <v>41</v>
          </cell>
          <cell r="D50">
            <v>5.97</v>
          </cell>
          <cell r="E50">
            <v>2967</v>
          </cell>
          <cell r="F50">
            <v>46</v>
          </cell>
          <cell r="G50">
            <v>5.48</v>
          </cell>
          <cell r="H50">
            <v>328729</v>
          </cell>
          <cell r="I50">
            <v>2063</v>
          </cell>
          <cell r="J50">
            <v>405.5</v>
          </cell>
          <cell r="K50">
            <v>329184</v>
          </cell>
          <cell r="L50">
            <v>2064</v>
          </cell>
          <cell r="M50">
            <v>405.62</v>
          </cell>
        </row>
        <row r="51">
          <cell r="A51" t="str">
            <v>DO-YULQ121-PI-22</v>
          </cell>
          <cell r="B51">
            <v>0</v>
          </cell>
          <cell r="C51">
            <v>0</v>
          </cell>
          <cell r="D51">
            <v>0</v>
          </cell>
          <cell r="E51">
            <v>7921</v>
          </cell>
          <cell r="F51">
            <v>79</v>
          </cell>
          <cell r="G51">
            <v>21.35</v>
          </cell>
          <cell r="H51">
            <v>70699</v>
          </cell>
          <cell r="I51">
            <v>457</v>
          </cell>
          <cell r="J51">
            <v>124.8</v>
          </cell>
          <cell r="K51">
            <v>70847</v>
          </cell>
          <cell r="L51">
            <v>460</v>
          </cell>
          <cell r="M51">
            <v>125.86</v>
          </cell>
        </row>
        <row r="52">
          <cell r="A52" t="str">
            <v>DO-YULQ152-Z1-22</v>
          </cell>
          <cell r="B52">
            <v>0</v>
          </cell>
          <cell r="C52">
            <v>0</v>
          </cell>
          <cell r="D52">
            <v>0</v>
          </cell>
          <cell r="E52">
            <v>1371</v>
          </cell>
          <cell r="F52">
            <v>9</v>
          </cell>
          <cell r="G52">
            <v>2.58</v>
          </cell>
          <cell r="H52">
            <v>82899</v>
          </cell>
          <cell r="I52">
            <v>294</v>
          </cell>
          <cell r="J52">
            <v>85.38</v>
          </cell>
          <cell r="K52">
            <v>83037</v>
          </cell>
          <cell r="L52">
            <v>294</v>
          </cell>
          <cell r="M52">
            <v>85.38</v>
          </cell>
        </row>
        <row r="53">
          <cell r="A53" t="str">
            <v>DO-YULQ150-PI-20</v>
          </cell>
          <cell r="B53">
            <v>39134</v>
          </cell>
          <cell r="C53">
            <v>287</v>
          </cell>
          <cell r="D53">
            <v>72.29</v>
          </cell>
          <cell r="E53">
            <v>0</v>
          </cell>
          <cell r="F53">
            <v>0</v>
          </cell>
          <cell r="G53">
            <v>0</v>
          </cell>
          <cell r="H53">
            <v>395006</v>
          </cell>
          <cell r="I53">
            <v>2233</v>
          </cell>
          <cell r="J53">
            <v>435.58</v>
          </cell>
          <cell r="K53">
            <v>396870</v>
          </cell>
          <cell r="L53">
            <v>2239</v>
          </cell>
          <cell r="M53">
            <v>436.88</v>
          </cell>
        </row>
        <row r="54">
          <cell r="A54" t="str">
            <v>DO-YULQ985-B7-20</v>
          </cell>
          <cell r="B54">
            <v>33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97258</v>
          </cell>
          <cell r="I54">
            <v>390</v>
          </cell>
          <cell r="J54">
            <v>129.66</v>
          </cell>
          <cell r="K54">
            <v>97458</v>
          </cell>
          <cell r="L54">
            <v>392</v>
          </cell>
          <cell r="M54">
            <v>130.55</v>
          </cell>
        </row>
        <row r="55">
          <cell r="A55" t="str">
            <v>DO-YULQ150-K0-22</v>
          </cell>
          <cell r="B55">
            <v>13640</v>
          </cell>
          <cell r="C55">
            <v>43</v>
          </cell>
          <cell r="D55">
            <v>12.68</v>
          </cell>
          <cell r="E55">
            <v>6375</v>
          </cell>
          <cell r="F55">
            <v>51</v>
          </cell>
          <cell r="G55">
            <v>11.64</v>
          </cell>
          <cell r="H55">
            <v>27281</v>
          </cell>
          <cell r="I55">
            <v>234</v>
          </cell>
          <cell r="J55">
            <v>59.66</v>
          </cell>
          <cell r="K55">
            <v>27376</v>
          </cell>
          <cell r="L55">
            <v>234</v>
          </cell>
          <cell r="M55">
            <v>59.66</v>
          </cell>
        </row>
        <row r="56">
          <cell r="A56" t="str">
            <v>DO-YULQ151-W0-16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63097</v>
          </cell>
          <cell r="I56">
            <v>179</v>
          </cell>
          <cell r="J56">
            <v>52.18</v>
          </cell>
          <cell r="K56">
            <v>63123</v>
          </cell>
          <cell r="L56">
            <v>180</v>
          </cell>
          <cell r="M56">
            <v>52.56</v>
          </cell>
        </row>
        <row r="57">
          <cell r="A57" t="str">
            <v>DO-YULQ701-PI-22</v>
          </cell>
          <cell r="B57">
            <v>23841</v>
          </cell>
          <cell r="C57">
            <v>182</v>
          </cell>
          <cell r="D57">
            <v>25.58</v>
          </cell>
          <cell r="E57">
            <v>14332</v>
          </cell>
          <cell r="F57">
            <v>101</v>
          </cell>
          <cell r="G57">
            <v>14.3</v>
          </cell>
          <cell r="H57">
            <v>103442</v>
          </cell>
          <cell r="I57">
            <v>574</v>
          </cell>
          <cell r="J57">
            <v>89.8</v>
          </cell>
          <cell r="K57">
            <v>103442</v>
          </cell>
          <cell r="L57">
            <v>574</v>
          </cell>
          <cell r="M57">
            <v>89.8</v>
          </cell>
        </row>
        <row r="58">
          <cell r="A58" t="str">
            <v>DO-YULQ702-PI-22</v>
          </cell>
          <cell r="B58">
            <v>141603</v>
          </cell>
          <cell r="C58">
            <v>777</v>
          </cell>
          <cell r="D58">
            <v>111.54</v>
          </cell>
          <cell r="E58">
            <v>78503</v>
          </cell>
          <cell r="F58">
            <v>443</v>
          </cell>
          <cell r="G58">
            <v>63.73</v>
          </cell>
          <cell r="H58">
            <v>239580</v>
          </cell>
          <cell r="I58">
            <v>1285</v>
          </cell>
          <cell r="J58">
            <v>174.23</v>
          </cell>
          <cell r="K58">
            <v>240542</v>
          </cell>
          <cell r="L58">
            <v>1286</v>
          </cell>
          <cell r="M58">
            <v>174.42</v>
          </cell>
        </row>
        <row r="59">
          <cell r="A59" t="str">
            <v>DO-YULQ703-PI-22</v>
          </cell>
          <cell r="B59">
            <v>29041</v>
          </cell>
          <cell r="C59">
            <v>161</v>
          </cell>
          <cell r="D59">
            <v>22.43</v>
          </cell>
          <cell r="E59">
            <v>16782</v>
          </cell>
          <cell r="F59">
            <v>104</v>
          </cell>
          <cell r="G59">
            <v>13.23</v>
          </cell>
          <cell r="H59">
            <v>154991</v>
          </cell>
          <cell r="I59">
            <v>685</v>
          </cell>
          <cell r="J59">
            <v>110.37</v>
          </cell>
          <cell r="K59">
            <v>155121</v>
          </cell>
          <cell r="L59">
            <v>685</v>
          </cell>
          <cell r="M59">
            <v>110.37</v>
          </cell>
        </row>
        <row r="60">
          <cell r="A60" t="str">
            <v>DO-YULQ700-PI-22</v>
          </cell>
          <cell r="B60">
            <v>38248</v>
          </cell>
          <cell r="C60">
            <v>257</v>
          </cell>
          <cell r="D60">
            <v>35.21</v>
          </cell>
          <cell r="E60">
            <v>67824</v>
          </cell>
          <cell r="F60">
            <v>436</v>
          </cell>
          <cell r="G60">
            <v>57.74</v>
          </cell>
          <cell r="H60">
            <v>248690</v>
          </cell>
          <cell r="I60">
            <v>1820</v>
          </cell>
          <cell r="J60">
            <v>256.75</v>
          </cell>
          <cell r="K60">
            <v>249727</v>
          </cell>
          <cell r="L60">
            <v>1827</v>
          </cell>
          <cell r="M60">
            <v>257.98</v>
          </cell>
        </row>
        <row r="61">
          <cell r="A61" t="str">
            <v>DO-YULQ330-PI-18</v>
          </cell>
          <cell r="B61">
            <v>0</v>
          </cell>
          <cell r="C61">
            <v>0</v>
          </cell>
          <cell r="D61">
            <v>0</v>
          </cell>
          <cell r="E61">
            <v>3991</v>
          </cell>
          <cell r="F61">
            <v>12</v>
          </cell>
          <cell r="G61">
            <v>1.75</v>
          </cell>
          <cell r="H61">
            <v>117743</v>
          </cell>
          <cell r="I61">
            <v>370</v>
          </cell>
          <cell r="J61">
            <v>63.99</v>
          </cell>
          <cell r="K61">
            <v>118258</v>
          </cell>
          <cell r="L61">
            <v>373</v>
          </cell>
          <cell r="M61">
            <v>64.49</v>
          </cell>
        </row>
        <row r="62">
          <cell r="A62" t="str">
            <v>DO-YULQ350-PI-22</v>
          </cell>
          <cell r="B62">
            <v>13703</v>
          </cell>
          <cell r="C62">
            <v>78</v>
          </cell>
          <cell r="D62">
            <v>20.33</v>
          </cell>
          <cell r="E62">
            <v>14378</v>
          </cell>
          <cell r="F62">
            <v>45</v>
          </cell>
          <cell r="G62">
            <v>12.06</v>
          </cell>
          <cell r="H62">
            <v>7194</v>
          </cell>
          <cell r="I62">
            <v>72</v>
          </cell>
          <cell r="J62">
            <v>13.02</v>
          </cell>
          <cell r="K62">
            <v>7252</v>
          </cell>
          <cell r="L62">
            <v>72</v>
          </cell>
          <cell r="M62">
            <v>13.02</v>
          </cell>
        </row>
        <row r="63">
          <cell r="A63" t="str">
            <v>DO-YULQ611-TW-22</v>
          </cell>
          <cell r="B63">
            <v>20711</v>
          </cell>
          <cell r="C63">
            <v>222</v>
          </cell>
          <cell r="D63">
            <v>40.37</v>
          </cell>
          <cell r="E63">
            <v>26273</v>
          </cell>
          <cell r="F63">
            <v>263</v>
          </cell>
          <cell r="G63">
            <v>53.61</v>
          </cell>
          <cell r="H63">
            <v>201368</v>
          </cell>
          <cell r="I63">
            <v>1112</v>
          </cell>
          <cell r="J63">
            <v>339.63</v>
          </cell>
          <cell r="K63">
            <v>202640</v>
          </cell>
          <cell r="L63">
            <v>1117</v>
          </cell>
          <cell r="M63">
            <v>340.83</v>
          </cell>
        </row>
        <row r="64">
          <cell r="A64" t="str">
            <v>DO-YULQ704-B0-24</v>
          </cell>
          <cell r="B64">
            <v>10272</v>
          </cell>
          <cell r="C64">
            <v>140</v>
          </cell>
          <cell r="D64">
            <v>25.92</v>
          </cell>
          <cell r="E64">
            <v>4336</v>
          </cell>
          <cell r="F64">
            <v>31</v>
          </cell>
          <cell r="G64">
            <v>4.34</v>
          </cell>
          <cell r="H64">
            <v>8129</v>
          </cell>
          <cell r="I64">
            <v>115</v>
          </cell>
          <cell r="J64">
            <v>25</v>
          </cell>
          <cell r="K64">
            <v>8180</v>
          </cell>
          <cell r="L64">
            <v>117</v>
          </cell>
          <cell r="M64">
            <v>25.22</v>
          </cell>
        </row>
        <row r="65">
          <cell r="A65" t="str">
            <v>DO-YULQ707-PI-24</v>
          </cell>
          <cell r="B65">
            <v>30407</v>
          </cell>
          <cell r="C65">
            <v>203</v>
          </cell>
          <cell r="D65">
            <v>54.94</v>
          </cell>
          <cell r="E65">
            <v>28752</v>
          </cell>
          <cell r="F65">
            <v>184</v>
          </cell>
          <cell r="G65">
            <v>48.74</v>
          </cell>
          <cell r="H65">
            <v>68946</v>
          </cell>
          <cell r="I65">
            <v>262</v>
          </cell>
          <cell r="J65">
            <v>60.22</v>
          </cell>
          <cell r="K65">
            <v>69070</v>
          </cell>
          <cell r="L65">
            <v>262</v>
          </cell>
          <cell r="M65">
            <v>60.22</v>
          </cell>
        </row>
        <row r="66">
          <cell r="A66" t="str">
            <v>DO-YULQ705-W0-22</v>
          </cell>
          <cell r="B66">
            <v>23544</v>
          </cell>
          <cell r="C66">
            <v>125</v>
          </cell>
          <cell r="D66">
            <v>24.31</v>
          </cell>
          <cell r="E66">
            <v>7247</v>
          </cell>
          <cell r="F66">
            <v>57</v>
          </cell>
          <cell r="G66">
            <v>11.32</v>
          </cell>
          <cell r="H66">
            <v>3088</v>
          </cell>
          <cell r="I66">
            <v>57</v>
          </cell>
          <cell r="J66">
            <v>18.49</v>
          </cell>
          <cell r="K66">
            <v>3110</v>
          </cell>
          <cell r="L66">
            <v>57</v>
          </cell>
          <cell r="M66">
            <v>18.49</v>
          </cell>
        </row>
        <row r="67">
          <cell r="A67" t="str">
            <v>DO-YULQ706-R0-24</v>
          </cell>
          <cell r="B67">
            <v>4230</v>
          </cell>
          <cell r="C67">
            <v>28</v>
          </cell>
          <cell r="D67">
            <v>6.25</v>
          </cell>
          <cell r="E67">
            <v>5110</v>
          </cell>
          <cell r="F67">
            <v>23</v>
          </cell>
          <cell r="G67">
            <v>5.94</v>
          </cell>
          <cell r="H67">
            <v>8207</v>
          </cell>
          <cell r="I67">
            <v>49</v>
          </cell>
          <cell r="J67">
            <v>14.84</v>
          </cell>
          <cell r="K67">
            <v>8246</v>
          </cell>
          <cell r="L67">
            <v>49</v>
          </cell>
          <cell r="M67">
            <v>14.84</v>
          </cell>
        </row>
        <row r="68">
          <cell r="A68" t="str">
            <v>DO-YULQ173-B7-22</v>
          </cell>
          <cell r="B68">
            <v>0</v>
          </cell>
          <cell r="C68">
            <v>0</v>
          </cell>
          <cell r="D68">
            <v>0</v>
          </cell>
          <cell r="E68">
            <v>28447</v>
          </cell>
          <cell r="F68">
            <v>136</v>
          </cell>
          <cell r="G68">
            <v>35.38</v>
          </cell>
          <cell r="H68">
            <v>23998</v>
          </cell>
          <cell r="I68">
            <v>138</v>
          </cell>
          <cell r="J68">
            <v>19.3</v>
          </cell>
          <cell r="K68">
            <v>23998</v>
          </cell>
          <cell r="L68">
            <v>138</v>
          </cell>
          <cell r="M68">
            <v>19.3</v>
          </cell>
        </row>
        <row r="69">
          <cell r="A69" t="str">
            <v>DO-YULQ081-B7-10</v>
          </cell>
          <cell r="B69">
            <v>583</v>
          </cell>
          <cell r="C69">
            <v>12</v>
          </cell>
          <cell r="D69">
            <v>1.86</v>
          </cell>
          <cell r="E69">
            <v>587</v>
          </cell>
          <cell r="F69">
            <v>3</v>
          </cell>
          <cell r="G69">
            <v>0.56</v>
          </cell>
          <cell r="H69">
            <v>31279</v>
          </cell>
          <cell r="I69">
            <v>216</v>
          </cell>
          <cell r="J69">
            <v>34.46</v>
          </cell>
          <cell r="K69">
            <v>31283</v>
          </cell>
          <cell r="L69">
            <v>216</v>
          </cell>
          <cell r="M69">
            <v>34.46</v>
          </cell>
        </row>
        <row r="70">
          <cell r="A70" t="str">
            <v>DO-YULQ081-PI-10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6210</v>
          </cell>
          <cell r="I70">
            <v>29</v>
          </cell>
          <cell r="J70">
            <v>5.28</v>
          </cell>
          <cell r="K70">
            <v>6210</v>
          </cell>
          <cell r="L70">
            <v>29</v>
          </cell>
          <cell r="M70">
            <v>5.28</v>
          </cell>
        </row>
        <row r="71">
          <cell r="A71" t="str">
            <v>DO-YULQ708-W0-24</v>
          </cell>
          <cell r="B71">
            <v>8688</v>
          </cell>
          <cell r="C71">
            <v>42</v>
          </cell>
          <cell r="D71">
            <v>12.21</v>
          </cell>
          <cell r="E71">
            <v>0</v>
          </cell>
          <cell r="F71">
            <v>0</v>
          </cell>
          <cell r="G71">
            <v>0</v>
          </cell>
          <cell r="H71">
            <v>69100</v>
          </cell>
          <cell r="I71">
            <v>281</v>
          </cell>
          <cell r="J71">
            <v>83.43</v>
          </cell>
          <cell r="K71">
            <v>69142</v>
          </cell>
          <cell r="L71">
            <v>281</v>
          </cell>
          <cell r="M71">
            <v>83.43</v>
          </cell>
        </row>
        <row r="72">
          <cell r="A72" t="str">
            <v>DO-YULQ232-W0-10</v>
          </cell>
          <cell r="B72">
            <v>40959</v>
          </cell>
          <cell r="C72">
            <v>217</v>
          </cell>
          <cell r="D72">
            <v>56.91</v>
          </cell>
          <cell r="E72">
            <v>3875</v>
          </cell>
          <cell r="F72">
            <v>31</v>
          </cell>
          <cell r="G72">
            <v>4.59</v>
          </cell>
          <cell r="H72">
            <v>10001</v>
          </cell>
          <cell r="I72">
            <v>110</v>
          </cell>
          <cell r="J72">
            <v>17.3</v>
          </cell>
          <cell r="K72">
            <v>10007</v>
          </cell>
          <cell r="L72">
            <v>110</v>
          </cell>
          <cell r="M72">
            <v>17.3</v>
          </cell>
        </row>
        <row r="73">
          <cell r="A73" t="str">
            <v>DO-YULQ620-NZ-22</v>
          </cell>
          <cell r="B73">
            <v>45918</v>
          </cell>
          <cell r="C73">
            <v>336</v>
          </cell>
          <cell r="D73">
            <v>48.82</v>
          </cell>
          <cell r="E73">
            <v>50323</v>
          </cell>
          <cell r="F73">
            <v>374</v>
          </cell>
          <cell r="G73">
            <v>51.81</v>
          </cell>
          <cell r="H73">
            <v>363544</v>
          </cell>
          <cell r="I73">
            <v>1690</v>
          </cell>
          <cell r="J73">
            <v>268.22</v>
          </cell>
          <cell r="K73">
            <v>363947</v>
          </cell>
          <cell r="L73">
            <v>1693</v>
          </cell>
          <cell r="M73">
            <v>268.6</v>
          </cell>
        </row>
        <row r="74">
          <cell r="A74" t="str">
            <v>DO-YULQ111-PI-22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20780</v>
          </cell>
          <cell r="I74">
            <v>97</v>
          </cell>
          <cell r="J74">
            <v>16.25</v>
          </cell>
          <cell r="K74">
            <v>20780</v>
          </cell>
          <cell r="L74">
            <v>97</v>
          </cell>
          <cell r="M74">
            <v>16.25</v>
          </cell>
        </row>
        <row r="75">
          <cell r="A75" t="str">
            <v>DOLL-005-WO-11</v>
          </cell>
          <cell r="B75">
            <v>3235</v>
          </cell>
          <cell r="C75">
            <v>32</v>
          </cell>
          <cell r="D75">
            <v>4.92</v>
          </cell>
          <cell r="E75">
            <v>2844</v>
          </cell>
          <cell r="F75">
            <v>37</v>
          </cell>
          <cell r="G75">
            <v>5.55</v>
          </cell>
          <cell r="H75">
            <v>26870</v>
          </cell>
          <cell r="I75">
            <v>164</v>
          </cell>
          <cell r="J75">
            <v>29.1</v>
          </cell>
          <cell r="K75">
            <v>26887</v>
          </cell>
          <cell r="L75">
            <v>164</v>
          </cell>
          <cell r="M75">
            <v>29.1</v>
          </cell>
        </row>
        <row r="76">
          <cell r="A76" t="str">
            <v>DO-YULQ150-B7-18</v>
          </cell>
          <cell r="B76">
            <v>11841</v>
          </cell>
          <cell r="C76">
            <v>154</v>
          </cell>
          <cell r="D76">
            <v>23.15</v>
          </cell>
          <cell r="E76">
            <v>11914</v>
          </cell>
          <cell r="F76">
            <v>150</v>
          </cell>
          <cell r="G76">
            <v>25.3</v>
          </cell>
          <cell r="H76">
            <v>26358</v>
          </cell>
          <cell r="I76">
            <v>253</v>
          </cell>
          <cell r="J76">
            <v>47.01</v>
          </cell>
          <cell r="K76">
            <v>26528</v>
          </cell>
          <cell r="L76">
            <v>255</v>
          </cell>
          <cell r="M76">
            <v>47.41</v>
          </cell>
        </row>
        <row r="77">
          <cell r="A77" t="str">
            <v>DO-YULQ008-LGR-16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20198</v>
          </cell>
          <cell r="I77">
            <v>32</v>
          </cell>
          <cell r="J77">
            <v>8.63</v>
          </cell>
          <cell r="K77">
            <v>20198</v>
          </cell>
          <cell r="L77">
            <v>32</v>
          </cell>
          <cell r="M77">
            <v>8.63</v>
          </cell>
        </row>
        <row r="78">
          <cell r="A78" t="str">
            <v>DO-YULQ008-Y0-17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1400</v>
          </cell>
          <cell r="I78">
            <v>4</v>
          </cell>
          <cell r="J78">
            <v>0.76</v>
          </cell>
          <cell r="K78">
            <v>1400</v>
          </cell>
          <cell r="L78">
            <v>4</v>
          </cell>
          <cell r="M78">
            <v>0.76</v>
          </cell>
        </row>
        <row r="79">
          <cell r="A79" t="str">
            <v>DOLLDRESS-003-PI-M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58789</v>
          </cell>
          <cell r="I79">
            <v>186</v>
          </cell>
          <cell r="J79">
            <v>56.72</v>
          </cell>
          <cell r="K79">
            <v>58833</v>
          </cell>
          <cell r="L79">
            <v>186</v>
          </cell>
          <cell r="M79">
            <v>56.72</v>
          </cell>
        </row>
        <row r="80">
          <cell r="A80" t="str">
            <v>DOLLDRESS-003-R2-M</v>
          </cell>
          <cell r="B80">
            <v>1530</v>
          </cell>
          <cell r="C80">
            <v>10</v>
          </cell>
          <cell r="D80">
            <v>1.58</v>
          </cell>
          <cell r="E80">
            <v>7942</v>
          </cell>
          <cell r="F80">
            <v>56</v>
          </cell>
          <cell r="G80">
            <v>8.17</v>
          </cell>
          <cell r="H80">
            <v>10214</v>
          </cell>
          <cell r="I80">
            <v>60</v>
          </cell>
          <cell r="J80">
            <v>17.61</v>
          </cell>
          <cell r="K80">
            <v>10218</v>
          </cell>
          <cell r="L80">
            <v>60</v>
          </cell>
          <cell r="M80">
            <v>17.61</v>
          </cell>
        </row>
        <row r="81">
          <cell r="A81" t="str">
            <v>DOLLDRESS-003-WO-M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28299</v>
          </cell>
          <cell r="I81">
            <v>148</v>
          </cell>
          <cell r="J81">
            <v>44.24</v>
          </cell>
          <cell r="K81">
            <v>28299</v>
          </cell>
          <cell r="L81">
            <v>148</v>
          </cell>
          <cell r="M81">
            <v>44.24</v>
          </cell>
        </row>
        <row r="82">
          <cell r="A82" t="str">
            <v>DO-YULQ605-PI-16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1116</v>
          </cell>
          <cell r="I82">
            <v>15</v>
          </cell>
          <cell r="J82">
            <v>2.45</v>
          </cell>
          <cell r="K82">
            <v>1116</v>
          </cell>
          <cell r="L82">
            <v>15</v>
          </cell>
          <cell r="M82">
            <v>2.45</v>
          </cell>
        </row>
        <row r="83">
          <cell r="A83" t="str">
            <v>DO-YULQ620-PI-22</v>
          </cell>
          <cell r="B83">
            <v>100783</v>
          </cell>
          <cell r="C83">
            <v>580</v>
          </cell>
          <cell r="D83">
            <v>78.33</v>
          </cell>
          <cell r="E83">
            <v>50622</v>
          </cell>
          <cell r="F83">
            <v>320</v>
          </cell>
          <cell r="G83">
            <v>43.21</v>
          </cell>
          <cell r="H83">
            <v>36965</v>
          </cell>
          <cell r="I83">
            <v>297</v>
          </cell>
          <cell r="J83">
            <v>41.19</v>
          </cell>
          <cell r="K83">
            <v>37153</v>
          </cell>
          <cell r="L83">
            <v>298</v>
          </cell>
          <cell r="M83">
            <v>41.36</v>
          </cell>
        </row>
        <row r="84">
          <cell r="A84" t="str">
            <v>DO-YULQ170-SH-22</v>
          </cell>
          <cell r="B84">
            <v>12310</v>
          </cell>
          <cell r="C84">
            <v>26</v>
          </cell>
          <cell r="D84">
            <v>5.73</v>
          </cell>
          <cell r="E84">
            <v>3451</v>
          </cell>
          <cell r="F84">
            <v>25</v>
          </cell>
          <cell r="G84">
            <v>6.15</v>
          </cell>
          <cell r="H84">
            <v>1776</v>
          </cell>
          <cell r="I84">
            <v>8</v>
          </cell>
          <cell r="J84">
            <v>3.09</v>
          </cell>
          <cell r="K84">
            <v>1831</v>
          </cell>
          <cell r="L84">
            <v>8</v>
          </cell>
          <cell r="M84">
            <v>3.09</v>
          </cell>
        </row>
        <row r="85">
          <cell r="A85" t="str">
            <v>DO-YULQ039-R0-22</v>
          </cell>
          <cell r="B85">
            <v>16270</v>
          </cell>
          <cell r="C85">
            <v>72</v>
          </cell>
          <cell r="D85">
            <v>14.98</v>
          </cell>
          <cell r="E85">
            <v>6188</v>
          </cell>
          <cell r="F85">
            <v>43</v>
          </cell>
          <cell r="G85">
            <v>10.27</v>
          </cell>
          <cell r="H85">
            <v>1446</v>
          </cell>
          <cell r="I85">
            <v>15</v>
          </cell>
          <cell r="J85">
            <v>3.4</v>
          </cell>
          <cell r="K85">
            <v>1492</v>
          </cell>
          <cell r="L85">
            <v>15</v>
          </cell>
          <cell r="M85">
            <v>3.4</v>
          </cell>
        </row>
        <row r="86">
          <cell r="A86" t="str">
            <v>DO-YULQ504-PI-22</v>
          </cell>
          <cell r="B86">
            <v>3036</v>
          </cell>
          <cell r="C86">
            <v>38</v>
          </cell>
          <cell r="D86">
            <v>9.1</v>
          </cell>
          <cell r="E86">
            <v>3181</v>
          </cell>
          <cell r="F86">
            <v>22</v>
          </cell>
          <cell r="G86">
            <v>4.6</v>
          </cell>
          <cell r="H86">
            <v>1872</v>
          </cell>
          <cell r="I86">
            <v>6</v>
          </cell>
          <cell r="J86">
            <v>2.25</v>
          </cell>
          <cell r="K86">
            <v>1950</v>
          </cell>
          <cell r="L86">
            <v>6</v>
          </cell>
          <cell r="M86">
            <v>2.25</v>
          </cell>
        </row>
        <row r="87">
          <cell r="A87" t="str">
            <v>DO-YULQ165-B7-16</v>
          </cell>
          <cell r="B87">
            <v>19751</v>
          </cell>
          <cell r="C87">
            <v>183</v>
          </cell>
          <cell r="D87">
            <v>49.98</v>
          </cell>
          <cell r="E87">
            <v>18991</v>
          </cell>
          <cell r="F87">
            <v>159</v>
          </cell>
          <cell r="G87">
            <v>40.41</v>
          </cell>
          <cell r="H87">
            <v>2394</v>
          </cell>
          <cell r="I87">
            <v>31</v>
          </cell>
          <cell r="J87">
            <v>7.94</v>
          </cell>
          <cell r="K87">
            <v>2404</v>
          </cell>
          <cell r="L87">
            <v>32</v>
          </cell>
          <cell r="M87">
            <v>8.23</v>
          </cell>
        </row>
        <row r="88">
          <cell r="A88" t="str">
            <v>DO-YULQ009-PI-16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2118</v>
          </cell>
          <cell r="I88">
            <v>29</v>
          </cell>
          <cell r="J88">
            <v>9.99</v>
          </cell>
          <cell r="K88">
            <v>2132</v>
          </cell>
          <cell r="L88">
            <v>29</v>
          </cell>
          <cell r="M88">
            <v>9.99</v>
          </cell>
        </row>
        <row r="89">
          <cell r="A89" t="str">
            <v>DO-YULQ187-BR-22</v>
          </cell>
          <cell r="B89">
            <v>395</v>
          </cell>
          <cell r="C89">
            <v>0</v>
          </cell>
          <cell r="D89">
            <v>0</v>
          </cell>
          <cell r="E89">
            <v>543</v>
          </cell>
          <cell r="F89">
            <v>0</v>
          </cell>
          <cell r="G89">
            <v>0</v>
          </cell>
          <cell r="H89">
            <v>1788</v>
          </cell>
          <cell r="I89">
            <v>9</v>
          </cell>
          <cell r="J89">
            <v>3.12</v>
          </cell>
          <cell r="K89">
            <v>1851</v>
          </cell>
          <cell r="L89">
            <v>9</v>
          </cell>
          <cell r="M89">
            <v>3.12</v>
          </cell>
        </row>
        <row r="90">
          <cell r="A90" t="str">
            <v>DO-YULQ721-PI-16</v>
          </cell>
          <cell r="B90">
            <v>2464</v>
          </cell>
          <cell r="C90">
            <v>15</v>
          </cell>
          <cell r="D90">
            <v>3.59</v>
          </cell>
          <cell r="E90">
            <v>7291</v>
          </cell>
          <cell r="F90">
            <v>47</v>
          </cell>
          <cell r="G90">
            <v>12.52</v>
          </cell>
          <cell r="H90">
            <v>193</v>
          </cell>
          <cell r="I90">
            <v>1</v>
          </cell>
          <cell r="J90">
            <v>0.74</v>
          </cell>
          <cell r="K90">
            <v>204</v>
          </cell>
          <cell r="L90">
            <v>1</v>
          </cell>
          <cell r="M90">
            <v>0.74</v>
          </cell>
        </row>
        <row r="91">
          <cell r="A91" t="str">
            <v>DO-YULQ719-B7-16</v>
          </cell>
          <cell r="B91">
            <v>3604</v>
          </cell>
          <cell r="C91">
            <v>26</v>
          </cell>
          <cell r="D91">
            <v>7.39</v>
          </cell>
          <cell r="E91">
            <v>3229</v>
          </cell>
          <cell r="F91">
            <v>21</v>
          </cell>
          <cell r="G91">
            <v>5.65</v>
          </cell>
          <cell r="H91">
            <v>173</v>
          </cell>
          <cell r="I91">
            <v>2</v>
          </cell>
          <cell r="J91">
            <v>0.64</v>
          </cell>
          <cell r="K91">
            <v>187</v>
          </cell>
          <cell r="L91">
            <v>2</v>
          </cell>
          <cell r="M91">
            <v>0.64</v>
          </cell>
        </row>
        <row r="92">
          <cell r="A92" t="str">
            <v>DO-YULQ720-W0-16</v>
          </cell>
          <cell r="B92">
            <v>18</v>
          </cell>
          <cell r="C92">
            <v>1</v>
          </cell>
          <cell r="D92">
            <v>0.02</v>
          </cell>
          <cell r="E92">
            <v>14468</v>
          </cell>
          <cell r="F92">
            <v>157</v>
          </cell>
          <cell r="G92">
            <v>42.01</v>
          </cell>
          <cell r="H92">
            <v>262</v>
          </cell>
          <cell r="I92">
            <v>5</v>
          </cell>
          <cell r="J92">
            <v>2.06</v>
          </cell>
          <cell r="K92">
            <v>269</v>
          </cell>
          <cell r="L92">
            <v>5</v>
          </cell>
          <cell r="M92">
            <v>2.06</v>
          </cell>
        </row>
        <row r="93">
          <cell r="A93" t="str">
            <v>DO-YULQ018-P4-16</v>
          </cell>
          <cell r="B93">
            <v>21883</v>
          </cell>
          <cell r="C93">
            <v>131</v>
          </cell>
          <cell r="D93">
            <v>35.71</v>
          </cell>
          <cell r="E93">
            <v>23278</v>
          </cell>
          <cell r="F93">
            <v>152</v>
          </cell>
          <cell r="G93">
            <v>43.73</v>
          </cell>
          <cell r="H93">
            <v>4303</v>
          </cell>
          <cell r="I93">
            <v>13</v>
          </cell>
          <cell r="J93">
            <v>4.69</v>
          </cell>
          <cell r="K93">
            <v>4470</v>
          </cell>
          <cell r="L93">
            <v>13</v>
          </cell>
          <cell r="M93">
            <v>4.69</v>
          </cell>
        </row>
        <row r="94">
          <cell r="A94" t="str">
            <v>DOLL-100-LB-22</v>
          </cell>
          <cell r="B94">
            <v>0</v>
          </cell>
          <cell r="C94">
            <v>0</v>
          </cell>
          <cell r="D94">
            <v>0</v>
          </cell>
          <cell r="E94">
            <v>8956</v>
          </cell>
          <cell r="F94">
            <v>51</v>
          </cell>
          <cell r="G94">
            <v>13.8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DO-YULQ061-W0-22</v>
          </cell>
          <cell r="B95">
            <v>37703</v>
          </cell>
          <cell r="C95">
            <v>439</v>
          </cell>
          <cell r="D95">
            <v>111.65</v>
          </cell>
          <cell r="E95">
            <v>30215</v>
          </cell>
          <cell r="F95">
            <v>498</v>
          </cell>
          <cell r="G95">
            <v>127.59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DO-YULQ042-W0-22</v>
          </cell>
          <cell r="B96">
            <v>4733</v>
          </cell>
          <cell r="C96">
            <v>38</v>
          </cell>
          <cell r="D96">
            <v>10.75</v>
          </cell>
          <cell r="E96">
            <v>4498</v>
          </cell>
          <cell r="F96">
            <v>41</v>
          </cell>
          <cell r="G96">
            <v>10.61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DO-YULQ812-W0-18</v>
          </cell>
          <cell r="B97">
            <v>8857</v>
          </cell>
          <cell r="C97">
            <v>47</v>
          </cell>
          <cell r="D97">
            <v>14.26</v>
          </cell>
          <cell r="E97">
            <v>38669</v>
          </cell>
          <cell r="F97">
            <v>182</v>
          </cell>
          <cell r="G97">
            <v>47.37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DO-YULQ005-W0-11</v>
          </cell>
          <cell r="B98">
            <v>904</v>
          </cell>
          <cell r="C98">
            <v>6</v>
          </cell>
          <cell r="D98">
            <v>0.88</v>
          </cell>
          <cell r="E98">
            <v>767</v>
          </cell>
          <cell r="F98">
            <v>8</v>
          </cell>
          <cell r="G98">
            <v>1.05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DOLL-0601-PI-22</v>
          </cell>
          <cell r="B99">
            <v>28859</v>
          </cell>
          <cell r="C99">
            <v>140</v>
          </cell>
          <cell r="D99">
            <v>35.8</v>
          </cell>
          <cell r="E99">
            <v>22782</v>
          </cell>
          <cell r="F99">
            <v>82</v>
          </cell>
          <cell r="G99">
            <v>19.42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</row>
        <row r="100">
          <cell r="A100" t="str">
            <v>DO-YULQ507-PI-24</v>
          </cell>
          <cell r="B100">
            <v>1934</v>
          </cell>
          <cell r="C100">
            <v>13</v>
          </cell>
          <cell r="D100">
            <v>4.68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</row>
        <row r="101">
          <cell r="A101" t="str">
            <v>DO-YULQ159-R2-22</v>
          </cell>
          <cell r="B101">
            <v>23610</v>
          </cell>
          <cell r="C101">
            <v>108</v>
          </cell>
          <cell r="D101">
            <v>40.52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DO-YULQ004-B7-11</v>
          </cell>
          <cell r="B102">
            <v>27</v>
          </cell>
          <cell r="C102">
            <v>1</v>
          </cell>
          <cell r="D102">
            <v>0.06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DO-YULQ192-G0-22</v>
          </cell>
          <cell r="B103">
            <v>1943</v>
          </cell>
          <cell r="C103">
            <v>27</v>
          </cell>
          <cell r="D103">
            <v>6.81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DO-YULQ190-B7-22</v>
          </cell>
          <cell r="B104">
            <v>1539</v>
          </cell>
          <cell r="C104">
            <v>17</v>
          </cell>
          <cell r="D104">
            <v>4.56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DO-YULQ191-E0-22</v>
          </cell>
          <cell r="B105">
            <v>992</v>
          </cell>
          <cell r="C105">
            <v>7</v>
          </cell>
          <cell r="D105">
            <v>1.92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子SKU"/>
    </sheetNames>
    <sheetDataSet>
      <sheetData sheetId="0">
        <row r="1">
          <cell r="A1" t="str">
            <v>SKU</v>
          </cell>
          <cell r="B1" t="str">
            <v>父sku</v>
          </cell>
        </row>
        <row r="2">
          <cell r="A2" t="str">
            <v>BB-FLQ57-PI-32</v>
          </cell>
          <cell r="B2" t="str">
            <v>BB-FLQ57</v>
          </cell>
        </row>
        <row r="3">
          <cell r="A3" t="str">
            <v>BD-YUSB160-PI-1</v>
          </cell>
          <cell r="B3" t="str">
            <v>BD-YUSB160</v>
          </cell>
        </row>
        <row r="4">
          <cell r="A4" t="str">
            <v>CJ-FLQ56-PI-6</v>
          </cell>
          <cell r="B4" t="str">
            <v>CJ-FLQ56</v>
          </cell>
        </row>
        <row r="5">
          <cell r="A5" t="str">
            <v>DOLL-001-PI-22</v>
          </cell>
          <cell r="B5" t="str">
            <v>DOLL-001</v>
          </cell>
        </row>
        <row r="6">
          <cell r="A6" t="str">
            <v>DOLL-002-PI-22</v>
          </cell>
          <cell r="B6" t="str">
            <v>DOLL-002</v>
          </cell>
        </row>
        <row r="7">
          <cell r="A7" t="str">
            <v>DOLL-004-LB-10</v>
          </cell>
          <cell r="B7" t="str">
            <v>DOLL-004</v>
          </cell>
        </row>
        <row r="8">
          <cell r="A8" t="str">
            <v>DOLL-004-LB-11</v>
          </cell>
          <cell r="B8" t="str">
            <v>DOLL-004</v>
          </cell>
        </row>
        <row r="9">
          <cell r="A9" t="str">
            <v>DOLL-004-PI-10</v>
          </cell>
          <cell r="B9" t="str">
            <v>DOLL-004</v>
          </cell>
        </row>
        <row r="10">
          <cell r="A10" t="str">
            <v>DOLL-004-PI-11</v>
          </cell>
          <cell r="B10" t="str">
            <v>DOLL-004</v>
          </cell>
        </row>
        <row r="11">
          <cell r="A11" t="str">
            <v>DOLL-005-WO-11</v>
          </cell>
          <cell r="B11" t="str">
            <v>DOLL-005</v>
          </cell>
        </row>
        <row r="12">
          <cell r="A12" t="str">
            <v>DOLL-006-B7-10</v>
          </cell>
          <cell r="B12" t="str">
            <v>DOLL-006</v>
          </cell>
        </row>
        <row r="13">
          <cell r="A13" t="str">
            <v>DOLL-006-LB-10</v>
          </cell>
          <cell r="B13" t="str">
            <v>DOLL-006</v>
          </cell>
        </row>
        <row r="14">
          <cell r="A14" t="str">
            <v>DOLL-006-LB-11</v>
          </cell>
          <cell r="B14" t="str">
            <v>DOLL-006</v>
          </cell>
        </row>
        <row r="15">
          <cell r="A15" t="str">
            <v>DOLL-006-PI-10</v>
          </cell>
          <cell r="B15" t="str">
            <v>DOLL-006</v>
          </cell>
        </row>
        <row r="16">
          <cell r="A16" t="str">
            <v>DOLL-006-PI-11</v>
          </cell>
          <cell r="B16" t="str">
            <v>DOLL-006</v>
          </cell>
        </row>
        <row r="17">
          <cell r="A17" t="str">
            <v>DOLL-007-NO-17</v>
          </cell>
          <cell r="B17" t="str">
            <v>DOLL-007</v>
          </cell>
        </row>
        <row r="18">
          <cell r="A18" t="str">
            <v>DOLL-007XM-WO-17</v>
          </cell>
          <cell r="B18" t="str">
            <v>DOLL-007</v>
          </cell>
        </row>
        <row r="19">
          <cell r="A19" t="str">
            <v>DOLL-008-W0-22</v>
          </cell>
          <cell r="B19" t="str">
            <v>DOLL-008</v>
          </cell>
        </row>
        <row r="20">
          <cell r="A20" t="str">
            <v>DOLL-008-WO-22</v>
          </cell>
          <cell r="B20" t="str">
            <v>DOLL-008</v>
          </cell>
        </row>
        <row r="21">
          <cell r="A21" t="str">
            <v>DOLL-009-PI-22</v>
          </cell>
          <cell r="B21" t="str">
            <v>DOLL-009</v>
          </cell>
        </row>
        <row r="22">
          <cell r="A22" t="str">
            <v>DOLL-010-PI-22</v>
          </cell>
          <cell r="B22" t="str">
            <v>DOLL-010</v>
          </cell>
        </row>
        <row r="23">
          <cell r="A23" t="str">
            <v>DOLL-020-PI-22</v>
          </cell>
          <cell r="B23" t="str">
            <v>DOLL-020</v>
          </cell>
        </row>
        <row r="24">
          <cell r="A24" t="str">
            <v>DOLL-0601-PI-22</v>
          </cell>
          <cell r="B24" t="str">
            <v>DOLL-0601</v>
          </cell>
        </row>
        <row r="25">
          <cell r="A25" t="str">
            <v>DOLL-0602-NZ-22</v>
          </cell>
          <cell r="B25" t="str">
            <v>DOLL-0602</v>
          </cell>
        </row>
        <row r="26">
          <cell r="A26" t="str">
            <v>DOLL-0603-01R-22</v>
          </cell>
          <cell r="B26" t="str">
            <v>DOLL-0603</v>
          </cell>
        </row>
        <row r="27">
          <cell r="A27" t="str">
            <v>DOLL-0603-02R-22</v>
          </cell>
          <cell r="B27" t="str">
            <v>DOLL-0603</v>
          </cell>
        </row>
        <row r="28">
          <cell r="A28" t="str">
            <v>DOLL-0603-NZ-22</v>
          </cell>
          <cell r="B28" t="str">
            <v>DOLL-0603</v>
          </cell>
        </row>
        <row r="29">
          <cell r="A29" t="str">
            <v>DOLL-0603-PI-22</v>
          </cell>
          <cell r="B29" t="str">
            <v>DOLL-0603</v>
          </cell>
        </row>
        <row r="30">
          <cell r="A30" t="str">
            <v>DOLL-0605-PI-22</v>
          </cell>
          <cell r="B30" t="str">
            <v>DOLL-0605</v>
          </cell>
        </row>
        <row r="31">
          <cell r="A31" t="str">
            <v>DOLL-0630-PI-22</v>
          </cell>
          <cell r="B31" t="str">
            <v>DOLL-0630</v>
          </cell>
        </row>
        <row r="32">
          <cell r="A32" t="str">
            <v>DOLL-100-LB-22</v>
          </cell>
          <cell r="B32" t="str">
            <v>DOLL-100</v>
          </cell>
        </row>
        <row r="33">
          <cell r="A33" t="str">
            <v>DOLL-1105-PI-22</v>
          </cell>
          <cell r="B33" t="str">
            <v>DOLL-1105</v>
          </cell>
        </row>
        <row r="34">
          <cell r="A34" t="str">
            <v>DOLL-1523-B7-22</v>
          </cell>
          <cell r="B34" t="str">
            <v>DOLL-1523</v>
          </cell>
        </row>
        <row r="35">
          <cell r="A35" t="str">
            <v>DOLL-1523-BO-22</v>
          </cell>
          <cell r="B35" t="str">
            <v>DOLL-1523</v>
          </cell>
        </row>
        <row r="36">
          <cell r="A36" t="str">
            <v>DOLL-1613-LB-11</v>
          </cell>
          <cell r="B36" t="str">
            <v>DOLL-1613</v>
          </cell>
        </row>
        <row r="37">
          <cell r="A37" t="str">
            <v>DOLL-1613-LB-22</v>
          </cell>
          <cell r="B37" t="str">
            <v>DOLL-1613</v>
          </cell>
        </row>
        <row r="38">
          <cell r="A38" t="str">
            <v>DOLL-1613-PI-11</v>
          </cell>
          <cell r="B38" t="str">
            <v>DOLL-1613</v>
          </cell>
        </row>
        <row r="39">
          <cell r="A39" t="str">
            <v>DOLL-1613-PI-22</v>
          </cell>
          <cell r="B39" t="str">
            <v>DOLL-1613</v>
          </cell>
        </row>
        <row r="40">
          <cell r="A40" t="str">
            <v>DOLL-1630-01R-22</v>
          </cell>
          <cell r="B40" t="str">
            <v>DOLL-1630</v>
          </cell>
        </row>
        <row r="41">
          <cell r="A41" t="str">
            <v>DOLL-1630-R0-22</v>
          </cell>
          <cell r="B41" t="str">
            <v>DOLL-1630</v>
          </cell>
        </row>
        <row r="42">
          <cell r="A42" t="str">
            <v>DOLL-1631-R0-22</v>
          </cell>
          <cell r="B42" t="str">
            <v>DOLL-1631</v>
          </cell>
        </row>
        <row r="43">
          <cell r="A43" t="str">
            <v>DOLL-6089-B0-22</v>
          </cell>
          <cell r="B43" t="str">
            <v>DOLL-6089</v>
          </cell>
        </row>
        <row r="44">
          <cell r="A44" t="str">
            <v>DOLL-6089-BO-22</v>
          </cell>
          <cell r="B44" t="str">
            <v>DOLL-6089</v>
          </cell>
        </row>
        <row r="45">
          <cell r="A45" t="str">
            <v>DOLL-7056-0R-11</v>
          </cell>
          <cell r="B45" t="str">
            <v>DOLL-7056</v>
          </cell>
        </row>
        <row r="46">
          <cell r="A46" t="str">
            <v>DOLL-7056-BR-11</v>
          </cell>
          <cell r="B46" t="str">
            <v>DOLL-7056</v>
          </cell>
        </row>
        <row r="47">
          <cell r="A47" t="str">
            <v>DOLL-7056B-YO-11</v>
          </cell>
          <cell r="B47" t="str">
            <v>DOLL-7056</v>
          </cell>
        </row>
        <row r="48">
          <cell r="A48" t="str">
            <v>DOLL-7056-GR-11</v>
          </cell>
          <cell r="B48" t="str">
            <v>DOLL-7056</v>
          </cell>
        </row>
        <row r="49">
          <cell r="A49" t="str">
            <v>DOLL-7056G-YO-11</v>
          </cell>
          <cell r="B49" t="str">
            <v>DOLL-7056</v>
          </cell>
        </row>
        <row r="50">
          <cell r="A50" t="str">
            <v>DOLL-7056-LGR-11</v>
          </cell>
          <cell r="B50" t="str">
            <v>DOLL-7056</v>
          </cell>
        </row>
        <row r="51">
          <cell r="A51" t="str">
            <v>DOLL-7056-YO-11</v>
          </cell>
          <cell r="B51" t="str">
            <v>DOLL-7056</v>
          </cell>
        </row>
        <row r="52">
          <cell r="A52" t="str">
            <v>DOLL-9042-01R-22</v>
          </cell>
          <cell r="B52" t="str">
            <v>DOLL-9042</v>
          </cell>
        </row>
        <row r="53">
          <cell r="A53" t="str">
            <v>DOLL-9042-B0-22</v>
          </cell>
          <cell r="B53" t="str">
            <v>DOLL-9042</v>
          </cell>
        </row>
        <row r="54">
          <cell r="A54" t="str">
            <v>DOLL-AD010-02F-22</v>
          </cell>
          <cell r="B54" t="str">
            <v>DOLL-AD010</v>
          </cell>
        </row>
        <row r="55">
          <cell r="A55" t="str">
            <v>DOLL-AD010-03R-22</v>
          </cell>
          <cell r="B55" t="str">
            <v>DOLL-AD010</v>
          </cell>
        </row>
        <row r="56">
          <cell r="A56" t="str">
            <v>DOLL-AD010-PI-22</v>
          </cell>
          <cell r="B56" t="str">
            <v>DOLL-AD010</v>
          </cell>
        </row>
        <row r="57">
          <cell r="A57" t="str">
            <v>DOLL-AD010-W0-22</v>
          </cell>
          <cell r="B57" t="str">
            <v>DOLL-AD010</v>
          </cell>
        </row>
        <row r="58">
          <cell r="A58" t="str">
            <v>DOLL-AD011-PI-22</v>
          </cell>
          <cell r="B58" t="str">
            <v>DOLL-AD011</v>
          </cell>
        </row>
        <row r="59">
          <cell r="A59" t="str">
            <v>DOLLDRESS-003-PI-20</v>
          </cell>
          <cell r="B59" t="str">
            <v>DOLLDRESS-003</v>
          </cell>
        </row>
        <row r="60">
          <cell r="A60" t="str">
            <v>DOLLDRESS-003-PI-M</v>
          </cell>
          <cell r="B60" t="str">
            <v>DOLLDRESS-003</v>
          </cell>
        </row>
        <row r="61">
          <cell r="A61" t="str">
            <v>DOLLDRESS-003-R2-20</v>
          </cell>
          <cell r="B61" t="str">
            <v>DOLLDRESS-003</v>
          </cell>
        </row>
        <row r="62">
          <cell r="A62" t="str">
            <v>DOLLDRESS-003-R2-M</v>
          </cell>
          <cell r="B62" t="str">
            <v>DOLLDRESS-003</v>
          </cell>
        </row>
        <row r="63">
          <cell r="A63" t="str">
            <v>DOLLDRESS-003-WO-20</v>
          </cell>
          <cell r="B63" t="str">
            <v>DOLLDRESS-003</v>
          </cell>
        </row>
        <row r="64">
          <cell r="A64" t="str">
            <v>DOLLDRESS-003-WO-M</v>
          </cell>
          <cell r="B64" t="str">
            <v>DOLLDRESS-003</v>
          </cell>
        </row>
        <row r="65">
          <cell r="A65" t="str">
            <v>DOLLDRESS-007-PI-20</v>
          </cell>
          <cell r="B65" t="str">
            <v>DOLLDRESS-007</v>
          </cell>
        </row>
        <row r="66">
          <cell r="A66" t="str">
            <v>DOLLDRESS-1009-RO-20</v>
          </cell>
          <cell r="B66" t="str">
            <v>DOLLDRESS-1009</v>
          </cell>
        </row>
        <row r="67">
          <cell r="A67" t="str">
            <v>DOLLDRESS-1612-GO-23</v>
          </cell>
          <cell r="B67" t="str">
            <v>DOLLDRESS-1612</v>
          </cell>
        </row>
        <row r="68">
          <cell r="A68" t="str">
            <v>DOLLDRESS-2304-WO-20</v>
          </cell>
          <cell r="B68" t="str">
            <v>DOLLDRESS-2304</v>
          </cell>
        </row>
        <row r="69">
          <cell r="A69" t="str">
            <v>DOLL-DS001-LB-22</v>
          </cell>
          <cell r="B69" t="str">
            <v>DOLL-DS001</v>
          </cell>
        </row>
        <row r="70">
          <cell r="A70" t="str">
            <v>DOLLSHOES-AS08-RO-6.5</v>
          </cell>
          <cell r="B70" t="str">
            <v>DOLLSHOES-AS08</v>
          </cell>
        </row>
        <row r="71">
          <cell r="A71" t="str">
            <v>DOLLSHOES-AS11-PI-6.5</v>
          </cell>
          <cell r="B71" t="str">
            <v>DOLLSHOES-AS11</v>
          </cell>
        </row>
        <row r="72">
          <cell r="A72" t="str">
            <v>DOLL-YULQ602-PI-22</v>
          </cell>
          <cell r="B72" t="str">
            <v>DOLL-YULQ602</v>
          </cell>
        </row>
        <row r="73">
          <cell r="A73" t="str">
            <v>DO-YCLQ001-PI-22</v>
          </cell>
          <cell r="B73" t="str">
            <v>DO-YCLQ001</v>
          </cell>
        </row>
        <row r="74">
          <cell r="A74" t="str">
            <v>DO-YCLQ005-PI-22</v>
          </cell>
          <cell r="B74" t="str">
            <v>DO-YCLQ005</v>
          </cell>
        </row>
        <row r="75">
          <cell r="A75" t="str">
            <v>DO-YCLQ007-R0-24</v>
          </cell>
          <cell r="B75" t="str">
            <v>DO-YCLQ007</v>
          </cell>
        </row>
        <row r="76">
          <cell r="A76" t="str">
            <v>DO-YCLQ008-PI-24</v>
          </cell>
          <cell r="B76" t="str">
            <v>DO-YCLQ008</v>
          </cell>
        </row>
        <row r="77">
          <cell r="A77" t="str">
            <v>DO-YCLQ009-W0-24</v>
          </cell>
          <cell r="B77" t="str">
            <v>DO-YCLQ009</v>
          </cell>
        </row>
        <row r="78">
          <cell r="A78" t="str">
            <v>DO-YCLQ010-W0-24</v>
          </cell>
          <cell r="B78" t="str">
            <v>DO-YCLQ010</v>
          </cell>
        </row>
        <row r="79">
          <cell r="A79" t="str">
            <v>DO-YCLQ011-B0-24</v>
          </cell>
          <cell r="B79" t="str">
            <v>DO-YCLQ011</v>
          </cell>
        </row>
        <row r="80">
          <cell r="A80" t="str">
            <v>DO-YCLQ012-PI-16</v>
          </cell>
          <cell r="B80" t="str">
            <v>DO-YCLQ012</v>
          </cell>
        </row>
        <row r="81">
          <cell r="A81" t="str">
            <v>DO-YCLQ013-W0-16</v>
          </cell>
          <cell r="B81" t="str">
            <v>DO-YCLQ013</v>
          </cell>
        </row>
        <row r="82">
          <cell r="A82" t="str">
            <v>DO-YCLQ014-PI-22</v>
          </cell>
          <cell r="B82" t="str">
            <v>DO-YCLQ014</v>
          </cell>
        </row>
        <row r="83">
          <cell r="A83" t="str">
            <v>DO-YCLQ015-W0-22</v>
          </cell>
          <cell r="B83" t="str">
            <v>DO-YCLQ015</v>
          </cell>
        </row>
        <row r="84">
          <cell r="A84" t="str">
            <v>DO-YCLQ016-NZ-22</v>
          </cell>
          <cell r="B84" t="str">
            <v>DO-YCLQ016</v>
          </cell>
        </row>
        <row r="85">
          <cell r="A85" t="str">
            <v>DO-YCLQ017-PI-22</v>
          </cell>
          <cell r="B85" t="str">
            <v>DO-YCLQ017</v>
          </cell>
        </row>
        <row r="86">
          <cell r="A86" t="str">
            <v>DO-YCLQ018-PI-22</v>
          </cell>
          <cell r="B86" t="str">
            <v>DO-YCLQ018</v>
          </cell>
        </row>
        <row r="87">
          <cell r="A87" t="str">
            <v>DO-YCLQ019-R0-22</v>
          </cell>
          <cell r="B87" t="str">
            <v>DO-YCLQ019</v>
          </cell>
        </row>
        <row r="88">
          <cell r="A88" t="str">
            <v>DO-YCLQ020-B7-22</v>
          </cell>
          <cell r="B88" t="str">
            <v>DO-YCLQ020</v>
          </cell>
        </row>
        <row r="89">
          <cell r="A89" t="str">
            <v>DO-YULQ001-PI-15</v>
          </cell>
          <cell r="B89" t="str">
            <v>DO-YULQ001</v>
          </cell>
        </row>
        <row r="90">
          <cell r="A90" t="str">
            <v>DO-YULQ001-PI-22</v>
          </cell>
          <cell r="B90" t="str">
            <v>DO-YULQ001</v>
          </cell>
        </row>
        <row r="91">
          <cell r="A91" t="str">
            <v>DO-YULQ002-PI-22</v>
          </cell>
          <cell r="B91" t="str">
            <v>DO-YULQ002</v>
          </cell>
        </row>
        <row r="92">
          <cell r="A92" t="str">
            <v>DO-YULQ004-B7-10</v>
          </cell>
          <cell r="B92" t="str">
            <v>DO-YULQ004</v>
          </cell>
        </row>
        <row r="93">
          <cell r="A93" t="str">
            <v>DO-YULQ004-B7-11</v>
          </cell>
          <cell r="B93" t="str">
            <v>DO-YULQ004</v>
          </cell>
        </row>
        <row r="94">
          <cell r="A94" t="str">
            <v>DO-YULQ004-PI-10</v>
          </cell>
          <cell r="B94" t="str">
            <v>DO-YULQ004</v>
          </cell>
        </row>
        <row r="95">
          <cell r="A95" t="str">
            <v>DO-YULQ004-PI-11</v>
          </cell>
          <cell r="B95" t="str">
            <v>DO-YULQ004</v>
          </cell>
        </row>
        <row r="96">
          <cell r="A96" t="str">
            <v>DO-YULQ005-PI-22</v>
          </cell>
          <cell r="B96" t="str">
            <v>DO-YULQ005</v>
          </cell>
        </row>
        <row r="97">
          <cell r="A97" t="str">
            <v>DO-YULQ005-W0-10</v>
          </cell>
          <cell r="B97" t="str">
            <v>DO-YULQ005</v>
          </cell>
        </row>
        <row r="98">
          <cell r="A98" t="str">
            <v>DO-YULQ005-W0-11</v>
          </cell>
          <cell r="B98" t="str">
            <v>DO-YULQ005</v>
          </cell>
        </row>
        <row r="99">
          <cell r="A99" t="str">
            <v>DO-YULQ006-B7-10</v>
          </cell>
          <cell r="B99" t="str">
            <v>DO-YULQ006</v>
          </cell>
        </row>
        <row r="100">
          <cell r="A100" t="str">
            <v>DO-YULQ006-B7-11</v>
          </cell>
          <cell r="B100" t="str">
            <v>DO-YULQ006</v>
          </cell>
        </row>
        <row r="101">
          <cell r="A101" t="str">
            <v>DO-YULQ006-PI-10</v>
          </cell>
          <cell r="B101" t="str">
            <v>DO-YULQ006</v>
          </cell>
        </row>
        <row r="102">
          <cell r="A102" t="str">
            <v>DO-YULQ006-PI-11</v>
          </cell>
          <cell r="B102" t="str">
            <v>DO-YULQ006</v>
          </cell>
        </row>
        <row r="103">
          <cell r="A103" t="str">
            <v>DO-YULQ007-LGR-16</v>
          </cell>
          <cell r="B103" t="str">
            <v>DO-YULQ007</v>
          </cell>
        </row>
        <row r="104">
          <cell r="A104" t="str">
            <v>DO-YULQ007-R0-24</v>
          </cell>
          <cell r="B104" t="str">
            <v>DO-YULQ007</v>
          </cell>
        </row>
        <row r="105">
          <cell r="A105" t="str">
            <v>DO-YULQ007-Y0-17</v>
          </cell>
          <cell r="B105" t="str">
            <v>DO-YULQ007</v>
          </cell>
        </row>
        <row r="106">
          <cell r="A106" t="str">
            <v>DO-YULQ008-LGR-16</v>
          </cell>
          <cell r="B106" t="str">
            <v>DO-YULQ008</v>
          </cell>
        </row>
        <row r="107">
          <cell r="A107" t="str">
            <v>DO-YULQ008-PI-24</v>
          </cell>
          <cell r="B107" t="str">
            <v>DO-YULQ008</v>
          </cell>
        </row>
        <row r="108">
          <cell r="A108" t="str">
            <v>DO-YULQ008-Y0-17</v>
          </cell>
          <cell r="B108" t="str">
            <v>DO-YULQ008</v>
          </cell>
        </row>
        <row r="109">
          <cell r="A109" t="str">
            <v>DO-YULQ009-PI-16</v>
          </cell>
          <cell r="B109" t="str">
            <v>DO-YULQ009</v>
          </cell>
        </row>
        <row r="110">
          <cell r="A110" t="str">
            <v>DO-YULQ009-W0-24</v>
          </cell>
          <cell r="B110" t="str">
            <v>DO-YULQ009</v>
          </cell>
        </row>
        <row r="111">
          <cell r="A111" t="str">
            <v>DO-YULQ010-NZ-22</v>
          </cell>
          <cell r="B111" t="str">
            <v>DO-YULQ010</v>
          </cell>
        </row>
        <row r="112">
          <cell r="A112" t="str">
            <v>DO-YULQ010-P0-22</v>
          </cell>
          <cell r="B112" t="str">
            <v>DO-YULQ010</v>
          </cell>
        </row>
        <row r="113">
          <cell r="A113" t="str">
            <v>DO-YULQ010-PI-15</v>
          </cell>
          <cell r="B113" t="str">
            <v>DO-YULQ010</v>
          </cell>
        </row>
        <row r="114">
          <cell r="A114" t="str">
            <v>DO-YULQ010-PI-22</v>
          </cell>
          <cell r="B114" t="str">
            <v>DO-YULQ010</v>
          </cell>
        </row>
        <row r="115">
          <cell r="A115" t="str">
            <v>DO-YULQ010-R2-22</v>
          </cell>
          <cell r="B115" t="str">
            <v>DO-YULQ010</v>
          </cell>
        </row>
        <row r="116">
          <cell r="A116" t="str">
            <v>DO-YULQ010-W0-24</v>
          </cell>
          <cell r="B116" t="str">
            <v>DO-YULQ010</v>
          </cell>
        </row>
        <row r="117">
          <cell r="A117" t="str">
            <v>DO-YULQ011-B0-24</v>
          </cell>
          <cell r="B117" t="str">
            <v>DO-YULQ011</v>
          </cell>
        </row>
        <row r="118">
          <cell r="A118" t="str">
            <v>DO-YULQ011-NZ-22</v>
          </cell>
          <cell r="B118" t="str">
            <v>DO-YULQ011</v>
          </cell>
        </row>
        <row r="119">
          <cell r="A119" t="str">
            <v>DO-YULQ012-PI-22</v>
          </cell>
          <cell r="B119" t="str">
            <v>DO-YULQ012</v>
          </cell>
        </row>
        <row r="120">
          <cell r="A120" t="str">
            <v>DO-YULQ017-B0-18</v>
          </cell>
          <cell r="B120" t="str">
            <v>DO-YULQ017</v>
          </cell>
        </row>
        <row r="121">
          <cell r="A121" t="str">
            <v>DO-YULQ017-P4-16</v>
          </cell>
          <cell r="B121" t="str">
            <v>DO-YULQ017</v>
          </cell>
        </row>
        <row r="122">
          <cell r="A122" t="str">
            <v>DO-YULQ018-B0-18</v>
          </cell>
          <cell r="B122" t="str">
            <v>DO-YULQ018</v>
          </cell>
        </row>
        <row r="123">
          <cell r="A123" t="str">
            <v>DO-YULQ018-P4-16</v>
          </cell>
          <cell r="B123" t="str">
            <v>DO-YULQ018</v>
          </cell>
        </row>
        <row r="124">
          <cell r="A124" t="str">
            <v>DO-YULQ021-PI-22</v>
          </cell>
          <cell r="B124" t="str">
            <v>DO-YULQ021</v>
          </cell>
        </row>
        <row r="125">
          <cell r="A125" t="str">
            <v>DO-YULQ021-W0-22</v>
          </cell>
          <cell r="B125" t="str">
            <v>DO-YULQ021</v>
          </cell>
        </row>
        <row r="126">
          <cell r="A126" t="str">
            <v>DO-YULQ039-R0-22</v>
          </cell>
          <cell r="B126" t="str">
            <v>DO-YULQ039</v>
          </cell>
        </row>
        <row r="127">
          <cell r="A127" t="str">
            <v>DO-YULQ042-W0-22</v>
          </cell>
          <cell r="B127" t="str">
            <v>DO-YULQ042</v>
          </cell>
        </row>
        <row r="128">
          <cell r="A128" t="str">
            <v>DO-YULQ057-BR-10</v>
          </cell>
          <cell r="B128" t="str">
            <v>DO-YULQ057</v>
          </cell>
        </row>
        <row r="129">
          <cell r="A129" t="str">
            <v>DO-YULQ057-SH-10</v>
          </cell>
          <cell r="B129" t="str">
            <v>DO-YULQ057</v>
          </cell>
        </row>
        <row r="130">
          <cell r="A130" t="str">
            <v>DO-YULQ058-BR-10</v>
          </cell>
          <cell r="B130" t="str">
            <v>DO-YULQ058</v>
          </cell>
        </row>
        <row r="131">
          <cell r="A131" t="str">
            <v>DO-YULQ058-SH-10</v>
          </cell>
          <cell r="B131" t="str">
            <v>DO-YULQ058</v>
          </cell>
        </row>
        <row r="132">
          <cell r="A132" t="str">
            <v>DO-YULQ060-LGR-22</v>
          </cell>
          <cell r="B132" t="str">
            <v>DO-YULQ060</v>
          </cell>
        </row>
        <row r="133">
          <cell r="A133" t="str">
            <v>DO-YULQ061-LGR-22</v>
          </cell>
          <cell r="B133" t="str">
            <v>DO-YULQ061</v>
          </cell>
        </row>
        <row r="134">
          <cell r="A134" t="str">
            <v>DO-YULQ061-W0-22</v>
          </cell>
          <cell r="B134" t="str">
            <v>DO-YULQ061</v>
          </cell>
        </row>
        <row r="135">
          <cell r="A135" t="str">
            <v>DO-YULQ062-PI-22</v>
          </cell>
          <cell r="B135" t="str">
            <v>DO-YULQ062</v>
          </cell>
        </row>
        <row r="136">
          <cell r="A136" t="str">
            <v>DO-YULQ063-PI-22</v>
          </cell>
          <cell r="B136" t="str">
            <v>DO-YULQ063</v>
          </cell>
        </row>
        <row r="137">
          <cell r="A137" t="str">
            <v>DO-YULQ064-X0-22</v>
          </cell>
          <cell r="B137" t="str">
            <v>DO-YULQ064</v>
          </cell>
        </row>
        <row r="138">
          <cell r="A138" t="str">
            <v>DO-YULQ070-PI-16</v>
          </cell>
          <cell r="B138" t="str">
            <v>DO-YULQ070</v>
          </cell>
        </row>
        <row r="139">
          <cell r="A139" t="str">
            <v>DO-YULQ071-B7-16</v>
          </cell>
          <cell r="B139" t="str">
            <v>DO-YULQ071</v>
          </cell>
        </row>
        <row r="140">
          <cell r="A140" t="str">
            <v>DO-YULQ071-PI-16</v>
          </cell>
          <cell r="B140" t="str">
            <v>DO-YULQ071</v>
          </cell>
        </row>
        <row r="141">
          <cell r="A141" t="str">
            <v>DO-YULQ072-LGR-22</v>
          </cell>
          <cell r="B141" t="str">
            <v>DO-YULQ072</v>
          </cell>
        </row>
        <row r="142">
          <cell r="A142" t="str">
            <v>DO-YULQ073-LGR-22</v>
          </cell>
          <cell r="B142" t="str">
            <v>DO-YULQ073</v>
          </cell>
        </row>
        <row r="143">
          <cell r="A143" t="str">
            <v>DO-YULQ080-B7-10</v>
          </cell>
          <cell r="B143" t="str">
            <v>DO-YULQ080</v>
          </cell>
        </row>
        <row r="144">
          <cell r="A144" t="str">
            <v>DO-YULQ080-PI-10</v>
          </cell>
          <cell r="B144" t="str">
            <v>DO-YULQ080</v>
          </cell>
        </row>
        <row r="145">
          <cell r="A145" t="str">
            <v>DO-YULQ081-B7-10</v>
          </cell>
          <cell r="B145" t="str">
            <v>DO-YULQ081</v>
          </cell>
        </row>
        <row r="146">
          <cell r="A146" t="str">
            <v>DO-YULQ081-PI-10</v>
          </cell>
          <cell r="B146" t="str">
            <v>DO-YULQ081</v>
          </cell>
        </row>
        <row r="147">
          <cell r="A147" t="str">
            <v>DO-YULQ100-B7-22</v>
          </cell>
          <cell r="B147" t="str">
            <v>DO-YULQ100</v>
          </cell>
        </row>
        <row r="148">
          <cell r="A148" t="str">
            <v>DO-YULQ100-G0-10</v>
          </cell>
          <cell r="B148" t="str">
            <v>DO-YULQ100</v>
          </cell>
        </row>
        <row r="149">
          <cell r="A149" t="str">
            <v>DO-YULQ100-R0-10</v>
          </cell>
          <cell r="B149" t="str">
            <v>DO-YULQ100</v>
          </cell>
        </row>
        <row r="150">
          <cell r="A150" t="str">
            <v>DO-YULQ101-PI-22</v>
          </cell>
          <cell r="B150" t="str">
            <v>DO-YULQ101</v>
          </cell>
        </row>
        <row r="151">
          <cell r="A151" t="str">
            <v>DO-YULQ105-PI-22</v>
          </cell>
          <cell r="B151" t="str">
            <v>DO-YULQ105</v>
          </cell>
        </row>
        <row r="152">
          <cell r="A152" t="str">
            <v>DO-YULQ105-R2-22</v>
          </cell>
          <cell r="B152" t="str">
            <v>DO-YULQ105</v>
          </cell>
        </row>
        <row r="153">
          <cell r="A153" t="str">
            <v>DO-YULQ106-PI-22</v>
          </cell>
          <cell r="B153" t="str">
            <v>DO-YULQ106</v>
          </cell>
        </row>
        <row r="154">
          <cell r="A154" t="str">
            <v>DO-YULQ107-PI-22</v>
          </cell>
          <cell r="B154" t="str">
            <v>DO-YULQ107</v>
          </cell>
        </row>
        <row r="155">
          <cell r="A155" t="str">
            <v>DO-YULQ110-R2-22</v>
          </cell>
          <cell r="B155" t="str">
            <v>DO-YULQ110</v>
          </cell>
        </row>
        <row r="156">
          <cell r="A156" t="str">
            <v>DO-YULQ111-PI-22</v>
          </cell>
          <cell r="B156" t="str">
            <v>DO-YULQ111</v>
          </cell>
        </row>
        <row r="157">
          <cell r="A157" t="str">
            <v>DO-YULQ111-R2-22</v>
          </cell>
          <cell r="B157" t="str">
            <v>DO-YULQ111</v>
          </cell>
        </row>
        <row r="158">
          <cell r="A158" t="str">
            <v>DO-YULQ115-R2-22</v>
          </cell>
          <cell r="B158" t="str">
            <v>DO-YULQ115</v>
          </cell>
        </row>
        <row r="159">
          <cell r="A159" t="str">
            <v>DO-YULQ121-PI-22</v>
          </cell>
          <cell r="B159" t="str">
            <v>DO-YULQ121</v>
          </cell>
        </row>
        <row r="160">
          <cell r="A160" t="str">
            <v>DO-YULQ122-FB-22</v>
          </cell>
          <cell r="B160" t="str">
            <v>DO-YULQ122</v>
          </cell>
        </row>
        <row r="161">
          <cell r="A161" t="str">
            <v>DO-YULQ123-FB-22</v>
          </cell>
          <cell r="B161" t="str">
            <v>DO-YULQ123</v>
          </cell>
        </row>
        <row r="162">
          <cell r="A162" t="str">
            <v>DO-YULQ123-W0-22</v>
          </cell>
          <cell r="B162" t="str">
            <v>DO-YULQ123</v>
          </cell>
        </row>
        <row r="163">
          <cell r="A163" t="str">
            <v>DO-YULQ149-B7-18</v>
          </cell>
          <cell r="B163" t="str">
            <v>DO-YULQ149</v>
          </cell>
        </row>
        <row r="164">
          <cell r="A164" t="str">
            <v>DO-YULQ150-B7-18</v>
          </cell>
          <cell r="B164" t="str">
            <v>DO-YULQ150</v>
          </cell>
        </row>
        <row r="165">
          <cell r="A165" t="str">
            <v>DO-YULQ150-B7-22</v>
          </cell>
          <cell r="B165" t="str">
            <v>DO-YULQ150</v>
          </cell>
        </row>
        <row r="166">
          <cell r="A166" t="str">
            <v>DO-YULQ150-K0-22</v>
          </cell>
          <cell r="B166" t="str">
            <v>DO-YULQ150</v>
          </cell>
        </row>
        <row r="167">
          <cell r="A167" t="str">
            <v>DO-YULQ150-PI-20</v>
          </cell>
          <cell r="B167" t="str">
            <v>DO-YULQ150</v>
          </cell>
        </row>
        <row r="168">
          <cell r="A168" t="str">
            <v>DO-YULQ150-R2-22</v>
          </cell>
          <cell r="B168" t="str">
            <v>DO-YULQ150</v>
          </cell>
        </row>
        <row r="169">
          <cell r="A169" t="str">
            <v>DO-YULQ151-W0-16</v>
          </cell>
          <cell r="B169" t="str">
            <v>DO-YULQ151</v>
          </cell>
        </row>
        <row r="170">
          <cell r="A170" t="str">
            <v>DO-YULQ152-B7-22</v>
          </cell>
          <cell r="B170" t="str">
            <v>DO-YULQ152</v>
          </cell>
        </row>
        <row r="171">
          <cell r="A171" t="str">
            <v>DO-YULQ152-Z1-22</v>
          </cell>
          <cell r="B171" t="str">
            <v>DO-YULQ152</v>
          </cell>
        </row>
        <row r="172">
          <cell r="A172" t="str">
            <v>DO-YULQ153-B7-22</v>
          </cell>
          <cell r="B172" t="str">
            <v>DO-YULQ153</v>
          </cell>
        </row>
        <row r="173">
          <cell r="A173" t="str">
            <v>DO-YULQ153-TW-20</v>
          </cell>
          <cell r="B173" t="str">
            <v>DO-YULQ153</v>
          </cell>
        </row>
        <row r="174">
          <cell r="A174" t="str">
            <v>DO-YULQ157-W0-22</v>
          </cell>
          <cell r="B174" t="str">
            <v>DO-YULQ157</v>
          </cell>
        </row>
        <row r="175">
          <cell r="A175" t="str">
            <v>DO-YULQ158-W0-22</v>
          </cell>
          <cell r="B175" t="str">
            <v>DO-YULQ158</v>
          </cell>
        </row>
        <row r="176">
          <cell r="A176" t="str">
            <v>DO-YULQ159-R2-22</v>
          </cell>
          <cell r="B176" t="str">
            <v>DO-YULQ159</v>
          </cell>
        </row>
        <row r="177">
          <cell r="A177" t="str">
            <v>DO-YULQ161-B7-16</v>
          </cell>
          <cell r="B177" t="str">
            <v>DO-YULQ161</v>
          </cell>
        </row>
        <row r="178">
          <cell r="A178" t="str">
            <v>DO-YULQ161-B7-22</v>
          </cell>
          <cell r="B178" t="str">
            <v>DO-YULQ161</v>
          </cell>
        </row>
        <row r="179">
          <cell r="A179" t="str">
            <v>DO-YULQ161-G0-16</v>
          </cell>
          <cell r="B179" t="str">
            <v>DO-YULQ161</v>
          </cell>
        </row>
        <row r="180">
          <cell r="A180" t="str">
            <v>DO-YULQ161-PI-16</v>
          </cell>
          <cell r="B180" t="str">
            <v>DO-YULQ161</v>
          </cell>
        </row>
        <row r="181">
          <cell r="A181" t="str">
            <v>DO-YULQ161-PI-22</v>
          </cell>
          <cell r="B181" t="str">
            <v>DO-YULQ161</v>
          </cell>
        </row>
        <row r="182">
          <cell r="A182" t="str">
            <v>DO-YULQ162-PI-16</v>
          </cell>
          <cell r="B182" t="str">
            <v>DO-YULQ162</v>
          </cell>
        </row>
        <row r="183">
          <cell r="A183" t="str">
            <v>DO-YULQ163-B7-22</v>
          </cell>
          <cell r="B183" t="str">
            <v>DO-YULQ163</v>
          </cell>
        </row>
        <row r="184">
          <cell r="A184" t="str">
            <v>DO-YULQ163-PI-22</v>
          </cell>
          <cell r="B184" t="str">
            <v>DO-YULQ163</v>
          </cell>
        </row>
        <row r="185">
          <cell r="A185" t="str">
            <v>DO-YULQ165-B7-16</v>
          </cell>
          <cell r="B185" t="str">
            <v>DO-YULQ165</v>
          </cell>
        </row>
        <row r="186">
          <cell r="A186" t="str">
            <v>DO-YULQ165-PI-16</v>
          </cell>
          <cell r="B186" t="str">
            <v>DO-YULQ165</v>
          </cell>
        </row>
        <row r="187">
          <cell r="A187" t="str">
            <v>DO-YULQ170-LGR-22</v>
          </cell>
          <cell r="B187" t="str">
            <v>DO-YULQ170</v>
          </cell>
        </row>
        <row r="188">
          <cell r="A188" t="str">
            <v>DO-YULQ170-SH-22</v>
          </cell>
          <cell r="B188" t="str">
            <v>DO-YULQ170</v>
          </cell>
        </row>
        <row r="189">
          <cell r="A189" t="str">
            <v>DO-YULQ171-B0-22</v>
          </cell>
          <cell r="B189" t="str">
            <v>DO-YULQ171</v>
          </cell>
        </row>
        <row r="190">
          <cell r="A190" t="str">
            <v>DO-YULQ171-BD-22</v>
          </cell>
          <cell r="B190" t="str">
            <v>DO-YULQ171</v>
          </cell>
        </row>
        <row r="191">
          <cell r="A191" t="str">
            <v>DO-YULQ171-LGR-22</v>
          </cell>
          <cell r="B191" t="str">
            <v>DO-YULQ171</v>
          </cell>
        </row>
        <row r="192">
          <cell r="A192" t="str">
            <v>DO-YULQ172-BD-22</v>
          </cell>
          <cell r="B192" t="str">
            <v>DO-YULQ172</v>
          </cell>
        </row>
        <row r="193">
          <cell r="A193" t="str">
            <v>DO-YULQ173-B7-22</v>
          </cell>
          <cell r="B193" t="str">
            <v>DO-YULQ173</v>
          </cell>
        </row>
        <row r="194">
          <cell r="A194" t="str">
            <v>DO-YULQ187-BR-22</v>
          </cell>
          <cell r="B194" t="str">
            <v>DO-YULQ187</v>
          </cell>
        </row>
        <row r="195">
          <cell r="A195" t="str">
            <v>DO-YULQ187-CV-22</v>
          </cell>
          <cell r="B195" t="str">
            <v>DO-YULQ187</v>
          </cell>
        </row>
        <row r="196">
          <cell r="A196" t="str">
            <v>DO-YULQ188-PI-22</v>
          </cell>
          <cell r="B196" t="str">
            <v>DO-YULQ188</v>
          </cell>
        </row>
        <row r="197">
          <cell r="A197" t="str">
            <v>DO-YULQ189-PI-22</v>
          </cell>
          <cell r="B197" t="str">
            <v>DO-YULQ189</v>
          </cell>
        </row>
        <row r="198">
          <cell r="A198" t="str">
            <v>DO-YULQ190-B7-22</v>
          </cell>
          <cell r="B198" t="str">
            <v>DO-YULQ190</v>
          </cell>
        </row>
        <row r="199">
          <cell r="A199" t="str">
            <v>DO-YULQ191-E0-22</v>
          </cell>
          <cell r="B199" t="str">
            <v>DO-YULQ191</v>
          </cell>
        </row>
        <row r="200">
          <cell r="A200" t="str">
            <v>DO-YULQ192-G0-22</v>
          </cell>
          <cell r="B200" t="str">
            <v>DO-YULQ192</v>
          </cell>
        </row>
        <row r="201">
          <cell r="A201" t="str">
            <v>DO-YULQ193-PI-24</v>
          </cell>
          <cell r="B201" t="str">
            <v>DO-YULQ193</v>
          </cell>
        </row>
        <row r="202">
          <cell r="A202" t="str">
            <v>DO-YULQ194-R0-24</v>
          </cell>
          <cell r="B202" t="str">
            <v>DO-YULQ194</v>
          </cell>
        </row>
        <row r="203">
          <cell r="A203" t="str">
            <v>DO-YULQ195-R0-24</v>
          </cell>
          <cell r="B203" t="str">
            <v>DO-YULQ195</v>
          </cell>
        </row>
        <row r="204">
          <cell r="A204" t="str">
            <v>DO-YULQ196-PI-24</v>
          </cell>
          <cell r="B204" t="str">
            <v>DO-YULQ196</v>
          </cell>
        </row>
        <row r="205">
          <cell r="A205" t="str">
            <v>DO-YULQ197-PI-22</v>
          </cell>
          <cell r="B205" t="str">
            <v>DO-YULQ197</v>
          </cell>
        </row>
        <row r="206">
          <cell r="A206" t="str">
            <v>DO-YULQ198-PI-22</v>
          </cell>
          <cell r="B206" t="str">
            <v>DO-YULQ198</v>
          </cell>
        </row>
        <row r="207">
          <cell r="A207" t="str">
            <v>DO-YULQ200-PI-10</v>
          </cell>
          <cell r="B207" t="str">
            <v>DO-YULQ200</v>
          </cell>
        </row>
        <row r="208">
          <cell r="A208" t="str">
            <v>DO-YULQ200-W0-10</v>
          </cell>
          <cell r="B208" t="str">
            <v>DO-YULQ200</v>
          </cell>
        </row>
        <row r="209">
          <cell r="A209" t="str">
            <v>DO-YULQ202-P4-22</v>
          </cell>
          <cell r="B209" t="str">
            <v>DO-YULQ202</v>
          </cell>
        </row>
        <row r="210">
          <cell r="A210" t="str">
            <v>DO-YULQ203-P4-22</v>
          </cell>
          <cell r="B210" t="str">
            <v>DO-YULQ203</v>
          </cell>
        </row>
        <row r="211">
          <cell r="A211" t="str">
            <v>DO-YULQ220-R2-22</v>
          </cell>
          <cell r="B211" t="str">
            <v>DO-YULQ220</v>
          </cell>
        </row>
        <row r="212">
          <cell r="A212" t="str">
            <v>DO-YULQ229-PI-16</v>
          </cell>
          <cell r="B212" t="str">
            <v>DO-YULQ229</v>
          </cell>
        </row>
        <row r="213">
          <cell r="A213" t="str">
            <v>DO-YULQ230-PI-16</v>
          </cell>
          <cell r="B213" t="str">
            <v>DO-YULQ230</v>
          </cell>
        </row>
        <row r="214">
          <cell r="A214" t="str">
            <v>DO-YULQ232-W0-10</v>
          </cell>
          <cell r="B214" t="str">
            <v>DO-YULQ232</v>
          </cell>
        </row>
        <row r="215">
          <cell r="A215" t="str">
            <v>DO-YULQ259-PI-20</v>
          </cell>
          <cell r="B215" t="str">
            <v>DO-YULQ259</v>
          </cell>
        </row>
        <row r="216">
          <cell r="A216" t="str">
            <v>DO-YULQ259-PI-22</v>
          </cell>
          <cell r="B216" t="str">
            <v>DO-YULQ259</v>
          </cell>
        </row>
        <row r="217">
          <cell r="A217" t="str">
            <v>DO-YULQ330-PI-18</v>
          </cell>
          <cell r="B217" t="str">
            <v>DO-YULQ330</v>
          </cell>
        </row>
        <row r="218">
          <cell r="A218" t="str">
            <v>DO-YULQ331-LGR-20</v>
          </cell>
          <cell r="B218" t="str">
            <v>DO-YULQ331</v>
          </cell>
        </row>
        <row r="219">
          <cell r="A219" t="str">
            <v>DO-YULQ332-LGR-20</v>
          </cell>
          <cell r="B219" t="str">
            <v>DO-YULQ332</v>
          </cell>
        </row>
        <row r="220">
          <cell r="A220" t="str">
            <v>DO-YULQ349-PI-22</v>
          </cell>
          <cell r="B220" t="str">
            <v>DO-YULQ349</v>
          </cell>
        </row>
        <row r="221">
          <cell r="A221" t="str">
            <v>DO-YULQ350-PI-22</v>
          </cell>
          <cell r="B221" t="str">
            <v>DO-YULQ350</v>
          </cell>
        </row>
        <row r="222">
          <cell r="A222" t="str">
            <v>DO-YULQ372-R0-22</v>
          </cell>
          <cell r="B222" t="str">
            <v>DO-YULQ372</v>
          </cell>
        </row>
        <row r="223">
          <cell r="A223" t="str">
            <v>DO-YULQ504-PI-22</v>
          </cell>
          <cell r="B223" t="str">
            <v>DO-YULQ504</v>
          </cell>
        </row>
        <row r="224">
          <cell r="A224" t="str">
            <v>DO-YULQ507-PI-24</v>
          </cell>
          <cell r="B224" t="str">
            <v>DO-YULQ507</v>
          </cell>
        </row>
        <row r="225">
          <cell r="A225" t="str">
            <v>DO-YULQ516-B0-22</v>
          </cell>
          <cell r="B225" t="str">
            <v>DO-YULQ516</v>
          </cell>
        </row>
        <row r="226">
          <cell r="A226" t="str">
            <v>DO-YULQ601-PI-22</v>
          </cell>
          <cell r="B226" t="str">
            <v>DO-YULQ601</v>
          </cell>
        </row>
        <row r="227">
          <cell r="A227" t="str">
            <v>DO-YULQ602-PI-22</v>
          </cell>
          <cell r="B227" t="str">
            <v>DO-YULQ602</v>
          </cell>
        </row>
        <row r="228">
          <cell r="A228" t="str">
            <v>DO-YULQ602-R2-15</v>
          </cell>
          <cell r="B228" t="str">
            <v>DO-YULQ602</v>
          </cell>
        </row>
        <row r="229">
          <cell r="A229" t="str">
            <v>DO-YULQ603-PI-22</v>
          </cell>
          <cell r="B229" t="str">
            <v>DO-YULQ603</v>
          </cell>
        </row>
        <row r="230">
          <cell r="A230" t="str">
            <v>DO-YULQ604-PI-22</v>
          </cell>
          <cell r="B230" t="str">
            <v>DO-YULQ604</v>
          </cell>
        </row>
        <row r="231">
          <cell r="A231" t="str">
            <v>DO-YULQ605-PI-16</v>
          </cell>
          <cell r="B231" t="str">
            <v>DO-YULQ605</v>
          </cell>
        </row>
        <row r="232">
          <cell r="A232" t="str">
            <v>DO-YULQ605-PI-22</v>
          </cell>
          <cell r="B232" t="str">
            <v>DO-YULQ605</v>
          </cell>
        </row>
        <row r="233">
          <cell r="A233" t="str">
            <v>DO-YULQ606-W0-22</v>
          </cell>
          <cell r="B233" t="str">
            <v>DO-YULQ606</v>
          </cell>
        </row>
        <row r="234">
          <cell r="A234" t="str">
            <v>DO-YULQ609-R2-22</v>
          </cell>
          <cell r="B234" t="str">
            <v>DO-YULQ609</v>
          </cell>
        </row>
        <row r="235">
          <cell r="A235" t="str">
            <v>DO-YULQ610-R2-22</v>
          </cell>
          <cell r="B235" t="str">
            <v>DO-YULQ610</v>
          </cell>
        </row>
        <row r="236">
          <cell r="A236" t="str">
            <v>DO-YULQ610-TW-22</v>
          </cell>
          <cell r="B236" t="str">
            <v>DO-YULQ610</v>
          </cell>
        </row>
        <row r="237">
          <cell r="A237" t="str">
            <v>DO-YULQ611-TW-22</v>
          </cell>
          <cell r="B237" t="str">
            <v>DO-YULQ611</v>
          </cell>
        </row>
        <row r="238">
          <cell r="A238" t="str">
            <v>DO-YULQ620-NZ-22</v>
          </cell>
          <cell r="B238" t="str">
            <v>DO-YULQ620</v>
          </cell>
        </row>
        <row r="239">
          <cell r="A239" t="str">
            <v>DO-YULQ620-PI-22</v>
          </cell>
          <cell r="B239" t="str">
            <v>DO-YULQ620</v>
          </cell>
        </row>
        <row r="240">
          <cell r="A240" t="str">
            <v>DO-YULQ630-R2-15</v>
          </cell>
          <cell r="B240" t="str">
            <v>DO-YULQ630</v>
          </cell>
        </row>
        <row r="241">
          <cell r="A241" t="str">
            <v>DO-YULQ631-R2-22</v>
          </cell>
          <cell r="B241" t="str">
            <v>DO-YULQ631</v>
          </cell>
        </row>
        <row r="242">
          <cell r="A242" t="str">
            <v>DO-YULQ637-B7-20</v>
          </cell>
          <cell r="B242" t="str">
            <v>DO-YULQ637</v>
          </cell>
        </row>
        <row r="243">
          <cell r="A243" t="str">
            <v>DO-YULQ637-PI-20</v>
          </cell>
          <cell r="B243" t="str">
            <v>DO-YULQ637</v>
          </cell>
        </row>
        <row r="244">
          <cell r="A244" t="str">
            <v>DO-YULQ638-B7-20</v>
          </cell>
          <cell r="B244" t="str">
            <v>DO-YULQ638</v>
          </cell>
        </row>
        <row r="245">
          <cell r="A245" t="str">
            <v>DO-YULQ638-LGR-20</v>
          </cell>
          <cell r="B245" t="str">
            <v>DO-YULQ638</v>
          </cell>
        </row>
        <row r="246">
          <cell r="A246" t="str">
            <v>DO-YULQ638-PI-20</v>
          </cell>
          <cell r="B246" t="str">
            <v>DO-YULQ638</v>
          </cell>
        </row>
        <row r="247">
          <cell r="A247" t="str">
            <v>DO-YULQ639-LGR-22</v>
          </cell>
          <cell r="B247" t="str">
            <v>DO-YULQ639</v>
          </cell>
        </row>
        <row r="248">
          <cell r="A248" t="str">
            <v>DO-YULQ639-R2-22</v>
          </cell>
          <cell r="B248" t="str">
            <v>DO-YULQ639</v>
          </cell>
        </row>
        <row r="249">
          <cell r="A249" t="str">
            <v>DO-YULQ662-PI-15</v>
          </cell>
          <cell r="B249" t="str">
            <v>DO-YULQ662</v>
          </cell>
        </row>
        <row r="250">
          <cell r="A250" t="str">
            <v>DO-YULQ663-PI-15</v>
          </cell>
          <cell r="B250" t="str">
            <v>DO-YULQ663</v>
          </cell>
        </row>
        <row r="251">
          <cell r="A251" t="str">
            <v>DO-YULQ664-AX-16</v>
          </cell>
          <cell r="B251" t="str">
            <v>DO-YULQ664</v>
          </cell>
        </row>
        <row r="252">
          <cell r="A252" t="str">
            <v>DO-YULQ693-PI-22</v>
          </cell>
          <cell r="B252" t="str">
            <v>DO-YULQ693</v>
          </cell>
        </row>
        <row r="253">
          <cell r="A253" t="str">
            <v>DO-YULQ694-B7-22</v>
          </cell>
          <cell r="B253" t="str">
            <v>DO-YULQ694</v>
          </cell>
        </row>
        <row r="254">
          <cell r="A254" t="str">
            <v>DO-YULQ695-PI-18</v>
          </cell>
          <cell r="B254" t="str">
            <v>DO-YULQ695</v>
          </cell>
        </row>
        <row r="255">
          <cell r="A255" t="str">
            <v>DO-YULQ696-K0-17</v>
          </cell>
          <cell r="B255" t="str">
            <v>DO-YULQ696</v>
          </cell>
        </row>
        <row r="256">
          <cell r="A256" t="str">
            <v>DO-YULQ697-BR-17</v>
          </cell>
          <cell r="B256" t="str">
            <v>DO-YULQ697</v>
          </cell>
        </row>
        <row r="257">
          <cell r="A257" t="str">
            <v>DO-YULQ698-W0-22</v>
          </cell>
          <cell r="B257" t="str">
            <v>DO-YULQ698</v>
          </cell>
        </row>
        <row r="258">
          <cell r="A258" t="str">
            <v>DO-YULQ699-B7-11</v>
          </cell>
          <cell r="B258" t="str">
            <v>DO-YULQ699</v>
          </cell>
        </row>
        <row r="259">
          <cell r="A259" t="str">
            <v>DO-YULQ699-B7-22</v>
          </cell>
          <cell r="B259" t="str">
            <v>DO-YULQ699</v>
          </cell>
        </row>
        <row r="260">
          <cell r="A260" t="str">
            <v>DO-YULQ699-PI-22</v>
          </cell>
          <cell r="B260" t="str">
            <v>DO-YULQ699</v>
          </cell>
        </row>
        <row r="261">
          <cell r="A261" t="str">
            <v>DO-YULQ700-PI-22</v>
          </cell>
          <cell r="B261" t="str">
            <v>DO-YULQ700</v>
          </cell>
        </row>
        <row r="262">
          <cell r="A262" t="str">
            <v>DO-YULQ700-W0-22</v>
          </cell>
          <cell r="B262" t="str">
            <v>DO-YULQ700</v>
          </cell>
        </row>
        <row r="263">
          <cell r="A263" t="str">
            <v>DO-YULQ701-PI-22</v>
          </cell>
          <cell r="B263" t="str">
            <v>DO-YULQ701</v>
          </cell>
        </row>
        <row r="264">
          <cell r="A264" t="str">
            <v>DO-YULQ702-PI-22</v>
          </cell>
          <cell r="B264" t="str">
            <v>DO-YULQ702</v>
          </cell>
        </row>
        <row r="265">
          <cell r="A265" t="str">
            <v>DO-YULQ703-PI-22</v>
          </cell>
          <cell r="B265" t="str">
            <v>DO-YULQ703</v>
          </cell>
        </row>
        <row r="266">
          <cell r="A266" t="str">
            <v>DO-YULQ704-B0-24</v>
          </cell>
          <cell r="B266" t="str">
            <v>DO-YULQ704</v>
          </cell>
        </row>
        <row r="267">
          <cell r="A267" t="str">
            <v>DO-YULQ705-0R-10</v>
          </cell>
          <cell r="B267" t="str">
            <v>DO-YULQ705</v>
          </cell>
        </row>
        <row r="268">
          <cell r="A268" t="str">
            <v>DO-YULQ705-BR-10</v>
          </cell>
          <cell r="B268" t="str">
            <v>DO-YULQ705</v>
          </cell>
        </row>
        <row r="269">
          <cell r="A269" t="str">
            <v>DO-YULQ705-BR-11</v>
          </cell>
          <cell r="B269" t="str">
            <v>DO-YULQ705</v>
          </cell>
        </row>
        <row r="270">
          <cell r="A270" t="str">
            <v>DO-YULQ705-GR-11</v>
          </cell>
          <cell r="B270" t="str">
            <v>DO-YULQ705</v>
          </cell>
        </row>
        <row r="271">
          <cell r="A271" t="str">
            <v>DO-YULQ705-W0-22</v>
          </cell>
          <cell r="B271" t="str">
            <v>DO-YULQ705</v>
          </cell>
        </row>
        <row r="272">
          <cell r="A272" t="str">
            <v>DO-YULQ706-R0-24</v>
          </cell>
          <cell r="B272" t="str">
            <v>DO-YULQ706</v>
          </cell>
        </row>
        <row r="273">
          <cell r="A273" t="str">
            <v>DO-YULQ707-PI-24</v>
          </cell>
          <cell r="B273" t="str">
            <v>DO-YULQ707</v>
          </cell>
        </row>
        <row r="274">
          <cell r="A274" t="str">
            <v>DO-YULQ708-W0-24</v>
          </cell>
          <cell r="B274" t="str">
            <v>DO-YULQ708</v>
          </cell>
        </row>
        <row r="275">
          <cell r="A275" t="str">
            <v>DO-YULQ712-W0-22</v>
          </cell>
          <cell r="B275" t="str">
            <v>DO-YULQ712</v>
          </cell>
        </row>
        <row r="276">
          <cell r="A276" t="str">
            <v>DO-YULQ718-WA-16</v>
          </cell>
          <cell r="B276" t="str">
            <v>DO-YULQ718</v>
          </cell>
        </row>
        <row r="277">
          <cell r="A277" t="str">
            <v>DO-YULQ719-B7-16</v>
          </cell>
          <cell r="B277" t="str">
            <v>DO-YULQ719</v>
          </cell>
        </row>
        <row r="278">
          <cell r="A278" t="str">
            <v>DO-YULQ720-W0-16</v>
          </cell>
          <cell r="B278" t="str">
            <v>DO-YULQ720</v>
          </cell>
        </row>
        <row r="279">
          <cell r="A279" t="str">
            <v>DO-YULQ721-PI-16</v>
          </cell>
          <cell r="B279" t="str">
            <v>DO-YULQ721</v>
          </cell>
        </row>
        <row r="280">
          <cell r="A280" t="str">
            <v>DO-YULQ811-W0-18</v>
          </cell>
          <cell r="B280" t="str">
            <v>DO-YULQ811</v>
          </cell>
        </row>
        <row r="281">
          <cell r="A281" t="str">
            <v>DO-YULQ812-W0-18</v>
          </cell>
          <cell r="B281" t="str">
            <v>DO-YULQ812</v>
          </cell>
        </row>
        <row r="282">
          <cell r="A282" t="str">
            <v>DO-YULQ904-B7-22</v>
          </cell>
          <cell r="B282" t="str">
            <v>DO-YULQ904</v>
          </cell>
        </row>
        <row r="283">
          <cell r="A283" t="str">
            <v>DO-YULQ905-B7-22</v>
          </cell>
          <cell r="B283" t="str">
            <v>DO-YULQ905</v>
          </cell>
        </row>
        <row r="284">
          <cell r="A284" t="str">
            <v>DO-YULQ985-B7-20</v>
          </cell>
          <cell r="B284" t="str">
            <v>DO-YULQ905</v>
          </cell>
        </row>
        <row r="285">
          <cell r="A285" t="str">
            <v>HF-FL1</v>
          </cell>
          <cell r="B285" t="str">
            <v>HF-FL1</v>
          </cell>
        </row>
        <row r="286">
          <cell r="A286" t="str">
            <v>JFB-FLQ55-PI-17</v>
          </cell>
          <cell r="B286" t="str">
            <v>JFB-FLQ55</v>
          </cell>
        </row>
        <row r="287">
          <cell r="A287" t="str">
            <v>LYQ-1001-B0-2XL</v>
          </cell>
          <cell r="B287" t="str">
            <v>LYQ-1001</v>
          </cell>
        </row>
        <row r="288">
          <cell r="A288" t="str">
            <v>LYQ-1001-B0-L</v>
          </cell>
          <cell r="B288" t="str">
            <v>LYQ-1001</v>
          </cell>
        </row>
        <row r="289">
          <cell r="A289" t="str">
            <v>LYQ-1001-B0-M</v>
          </cell>
          <cell r="B289" t="str">
            <v>LYQ-1001</v>
          </cell>
        </row>
        <row r="290">
          <cell r="A290" t="str">
            <v>LYQ-1001-B0-XL</v>
          </cell>
          <cell r="B290" t="str">
            <v>LYQ-1001</v>
          </cell>
        </row>
        <row r="291">
          <cell r="A291" t="str">
            <v>LYQ-1001-B0-XS</v>
          </cell>
          <cell r="B291" t="str">
            <v>LYQ-1001</v>
          </cell>
        </row>
        <row r="292">
          <cell r="A292" t="str">
            <v>LYQ-1001-G0-2XL</v>
          </cell>
          <cell r="B292" t="str">
            <v>LYQ-1001</v>
          </cell>
        </row>
        <row r="293">
          <cell r="A293" t="str">
            <v>LYQ-1001-G0-M</v>
          </cell>
          <cell r="B293" t="str">
            <v>LYQ-1001</v>
          </cell>
        </row>
        <row r="294">
          <cell r="A294" t="str">
            <v>LYQ-1001-G0-S</v>
          </cell>
          <cell r="B294" t="str">
            <v>LYQ-1001</v>
          </cell>
        </row>
        <row r="295">
          <cell r="A295" t="str">
            <v>LYQ-1001-G0-XS</v>
          </cell>
          <cell r="B295" t="str">
            <v>LYQ-1001</v>
          </cell>
        </row>
        <row r="296">
          <cell r="A296" t="str">
            <v>LYQ-1001-G7-2XL</v>
          </cell>
          <cell r="B296" t="str">
            <v>LYQ-1001</v>
          </cell>
        </row>
        <row r="297">
          <cell r="A297" t="str">
            <v>LYQ-1001-G7-M</v>
          </cell>
          <cell r="B297" t="str">
            <v>LYQ-1001</v>
          </cell>
        </row>
        <row r="298">
          <cell r="A298" t="str">
            <v>LYQ-1001-G7-S</v>
          </cell>
          <cell r="B298" t="str">
            <v>LYQ-1001</v>
          </cell>
        </row>
        <row r="299">
          <cell r="A299" t="str">
            <v>LYQ-1001-G7-XL</v>
          </cell>
          <cell r="B299" t="str">
            <v>LYQ-1001</v>
          </cell>
        </row>
        <row r="300">
          <cell r="A300" t="str">
            <v>LYQ-1001-G7-XS</v>
          </cell>
          <cell r="B300" t="str">
            <v>LYQ-1001</v>
          </cell>
        </row>
        <row r="301">
          <cell r="A301" t="str">
            <v>LYQ-1001-K0-L</v>
          </cell>
          <cell r="B301" t="str">
            <v>LYQ-1001</v>
          </cell>
        </row>
        <row r="302">
          <cell r="A302" t="str">
            <v>LYQ-1001-K0-M</v>
          </cell>
          <cell r="B302" t="str">
            <v>LYQ-1001</v>
          </cell>
        </row>
        <row r="303">
          <cell r="A303" t="str">
            <v>LYQ-1001-K0-S</v>
          </cell>
          <cell r="B303" t="str">
            <v>LYQ-1001</v>
          </cell>
        </row>
        <row r="304">
          <cell r="A304" t="str">
            <v>LYQ-1001-K0-XL</v>
          </cell>
          <cell r="B304" t="str">
            <v>LYQ-1001</v>
          </cell>
        </row>
        <row r="305">
          <cell r="A305" t="str">
            <v>LYQ-1001-N0-2XL</v>
          </cell>
          <cell r="B305" t="str">
            <v>LYQ-1001</v>
          </cell>
        </row>
        <row r="306">
          <cell r="A306" t="str">
            <v>LYQ-1001-N0-L</v>
          </cell>
          <cell r="B306" t="str">
            <v>LYQ-1001</v>
          </cell>
        </row>
        <row r="307">
          <cell r="A307" t="str">
            <v>LYQ-1001-N0-S</v>
          </cell>
          <cell r="B307" t="str">
            <v>LYQ-1001</v>
          </cell>
        </row>
        <row r="308">
          <cell r="A308" t="str">
            <v>LYQ-1001-N0-XL</v>
          </cell>
          <cell r="B308" t="str">
            <v>LYQ-1001</v>
          </cell>
        </row>
        <row r="309">
          <cell r="A309" t="str">
            <v>LYQ-1001-N0-XS</v>
          </cell>
          <cell r="B309" t="str">
            <v>LYQ-1001</v>
          </cell>
        </row>
        <row r="310">
          <cell r="A310" t="str">
            <v>LYQ-1001New-P0-2XL</v>
          </cell>
          <cell r="B310" t="str">
            <v>LYQ-1001</v>
          </cell>
        </row>
        <row r="311">
          <cell r="A311" t="str">
            <v>LYQ-1001New-P0-L</v>
          </cell>
          <cell r="B311" t="str">
            <v>LYQ-1001</v>
          </cell>
        </row>
        <row r="312">
          <cell r="A312" t="str">
            <v>LYQ-1001New-P0-M</v>
          </cell>
          <cell r="B312" t="str">
            <v>LYQ-1001</v>
          </cell>
        </row>
        <row r="313">
          <cell r="A313" t="str">
            <v>LYQ-1001New-P0-S</v>
          </cell>
          <cell r="B313" t="str">
            <v>LYQ-1001</v>
          </cell>
        </row>
        <row r="314">
          <cell r="A314" t="str">
            <v>LYQ-1001New-P0-XL</v>
          </cell>
          <cell r="B314" t="str">
            <v>LYQ-1001</v>
          </cell>
        </row>
        <row r="315">
          <cell r="A315" t="str">
            <v>LYQ-1001New-P0-XS</v>
          </cell>
          <cell r="B315" t="str">
            <v>LYQ-1001</v>
          </cell>
        </row>
        <row r="316">
          <cell r="A316" t="str">
            <v>LYQ-1001-P0-2XL</v>
          </cell>
          <cell r="B316" t="str">
            <v>LYQ-1001</v>
          </cell>
        </row>
        <row r="317">
          <cell r="A317" t="str">
            <v>LYQ-1001-P0-L</v>
          </cell>
          <cell r="B317" t="str">
            <v>LYQ-1001</v>
          </cell>
        </row>
        <row r="318">
          <cell r="A318" t="str">
            <v>LYQ-1001-P0-M</v>
          </cell>
          <cell r="B318" t="str">
            <v>LYQ-1001</v>
          </cell>
        </row>
        <row r="319">
          <cell r="A319" t="str">
            <v>LYQ-1001-P0-S</v>
          </cell>
          <cell r="B319" t="str">
            <v>LYQ-1001</v>
          </cell>
        </row>
        <row r="320">
          <cell r="A320" t="str">
            <v>LYQ-1001-P0-XL</v>
          </cell>
          <cell r="B320" t="str">
            <v>LYQ-1001</v>
          </cell>
        </row>
        <row r="321">
          <cell r="A321" t="str">
            <v>LYQ-1001-P0-XS</v>
          </cell>
          <cell r="B321" t="str">
            <v>LYQ-1001</v>
          </cell>
        </row>
        <row r="322">
          <cell r="A322" t="str">
            <v>LYQ-1001-R0-2XL</v>
          </cell>
          <cell r="B322" t="str">
            <v>LYQ-1001</v>
          </cell>
        </row>
        <row r="323">
          <cell r="A323" t="str">
            <v>LYQ-1001-R0-L</v>
          </cell>
          <cell r="B323" t="str">
            <v>LYQ-1001</v>
          </cell>
        </row>
        <row r="324">
          <cell r="A324" t="str">
            <v>LYQ-1001-R0-M</v>
          </cell>
          <cell r="B324" t="str">
            <v>LYQ-1001</v>
          </cell>
        </row>
        <row r="325">
          <cell r="A325" t="str">
            <v>LYQ-1001-R0-S</v>
          </cell>
          <cell r="B325" t="str">
            <v>LYQ-1001</v>
          </cell>
        </row>
        <row r="326">
          <cell r="A326" t="str">
            <v>LYQ-1001-R0-XL</v>
          </cell>
          <cell r="B326" t="str">
            <v>LYQ-1001</v>
          </cell>
        </row>
        <row r="327">
          <cell r="A327" t="str">
            <v>LYQ-1001-R0-XS</v>
          </cell>
          <cell r="B327" t="str">
            <v>LYQ-1001</v>
          </cell>
        </row>
        <row r="328">
          <cell r="A328" t="str">
            <v>LYQ-1001-W0-2XL</v>
          </cell>
          <cell r="B328" t="str">
            <v>LYQ-1001</v>
          </cell>
        </row>
        <row r="329">
          <cell r="A329" t="str">
            <v>LYQ-1001-W0-L</v>
          </cell>
          <cell r="B329" t="str">
            <v>LYQ-1001</v>
          </cell>
        </row>
        <row r="330">
          <cell r="A330" t="str">
            <v>LYQ-1001-W0-M</v>
          </cell>
          <cell r="B330" t="str">
            <v>LYQ-1001</v>
          </cell>
        </row>
        <row r="331">
          <cell r="A331" t="str">
            <v>LYQ-1001-W0-XL</v>
          </cell>
          <cell r="B331" t="str">
            <v>LYQ-1001</v>
          </cell>
        </row>
        <row r="332">
          <cell r="A332" t="str">
            <v>LYQ-1001-W0-XS</v>
          </cell>
          <cell r="B332" t="str">
            <v>LYQ-1001</v>
          </cell>
        </row>
        <row r="333">
          <cell r="A333" t="str">
            <v>LYQ-1001-Z0-2XL</v>
          </cell>
          <cell r="B333" t="str">
            <v>LYQ-1001</v>
          </cell>
        </row>
        <row r="334">
          <cell r="A334" t="str">
            <v>LYQ-1001-Z0-L</v>
          </cell>
          <cell r="B334" t="str">
            <v>LYQ-1001</v>
          </cell>
        </row>
        <row r="335">
          <cell r="A335" t="str">
            <v>LYQ-1001-Z0-M</v>
          </cell>
          <cell r="B335" t="str">
            <v>LYQ-1001</v>
          </cell>
        </row>
        <row r="336">
          <cell r="A336" t="str">
            <v>LYQ-1001-Z0-S</v>
          </cell>
          <cell r="B336" t="str">
            <v>LYQ-1001</v>
          </cell>
        </row>
        <row r="337">
          <cell r="A337" t="str">
            <v>LYQ-1001-Z0-XL</v>
          </cell>
          <cell r="B337" t="str">
            <v>LYQ-1001</v>
          </cell>
        </row>
        <row r="338">
          <cell r="A338" t="str">
            <v>LYQ-1001-Z0-XS</v>
          </cell>
          <cell r="B338" t="str">
            <v>LYQ-1001</v>
          </cell>
        </row>
        <row r="339">
          <cell r="A339" t="str">
            <v>LYQ-CL0045-K0-L</v>
          </cell>
          <cell r="B339" t="str">
            <v>LYQ-CL0045</v>
          </cell>
        </row>
        <row r="340">
          <cell r="A340" t="str">
            <v>LYQ-CL0045-K0-S</v>
          </cell>
          <cell r="B340" t="str">
            <v>LYQ-CL0045</v>
          </cell>
        </row>
        <row r="341">
          <cell r="A341" t="str">
            <v>LYQ-CL0045-K0-XL</v>
          </cell>
          <cell r="B341" t="str">
            <v>LYQ-CL0045</v>
          </cell>
        </row>
        <row r="342">
          <cell r="A342" t="str">
            <v>LYQ-CL0045-Y0-L</v>
          </cell>
          <cell r="B342" t="str">
            <v>LYQ-CL0045</v>
          </cell>
        </row>
        <row r="343">
          <cell r="A343" t="str">
            <v>LYQ-CL0045-Y0-M</v>
          </cell>
          <cell r="B343" t="str">
            <v>LYQ-CL0045</v>
          </cell>
        </row>
        <row r="344">
          <cell r="A344" t="str">
            <v>LYQ-CL0045-Y0-S</v>
          </cell>
          <cell r="B344" t="str">
            <v>LYQ-CL0045</v>
          </cell>
        </row>
        <row r="345">
          <cell r="A345" t="str">
            <v>LYQ-CL0045-Y0-XL</v>
          </cell>
          <cell r="B345" t="str">
            <v>LYQ-CL0045</v>
          </cell>
        </row>
        <row r="346">
          <cell r="A346" t="str">
            <v>LYQ-CL61652-R6-M</v>
          </cell>
          <cell r="B346" t="str">
            <v>LYQ-CL61652</v>
          </cell>
        </row>
        <row r="347">
          <cell r="A347" t="str">
            <v>LYQ-CL6287-B0-L</v>
          </cell>
          <cell r="B347" t="str">
            <v>LYQ-CL6287</v>
          </cell>
        </row>
        <row r="348">
          <cell r="A348" t="str">
            <v>LYQ-CL6287-FB-L</v>
          </cell>
          <cell r="B348" t="str">
            <v>LYQ-CL6287</v>
          </cell>
        </row>
        <row r="349">
          <cell r="A349" t="str">
            <v>LYQ-CL6287-G7-L</v>
          </cell>
          <cell r="B349" t="str">
            <v>LYQ-CL6287</v>
          </cell>
        </row>
        <row r="350">
          <cell r="A350" t="str">
            <v>LYQ-CL6287-G7-M</v>
          </cell>
          <cell r="B350" t="str">
            <v>LYQ-CL6287</v>
          </cell>
        </row>
        <row r="351">
          <cell r="A351" t="str">
            <v>LYQ-CL6287-K0-L</v>
          </cell>
          <cell r="B351" t="str">
            <v>LYQ-CL6287</v>
          </cell>
        </row>
        <row r="352">
          <cell r="A352" t="str">
            <v>LYQ-CL6287-K0-M</v>
          </cell>
          <cell r="B352" t="str">
            <v>LYQ-CL6287</v>
          </cell>
        </row>
        <row r="353">
          <cell r="A353" t="str">
            <v>LYQ-CL6408NO-G0-L</v>
          </cell>
          <cell r="B353" t="str">
            <v>LYQ-CL6408NO</v>
          </cell>
        </row>
        <row r="354">
          <cell r="A354" t="str">
            <v>LYQ-CL6408NO-K0-L</v>
          </cell>
          <cell r="B354" t="str">
            <v>LYQ-CL6408NO</v>
          </cell>
        </row>
        <row r="355">
          <cell r="A355" t="str">
            <v>LYQ-CL6408SL-G0XL</v>
          </cell>
          <cell r="B355" t="str">
            <v>LYQ-CL6408SL</v>
          </cell>
        </row>
        <row r="356">
          <cell r="A356" t="str">
            <v>LYQ-CL6408SL-K0XL</v>
          </cell>
          <cell r="B356" t="str">
            <v>LYQ-CL6408SL</v>
          </cell>
        </row>
        <row r="357">
          <cell r="A357" t="str">
            <v>LYQ-CLBAH002-L</v>
          </cell>
          <cell r="B357" t="str">
            <v>LYQ-CLBAH002</v>
          </cell>
        </row>
        <row r="358">
          <cell r="A358" t="str">
            <v>LYQ-CLBAH002-M</v>
          </cell>
          <cell r="B358" t="str">
            <v>LYQ-CLBAH002</v>
          </cell>
        </row>
        <row r="359">
          <cell r="A359" t="str">
            <v>LYQ-CLBAH002-S</v>
          </cell>
          <cell r="B359" t="str">
            <v>LYQ-CLBAH002</v>
          </cell>
        </row>
        <row r="360">
          <cell r="A360" t="str">
            <v>LYQ-CLBAH002-XL</v>
          </cell>
          <cell r="B360" t="str">
            <v>LYQ-CLBAH002</v>
          </cell>
        </row>
        <row r="361">
          <cell r="A361" t="str">
            <v>LYQ-CSM048-G0-L</v>
          </cell>
          <cell r="B361" t="str">
            <v>LYQ-CSM048</v>
          </cell>
        </row>
        <row r="362">
          <cell r="A362" t="str">
            <v>LYQ-CSM048-G0-S</v>
          </cell>
          <cell r="B362" t="str">
            <v>LYQ-CSM048</v>
          </cell>
        </row>
        <row r="363">
          <cell r="A363" t="str">
            <v>LYQ-CSM048-GR0-M</v>
          </cell>
          <cell r="B363" t="str">
            <v>LYQ-CSM048</v>
          </cell>
        </row>
        <row r="364">
          <cell r="A364" t="str">
            <v>LYQ-CSM048-GR1-L</v>
          </cell>
          <cell r="B364" t="str">
            <v>LYQ-CSM048</v>
          </cell>
        </row>
        <row r="365">
          <cell r="A365" t="str">
            <v>LYQ-CSM048-GR1-XL</v>
          </cell>
          <cell r="B365" t="str">
            <v>LYQ-CSM048</v>
          </cell>
        </row>
        <row r="366">
          <cell r="A366" t="str">
            <v>LYQ-CSM048-K0-S</v>
          </cell>
          <cell r="B366" t="str">
            <v>LYQ-CSM048</v>
          </cell>
        </row>
        <row r="367">
          <cell r="A367" t="str">
            <v>LYQ-CSM048-ZL-L</v>
          </cell>
          <cell r="B367" t="str">
            <v>LYQ-CSM048</v>
          </cell>
        </row>
        <row r="368">
          <cell r="A368" t="str">
            <v>LYQ-CSM048-ZL-XL</v>
          </cell>
          <cell r="B368" t="str">
            <v>LYQ-CSM048</v>
          </cell>
        </row>
        <row r="369">
          <cell r="A369" t="str">
            <v>LYQ-HM0505-W0-3XL</v>
          </cell>
          <cell r="B369" t="str">
            <v>LYQ-HM0505</v>
          </cell>
        </row>
        <row r="370">
          <cell r="A370" t="str">
            <v>LYQ-HM1205-BR-L</v>
          </cell>
          <cell r="B370" t="str">
            <v>LYQ-HM1205</v>
          </cell>
        </row>
        <row r="371">
          <cell r="A371" t="str">
            <v>LYQ-HM1205-BR-M</v>
          </cell>
          <cell r="B371" t="str">
            <v>LYQ-HM1205</v>
          </cell>
        </row>
        <row r="372">
          <cell r="A372" t="str">
            <v>LYQ-HM1205-BR-S</v>
          </cell>
          <cell r="B372" t="str">
            <v>LYQ-HM1205</v>
          </cell>
        </row>
        <row r="373">
          <cell r="A373" t="str">
            <v>LYQ-HM1205-BR-XL</v>
          </cell>
          <cell r="B373" t="str">
            <v>LYQ-HM1205</v>
          </cell>
        </row>
        <row r="374">
          <cell r="A374" t="str">
            <v>LYQ-HM1205-K0-S</v>
          </cell>
          <cell r="B374" t="str">
            <v>LYQ-HM1205</v>
          </cell>
        </row>
        <row r="375">
          <cell r="A375" t="str">
            <v>LYQ-HM1205-KH-L</v>
          </cell>
          <cell r="B375" t="str">
            <v>LYQ-HM1205</v>
          </cell>
        </row>
        <row r="376">
          <cell r="A376" t="str">
            <v>LYQ-HM1205-KH-M</v>
          </cell>
          <cell r="B376" t="str">
            <v>LYQ-HM1205</v>
          </cell>
        </row>
        <row r="377">
          <cell r="A377" t="str">
            <v>LYQ-HM1205-KH-S</v>
          </cell>
          <cell r="B377" t="str">
            <v>LYQ-HM1205</v>
          </cell>
        </row>
        <row r="378">
          <cell r="A378" t="str">
            <v>LYQ-HM1205-KH-XL</v>
          </cell>
          <cell r="B378" t="str">
            <v>LYQ-HM1205</v>
          </cell>
        </row>
        <row r="379">
          <cell r="A379" t="str">
            <v>LYQ-HM1205-OR-L</v>
          </cell>
          <cell r="B379" t="str">
            <v>LYQ-HM1205</v>
          </cell>
        </row>
        <row r="380">
          <cell r="A380" t="str">
            <v>LYQ-HM1205-OR-M</v>
          </cell>
          <cell r="B380" t="str">
            <v>LYQ-HM1205</v>
          </cell>
        </row>
        <row r="381">
          <cell r="A381" t="str">
            <v>LYQ-HM1205-OR-S</v>
          </cell>
          <cell r="B381" t="str">
            <v>LYQ-HM1205</v>
          </cell>
        </row>
        <row r="382">
          <cell r="A382" t="str">
            <v>LYQ-HM1205-W0-L</v>
          </cell>
          <cell r="B382" t="str">
            <v>LYQ-HM1205</v>
          </cell>
        </row>
        <row r="383">
          <cell r="A383" t="str">
            <v>LYQ-HM1205-W0-M</v>
          </cell>
          <cell r="B383" t="str">
            <v>LYQ-HM1205</v>
          </cell>
        </row>
        <row r="384">
          <cell r="A384" t="str">
            <v>LYQ-HM1205-W0-S</v>
          </cell>
          <cell r="B384" t="str">
            <v>LYQ-HM1205</v>
          </cell>
        </row>
        <row r="385">
          <cell r="A385" t="str">
            <v>LYQ-HM1205-W0-XL</v>
          </cell>
          <cell r="B385" t="str">
            <v>LYQ-HM1205</v>
          </cell>
        </row>
        <row r="386">
          <cell r="A386" t="str">
            <v>LYQ-HMQZZ-MOM-2XL</v>
          </cell>
          <cell r="B386" t="str">
            <v>LYQ-HMQZZ</v>
          </cell>
        </row>
        <row r="387">
          <cell r="A387" t="str">
            <v>LYQ-HMQZZ-MOM-S</v>
          </cell>
          <cell r="B387" t="str">
            <v>LYQ-HMQZZ</v>
          </cell>
        </row>
        <row r="388">
          <cell r="A388" t="str">
            <v>LYQ-LY064-B0-3XL</v>
          </cell>
          <cell r="B388" t="str">
            <v>LYQ-LY064</v>
          </cell>
        </row>
        <row r="389">
          <cell r="A389" t="str">
            <v>LYQ-LY064-B0-4XL</v>
          </cell>
          <cell r="B389" t="str">
            <v>LYQ-LY064</v>
          </cell>
        </row>
        <row r="390">
          <cell r="A390" t="str">
            <v>LYQ-LY064-B0-L</v>
          </cell>
          <cell r="B390" t="str">
            <v>LYQ-LY064</v>
          </cell>
        </row>
        <row r="391">
          <cell r="A391" t="str">
            <v>LYQ-LY064-G0-3XL</v>
          </cell>
          <cell r="B391" t="str">
            <v>LYQ-LY064</v>
          </cell>
        </row>
        <row r="392">
          <cell r="A392" t="str">
            <v>LYQ-LY064-G0-4XL</v>
          </cell>
          <cell r="B392" t="str">
            <v>LYQ-LY064</v>
          </cell>
        </row>
        <row r="393">
          <cell r="A393" t="str">
            <v>LYQ-LY064-G0-L</v>
          </cell>
          <cell r="B393" t="str">
            <v>LYQ-LY064</v>
          </cell>
        </row>
        <row r="394">
          <cell r="A394" t="str">
            <v>LYQ-LY064-G0-M</v>
          </cell>
          <cell r="B394" t="str">
            <v>LYQ-LY064</v>
          </cell>
        </row>
        <row r="395">
          <cell r="A395" t="str">
            <v>LYQ-LY064-K0-2XL</v>
          </cell>
          <cell r="B395" t="str">
            <v>LYQ-LY064</v>
          </cell>
        </row>
        <row r="396">
          <cell r="A396" t="str">
            <v>LYQ-LY064-K0-3XL</v>
          </cell>
          <cell r="B396" t="str">
            <v>LYQ-LY064</v>
          </cell>
        </row>
        <row r="397">
          <cell r="A397" t="str">
            <v>LYQ-LY064-K0-4XL</v>
          </cell>
          <cell r="B397" t="str">
            <v>LYQ-LY064</v>
          </cell>
        </row>
        <row r="398">
          <cell r="A398" t="str">
            <v>LYQ-LY064-K0-M</v>
          </cell>
          <cell r="B398" t="str">
            <v>LYQ-LY064</v>
          </cell>
        </row>
        <row r="399">
          <cell r="A399" t="str">
            <v>LYQ-LY064-K0-S</v>
          </cell>
          <cell r="B399" t="str">
            <v>LYQ-LY064</v>
          </cell>
        </row>
        <row r="400">
          <cell r="A400" t="str">
            <v>LYQ-LY064-OR-4XL</v>
          </cell>
          <cell r="B400" t="str">
            <v>LYQ-LY064</v>
          </cell>
        </row>
        <row r="401">
          <cell r="A401" t="str">
            <v>LYQ-LY064-OR-M</v>
          </cell>
          <cell r="B401" t="str">
            <v>LYQ-LY064</v>
          </cell>
        </row>
        <row r="402">
          <cell r="A402" t="str">
            <v>LYQ-WH885-ZL-L</v>
          </cell>
          <cell r="B402" t="str">
            <v>LYQ-WH885</v>
          </cell>
        </row>
        <row r="403">
          <cell r="A403" t="str">
            <v>LYQ-ZQ1052-R0-XL</v>
          </cell>
          <cell r="B403" t="str">
            <v>LYQ-ZQ1052</v>
          </cell>
        </row>
        <row r="404">
          <cell r="A404" t="str">
            <v>LYQ-ZQ1117-B0-2XL</v>
          </cell>
          <cell r="B404" t="str">
            <v>LYQ-ZQ1117</v>
          </cell>
        </row>
        <row r="405">
          <cell r="A405" t="str">
            <v>LYQ-ZQ1117-B0-L</v>
          </cell>
          <cell r="B405" t="str">
            <v>LYQ-ZQ1117</v>
          </cell>
        </row>
        <row r="406">
          <cell r="A406" t="str">
            <v>LYQ-ZQ1117-B0-M</v>
          </cell>
          <cell r="B406" t="str">
            <v>LYQ-ZQ1117</v>
          </cell>
        </row>
        <row r="407">
          <cell r="A407" t="str">
            <v>LYQ-ZQ1117-B0-S</v>
          </cell>
          <cell r="B407" t="str">
            <v>LYQ-ZQ1117</v>
          </cell>
        </row>
        <row r="408">
          <cell r="A408" t="str">
            <v>LYQ-ZQ1117-B0-XL</v>
          </cell>
          <cell r="B408" t="str">
            <v>LYQ-ZQ1117</v>
          </cell>
        </row>
        <row r="409">
          <cell r="A409" t="str">
            <v>LYQ-ZQ1117-BD-2XL</v>
          </cell>
          <cell r="B409" t="str">
            <v>LYQ-ZQ1117</v>
          </cell>
        </row>
        <row r="410">
          <cell r="A410" t="str">
            <v>LYQ-ZQ1117-BD-L</v>
          </cell>
          <cell r="B410" t="str">
            <v>LYQ-ZQ1117</v>
          </cell>
        </row>
        <row r="411">
          <cell r="A411" t="str">
            <v>LYQ-ZQ1117-BD-M</v>
          </cell>
          <cell r="B411" t="str">
            <v>LYQ-ZQ1117</v>
          </cell>
        </row>
        <row r="412">
          <cell r="A412" t="str">
            <v>LYQ-ZQ1117-BD-S</v>
          </cell>
          <cell r="B412" t="str">
            <v>LYQ-ZQ1117</v>
          </cell>
        </row>
        <row r="413">
          <cell r="A413" t="str">
            <v>LYQ-ZQ1117-BD-XL</v>
          </cell>
          <cell r="B413" t="str">
            <v>LYQ-ZQ1117</v>
          </cell>
        </row>
        <row r="414">
          <cell r="A414" t="str">
            <v>LYQ-ZQ1117-C0-2XL</v>
          </cell>
          <cell r="B414" t="str">
            <v>LYQ-ZQ1117</v>
          </cell>
        </row>
        <row r="415">
          <cell r="A415" t="str">
            <v>LYQ-ZQ1117-C0-L</v>
          </cell>
          <cell r="B415" t="str">
            <v>LYQ-ZQ1117</v>
          </cell>
        </row>
        <row r="416">
          <cell r="A416" t="str">
            <v>LYQ-ZQ1117-C0-M</v>
          </cell>
          <cell r="B416" t="str">
            <v>LYQ-ZQ1117</v>
          </cell>
        </row>
        <row r="417">
          <cell r="A417" t="str">
            <v>LYQ-ZQ1117-C0-S</v>
          </cell>
          <cell r="B417" t="str">
            <v>LYQ-ZQ1117</v>
          </cell>
        </row>
        <row r="418">
          <cell r="A418" t="str">
            <v>LYQ-ZQ1117-C0-XL</v>
          </cell>
          <cell r="B418" t="str">
            <v>LYQ-ZQ1117</v>
          </cell>
        </row>
        <row r="419">
          <cell r="A419" t="str">
            <v>LYQ-ZQ1117-E0-2XL</v>
          </cell>
          <cell r="B419" t="str">
            <v>LYQ-ZQ1117</v>
          </cell>
        </row>
        <row r="420">
          <cell r="A420" t="str">
            <v>LYQ-ZQ1117-E0-L</v>
          </cell>
          <cell r="B420" t="str">
            <v>LYQ-ZQ1117</v>
          </cell>
        </row>
        <row r="421">
          <cell r="A421" t="str">
            <v>LYQ-ZQ1117-E0-M</v>
          </cell>
          <cell r="B421" t="str">
            <v>LYQ-ZQ1117</v>
          </cell>
        </row>
        <row r="422">
          <cell r="A422" t="str">
            <v>LYQ-ZQ1117-E0-S</v>
          </cell>
          <cell r="B422" t="str">
            <v>LYQ-ZQ1117</v>
          </cell>
        </row>
        <row r="423">
          <cell r="A423" t="str">
            <v>LYQ-ZQ1117-E0-XL</v>
          </cell>
          <cell r="B423" t="str">
            <v>LYQ-ZQ1117</v>
          </cell>
        </row>
        <row r="424">
          <cell r="A424" t="str">
            <v>LYQ-ZQ1117-G7-2XL</v>
          </cell>
          <cell r="B424" t="str">
            <v>LYQ-ZQ1117</v>
          </cell>
        </row>
        <row r="425">
          <cell r="A425" t="str">
            <v>LYQ-ZQ1117-G7-L</v>
          </cell>
          <cell r="B425" t="str">
            <v>LYQ-ZQ1117</v>
          </cell>
        </row>
        <row r="426">
          <cell r="A426" t="str">
            <v>LYQ-ZQ1117-G7-M</v>
          </cell>
          <cell r="B426" t="str">
            <v>LYQ-ZQ1117</v>
          </cell>
        </row>
        <row r="427">
          <cell r="A427" t="str">
            <v>LYQ-ZQ1117-G7-S</v>
          </cell>
          <cell r="B427" t="str">
            <v>LYQ-ZQ1117</v>
          </cell>
        </row>
        <row r="428">
          <cell r="A428" t="str">
            <v>LYQ-ZQ1117-G7-XL</v>
          </cell>
          <cell r="B428" t="str">
            <v>LYQ-ZQ1117</v>
          </cell>
        </row>
        <row r="429">
          <cell r="A429" t="str">
            <v>LYQ-ZQ1117-K0-2XL</v>
          </cell>
          <cell r="B429" t="str">
            <v>LYQ-ZQ1117</v>
          </cell>
        </row>
        <row r="430">
          <cell r="A430" t="str">
            <v>LYQ-ZQ1117-K0-L</v>
          </cell>
          <cell r="B430" t="str">
            <v>LYQ-ZQ1117</v>
          </cell>
        </row>
        <row r="431">
          <cell r="A431" t="str">
            <v>LYQ-ZQ1117-K0-M</v>
          </cell>
          <cell r="B431" t="str">
            <v>LYQ-ZQ1117</v>
          </cell>
        </row>
        <row r="432">
          <cell r="A432" t="str">
            <v>LYQ-ZQ1117-K0-S</v>
          </cell>
          <cell r="B432" t="str">
            <v>LYQ-ZQ1117</v>
          </cell>
        </row>
        <row r="433">
          <cell r="A433" t="str">
            <v>LYQ-ZQ1117-K0-XL</v>
          </cell>
          <cell r="B433" t="str">
            <v>LYQ-ZQ1117</v>
          </cell>
        </row>
        <row r="434">
          <cell r="A434" t="str">
            <v>LYQ-ZQ1117-KQ-2XL</v>
          </cell>
          <cell r="B434" t="str">
            <v>LYQ-ZQ1117</v>
          </cell>
        </row>
        <row r="435">
          <cell r="A435" t="str">
            <v>LYQ-ZQ1117-KQ-L</v>
          </cell>
          <cell r="B435" t="str">
            <v>LYQ-ZQ1117</v>
          </cell>
        </row>
        <row r="436">
          <cell r="A436" t="str">
            <v>LYQ-ZQ1117-KQ-M</v>
          </cell>
          <cell r="B436" t="str">
            <v>LYQ-ZQ1117</v>
          </cell>
        </row>
        <row r="437">
          <cell r="A437" t="str">
            <v>LYQ-ZQ1117-KQ-S</v>
          </cell>
          <cell r="B437" t="str">
            <v>LYQ-ZQ1117</v>
          </cell>
        </row>
        <row r="438">
          <cell r="A438" t="str">
            <v>LYQ-ZQ1117-KQ-XL</v>
          </cell>
          <cell r="B438" t="str">
            <v>LYQ-ZQ1117</v>
          </cell>
        </row>
        <row r="439">
          <cell r="A439" t="str">
            <v>LYQ-ZQ1428-R0-M</v>
          </cell>
          <cell r="B439" t="str">
            <v>LYQ-ZQ1428</v>
          </cell>
        </row>
        <row r="440">
          <cell r="A440" t="str">
            <v>LYQ-ZQ1428-Y0-S</v>
          </cell>
          <cell r="B440" t="str">
            <v>LYQ-ZQ1428</v>
          </cell>
        </row>
        <row r="441">
          <cell r="A441" t="str">
            <v>LYQ-ZQ1669-B0-L</v>
          </cell>
          <cell r="B441" t="str">
            <v>LYQ-ZQ1669</v>
          </cell>
        </row>
        <row r="442">
          <cell r="A442" t="str">
            <v>LYQ-ZQ1669-B0-M</v>
          </cell>
          <cell r="B442" t="str">
            <v>LYQ-ZQ1669</v>
          </cell>
        </row>
        <row r="443">
          <cell r="A443" t="str">
            <v>LYQ-ZQ1669-B0-S</v>
          </cell>
          <cell r="B443" t="str">
            <v>LYQ-ZQ1669</v>
          </cell>
        </row>
        <row r="444">
          <cell r="A444" t="str">
            <v>LYQ-ZQ1669-B0-XL</v>
          </cell>
          <cell r="B444" t="str">
            <v>LYQ-ZQ1669</v>
          </cell>
        </row>
        <row r="445">
          <cell r="A445" t="str">
            <v>LYQ-ZQ1880-R0-L</v>
          </cell>
          <cell r="B445" t="str">
            <v>LYQ-ZQ1880</v>
          </cell>
        </row>
        <row r="446">
          <cell r="A446" t="str">
            <v>LYQ-ZQ1880-R0-M</v>
          </cell>
          <cell r="B446" t="str">
            <v>LYQ-ZQ1880</v>
          </cell>
        </row>
        <row r="447">
          <cell r="A447" t="str">
            <v>LYQ-ZQ1880-R0-S</v>
          </cell>
          <cell r="B447" t="str">
            <v>LYQ-ZQ1880</v>
          </cell>
        </row>
        <row r="448">
          <cell r="A448" t="str">
            <v>LYQ-ZQ1880-R0-XL</v>
          </cell>
          <cell r="B448" t="str">
            <v>LYQ-ZQ1880</v>
          </cell>
        </row>
        <row r="449">
          <cell r="A449" t="str">
            <v>LYQ-ZQ1880-Y0-M</v>
          </cell>
          <cell r="B449" t="str">
            <v>LYQ-ZQ1880</v>
          </cell>
        </row>
        <row r="450">
          <cell r="A450" t="str">
            <v>LYQ-ZQ1880-ZL-L</v>
          </cell>
          <cell r="B450" t="str">
            <v>LYQ-ZQ1880</v>
          </cell>
        </row>
        <row r="451">
          <cell r="A451" t="str">
            <v>LYQ-ZQ1880-ZL-M</v>
          </cell>
          <cell r="B451" t="str">
            <v>LYQ-ZQ1880</v>
          </cell>
        </row>
        <row r="452">
          <cell r="A452" t="str">
            <v>LYQ-ZQ1880-ZL-S</v>
          </cell>
          <cell r="B452" t="str">
            <v>LYQ-ZQ1880</v>
          </cell>
        </row>
        <row r="453">
          <cell r="A453" t="str">
            <v>LYQ-ZQ1880-ZL-XL</v>
          </cell>
          <cell r="B453" t="str">
            <v>LYQ-ZQ1880</v>
          </cell>
        </row>
        <row r="454">
          <cell r="A454" t="str">
            <v>LYQ-ZQ2973-BD-2XL</v>
          </cell>
          <cell r="B454" t="str">
            <v>LYQ-ZQ2973</v>
          </cell>
        </row>
        <row r="455">
          <cell r="A455" t="str">
            <v>LYQ-ZQ2973-BD-L</v>
          </cell>
          <cell r="B455" t="str">
            <v>LYQ-ZQ2973</v>
          </cell>
        </row>
        <row r="456">
          <cell r="A456" t="str">
            <v>LYQ-ZQ2973-BD-M</v>
          </cell>
          <cell r="B456" t="str">
            <v>LYQ-ZQ2973</v>
          </cell>
        </row>
        <row r="457">
          <cell r="A457" t="str">
            <v>LYQ-ZQ2973-BD-S</v>
          </cell>
          <cell r="B457" t="str">
            <v>LYQ-ZQ2973</v>
          </cell>
        </row>
        <row r="458">
          <cell r="A458" t="str">
            <v>LYQ-ZQ2973-BD-XL</v>
          </cell>
          <cell r="B458" t="str">
            <v>LYQ-ZQ2973</v>
          </cell>
        </row>
        <row r="459">
          <cell r="A459" t="str">
            <v>LYQ-ZQ2973-E0-2XL</v>
          </cell>
          <cell r="B459" t="str">
            <v>LYQ-ZQ2973</v>
          </cell>
        </row>
        <row r="460">
          <cell r="A460" t="str">
            <v>LYQ-ZQ2973-E0-L</v>
          </cell>
          <cell r="B460" t="str">
            <v>LYQ-ZQ2973</v>
          </cell>
        </row>
        <row r="461">
          <cell r="A461" t="str">
            <v>LYQ-ZQ2973-E0-M</v>
          </cell>
          <cell r="B461" t="str">
            <v>LYQ-ZQ2973</v>
          </cell>
        </row>
        <row r="462">
          <cell r="A462" t="str">
            <v>LYQ-ZQ2973-E0-S</v>
          </cell>
          <cell r="B462" t="str">
            <v>LYQ-ZQ2973</v>
          </cell>
        </row>
        <row r="463">
          <cell r="A463" t="str">
            <v>LYQ-ZQ2973-E0-XL</v>
          </cell>
          <cell r="B463" t="str">
            <v>LYQ-ZQ2973</v>
          </cell>
        </row>
        <row r="464">
          <cell r="A464" t="str">
            <v>LYQ-ZQ2973-G0-2XL</v>
          </cell>
          <cell r="B464" t="str">
            <v>LYQ-ZQ2973</v>
          </cell>
        </row>
        <row r="465">
          <cell r="A465" t="str">
            <v>LYQ-ZQ2973-G0-L</v>
          </cell>
          <cell r="B465" t="str">
            <v>LYQ-ZQ2973</v>
          </cell>
        </row>
        <row r="466">
          <cell r="A466" t="str">
            <v>LYQ-ZQ2973-G0-M</v>
          </cell>
          <cell r="B466" t="str">
            <v>LYQ-ZQ2973</v>
          </cell>
        </row>
        <row r="467">
          <cell r="A467" t="str">
            <v>LYQ-ZQ2973-G0-S</v>
          </cell>
          <cell r="B467" t="str">
            <v>LYQ-ZQ2973</v>
          </cell>
        </row>
        <row r="468">
          <cell r="A468" t="str">
            <v>LYQ-ZQ2973-G0-XL</v>
          </cell>
          <cell r="B468" t="str">
            <v>LYQ-ZQ2973</v>
          </cell>
        </row>
        <row r="469">
          <cell r="A469" t="str">
            <v>LYQ-ZQ2973-K0-2XL</v>
          </cell>
          <cell r="B469" t="str">
            <v>LYQ-ZQ2973</v>
          </cell>
        </row>
        <row r="470">
          <cell r="A470" t="str">
            <v>LYQ-ZQ2973-K0-L</v>
          </cell>
          <cell r="B470" t="str">
            <v>LYQ-ZQ2973</v>
          </cell>
        </row>
        <row r="471">
          <cell r="A471" t="str">
            <v>LYQ-ZQ2973-K0-M</v>
          </cell>
          <cell r="B471" t="str">
            <v>LYQ-ZQ2973</v>
          </cell>
        </row>
        <row r="472">
          <cell r="A472" t="str">
            <v>LYQ-ZQ2973-K0-S</v>
          </cell>
          <cell r="B472" t="str">
            <v>LYQ-ZQ2973</v>
          </cell>
        </row>
        <row r="473">
          <cell r="A473" t="str">
            <v>LYQ-ZQ2973-K0-XL</v>
          </cell>
          <cell r="B473" t="str">
            <v>LYQ-ZQ2973</v>
          </cell>
        </row>
        <row r="474">
          <cell r="A474" t="str">
            <v>LYQ-ZQ2973-KQ-2XL</v>
          </cell>
          <cell r="B474" t="str">
            <v>LYQ-ZQ2973</v>
          </cell>
        </row>
        <row r="475">
          <cell r="A475" t="str">
            <v>LYQ-ZQ2973-KQ-L</v>
          </cell>
          <cell r="B475" t="str">
            <v>LYQ-ZQ2973</v>
          </cell>
        </row>
        <row r="476">
          <cell r="A476" t="str">
            <v>LYQ-ZQ2973-KQ-M</v>
          </cell>
          <cell r="B476" t="str">
            <v>LYQ-ZQ2973</v>
          </cell>
        </row>
        <row r="477">
          <cell r="A477" t="str">
            <v>LYQ-ZQ2973-KQ-S</v>
          </cell>
          <cell r="B477" t="str">
            <v>LYQ-ZQ2973</v>
          </cell>
        </row>
        <row r="478">
          <cell r="A478" t="str">
            <v>LYQ-ZQ2973-KQ-XL</v>
          </cell>
          <cell r="B478" t="str">
            <v>LYQ-ZQ2973</v>
          </cell>
        </row>
        <row r="479">
          <cell r="A479" t="str">
            <v>LYQ-ZQ2973-P0-2XL</v>
          </cell>
          <cell r="B479" t="str">
            <v>LYQ-ZQ2973</v>
          </cell>
        </row>
        <row r="480">
          <cell r="A480" t="str">
            <v>LYQ-ZQ2973-P0-L</v>
          </cell>
          <cell r="B480" t="str">
            <v>LYQ-ZQ2973</v>
          </cell>
        </row>
        <row r="481">
          <cell r="A481" t="str">
            <v>LYQ-ZQ2973-P0-S</v>
          </cell>
          <cell r="B481" t="str">
            <v>LYQ-ZQ2973</v>
          </cell>
        </row>
        <row r="482">
          <cell r="A482" t="str">
            <v>LYQ-ZQ2973-P0-XL</v>
          </cell>
          <cell r="B482" t="str">
            <v>LYQ-ZQ2973</v>
          </cell>
        </row>
        <row r="483">
          <cell r="A483" t="str">
            <v>LYQ-ZQ2973-W1-2XL</v>
          </cell>
          <cell r="B483" t="str">
            <v>LYQ-ZQ2973</v>
          </cell>
        </row>
        <row r="484">
          <cell r="A484" t="str">
            <v>LYQ-ZQ2973-W1-L</v>
          </cell>
          <cell r="B484" t="str">
            <v>LYQ-ZQ2973</v>
          </cell>
        </row>
        <row r="485">
          <cell r="A485" t="str">
            <v>LYQ-ZQ2973-W1-M</v>
          </cell>
          <cell r="B485" t="str">
            <v>LYQ-ZQ2973</v>
          </cell>
        </row>
        <row r="486">
          <cell r="A486" t="str">
            <v>LYQ-ZQ2973-W1-S</v>
          </cell>
          <cell r="B486" t="str">
            <v>LYQ-ZQ2973</v>
          </cell>
        </row>
        <row r="487">
          <cell r="A487" t="str">
            <v>LYQ-ZQ2973-W1-XL</v>
          </cell>
          <cell r="B487" t="str">
            <v>LYQ-ZQ2973</v>
          </cell>
        </row>
        <row r="488">
          <cell r="A488" t="str">
            <v>LYQ-ZQ2973-ZL-2XL</v>
          </cell>
          <cell r="B488" t="str">
            <v>LYQ-ZQ2973</v>
          </cell>
        </row>
        <row r="489">
          <cell r="A489" t="str">
            <v>LYQ-ZQ2973-ZL-L</v>
          </cell>
          <cell r="B489" t="str">
            <v>LYQ-ZQ2973</v>
          </cell>
        </row>
        <row r="490">
          <cell r="A490" t="str">
            <v>LYQ-ZQ2973-ZL-M</v>
          </cell>
          <cell r="B490" t="str">
            <v>LYQ-ZQ2973</v>
          </cell>
        </row>
        <row r="491">
          <cell r="A491" t="str">
            <v>LYQ-ZQ2973-ZL-S</v>
          </cell>
          <cell r="B491" t="str">
            <v>LYQ-ZQ2973</v>
          </cell>
        </row>
        <row r="492">
          <cell r="A492" t="str">
            <v>LYQ-ZQ2973-ZL-XL</v>
          </cell>
          <cell r="B492" t="str">
            <v>LYQ-ZQ2973</v>
          </cell>
        </row>
        <row r="493">
          <cell r="A493" t="str">
            <v>LYQ-ZQ2W00-K0-L</v>
          </cell>
          <cell r="B493" t="str">
            <v>LYQ-ZQ2W00</v>
          </cell>
        </row>
        <row r="494">
          <cell r="A494" t="str">
            <v>LYQ-ZQ2W00-K0-M</v>
          </cell>
          <cell r="B494" t="str">
            <v>LYQ-ZQ2W00</v>
          </cell>
        </row>
        <row r="495">
          <cell r="A495" t="str">
            <v>LYQ-ZQ2W00-K0-XL</v>
          </cell>
          <cell r="B495" t="str">
            <v>LYQ-ZQ2W00</v>
          </cell>
        </row>
        <row r="496">
          <cell r="A496" t="str">
            <v>LYQ-ZQ3550-E0-2X</v>
          </cell>
          <cell r="B496" t="str">
            <v>LYQ-ZQ3550</v>
          </cell>
        </row>
        <row r="497">
          <cell r="A497" t="str">
            <v>LYQ-ZQ3550-E0-3X</v>
          </cell>
          <cell r="B497" t="str">
            <v>LYQ-ZQ3550</v>
          </cell>
        </row>
        <row r="498">
          <cell r="A498" t="str">
            <v>LYQ-ZQ3550-E0-4X</v>
          </cell>
          <cell r="B498" t="str">
            <v>LYQ-ZQ3550</v>
          </cell>
        </row>
        <row r="499">
          <cell r="A499" t="str">
            <v>LYQ-ZQ3550-E0-5X</v>
          </cell>
          <cell r="B499" t="str">
            <v>LYQ-ZQ3550</v>
          </cell>
        </row>
        <row r="500">
          <cell r="A500" t="str">
            <v>LYQ-ZQ3550-E0-L</v>
          </cell>
          <cell r="B500" t="str">
            <v>LYQ-ZQ3550</v>
          </cell>
        </row>
        <row r="501">
          <cell r="A501" t="str">
            <v>LYQ-ZQ3550-E0-M</v>
          </cell>
          <cell r="B501" t="str">
            <v>LYQ-ZQ3550</v>
          </cell>
        </row>
        <row r="502">
          <cell r="A502" t="str">
            <v>LYQ-ZQ3550-E0-S</v>
          </cell>
          <cell r="B502" t="str">
            <v>LYQ-ZQ3550</v>
          </cell>
        </row>
        <row r="503">
          <cell r="A503" t="str">
            <v>LYQ-ZQ3550-E0-XL</v>
          </cell>
          <cell r="B503" t="str">
            <v>LYQ-ZQ3550</v>
          </cell>
        </row>
        <row r="504">
          <cell r="A504" t="str">
            <v>LYQ-ZQ3550-PI-2X</v>
          </cell>
          <cell r="B504" t="str">
            <v>LYQ-ZQ3550</v>
          </cell>
        </row>
        <row r="505">
          <cell r="A505" t="str">
            <v>LYQ-ZQ3550-PI-3X</v>
          </cell>
          <cell r="B505" t="str">
            <v>LYQ-ZQ3550</v>
          </cell>
        </row>
        <row r="506">
          <cell r="A506" t="str">
            <v>LYQ-ZQ3550-PI-4X</v>
          </cell>
          <cell r="B506" t="str">
            <v>LYQ-ZQ3550</v>
          </cell>
        </row>
        <row r="507">
          <cell r="A507" t="str">
            <v>LYQ-ZQ3550-PI-5X</v>
          </cell>
          <cell r="B507" t="str">
            <v>LYQ-ZQ3550</v>
          </cell>
        </row>
        <row r="508">
          <cell r="A508" t="str">
            <v>LYQ-ZQ3550-PI-L</v>
          </cell>
          <cell r="B508" t="str">
            <v>LYQ-ZQ3550</v>
          </cell>
        </row>
        <row r="509">
          <cell r="A509" t="str">
            <v>LYQ-ZQ3550-PI-M</v>
          </cell>
          <cell r="B509" t="str">
            <v>LYQ-ZQ3550</v>
          </cell>
        </row>
        <row r="510">
          <cell r="A510" t="str">
            <v>LYQ-ZQ3550-PI-S</v>
          </cell>
          <cell r="B510" t="str">
            <v>LYQ-ZQ3550</v>
          </cell>
        </row>
        <row r="511">
          <cell r="A511" t="str">
            <v>LYQ-ZQ3550-PI-XL</v>
          </cell>
          <cell r="B511" t="str">
            <v>LYQ-ZQ3550</v>
          </cell>
        </row>
        <row r="512">
          <cell r="A512" t="str">
            <v>LYQ-ZQ456-E0-S</v>
          </cell>
          <cell r="B512" t="str">
            <v>LYQ-ZQ456</v>
          </cell>
        </row>
        <row r="513">
          <cell r="A513" t="str">
            <v>LYQ-ZQ6044-B0-S</v>
          </cell>
          <cell r="B513" t="str">
            <v>LYQ-ZQ6044</v>
          </cell>
        </row>
        <row r="514">
          <cell r="A514" t="str">
            <v>LYQ-ZQ7900-W0-L</v>
          </cell>
          <cell r="B514" t="str">
            <v>LYQ-ZQ7900</v>
          </cell>
        </row>
        <row r="515">
          <cell r="A515" t="str">
            <v>LYQ-ZQ7900-W0-S</v>
          </cell>
          <cell r="B515" t="str">
            <v>LYQ-ZQ7900</v>
          </cell>
        </row>
        <row r="516">
          <cell r="A516" t="str">
            <v>LYQ-ZQ7900-W0-XL</v>
          </cell>
          <cell r="B516" t="str">
            <v>LYQ-ZQ7900</v>
          </cell>
        </row>
        <row r="517">
          <cell r="A517" t="str">
            <v>LYQ-ZQ7900-W0-XXL</v>
          </cell>
          <cell r="B517" t="str">
            <v>LYQ-ZQ7900</v>
          </cell>
        </row>
        <row r="518">
          <cell r="A518" t="str">
            <v>LYQ-ZQ8200-FB-L</v>
          </cell>
          <cell r="B518" t="str">
            <v>LYQ-ZQ8200</v>
          </cell>
        </row>
        <row r="519">
          <cell r="A519" t="str">
            <v>LYQ-ZQ8200-FB-M</v>
          </cell>
          <cell r="B519" t="str">
            <v>LYQ-ZQ8200</v>
          </cell>
        </row>
        <row r="520">
          <cell r="A520" t="str">
            <v>LYQ-ZQ8200-FB-S</v>
          </cell>
          <cell r="B520" t="str">
            <v>LYQ-ZQ8200</v>
          </cell>
        </row>
        <row r="521">
          <cell r="A521" t="str">
            <v>LYQ-ZQ8200-FB-XL</v>
          </cell>
          <cell r="B521" t="str">
            <v>LYQ-ZQ8200</v>
          </cell>
        </row>
        <row r="522">
          <cell r="A522" t="str">
            <v>LYQ-ZQ8200-K0-L</v>
          </cell>
          <cell r="B522" t="str">
            <v>LYQ-ZQ8200</v>
          </cell>
        </row>
        <row r="523">
          <cell r="A523" t="str">
            <v>LYQ-ZQ8200-K0-M</v>
          </cell>
          <cell r="B523" t="str">
            <v>LYQ-ZQ8200</v>
          </cell>
        </row>
        <row r="524">
          <cell r="A524" t="str">
            <v>LYQ-ZQ8200-K0-S</v>
          </cell>
          <cell r="B524" t="str">
            <v>LYQ-ZQ8200</v>
          </cell>
        </row>
        <row r="525">
          <cell r="A525" t="str">
            <v>LYQ-ZQ8200-K0-XL</v>
          </cell>
          <cell r="B525" t="str">
            <v>LYQ-ZQ8200</v>
          </cell>
        </row>
        <row r="526">
          <cell r="A526" t="str">
            <v>LYQ-ZQ8200-P0-L</v>
          </cell>
          <cell r="B526" t="str">
            <v>LYQ-ZQ8200</v>
          </cell>
        </row>
        <row r="527">
          <cell r="A527" t="str">
            <v>LYQ-ZQ8200-P0-M</v>
          </cell>
          <cell r="B527" t="str">
            <v>LYQ-ZQ8200</v>
          </cell>
        </row>
        <row r="528">
          <cell r="A528" t="str">
            <v>LYQ-ZQ8200-P0-S</v>
          </cell>
          <cell r="B528" t="str">
            <v>LYQ-ZQ8200</v>
          </cell>
        </row>
        <row r="529">
          <cell r="A529" t="str">
            <v>LYQ-ZQ8200-P0-XL</v>
          </cell>
          <cell r="B529" t="str">
            <v>LYQ-ZQ8200</v>
          </cell>
        </row>
        <row r="530">
          <cell r="A530" t="str">
            <v>LYQ-ZQC910-K0-XL</v>
          </cell>
          <cell r="B530" t="str">
            <v>LYQ-ZQC910</v>
          </cell>
        </row>
        <row r="531">
          <cell r="A531" t="str">
            <v>LYQ-ZQD270-K0-L</v>
          </cell>
          <cell r="B531" t="str">
            <v>LYQ-ZQD270</v>
          </cell>
        </row>
        <row r="532">
          <cell r="A532" t="str">
            <v>LYQ-ZQD270-K0-XL</v>
          </cell>
          <cell r="B532" t="str">
            <v>LYQ-ZQD270</v>
          </cell>
        </row>
        <row r="533">
          <cell r="A533" t="str">
            <v>LYQ-ZQD270-P0-S</v>
          </cell>
          <cell r="B533" t="str">
            <v>LYQ-ZQD270</v>
          </cell>
        </row>
        <row r="534">
          <cell r="A534" t="str">
            <v>LYQ-ZQD270-P0-XL</v>
          </cell>
          <cell r="B534" t="str">
            <v>LYQ-ZQD270</v>
          </cell>
        </row>
        <row r="535">
          <cell r="A535" t="str">
            <v>LYQ-ZQD270-W0-S</v>
          </cell>
          <cell r="B535" t="str">
            <v>LYQ-ZQD270</v>
          </cell>
        </row>
        <row r="536">
          <cell r="A536" t="str">
            <v>LYQ-ZQD390-B0-L</v>
          </cell>
          <cell r="B536" t="str">
            <v>LYQ-ZQD390</v>
          </cell>
        </row>
        <row r="537">
          <cell r="A537" t="str">
            <v>LYQ-ZQD390-E0-S</v>
          </cell>
          <cell r="B537" t="str">
            <v>LYQ-ZQD390</v>
          </cell>
        </row>
        <row r="538">
          <cell r="A538" t="str">
            <v>LYQ-ZQD390-G0-S</v>
          </cell>
          <cell r="B538" t="str">
            <v>LYQ-ZQD390</v>
          </cell>
        </row>
        <row r="539">
          <cell r="A539" t="str">
            <v>LYQ-ZQD390-K0-S</v>
          </cell>
          <cell r="B539" t="str">
            <v>LYQ-ZQD390</v>
          </cell>
        </row>
        <row r="540">
          <cell r="A540" t="str">
            <v>LYQ-ZQLC00-K0-XL</v>
          </cell>
          <cell r="B540" t="str">
            <v>LYQ-ZQLC00</v>
          </cell>
        </row>
        <row r="541">
          <cell r="A541" t="str">
            <v>LYQ-ZQLP01-P0-M</v>
          </cell>
          <cell r="B541" t="str">
            <v>LYQ-ZQLP01</v>
          </cell>
        </row>
        <row r="542">
          <cell r="A542" t="str">
            <v>LYQ-ZQLP01-P0-S</v>
          </cell>
          <cell r="B542" t="str">
            <v>LYQ-ZQLP01</v>
          </cell>
        </row>
        <row r="543">
          <cell r="A543" t="str">
            <v>LYQ-ZQMB170005-K0-2X</v>
          </cell>
          <cell r="B543" t="str">
            <v>LYQ-ZQMB170005</v>
          </cell>
        </row>
        <row r="544">
          <cell r="A544" t="str">
            <v>LYQ-ZQMB170005-K0-XL</v>
          </cell>
          <cell r="B544" t="str">
            <v>LYQ-ZQMB170005</v>
          </cell>
        </row>
        <row r="545">
          <cell r="A545" t="str">
            <v>LYQ-ZQMB3811-E0-2X</v>
          </cell>
          <cell r="B545" t="str">
            <v>LYQ-ZQMB3811</v>
          </cell>
        </row>
        <row r="546">
          <cell r="A546" t="str">
            <v>LYQ-ZQMB3811-E0-3X</v>
          </cell>
          <cell r="B546" t="str">
            <v>LYQ-ZQMB3811</v>
          </cell>
        </row>
        <row r="547">
          <cell r="A547" t="str">
            <v>LYQ-ZQMB3811-E0-5X</v>
          </cell>
          <cell r="B547" t="str">
            <v>LYQ-ZQMB3811</v>
          </cell>
        </row>
        <row r="548">
          <cell r="A548" t="str">
            <v>LYQ-ZQMB3811-E0-6X</v>
          </cell>
          <cell r="B548" t="str">
            <v>LYQ-ZQMB3811</v>
          </cell>
        </row>
        <row r="549">
          <cell r="A549" t="str">
            <v>LYQ-ZQMB3811-E0-XL</v>
          </cell>
          <cell r="B549" t="str">
            <v>LYQ-ZQMB3811</v>
          </cell>
        </row>
        <row r="550">
          <cell r="A550" t="str">
            <v>LYQ-ZQMB3811-K0-3X</v>
          </cell>
          <cell r="B550" t="str">
            <v>LYQ-ZQMB3811</v>
          </cell>
        </row>
        <row r="551">
          <cell r="A551" t="str">
            <v>LYQ-ZQMB3811-K0-4X</v>
          </cell>
          <cell r="B551" t="str">
            <v>LYQ-ZQMB3811</v>
          </cell>
        </row>
        <row r="552">
          <cell r="A552" t="str">
            <v>LYQ-ZQPC01-B0-L</v>
          </cell>
          <cell r="B552" t="str">
            <v>LYQ-ZQPC01</v>
          </cell>
        </row>
        <row r="553">
          <cell r="A553" t="str">
            <v>LYQ-ZQPC01-B0-M</v>
          </cell>
          <cell r="B553" t="str">
            <v>LYQ-ZQPC01</v>
          </cell>
        </row>
        <row r="554">
          <cell r="A554" t="str">
            <v>LYQ-ZQPC01-B0-S</v>
          </cell>
          <cell r="B554" t="str">
            <v>LYQ-ZQPC01</v>
          </cell>
        </row>
        <row r="555">
          <cell r="A555" t="str">
            <v>LYQ-ZQPC01-B0-XL</v>
          </cell>
          <cell r="B555" t="str">
            <v>LYQ-ZQPC01</v>
          </cell>
        </row>
        <row r="556">
          <cell r="A556" t="str">
            <v>LYQ-ZQPC01-B0-XXL</v>
          </cell>
          <cell r="B556" t="str">
            <v>LYQ-ZQPC01</v>
          </cell>
        </row>
        <row r="557">
          <cell r="A557" t="str">
            <v>LYQ-ZQPC01-BD-L</v>
          </cell>
          <cell r="B557" t="str">
            <v>LYQ-ZQPC01</v>
          </cell>
        </row>
        <row r="558">
          <cell r="A558" t="str">
            <v>LYQ-ZQPC01-BD-M</v>
          </cell>
          <cell r="B558" t="str">
            <v>LYQ-ZQPC01</v>
          </cell>
        </row>
        <row r="559">
          <cell r="A559" t="str">
            <v>LYQ-ZQPC01-BD-S</v>
          </cell>
          <cell r="B559" t="str">
            <v>LYQ-ZQPC01</v>
          </cell>
        </row>
        <row r="560">
          <cell r="A560" t="str">
            <v>LYQ-ZQPC01-BD-XL</v>
          </cell>
          <cell r="B560" t="str">
            <v>LYQ-ZQPC01</v>
          </cell>
        </row>
        <row r="561">
          <cell r="A561" t="str">
            <v>LYQ-ZQPC01-BD-XXL</v>
          </cell>
          <cell r="B561" t="str">
            <v>LYQ-ZQPC01</v>
          </cell>
        </row>
        <row r="562">
          <cell r="A562" t="str">
            <v>LYQ-ZQPC01-E0-L</v>
          </cell>
          <cell r="B562" t="str">
            <v>LYQ-ZQPC01</v>
          </cell>
        </row>
        <row r="563">
          <cell r="A563" t="str">
            <v>LYQ-ZQPC01-E0-M</v>
          </cell>
          <cell r="B563" t="str">
            <v>LYQ-ZQPC01</v>
          </cell>
        </row>
        <row r="564">
          <cell r="A564" t="str">
            <v>LYQ-ZQPC01-E0-S</v>
          </cell>
          <cell r="B564" t="str">
            <v>LYQ-ZQPC01</v>
          </cell>
        </row>
        <row r="565">
          <cell r="A565" t="str">
            <v>LYQ-ZQPC01-E0-XL</v>
          </cell>
          <cell r="B565" t="str">
            <v>LYQ-ZQPC01</v>
          </cell>
        </row>
        <row r="566">
          <cell r="A566" t="str">
            <v>LYQ-ZQPC01-E0-XXL</v>
          </cell>
          <cell r="B566" t="str">
            <v>LYQ-ZQPC01</v>
          </cell>
        </row>
        <row r="567">
          <cell r="A567" t="str">
            <v>LYQ-ZQPC01-P0-L</v>
          </cell>
          <cell r="B567" t="str">
            <v>LYQ-ZQPC01</v>
          </cell>
        </row>
        <row r="568">
          <cell r="A568" t="str">
            <v>LYQ-ZQPC01-P0-M</v>
          </cell>
          <cell r="B568" t="str">
            <v>LYQ-ZQPC01</v>
          </cell>
        </row>
        <row r="569">
          <cell r="A569" t="str">
            <v>LYQ-ZQPC01-P0-S</v>
          </cell>
          <cell r="B569" t="str">
            <v>LYQ-ZQPC01</v>
          </cell>
        </row>
        <row r="570">
          <cell r="A570" t="str">
            <v>LYQ-ZQPC01-P0-XL</v>
          </cell>
          <cell r="B570" t="str">
            <v>LYQ-ZQPC01</v>
          </cell>
        </row>
        <row r="571">
          <cell r="A571" t="str">
            <v>LYQ-ZQPC01-P0-XXL</v>
          </cell>
          <cell r="B571" t="str">
            <v>LYQ-ZQPC01</v>
          </cell>
        </row>
        <row r="572">
          <cell r="A572" t="str">
            <v>LYQ-ZQPC01-ZL-L</v>
          </cell>
          <cell r="B572" t="str">
            <v>LYQ-ZQPC01</v>
          </cell>
        </row>
        <row r="573">
          <cell r="A573" t="str">
            <v>LYQ-ZQPC01-ZL-M</v>
          </cell>
          <cell r="B573" t="str">
            <v>LYQ-ZQPC01</v>
          </cell>
        </row>
        <row r="574">
          <cell r="A574" t="str">
            <v>LYQ-ZQPC01-ZL-XL</v>
          </cell>
          <cell r="B574" t="str">
            <v>LYQ-ZQPC01</v>
          </cell>
        </row>
        <row r="575">
          <cell r="A575" t="str">
            <v>LYQ-ZQPC01-ZL-XXL</v>
          </cell>
          <cell r="B575" t="str">
            <v>LYQ-ZQPC01</v>
          </cell>
        </row>
        <row r="576">
          <cell r="A576" t="str">
            <v>LYQ-ZQS1741-G7-L</v>
          </cell>
          <cell r="B576" t="str">
            <v>LYQ-ZQS1741</v>
          </cell>
        </row>
        <row r="577">
          <cell r="A577" t="str">
            <v>LYQ-ZQS1741-G7-M</v>
          </cell>
          <cell r="B577" t="str">
            <v>LYQ-ZQS1741</v>
          </cell>
        </row>
        <row r="578">
          <cell r="A578" t="str">
            <v>LYQ-ZQS1741-G7-S</v>
          </cell>
          <cell r="B578" t="str">
            <v>LYQ-ZQS1741</v>
          </cell>
        </row>
        <row r="579">
          <cell r="A579" t="str">
            <v>LYQ-ZQS1741-G7-XL</v>
          </cell>
          <cell r="B579" t="str">
            <v>LYQ-ZQS1741</v>
          </cell>
        </row>
        <row r="580">
          <cell r="A580" t="str">
            <v>LYQ-ZQS1741-K0-L</v>
          </cell>
          <cell r="B580" t="str">
            <v>LYQ-ZQS1741</v>
          </cell>
        </row>
        <row r="581">
          <cell r="A581" t="str">
            <v>LYQ-ZQS1741-K0-M</v>
          </cell>
          <cell r="B581" t="str">
            <v>LYQ-ZQS1741</v>
          </cell>
        </row>
        <row r="582">
          <cell r="A582" t="str">
            <v>LYQ-ZQS1741-K0-S</v>
          </cell>
          <cell r="B582" t="str">
            <v>LYQ-ZQS1741</v>
          </cell>
        </row>
        <row r="583">
          <cell r="A583" t="str">
            <v>LYQ-ZQS1741-W0-L</v>
          </cell>
          <cell r="B583" t="str">
            <v>LYQ-ZQS1741</v>
          </cell>
        </row>
        <row r="584">
          <cell r="A584" t="str">
            <v>LYQ-ZQS1741-W0-M</v>
          </cell>
          <cell r="B584" t="str">
            <v>LYQ-ZQS1741</v>
          </cell>
        </row>
        <row r="585">
          <cell r="A585" t="str">
            <v>LYQ-ZQS1741-W0-S</v>
          </cell>
          <cell r="B585" t="str">
            <v>LYQ-ZQS1741</v>
          </cell>
        </row>
        <row r="586">
          <cell r="A586" t="str">
            <v>LYQ-ZQS1741-W0-XL</v>
          </cell>
          <cell r="B586" t="str">
            <v>LYQ-ZQS1741</v>
          </cell>
        </row>
        <row r="587">
          <cell r="A587" t="str">
            <v>LYQ-ZQTN2611-BD-2X</v>
          </cell>
          <cell r="B587" t="str">
            <v>LYQ-ZQTN2611</v>
          </cell>
        </row>
        <row r="588">
          <cell r="A588" t="str">
            <v>LYQ-ZQTN2611-BD-3X</v>
          </cell>
          <cell r="B588" t="str">
            <v>LYQ-ZQTN2611</v>
          </cell>
        </row>
        <row r="589">
          <cell r="A589" t="str">
            <v>LYQ-ZQTN2611-BD-4X</v>
          </cell>
          <cell r="B589" t="str">
            <v>LYQ-ZQTN2611</v>
          </cell>
        </row>
        <row r="590">
          <cell r="A590" t="str">
            <v>LYQ-ZQTN2611-PI-2X</v>
          </cell>
          <cell r="B590" t="str">
            <v>LYQ-ZQTN2611</v>
          </cell>
        </row>
        <row r="591">
          <cell r="A591" t="str">
            <v>LYQ-ZQTN2611-PI-3X</v>
          </cell>
          <cell r="B591" t="str">
            <v>LYQ-ZQTN2611</v>
          </cell>
        </row>
        <row r="592">
          <cell r="A592" t="str">
            <v>LYQ-ZQTN2611-PI-5X</v>
          </cell>
          <cell r="B592" t="str">
            <v>LYQ-ZQTN2611</v>
          </cell>
        </row>
        <row r="593">
          <cell r="A593" t="str">
            <v>LYQ-ZQTN2611-PI-6X</v>
          </cell>
          <cell r="B593" t="str">
            <v>LYQ-ZQTN2611</v>
          </cell>
        </row>
        <row r="594">
          <cell r="A594" t="str">
            <v>LYQ-ZQTN2611-PI-XL</v>
          </cell>
          <cell r="B594" t="str">
            <v>LYQ-ZQTN2611</v>
          </cell>
        </row>
        <row r="595">
          <cell r="A595" t="str">
            <v>MNQ-N718-W0-M</v>
          </cell>
          <cell r="B595" t="str">
            <v>MNQ-N718</v>
          </cell>
        </row>
        <row r="596">
          <cell r="A596" t="str">
            <v>MZ-JY1616-CF</v>
          </cell>
          <cell r="B596" t="str">
            <v>MZ-JY1616</v>
          </cell>
        </row>
        <row r="597">
          <cell r="A597" t="str">
            <v>MZ-JY1616-KH</v>
          </cell>
          <cell r="B597" t="str">
            <v>MZ-JY1616</v>
          </cell>
        </row>
        <row r="598">
          <cell r="A598" t="str">
            <v>MZ-JY1616-R0</v>
          </cell>
          <cell r="B598" t="str">
            <v>MZ-JY1616</v>
          </cell>
        </row>
        <row r="599">
          <cell r="A599" t="str">
            <v>MZ-JY1616-ZL</v>
          </cell>
          <cell r="B599" t="str">
            <v>MZ-JY1616</v>
          </cell>
        </row>
        <row r="600">
          <cell r="A600" t="str">
            <v>NZ-FLQ52</v>
          </cell>
          <cell r="B600" t="str">
            <v>NZ-FLQ52</v>
          </cell>
        </row>
        <row r="601">
          <cell r="A601" t="str">
            <v>NZ-FLQ53</v>
          </cell>
          <cell r="B601" t="str">
            <v>NZ-FLQ53</v>
          </cell>
        </row>
        <row r="602">
          <cell r="A602" t="str">
            <v>NZZH-FLQ52</v>
          </cell>
          <cell r="B602" t="str">
            <v>NZZH-FLQ52</v>
          </cell>
        </row>
        <row r="603">
          <cell r="A603" t="str">
            <v>PJ-ZQ0976-K0</v>
          </cell>
          <cell r="B603" t="str">
            <v>PJ-ZQ0976</v>
          </cell>
        </row>
        <row r="604">
          <cell r="A604" t="str">
            <v>PJ-ZQ0976-O0</v>
          </cell>
          <cell r="B604" t="str">
            <v>PJ-ZQ0976</v>
          </cell>
        </row>
        <row r="605">
          <cell r="A605" t="str">
            <v>PJ-ZQ7050-C3</v>
          </cell>
          <cell r="B605" t="str">
            <v>PJ-ZQ7050</v>
          </cell>
        </row>
        <row r="606">
          <cell r="A606" t="str">
            <v>SHJ-ZQLS01-B0-2XL</v>
          </cell>
          <cell r="B606" t="str">
            <v>SHJ-ZQLS01</v>
          </cell>
        </row>
        <row r="607">
          <cell r="A607" t="str">
            <v>SHJ-ZQLS01-B0-3XL</v>
          </cell>
          <cell r="B607" t="str">
            <v>SHJ-ZQLS01</v>
          </cell>
        </row>
        <row r="608">
          <cell r="A608" t="str">
            <v>SHJ-ZQLS01-B0-4XL</v>
          </cell>
          <cell r="B608" t="str">
            <v>SHJ-ZQLS01</v>
          </cell>
        </row>
        <row r="609">
          <cell r="A609" t="str">
            <v>SHJ-ZQLS01-B0-XL</v>
          </cell>
          <cell r="B609" t="str">
            <v>SHJ-ZQLS01</v>
          </cell>
        </row>
        <row r="610">
          <cell r="A610" t="str">
            <v>SHJ-ZQLS12-K0-2XL</v>
          </cell>
          <cell r="B610" t="str">
            <v>SHJ-ZQLS12</v>
          </cell>
        </row>
        <row r="611">
          <cell r="A611" t="str">
            <v>SHJ-ZQLS12-K0-3XL</v>
          </cell>
          <cell r="B611" t="str">
            <v>SHJ-ZQLS12</v>
          </cell>
        </row>
        <row r="612">
          <cell r="A612" t="str">
            <v>SHJ-ZQLS12-K0-L</v>
          </cell>
          <cell r="B612" t="str">
            <v>SHJ-ZQLS12</v>
          </cell>
        </row>
        <row r="613">
          <cell r="A613" t="str">
            <v>SHJ-ZQLS12-K0-XL</v>
          </cell>
          <cell r="B613" t="str">
            <v>SHJ-ZQLS12</v>
          </cell>
        </row>
        <row r="614">
          <cell r="A614" t="str">
            <v>SJ-HM1995-K0</v>
          </cell>
          <cell r="B614" t="str">
            <v>SJ-HM1995</v>
          </cell>
        </row>
        <row r="615">
          <cell r="A615" t="str">
            <v>SJ-HM1995-W0</v>
          </cell>
          <cell r="B615" t="str">
            <v>SJ-HM1995</v>
          </cell>
        </row>
        <row r="616">
          <cell r="A616" t="str">
            <v>WJ-ZQ650-C1</v>
          </cell>
          <cell r="B616" t="str">
            <v>WJ-ZQ650</v>
          </cell>
        </row>
        <row r="617">
          <cell r="A617" t="str">
            <v>WJ-ZQ650-C10</v>
          </cell>
          <cell r="B617" t="str">
            <v>WJ-ZQ650</v>
          </cell>
        </row>
        <row r="618">
          <cell r="A618" t="str">
            <v>WJ-ZQ650-C11</v>
          </cell>
          <cell r="B618" t="str">
            <v>WJ-ZQ650</v>
          </cell>
        </row>
        <row r="619">
          <cell r="A619" t="str">
            <v>WJ-ZQ650-C3</v>
          </cell>
          <cell r="B619" t="str">
            <v>WJ-ZQ650</v>
          </cell>
        </row>
        <row r="620">
          <cell r="A620" t="str">
            <v>WJ-ZQ650-C4</v>
          </cell>
          <cell r="B620" t="str">
            <v>WJ-ZQ650</v>
          </cell>
        </row>
        <row r="621">
          <cell r="A621" t="str">
            <v>WJ-ZQ650-C5</v>
          </cell>
          <cell r="B621" t="str">
            <v>WJ-ZQ650</v>
          </cell>
        </row>
        <row r="622">
          <cell r="A622" t="str">
            <v>WJ-ZQ650-C6</v>
          </cell>
          <cell r="B622" t="str">
            <v>WJ-ZQ650</v>
          </cell>
        </row>
        <row r="623">
          <cell r="A623" t="str">
            <v>WJ-ZQ650-C7</v>
          </cell>
          <cell r="B623" t="str">
            <v>WJ-ZQ650</v>
          </cell>
        </row>
        <row r="624">
          <cell r="A624" t="str">
            <v>WJ-ZQ650-C8</v>
          </cell>
          <cell r="B624" t="str">
            <v>WJ-ZQ650</v>
          </cell>
        </row>
        <row r="625">
          <cell r="A625" t="str">
            <v>WJ-ZQ650-C9</v>
          </cell>
          <cell r="B625" t="str">
            <v>WJ-ZQ650</v>
          </cell>
        </row>
        <row r="626">
          <cell r="A626" t="str">
            <v>WT-ZQ921-G7-4XL</v>
          </cell>
          <cell r="B626" t="str">
            <v>WT-ZQ921</v>
          </cell>
        </row>
        <row r="627">
          <cell r="A627" t="str">
            <v>WT-ZQ921-K0-2XL</v>
          </cell>
          <cell r="B627" t="str">
            <v>WT-ZQ921</v>
          </cell>
        </row>
        <row r="628">
          <cell r="A628" t="str">
            <v>WT-ZQ921-K0-L</v>
          </cell>
          <cell r="B628" t="str">
            <v>WT-ZQ921</v>
          </cell>
        </row>
        <row r="629">
          <cell r="A629" t="str">
            <v>YF-YULQ001-B7-20</v>
          </cell>
          <cell r="B629" t="str">
            <v>YF-YULQ001</v>
          </cell>
        </row>
        <row r="630">
          <cell r="A630" t="str">
            <v>YF-YULQ002-B7-20</v>
          </cell>
          <cell r="B630" t="str">
            <v>YF-YULQ002</v>
          </cell>
        </row>
        <row r="631">
          <cell r="A631" t="str">
            <v>YF-YULQ003-R2-20</v>
          </cell>
          <cell r="B631" t="str">
            <v>YF-YULQ003</v>
          </cell>
        </row>
        <row r="632">
          <cell r="A632" t="str">
            <v>YF-YULQ003-W0-20</v>
          </cell>
          <cell r="B632" t="str">
            <v>YF-YULQ003</v>
          </cell>
        </row>
        <row r="633">
          <cell r="A633" t="str">
            <v>YF-YULQ007-PI-20</v>
          </cell>
          <cell r="B633" t="str">
            <v>YF-YULQ007</v>
          </cell>
        </row>
        <row r="634">
          <cell r="A634" t="str">
            <v>YF-YULQ008-BL-22</v>
          </cell>
          <cell r="B634" t="str">
            <v>YF-YULQ008</v>
          </cell>
        </row>
        <row r="635">
          <cell r="A635" t="str">
            <v>YF-YULQ009-YE-22</v>
          </cell>
          <cell r="B635" t="str">
            <v>YF-YULQ009</v>
          </cell>
        </row>
        <row r="636">
          <cell r="A636" t="str">
            <v>YF-YULQ010-PI-22</v>
          </cell>
          <cell r="B636" t="str">
            <v>YF-YULQ010</v>
          </cell>
        </row>
        <row r="637">
          <cell r="A637" t="str">
            <v>YF-YULQ161-B7-20</v>
          </cell>
          <cell r="B637" t="str">
            <v>YF-YULQ161</v>
          </cell>
        </row>
        <row r="638">
          <cell r="A638" t="str">
            <v>YF-YULQ162-B7-20</v>
          </cell>
          <cell r="B638" t="str">
            <v>YF-YULQ162</v>
          </cell>
        </row>
        <row r="639">
          <cell r="A639" t="str">
            <v>YF-YULQ601-PI-20</v>
          </cell>
          <cell r="B639" t="str">
            <v>YF-YULQ601</v>
          </cell>
        </row>
        <row r="640">
          <cell r="A640" t="str">
            <v>YF-YULQ602-PI-20</v>
          </cell>
          <cell r="B640" t="str">
            <v>YF-YULQ602</v>
          </cell>
        </row>
        <row r="641">
          <cell r="A641" t="str">
            <v>YF-YULQ904-B7-20</v>
          </cell>
          <cell r="B641" t="str">
            <v>YF-YULQ904</v>
          </cell>
        </row>
        <row r="642">
          <cell r="A642" t="str">
            <v>YF-YULQ905-B7-20</v>
          </cell>
          <cell r="B642" t="str">
            <v>YF-YULQ905</v>
          </cell>
        </row>
        <row r="643">
          <cell r="A643" t="str">
            <v>YL-FLQ58-PI-50</v>
          </cell>
          <cell r="B643" t="str">
            <v>YL-FLQ58</v>
          </cell>
        </row>
      </sheetData>
      <sheetData sheetId="1"/>
      <sheetData sheetId="2"/>
      <sheetData sheetId="3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  <sheetName val="all orders 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183</v>
          </cell>
          <cell r="D2">
            <v>201</v>
          </cell>
          <cell r="E2">
            <v>211</v>
          </cell>
          <cell r="F2">
            <v>204</v>
          </cell>
        </row>
        <row r="3">
          <cell r="A3" t="str">
            <v>DO-YULQ100-B7-22</v>
          </cell>
          <cell r="B3" t="str">
            <v>DO-YULQ100</v>
          </cell>
          <cell r="C3">
            <v>4</v>
          </cell>
          <cell r="D3">
            <v>9</v>
          </cell>
          <cell r="E3">
            <v>12</v>
          </cell>
          <cell r="F3">
            <v>7</v>
          </cell>
          <cell r="G3">
            <v>89.9899999999999</v>
          </cell>
        </row>
        <row r="4">
          <cell r="A4" t="str">
            <v>DO-YULQ638-LGR-20</v>
          </cell>
          <cell r="B4" t="str">
            <v>DO-YULQ638</v>
          </cell>
          <cell r="C4">
            <v>0</v>
          </cell>
          <cell r="D4">
            <v>0</v>
          </cell>
          <cell r="E4">
            <v>0</v>
          </cell>
          <cell r="F4">
            <v>2</v>
          </cell>
          <cell r="G4">
            <v>99.6</v>
          </cell>
        </row>
        <row r="5">
          <cell r="A5" t="str">
            <v>YF-YULQ007-PI-20</v>
          </cell>
          <cell r="B5" t="str">
            <v>YF-YULQ007</v>
          </cell>
          <cell r="C5">
            <v>13</v>
          </cell>
          <cell r="D5">
            <v>5</v>
          </cell>
          <cell r="E5">
            <v>8</v>
          </cell>
          <cell r="F5">
            <v>8</v>
          </cell>
          <cell r="G5">
            <v>21.99</v>
          </cell>
        </row>
        <row r="6">
          <cell r="A6" t="str">
            <v>DOLL-010-PI-22</v>
          </cell>
          <cell r="B6" t="str">
            <v>DOLL-010</v>
          </cell>
          <cell r="C6">
            <v>11</v>
          </cell>
          <cell r="D6">
            <v>11</v>
          </cell>
          <cell r="E6">
            <v>16</v>
          </cell>
          <cell r="F6">
            <v>13</v>
          </cell>
          <cell r="G6">
            <v>97.1860784313724</v>
          </cell>
        </row>
        <row r="7">
          <cell r="A7" t="str">
            <v>YF-YULQ002-B7-20</v>
          </cell>
          <cell r="B7" t="str">
            <v>YF-YULQ002</v>
          </cell>
          <cell r="C7">
            <v>1</v>
          </cell>
          <cell r="D7">
            <v>1</v>
          </cell>
          <cell r="E7">
            <v>0</v>
          </cell>
          <cell r="F7">
            <v>3</v>
          </cell>
          <cell r="G7">
            <v>21.99</v>
          </cell>
        </row>
        <row r="8">
          <cell r="A8" t="str">
            <v>DO-YULQ173-B7-22</v>
          </cell>
          <cell r="B8" t="str">
            <v>DO-YULQ173</v>
          </cell>
          <cell r="C8">
            <v>8</v>
          </cell>
          <cell r="D8">
            <v>5</v>
          </cell>
          <cell r="E8">
            <v>6</v>
          </cell>
          <cell r="F8">
            <v>9</v>
          </cell>
          <cell r="G8">
            <v>89.99</v>
          </cell>
        </row>
        <row r="9">
          <cell r="A9" t="str">
            <v>DOLL-004-PI-10</v>
          </cell>
          <cell r="B9" t="str">
            <v>DOLL-004</v>
          </cell>
          <cell r="C9">
            <v>0</v>
          </cell>
          <cell r="D9">
            <v>6</v>
          </cell>
          <cell r="E9">
            <v>6</v>
          </cell>
          <cell r="F9">
            <v>2</v>
          </cell>
          <cell r="G9">
            <v>29.99</v>
          </cell>
        </row>
        <row r="10">
          <cell r="A10" t="str">
            <v>DO-YULQ350-PI-22</v>
          </cell>
          <cell r="B10" t="str">
            <v>DO-YULQ350</v>
          </cell>
          <cell r="C10">
            <v>1</v>
          </cell>
          <cell r="D10">
            <v>0</v>
          </cell>
          <cell r="E10">
            <v>0</v>
          </cell>
          <cell r="F10">
            <v>1</v>
          </cell>
          <cell r="G10">
            <v>79.99</v>
          </cell>
        </row>
        <row r="11">
          <cell r="A11" t="str">
            <v>DO-YULQ070-PI-16</v>
          </cell>
          <cell r="B11" t="str">
            <v>DO-YULQ070</v>
          </cell>
          <cell r="C11">
            <v>10</v>
          </cell>
          <cell r="D11">
            <v>8</v>
          </cell>
          <cell r="E11">
            <v>3</v>
          </cell>
          <cell r="F11">
            <v>9</v>
          </cell>
          <cell r="G11">
            <v>79.99</v>
          </cell>
        </row>
        <row r="12">
          <cell r="A12" t="str">
            <v>DO-YULQ230-PI-16</v>
          </cell>
          <cell r="B12" t="str">
            <v>DO-YULQ230</v>
          </cell>
          <cell r="C12">
            <v>0</v>
          </cell>
          <cell r="D12">
            <v>4</v>
          </cell>
          <cell r="E12">
            <v>3</v>
          </cell>
          <cell r="F12">
            <v>1</v>
          </cell>
          <cell r="G12">
            <v>79.99</v>
          </cell>
        </row>
        <row r="13">
          <cell r="A13" t="str">
            <v>DO-YULQ123-FB-22</v>
          </cell>
          <cell r="B13" t="str">
            <v>DO-YULQ123</v>
          </cell>
          <cell r="C13">
            <v>4</v>
          </cell>
          <cell r="D13">
            <v>3</v>
          </cell>
          <cell r="E13">
            <v>3</v>
          </cell>
          <cell r="F13">
            <v>6</v>
          </cell>
          <cell r="G13">
            <v>89.99</v>
          </cell>
        </row>
        <row r="14">
          <cell r="A14" t="str">
            <v>DO-YULQ812-W0-18</v>
          </cell>
          <cell r="B14" t="str">
            <v>DO-YULQ812</v>
          </cell>
          <cell r="C14">
            <v>0</v>
          </cell>
          <cell r="D14">
            <v>4</v>
          </cell>
          <cell r="E14">
            <v>4</v>
          </cell>
          <cell r="F14">
            <v>3</v>
          </cell>
          <cell r="G14">
            <v>89.99</v>
          </cell>
        </row>
        <row r="15">
          <cell r="A15" t="str">
            <v>DO-YULQ664-AX-16</v>
          </cell>
          <cell r="B15" t="str">
            <v>DO-YULQ664</v>
          </cell>
          <cell r="C15">
            <v>1</v>
          </cell>
          <cell r="D15">
            <v>1</v>
          </cell>
          <cell r="E15">
            <v>0</v>
          </cell>
          <cell r="F15">
            <v>2</v>
          </cell>
          <cell r="G15">
            <v>79.99</v>
          </cell>
        </row>
        <row r="16">
          <cell r="A16" t="str">
            <v>DOLLDRESS-003-R2-20</v>
          </cell>
          <cell r="B16" t="str">
            <v>DOLLDRESS-003</v>
          </cell>
          <cell r="C16">
            <v>0</v>
          </cell>
          <cell r="D16">
            <v>0</v>
          </cell>
          <cell r="E16">
            <v>0</v>
          </cell>
          <cell r="F16">
            <v>2</v>
          </cell>
          <cell r="G16">
            <v>21.99</v>
          </cell>
        </row>
        <row r="17">
          <cell r="A17" t="str">
            <v>DOLL-020-PI-22</v>
          </cell>
          <cell r="B17" t="str">
            <v>DOLL-020</v>
          </cell>
          <cell r="C17">
            <v>13</v>
          </cell>
          <cell r="D17">
            <v>15</v>
          </cell>
          <cell r="E17">
            <v>12</v>
          </cell>
          <cell r="F17">
            <v>15</v>
          </cell>
          <cell r="G17">
            <v>89.9899999999999</v>
          </cell>
        </row>
        <row r="18">
          <cell r="A18" t="str">
            <v>DOLL-004-LB-10</v>
          </cell>
          <cell r="B18" t="str">
            <v>DOLL-004</v>
          </cell>
          <cell r="C18">
            <v>1</v>
          </cell>
          <cell r="D18">
            <v>2</v>
          </cell>
          <cell r="E18">
            <v>1</v>
          </cell>
          <cell r="F18">
            <v>1</v>
          </cell>
          <cell r="G18">
            <v>29.99</v>
          </cell>
        </row>
        <row r="19">
          <cell r="A19" t="str">
            <v>DO-YULQ620-PI-22</v>
          </cell>
          <cell r="B19" t="str">
            <v>DO-YULQ620</v>
          </cell>
          <cell r="C19">
            <v>0</v>
          </cell>
          <cell r="D19">
            <v>3</v>
          </cell>
          <cell r="E19">
            <v>1</v>
          </cell>
          <cell r="F19">
            <v>1</v>
          </cell>
          <cell r="G19">
            <v>85.99</v>
          </cell>
        </row>
        <row r="20">
          <cell r="A20" t="str">
            <v>DO-YULQ700-PI-22</v>
          </cell>
          <cell r="B20" t="str">
            <v>DO-YULQ700</v>
          </cell>
          <cell r="C20">
            <v>3</v>
          </cell>
          <cell r="D20">
            <v>2</v>
          </cell>
          <cell r="E20">
            <v>0</v>
          </cell>
          <cell r="F20">
            <v>3</v>
          </cell>
          <cell r="G20">
            <v>99.99</v>
          </cell>
        </row>
        <row r="21">
          <cell r="A21" t="str">
            <v>DO-YULQ150-B7-18</v>
          </cell>
          <cell r="B21" t="str">
            <v>DO-YULQ150</v>
          </cell>
          <cell r="C21">
            <v>1</v>
          </cell>
          <cell r="D21">
            <v>1</v>
          </cell>
          <cell r="E21">
            <v>1</v>
          </cell>
          <cell r="F21">
            <v>1</v>
          </cell>
          <cell r="G21">
            <v>84.99</v>
          </cell>
        </row>
        <row r="22">
          <cell r="A22" t="str">
            <v>DOLLDRESS-003-PI-20</v>
          </cell>
          <cell r="B22" t="str">
            <v>DOLLDRESS-003</v>
          </cell>
          <cell r="C22">
            <v>6</v>
          </cell>
          <cell r="D22">
            <v>3</v>
          </cell>
          <cell r="E22">
            <v>0</v>
          </cell>
          <cell r="F22">
            <v>2</v>
          </cell>
          <cell r="G22">
            <v>21.99</v>
          </cell>
        </row>
        <row r="23">
          <cell r="A23" t="str">
            <v>DO-YULQ001-PI-22</v>
          </cell>
          <cell r="B23" t="str">
            <v>DO-YULQ001</v>
          </cell>
          <cell r="C23">
            <v>16</v>
          </cell>
          <cell r="D23">
            <v>6</v>
          </cell>
          <cell r="E23">
            <v>15</v>
          </cell>
          <cell r="F23">
            <v>18</v>
          </cell>
          <cell r="G23">
            <v>91.9899999999999</v>
          </cell>
        </row>
        <row r="24">
          <cell r="A24" t="str">
            <v>DO-YULQ703-PI-22</v>
          </cell>
          <cell r="B24" t="str">
            <v>DO-YULQ703</v>
          </cell>
          <cell r="C24">
            <v>4</v>
          </cell>
          <cell r="D24">
            <v>2</v>
          </cell>
          <cell r="E24">
            <v>1</v>
          </cell>
          <cell r="F24">
            <v>2</v>
          </cell>
          <cell r="G24">
            <v>89.99</v>
          </cell>
        </row>
        <row r="25">
          <cell r="A25" t="str">
            <v>DO-YULQ203-P4-22</v>
          </cell>
          <cell r="B25" t="str">
            <v>DO-YULQ203</v>
          </cell>
          <cell r="C25">
            <v>0</v>
          </cell>
          <cell r="D25">
            <v>0</v>
          </cell>
          <cell r="E25">
            <v>0</v>
          </cell>
          <cell r="F25">
            <v>2</v>
          </cell>
          <cell r="G25">
            <v>89.99</v>
          </cell>
        </row>
        <row r="26">
          <cell r="A26" t="str">
            <v>DO-YULQ010-P0-22</v>
          </cell>
          <cell r="B26" t="str">
            <v>DO-YULQ010</v>
          </cell>
          <cell r="C26">
            <v>1</v>
          </cell>
          <cell r="D26">
            <v>1</v>
          </cell>
          <cell r="E26">
            <v>3</v>
          </cell>
          <cell r="F26">
            <v>1</v>
          </cell>
          <cell r="G26">
            <v>89.99</v>
          </cell>
        </row>
        <row r="27">
          <cell r="A27" t="str">
            <v>DO-YULQ232-W0-10</v>
          </cell>
          <cell r="B27" t="str">
            <v>DO-YULQ232</v>
          </cell>
          <cell r="C27">
            <v>3</v>
          </cell>
          <cell r="D27">
            <v>0</v>
          </cell>
          <cell r="E27">
            <v>0</v>
          </cell>
          <cell r="F27">
            <v>1</v>
          </cell>
          <cell r="G27">
            <v>32.99</v>
          </cell>
        </row>
        <row r="28">
          <cell r="A28" t="str">
            <v>DO-YULQ706-R0-24</v>
          </cell>
          <cell r="B28" t="str">
            <v>DO-YULQ706</v>
          </cell>
          <cell r="C28">
            <v>0</v>
          </cell>
          <cell r="D28">
            <v>1</v>
          </cell>
          <cell r="E28">
            <v>0</v>
          </cell>
          <cell r="F28">
            <v>1</v>
          </cell>
          <cell r="G28">
            <v>99.99</v>
          </cell>
        </row>
        <row r="29">
          <cell r="A29" t="str">
            <v>DOLL-006-PI-10</v>
          </cell>
          <cell r="B29" t="str">
            <v>DOLL-006</v>
          </cell>
          <cell r="C29">
            <v>0</v>
          </cell>
          <cell r="D29">
            <v>1</v>
          </cell>
          <cell r="E29">
            <v>1</v>
          </cell>
          <cell r="F29">
            <v>2</v>
          </cell>
          <cell r="G29">
            <v>26.99</v>
          </cell>
        </row>
        <row r="30">
          <cell r="A30" t="str">
            <v>DO-YULQ062-PI-22</v>
          </cell>
          <cell r="B30" t="str">
            <v>DO-YULQ062</v>
          </cell>
          <cell r="C30">
            <v>1</v>
          </cell>
          <cell r="D30">
            <v>0</v>
          </cell>
          <cell r="E30">
            <v>4</v>
          </cell>
          <cell r="F30">
            <v>4</v>
          </cell>
          <cell r="G30">
            <v>88.99</v>
          </cell>
        </row>
        <row r="31">
          <cell r="A31" t="str">
            <v>DO-YULQ058-BR-10</v>
          </cell>
          <cell r="B31" t="str">
            <v>DO-YULQ058</v>
          </cell>
          <cell r="C31">
            <v>0</v>
          </cell>
          <cell r="D31">
            <v>1</v>
          </cell>
          <cell r="E31">
            <v>0</v>
          </cell>
          <cell r="F31">
            <v>1</v>
          </cell>
          <cell r="G31">
            <v>32.99</v>
          </cell>
        </row>
        <row r="32">
          <cell r="A32" t="str">
            <v>DO-YULQ620-NZ-22</v>
          </cell>
          <cell r="B32" t="str">
            <v>DO-YULQ620</v>
          </cell>
          <cell r="C32">
            <v>1</v>
          </cell>
          <cell r="D32">
            <v>6</v>
          </cell>
          <cell r="E32">
            <v>4</v>
          </cell>
          <cell r="F32">
            <v>2</v>
          </cell>
          <cell r="G32">
            <v>86.3746153846154</v>
          </cell>
        </row>
        <row r="33">
          <cell r="A33" t="str">
            <v>DO-YULQ332-LGR-20</v>
          </cell>
          <cell r="B33" t="str">
            <v>DO-YULQ332</v>
          </cell>
          <cell r="C33">
            <v>0</v>
          </cell>
          <cell r="D33">
            <v>1</v>
          </cell>
          <cell r="E33">
            <v>1</v>
          </cell>
          <cell r="F33">
            <v>2</v>
          </cell>
          <cell r="G33">
            <v>89.99</v>
          </cell>
        </row>
        <row r="34">
          <cell r="A34" t="str">
            <v>DO-YULQ012-PI-22</v>
          </cell>
          <cell r="B34" t="str">
            <v>DO-YULQ012</v>
          </cell>
          <cell r="C34">
            <v>0</v>
          </cell>
          <cell r="D34">
            <v>2</v>
          </cell>
          <cell r="E34">
            <v>2</v>
          </cell>
          <cell r="F34">
            <v>3</v>
          </cell>
          <cell r="G34">
            <v>89.99</v>
          </cell>
        </row>
        <row r="35">
          <cell r="A35" t="str">
            <v>DO-YULQ161-G0-16</v>
          </cell>
          <cell r="B35" t="str">
            <v>DO-YULQ161</v>
          </cell>
          <cell r="C35">
            <v>0</v>
          </cell>
          <cell r="D35">
            <v>0</v>
          </cell>
          <cell r="E35">
            <v>3</v>
          </cell>
          <cell r="F35">
            <v>2</v>
          </cell>
          <cell r="G35">
            <v>69.99</v>
          </cell>
        </row>
        <row r="36">
          <cell r="A36" t="str">
            <v>DOLL-1630-R0-22</v>
          </cell>
          <cell r="B36" t="str">
            <v>DOLL-1630</v>
          </cell>
          <cell r="C36">
            <v>1</v>
          </cell>
          <cell r="D36">
            <v>3</v>
          </cell>
          <cell r="E36">
            <v>3</v>
          </cell>
          <cell r="F36">
            <v>3</v>
          </cell>
          <cell r="G36">
            <v>99.99</v>
          </cell>
        </row>
        <row r="37">
          <cell r="A37" t="str">
            <v>DO-YULQ611-TW-22</v>
          </cell>
          <cell r="B37" t="str">
            <v>DO-YULQ611</v>
          </cell>
          <cell r="C37">
            <v>0</v>
          </cell>
          <cell r="D37">
            <v>0</v>
          </cell>
          <cell r="E37">
            <v>0</v>
          </cell>
          <cell r="F37">
            <v>2</v>
          </cell>
          <cell r="G37">
            <v>87.99</v>
          </cell>
        </row>
        <row r="38">
          <cell r="A38" t="str">
            <v>DO-YULQ172-BD-22</v>
          </cell>
          <cell r="B38" t="str">
            <v>DO-YULQ172</v>
          </cell>
          <cell r="C38">
            <v>0</v>
          </cell>
          <cell r="D38">
            <v>0</v>
          </cell>
          <cell r="E38">
            <v>0</v>
          </cell>
          <cell r="F38">
            <v>2</v>
          </cell>
          <cell r="G38">
            <v>79.99</v>
          </cell>
        </row>
        <row r="39">
          <cell r="A39" t="str">
            <v>DO-YULQ330-PI-18</v>
          </cell>
          <cell r="B39" t="str">
            <v>DO-YULQ330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 t="e">
            <v>#DIV/0!</v>
          </cell>
        </row>
        <row r="40">
          <cell r="A40" t="str">
            <v>DOLLDRESS-003-R2-M</v>
          </cell>
          <cell r="B40" t="str">
            <v>DOLLDRESS-003</v>
          </cell>
          <cell r="C40">
            <v>1</v>
          </cell>
          <cell r="D40">
            <v>3</v>
          </cell>
          <cell r="E40">
            <v>5</v>
          </cell>
          <cell r="F40">
            <v>2</v>
          </cell>
          <cell r="G40">
            <v>12.99</v>
          </cell>
        </row>
        <row r="41">
          <cell r="A41" t="str">
            <v>YF-YULQ602-PI-20</v>
          </cell>
          <cell r="B41" t="str">
            <v>YF-YULQ602</v>
          </cell>
          <cell r="C41">
            <v>1</v>
          </cell>
          <cell r="D41">
            <v>2</v>
          </cell>
          <cell r="E41">
            <v>1</v>
          </cell>
          <cell r="F41">
            <v>1</v>
          </cell>
          <cell r="G41">
            <v>17.592</v>
          </cell>
        </row>
        <row r="42">
          <cell r="A42" t="str">
            <v>DOLLDRESS-003-PI-M</v>
          </cell>
          <cell r="B42" t="str">
            <v>DOLLDRESS-003</v>
          </cell>
          <cell r="C42">
            <v>0</v>
          </cell>
          <cell r="D42">
            <v>0</v>
          </cell>
          <cell r="E42">
            <v>5</v>
          </cell>
          <cell r="F42">
            <v>2</v>
          </cell>
          <cell r="G42">
            <v>12.99</v>
          </cell>
        </row>
        <row r="43">
          <cell r="A43" t="str">
            <v>YF-YULQ905-B7-20</v>
          </cell>
          <cell r="B43" t="str">
            <v>YF-YULQ905</v>
          </cell>
          <cell r="C43">
            <v>2</v>
          </cell>
          <cell r="D43">
            <v>3</v>
          </cell>
          <cell r="E43">
            <v>3</v>
          </cell>
          <cell r="F43">
            <v>1</v>
          </cell>
          <cell r="G43">
            <v>21.99</v>
          </cell>
        </row>
        <row r="44">
          <cell r="A44" t="str">
            <v>DO-YULQ702-PI-22</v>
          </cell>
          <cell r="B44" t="str">
            <v>DO-YULQ702</v>
          </cell>
          <cell r="C44">
            <v>8</v>
          </cell>
          <cell r="D44">
            <v>4</v>
          </cell>
          <cell r="E44">
            <v>2</v>
          </cell>
          <cell r="F44">
            <v>5</v>
          </cell>
          <cell r="G44">
            <v>99.99</v>
          </cell>
        </row>
        <row r="45">
          <cell r="A45" t="str">
            <v>DOLL-0605-PI-22</v>
          </cell>
          <cell r="B45" t="str">
            <v>DOLL-0605</v>
          </cell>
          <cell r="C45">
            <v>3</v>
          </cell>
          <cell r="D45">
            <v>5</v>
          </cell>
          <cell r="E45">
            <v>10</v>
          </cell>
          <cell r="F45">
            <v>7</v>
          </cell>
          <cell r="G45">
            <v>89.99</v>
          </cell>
        </row>
        <row r="46">
          <cell r="A46" t="str">
            <v>DO-YULQ004-B7-11</v>
          </cell>
          <cell r="B46" t="str">
            <v>DO-YULQ004</v>
          </cell>
          <cell r="C46">
            <v>0</v>
          </cell>
          <cell r="D46">
            <v>0</v>
          </cell>
          <cell r="E46">
            <v>1</v>
          </cell>
          <cell r="F46">
            <v>1</v>
          </cell>
          <cell r="G46">
            <v>32.99</v>
          </cell>
        </row>
        <row r="47">
          <cell r="A47" t="str">
            <v>DO-YULQ150-PI-20</v>
          </cell>
          <cell r="B47" t="str">
            <v>DO-YULQ150</v>
          </cell>
          <cell r="C47">
            <v>2</v>
          </cell>
          <cell r="D47">
            <v>0</v>
          </cell>
          <cell r="E47">
            <v>7</v>
          </cell>
          <cell r="F47">
            <v>3</v>
          </cell>
          <cell r="G47">
            <v>85.99</v>
          </cell>
        </row>
        <row r="48">
          <cell r="A48" t="str">
            <v>DO-YULQ985-B7-20</v>
          </cell>
          <cell r="B48" t="str">
            <v>DO-YULQ905</v>
          </cell>
          <cell r="C48">
            <v>2</v>
          </cell>
          <cell r="D48">
            <v>4</v>
          </cell>
          <cell r="E48">
            <v>1</v>
          </cell>
          <cell r="F48">
            <v>1</v>
          </cell>
          <cell r="G48">
            <v>106.99</v>
          </cell>
        </row>
        <row r="49">
          <cell r="A49" t="str">
            <v>DO-YULQ063-PI-22</v>
          </cell>
          <cell r="B49" t="str">
            <v>DO-YULQ063</v>
          </cell>
          <cell r="C49">
            <v>3</v>
          </cell>
          <cell r="D49">
            <v>1</v>
          </cell>
          <cell r="E49">
            <v>0</v>
          </cell>
          <cell r="F49">
            <v>1</v>
          </cell>
          <cell r="G49">
            <v>75.99</v>
          </cell>
        </row>
        <row r="50">
          <cell r="A50" t="str">
            <v>DOLL-1523-B7-22</v>
          </cell>
          <cell r="B50" t="str">
            <v>DOLL-1523</v>
          </cell>
          <cell r="C50">
            <v>0</v>
          </cell>
          <cell r="D50">
            <v>0</v>
          </cell>
          <cell r="E50">
            <v>2</v>
          </cell>
          <cell r="F50">
            <v>1</v>
          </cell>
          <cell r="G50">
            <v>79.99</v>
          </cell>
        </row>
        <row r="51">
          <cell r="A51" t="str">
            <v>DO-YULQ708-W0-24</v>
          </cell>
          <cell r="B51" t="str">
            <v>DO-YULQ708</v>
          </cell>
          <cell r="C51">
            <v>1</v>
          </cell>
          <cell r="D51">
            <v>0</v>
          </cell>
          <cell r="E51">
            <v>3</v>
          </cell>
          <cell r="F51">
            <v>2</v>
          </cell>
          <cell r="G51">
            <v>108.99</v>
          </cell>
        </row>
        <row r="52">
          <cell r="A52" t="str">
            <v>DOLL-1613-PI-11</v>
          </cell>
          <cell r="B52" t="str">
            <v>DOLL-1613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 t="e">
            <v>#DIV/0!</v>
          </cell>
        </row>
        <row r="53">
          <cell r="A53" t="str">
            <v>DOLL-0601-PI-22</v>
          </cell>
          <cell r="B53" t="str">
            <v>DOLL-0601</v>
          </cell>
          <cell r="C53">
            <v>2</v>
          </cell>
          <cell r="D53">
            <v>4</v>
          </cell>
          <cell r="E53">
            <v>5</v>
          </cell>
          <cell r="F53">
            <v>3</v>
          </cell>
          <cell r="G53">
            <v>89.99</v>
          </cell>
        </row>
        <row r="54">
          <cell r="A54" t="str">
            <v>DOLL-0603-NZ-22</v>
          </cell>
          <cell r="B54" t="str">
            <v>DOLL-0603</v>
          </cell>
          <cell r="C54">
            <v>2</v>
          </cell>
          <cell r="D54">
            <v>4</v>
          </cell>
          <cell r="E54">
            <v>3</v>
          </cell>
          <cell r="F54">
            <v>2</v>
          </cell>
          <cell r="G54">
            <v>89.6</v>
          </cell>
        </row>
        <row r="55">
          <cell r="A55" t="str">
            <v>DO-YULQ058-SH-10</v>
          </cell>
          <cell r="B55" t="str">
            <v>DO-YULQ058</v>
          </cell>
          <cell r="C55">
            <v>0</v>
          </cell>
          <cell r="D55">
            <v>1</v>
          </cell>
          <cell r="E55">
            <v>2</v>
          </cell>
          <cell r="F55">
            <v>1</v>
          </cell>
          <cell r="G55">
            <v>32.99</v>
          </cell>
        </row>
        <row r="56">
          <cell r="A56" t="str">
            <v>YF-YULQ003-W0-20</v>
          </cell>
          <cell r="B56" t="str">
            <v>YF-YULQ003</v>
          </cell>
          <cell r="C56">
            <v>2</v>
          </cell>
          <cell r="D56">
            <v>1</v>
          </cell>
          <cell r="E56">
            <v>1</v>
          </cell>
          <cell r="F56">
            <v>2</v>
          </cell>
          <cell r="G56">
            <v>21.99</v>
          </cell>
        </row>
        <row r="57">
          <cell r="A57" t="str">
            <v>DO-YULQ606-W0-22</v>
          </cell>
          <cell r="B57" t="str">
            <v>DO-YULQ606</v>
          </cell>
          <cell r="C57">
            <v>0</v>
          </cell>
          <cell r="D57">
            <v>1</v>
          </cell>
          <cell r="E57">
            <v>3</v>
          </cell>
          <cell r="F57">
            <v>1</v>
          </cell>
          <cell r="G57">
            <v>59.99</v>
          </cell>
        </row>
        <row r="58">
          <cell r="A58" t="str">
            <v>DOLLDRESS-1612-GO-23</v>
          </cell>
          <cell r="B58" t="str">
            <v>DOLLDRESS-1612</v>
          </cell>
          <cell r="C58">
            <v>0</v>
          </cell>
          <cell r="D58">
            <v>0</v>
          </cell>
          <cell r="E58">
            <v>0</v>
          </cell>
          <cell r="F58">
            <v>2</v>
          </cell>
          <cell r="G58">
            <v>23.99</v>
          </cell>
        </row>
        <row r="59">
          <cell r="A59" t="str">
            <v>DO-YULQ010-PI-15</v>
          </cell>
          <cell r="B59" t="str">
            <v>DO-YULQ010</v>
          </cell>
          <cell r="C59">
            <v>0</v>
          </cell>
          <cell r="D59">
            <v>0</v>
          </cell>
          <cell r="E59">
            <v>1</v>
          </cell>
          <cell r="F59">
            <v>1</v>
          </cell>
          <cell r="G59">
            <v>79.99</v>
          </cell>
        </row>
        <row r="60">
          <cell r="A60" t="str">
            <v>DOLL-7056-LGR-11</v>
          </cell>
          <cell r="B60" t="str">
            <v>DOLL-7056</v>
          </cell>
          <cell r="C60">
            <v>0</v>
          </cell>
          <cell r="D60">
            <v>2</v>
          </cell>
          <cell r="E60">
            <v>3</v>
          </cell>
          <cell r="F60">
            <v>2</v>
          </cell>
          <cell r="G60">
            <v>34.99</v>
          </cell>
        </row>
        <row r="61">
          <cell r="A61" t="str">
            <v>DO-YULQ705-BR-11</v>
          </cell>
          <cell r="B61" t="str">
            <v>DO-YULQ705</v>
          </cell>
          <cell r="C61">
            <v>1</v>
          </cell>
          <cell r="D61">
            <v>0</v>
          </cell>
          <cell r="E61">
            <v>0</v>
          </cell>
          <cell r="F61">
            <v>0</v>
          </cell>
          <cell r="G61">
            <v>32.99</v>
          </cell>
        </row>
        <row r="62">
          <cell r="A62" t="str">
            <v>DO-YULQ171-B0-22</v>
          </cell>
          <cell r="B62" t="str">
            <v>DO-YULQ171</v>
          </cell>
          <cell r="C62">
            <v>0</v>
          </cell>
          <cell r="D62">
            <v>0</v>
          </cell>
          <cell r="E62">
            <v>0</v>
          </cell>
          <cell r="F62">
            <v>2</v>
          </cell>
          <cell r="G62">
            <v>95.99</v>
          </cell>
        </row>
        <row r="63">
          <cell r="A63" t="str">
            <v>YF-YULQ003-R2-20</v>
          </cell>
          <cell r="B63" t="str">
            <v>YF-YULQ003</v>
          </cell>
          <cell r="C63">
            <v>5</v>
          </cell>
          <cell r="D63">
            <v>4</v>
          </cell>
          <cell r="E63">
            <v>5</v>
          </cell>
          <cell r="F63">
            <v>0</v>
          </cell>
          <cell r="G63">
            <v>21.99</v>
          </cell>
        </row>
        <row r="64">
          <cell r="A64" t="str">
            <v>DO-YULQ123-W0-22</v>
          </cell>
          <cell r="B64" t="str">
            <v>DO-YULQ123</v>
          </cell>
          <cell r="C64">
            <v>0</v>
          </cell>
          <cell r="D64">
            <v>0</v>
          </cell>
          <cell r="E64">
            <v>0</v>
          </cell>
          <cell r="F64">
            <v>1</v>
          </cell>
          <cell r="G64">
            <v>69.99</v>
          </cell>
        </row>
        <row r="65">
          <cell r="A65" t="str">
            <v>DO-YULQ073-LGR-22</v>
          </cell>
          <cell r="B65" t="str">
            <v>DO-YULQ073</v>
          </cell>
          <cell r="C65">
            <v>0</v>
          </cell>
          <cell r="D65">
            <v>1</v>
          </cell>
          <cell r="E65">
            <v>0</v>
          </cell>
          <cell r="F65">
            <v>1</v>
          </cell>
          <cell r="G65">
            <v>89.99</v>
          </cell>
        </row>
        <row r="66">
          <cell r="A66" t="str">
            <v>DOLL-0630-PI-22</v>
          </cell>
          <cell r="B66" t="str">
            <v>DOLL-0630</v>
          </cell>
          <cell r="C66">
            <v>3</v>
          </cell>
          <cell r="D66">
            <v>3</v>
          </cell>
          <cell r="E66">
            <v>0</v>
          </cell>
          <cell r="F66">
            <v>2</v>
          </cell>
          <cell r="G66">
            <v>89.99</v>
          </cell>
        </row>
        <row r="67">
          <cell r="A67" t="str">
            <v>DO-YULQ006-B7-10</v>
          </cell>
          <cell r="B67" t="str">
            <v>DO-YULQ006</v>
          </cell>
          <cell r="C67">
            <v>0</v>
          </cell>
          <cell r="D67">
            <v>0</v>
          </cell>
          <cell r="E67">
            <v>0</v>
          </cell>
          <cell r="F67">
            <v>1</v>
          </cell>
          <cell r="G67">
            <v>23.99</v>
          </cell>
        </row>
        <row r="68">
          <cell r="A68" t="str">
            <v>DO-YULQ152-B7-22</v>
          </cell>
          <cell r="B68" t="str">
            <v>DO-YULQ152</v>
          </cell>
          <cell r="C68">
            <v>2</v>
          </cell>
          <cell r="D68">
            <v>0</v>
          </cell>
          <cell r="E68">
            <v>0</v>
          </cell>
          <cell r="F68">
            <v>1</v>
          </cell>
          <cell r="G68">
            <v>79.99</v>
          </cell>
        </row>
        <row r="69">
          <cell r="A69" t="str">
            <v>DO-YULQ004-PI-11</v>
          </cell>
          <cell r="B69" t="str">
            <v>DO-YULQ004</v>
          </cell>
          <cell r="C69">
            <v>1</v>
          </cell>
          <cell r="D69">
            <v>0</v>
          </cell>
          <cell r="E69">
            <v>1</v>
          </cell>
          <cell r="F69">
            <v>2</v>
          </cell>
          <cell r="G69">
            <v>32.99</v>
          </cell>
        </row>
        <row r="70">
          <cell r="A70" t="str">
            <v>YF-YULQ008-BL-22</v>
          </cell>
          <cell r="B70" t="str">
            <v>YF-YULQ008</v>
          </cell>
          <cell r="C70">
            <v>2</v>
          </cell>
          <cell r="D70">
            <v>0</v>
          </cell>
          <cell r="E70">
            <v>0</v>
          </cell>
          <cell r="F70">
            <v>1</v>
          </cell>
          <cell r="G70">
            <v>23.3233333333333</v>
          </cell>
        </row>
        <row r="71">
          <cell r="A71" t="str">
            <v>DO-YULQ165-PI-16</v>
          </cell>
          <cell r="B71" t="str">
            <v>DO-YULQ165</v>
          </cell>
          <cell r="C71">
            <v>0</v>
          </cell>
          <cell r="D71">
            <v>0</v>
          </cell>
          <cell r="E71">
            <v>1</v>
          </cell>
          <cell r="F71">
            <v>1</v>
          </cell>
          <cell r="G71">
            <v>79.99</v>
          </cell>
        </row>
        <row r="72">
          <cell r="A72" t="str">
            <v>DO-YULQ018-B0-18</v>
          </cell>
          <cell r="B72" t="str">
            <v>DO-YULQ018</v>
          </cell>
          <cell r="C72">
            <v>2</v>
          </cell>
          <cell r="D72">
            <v>3</v>
          </cell>
          <cell r="E72">
            <v>1</v>
          </cell>
          <cell r="F72">
            <v>1</v>
          </cell>
          <cell r="G72">
            <v>77.1342857142857</v>
          </cell>
        </row>
        <row r="73">
          <cell r="A73" t="str">
            <v>DO-YULQ638-PI-20</v>
          </cell>
          <cell r="B73" t="str">
            <v>DO-YULQ638</v>
          </cell>
          <cell r="C73">
            <v>0</v>
          </cell>
          <cell r="D73">
            <v>1</v>
          </cell>
          <cell r="E73">
            <v>0</v>
          </cell>
          <cell r="F73">
            <v>1</v>
          </cell>
          <cell r="G73">
            <v>99.6</v>
          </cell>
        </row>
        <row r="74">
          <cell r="A74" t="str">
            <v>DO-YULQ107-PI-22</v>
          </cell>
          <cell r="B74" t="str">
            <v>DO-YULQ107</v>
          </cell>
          <cell r="C74">
            <v>0</v>
          </cell>
          <cell r="D74">
            <v>2</v>
          </cell>
          <cell r="E74">
            <v>1</v>
          </cell>
          <cell r="F74">
            <v>2</v>
          </cell>
          <cell r="G74">
            <v>89.99</v>
          </cell>
        </row>
        <row r="75">
          <cell r="A75" t="str">
            <v>DO-YULQ064-X0-22</v>
          </cell>
          <cell r="B75" t="str">
            <v>DO-YULQ064</v>
          </cell>
          <cell r="C75">
            <v>1</v>
          </cell>
          <cell r="D75">
            <v>0</v>
          </cell>
          <cell r="E75">
            <v>0</v>
          </cell>
          <cell r="F75">
            <v>1</v>
          </cell>
          <cell r="G75">
            <v>99.99</v>
          </cell>
        </row>
        <row r="76">
          <cell r="A76" t="str">
            <v>DO-YULQ005-W0-11</v>
          </cell>
          <cell r="B76" t="str">
            <v>DO-YULQ005</v>
          </cell>
          <cell r="C76">
            <v>1</v>
          </cell>
          <cell r="D76">
            <v>4</v>
          </cell>
          <cell r="E76">
            <v>6</v>
          </cell>
          <cell r="F76">
            <v>0</v>
          </cell>
          <cell r="G76">
            <v>23.99</v>
          </cell>
        </row>
        <row r="77">
          <cell r="A77" t="str">
            <v>DO-YULQ018-P4-16</v>
          </cell>
          <cell r="B77" t="str">
            <v>DO-YULQ018</v>
          </cell>
          <cell r="C77">
            <v>0</v>
          </cell>
          <cell r="D77">
            <v>3</v>
          </cell>
          <cell r="E77">
            <v>0</v>
          </cell>
          <cell r="F77">
            <v>0</v>
          </cell>
          <cell r="G77">
            <v>79.99</v>
          </cell>
        </row>
        <row r="78">
          <cell r="A78" t="str">
            <v>DOLL-AD011-PI-22</v>
          </cell>
          <cell r="B78" t="str">
            <v>DOLL-AD011</v>
          </cell>
          <cell r="C78">
            <v>0</v>
          </cell>
          <cell r="D78">
            <v>1</v>
          </cell>
          <cell r="E78">
            <v>1</v>
          </cell>
          <cell r="F78">
            <v>2</v>
          </cell>
          <cell r="G78">
            <v>99.6</v>
          </cell>
        </row>
        <row r="79">
          <cell r="A79" t="str">
            <v>DOLL-100-LB-22</v>
          </cell>
          <cell r="B79" t="str">
            <v>DOLL-100</v>
          </cell>
          <cell r="C79">
            <v>0</v>
          </cell>
          <cell r="D79">
            <v>0</v>
          </cell>
          <cell r="E79">
            <v>0</v>
          </cell>
          <cell r="F79">
            <v>1</v>
          </cell>
          <cell r="G79">
            <v>79.6</v>
          </cell>
        </row>
        <row r="80">
          <cell r="A80" t="str">
            <v>DO-YULQ162-PI-16</v>
          </cell>
          <cell r="B80" t="str">
            <v>DO-YULQ162</v>
          </cell>
          <cell r="C80">
            <v>1</v>
          </cell>
          <cell r="D80">
            <v>1</v>
          </cell>
          <cell r="E80">
            <v>0</v>
          </cell>
          <cell r="F80">
            <v>1</v>
          </cell>
          <cell r="G80">
            <v>85.99</v>
          </cell>
        </row>
        <row r="81">
          <cell r="A81" t="str">
            <v>DOLL-1613-LB-22</v>
          </cell>
          <cell r="B81" t="str">
            <v>DOLL-1613</v>
          </cell>
          <cell r="C81">
            <v>0</v>
          </cell>
          <cell r="D81">
            <v>0</v>
          </cell>
          <cell r="E81">
            <v>0</v>
          </cell>
          <cell r="F81">
            <v>1</v>
          </cell>
          <cell r="G81">
            <v>89.99</v>
          </cell>
        </row>
        <row r="82">
          <cell r="A82" t="str">
            <v>DO-YULQ153-B7-22</v>
          </cell>
          <cell r="B82" t="str">
            <v>DO-YULQ153</v>
          </cell>
          <cell r="C82">
            <v>2</v>
          </cell>
          <cell r="D82">
            <v>2</v>
          </cell>
          <cell r="E82">
            <v>0</v>
          </cell>
          <cell r="F82">
            <v>1</v>
          </cell>
          <cell r="G82">
            <v>99.99</v>
          </cell>
        </row>
        <row r="83">
          <cell r="A83" t="str">
            <v>DOLL-9042-B0-22</v>
          </cell>
          <cell r="B83" t="str">
            <v>DOLL-9042</v>
          </cell>
          <cell r="C83">
            <v>1</v>
          </cell>
          <cell r="D83">
            <v>0</v>
          </cell>
          <cell r="E83">
            <v>5</v>
          </cell>
          <cell r="F83">
            <v>1</v>
          </cell>
          <cell r="G83">
            <v>89.99</v>
          </cell>
        </row>
        <row r="84">
          <cell r="A84" t="str">
            <v>DO-YULQ163-B7-22</v>
          </cell>
          <cell r="B84" t="str">
            <v>DO-YULQ163</v>
          </cell>
          <cell r="C84">
            <v>2</v>
          </cell>
          <cell r="D84">
            <v>0</v>
          </cell>
          <cell r="E84">
            <v>2</v>
          </cell>
          <cell r="F84">
            <v>0</v>
          </cell>
          <cell r="G84">
            <v>89.99</v>
          </cell>
        </row>
        <row r="85">
          <cell r="A85" t="str">
            <v>DO-YULQ152-Z1-22</v>
          </cell>
          <cell r="B85" t="str">
            <v>DO-YULQ152</v>
          </cell>
          <cell r="C85">
            <v>0</v>
          </cell>
          <cell r="D85">
            <v>0</v>
          </cell>
          <cell r="E85">
            <v>1</v>
          </cell>
          <cell r="F85">
            <v>0</v>
          </cell>
          <cell r="G85">
            <v>89.99</v>
          </cell>
        </row>
        <row r="86">
          <cell r="A86" t="str">
            <v>DO-YULQ111-R2-22</v>
          </cell>
          <cell r="B86" t="str">
            <v>DO-YULQ111</v>
          </cell>
          <cell r="C86">
            <v>0</v>
          </cell>
          <cell r="D86">
            <v>0</v>
          </cell>
          <cell r="E86">
            <v>1</v>
          </cell>
          <cell r="F86">
            <v>0</v>
          </cell>
          <cell r="G86">
            <v>91.6</v>
          </cell>
        </row>
        <row r="87">
          <cell r="A87" t="str">
            <v>DO-YULQ704-B0-24</v>
          </cell>
          <cell r="B87" t="str">
            <v>DO-YULQ704</v>
          </cell>
          <cell r="C87">
            <v>4</v>
          </cell>
          <cell r="D87">
            <v>5</v>
          </cell>
          <cell r="E87">
            <v>4</v>
          </cell>
          <cell r="F87">
            <v>0</v>
          </cell>
          <cell r="G87">
            <v>100.606153846154</v>
          </cell>
        </row>
        <row r="88">
          <cell r="A88" t="str">
            <v>NZZH-FLQ52</v>
          </cell>
          <cell r="B88" t="str">
            <v>NZZH-FLQ52</v>
          </cell>
          <cell r="C88">
            <v>0</v>
          </cell>
          <cell r="D88">
            <v>0</v>
          </cell>
          <cell r="E88">
            <v>1</v>
          </cell>
          <cell r="F88">
            <v>0</v>
          </cell>
          <cell r="G88">
            <v>16.99</v>
          </cell>
        </row>
        <row r="89">
          <cell r="A89" t="str">
            <v>DO-YULQ171-LGR-22</v>
          </cell>
          <cell r="B89" t="str">
            <v>DO-YULQ171</v>
          </cell>
          <cell r="C89">
            <v>0</v>
          </cell>
          <cell r="D89">
            <v>1</v>
          </cell>
          <cell r="E89">
            <v>1</v>
          </cell>
          <cell r="F89">
            <v>0</v>
          </cell>
          <cell r="G89">
            <v>89.6</v>
          </cell>
        </row>
        <row r="90">
          <cell r="A90" t="str">
            <v>DO-YULQ100-R0-10</v>
          </cell>
          <cell r="B90" t="str">
            <v>DO-YULQ100</v>
          </cell>
          <cell r="C90">
            <v>1</v>
          </cell>
          <cell r="D90">
            <v>1</v>
          </cell>
          <cell r="E90">
            <v>1</v>
          </cell>
          <cell r="F90">
            <v>0</v>
          </cell>
          <cell r="G90">
            <v>32.99</v>
          </cell>
        </row>
        <row r="91">
          <cell r="A91" t="str">
            <v>YF-YULQ010-PI-22</v>
          </cell>
          <cell r="B91" t="str">
            <v>YF-YULQ010</v>
          </cell>
          <cell r="C91">
            <v>0</v>
          </cell>
          <cell r="D91">
            <v>1</v>
          </cell>
          <cell r="E91">
            <v>2</v>
          </cell>
          <cell r="F91">
            <v>0</v>
          </cell>
          <cell r="G91">
            <v>23.99</v>
          </cell>
        </row>
        <row r="92">
          <cell r="A92" t="str">
            <v>DO-YULQ639-R2-22</v>
          </cell>
          <cell r="B92" t="str">
            <v>DO-YULQ639</v>
          </cell>
          <cell r="C92">
            <v>0</v>
          </cell>
          <cell r="D92">
            <v>0</v>
          </cell>
          <cell r="E92">
            <v>1</v>
          </cell>
          <cell r="F92">
            <v>0</v>
          </cell>
          <cell r="G92">
            <v>99.99</v>
          </cell>
        </row>
        <row r="93">
          <cell r="A93" t="str">
            <v>DO-YULQ151-W0-16</v>
          </cell>
          <cell r="B93" t="str">
            <v>DO-YULQ151</v>
          </cell>
          <cell r="C93">
            <v>0</v>
          </cell>
          <cell r="D93">
            <v>0</v>
          </cell>
          <cell r="E93">
            <v>1</v>
          </cell>
          <cell r="F93">
            <v>0</v>
          </cell>
          <cell r="G93">
            <v>79.99</v>
          </cell>
        </row>
        <row r="94">
          <cell r="A94" t="str">
            <v>DO-YULQ707-PI-24</v>
          </cell>
          <cell r="B94" t="str">
            <v>DO-YULQ707</v>
          </cell>
          <cell r="C94">
            <v>2</v>
          </cell>
          <cell r="D94">
            <v>1</v>
          </cell>
          <cell r="E94">
            <v>1</v>
          </cell>
          <cell r="F94">
            <v>0</v>
          </cell>
          <cell r="G94">
            <v>108.99</v>
          </cell>
        </row>
        <row r="95">
          <cell r="A95" t="str">
            <v>DO-YULQ516-B0-22</v>
          </cell>
          <cell r="B95" t="str">
            <v>DO-YULQ516</v>
          </cell>
          <cell r="C95">
            <v>1</v>
          </cell>
          <cell r="D95">
            <v>1</v>
          </cell>
          <cell r="E95">
            <v>1</v>
          </cell>
          <cell r="F95">
            <v>0</v>
          </cell>
          <cell r="G95">
            <v>89.99</v>
          </cell>
        </row>
        <row r="96">
          <cell r="A96" t="str">
            <v>DO-YULQ165-B7-16</v>
          </cell>
          <cell r="B96" t="str">
            <v>DO-YULQ165</v>
          </cell>
          <cell r="C96">
            <v>0</v>
          </cell>
          <cell r="D96">
            <v>0</v>
          </cell>
          <cell r="E96">
            <v>1</v>
          </cell>
          <cell r="F96">
            <v>0</v>
          </cell>
          <cell r="G96">
            <v>79.99</v>
          </cell>
        </row>
        <row r="97">
          <cell r="A97" t="str">
            <v>DO-YULQ372-R0-22</v>
          </cell>
          <cell r="B97" t="str">
            <v>DO-YULQ372</v>
          </cell>
          <cell r="C97">
            <v>0</v>
          </cell>
          <cell r="D97">
            <v>2</v>
          </cell>
          <cell r="E97">
            <v>1</v>
          </cell>
          <cell r="F97">
            <v>0</v>
          </cell>
          <cell r="G97">
            <v>59.99</v>
          </cell>
        </row>
        <row r="98">
          <cell r="A98" t="str">
            <v>DO-YULQ121-PI-22</v>
          </cell>
          <cell r="B98" t="str">
            <v>DO-YULQ121</v>
          </cell>
          <cell r="C98">
            <v>0</v>
          </cell>
          <cell r="D98">
            <v>2</v>
          </cell>
          <cell r="E98">
            <v>0</v>
          </cell>
          <cell r="F98">
            <v>0</v>
          </cell>
          <cell r="G98">
            <v>89.99</v>
          </cell>
        </row>
        <row r="99">
          <cell r="A99" t="str">
            <v>DO-YULQ159-R2-22</v>
          </cell>
          <cell r="B99" t="str">
            <v>DO-YULQ159</v>
          </cell>
          <cell r="C99">
            <v>3</v>
          </cell>
          <cell r="D99">
            <v>0</v>
          </cell>
          <cell r="E99">
            <v>0</v>
          </cell>
          <cell r="F99">
            <v>0</v>
          </cell>
          <cell r="G99">
            <v>99.6</v>
          </cell>
        </row>
        <row r="100">
          <cell r="A100" t="str">
            <v>DO-YULQ631-R2-22</v>
          </cell>
          <cell r="B100" t="str">
            <v>DO-YULQ631</v>
          </cell>
          <cell r="C100">
            <v>0</v>
          </cell>
          <cell r="D100">
            <v>1</v>
          </cell>
          <cell r="E100">
            <v>0</v>
          </cell>
          <cell r="F100">
            <v>0</v>
          </cell>
          <cell r="G100">
            <v>99.99</v>
          </cell>
        </row>
        <row r="101">
          <cell r="A101" t="str">
            <v>DO-YULQ259-PI-22</v>
          </cell>
          <cell r="B101" t="str">
            <v>DO-YULQ259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 t="e">
            <v>#DIV/0!</v>
          </cell>
        </row>
        <row r="102">
          <cell r="A102" t="str">
            <v>DO-YULQ905-B7-22</v>
          </cell>
          <cell r="B102" t="str">
            <v>DO-YULQ905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 t="e">
            <v>#DIV/0!</v>
          </cell>
        </row>
        <row r="103">
          <cell r="A103" t="str">
            <v>DOLL-006-LB-11</v>
          </cell>
          <cell r="B103" t="str">
            <v>DOLL-006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 t="e">
            <v>#DIV/0!</v>
          </cell>
        </row>
        <row r="104">
          <cell r="A104" t="str">
            <v>DOLL-1613-LB-11</v>
          </cell>
          <cell r="B104" t="str">
            <v>DOLL-1613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 t="e">
            <v>#DIV/0!</v>
          </cell>
        </row>
        <row r="105">
          <cell r="A105" t="str">
            <v>DOLL-7056B-YO-11</v>
          </cell>
          <cell r="B105" t="str">
            <v>DOLL-7056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 t="e">
            <v>#DIV/0!</v>
          </cell>
        </row>
        <row r="106">
          <cell r="A106" t="str">
            <v>DOLL-007XM-WO-17</v>
          </cell>
          <cell r="B106" t="str">
            <v>DOLL-007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 t="e">
            <v>#DIV/0!</v>
          </cell>
        </row>
        <row r="107">
          <cell r="A107" t="str">
            <v>DOLL-007-NO-17</v>
          </cell>
          <cell r="B107" t="str">
            <v>DOLL-007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 t="e">
            <v>#DIV/0!</v>
          </cell>
        </row>
        <row r="108">
          <cell r="A108" t="str">
            <v>DOLL-AD010-03R-22</v>
          </cell>
          <cell r="B108" t="str">
            <v>DOLL-AD010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 t="e">
            <v>#DIV/0!</v>
          </cell>
        </row>
        <row r="109">
          <cell r="A109" t="str">
            <v>DOLL-1613-PI-22</v>
          </cell>
          <cell r="B109" t="str">
            <v>DOLL-1613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 t="e">
            <v>#DIV/0!</v>
          </cell>
        </row>
        <row r="110">
          <cell r="A110" t="str">
            <v>DO-YULQ639-LGR-22</v>
          </cell>
          <cell r="B110" t="str">
            <v>DO-YULQ639</v>
          </cell>
          <cell r="C110">
            <v>1</v>
          </cell>
          <cell r="D110">
            <v>1</v>
          </cell>
          <cell r="E110">
            <v>0</v>
          </cell>
          <cell r="F110">
            <v>0</v>
          </cell>
          <cell r="G110">
            <v>99.99</v>
          </cell>
        </row>
        <row r="111">
          <cell r="A111" t="str">
            <v>DO-YULQ158-W0-22</v>
          </cell>
          <cell r="B111" t="str">
            <v>DO-YULQ158</v>
          </cell>
          <cell r="C111">
            <v>0</v>
          </cell>
          <cell r="D111">
            <v>1</v>
          </cell>
          <cell r="E111">
            <v>0</v>
          </cell>
          <cell r="F111">
            <v>0</v>
          </cell>
          <cell r="G111">
            <v>89.6</v>
          </cell>
        </row>
        <row r="112">
          <cell r="A112" t="str">
            <v>DO-YULQ720-W0-16</v>
          </cell>
          <cell r="B112" t="str">
            <v>DO-YULQ720</v>
          </cell>
          <cell r="C112">
            <v>0</v>
          </cell>
          <cell r="D112">
            <v>2</v>
          </cell>
          <cell r="E112">
            <v>0</v>
          </cell>
          <cell r="F112">
            <v>0</v>
          </cell>
          <cell r="G112">
            <v>109.99</v>
          </cell>
        </row>
        <row r="113">
          <cell r="A113" t="str">
            <v>DO-YULQ170-SH-22</v>
          </cell>
          <cell r="B113" t="str">
            <v>DO-YULQ170</v>
          </cell>
          <cell r="C113">
            <v>0</v>
          </cell>
          <cell r="D113">
            <v>1</v>
          </cell>
          <cell r="E113">
            <v>0</v>
          </cell>
          <cell r="F113">
            <v>0</v>
          </cell>
          <cell r="G113">
            <v>118.99</v>
          </cell>
        </row>
        <row r="114">
          <cell r="A114" t="str">
            <v>DO-YULQ002-PI-22</v>
          </cell>
          <cell r="B114" t="str">
            <v>DO-YULQ002</v>
          </cell>
          <cell r="C114">
            <v>0</v>
          </cell>
          <cell r="D114">
            <v>2</v>
          </cell>
          <cell r="E114">
            <v>0</v>
          </cell>
          <cell r="F114">
            <v>0</v>
          </cell>
          <cell r="G114">
            <v>59.99</v>
          </cell>
        </row>
        <row r="115">
          <cell r="A115" t="str">
            <v>DO-YULQ042-W0-22</v>
          </cell>
          <cell r="B115" t="str">
            <v>DO-YULQ042</v>
          </cell>
          <cell r="C115">
            <v>1</v>
          </cell>
          <cell r="D115">
            <v>0</v>
          </cell>
          <cell r="E115">
            <v>0</v>
          </cell>
          <cell r="F115">
            <v>0</v>
          </cell>
          <cell r="G115">
            <v>89.99</v>
          </cell>
        </row>
        <row r="116">
          <cell r="A116" t="str">
            <v>DO-YULQ105-R2-22</v>
          </cell>
          <cell r="B116" t="str">
            <v>DO-YULQ105</v>
          </cell>
          <cell r="C116">
            <v>1</v>
          </cell>
          <cell r="D116">
            <v>2</v>
          </cell>
          <cell r="E116">
            <v>0</v>
          </cell>
          <cell r="F116">
            <v>0</v>
          </cell>
          <cell r="G116">
            <v>69.99</v>
          </cell>
        </row>
        <row r="117">
          <cell r="A117" t="str">
            <v>YF-YULQ162-B7-20</v>
          </cell>
          <cell r="B117" t="str">
            <v>YF-YULQ162</v>
          </cell>
          <cell r="C117">
            <v>0</v>
          </cell>
          <cell r="D117">
            <v>1</v>
          </cell>
          <cell r="E117">
            <v>0</v>
          </cell>
          <cell r="F117">
            <v>0</v>
          </cell>
          <cell r="G117">
            <v>21.99</v>
          </cell>
        </row>
        <row r="118">
          <cell r="A118" t="str">
            <v>DO-YULQ701-PI-22</v>
          </cell>
          <cell r="B118" t="str">
            <v>DO-YULQ701</v>
          </cell>
          <cell r="C118">
            <v>1</v>
          </cell>
          <cell r="D118">
            <v>2</v>
          </cell>
          <cell r="E118">
            <v>0</v>
          </cell>
          <cell r="F118">
            <v>0</v>
          </cell>
          <cell r="G118">
            <v>92.99</v>
          </cell>
        </row>
        <row r="119">
          <cell r="A119" t="str">
            <v>DO-YULQ039-R0-22</v>
          </cell>
          <cell r="B119" t="str">
            <v>DO-YULQ039</v>
          </cell>
          <cell r="C119">
            <v>0</v>
          </cell>
          <cell r="D119">
            <v>1</v>
          </cell>
          <cell r="E119">
            <v>0</v>
          </cell>
          <cell r="F119">
            <v>0</v>
          </cell>
          <cell r="G119">
            <v>118.99</v>
          </cell>
        </row>
        <row r="120">
          <cell r="A120" t="str">
            <v>DO-YULQ061-W0-22</v>
          </cell>
          <cell r="B120" t="str">
            <v>DO-YULQ061</v>
          </cell>
          <cell r="C120">
            <v>1</v>
          </cell>
          <cell r="D120">
            <v>3</v>
          </cell>
          <cell r="E120">
            <v>0</v>
          </cell>
          <cell r="F120">
            <v>0</v>
          </cell>
          <cell r="G120">
            <v>104.99</v>
          </cell>
        </row>
        <row r="121">
          <cell r="A121" t="str">
            <v>DO-YULQ200-PI-10</v>
          </cell>
          <cell r="B121" t="str">
            <v>DO-YULQ200</v>
          </cell>
          <cell r="C121">
            <v>0</v>
          </cell>
          <cell r="D121">
            <v>1</v>
          </cell>
          <cell r="E121">
            <v>0</v>
          </cell>
          <cell r="F121">
            <v>0</v>
          </cell>
          <cell r="G121">
            <v>32.99</v>
          </cell>
        </row>
        <row r="122">
          <cell r="A122" t="str">
            <v>DO-YULQ719-B7-16</v>
          </cell>
          <cell r="B122" t="str">
            <v>DO-YULQ719</v>
          </cell>
          <cell r="C122">
            <v>0</v>
          </cell>
          <cell r="D122">
            <v>1</v>
          </cell>
          <cell r="E122">
            <v>0</v>
          </cell>
          <cell r="F122">
            <v>0</v>
          </cell>
          <cell r="G122">
            <v>79.99</v>
          </cell>
        </row>
        <row r="123">
          <cell r="A123" t="str">
            <v>DO-YULQ150-K0-22</v>
          </cell>
          <cell r="B123" t="str">
            <v>DO-YULQ150</v>
          </cell>
          <cell r="C123">
            <v>1</v>
          </cell>
          <cell r="D123">
            <v>1</v>
          </cell>
          <cell r="E123">
            <v>0</v>
          </cell>
          <cell r="F123">
            <v>0</v>
          </cell>
          <cell r="G123">
            <v>99.99</v>
          </cell>
        </row>
        <row r="124">
          <cell r="A124" t="str">
            <v>DO-YULQ504-PI-22</v>
          </cell>
          <cell r="B124" t="str">
            <v>DO-YULQ504</v>
          </cell>
          <cell r="C124">
            <v>2</v>
          </cell>
          <cell r="D124">
            <v>0</v>
          </cell>
          <cell r="E124">
            <v>0</v>
          </cell>
          <cell r="F124">
            <v>0</v>
          </cell>
          <cell r="G124">
            <v>118.99</v>
          </cell>
        </row>
        <row r="125">
          <cell r="A125" t="str">
            <v>DO-YULQ705-GR-11</v>
          </cell>
          <cell r="B125" t="str">
            <v>DO-YULQ705</v>
          </cell>
          <cell r="C125">
            <v>2</v>
          </cell>
          <cell r="D125">
            <v>0</v>
          </cell>
          <cell r="E125">
            <v>0</v>
          </cell>
          <cell r="F125">
            <v>0</v>
          </cell>
          <cell r="G125">
            <v>34.99</v>
          </cell>
        </row>
        <row r="126">
          <cell r="A126" t="str">
            <v>DO-YULQ705-W0-22</v>
          </cell>
          <cell r="B126" t="str">
            <v>DO-YULQ705</v>
          </cell>
          <cell r="C126">
            <v>1</v>
          </cell>
          <cell r="D126">
            <v>0</v>
          </cell>
          <cell r="E126">
            <v>0</v>
          </cell>
          <cell r="F126">
            <v>0</v>
          </cell>
          <cell r="G126">
            <v>108.99</v>
          </cell>
        </row>
        <row r="127">
          <cell r="A127" t="str">
            <v>DOLL-005-WO-11</v>
          </cell>
          <cell r="B127" t="str">
            <v>DOLL-005</v>
          </cell>
          <cell r="C127">
            <v>1</v>
          </cell>
          <cell r="D127">
            <v>0</v>
          </cell>
          <cell r="E127">
            <v>0</v>
          </cell>
          <cell r="F127">
            <v>0</v>
          </cell>
          <cell r="G127">
            <v>26.99</v>
          </cell>
        </row>
        <row r="128">
          <cell r="A128" t="str">
            <v>DO-YULQ507-PI-24</v>
          </cell>
          <cell r="B128" t="str">
            <v>DO-YULQ507</v>
          </cell>
          <cell r="C128">
            <v>1</v>
          </cell>
          <cell r="D128">
            <v>0</v>
          </cell>
          <cell r="E128">
            <v>0</v>
          </cell>
          <cell r="F128">
            <v>0</v>
          </cell>
          <cell r="G128">
            <v>99.9</v>
          </cell>
        </row>
        <row r="129">
          <cell r="A129" t="str">
            <v>DO-YULQ200-W0-10</v>
          </cell>
          <cell r="B129" t="str">
            <v>DO-YULQ200</v>
          </cell>
          <cell r="C129">
            <v>1</v>
          </cell>
          <cell r="D129">
            <v>0</v>
          </cell>
          <cell r="E129">
            <v>0</v>
          </cell>
          <cell r="F129">
            <v>0</v>
          </cell>
          <cell r="G129">
            <v>32.99</v>
          </cell>
        </row>
        <row r="130">
          <cell r="A130" t="str">
            <v>DO-YULQ187-CV-22</v>
          </cell>
          <cell r="B130" t="str">
            <v>DO-YULQ187</v>
          </cell>
          <cell r="C130">
            <v>1</v>
          </cell>
          <cell r="D130">
            <v>0</v>
          </cell>
          <cell r="E130">
            <v>0</v>
          </cell>
          <cell r="F130">
            <v>0</v>
          </cell>
          <cell r="G130">
            <v>89.99</v>
          </cell>
        </row>
        <row r="962">
          <cell r="A962" t="str">
            <v>YF-YULQ007-PI-20</v>
          </cell>
        </row>
        <row r="990">
          <cell r="A990" t="str">
            <v>DO-YULQ070-PI-16</v>
          </cell>
        </row>
        <row r="1151">
          <cell r="A1151" t="str">
            <v>DO-YULQ062-PI-22</v>
          </cell>
        </row>
        <row r="1214">
          <cell r="A1214" t="str">
            <v>DOLL-0601-PI-22</v>
          </cell>
        </row>
        <row r="1241">
          <cell r="A1241" t="str">
            <v>DO-YULQ100-B7-22</v>
          </cell>
        </row>
        <row r="1283">
          <cell r="A1283" t="str">
            <v>DO-YULQ001-PI-22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DO-YULQ100</v>
          </cell>
          <cell r="B2">
            <v>85.1042857142857</v>
          </cell>
        </row>
        <row r="3">
          <cell r="A3" t="str">
            <v>DO-YULQ638</v>
          </cell>
          <cell r="B3">
            <v>99.6</v>
          </cell>
        </row>
        <row r="4">
          <cell r="A4" t="str">
            <v>YF-YULQ007</v>
          </cell>
          <cell r="B4">
            <v>21.99</v>
          </cell>
        </row>
        <row r="5">
          <cell r="A5" t="str">
            <v>DOLL-010</v>
          </cell>
          <cell r="B5">
            <v>97.1860784313724</v>
          </cell>
        </row>
        <row r="6">
          <cell r="A6" t="str">
            <v>YF-YULQ002</v>
          </cell>
          <cell r="B6">
            <v>21.99</v>
          </cell>
        </row>
        <row r="7">
          <cell r="A7" t="str">
            <v>DO-YULQ173</v>
          </cell>
          <cell r="B7">
            <v>89.99</v>
          </cell>
        </row>
        <row r="8">
          <cell r="A8" t="str">
            <v>DOLL-004</v>
          </cell>
          <cell r="B8">
            <v>29.99</v>
          </cell>
        </row>
        <row r="9">
          <cell r="A9" t="str">
            <v>DO-YULQ350</v>
          </cell>
          <cell r="B9">
            <v>79.99</v>
          </cell>
        </row>
        <row r="10">
          <cell r="A10" t="str">
            <v>DO-YULQ070</v>
          </cell>
          <cell r="B10">
            <v>79.99</v>
          </cell>
        </row>
        <row r="11">
          <cell r="A11" t="str">
            <v>DO-YULQ230</v>
          </cell>
          <cell r="B11">
            <v>79.99</v>
          </cell>
        </row>
        <row r="12">
          <cell r="A12" t="str">
            <v>DO-YULQ123</v>
          </cell>
          <cell r="B12">
            <v>88.8135294117647</v>
          </cell>
        </row>
        <row r="13">
          <cell r="A13" t="str">
            <v>DO-YULQ812</v>
          </cell>
          <cell r="B13">
            <v>89.99</v>
          </cell>
        </row>
        <row r="14">
          <cell r="A14" t="str">
            <v>DO-YULQ664</v>
          </cell>
          <cell r="B14">
            <v>79.99</v>
          </cell>
        </row>
        <row r="15">
          <cell r="A15" t="str">
            <v>DOLLDRESS-003</v>
          </cell>
          <cell r="B15">
            <v>16.7641935483871</v>
          </cell>
        </row>
        <row r="16">
          <cell r="A16" t="str">
            <v>DOLL-020</v>
          </cell>
          <cell r="B16">
            <v>89.9899999999998</v>
          </cell>
        </row>
        <row r="17">
          <cell r="A17" t="str">
            <v>DO-YULQ620</v>
          </cell>
          <cell r="B17">
            <v>86.2677777777778</v>
          </cell>
        </row>
        <row r="18">
          <cell r="A18" t="str">
            <v>DO-YULQ700</v>
          </cell>
          <cell r="B18">
            <v>99.99</v>
          </cell>
        </row>
        <row r="19">
          <cell r="A19" t="str">
            <v>DO-YULQ150</v>
          </cell>
          <cell r="B19">
            <v>87.3233333333333</v>
          </cell>
        </row>
        <row r="20">
          <cell r="A20" t="str">
            <v>DO-YULQ001</v>
          </cell>
          <cell r="B20">
            <v>91.9899999999998</v>
          </cell>
        </row>
        <row r="21">
          <cell r="A21" t="str">
            <v>DO-YULQ703</v>
          </cell>
          <cell r="B21">
            <v>89.99</v>
          </cell>
        </row>
        <row r="22">
          <cell r="A22" t="str">
            <v>DO-YULQ203</v>
          </cell>
          <cell r="B22">
            <v>89.99</v>
          </cell>
        </row>
        <row r="23">
          <cell r="A23" t="str">
            <v>DO-YULQ010</v>
          </cell>
          <cell r="B23">
            <v>87.49</v>
          </cell>
        </row>
        <row r="24">
          <cell r="A24" t="str">
            <v>DO-YULQ232</v>
          </cell>
          <cell r="B24">
            <v>32.99</v>
          </cell>
        </row>
        <row r="25">
          <cell r="A25" t="str">
            <v>DO-YULQ706</v>
          </cell>
          <cell r="B25">
            <v>99.99</v>
          </cell>
        </row>
        <row r="26">
          <cell r="A26" t="str">
            <v>DOLL-006</v>
          </cell>
          <cell r="B26">
            <v>26.99</v>
          </cell>
        </row>
        <row r="27">
          <cell r="A27" t="str">
            <v>DO-YULQ062</v>
          </cell>
          <cell r="B27">
            <v>88.99</v>
          </cell>
        </row>
        <row r="28">
          <cell r="A28" t="str">
            <v>DO-YULQ058</v>
          </cell>
          <cell r="B28">
            <v>32.99</v>
          </cell>
        </row>
        <row r="29">
          <cell r="A29" t="str">
            <v>DO-YULQ332</v>
          </cell>
          <cell r="B29">
            <v>89.99</v>
          </cell>
        </row>
        <row r="30">
          <cell r="A30" t="str">
            <v>DO-YULQ012</v>
          </cell>
          <cell r="B30">
            <v>89.99</v>
          </cell>
        </row>
        <row r="31">
          <cell r="A31" t="str">
            <v>DO-YULQ161</v>
          </cell>
          <cell r="B31">
            <v>69.99</v>
          </cell>
        </row>
        <row r="32">
          <cell r="A32" t="str">
            <v>DOLL-1630</v>
          </cell>
          <cell r="B32">
            <v>99.99</v>
          </cell>
        </row>
        <row r="33">
          <cell r="A33" t="str">
            <v>DO-YULQ611</v>
          </cell>
          <cell r="B33">
            <v>87.99</v>
          </cell>
        </row>
        <row r="34">
          <cell r="A34" t="str">
            <v>DO-YULQ172</v>
          </cell>
          <cell r="B34">
            <v>79.99</v>
          </cell>
        </row>
        <row r="35">
          <cell r="A35" t="str">
            <v>DO-YULQ330</v>
          </cell>
          <cell r="B35" t="e">
            <v>#DIV/0!</v>
          </cell>
        </row>
        <row r="36">
          <cell r="A36" t="str">
            <v>YF-YULQ602</v>
          </cell>
          <cell r="B36">
            <v>17.592</v>
          </cell>
        </row>
        <row r="37">
          <cell r="A37" t="str">
            <v>YF-YULQ905</v>
          </cell>
          <cell r="B37">
            <v>21.99</v>
          </cell>
        </row>
        <row r="38">
          <cell r="A38" t="str">
            <v>DO-YULQ702</v>
          </cell>
          <cell r="B38">
            <v>99.99</v>
          </cell>
        </row>
        <row r="39">
          <cell r="A39" t="str">
            <v>DOLL-0605</v>
          </cell>
          <cell r="B39">
            <v>89.99</v>
          </cell>
        </row>
        <row r="40">
          <cell r="A40" t="str">
            <v>DO-YULQ004</v>
          </cell>
          <cell r="B40">
            <v>32.99</v>
          </cell>
        </row>
        <row r="41">
          <cell r="A41" t="str">
            <v>DO-YULQ905</v>
          </cell>
          <cell r="B41">
            <v>106.99</v>
          </cell>
        </row>
        <row r="42">
          <cell r="A42" t="str">
            <v>DO-YULQ063</v>
          </cell>
          <cell r="B42">
            <v>75.99</v>
          </cell>
        </row>
        <row r="43">
          <cell r="A43" t="str">
            <v>DOLL-1523</v>
          </cell>
          <cell r="B43">
            <v>79.99</v>
          </cell>
        </row>
        <row r="44">
          <cell r="A44" t="str">
            <v>DO-YULQ708</v>
          </cell>
          <cell r="B44">
            <v>108.99</v>
          </cell>
        </row>
        <row r="45">
          <cell r="A45" t="str">
            <v>DOLL-1613</v>
          </cell>
          <cell r="B45">
            <v>89.99</v>
          </cell>
        </row>
        <row r="46">
          <cell r="A46" t="str">
            <v>DOLL-0601</v>
          </cell>
          <cell r="B46">
            <v>89.99</v>
          </cell>
        </row>
        <row r="47">
          <cell r="A47" t="str">
            <v>DOLL-0603</v>
          </cell>
          <cell r="B47">
            <v>89.6</v>
          </cell>
        </row>
        <row r="48">
          <cell r="A48" t="str">
            <v>YF-YULQ003</v>
          </cell>
          <cell r="B48">
            <v>21.99</v>
          </cell>
        </row>
        <row r="49">
          <cell r="A49" t="str">
            <v>DO-YULQ606</v>
          </cell>
          <cell r="B49">
            <v>59.99</v>
          </cell>
        </row>
        <row r="50">
          <cell r="A50" t="str">
            <v>DOLLDRESS-1612</v>
          </cell>
          <cell r="B50">
            <v>23.99</v>
          </cell>
        </row>
        <row r="51">
          <cell r="A51" t="str">
            <v>DOLL-7056</v>
          </cell>
          <cell r="B51">
            <v>34.99</v>
          </cell>
        </row>
        <row r="52">
          <cell r="A52" t="str">
            <v>DO-YULQ705</v>
          </cell>
          <cell r="B52">
            <v>52.99</v>
          </cell>
        </row>
        <row r="53">
          <cell r="A53" t="str">
            <v>DO-YULQ171</v>
          </cell>
          <cell r="B53">
            <v>92.795</v>
          </cell>
        </row>
        <row r="54">
          <cell r="A54" t="str">
            <v>DO-YULQ073</v>
          </cell>
          <cell r="B54">
            <v>89.99</v>
          </cell>
        </row>
        <row r="55">
          <cell r="A55" t="str">
            <v>DOLL-0630</v>
          </cell>
          <cell r="B55">
            <v>89.99</v>
          </cell>
        </row>
        <row r="56">
          <cell r="A56" t="str">
            <v>DO-YULQ006</v>
          </cell>
          <cell r="B56">
            <v>23.99</v>
          </cell>
        </row>
        <row r="57">
          <cell r="A57" t="str">
            <v>DO-YULQ152</v>
          </cell>
          <cell r="B57">
            <v>82.49</v>
          </cell>
        </row>
        <row r="58">
          <cell r="A58" t="str">
            <v>YF-YULQ008</v>
          </cell>
          <cell r="B58">
            <v>23.3233333333333</v>
          </cell>
        </row>
        <row r="59">
          <cell r="A59" t="str">
            <v>DO-YULQ165</v>
          </cell>
          <cell r="B59">
            <v>79.99</v>
          </cell>
        </row>
        <row r="60">
          <cell r="A60" t="str">
            <v>DO-YULQ018</v>
          </cell>
          <cell r="B60">
            <v>77.991</v>
          </cell>
        </row>
        <row r="61">
          <cell r="A61" t="str">
            <v>DO-YULQ107</v>
          </cell>
          <cell r="B61">
            <v>89.99</v>
          </cell>
        </row>
        <row r="62">
          <cell r="A62" t="str">
            <v>DO-YULQ064</v>
          </cell>
          <cell r="B62">
            <v>99.99</v>
          </cell>
        </row>
        <row r="63">
          <cell r="A63" t="str">
            <v>DO-YULQ005</v>
          </cell>
          <cell r="B63">
            <v>23.99</v>
          </cell>
        </row>
        <row r="64">
          <cell r="A64" t="str">
            <v>DOLL-AD011</v>
          </cell>
          <cell r="B64">
            <v>99.6</v>
          </cell>
        </row>
        <row r="65">
          <cell r="A65" t="str">
            <v>DOLL-100</v>
          </cell>
          <cell r="B65">
            <v>79.6</v>
          </cell>
        </row>
        <row r="66">
          <cell r="A66" t="str">
            <v>DO-YULQ162</v>
          </cell>
          <cell r="B66">
            <v>85.99</v>
          </cell>
        </row>
        <row r="67">
          <cell r="A67" t="str">
            <v>DO-YULQ153</v>
          </cell>
          <cell r="B67">
            <v>99.99</v>
          </cell>
        </row>
        <row r="68">
          <cell r="A68" t="str">
            <v>DOLL-9042</v>
          </cell>
          <cell r="B68">
            <v>89.99</v>
          </cell>
        </row>
        <row r="69">
          <cell r="A69" t="str">
            <v>DO-YULQ163</v>
          </cell>
          <cell r="B69">
            <v>89.99</v>
          </cell>
        </row>
        <row r="70">
          <cell r="A70" t="str">
            <v>DO-YULQ111</v>
          </cell>
          <cell r="B70">
            <v>91.6</v>
          </cell>
        </row>
        <row r="71">
          <cell r="A71" t="str">
            <v>DO-YULQ704</v>
          </cell>
          <cell r="B71">
            <v>100.606153846154</v>
          </cell>
        </row>
        <row r="72">
          <cell r="A72" t="str">
            <v>NZZH-FLQ52</v>
          </cell>
          <cell r="B72">
            <v>16.99</v>
          </cell>
        </row>
        <row r="73">
          <cell r="A73" t="str">
            <v>YF-YULQ010</v>
          </cell>
          <cell r="B73">
            <v>23.99</v>
          </cell>
        </row>
        <row r="74">
          <cell r="A74" t="str">
            <v>DO-YULQ639</v>
          </cell>
          <cell r="B74">
            <v>99.99</v>
          </cell>
        </row>
        <row r="75">
          <cell r="A75" t="str">
            <v>DO-YULQ151</v>
          </cell>
          <cell r="B75">
            <v>79.99</v>
          </cell>
        </row>
        <row r="76">
          <cell r="A76" t="str">
            <v>DO-YULQ707</v>
          </cell>
          <cell r="B76">
            <v>108.99</v>
          </cell>
        </row>
        <row r="77">
          <cell r="A77" t="str">
            <v>DO-YULQ516</v>
          </cell>
          <cell r="B77">
            <v>89.99</v>
          </cell>
        </row>
        <row r="78">
          <cell r="A78" t="str">
            <v>DO-YULQ372</v>
          </cell>
          <cell r="B78">
            <v>59.99</v>
          </cell>
        </row>
        <row r="79">
          <cell r="A79" t="str">
            <v>DO-YULQ121</v>
          </cell>
          <cell r="B79">
            <v>89.99</v>
          </cell>
        </row>
        <row r="80">
          <cell r="A80" t="str">
            <v>DO-YULQ159</v>
          </cell>
          <cell r="B80">
            <v>99.6</v>
          </cell>
        </row>
        <row r="81">
          <cell r="A81" t="str">
            <v>DO-YULQ631</v>
          </cell>
          <cell r="B81">
            <v>99.99</v>
          </cell>
        </row>
        <row r="82">
          <cell r="A82" t="str">
            <v>DO-YULQ259</v>
          </cell>
          <cell r="B82" t="e">
            <v>#DIV/0!</v>
          </cell>
        </row>
        <row r="83">
          <cell r="A83" t="str">
            <v>DOLL-007</v>
          </cell>
          <cell r="B83" t="e">
            <v>#DIV/0!</v>
          </cell>
        </row>
        <row r="84">
          <cell r="A84" t="str">
            <v>DOLL-AD010</v>
          </cell>
          <cell r="B84" t="e">
            <v>#DIV/0!</v>
          </cell>
        </row>
        <row r="85">
          <cell r="A85" t="str">
            <v>DO-YULQ158</v>
          </cell>
          <cell r="B85">
            <v>89.6</v>
          </cell>
        </row>
        <row r="86">
          <cell r="A86" t="str">
            <v>DO-YULQ720</v>
          </cell>
          <cell r="B86">
            <v>109.99</v>
          </cell>
        </row>
        <row r="87">
          <cell r="A87" t="str">
            <v>DO-YULQ170</v>
          </cell>
          <cell r="B87">
            <v>118.99</v>
          </cell>
        </row>
        <row r="88">
          <cell r="A88" t="str">
            <v>DO-YULQ002</v>
          </cell>
          <cell r="B88">
            <v>59.99</v>
          </cell>
        </row>
        <row r="89">
          <cell r="A89" t="str">
            <v>DO-YULQ042</v>
          </cell>
          <cell r="B89">
            <v>89.99</v>
          </cell>
        </row>
        <row r="90">
          <cell r="A90" t="str">
            <v>DO-YULQ105</v>
          </cell>
          <cell r="B90">
            <v>69.99</v>
          </cell>
        </row>
        <row r="91">
          <cell r="A91" t="str">
            <v>YF-YULQ162</v>
          </cell>
          <cell r="B91">
            <v>21.99</v>
          </cell>
        </row>
        <row r="92">
          <cell r="A92" t="str">
            <v>DO-YULQ701</v>
          </cell>
          <cell r="B92">
            <v>92.99</v>
          </cell>
        </row>
        <row r="93">
          <cell r="A93" t="str">
            <v>DO-YULQ039</v>
          </cell>
          <cell r="B93">
            <v>118.99</v>
          </cell>
        </row>
        <row r="94">
          <cell r="A94" t="str">
            <v>DO-YULQ061</v>
          </cell>
          <cell r="B94">
            <v>104.99</v>
          </cell>
        </row>
        <row r="95">
          <cell r="A95" t="str">
            <v>DO-YULQ200</v>
          </cell>
          <cell r="B95">
            <v>32.99</v>
          </cell>
        </row>
        <row r="96">
          <cell r="A96" t="str">
            <v>DO-YULQ719</v>
          </cell>
          <cell r="B96">
            <v>79.99</v>
          </cell>
        </row>
        <row r="97">
          <cell r="A97" t="str">
            <v>DO-YULQ504</v>
          </cell>
          <cell r="B97">
            <v>118.99</v>
          </cell>
        </row>
        <row r="98">
          <cell r="A98" t="str">
            <v>DOLL-005</v>
          </cell>
          <cell r="B98">
            <v>26.99</v>
          </cell>
        </row>
        <row r="99">
          <cell r="A99" t="str">
            <v>DO-YULQ507</v>
          </cell>
          <cell r="B99">
            <v>99.9</v>
          </cell>
        </row>
        <row r="100">
          <cell r="A100" t="str">
            <v>DO-YULQ187</v>
          </cell>
          <cell r="B100">
            <v>89.99</v>
          </cell>
        </row>
      </sheetData>
      <sheetData sheetId="5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1293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209"/>
    </sheetView>
  </sheetViews>
  <sheetFormatPr defaultColWidth="9" defaultRowHeight="14.25"/>
  <cols>
    <col min="1" max="3" width="18.625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12.62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28" t="s">
        <v>0</v>
      </c>
      <c r="B1" s="28"/>
      <c r="C1" s="28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5</v>
      </c>
      <c r="Y1" s="29"/>
      <c r="Z1" s="29"/>
      <c r="AA1" s="29"/>
      <c r="AB1" s="29" t="s">
        <v>6</v>
      </c>
      <c r="AC1" s="29"/>
      <c r="AD1" s="29"/>
      <c r="AE1" s="29"/>
      <c r="AF1" s="29" t="s">
        <v>7</v>
      </c>
      <c r="AG1" s="29"/>
      <c r="AH1" s="29"/>
      <c r="AI1" s="29"/>
      <c r="AJ1" s="29" t="s">
        <v>8</v>
      </c>
      <c r="AK1" s="29"/>
      <c r="AL1" s="29"/>
      <c r="AM1" s="29"/>
      <c r="AN1" s="29" t="s">
        <v>9</v>
      </c>
      <c r="AO1" s="29"/>
      <c r="AP1" s="29"/>
      <c r="AQ1" s="29"/>
      <c r="AR1" s="29" t="s">
        <v>10</v>
      </c>
      <c r="AS1" s="29"/>
      <c r="AT1" s="29"/>
      <c r="AU1" s="29"/>
      <c r="AV1" s="29"/>
    </row>
    <row r="2" s="27" customFormat="1" hidden="1" spans="1:49">
      <c r="A2" s="30">
        <f>时间!$B$1</f>
        <v>43311</v>
      </c>
      <c r="B2" t="e">
        <f>VLOOKUP(A2,#REF!,2,0)</f>
        <v>#REF!</v>
      </c>
      <c r="C2" t="e">
        <f>VLOOKUP(A2,'[3]子sku-父sku'!$A:$B,2,0)</f>
        <v>#N/A</v>
      </c>
      <c r="D2" s="31">
        <f>IFERROR(VLOOKUP(A2,[4]库存报告使用数据处理!$A:$C,3,0),0)</f>
        <v>0</v>
      </c>
      <c r="E2" s="31">
        <f>IFERROR(VLOOKUP(A2,[4]库存报告使用数据处理!$A:$D,4,0),0)</f>
        <v>0</v>
      </c>
      <c r="F2" s="31">
        <f>IFERROR(VLOOKUP(A2,[4]库存报告使用数据处理!$A:$E,5,0),0)</f>
        <v>0</v>
      </c>
      <c r="G2" s="31">
        <f>IFERROR(VLOOKUP(A2,[4]库存报告使用数据处理!$A:$F,6,0),0)</f>
        <v>0</v>
      </c>
      <c r="H2" s="32">
        <f>IFERROR(VLOOKUP(A2,[4]库存报告使用数据处理!$A:$G,7,0),0)</f>
        <v>0</v>
      </c>
      <c r="I2">
        <f>IFERROR(VLOOKUP(A2,[1]库存报告使用数据!$A$1:$B$65536,2,0),0)</f>
        <v>0</v>
      </c>
      <c r="J2" s="33">
        <f>IFERROR(VLOOKUP(A2,[1]库存报告使用数据!$A$1:$D$65536,4,0),0)</f>
        <v>0</v>
      </c>
      <c r="K2" s="33">
        <f>IFERROR(VLOOKUP(A2,[1]库存报告使用数据!$A$1:$E$65536,5,0),0)</f>
        <v>0</v>
      </c>
      <c r="L2" s="33">
        <f>IFERROR(VLOOKUP(A2,[1]库存报告使用数据!$A$1:$G$65536,7,0),0)</f>
        <v>0</v>
      </c>
      <c r="M2">
        <f>SUM(I2:L2)</f>
        <v>0</v>
      </c>
      <c r="N2">
        <f>IFERROR(VLOOKUP(A2,[1]库存报告使用数据!$A$1:$C$65536,3,0),0)</f>
        <v>0</v>
      </c>
      <c r="O2">
        <f>IFERROR(VLOOKUP($A2,[1]库存报告使用数据!$A$1:$M$65536,13,0),0)</f>
        <v>0</v>
      </c>
      <c r="P2" t="str">
        <f>IFERROR(VLOOKUP($A2,[2]库存使用数据!$A:$B,2,0),"")</f>
        <v/>
      </c>
      <c r="Q2" t="str">
        <f>IFERROR(VLOOKUP($A2,[2]库存使用数据!$A:$E,5,0),"")</f>
        <v/>
      </c>
      <c r="R2" t="str">
        <f>IFERROR(VLOOKUP($A2,[2]库存使用数据!$A:$H,8,0),"")</f>
        <v/>
      </c>
      <c r="S2" t="str">
        <f>IFERROR(VLOOKUP($A2,[2]库存使用数据!$A:$K,11,0),"")</f>
        <v/>
      </c>
      <c r="T2" t="str">
        <f>IFERROR(VLOOKUP($A2,[2]库存使用数据!$A:$C,3,0),"")</f>
        <v/>
      </c>
      <c r="U2" t="str">
        <f>IFERROR(VLOOKUP($A2,[2]库存使用数据!$A:$F,6,0),"")</f>
        <v/>
      </c>
      <c r="V2" t="str">
        <f>IFERROR(VLOOKUP($A2,[2]库存使用数据!$A:$I,9,0),"")</f>
        <v/>
      </c>
      <c r="W2" t="str">
        <f>IFERROR(VLOOKUP($A2,[2]库存使用数据!$A:$L,12,0),"")</f>
        <v/>
      </c>
      <c r="X2" s="23" t="e">
        <f t="shared" ref="X2:AA2" si="0">T2/P2</f>
        <v>#VALUE!</v>
      </c>
      <c r="Y2" s="23" t="e">
        <f t="shared" si="0"/>
        <v>#VALUE!</v>
      </c>
      <c r="Z2" s="23" t="e">
        <f t="shared" si="0"/>
        <v>#VALUE!</v>
      </c>
      <c r="AA2" s="23" t="e">
        <f t="shared" si="0"/>
        <v>#VALUE!</v>
      </c>
      <c r="AB2" t="str">
        <f>IFERROR(VLOOKUP($A2,[2]库存使用数据!$A:$D,4,0),"")</f>
        <v/>
      </c>
      <c r="AC2" t="str">
        <f>IFERROR(VLOOKUP($A2,[2]库存使用数据!$A:$G,7,0),"")</f>
        <v/>
      </c>
      <c r="AD2" t="str">
        <f>IFERROR(VLOOKUP($A2,[2]库存使用数据!$A:$J,10,0),"")</f>
        <v/>
      </c>
      <c r="AE2" t="str">
        <f>IFERROR(VLOOKUP($A2,[2]库存使用数据!$A:$M,13,0),"")</f>
        <v/>
      </c>
      <c r="AF2" s="23" t="str">
        <f t="shared" ref="AF2:AI2" si="1">IF(OR(AB2="",AB2=0),"",IF(AND(D2*$H2=0,AB2&gt;0),"无销量广告费为"&amp;AB2,AB2/(D2*$H2)))</f>
        <v/>
      </c>
      <c r="AG2" s="23" t="str">
        <f t="shared" si="1"/>
        <v/>
      </c>
      <c r="AH2" s="23" t="str">
        <f t="shared" si="1"/>
        <v/>
      </c>
      <c r="AI2" s="23" t="str">
        <f t="shared" si="1"/>
        <v/>
      </c>
      <c r="AJ2">
        <f>IFERROR(VLOOKUP($B2,[1]库存报告使用数据!$A$1:$B$65536,2,0),0)</f>
        <v>0</v>
      </c>
      <c r="AK2">
        <f>IFERROR(VLOOKUP($B2,[1]库存报告使用数据!$A$1:$C$65536,3,0),0)</f>
        <v>0</v>
      </c>
      <c r="AL2">
        <f>IFERROR(VLOOKUP($B2,[1]库存报告使用数据!$A$1:$D$65536,4,0),0)</f>
        <v>0</v>
      </c>
      <c r="AM2">
        <f>IFERROR(VLOOKUP($B2,[1]库存报告使用数据!$A$1:$E$65536,5,0),0)</f>
        <v>0</v>
      </c>
      <c r="AN2" s="23" t="str">
        <f t="shared" ref="AN2:AQ2" si="2">IFERROR(D2/AJ2,"")</f>
        <v/>
      </c>
      <c r="AO2" s="23" t="str">
        <f t="shared" si="2"/>
        <v/>
      </c>
      <c r="AP2" s="23" t="str">
        <f t="shared" si="2"/>
        <v/>
      </c>
      <c r="AQ2" s="23" t="str">
        <f t="shared" si="2"/>
        <v/>
      </c>
      <c r="AR2" s="35">
        <f>IFERROR(D2/7,"")</f>
        <v>0</v>
      </c>
      <c r="AS2" s="35">
        <f>IF(AR2="","上周无销量",60*AR2)</f>
        <v>0</v>
      </c>
      <c r="AT2" s="35">
        <f>IF(AS2="上周无销量","上周无销量/总库存"&amp;M2,M2-AS2)</f>
        <v>0</v>
      </c>
      <c r="AU2" s="31" t="str">
        <f t="shared" ref="AU2:AU68" si="3">IF(AR2="","库存为"&amp;M2,IF(AS2=0,"库存为"&amp;M2,INT(M2/AR2)))</f>
        <v>库存为0</v>
      </c>
      <c r="AV2" s="36" t="str">
        <f>IFERROR($A$2+AU2,"上周无销量")</f>
        <v>上周无销量</v>
      </c>
      <c r="AW2" s="36" t="str">
        <f>IFERROR($A$2+AV2,"上周无销量")</f>
        <v>上周无销量</v>
      </c>
    </row>
    <row r="3" s="14" customFormat="1" ht="25" customHeight="1" spans="1:61">
      <c r="A3" s="13" t="s">
        <v>11</v>
      </c>
      <c r="B3" s="13"/>
      <c r="C3" s="13"/>
      <c r="D3" s="13" t="str">
        <f>TEXT(时间!$B$6,"yyyy/M/d")&amp;"-"&amp;TEXT(时间!$B$5,"yyyy/M/d")</f>
        <v>2018/8/20-2018/8/26</v>
      </c>
      <c r="E3" s="13" t="str">
        <f>TEXT(时间!$B$8,"yyyy/M/d")&amp;"-"&amp;TEXT(时间!$B$7,"yyyy/M/d")</f>
        <v>2018/8/13-2018/8/19</v>
      </c>
      <c r="F3" s="13" t="str">
        <f>TEXT(时间!$B$10,"yyyy/M/d")&amp;"-"&amp;TEXT(时间!$B$9,"yyyy/M/d")</f>
        <v>2018/8/6-2018/8/12</v>
      </c>
      <c r="G3" s="13" t="str">
        <f>TEXT(时间!$B$12,"yyyy/M/d")&amp;"-"&amp;TEXT(时间!$B$11,"yyyy/M/d")</f>
        <v>2018/7/30-2018/8/5</v>
      </c>
      <c r="I3" s="13"/>
      <c r="J3" s="13"/>
      <c r="K3" s="13"/>
      <c r="L3" s="13"/>
      <c r="M3" s="13"/>
      <c r="N3" s="13"/>
      <c r="O3" s="19" t="s">
        <v>12</v>
      </c>
      <c r="P3" s="13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1" t="s">
        <v>28</v>
      </c>
      <c r="Q4" s="21" t="s">
        <v>29</v>
      </c>
      <c r="R4" s="21" t="s">
        <v>30</v>
      </c>
      <c r="S4" s="21" t="s">
        <v>31</v>
      </c>
      <c r="T4" s="21" t="s">
        <v>32</v>
      </c>
      <c r="U4" s="21" t="s">
        <v>33</v>
      </c>
      <c r="V4" s="21" t="s">
        <v>34</v>
      </c>
      <c r="W4" s="21" t="s">
        <v>35</v>
      </c>
      <c r="X4" s="21" t="s">
        <v>36</v>
      </c>
      <c r="Y4" s="21" t="s">
        <v>37</v>
      </c>
      <c r="Z4" s="21" t="s">
        <v>38</v>
      </c>
      <c r="AA4" s="21" t="s">
        <v>39</v>
      </c>
      <c r="AB4" s="21" t="s">
        <v>40</v>
      </c>
      <c r="AC4" s="21" t="s">
        <v>41</v>
      </c>
      <c r="AD4" s="21" t="s">
        <v>42</v>
      </c>
      <c r="AE4" s="21" t="s">
        <v>43</v>
      </c>
      <c r="AF4" s="21">
        <f>时间!$B$6</f>
        <v>43332</v>
      </c>
      <c r="AG4" s="21">
        <f>时间!$B$7</f>
        <v>43331</v>
      </c>
      <c r="AH4" s="21">
        <f>时间!$B$8</f>
        <v>43325</v>
      </c>
      <c r="AI4" s="21">
        <f>时间!$B$9</f>
        <v>43324</v>
      </c>
      <c r="AJ4" s="21">
        <f>时间!$B$6</f>
        <v>43332</v>
      </c>
      <c r="AK4" s="21">
        <f>时间!$B$7</f>
        <v>43331</v>
      </c>
      <c r="AL4" s="21">
        <f>时间!$B$8</f>
        <v>43325</v>
      </c>
      <c r="AM4" s="21">
        <f>时间!$B$9</f>
        <v>43324</v>
      </c>
      <c r="AN4" s="21">
        <f>时间!$B$6</f>
        <v>43332</v>
      </c>
      <c r="AO4" s="21">
        <f>时间!$B$7</f>
        <v>43331</v>
      </c>
      <c r="AP4" s="21">
        <f>时间!$B$8</f>
        <v>43325</v>
      </c>
      <c r="AQ4" s="21">
        <f>时间!$B$9</f>
        <v>43324</v>
      </c>
      <c r="AR4" s="7" t="s">
        <v>44</v>
      </c>
      <c r="AS4" s="7" t="s">
        <v>45</v>
      </c>
      <c r="AT4" s="7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SUM(D6:D170)</f>
        <v>148</v>
      </c>
      <c r="E5" s="4">
        <f>SUM(E6:E170)</f>
        <v>169</v>
      </c>
      <c r="F5" s="4">
        <f>SUM(F6:F170)</f>
        <v>163</v>
      </c>
      <c r="G5" s="4">
        <f>SUM(G6:G170)</f>
        <v>166</v>
      </c>
      <c r="I5" s="4">
        <f t="shared" ref="I5:O5" si="4">SUM(I6:I170)</f>
        <v>1589</v>
      </c>
      <c r="J5" s="4">
        <f t="shared" si="4"/>
        <v>90</v>
      </c>
      <c r="K5" s="4">
        <f t="shared" si="4"/>
        <v>1</v>
      </c>
      <c r="L5" s="4">
        <f t="shared" si="4"/>
        <v>53</v>
      </c>
      <c r="M5" s="4">
        <f t="shared" si="4"/>
        <v>1733</v>
      </c>
      <c r="N5" s="4">
        <f t="shared" si="4"/>
        <v>20</v>
      </c>
      <c r="O5" s="4">
        <f t="shared" si="4"/>
        <v>286</v>
      </c>
      <c r="AB5" s="4">
        <f>SUM(AB6:AB170)</f>
        <v>1999.71</v>
      </c>
      <c r="AC5" s="4">
        <f>SUM(AC6:AC170)</f>
        <v>1489.69</v>
      </c>
      <c r="AD5" s="4">
        <f>SUM(AD6:AD170)</f>
        <v>6559.84</v>
      </c>
      <c r="AE5" s="4">
        <f>SUM(AE6:AE170)</f>
        <v>6578.73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7"/>
      <c r="AU5" s="37"/>
      <c r="AV5" s="37"/>
    </row>
    <row r="6" spans="1:48">
      <c r="A6" s="21" t="s">
        <v>51</v>
      </c>
      <c r="B6" t="s">
        <v>52</v>
      </c>
      <c r="C6" t="s">
        <v>53</v>
      </c>
      <c r="D6" s="31">
        <v>0</v>
      </c>
      <c r="E6" s="31">
        <v>0</v>
      </c>
      <c r="F6" s="31">
        <v>0</v>
      </c>
      <c r="G6" s="31">
        <v>0</v>
      </c>
      <c r="H6" s="32">
        <v>0</v>
      </c>
      <c r="I6">
        <v>0</v>
      </c>
      <c r="J6" s="33">
        <v>0</v>
      </c>
      <c r="K6" s="33">
        <v>0</v>
      </c>
      <c r="L6" s="33">
        <v>0</v>
      </c>
      <c r="M6">
        <v>0</v>
      </c>
      <c r="N6">
        <v>0</v>
      </c>
      <c r="O6">
        <v>0</v>
      </c>
      <c r="P6" t="s">
        <v>54</v>
      </c>
      <c r="Q6" t="s">
        <v>54</v>
      </c>
      <c r="R6" t="s">
        <v>54</v>
      </c>
      <c r="S6" t="s">
        <v>54</v>
      </c>
      <c r="T6" t="s">
        <v>54</v>
      </c>
      <c r="U6" t="s">
        <v>54</v>
      </c>
      <c r="V6" t="s">
        <v>54</v>
      </c>
      <c r="W6" t="s">
        <v>54</v>
      </c>
      <c r="X6" s="23" t="s">
        <v>54</v>
      </c>
      <c r="Y6" s="23" t="s">
        <v>54</v>
      </c>
      <c r="Z6" s="23" t="s">
        <v>54</v>
      </c>
      <c r="AA6" s="23" t="s">
        <v>54</v>
      </c>
      <c r="AB6" t="s">
        <v>54</v>
      </c>
      <c r="AC6" t="s">
        <v>54</v>
      </c>
      <c r="AD6" t="s">
        <v>54</v>
      </c>
      <c r="AE6" t="s">
        <v>54</v>
      </c>
      <c r="AF6" s="23" t="s">
        <v>54</v>
      </c>
      <c r="AG6" s="23" t="s">
        <v>54</v>
      </c>
      <c r="AH6" s="23" t="s">
        <v>54</v>
      </c>
      <c r="AI6" s="23" t="s">
        <v>54</v>
      </c>
      <c r="AJ6">
        <v>817</v>
      </c>
      <c r="AK6">
        <v>1473</v>
      </c>
      <c r="AL6">
        <v>1332</v>
      </c>
      <c r="AM6">
        <v>1292</v>
      </c>
      <c r="AN6" s="23">
        <v>0</v>
      </c>
      <c r="AO6" s="23">
        <v>0</v>
      </c>
      <c r="AP6" s="23">
        <v>0</v>
      </c>
      <c r="AQ6" s="23">
        <v>0</v>
      </c>
      <c r="AR6" s="35">
        <v>0</v>
      </c>
      <c r="AS6" s="35">
        <v>0</v>
      </c>
      <c r="AT6" s="35">
        <v>0</v>
      </c>
      <c r="AU6" s="31" t="str">
        <f t="shared" si="3"/>
        <v>库存为0</v>
      </c>
      <c r="AV6" s="36" t="str">
        <f>IFERROR(时间!$B$4+AU6,"上周无销量")</f>
        <v>上周无销量</v>
      </c>
    </row>
    <row r="7" spans="1:48">
      <c r="A7" s="21" t="s">
        <v>55</v>
      </c>
      <c r="B7" t="s">
        <v>56</v>
      </c>
      <c r="C7" t="s">
        <v>57</v>
      </c>
      <c r="D7" s="31">
        <v>0</v>
      </c>
      <c r="E7" s="31">
        <v>0</v>
      </c>
      <c r="F7" s="31">
        <v>0</v>
      </c>
      <c r="G7" s="31">
        <v>0</v>
      </c>
      <c r="H7" s="32">
        <v>0</v>
      </c>
      <c r="I7">
        <v>0</v>
      </c>
      <c r="J7" s="33">
        <v>0</v>
      </c>
      <c r="K7" s="33">
        <v>0</v>
      </c>
      <c r="L7" s="33">
        <v>0</v>
      </c>
      <c r="M7">
        <v>0</v>
      </c>
      <c r="N7">
        <v>0</v>
      </c>
      <c r="O7">
        <v>0</v>
      </c>
      <c r="P7" t="s">
        <v>54</v>
      </c>
      <c r="Q7" t="s">
        <v>54</v>
      </c>
      <c r="R7" t="s">
        <v>54</v>
      </c>
      <c r="S7" t="s">
        <v>54</v>
      </c>
      <c r="T7" t="s">
        <v>54</v>
      </c>
      <c r="U7" t="s">
        <v>54</v>
      </c>
      <c r="V7" t="s">
        <v>54</v>
      </c>
      <c r="W7" t="s">
        <v>54</v>
      </c>
      <c r="X7" s="23" t="s">
        <v>54</v>
      </c>
      <c r="Y7" s="23" t="s">
        <v>54</v>
      </c>
      <c r="Z7" s="23" t="s">
        <v>54</v>
      </c>
      <c r="AA7" s="23" t="s">
        <v>54</v>
      </c>
      <c r="AB7" t="s">
        <v>54</v>
      </c>
      <c r="AC7" t="s">
        <v>54</v>
      </c>
      <c r="AD7" t="s">
        <v>54</v>
      </c>
      <c r="AE7" t="s">
        <v>54</v>
      </c>
      <c r="AF7" s="23" t="s">
        <v>54</v>
      </c>
      <c r="AG7" s="23" t="s">
        <v>54</v>
      </c>
      <c r="AH7" s="23" t="s">
        <v>54</v>
      </c>
      <c r="AI7" s="23" t="s">
        <v>54</v>
      </c>
      <c r="AJ7">
        <v>617</v>
      </c>
      <c r="AK7">
        <v>304</v>
      </c>
      <c r="AL7">
        <v>484</v>
      </c>
      <c r="AM7">
        <v>235</v>
      </c>
      <c r="AN7" s="23">
        <v>0</v>
      </c>
      <c r="AO7" s="23">
        <v>0</v>
      </c>
      <c r="AP7" s="23">
        <v>0</v>
      </c>
      <c r="AQ7" s="23">
        <v>0</v>
      </c>
      <c r="AR7" s="35">
        <v>0</v>
      </c>
      <c r="AS7" s="35">
        <v>0</v>
      </c>
      <c r="AT7" s="35">
        <v>0</v>
      </c>
      <c r="AU7" s="31" t="str">
        <f t="shared" si="3"/>
        <v>库存为0</v>
      </c>
      <c r="AV7" s="36" t="str">
        <f>IFERROR(时间!$B$4+AU7,"上周无销量")</f>
        <v>上周无销量</v>
      </c>
    </row>
    <row r="8" spans="1:48">
      <c r="A8" s="21" t="s">
        <v>58</v>
      </c>
      <c r="B8" t="s">
        <v>59</v>
      </c>
      <c r="C8" t="s">
        <v>60</v>
      </c>
      <c r="D8" s="31">
        <v>0</v>
      </c>
      <c r="E8" s="31">
        <v>0</v>
      </c>
      <c r="F8" s="31">
        <v>0</v>
      </c>
      <c r="G8" s="31">
        <v>0</v>
      </c>
      <c r="H8" s="32">
        <v>0</v>
      </c>
      <c r="I8">
        <v>0</v>
      </c>
      <c r="J8" s="33">
        <v>0</v>
      </c>
      <c r="K8" s="33">
        <v>0</v>
      </c>
      <c r="L8" s="33">
        <v>0</v>
      </c>
      <c r="M8">
        <v>0</v>
      </c>
      <c r="N8">
        <v>0</v>
      </c>
      <c r="O8">
        <v>0</v>
      </c>
      <c r="P8" t="s">
        <v>54</v>
      </c>
      <c r="Q8" t="s">
        <v>54</v>
      </c>
      <c r="R8" t="s">
        <v>54</v>
      </c>
      <c r="S8" t="s">
        <v>54</v>
      </c>
      <c r="T8" t="s">
        <v>54</v>
      </c>
      <c r="U8" t="s">
        <v>54</v>
      </c>
      <c r="V8" t="s">
        <v>54</v>
      </c>
      <c r="W8" t="s">
        <v>54</v>
      </c>
      <c r="X8" s="23" t="s">
        <v>54</v>
      </c>
      <c r="Y8" s="23" t="s">
        <v>54</v>
      </c>
      <c r="Z8" s="23" t="s">
        <v>54</v>
      </c>
      <c r="AA8" s="23" t="s">
        <v>54</v>
      </c>
      <c r="AB8" t="s">
        <v>54</v>
      </c>
      <c r="AC8" t="s">
        <v>54</v>
      </c>
      <c r="AD8" t="s">
        <v>54</v>
      </c>
      <c r="AE8" t="s">
        <v>54</v>
      </c>
      <c r="AF8" s="23" t="s">
        <v>54</v>
      </c>
      <c r="AG8" s="23" t="s">
        <v>54</v>
      </c>
      <c r="AH8" s="23" t="s">
        <v>54</v>
      </c>
      <c r="AI8" s="23" t="s">
        <v>54</v>
      </c>
      <c r="AJ8">
        <v>153</v>
      </c>
      <c r="AK8">
        <v>96</v>
      </c>
      <c r="AL8">
        <v>70</v>
      </c>
      <c r="AM8">
        <v>31</v>
      </c>
      <c r="AN8" s="23">
        <v>0</v>
      </c>
      <c r="AO8" s="23">
        <v>0</v>
      </c>
      <c r="AP8" s="23">
        <v>0</v>
      </c>
      <c r="AQ8" s="23">
        <v>0</v>
      </c>
      <c r="AR8" s="35">
        <v>0</v>
      </c>
      <c r="AS8" s="35">
        <v>0</v>
      </c>
      <c r="AT8" s="35">
        <v>0</v>
      </c>
      <c r="AU8" s="31" t="str">
        <f t="shared" si="3"/>
        <v>库存为0</v>
      </c>
      <c r="AV8" s="36" t="str">
        <f>IFERROR(时间!$B$4+AU8,"上周无销量")</f>
        <v>上周无销量</v>
      </c>
    </row>
    <row r="9" spans="1:48">
      <c r="A9" s="21" t="s">
        <v>61</v>
      </c>
      <c r="B9" t="s">
        <v>62</v>
      </c>
      <c r="C9" t="s">
        <v>63</v>
      </c>
      <c r="D9" s="31">
        <v>0</v>
      </c>
      <c r="E9" s="31">
        <v>0</v>
      </c>
      <c r="F9" s="31">
        <v>0</v>
      </c>
      <c r="G9" s="31">
        <v>0</v>
      </c>
      <c r="H9" s="32">
        <v>0</v>
      </c>
      <c r="I9">
        <v>0</v>
      </c>
      <c r="J9" s="33">
        <v>0</v>
      </c>
      <c r="K9" s="33">
        <v>0</v>
      </c>
      <c r="L9" s="33">
        <v>0</v>
      </c>
      <c r="M9">
        <v>0</v>
      </c>
      <c r="N9">
        <v>0</v>
      </c>
      <c r="O9">
        <v>0</v>
      </c>
      <c r="P9" t="s">
        <v>54</v>
      </c>
      <c r="Q9" t="s">
        <v>54</v>
      </c>
      <c r="R9" t="s">
        <v>54</v>
      </c>
      <c r="S9" t="s">
        <v>54</v>
      </c>
      <c r="T9" t="s">
        <v>54</v>
      </c>
      <c r="U9" t="s">
        <v>54</v>
      </c>
      <c r="V9" t="s">
        <v>54</v>
      </c>
      <c r="W9" t="s">
        <v>54</v>
      </c>
      <c r="X9" s="23" t="s">
        <v>54</v>
      </c>
      <c r="Y9" s="23" t="s">
        <v>54</v>
      </c>
      <c r="Z9" s="23" t="s">
        <v>54</v>
      </c>
      <c r="AA9" s="23" t="s">
        <v>54</v>
      </c>
      <c r="AB9" t="s">
        <v>54</v>
      </c>
      <c r="AC9" t="s">
        <v>54</v>
      </c>
      <c r="AD9" t="s">
        <v>54</v>
      </c>
      <c r="AE9" t="s">
        <v>54</v>
      </c>
      <c r="AF9" s="23" t="s">
        <v>54</v>
      </c>
      <c r="AG9" s="23" t="s">
        <v>54</v>
      </c>
      <c r="AH9" s="23" t="s">
        <v>54</v>
      </c>
      <c r="AI9" s="23" t="s">
        <v>54</v>
      </c>
      <c r="AJ9">
        <v>286</v>
      </c>
      <c r="AK9">
        <v>301</v>
      </c>
      <c r="AL9">
        <v>174</v>
      </c>
      <c r="AM9">
        <v>124</v>
      </c>
      <c r="AN9" s="23">
        <v>0</v>
      </c>
      <c r="AO9" s="23">
        <v>0</v>
      </c>
      <c r="AP9" s="23">
        <v>0</v>
      </c>
      <c r="AQ9" s="23">
        <v>0</v>
      </c>
      <c r="AR9" s="35">
        <v>0</v>
      </c>
      <c r="AS9" s="35">
        <v>0</v>
      </c>
      <c r="AT9" s="35">
        <v>0</v>
      </c>
      <c r="AU9" s="31" t="str">
        <f t="shared" si="3"/>
        <v>库存为0</v>
      </c>
      <c r="AV9" s="36" t="str">
        <f>IFERROR(时间!$B$4+AU9,"上周无销量")</f>
        <v>上周无销量</v>
      </c>
    </row>
    <row r="10" spans="1:48">
      <c r="A10" s="21" t="s">
        <v>64</v>
      </c>
      <c r="B10" t="s">
        <v>65</v>
      </c>
      <c r="C10" t="s">
        <v>66</v>
      </c>
      <c r="D10" s="31">
        <v>0</v>
      </c>
      <c r="E10" s="31">
        <v>0</v>
      </c>
      <c r="F10" s="31">
        <v>0</v>
      </c>
      <c r="G10" s="31">
        <v>0</v>
      </c>
      <c r="H10" s="32">
        <v>0</v>
      </c>
      <c r="I10">
        <v>0</v>
      </c>
      <c r="J10" s="33">
        <v>0</v>
      </c>
      <c r="K10" s="33">
        <v>0</v>
      </c>
      <c r="L10" s="33">
        <v>0</v>
      </c>
      <c r="M10">
        <v>0</v>
      </c>
      <c r="N10">
        <v>0</v>
      </c>
      <c r="O10">
        <v>0</v>
      </c>
      <c r="P10" t="s">
        <v>54</v>
      </c>
      <c r="Q10" t="s">
        <v>54</v>
      </c>
      <c r="R10" t="s">
        <v>54</v>
      </c>
      <c r="S10" t="s">
        <v>54</v>
      </c>
      <c r="T10" t="s">
        <v>54</v>
      </c>
      <c r="U10" t="s">
        <v>54</v>
      </c>
      <c r="V10" t="s">
        <v>54</v>
      </c>
      <c r="W10" t="s">
        <v>54</v>
      </c>
      <c r="X10" s="23" t="s">
        <v>54</v>
      </c>
      <c r="Y10" s="23" t="s">
        <v>54</v>
      </c>
      <c r="Z10" s="23" t="s">
        <v>54</v>
      </c>
      <c r="AA10" s="23" t="s">
        <v>54</v>
      </c>
      <c r="AB10" t="s">
        <v>54</v>
      </c>
      <c r="AC10" t="s">
        <v>54</v>
      </c>
      <c r="AD10" t="s">
        <v>54</v>
      </c>
      <c r="AE10" t="s">
        <v>54</v>
      </c>
      <c r="AF10" s="23" t="s">
        <v>54</v>
      </c>
      <c r="AG10" s="23" t="s">
        <v>54</v>
      </c>
      <c r="AH10" s="23" t="s">
        <v>54</v>
      </c>
      <c r="AI10" s="23" t="s">
        <v>54</v>
      </c>
      <c r="AJ10">
        <v>37</v>
      </c>
      <c r="AK10">
        <v>0</v>
      </c>
      <c r="AL10">
        <v>100</v>
      </c>
      <c r="AM10">
        <v>79</v>
      </c>
      <c r="AN10" s="23">
        <v>0</v>
      </c>
      <c r="AO10" s="23" t="s">
        <v>54</v>
      </c>
      <c r="AP10" s="23">
        <v>0</v>
      </c>
      <c r="AQ10" s="23">
        <v>0</v>
      </c>
      <c r="AR10" s="35">
        <v>0</v>
      </c>
      <c r="AS10" s="35">
        <v>0</v>
      </c>
      <c r="AT10" s="35">
        <v>0</v>
      </c>
      <c r="AU10" s="31" t="str">
        <f t="shared" si="3"/>
        <v>库存为0</v>
      </c>
      <c r="AV10" s="36" t="str">
        <f>IFERROR(时间!$B$4+AU10,"上周无销量")</f>
        <v>上周无销量</v>
      </c>
    </row>
    <row r="11" spans="1:48">
      <c r="A11" s="21" t="s">
        <v>67</v>
      </c>
      <c r="B11" t="s">
        <v>68</v>
      </c>
      <c r="C11" t="s">
        <v>69</v>
      </c>
      <c r="D11" s="31">
        <v>0</v>
      </c>
      <c r="E11" s="31">
        <v>0</v>
      </c>
      <c r="F11" s="31">
        <v>0</v>
      </c>
      <c r="G11" s="31">
        <v>0</v>
      </c>
      <c r="H11" s="32">
        <v>0</v>
      </c>
      <c r="I11">
        <v>0</v>
      </c>
      <c r="J11" s="33">
        <v>0</v>
      </c>
      <c r="K11" s="33">
        <v>0</v>
      </c>
      <c r="L11" s="33">
        <v>0</v>
      </c>
      <c r="M11">
        <v>0</v>
      </c>
      <c r="N11">
        <v>0</v>
      </c>
      <c r="O11">
        <v>0</v>
      </c>
      <c r="P11" t="s">
        <v>54</v>
      </c>
      <c r="Q11" t="s">
        <v>54</v>
      </c>
      <c r="R11" t="s">
        <v>54</v>
      </c>
      <c r="S11" t="s">
        <v>54</v>
      </c>
      <c r="T11" t="s">
        <v>54</v>
      </c>
      <c r="U11" t="s">
        <v>54</v>
      </c>
      <c r="V11" t="s">
        <v>54</v>
      </c>
      <c r="W11" t="s">
        <v>54</v>
      </c>
      <c r="X11" s="23" t="s">
        <v>54</v>
      </c>
      <c r="Y11" s="23" t="s">
        <v>54</v>
      </c>
      <c r="Z11" s="23" t="s">
        <v>54</v>
      </c>
      <c r="AA11" s="23" t="s">
        <v>54</v>
      </c>
      <c r="AB11" t="s">
        <v>54</v>
      </c>
      <c r="AC11" t="s">
        <v>54</v>
      </c>
      <c r="AD11" t="s">
        <v>54</v>
      </c>
      <c r="AE11" t="s">
        <v>54</v>
      </c>
      <c r="AF11" s="23" t="s">
        <v>54</v>
      </c>
      <c r="AG11" s="23" t="s">
        <v>54</v>
      </c>
      <c r="AH11" s="23" t="s">
        <v>54</v>
      </c>
      <c r="AI11" s="23" t="s">
        <v>54</v>
      </c>
      <c r="AJ11">
        <v>44</v>
      </c>
      <c r="AK11">
        <v>66</v>
      </c>
      <c r="AL11">
        <v>40</v>
      </c>
      <c r="AM11">
        <v>46</v>
      </c>
      <c r="AN11" s="23">
        <v>0</v>
      </c>
      <c r="AO11" s="23">
        <v>0</v>
      </c>
      <c r="AP11" s="23">
        <v>0</v>
      </c>
      <c r="AQ11" s="23">
        <v>0</v>
      </c>
      <c r="AR11" s="35">
        <v>0</v>
      </c>
      <c r="AS11" s="35">
        <v>0</v>
      </c>
      <c r="AT11" s="35">
        <v>0</v>
      </c>
      <c r="AU11" s="31" t="str">
        <f t="shared" si="3"/>
        <v>库存为0</v>
      </c>
      <c r="AV11" s="36" t="str">
        <f>IFERROR(时间!$B$4+AU11,"上周无销量")</f>
        <v>上周无销量</v>
      </c>
    </row>
    <row r="12" spans="1:48">
      <c r="A12" s="21" t="s">
        <v>70</v>
      </c>
      <c r="B12" t="s">
        <v>71</v>
      </c>
      <c r="C12" t="s">
        <v>72</v>
      </c>
      <c r="D12" s="31">
        <v>0</v>
      </c>
      <c r="E12" s="31">
        <v>0</v>
      </c>
      <c r="F12" s="31">
        <v>0</v>
      </c>
      <c r="G12" s="31">
        <v>0</v>
      </c>
      <c r="H12" s="32">
        <v>0</v>
      </c>
      <c r="I12">
        <v>0</v>
      </c>
      <c r="J12" s="33">
        <v>0</v>
      </c>
      <c r="K12" s="33">
        <v>0</v>
      </c>
      <c r="L12" s="33">
        <v>0</v>
      </c>
      <c r="M12">
        <v>0</v>
      </c>
      <c r="N12">
        <v>0</v>
      </c>
      <c r="O12">
        <v>0</v>
      </c>
      <c r="P12" t="s">
        <v>54</v>
      </c>
      <c r="Q12" t="s">
        <v>54</v>
      </c>
      <c r="R12" t="s">
        <v>54</v>
      </c>
      <c r="S12" t="s">
        <v>54</v>
      </c>
      <c r="T12" t="s">
        <v>54</v>
      </c>
      <c r="U12" t="s">
        <v>54</v>
      </c>
      <c r="V12" t="s">
        <v>54</v>
      </c>
      <c r="W12" t="s">
        <v>54</v>
      </c>
      <c r="X12" s="23" t="s">
        <v>54</v>
      </c>
      <c r="Y12" s="23" t="s">
        <v>54</v>
      </c>
      <c r="Z12" s="23" t="s">
        <v>54</v>
      </c>
      <c r="AA12" s="23" t="s">
        <v>54</v>
      </c>
      <c r="AB12" t="s">
        <v>54</v>
      </c>
      <c r="AC12" t="s">
        <v>54</v>
      </c>
      <c r="AD12" t="s">
        <v>54</v>
      </c>
      <c r="AE12" t="s">
        <v>54</v>
      </c>
      <c r="AF12" s="23" t="s">
        <v>54</v>
      </c>
      <c r="AG12" s="23" t="s">
        <v>54</v>
      </c>
      <c r="AH12" s="23" t="s">
        <v>54</v>
      </c>
      <c r="AI12" s="23" t="s">
        <v>54</v>
      </c>
      <c r="AJ12">
        <v>158</v>
      </c>
      <c r="AK12">
        <v>118</v>
      </c>
      <c r="AL12">
        <v>147</v>
      </c>
      <c r="AM12">
        <v>90</v>
      </c>
      <c r="AN12" s="23">
        <v>0</v>
      </c>
      <c r="AO12" s="23">
        <v>0</v>
      </c>
      <c r="AP12" s="23">
        <v>0</v>
      </c>
      <c r="AQ12" s="23">
        <v>0</v>
      </c>
      <c r="AR12" s="35">
        <v>0</v>
      </c>
      <c r="AS12" s="35">
        <v>0</v>
      </c>
      <c r="AT12" s="35">
        <v>0</v>
      </c>
      <c r="AU12" s="31" t="str">
        <f t="shared" si="3"/>
        <v>库存为0</v>
      </c>
      <c r="AV12" s="36" t="str">
        <f>IFERROR(时间!$B$4+AU12,"上周无销量")</f>
        <v>上周无销量</v>
      </c>
    </row>
    <row r="13" spans="1:48">
      <c r="A13" s="21" t="s">
        <v>73</v>
      </c>
      <c r="B13" t="s">
        <v>74</v>
      </c>
      <c r="C13" t="s">
        <v>75</v>
      </c>
      <c r="D13" s="31">
        <v>0</v>
      </c>
      <c r="E13" s="31">
        <v>0</v>
      </c>
      <c r="F13" s="31">
        <v>0</v>
      </c>
      <c r="G13" s="31">
        <v>0</v>
      </c>
      <c r="H13" s="32">
        <v>0</v>
      </c>
      <c r="I13">
        <v>0</v>
      </c>
      <c r="J13" s="33">
        <v>0</v>
      </c>
      <c r="K13" s="33">
        <v>0</v>
      </c>
      <c r="L13" s="33">
        <v>0</v>
      </c>
      <c r="M13">
        <v>0</v>
      </c>
      <c r="N13">
        <v>0</v>
      </c>
      <c r="O13">
        <v>0</v>
      </c>
      <c r="P13" t="s">
        <v>54</v>
      </c>
      <c r="Q13" t="s">
        <v>54</v>
      </c>
      <c r="R13" t="s">
        <v>54</v>
      </c>
      <c r="S13" t="s">
        <v>54</v>
      </c>
      <c r="T13" t="s">
        <v>54</v>
      </c>
      <c r="U13" t="s">
        <v>54</v>
      </c>
      <c r="V13" t="s">
        <v>54</v>
      </c>
      <c r="W13" t="s">
        <v>54</v>
      </c>
      <c r="X13" s="23" t="s">
        <v>54</v>
      </c>
      <c r="Y13" s="23" t="s">
        <v>54</v>
      </c>
      <c r="Z13" s="23" t="s">
        <v>54</v>
      </c>
      <c r="AA13" s="23" t="s">
        <v>54</v>
      </c>
      <c r="AB13" t="s">
        <v>54</v>
      </c>
      <c r="AC13" t="s">
        <v>54</v>
      </c>
      <c r="AD13" t="s">
        <v>54</v>
      </c>
      <c r="AE13" t="s">
        <v>54</v>
      </c>
      <c r="AF13" s="23" t="s">
        <v>54</v>
      </c>
      <c r="AG13" s="23" t="s">
        <v>54</v>
      </c>
      <c r="AH13" s="23" t="s">
        <v>54</v>
      </c>
      <c r="AI13" s="23" t="s">
        <v>54</v>
      </c>
      <c r="AJ13">
        <v>0</v>
      </c>
      <c r="AK13">
        <v>0</v>
      </c>
      <c r="AL13">
        <v>0</v>
      </c>
      <c r="AM13">
        <v>0</v>
      </c>
      <c r="AN13" s="23" t="s">
        <v>54</v>
      </c>
      <c r="AO13" s="23" t="s">
        <v>54</v>
      </c>
      <c r="AP13" s="23" t="s">
        <v>54</v>
      </c>
      <c r="AQ13" s="23" t="s">
        <v>54</v>
      </c>
      <c r="AR13" s="35">
        <v>0</v>
      </c>
      <c r="AS13" s="35">
        <v>0</v>
      </c>
      <c r="AT13" s="35">
        <v>0</v>
      </c>
      <c r="AU13" s="31" t="str">
        <f t="shared" si="3"/>
        <v>库存为0</v>
      </c>
      <c r="AV13" s="36" t="str">
        <f>IFERROR(时间!$B$4+AU13,"上周无销量")</f>
        <v>上周无销量</v>
      </c>
    </row>
    <row r="14" spans="1:48">
      <c r="A14" s="21" t="s">
        <v>76</v>
      </c>
      <c r="B14" t="s">
        <v>77</v>
      </c>
      <c r="C14" t="s">
        <v>78</v>
      </c>
      <c r="D14" s="31">
        <v>0</v>
      </c>
      <c r="E14" s="31">
        <v>0</v>
      </c>
      <c r="F14" s="31">
        <v>0</v>
      </c>
      <c r="G14" s="31">
        <v>0</v>
      </c>
      <c r="H14" s="32">
        <v>0</v>
      </c>
      <c r="I14">
        <v>0</v>
      </c>
      <c r="J14" s="33">
        <v>0</v>
      </c>
      <c r="K14" s="33">
        <v>0</v>
      </c>
      <c r="L14" s="33">
        <v>0</v>
      </c>
      <c r="M14">
        <v>0</v>
      </c>
      <c r="N14">
        <v>0</v>
      </c>
      <c r="O14">
        <v>0</v>
      </c>
      <c r="P14" t="s">
        <v>54</v>
      </c>
      <c r="Q14" t="s">
        <v>54</v>
      </c>
      <c r="R14" t="s">
        <v>54</v>
      </c>
      <c r="S14" t="s">
        <v>54</v>
      </c>
      <c r="T14" t="s">
        <v>54</v>
      </c>
      <c r="U14" t="s">
        <v>54</v>
      </c>
      <c r="V14" t="s">
        <v>54</v>
      </c>
      <c r="W14" t="s">
        <v>54</v>
      </c>
      <c r="X14" s="23" t="s">
        <v>54</v>
      </c>
      <c r="Y14" s="23" t="s">
        <v>54</v>
      </c>
      <c r="Z14" s="23" t="s">
        <v>54</v>
      </c>
      <c r="AA14" s="23" t="s">
        <v>54</v>
      </c>
      <c r="AB14" t="s">
        <v>54</v>
      </c>
      <c r="AC14" t="s">
        <v>54</v>
      </c>
      <c r="AD14" t="s">
        <v>54</v>
      </c>
      <c r="AE14" t="s">
        <v>54</v>
      </c>
      <c r="AF14" s="23" t="s">
        <v>54</v>
      </c>
      <c r="AG14" s="23" t="s">
        <v>54</v>
      </c>
      <c r="AH14" s="23" t="s">
        <v>54</v>
      </c>
      <c r="AI14" s="23" t="s">
        <v>54</v>
      </c>
      <c r="AJ14">
        <v>336</v>
      </c>
      <c r="AK14">
        <v>295</v>
      </c>
      <c r="AL14">
        <v>513</v>
      </c>
      <c r="AM14">
        <v>267</v>
      </c>
      <c r="AN14" s="23">
        <v>0</v>
      </c>
      <c r="AO14" s="23">
        <v>0</v>
      </c>
      <c r="AP14" s="23">
        <v>0</v>
      </c>
      <c r="AQ14" s="23">
        <v>0</v>
      </c>
      <c r="AR14" s="35">
        <v>0</v>
      </c>
      <c r="AS14" s="35">
        <v>0</v>
      </c>
      <c r="AT14" s="35">
        <v>0</v>
      </c>
      <c r="AU14" s="31" t="str">
        <f t="shared" si="3"/>
        <v>库存为0</v>
      </c>
      <c r="AV14" s="36" t="str">
        <f>IFERROR(时间!$B$4+AU14,"上周无销量")</f>
        <v>上周无销量</v>
      </c>
    </row>
    <row r="15" spans="1:48">
      <c r="A15" s="21" t="s">
        <v>79</v>
      </c>
      <c r="B15" t="s">
        <v>80</v>
      </c>
      <c r="C15" t="s">
        <v>81</v>
      </c>
      <c r="D15" s="31">
        <v>0</v>
      </c>
      <c r="E15" s="31">
        <v>0</v>
      </c>
      <c r="F15" s="31">
        <v>0</v>
      </c>
      <c r="G15" s="31">
        <v>0</v>
      </c>
      <c r="H15" s="32">
        <v>0</v>
      </c>
      <c r="I15">
        <v>0</v>
      </c>
      <c r="J15" s="33">
        <v>0</v>
      </c>
      <c r="K15" s="33">
        <v>0</v>
      </c>
      <c r="L15" s="33">
        <v>0</v>
      </c>
      <c r="M15">
        <v>0</v>
      </c>
      <c r="N15">
        <v>0</v>
      </c>
      <c r="O15">
        <v>0</v>
      </c>
      <c r="P15" t="s">
        <v>54</v>
      </c>
      <c r="Q15" t="s">
        <v>54</v>
      </c>
      <c r="R15" t="s">
        <v>54</v>
      </c>
      <c r="S15" t="s">
        <v>54</v>
      </c>
      <c r="T15" t="s">
        <v>54</v>
      </c>
      <c r="U15" t="s">
        <v>54</v>
      </c>
      <c r="V15" t="s">
        <v>54</v>
      </c>
      <c r="W15" t="s">
        <v>54</v>
      </c>
      <c r="X15" s="23" t="s">
        <v>54</v>
      </c>
      <c r="Y15" s="23" t="s">
        <v>54</v>
      </c>
      <c r="Z15" s="23" t="s">
        <v>54</v>
      </c>
      <c r="AA15" s="23" t="s">
        <v>54</v>
      </c>
      <c r="AB15" t="s">
        <v>54</v>
      </c>
      <c r="AC15" t="s">
        <v>54</v>
      </c>
      <c r="AD15" t="s">
        <v>54</v>
      </c>
      <c r="AE15" t="s">
        <v>54</v>
      </c>
      <c r="AF15" s="23" t="s">
        <v>54</v>
      </c>
      <c r="AG15" s="23" t="s">
        <v>54</v>
      </c>
      <c r="AH15" s="23" t="s">
        <v>54</v>
      </c>
      <c r="AI15" s="23" t="s">
        <v>54</v>
      </c>
      <c r="AJ15">
        <v>228</v>
      </c>
      <c r="AK15">
        <v>195</v>
      </c>
      <c r="AL15">
        <v>216</v>
      </c>
      <c r="AM15">
        <v>14</v>
      </c>
      <c r="AN15" s="23">
        <v>0</v>
      </c>
      <c r="AO15" s="23">
        <v>0</v>
      </c>
      <c r="AP15" s="23">
        <v>0</v>
      </c>
      <c r="AQ15" s="23">
        <v>0</v>
      </c>
      <c r="AR15" s="35">
        <v>0</v>
      </c>
      <c r="AS15" s="35">
        <v>0</v>
      </c>
      <c r="AT15" s="35">
        <v>0</v>
      </c>
      <c r="AU15" s="31" t="str">
        <f t="shared" si="3"/>
        <v>库存为0</v>
      </c>
      <c r="AV15" s="36" t="str">
        <f>IFERROR(时间!$B$4+AU15,"上周无销量")</f>
        <v>上周无销量</v>
      </c>
    </row>
    <row r="16" spans="1:48">
      <c r="A16" s="21" t="s">
        <v>82</v>
      </c>
      <c r="B16" t="s">
        <v>83</v>
      </c>
      <c r="C16" t="s">
        <v>84</v>
      </c>
      <c r="D16" s="31">
        <v>0</v>
      </c>
      <c r="E16" s="31">
        <v>0</v>
      </c>
      <c r="F16" s="31">
        <v>0</v>
      </c>
      <c r="G16" s="31">
        <v>0</v>
      </c>
      <c r="H16" s="32">
        <v>0</v>
      </c>
      <c r="I16">
        <v>0</v>
      </c>
      <c r="J16" s="33">
        <v>0</v>
      </c>
      <c r="K16" s="33">
        <v>0</v>
      </c>
      <c r="L16" s="33">
        <v>0</v>
      </c>
      <c r="M16">
        <v>0</v>
      </c>
      <c r="N16">
        <v>0</v>
      </c>
      <c r="O16">
        <v>0</v>
      </c>
      <c r="P16" t="s">
        <v>54</v>
      </c>
      <c r="Q16" t="s">
        <v>54</v>
      </c>
      <c r="R16" t="s">
        <v>54</v>
      </c>
      <c r="S16" t="s">
        <v>54</v>
      </c>
      <c r="T16" t="s">
        <v>54</v>
      </c>
      <c r="U16" t="s">
        <v>54</v>
      </c>
      <c r="V16" t="s">
        <v>54</v>
      </c>
      <c r="W16" t="s">
        <v>54</v>
      </c>
      <c r="X16" s="23" t="s">
        <v>54</v>
      </c>
      <c r="Y16" s="23" t="s">
        <v>54</v>
      </c>
      <c r="Z16" s="23" t="s">
        <v>54</v>
      </c>
      <c r="AA16" s="23" t="s">
        <v>54</v>
      </c>
      <c r="AB16" t="s">
        <v>54</v>
      </c>
      <c r="AC16" t="s">
        <v>54</v>
      </c>
      <c r="AD16" t="s">
        <v>54</v>
      </c>
      <c r="AE16" t="s">
        <v>54</v>
      </c>
      <c r="AF16" s="23" t="s">
        <v>54</v>
      </c>
      <c r="AG16" s="23" t="s">
        <v>54</v>
      </c>
      <c r="AH16" s="23" t="s">
        <v>54</v>
      </c>
      <c r="AI16" s="23" t="s">
        <v>54</v>
      </c>
      <c r="AJ16">
        <v>158</v>
      </c>
      <c r="AK16">
        <v>372</v>
      </c>
      <c r="AL16">
        <v>174</v>
      </c>
      <c r="AM16">
        <v>96</v>
      </c>
      <c r="AN16" s="23">
        <v>0</v>
      </c>
      <c r="AO16" s="23">
        <v>0</v>
      </c>
      <c r="AP16" s="23">
        <v>0</v>
      </c>
      <c r="AQ16" s="23">
        <v>0</v>
      </c>
      <c r="AR16" s="35">
        <v>0</v>
      </c>
      <c r="AS16" s="35">
        <v>0</v>
      </c>
      <c r="AT16" s="35">
        <v>0</v>
      </c>
      <c r="AU16" s="31" t="str">
        <f t="shared" si="3"/>
        <v>库存为0</v>
      </c>
      <c r="AV16" s="36" t="str">
        <f>IFERROR(时间!$B$4+AU16,"上周无销量")</f>
        <v>上周无销量</v>
      </c>
    </row>
    <row r="17" spans="1:48">
      <c r="A17" s="21" t="s">
        <v>85</v>
      </c>
      <c r="B17" t="s">
        <v>86</v>
      </c>
      <c r="C17" t="s">
        <v>87</v>
      </c>
      <c r="D17" s="31">
        <v>0</v>
      </c>
      <c r="E17" s="31">
        <v>0</v>
      </c>
      <c r="F17" s="31">
        <v>0</v>
      </c>
      <c r="G17" s="31">
        <v>0</v>
      </c>
      <c r="H17" s="32">
        <v>0</v>
      </c>
      <c r="I17">
        <v>0</v>
      </c>
      <c r="J17" s="33">
        <v>0</v>
      </c>
      <c r="K17" s="33">
        <v>0</v>
      </c>
      <c r="L17" s="33">
        <v>0</v>
      </c>
      <c r="M17">
        <v>0</v>
      </c>
      <c r="N17">
        <v>0</v>
      </c>
      <c r="O17">
        <v>0</v>
      </c>
      <c r="P17" t="s">
        <v>54</v>
      </c>
      <c r="Q17" t="s">
        <v>54</v>
      </c>
      <c r="R17" t="s">
        <v>54</v>
      </c>
      <c r="S17" t="s">
        <v>54</v>
      </c>
      <c r="T17" t="s">
        <v>54</v>
      </c>
      <c r="U17" t="s">
        <v>54</v>
      </c>
      <c r="V17" t="s">
        <v>54</v>
      </c>
      <c r="W17" t="s">
        <v>54</v>
      </c>
      <c r="X17" s="23" t="s">
        <v>54</v>
      </c>
      <c r="Y17" s="23" t="s">
        <v>54</v>
      </c>
      <c r="Z17" s="23" t="s">
        <v>54</v>
      </c>
      <c r="AA17" s="23" t="s">
        <v>54</v>
      </c>
      <c r="AB17" t="s">
        <v>54</v>
      </c>
      <c r="AC17" t="s">
        <v>54</v>
      </c>
      <c r="AD17" t="s">
        <v>54</v>
      </c>
      <c r="AE17" t="s">
        <v>54</v>
      </c>
      <c r="AF17" s="23" t="s">
        <v>54</v>
      </c>
      <c r="AG17" s="23" t="s">
        <v>54</v>
      </c>
      <c r="AH17" s="23" t="s">
        <v>54</v>
      </c>
      <c r="AI17" s="23" t="s">
        <v>54</v>
      </c>
      <c r="AJ17">
        <v>279</v>
      </c>
      <c r="AK17">
        <v>508</v>
      </c>
      <c r="AL17">
        <v>621</v>
      </c>
      <c r="AM17">
        <v>328</v>
      </c>
      <c r="AN17" s="23">
        <v>0</v>
      </c>
      <c r="AO17" s="23">
        <v>0</v>
      </c>
      <c r="AP17" s="23">
        <v>0</v>
      </c>
      <c r="AQ17" s="23">
        <v>0</v>
      </c>
      <c r="AR17" s="35">
        <v>0</v>
      </c>
      <c r="AS17" s="35">
        <v>0</v>
      </c>
      <c r="AT17" s="35">
        <v>0</v>
      </c>
      <c r="AU17" s="31" t="str">
        <f t="shared" si="3"/>
        <v>库存为0</v>
      </c>
      <c r="AV17" s="36" t="str">
        <f>IFERROR(时间!$B$4+AU17,"上周无销量")</f>
        <v>上周无销量</v>
      </c>
    </row>
    <row r="18" spans="1:48">
      <c r="A18" s="21" t="s">
        <v>88</v>
      </c>
      <c r="B18" t="s">
        <v>89</v>
      </c>
      <c r="C18" t="s">
        <v>90</v>
      </c>
      <c r="D18" s="31">
        <v>0</v>
      </c>
      <c r="E18" s="31">
        <v>0</v>
      </c>
      <c r="F18" s="31">
        <v>0</v>
      </c>
      <c r="G18" s="31">
        <v>0</v>
      </c>
      <c r="H18" s="32">
        <v>0</v>
      </c>
      <c r="I18">
        <v>0</v>
      </c>
      <c r="J18" s="33">
        <v>0</v>
      </c>
      <c r="K18" s="33">
        <v>0</v>
      </c>
      <c r="L18" s="33">
        <v>0</v>
      </c>
      <c r="M18">
        <v>0</v>
      </c>
      <c r="N18">
        <v>0</v>
      </c>
      <c r="O18">
        <v>0</v>
      </c>
      <c r="P18" t="s">
        <v>54</v>
      </c>
      <c r="Q18" t="s">
        <v>54</v>
      </c>
      <c r="R18" t="s">
        <v>54</v>
      </c>
      <c r="S18" t="s">
        <v>54</v>
      </c>
      <c r="T18" t="s">
        <v>54</v>
      </c>
      <c r="U18" t="s">
        <v>54</v>
      </c>
      <c r="V18" t="s">
        <v>54</v>
      </c>
      <c r="W18" t="s">
        <v>54</v>
      </c>
      <c r="X18" s="23" t="s">
        <v>54</v>
      </c>
      <c r="Y18" s="23" t="s">
        <v>54</v>
      </c>
      <c r="Z18" s="23" t="s">
        <v>54</v>
      </c>
      <c r="AA18" s="23" t="s">
        <v>54</v>
      </c>
      <c r="AB18" t="s">
        <v>54</v>
      </c>
      <c r="AC18" t="s">
        <v>54</v>
      </c>
      <c r="AD18" t="s">
        <v>54</v>
      </c>
      <c r="AE18" t="s">
        <v>54</v>
      </c>
      <c r="AF18" s="23" t="s">
        <v>54</v>
      </c>
      <c r="AG18" s="23" t="s">
        <v>54</v>
      </c>
      <c r="AH18" s="23" t="s">
        <v>54</v>
      </c>
      <c r="AI18" s="23" t="s">
        <v>54</v>
      </c>
      <c r="AJ18">
        <v>606</v>
      </c>
      <c r="AK18">
        <v>431</v>
      </c>
      <c r="AL18">
        <v>381</v>
      </c>
      <c r="AM18">
        <v>429</v>
      </c>
      <c r="AN18" s="23">
        <v>0</v>
      </c>
      <c r="AO18" s="23">
        <v>0</v>
      </c>
      <c r="AP18" s="23">
        <v>0</v>
      </c>
      <c r="AQ18" s="23">
        <v>0</v>
      </c>
      <c r="AR18" s="35">
        <v>0</v>
      </c>
      <c r="AS18" s="35">
        <v>0</v>
      </c>
      <c r="AT18" s="35">
        <v>0</v>
      </c>
      <c r="AU18" s="31" t="str">
        <f t="shared" si="3"/>
        <v>库存为0</v>
      </c>
      <c r="AV18" s="36" t="str">
        <f>IFERROR(时间!$B$4+AU18,"上周无销量")</f>
        <v>上周无销量</v>
      </c>
    </row>
    <row r="19" spans="1:48">
      <c r="A19" s="21" t="s">
        <v>91</v>
      </c>
      <c r="B19" t="s">
        <v>92</v>
      </c>
      <c r="C19" t="s">
        <v>93</v>
      </c>
      <c r="D19" s="31">
        <v>0</v>
      </c>
      <c r="E19" s="31">
        <v>0</v>
      </c>
      <c r="F19" s="31">
        <v>0</v>
      </c>
      <c r="G19" s="31">
        <v>0</v>
      </c>
      <c r="H19" s="32">
        <v>0</v>
      </c>
      <c r="I19">
        <v>0</v>
      </c>
      <c r="J19" s="33">
        <v>0</v>
      </c>
      <c r="K19" s="33">
        <v>0</v>
      </c>
      <c r="L19" s="33">
        <v>0</v>
      </c>
      <c r="M19">
        <v>0</v>
      </c>
      <c r="N19">
        <v>0</v>
      </c>
      <c r="O19">
        <v>0</v>
      </c>
      <c r="P19" t="s">
        <v>54</v>
      </c>
      <c r="Q19" t="s">
        <v>54</v>
      </c>
      <c r="R19" t="s">
        <v>54</v>
      </c>
      <c r="S19" t="s">
        <v>54</v>
      </c>
      <c r="T19" t="s">
        <v>54</v>
      </c>
      <c r="U19" t="s">
        <v>54</v>
      </c>
      <c r="V19" t="s">
        <v>54</v>
      </c>
      <c r="W19" t="s">
        <v>54</v>
      </c>
      <c r="X19" s="23" t="s">
        <v>54</v>
      </c>
      <c r="Y19" s="23" t="s">
        <v>54</v>
      </c>
      <c r="Z19" s="23" t="s">
        <v>54</v>
      </c>
      <c r="AA19" s="23" t="s">
        <v>54</v>
      </c>
      <c r="AB19" t="s">
        <v>54</v>
      </c>
      <c r="AC19" t="s">
        <v>54</v>
      </c>
      <c r="AD19" t="s">
        <v>54</v>
      </c>
      <c r="AE19" t="s">
        <v>54</v>
      </c>
      <c r="AF19" s="23" t="s">
        <v>54</v>
      </c>
      <c r="AG19" s="23" t="s">
        <v>54</v>
      </c>
      <c r="AH19" s="23" t="s">
        <v>54</v>
      </c>
      <c r="AI19" s="23" t="s">
        <v>54</v>
      </c>
      <c r="AJ19">
        <v>407</v>
      </c>
      <c r="AK19">
        <v>403</v>
      </c>
      <c r="AL19">
        <v>642</v>
      </c>
      <c r="AM19">
        <v>343</v>
      </c>
      <c r="AN19" s="23">
        <v>0</v>
      </c>
      <c r="AO19" s="23">
        <v>0</v>
      </c>
      <c r="AP19" s="23">
        <v>0</v>
      </c>
      <c r="AQ19" s="23">
        <v>0</v>
      </c>
      <c r="AR19" s="35">
        <v>0</v>
      </c>
      <c r="AS19" s="35">
        <v>0</v>
      </c>
      <c r="AT19" s="35">
        <v>0</v>
      </c>
      <c r="AU19" s="31" t="str">
        <f t="shared" si="3"/>
        <v>库存为0</v>
      </c>
      <c r="AV19" s="36" t="str">
        <f>IFERROR(时间!$B$4+AU19,"上周无销量")</f>
        <v>上周无销量</v>
      </c>
    </row>
    <row r="20" spans="1:48">
      <c r="A20" s="21" t="s">
        <v>94</v>
      </c>
      <c r="B20" t="s">
        <v>95</v>
      </c>
      <c r="C20" t="s">
        <v>96</v>
      </c>
      <c r="D20" s="31">
        <v>0</v>
      </c>
      <c r="E20" s="31">
        <v>0</v>
      </c>
      <c r="F20" s="31">
        <v>0</v>
      </c>
      <c r="G20" s="31">
        <v>0</v>
      </c>
      <c r="H20" s="32">
        <v>0</v>
      </c>
      <c r="I20">
        <v>0</v>
      </c>
      <c r="J20" s="33">
        <v>0</v>
      </c>
      <c r="K20" s="33">
        <v>0</v>
      </c>
      <c r="L20" s="33">
        <v>0</v>
      </c>
      <c r="M20">
        <v>0</v>
      </c>
      <c r="N20">
        <v>0</v>
      </c>
      <c r="O20">
        <v>0</v>
      </c>
      <c r="P20" t="s">
        <v>54</v>
      </c>
      <c r="Q20" t="s">
        <v>54</v>
      </c>
      <c r="R20" t="s">
        <v>54</v>
      </c>
      <c r="S20" t="s">
        <v>54</v>
      </c>
      <c r="T20" t="s">
        <v>54</v>
      </c>
      <c r="U20" t="s">
        <v>54</v>
      </c>
      <c r="V20" t="s">
        <v>54</v>
      </c>
      <c r="W20" t="s">
        <v>54</v>
      </c>
      <c r="X20" s="23" t="s">
        <v>54</v>
      </c>
      <c r="Y20" s="23" t="s">
        <v>54</v>
      </c>
      <c r="Z20" s="23" t="s">
        <v>54</v>
      </c>
      <c r="AA20" s="23" t="s">
        <v>54</v>
      </c>
      <c r="AB20" t="s">
        <v>54</v>
      </c>
      <c r="AC20" t="s">
        <v>54</v>
      </c>
      <c r="AD20" t="s">
        <v>54</v>
      </c>
      <c r="AE20" t="s">
        <v>54</v>
      </c>
      <c r="AF20" s="23" t="s">
        <v>54</v>
      </c>
      <c r="AG20" s="23" t="s">
        <v>54</v>
      </c>
      <c r="AH20" s="23" t="s">
        <v>54</v>
      </c>
      <c r="AI20" s="23" t="s">
        <v>54</v>
      </c>
      <c r="AJ20">
        <v>277</v>
      </c>
      <c r="AK20">
        <v>212</v>
      </c>
      <c r="AL20">
        <v>244</v>
      </c>
      <c r="AM20">
        <v>204</v>
      </c>
      <c r="AN20" s="23">
        <v>0</v>
      </c>
      <c r="AO20" s="23">
        <v>0</v>
      </c>
      <c r="AP20" s="23">
        <v>0</v>
      </c>
      <c r="AQ20" s="23">
        <v>0</v>
      </c>
      <c r="AR20" s="35">
        <v>0</v>
      </c>
      <c r="AS20" s="35">
        <v>0</v>
      </c>
      <c r="AT20" s="35">
        <v>0</v>
      </c>
      <c r="AU20" s="31" t="str">
        <f t="shared" si="3"/>
        <v>库存为0</v>
      </c>
      <c r="AV20" s="36" t="str">
        <f>IFERROR(时间!$B$4+AU20,"上周无销量")</f>
        <v>上周无销量</v>
      </c>
    </row>
    <row r="21" spans="1:48">
      <c r="A21" s="21" t="s">
        <v>97</v>
      </c>
      <c r="B21" t="s">
        <v>98</v>
      </c>
      <c r="C21" t="s">
        <v>99</v>
      </c>
      <c r="D21" s="31">
        <v>0</v>
      </c>
      <c r="E21" s="31">
        <v>0</v>
      </c>
      <c r="F21" s="31">
        <v>0</v>
      </c>
      <c r="G21" s="31">
        <v>0</v>
      </c>
      <c r="H21" s="32">
        <v>0</v>
      </c>
      <c r="I21">
        <v>0</v>
      </c>
      <c r="J21" s="33">
        <v>0</v>
      </c>
      <c r="K21" s="33">
        <v>0</v>
      </c>
      <c r="L21" s="33">
        <v>0</v>
      </c>
      <c r="M21">
        <v>0</v>
      </c>
      <c r="N21">
        <v>0</v>
      </c>
      <c r="O21">
        <v>0</v>
      </c>
      <c r="P21" t="s">
        <v>54</v>
      </c>
      <c r="Q21" t="s">
        <v>54</v>
      </c>
      <c r="R21" t="s">
        <v>54</v>
      </c>
      <c r="S21" t="s">
        <v>54</v>
      </c>
      <c r="T21" t="s">
        <v>54</v>
      </c>
      <c r="U21" t="s">
        <v>54</v>
      </c>
      <c r="V21" t="s">
        <v>54</v>
      </c>
      <c r="W21" t="s">
        <v>54</v>
      </c>
      <c r="X21" s="23" t="s">
        <v>54</v>
      </c>
      <c r="Y21" s="23" t="s">
        <v>54</v>
      </c>
      <c r="Z21" s="23" t="s">
        <v>54</v>
      </c>
      <c r="AA21" s="23" t="s">
        <v>54</v>
      </c>
      <c r="AB21" t="s">
        <v>54</v>
      </c>
      <c r="AC21" t="s">
        <v>54</v>
      </c>
      <c r="AD21" t="s">
        <v>54</v>
      </c>
      <c r="AE21" t="s">
        <v>54</v>
      </c>
      <c r="AF21" s="23" t="s">
        <v>54</v>
      </c>
      <c r="AG21" s="23" t="s">
        <v>54</v>
      </c>
      <c r="AH21" s="23" t="s">
        <v>54</v>
      </c>
      <c r="AI21" s="23" t="s">
        <v>54</v>
      </c>
      <c r="AJ21">
        <v>661</v>
      </c>
      <c r="AK21">
        <v>981</v>
      </c>
      <c r="AL21">
        <v>798</v>
      </c>
      <c r="AM21">
        <v>635</v>
      </c>
      <c r="AN21" s="23">
        <v>0</v>
      </c>
      <c r="AO21" s="23">
        <v>0</v>
      </c>
      <c r="AP21" s="23">
        <v>0</v>
      </c>
      <c r="AQ21" s="23">
        <v>0</v>
      </c>
      <c r="AR21" s="35">
        <v>0</v>
      </c>
      <c r="AS21" s="35">
        <v>0</v>
      </c>
      <c r="AT21" s="35">
        <v>0</v>
      </c>
      <c r="AU21" s="31" t="str">
        <f t="shared" si="3"/>
        <v>库存为0</v>
      </c>
      <c r="AV21" s="36" t="str">
        <f>IFERROR(时间!$B$4+AU21,"上周无销量")</f>
        <v>上周无销量</v>
      </c>
    </row>
    <row r="22" spans="1:48">
      <c r="A22" s="21" t="s">
        <v>100</v>
      </c>
      <c r="B22" t="s">
        <v>101</v>
      </c>
      <c r="C22" t="s">
        <v>102</v>
      </c>
      <c r="D22" s="31">
        <v>16</v>
      </c>
      <c r="E22" s="31">
        <v>6</v>
      </c>
      <c r="F22" s="31">
        <v>15</v>
      </c>
      <c r="G22" s="31">
        <v>18</v>
      </c>
      <c r="H22" s="32">
        <v>91.9899999999999</v>
      </c>
      <c r="I22">
        <v>78</v>
      </c>
      <c r="J22" s="33">
        <v>0</v>
      </c>
      <c r="K22" s="33">
        <v>0</v>
      </c>
      <c r="L22" s="33">
        <v>5</v>
      </c>
      <c r="M22">
        <v>83</v>
      </c>
      <c r="N22">
        <v>7</v>
      </c>
      <c r="O22">
        <v>0</v>
      </c>
      <c r="P22">
        <v>175759</v>
      </c>
      <c r="Q22">
        <v>116770</v>
      </c>
      <c r="R22">
        <v>681465</v>
      </c>
      <c r="S22">
        <v>684003</v>
      </c>
      <c r="T22">
        <v>770</v>
      </c>
      <c r="U22">
        <v>538</v>
      </c>
      <c r="V22">
        <v>2828</v>
      </c>
      <c r="W22">
        <v>2840</v>
      </c>
      <c r="X22" s="23">
        <v>0.00438099898155998</v>
      </c>
      <c r="Y22" s="23">
        <v>0.00460734777768262</v>
      </c>
      <c r="Z22" s="23">
        <v>0.0041498829727132</v>
      </c>
      <c r="AA22" s="23">
        <v>0.0041520285729741</v>
      </c>
      <c r="AB22">
        <v>109.69</v>
      </c>
      <c r="AC22">
        <v>73.66</v>
      </c>
      <c r="AD22">
        <v>608.44</v>
      </c>
      <c r="AE22">
        <v>611.61</v>
      </c>
      <c r="AF22" s="23">
        <v>0.0745257636699642</v>
      </c>
      <c r="AG22" s="23">
        <v>0.13345653513063</v>
      </c>
      <c r="AH22" s="23">
        <v>0.440946479689822</v>
      </c>
      <c r="AI22" s="23">
        <v>0.36936985904265</v>
      </c>
      <c r="AJ22">
        <v>1221</v>
      </c>
      <c r="AK22">
        <v>1035</v>
      </c>
      <c r="AL22">
        <v>1221</v>
      </c>
      <c r="AM22">
        <v>1631</v>
      </c>
      <c r="AN22" s="23">
        <v>0.0131040131040131</v>
      </c>
      <c r="AO22" s="23">
        <v>0.00579710144927536</v>
      </c>
      <c r="AP22" s="23">
        <v>0.0122850122850123</v>
      </c>
      <c r="AQ22" s="23">
        <v>0.0110361741263029</v>
      </c>
      <c r="AR22" s="35">
        <v>2.28571428571429</v>
      </c>
      <c r="AS22" s="35">
        <v>137.142857142857</v>
      </c>
      <c r="AT22" s="35">
        <v>-54.1428571428571</v>
      </c>
      <c r="AU22" s="31">
        <f t="shared" si="3"/>
        <v>36</v>
      </c>
      <c r="AV22" s="36">
        <f>IFERROR(时间!$B$4+AU22,"上周无销量")</f>
        <v>43375</v>
      </c>
    </row>
    <row r="23" spans="1:48">
      <c r="A23" s="21" t="s">
        <v>103</v>
      </c>
      <c r="B23" t="s">
        <v>104</v>
      </c>
      <c r="C23" t="s">
        <v>105</v>
      </c>
      <c r="D23" s="31">
        <v>0</v>
      </c>
      <c r="E23" s="31">
        <v>0</v>
      </c>
      <c r="F23" s="31">
        <v>1</v>
      </c>
      <c r="G23" s="31">
        <v>1</v>
      </c>
      <c r="H23" s="32">
        <v>32.99</v>
      </c>
      <c r="I23">
        <v>64</v>
      </c>
      <c r="J23" s="33">
        <v>0</v>
      </c>
      <c r="K23" s="33">
        <v>0</v>
      </c>
      <c r="L23" s="33">
        <v>0</v>
      </c>
      <c r="M23">
        <v>64</v>
      </c>
      <c r="N23">
        <v>0</v>
      </c>
      <c r="O23">
        <v>2</v>
      </c>
      <c r="P23">
        <v>27</v>
      </c>
      <c r="Q23">
        <v>0</v>
      </c>
      <c r="R23">
        <v>0</v>
      </c>
      <c r="S23">
        <v>0</v>
      </c>
      <c r="T23">
        <v>1</v>
      </c>
      <c r="U23">
        <v>0</v>
      </c>
      <c r="V23">
        <v>0</v>
      </c>
      <c r="W23">
        <v>0</v>
      </c>
      <c r="X23" s="23">
        <v>0.037037037037037</v>
      </c>
      <c r="Y23" s="23" t="s">
        <v>54</v>
      </c>
      <c r="Z23" s="23" t="s">
        <v>54</v>
      </c>
      <c r="AA23" s="23" t="s">
        <v>54</v>
      </c>
      <c r="AB23">
        <v>0.06</v>
      </c>
      <c r="AC23">
        <v>0</v>
      </c>
      <c r="AD23">
        <v>0</v>
      </c>
      <c r="AE23">
        <v>0</v>
      </c>
      <c r="AF23" s="23" t="s">
        <v>106</v>
      </c>
      <c r="AG23" s="23" t="s">
        <v>54</v>
      </c>
      <c r="AH23" s="23" t="s">
        <v>54</v>
      </c>
      <c r="AI23" s="23" t="s">
        <v>54</v>
      </c>
      <c r="AJ23">
        <v>67</v>
      </c>
      <c r="AK23">
        <v>53</v>
      </c>
      <c r="AL23">
        <v>47</v>
      </c>
      <c r="AM23">
        <v>13</v>
      </c>
      <c r="AN23" s="23">
        <v>0</v>
      </c>
      <c r="AO23" s="23">
        <v>0</v>
      </c>
      <c r="AP23" s="23">
        <v>0.0212765957446809</v>
      </c>
      <c r="AQ23" s="23">
        <v>0.0769230769230769</v>
      </c>
      <c r="AR23" s="35">
        <v>0</v>
      </c>
      <c r="AS23" s="35">
        <v>0</v>
      </c>
      <c r="AT23" s="35">
        <v>64</v>
      </c>
      <c r="AU23" s="31" t="str">
        <f t="shared" si="3"/>
        <v>库存为64</v>
      </c>
      <c r="AV23" s="36" t="str">
        <f>IFERROR(时间!$B$4+AU23,"上周无销量")</f>
        <v>上周无销量</v>
      </c>
    </row>
    <row r="24" spans="1:48">
      <c r="A24" s="21" t="s">
        <v>107</v>
      </c>
      <c r="B24" t="s">
        <v>108</v>
      </c>
      <c r="C24" t="s">
        <v>105</v>
      </c>
      <c r="D24" s="31">
        <v>1</v>
      </c>
      <c r="E24" s="31">
        <v>0</v>
      </c>
      <c r="F24" s="31">
        <v>1</v>
      </c>
      <c r="G24" s="31">
        <v>2</v>
      </c>
      <c r="H24" s="32">
        <v>32.99</v>
      </c>
      <c r="I24">
        <v>53</v>
      </c>
      <c r="J24" s="33">
        <v>0</v>
      </c>
      <c r="K24" s="33">
        <v>0</v>
      </c>
      <c r="L24" s="33">
        <v>1</v>
      </c>
      <c r="M24">
        <v>54</v>
      </c>
      <c r="N24">
        <v>0</v>
      </c>
      <c r="O24">
        <v>0</v>
      </c>
      <c r="P24" t="s">
        <v>54</v>
      </c>
      <c r="Q24" t="s">
        <v>54</v>
      </c>
      <c r="R24" t="s">
        <v>54</v>
      </c>
      <c r="S24" t="s">
        <v>54</v>
      </c>
      <c r="T24" t="s">
        <v>54</v>
      </c>
      <c r="U24" t="s">
        <v>54</v>
      </c>
      <c r="V24" t="s">
        <v>54</v>
      </c>
      <c r="W24" t="s">
        <v>54</v>
      </c>
      <c r="X24" s="23" t="s">
        <v>54</v>
      </c>
      <c r="Y24" s="23" t="s">
        <v>54</v>
      </c>
      <c r="Z24" s="23" t="s">
        <v>54</v>
      </c>
      <c r="AA24" s="23" t="s">
        <v>54</v>
      </c>
      <c r="AB24" t="s">
        <v>54</v>
      </c>
      <c r="AC24" t="s">
        <v>54</v>
      </c>
      <c r="AD24" t="s">
        <v>54</v>
      </c>
      <c r="AE24" t="s">
        <v>54</v>
      </c>
      <c r="AF24" s="23" t="s">
        <v>54</v>
      </c>
      <c r="AG24" s="23" t="s">
        <v>54</v>
      </c>
      <c r="AH24" s="23" t="s">
        <v>54</v>
      </c>
      <c r="AI24" s="23" t="s">
        <v>54</v>
      </c>
      <c r="AJ24">
        <v>52</v>
      </c>
      <c r="AK24">
        <v>23</v>
      </c>
      <c r="AL24">
        <v>42</v>
      </c>
      <c r="AM24">
        <v>25</v>
      </c>
      <c r="AN24" s="23">
        <v>0.0192307692307692</v>
      </c>
      <c r="AO24" s="23">
        <v>0</v>
      </c>
      <c r="AP24" s="23">
        <v>0.0238095238095238</v>
      </c>
      <c r="AQ24" s="23">
        <v>0.08</v>
      </c>
      <c r="AR24" s="35">
        <v>0.142857142857143</v>
      </c>
      <c r="AS24" s="35">
        <v>8.57142857142857</v>
      </c>
      <c r="AT24" s="35">
        <v>45.4285714285714</v>
      </c>
      <c r="AU24" s="31">
        <f t="shared" si="3"/>
        <v>378</v>
      </c>
      <c r="AV24" s="36">
        <f>IFERROR(时间!$B$4+AU24,"上周无销量")</f>
        <v>43717</v>
      </c>
    </row>
    <row r="25" spans="1:48">
      <c r="A25" s="21" t="s">
        <v>109</v>
      </c>
      <c r="B25" t="s">
        <v>110</v>
      </c>
      <c r="C25" t="s">
        <v>111</v>
      </c>
      <c r="D25" s="31">
        <v>1</v>
      </c>
      <c r="E25" s="31">
        <v>4</v>
      </c>
      <c r="F25" s="31">
        <v>6</v>
      </c>
      <c r="G25" s="31">
        <v>0</v>
      </c>
      <c r="H25" s="32">
        <v>23.99</v>
      </c>
      <c r="I25">
        <v>12</v>
      </c>
      <c r="J25" s="33">
        <v>0</v>
      </c>
      <c r="K25" s="33">
        <v>0</v>
      </c>
      <c r="L25" s="33">
        <v>0</v>
      </c>
      <c r="M25">
        <v>12</v>
      </c>
      <c r="N25">
        <v>0</v>
      </c>
      <c r="O25">
        <v>0</v>
      </c>
      <c r="P25">
        <v>904</v>
      </c>
      <c r="Q25">
        <v>767</v>
      </c>
      <c r="R25">
        <v>0</v>
      </c>
      <c r="S25">
        <v>0</v>
      </c>
      <c r="T25">
        <v>6</v>
      </c>
      <c r="U25">
        <v>8</v>
      </c>
      <c r="V25">
        <v>0</v>
      </c>
      <c r="W25">
        <v>0</v>
      </c>
      <c r="X25" s="23">
        <v>0.00663716814159292</v>
      </c>
      <c r="Y25" s="23">
        <v>0.0104302477183833</v>
      </c>
      <c r="Z25" s="23" t="s">
        <v>54</v>
      </c>
      <c r="AA25" s="23" t="s">
        <v>54</v>
      </c>
      <c r="AB25">
        <v>0.88</v>
      </c>
      <c r="AC25">
        <v>1.05</v>
      </c>
      <c r="AD25">
        <v>0</v>
      </c>
      <c r="AE25">
        <v>0</v>
      </c>
      <c r="AF25" s="23">
        <v>0.0366819508128387</v>
      </c>
      <c r="AG25" s="23">
        <v>0.0109420591913297</v>
      </c>
      <c r="AH25" s="23" t="s">
        <v>54</v>
      </c>
      <c r="AI25" s="23" t="s">
        <v>54</v>
      </c>
      <c r="AJ25">
        <v>76</v>
      </c>
      <c r="AK25">
        <v>91</v>
      </c>
      <c r="AL25">
        <v>89</v>
      </c>
      <c r="AM25">
        <v>74</v>
      </c>
      <c r="AN25" s="23">
        <v>0.0131578947368421</v>
      </c>
      <c r="AO25" s="23">
        <v>0.043956043956044</v>
      </c>
      <c r="AP25" s="23">
        <v>0.0674157303370786</v>
      </c>
      <c r="AQ25" s="23">
        <v>0</v>
      </c>
      <c r="AR25" s="35">
        <v>0.142857142857143</v>
      </c>
      <c r="AS25" s="35">
        <v>8.57142857142857</v>
      </c>
      <c r="AT25" s="35">
        <v>3.42857142857143</v>
      </c>
      <c r="AU25" s="31">
        <f t="shared" si="3"/>
        <v>84</v>
      </c>
      <c r="AV25" s="36">
        <f>IFERROR(时间!$B$4+AU25,"上周无销量")</f>
        <v>43423</v>
      </c>
    </row>
    <row r="26" spans="1:48">
      <c r="A26" s="21" t="s">
        <v>112</v>
      </c>
      <c r="B26" t="s">
        <v>113</v>
      </c>
      <c r="C26" t="s">
        <v>114</v>
      </c>
      <c r="D26" s="31">
        <v>0</v>
      </c>
      <c r="E26" s="31">
        <v>0</v>
      </c>
      <c r="F26" s="31">
        <v>0</v>
      </c>
      <c r="G26" s="31">
        <v>1</v>
      </c>
      <c r="H26" s="32">
        <v>23.99</v>
      </c>
      <c r="I26">
        <v>0</v>
      </c>
      <c r="J26" s="33">
        <v>0</v>
      </c>
      <c r="K26" s="33">
        <v>0</v>
      </c>
      <c r="L26" s="33">
        <v>0</v>
      </c>
      <c r="M26">
        <v>0</v>
      </c>
      <c r="N26">
        <v>0</v>
      </c>
      <c r="O26">
        <v>0</v>
      </c>
      <c r="P26" t="s">
        <v>54</v>
      </c>
      <c r="Q26" t="s">
        <v>54</v>
      </c>
      <c r="R26" t="s">
        <v>54</v>
      </c>
      <c r="S26" t="s">
        <v>54</v>
      </c>
      <c r="T26" t="s">
        <v>54</v>
      </c>
      <c r="U26" t="s">
        <v>54</v>
      </c>
      <c r="V26" t="s">
        <v>54</v>
      </c>
      <c r="W26" t="s">
        <v>54</v>
      </c>
      <c r="X26" s="23" t="s">
        <v>54</v>
      </c>
      <c r="Y26" s="23" t="s">
        <v>54</v>
      </c>
      <c r="Z26" s="23" t="s">
        <v>54</v>
      </c>
      <c r="AA26" s="23" t="s">
        <v>54</v>
      </c>
      <c r="AB26" t="s">
        <v>54</v>
      </c>
      <c r="AC26" t="s">
        <v>54</v>
      </c>
      <c r="AD26" t="s">
        <v>54</v>
      </c>
      <c r="AE26" t="s">
        <v>54</v>
      </c>
      <c r="AF26" s="23" t="s">
        <v>54</v>
      </c>
      <c r="AG26" s="23" t="s">
        <v>54</v>
      </c>
      <c r="AH26" s="23" t="s">
        <v>54</v>
      </c>
      <c r="AI26" s="23" t="s">
        <v>54</v>
      </c>
      <c r="AJ26">
        <v>0</v>
      </c>
      <c r="AK26">
        <v>0</v>
      </c>
      <c r="AL26">
        <v>0</v>
      </c>
      <c r="AM26">
        <v>8</v>
      </c>
      <c r="AN26" s="23" t="s">
        <v>54</v>
      </c>
      <c r="AO26" s="23" t="s">
        <v>54</v>
      </c>
      <c r="AP26" s="23" t="s">
        <v>54</v>
      </c>
      <c r="AQ26" s="23">
        <v>0.125</v>
      </c>
      <c r="AR26" s="35">
        <v>0</v>
      </c>
      <c r="AS26" s="35">
        <v>0</v>
      </c>
      <c r="AT26" s="35">
        <v>0</v>
      </c>
      <c r="AU26" s="31" t="str">
        <f t="shared" si="3"/>
        <v>库存为0</v>
      </c>
      <c r="AV26" s="36" t="str">
        <f>IFERROR(时间!$B$4+AU26,"上周无销量")</f>
        <v>上周无销量</v>
      </c>
    </row>
    <row r="27" spans="1:48">
      <c r="A27" s="21" t="s">
        <v>115</v>
      </c>
      <c r="B27" t="s">
        <v>116</v>
      </c>
      <c r="C27" t="s">
        <v>114</v>
      </c>
      <c r="D27" s="31">
        <v>0</v>
      </c>
      <c r="E27" s="31">
        <v>0</v>
      </c>
      <c r="F27" s="31">
        <v>0</v>
      </c>
      <c r="G27" s="31">
        <v>0</v>
      </c>
      <c r="H27" s="32">
        <v>0</v>
      </c>
      <c r="I27">
        <v>2</v>
      </c>
      <c r="J27" s="33">
        <v>0</v>
      </c>
      <c r="K27" s="33">
        <v>0</v>
      </c>
      <c r="L27" s="33">
        <v>0</v>
      </c>
      <c r="M27">
        <v>2</v>
      </c>
      <c r="N27">
        <v>0</v>
      </c>
      <c r="O27">
        <v>2</v>
      </c>
      <c r="P27" t="s">
        <v>54</v>
      </c>
      <c r="Q27" t="s">
        <v>54</v>
      </c>
      <c r="R27" t="s">
        <v>54</v>
      </c>
      <c r="S27" t="s">
        <v>54</v>
      </c>
      <c r="T27" t="s">
        <v>54</v>
      </c>
      <c r="U27" t="s">
        <v>54</v>
      </c>
      <c r="V27" t="s">
        <v>54</v>
      </c>
      <c r="W27" t="s">
        <v>54</v>
      </c>
      <c r="X27" s="23" t="s">
        <v>54</v>
      </c>
      <c r="Y27" s="23" t="s">
        <v>54</v>
      </c>
      <c r="Z27" s="23" t="s">
        <v>54</v>
      </c>
      <c r="AA27" s="23" t="s">
        <v>54</v>
      </c>
      <c r="AB27" t="s">
        <v>54</v>
      </c>
      <c r="AC27" t="s">
        <v>54</v>
      </c>
      <c r="AD27" t="s">
        <v>54</v>
      </c>
      <c r="AE27" t="s">
        <v>54</v>
      </c>
      <c r="AF27" s="23" t="s">
        <v>54</v>
      </c>
      <c r="AG27" s="23" t="s">
        <v>54</v>
      </c>
      <c r="AH27" s="23" t="s">
        <v>54</v>
      </c>
      <c r="AI27" s="23" t="s">
        <v>54</v>
      </c>
      <c r="AJ27">
        <v>17</v>
      </c>
      <c r="AK27">
        <v>30</v>
      </c>
      <c r="AL27">
        <v>13</v>
      </c>
      <c r="AM27">
        <v>3</v>
      </c>
      <c r="AN27" s="23">
        <v>0</v>
      </c>
      <c r="AO27" s="23">
        <v>0</v>
      </c>
      <c r="AP27" s="23">
        <v>0</v>
      </c>
      <c r="AQ27" s="23">
        <v>0</v>
      </c>
      <c r="AR27" s="35">
        <v>0</v>
      </c>
      <c r="AS27" s="35">
        <v>0</v>
      </c>
      <c r="AT27" s="35">
        <v>2</v>
      </c>
      <c r="AU27" s="31" t="str">
        <f t="shared" si="3"/>
        <v>库存为2</v>
      </c>
      <c r="AV27" s="36" t="str">
        <f>IFERROR(时间!$B$4+AU27,"上周无销量")</f>
        <v>上周无销量</v>
      </c>
    </row>
    <row r="28" spans="1:48">
      <c r="A28" s="21" t="s">
        <v>117</v>
      </c>
      <c r="B28" t="s">
        <v>116</v>
      </c>
      <c r="C28" t="s">
        <v>114</v>
      </c>
      <c r="D28" s="31">
        <v>0</v>
      </c>
      <c r="E28" s="31">
        <v>0</v>
      </c>
      <c r="F28" s="31">
        <v>0</v>
      </c>
      <c r="G28" s="31">
        <v>0</v>
      </c>
      <c r="H28" s="32">
        <v>0</v>
      </c>
      <c r="I28">
        <v>10</v>
      </c>
      <c r="J28" s="33">
        <v>0</v>
      </c>
      <c r="K28" s="33">
        <v>0</v>
      </c>
      <c r="L28" s="33">
        <v>0</v>
      </c>
      <c r="M28">
        <v>10</v>
      </c>
      <c r="N28">
        <v>0</v>
      </c>
      <c r="O28">
        <v>10</v>
      </c>
      <c r="P28" t="s">
        <v>54</v>
      </c>
      <c r="Q28" t="s">
        <v>54</v>
      </c>
      <c r="R28" t="s">
        <v>54</v>
      </c>
      <c r="S28" t="s">
        <v>54</v>
      </c>
      <c r="T28" t="s">
        <v>54</v>
      </c>
      <c r="U28" t="s">
        <v>54</v>
      </c>
      <c r="V28" t="s">
        <v>54</v>
      </c>
      <c r="W28" t="s">
        <v>54</v>
      </c>
      <c r="X28" s="23" t="s">
        <v>54</v>
      </c>
      <c r="Y28" s="23" t="s">
        <v>54</v>
      </c>
      <c r="Z28" s="23" t="s">
        <v>54</v>
      </c>
      <c r="AA28" s="23" t="s">
        <v>54</v>
      </c>
      <c r="AB28" t="s">
        <v>54</v>
      </c>
      <c r="AC28" t="s">
        <v>54</v>
      </c>
      <c r="AD28" t="s">
        <v>54</v>
      </c>
      <c r="AE28" t="s">
        <v>54</v>
      </c>
      <c r="AF28" s="23" t="s">
        <v>54</v>
      </c>
      <c r="AG28" s="23" t="s">
        <v>54</v>
      </c>
      <c r="AH28" s="23" t="s">
        <v>54</v>
      </c>
      <c r="AI28" s="23" t="s">
        <v>54</v>
      </c>
      <c r="AJ28">
        <v>17</v>
      </c>
      <c r="AK28">
        <v>30</v>
      </c>
      <c r="AL28">
        <v>13</v>
      </c>
      <c r="AM28">
        <v>3</v>
      </c>
      <c r="AN28" s="23">
        <v>0</v>
      </c>
      <c r="AO28" s="23">
        <v>0</v>
      </c>
      <c r="AP28" s="23">
        <v>0</v>
      </c>
      <c r="AQ28" s="23">
        <v>0</v>
      </c>
      <c r="AR28" s="35">
        <v>0</v>
      </c>
      <c r="AS28" s="35">
        <v>0</v>
      </c>
      <c r="AT28" s="35">
        <v>10</v>
      </c>
      <c r="AU28" s="31" t="str">
        <f t="shared" si="3"/>
        <v>库存为10</v>
      </c>
      <c r="AV28" s="36" t="str">
        <f>IFERROR(时间!$B$4+AU28,"上周无销量")</f>
        <v>上周无销量</v>
      </c>
    </row>
    <row r="29" spans="1:48">
      <c r="A29" s="21" t="s">
        <v>118</v>
      </c>
      <c r="B29" t="s">
        <v>119</v>
      </c>
      <c r="C29" t="s">
        <v>120</v>
      </c>
      <c r="D29" s="31">
        <v>0</v>
      </c>
      <c r="E29" s="31">
        <v>0</v>
      </c>
      <c r="F29" s="31">
        <v>0</v>
      </c>
      <c r="G29" s="31">
        <v>0</v>
      </c>
      <c r="H29" s="32">
        <v>0</v>
      </c>
      <c r="I29">
        <v>25</v>
      </c>
      <c r="J29" s="33">
        <v>0</v>
      </c>
      <c r="K29" s="33">
        <v>0</v>
      </c>
      <c r="L29" s="33">
        <v>0</v>
      </c>
      <c r="M29">
        <v>25</v>
      </c>
      <c r="N29">
        <v>0</v>
      </c>
      <c r="O29">
        <v>9</v>
      </c>
      <c r="P29">
        <v>0</v>
      </c>
      <c r="Q29">
        <v>0</v>
      </c>
      <c r="R29">
        <v>20198</v>
      </c>
      <c r="S29">
        <v>20198</v>
      </c>
      <c r="T29">
        <v>0</v>
      </c>
      <c r="U29">
        <v>0</v>
      </c>
      <c r="V29">
        <v>32</v>
      </c>
      <c r="W29">
        <v>32</v>
      </c>
      <c r="X29" s="23" t="s">
        <v>54</v>
      </c>
      <c r="Y29" s="23" t="s">
        <v>54</v>
      </c>
      <c r="Z29" s="23">
        <v>0.00158431527874047</v>
      </c>
      <c r="AA29" s="23">
        <v>0.00158431527874047</v>
      </c>
      <c r="AB29">
        <v>0</v>
      </c>
      <c r="AC29">
        <v>0</v>
      </c>
      <c r="AD29">
        <v>8.63</v>
      </c>
      <c r="AE29">
        <v>8.63</v>
      </c>
      <c r="AF29" s="23" t="s">
        <v>54</v>
      </c>
      <c r="AG29" s="23" t="s">
        <v>54</v>
      </c>
      <c r="AH29" s="23" t="s">
        <v>121</v>
      </c>
      <c r="AI29" s="23" t="s">
        <v>121</v>
      </c>
      <c r="AJ29">
        <v>12</v>
      </c>
      <c r="AK29">
        <v>12</v>
      </c>
      <c r="AL29">
        <v>12</v>
      </c>
      <c r="AM29">
        <v>7</v>
      </c>
      <c r="AN29" s="23">
        <v>0</v>
      </c>
      <c r="AO29" s="23">
        <v>0</v>
      </c>
      <c r="AP29" s="23">
        <v>0</v>
      </c>
      <c r="AQ29" s="23">
        <v>0</v>
      </c>
      <c r="AR29" s="35">
        <v>0</v>
      </c>
      <c r="AS29" s="35">
        <v>0</v>
      </c>
      <c r="AT29" s="35">
        <v>25</v>
      </c>
      <c r="AU29" s="31" t="str">
        <f t="shared" si="3"/>
        <v>库存为25</v>
      </c>
      <c r="AV29" s="36" t="str">
        <f>IFERROR(时间!$B$4+AU29,"上周无销量")</f>
        <v>上周无销量</v>
      </c>
    </row>
    <row r="30" spans="1:48">
      <c r="A30" s="21" t="s">
        <v>122</v>
      </c>
      <c r="B30" t="s">
        <v>123</v>
      </c>
      <c r="C30" t="s">
        <v>120</v>
      </c>
      <c r="D30" s="31">
        <v>0</v>
      </c>
      <c r="E30" s="31">
        <v>0</v>
      </c>
      <c r="F30" s="31">
        <v>0</v>
      </c>
      <c r="G30" s="31">
        <v>0</v>
      </c>
      <c r="H30" s="32">
        <v>0</v>
      </c>
      <c r="I30">
        <v>27</v>
      </c>
      <c r="J30" s="33">
        <v>0</v>
      </c>
      <c r="K30" s="33">
        <v>0</v>
      </c>
      <c r="L30" s="33">
        <v>0</v>
      </c>
      <c r="M30">
        <v>27</v>
      </c>
      <c r="N30">
        <v>0</v>
      </c>
      <c r="O30">
        <v>12</v>
      </c>
      <c r="P30">
        <v>0</v>
      </c>
      <c r="Q30">
        <v>0</v>
      </c>
      <c r="R30">
        <v>1400</v>
      </c>
      <c r="S30">
        <v>1400</v>
      </c>
      <c r="T30">
        <v>0</v>
      </c>
      <c r="U30">
        <v>0</v>
      </c>
      <c r="V30">
        <v>4</v>
      </c>
      <c r="W30">
        <v>4</v>
      </c>
      <c r="X30" s="23" t="s">
        <v>54</v>
      </c>
      <c r="Y30" s="23" t="s">
        <v>54</v>
      </c>
      <c r="Z30" s="23">
        <v>0.00285714285714286</v>
      </c>
      <c r="AA30" s="23">
        <v>0.00285714285714286</v>
      </c>
      <c r="AB30">
        <v>0</v>
      </c>
      <c r="AC30">
        <v>0</v>
      </c>
      <c r="AD30">
        <v>0.76</v>
      </c>
      <c r="AE30">
        <v>0.76</v>
      </c>
      <c r="AF30" s="23" t="s">
        <v>54</v>
      </c>
      <c r="AG30" s="23" t="s">
        <v>54</v>
      </c>
      <c r="AH30" s="23" t="s">
        <v>124</v>
      </c>
      <c r="AI30" s="23" t="s">
        <v>124</v>
      </c>
      <c r="AJ30">
        <v>13</v>
      </c>
      <c r="AK30">
        <v>8</v>
      </c>
      <c r="AL30">
        <v>9</v>
      </c>
      <c r="AM30">
        <v>3</v>
      </c>
      <c r="AN30" s="23">
        <v>0</v>
      </c>
      <c r="AO30" s="23">
        <v>0</v>
      </c>
      <c r="AP30" s="23">
        <v>0</v>
      </c>
      <c r="AQ30" s="23">
        <v>0</v>
      </c>
      <c r="AR30" s="35">
        <v>0</v>
      </c>
      <c r="AS30" s="35">
        <v>0</v>
      </c>
      <c r="AT30" s="35">
        <v>27</v>
      </c>
      <c r="AU30" s="31" t="str">
        <f t="shared" si="3"/>
        <v>库存为27</v>
      </c>
      <c r="AV30" s="36" t="str">
        <f>IFERROR(时间!$B$4+AU30,"上周无销量")</f>
        <v>上周无销量</v>
      </c>
    </row>
    <row r="31" spans="1:48">
      <c r="A31" s="21" t="s">
        <v>125</v>
      </c>
      <c r="B31" t="s">
        <v>126</v>
      </c>
      <c r="C31" t="s">
        <v>127</v>
      </c>
      <c r="D31" s="31">
        <v>0</v>
      </c>
      <c r="E31" s="31">
        <v>0</v>
      </c>
      <c r="F31" s="31">
        <v>0</v>
      </c>
      <c r="G31" s="31">
        <v>0</v>
      </c>
      <c r="H31" s="32">
        <v>0</v>
      </c>
      <c r="I31">
        <v>3</v>
      </c>
      <c r="J31" s="33">
        <v>0</v>
      </c>
      <c r="K31" s="33">
        <v>0</v>
      </c>
      <c r="L31" s="33">
        <v>0</v>
      </c>
      <c r="M31">
        <v>3</v>
      </c>
      <c r="N31">
        <v>0</v>
      </c>
      <c r="O31">
        <v>0</v>
      </c>
      <c r="P31">
        <v>0</v>
      </c>
      <c r="Q31">
        <v>0</v>
      </c>
      <c r="R31">
        <v>2118</v>
      </c>
      <c r="S31">
        <v>2132</v>
      </c>
      <c r="T31">
        <v>0</v>
      </c>
      <c r="U31">
        <v>0</v>
      </c>
      <c r="V31">
        <v>29</v>
      </c>
      <c r="W31">
        <v>29</v>
      </c>
      <c r="X31" s="23" t="s">
        <v>54</v>
      </c>
      <c r="Y31" s="23" t="s">
        <v>54</v>
      </c>
      <c r="Z31" s="23">
        <v>0.0136921624173749</v>
      </c>
      <c r="AA31" s="23">
        <v>0.0136022514071295</v>
      </c>
      <c r="AB31">
        <v>0</v>
      </c>
      <c r="AC31">
        <v>0</v>
      </c>
      <c r="AD31">
        <v>9.99</v>
      </c>
      <c r="AE31">
        <v>9.99</v>
      </c>
      <c r="AF31" s="23" t="s">
        <v>54</v>
      </c>
      <c r="AG31" s="23" t="s">
        <v>54</v>
      </c>
      <c r="AH31" s="23" t="s">
        <v>128</v>
      </c>
      <c r="AI31" s="23" t="s">
        <v>128</v>
      </c>
      <c r="AJ31">
        <v>7</v>
      </c>
      <c r="AK31">
        <v>5</v>
      </c>
      <c r="AL31">
        <v>45</v>
      </c>
      <c r="AM31">
        <v>18</v>
      </c>
      <c r="AN31" s="23">
        <v>0</v>
      </c>
      <c r="AO31" s="23">
        <v>0</v>
      </c>
      <c r="AP31" s="23">
        <v>0</v>
      </c>
      <c r="AQ31" s="23">
        <v>0</v>
      </c>
      <c r="AR31" s="35">
        <v>0</v>
      </c>
      <c r="AS31" s="35">
        <v>0</v>
      </c>
      <c r="AT31" s="35">
        <v>3</v>
      </c>
      <c r="AU31" s="31" t="str">
        <f t="shared" si="3"/>
        <v>库存为3</v>
      </c>
      <c r="AV31" s="36" t="str">
        <f>IFERROR(时间!$B$4+AU31,"上周无销量")</f>
        <v>上周无销量</v>
      </c>
    </row>
    <row r="32" spans="1:48">
      <c r="A32" s="21" t="s">
        <v>129</v>
      </c>
      <c r="B32" t="s">
        <v>130</v>
      </c>
      <c r="C32" t="s">
        <v>131</v>
      </c>
      <c r="D32" s="31">
        <v>1</v>
      </c>
      <c r="E32" s="31">
        <v>1</v>
      </c>
      <c r="F32" s="31">
        <v>3</v>
      </c>
      <c r="G32" s="31">
        <v>1</v>
      </c>
      <c r="H32" s="32">
        <v>89.99</v>
      </c>
      <c r="I32">
        <v>14</v>
      </c>
      <c r="J32" s="33">
        <v>0</v>
      </c>
      <c r="K32" s="33">
        <v>0</v>
      </c>
      <c r="L32" s="33">
        <v>0</v>
      </c>
      <c r="M32">
        <v>14</v>
      </c>
      <c r="N32">
        <v>0</v>
      </c>
      <c r="O32">
        <v>0</v>
      </c>
      <c r="P32">
        <v>20215</v>
      </c>
      <c r="Q32">
        <v>17018</v>
      </c>
      <c r="R32">
        <v>43019</v>
      </c>
      <c r="S32">
        <v>43268</v>
      </c>
      <c r="T32">
        <v>164</v>
      </c>
      <c r="U32">
        <v>162</v>
      </c>
      <c r="V32">
        <v>450</v>
      </c>
      <c r="W32">
        <v>450</v>
      </c>
      <c r="X32" s="23">
        <v>0.0081127875340094</v>
      </c>
      <c r="Y32" s="23">
        <v>0.00951933247150076</v>
      </c>
      <c r="Z32" s="23">
        <v>0.0104604942002371</v>
      </c>
      <c r="AA32" s="23">
        <v>0.010400295830637</v>
      </c>
      <c r="AB32">
        <v>54.31</v>
      </c>
      <c r="AC32">
        <v>50.87</v>
      </c>
      <c r="AD32">
        <v>85.67</v>
      </c>
      <c r="AE32">
        <v>85.67</v>
      </c>
      <c r="AF32" s="23">
        <v>0.60351150127792</v>
      </c>
      <c r="AG32" s="23">
        <v>0.565285031670186</v>
      </c>
      <c r="AH32" s="23">
        <v>0.317331555358003</v>
      </c>
      <c r="AI32" s="23">
        <v>0.951994666074008</v>
      </c>
      <c r="AJ32">
        <v>182</v>
      </c>
      <c r="AK32">
        <v>158</v>
      </c>
      <c r="AL32">
        <v>145</v>
      </c>
      <c r="AM32">
        <v>215</v>
      </c>
      <c r="AN32" s="23">
        <v>0.00549450549450549</v>
      </c>
      <c r="AO32" s="23">
        <v>0.00632911392405063</v>
      </c>
      <c r="AP32" s="23">
        <v>0.0206896551724138</v>
      </c>
      <c r="AQ32" s="23">
        <v>0.00465116279069767</v>
      </c>
      <c r="AR32" s="35">
        <v>0.142857142857143</v>
      </c>
      <c r="AS32" s="35">
        <v>8.57142857142857</v>
      </c>
      <c r="AT32" s="35">
        <v>5.42857142857143</v>
      </c>
      <c r="AU32" s="31">
        <f t="shared" si="3"/>
        <v>98</v>
      </c>
      <c r="AV32" s="36">
        <f>IFERROR(时间!$B$4+AU32,"上周无销量")</f>
        <v>43437</v>
      </c>
    </row>
    <row r="33" spans="1:48">
      <c r="A33" s="21" t="s">
        <v>132</v>
      </c>
      <c r="B33" t="s">
        <v>133</v>
      </c>
      <c r="C33" t="s">
        <v>131</v>
      </c>
      <c r="D33" s="31">
        <v>0</v>
      </c>
      <c r="E33" s="31">
        <v>0</v>
      </c>
      <c r="F33" s="31">
        <v>1</v>
      </c>
      <c r="G33" s="31">
        <v>1</v>
      </c>
      <c r="H33" s="32">
        <v>79.99</v>
      </c>
      <c r="I33">
        <v>10</v>
      </c>
      <c r="J33" s="33">
        <v>0</v>
      </c>
      <c r="K33" s="33">
        <v>0</v>
      </c>
      <c r="L33" s="33">
        <v>0</v>
      </c>
      <c r="M33">
        <v>10</v>
      </c>
      <c r="N33">
        <v>1</v>
      </c>
      <c r="O33">
        <v>0</v>
      </c>
      <c r="P33" t="s">
        <v>54</v>
      </c>
      <c r="Q33" t="s">
        <v>54</v>
      </c>
      <c r="R33" t="s">
        <v>54</v>
      </c>
      <c r="S33" t="s">
        <v>54</v>
      </c>
      <c r="T33" t="s">
        <v>54</v>
      </c>
      <c r="U33" t="s">
        <v>54</v>
      </c>
      <c r="V33" t="s">
        <v>54</v>
      </c>
      <c r="W33" t="s">
        <v>54</v>
      </c>
      <c r="X33" s="23" t="s">
        <v>54</v>
      </c>
      <c r="Y33" s="23" t="s">
        <v>54</v>
      </c>
      <c r="Z33" s="23" t="s">
        <v>54</v>
      </c>
      <c r="AA33" s="23" t="s">
        <v>54</v>
      </c>
      <c r="AB33" t="s">
        <v>54</v>
      </c>
      <c r="AC33" t="s">
        <v>54</v>
      </c>
      <c r="AD33" t="s">
        <v>54</v>
      </c>
      <c r="AE33" t="s">
        <v>54</v>
      </c>
      <c r="AF33" s="23" t="s">
        <v>54</v>
      </c>
      <c r="AG33" s="23" t="s">
        <v>54</v>
      </c>
      <c r="AH33" s="23" t="s">
        <v>54</v>
      </c>
      <c r="AI33" s="23" t="s">
        <v>54</v>
      </c>
      <c r="AJ33">
        <v>70</v>
      </c>
      <c r="AK33">
        <v>50</v>
      </c>
      <c r="AL33">
        <v>51</v>
      </c>
      <c r="AM33">
        <v>58</v>
      </c>
      <c r="AN33" s="23">
        <v>0</v>
      </c>
      <c r="AO33" s="23">
        <v>0</v>
      </c>
      <c r="AP33" s="23">
        <v>0.0196078431372549</v>
      </c>
      <c r="AQ33" s="23">
        <v>0.0172413793103448</v>
      </c>
      <c r="AR33" s="35">
        <v>0</v>
      </c>
      <c r="AS33" s="35">
        <v>0</v>
      </c>
      <c r="AT33" s="35">
        <v>10</v>
      </c>
      <c r="AU33" s="31" t="str">
        <f t="shared" si="3"/>
        <v>库存为10</v>
      </c>
      <c r="AV33" s="36" t="str">
        <f>IFERROR(时间!$B$4+AU33,"上周无销量")</f>
        <v>上周无销量</v>
      </c>
    </row>
    <row r="34" spans="1:48">
      <c r="A34" s="21" t="s">
        <v>134</v>
      </c>
      <c r="B34" t="s">
        <v>135</v>
      </c>
      <c r="C34" t="s">
        <v>131</v>
      </c>
      <c r="D34" s="31">
        <v>0</v>
      </c>
      <c r="E34" s="31">
        <v>0</v>
      </c>
      <c r="F34" s="31">
        <v>0</v>
      </c>
      <c r="G34" s="31">
        <v>0</v>
      </c>
      <c r="H34" s="32">
        <v>0</v>
      </c>
      <c r="I34">
        <v>5</v>
      </c>
      <c r="J34" s="33">
        <v>0</v>
      </c>
      <c r="K34" s="33">
        <v>0</v>
      </c>
      <c r="L34" s="33">
        <v>0</v>
      </c>
      <c r="M34">
        <v>5</v>
      </c>
      <c r="N34">
        <v>0</v>
      </c>
      <c r="O34">
        <v>5</v>
      </c>
      <c r="P34" t="s">
        <v>54</v>
      </c>
      <c r="Q34" t="s">
        <v>54</v>
      </c>
      <c r="R34" t="s">
        <v>54</v>
      </c>
      <c r="S34" t="s">
        <v>54</v>
      </c>
      <c r="T34" t="s">
        <v>54</v>
      </c>
      <c r="U34" t="s">
        <v>54</v>
      </c>
      <c r="V34" t="s">
        <v>54</v>
      </c>
      <c r="W34" t="s">
        <v>54</v>
      </c>
      <c r="X34" s="23" t="s">
        <v>54</v>
      </c>
      <c r="Y34" s="23" t="s">
        <v>54</v>
      </c>
      <c r="Z34" s="23" t="s">
        <v>54</v>
      </c>
      <c r="AA34" s="23" t="s">
        <v>54</v>
      </c>
      <c r="AB34" t="s">
        <v>54</v>
      </c>
      <c r="AC34" t="s">
        <v>54</v>
      </c>
      <c r="AD34" t="s">
        <v>54</v>
      </c>
      <c r="AE34" t="s">
        <v>54</v>
      </c>
      <c r="AF34" s="23" t="s">
        <v>54</v>
      </c>
      <c r="AG34" s="23" t="s">
        <v>54</v>
      </c>
      <c r="AH34" s="23" t="s">
        <v>54</v>
      </c>
      <c r="AI34" s="23" t="s">
        <v>54</v>
      </c>
      <c r="AJ34">
        <v>5</v>
      </c>
      <c r="AK34">
        <v>4</v>
      </c>
      <c r="AL34">
        <v>2</v>
      </c>
      <c r="AM34">
        <v>1</v>
      </c>
      <c r="AN34" s="23">
        <v>0</v>
      </c>
      <c r="AO34" s="23">
        <v>0</v>
      </c>
      <c r="AP34" s="23">
        <v>0</v>
      </c>
      <c r="AQ34" s="23">
        <v>0</v>
      </c>
      <c r="AR34" s="35">
        <v>0</v>
      </c>
      <c r="AS34" s="35">
        <v>0</v>
      </c>
      <c r="AT34" s="35">
        <v>5</v>
      </c>
      <c r="AU34" s="31" t="str">
        <f t="shared" si="3"/>
        <v>库存为5</v>
      </c>
      <c r="AV34" s="36" t="str">
        <f>IFERROR(时间!$B$4+AU34,"上周无销量")</f>
        <v>上周无销量</v>
      </c>
    </row>
    <row r="35" spans="1:48">
      <c r="A35" s="21" t="s">
        <v>136</v>
      </c>
      <c r="B35" t="s">
        <v>137</v>
      </c>
      <c r="C35" t="s">
        <v>138</v>
      </c>
      <c r="D35" s="31">
        <v>0</v>
      </c>
      <c r="E35" s="31">
        <v>0</v>
      </c>
      <c r="F35" s="31">
        <v>0</v>
      </c>
      <c r="G35" s="31">
        <v>0</v>
      </c>
      <c r="H35" s="32">
        <v>0</v>
      </c>
      <c r="I35">
        <v>18</v>
      </c>
      <c r="J35" s="33">
        <v>0</v>
      </c>
      <c r="K35" s="33">
        <v>0</v>
      </c>
      <c r="L35" s="33">
        <v>0</v>
      </c>
      <c r="M35">
        <v>18</v>
      </c>
      <c r="N35">
        <v>0</v>
      </c>
      <c r="O35">
        <v>18</v>
      </c>
      <c r="P35">
        <v>5812</v>
      </c>
      <c r="Q35">
        <v>34231</v>
      </c>
      <c r="R35">
        <v>495665</v>
      </c>
      <c r="S35">
        <v>495668</v>
      </c>
      <c r="T35">
        <v>6</v>
      </c>
      <c r="U35">
        <v>69</v>
      </c>
      <c r="V35">
        <v>554</v>
      </c>
      <c r="W35">
        <v>554</v>
      </c>
      <c r="X35" s="23">
        <v>0.00103234686854783</v>
      </c>
      <c r="Y35" s="23">
        <v>0.00201571674797698</v>
      </c>
      <c r="Z35" s="23">
        <v>0.00111769037555607</v>
      </c>
      <c r="AA35" s="23">
        <v>0.00111768361080401</v>
      </c>
      <c r="AB35">
        <v>2.34</v>
      </c>
      <c r="AC35">
        <v>21.71</v>
      </c>
      <c r="AD35">
        <v>145.43</v>
      </c>
      <c r="AE35">
        <v>145.43</v>
      </c>
      <c r="AF35" s="23" t="s">
        <v>139</v>
      </c>
      <c r="AG35" s="23" t="s">
        <v>140</v>
      </c>
      <c r="AH35" s="23" t="s">
        <v>141</v>
      </c>
      <c r="AI35" s="23" t="s">
        <v>141</v>
      </c>
      <c r="AJ35">
        <v>25</v>
      </c>
      <c r="AK35">
        <v>104</v>
      </c>
      <c r="AL35">
        <v>58</v>
      </c>
      <c r="AM35">
        <v>36</v>
      </c>
      <c r="AN35" s="23">
        <v>0</v>
      </c>
      <c r="AO35" s="23">
        <v>0</v>
      </c>
      <c r="AP35" s="23">
        <v>0</v>
      </c>
      <c r="AQ35" s="23">
        <v>0</v>
      </c>
      <c r="AR35" s="35">
        <v>0</v>
      </c>
      <c r="AS35" s="35">
        <v>0</v>
      </c>
      <c r="AT35" s="35">
        <v>18</v>
      </c>
      <c r="AU35" s="31" t="str">
        <f t="shared" si="3"/>
        <v>库存为18</v>
      </c>
      <c r="AV35" s="36" t="str">
        <f>IFERROR(时间!$B$4+AU35,"上周无销量")</f>
        <v>上周无销量</v>
      </c>
    </row>
    <row r="36" spans="1:48">
      <c r="A36" s="21" t="s">
        <v>142</v>
      </c>
      <c r="B36" t="s">
        <v>143</v>
      </c>
      <c r="C36" t="s">
        <v>144</v>
      </c>
      <c r="D36" s="31">
        <v>0</v>
      </c>
      <c r="E36" s="31">
        <v>2</v>
      </c>
      <c r="F36" s="31">
        <v>2</v>
      </c>
      <c r="G36" s="31">
        <v>3</v>
      </c>
      <c r="H36" s="32">
        <v>89.99</v>
      </c>
      <c r="I36">
        <v>13</v>
      </c>
      <c r="J36" s="33">
        <v>0</v>
      </c>
      <c r="K36" s="33">
        <v>0</v>
      </c>
      <c r="L36" s="33">
        <v>4</v>
      </c>
      <c r="M36">
        <v>17</v>
      </c>
      <c r="N36">
        <v>0</v>
      </c>
      <c r="O36">
        <v>0</v>
      </c>
      <c r="P36">
        <v>68</v>
      </c>
      <c r="Q36">
        <v>172</v>
      </c>
      <c r="R36">
        <v>899</v>
      </c>
      <c r="S36">
        <v>899</v>
      </c>
      <c r="T36">
        <v>0</v>
      </c>
      <c r="U36">
        <v>2</v>
      </c>
      <c r="V36">
        <v>0</v>
      </c>
      <c r="W36">
        <v>0</v>
      </c>
      <c r="X36" s="23">
        <v>0</v>
      </c>
      <c r="Y36" s="23">
        <v>0.0116279069767442</v>
      </c>
      <c r="Z36" s="23">
        <v>0</v>
      </c>
      <c r="AA36" s="23">
        <v>0</v>
      </c>
      <c r="AB36">
        <v>0</v>
      </c>
      <c r="AC36">
        <v>0.63</v>
      </c>
      <c r="AD36">
        <v>0</v>
      </c>
      <c r="AE36">
        <v>0</v>
      </c>
      <c r="AF36" s="23" t="s">
        <v>54</v>
      </c>
      <c r="AG36" s="23">
        <v>0.00350038893210357</v>
      </c>
      <c r="AH36" s="23" t="s">
        <v>54</v>
      </c>
      <c r="AI36" s="23" t="s">
        <v>54</v>
      </c>
      <c r="AJ36">
        <v>109</v>
      </c>
      <c r="AK36">
        <v>133</v>
      </c>
      <c r="AL36">
        <v>124</v>
      </c>
      <c r="AM36">
        <v>76</v>
      </c>
      <c r="AN36" s="23">
        <v>0</v>
      </c>
      <c r="AO36" s="23">
        <v>0.0150375939849624</v>
      </c>
      <c r="AP36" s="23">
        <v>0.0161290322580645</v>
      </c>
      <c r="AQ36" s="23">
        <v>0.0394736842105263</v>
      </c>
      <c r="AR36" s="35">
        <v>0</v>
      </c>
      <c r="AS36" s="35">
        <v>0</v>
      </c>
      <c r="AT36" s="35">
        <v>17</v>
      </c>
      <c r="AU36" s="31" t="str">
        <f t="shared" si="3"/>
        <v>库存为17</v>
      </c>
      <c r="AV36" s="36" t="str">
        <f>IFERROR(时间!$B$4+AU36,"上周无销量")</f>
        <v>上周无销量</v>
      </c>
    </row>
    <row r="37" spans="1:48">
      <c r="A37" s="21" t="s">
        <v>145</v>
      </c>
      <c r="B37" t="s">
        <v>146</v>
      </c>
      <c r="C37" t="s">
        <v>147</v>
      </c>
      <c r="D37" s="31">
        <v>2</v>
      </c>
      <c r="E37" s="31">
        <v>3</v>
      </c>
      <c r="F37" s="31">
        <v>1</v>
      </c>
      <c r="G37" s="31">
        <v>1</v>
      </c>
      <c r="H37" s="32">
        <v>77.1342857142857</v>
      </c>
      <c r="I37">
        <v>3</v>
      </c>
      <c r="J37" s="33">
        <v>0</v>
      </c>
      <c r="K37" s="33">
        <v>0</v>
      </c>
      <c r="L37" s="33">
        <v>0</v>
      </c>
      <c r="M37">
        <v>3</v>
      </c>
      <c r="N37">
        <v>0</v>
      </c>
      <c r="O37">
        <v>0</v>
      </c>
      <c r="P37" t="s">
        <v>54</v>
      </c>
      <c r="Q37" t="s">
        <v>54</v>
      </c>
      <c r="R37" t="s">
        <v>54</v>
      </c>
      <c r="S37" t="s">
        <v>54</v>
      </c>
      <c r="T37" t="s">
        <v>54</v>
      </c>
      <c r="U37" t="s">
        <v>54</v>
      </c>
      <c r="V37" t="s">
        <v>54</v>
      </c>
      <c r="W37" t="s">
        <v>54</v>
      </c>
      <c r="X37" s="23" t="s">
        <v>54</v>
      </c>
      <c r="Y37" s="23" t="s">
        <v>54</v>
      </c>
      <c r="Z37" s="23" t="s">
        <v>54</v>
      </c>
      <c r="AA37" s="23" t="s">
        <v>54</v>
      </c>
      <c r="AB37" t="s">
        <v>54</v>
      </c>
      <c r="AC37" t="s">
        <v>54</v>
      </c>
      <c r="AD37" t="s">
        <v>54</v>
      </c>
      <c r="AE37" t="s">
        <v>54</v>
      </c>
      <c r="AF37" s="23" t="s">
        <v>54</v>
      </c>
      <c r="AG37" s="23" t="s">
        <v>54</v>
      </c>
      <c r="AH37" s="23" t="s">
        <v>54</v>
      </c>
      <c r="AI37" s="23" t="s">
        <v>54</v>
      </c>
      <c r="AJ37">
        <v>89</v>
      </c>
      <c r="AK37">
        <v>111</v>
      </c>
      <c r="AL37">
        <v>102</v>
      </c>
      <c r="AM37">
        <v>42</v>
      </c>
      <c r="AN37" s="23">
        <v>0.0224719101123595</v>
      </c>
      <c r="AO37" s="23">
        <v>0.027027027027027</v>
      </c>
      <c r="AP37" s="23">
        <v>0.00980392156862745</v>
      </c>
      <c r="AQ37" s="23">
        <v>0.0238095238095238</v>
      </c>
      <c r="AR37" s="35">
        <v>0.285714285714286</v>
      </c>
      <c r="AS37" s="35">
        <v>17.1428571428571</v>
      </c>
      <c r="AT37" s="35">
        <v>-14.1428571428571</v>
      </c>
      <c r="AU37" s="31">
        <f t="shared" si="3"/>
        <v>10</v>
      </c>
      <c r="AV37" s="36">
        <f>IFERROR(时间!$B$4+AU37,"上周无销量")</f>
        <v>43349</v>
      </c>
    </row>
    <row r="38" spans="1:48">
      <c r="A38" s="21" t="s">
        <v>148</v>
      </c>
      <c r="B38" t="s">
        <v>149</v>
      </c>
      <c r="C38" t="s">
        <v>147</v>
      </c>
      <c r="D38" s="31">
        <v>0</v>
      </c>
      <c r="E38" s="31">
        <v>3</v>
      </c>
      <c r="F38" s="31">
        <v>0</v>
      </c>
      <c r="G38" s="31">
        <v>0</v>
      </c>
      <c r="H38" s="32">
        <v>79.99</v>
      </c>
      <c r="I38">
        <v>12</v>
      </c>
      <c r="J38" s="33">
        <v>0</v>
      </c>
      <c r="K38" s="33">
        <v>0</v>
      </c>
      <c r="L38" s="33">
        <v>0</v>
      </c>
      <c r="M38">
        <v>12</v>
      </c>
      <c r="N38">
        <v>0</v>
      </c>
      <c r="O38">
        <v>12</v>
      </c>
      <c r="P38">
        <v>21883</v>
      </c>
      <c r="Q38">
        <v>23278</v>
      </c>
      <c r="R38">
        <v>4303</v>
      </c>
      <c r="S38">
        <v>4470</v>
      </c>
      <c r="T38">
        <v>131</v>
      </c>
      <c r="U38">
        <v>152</v>
      </c>
      <c r="V38">
        <v>13</v>
      </c>
      <c r="W38">
        <v>13</v>
      </c>
      <c r="X38" s="23">
        <v>0.00598638212310926</v>
      </c>
      <c r="Y38" s="23">
        <v>0.0065297705988487</v>
      </c>
      <c r="Z38" s="23">
        <v>0.00302114803625378</v>
      </c>
      <c r="AA38" s="23">
        <v>0.0029082774049217</v>
      </c>
      <c r="AB38">
        <v>35.71</v>
      </c>
      <c r="AC38">
        <v>43.73</v>
      </c>
      <c r="AD38">
        <v>4.69</v>
      </c>
      <c r="AE38">
        <v>4.69</v>
      </c>
      <c r="AF38" s="23" t="s">
        <v>150</v>
      </c>
      <c r="AG38" s="23">
        <v>0.182231112222361</v>
      </c>
      <c r="AH38" s="23" t="s">
        <v>151</v>
      </c>
      <c r="AI38" s="23" t="s">
        <v>151</v>
      </c>
      <c r="AJ38">
        <v>180</v>
      </c>
      <c r="AK38">
        <v>203</v>
      </c>
      <c r="AL38">
        <v>154</v>
      </c>
      <c r="AM38">
        <v>49</v>
      </c>
      <c r="AN38" s="23">
        <v>0</v>
      </c>
      <c r="AO38" s="23">
        <v>0.0147783251231527</v>
      </c>
      <c r="AP38" s="23">
        <v>0</v>
      </c>
      <c r="AQ38" s="23">
        <v>0</v>
      </c>
      <c r="AR38" s="35">
        <v>0</v>
      </c>
      <c r="AS38" s="35">
        <v>0</v>
      </c>
      <c r="AT38" s="35">
        <v>12</v>
      </c>
      <c r="AU38" s="31" t="str">
        <f t="shared" si="3"/>
        <v>库存为12</v>
      </c>
      <c r="AV38" s="36" t="str">
        <f>IFERROR(时间!$B$4+AU38,"上周无销量")</f>
        <v>上周无销量</v>
      </c>
    </row>
    <row r="39" spans="1:48">
      <c r="A39" s="21" t="s">
        <v>152</v>
      </c>
      <c r="B39" t="s">
        <v>153</v>
      </c>
      <c r="C39" t="s">
        <v>154</v>
      </c>
      <c r="D39" s="31">
        <v>0</v>
      </c>
      <c r="E39" s="31">
        <v>0</v>
      </c>
      <c r="F39" s="31">
        <v>0</v>
      </c>
      <c r="G39" s="31">
        <v>0</v>
      </c>
      <c r="H39" s="32">
        <v>0</v>
      </c>
      <c r="I39">
        <v>5</v>
      </c>
      <c r="J39" s="33">
        <v>0</v>
      </c>
      <c r="K39" s="33">
        <v>0</v>
      </c>
      <c r="L39" s="33">
        <v>0</v>
      </c>
      <c r="M39">
        <v>5</v>
      </c>
      <c r="N39">
        <v>0</v>
      </c>
      <c r="O39">
        <v>5</v>
      </c>
      <c r="P39" t="s">
        <v>54</v>
      </c>
      <c r="Q39" t="s">
        <v>54</v>
      </c>
      <c r="R39" t="s">
        <v>54</v>
      </c>
      <c r="S39" t="s">
        <v>54</v>
      </c>
      <c r="T39" t="s">
        <v>54</v>
      </c>
      <c r="U39" t="s">
        <v>54</v>
      </c>
      <c r="V39" t="s">
        <v>54</v>
      </c>
      <c r="W39" t="s">
        <v>54</v>
      </c>
      <c r="X39" s="23" t="s">
        <v>54</v>
      </c>
      <c r="Y39" s="23" t="s">
        <v>54</v>
      </c>
      <c r="Z39" s="23" t="s">
        <v>54</v>
      </c>
      <c r="AA39" s="23" t="s">
        <v>54</v>
      </c>
      <c r="AB39" t="s">
        <v>54</v>
      </c>
      <c r="AC39" t="s">
        <v>54</v>
      </c>
      <c r="AD39" t="s">
        <v>54</v>
      </c>
      <c r="AE39" t="s">
        <v>54</v>
      </c>
      <c r="AF39" s="23" t="s">
        <v>54</v>
      </c>
      <c r="AG39" s="23" t="s">
        <v>54</v>
      </c>
      <c r="AH39" s="23" t="s">
        <v>54</v>
      </c>
      <c r="AI39" s="23" t="s">
        <v>54</v>
      </c>
      <c r="AJ39">
        <v>5</v>
      </c>
      <c r="AK39">
        <v>2</v>
      </c>
      <c r="AL39">
        <v>3</v>
      </c>
      <c r="AM39">
        <v>1</v>
      </c>
      <c r="AN39" s="23">
        <v>0</v>
      </c>
      <c r="AO39" s="23">
        <v>0</v>
      </c>
      <c r="AP39" s="23">
        <v>0</v>
      </c>
      <c r="AQ39" s="23">
        <v>0</v>
      </c>
      <c r="AR39" s="35">
        <v>0</v>
      </c>
      <c r="AS39" s="35">
        <v>0</v>
      </c>
      <c r="AT39" s="35">
        <v>5</v>
      </c>
      <c r="AU39" s="31" t="str">
        <f t="shared" si="3"/>
        <v>库存为5</v>
      </c>
      <c r="AV39" s="36" t="str">
        <f>IFERROR(时间!$B$4+AU39,"上周无销量")</f>
        <v>上周无销量</v>
      </c>
    </row>
    <row r="40" spans="1:48">
      <c r="A40" s="21" t="s">
        <v>155</v>
      </c>
      <c r="B40" t="s">
        <v>156</v>
      </c>
      <c r="C40" t="s">
        <v>154</v>
      </c>
      <c r="D40" s="31">
        <v>0</v>
      </c>
      <c r="E40" s="31">
        <v>0</v>
      </c>
      <c r="F40" s="31">
        <v>0</v>
      </c>
      <c r="G40" s="31">
        <v>0</v>
      </c>
      <c r="H40" s="32">
        <v>0</v>
      </c>
      <c r="I40">
        <v>7</v>
      </c>
      <c r="J40" s="33">
        <v>0</v>
      </c>
      <c r="K40" s="33">
        <v>0</v>
      </c>
      <c r="L40" s="33">
        <v>0</v>
      </c>
      <c r="M40">
        <v>7</v>
      </c>
      <c r="N40">
        <v>0</v>
      </c>
      <c r="O40">
        <v>3</v>
      </c>
      <c r="P40">
        <v>1084</v>
      </c>
      <c r="Q40">
        <v>602</v>
      </c>
      <c r="R40">
        <v>12377</v>
      </c>
      <c r="S40">
        <v>12415</v>
      </c>
      <c r="T40">
        <v>10</v>
      </c>
      <c r="U40">
        <v>6</v>
      </c>
      <c r="V40">
        <v>84</v>
      </c>
      <c r="W40">
        <v>85</v>
      </c>
      <c r="X40" s="23">
        <v>0.00922509225092251</v>
      </c>
      <c r="Y40" s="23">
        <v>0.00996677740863787</v>
      </c>
      <c r="Z40" s="23">
        <v>0.00678678193423285</v>
      </c>
      <c r="AA40" s="23">
        <v>0.00684655658477648</v>
      </c>
      <c r="AB40">
        <v>2.49</v>
      </c>
      <c r="AC40">
        <v>1.62</v>
      </c>
      <c r="AD40">
        <v>13.72</v>
      </c>
      <c r="AE40">
        <v>13.86</v>
      </c>
      <c r="AF40" s="23" t="s">
        <v>157</v>
      </c>
      <c r="AG40" s="23" t="s">
        <v>158</v>
      </c>
      <c r="AH40" s="23" t="s">
        <v>159</v>
      </c>
      <c r="AI40" s="23" t="s">
        <v>160</v>
      </c>
      <c r="AJ40">
        <v>23</v>
      </c>
      <c r="AK40">
        <v>24</v>
      </c>
      <c r="AL40">
        <v>19</v>
      </c>
      <c r="AM40">
        <v>36</v>
      </c>
      <c r="AN40" s="23">
        <v>0</v>
      </c>
      <c r="AO40" s="23">
        <v>0</v>
      </c>
      <c r="AP40" s="23">
        <v>0</v>
      </c>
      <c r="AQ40" s="23">
        <v>0</v>
      </c>
      <c r="AR40" s="35">
        <v>0</v>
      </c>
      <c r="AS40" s="35">
        <v>0</v>
      </c>
      <c r="AT40" s="35">
        <v>7</v>
      </c>
      <c r="AU40" s="31" t="str">
        <f t="shared" si="3"/>
        <v>库存为7</v>
      </c>
      <c r="AV40" s="36" t="str">
        <f>IFERROR(时间!$B$4+AU40,"上周无销量")</f>
        <v>上周无销量</v>
      </c>
    </row>
    <row r="41" spans="1:48">
      <c r="A41" s="21" t="s">
        <v>161</v>
      </c>
      <c r="B41" t="s">
        <v>162</v>
      </c>
      <c r="C41" t="s">
        <v>163</v>
      </c>
      <c r="D41" s="31">
        <v>0</v>
      </c>
      <c r="E41" s="31">
        <v>1</v>
      </c>
      <c r="F41" s="31">
        <v>0</v>
      </c>
      <c r="G41" s="31">
        <v>0</v>
      </c>
      <c r="H41" s="32">
        <v>118.99</v>
      </c>
      <c r="I41">
        <v>9</v>
      </c>
      <c r="J41" s="33">
        <v>0</v>
      </c>
      <c r="K41" s="33">
        <v>0</v>
      </c>
      <c r="L41" s="33">
        <v>0</v>
      </c>
      <c r="M41">
        <v>9</v>
      </c>
      <c r="N41">
        <v>0</v>
      </c>
      <c r="O41">
        <v>0</v>
      </c>
      <c r="P41">
        <v>16270</v>
      </c>
      <c r="Q41">
        <v>6188</v>
      </c>
      <c r="R41">
        <v>1446</v>
      </c>
      <c r="S41">
        <v>1492</v>
      </c>
      <c r="T41">
        <v>72</v>
      </c>
      <c r="U41">
        <v>43</v>
      </c>
      <c r="V41">
        <v>15</v>
      </c>
      <c r="W41">
        <v>15</v>
      </c>
      <c r="X41" s="23">
        <v>0.00442532267977873</v>
      </c>
      <c r="Y41" s="23">
        <v>0.00694893341952165</v>
      </c>
      <c r="Z41" s="23">
        <v>0.0103734439834025</v>
      </c>
      <c r="AA41" s="23">
        <v>0.0100536193029491</v>
      </c>
      <c r="AB41">
        <v>14.98</v>
      </c>
      <c r="AC41">
        <v>10.27</v>
      </c>
      <c r="AD41">
        <v>3.4</v>
      </c>
      <c r="AE41">
        <v>3.4</v>
      </c>
      <c r="AF41" s="23" t="s">
        <v>164</v>
      </c>
      <c r="AG41" s="23">
        <v>0.0863097739305824</v>
      </c>
      <c r="AH41" s="23" t="s">
        <v>165</v>
      </c>
      <c r="AI41" s="23" t="s">
        <v>165</v>
      </c>
      <c r="AJ41">
        <v>125</v>
      </c>
      <c r="AK41">
        <v>59</v>
      </c>
      <c r="AL41">
        <v>22</v>
      </c>
      <c r="AM41">
        <v>22</v>
      </c>
      <c r="AN41" s="23">
        <v>0</v>
      </c>
      <c r="AO41" s="23">
        <v>0.0169491525423729</v>
      </c>
      <c r="AP41" s="23">
        <v>0</v>
      </c>
      <c r="AQ41" s="23">
        <v>0</v>
      </c>
      <c r="AR41" s="35">
        <v>0</v>
      </c>
      <c r="AS41" s="35">
        <v>0</v>
      </c>
      <c r="AT41" s="35">
        <v>9</v>
      </c>
      <c r="AU41" s="31" t="str">
        <f t="shared" si="3"/>
        <v>库存为9</v>
      </c>
      <c r="AV41" s="36" t="str">
        <f>IFERROR(时间!$B$4+AU41,"上周无销量")</f>
        <v>上周无销量</v>
      </c>
    </row>
    <row r="42" spans="1:48">
      <c r="A42" s="21" t="s">
        <v>166</v>
      </c>
      <c r="B42" t="s">
        <v>167</v>
      </c>
      <c r="C42" t="s">
        <v>168</v>
      </c>
      <c r="D42" s="31">
        <v>1</v>
      </c>
      <c r="E42" s="31">
        <v>0</v>
      </c>
      <c r="F42" s="31">
        <v>0</v>
      </c>
      <c r="G42" s="31">
        <v>0</v>
      </c>
      <c r="H42" s="32">
        <v>89.99</v>
      </c>
      <c r="I42">
        <v>4</v>
      </c>
      <c r="J42" s="33">
        <v>0</v>
      </c>
      <c r="K42" s="33">
        <v>0</v>
      </c>
      <c r="L42" s="33">
        <v>0</v>
      </c>
      <c r="M42">
        <v>4</v>
      </c>
      <c r="N42">
        <v>0</v>
      </c>
      <c r="O42">
        <v>4</v>
      </c>
      <c r="P42">
        <v>4733</v>
      </c>
      <c r="Q42">
        <v>4498</v>
      </c>
      <c r="R42">
        <v>0</v>
      </c>
      <c r="S42">
        <v>0</v>
      </c>
      <c r="T42">
        <v>38</v>
      </c>
      <c r="U42">
        <v>41</v>
      </c>
      <c r="V42">
        <v>0</v>
      </c>
      <c r="W42">
        <v>0</v>
      </c>
      <c r="X42" s="23">
        <v>0.00802873441791675</v>
      </c>
      <c r="Y42" s="23">
        <v>0.00911516229435304</v>
      </c>
      <c r="Z42" s="23" t="s">
        <v>54</v>
      </c>
      <c r="AA42" s="23" t="s">
        <v>54</v>
      </c>
      <c r="AB42">
        <v>10.75</v>
      </c>
      <c r="AC42">
        <v>10.61</v>
      </c>
      <c r="AD42">
        <v>0</v>
      </c>
      <c r="AE42">
        <v>0</v>
      </c>
      <c r="AF42" s="23">
        <v>0.119457717524169</v>
      </c>
      <c r="AG42" s="23" t="s">
        <v>169</v>
      </c>
      <c r="AH42" s="23" t="s">
        <v>54</v>
      </c>
      <c r="AI42" s="23" t="s">
        <v>54</v>
      </c>
      <c r="AJ42">
        <v>65</v>
      </c>
      <c r="AK42">
        <v>51</v>
      </c>
      <c r="AL42">
        <v>26</v>
      </c>
      <c r="AM42">
        <v>4</v>
      </c>
      <c r="AN42" s="23">
        <v>0.0153846153846154</v>
      </c>
      <c r="AO42" s="23">
        <v>0</v>
      </c>
      <c r="AP42" s="23">
        <v>0</v>
      </c>
      <c r="AQ42" s="23">
        <v>0</v>
      </c>
      <c r="AR42" s="35">
        <v>0.142857142857143</v>
      </c>
      <c r="AS42" s="35">
        <v>8.57142857142857</v>
      </c>
      <c r="AT42" s="35">
        <v>-4.57142857142857</v>
      </c>
      <c r="AU42" s="31">
        <f t="shared" si="3"/>
        <v>28</v>
      </c>
      <c r="AV42" s="36">
        <f>IFERROR(时间!$B$4+AU42,"上周无销量")</f>
        <v>43367</v>
      </c>
    </row>
    <row r="43" spans="1:48">
      <c r="A43" s="21" t="s">
        <v>170</v>
      </c>
      <c r="B43" t="s">
        <v>171</v>
      </c>
      <c r="C43" t="s">
        <v>172</v>
      </c>
      <c r="D43" s="31">
        <v>0</v>
      </c>
      <c r="E43" s="31">
        <v>1</v>
      </c>
      <c r="F43" s="31">
        <v>0</v>
      </c>
      <c r="G43" s="31">
        <v>1</v>
      </c>
      <c r="H43" s="32">
        <v>32.99</v>
      </c>
      <c r="I43">
        <v>15</v>
      </c>
      <c r="J43" s="33">
        <v>0</v>
      </c>
      <c r="K43" s="33">
        <v>0</v>
      </c>
      <c r="L43" s="33">
        <v>0</v>
      </c>
      <c r="M43">
        <v>15</v>
      </c>
      <c r="N43">
        <v>0</v>
      </c>
      <c r="O43">
        <v>5</v>
      </c>
      <c r="P43" t="s">
        <v>54</v>
      </c>
      <c r="Q43" t="s">
        <v>54</v>
      </c>
      <c r="R43" t="s">
        <v>54</v>
      </c>
      <c r="S43" t="s">
        <v>54</v>
      </c>
      <c r="T43" t="s">
        <v>54</v>
      </c>
      <c r="U43" t="s">
        <v>54</v>
      </c>
      <c r="V43" t="s">
        <v>54</v>
      </c>
      <c r="W43" t="s">
        <v>54</v>
      </c>
      <c r="X43" s="23" t="s">
        <v>54</v>
      </c>
      <c r="Y43" s="23" t="s">
        <v>54</v>
      </c>
      <c r="Z43" s="23" t="s">
        <v>54</v>
      </c>
      <c r="AA43" s="23" t="s">
        <v>54</v>
      </c>
      <c r="AB43" t="s">
        <v>54</v>
      </c>
      <c r="AC43" t="s">
        <v>54</v>
      </c>
      <c r="AD43" t="s">
        <v>54</v>
      </c>
      <c r="AE43" t="s">
        <v>54</v>
      </c>
      <c r="AF43" s="23" t="s">
        <v>54</v>
      </c>
      <c r="AG43" s="23" t="s">
        <v>54</v>
      </c>
      <c r="AH43" s="23" t="s">
        <v>54</v>
      </c>
      <c r="AI43" s="23" t="s">
        <v>54</v>
      </c>
      <c r="AJ43">
        <v>15</v>
      </c>
      <c r="AK43">
        <v>39</v>
      </c>
      <c r="AL43">
        <v>53</v>
      </c>
      <c r="AM43">
        <v>48</v>
      </c>
      <c r="AN43" s="23">
        <v>0</v>
      </c>
      <c r="AO43" s="23">
        <v>0.0256410256410256</v>
      </c>
      <c r="AP43" s="23">
        <v>0</v>
      </c>
      <c r="AQ43" s="23">
        <v>0.0208333333333333</v>
      </c>
      <c r="AR43" s="35">
        <v>0</v>
      </c>
      <c r="AS43" s="35">
        <v>0</v>
      </c>
      <c r="AT43" s="35">
        <v>15</v>
      </c>
      <c r="AU43" s="31" t="str">
        <f t="shared" si="3"/>
        <v>库存为15</v>
      </c>
      <c r="AV43" s="36" t="str">
        <f>IFERROR(时间!$B$4+AU43,"上周无销量")</f>
        <v>上周无销量</v>
      </c>
    </row>
    <row r="44" spans="1:48">
      <c r="A44" s="21" t="s">
        <v>173</v>
      </c>
      <c r="B44" t="s">
        <v>174</v>
      </c>
      <c r="C44" t="s">
        <v>172</v>
      </c>
      <c r="D44" s="31">
        <v>0</v>
      </c>
      <c r="E44" s="31">
        <v>1</v>
      </c>
      <c r="F44" s="31">
        <v>2</v>
      </c>
      <c r="G44" s="31">
        <v>1</v>
      </c>
      <c r="H44" s="32">
        <v>32.99</v>
      </c>
      <c r="I44">
        <v>11</v>
      </c>
      <c r="J44" s="33">
        <v>0</v>
      </c>
      <c r="K44" s="33">
        <v>0</v>
      </c>
      <c r="L44" s="33">
        <v>0</v>
      </c>
      <c r="M44">
        <v>11</v>
      </c>
      <c r="N44">
        <v>1</v>
      </c>
      <c r="O44">
        <v>0</v>
      </c>
      <c r="P44" t="s">
        <v>54</v>
      </c>
      <c r="Q44" t="s">
        <v>54</v>
      </c>
      <c r="R44" t="s">
        <v>54</v>
      </c>
      <c r="S44" t="s">
        <v>54</v>
      </c>
      <c r="T44" t="s">
        <v>54</v>
      </c>
      <c r="U44" t="s">
        <v>54</v>
      </c>
      <c r="V44" t="s">
        <v>54</v>
      </c>
      <c r="W44" t="s">
        <v>54</v>
      </c>
      <c r="X44" s="23" t="s">
        <v>54</v>
      </c>
      <c r="Y44" s="23" t="s">
        <v>54</v>
      </c>
      <c r="Z44" s="23" t="s">
        <v>54</v>
      </c>
      <c r="AA44" s="23" t="s">
        <v>54</v>
      </c>
      <c r="AB44" t="s">
        <v>54</v>
      </c>
      <c r="AC44" t="s">
        <v>54</v>
      </c>
      <c r="AD44" t="s">
        <v>54</v>
      </c>
      <c r="AE44" t="s">
        <v>54</v>
      </c>
      <c r="AF44" s="23" t="s">
        <v>54</v>
      </c>
      <c r="AG44" s="23" t="s">
        <v>54</v>
      </c>
      <c r="AH44" s="23" t="s">
        <v>54</v>
      </c>
      <c r="AI44" s="23" t="s">
        <v>54</v>
      </c>
      <c r="AJ44">
        <v>79</v>
      </c>
      <c r="AK44">
        <v>116</v>
      </c>
      <c r="AL44">
        <v>61</v>
      </c>
      <c r="AM44">
        <v>82</v>
      </c>
      <c r="AN44" s="23">
        <v>0</v>
      </c>
      <c r="AO44" s="23">
        <v>0.00862068965517241</v>
      </c>
      <c r="AP44" s="23">
        <v>0.0327868852459016</v>
      </c>
      <c r="AQ44" s="23">
        <v>0.0121951219512195</v>
      </c>
      <c r="AR44" s="35">
        <v>0</v>
      </c>
      <c r="AS44" s="35">
        <v>0</v>
      </c>
      <c r="AT44" s="35">
        <v>11</v>
      </c>
      <c r="AU44" s="31" t="str">
        <f t="shared" si="3"/>
        <v>库存为11</v>
      </c>
      <c r="AV44" s="36" t="str">
        <f>IFERROR(时间!$B$4+AU44,"上周无销量")</f>
        <v>上周无销量</v>
      </c>
    </row>
    <row r="45" spans="1:48">
      <c r="A45" s="21" t="s">
        <v>175</v>
      </c>
      <c r="B45" t="s">
        <v>176</v>
      </c>
      <c r="C45" t="s">
        <v>177</v>
      </c>
      <c r="D45" s="31">
        <v>0</v>
      </c>
      <c r="E45" s="31">
        <v>0</v>
      </c>
      <c r="F45" s="31">
        <v>0</v>
      </c>
      <c r="G45" s="31">
        <v>0</v>
      </c>
      <c r="H45" s="32">
        <v>0</v>
      </c>
      <c r="I45">
        <v>11</v>
      </c>
      <c r="J45" s="33">
        <v>0</v>
      </c>
      <c r="K45" s="33">
        <v>0</v>
      </c>
      <c r="L45" s="33">
        <v>0</v>
      </c>
      <c r="M45">
        <v>11</v>
      </c>
      <c r="N45">
        <v>0</v>
      </c>
      <c r="O45">
        <v>0</v>
      </c>
      <c r="P45" t="s">
        <v>54</v>
      </c>
      <c r="Q45" t="s">
        <v>54</v>
      </c>
      <c r="R45" t="s">
        <v>54</v>
      </c>
      <c r="S45" t="s">
        <v>54</v>
      </c>
      <c r="T45" t="s">
        <v>54</v>
      </c>
      <c r="U45" t="s">
        <v>54</v>
      </c>
      <c r="V45" t="s">
        <v>54</v>
      </c>
      <c r="W45" t="s">
        <v>54</v>
      </c>
      <c r="X45" s="23" t="s">
        <v>54</v>
      </c>
      <c r="Y45" s="23" t="s">
        <v>54</v>
      </c>
      <c r="Z45" s="23" t="s">
        <v>54</v>
      </c>
      <c r="AA45" s="23" t="s">
        <v>54</v>
      </c>
      <c r="AB45" t="s">
        <v>54</v>
      </c>
      <c r="AC45" t="s">
        <v>54</v>
      </c>
      <c r="AD45" t="s">
        <v>54</v>
      </c>
      <c r="AE45" t="s">
        <v>54</v>
      </c>
      <c r="AF45" s="23" t="s">
        <v>54</v>
      </c>
      <c r="AG45" s="23" t="s">
        <v>54</v>
      </c>
      <c r="AH45" s="23" t="s">
        <v>54</v>
      </c>
      <c r="AI45" s="23" t="s">
        <v>54</v>
      </c>
      <c r="AJ45">
        <v>38</v>
      </c>
      <c r="AK45">
        <v>47</v>
      </c>
      <c r="AL45">
        <v>62</v>
      </c>
      <c r="AM45">
        <v>74</v>
      </c>
      <c r="AN45" s="23">
        <v>0</v>
      </c>
      <c r="AO45" s="23">
        <v>0</v>
      </c>
      <c r="AP45" s="23">
        <v>0</v>
      </c>
      <c r="AQ45" s="23">
        <v>0</v>
      </c>
      <c r="AR45" s="35">
        <v>0</v>
      </c>
      <c r="AS45" s="35">
        <v>0</v>
      </c>
      <c r="AT45" s="35">
        <v>11</v>
      </c>
      <c r="AU45" s="31" t="str">
        <f t="shared" si="3"/>
        <v>库存为11</v>
      </c>
      <c r="AV45" s="36" t="str">
        <f>IFERROR(时间!$B$4+AU45,"上周无销量")</f>
        <v>上周无销量</v>
      </c>
    </row>
    <row r="46" spans="1:48">
      <c r="A46" s="21" t="s">
        <v>178</v>
      </c>
      <c r="B46" t="s">
        <v>179</v>
      </c>
      <c r="C46" t="s">
        <v>177</v>
      </c>
      <c r="D46" s="31">
        <v>1</v>
      </c>
      <c r="E46" s="31">
        <v>3</v>
      </c>
      <c r="F46" s="31">
        <v>0</v>
      </c>
      <c r="G46" s="31">
        <v>0</v>
      </c>
      <c r="H46" s="32">
        <v>104.99</v>
      </c>
      <c r="I46">
        <v>7</v>
      </c>
      <c r="J46" s="33">
        <v>0</v>
      </c>
      <c r="K46" s="33">
        <v>0</v>
      </c>
      <c r="L46" s="33">
        <v>0</v>
      </c>
      <c r="M46">
        <v>7</v>
      </c>
      <c r="N46">
        <v>0</v>
      </c>
      <c r="O46">
        <v>0</v>
      </c>
      <c r="P46">
        <v>37703</v>
      </c>
      <c r="Q46">
        <v>30215</v>
      </c>
      <c r="R46">
        <v>0</v>
      </c>
      <c r="S46">
        <v>0</v>
      </c>
      <c r="T46">
        <v>439</v>
      </c>
      <c r="U46">
        <v>498</v>
      </c>
      <c r="V46">
        <v>0</v>
      </c>
      <c r="W46">
        <v>0</v>
      </c>
      <c r="X46" s="23">
        <v>0.0116436357849508</v>
      </c>
      <c r="Y46" s="23">
        <v>0.0164818798609962</v>
      </c>
      <c r="Z46" s="23" t="s">
        <v>54</v>
      </c>
      <c r="AA46" s="23" t="s">
        <v>54</v>
      </c>
      <c r="AB46">
        <v>111.65</v>
      </c>
      <c r="AC46">
        <v>127.59</v>
      </c>
      <c r="AD46">
        <v>0</v>
      </c>
      <c r="AE46">
        <v>0</v>
      </c>
      <c r="AF46" s="23">
        <v>1.06343461282027</v>
      </c>
      <c r="AG46" s="23">
        <v>0.405086198685589</v>
      </c>
      <c r="AH46" s="23" t="s">
        <v>54</v>
      </c>
      <c r="AI46" s="23" t="s">
        <v>54</v>
      </c>
      <c r="AJ46">
        <v>604</v>
      </c>
      <c r="AK46">
        <v>584</v>
      </c>
      <c r="AL46">
        <v>85</v>
      </c>
      <c r="AM46">
        <v>46</v>
      </c>
      <c r="AN46" s="23">
        <v>0.00165562913907285</v>
      </c>
      <c r="AO46" s="23">
        <v>0.00513698630136986</v>
      </c>
      <c r="AP46" s="23">
        <v>0</v>
      </c>
      <c r="AQ46" s="23">
        <v>0</v>
      </c>
      <c r="AR46" s="35">
        <v>0.142857142857143</v>
      </c>
      <c r="AS46" s="35">
        <v>8.57142857142857</v>
      </c>
      <c r="AT46" s="35">
        <v>-1.57142857142857</v>
      </c>
      <c r="AU46" s="31">
        <f t="shared" si="3"/>
        <v>49</v>
      </c>
      <c r="AV46" s="36">
        <f>IFERROR(时间!$B$4+AU46,"上周无销量")</f>
        <v>43388</v>
      </c>
    </row>
    <row r="47" spans="1:48">
      <c r="A47" s="21" t="s">
        <v>180</v>
      </c>
      <c r="B47" t="s">
        <v>181</v>
      </c>
      <c r="C47" t="s">
        <v>182</v>
      </c>
      <c r="D47" s="31">
        <v>1</v>
      </c>
      <c r="E47" s="31">
        <v>0</v>
      </c>
      <c r="F47" s="31">
        <v>4</v>
      </c>
      <c r="G47" s="31">
        <v>4</v>
      </c>
      <c r="H47" s="32">
        <v>88.99</v>
      </c>
      <c r="I47">
        <v>3</v>
      </c>
      <c r="J47" s="33">
        <v>7</v>
      </c>
      <c r="K47" s="33">
        <v>0</v>
      </c>
      <c r="L47" s="33">
        <v>1</v>
      </c>
      <c r="M47">
        <v>11</v>
      </c>
      <c r="N47">
        <v>0</v>
      </c>
      <c r="O47">
        <v>0</v>
      </c>
      <c r="P47" t="s">
        <v>54</v>
      </c>
      <c r="Q47" t="s">
        <v>54</v>
      </c>
      <c r="R47" t="s">
        <v>54</v>
      </c>
      <c r="S47" t="s">
        <v>54</v>
      </c>
      <c r="T47" t="s">
        <v>54</v>
      </c>
      <c r="U47" t="s">
        <v>54</v>
      </c>
      <c r="V47" t="s">
        <v>54</v>
      </c>
      <c r="W47" t="s">
        <v>54</v>
      </c>
      <c r="X47" s="23" t="s">
        <v>54</v>
      </c>
      <c r="Y47" s="23" t="s">
        <v>54</v>
      </c>
      <c r="Z47" s="23" t="s">
        <v>54</v>
      </c>
      <c r="AA47" s="23" t="s">
        <v>54</v>
      </c>
      <c r="AB47" t="s">
        <v>54</v>
      </c>
      <c r="AC47" t="s">
        <v>54</v>
      </c>
      <c r="AD47" t="s">
        <v>54</v>
      </c>
      <c r="AE47" t="s">
        <v>54</v>
      </c>
      <c r="AF47" s="23" t="s">
        <v>54</v>
      </c>
      <c r="AG47" s="23" t="s">
        <v>54</v>
      </c>
      <c r="AH47" s="23" t="s">
        <v>54</v>
      </c>
      <c r="AI47" s="23" t="s">
        <v>54</v>
      </c>
      <c r="AJ47">
        <v>23</v>
      </c>
      <c r="AK47">
        <v>0</v>
      </c>
      <c r="AL47">
        <v>111</v>
      </c>
      <c r="AM47">
        <v>94</v>
      </c>
      <c r="AN47" s="23">
        <v>0.0434782608695652</v>
      </c>
      <c r="AO47" s="23" t="s">
        <v>54</v>
      </c>
      <c r="AP47" s="23">
        <v>0.036036036036036</v>
      </c>
      <c r="AQ47" s="23">
        <v>0.0425531914893617</v>
      </c>
      <c r="AR47" s="35">
        <v>0.142857142857143</v>
      </c>
      <c r="AS47" s="35">
        <v>8.57142857142857</v>
      </c>
      <c r="AT47" s="35">
        <v>2.42857142857143</v>
      </c>
      <c r="AU47" s="31">
        <f t="shared" si="3"/>
        <v>77</v>
      </c>
      <c r="AV47" s="36">
        <f>IFERROR(时间!$B$4+AU47,"上周无销量")</f>
        <v>43416</v>
      </c>
    </row>
    <row r="48" spans="1:48">
      <c r="A48" s="21" t="s">
        <v>183</v>
      </c>
      <c r="B48" t="s">
        <v>184</v>
      </c>
      <c r="C48" t="s">
        <v>185</v>
      </c>
      <c r="D48" s="31">
        <v>3</v>
      </c>
      <c r="E48" s="31">
        <v>1</v>
      </c>
      <c r="F48" s="31">
        <v>0</v>
      </c>
      <c r="G48" s="31">
        <v>1</v>
      </c>
      <c r="H48" s="32">
        <v>75.99</v>
      </c>
      <c r="I48">
        <v>0</v>
      </c>
      <c r="J48" s="33">
        <v>0</v>
      </c>
      <c r="K48" s="33">
        <v>0</v>
      </c>
      <c r="L48" s="33">
        <v>2</v>
      </c>
      <c r="M48">
        <v>2</v>
      </c>
      <c r="N48">
        <v>0</v>
      </c>
      <c r="O48">
        <v>4</v>
      </c>
      <c r="P48">
        <v>19611</v>
      </c>
      <c r="Q48">
        <v>17557</v>
      </c>
      <c r="R48">
        <v>64626</v>
      </c>
      <c r="S48">
        <v>64875</v>
      </c>
      <c r="T48">
        <v>117</v>
      </c>
      <c r="U48">
        <v>78</v>
      </c>
      <c r="V48">
        <v>310</v>
      </c>
      <c r="W48">
        <v>311</v>
      </c>
      <c r="X48" s="23">
        <v>0.00596603946764571</v>
      </c>
      <c r="Y48" s="23">
        <v>0.00444267243834368</v>
      </c>
      <c r="Z48" s="23">
        <v>0.00479683099681243</v>
      </c>
      <c r="AA48" s="23">
        <v>0.00479383429672447</v>
      </c>
      <c r="AB48">
        <v>35.96</v>
      </c>
      <c r="AC48">
        <v>22.97</v>
      </c>
      <c r="AD48">
        <v>52.68</v>
      </c>
      <c r="AE48">
        <v>52.73</v>
      </c>
      <c r="AF48" s="23">
        <v>0.157740053515814</v>
      </c>
      <c r="AG48" s="23">
        <v>0.302276615344124</v>
      </c>
      <c r="AH48" s="23" t="s">
        <v>186</v>
      </c>
      <c r="AI48" s="23">
        <v>0.693907093038558</v>
      </c>
      <c r="AJ48">
        <v>207</v>
      </c>
      <c r="AK48">
        <v>120</v>
      </c>
      <c r="AL48">
        <v>135</v>
      </c>
      <c r="AM48">
        <v>98</v>
      </c>
      <c r="AN48" s="23">
        <v>0.0144927536231884</v>
      </c>
      <c r="AO48" s="23">
        <v>0.00833333333333333</v>
      </c>
      <c r="AP48" s="23">
        <v>0</v>
      </c>
      <c r="AQ48" s="23">
        <v>0.0102040816326531</v>
      </c>
      <c r="AR48" s="35">
        <v>0.428571428571429</v>
      </c>
      <c r="AS48" s="35">
        <v>25.7142857142857</v>
      </c>
      <c r="AT48" s="35">
        <v>-23.7142857142857</v>
      </c>
      <c r="AU48" s="31">
        <f t="shared" si="3"/>
        <v>4</v>
      </c>
      <c r="AV48" s="36">
        <f>IFERROR(时间!$B$4+AU48,"上周无销量")</f>
        <v>43343</v>
      </c>
    </row>
    <row r="49" spans="1:48">
      <c r="A49" s="21" t="s">
        <v>187</v>
      </c>
      <c r="B49" t="s">
        <v>188</v>
      </c>
      <c r="C49" t="s">
        <v>189</v>
      </c>
      <c r="D49" s="31">
        <v>1</v>
      </c>
      <c r="E49" s="31">
        <v>0</v>
      </c>
      <c r="F49" s="31">
        <v>0</v>
      </c>
      <c r="G49" s="31">
        <v>1</v>
      </c>
      <c r="H49" s="32">
        <v>99.99</v>
      </c>
      <c r="I49">
        <v>5</v>
      </c>
      <c r="J49" s="33">
        <v>0</v>
      </c>
      <c r="K49" s="33">
        <v>0</v>
      </c>
      <c r="L49" s="33">
        <v>0</v>
      </c>
      <c r="M49">
        <v>5</v>
      </c>
      <c r="N49">
        <v>0</v>
      </c>
      <c r="O49">
        <v>4</v>
      </c>
      <c r="P49" t="s">
        <v>54</v>
      </c>
      <c r="Q49" t="s">
        <v>54</v>
      </c>
      <c r="R49" t="s">
        <v>54</v>
      </c>
      <c r="S49" t="s">
        <v>54</v>
      </c>
      <c r="T49" t="s">
        <v>54</v>
      </c>
      <c r="U49" t="s">
        <v>54</v>
      </c>
      <c r="V49" t="s">
        <v>54</v>
      </c>
      <c r="W49" t="s">
        <v>54</v>
      </c>
      <c r="X49" s="23" t="s">
        <v>54</v>
      </c>
      <c r="Y49" s="23" t="s">
        <v>54</v>
      </c>
      <c r="Z49" s="23" t="s">
        <v>54</v>
      </c>
      <c r="AA49" s="23" t="s">
        <v>54</v>
      </c>
      <c r="AB49" t="s">
        <v>54</v>
      </c>
      <c r="AC49" t="s">
        <v>54</v>
      </c>
      <c r="AD49" t="s">
        <v>54</v>
      </c>
      <c r="AE49" t="s">
        <v>54</v>
      </c>
      <c r="AF49" s="23" t="s">
        <v>54</v>
      </c>
      <c r="AG49" s="23" t="s">
        <v>54</v>
      </c>
      <c r="AH49" s="23" t="s">
        <v>54</v>
      </c>
      <c r="AI49" s="23" t="s">
        <v>54</v>
      </c>
      <c r="AJ49">
        <v>21</v>
      </c>
      <c r="AK49">
        <v>31</v>
      </c>
      <c r="AL49">
        <v>14</v>
      </c>
      <c r="AM49">
        <v>15</v>
      </c>
      <c r="AN49" s="23">
        <v>0.0476190476190476</v>
      </c>
      <c r="AO49" s="23">
        <v>0</v>
      </c>
      <c r="AP49" s="23">
        <v>0</v>
      </c>
      <c r="AQ49" s="23">
        <v>0.0666666666666667</v>
      </c>
      <c r="AR49" s="35">
        <v>0.142857142857143</v>
      </c>
      <c r="AS49" s="35">
        <v>8.57142857142857</v>
      </c>
      <c r="AT49" s="35">
        <v>-3.57142857142857</v>
      </c>
      <c r="AU49" s="31">
        <f t="shared" si="3"/>
        <v>35</v>
      </c>
      <c r="AV49" s="36">
        <f>IFERROR(时间!$B$4+AU49,"上周无销量")</f>
        <v>43374</v>
      </c>
    </row>
    <row r="50" spans="1:48">
      <c r="A50" s="21" t="s">
        <v>190</v>
      </c>
      <c r="B50" t="s">
        <v>77</v>
      </c>
      <c r="C50" t="s">
        <v>191</v>
      </c>
      <c r="D50" s="31">
        <v>10</v>
      </c>
      <c r="E50" s="31">
        <v>8</v>
      </c>
      <c r="F50" s="31">
        <v>3</v>
      </c>
      <c r="G50" s="31">
        <v>9</v>
      </c>
      <c r="H50" s="32">
        <v>79.99</v>
      </c>
      <c r="I50">
        <v>14</v>
      </c>
      <c r="J50" s="33">
        <v>0</v>
      </c>
      <c r="K50" s="33">
        <v>0</v>
      </c>
      <c r="L50" s="33">
        <v>1</v>
      </c>
      <c r="M50">
        <v>15</v>
      </c>
      <c r="N50">
        <v>0</v>
      </c>
      <c r="O50">
        <v>0</v>
      </c>
      <c r="P50">
        <v>30784</v>
      </c>
      <c r="Q50">
        <v>41322</v>
      </c>
      <c r="R50">
        <v>79488</v>
      </c>
      <c r="S50">
        <v>79979</v>
      </c>
      <c r="T50">
        <v>144</v>
      </c>
      <c r="U50">
        <v>137</v>
      </c>
      <c r="V50">
        <v>448</v>
      </c>
      <c r="W50">
        <v>451</v>
      </c>
      <c r="X50" s="23">
        <v>0.00467775467775468</v>
      </c>
      <c r="Y50" s="23">
        <v>0.0033154251972315</v>
      </c>
      <c r="Z50" s="23">
        <v>0.00563607085346216</v>
      </c>
      <c r="AA50" s="23">
        <v>0.00563898023231098</v>
      </c>
      <c r="AB50">
        <v>41.11</v>
      </c>
      <c r="AC50">
        <v>36.68</v>
      </c>
      <c r="AD50">
        <v>90.56</v>
      </c>
      <c r="AE50">
        <v>91.2</v>
      </c>
      <c r="AF50" s="23">
        <v>0.0513939242405301</v>
      </c>
      <c r="AG50" s="23">
        <v>0.0573196649581198</v>
      </c>
      <c r="AH50" s="23">
        <v>0.37738050589657</v>
      </c>
      <c r="AI50" s="23">
        <v>0.126682501979414</v>
      </c>
      <c r="AJ50">
        <v>336</v>
      </c>
      <c r="AK50">
        <v>295</v>
      </c>
      <c r="AL50">
        <v>513</v>
      </c>
      <c r="AM50">
        <v>267</v>
      </c>
      <c r="AN50" s="23">
        <v>0.0297619047619048</v>
      </c>
      <c r="AO50" s="23">
        <v>0.0271186440677966</v>
      </c>
      <c r="AP50" s="23">
        <v>0.00584795321637427</v>
      </c>
      <c r="AQ50" s="23">
        <v>0.0337078651685393</v>
      </c>
      <c r="AR50" s="35">
        <v>1.42857142857143</v>
      </c>
      <c r="AS50" s="35">
        <v>85.7142857142857</v>
      </c>
      <c r="AT50" s="35">
        <v>-70.7142857142857</v>
      </c>
      <c r="AU50" s="31">
        <f t="shared" si="3"/>
        <v>10</v>
      </c>
      <c r="AV50" s="36">
        <f>IFERROR(时间!$B$4+AU50,"上周无销量")</f>
        <v>43349</v>
      </c>
    </row>
    <row r="51" spans="1:48">
      <c r="A51" s="21" t="s">
        <v>192</v>
      </c>
      <c r="B51" t="s">
        <v>193</v>
      </c>
      <c r="C51" t="s">
        <v>194</v>
      </c>
      <c r="D51" s="31">
        <v>0</v>
      </c>
      <c r="E51" s="31">
        <v>0</v>
      </c>
      <c r="F51" s="31">
        <v>0</v>
      </c>
      <c r="G51" s="31">
        <v>0</v>
      </c>
      <c r="H51" s="32">
        <v>0</v>
      </c>
      <c r="I51">
        <v>5</v>
      </c>
      <c r="J51" s="33">
        <v>0</v>
      </c>
      <c r="K51" s="33">
        <v>0</v>
      </c>
      <c r="L51" s="33">
        <v>0</v>
      </c>
      <c r="M51">
        <v>5</v>
      </c>
      <c r="N51">
        <v>0</v>
      </c>
      <c r="O51">
        <v>0</v>
      </c>
      <c r="P51">
        <v>0</v>
      </c>
      <c r="Q51">
        <v>0</v>
      </c>
      <c r="R51">
        <v>49721</v>
      </c>
      <c r="S51">
        <v>49757</v>
      </c>
      <c r="T51">
        <v>0</v>
      </c>
      <c r="U51">
        <v>0</v>
      </c>
      <c r="V51">
        <v>229</v>
      </c>
      <c r="W51">
        <v>230</v>
      </c>
      <c r="X51" s="23" t="s">
        <v>54</v>
      </c>
      <c r="Y51" s="23" t="s">
        <v>54</v>
      </c>
      <c r="Z51" s="23">
        <v>0.00460569980491141</v>
      </c>
      <c r="AA51" s="23">
        <v>0.00462246518077858</v>
      </c>
      <c r="AB51">
        <v>0</v>
      </c>
      <c r="AC51">
        <v>0</v>
      </c>
      <c r="AD51">
        <v>49.78</v>
      </c>
      <c r="AE51">
        <v>50.19</v>
      </c>
      <c r="AF51" s="23" t="s">
        <v>54</v>
      </c>
      <c r="AG51" s="23" t="s">
        <v>54</v>
      </c>
      <c r="AH51" s="23" t="s">
        <v>195</v>
      </c>
      <c r="AI51" s="23" t="s">
        <v>196</v>
      </c>
      <c r="AJ51">
        <v>12</v>
      </c>
      <c r="AK51">
        <v>10</v>
      </c>
      <c r="AL51">
        <v>43</v>
      </c>
      <c r="AM51">
        <v>41</v>
      </c>
      <c r="AN51" s="23">
        <v>0</v>
      </c>
      <c r="AO51" s="23">
        <v>0</v>
      </c>
      <c r="AP51" s="23">
        <v>0</v>
      </c>
      <c r="AQ51" s="23">
        <v>0</v>
      </c>
      <c r="AR51" s="35">
        <v>0</v>
      </c>
      <c r="AS51" s="35">
        <v>0</v>
      </c>
      <c r="AT51" s="35">
        <v>5</v>
      </c>
      <c r="AU51" s="31" t="str">
        <f t="shared" si="3"/>
        <v>库存为5</v>
      </c>
      <c r="AV51" s="36" t="str">
        <f>IFERROR(时间!$B$4+AU51,"上周无销量")</f>
        <v>上周无销量</v>
      </c>
    </row>
    <row r="52" spans="1:48">
      <c r="A52" s="21" t="s">
        <v>197</v>
      </c>
      <c r="B52" t="s">
        <v>198</v>
      </c>
      <c r="C52" t="s">
        <v>194</v>
      </c>
      <c r="D52" s="31">
        <v>0</v>
      </c>
      <c r="E52" s="31">
        <v>0</v>
      </c>
      <c r="F52" s="31">
        <v>0</v>
      </c>
      <c r="G52" s="31">
        <v>0</v>
      </c>
      <c r="H52" s="32">
        <v>0</v>
      </c>
      <c r="I52">
        <v>6</v>
      </c>
      <c r="J52" s="33">
        <v>0</v>
      </c>
      <c r="K52" s="33">
        <v>0</v>
      </c>
      <c r="L52" s="33">
        <v>0</v>
      </c>
      <c r="M52">
        <v>6</v>
      </c>
      <c r="N52">
        <v>0</v>
      </c>
      <c r="O52">
        <v>1</v>
      </c>
      <c r="P52" t="s">
        <v>54</v>
      </c>
      <c r="Q52" t="s">
        <v>54</v>
      </c>
      <c r="R52" t="s">
        <v>54</v>
      </c>
      <c r="S52" t="s">
        <v>54</v>
      </c>
      <c r="T52" t="s">
        <v>54</v>
      </c>
      <c r="U52" t="s">
        <v>54</v>
      </c>
      <c r="V52" t="s">
        <v>54</v>
      </c>
      <c r="W52" t="s">
        <v>54</v>
      </c>
      <c r="X52" s="23" t="s">
        <v>54</v>
      </c>
      <c r="Y52" s="23" t="s">
        <v>54</v>
      </c>
      <c r="Z52" s="23" t="s">
        <v>54</v>
      </c>
      <c r="AA52" s="23" t="s">
        <v>54</v>
      </c>
      <c r="AB52" t="s">
        <v>54</v>
      </c>
      <c r="AC52" t="s">
        <v>54</v>
      </c>
      <c r="AD52" t="s">
        <v>54</v>
      </c>
      <c r="AE52" t="s">
        <v>54</v>
      </c>
      <c r="AF52" s="23" t="s">
        <v>54</v>
      </c>
      <c r="AG52" s="23" t="s">
        <v>54</v>
      </c>
      <c r="AH52" s="23" t="s">
        <v>54</v>
      </c>
      <c r="AI52" s="23" t="s">
        <v>54</v>
      </c>
      <c r="AJ52">
        <v>24</v>
      </c>
      <c r="AK52">
        <v>22</v>
      </c>
      <c r="AL52">
        <v>33</v>
      </c>
      <c r="AM52">
        <v>24</v>
      </c>
      <c r="AN52" s="23">
        <v>0</v>
      </c>
      <c r="AO52" s="23">
        <v>0</v>
      </c>
      <c r="AP52" s="23">
        <v>0</v>
      </c>
      <c r="AQ52" s="23">
        <v>0</v>
      </c>
      <c r="AR52" s="35">
        <v>0</v>
      </c>
      <c r="AS52" s="35">
        <v>0</v>
      </c>
      <c r="AT52" s="35">
        <v>6</v>
      </c>
      <c r="AU52" s="31" t="str">
        <f t="shared" si="3"/>
        <v>库存为6</v>
      </c>
      <c r="AV52" s="36" t="str">
        <f>IFERROR(时间!$B$4+AU52,"上周无销量")</f>
        <v>上周无销量</v>
      </c>
    </row>
    <row r="53" spans="1:48">
      <c r="A53" s="21" t="s">
        <v>199</v>
      </c>
      <c r="B53" t="s">
        <v>200</v>
      </c>
      <c r="C53" t="s">
        <v>201</v>
      </c>
      <c r="D53" s="31">
        <v>0</v>
      </c>
      <c r="E53" s="31">
        <v>1</v>
      </c>
      <c r="F53" s="31">
        <v>0</v>
      </c>
      <c r="G53" s="31">
        <v>1</v>
      </c>
      <c r="H53" s="32">
        <v>89.99</v>
      </c>
      <c r="I53">
        <v>4</v>
      </c>
      <c r="J53" s="33">
        <v>0</v>
      </c>
      <c r="K53" s="33">
        <v>0</v>
      </c>
      <c r="L53" s="33">
        <v>0</v>
      </c>
      <c r="M53">
        <v>4</v>
      </c>
      <c r="N53">
        <v>0</v>
      </c>
      <c r="O53">
        <v>0</v>
      </c>
      <c r="P53">
        <v>4899</v>
      </c>
      <c r="Q53">
        <v>7880</v>
      </c>
      <c r="R53">
        <v>32815</v>
      </c>
      <c r="S53">
        <v>32890</v>
      </c>
      <c r="T53">
        <v>23</v>
      </c>
      <c r="U53">
        <v>55</v>
      </c>
      <c r="V53">
        <v>240</v>
      </c>
      <c r="W53">
        <v>241</v>
      </c>
      <c r="X53" s="23">
        <v>0.00469483568075117</v>
      </c>
      <c r="Y53" s="23">
        <v>0.00697969543147208</v>
      </c>
      <c r="Z53" s="23">
        <v>0.00731372847783026</v>
      </c>
      <c r="AA53" s="23">
        <v>0.00732745515354211</v>
      </c>
      <c r="AB53">
        <v>5.66</v>
      </c>
      <c r="AC53">
        <v>13.63</v>
      </c>
      <c r="AD53">
        <v>60.04</v>
      </c>
      <c r="AE53">
        <v>60.54</v>
      </c>
      <c r="AF53" s="23" t="s">
        <v>202</v>
      </c>
      <c r="AG53" s="23">
        <v>0.151461273474831</v>
      </c>
      <c r="AH53" s="23" t="s">
        <v>203</v>
      </c>
      <c r="AI53" s="23">
        <v>0.672741415712857</v>
      </c>
      <c r="AJ53">
        <v>44</v>
      </c>
      <c r="AK53">
        <v>94</v>
      </c>
      <c r="AL53">
        <v>50</v>
      </c>
      <c r="AM53">
        <v>78</v>
      </c>
      <c r="AN53" s="23">
        <v>0</v>
      </c>
      <c r="AO53" s="23">
        <v>0.0106382978723404</v>
      </c>
      <c r="AP53" s="23">
        <v>0</v>
      </c>
      <c r="AQ53" s="23">
        <v>0.0128205128205128</v>
      </c>
      <c r="AR53" s="35">
        <v>0</v>
      </c>
      <c r="AS53" s="35">
        <v>0</v>
      </c>
      <c r="AT53" s="35">
        <v>4</v>
      </c>
      <c r="AU53" s="31" t="str">
        <f t="shared" si="3"/>
        <v>库存为4</v>
      </c>
      <c r="AV53" s="36" t="str">
        <f>IFERROR(时间!$B$4+AU53,"上周无销量")</f>
        <v>上周无销量</v>
      </c>
    </row>
    <row r="54" spans="1:48">
      <c r="A54" s="21" t="s">
        <v>204</v>
      </c>
      <c r="B54" t="s">
        <v>205</v>
      </c>
      <c r="C54" t="s">
        <v>206</v>
      </c>
      <c r="D54" s="31">
        <v>0</v>
      </c>
      <c r="E54" s="31">
        <v>0</v>
      </c>
      <c r="F54" s="31">
        <v>0</v>
      </c>
      <c r="G54" s="31">
        <v>0</v>
      </c>
      <c r="H54" s="32">
        <v>0</v>
      </c>
      <c r="I54">
        <v>10</v>
      </c>
      <c r="J54" s="33">
        <v>0</v>
      </c>
      <c r="K54" s="33">
        <v>0</v>
      </c>
      <c r="L54" s="33">
        <v>0</v>
      </c>
      <c r="M54">
        <v>10</v>
      </c>
      <c r="N54">
        <v>0</v>
      </c>
      <c r="O54">
        <v>5</v>
      </c>
      <c r="P54">
        <v>583</v>
      </c>
      <c r="Q54">
        <v>587</v>
      </c>
      <c r="R54">
        <v>31279</v>
      </c>
      <c r="S54">
        <v>31283</v>
      </c>
      <c r="T54">
        <v>12</v>
      </c>
      <c r="U54">
        <v>3</v>
      </c>
      <c r="V54">
        <v>216</v>
      </c>
      <c r="W54">
        <v>216</v>
      </c>
      <c r="X54" s="23">
        <v>0.0205831903945112</v>
      </c>
      <c r="Y54" s="23">
        <v>0.00511073253833049</v>
      </c>
      <c r="Z54" s="23">
        <v>0.00690559161098501</v>
      </c>
      <c r="AA54" s="23">
        <v>0.00690470862768916</v>
      </c>
      <c r="AB54">
        <v>1.86</v>
      </c>
      <c r="AC54">
        <v>0.56</v>
      </c>
      <c r="AD54">
        <v>34.46</v>
      </c>
      <c r="AE54">
        <v>34.46</v>
      </c>
      <c r="AF54" s="23" t="s">
        <v>207</v>
      </c>
      <c r="AG54" s="23" t="s">
        <v>208</v>
      </c>
      <c r="AH54" s="23" t="s">
        <v>209</v>
      </c>
      <c r="AI54" s="23" t="s">
        <v>209</v>
      </c>
      <c r="AJ54">
        <v>25</v>
      </c>
      <c r="AK54">
        <v>8</v>
      </c>
      <c r="AL54">
        <v>22</v>
      </c>
      <c r="AM54">
        <v>14</v>
      </c>
      <c r="AN54" s="23">
        <v>0</v>
      </c>
      <c r="AO54" s="23">
        <v>0</v>
      </c>
      <c r="AP54" s="23">
        <v>0</v>
      </c>
      <c r="AQ54" s="23">
        <v>0</v>
      </c>
      <c r="AR54" s="35">
        <v>0</v>
      </c>
      <c r="AS54" s="35">
        <v>0</v>
      </c>
      <c r="AT54" s="35">
        <v>10</v>
      </c>
      <c r="AU54" s="31" t="str">
        <f t="shared" si="3"/>
        <v>库存为10</v>
      </c>
      <c r="AV54" s="36" t="str">
        <f>IFERROR(时间!$B$4+AU54,"上周无销量")</f>
        <v>上周无销量</v>
      </c>
    </row>
    <row r="55" spans="1:48">
      <c r="A55" s="21" t="s">
        <v>210</v>
      </c>
      <c r="B55" t="s">
        <v>211</v>
      </c>
      <c r="C55" t="s">
        <v>206</v>
      </c>
      <c r="D55" s="31">
        <v>0</v>
      </c>
      <c r="E55" s="31">
        <v>0</v>
      </c>
      <c r="F55" s="31">
        <v>0</v>
      </c>
      <c r="G55" s="31">
        <v>0</v>
      </c>
      <c r="H55" s="32">
        <v>0</v>
      </c>
      <c r="I55">
        <v>8</v>
      </c>
      <c r="J55" s="33">
        <v>0</v>
      </c>
      <c r="K55" s="33">
        <v>0</v>
      </c>
      <c r="L55" s="33">
        <v>0</v>
      </c>
      <c r="M55">
        <v>8</v>
      </c>
      <c r="N55">
        <v>0</v>
      </c>
      <c r="O55">
        <v>3</v>
      </c>
      <c r="P55">
        <v>0</v>
      </c>
      <c r="Q55">
        <v>0</v>
      </c>
      <c r="R55">
        <v>6210</v>
      </c>
      <c r="S55">
        <v>6210</v>
      </c>
      <c r="T55">
        <v>0</v>
      </c>
      <c r="U55">
        <v>0</v>
      </c>
      <c r="V55">
        <v>29</v>
      </c>
      <c r="W55">
        <v>29</v>
      </c>
      <c r="X55" s="23" t="s">
        <v>54</v>
      </c>
      <c r="Y55" s="23" t="s">
        <v>54</v>
      </c>
      <c r="Z55" s="23">
        <v>0.00466988727858293</v>
      </c>
      <c r="AA55" s="23">
        <v>0.00466988727858293</v>
      </c>
      <c r="AB55">
        <v>0</v>
      </c>
      <c r="AC55">
        <v>0</v>
      </c>
      <c r="AD55">
        <v>5.28</v>
      </c>
      <c r="AE55">
        <v>5.28</v>
      </c>
      <c r="AF55" s="23" t="s">
        <v>54</v>
      </c>
      <c r="AG55" s="23" t="s">
        <v>54</v>
      </c>
      <c r="AH55" s="23" t="s">
        <v>212</v>
      </c>
      <c r="AI55" s="23" t="s">
        <v>212</v>
      </c>
      <c r="AJ55">
        <v>16</v>
      </c>
      <c r="AK55">
        <v>12</v>
      </c>
      <c r="AL55">
        <v>11</v>
      </c>
      <c r="AM55">
        <v>12</v>
      </c>
      <c r="AN55" s="23">
        <v>0</v>
      </c>
      <c r="AO55" s="23">
        <v>0</v>
      </c>
      <c r="AP55" s="23">
        <v>0</v>
      </c>
      <c r="AQ55" s="23">
        <v>0</v>
      </c>
      <c r="AR55" s="35">
        <v>0</v>
      </c>
      <c r="AS55" s="35">
        <v>0</v>
      </c>
      <c r="AT55" s="35">
        <v>8</v>
      </c>
      <c r="AU55" s="31" t="str">
        <f t="shared" si="3"/>
        <v>库存为8</v>
      </c>
      <c r="AV55" s="36" t="str">
        <f>IFERROR(时间!$B$4+AU55,"上周无销量")</f>
        <v>上周无销量</v>
      </c>
    </row>
    <row r="56" spans="1:48">
      <c r="A56" s="21" t="s">
        <v>213</v>
      </c>
      <c r="B56" t="s">
        <v>214</v>
      </c>
      <c r="C56" t="s">
        <v>215</v>
      </c>
      <c r="D56" s="31">
        <v>4</v>
      </c>
      <c r="E56" s="31">
        <v>9</v>
      </c>
      <c r="F56" s="31">
        <v>12</v>
      </c>
      <c r="G56" s="31">
        <v>7</v>
      </c>
      <c r="H56" s="32">
        <v>89.9899999999999</v>
      </c>
      <c r="I56">
        <v>82</v>
      </c>
      <c r="J56" s="33">
        <v>0</v>
      </c>
      <c r="K56" s="33">
        <v>0</v>
      </c>
      <c r="L56" s="33">
        <v>0</v>
      </c>
      <c r="M56">
        <v>82</v>
      </c>
      <c r="N56">
        <v>2</v>
      </c>
      <c r="O56">
        <v>0</v>
      </c>
      <c r="P56" t="s">
        <v>54</v>
      </c>
      <c r="Q56" t="s">
        <v>54</v>
      </c>
      <c r="R56" t="s">
        <v>54</v>
      </c>
      <c r="S56" t="s">
        <v>54</v>
      </c>
      <c r="T56" t="s">
        <v>54</v>
      </c>
      <c r="U56" t="s">
        <v>54</v>
      </c>
      <c r="V56" t="s">
        <v>54</v>
      </c>
      <c r="W56" t="s">
        <v>54</v>
      </c>
      <c r="X56" s="23" t="s">
        <v>54</v>
      </c>
      <c r="Y56" s="23" t="s">
        <v>54</v>
      </c>
      <c r="Z56" s="23" t="s">
        <v>54</v>
      </c>
      <c r="AA56" s="23" t="s">
        <v>54</v>
      </c>
      <c r="AB56" t="s">
        <v>54</v>
      </c>
      <c r="AC56" t="s">
        <v>54</v>
      </c>
      <c r="AD56" t="s">
        <v>54</v>
      </c>
      <c r="AE56" t="s">
        <v>54</v>
      </c>
      <c r="AF56" s="23" t="s">
        <v>54</v>
      </c>
      <c r="AG56" s="23" t="s">
        <v>54</v>
      </c>
      <c r="AH56" s="23" t="s">
        <v>54</v>
      </c>
      <c r="AI56" s="23" t="s">
        <v>54</v>
      </c>
      <c r="AJ56">
        <v>588</v>
      </c>
      <c r="AK56">
        <v>860</v>
      </c>
      <c r="AL56">
        <v>1005</v>
      </c>
      <c r="AM56">
        <v>673</v>
      </c>
      <c r="AN56" s="23">
        <v>0.00680272108843537</v>
      </c>
      <c r="AO56" s="23">
        <v>0.0104651162790698</v>
      </c>
      <c r="AP56" s="23">
        <v>0.0119402985074627</v>
      </c>
      <c r="AQ56" s="23">
        <v>0.0104011887072808</v>
      </c>
      <c r="AR56" s="35">
        <v>0.571428571428571</v>
      </c>
      <c r="AS56" s="35">
        <v>34.2857142857143</v>
      </c>
      <c r="AT56" s="35">
        <v>47.7142857142857</v>
      </c>
      <c r="AU56" s="31">
        <f t="shared" si="3"/>
        <v>143</v>
      </c>
      <c r="AV56" s="36">
        <f>IFERROR(时间!$B$4+AU56,"上周无销量")</f>
        <v>43482</v>
      </c>
    </row>
    <row r="57" spans="1:48">
      <c r="A57" s="21" t="s">
        <v>216</v>
      </c>
      <c r="B57" t="s">
        <v>217</v>
      </c>
      <c r="C57" t="s">
        <v>215</v>
      </c>
      <c r="D57" s="31">
        <v>0</v>
      </c>
      <c r="E57" s="31">
        <v>0</v>
      </c>
      <c r="F57" s="31">
        <v>0</v>
      </c>
      <c r="G57" s="31">
        <v>0</v>
      </c>
      <c r="H57" s="32">
        <v>0</v>
      </c>
      <c r="I57">
        <v>5</v>
      </c>
      <c r="J57" s="33">
        <v>0</v>
      </c>
      <c r="K57" s="33">
        <v>0</v>
      </c>
      <c r="L57" s="33">
        <v>0</v>
      </c>
      <c r="M57">
        <v>5</v>
      </c>
      <c r="N57">
        <v>0</v>
      </c>
      <c r="O57">
        <v>4</v>
      </c>
      <c r="P57" t="s">
        <v>54</v>
      </c>
      <c r="Q57" t="s">
        <v>54</v>
      </c>
      <c r="R57" t="s">
        <v>54</v>
      </c>
      <c r="S57" t="s">
        <v>54</v>
      </c>
      <c r="T57" t="s">
        <v>54</v>
      </c>
      <c r="U57" t="s">
        <v>54</v>
      </c>
      <c r="V57" t="s">
        <v>54</v>
      </c>
      <c r="W57" t="s">
        <v>54</v>
      </c>
      <c r="X57" s="23" t="s">
        <v>54</v>
      </c>
      <c r="Y57" s="23" t="s">
        <v>54</v>
      </c>
      <c r="Z57" s="23" t="s">
        <v>54</v>
      </c>
      <c r="AA57" s="23" t="s">
        <v>54</v>
      </c>
      <c r="AB57" t="s">
        <v>54</v>
      </c>
      <c r="AC57" t="s">
        <v>54</v>
      </c>
      <c r="AD57" t="s">
        <v>54</v>
      </c>
      <c r="AE57" t="s">
        <v>54</v>
      </c>
      <c r="AF57" s="23" t="s">
        <v>54</v>
      </c>
      <c r="AG57" s="23" t="s">
        <v>54</v>
      </c>
      <c r="AH57" s="23" t="s">
        <v>54</v>
      </c>
      <c r="AI57" s="23" t="s">
        <v>54</v>
      </c>
      <c r="AJ57">
        <v>18</v>
      </c>
      <c r="AK57">
        <v>16</v>
      </c>
      <c r="AL57">
        <v>34</v>
      </c>
      <c r="AM57">
        <v>14</v>
      </c>
      <c r="AN57" s="23">
        <v>0</v>
      </c>
      <c r="AO57" s="23">
        <v>0</v>
      </c>
      <c r="AP57" s="23">
        <v>0</v>
      </c>
      <c r="AQ57" s="23">
        <v>0</v>
      </c>
      <c r="AR57" s="35">
        <v>0</v>
      </c>
      <c r="AS57" s="35">
        <v>0</v>
      </c>
      <c r="AT57" s="35">
        <v>5</v>
      </c>
      <c r="AU57" s="31" t="str">
        <f t="shared" si="3"/>
        <v>库存为5</v>
      </c>
      <c r="AV57" s="36" t="str">
        <f>IFERROR(时间!$B$4+AU57,"上周无销量")</f>
        <v>上周无销量</v>
      </c>
    </row>
    <row r="58" spans="1:48">
      <c r="A58" s="21" t="s">
        <v>218</v>
      </c>
      <c r="B58" t="s">
        <v>219</v>
      </c>
      <c r="C58" t="s">
        <v>215</v>
      </c>
      <c r="D58" s="31">
        <v>1</v>
      </c>
      <c r="E58" s="31">
        <v>1</v>
      </c>
      <c r="F58" s="31">
        <v>1</v>
      </c>
      <c r="G58" s="31">
        <v>0</v>
      </c>
      <c r="H58" s="32">
        <v>32.99</v>
      </c>
      <c r="I58">
        <v>3</v>
      </c>
      <c r="J58" s="33">
        <v>0</v>
      </c>
      <c r="K58" s="33">
        <v>0</v>
      </c>
      <c r="L58" s="33">
        <v>0</v>
      </c>
      <c r="M58">
        <v>3</v>
      </c>
      <c r="N58">
        <v>0</v>
      </c>
      <c r="O58">
        <v>0</v>
      </c>
      <c r="P58" t="s">
        <v>54</v>
      </c>
      <c r="Q58" t="s">
        <v>54</v>
      </c>
      <c r="R58" t="s">
        <v>54</v>
      </c>
      <c r="S58" t="s">
        <v>54</v>
      </c>
      <c r="T58" t="s">
        <v>54</v>
      </c>
      <c r="U58" t="s">
        <v>54</v>
      </c>
      <c r="V58" t="s">
        <v>54</v>
      </c>
      <c r="W58" t="s">
        <v>54</v>
      </c>
      <c r="X58" s="23" t="s">
        <v>54</v>
      </c>
      <c r="Y58" s="23" t="s">
        <v>54</v>
      </c>
      <c r="Z58" s="23" t="s">
        <v>54</v>
      </c>
      <c r="AA58" s="23" t="s">
        <v>54</v>
      </c>
      <c r="AB58" t="s">
        <v>54</v>
      </c>
      <c r="AC58" t="s">
        <v>54</v>
      </c>
      <c r="AD58" t="s">
        <v>54</v>
      </c>
      <c r="AE58" t="s">
        <v>54</v>
      </c>
      <c r="AF58" s="23" t="s">
        <v>54</v>
      </c>
      <c r="AG58" s="23" t="s">
        <v>54</v>
      </c>
      <c r="AH58" s="23" t="s">
        <v>54</v>
      </c>
      <c r="AI58" s="23" t="s">
        <v>54</v>
      </c>
      <c r="AJ58">
        <v>58</v>
      </c>
      <c r="AK58">
        <v>90</v>
      </c>
      <c r="AL58">
        <v>72</v>
      </c>
      <c r="AM58">
        <v>31</v>
      </c>
      <c r="AN58" s="23">
        <v>0.0172413793103448</v>
      </c>
      <c r="AO58" s="23">
        <v>0.0111111111111111</v>
      </c>
      <c r="AP58" s="23">
        <v>0.0138888888888889</v>
      </c>
      <c r="AQ58" s="23">
        <v>0</v>
      </c>
      <c r="AR58" s="35">
        <v>0.142857142857143</v>
      </c>
      <c r="AS58" s="35">
        <v>8.57142857142857</v>
      </c>
      <c r="AT58" s="35">
        <v>-5.57142857142857</v>
      </c>
      <c r="AU58" s="31">
        <f t="shared" si="3"/>
        <v>21</v>
      </c>
      <c r="AV58" s="36">
        <f>IFERROR(时间!$B$4+AU58,"上周无销量")</f>
        <v>43360</v>
      </c>
    </row>
    <row r="59" spans="1:48">
      <c r="A59" s="21" t="s">
        <v>220</v>
      </c>
      <c r="B59" t="s">
        <v>221</v>
      </c>
      <c r="C59" t="s">
        <v>222</v>
      </c>
      <c r="D59" s="31">
        <v>1</v>
      </c>
      <c r="E59" s="31">
        <v>2</v>
      </c>
      <c r="F59" s="31">
        <v>0</v>
      </c>
      <c r="G59" s="31">
        <v>0</v>
      </c>
      <c r="H59" s="32">
        <v>69.99</v>
      </c>
      <c r="I59">
        <v>2</v>
      </c>
      <c r="J59" s="33">
        <v>0</v>
      </c>
      <c r="K59" s="33">
        <v>0</v>
      </c>
      <c r="L59" s="33">
        <v>0</v>
      </c>
      <c r="M59">
        <v>2</v>
      </c>
      <c r="N59">
        <v>0</v>
      </c>
      <c r="O59">
        <v>2</v>
      </c>
      <c r="P59">
        <v>4996</v>
      </c>
      <c r="Q59">
        <v>11072</v>
      </c>
      <c r="R59">
        <v>18799</v>
      </c>
      <c r="S59">
        <v>18799</v>
      </c>
      <c r="T59">
        <v>55</v>
      </c>
      <c r="U59">
        <v>87</v>
      </c>
      <c r="V59">
        <v>117</v>
      </c>
      <c r="W59">
        <v>117</v>
      </c>
      <c r="X59" s="23">
        <v>0.0110088070456365</v>
      </c>
      <c r="Y59" s="23">
        <v>0.00785765895953757</v>
      </c>
      <c r="Z59" s="23">
        <v>0.00622373530506942</v>
      </c>
      <c r="AA59" s="23">
        <v>0.00622373530506942</v>
      </c>
      <c r="AB59">
        <v>14.87</v>
      </c>
      <c r="AC59">
        <v>25.16</v>
      </c>
      <c r="AD59">
        <v>18.87</v>
      </c>
      <c r="AE59">
        <v>18.87</v>
      </c>
      <c r="AF59" s="23">
        <v>0.212458922703243</v>
      </c>
      <c r="AG59" s="23">
        <v>0.179739962851836</v>
      </c>
      <c r="AH59" s="23" t="s">
        <v>223</v>
      </c>
      <c r="AI59" s="23" t="s">
        <v>223</v>
      </c>
      <c r="AJ59">
        <v>73</v>
      </c>
      <c r="AK59">
        <v>102</v>
      </c>
      <c r="AL59">
        <v>51</v>
      </c>
      <c r="AM59">
        <v>12</v>
      </c>
      <c r="AN59" s="23">
        <v>0.0136986301369863</v>
      </c>
      <c r="AO59" s="23">
        <v>0.0196078431372549</v>
      </c>
      <c r="AP59" s="23">
        <v>0</v>
      </c>
      <c r="AQ59" s="23">
        <v>0</v>
      </c>
      <c r="AR59" s="35">
        <v>0.142857142857143</v>
      </c>
      <c r="AS59" s="35">
        <v>8.57142857142857</v>
      </c>
      <c r="AT59" s="35">
        <v>-6.57142857142857</v>
      </c>
      <c r="AU59" s="31">
        <f t="shared" si="3"/>
        <v>14</v>
      </c>
      <c r="AV59" s="36">
        <f>IFERROR(时间!$B$4+AU59,"上周无销量")</f>
        <v>43353</v>
      </c>
    </row>
    <row r="60" spans="1:48">
      <c r="A60" s="21" t="s">
        <v>224</v>
      </c>
      <c r="B60" t="s">
        <v>225</v>
      </c>
      <c r="C60" t="s">
        <v>226</v>
      </c>
      <c r="D60" s="31">
        <v>0</v>
      </c>
      <c r="E60" s="31">
        <v>2</v>
      </c>
      <c r="F60" s="31">
        <v>1</v>
      </c>
      <c r="G60" s="31">
        <v>2</v>
      </c>
      <c r="H60" s="32">
        <v>89.99</v>
      </c>
      <c r="I60">
        <v>10</v>
      </c>
      <c r="J60" s="33">
        <v>0</v>
      </c>
      <c r="K60" s="33">
        <v>0</v>
      </c>
      <c r="L60" s="33">
        <v>0</v>
      </c>
      <c r="M60">
        <v>10</v>
      </c>
      <c r="N60">
        <v>0</v>
      </c>
      <c r="O60">
        <v>0</v>
      </c>
      <c r="P60">
        <v>14903</v>
      </c>
      <c r="Q60">
        <v>6671</v>
      </c>
      <c r="R60">
        <v>183870</v>
      </c>
      <c r="S60">
        <v>184603</v>
      </c>
      <c r="T60">
        <v>59</v>
      </c>
      <c r="U60">
        <v>33</v>
      </c>
      <c r="V60">
        <v>640</v>
      </c>
      <c r="W60">
        <v>640</v>
      </c>
      <c r="X60" s="23">
        <v>0.00395893444272965</v>
      </c>
      <c r="Y60" s="23">
        <v>0.00494678459001649</v>
      </c>
      <c r="Z60" s="23">
        <v>0.0034807200739653</v>
      </c>
      <c r="AA60" s="23">
        <v>0.00346689923782387</v>
      </c>
      <c r="AB60">
        <v>15.72</v>
      </c>
      <c r="AC60">
        <v>8.38</v>
      </c>
      <c r="AD60">
        <v>128.94</v>
      </c>
      <c r="AE60">
        <v>128.94</v>
      </c>
      <c r="AF60" s="23" t="s">
        <v>227</v>
      </c>
      <c r="AG60" s="23">
        <v>0.0465607289698855</v>
      </c>
      <c r="AH60" s="23">
        <v>1.43282586954106</v>
      </c>
      <c r="AI60" s="23">
        <v>0.71641293477053</v>
      </c>
      <c r="AJ60">
        <v>98</v>
      </c>
      <c r="AK60">
        <v>97</v>
      </c>
      <c r="AL60">
        <v>198</v>
      </c>
      <c r="AM60">
        <v>182</v>
      </c>
      <c r="AN60" s="23">
        <v>0</v>
      </c>
      <c r="AO60" s="23">
        <v>0.0206185567010309</v>
      </c>
      <c r="AP60" s="23">
        <v>0.00505050505050505</v>
      </c>
      <c r="AQ60" s="23">
        <v>0.010989010989011</v>
      </c>
      <c r="AR60" s="35">
        <v>0</v>
      </c>
      <c r="AS60" s="35">
        <v>0</v>
      </c>
      <c r="AT60" s="35">
        <v>10</v>
      </c>
      <c r="AU60" s="31" t="str">
        <f t="shared" si="3"/>
        <v>库存为10</v>
      </c>
      <c r="AV60" s="36" t="str">
        <f>IFERROR(时间!$B$4+AU60,"上周无销量")</f>
        <v>上周无销量</v>
      </c>
    </row>
    <row r="61" spans="1:48">
      <c r="A61" s="21" t="s">
        <v>228</v>
      </c>
      <c r="B61" t="s">
        <v>229</v>
      </c>
      <c r="C61" t="s">
        <v>230</v>
      </c>
      <c r="D61" s="31">
        <v>0</v>
      </c>
      <c r="E61" s="31">
        <v>0</v>
      </c>
      <c r="F61" s="31">
        <v>1</v>
      </c>
      <c r="G61" s="31">
        <v>0</v>
      </c>
      <c r="H61" s="32">
        <v>91.6</v>
      </c>
      <c r="I61">
        <v>46</v>
      </c>
      <c r="J61" s="33">
        <v>0</v>
      </c>
      <c r="K61" s="33">
        <v>0</v>
      </c>
      <c r="L61" s="33">
        <v>0</v>
      </c>
      <c r="M61">
        <v>46</v>
      </c>
      <c r="N61">
        <v>0</v>
      </c>
      <c r="O61">
        <v>16</v>
      </c>
      <c r="P61" t="s">
        <v>54</v>
      </c>
      <c r="Q61" t="s">
        <v>54</v>
      </c>
      <c r="R61" t="s">
        <v>54</v>
      </c>
      <c r="S61" t="s">
        <v>54</v>
      </c>
      <c r="T61" t="s">
        <v>54</v>
      </c>
      <c r="U61" t="s">
        <v>54</v>
      </c>
      <c r="V61" t="s">
        <v>54</v>
      </c>
      <c r="W61" t="s">
        <v>54</v>
      </c>
      <c r="X61" s="23" t="s">
        <v>54</v>
      </c>
      <c r="Y61" s="23" t="s">
        <v>54</v>
      </c>
      <c r="Z61" s="23" t="s">
        <v>54</v>
      </c>
      <c r="AA61" s="23" t="s">
        <v>54</v>
      </c>
      <c r="AB61" t="s">
        <v>54</v>
      </c>
      <c r="AC61" t="s">
        <v>54</v>
      </c>
      <c r="AD61" t="s">
        <v>54</v>
      </c>
      <c r="AE61" t="s">
        <v>54</v>
      </c>
      <c r="AF61" s="23" t="s">
        <v>54</v>
      </c>
      <c r="AG61" s="23" t="s">
        <v>54</v>
      </c>
      <c r="AH61" s="23" t="s">
        <v>54</v>
      </c>
      <c r="AI61" s="23" t="s">
        <v>54</v>
      </c>
      <c r="AJ61">
        <v>6</v>
      </c>
      <c r="AK61">
        <v>5</v>
      </c>
      <c r="AL61">
        <v>12</v>
      </c>
      <c r="AM61">
        <v>4</v>
      </c>
      <c r="AN61" s="23">
        <v>0</v>
      </c>
      <c r="AO61" s="23">
        <v>0</v>
      </c>
      <c r="AP61" s="23">
        <v>0.0833333333333333</v>
      </c>
      <c r="AQ61" s="23">
        <v>0</v>
      </c>
      <c r="AR61" s="35">
        <v>0</v>
      </c>
      <c r="AS61" s="35">
        <v>0</v>
      </c>
      <c r="AT61" s="35">
        <v>46</v>
      </c>
      <c r="AU61" s="31" t="str">
        <f t="shared" si="3"/>
        <v>库存为46</v>
      </c>
      <c r="AV61" s="36" t="str">
        <f>IFERROR(时间!$B$4+AU61,"上周无销量")</f>
        <v>上周无销量</v>
      </c>
    </row>
    <row r="62" spans="1:48">
      <c r="A62" s="21" t="s">
        <v>231</v>
      </c>
      <c r="B62" t="s">
        <v>232</v>
      </c>
      <c r="C62" t="s">
        <v>233</v>
      </c>
      <c r="D62" s="31">
        <v>0</v>
      </c>
      <c r="E62" s="31">
        <v>0</v>
      </c>
      <c r="F62" s="31">
        <v>0</v>
      </c>
      <c r="G62" s="31">
        <v>0</v>
      </c>
      <c r="H62" s="32">
        <v>0</v>
      </c>
      <c r="I62">
        <v>4</v>
      </c>
      <c r="J62" s="33">
        <v>0</v>
      </c>
      <c r="K62" s="33">
        <v>0</v>
      </c>
      <c r="L62" s="33">
        <v>0</v>
      </c>
      <c r="M62">
        <v>4</v>
      </c>
      <c r="N62">
        <v>0</v>
      </c>
      <c r="O62">
        <v>4</v>
      </c>
      <c r="P62" t="s">
        <v>54</v>
      </c>
      <c r="Q62" t="s">
        <v>54</v>
      </c>
      <c r="R62" t="s">
        <v>54</v>
      </c>
      <c r="S62" t="s">
        <v>54</v>
      </c>
      <c r="T62" t="s">
        <v>54</v>
      </c>
      <c r="U62" t="s">
        <v>54</v>
      </c>
      <c r="V62" t="s">
        <v>54</v>
      </c>
      <c r="W62" t="s">
        <v>54</v>
      </c>
      <c r="X62" s="23" t="s">
        <v>54</v>
      </c>
      <c r="Y62" s="23" t="s">
        <v>54</v>
      </c>
      <c r="Z62" s="23" t="s">
        <v>54</v>
      </c>
      <c r="AA62" s="23" t="s">
        <v>54</v>
      </c>
      <c r="AB62" t="s">
        <v>54</v>
      </c>
      <c r="AC62" t="s">
        <v>54</v>
      </c>
      <c r="AD62" t="s">
        <v>54</v>
      </c>
      <c r="AE62" t="s">
        <v>54</v>
      </c>
      <c r="AF62" s="23" t="s">
        <v>54</v>
      </c>
      <c r="AG62" s="23" t="s">
        <v>54</v>
      </c>
      <c r="AH62" s="23" t="s">
        <v>54</v>
      </c>
      <c r="AI62" s="23" t="s">
        <v>54</v>
      </c>
      <c r="AJ62">
        <v>8</v>
      </c>
      <c r="AK62">
        <v>7</v>
      </c>
      <c r="AL62">
        <v>6</v>
      </c>
      <c r="AM62">
        <v>8</v>
      </c>
      <c r="AN62" s="23">
        <v>0</v>
      </c>
      <c r="AO62" s="23">
        <v>0</v>
      </c>
      <c r="AP62" s="23">
        <v>0</v>
      </c>
      <c r="AQ62" s="23">
        <v>0</v>
      </c>
      <c r="AR62" s="35">
        <v>0</v>
      </c>
      <c r="AS62" s="35">
        <v>0</v>
      </c>
      <c r="AT62" s="35">
        <v>4</v>
      </c>
      <c r="AU62" s="31" t="str">
        <f t="shared" si="3"/>
        <v>库存为4</v>
      </c>
      <c r="AV62" s="36" t="str">
        <f>IFERROR(时间!$B$4+AU62,"上周无销量")</f>
        <v>上周无销量</v>
      </c>
    </row>
    <row r="63" spans="1:48">
      <c r="A63" s="21" t="s">
        <v>234</v>
      </c>
      <c r="B63" t="s">
        <v>235</v>
      </c>
      <c r="C63" t="s">
        <v>236</v>
      </c>
      <c r="D63" s="31">
        <v>0</v>
      </c>
      <c r="E63" s="31">
        <v>2</v>
      </c>
      <c r="F63" s="31">
        <v>0</v>
      </c>
      <c r="G63" s="31">
        <v>0</v>
      </c>
      <c r="H63" s="32">
        <v>89.99</v>
      </c>
      <c r="I63">
        <v>6</v>
      </c>
      <c r="J63" s="33">
        <v>0</v>
      </c>
      <c r="K63" s="33">
        <v>0</v>
      </c>
      <c r="L63" s="33">
        <v>0</v>
      </c>
      <c r="M63">
        <v>6</v>
      </c>
      <c r="N63">
        <v>0</v>
      </c>
      <c r="O63">
        <v>0</v>
      </c>
      <c r="P63">
        <v>0</v>
      </c>
      <c r="Q63">
        <v>7921</v>
      </c>
      <c r="R63">
        <v>70699</v>
      </c>
      <c r="S63">
        <v>70847</v>
      </c>
      <c r="T63">
        <v>0</v>
      </c>
      <c r="U63">
        <v>79</v>
      </c>
      <c r="V63">
        <v>457</v>
      </c>
      <c r="W63">
        <v>460</v>
      </c>
      <c r="X63" s="23" t="s">
        <v>54</v>
      </c>
      <c r="Y63" s="23">
        <v>0.00997348819593486</v>
      </c>
      <c r="Z63" s="23">
        <v>0.0064640235364008</v>
      </c>
      <c r="AA63" s="23">
        <v>0.00649286490606518</v>
      </c>
      <c r="AB63">
        <v>0</v>
      </c>
      <c r="AC63">
        <v>21.35</v>
      </c>
      <c r="AD63">
        <v>124.8</v>
      </c>
      <c r="AE63">
        <v>125.86</v>
      </c>
      <c r="AF63" s="23" t="s">
        <v>54</v>
      </c>
      <c r="AG63" s="23">
        <v>0.118624291587954</v>
      </c>
      <c r="AH63" s="23" t="s">
        <v>237</v>
      </c>
      <c r="AI63" s="23" t="s">
        <v>238</v>
      </c>
      <c r="AJ63">
        <v>39</v>
      </c>
      <c r="AK63">
        <v>180</v>
      </c>
      <c r="AL63">
        <v>134</v>
      </c>
      <c r="AM63">
        <v>252</v>
      </c>
      <c r="AN63" s="23">
        <v>0</v>
      </c>
      <c r="AO63" s="23">
        <v>0.0111111111111111</v>
      </c>
      <c r="AP63" s="23">
        <v>0</v>
      </c>
      <c r="AQ63" s="23">
        <v>0</v>
      </c>
      <c r="AR63" s="35">
        <v>0</v>
      </c>
      <c r="AS63" s="35">
        <v>0</v>
      </c>
      <c r="AT63" s="35">
        <v>6</v>
      </c>
      <c r="AU63" s="31" t="str">
        <f t="shared" si="3"/>
        <v>库存为6</v>
      </c>
      <c r="AV63" s="36" t="str">
        <f>IFERROR(时间!$B$4+AU63,"上周无销量")</f>
        <v>上周无销量</v>
      </c>
    </row>
    <row r="64" spans="1:48">
      <c r="A64" s="21" t="s">
        <v>239</v>
      </c>
      <c r="B64" t="s">
        <v>240</v>
      </c>
      <c r="C64" t="s">
        <v>241</v>
      </c>
      <c r="D64" s="31">
        <v>4</v>
      </c>
      <c r="E64" s="31">
        <v>3</v>
      </c>
      <c r="F64" s="31">
        <v>3</v>
      </c>
      <c r="G64" s="31">
        <v>6</v>
      </c>
      <c r="H64" s="32">
        <v>89.99</v>
      </c>
      <c r="I64">
        <v>29</v>
      </c>
      <c r="J64" s="33">
        <v>0</v>
      </c>
      <c r="K64" s="33">
        <v>0</v>
      </c>
      <c r="L64" s="33">
        <v>0</v>
      </c>
      <c r="M64">
        <v>29</v>
      </c>
      <c r="N64">
        <v>0</v>
      </c>
      <c r="O64">
        <v>0</v>
      </c>
      <c r="P64">
        <v>2581</v>
      </c>
      <c r="Q64">
        <v>2967</v>
      </c>
      <c r="R64">
        <v>328729</v>
      </c>
      <c r="S64">
        <v>329184</v>
      </c>
      <c r="T64">
        <v>41</v>
      </c>
      <c r="U64">
        <v>46</v>
      </c>
      <c r="V64">
        <v>2063</v>
      </c>
      <c r="W64">
        <v>2064</v>
      </c>
      <c r="X64" s="23">
        <v>0.0158853157690818</v>
      </c>
      <c r="Y64" s="23">
        <v>0.0155038759689922</v>
      </c>
      <c r="Z64" s="23">
        <v>0.00627568605142838</v>
      </c>
      <c r="AA64" s="23">
        <v>0.00627004957713619</v>
      </c>
      <c r="AB64">
        <v>5.97</v>
      </c>
      <c r="AC64">
        <v>5.48</v>
      </c>
      <c r="AD64">
        <v>405.5</v>
      </c>
      <c r="AE64">
        <v>405.62</v>
      </c>
      <c r="AF64" s="23">
        <v>0.0165851761306812</v>
      </c>
      <c r="AG64" s="23">
        <v>0.0202985516909286</v>
      </c>
      <c r="AH64" s="23">
        <v>1.50201874282328</v>
      </c>
      <c r="AI64" s="23">
        <v>0.751231618327962</v>
      </c>
      <c r="AJ64">
        <v>295</v>
      </c>
      <c r="AK64">
        <v>425</v>
      </c>
      <c r="AL64">
        <v>368</v>
      </c>
      <c r="AM64">
        <v>547</v>
      </c>
      <c r="AN64" s="23">
        <v>0.0135593220338983</v>
      </c>
      <c r="AO64" s="23">
        <v>0.00705882352941176</v>
      </c>
      <c r="AP64" s="23">
        <v>0.00815217391304348</v>
      </c>
      <c r="AQ64" s="23">
        <v>0.0109689213893967</v>
      </c>
      <c r="AR64" s="35">
        <v>0.571428571428571</v>
      </c>
      <c r="AS64" s="35">
        <v>34.2857142857143</v>
      </c>
      <c r="AT64" s="35">
        <v>-5.28571428571428</v>
      </c>
      <c r="AU64" s="31">
        <f t="shared" si="3"/>
        <v>50</v>
      </c>
      <c r="AV64" s="36">
        <f>IFERROR(时间!$B$4+AU64,"上周无销量")</f>
        <v>43389</v>
      </c>
    </row>
    <row r="65" spans="1:48">
      <c r="A65" s="21" t="s">
        <v>242</v>
      </c>
      <c r="B65" t="s">
        <v>243</v>
      </c>
      <c r="C65" t="s">
        <v>241</v>
      </c>
      <c r="D65" s="31">
        <v>0</v>
      </c>
      <c r="E65" s="31">
        <v>0</v>
      </c>
      <c r="F65" s="31">
        <v>0</v>
      </c>
      <c r="G65" s="31">
        <v>1</v>
      </c>
      <c r="H65" s="32">
        <v>69.99</v>
      </c>
      <c r="I65">
        <v>2</v>
      </c>
      <c r="J65" s="33">
        <v>0</v>
      </c>
      <c r="K65" s="33">
        <v>0</v>
      </c>
      <c r="L65" s="33">
        <v>0</v>
      </c>
      <c r="M65">
        <v>2</v>
      </c>
      <c r="N65">
        <v>0</v>
      </c>
      <c r="O65">
        <v>2</v>
      </c>
      <c r="P65" t="s">
        <v>54</v>
      </c>
      <c r="Q65" t="s">
        <v>54</v>
      </c>
      <c r="R65" t="s">
        <v>54</v>
      </c>
      <c r="S65" t="s">
        <v>54</v>
      </c>
      <c r="T65" t="s">
        <v>54</v>
      </c>
      <c r="U65" t="s">
        <v>54</v>
      </c>
      <c r="V65" t="s">
        <v>54</v>
      </c>
      <c r="W65" t="s">
        <v>54</v>
      </c>
      <c r="X65" s="23" t="s">
        <v>54</v>
      </c>
      <c r="Y65" s="23" t="s">
        <v>54</v>
      </c>
      <c r="Z65" s="23" t="s">
        <v>54</v>
      </c>
      <c r="AA65" s="23" t="s">
        <v>54</v>
      </c>
      <c r="AB65" t="s">
        <v>54</v>
      </c>
      <c r="AC65" t="s">
        <v>54</v>
      </c>
      <c r="AD65" t="s">
        <v>54</v>
      </c>
      <c r="AE65" t="s">
        <v>54</v>
      </c>
      <c r="AF65" s="23" t="s">
        <v>54</v>
      </c>
      <c r="AG65" s="23" t="s">
        <v>54</v>
      </c>
      <c r="AH65" s="23" t="s">
        <v>54</v>
      </c>
      <c r="AI65" s="23" t="s">
        <v>54</v>
      </c>
      <c r="AJ65">
        <v>9</v>
      </c>
      <c r="AK65">
        <v>11</v>
      </c>
      <c r="AL65">
        <v>6</v>
      </c>
      <c r="AM65">
        <v>17</v>
      </c>
      <c r="AN65" s="23">
        <v>0</v>
      </c>
      <c r="AO65" s="23">
        <v>0</v>
      </c>
      <c r="AP65" s="23">
        <v>0</v>
      </c>
      <c r="AQ65" s="23">
        <v>0.0588235294117647</v>
      </c>
      <c r="AR65" s="35">
        <v>0</v>
      </c>
      <c r="AS65" s="35">
        <v>0</v>
      </c>
      <c r="AT65" s="35">
        <v>2</v>
      </c>
      <c r="AU65" s="31" t="str">
        <f t="shared" si="3"/>
        <v>库存为2</v>
      </c>
      <c r="AV65" s="36" t="str">
        <f>IFERROR(时间!$B$4+AU65,"上周无销量")</f>
        <v>上周无销量</v>
      </c>
    </row>
    <row r="66" spans="1:48">
      <c r="A66" s="21" t="s">
        <v>244</v>
      </c>
      <c r="B66" t="s">
        <v>245</v>
      </c>
      <c r="C66" t="s">
        <v>246</v>
      </c>
      <c r="D66" s="31">
        <v>1</v>
      </c>
      <c r="E66" s="31">
        <v>1</v>
      </c>
      <c r="F66" s="31">
        <v>1</v>
      </c>
      <c r="G66" s="31">
        <v>1</v>
      </c>
      <c r="H66" s="32">
        <v>84.99</v>
      </c>
      <c r="I66">
        <v>3</v>
      </c>
      <c r="J66" s="33">
        <v>0</v>
      </c>
      <c r="K66" s="33">
        <v>0</v>
      </c>
      <c r="L66" s="33">
        <v>0</v>
      </c>
      <c r="M66">
        <v>3</v>
      </c>
      <c r="N66">
        <v>0</v>
      </c>
      <c r="O66">
        <v>6</v>
      </c>
      <c r="P66">
        <v>11841</v>
      </c>
      <c r="Q66">
        <v>11914</v>
      </c>
      <c r="R66">
        <v>26358</v>
      </c>
      <c r="S66">
        <v>26528</v>
      </c>
      <c r="T66">
        <v>154</v>
      </c>
      <c r="U66">
        <v>150</v>
      </c>
      <c r="V66">
        <v>253</v>
      </c>
      <c r="W66">
        <v>255</v>
      </c>
      <c r="X66" s="23">
        <v>0.0130056583058863</v>
      </c>
      <c r="Y66" s="23">
        <v>0.0125902299815343</v>
      </c>
      <c r="Z66" s="23">
        <v>0.00959860383944154</v>
      </c>
      <c r="AA66" s="23">
        <v>0.00961248492159228</v>
      </c>
      <c r="AB66">
        <v>23.15</v>
      </c>
      <c r="AC66">
        <v>25.3</v>
      </c>
      <c r="AD66">
        <v>47.01</v>
      </c>
      <c r="AE66">
        <v>47.41</v>
      </c>
      <c r="AF66" s="23">
        <v>0.272384986468996</v>
      </c>
      <c r="AG66" s="23">
        <v>0.297682080244735</v>
      </c>
      <c r="AH66" s="23">
        <v>0.553123896929051</v>
      </c>
      <c r="AI66" s="23">
        <v>0.557830332980351</v>
      </c>
      <c r="AJ66">
        <v>182</v>
      </c>
      <c r="AK66">
        <v>215</v>
      </c>
      <c r="AL66">
        <v>204</v>
      </c>
      <c r="AM66">
        <v>99</v>
      </c>
      <c r="AN66" s="23">
        <v>0.00549450549450549</v>
      </c>
      <c r="AO66" s="23">
        <v>0.00465116279069767</v>
      </c>
      <c r="AP66" s="23">
        <v>0.00490196078431373</v>
      </c>
      <c r="AQ66" s="23">
        <v>0.0101010101010101</v>
      </c>
      <c r="AR66" s="35">
        <v>0.142857142857143</v>
      </c>
      <c r="AS66" s="35">
        <v>8.57142857142857</v>
      </c>
      <c r="AT66" s="35">
        <v>-5.57142857142857</v>
      </c>
      <c r="AU66" s="31">
        <f t="shared" si="3"/>
        <v>21</v>
      </c>
      <c r="AV66" s="36">
        <f>IFERROR(时间!$B$4+AU66,"上周无销量")</f>
        <v>43360</v>
      </c>
    </row>
    <row r="67" spans="1:48">
      <c r="A67" s="21" t="s">
        <v>247</v>
      </c>
      <c r="B67" t="s">
        <v>248</v>
      </c>
      <c r="C67" t="s">
        <v>246</v>
      </c>
      <c r="D67" s="31">
        <v>1</v>
      </c>
      <c r="E67" s="31">
        <v>1</v>
      </c>
      <c r="F67" s="31">
        <v>0</v>
      </c>
      <c r="G67" s="31">
        <v>0</v>
      </c>
      <c r="H67" s="32">
        <v>99.99</v>
      </c>
      <c r="I67">
        <v>6</v>
      </c>
      <c r="J67" s="33">
        <v>0</v>
      </c>
      <c r="K67" s="33">
        <v>0</v>
      </c>
      <c r="L67" s="33">
        <v>0</v>
      </c>
      <c r="M67">
        <v>6</v>
      </c>
      <c r="N67">
        <v>0</v>
      </c>
      <c r="O67">
        <v>0</v>
      </c>
      <c r="P67">
        <v>13640</v>
      </c>
      <c r="Q67">
        <v>6375</v>
      </c>
      <c r="R67">
        <v>27281</v>
      </c>
      <c r="S67">
        <v>27376</v>
      </c>
      <c r="T67">
        <v>43</v>
      </c>
      <c r="U67">
        <v>51</v>
      </c>
      <c r="V67">
        <v>234</v>
      </c>
      <c r="W67">
        <v>234</v>
      </c>
      <c r="X67" s="23">
        <v>0.0031524926686217</v>
      </c>
      <c r="Y67" s="23">
        <v>0.008</v>
      </c>
      <c r="Z67" s="23">
        <v>0.00857739818921594</v>
      </c>
      <c r="AA67" s="23">
        <v>0.00854763296317943</v>
      </c>
      <c r="AB67">
        <v>12.68</v>
      </c>
      <c r="AC67">
        <v>11.64</v>
      </c>
      <c r="AD67">
        <v>59.66</v>
      </c>
      <c r="AE67">
        <v>59.66</v>
      </c>
      <c r="AF67" s="23">
        <v>0.126812681268127</v>
      </c>
      <c r="AG67" s="23">
        <v>0.116411641164116</v>
      </c>
      <c r="AH67" s="23" t="s">
        <v>249</v>
      </c>
      <c r="AI67" s="23" t="s">
        <v>249</v>
      </c>
      <c r="AJ67">
        <v>61</v>
      </c>
      <c r="AK67">
        <v>61</v>
      </c>
      <c r="AL67">
        <v>36</v>
      </c>
      <c r="AM67">
        <v>76</v>
      </c>
      <c r="AN67" s="23">
        <v>0.0163934426229508</v>
      </c>
      <c r="AO67" s="23">
        <v>0.0163934426229508</v>
      </c>
      <c r="AP67" s="23">
        <v>0</v>
      </c>
      <c r="AQ67" s="23">
        <v>0</v>
      </c>
      <c r="AR67" s="35">
        <v>0.142857142857143</v>
      </c>
      <c r="AS67" s="35">
        <v>8.57142857142857</v>
      </c>
      <c r="AT67" s="35">
        <v>-2.57142857142857</v>
      </c>
      <c r="AU67" s="31">
        <f t="shared" si="3"/>
        <v>42</v>
      </c>
      <c r="AV67" s="36">
        <f>IFERROR(时间!$B$4+AU67,"上周无销量")</f>
        <v>43381</v>
      </c>
    </row>
    <row r="68" spans="1:48">
      <c r="A68" s="21" t="s">
        <v>250</v>
      </c>
      <c r="B68" t="s">
        <v>251</v>
      </c>
      <c r="C68" t="s">
        <v>246</v>
      </c>
      <c r="D68" s="31">
        <v>2</v>
      </c>
      <c r="E68" s="31">
        <v>0</v>
      </c>
      <c r="F68" s="31">
        <v>7</v>
      </c>
      <c r="G68" s="31">
        <v>3</v>
      </c>
      <c r="H68" s="32">
        <v>85.99</v>
      </c>
      <c r="I68">
        <v>38</v>
      </c>
      <c r="J68" s="33">
        <v>0</v>
      </c>
      <c r="K68" s="33">
        <v>0</v>
      </c>
      <c r="L68" s="33">
        <v>0</v>
      </c>
      <c r="M68">
        <v>38</v>
      </c>
      <c r="N68">
        <v>0</v>
      </c>
      <c r="O68">
        <v>0</v>
      </c>
      <c r="P68">
        <v>39134</v>
      </c>
      <c r="Q68">
        <v>0</v>
      </c>
      <c r="R68">
        <v>395006</v>
      </c>
      <c r="S68">
        <v>396870</v>
      </c>
      <c r="T68">
        <v>287</v>
      </c>
      <c r="U68">
        <v>0</v>
      </c>
      <c r="V68">
        <v>2233</v>
      </c>
      <c r="W68">
        <v>2239</v>
      </c>
      <c r="X68" s="23">
        <v>0.00733377625594113</v>
      </c>
      <c r="Y68" s="23" t="s">
        <v>54</v>
      </c>
      <c r="Z68" s="23">
        <v>0.00565307868741234</v>
      </c>
      <c r="AA68" s="23">
        <v>0.0056416458790032</v>
      </c>
      <c r="AB68">
        <v>72.29</v>
      </c>
      <c r="AC68">
        <v>0</v>
      </c>
      <c r="AD68">
        <v>435.58</v>
      </c>
      <c r="AE68">
        <v>436.88</v>
      </c>
      <c r="AF68" s="23">
        <v>0.420339574369113</v>
      </c>
      <c r="AG68" s="23" t="s">
        <v>54</v>
      </c>
      <c r="AH68" s="23">
        <v>0.72363896134102</v>
      </c>
      <c r="AI68" s="23">
        <v>1.69353025545606</v>
      </c>
      <c r="AJ68">
        <v>429</v>
      </c>
      <c r="AK68">
        <v>220</v>
      </c>
      <c r="AL68">
        <v>677</v>
      </c>
      <c r="AM68">
        <v>944</v>
      </c>
      <c r="AN68" s="23">
        <v>0.00466200466200466</v>
      </c>
      <c r="AO68" s="23">
        <v>0</v>
      </c>
      <c r="AP68" s="23">
        <v>0.0103397341211226</v>
      </c>
      <c r="AQ68" s="23">
        <v>0.00317796610169492</v>
      </c>
      <c r="AR68" s="35">
        <v>0.285714285714286</v>
      </c>
      <c r="AS68" s="35">
        <v>17.1428571428571</v>
      </c>
      <c r="AT68" s="35">
        <v>20.8571428571429</v>
      </c>
      <c r="AU68" s="31">
        <f t="shared" si="3"/>
        <v>133</v>
      </c>
      <c r="AV68" s="36">
        <f>IFERROR(时间!$B$4+AU68,"上周无销量")</f>
        <v>43472</v>
      </c>
    </row>
    <row r="69" spans="1:48">
      <c r="A69" s="21" t="s">
        <v>252</v>
      </c>
      <c r="B69" t="s">
        <v>253</v>
      </c>
      <c r="C69" t="s">
        <v>254</v>
      </c>
      <c r="D69" s="31">
        <v>0</v>
      </c>
      <c r="E69" s="31">
        <v>0</v>
      </c>
      <c r="F69" s="31">
        <v>1</v>
      </c>
      <c r="G69" s="31">
        <v>0</v>
      </c>
      <c r="H69" s="32">
        <v>79.99</v>
      </c>
      <c r="I69">
        <v>2</v>
      </c>
      <c r="J69" s="33">
        <v>0</v>
      </c>
      <c r="K69" s="33">
        <v>0</v>
      </c>
      <c r="L69" s="33">
        <v>0</v>
      </c>
      <c r="M69">
        <v>2</v>
      </c>
      <c r="N69">
        <v>0</v>
      </c>
      <c r="O69">
        <v>2</v>
      </c>
      <c r="P69">
        <v>0</v>
      </c>
      <c r="Q69">
        <v>0</v>
      </c>
      <c r="R69">
        <v>63097</v>
      </c>
      <c r="S69">
        <v>63123</v>
      </c>
      <c r="T69">
        <v>0</v>
      </c>
      <c r="U69">
        <v>0</v>
      </c>
      <c r="V69">
        <v>179</v>
      </c>
      <c r="W69">
        <v>180</v>
      </c>
      <c r="X69" s="23" t="s">
        <v>54</v>
      </c>
      <c r="Y69" s="23" t="s">
        <v>54</v>
      </c>
      <c r="Z69" s="23">
        <v>0.00283690191292771</v>
      </c>
      <c r="AA69" s="23">
        <v>0.00285157549546124</v>
      </c>
      <c r="AB69">
        <v>0</v>
      </c>
      <c r="AC69">
        <v>0</v>
      </c>
      <c r="AD69">
        <v>52.18</v>
      </c>
      <c r="AE69">
        <v>52.56</v>
      </c>
      <c r="AF69" s="23" t="s">
        <v>54</v>
      </c>
      <c r="AG69" s="23" t="s">
        <v>54</v>
      </c>
      <c r="AH69" s="23">
        <v>0.65233154144268</v>
      </c>
      <c r="AI69" s="23" t="s">
        <v>255</v>
      </c>
      <c r="AJ69">
        <v>18</v>
      </c>
      <c r="AK69">
        <v>19</v>
      </c>
      <c r="AL69">
        <v>20</v>
      </c>
      <c r="AM69">
        <v>21</v>
      </c>
      <c r="AN69" s="23">
        <v>0</v>
      </c>
      <c r="AO69" s="23">
        <v>0</v>
      </c>
      <c r="AP69" s="23">
        <v>0.05</v>
      </c>
      <c r="AQ69" s="23">
        <v>0</v>
      </c>
      <c r="AR69" s="35">
        <v>0</v>
      </c>
      <c r="AS69" s="35">
        <v>0</v>
      </c>
      <c r="AT69" s="35">
        <v>2</v>
      </c>
      <c r="AU69" s="31" t="str">
        <f t="shared" ref="AU69:AU132" si="5">IF(AR69="","库存为"&amp;M69,IF(AS69=0,"库存为"&amp;M69,INT(M69/AR69)))</f>
        <v>库存为2</v>
      </c>
      <c r="AV69" s="36" t="str">
        <f>IFERROR(时间!$B$4+AU69,"上周无销量")</f>
        <v>上周无销量</v>
      </c>
    </row>
    <row r="70" spans="1:48">
      <c r="A70" s="21" t="s">
        <v>256</v>
      </c>
      <c r="B70" t="s">
        <v>257</v>
      </c>
      <c r="C70" t="s">
        <v>258</v>
      </c>
      <c r="D70" s="31">
        <v>2</v>
      </c>
      <c r="E70" s="31">
        <v>0</v>
      </c>
      <c r="F70" s="31">
        <v>0</v>
      </c>
      <c r="G70" s="31">
        <v>1</v>
      </c>
      <c r="H70" s="32">
        <v>79.99</v>
      </c>
      <c r="I70">
        <v>0</v>
      </c>
      <c r="J70" s="33">
        <v>0</v>
      </c>
      <c r="K70" s="33">
        <v>0</v>
      </c>
      <c r="L70" s="33">
        <v>0</v>
      </c>
      <c r="M70">
        <v>0</v>
      </c>
      <c r="N70">
        <v>0</v>
      </c>
      <c r="O70">
        <v>0</v>
      </c>
      <c r="P70">
        <v>9397</v>
      </c>
      <c r="Q70">
        <v>27137</v>
      </c>
      <c r="R70">
        <v>174599</v>
      </c>
      <c r="S70">
        <v>174794</v>
      </c>
      <c r="T70">
        <v>19</v>
      </c>
      <c r="U70">
        <v>73</v>
      </c>
      <c r="V70">
        <v>463</v>
      </c>
      <c r="W70">
        <v>463</v>
      </c>
      <c r="X70" s="23">
        <v>0.00202192188996488</v>
      </c>
      <c r="Y70" s="23">
        <v>0.00269005416958396</v>
      </c>
      <c r="Z70" s="23">
        <v>0.00265179067463158</v>
      </c>
      <c r="AA70" s="23">
        <v>0.00264883233978283</v>
      </c>
      <c r="AB70">
        <v>2.74</v>
      </c>
      <c r="AC70">
        <v>11.09</v>
      </c>
      <c r="AD70">
        <v>76.69</v>
      </c>
      <c r="AE70">
        <v>76.69</v>
      </c>
      <c r="AF70" s="23">
        <v>0.0171271408926116</v>
      </c>
      <c r="AG70" s="23" t="s">
        <v>259</v>
      </c>
      <c r="AH70" s="23" t="s">
        <v>260</v>
      </c>
      <c r="AI70" s="23">
        <v>0.958744843105388</v>
      </c>
      <c r="AJ70">
        <v>32</v>
      </c>
      <c r="AK70">
        <v>96</v>
      </c>
      <c r="AL70">
        <v>154</v>
      </c>
      <c r="AM70">
        <v>65</v>
      </c>
      <c r="AN70" s="23">
        <v>0.0625</v>
      </c>
      <c r="AO70" s="23">
        <v>0</v>
      </c>
      <c r="AP70" s="23">
        <v>0</v>
      </c>
      <c r="AQ70" s="23">
        <v>0.0153846153846154</v>
      </c>
      <c r="AR70" s="35">
        <v>0.285714285714286</v>
      </c>
      <c r="AS70" s="35">
        <v>17.1428571428571</v>
      </c>
      <c r="AT70" s="35">
        <v>-17.1428571428571</v>
      </c>
      <c r="AU70" s="31">
        <f t="shared" si="5"/>
        <v>0</v>
      </c>
      <c r="AV70" s="36">
        <f>IFERROR(时间!$B$4+AU70,"上周无销量")</f>
        <v>43339</v>
      </c>
    </row>
    <row r="71" spans="1:48">
      <c r="A71" s="21" t="s">
        <v>261</v>
      </c>
      <c r="B71" t="s">
        <v>262</v>
      </c>
      <c r="C71" t="s">
        <v>258</v>
      </c>
      <c r="D71" s="31">
        <v>0</v>
      </c>
      <c r="E71" s="31">
        <v>0</v>
      </c>
      <c r="F71" s="31">
        <v>1</v>
      </c>
      <c r="G71" s="31">
        <v>0</v>
      </c>
      <c r="H71" s="32">
        <v>89.99</v>
      </c>
      <c r="I71">
        <v>5</v>
      </c>
      <c r="J71" s="33">
        <v>0</v>
      </c>
      <c r="K71" s="33">
        <v>0</v>
      </c>
      <c r="L71" s="33">
        <v>0</v>
      </c>
      <c r="M71">
        <v>5</v>
      </c>
      <c r="N71">
        <v>0</v>
      </c>
      <c r="O71">
        <v>0</v>
      </c>
      <c r="P71">
        <v>0</v>
      </c>
      <c r="Q71">
        <v>1371</v>
      </c>
      <c r="R71">
        <v>82899</v>
      </c>
      <c r="S71">
        <v>83037</v>
      </c>
      <c r="T71">
        <v>0</v>
      </c>
      <c r="U71">
        <v>9</v>
      </c>
      <c r="V71">
        <v>294</v>
      </c>
      <c r="W71">
        <v>294</v>
      </c>
      <c r="X71" s="23" t="s">
        <v>54</v>
      </c>
      <c r="Y71" s="23">
        <v>0.00656455142231947</v>
      </c>
      <c r="Z71" s="23">
        <v>0.00354648427604676</v>
      </c>
      <c r="AA71" s="23">
        <v>0.00354059033924636</v>
      </c>
      <c r="AB71">
        <v>0</v>
      </c>
      <c r="AC71">
        <v>2.58</v>
      </c>
      <c r="AD71">
        <v>85.38</v>
      </c>
      <c r="AE71">
        <v>85.38</v>
      </c>
      <c r="AF71" s="23" t="s">
        <v>54</v>
      </c>
      <c r="AG71" s="23" t="s">
        <v>263</v>
      </c>
      <c r="AH71" s="23">
        <v>0.94877208578731</v>
      </c>
      <c r="AI71" s="23" t="s">
        <v>264</v>
      </c>
      <c r="AJ71">
        <v>16</v>
      </c>
      <c r="AK71">
        <v>61</v>
      </c>
      <c r="AL71">
        <v>48</v>
      </c>
      <c r="AM71">
        <v>59</v>
      </c>
      <c r="AN71" s="23">
        <v>0</v>
      </c>
      <c r="AO71" s="23">
        <v>0</v>
      </c>
      <c r="AP71" s="23">
        <v>0.0208333333333333</v>
      </c>
      <c r="AQ71" s="23">
        <v>0</v>
      </c>
      <c r="AR71" s="35">
        <v>0</v>
      </c>
      <c r="AS71" s="35">
        <v>0</v>
      </c>
      <c r="AT71" s="35">
        <v>5</v>
      </c>
      <c r="AU71" s="31" t="str">
        <f t="shared" si="5"/>
        <v>库存为5</v>
      </c>
      <c r="AV71" s="36" t="str">
        <f>IFERROR(时间!$B$4+AU71,"上周无销量")</f>
        <v>上周无销量</v>
      </c>
    </row>
    <row r="72" spans="1:48">
      <c r="A72" s="21" t="s">
        <v>265</v>
      </c>
      <c r="B72" t="s">
        <v>266</v>
      </c>
      <c r="C72" t="s">
        <v>267</v>
      </c>
      <c r="D72" s="31">
        <v>2</v>
      </c>
      <c r="E72" s="31">
        <v>2</v>
      </c>
      <c r="F72" s="31">
        <v>0</v>
      </c>
      <c r="G72" s="31">
        <v>1</v>
      </c>
      <c r="H72" s="32">
        <v>99.99</v>
      </c>
      <c r="I72">
        <v>1</v>
      </c>
      <c r="J72" s="33">
        <v>5</v>
      </c>
      <c r="K72" s="33">
        <v>0</v>
      </c>
      <c r="L72" s="33">
        <v>0</v>
      </c>
      <c r="M72">
        <v>6</v>
      </c>
      <c r="N72">
        <v>0</v>
      </c>
      <c r="O72">
        <v>0</v>
      </c>
      <c r="P72">
        <v>33</v>
      </c>
      <c r="Q72">
        <v>0</v>
      </c>
      <c r="R72">
        <v>73447</v>
      </c>
      <c r="S72">
        <v>73628</v>
      </c>
      <c r="T72">
        <v>0</v>
      </c>
      <c r="U72">
        <v>0</v>
      </c>
      <c r="V72">
        <v>350</v>
      </c>
      <c r="W72">
        <v>353</v>
      </c>
      <c r="X72" s="23">
        <v>0</v>
      </c>
      <c r="Y72" s="23" t="s">
        <v>54</v>
      </c>
      <c r="Z72" s="23">
        <v>0.00476534099418628</v>
      </c>
      <c r="AA72" s="23">
        <v>0.00479437170641604</v>
      </c>
      <c r="AB72">
        <v>0</v>
      </c>
      <c r="AC72">
        <v>0</v>
      </c>
      <c r="AD72">
        <v>88.57</v>
      </c>
      <c r="AE72">
        <v>89.77</v>
      </c>
      <c r="AF72" s="23" t="s">
        <v>54</v>
      </c>
      <c r="AG72" s="23" t="s">
        <v>54</v>
      </c>
      <c r="AH72" s="23" t="s">
        <v>268</v>
      </c>
      <c r="AI72" s="23">
        <v>0.897789778977898</v>
      </c>
      <c r="AJ72">
        <v>55</v>
      </c>
      <c r="AK72">
        <v>80</v>
      </c>
      <c r="AL72">
        <v>90</v>
      </c>
      <c r="AM72">
        <v>144</v>
      </c>
      <c r="AN72" s="23">
        <v>0.0363636363636364</v>
      </c>
      <c r="AO72" s="23">
        <v>0.025</v>
      </c>
      <c r="AP72" s="23">
        <v>0</v>
      </c>
      <c r="AQ72" s="23">
        <v>0.00694444444444444</v>
      </c>
      <c r="AR72" s="35">
        <v>0.285714285714286</v>
      </c>
      <c r="AS72" s="35">
        <v>17.1428571428571</v>
      </c>
      <c r="AT72" s="35">
        <v>-11.1428571428571</v>
      </c>
      <c r="AU72" s="31">
        <f t="shared" si="5"/>
        <v>21</v>
      </c>
      <c r="AV72" s="36">
        <f>IFERROR(时间!$B$4+AU72,"上周无销量")</f>
        <v>43360</v>
      </c>
    </row>
    <row r="73" spans="1:48">
      <c r="A73" s="21" t="s">
        <v>269</v>
      </c>
      <c r="B73" t="s">
        <v>270</v>
      </c>
      <c r="C73" t="s">
        <v>267</v>
      </c>
      <c r="D73" s="31">
        <v>0</v>
      </c>
      <c r="E73" s="31">
        <v>0</v>
      </c>
      <c r="F73" s="31">
        <v>0</v>
      </c>
      <c r="G73" s="31">
        <v>0</v>
      </c>
      <c r="H73" s="32">
        <v>0</v>
      </c>
      <c r="I73">
        <v>5</v>
      </c>
      <c r="J73" s="33">
        <v>0</v>
      </c>
      <c r="K73" s="33">
        <v>0</v>
      </c>
      <c r="L73" s="33">
        <v>0</v>
      </c>
      <c r="M73">
        <v>5</v>
      </c>
      <c r="N73">
        <v>0</v>
      </c>
      <c r="O73">
        <v>0</v>
      </c>
      <c r="P73" t="s">
        <v>54</v>
      </c>
      <c r="Q73" t="s">
        <v>54</v>
      </c>
      <c r="R73" t="s">
        <v>54</v>
      </c>
      <c r="S73" t="s">
        <v>54</v>
      </c>
      <c r="T73" t="s">
        <v>54</v>
      </c>
      <c r="U73" t="s">
        <v>54</v>
      </c>
      <c r="V73" t="s">
        <v>54</v>
      </c>
      <c r="W73" t="s">
        <v>54</v>
      </c>
      <c r="X73" s="23" t="s">
        <v>54</v>
      </c>
      <c r="Y73" s="23" t="s">
        <v>54</v>
      </c>
      <c r="Z73" s="23" t="s">
        <v>54</v>
      </c>
      <c r="AA73" s="23" t="s">
        <v>54</v>
      </c>
      <c r="AB73" t="s">
        <v>54</v>
      </c>
      <c r="AC73" t="s">
        <v>54</v>
      </c>
      <c r="AD73" t="s">
        <v>54</v>
      </c>
      <c r="AE73" t="s">
        <v>54</v>
      </c>
      <c r="AF73" s="23" t="s">
        <v>54</v>
      </c>
      <c r="AG73" s="23" t="s">
        <v>54</v>
      </c>
      <c r="AH73" s="23" t="s">
        <v>54</v>
      </c>
      <c r="AI73" s="23" t="s">
        <v>54</v>
      </c>
      <c r="AJ73">
        <v>23</v>
      </c>
      <c r="AK73">
        <v>20</v>
      </c>
      <c r="AL73">
        <v>10</v>
      </c>
      <c r="AM73">
        <v>18</v>
      </c>
      <c r="AN73" s="23">
        <v>0</v>
      </c>
      <c r="AO73" s="23">
        <v>0</v>
      </c>
      <c r="AP73" s="23">
        <v>0</v>
      </c>
      <c r="AQ73" s="23">
        <v>0</v>
      </c>
      <c r="AR73" s="35">
        <v>0</v>
      </c>
      <c r="AS73" s="35">
        <v>0</v>
      </c>
      <c r="AT73" s="35">
        <v>5</v>
      </c>
      <c r="AU73" s="31" t="str">
        <f t="shared" si="5"/>
        <v>库存为5</v>
      </c>
      <c r="AV73" s="36" t="str">
        <f>IFERROR(时间!$B$4+AU73,"上周无销量")</f>
        <v>上周无销量</v>
      </c>
    </row>
    <row r="74" spans="1:48">
      <c r="A74" s="21" t="s">
        <v>271</v>
      </c>
      <c r="B74" t="s">
        <v>272</v>
      </c>
      <c r="C74" t="s">
        <v>273</v>
      </c>
      <c r="D74" s="31">
        <v>0</v>
      </c>
      <c r="E74" s="31">
        <v>1</v>
      </c>
      <c r="F74" s="31">
        <v>0</v>
      </c>
      <c r="G74" s="31">
        <v>0</v>
      </c>
      <c r="H74" s="32">
        <v>89.6</v>
      </c>
      <c r="I74">
        <v>2</v>
      </c>
      <c r="J74" s="33">
        <v>0</v>
      </c>
      <c r="K74" s="33">
        <v>0</v>
      </c>
      <c r="L74" s="33">
        <v>0</v>
      </c>
      <c r="M74">
        <v>2</v>
      </c>
      <c r="N74">
        <v>0</v>
      </c>
      <c r="O74">
        <v>2</v>
      </c>
      <c r="P74">
        <v>10035</v>
      </c>
      <c r="Q74">
        <v>19362</v>
      </c>
      <c r="R74">
        <v>322313</v>
      </c>
      <c r="S74">
        <v>322318</v>
      </c>
      <c r="T74">
        <v>52</v>
      </c>
      <c r="U74">
        <v>108</v>
      </c>
      <c r="V74">
        <v>792</v>
      </c>
      <c r="W74">
        <v>792</v>
      </c>
      <c r="X74" s="23">
        <v>0.0051818634778276</v>
      </c>
      <c r="Y74" s="23">
        <v>0.00557793616361946</v>
      </c>
      <c r="Z74" s="23">
        <v>0.00245723877100831</v>
      </c>
      <c r="AA74" s="23">
        <v>0.00245720065277149</v>
      </c>
      <c r="AB74">
        <v>19.64</v>
      </c>
      <c r="AC74">
        <v>35.79</v>
      </c>
      <c r="AD74">
        <v>202.38</v>
      </c>
      <c r="AE74">
        <v>202.38</v>
      </c>
      <c r="AF74" s="23" t="s">
        <v>274</v>
      </c>
      <c r="AG74" s="23">
        <v>0.399441964285714</v>
      </c>
      <c r="AH74" s="23" t="s">
        <v>275</v>
      </c>
      <c r="AI74" s="23" t="s">
        <v>275</v>
      </c>
      <c r="AJ74">
        <v>68</v>
      </c>
      <c r="AK74">
        <v>108</v>
      </c>
      <c r="AL74">
        <v>67</v>
      </c>
      <c r="AM74">
        <v>42</v>
      </c>
      <c r="AN74" s="23">
        <v>0</v>
      </c>
      <c r="AO74" s="23">
        <v>0.00925925925925926</v>
      </c>
      <c r="AP74" s="23">
        <v>0</v>
      </c>
      <c r="AQ74" s="23">
        <v>0</v>
      </c>
      <c r="AR74" s="35">
        <v>0</v>
      </c>
      <c r="AS74" s="35">
        <v>0</v>
      </c>
      <c r="AT74" s="35">
        <v>2</v>
      </c>
      <c r="AU74" s="31" t="str">
        <f t="shared" si="5"/>
        <v>库存为2</v>
      </c>
      <c r="AV74" s="36" t="str">
        <f>IFERROR(时间!$B$4+AU74,"上周无销量")</f>
        <v>上周无销量</v>
      </c>
    </row>
    <row r="75" spans="1:48">
      <c r="A75" s="21" t="s">
        <v>276</v>
      </c>
      <c r="B75" t="s">
        <v>277</v>
      </c>
      <c r="C75" t="s">
        <v>278</v>
      </c>
      <c r="D75" s="31">
        <v>3</v>
      </c>
      <c r="E75" s="31">
        <v>0</v>
      </c>
      <c r="F75" s="31">
        <v>0</v>
      </c>
      <c r="G75" s="31">
        <v>0</v>
      </c>
      <c r="H75" s="32">
        <v>99.6</v>
      </c>
      <c r="I75">
        <v>23</v>
      </c>
      <c r="J75" s="33">
        <v>0</v>
      </c>
      <c r="K75" s="33">
        <v>0</v>
      </c>
      <c r="L75" s="33">
        <v>0</v>
      </c>
      <c r="M75">
        <v>23</v>
      </c>
      <c r="N75">
        <v>0</v>
      </c>
      <c r="O75">
        <v>3</v>
      </c>
      <c r="P75">
        <v>23610</v>
      </c>
      <c r="Q75">
        <v>0</v>
      </c>
      <c r="R75">
        <v>0</v>
      </c>
      <c r="S75">
        <v>0</v>
      </c>
      <c r="T75">
        <v>108</v>
      </c>
      <c r="U75">
        <v>0</v>
      </c>
      <c r="V75">
        <v>0</v>
      </c>
      <c r="W75">
        <v>0</v>
      </c>
      <c r="X75" s="23">
        <v>0.00457433290978399</v>
      </c>
      <c r="Y75" s="23" t="s">
        <v>54</v>
      </c>
      <c r="Z75" s="23" t="s">
        <v>54</v>
      </c>
      <c r="AA75" s="23" t="s">
        <v>54</v>
      </c>
      <c r="AB75">
        <v>40.52</v>
      </c>
      <c r="AC75">
        <v>0</v>
      </c>
      <c r="AD75">
        <v>0</v>
      </c>
      <c r="AE75">
        <v>0</v>
      </c>
      <c r="AF75" s="23">
        <v>0.135609103078983</v>
      </c>
      <c r="AG75" s="23" t="s">
        <v>54</v>
      </c>
      <c r="AH75" s="23" t="s">
        <v>54</v>
      </c>
      <c r="AI75" s="23" t="s">
        <v>54</v>
      </c>
      <c r="AJ75">
        <v>194</v>
      </c>
      <c r="AK75">
        <v>30</v>
      </c>
      <c r="AL75">
        <v>37</v>
      </c>
      <c r="AM75">
        <v>31</v>
      </c>
      <c r="AN75" s="23">
        <v>0.0154639175257732</v>
      </c>
      <c r="AO75" s="23">
        <v>0</v>
      </c>
      <c r="AP75" s="23">
        <v>0</v>
      </c>
      <c r="AQ75" s="23">
        <v>0</v>
      </c>
      <c r="AR75" s="35">
        <v>0.428571428571429</v>
      </c>
      <c r="AS75" s="35">
        <v>25.7142857142857</v>
      </c>
      <c r="AT75" s="35">
        <v>-2.71428571428571</v>
      </c>
      <c r="AU75" s="31">
        <f t="shared" si="5"/>
        <v>53</v>
      </c>
      <c r="AV75" s="36">
        <f>IFERROR(时间!$B$4+AU75,"上周无销量")</f>
        <v>43392</v>
      </c>
    </row>
    <row r="76" spans="1:48">
      <c r="A76" s="21" t="s">
        <v>279</v>
      </c>
      <c r="B76" t="s">
        <v>280</v>
      </c>
      <c r="C76" t="s">
        <v>281</v>
      </c>
      <c r="D76" s="31">
        <v>1</v>
      </c>
      <c r="E76" s="31">
        <v>1</v>
      </c>
      <c r="F76" s="31">
        <v>0</v>
      </c>
      <c r="G76" s="31">
        <v>1</v>
      </c>
      <c r="H76" s="32">
        <v>85.99</v>
      </c>
      <c r="I76">
        <v>4</v>
      </c>
      <c r="J76" s="33">
        <v>5</v>
      </c>
      <c r="K76" s="33">
        <v>0</v>
      </c>
      <c r="L76" s="33">
        <v>0</v>
      </c>
      <c r="M76">
        <v>9</v>
      </c>
      <c r="N76">
        <v>0</v>
      </c>
      <c r="O76">
        <v>0</v>
      </c>
      <c r="P76">
        <v>15264</v>
      </c>
      <c r="Q76">
        <v>9838</v>
      </c>
      <c r="R76">
        <v>62824</v>
      </c>
      <c r="S76">
        <v>62955</v>
      </c>
      <c r="T76">
        <v>89</v>
      </c>
      <c r="U76">
        <v>56</v>
      </c>
      <c r="V76">
        <v>283</v>
      </c>
      <c r="W76">
        <v>284</v>
      </c>
      <c r="X76" s="23">
        <v>0.00583071278825996</v>
      </c>
      <c r="Y76" s="23">
        <v>0.00569221386460663</v>
      </c>
      <c r="Z76" s="23">
        <v>0.00450464790525914</v>
      </c>
      <c r="AA76" s="23">
        <v>0.00451115876419665</v>
      </c>
      <c r="AB76">
        <v>27.87</v>
      </c>
      <c r="AC76">
        <v>14.58</v>
      </c>
      <c r="AD76">
        <v>57.21</v>
      </c>
      <c r="AE76">
        <v>57.36</v>
      </c>
      <c r="AF76" s="23">
        <v>0.324107454355158</v>
      </c>
      <c r="AG76" s="23">
        <v>0.16955459937202</v>
      </c>
      <c r="AH76" s="23" t="s">
        <v>282</v>
      </c>
      <c r="AI76" s="23">
        <v>0.66705430864054</v>
      </c>
      <c r="AJ76">
        <v>191</v>
      </c>
      <c r="AK76">
        <v>88</v>
      </c>
      <c r="AL76">
        <v>106</v>
      </c>
      <c r="AM76">
        <v>71</v>
      </c>
      <c r="AN76" s="23">
        <v>0.00523560209424084</v>
      </c>
      <c r="AO76" s="23">
        <v>0.0113636363636364</v>
      </c>
      <c r="AP76" s="23">
        <v>0</v>
      </c>
      <c r="AQ76" s="23">
        <v>0.0140845070422535</v>
      </c>
      <c r="AR76" s="35">
        <v>0.142857142857143</v>
      </c>
      <c r="AS76" s="35">
        <v>8.57142857142857</v>
      </c>
      <c r="AT76" s="35">
        <v>0.428571428571429</v>
      </c>
      <c r="AU76" s="31">
        <f t="shared" si="5"/>
        <v>63</v>
      </c>
      <c r="AV76" s="36">
        <f>IFERROR(时间!$B$4+AU76,"上周无销量")</f>
        <v>43402</v>
      </c>
    </row>
    <row r="77" spans="1:48">
      <c r="A77" s="21" t="s">
        <v>283</v>
      </c>
      <c r="B77" t="s">
        <v>284</v>
      </c>
      <c r="C77" t="s">
        <v>285</v>
      </c>
      <c r="D77" s="31">
        <v>2</v>
      </c>
      <c r="E77" s="31">
        <v>0</v>
      </c>
      <c r="F77" s="31">
        <v>2</v>
      </c>
      <c r="G77" s="31">
        <v>0</v>
      </c>
      <c r="H77" s="32">
        <v>89.99</v>
      </c>
      <c r="I77">
        <v>7</v>
      </c>
      <c r="J77" s="33">
        <v>0</v>
      </c>
      <c r="K77" s="33">
        <v>0</v>
      </c>
      <c r="L77" s="33">
        <v>0</v>
      </c>
      <c r="M77">
        <v>7</v>
      </c>
      <c r="N77">
        <v>0</v>
      </c>
      <c r="O77">
        <v>0</v>
      </c>
      <c r="P77">
        <v>104937</v>
      </c>
      <c r="Q77">
        <v>46197</v>
      </c>
      <c r="R77">
        <v>151772</v>
      </c>
      <c r="S77">
        <v>152205</v>
      </c>
      <c r="T77">
        <v>317</v>
      </c>
      <c r="U77">
        <v>165</v>
      </c>
      <c r="V77">
        <v>697</v>
      </c>
      <c r="W77">
        <v>697</v>
      </c>
      <c r="X77" s="23">
        <v>0.0030208601351287</v>
      </c>
      <c r="Y77" s="23">
        <v>0.0035716604974349</v>
      </c>
      <c r="Z77" s="23">
        <v>0.00459241493819677</v>
      </c>
      <c r="AA77" s="23">
        <v>0.00457935021845537</v>
      </c>
      <c r="AB77">
        <v>46.66</v>
      </c>
      <c r="AC77">
        <v>25.35</v>
      </c>
      <c r="AD77">
        <v>142.57</v>
      </c>
      <c r="AE77">
        <v>142.57</v>
      </c>
      <c r="AF77" s="23">
        <v>0.259251027891988</v>
      </c>
      <c r="AG77" s="23" t="s">
        <v>286</v>
      </c>
      <c r="AH77" s="23">
        <v>0.792143571507945</v>
      </c>
      <c r="AI77" s="23" t="s">
        <v>287</v>
      </c>
      <c r="AJ77">
        <v>341</v>
      </c>
      <c r="AK77">
        <v>203</v>
      </c>
      <c r="AL77">
        <v>303</v>
      </c>
      <c r="AM77">
        <v>225</v>
      </c>
      <c r="AN77" s="23">
        <v>0.00586510263929619</v>
      </c>
      <c r="AO77" s="23">
        <v>0</v>
      </c>
      <c r="AP77" s="23">
        <v>0.0066006600660066</v>
      </c>
      <c r="AQ77" s="23">
        <v>0</v>
      </c>
      <c r="AR77" s="35">
        <v>0.285714285714286</v>
      </c>
      <c r="AS77" s="35">
        <v>17.1428571428571</v>
      </c>
      <c r="AT77" s="35">
        <v>-10.1428571428571</v>
      </c>
      <c r="AU77" s="31">
        <f t="shared" si="5"/>
        <v>24</v>
      </c>
      <c r="AV77" s="36">
        <f>IFERROR(时间!$B$4+AU77,"上周无销量")</f>
        <v>43363</v>
      </c>
    </row>
    <row r="78" spans="1:48">
      <c r="A78" s="21" t="s">
        <v>288</v>
      </c>
      <c r="B78" t="s">
        <v>289</v>
      </c>
      <c r="C78" t="s">
        <v>285</v>
      </c>
      <c r="D78" s="31">
        <v>0</v>
      </c>
      <c r="E78" s="31">
        <v>0</v>
      </c>
      <c r="F78" s="31">
        <v>0</v>
      </c>
      <c r="G78" s="31">
        <v>0</v>
      </c>
      <c r="H78" s="32">
        <v>0</v>
      </c>
      <c r="I78">
        <v>6</v>
      </c>
      <c r="J78" s="33">
        <v>0</v>
      </c>
      <c r="K78" s="33">
        <v>0</v>
      </c>
      <c r="L78" s="33">
        <v>0</v>
      </c>
      <c r="M78">
        <v>6</v>
      </c>
      <c r="N78">
        <v>0</v>
      </c>
      <c r="O78">
        <v>1</v>
      </c>
      <c r="P78" t="s">
        <v>54</v>
      </c>
      <c r="Q78" t="s">
        <v>54</v>
      </c>
      <c r="R78" t="s">
        <v>54</v>
      </c>
      <c r="S78" t="s">
        <v>54</v>
      </c>
      <c r="T78" t="s">
        <v>54</v>
      </c>
      <c r="U78" t="s">
        <v>54</v>
      </c>
      <c r="V78" t="s">
        <v>54</v>
      </c>
      <c r="W78" t="s">
        <v>54</v>
      </c>
      <c r="X78" s="23" t="s">
        <v>54</v>
      </c>
      <c r="Y78" s="23" t="s">
        <v>54</v>
      </c>
      <c r="Z78" s="23" t="s">
        <v>54</v>
      </c>
      <c r="AA78" s="23" t="s">
        <v>54</v>
      </c>
      <c r="AB78" t="s">
        <v>54</v>
      </c>
      <c r="AC78" t="s">
        <v>54</v>
      </c>
      <c r="AD78" t="s">
        <v>54</v>
      </c>
      <c r="AE78" t="s">
        <v>54</v>
      </c>
      <c r="AF78" s="23" t="s">
        <v>54</v>
      </c>
      <c r="AG78" s="23" t="s">
        <v>54</v>
      </c>
      <c r="AH78" s="23" t="s">
        <v>54</v>
      </c>
      <c r="AI78" s="23" t="s">
        <v>54</v>
      </c>
      <c r="AJ78">
        <v>45</v>
      </c>
      <c r="AK78">
        <v>40</v>
      </c>
      <c r="AL78">
        <v>47</v>
      </c>
      <c r="AM78">
        <v>41</v>
      </c>
      <c r="AN78" s="23">
        <v>0</v>
      </c>
      <c r="AO78" s="23">
        <v>0</v>
      </c>
      <c r="AP78" s="23">
        <v>0</v>
      </c>
      <c r="AQ78" s="23">
        <v>0</v>
      </c>
      <c r="AR78" s="35">
        <v>0</v>
      </c>
      <c r="AS78" s="35">
        <v>0</v>
      </c>
      <c r="AT78" s="35">
        <v>6</v>
      </c>
      <c r="AU78" s="31" t="str">
        <f t="shared" si="5"/>
        <v>库存为6</v>
      </c>
      <c r="AV78" s="36" t="str">
        <f>IFERROR(时间!$B$4+AU78,"上周无销量")</f>
        <v>上周无销量</v>
      </c>
    </row>
    <row r="79" spans="1:48">
      <c r="A79" s="21" t="s">
        <v>290</v>
      </c>
      <c r="B79" t="s">
        <v>291</v>
      </c>
      <c r="C79" t="s">
        <v>292</v>
      </c>
      <c r="D79" s="31">
        <v>0</v>
      </c>
      <c r="E79" s="31">
        <v>0</v>
      </c>
      <c r="F79" s="31">
        <v>1</v>
      </c>
      <c r="G79" s="31">
        <v>0</v>
      </c>
      <c r="H79" s="32">
        <v>79.99</v>
      </c>
      <c r="I79">
        <v>1</v>
      </c>
      <c r="J79" s="33">
        <v>0</v>
      </c>
      <c r="K79" s="33">
        <v>0</v>
      </c>
      <c r="L79" s="33">
        <v>1</v>
      </c>
      <c r="M79">
        <v>2</v>
      </c>
      <c r="N79">
        <v>0</v>
      </c>
      <c r="O79">
        <v>0</v>
      </c>
      <c r="P79">
        <v>19751</v>
      </c>
      <c r="Q79">
        <v>18991</v>
      </c>
      <c r="R79">
        <v>2394</v>
      </c>
      <c r="S79">
        <v>2404</v>
      </c>
      <c r="T79">
        <v>183</v>
      </c>
      <c r="U79">
        <v>159</v>
      </c>
      <c r="V79">
        <v>31</v>
      </c>
      <c r="W79">
        <v>32</v>
      </c>
      <c r="X79" s="23">
        <v>0.0092653536529796</v>
      </c>
      <c r="Y79" s="23">
        <v>0.00837238692012006</v>
      </c>
      <c r="Z79" s="23">
        <v>0.0129490392648287</v>
      </c>
      <c r="AA79" s="23">
        <v>0.0133111480865225</v>
      </c>
      <c r="AB79">
        <v>49.98</v>
      </c>
      <c r="AC79">
        <v>40.41</v>
      </c>
      <c r="AD79">
        <v>7.94</v>
      </c>
      <c r="AE79">
        <v>8.23</v>
      </c>
      <c r="AF79" s="23" t="s">
        <v>293</v>
      </c>
      <c r="AG79" s="23" t="s">
        <v>294</v>
      </c>
      <c r="AH79" s="23">
        <v>0.0992624078009751</v>
      </c>
      <c r="AI79" s="23" t="s">
        <v>295</v>
      </c>
      <c r="AJ79">
        <v>273</v>
      </c>
      <c r="AK79">
        <v>272</v>
      </c>
      <c r="AL79">
        <v>137</v>
      </c>
      <c r="AM79">
        <v>28</v>
      </c>
      <c r="AN79" s="23">
        <v>0</v>
      </c>
      <c r="AO79" s="23">
        <v>0</v>
      </c>
      <c r="AP79" s="23">
        <v>0.0072992700729927</v>
      </c>
      <c r="AQ79" s="23">
        <v>0</v>
      </c>
      <c r="AR79" s="35">
        <v>0</v>
      </c>
      <c r="AS79" s="35">
        <v>0</v>
      </c>
      <c r="AT79" s="35">
        <v>2</v>
      </c>
      <c r="AU79" s="31" t="str">
        <f t="shared" si="5"/>
        <v>库存为2</v>
      </c>
      <c r="AV79" s="36" t="str">
        <f>IFERROR(时间!$B$4+AU79,"上周无销量")</f>
        <v>上周无销量</v>
      </c>
    </row>
    <row r="80" spans="1:48">
      <c r="A80" s="21" t="s">
        <v>296</v>
      </c>
      <c r="B80" t="s">
        <v>297</v>
      </c>
      <c r="C80" t="s">
        <v>292</v>
      </c>
      <c r="D80" s="31">
        <v>0</v>
      </c>
      <c r="E80" s="31">
        <v>0</v>
      </c>
      <c r="F80" s="31">
        <v>1</v>
      </c>
      <c r="G80" s="31">
        <v>1</v>
      </c>
      <c r="H80" s="32">
        <v>79.99</v>
      </c>
      <c r="I80">
        <v>2</v>
      </c>
      <c r="J80" s="33">
        <v>0</v>
      </c>
      <c r="K80" s="33">
        <v>0</v>
      </c>
      <c r="L80" s="33">
        <v>0</v>
      </c>
      <c r="M80">
        <v>2</v>
      </c>
      <c r="N80">
        <v>0</v>
      </c>
      <c r="O80">
        <v>0</v>
      </c>
      <c r="P80" t="s">
        <v>54</v>
      </c>
      <c r="Q80" t="s">
        <v>54</v>
      </c>
      <c r="R80" t="s">
        <v>54</v>
      </c>
      <c r="S80" t="s">
        <v>54</v>
      </c>
      <c r="T80" t="s">
        <v>54</v>
      </c>
      <c r="U80" t="s">
        <v>54</v>
      </c>
      <c r="V80" t="s">
        <v>54</v>
      </c>
      <c r="W80" t="s">
        <v>54</v>
      </c>
      <c r="X80" s="23" t="s">
        <v>54</v>
      </c>
      <c r="Y80" s="23" t="s">
        <v>54</v>
      </c>
      <c r="Z80" s="23" t="s">
        <v>54</v>
      </c>
      <c r="AA80" s="23" t="s">
        <v>54</v>
      </c>
      <c r="AB80" t="s">
        <v>54</v>
      </c>
      <c r="AC80" t="s">
        <v>54</v>
      </c>
      <c r="AD80" t="s">
        <v>54</v>
      </c>
      <c r="AE80" t="s">
        <v>54</v>
      </c>
      <c r="AF80" s="23" t="s">
        <v>54</v>
      </c>
      <c r="AG80" s="23" t="s">
        <v>54</v>
      </c>
      <c r="AH80" s="23" t="s">
        <v>54</v>
      </c>
      <c r="AI80" s="23" t="s">
        <v>54</v>
      </c>
      <c r="AJ80">
        <v>51</v>
      </c>
      <c r="AK80">
        <v>57</v>
      </c>
      <c r="AL80">
        <v>55</v>
      </c>
      <c r="AM80">
        <v>11</v>
      </c>
      <c r="AN80" s="23">
        <v>0</v>
      </c>
      <c r="AO80" s="23">
        <v>0</v>
      </c>
      <c r="AP80" s="23">
        <v>0.0181818181818182</v>
      </c>
      <c r="AQ80" s="23">
        <v>0.0909090909090909</v>
      </c>
      <c r="AR80" s="35">
        <v>0</v>
      </c>
      <c r="AS80" s="35">
        <v>0</v>
      </c>
      <c r="AT80" s="35">
        <v>2</v>
      </c>
      <c r="AU80" s="31" t="str">
        <f t="shared" si="5"/>
        <v>库存为2</v>
      </c>
      <c r="AV80" s="36" t="str">
        <f>IFERROR(时间!$B$4+AU80,"上周无销量")</f>
        <v>上周无销量</v>
      </c>
    </row>
    <row r="81" spans="1:48">
      <c r="A81" s="21" t="s">
        <v>298</v>
      </c>
      <c r="B81" t="s">
        <v>299</v>
      </c>
      <c r="C81" t="s">
        <v>300</v>
      </c>
      <c r="D81" s="31">
        <v>0</v>
      </c>
      <c r="E81" s="31">
        <v>1</v>
      </c>
      <c r="F81" s="31">
        <v>0</v>
      </c>
      <c r="G81" s="31">
        <v>0</v>
      </c>
      <c r="H81" s="32">
        <v>118.99</v>
      </c>
      <c r="I81">
        <v>5</v>
      </c>
      <c r="J81" s="33">
        <v>0</v>
      </c>
      <c r="K81" s="33">
        <v>0</v>
      </c>
      <c r="L81" s="33">
        <v>0</v>
      </c>
      <c r="M81">
        <v>5</v>
      </c>
      <c r="N81">
        <v>0</v>
      </c>
      <c r="O81">
        <v>0</v>
      </c>
      <c r="P81">
        <v>12310</v>
      </c>
      <c r="Q81">
        <v>3451</v>
      </c>
      <c r="R81">
        <v>1776</v>
      </c>
      <c r="S81">
        <v>1831</v>
      </c>
      <c r="T81">
        <v>26</v>
      </c>
      <c r="U81">
        <v>25</v>
      </c>
      <c r="V81">
        <v>8</v>
      </c>
      <c r="W81">
        <v>8</v>
      </c>
      <c r="X81" s="23">
        <v>0.00211210398050366</v>
      </c>
      <c r="Y81" s="23">
        <v>0.00724427702115329</v>
      </c>
      <c r="Z81" s="23">
        <v>0.0045045045045045</v>
      </c>
      <c r="AA81" s="23">
        <v>0.00436919716002185</v>
      </c>
      <c r="AB81">
        <v>5.73</v>
      </c>
      <c r="AC81">
        <v>6.15</v>
      </c>
      <c r="AD81">
        <v>3.09</v>
      </c>
      <c r="AE81">
        <v>3.09</v>
      </c>
      <c r="AF81" s="23" t="s">
        <v>301</v>
      </c>
      <c r="AG81" s="23">
        <v>0.051685015547525</v>
      </c>
      <c r="AH81" s="23" t="s">
        <v>302</v>
      </c>
      <c r="AI81" s="23" t="s">
        <v>302</v>
      </c>
      <c r="AJ81">
        <v>47</v>
      </c>
      <c r="AK81">
        <v>28</v>
      </c>
      <c r="AL81">
        <v>12</v>
      </c>
      <c r="AM81">
        <v>31</v>
      </c>
      <c r="AN81" s="23">
        <v>0</v>
      </c>
      <c r="AO81" s="23">
        <v>0.0357142857142857</v>
      </c>
      <c r="AP81" s="23">
        <v>0</v>
      </c>
      <c r="AQ81" s="23">
        <v>0</v>
      </c>
      <c r="AR81" s="35">
        <v>0</v>
      </c>
      <c r="AS81" s="35">
        <v>0</v>
      </c>
      <c r="AT81" s="35">
        <v>5</v>
      </c>
      <c r="AU81" s="31" t="str">
        <f t="shared" si="5"/>
        <v>库存为5</v>
      </c>
      <c r="AV81" s="36" t="str">
        <f>IFERROR(时间!$B$4+AU81,"上周无销量")</f>
        <v>上周无销量</v>
      </c>
    </row>
    <row r="82" spans="1:48">
      <c r="A82" s="21" t="s">
        <v>303</v>
      </c>
      <c r="B82" t="s">
        <v>304</v>
      </c>
      <c r="C82" t="s">
        <v>305</v>
      </c>
      <c r="D82" s="31">
        <v>0</v>
      </c>
      <c r="E82" s="31">
        <v>0</v>
      </c>
      <c r="F82" s="31">
        <v>0</v>
      </c>
      <c r="G82" s="31">
        <v>2</v>
      </c>
      <c r="H82" s="32">
        <v>95.99</v>
      </c>
      <c r="I82">
        <v>5</v>
      </c>
      <c r="J82" s="33">
        <v>0</v>
      </c>
      <c r="K82" s="33">
        <v>0</v>
      </c>
      <c r="L82" s="33">
        <v>0</v>
      </c>
      <c r="M82">
        <v>5</v>
      </c>
      <c r="N82">
        <v>0</v>
      </c>
      <c r="O82">
        <v>2</v>
      </c>
      <c r="P82">
        <v>7141</v>
      </c>
      <c r="Q82">
        <v>0</v>
      </c>
      <c r="R82">
        <v>15887</v>
      </c>
      <c r="S82">
        <v>15887</v>
      </c>
      <c r="T82">
        <v>45</v>
      </c>
      <c r="U82">
        <v>0</v>
      </c>
      <c r="V82">
        <v>18</v>
      </c>
      <c r="W82">
        <v>18</v>
      </c>
      <c r="X82" s="23">
        <v>0.00630163842599076</v>
      </c>
      <c r="Y82" s="23" t="s">
        <v>54</v>
      </c>
      <c r="Z82" s="23">
        <v>0.00113300182539183</v>
      </c>
      <c r="AA82" s="23">
        <v>0.00113300182539183</v>
      </c>
      <c r="AB82">
        <v>12.46</v>
      </c>
      <c r="AC82">
        <v>0</v>
      </c>
      <c r="AD82">
        <v>20.36</v>
      </c>
      <c r="AE82">
        <v>20.36</v>
      </c>
      <c r="AF82" s="23" t="s">
        <v>306</v>
      </c>
      <c r="AG82" s="23" t="s">
        <v>54</v>
      </c>
      <c r="AH82" s="23" t="s">
        <v>307</v>
      </c>
      <c r="AI82" s="23">
        <v>0.106052713824357</v>
      </c>
      <c r="AJ82">
        <v>77</v>
      </c>
      <c r="AK82">
        <v>76</v>
      </c>
      <c r="AL82">
        <v>107</v>
      </c>
      <c r="AM82">
        <v>89</v>
      </c>
      <c r="AN82" s="23">
        <v>0</v>
      </c>
      <c r="AO82" s="23">
        <v>0</v>
      </c>
      <c r="AP82" s="23">
        <v>0</v>
      </c>
      <c r="AQ82" s="23">
        <v>0.0224719101123595</v>
      </c>
      <c r="AR82" s="35">
        <v>0</v>
      </c>
      <c r="AS82" s="35">
        <v>0</v>
      </c>
      <c r="AT82" s="35">
        <v>5</v>
      </c>
      <c r="AU82" s="31" t="str">
        <f t="shared" si="5"/>
        <v>库存为5</v>
      </c>
      <c r="AV82" s="36" t="str">
        <f>IFERROR(时间!$B$4+AU82,"上周无销量")</f>
        <v>上周无销量</v>
      </c>
    </row>
    <row r="83" spans="1:48">
      <c r="A83" s="21" t="s">
        <v>308</v>
      </c>
      <c r="B83" t="s">
        <v>309</v>
      </c>
      <c r="C83" t="s">
        <v>305</v>
      </c>
      <c r="D83" s="31">
        <v>0</v>
      </c>
      <c r="E83" s="31">
        <v>1</v>
      </c>
      <c r="F83" s="31">
        <v>1</v>
      </c>
      <c r="G83" s="31">
        <v>0</v>
      </c>
      <c r="H83" s="32">
        <v>89.6</v>
      </c>
      <c r="I83">
        <v>11</v>
      </c>
      <c r="J83" s="33">
        <v>0</v>
      </c>
      <c r="K83" s="33">
        <v>0</v>
      </c>
      <c r="L83" s="33">
        <v>0</v>
      </c>
      <c r="M83">
        <v>11</v>
      </c>
      <c r="N83">
        <v>0</v>
      </c>
      <c r="O83">
        <v>0</v>
      </c>
      <c r="P83">
        <v>33</v>
      </c>
      <c r="Q83">
        <v>0</v>
      </c>
      <c r="R83">
        <v>126941</v>
      </c>
      <c r="S83">
        <v>127202</v>
      </c>
      <c r="T83">
        <v>1</v>
      </c>
      <c r="U83">
        <v>0</v>
      </c>
      <c r="V83">
        <v>520</v>
      </c>
      <c r="W83">
        <v>522</v>
      </c>
      <c r="X83" s="23">
        <v>0.0303030303030303</v>
      </c>
      <c r="Y83" s="23" t="s">
        <v>54</v>
      </c>
      <c r="Z83" s="23">
        <v>0.00409639123687382</v>
      </c>
      <c r="AA83" s="23">
        <v>0.00410370906117828</v>
      </c>
      <c r="AB83">
        <v>0.1</v>
      </c>
      <c r="AC83">
        <v>0</v>
      </c>
      <c r="AD83">
        <v>121.29</v>
      </c>
      <c r="AE83">
        <v>122.1</v>
      </c>
      <c r="AF83" s="23" t="s">
        <v>310</v>
      </c>
      <c r="AG83" s="23" t="s">
        <v>54</v>
      </c>
      <c r="AH83" s="23">
        <v>1.35368303571429</v>
      </c>
      <c r="AI83" s="23" t="s">
        <v>311</v>
      </c>
      <c r="AJ83">
        <v>79</v>
      </c>
      <c r="AK83">
        <v>67</v>
      </c>
      <c r="AL83">
        <v>75</v>
      </c>
      <c r="AM83">
        <v>184</v>
      </c>
      <c r="AN83" s="23">
        <v>0</v>
      </c>
      <c r="AO83" s="23">
        <v>0.0149253731343284</v>
      </c>
      <c r="AP83" s="23">
        <v>0.0133333333333333</v>
      </c>
      <c r="AQ83" s="23">
        <v>0</v>
      </c>
      <c r="AR83" s="35">
        <v>0</v>
      </c>
      <c r="AS83" s="35">
        <v>0</v>
      </c>
      <c r="AT83" s="35">
        <v>11</v>
      </c>
      <c r="AU83" s="31" t="str">
        <f t="shared" si="5"/>
        <v>库存为11</v>
      </c>
      <c r="AV83" s="36" t="str">
        <f>IFERROR(时间!$B$4+AU83,"上周无销量")</f>
        <v>上周无销量</v>
      </c>
    </row>
    <row r="84" spans="1:48">
      <c r="A84" s="21" t="s">
        <v>312</v>
      </c>
      <c r="B84" t="s">
        <v>313</v>
      </c>
      <c r="C84" t="s">
        <v>314</v>
      </c>
      <c r="D84" s="31">
        <v>0</v>
      </c>
      <c r="E84" s="31">
        <v>0</v>
      </c>
      <c r="F84" s="31">
        <v>0</v>
      </c>
      <c r="G84" s="31">
        <v>2</v>
      </c>
      <c r="H84" s="32">
        <v>79.99</v>
      </c>
      <c r="I84">
        <v>2</v>
      </c>
      <c r="J84" s="33">
        <v>0</v>
      </c>
      <c r="K84" s="33">
        <v>0</v>
      </c>
      <c r="L84" s="33">
        <v>0</v>
      </c>
      <c r="M84">
        <v>2</v>
      </c>
      <c r="N84">
        <v>0</v>
      </c>
      <c r="O84">
        <v>2</v>
      </c>
      <c r="P84" t="s">
        <v>54</v>
      </c>
      <c r="Q84" t="s">
        <v>54</v>
      </c>
      <c r="R84" t="s">
        <v>54</v>
      </c>
      <c r="S84" t="s">
        <v>54</v>
      </c>
      <c r="T84" t="s">
        <v>54</v>
      </c>
      <c r="U84" t="s">
        <v>54</v>
      </c>
      <c r="V84" t="s">
        <v>54</v>
      </c>
      <c r="W84" t="s">
        <v>54</v>
      </c>
      <c r="X84" s="23" t="s">
        <v>54</v>
      </c>
      <c r="Y84" s="23" t="s">
        <v>54</v>
      </c>
      <c r="Z84" s="23" t="s">
        <v>54</v>
      </c>
      <c r="AA84" s="23" t="s">
        <v>54</v>
      </c>
      <c r="AB84" t="s">
        <v>54</v>
      </c>
      <c r="AC84" t="s">
        <v>54</v>
      </c>
      <c r="AD84" t="s">
        <v>54</v>
      </c>
      <c r="AE84" t="s">
        <v>54</v>
      </c>
      <c r="AF84" s="23" t="s">
        <v>54</v>
      </c>
      <c r="AG84" s="23" t="s">
        <v>54</v>
      </c>
      <c r="AH84" s="23" t="s">
        <v>54</v>
      </c>
      <c r="AI84" s="23" t="s">
        <v>54</v>
      </c>
      <c r="AJ84">
        <v>9</v>
      </c>
      <c r="AK84">
        <v>13</v>
      </c>
      <c r="AL84">
        <v>11</v>
      </c>
      <c r="AM84">
        <v>21</v>
      </c>
      <c r="AN84" s="23">
        <v>0</v>
      </c>
      <c r="AO84" s="23">
        <v>0</v>
      </c>
      <c r="AP84" s="23">
        <v>0</v>
      </c>
      <c r="AQ84" s="23">
        <v>0.0952380952380952</v>
      </c>
      <c r="AR84" s="35">
        <v>0</v>
      </c>
      <c r="AS84" s="35">
        <v>0</v>
      </c>
      <c r="AT84" s="35">
        <v>2</v>
      </c>
      <c r="AU84" s="31" t="str">
        <f t="shared" si="5"/>
        <v>库存为2</v>
      </c>
      <c r="AV84" s="36" t="str">
        <f>IFERROR(时间!$B$4+AU84,"上周无销量")</f>
        <v>上周无销量</v>
      </c>
    </row>
    <row r="85" spans="1:48">
      <c r="A85" s="21" t="s">
        <v>315</v>
      </c>
      <c r="B85" t="s">
        <v>98</v>
      </c>
      <c r="C85" t="s">
        <v>316</v>
      </c>
      <c r="D85" s="31">
        <v>8</v>
      </c>
      <c r="E85" s="31">
        <v>5</v>
      </c>
      <c r="F85" s="31">
        <v>6</v>
      </c>
      <c r="G85" s="31">
        <v>9</v>
      </c>
      <c r="H85" s="32">
        <v>89.99</v>
      </c>
      <c r="I85">
        <v>56</v>
      </c>
      <c r="J85" s="33">
        <v>0</v>
      </c>
      <c r="K85" s="33">
        <v>0</v>
      </c>
      <c r="L85" s="33">
        <v>1</v>
      </c>
      <c r="M85">
        <v>57</v>
      </c>
      <c r="N85">
        <v>0</v>
      </c>
      <c r="O85">
        <v>0</v>
      </c>
      <c r="P85">
        <v>0</v>
      </c>
      <c r="Q85">
        <v>28447</v>
      </c>
      <c r="R85">
        <v>23998</v>
      </c>
      <c r="S85">
        <v>23998</v>
      </c>
      <c r="T85">
        <v>0</v>
      </c>
      <c r="U85">
        <v>136</v>
      </c>
      <c r="V85">
        <v>138</v>
      </c>
      <c r="W85">
        <v>138</v>
      </c>
      <c r="X85" s="23" t="s">
        <v>54</v>
      </c>
      <c r="Y85" s="23">
        <v>0.00478082047316061</v>
      </c>
      <c r="Z85" s="23">
        <v>0.00575047920660055</v>
      </c>
      <c r="AA85" s="23">
        <v>0.00575047920660055</v>
      </c>
      <c r="AB85">
        <v>0</v>
      </c>
      <c r="AC85">
        <v>35.38</v>
      </c>
      <c r="AD85">
        <v>19.3</v>
      </c>
      <c r="AE85">
        <v>19.3</v>
      </c>
      <c r="AF85" s="23" t="s">
        <v>54</v>
      </c>
      <c r="AG85" s="23">
        <v>0.0786309589954439</v>
      </c>
      <c r="AH85" s="23">
        <v>0.0357447123754491</v>
      </c>
      <c r="AI85" s="23">
        <v>0.0238298082502994</v>
      </c>
      <c r="AJ85">
        <v>661</v>
      </c>
      <c r="AK85">
        <v>981</v>
      </c>
      <c r="AL85">
        <v>798</v>
      </c>
      <c r="AM85">
        <v>635</v>
      </c>
      <c r="AN85" s="23">
        <v>0.0121028744326778</v>
      </c>
      <c r="AO85" s="23">
        <v>0.00509683995922528</v>
      </c>
      <c r="AP85" s="23">
        <v>0.0075187969924812</v>
      </c>
      <c r="AQ85" s="23">
        <v>0.0141732283464567</v>
      </c>
      <c r="AR85" s="35">
        <v>1.14285714285714</v>
      </c>
      <c r="AS85" s="35">
        <v>68.5714285714286</v>
      </c>
      <c r="AT85" s="35">
        <v>-11.5714285714286</v>
      </c>
      <c r="AU85" s="31">
        <f t="shared" si="5"/>
        <v>49</v>
      </c>
      <c r="AV85" s="36">
        <f>IFERROR(时间!$B$4+AU85,"上周无销量")</f>
        <v>43388</v>
      </c>
    </row>
    <row r="86" spans="1:48">
      <c r="A86" s="21" t="s">
        <v>317</v>
      </c>
      <c r="B86" t="s">
        <v>318</v>
      </c>
      <c r="C86" t="s">
        <v>319</v>
      </c>
      <c r="D86" s="31">
        <v>0</v>
      </c>
      <c r="E86" s="31">
        <v>0</v>
      </c>
      <c r="F86" s="31">
        <v>0</v>
      </c>
      <c r="G86" s="31">
        <v>0</v>
      </c>
      <c r="H86" s="32">
        <v>0</v>
      </c>
      <c r="I86">
        <v>3</v>
      </c>
      <c r="J86" s="33">
        <v>0</v>
      </c>
      <c r="K86" s="33">
        <v>0</v>
      </c>
      <c r="L86" s="33">
        <v>0</v>
      </c>
      <c r="M86">
        <v>3</v>
      </c>
      <c r="N86">
        <v>0</v>
      </c>
      <c r="O86">
        <v>0</v>
      </c>
      <c r="P86">
        <v>395</v>
      </c>
      <c r="Q86">
        <v>543</v>
      </c>
      <c r="R86">
        <v>1788</v>
      </c>
      <c r="S86">
        <v>1851</v>
      </c>
      <c r="T86">
        <v>0</v>
      </c>
      <c r="U86">
        <v>0</v>
      </c>
      <c r="V86">
        <v>9</v>
      </c>
      <c r="W86">
        <v>9</v>
      </c>
      <c r="X86" s="23">
        <v>0</v>
      </c>
      <c r="Y86" s="23">
        <v>0</v>
      </c>
      <c r="Z86" s="23">
        <v>0.00503355704697987</v>
      </c>
      <c r="AA86" s="23">
        <v>0.00486223662884927</v>
      </c>
      <c r="AB86">
        <v>0</v>
      </c>
      <c r="AC86">
        <v>0</v>
      </c>
      <c r="AD86">
        <v>3.12</v>
      </c>
      <c r="AE86">
        <v>3.12</v>
      </c>
      <c r="AF86" s="23" t="s">
        <v>54</v>
      </c>
      <c r="AG86" s="23" t="s">
        <v>54</v>
      </c>
      <c r="AH86" s="23" t="s">
        <v>320</v>
      </c>
      <c r="AI86" s="23" t="s">
        <v>320</v>
      </c>
      <c r="AJ86">
        <v>53</v>
      </c>
      <c r="AK86">
        <v>3</v>
      </c>
      <c r="AL86">
        <v>2</v>
      </c>
      <c r="AM86">
        <v>19</v>
      </c>
      <c r="AN86" s="23">
        <v>0</v>
      </c>
      <c r="AO86" s="23">
        <v>0</v>
      </c>
      <c r="AP86" s="23">
        <v>0</v>
      </c>
      <c r="AQ86" s="23">
        <v>0</v>
      </c>
      <c r="AR86" s="35">
        <v>0</v>
      </c>
      <c r="AS86" s="35">
        <v>0</v>
      </c>
      <c r="AT86" s="35">
        <v>3</v>
      </c>
      <c r="AU86" s="31" t="str">
        <f t="shared" si="5"/>
        <v>库存为3</v>
      </c>
      <c r="AV86" s="36" t="str">
        <f>IFERROR(时间!$B$4+AU86,"上周无销量")</f>
        <v>上周无销量</v>
      </c>
    </row>
    <row r="87" spans="1:48">
      <c r="A87" s="21" t="s">
        <v>321</v>
      </c>
      <c r="B87" t="s">
        <v>322</v>
      </c>
      <c r="C87" t="s">
        <v>319</v>
      </c>
      <c r="D87" s="31">
        <v>1</v>
      </c>
      <c r="E87" s="31">
        <v>0</v>
      </c>
      <c r="F87" s="31">
        <v>0</v>
      </c>
      <c r="G87" s="31">
        <v>0</v>
      </c>
      <c r="H87" s="32">
        <v>89.99</v>
      </c>
      <c r="I87">
        <v>1</v>
      </c>
      <c r="J87" s="33">
        <v>0</v>
      </c>
      <c r="K87" s="33">
        <v>0</v>
      </c>
      <c r="L87" s="33">
        <v>1</v>
      </c>
      <c r="M87">
        <v>2</v>
      </c>
      <c r="N87">
        <v>0</v>
      </c>
      <c r="O87">
        <v>0</v>
      </c>
      <c r="P87" t="s">
        <v>54</v>
      </c>
      <c r="Q87" t="s">
        <v>54</v>
      </c>
      <c r="R87" t="s">
        <v>54</v>
      </c>
      <c r="S87" t="s">
        <v>54</v>
      </c>
      <c r="T87" t="s">
        <v>54</v>
      </c>
      <c r="U87" t="s">
        <v>54</v>
      </c>
      <c r="V87" t="s">
        <v>54</v>
      </c>
      <c r="W87" t="s">
        <v>54</v>
      </c>
      <c r="X87" s="23" t="s">
        <v>54</v>
      </c>
      <c r="Y87" s="23" t="s">
        <v>54</v>
      </c>
      <c r="Z87" s="23" t="s">
        <v>54</v>
      </c>
      <c r="AA87" s="23" t="s">
        <v>54</v>
      </c>
      <c r="AB87" t="s">
        <v>54</v>
      </c>
      <c r="AC87" t="s">
        <v>54</v>
      </c>
      <c r="AD87" t="s">
        <v>54</v>
      </c>
      <c r="AE87" t="s">
        <v>54</v>
      </c>
      <c r="AF87" s="23" t="s">
        <v>54</v>
      </c>
      <c r="AG87" s="23" t="s">
        <v>54</v>
      </c>
      <c r="AH87" s="23" t="s">
        <v>54</v>
      </c>
      <c r="AI87" s="23" t="s">
        <v>54</v>
      </c>
      <c r="AJ87">
        <v>51</v>
      </c>
      <c r="AK87">
        <v>0</v>
      </c>
      <c r="AL87">
        <v>2</v>
      </c>
      <c r="AM87">
        <v>4</v>
      </c>
      <c r="AN87" s="23">
        <v>0.0196078431372549</v>
      </c>
      <c r="AO87" s="23" t="s">
        <v>54</v>
      </c>
      <c r="AP87" s="23">
        <v>0</v>
      </c>
      <c r="AQ87" s="23">
        <v>0</v>
      </c>
      <c r="AR87" s="35">
        <v>0.142857142857143</v>
      </c>
      <c r="AS87" s="35">
        <v>8.57142857142857</v>
      </c>
      <c r="AT87" s="35">
        <v>-6.57142857142857</v>
      </c>
      <c r="AU87" s="31">
        <f t="shared" si="5"/>
        <v>14</v>
      </c>
      <c r="AV87" s="36">
        <f>IFERROR(时间!$B$4+AU87,"上周无销量")</f>
        <v>43353</v>
      </c>
    </row>
    <row r="88" spans="1:48">
      <c r="A88" s="21" t="s">
        <v>323</v>
      </c>
      <c r="B88" t="s">
        <v>324</v>
      </c>
      <c r="C88" t="s">
        <v>325</v>
      </c>
      <c r="D88" s="31">
        <v>0</v>
      </c>
      <c r="E88" s="31">
        <v>0</v>
      </c>
      <c r="F88" s="31">
        <v>0</v>
      </c>
      <c r="G88" s="31">
        <v>0</v>
      </c>
      <c r="H88" s="32">
        <v>0</v>
      </c>
      <c r="I88">
        <v>0</v>
      </c>
      <c r="J88" s="33">
        <v>3</v>
      </c>
      <c r="K88" s="33">
        <v>0</v>
      </c>
      <c r="L88" s="33">
        <v>0</v>
      </c>
      <c r="M88">
        <v>3</v>
      </c>
      <c r="N88">
        <v>0</v>
      </c>
      <c r="O88">
        <v>0</v>
      </c>
      <c r="P88" t="s">
        <v>54</v>
      </c>
      <c r="Q88" t="s">
        <v>54</v>
      </c>
      <c r="R88" t="s">
        <v>54</v>
      </c>
      <c r="S88" t="s">
        <v>54</v>
      </c>
      <c r="T88" t="s">
        <v>54</v>
      </c>
      <c r="U88" t="s">
        <v>54</v>
      </c>
      <c r="V88" t="s">
        <v>54</v>
      </c>
      <c r="W88" t="s">
        <v>54</v>
      </c>
      <c r="X88" s="23" t="s">
        <v>54</v>
      </c>
      <c r="Y88" s="23" t="s">
        <v>54</v>
      </c>
      <c r="Z88" s="23" t="s">
        <v>54</v>
      </c>
      <c r="AA88" s="23" t="s">
        <v>54</v>
      </c>
      <c r="AB88" t="s">
        <v>54</v>
      </c>
      <c r="AC88" t="s">
        <v>54</v>
      </c>
      <c r="AD88" t="s">
        <v>54</v>
      </c>
      <c r="AE88" t="s">
        <v>54</v>
      </c>
      <c r="AF88" s="23" t="s">
        <v>54</v>
      </c>
      <c r="AG88" s="23" t="s">
        <v>54</v>
      </c>
      <c r="AH88" s="23" t="s">
        <v>54</v>
      </c>
      <c r="AI88" s="23" t="s">
        <v>54</v>
      </c>
      <c r="AJ88">
        <v>0</v>
      </c>
      <c r="AK88">
        <v>0</v>
      </c>
      <c r="AL88">
        <v>0</v>
      </c>
      <c r="AM88">
        <v>0</v>
      </c>
      <c r="AN88" s="23" t="s">
        <v>54</v>
      </c>
      <c r="AO88" s="23" t="s">
        <v>54</v>
      </c>
      <c r="AP88" s="23" t="s">
        <v>54</v>
      </c>
      <c r="AQ88" s="23" t="s">
        <v>54</v>
      </c>
      <c r="AR88" s="35">
        <v>0</v>
      </c>
      <c r="AS88" s="35">
        <v>0</v>
      </c>
      <c r="AT88" s="35">
        <v>3</v>
      </c>
      <c r="AU88" s="31" t="str">
        <f t="shared" si="5"/>
        <v>库存为3</v>
      </c>
      <c r="AV88" s="36" t="str">
        <f>IFERROR(时间!$B$4+AU88,"上周无销量")</f>
        <v>上周无销量</v>
      </c>
    </row>
    <row r="89" spans="1:48">
      <c r="A89" s="21" t="s">
        <v>326</v>
      </c>
      <c r="B89" t="s">
        <v>327</v>
      </c>
      <c r="C89" t="s">
        <v>328</v>
      </c>
      <c r="D89" s="31">
        <v>0</v>
      </c>
      <c r="E89" s="31">
        <v>0</v>
      </c>
      <c r="F89" s="31">
        <v>0</v>
      </c>
      <c r="G89" s="31">
        <v>0</v>
      </c>
      <c r="H89" s="32">
        <v>0</v>
      </c>
      <c r="I89">
        <v>3</v>
      </c>
      <c r="J89" s="33">
        <v>0</v>
      </c>
      <c r="K89" s="33">
        <v>0</v>
      </c>
      <c r="L89" s="33">
        <v>0</v>
      </c>
      <c r="M89">
        <v>3</v>
      </c>
      <c r="N89">
        <v>0</v>
      </c>
      <c r="O89">
        <v>0</v>
      </c>
      <c r="P89">
        <v>1539</v>
      </c>
      <c r="Q89">
        <v>0</v>
      </c>
      <c r="R89">
        <v>0</v>
      </c>
      <c r="S89">
        <v>0</v>
      </c>
      <c r="T89">
        <v>17</v>
      </c>
      <c r="U89">
        <v>0</v>
      </c>
      <c r="V89">
        <v>0</v>
      </c>
      <c r="W89">
        <v>0</v>
      </c>
      <c r="X89" s="23">
        <v>0.0110461338531514</v>
      </c>
      <c r="Y89" s="23" t="s">
        <v>54</v>
      </c>
      <c r="Z89" s="23" t="s">
        <v>54</v>
      </c>
      <c r="AA89" s="23" t="s">
        <v>54</v>
      </c>
      <c r="AB89">
        <v>4.56</v>
      </c>
      <c r="AC89">
        <v>0</v>
      </c>
      <c r="AD89">
        <v>0</v>
      </c>
      <c r="AE89">
        <v>0</v>
      </c>
      <c r="AF89" s="23" t="s">
        <v>329</v>
      </c>
      <c r="AG89" s="23" t="s">
        <v>54</v>
      </c>
      <c r="AH89" s="23" t="s">
        <v>54</v>
      </c>
      <c r="AI89" s="23" t="s">
        <v>54</v>
      </c>
      <c r="AJ89">
        <v>35</v>
      </c>
      <c r="AK89">
        <v>6</v>
      </c>
      <c r="AL89">
        <v>1</v>
      </c>
      <c r="AM89">
        <v>0</v>
      </c>
      <c r="AN89" s="23">
        <v>0</v>
      </c>
      <c r="AO89" s="23">
        <v>0</v>
      </c>
      <c r="AP89" s="23">
        <v>0</v>
      </c>
      <c r="AQ89" s="23" t="s">
        <v>54</v>
      </c>
      <c r="AR89" s="35">
        <v>0</v>
      </c>
      <c r="AS89" s="35">
        <v>0</v>
      </c>
      <c r="AT89" s="35">
        <v>3</v>
      </c>
      <c r="AU89" s="31" t="str">
        <f t="shared" si="5"/>
        <v>库存为3</v>
      </c>
      <c r="AV89" s="36" t="str">
        <f>IFERROR(时间!$B$4+AU89,"上周无销量")</f>
        <v>上周无销量</v>
      </c>
    </row>
    <row r="90" spans="1:48">
      <c r="A90" s="21" t="s">
        <v>330</v>
      </c>
      <c r="B90" t="s">
        <v>331</v>
      </c>
      <c r="C90" t="s">
        <v>332</v>
      </c>
      <c r="D90" s="31">
        <v>0</v>
      </c>
      <c r="E90" s="31">
        <v>0</v>
      </c>
      <c r="F90" s="31">
        <v>0</v>
      </c>
      <c r="G90" s="31">
        <v>0</v>
      </c>
      <c r="H90" s="32">
        <v>0</v>
      </c>
      <c r="I90">
        <v>3</v>
      </c>
      <c r="J90" s="33">
        <v>0</v>
      </c>
      <c r="K90" s="33">
        <v>0</v>
      </c>
      <c r="L90" s="33">
        <v>0</v>
      </c>
      <c r="M90">
        <v>3</v>
      </c>
      <c r="N90">
        <v>0</v>
      </c>
      <c r="O90">
        <v>0</v>
      </c>
      <c r="P90">
        <v>992</v>
      </c>
      <c r="Q90">
        <v>0</v>
      </c>
      <c r="R90">
        <v>0</v>
      </c>
      <c r="S90">
        <v>0</v>
      </c>
      <c r="T90">
        <v>7</v>
      </c>
      <c r="U90">
        <v>0</v>
      </c>
      <c r="V90">
        <v>0</v>
      </c>
      <c r="W90">
        <v>0</v>
      </c>
      <c r="X90" s="23">
        <v>0.00705645161290323</v>
      </c>
      <c r="Y90" s="23" t="s">
        <v>54</v>
      </c>
      <c r="Z90" s="23" t="s">
        <v>54</v>
      </c>
      <c r="AA90" s="23" t="s">
        <v>54</v>
      </c>
      <c r="AB90">
        <v>1.92</v>
      </c>
      <c r="AC90">
        <v>0</v>
      </c>
      <c r="AD90">
        <v>0</v>
      </c>
      <c r="AE90">
        <v>0</v>
      </c>
      <c r="AF90" s="23" t="s">
        <v>333</v>
      </c>
      <c r="AG90" s="23" t="s">
        <v>54</v>
      </c>
      <c r="AH90" s="23" t="s">
        <v>54</v>
      </c>
      <c r="AI90" s="23" t="s">
        <v>54</v>
      </c>
      <c r="AJ90">
        <v>16</v>
      </c>
      <c r="AK90">
        <v>6</v>
      </c>
      <c r="AL90">
        <v>0</v>
      </c>
      <c r="AM90">
        <v>0</v>
      </c>
      <c r="AN90" s="23">
        <v>0</v>
      </c>
      <c r="AO90" s="23">
        <v>0</v>
      </c>
      <c r="AP90" s="23" t="s">
        <v>54</v>
      </c>
      <c r="AQ90" s="23" t="s">
        <v>54</v>
      </c>
      <c r="AR90" s="35">
        <v>0</v>
      </c>
      <c r="AS90" s="35">
        <v>0</v>
      </c>
      <c r="AT90" s="35">
        <v>3</v>
      </c>
      <c r="AU90" s="31" t="str">
        <f t="shared" si="5"/>
        <v>库存为3</v>
      </c>
      <c r="AV90" s="36" t="str">
        <f>IFERROR(时间!$B$4+AU90,"上周无销量")</f>
        <v>上周无销量</v>
      </c>
    </row>
    <row r="91" spans="1:48">
      <c r="A91" s="21" t="s">
        <v>334</v>
      </c>
      <c r="B91" t="s">
        <v>335</v>
      </c>
      <c r="C91" t="s">
        <v>336</v>
      </c>
      <c r="D91" s="31">
        <v>0</v>
      </c>
      <c r="E91" s="31">
        <v>0</v>
      </c>
      <c r="F91" s="31">
        <v>0</v>
      </c>
      <c r="G91" s="31">
        <v>0</v>
      </c>
      <c r="H91" s="32">
        <v>0</v>
      </c>
      <c r="I91">
        <v>3</v>
      </c>
      <c r="J91" s="33">
        <v>0</v>
      </c>
      <c r="K91" s="33">
        <v>0</v>
      </c>
      <c r="L91" s="33">
        <v>0</v>
      </c>
      <c r="M91">
        <v>3</v>
      </c>
      <c r="N91">
        <v>0</v>
      </c>
      <c r="O91">
        <v>0</v>
      </c>
      <c r="P91">
        <v>1943</v>
      </c>
      <c r="Q91">
        <v>0</v>
      </c>
      <c r="R91">
        <v>0</v>
      </c>
      <c r="S91">
        <v>0</v>
      </c>
      <c r="T91">
        <v>27</v>
      </c>
      <c r="U91">
        <v>0</v>
      </c>
      <c r="V91">
        <v>0</v>
      </c>
      <c r="W91">
        <v>0</v>
      </c>
      <c r="X91" s="23">
        <v>0.0138960370560988</v>
      </c>
      <c r="Y91" s="23" t="s">
        <v>54</v>
      </c>
      <c r="Z91" s="23" t="s">
        <v>54</v>
      </c>
      <c r="AA91" s="23" t="s">
        <v>54</v>
      </c>
      <c r="AB91">
        <v>6.81</v>
      </c>
      <c r="AC91">
        <v>0</v>
      </c>
      <c r="AD91">
        <v>0</v>
      </c>
      <c r="AE91">
        <v>0</v>
      </c>
      <c r="AF91" s="23" t="s">
        <v>337</v>
      </c>
      <c r="AG91" s="23" t="s">
        <v>54</v>
      </c>
      <c r="AH91" s="23" t="s">
        <v>54</v>
      </c>
      <c r="AI91" s="23" t="s">
        <v>54</v>
      </c>
      <c r="AJ91">
        <v>45</v>
      </c>
      <c r="AK91">
        <v>10</v>
      </c>
      <c r="AL91">
        <v>2</v>
      </c>
      <c r="AM91">
        <v>0</v>
      </c>
      <c r="AN91" s="23">
        <v>0</v>
      </c>
      <c r="AO91" s="23">
        <v>0</v>
      </c>
      <c r="AP91" s="23">
        <v>0</v>
      </c>
      <c r="AQ91" s="23" t="s">
        <v>54</v>
      </c>
      <c r="AR91" s="35">
        <v>0</v>
      </c>
      <c r="AS91" s="35">
        <v>0</v>
      </c>
      <c r="AT91" s="35">
        <v>3</v>
      </c>
      <c r="AU91" s="31" t="str">
        <f t="shared" si="5"/>
        <v>库存为3</v>
      </c>
      <c r="AV91" s="36" t="str">
        <f>IFERROR(时间!$B$4+AU91,"上周无销量")</f>
        <v>上周无销量</v>
      </c>
    </row>
    <row r="92" spans="1:48">
      <c r="A92" s="21" t="s">
        <v>338</v>
      </c>
      <c r="B92" t="s">
        <v>339</v>
      </c>
      <c r="C92" t="s">
        <v>340</v>
      </c>
      <c r="D92" s="31">
        <v>0</v>
      </c>
      <c r="E92" s="31">
        <v>0</v>
      </c>
      <c r="F92" s="31">
        <v>0</v>
      </c>
      <c r="G92" s="31">
        <v>0</v>
      </c>
      <c r="H92" s="32">
        <v>0</v>
      </c>
      <c r="I92">
        <v>0</v>
      </c>
      <c r="J92" s="33">
        <v>0</v>
      </c>
      <c r="K92" s="33">
        <v>0</v>
      </c>
      <c r="L92" s="33">
        <v>0</v>
      </c>
      <c r="M92">
        <v>0</v>
      </c>
      <c r="N92">
        <v>0</v>
      </c>
      <c r="O92">
        <v>0</v>
      </c>
      <c r="P92" t="s">
        <v>54</v>
      </c>
      <c r="Q92" t="s">
        <v>54</v>
      </c>
      <c r="R92" t="s">
        <v>54</v>
      </c>
      <c r="S92" t="s">
        <v>54</v>
      </c>
      <c r="T92" t="s">
        <v>54</v>
      </c>
      <c r="U92" t="s">
        <v>54</v>
      </c>
      <c r="V92" t="s">
        <v>54</v>
      </c>
      <c r="W92" t="s">
        <v>54</v>
      </c>
      <c r="X92" s="23" t="s">
        <v>54</v>
      </c>
      <c r="Y92" s="23" t="s">
        <v>54</v>
      </c>
      <c r="Z92" s="23" t="s">
        <v>54</v>
      </c>
      <c r="AA92" s="23" t="s">
        <v>54</v>
      </c>
      <c r="AB92" t="s">
        <v>54</v>
      </c>
      <c r="AC92" t="s">
        <v>54</v>
      </c>
      <c r="AD92" t="s">
        <v>54</v>
      </c>
      <c r="AE92" t="s">
        <v>54</v>
      </c>
      <c r="AF92" s="23" t="s">
        <v>54</v>
      </c>
      <c r="AG92" s="23" t="s">
        <v>54</v>
      </c>
      <c r="AH92" s="23" t="s">
        <v>54</v>
      </c>
      <c r="AI92" s="23" t="s">
        <v>54</v>
      </c>
      <c r="AJ92">
        <v>0</v>
      </c>
      <c r="AK92">
        <v>0</v>
      </c>
      <c r="AL92">
        <v>0</v>
      </c>
      <c r="AM92">
        <v>0</v>
      </c>
      <c r="AN92" s="23" t="s">
        <v>54</v>
      </c>
      <c r="AO92" s="23" t="s">
        <v>54</v>
      </c>
      <c r="AP92" s="23" t="s">
        <v>54</v>
      </c>
      <c r="AQ92" s="23" t="s">
        <v>54</v>
      </c>
      <c r="AR92" s="35">
        <v>0</v>
      </c>
      <c r="AS92" s="35">
        <v>0</v>
      </c>
      <c r="AT92" s="35">
        <v>0</v>
      </c>
      <c r="AU92" s="31" t="str">
        <f t="shared" si="5"/>
        <v>库存为0</v>
      </c>
      <c r="AV92" s="36" t="str">
        <f>IFERROR(时间!$B$4+AU92,"上周无销量")</f>
        <v>上周无销量</v>
      </c>
    </row>
    <row r="93" spans="1:48">
      <c r="A93" s="21" t="s">
        <v>341</v>
      </c>
      <c r="B93" t="s">
        <v>342</v>
      </c>
      <c r="C93" t="s">
        <v>343</v>
      </c>
      <c r="D93" s="31">
        <v>0</v>
      </c>
      <c r="E93" s="31">
        <v>0</v>
      </c>
      <c r="F93" s="31">
        <v>0</v>
      </c>
      <c r="G93" s="31">
        <v>0</v>
      </c>
      <c r="H93" s="32">
        <v>0</v>
      </c>
      <c r="I93">
        <v>3</v>
      </c>
      <c r="J93" s="33">
        <v>0</v>
      </c>
      <c r="K93" s="33">
        <v>0</v>
      </c>
      <c r="L93" s="33">
        <v>0</v>
      </c>
      <c r="M93">
        <v>3</v>
      </c>
      <c r="N93">
        <v>0</v>
      </c>
      <c r="O93">
        <v>0</v>
      </c>
      <c r="P93" t="s">
        <v>54</v>
      </c>
      <c r="Q93" t="s">
        <v>54</v>
      </c>
      <c r="R93" t="s">
        <v>54</v>
      </c>
      <c r="S93" t="s">
        <v>54</v>
      </c>
      <c r="T93" t="s">
        <v>54</v>
      </c>
      <c r="U93" t="s">
        <v>54</v>
      </c>
      <c r="V93" t="s">
        <v>54</v>
      </c>
      <c r="W93" t="s">
        <v>54</v>
      </c>
      <c r="X93" s="23" t="s">
        <v>54</v>
      </c>
      <c r="Y93" s="23" t="s">
        <v>54</v>
      </c>
      <c r="Z93" s="23" t="s">
        <v>54</v>
      </c>
      <c r="AA93" s="23" t="s">
        <v>54</v>
      </c>
      <c r="AB93" t="s">
        <v>54</v>
      </c>
      <c r="AC93" t="s">
        <v>54</v>
      </c>
      <c r="AD93" t="s">
        <v>54</v>
      </c>
      <c r="AE93" t="s">
        <v>54</v>
      </c>
      <c r="AF93" s="23" t="s">
        <v>54</v>
      </c>
      <c r="AG93" s="23" t="s">
        <v>54</v>
      </c>
      <c r="AH93" s="23" t="s">
        <v>54</v>
      </c>
      <c r="AI93" s="23" t="s">
        <v>54</v>
      </c>
      <c r="AJ93">
        <v>2</v>
      </c>
      <c r="AK93">
        <v>0</v>
      </c>
      <c r="AL93">
        <v>0</v>
      </c>
      <c r="AM93">
        <v>0</v>
      </c>
      <c r="AN93" s="23">
        <v>0</v>
      </c>
      <c r="AO93" s="23" t="s">
        <v>54</v>
      </c>
      <c r="AP93" s="23" t="s">
        <v>54</v>
      </c>
      <c r="AQ93" s="23" t="s">
        <v>54</v>
      </c>
      <c r="AR93" s="35">
        <v>0</v>
      </c>
      <c r="AS93" s="35">
        <v>0</v>
      </c>
      <c r="AT93" s="35">
        <v>3</v>
      </c>
      <c r="AU93" s="31" t="str">
        <f t="shared" si="5"/>
        <v>库存为3</v>
      </c>
      <c r="AV93" s="36" t="str">
        <f>IFERROR(时间!$B$4+AU93,"上周无销量")</f>
        <v>上周无销量</v>
      </c>
    </row>
    <row r="94" spans="1:48">
      <c r="A94" s="21" t="s">
        <v>344</v>
      </c>
      <c r="B94" t="s">
        <v>345</v>
      </c>
      <c r="C94" t="s">
        <v>346</v>
      </c>
      <c r="D94" s="31">
        <v>0</v>
      </c>
      <c r="E94" s="31">
        <v>0</v>
      </c>
      <c r="F94" s="31">
        <v>0</v>
      </c>
      <c r="G94" s="31">
        <v>0</v>
      </c>
      <c r="H94" s="32">
        <v>0</v>
      </c>
      <c r="I94">
        <v>0</v>
      </c>
      <c r="J94" s="33">
        <v>3</v>
      </c>
      <c r="K94" s="33">
        <v>0</v>
      </c>
      <c r="L94" s="33">
        <v>0</v>
      </c>
      <c r="M94">
        <v>3</v>
      </c>
      <c r="N94">
        <v>0</v>
      </c>
      <c r="O94">
        <v>0</v>
      </c>
      <c r="P94" t="s">
        <v>54</v>
      </c>
      <c r="Q94" t="s">
        <v>54</v>
      </c>
      <c r="R94" t="s">
        <v>54</v>
      </c>
      <c r="S94" t="s">
        <v>54</v>
      </c>
      <c r="T94" t="s">
        <v>54</v>
      </c>
      <c r="U94" t="s">
        <v>54</v>
      </c>
      <c r="V94" t="s">
        <v>54</v>
      </c>
      <c r="W94" t="s">
        <v>54</v>
      </c>
      <c r="X94" s="23" t="s">
        <v>54</v>
      </c>
      <c r="Y94" s="23" t="s">
        <v>54</v>
      </c>
      <c r="Z94" s="23" t="s">
        <v>54</v>
      </c>
      <c r="AA94" s="23" t="s">
        <v>54</v>
      </c>
      <c r="AB94" t="s">
        <v>54</v>
      </c>
      <c r="AC94" t="s">
        <v>54</v>
      </c>
      <c r="AD94" t="s">
        <v>54</v>
      </c>
      <c r="AE94" t="s">
        <v>54</v>
      </c>
      <c r="AF94" s="23" t="s">
        <v>54</v>
      </c>
      <c r="AG94" s="23" t="s">
        <v>54</v>
      </c>
      <c r="AH94" s="23" t="s">
        <v>54</v>
      </c>
      <c r="AI94" s="23" t="s">
        <v>54</v>
      </c>
      <c r="AJ94">
        <v>0</v>
      </c>
      <c r="AK94">
        <v>0</v>
      </c>
      <c r="AL94">
        <v>0</v>
      </c>
      <c r="AM94">
        <v>0</v>
      </c>
      <c r="AN94" s="23" t="s">
        <v>54</v>
      </c>
      <c r="AO94" s="23" t="s">
        <v>54</v>
      </c>
      <c r="AP94" s="23" t="s">
        <v>54</v>
      </c>
      <c r="AQ94" s="23" t="s">
        <v>54</v>
      </c>
      <c r="AR94" s="35">
        <v>0</v>
      </c>
      <c r="AS94" s="35">
        <v>0</v>
      </c>
      <c r="AT94" s="35">
        <v>3</v>
      </c>
      <c r="AU94" s="31" t="str">
        <f t="shared" si="5"/>
        <v>库存为3</v>
      </c>
      <c r="AV94" s="36" t="str">
        <f>IFERROR(时间!$B$4+AU94,"上周无销量")</f>
        <v>上周无销量</v>
      </c>
    </row>
    <row r="95" spans="1:48">
      <c r="A95" s="21" t="s">
        <v>347</v>
      </c>
      <c r="B95" t="s">
        <v>348</v>
      </c>
      <c r="C95" t="s">
        <v>349</v>
      </c>
      <c r="D95" s="31">
        <v>0</v>
      </c>
      <c r="E95" s="31">
        <v>0</v>
      </c>
      <c r="F95" s="31">
        <v>0</v>
      </c>
      <c r="G95" s="31">
        <v>0</v>
      </c>
      <c r="H95" s="32">
        <v>0</v>
      </c>
      <c r="I95">
        <v>2</v>
      </c>
      <c r="J95" s="33">
        <v>0</v>
      </c>
      <c r="K95" s="33">
        <v>0</v>
      </c>
      <c r="L95" s="33">
        <v>1</v>
      </c>
      <c r="M95">
        <v>3</v>
      </c>
      <c r="N95">
        <v>0</v>
      </c>
      <c r="O95">
        <v>0</v>
      </c>
      <c r="P95" t="s">
        <v>54</v>
      </c>
      <c r="Q95" t="s">
        <v>54</v>
      </c>
      <c r="R95" t="s">
        <v>54</v>
      </c>
      <c r="S95" t="s">
        <v>54</v>
      </c>
      <c r="T95" t="s">
        <v>54</v>
      </c>
      <c r="U95" t="s">
        <v>54</v>
      </c>
      <c r="V95" t="s">
        <v>54</v>
      </c>
      <c r="W95" t="s">
        <v>54</v>
      </c>
      <c r="X95" s="23" t="s">
        <v>54</v>
      </c>
      <c r="Y95" s="23" t="s">
        <v>54</v>
      </c>
      <c r="Z95" s="23" t="s">
        <v>54</v>
      </c>
      <c r="AA95" s="23" t="s">
        <v>54</v>
      </c>
      <c r="AB95" t="s">
        <v>54</v>
      </c>
      <c r="AC95" t="s">
        <v>54</v>
      </c>
      <c r="AD95" t="s">
        <v>54</v>
      </c>
      <c r="AE95" t="s">
        <v>54</v>
      </c>
      <c r="AF95" s="23" t="s">
        <v>54</v>
      </c>
      <c r="AG95" s="23" t="s">
        <v>54</v>
      </c>
      <c r="AH95" s="23" t="s">
        <v>54</v>
      </c>
      <c r="AI95" s="23" t="s">
        <v>54</v>
      </c>
      <c r="AJ95">
        <v>3</v>
      </c>
      <c r="AK95">
        <v>0</v>
      </c>
      <c r="AL95">
        <v>0</v>
      </c>
      <c r="AM95">
        <v>0</v>
      </c>
      <c r="AN95" s="23">
        <v>0</v>
      </c>
      <c r="AO95" s="23" t="s">
        <v>54</v>
      </c>
      <c r="AP95" s="23" t="s">
        <v>54</v>
      </c>
      <c r="AQ95" s="23" t="s">
        <v>54</v>
      </c>
      <c r="AR95" s="35">
        <v>0</v>
      </c>
      <c r="AS95" s="35">
        <v>0</v>
      </c>
      <c r="AT95" s="35">
        <v>3</v>
      </c>
      <c r="AU95" s="31" t="str">
        <f t="shared" si="5"/>
        <v>库存为3</v>
      </c>
      <c r="AV95" s="36" t="str">
        <f>IFERROR(时间!$B$4+AU95,"上周无销量")</f>
        <v>上周无销量</v>
      </c>
    </row>
    <row r="96" spans="1:48">
      <c r="A96" s="21" t="s">
        <v>350</v>
      </c>
      <c r="B96" t="s">
        <v>351</v>
      </c>
      <c r="C96" t="s">
        <v>352</v>
      </c>
      <c r="D96" s="31">
        <v>0</v>
      </c>
      <c r="E96" s="31">
        <v>0</v>
      </c>
      <c r="F96" s="31">
        <v>0</v>
      </c>
      <c r="G96" s="31">
        <v>0</v>
      </c>
      <c r="H96" s="32">
        <v>0</v>
      </c>
      <c r="I96">
        <v>0</v>
      </c>
      <c r="J96" s="33">
        <v>3</v>
      </c>
      <c r="K96" s="33">
        <v>0</v>
      </c>
      <c r="L96" s="33">
        <v>0</v>
      </c>
      <c r="M96">
        <v>3</v>
      </c>
      <c r="N96">
        <v>0</v>
      </c>
      <c r="O96">
        <v>0</v>
      </c>
      <c r="P96" t="s">
        <v>54</v>
      </c>
      <c r="Q96" t="s">
        <v>54</v>
      </c>
      <c r="R96" t="s">
        <v>54</v>
      </c>
      <c r="S96" t="s">
        <v>54</v>
      </c>
      <c r="T96" t="s">
        <v>54</v>
      </c>
      <c r="U96" t="s">
        <v>54</v>
      </c>
      <c r="V96" t="s">
        <v>54</v>
      </c>
      <c r="W96" t="s">
        <v>54</v>
      </c>
      <c r="X96" s="23" t="s">
        <v>54</v>
      </c>
      <c r="Y96" s="23" t="s">
        <v>54</v>
      </c>
      <c r="Z96" s="23" t="s">
        <v>54</v>
      </c>
      <c r="AA96" s="23" t="s">
        <v>54</v>
      </c>
      <c r="AB96" t="s">
        <v>54</v>
      </c>
      <c r="AC96" t="s">
        <v>54</v>
      </c>
      <c r="AD96" t="s">
        <v>54</v>
      </c>
      <c r="AE96" t="s">
        <v>54</v>
      </c>
      <c r="AF96" s="23" t="s">
        <v>54</v>
      </c>
      <c r="AG96" s="23" t="s">
        <v>54</v>
      </c>
      <c r="AH96" s="23" t="s">
        <v>54</v>
      </c>
      <c r="AI96" s="23" t="s">
        <v>54</v>
      </c>
      <c r="AJ96">
        <v>0</v>
      </c>
      <c r="AK96">
        <v>0</v>
      </c>
      <c r="AL96">
        <v>0</v>
      </c>
      <c r="AM96">
        <v>0</v>
      </c>
      <c r="AN96" s="23" t="s">
        <v>54</v>
      </c>
      <c r="AO96" s="23" t="s">
        <v>54</v>
      </c>
      <c r="AP96" s="23" t="s">
        <v>54</v>
      </c>
      <c r="AQ96" s="23" t="s">
        <v>54</v>
      </c>
      <c r="AR96" s="35">
        <v>0</v>
      </c>
      <c r="AS96" s="35">
        <v>0</v>
      </c>
      <c r="AT96" s="35">
        <v>3</v>
      </c>
      <c r="AU96" s="31" t="str">
        <f t="shared" si="5"/>
        <v>库存为3</v>
      </c>
      <c r="AV96" s="36" t="str">
        <f>IFERROR(时间!$B$4+AU96,"上周无销量")</f>
        <v>上周无销量</v>
      </c>
    </row>
    <row r="97" spans="1:48">
      <c r="A97" s="21" t="s">
        <v>353</v>
      </c>
      <c r="B97" t="s">
        <v>354</v>
      </c>
      <c r="C97" t="s">
        <v>355</v>
      </c>
      <c r="D97" s="31">
        <v>0</v>
      </c>
      <c r="E97" s="31">
        <v>0</v>
      </c>
      <c r="F97" s="31">
        <v>0</v>
      </c>
      <c r="G97" s="31">
        <v>0</v>
      </c>
      <c r="H97" s="32">
        <v>0</v>
      </c>
      <c r="I97">
        <v>0</v>
      </c>
      <c r="J97" s="33">
        <v>3</v>
      </c>
      <c r="K97" s="33">
        <v>0</v>
      </c>
      <c r="L97" s="33">
        <v>0</v>
      </c>
      <c r="M97">
        <v>3</v>
      </c>
      <c r="N97">
        <v>0</v>
      </c>
      <c r="O97">
        <v>0</v>
      </c>
      <c r="P97" t="s">
        <v>54</v>
      </c>
      <c r="Q97" t="s">
        <v>54</v>
      </c>
      <c r="R97" t="s">
        <v>54</v>
      </c>
      <c r="S97" t="s">
        <v>54</v>
      </c>
      <c r="T97" t="s">
        <v>54</v>
      </c>
      <c r="U97" t="s">
        <v>54</v>
      </c>
      <c r="V97" t="s">
        <v>54</v>
      </c>
      <c r="W97" t="s">
        <v>54</v>
      </c>
      <c r="X97" s="23" t="s">
        <v>54</v>
      </c>
      <c r="Y97" s="23" t="s">
        <v>54</v>
      </c>
      <c r="Z97" s="23" t="s">
        <v>54</v>
      </c>
      <c r="AA97" s="23" t="s">
        <v>54</v>
      </c>
      <c r="AB97" t="s">
        <v>54</v>
      </c>
      <c r="AC97" t="s">
        <v>54</v>
      </c>
      <c r="AD97" t="s">
        <v>54</v>
      </c>
      <c r="AE97" t="s">
        <v>54</v>
      </c>
      <c r="AF97" s="23" t="s">
        <v>54</v>
      </c>
      <c r="AG97" s="23" t="s">
        <v>54</v>
      </c>
      <c r="AH97" s="23" t="s">
        <v>54</v>
      </c>
      <c r="AI97" s="23" t="s">
        <v>54</v>
      </c>
      <c r="AJ97">
        <v>0</v>
      </c>
      <c r="AK97">
        <v>0</v>
      </c>
      <c r="AL97">
        <v>0</v>
      </c>
      <c r="AM97">
        <v>0</v>
      </c>
      <c r="AN97" s="23" t="s">
        <v>54</v>
      </c>
      <c r="AO97" s="23" t="s">
        <v>54</v>
      </c>
      <c r="AP97" s="23" t="s">
        <v>54</v>
      </c>
      <c r="AQ97" s="23" t="s">
        <v>54</v>
      </c>
      <c r="AR97" s="35">
        <v>0</v>
      </c>
      <c r="AS97" s="35">
        <v>0</v>
      </c>
      <c r="AT97" s="35">
        <v>3</v>
      </c>
      <c r="AU97" s="31" t="str">
        <f t="shared" si="5"/>
        <v>库存为3</v>
      </c>
      <c r="AV97" s="36" t="str">
        <f>IFERROR(时间!$B$4+AU97,"上周无销量")</f>
        <v>上周无销量</v>
      </c>
    </row>
    <row r="98" spans="1:48">
      <c r="A98" s="21" t="s">
        <v>356</v>
      </c>
      <c r="B98" t="s">
        <v>357</v>
      </c>
      <c r="C98" t="s">
        <v>358</v>
      </c>
      <c r="D98" s="31">
        <v>0</v>
      </c>
      <c r="E98" s="31">
        <v>1</v>
      </c>
      <c r="F98" s="31">
        <v>0</v>
      </c>
      <c r="G98" s="31">
        <v>0</v>
      </c>
      <c r="H98" s="32">
        <v>32.99</v>
      </c>
      <c r="I98">
        <v>13</v>
      </c>
      <c r="J98" s="33">
        <v>0</v>
      </c>
      <c r="K98" s="33">
        <v>0</v>
      </c>
      <c r="L98" s="33">
        <v>0</v>
      </c>
      <c r="M98">
        <v>13</v>
      </c>
      <c r="N98">
        <v>0</v>
      </c>
      <c r="O98">
        <v>2</v>
      </c>
      <c r="P98" t="s">
        <v>54</v>
      </c>
      <c r="Q98" t="s">
        <v>54</v>
      </c>
      <c r="R98" t="s">
        <v>54</v>
      </c>
      <c r="S98" t="s">
        <v>54</v>
      </c>
      <c r="T98" t="s">
        <v>54</v>
      </c>
      <c r="U98" t="s">
        <v>54</v>
      </c>
      <c r="V98" t="s">
        <v>54</v>
      </c>
      <c r="W98" t="s">
        <v>54</v>
      </c>
      <c r="X98" s="23" t="s">
        <v>54</v>
      </c>
      <c r="Y98" s="23" t="s">
        <v>54</v>
      </c>
      <c r="Z98" s="23" t="s">
        <v>54</v>
      </c>
      <c r="AA98" s="23" t="s">
        <v>54</v>
      </c>
      <c r="AB98" t="s">
        <v>54</v>
      </c>
      <c r="AC98" t="s">
        <v>54</v>
      </c>
      <c r="AD98" t="s">
        <v>54</v>
      </c>
      <c r="AE98" t="s">
        <v>54</v>
      </c>
      <c r="AF98" s="23" t="s">
        <v>54</v>
      </c>
      <c r="AG98" s="23" t="s">
        <v>54</v>
      </c>
      <c r="AH98" s="23" t="s">
        <v>54</v>
      </c>
      <c r="AI98" s="23" t="s">
        <v>54</v>
      </c>
      <c r="AJ98">
        <v>20</v>
      </c>
      <c r="AK98">
        <v>21</v>
      </c>
      <c r="AL98">
        <v>15</v>
      </c>
      <c r="AM98">
        <v>17</v>
      </c>
      <c r="AN98" s="23">
        <v>0</v>
      </c>
      <c r="AO98" s="23">
        <v>0.0476190476190476</v>
      </c>
      <c r="AP98" s="23">
        <v>0</v>
      </c>
      <c r="AQ98" s="23">
        <v>0</v>
      </c>
      <c r="AR98" s="35">
        <v>0</v>
      </c>
      <c r="AS98" s="35">
        <v>0</v>
      </c>
      <c r="AT98" s="35">
        <v>13</v>
      </c>
      <c r="AU98" s="31" t="str">
        <f t="shared" si="5"/>
        <v>库存为13</v>
      </c>
      <c r="AV98" s="36" t="str">
        <f>IFERROR(时间!$B$4+AU98,"上周无销量")</f>
        <v>上周无销量</v>
      </c>
    </row>
    <row r="99" spans="1:48">
      <c r="A99" s="21" t="s">
        <v>359</v>
      </c>
      <c r="B99" t="s">
        <v>360</v>
      </c>
      <c r="C99" t="s">
        <v>358</v>
      </c>
      <c r="D99" s="31">
        <v>1</v>
      </c>
      <c r="E99" s="31">
        <v>0</v>
      </c>
      <c r="F99" s="31">
        <v>0</v>
      </c>
      <c r="G99" s="31">
        <v>0</v>
      </c>
      <c r="H99" s="32">
        <v>32.99</v>
      </c>
      <c r="I99">
        <v>7</v>
      </c>
      <c r="J99" s="33">
        <v>0</v>
      </c>
      <c r="K99" s="33">
        <v>0</v>
      </c>
      <c r="L99" s="33">
        <v>2</v>
      </c>
      <c r="M99">
        <v>9</v>
      </c>
      <c r="N99">
        <v>0</v>
      </c>
      <c r="O99">
        <v>0</v>
      </c>
      <c r="P99" t="s">
        <v>54</v>
      </c>
      <c r="Q99" t="s">
        <v>54</v>
      </c>
      <c r="R99" t="s">
        <v>54</v>
      </c>
      <c r="S99" t="s">
        <v>54</v>
      </c>
      <c r="T99" t="s">
        <v>54</v>
      </c>
      <c r="U99" t="s">
        <v>54</v>
      </c>
      <c r="V99" t="s">
        <v>54</v>
      </c>
      <c r="W99" t="s">
        <v>54</v>
      </c>
      <c r="X99" s="23" t="s">
        <v>54</v>
      </c>
      <c r="Y99" s="23" t="s">
        <v>54</v>
      </c>
      <c r="Z99" s="23" t="s">
        <v>54</v>
      </c>
      <c r="AA99" s="23" t="s">
        <v>54</v>
      </c>
      <c r="AB99" t="s">
        <v>54</v>
      </c>
      <c r="AC99" t="s">
        <v>54</v>
      </c>
      <c r="AD99" t="s">
        <v>54</v>
      </c>
      <c r="AE99" t="s">
        <v>54</v>
      </c>
      <c r="AF99" s="23" t="s">
        <v>54</v>
      </c>
      <c r="AG99" s="23" t="s">
        <v>54</v>
      </c>
      <c r="AH99" s="23" t="s">
        <v>54</v>
      </c>
      <c r="AI99" s="23" t="s">
        <v>54</v>
      </c>
      <c r="AJ99">
        <v>59</v>
      </c>
      <c r="AK99">
        <v>85</v>
      </c>
      <c r="AL99">
        <v>74</v>
      </c>
      <c r="AM99">
        <v>82</v>
      </c>
      <c r="AN99" s="23">
        <v>0.0169491525423729</v>
      </c>
      <c r="AO99" s="23">
        <v>0</v>
      </c>
      <c r="AP99" s="23">
        <v>0</v>
      </c>
      <c r="AQ99" s="23">
        <v>0</v>
      </c>
      <c r="AR99" s="35">
        <v>0.142857142857143</v>
      </c>
      <c r="AS99" s="35">
        <v>8.57142857142857</v>
      </c>
      <c r="AT99" s="35">
        <v>0.428571428571429</v>
      </c>
      <c r="AU99" s="31">
        <f t="shared" si="5"/>
        <v>63</v>
      </c>
      <c r="AV99" s="36">
        <f>IFERROR(时间!$B$4+AU99,"上周无销量")</f>
        <v>43402</v>
      </c>
    </row>
    <row r="100" spans="1:48">
      <c r="A100" s="21" t="s">
        <v>361</v>
      </c>
      <c r="B100" t="s">
        <v>362</v>
      </c>
      <c r="C100" t="s">
        <v>363</v>
      </c>
      <c r="D100" s="31">
        <v>0</v>
      </c>
      <c r="E100" s="31">
        <v>0</v>
      </c>
      <c r="F100" s="31">
        <v>0</v>
      </c>
      <c r="G100" s="31">
        <v>2</v>
      </c>
      <c r="H100" s="32">
        <v>89.99</v>
      </c>
      <c r="I100">
        <v>16</v>
      </c>
      <c r="J100" s="33">
        <v>0</v>
      </c>
      <c r="K100" s="33">
        <v>0</v>
      </c>
      <c r="L100" s="33">
        <v>0</v>
      </c>
      <c r="M100">
        <v>16</v>
      </c>
      <c r="N100">
        <v>0</v>
      </c>
      <c r="O100">
        <v>0</v>
      </c>
      <c r="P100" t="s">
        <v>54</v>
      </c>
      <c r="Q100" t="s">
        <v>54</v>
      </c>
      <c r="R100" t="s">
        <v>54</v>
      </c>
      <c r="S100" t="s">
        <v>54</v>
      </c>
      <c r="T100" t="s">
        <v>54</v>
      </c>
      <c r="U100" t="s">
        <v>54</v>
      </c>
      <c r="V100" t="s">
        <v>54</v>
      </c>
      <c r="W100" t="s">
        <v>54</v>
      </c>
      <c r="X100" s="23" t="s">
        <v>54</v>
      </c>
      <c r="Y100" s="23" t="s">
        <v>54</v>
      </c>
      <c r="Z100" s="23" t="s">
        <v>54</v>
      </c>
      <c r="AA100" s="23" t="s">
        <v>54</v>
      </c>
      <c r="AB100" t="s">
        <v>54</v>
      </c>
      <c r="AC100" t="s">
        <v>54</v>
      </c>
      <c r="AD100" t="s">
        <v>54</v>
      </c>
      <c r="AE100" t="s">
        <v>54</v>
      </c>
      <c r="AF100" s="23" t="s">
        <v>54</v>
      </c>
      <c r="AG100" s="23" t="s">
        <v>54</v>
      </c>
      <c r="AH100" s="23" t="s">
        <v>54</v>
      </c>
      <c r="AI100" s="23" t="s">
        <v>54</v>
      </c>
      <c r="AJ100">
        <v>19</v>
      </c>
      <c r="AK100">
        <v>15</v>
      </c>
      <c r="AL100">
        <v>8</v>
      </c>
      <c r="AM100">
        <v>21</v>
      </c>
      <c r="AN100" s="23">
        <v>0</v>
      </c>
      <c r="AO100" s="23">
        <v>0</v>
      </c>
      <c r="AP100" s="23">
        <v>0</v>
      </c>
      <c r="AQ100" s="23">
        <v>0.0952380952380952</v>
      </c>
      <c r="AR100" s="35">
        <v>0</v>
      </c>
      <c r="AS100" s="35">
        <v>0</v>
      </c>
      <c r="AT100" s="35">
        <v>16</v>
      </c>
      <c r="AU100" s="31" t="str">
        <f t="shared" si="5"/>
        <v>库存为16</v>
      </c>
      <c r="AV100" s="36" t="str">
        <f>IFERROR(时间!$B$4+AU100,"上周无销量")</f>
        <v>上周无销量</v>
      </c>
    </row>
    <row r="101" spans="1:48">
      <c r="A101" s="21" t="s">
        <v>364</v>
      </c>
      <c r="B101" t="s">
        <v>365</v>
      </c>
      <c r="C101" t="s">
        <v>366</v>
      </c>
      <c r="D101" s="31">
        <v>0</v>
      </c>
      <c r="E101" s="31">
        <v>0</v>
      </c>
      <c r="F101" s="31">
        <v>0</v>
      </c>
      <c r="G101" s="31">
        <v>0</v>
      </c>
      <c r="H101" s="32">
        <v>0</v>
      </c>
      <c r="I101">
        <v>3</v>
      </c>
      <c r="J101" s="33">
        <v>0</v>
      </c>
      <c r="K101" s="33">
        <v>0</v>
      </c>
      <c r="L101" s="33">
        <v>0</v>
      </c>
      <c r="M101">
        <v>3</v>
      </c>
      <c r="N101">
        <v>0</v>
      </c>
      <c r="O101">
        <v>3</v>
      </c>
      <c r="P101" t="s">
        <v>54</v>
      </c>
      <c r="Q101" t="s">
        <v>54</v>
      </c>
      <c r="R101" t="s">
        <v>54</v>
      </c>
      <c r="S101" t="s">
        <v>54</v>
      </c>
      <c r="T101" t="s">
        <v>54</v>
      </c>
      <c r="U101" t="s">
        <v>54</v>
      </c>
      <c r="V101" t="s">
        <v>54</v>
      </c>
      <c r="W101" t="s">
        <v>54</v>
      </c>
      <c r="X101" s="23" t="s">
        <v>54</v>
      </c>
      <c r="Y101" s="23" t="s">
        <v>54</v>
      </c>
      <c r="Z101" s="23" t="s">
        <v>54</v>
      </c>
      <c r="AA101" s="23" t="s">
        <v>54</v>
      </c>
      <c r="AB101" t="s">
        <v>54</v>
      </c>
      <c r="AC101" t="s">
        <v>54</v>
      </c>
      <c r="AD101" t="s">
        <v>54</v>
      </c>
      <c r="AE101" t="s">
        <v>54</v>
      </c>
      <c r="AF101" s="23" t="s">
        <v>54</v>
      </c>
      <c r="AG101" s="23" t="s">
        <v>54</v>
      </c>
      <c r="AH101" s="23" t="s">
        <v>54</v>
      </c>
      <c r="AI101" s="23" t="s">
        <v>54</v>
      </c>
      <c r="AJ101">
        <v>14</v>
      </c>
      <c r="AK101">
        <v>4</v>
      </c>
      <c r="AL101">
        <v>4</v>
      </c>
      <c r="AM101">
        <v>2</v>
      </c>
      <c r="AN101" s="23">
        <v>0</v>
      </c>
      <c r="AO101" s="23">
        <v>0</v>
      </c>
      <c r="AP101" s="23">
        <v>0</v>
      </c>
      <c r="AQ101" s="23">
        <v>0</v>
      </c>
      <c r="AR101" s="35">
        <v>0</v>
      </c>
      <c r="AS101" s="35">
        <v>0</v>
      </c>
      <c r="AT101" s="35">
        <v>3</v>
      </c>
      <c r="AU101" s="31" t="str">
        <f t="shared" si="5"/>
        <v>库存为3</v>
      </c>
      <c r="AV101" s="36" t="str">
        <f>IFERROR(时间!$B$4+AU101,"上周无销量")</f>
        <v>上周无销量</v>
      </c>
    </row>
    <row r="102" spans="1:48">
      <c r="A102" s="21" t="s">
        <v>367</v>
      </c>
      <c r="B102" t="s">
        <v>368</v>
      </c>
      <c r="C102" t="s">
        <v>369</v>
      </c>
      <c r="D102" s="31">
        <v>0</v>
      </c>
      <c r="E102" s="31">
        <v>4</v>
      </c>
      <c r="F102" s="31">
        <v>3</v>
      </c>
      <c r="G102" s="31">
        <v>1</v>
      </c>
      <c r="H102" s="32">
        <v>79.99</v>
      </c>
      <c r="I102">
        <v>19</v>
      </c>
      <c r="J102" s="33">
        <v>0</v>
      </c>
      <c r="K102" s="33">
        <v>0</v>
      </c>
      <c r="L102" s="33">
        <v>0</v>
      </c>
      <c r="M102">
        <v>19</v>
      </c>
      <c r="N102">
        <v>1</v>
      </c>
      <c r="O102">
        <v>0</v>
      </c>
      <c r="P102">
        <v>27548</v>
      </c>
      <c r="Q102">
        <v>8377</v>
      </c>
      <c r="R102">
        <v>46443</v>
      </c>
      <c r="S102">
        <v>46621</v>
      </c>
      <c r="T102">
        <v>103</v>
      </c>
      <c r="U102">
        <v>32</v>
      </c>
      <c r="V102">
        <v>253</v>
      </c>
      <c r="W102">
        <v>255</v>
      </c>
      <c r="X102" s="23">
        <v>0.00373892841585596</v>
      </c>
      <c r="Y102" s="23">
        <v>0.00381998328757312</v>
      </c>
      <c r="Z102" s="23">
        <v>0.005447537842086</v>
      </c>
      <c r="AA102" s="23">
        <v>0.00546963814589992</v>
      </c>
      <c r="AB102">
        <v>29.42</v>
      </c>
      <c r="AC102">
        <v>9.24</v>
      </c>
      <c r="AD102">
        <v>41.04</v>
      </c>
      <c r="AE102">
        <v>41.62</v>
      </c>
      <c r="AF102" s="23" t="s">
        <v>370</v>
      </c>
      <c r="AG102" s="23">
        <v>0.0288786098262283</v>
      </c>
      <c r="AH102" s="23">
        <v>0.171021377672209</v>
      </c>
      <c r="AI102" s="23">
        <v>0.520315039379923</v>
      </c>
      <c r="AJ102">
        <v>215</v>
      </c>
      <c r="AK102">
        <v>110</v>
      </c>
      <c r="AL102">
        <v>191</v>
      </c>
      <c r="AM102">
        <v>141</v>
      </c>
      <c r="AN102" s="23">
        <v>0</v>
      </c>
      <c r="AO102" s="23">
        <v>0.0363636363636364</v>
      </c>
      <c r="AP102" s="23">
        <v>0.0157068062827225</v>
      </c>
      <c r="AQ102" s="23">
        <v>0.00709219858156028</v>
      </c>
      <c r="AR102" s="35">
        <v>0</v>
      </c>
      <c r="AS102" s="35">
        <v>0</v>
      </c>
      <c r="AT102" s="35">
        <v>19</v>
      </c>
      <c r="AU102" s="31" t="str">
        <f t="shared" si="5"/>
        <v>库存为19</v>
      </c>
      <c r="AV102" s="36" t="str">
        <f>IFERROR(时间!$B$4+AU102,"上周无销量")</f>
        <v>上周无销量</v>
      </c>
    </row>
    <row r="103" spans="1:48">
      <c r="A103" s="21" t="s">
        <v>371</v>
      </c>
      <c r="B103" t="s">
        <v>372</v>
      </c>
      <c r="C103" t="s">
        <v>373</v>
      </c>
      <c r="D103" s="31">
        <v>3</v>
      </c>
      <c r="E103" s="31">
        <v>0</v>
      </c>
      <c r="F103" s="31">
        <v>0</v>
      </c>
      <c r="G103" s="31">
        <v>1</v>
      </c>
      <c r="H103" s="32">
        <v>32.99</v>
      </c>
      <c r="I103">
        <v>8</v>
      </c>
      <c r="J103" s="33">
        <v>0</v>
      </c>
      <c r="K103" s="33">
        <v>0</v>
      </c>
      <c r="L103" s="33">
        <v>1</v>
      </c>
      <c r="M103">
        <v>9</v>
      </c>
      <c r="N103">
        <v>1</v>
      </c>
      <c r="O103">
        <v>0</v>
      </c>
      <c r="P103">
        <v>40959</v>
      </c>
      <c r="Q103">
        <v>3875</v>
      </c>
      <c r="R103">
        <v>10001</v>
      </c>
      <c r="S103">
        <v>10007</v>
      </c>
      <c r="T103">
        <v>217</v>
      </c>
      <c r="U103">
        <v>31</v>
      </c>
      <c r="V103">
        <v>110</v>
      </c>
      <c r="W103">
        <v>110</v>
      </c>
      <c r="X103" s="23">
        <v>0.00529798090773701</v>
      </c>
      <c r="Y103" s="23">
        <v>0.008</v>
      </c>
      <c r="Z103" s="23">
        <v>0.010998900109989</v>
      </c>
      <c r="AA103" s="23">
        <v>0.0109923053862296</v>
      </c>
      <c r="AB103">
        <v>56.91</v>
      </c>
      <c r="AC103">
        <v>4.59</v>
      </c>
      <c r="AD103">
        <v>17.3</v>
      </c>
      <c r="AE103">
        <v>17.3</v>
      </c>
      <c r="AF103" s="23">
        <v>0.575022734161867</v>
      </c>
      <c r="AG103" s="23" t="s">
        <v>374</v>
      </c>
      <c r="AH103" s="23" t="s">
        <v>375</v>
      </c>
      <c r="AI103" s="23">
        <v>0.524401333737496</v>
      </c>
      <c r="AJ103">
        <v>306</v>
      </c>
      <c r="AK103">
        <v>53</v>
      </c>
      <c r="AL103">
        <v>53</v>
      </c>
      <c r="AM103">
        <v>27</v>
      </c>
      <c r="AN103" s="23">
        <v>0.00980392156862745</v>
      </c>
      <c r="AO103" s="23">
        <v>0</v>
      </c>
      <c r="AP103" s="23">
        <v>0</v>
      </c>
      <c r="AQ103" s="23">
        <v>0.037037037037037</v>
      </c>
      <c r="AR103" s="35">
        <v>0.428571428571429</v>
      </c>
      <c r="AS103" s="35">
        <v>25.7142857142857</v>
      </c>
      <c r="AT103" s="35">
        <v>-16.7142857142857</v>
      </c>
      <c r="AU103" s="31">
        <f t="shared" si="5"/>
        <v>21</v>
      </c>
      <c r="AV103" s="36">
        <f>IFERROR(时间!$B$4+AU103,"上周无销量")</f>
        <v>43360</v>
      </c>
    </row>
    <row r="104" spans="1:48">
      <c r="A104" s="21" t="s">
        <v>376</v>
      </c>
      <c r="B104" t="s">
        <v>377</v>
      </c>
      <c r="C104" t="s">
        <v>378</v>
      </c>
      <c r="D104" s="31">
        <v>0</v>
      </c>
      <c r="E104" s="31">
        <v>0</v>
      </c>
      <c r="F104" s="31">
        <v>0</v>
      </c>
      <c r="G104" s="31">
        <v>0</v>
      </c>
      <c r="H104" s="32">
        <v>0</v>
      </c>
      <c r="I104">
        <v>0</v>
      </c>
      <c r="J104" s="33">
        <v>0</v>
      </c>
      <c r="K104" s="33">
        <v>0</v>
      </c>
      <c r="L104" s="33">
        <v>0</v>
      </c>
      <c r="M104">
        <v>0</v>
      </c>
      <c r="N104">
        <v>0</v>
      </c>
      <c r="O104">
        <v>0</v>
      </c>
      <c r="P104" t="s">
        <v>54</v>
      </c>
      <c r="Q104" t="s">
        <v>54</v>
      </c>
      <c r="R104" t="s">
        <v>54</v>
      </c>
      <c r="S104" t="s">
        <v>54</v>
      </c>
      <c r="T104" t="s">
        <v>54</v>
      </c>
      <c r="U104" t="s">
        <v>54</v>
      </c>
      <c r="V104" t="s">
        <v>54</v>
      </c>
      <c r="W104" t="s">
        <v>54</v>
      </c>
      <c r="X104" s="23" t="s">
        <v>54</v>
      </c>
      <c r="Y104" s="23" t="s">
        <v>54</v>
      </c>
      <c r="Z104" s="23" t="s">
        <v>54</v>
      </c>
      <c r="AA104" s="23" t="s">
        <v>54</v>
      </c>
      <c r="AB104" t="s">
        <v>54</v>
      </c>
      <c r="AC104" t="s">
        <v>54</v>
      </c>
      <c r="AD104" t="s">
        <v>54</v>
      </c>
      <c r="AE104" t="s">
        <v>54</v>
      </c>
      <c r="AF104" s="23" t="s">
        <v>54</v>
      </c>
      <c r="AG104" s="23" t="s">
        <v>54</v>
      </c>
      <c r="AH104" s="23" t="s">
        <v>54</v>
      </c>
      <c r="AI104" s="23" t="s">
        <v>54</v>
      </c>
      <c r="AJ104">
        <v>0</v>
      </c>
      <c r="AK104">
        <v>0</v>
      </c>
      <c r="AL104">
        <v>0</v>
      </c>
      <c r="AM104">
        <v>0</v>
      </c>
      <c r="AN104" s="23" t="s">
        <v>54</v>
      </c>
      <c r="AO104" s="23" t="s">
        <v>54</v>
      </c>
      <c r="AP104" s="23" t="s">
        <v>54</v>
      </c>
      <c r="AQ104" s="23" t="s">
        <v>54</v>
      </c>
      <c r="AR104" s="35">
        <v>0</v>
      </c>
      <c r="AS104" s="35">
        <v>0</v>
      </c>
      <c r="AT104" s="35">
        <v>0</v>
      </c>
      <c r="AU104" s="31" t="str">
        <f t="shared" si="5"/>
        <v>库存为0</v>
      </c>
      <c r="AV104" s="36" t="str">
        <f>IFERROR(时间!$B$4+AU104,"上周无销量")</f>
        <v>上周无销量</v>
      </c>
    </row>
    <row r="105" spans="1:48">
      <c r="A105" s="21" t="s">
        <v>379</v>
      </c>
      <c r="B105" t="s">
        <v>380</v>
      </c>
      <c r="C105" t="s">
        <v>381</v>
      </c>
      <c r="D105" s="31">
        <v>0</v>
      </c>
      <c r="E105" s="31">
        <v>0</v>
      </c>
      <c r="F105" s="31">
        <v>0</v>
      </c>
      <c r="G105" s="31">
        <v>0</v>
      </c>
      <c r="H105" s="32">
        <v>0</v>
      </c>
      <c r="I105">
        <v>0</v>
      </c>
      <c r="J105" s="33">
        <v>0</v>
      </c>
      <c r="K105" s="33">
        <v>0</v>
      </c>
      <c r="L105" s="33">
        <v>0</v>
      </c>
      <c r="M105">
        <v>0</v>
      </c>
      <c r="N105">
        <v>0</v>
      </c>
      <c r="O105">
        <v>0</v>
      </c>
      <c r="P105">
        <v>0</v>
      </c>
      <c r="Q105">
        <v>3991</v>
      </c>
      <c r="R105">
        <v>117743</v>
      </c>
      <c r="S105">
        <v>118258</v>
      </c>
      <c r="T105">
        <v>0</v>
      </c>
      <c r="U105">
        <v>12</v>
      </c>
      <c r="V105">
        <v>370</v>
      </c>
      <c r="W105">
        <v>373</v>
      </c>
      <c r="X105" s="23" t="s">
        <v>54</v>
      </c>
      <c r="Y105" s="23">
        <v>0.00300676522174893</v>
      </c>
      <c r="Z105" s="23">
        <v>0.00314243734234732</v>
      </c>
      <c r="AA105" s="23">
        <v>0.00315412065145698</v>
      </c>
      <c r="AB105">
        <v>0</v>
      </c>
      <c r="AC105">
        <v>1.75</v>
      </c>
      <c r="AD105">
        <v>63.99</v>
      </c>
      <c r="AE105">
        <v>64.49</v>
      </c>
      <c r="AF105" s="23" t="s">
        <v>54</v>
      </c>
      <c r="AG105" s="23" t="s">
        <v>382</v>
      </c>
      <c r="AH105" s="23" t="s">
        <v>383</v>
      </c>
      <c r="AI105" s="23" t="s">
        <v>384</v>
      </c>
      <c r="AJ105">
        <v>0</v>
      </c>
      <c r="AK105">
        <v>32</v>
      </c>
      <c r="AL105">
        <v>134</v>
      </c>
      <c r="AM105">
        <v>168</v>
      </c>
      <c r="AN105" s="23" t="s">
        <v>54</v>
      </c>
      <c r="AO105" s="23">
        <v>0</v>
      </c>
      <c r="AP105" s="23">
        <v>0</v>
      </c>
      <c r="AQ105" s="23">
        <v>0</v>
      </c>
      <c r="AR105" s="35">
        <v>0</v>
      </c>
      <c r="AS105" s="35">
        <v>0</v>
      </c>
      <c r="AT105" s="35">
        <v>0</v>
      </c>
      <c r="AU105" s="31" t="str">
        <f t="shared" si="5"/>
        <v>库存为0</v>
      </c>
      <c r="AV105" s="36" t="str">
        <f>IFERROR(时间!$B$4+AU105,"上周无销量")</f>
        <v>上周无销量</v>
      </c>
    </row>
    <row r="106" spans="1:48">
      <c r="A106" s="21" t="s">
        <v>385</v>
      </c>
      <c r="B106" t="s">
        <v>386</v>
      </c>
      <c r="C106" t="s">
        <v>387</v>
      </c>
      <c r="D106" s="31">
        <v>0</v>
      </c>
      <c r="E106" s="31">
        <v>1</v>
      </c>
      <c r="F106" s="31">
        <v>1</v>
      </c>
      <c r="G106" s="31">
        <v>2</v>
      </c>
      <c r="H106" s="32">
        <v>89.99</v>
      </c>
      <c r="I106">
        <v>9</v>
      </c>
      <c r="J106" s="33">
        <v>0</v>
      </c>
      <c r="K106" s="33">
        <v>0</v>
      </c>
      <c r="L106" s="33">
        <v>0</v>
      </c>
      <c r="M106">
        <v>9</v>
      </c>
      <c r="N106">
        <v>0</v>
      </c>
      <c r="O106">
        <v>0</v>
      </c>
      <c r="P106" t="s">
        <v>54</v>
      </c>
      <c r="Q106" t="s">
        <v>54</v>
      </c>
      <c r="R106" t="s">
        <v>54</v>
      </c>
      <c r="S106" t="s">
        <v>54</v>
      </c>
      <c r="T106" t="s">
        <v>54</v>
      </c>
      <c r="U106" t="s">
        <v>54</v>
      </c>
      <c r="V106" t="s">
        <v>54</v>
      </c>
      <c r="W106" t="s">
        <v>54</v>
      </c>
      <c r="X106" s="23" t="s">
        <v>54</v>
      </c>
      <c r="Y106" s="23" t="s">
        <v>54</v>
      </c>
      <c r="Z106" s="23" t="s">
        <v>54</v>
      </c>
      <c r="AA106" s="23" t="s">
        <v>54</v>
      </c>
      <c r="AB106" t="s">
        <v>54</v>
      </c>
      <c r="AC106" t="s">
        <v>54</v>
      </c>
      <c r="AD106" t="s">
        <v>54</v>
      </c>
      <c r="AE106" t="s">
        <v>54</v>
      </c>
      <c r="AF106" s="23" t="s">
        <v>54</v>
      </c>
      <c r="AG106" s="23" t="s">
        <v>54</v>
      </c>
      <c r="AH106" s="23" t="s">
        <v>54</v>
      </c>
      <c r="AI106" s="23" t="s">
        <v>54</v>
      </c>
      <c r="AJ106">
        <v>28</v>
      </c>
      <c r="AK106">
        <v>29</v>
      </c>
      <c r="AL106">
        <v>24</v>
      </c>
      <c r="AM106">
        <v>8</v>
      </c>
      <c r="AN106" s="23">
        <v>0</v>
      </c>
      <c r="AO106" s="23">
        <v>0.0344827586206897</v>
      </c>
      <c r="AP106" s="23">
        <v>0.0416666666666667</v>
      </c>
      <c r="AQ106" s="23">
        <v>0.25</v>
      </c>
      <c r="AR106" s="35">
        <v>0</v>
      </c>
      <c r="AS106" s="35">
        <v>0</v>
      </c>
      <c r="AT106" s="35">
        <v>9</v>
      </c>
      <c r="AU106" s="31" t="str">
        <f t="shared" si="5"/>
        <v>库存为9</v>
      </c>
      <c r="AV106" s="36" t="str">
        <f>IFERROR(时间!$B$4+AU106,"上周无销量")</f>
        <v>上周无销量</v>
      </c>
    </row>
    <row r="107" spans="1:48">
      <c r="A107" s="21" t="s">
        <v>388</v>
      </c>
      <c r="B107" t="s">
        <v>389</v>
      </c>
      <c r="C107" t="s">
        <v>390</v>
      </c>
      <c r="D107" s="31">
        <v>1</v>
      </c>
      <c r="E107" s="31">
        <v>0</v>
      </c>
      <c r="F107" s="31">
        <v>0</v>
      </c>
      <c r="G107" s="31">
        <v>1</v>
      </c>
      <c r="H107" s="32">
        <v>79.99</v>
      </c>
      <c r="I107">
        <v>8</v>
      </c>
      <c r="J107" s="33">
        <v>0</v>
      </c>
      <c r="K107" s="33">
        <v>0</v>
      </c>
      <c r="L107" s="33">
        <v>0</v>
      </c>
      <c r="M107">
        <v>8</v>
      </c>
      <c r="N107">
        <v>0</v>
      </c>
      <c r="O107">
        <v>8</v>
      </c>
      <c r="P107">
        <v>13703</v>
      </c>
      <c r="Q107">
        <v>14378</v>
      </c>
      <c r="R107">
        <v>7194</v>
      </c>
      <c r="S107">
        <v>7252</v>
      </c>
      <c r="T107">
        <v>78</v>
      </c>
      <c r="U107">
        <v>45</v>
      </c>
      <c r="V107">
        <v>72</v>
      </c>
      <c r="W107">
        <v>72</v>
      </c>
      <c r="X107" s="23">
        <v>0.00569218419324236</v>
      </c>
      <c r="Y107" s="23">
        <v>0.00312978161079427</v>
      </c>
      <c r="Z107" s="23">
        <v>0.0100083402835696</v>
      </c>
      <c r="AA107" s="23">
        <v>0.00992829564258136</v>
      </c>
      <c r="AB107">
        <v>20.33</v>
      </c>
      <c r="AC107">
        <v>12.06</v>
      </c>
      <c r="AD107">
        <v>13.02</v>
      </c>
      <c r="AE107">
        <v>13.02</v>
      </c>
      <c r="AF107" s="23">
        <v>0.2541567695962</v>
      </c>
      <c r="AG107" s="23" t="s">
        <v>391</v>
      </c>
      <c r="AH107" s="23" t="s">
        <v>392</v>
      </c>
      <c r="AI107" s="23">
        <v>0.162770346293287</v>
      </c>
      <c r="AJ107">
        <v>87</v>
      </c>
      <c r="AK107">
        <v>70</v>
      </c>
      <c r="AL107">
        <v>76</v>
      </c>
      <c r="AM107">
        <v>48</v>
      </c>
      <c r="AN107" s="23">
        <v>0.0114942528735632</v>
      </c>
      <c r="AO107" s="23">
        <v>0</v>
      </c>
      <c r="AP107" s="23">
        <v>0</v>
      </c>
      <c r="AQ107" s="23">
        <v>0.0208333333333333</v>
      </c>
      <c r="AR107" s="35">
        <v>0.142857142857143</v>
      </c>
      <c r="AS107" s="35">
        <v>8.57142857142857</v>
      </c>
      <c r="AT107" s="35">
        <v>-0.571428571428571</v>
      </c>
      <c r="AU107" s="31">
        <f t="shared" si="5"/>
        <v>56</v>
      </c>
      <c r="AV107" s="36">
        <f>IFERROR(时间!$B$4+AU107,"上周无销量")</f>
        <v>43395</v>
      </c>
    </row>
    <row r="108" spans="1:48">
      <c r="A108" s="21" t="s">
        <v>393</v>
      </c>
      <c r="B108" t="s">
        <v>394</v>
      </c>
      <c r="C108" t="s">
        <v>395</v>
      </c>
      <c r="D108" s="31">
        <v>0</v>
      </c>
      <c r="E108" s="31">
        <v>2</v>
      </c>
      <c r="F108" s="31">
        <v>1</v>
      </c>
      <c r="G108" s="31">
        <v>0</v>
      </c>
      <c r="H108" s="32">
        <v>59.99</v>
      </c>
      <c r="I108">
        <v>0</v>
      </c>
      <c r="J108" s="33">
        <v>0</v>
      </c>
      <c r="K108" s="33">
        <v>0</v>
      </c>
      <c r="L108" s="33">
        <v>0</v>
      </c>
      <c r="M108">
        <v>0</v>
      </c>
      <c r="N108">
        <v>0</v>
      </c>
      <c r="O108">
        <v>0</v>
      </c>
      <c r="P108">
        <v>0</v>
      </c>
      <c r="Q108">
        <v>8830</v>
      </c>
      <c r="R108">
        <v>6155</v>
      </c>
      <c r="S108">
        <v>6196</v>
      </c>
      <c r="T108">
        <v>0</v>
      </c>
      <c r="U108">
        <v>35</v>
      </c>
      <c r="V108">
        <v>24</v>
      </c>
      <c r="W108">
        <v>24</v>
      </c>
      <c r="X108" s="23" t="s">
        <v>54</v>
      </c>
      <c r="Y108" s="23">
        <v>0.00396375990939977</v>
      </c>
      <c r="Z108" s="23">
        <v>0.00389926888708367</v>
      </c>
      <c r="AA108" s="23">
        <v>0.00387346675274371</v>
      </c>
      <c r="AB108">
        <v>0</v>
      </c>
      <c r="AC108">
        <v>9.87</v>
      </c>
      <c r="AD108">
        <v>6.34</v>
      </c>
      <c r="AE108">
        <v>6.34</v>
      </c>
      <c r="AF108" s="23" t="s">
        <v>54</v>
      </c>
      <c r="AG108" s="23">
        <v>0.0822637106184364</v>
      </c>
      <c r="AH108" s="23">
        <v>0.105684280713452</v>
      </c>
      <c r="AI108" s="23" t="s">
        <v>396</v>
      </c>
      <c r="AJ108">
        <v>0</v>
      </c>
      <c r="AK108">
        <v>30</v>
      </c>
      <c r="AL108">
        <v>47</v>
      </c>
      <c r="AM108">
        <v>46</v>
      </c>
      <c r="AN108" s="23" t="s">
        <v>54</v>
      </c>
      <c r="AO108" s="23">
        <v>0.0666666666666667</v>
      </c>
      <c r="AP108" s="23">
        <v>0.0212765957446809</v>
      </c>
      <c r="AQ108" s="23">
        <v>0</v>
      </c>
      <c r="AR108" s="35">
        <v>0</v>
      </c>
      <c r="AS108" s="35">
        <v>0</v>
      </c>
      <c r="AT108" s="35">
        <v>0</v>
      </c>
      <c r="AU108" s="31" t="str">
        <f t="shared" si="5"/>
        <v>库存为0</v>
      </c>
      <c r="AV108" s="36" t="str">
        <f>IFERROR(时间!$B$4+AU108,"上周无销量")</f>
        <v>上周无销量</v>
      </c>
    </row>
    <row r="109" spans="1:48">
      <c r="A109" s="21" t="s">
        <v>397</v>
      </c>
      <c r="B109" t="s">
        <v>398</v>
      </c>
      <c r="C109" t="s">
        <v>399</v>
      </c>
      <c r="D109" s="31">
        <v>2</v>
      </c>
      <c r="E109" s="31">
        <v>0</v>
      </c>
      <c r="F109" s="31">
        <v>0</v>
      </c>
      <c r="G109" s="31">
        <v>0</v>
      </c>
      <c r="H109" s="32">
        <v>118.99</v>
      </c>
      <c r="I109">
        <v>1</v>
      </c>
      <c r="J109" s="33">
        <v>3</v>
      </c>
      <c r="K109" s="33">
        <v>0</v>
      </c>
      <c r="L109" s="33">
        <v>0</v>
      </c>
      <c r="M109">
        <v>4</v>
      </c>
      <c r="N109">
        <v>0</v>
      </c>
      <c r="O109">
        <v>0</v>
      </c>
      <c r="P109">
        <v>3036</v>
      </c>
      <c r="Q109">
        <v>3181</v>
      </c>
      <c r="R109">
        <v>1872</v>
      </c>
      <c r="S109">
        <v>1950</v>
      </c>
      <c r="T109">
        <v>38</v>
      </c>
      <c r="U109">
        <v>22</v>
      </c>
      <c r="V109">
        <v>6</v>
      </c>
      <c r="W109">
        <v>6</v>
      </c>
      <c r="X109" s="23">
        <v>0.0125164690382082</v>
      </c>
      <c r="Y109" s="23">
        <v>0.00691606413077649</v>
      </c>
      <c r="Z109" s="23">
        <v>0.00320512820512821</v>
      </c>
      <c r="AA109" s="23">
        <v>0.00307692307692308</v>
      </c>
      <c r="AB109">
        <v>9.1</v>
      </c>
      <c r="AC109">
        <v>4.6</v>
      </c>
      <c r="AD109">
        <v>2.25</v>
      </c>
      <c r="AE109">
        <v>2.25</v>
      </c>
      <c r="AF109" s="23">
        <v>0.0382385074375998</v>
      </c>
      <c r="AG109" s="23" t="s">
        <v>400</v>
      </c>
      <c r="AH109" s="23" t="s">
        <v>401</v>
      </c>
      <c r="AI109" s="23" t="s">
        <v>401</v>
      </c>
      <c r="AJ109">
        <v>103</v>
      </c>
      <c r="AK109">
        <v>44</v>
      </c>
      <c r="AL109">
        <v>16</v>
      </c>
      <c r="AM109">
        <v>29</v>
      </c>
      <c r="AN109" s="23">
        <v>0.0194174757281553</v>
      </c>
      <c r="AO109" s="23">
        <v>0</v>
      </c>
      <c r="AP109" s="23">
        <v>0</v>
      </c>
      <c r="AQ109" s="23">
        <v>0</v>
      </c>
      <c r="AR109" s="35">
        <v>0.285714285714286</v>
      </c>
      <c r="AS109" s="35">
        <v>17.1428571428571</v>
      </c>
      <c r="AT109" s="35">
        <v>-13.1428571428571</v>
      </c>
      <c r="AU109" s="31">
        <f t="shared" si="5"/>
        <v>14</v>
      </c>
      <c r="AV109" s="36">
        <f>IFERROR(时间!$B$4+AU109,"上周无销量")</f>
        <v>43353</v>
      </c>
    </row>
    <row r="110" spans="1:48">
      <c r="A110" s="21" t="s">
        <v>402</v>
      </c>
      <c r="B110" t="s">
        <v>403</v>
      </c>
      <c r="C110" t="s">
        <v>404</v>
      </c>
      <c r="D110" s="31">
        <v>1</v>
      </c>
      <c r="E110" s="31">
        <v>0</v>
      </c>
      <c r="F110" s="31">
        <v>0</v>
      </c>
      <c r="G110" s="31">
        <v>0</v>
      </c>
      <c r="H110" s="32">
        <v>99.9</v>
      </c>
      <c r="I110">
        <v>2</v>
      </c>
      <c r="J110" s="33">
        <v>0</v>
      </c>
      <c r="K110" s="33">
        <v>0</v>
      </c>
      <c r="L110" s="33">
        <v>0</v>
      </c>
      <c r="M110">
        <v>2</v>
      </c>
      <c r="N110">
        <v>0</v>
      </c>
      <c r="O110">
        <v>0</v>
      </c>
      <c r="P110">
        <v>1934</v>
      </c>
      <c r="Q110">
        <v>0</v>
      </c>
      <c r="R110">
        <v>0</v>
      </c>
      <c r="S110">
        <v>0</v>
      </c>
      <c r="T110">
        <v>13</v>
      </c>
      <c r="U110">
        <v>0</v>
      </c>
      <c r="V110">
        <v>0</v>
      </c>
      <c r="W110">
        <v>0</v>
      </c>
      <c r="X110" s="23">
        <v>0.00672182006204757</v>
      </c>
      <c r="Y110" s="23" t="s">
        <v>54</v>
      </c>
      <c r="Z110" s="23" t="s">
        <v>54</v>
      </c>
      <c r="AA110" s="23" t="s">
        <v>54</v>
      </c>
      <c r="AB110">
        <v>4.68</v>
      </c>
      <c r="AC110">
        <v>0</v>
      </c>
      <c r="AD110">
        <v>0</v>
      </c>
      <c r="AE110">
        <v>0</v>
      </c>
      <c r="AF110" s="23">
        <v>0.0468468468468468</v>
      </c>
      <c r="AG110" s="23" t="s">
        <v>54</v>
      </c>
      <c r="AH110" s="23" t="s">
        <v>54</v>
      </c>
      <c r="AI110" s="23" t="s">
        <v>54</v>
      </c>
      <c r="AJ110">
        <v>35</v>
      </c>
      <c r="AK110">
        <v>4</v>
      </c>
      <c r="AL110">
        <v>1</v>
      </c>
      <c r="AM110">
        <v>2</v>
      </c>
      <c r="AN110" s="23">
        <v>0.0285714285714286</v>
      </c>
      <c r="AO110" s="23">
        <v>0</v>
      </c>
      <c r="AP110" s="23">
        <v>0</v>
      </c>
      <c r="AQ110" s="23">
        <v>0</v>
      </c>
      <c r="AR110" s="35">
        <v>0.142857142857143</v>
      </c>
      <c r="AS110" s="35">
        <v>8.57142857142857</v>
      </c>
      <c r="AT110" s="35">
        <v>-6.57142857142857</v>
      </c>
      <c r="AU110" s="31">
        <f t="shared" si="5"/>
        <v>14</v>
      </c>
      <c r="AV110" s="36">
        <f>IFERROR(时间!$B$4+AU110,"上周无销量")</f>
        <v>43353</v>
      </c>
    </row>
    <row r="111" spans="1:48">
      <c r="A111" s="21" t="s">
        <v>405</v>
      </c>
      <c r="B111" t="s">
        <v>406</v>
      </c>
      <c r="C111" t="s">
        <v>407</v>
      </c>
      <c r="D111" s="31">
        <v>1</v>
      </c>
      <c r="E111" s="31">
        <v>1</v>
      </c>
      <c r="F111" s="31">
        <v>1</v>
      </c>
      <c r="G111" s="31">
        <v>0</v>
      </c>
      <c r="H111" s="32">
        <v>89.99</v>
      </c>
      <c r="I111">
        <v>5</v>
      </c>
      <c r="J111" s="33">
        <v>0</v>
      </c>
      <c r="K111" s="33">
        <v>0</v>
      </c>
      <c r="L111" s="33">
        <v>0</v>
      </c>
      <c r="M111">
        <v>5</v>
      </c>
      <c r="N111">
        <v>0</v>
      </c>
      <c r="O111">
        <v>6</v>
      </c>
      <c r="P111">
        <v>10369</v>
      </c>
      <c r="Q111">
        <v>14188</v>
      </c>
      <c r="R111">
        <v>99282</v>
      </c>
      <c r="S111">
        <v>99448</v>
      </c>
      <c r="T111">
        <v>123</v>
      </c>
      <c r="U111">
        <v>114</v>
      </c>
      <c r="V111">
        <v>496</v>
      </c>
      <c r="W111">
        <v>497</v>
      </c>
      <c r="X111" s="23">
        <v>0.0118622818015238</v>
      </c>
      <c r="Y111" s="23">
        <v>0.00803495912038342</v>
      </c>
      <c r="Z111" s="23">
        <v>0.00499587034910659</v>
      </c>
      <c r="AA111" s="23">
        <v>0.00499758667846513</v>
      </c>
      <c r="AB111">
        <v>23.45</v>
      </c>
      <c r="AC111">
        <v>19.8</v>
      </c>
      <c r="AD111">
        <v>152.33</v>
      </c>
      <c r="AE111">
        <v>152.51</v>
      </c>
      <c r="AF111" s="23">
        <v>0.260584509389932</v>
      </c>
      <c r="AG111" s="23">
        <v>0.220024447160796</v>
      </c>
      <c r="AH111" s="23">
        <v>1.69274363818202</v>
      </c>
      <c r="AI111" s="23" t="s">
        <v>408</v>
      </c>
      <c r="AJ111">
        <v>168</v>
      </c>
      <c r="AK111">
        <v>185</v>
      </c>
      <c r="AL111">
        <v>73</v>
      </c>
      <c r="AM111">
        <v>74</v>
      </c>
      <c r="AN111" s="23">
        <v>0.00595238095238095</v>
      </c>
      <c r="AO111" s="23">
        <v>0.00540540540540541</v>
      </c>
      <c r="AP111" s="23">
        <v>0.0136986301369863</v>
      </c>
      <c r="AQ111" s="23">
        <v>0</v>
      </c>
      <c r="AR111" s="35">
        <v>0.142857142857143</v>
      </c>
      <c r="AS111" s="35">
        <v>8.57142857142857</v>
      </c>
      <c r="AT111" s="35">
        <v>-3.57142857142857</v>
      </c>
      <c r="AU111" s="31">
        <f t="shared" si="5"/>
        <v>35</v>
      </c>
      <c r="AV111" s="36">
        <f>IFERROR(时间!$B$4+AU111,"上周无销量")</f>
        <v>43374</v>
      </c>
    </row>
    <row r="112" spans="1:48">
      <c r="A112" s="21" t="s">
        <v>409</v>
      </c>
      <c r="B112" t="s">
        <v>410</v>
      </c>
      <c r="C112" t="s">
        <v>411</v>
      </c>
      <c r="D112" s="31">
        <v>0</v>
      </c>
      <c r="E112" s="31">
        <v>0</v>
      </c>
      <c r="F112" s="31">
        <v>0</v>
      </c>
      <c r="G112" s="31">
        <v>0</v>
      </c>
      <c r="H112" s="32">
        <v>0</v>
      </c>
      <c r="I112">
        <v>20</v>
      </c>
      <c r="J112" s="33">
        <v>0</v>
      </c>
      <c r="K112" s="33">
        <v>0</v>
      </c>
      <c r="L112" s="33">
        <v>0</v>
      </c>
      <c r="M112">
        <v>20</v>
      </c>
      <c r="N112">
        <v>0</v>
      </c>
      <c r="O112">
        <v>20</v>
      </c>
      <c r="P112" t="s">
        <v>54</v>
      </c>
      <c r="Q112" t="s">
        <v>54</v>
      </c>
      <c r="R112" t="s">
        <v>54</v>
      </c>
      <c r="S112" t="s">
        <v>54</v>
      </c>
      <c r="T112" t="s">
        <v>54</v>
      </c>
      <c r="U112" t="s">
        <v>54</v>
      </c>
      <c r="V112" t="s">
        <v>54</v>
      </c>
      <c r="W112" t="s">
        <v>54</v>
      </c>
      <c r="X112" s="23" t="s">
        <v>54</v>
      </c>
      <c r="Y112" s="23" t="s">
        <v>54</v>
      </c>
      <c r="Z112" s="23" t="s">
        <v>54</v>
      </c>
      <c r="AA112" s="23" t="s">
        <v>54</v>
      </c>
      <c r="AB112" t="s">
        <v>54</v>
      </c>
      <c r="AC112" t="s">
        <v>54</v>
      </c>
      <c r="AD112" t="s">
        <v>54</v>
      </c>
      <c r="AE112" t="s">
        <v>54</v>
      </c>
      <c r="AF112" s="23" t="s">
        <v>54</v>
      </c>
      <c r="AG112" s="23" t="s">
        <v>54</v>
      </c>
      <c r="AH112" s="23" t="s">
        <v>54</v>
      </c>
      <c r="AI112" s="23" t="s">
        <v>54</v>
      </c>
      <c r="AJ112">
        <v>24</v>
      </c>
      <c r="AK112">
        <v>52</v>
      </c>
      <c r="AL112">
        <v>46</v>
      </c>
      <c r="AM112">
        <v>27</v>
      </c>
      <c r="AN112" s="23">
        <v>0</v>
      </c>
      <c r="AO112" s="23">
        <v>0</v>
      </c>
      <c r="AP112" s="23">
        <v>0</v>
      </c>
      <c r="AQ112" s="23">
        <v>0</v>
      </c>
      <c r="AR112" s="35">
        <v>0</v>
      </c>
      <c r="AS112" s="35">
        <v>0</v>
      </c>
      <c r="AT112" s="35">
        <v>20</v>
      </c>
      <c r="AU112" s="31" t="str">
        <f t="shared" si="5"/>
        <v>库存为20</v>
      </c>
      <c r="AV112" s="36" t="str">
        <f>IFERROR(时间!$B$4+AU112,"上周无销量")</f>
        <v>上周无销量</v>
      </c>
    </row>
    <row r="113" spans="1:48">
      <c r="A113" s="21" t="s">
        <v>412</v>
      </c>
      <c r="B113" t="s">
        <v>413</v>
      </c>
      <c r="C113" t="s">
        <v>414</v>
      </c>
      <c r="D113" s="31">
        <v>0</v>
      </c>
      <c r="E113" s="31">
        <v>1</v>
      </c>
      <c r="F113" s="31">
        <v>3</v>
      </c>
      <c r="G113" s="31">
        <v>1</v>
      </c>
      <c r="H113" s="32">
        <v>59.99</v>
      </c>
      <c r="I113">
        <v>0</v>
      </c>
      <c r="J113" s="33">
        <v>0</v>
      </c>
      <c r="K113" s="33">
        <v>0</v>
      </c>
      <c r="L113" s="33">
        <v>0</v>
      </c>
      <c r="M113">
        <v>0</v>
      </c>
      <c r="N113">
        <v>0</v>
      </c>
      <c r="O113">
        <v>0</v>
      </c>
      <c r="P113">
        <v>0</v>
      </c>
      <c r="Q113">
        <v>79</v>
      </c>
      <c r="R113">
        <v>8521</v>
      </c>
      <c r="S113">
        <v>8522</v>
      </c>
      <c r="T113">
        <v>0</v>
      </c>
      <c r="U113">
        <v>0</v>
      </c>
      <c r="V113">
        <v>101</v>
      </c>
      <c r="W113">
        <v>101</v>
      </c>
      <c r="X113" s="23" t="s">
        <v>54</v>
      </c>
      <c r="Y113" s="23">
        <v>0</v>
      </c>
      <c r="Z113" s="23">
        <v>0.0118530688886281</v>
      </c>
      <c r="AA113" s="23">
        <v>0.0118516780098568</v>
      </c>
      <c r="AB113">
        <v>0</v>
      </c>
      <c r="AC113">
        <v>0</v>
      </c>
      <c r="AD113">
        <v>19.01</v>
      </c>
      <c r="AE113">
        <v>19.01</v>
      </c>
      <c r="AF113" s="23" t="s">
        <v>54</v>
      </c>
      <c r="AG113" s="23" t="s">
        <v>54</v>
      </c>
      <c r="AH113" s="23">
        <v>0.105628715897094</v>
      </c>
      <c r="AI113" s="23">
        <v>0.316886147691282</v>
      </c>
      <c r="AJ113">
        <v>0</v>
      </c>
      <c r="AK113">
        <v>32</v>
      </c>
      <c r="AL113">
        <v>92</v>
      </c>
      <c r="AM113">
        <v>51</v>
      </c>
      <c r="AN113" s="23" t="s">
        <v>54</v>
      </c>
      <c r="AO113" s="23">
        <v>0.03125</v>
      </c>
      <c r="AP113" s="23">
        <v>0.0326086956521739</v>
      </c>
      <c r="AQ113" s="23">
        <v>0.0196078431372549</v>
      </c>
      <c r="AR113" s="35">
        <v>0</v>
      </c>
      <c r="AS113" s="35">
        <v>0</v>
      </c>
      <c r="AT113" s="35">
        <v>0</v>
      </c>
      <c r="AU113" s="31" t="str">
        <f t="shared" si="5"/>
        <v>库存为0</v>
      </c>
      <c r="AV113" s="36" t="str">
        <f>IFERROR(时间!$B$4+AU113,"上周无销量")</f>
        <v>上周无销量</v>
      </c>
    </row>
    <row r="114" spans="1:48">
      <c r="A114" s="21" t="s">
        <v>415</v>
      </c>
      <c r="B114" t="s">
        <v>416</v>
      </c>
      <c r="C114" t="s">
        <v>417</v>
      </c>
      <c r="D114" s="31">
        <v>0</v>
      </c>
      <c r="E114" s="31">
        <v>0</v>
      </c>
      <c r="F114" s="31">
        <v>0</v>
      </c>
      <c r="G114" s="31">
        <v>0</v>
      </c>
      <c r="H114" s="32">
        <v>0</v>
      </c>
      <c r="I114">
        <v>6</v>
      </c>
      <c r="J114" s="33">
        <v>0</v>
      </c>
      <c r="K114" s="33">
        <v>0</v>
      </c>
      <c r="L114" s="33">
        <v>0</v>
      </c>
      <c r="M114">
        <v>6</v>
      </c>
      <c r="N114">
        <v>0</v>
      </c>
      <c r="O114">
        <v>0</v>
      </c>
      <c r="P114">
        <v>36874</v>
      </c>
      <c r="Q114">
        <v>0</v>
      </c>
      <c r="R114">
        <v>15876</v>
      </c>
      <c r="S114">
        <v>15876</v>
      </c>
      <c r="T114">
        <v>183</v>
      </c>
      <c r="U114">
        <v>0</v>
      </c>
      <c r="V114">
        <v>99</v>
      </c>
      <c r="W114">
        <v>99</v>
      </c>
      <c r="X114" s="23">
        <v>0.00496284645007322</v>
      </c>
      <c r="Y114" s="23" t="s">
        <v>54</v>
      </c>
      <c r="Z114" s="23">
        <v>0.00623582766439909</v>
      </c>
      <c r="AA114" s="23">
        <v>0.00623582766439909</v>
      </c>
      <c r="AB114">
        <v>49.6</v>
      </c>
      <c r="AC114">
        <v>0</v>
      </c>
      <c r="AD114">
        <v>13.3</v>
      </c>
      <c r="AE114">
        <v>13.3</v>
      </c>
      <c r="AF114" s="23" t="s">
        <v>418</v>
      </c>
      <c r="AG114" s="23" t="s">
        <v>54</v>
      </c>
      <c r="AH114" s="23" t="s">
        <v>419</v>
      </c>
      <c r="AI114" s="23" t="s">
        <v>419</v>
      </c>
      <c r="AJ114">
        <v>232</v>
      </c>
      <c r="AK114">
        <v>19</v>
      </c>
      <c r="AL114">
        <v>23</v>
      </c>
      <c r="AM114">
        <v>16</v>
      </c>
      <c r="AN114" s="23">
        <v>0</v>
      </c>
      <c r="AO114" s="23">
        <v>0</v>
      </c>
      <c r="AP114" s="23">
        <v>0</v>
      </c>
      <c r="AQ114" s="23">
        <v>0</v>
      </c>
      <c r="AR114" s="35">
        <v>0</v>
      </c>
      <c r="AS114" s="35">
        <v>0</v>
      </c>
      <c r="AT114" s="35">
        <v>6</v>
      </c>
      <c r="AU114" s="31" t="str">
        <f t="shared" si="5"/>
        <v>库存为6</v>
      </c>
      <c r="AV114" s="36" t="str">
        <f>IFERROR(时间!$B$4+AU114,"上周无销量")</f>
        <v>上周无销量</v>
      </c>
    </row>
    <row r="115" spans="1:48">
      <c r="A115" s="21" t="s">
        <v>420</v>
      </c>
      <c r="B115" t="s">
        <v>421</v>
      </c>
      <c r="C115" t="s">
        <v>422</v>
      </c>
      <c r="D115" s="31">
        <v>0</v>
      </c>
      <c r="E115" s="31">
        <v>0</v>
      </c>
      <c r="F115" s="31">
        <v>0</v>
      </c>
      <c r="G115" s="31">
        <v>2</v>
      </c>
      <c r="H115" s="32">
        <v>87.99</v>
      </c>
      <c r="I115">
        <v>4</v>
      </c>
      <c r="J115" s="33">
        <v>0</v>
      </c>
      <c r="K115" s="33">
        <v>0</v>
      </c>
      <c r="L115" s="33">
        <v>0</v>
      </c>
      <c r="M115">
        <v>4</v>
      </c>
      <c r="N115">
        <v>0</v>
      </c>
      <c r="O115">
        <v>4</v>
      </c>
      <c r="P115">
        <v>20711</v>
      </c>
      <c r="Q115">
        <v>26273</v>
      </c>
      <c r="R115">
        <v>201368</v>
      </c>
      <c r="S115">
        <v>202640</v>
      </c>
      <c r="T115">
        <v>222</v>
      </c>
      <c r="U115">
        <v>263</v>
      </c>
      <c r="V115">
        <v>1112</v>
      </c>
      <c r="W115">
        <v>1117</v>
      </c>
      <c r="X115" s="23">
        <v>0.0107189416252233</v>
      </c>
      <c r="Y115" s="23">
        <v>0.0100102767099303</v>
      </c>
      <c r="Z115" s="23">
        <v>0.00552222796074848</v>
      </c>
      <c r="AA115" s="23">
        <v>0.00551223845242795</v>
      </c>
      <c r="AB115">
        <v>40.37</v>
      </c>
      <c r="AC115">
        <v>53.61</v>
      </c>
      <c r="AD115">
        <v>339.63</v>
      </c>
      <c r="AE115">
        <v>340.83</v>
      </c>
      <c r="AF115" s="23" t="s">
        <v>423</v>
      </c>
      <c r="AG115" s="23" t="s">
        <v>424</v>
      </c>
      <c r="AH115" s="23" t="s">
        <v>425</v>
      </c>
      <c r="AI115" s="23">
        <v>1.93675417661098</v>
      </c>
      <c r="AJ115">
        <v>308</v>
      </c>
      <c r="AK115">
        <v>245</v>
      </c>
      <c r="AL115">
        <v>280</v>
      </c>
      <c r="AM115">
        <v>493</v>
      </c>
      <c r="AN115" s="23">
        <v>0</v>
      </c>
      <c r="AO115" s="23">
        <v>0</v>
      </c>
      <c r="AP115" s="23">
        <v>0</v>
      </c>
      <c r="AQ115" s="23">
        <v>0.00405679513184584</v>
      </c>
      <c r="AR115" s="35">
        <v>0</v>
      </c>
      <c r="AS115" s="35">
        <v>0</v>
      </c>
      <c r="AT115" s="35">
        <v>4</v>
      </c>
      <c r="AU115" s="31" t="str">
        <f t="shared" si="5"/>
        <v>库存为4</v>
      </c>
      <c r="AV115" s="36" t="str">
        <f>IFERROR(时间!$B$4+AU115,"上周无销量")</f>
        <v>上周无销量</v>
      </c>
    </row>
    <row r="116" spans="1:48">
      <c r="A116" s="21" t="s">
        <v>426</v>
      </c>
      <c r="B116" t="s">
        <v>86</v>
      </c>
      <c r="C116" t="s">
        <v>427</v>
      </c>
      <c r="D116" s="31">
        <v>1</v>
      </c>
      <c r="E116" s="31">
        <v>6</v>
      </c>
      <c r="F116" s="31">
        <v>4</v>
      </c>
      <c r="G116" s="31">
        <v>2</v>
      </c>
      <c r="H116" s="32">
        <v>86.3746153846154</v>
      </c>
      <c r="I116">
        <v>0</v>
      </c>
      <c r="J116" s="33">
        <v>3</v>
      </c>
      <c r="K116" s="33">
        <v>0</v>
      </c>
      <c r="L116" s="33">
        <v>3</v>
      </c>
      <c r="M116">
        <v>6</v>
      </c>
      <c r="N116">
        <v>0</v>
      </c>
      <c r="O116">
        <v>0</v>
      </c>
      <c r="P116">
        <v>45918</v>
      </c>
      <c r="Q116">
        <v>50323</v>
      </c>
      <c r="R116">
        <v>363544</v>
      </c>
      <c r="S116">
        <v>363947</v>
      </c>
      <c r="T116">
        <v>336</v>
      </c>
      <c r="U116">
        <v>374</v>
      </c>
      <c r="V116">
        <v>1690</v>
      </c>
      <c r="W116">
        <v>1693</v>
      </c>
      <c r="X116" s="23">
        <v>0.00731739187246831</v>
      </c>
      <c r="Y116" s="23">
        <v>0.00743198934880671</v>
      </c>
      <c r="Z116" s="23">
        <v>0.00464868076491429</v>
      </c>
      <c r="AA116" s="23">
        <v>0.00465177622016393</v>
      </c>
      <c r="AB116">
        <v>48.82</v>
      </c>
      <c r="AC116">
        <v>51.81</v>
      </c>
      <c r="AD116">
        <v>268.22</v>
      </c>
      <c r="AE116">
        <v>268.6</v>
      </c>
      <c r="AF116" s="23">
        <v>0.565212357619315</v>
      </c>
      <c r="AG116" s="23">
        <v>0.0999715015985822</v>
      </c>
      <c r="AH116" s="23">
        <v>0.776327624747299</v>
      </c>
      <c r="AI116" s="23">
        <v>1.55485496985403</v>
      </c>
      <c r="AJ116">
        <v>279</v>
      </c>
      <c r="AK116">
        <v>508</v>
      </c>
      <c r="AL116">
        <v>621</v>
      </c>
      <c r="AM116">
        <v>328</v>
      </c>
      <c r="AN116" s="23">
        <v>0.003584229390681</v>
      </c>
      <c r="AO116" s="23">
        <v>0.0118110236220472</v>
      </c>
      <c r="AP116" s="23">
        <v>0.00644122383252818</v>
      </c>
      <c r="AQ116" s="23">
        <v>0.00609756097560976</v>
      </c>
      <c r="AR116" s="35">
        <v>0.142857142857143</v>
      </c>
      <c r="AS116" s="35">
        <v>8.57142857142857</v>
      </c>
      <c r="AT116" s="35">
        <v>-2.57142857142857</v>
      </c>
      <c r="AU116" s="31">
        <f t="shared" si="5"/>
        <v>42</v>
      </c>
      <c r="AV116" s="36">
        <f>IFERROR(时间!$B$4+AU116,"上周无销量")</f>
        <v>43381</v>
      </c>
    </row>
    <row r="117" spans="1:48">
      <c r="A117" s="21" t="s">
        <v>428</v>
      </c>
      <c r="B117" t="s">
        <v>56</v>
      </c>
      <c r="C117" t="s">
        <v>427</v>
      </c>
      <c r="D117" s="31">
        <v>0</v>
      </c>
      <c r="E117" s="31">
        <v>3</v>
      </c>
      <c r="F117" s="31">
        <v>1</v>
      </c>
      <c r="G117" s="31">
        <v>1</v>
      </c>
      <c r="H117" s="32">
        <v>85.99</v>
      </c>
      <c r="I117">
        <v>3</v>
      </c>
      <c r="J117" s="33">
        <v>5</v>
      </c>
      <c r="K117" s="33">
        <v>0</v>
      </c>
      <c r="L117" s="33">
        <v>2</v>
      </c>
      <c r="M117">
        <v>10</v>
      </c>
      <c r="N117">
        <v>0</v>
      </c>
      <c r="O117">
        <v>0</v>
      </c>
      <c r="P117">
        <v>100783</v>
      </c>
      <c r="Q117">
        <v>50622</v>
      </c>
      <c r="R117">
        <v>36965</v>
      </c>
      <c r="S117">
        <v>37153</v>
      </c>
      <c r="T117">
        <v>580</v>
      </c>
      <c r="U117">
        <v>320</v>
      </c>
      <c r="V117">
        <v>297</v>
      </c>
      <c r="W117">
        <v>298</v>
      </c>
      <c r="X117" s="23">
        <v>0.00575493882896917</v>
      </c>
      <c r="Y117" s="23">
        <v>0.00632136225356564</v>
      </c>
      <c r="Z117" s="23">
        <v>0.00803462735019613</v>
      </c>
      <c r="AA117" s="23">
        <v>0.00802088660404274</v>
      </c>
      <c r="AB117">
        <v>78.33</v>
      </c>
      <c r="AC117">
        <v>43.21</v>
      </c>
      <c r="AD117">
        <v>41.19</v>
      </c>
      <c r="AE117">
        <v>41.36</v>
      </c>
      <c r="AF117" s="23" t="s">
        <v>429</v>
      </c>
      <c r="AG117" s="23">
        <v>0.167500096910494</v>
      </c>
      <c r="AH117" s="23">
        <v>0.479009187114781</v>
      </c>
      <c r="AI117" s="23">
        <v>0.480986161181533</v>
      </c>
      <c r="AJ117">
        <v>617</v>
      </c>
      <c r="AK117">
        <v>304</v>
      </c>
      <c r="AL117">
        <v>484</v>
      </c>
      <c r="AM117">
        <v>235</v>
      </c>
      <c r="AN117" s="23">
        <v>0</v>
      </c>
      <c r="AO117" s="23">
        <v>0.00986842105263158</v>
      </c>
      <c r="AP117" s="23">
        <v>0.00206611570247934</v>
      </c>
      <c r="AQ117" s="23">
        <v>0.00425531914893617</v>
      </c>
      <c r="AR117" s="35">
        <v>0</v>
      </c>
      <c r="AS117" s="35">
        <v>0</v>
      </c>
      <c r="AT117" s="35">
        <v>10</v>
      </c>
      <c r="AU117" s="31" t="str">
        <f t="shared" si="5"/>
        <v>库存为10</v>
      </c>
      <c r="AV117" s="36" t="str">
        <f>IFERROR(时间!$B$4+AU117,"上周无销量")</f>
        <v>上周无销量</v>
      </c>
    </row>
    <row r="118" spans="1:48">
      <c r="A118" s="21" t="s">
        <v>430</v>
      </c>
      <c r="B118" t="s">
        <v>431</v>
      </c>
      <c r="C118" t="s">
        <v>432</v>
      </c>
      <c r="D118" s="31">
        <v>0</v>
      </c>
      <c r="E118" s="31">
        <v>0</v>
      </c>
      <c r="F118" s="31">
        <v>0</v>
      </c>
      <c r="G118" s="31">
        <v>0</v>
      </c>
      <c r="H118" s="32">
        <v>0</v>
      </c>
      <c r="I118">
        <v>17</v>
      </c>
      <c r="J118" s="33">
        <v>0</v>
      </c>
      <c r="K118" s="33">
        <v>0</v>
      </c>
      <c r="L118" s="33">
        <v>0</v>
      </c>
      <c r="M118">
        <v>17</v>
      </c>
      <c r="N118">
        <v>0</v>
      </c>
      <c r="O118">
        <v>17</v>
      </c>
      <c r="P118" t="s">
        <v>54</v>
      </c>
      <c r="Q118" t="s">
        <v>54</v>
      </c>
      <c r="R118" t="s">
        <v>54</v>
      </c>
      <c r="S118" t="s">
        <v>54</v>
      </c>
      <c r="T118" t="s">
        <v>54</v>
      </c>
      <c r="U118" t="s">
        <v>54</v>
      </c>
      <c r="V118" t="s">
        <v>54</v>
      </c>
      <c r="W118" t="s">
        <v>54</v>
      </c>
      <c r="X118" s="23" t="s">
        <v>54</v>
      </c>
      <c r="Y118" s="23" t="s">
        <v>54</v>
      </c>
      <c r="Z118" s="23" t="s">
        <v>54</v>
      </c>
      <c r="AA118" s="23" t="s">
        <v>54</v>
      </c>
      <c r="AB118" t="s">
        <v>54</v>
      </c>
      <c r="AC118" t="s">
        <v>54</v>
      </c>
      <c r="AD118" t="s">
        <v>54</v>
      </c>
      <c r="AE118" t="s">
        <v>54</v>
      </c>
      <c r="AF118" s="23" t="s">
        <v>54</v>
      </c>
      <c r="AG118" s="23" t="s">
        <v>54</v>
      </c>
      <c r="AH118" s="23" t="s">
        <v>54</v>
      </c>
      <c r="AI118" s="23" t="s">
        <v>54</v>
      </c>
      <c r="AJ118">
        <v>5</v>
      </c>
      <c r="AK118">
        <v>9</v>
      </c>
      <c r="AL118">
        <v>21</v>
      </c>
      <c r="AM118">
        <v>12</v>
      </c>
      <c r="AN118" s="23">
        <v>0</v>
      </c>
      <c r="AO118" s="23">
        <v>0</v>
      </c>
      <c r="AP118" s="23">
        <v>0</v>
      </c>
      <c r="AQ118" s="23">
        <v>0</v>
      </c>
      <c r="AR118" s="35">
        <v>0</v>
      </c>
      <c r="AS118" s="35">
        <v>0</v>
      </c>
      <c r="AT118" s="35">
        <v>17</v>
      </c>
      <c r="AU118" s="31" t="str">
        <f t="shared" si="5"/>
        <v>库存为17</v>
      </c>
      <c r="AV118" s="36" t="str">
        <f>IFERROR(时间!$B$4+AU118,"上周无销量")</f>
        <v>上周无销量</v>
      </c>
    </row>
    <row r="119" spans="1:48">
      <c r="A119" s="21" t="s">
        <v>433</v>
      </c>
      <c r="B119" t="s">
        <v>434</v>
      </c>
      <c r="C119" t="s">
        <v>435</v>
      </c>
      <c r="D119" s="31">
        <v>0</v>
      </c>
      <c r="E119" s="31">
        <v>1</v>
      </c>
      <c r="F119" s="31">
        <v>0</v>
      </c>
      <c r="G119" s="31">
        <v>0</v>
      </c>
      <c r="H119" s="32">
        <v>99.99</v>
      </c>
      <c r="I119">
        <v>8</v>
      </c>
      <c r="J119" s="33">
        <v>0</v>
      </c>
      <c r="K119" s="33">
        <v>0</v>
      </c>
      <c r="L119" s="33">
        <v>0</v>
      </c>
      <c r="M119">
        <v>8</v>
      </c>
      <c r="N119">
        <v>1</v>
      </c>
      <c r="O119">
        <v>0</v>
      </c>
      <c r="P119">
        <v>29798</v>
      </c>
      <c r="Q119">
        <v>9401</v>
      </c>
      <c r="R119">
        <v>81802</v>
      </c>
      <c r="S119">
        <v>82026</v>
      </c>
      <c r="T119">
        <v>120</v>
      </c>
      <c r="U119">
        <v>65</v>
      </c>
      <c r="V119">
        <v>559</v>
      </c>
      <c r="W119">
        <v>561</v>
      </c>
      <c r="X119" s="23">
        <v>0.00402711591381972</v>
      </c>
      <c r="Y119" s="23">
        <v>0.00691415806829061</v>
      </c>
      <c r="Z119" s="23">
        <v>0.00683357375125303</v>
      </c>
      <c r="AA119" s="23">
        <v>0.00683929485772804</v>
      </c>
      <c r="AB119">
        <v>39.27</v>
      </c>
      <c r="AC119">
        <v>16.51</v>
      </c>
      <c r="AD119">
        <v>136.75</v>
      </c>
      <c r="AE119">
        <v>137.63</v>
      </c>
      <c r="AF119" s="23" t="s">
        <v>436</v>
      </c>
      <c r="AG119" s="23">
        <v>0.165116511651165</v>
      </c>
      <c r="AH119" s="23" t="s">
        <v>437</v>
      </c>
      <c r="AI119" s="23" t="s">
        <v>438</v>
      </c>
      <c r="AJ119">
        <v>151</v>
      </c>
      <c r="AK119">
        <v>125</v>
      </c>
      <c r="AL119">
        <v>119</v>
      </c>
      <c r="AM119">
        <v>205</v>
      </c>
      <c r="AN119" s="23">
        <v>0</v>
      </c>
      <c r="AO119" s="23">
        <v>0.008</v>
      </c>
      <c r="AP119" s="23">
        <v>0</v>
      </c>
      <c r="AQ119" s="23">
        <v>0</v>
      </c>
      <c r="AR119" s="35">
        <v>0</v>
      </c>
      <c r="AS119" s="35">
        <v>0</v>
      </c>
      <c r="AT119" s="35">
        <v>8</v>
      </c>
      <c r="AU119" s="31" t="str">
        <f t="shared" si="5"/>
        <v>库存为8</v>
      </c>
      <c r="AV119" s="36" t="str">
        <f>IFERROR(时间!$B$4+AU119,"上周无销量")</f>
        <v>上周无销量</v>
      </c>
    </row>
    <row r="120" spans="1:48">
      <c r="A120" s="21" t="s">
        <v>439</v>
      </c>
      <c r="B120" t="s">
        <v>440</v>
      </c>
      <c r="C120" t="s">
        <v>441</v>
      </c>
      <c r="D120" s="31">
        <v>0</v>
      </c>
      <c r="E120" s="31">
        <v>0</v>
      </c>
      <c r="F120" s="31">
        <v>0</v>
      </c>
      <c r="G120" s="31">
        <v>2</v>
      </c>
      <c r="H120" s="32">
        <v>99.6</v>
      </c>
      <c r="I120">
        <v>34</v>
      </c>
      <c r="J120" s="33">
        <v>0</v>
      </c>
      <c r="K120" s="33">
        <v>0</v>
      </c>
      <c r="L120" s="33">
        <v>5</v>
      </c>
      <c r="M120">
        <v>39</v>
      </c>
      <c r="N120">
        <v>0</v>
      </c>
      <c r="O120">
        <v>9</v>
      </c>
      <c r="P120">
        <v>16</v>
      </c>
      <c r="Q120">
        <v>0</v>
      </c>
      <c r="R120">
        <v>4</v>
      </c>
      <c r="S120">
        <v>4</v>
      </c>
      <c r="T120">
        <v>0</v>
      </c>
      <c r="U120">
        <v>0</v>
      </c>
      <c r="V120">
        <v>2</v>
      </c>
      <c r="W120">
        <v>2</v>
      </c>
      <c r="X120" s="23">
        <v>0</v>
      </c>
      <c r="Y120" s="23" t="s">
        <v>54</v>
      </c>
      <c r="Z120" s="23">
        <v>0.5</v>
      </c>
      <c r="AA120" s="23">
        <v>0.5</v>
      </c>
      <c r="AB120">
        <v>0</v>
      </c>
      <c r="AC120">
        <v>0</v>
      </c>
      <c r="AD120">
        <v>0.48</v>
      </c>
      <c r="AE120">
        <v>0.48</v>
      </c>
      <c r="AF120" s="23" t="s">
        <v>54</v>
      </c>
      <c r="AG120" s="23" t="s">
        <v>54</v>
      </c>
      <c r="AH120" s="23" t="s">
        <v>442</v>
      </c>
      <c r="AI120" s="23">
        <v>0.00240963855421687</v>
      </c>
      <c r="AJ120">
        <v>63</v>
      </c>
      <c r="AK120">
        <v>56</v>
      </c>
      <c r="AL120">
        <v>52</v>
      </c>
      <c r="AM120">
        <v>58</v>
      </c>
      <c r="AN120" s="23">
        <v>0</v>
      </c>
      <c r="AO120" s="23">
        <v>0</v>
      </c>
      <c r="AP120" s="23">
        <v>0</v>
      </c>
      <c r="AQ120" s="23">
        <v>0.0344827586206897</v>
      </c>
      <c r="AR120" s="35">
        <v>0</v>
      </c>
      <c r="AS120" s="35">
        <v>0</v>
      </c>
      <c r="AT120" s="35">
        <v>39</v>
      </c>
      <c r="AU120" s="31" t="str">
        <f t="shared" si="5"/>
        <v>库存为39</v>
      </c>
      <c r="AV120" s="36" t="str">
        <f>IFERROR(时间!$B$4+AU120,"上周无销量")</f>
        <v>上周无销量</v>
      </c>
    </row>
    <row r="121" spans="1:48">
      <c r="A121" s="21" t="s">
        <v>443</v>
      </c>
      <c r="B121" t="s">
        <v>444</v>
      </c>
      <c r="C121" t="s">
        <v>441</v>
      </c>
      <c r="D121" s="31">
        <v>0</v>
      </c>
      <c r="E121" s="31">
        <v>1</v>
      </c>
      <c r="F121" s="31">
        <v>0</v>
      </c>
      <c r="G121" s="31">
        <v>1</v>
      </c>
      <c r="H121" s="32">
        <v>99.6</v>
      </c>
      <c r="I121">
        <v>31</v>
      </c>
      <c r="J121" s="33">
        <v>0</v>
      </c>
      <c r="K121" s="33">
        <v>0</v>
      </c>
      <c r="L121" s="33">
        <v>0</v>
      </c>
      <c r="M121">
        <v>31</v>
      </c>
      <c r="N121">
        <v>1</v>
      </c>
      <c r="O121">
        <v>0</v>
      </c>
      <c r="P121">
        <v>18959</v>
      </c>
      <c r="Q121">
        <v>19685</v>
      </c>
      <c r="R121">
        <v>56804</v>
      </c>
      <c r="S121">
        <v>56917</v>
      </c>
      <c r="T121">
        <v>94</v>
      </c>
      <c r="U121">
        <v>84</v>
      </c>
      <c r="V121">
        <v>187</v>
      </c>
      <c r="W121">
        <v>188</v>
      </c>
      <c r="X121" s="23">
        <v>0.0049580674086186</v>
      </c>
      <c r="Y121" s="23">
        <v>0.00426720853441707</v>
      </c>
      <c r="Z121" s="23">
        <v>0.00329202168861348</v>
      </c>
      <c r="AA121" s="23">
        <v>0.00330305532617671</v>
      </c>
      <c r="AB121">
        <v>32.56</v>
      </c>
      <c r="AC121">
        <v>21.81</v>
      </c>
      <c r="AD121">
        <v>66.61</v>
      </c>
      <c r="AE121">
        <v>66.97</v>
      </c>
      <c r="AF121" s="23" t="s">
        <v>445</v>
      </c>
      <c r="AG121" s="23">
        <v>0.218975903614458</v>
      </c>
      <c r="AH121" s="23" t="s">
        <v>446</v>
      </c>
      <c r="AI121" s="23">
        <v>0.672389558232932</v>
      </c>
      <c r="AJ121">
        <v>227</v>
      </c>
      <c r="AK121">
        <v>167</v>
      </c>
      <c r="AL121">
        <v>140</v>
      </c>
      <c r="AM121">
        <v>207</v>
      </c>
      <c r="AN121" s="23">
        <v>0</v>
      </c>
      <c r="AO121" s="23">
        <v>0.00598802395209581</v>
      </c>
      <c r="AP121" s="23">
        <v>0</v>
      </c>
      <c r="AQ121" s="23">
        <v>0.00483091787439614</v>
      </c>
      <c r="AR121" s="35">
        <v>0</v>
      </c>
      <c r="AS121" s="35">
        <v>0</v>
      </c>
      <c r="AT121" s="35">
        <v>31</v>
      </c>
      <c r="AU121" s="31" t="str">
        <f t="shared" si="5"/>
        <v>库存为31</v>
      </c>
      <c r="AV121" s="36" t="str">
        <f>IFERROR(时间!$B$4+AU121,"上周无销量")</f>
        <v>上周无销量</v>
      </c>
    </row>
    <row r="122" spans="1:48">
      <c r="A122" s="21" t="s">
        <v>447</v>
      </c>
      <c r="B122" t="s">
        <v>448</v>
      </c>
      <c r="C122" t="s">
        <v>449</v>
      </c>
      <c r="D122" s="31">
        <v>1</v>
      </c>
      <c r="E122" s="31">
        <v>1</v>
      </c>
      <c r="F122" s="31">
        <v>0</v>
      </c>
      <c r="G122" s="31">
        <v>0</v>
      </c>
      <c r="H122" s="32">
        <v>99.99</v>
      </c>
      <c r="I122">
        <v>4</v>
      </c>
      <c r="J122" s="33">
        <v>0</v>
      </c>
      <c r="K122" s="33">
        <v>1</v>
      </c>
      <c r="L122" s="33">
        <v>0</v>
      </c>
      <c r="M122">
        <v>5</v>
      </c>
      <c r="N122">
        <v>0</v>
      </c>
      <c r="O122">
        <v>0</v>
      </c>
      <c r="P122">
        <v>9</v>
      </c>
      <c r="Q122">
        <v>0</v>
      </c>
      <c r="R122">
        <v>2</v>
      </c>
      <c r="S122">
        <v>2</v>
      </c>
      <c r="T122">
        <v>0</v>
      </c>
      <c r="U122">
        <v>0</v>
      </c>
      <c r="V122">
        <v>0</v>
      </c>
      <c r="W122">
        <v>0</v>
      </c>
      <c r="X122" s="23">
        <v>0</v>
      </c>
      <c r="Y122" s="23" t="s">
        <v>54</v>
      </c>
      <c r="Z122" s="23">
        <v>0</v>
      </c>
      <c r="AA122" s="23">
        <v>0</v>
      </c>
      <c r="AB122">
        <v>0</v>
      </c>
      <c r="AC122">
        <v>0</v>
      </c>
      <c r="AD122">
        <v>0</v>
      </c>
      <c r="AE122">
        <v>0</v>
      </c>
      <c r="AF122" s="23" t="s">
        <v>54</v>
      </c>
      <c r="AG122" s="23" t="s">
        <v>54</v>
      </c>
      <c r="AH122" s="23" t="s">
        <v>54</v>
      </c>
      <c r="AI122" s="23" t="s">
        <v>54</v>
      </c>
      <c r="AJ122">
        <v>44</v>
      </c>
      <c r="AK122">
        <v>38</v>
      </c>
      <c r="AL122">
        <v>36</v>
      </c>
      <c r="AM122">
        <v>8</v>
      </c>
      <c r="AN122" s="23">
        <v>0.0227272727272727</v>
      </c>
      <c r="AO122" s="23">
        <v>0.0263157894736842</v>
      </c>
      <c r="AP122" s="23">
        <v>0</v>
      </c>
      <c r="AQ122" s="23">
        <v>0</v>
      </c>
      <c r="AR122" s="35">
        <v>0.142857142857143</v>
      </c>
      <c r="AS122" s="35">
        <v>8.57142857142857</v>
      </c>
      <c r="AT122" s="35">
        <v>-3.57142857142857</v>
      </c>
      <c r="AU122" s="31">
        <f t="shared" si="5"/>
        <v>35</v>
      </c>
      <c r="AV122" s="36">
        <f>IFERROR(时间!$B$4+AU122,"上周无销量")</f>
        <v>43374</v>
      </c>
    </row>
    <row r="123" spans="1:48">
      <c r="A123" s="21" t="s">
        <v>450</v>
      </c>
      <c r="B123" t="s">
        <v>451</v>
      </c>
      <c r="C123" t="s">
        <v>449</v>
      </c>
      <c r="D123" s="31">
        <v>0</v>
      </c>
      <c r="E123" s="31">
        <v>0</v>
      </c>
      <c r="F123" s="31">
        <v>1</v>
      </c>
      <c r="G123" s="31">
        <v>0</v>
      </c>
      <c r="H123" s="32">
        <v>99.99</v>
      </c>
      <c r="I123">
        <v>5</v>
      </c>
      <c r="J123" s="33">
        <v>0</v>
      </c>
      <c r="K123" s="33">
        <v>0</v>
      </c>
      <c r="L123" s="33">
        <v>0</v>
      </c>
      <c r="M123">
        <v>5</v>
      </c>
      <c r="N123">
        <v>0</v>
      </c>
      <c r="O123">
        <v>0</v>
      </c>
      <c r="P123">
        <v>10</v>
      </c>
      <c r="Q123">
        <v>0</v>
      </c>
      <c r="R123">
        <v>19</v>
      </c>
      <c r="S123">
        <v>19</v>
      </c>
      <c r="T123">
        <v>0</v>
      </c>
      <c r="U123">
        <v>0</v>
      </c>
      <c r="V123">
        <v>0</v>
      </c>
      <c r="W123">
        <v>0</v>
      </c>
      <c r="X123" s="23">
        <v>0</v>
      </c>
      <c r="Y123" s="23" t="s">
        <v>54</v>
      </c>
      <c r="Z123" s="23">
        <v>0</v>
      </c>
      <c r="AA123" s="23">
        <v>0</v>
      </c>
      <c r="AB123">
        <v>0</v>
      </c>
      <c r="AC123">
        <v>0</v>
      </c>
      <c r="AD123">
        <v>0</v>
      </c>
      <c r="AE123">
        <v>0</v>
      </c>
      <c r="AF123" s="23" t="s">
        <v>54</v>
      </c>
      <c r="AG123" s="23" t="s">
        <v>54</v>
      </c>
      <c r="AH123" s="23" t="s">
        <v>54</v>
      </c>
      <c r="AI123" s="23" t="s">
        <v>54</v>
      </c>
      <c r="AJ123">
        <v>12</v>
      </c>
      <c r="AK123">
        <v>29</v>
      </c>
      <c r="AL123">
        <v>17</v>
      </c>
      <c r="AM123">
        <v>19</v>
      </c>
      <c r="AN123" s="23">
        <v>0</v>
      </c>
      <c r="AO123" s="23">
        <v>0</v>
      </c>
      <c r="AP123" s="23">
        <v>0.0588235294117647</v>
      </c>
      <c r="AQ123" s="23">
        <v>0</v>
      </c>
      <c r="AR123" s="35">
        <v>0</v>
      </c>
      <c r="AS123" s="35">
        <v>0</v>
      </c>
      <c r="AT123" s="35">
        <v>5</v>
      </c>
      <c r="AU123" s="31" t="str">
        <f t="shared" si="5"/>
        <v>库存为5</v>
      </c>
      <c r="AV123" s="36" t="str">
        <f>IFERROR(时间!$B$4+AU123,"上周无销量")</f>
        <v>上周无销量</v>
      </c>
    </row>
    <row r="124" spans="1:48">
      <c r="A124" s="21" t="s">
        <v>452</v>
      </c>
      <c r="B124" t="s">
        <v>453</v>
      </c>
      <c r="C124" t="s">
        <v>454</v>
      </c>
      <c r="D124" s="31">
        <v>0</v>
      </c>
      <c r="E124" s="31">
        <v>0</v>
      </c>
      <c r="F124" s="31">
        <v>0</v>
      </c>
      <c r="G124" s="31">
        <v>0</v>
      </c>
      <c r="H124" s="32">
        <v>0</v>
      </c>
      <c r="I124">
        <v>11</v>
      </c>
      <c r="J124" s="33">
        <v>0</v>
      </c>
      <c r="K124" s="33">
        <v>0</v>
      </c>
      <c r="L124" s="33">
        <v>0</v>
      </c>
      <c r="M124">
        <v>11</v>
      </c>
      <c r="N124">
        <v>0</v>
      </c>
      <c r="O124">
        <v>11</v>
      </c>
      <c r="P124" t="s">
        <v>54</v>
      </c>
      <c r="Q124" t="s">
        <v>54</v>
      </c>
      <c r="R124" t="s">
        <v>54</v>
      </c>
      <c r="S124" t="s">
        <v>54</v>
      </c>
      <c r="T124" t="s">
        <v>54</v>
      </c>
      <c r="U124" t="s">
        <v>54</v>
      </c>
      <c r="V124" t="s">
        <v>54</v>
      </c>
      <c r="W124" t="s">
        <v>54</v>
      </c>
      <c r="X124" s="23" t="s">
        <v>54</v>
      </c>
      <c r="Y124" s="23" t="s">
        <v>54</v>
      </c>
      <c r="Z124" s="23" t="s">
        <v>54</v>
      </c>
      <c r="AA124" s="23" t="s">
        <v>54</v>
      </c>
      <c r="AB124" t="s">
        <v>54</v>
      </c>
      <c r="AC124" t="s">
        <v>54</v>
      </c>
      <c r="AD124" t="s">
        <v>54</v>
      </c>
      <c r="AE124" t="s">
        <v>54</v>
      </c>
      <c r="AF124" s="23" t="s">
        <v>54</v>
      </c>
      <c r="AG124" s="23" t="s">
        <v>54</v>
      </c>
      <c r="AH124" s="23" t="s">
        <v>54</v>
      </c>
      <c r="AI124" s="23" t="s">
        <v>54</v>
      </c>
      <c r="AJ124">
        <v>4</v>
      </c>
      <c r="AK124">
        <v>2</v>
      </c>
      <c r="AL124">
        <v>4</v>
      </c>
      <c r="AM124">
        <v>0</v>
      </c>
      <c r="AN124" s="23">
        <v>0</v>
      </c>
      <c r="AO124" s="23">
        <v>0</v>
      </c>
      <c r="AP124" s="23">
        <v>0</v>
      </c>
      <c r="AQ124" s="23" t="s">
        <v>54</v>
      </c>
      <c r="AR124" s="35">
        <v>0</v>
      </c>
      <c r="AS124" s="35">
        <v>0</v>
      </c>
      <c r="AT124" s="35">
        <v>11</v>
      </c>
      <c r="AU124" s="31" t="str">
        <f t="shared" si="5"/>
        <v>库存为11</v>
      </c>
      <c r="AV124" s="36" t="str">
        <f>IFERROR(时间!$B$4+AU124,"上周无销量")</f>
        <v>上周无销量</v>
      </c>
    </row>
    <row r="125" spans="1:48">
      <c r="A125" s="21" t="s">
        <v>455</v>
      </c>
      <c r="B125" t="s">
        <v>456</v>
      </c>
      <c r="C125" t="s">
        <v>457</v>
      </c>
      <c r="D125" s="31">
        <v>1</v>
      </c>
      <c r="E125" s="31">
        <v>1</v>
      </c>
      <c r="F125" s="31">
        <v>0</v>
      </c>
      <c r="G125" s="31">
        <v>2</v>
      </c>
      <c r="H125" s="32">
        <v>79.99</v>
      </c>
      <c r="I125">
        <v>7</v>
      </c>
      <c r="J125" s="33">
        <v>0</v>
      </c>
      <c r="K125" s="33">
        <v>0</v>
      </c>
      <c r="L125" s="33">
        <v>0</v>
      </c>
      <c r="M125">
        <v>7</v>
      </c>
      <c r="N125">
        <v>0</v>
      </c>
      <c r="O125">
        <v>0</v>
      </c>
      <c r="P125">
        <v>6381</v>
      </c>
      <c r="Q125">
        <v>0</v>
      </c>
      <c r="R125">
        <v>80588</v>
      </c>
      <c r="S125">
        <v>80640</v>
      </c>
      <c r="T125">
        <v>68</v>
      </c>
      <c r="U125">
        <v>0</v>
      </c>
      <c r="V125">
        <v>612</v>
      </c>
      <c r="W125">
        <v>613</v>
      </c>
      <c r="X125" s="23">
        <v>0.0106566368907695</v>
      </c>
      <c r="Y125" s="23" t="s">
        <v>54</v>
      </c>
      <c r="Z125" s="23">
        <v>0.00759418275673798</v>
      </c>
      <c r="AA125" s="23">
        <v>0.00760168650793651</v>
      </c>
      <c r="AB125">
        <v>19.76</v>
      </c>
      <c r="AC125">
        <v>0</v>
      </c>
      <c r="AD125">
        <v>137.12</v>
      </c>
      <c r="AE125">
        <v>137.41</v>
      </c>
      <c r="AF125" s="23">
        <v>0.247030878859858</v>
      </c>
      <c r="AG125" s="23" t="s">
        <v>54</v>
      </c>
      <c r="AH125" s="23" t="s">
        <v>458</v>
      </c>
      <c r="AI125" s="23">
        <v>0.858919864983123</v>
      </c>
      <c r="AJ125">
        <v>114</v>
      </c>
      <c r="AK125">
        <v>21</v>
      </c>
      <c r="AL125">
        <v>55</v>
      </c>
      <c r="AM125">
        <v>84</v>
      </c>
      <c r="AN125" s="23">
        <v>0.0087719298245614</v>
      </c>
      <c r="AO125" s="23">
        <v>0.0476190476190476</v>
      </c>
      <c r="AP125" s="23">
        <v>0</v>
      </c>
      <c r="AQ125" s="23">
        <v>0.0238095238095238</v>
      </c>
      <c r="AR125" s="35">
        <v>0.142857142857143</v>
      </c>
      <c r="AS125" s="35">
        <v>8.57142857142857</v>
      </c>
      <c r="AT125" s="35">
        <v>-1.57142857142857</v>
      </c>
      <c r="AU125" s="31">
        <f t="shared" si="5"/>
        <v>49</v>
      </c>
      <c r="AV125" s="36">
        <f>IFERROR(时间!$B$4+AU125,"上周无销量")</f>
        <v>43388</v>
      </c>
    </row>
    <row r="126" spans="1:48">
      <c r="A126" s="21" t="s">
        <v>459</v>
      </c>
      <c r="B126" t="s">
        <v>460</v>
      </c>
      <c r="C126" t="s">
        <v>461</v>
      </c>
      <c r="D126" s="31">
        <v>0</v>
      </c>
      <c r="E126" s="31">
        <v>0</v>
      </c>
      <c r="F126" s="31">
        <v>0</v>
      </c>
      <c r="G126" s="31">
        <v>0</v>
      </c>
      <c r="H126" s="32">
        <v>0</v>
      </c>
      <c r="I126">
        <v>0</v>
      </c>
      <c r="J126" s="33">
        <v>0</v>
      </c>
      <c r="K126" s="33">
        <v>0</v>
      </c>
      <c r="L126" s="33">
        <v>0</v>
      </c>
      <c r="M126">
        <v>0</v>
      </c>
      <c r="N126">
        <v>0</v>
      </c>
      <c r="O126">
        <v>0</v>
      </c>
      <c r="P126" t="s">
        <v>54</v>
      </c>
      <c r="Q126" t="s">
        <v>54</v>
      </c>
      <c r="R126" t="s">
        <v>54</v>
      </c>
      <c r="S126" t="s">
        <v>54</v>
      </c>
      <c r="T126" t="s">
        <v>54</v>
      </c>
      <c r="U126" t="s">
        <v>54</v>
      </c>
      <c r="V126" t="s">
        <v>54</v>
      </c>
      <c r="W126" t="s">
        <v>54</v>
      </c>
      <c r="X126" s="23" t="s">
        <v>54</v>
      </c>
      <c r="Y126" s="23" t="s">
        <v>54</v>
      </c>
      <c r="Z126" s="23" t="s">
        <v>54</v>
      </c>
      <c r="AA126" s="23" t="s">
        <v>54</v>
      </c>
      <c r="AB126" t="s">
        <v>54</v>
      </c>
      <c r="AC126" t="s">
        <v>54</v>
      </c>
      <c r="AD126" t="s">
        <v>54</v>
      </c>
      <c r="AE126" t="s">
        <v>54</v>
      </c>
      <c r="AF126" s="23" t="s">
        <v>54</v>
      </c>
      <c r="AG126" s="23" t="s">
        <v>54</v>
      </c>
      <c r="AH126" s="23" t="s">
        <v>54</v>
      </c>
      <c r="AI126" s="23" t="s">
        <v>54</v>
      </c>
      <c r="AJ126">
        <v>0</v>
      </c>
      <c r="AK126">
        <v>0</v>
      </c>
      <c r="AL126">
        <v>0</v>
      </c>
      <c r="AM126">
        <v>0</v>
      </c>
      <c r="AN126" s="23" t="s">
        <v>54</v>
      </c>
      <c r="AO126" s="23" t="s">
        <v>54</v>
      </c>
      <c r="AP126" s="23" t="s">
        <v>54</v>
      </c>
      <c r="AQ126" s="23" t="s">
        <v>54</v>
      </c>
      <c r="AR126" s="35">
        <v>0</v>
      </c>
      <c r="AS126" s="35">
        <v>0</v>
      </c>
      <c r="AT126" s="35">
        <v>0</v>
      </c>
      <c r="AU126" s="31" t="str">
        <f t="shared" si="5"/>
        <v>库存为0</v>
      </c>
      <c r="AV126" s="36" t="str">
        <f>IFERROR(时间!$B$4+AU126,"上周无销量")</f>
        <v>上周无销量</v>
      </c>
    </row>
    <row r="127" spans="1:48">
      <c r="A127" s="21" t="s">
        <v>462</v>
      </c>
      <c r="B127" t="s">
        <v>463</v>
      </c>
      <c r="C127" t="s">
        <v>464</v>
      </c>
      <c r="D127" s="31">
        <v>0</v>
      </c>
      <c r="E127" s="31">
        <v>0</v>
      </c>
      <c r="F127" s="31">
        <v>0</v>
      </c>
      <c r="G127" s="31">
        <v>0</v>
      </c>
      <c r="H127" s="32">
        <v>0</v>
      </c>
      <c r="I127">
        <v>0</v>
      </c>
      <c r="J127" s="33">
        <v>0</v>
      </c>
      <c r="K127" s="33">
        <v>0</v>
      </c>
      <c r="L127" s="33">
        <v>0</v>
      </c>
      <c r="M127">
        <v>0</v>
      </c>
      <c r="N127">
        <v>0</v>
      </c>
      <c r="O127">
        <v>0</v>
      </c>
      <c r="P127" t="s">
        <v>54</v>
      </c>
      <c r="Q127" t="s">
        <v>54</v>
      </c>
      <c r="R127" t="s">
        <v>54</v>
      </c>
      <c r="S127" t="s">
        <v>54</v>
      </c>
      <c r="T127" t="s">
        <v>54</v>
      </c>
      <c r="U127" t="s">
        <v>54</v>
      </c>
      <c r="V127" t="s">
        <v>54</v>
      </c>
      <c r="W127" t="s">
        <v>54</v>
      </c>
      <c r="X127" s="23" t="s">
        <v>54</v>
      </c>
      <c r="Y127" s="23" t="s">
        <v>54</v>
      </c>
      <c r="Z127" s="23" t="s">
        <v>54</v>
      </c>
      <c r="AA127" s="23" t="s">
        <v>54</v>
      </c>
      <c r="AB127" t="s">
        <v>54</v>
      </c>
      <c r="AC127" t="s">
        <v>54</v>
      </c>
      <c r="AD127" t="s">
        <v>54</v>
      </c>
      <c r="AE127" t="s">
        <v>54</v>
      </c>
      <c r="AF127" s="23" t="s">
        <v>54</v>
      </c>
      <c r="AG127" s="23" t="s">
        <v>54</v>
      </c>
      <c r="AH127" s="23" t="s">
        <v>54</v>
      </c>
      <c r="AI127" s="23" t="s">
        <v>54</v>
      </c>
      <c r="AJ127">
        <v>0</v>
      </c>
      <c r="AK127">
        <v>0</v>
      </c>
      <c r="AL127">
        <v>0</v>
      </c>
      <c r="AM127">
        <v>0</v>
      </c>
      <c r="AN127" s="23" t="s">
        <v>54</v>
      </c>
      <c r="AO127" s="23" t="s">
        <v>54</v>
      </c>
      <c r="AP127" s="23" t="s">
        <v>54</v>
      </c>
      <c r="AQ127" s="23" t="s">
        <v>54</v>
      </c>
      <c r="AR127" s="35">
        <v>0</v>
      </c>
      <c r="AS127" s="35">
        <v>0</v>
      </c>
      <c r="AT127" s="35">
        <v>0</v>
      </c>
      <c r="AU127" s="31" t="str">
        <f t="shared" si="5"/>
        <v>库存为0</v>
      </c>
      <c r="AV127" s="36" t="str">
        <f>IFERROR(时间!$B$4+AU127,"上周无销量")</f>
        <v>上周无销量</v>
      </c>
    </row>
    <row r="128" spans="1:48">
      <c r="A128" s="21" t="s">
        <v>465</v>
      </c>
      <c r="B128" t="s">
        <v>466</v>
      </c>
      <c r="C128" t="s">
        <v>467</v>
      </c>
      <c r="D128" s="31">
        <v>0</v>
      </c>
      <c r="E128" s="31">
        <v>0</v>
      </c>
      <c r="F128" s="31">
        <v>0</v>
      </c>
      <c r="G128" s="31">
        <v>0</v>
      </c>
      <c r="H128" s="32">
        <v>0</v>
      </c>
      <c r="I128">
        <v>0</v>
      </c>
      <c r="J128" s="33">
        <v>0</v>
      </c>
      <c r="K128" s="33">
        <v>0</v>
      </c>
      <c r="L128" s="33">
        <v>0</v>
      </c>
      <c r="M128">
        <v>0</v>
      </c>
      <c r="N128">
        <v>0</v>
      </c>
      <c r="O128">
        <v>0</v>
      </c>
      <c r="P128" t="s">
        <v>54</v>
      </c>
      <c r="Q128" t="s">
        <v>54</v>
      </c>
      <c r="R128" t="s">
        <v>54</v>
      </c>
      <c r="S128" t="s">
        <v>54</v>
      </c>
      <c r="T128" t="s">
        <v>54</v>
      </c>
      <c r="U128" t="s">
        <v>54</v>
      </c>
      <c r="V128" t="s">
        <v>54</v>
      </c>
      <c r="W128" t="s">
        <v>54</v>
      </c>
      <c r="X128" s="23" t="s">
        <v>54</v>
      </c>
      <c r="Y128" s="23" t="s">
        <v>54</v>
      </c>
      <c r="Z128" s="23" t="s">
        <v>54</v>
      </c>
      <c r="AA128" s="23" t="s">
        <v>54</v>
      </c>
      <c r="AB128" t="s">
        <v>54</v>
      </c>
      <c r="AC128" t="s">
        <v>54</v>
      </c>
      <c r="AD128" t="s">
        <v>54</v>
      </c>
      <c r="AE128" t="s">
        <v>54</v>
      </c>
      <c r="AF128" s="23" t="s">
        <v>54</v>
      </c>
      <c r="AG128" s="23" t="s">
        <v>54</v>
      </c>
      <c r="AH128" s="23" t="s">
        <v>54</v>
      </c>
      <c r="AI128" s="23" t="s">
        <v>54</v>
      </c>
      <c r="AJ128">
        <v>0</v>
      </c>
      <c r="AK128">
        <v>0</v>
      </c>
      <c r="AL128">
        <v>0</v>
      </c>
      <c r="AM128">
        <v>0</v>
      </c>
      <c r="AN128" s="23" t="s">
        <v>54</v>
      </c>
      <c r="AO128" s="23" t="s">
        <v>54</v>
      </c>
      <c r="AP128" s="23" t="s">
        <v>54</v>
      </c>
      <c r="AQ128" s="23" t="s">
        <v>54</v>
      </c>
      <c r="AR128" s="35">
        <v>0</v>
      </c>
      <c r="AS128" s="35">
        <v>0</v>
      </c>
      <c r="AT128" s="35">
        <v>0</v>
      </c>
      <c r="AU128" s="31" t="str">
        <f t="shared" si="5"/>
        <v>库存为0</v>
      </c>
      <c r="AV128" s="36" t="str">
        <f>IFERROR(时间!$B$4+AU128,"上周无销量")</f>
        <v>上周无销量</v>
      </c>
    </row>
    <row r="129" spans="1:48">
      <c r="A129" s="21" t="s">
        <v>468</v>
      </c>
      <c r="B129" t="s">
        <v>469</v>
      </c>
      <c r="C129" t="s">
        <v>470</v>
      </c>
      <c r="D129" s="31">
        <v>0</v>
      </c>
      <c r="E129" s="31">
        <v>0</v>
      </c>
      <c r="F129" s="31">
        <v>0</v>
      </c>
      <c r="G129" s="31">
        <v>0</v>
      </c>
      <c r="H129" s="32">
        <v>0</v>
      </c>
      <c r="I129">
        <v>0</v>
      </c>
      <c r="J129" s="33">
        <v>0</v>
      </c>
      <c r="K129" s="33">
        <v>0</v>
      </c>
      <c r="L129" s="33">
        <v>0</v>
      </c>
      <c r="M129">
        <v>0</v>
      </c>
      <c r="N129">
        <v>0</v>
      </c>
      <c r="O129">
        <v>0</v>
      </c>
      <c r="P129" t="s">
        <v>54</v>
      </c>
      <c r="Q129" t="s">
        <v>54</v>
      </c>
      <c r="R129" t="s">
        <v>54</v>
      </c>
      <c r="S129" t="s">
        <v>54</v>
      </c>
      <c r="T129" t="s">
        <v>54</v>
      </c>
      <c r="U129" t="s">
        <v>54</v>
      </c>
      <c r="V129" t="s">
        <v>54</v>
      </c>
      <c r="W129" t="s">
        <v>54</v>
      </c>
      <c r="X129" s="23" t="s">
        <v>54</v>
      </c>
      <c r="Y129" s="23" t="s">
        <v>54</v>
      </c>
      <c r="Z129" s="23" t="s">
        <v>54</v>
      </c>
      <c r="AA129" s="23" t="s">
        <v>54</v>
      </c>
      <c r="AB129" t="s">
        <v>54</v>
      </c>
      <c r="AC129" t="s">
        <v>54</v>
      </c>
      <c r="AD129" t="s">
        <v>54</v>
      </c>
      <c r="AE129" t="s">
        <v>54</v>
      </c>
      <c r="AF129" s="23" t="s">
        <v>54</v>
      </c>
      <c r="AG129" s="23" t="s">
        <v>54</v>
      </c>
      <c r="AH129" s="23" t="s">
        <v>54</v>
      </c>
      <c r="AI129" s="23" t="s">
        <v>54</v>
      </c>
      <c r="AJ129">
        <v>0</v>
      </c>
      <c r="AK129">
        <v>0</v>
      </c>
      <c r="AL129">
        <v>0</v>
      </c>
      <c r="AM129">
        <v>0</v>
      </c>
      <c r="AN129" s="23" t="s">
        <v>54</v>
      </c>
      <c r="AO129" s="23" t="s">
        <v>54</v>
      </c>
      <c r="AP129" s="23" t="s">
        <v>54</v>
      </c>
      <c r="AQ129" s="23" t="s">
        <v>54</v>
      </c>
      <c r="AR129" s="35">
        <v>0</v>
      </c>
      <c r="AS129" s="35">
        <v>0</v>
      </c>
      <c r="AT129" s="35">
        <v>0</v>
      </c>
      <c r="AU129" s="31" t="str">
        <f t="shared" si="5"/>
        <v>库存为0</v>
      </c>
      <c r="AV129" s="36" t="str">
        <f>IFERROR(时间!$B$4+AU129,"上周无销量")</f>
        <v>上周无销量</v>
      </c>
    </row>
    <row r="130" spans="1:48">
      <c r="A130" s="21" t="s">
        <v>471</v>
      </c>
      <c r="B130" t="s">
        <v>472</v>
      </c>
      <c r="C130" t="s">
        <v>473</v>
      </c>
      <c r="D130" s="31">
        <v>0</v>
      </c>
      <c r="E130" s="31">
        <v>0</v>
      </c>
      <c r="F130" s="31">
        <v>0</v>
      </c>
      <c r="G130" s="31">
        <v>0</v>
      </c>
      <c r="H130" s="32">
        <v>0</v>
      </c>
      <c r="I130">
        <v>0</v>
      </c>
      <c r="J130" s="33">
        <v>0</v>
      </c>
      <c r="K130" s="33">
        <v>0</v>
      </c>
      <c r="L130" s="33">
        <v>0</v>
      </c>
      <c r="M130">
        <v>0</v>
      </c>
      <c r="N130">
        <v>0</v>
      </c>
      <c r="O130">
        <v>0</v>
      </c>
      <c r="P130" t="s">
        <v>54</v>
      </c>
      <c r="Q130" t="s">
        <v>54</v>
      </c>
      <c r="R130" t="s">
        <v>54</v>
      </c>
      <c r="S130" t="s">
        <v>54</v>
      </c>
      <c r="T130" t="s">
        <v>54</v>
      </c>
      <c r="U130" t="s">
        <v>54</v>
      </c>
      <c r="V130" t="s">
        <v>54</v>
      </c>
      <c r="W130" t="s">
        <v>54</v>
      </c>
      <c r="X130" s="23" t="s">
        <v>54</v>
      </c>
      <c r="Y130" s="23" t="s">
        <v>54</v>
      </c>
      <c r="Z130" s="23" t="s">
        <v>54</v>
      </c>
      <c r="AA130" s="23" t="s">
        <v>54</v>
      </c>
      <c r="AB130" t="s">
        <v>54</v>
      </c>
      <c r="AC130" t="s">
        <v>54</v>
      </c>
      <c r="AD130" t="s">
        <v>54</v>
      </c>
      <c r="AE130" t="s">
        <v>54</v>
      </c>
      <c r="AF130" s="23" t="s">
        <v>54</v>
      </c>
      <c r="AG130" s="23" t="s">
        <v>54</v>
      </c>
      <c r="AH130" s="23" t="s">
        <v>54</v>
      </c>
      <c r="AI130" s="23" t="s">
        <v>54</v>
      </c>
      <c r="AJ130">
        <v>0</v>
      </c>
      <c r="AK130">
        <v>0</v>
      </c>
      <c r="AL130">
        <v>0</v>
      </c>
      <c r="AM130">
        <v>0</v>
      </c>
      <c r="AN130" s="23" t="s">
        <v>54</v>
      </c>
      <c r="AO130" s="23" t="s">
        <v>54</v>
      </c>
      <c r="AP130" s="23" t="s">
        <v>54</v>
      </c>
      <c r="AQ130" s="23" t="s">
        <v>54</v>
      </c>
      <c r="AR130" s="35">
        <v>0</v>
      </c>
      <c r="AS130" s="35">
        <v>0</v>
      </c>
      <c r="AT130" s="35">
        <v>0</v>
      </c>
      <c r="AU130" s="31" t="str">
        <f t="shared" si="5"/>
        <v>库存为0</v>
      </c>
      <c r="AV130" s="36" t="str">
        <f>IFERROR(时间!$B$4+AU130,"上周无销量")</f>
        <v>上周无销量</v>
      </c>
    </row>
    <row r="131" spans="1:48">
      <c r="A131" s="21" t="s">
        <v>474</v>
      </c>
      <c r="B131" t="s">
        <v>475</v>
      </c>
      <c r="C131" t="s">
        <v>476</v>
      </c>
      <c r="D131" s="31">
        <v>0</v>
      </c>
      <c r="E131" s="31">
        <v>0</v>
      </c>
      <c r="F131" s="31">
        <v>0</v>
      </c>
      <c r="G131" s="31">
        <v>0</v>
      </c>
      <c r="H131" s="32">
        <v>0</v>
      </c>
      <c r="I131">
        <v>0</v>
      </c>
      <c r="J131" s="33">
        <v>0</v>
      </c>
      <c r="K131" s="33">
        <v>0</v>
      </c>
      <c r="L131" s="33">
        <v>0</v>
      </c>
      <c r="M131">
        <v>0</v>
      </c>
      <c r="N131">
        <v>0</v>
      </c>
      <c r="O131">
        <v>0</v>
      </c>
      <c r="P131" t="s">
        <v>54</v>
      </c>
      <c r="Q131" t="s">
        <v>54</v>
      </c>
      <c r="R131" t="s">
        <v>54</v>
      </c>
      <c r="S131" t="s">
        <v>54</v>
      </c>
      <c r="T131" t="s">
        <v>54</v>
      </c>
      <c r="U131" t="s">
        <v>54</v>
      </c>
      <c r="V131" t="s">
        <v>54</v>
      </c>
      <c r="W131" t="s">
        <v>54</v>
      </c>
      <c r="X131" s="23" t="s">
        <v>54</v>
      </c>
      <c r="Y131" s="23" t="s">
        <v>54</v>
      </c>
      <c r="Z131" s="23" t="s">
        <v>54</v>
      </c>
      <c r="AA131" s="23" t="s">
        <v>54</v>
      </c>
      <c r="AB131" t="s">
        <v>54</v>
      </c>
      <c r="AC131" t="s">
        <v>54</v>
      </c>
      <c r="AD131" t="s">
        <v>54</v>
      </c>
      <c r="AE131" t="s">
        <v>54</v>
      </c>
      <c r="AF131" s="23" t="s">
        <v>54</v>
      </c>
      <c r="AG131" s="23" t="s">
        <v>54</v>
      </c>
      <c r="AH131" s="23" t="s">
        <v>54</v>
      </c>
      <c r="AI131" s="23" t="s">
        <v>54</v>
      </c>
      <c r="AJ131">
        <v>0</v>
      </c>
      <c r="AK131">
        <v>0</v>
      </c>
      <c r="AL131">
        <v>0</v>
      </c>
      <c r="AM131">
        <v>0</v>
      </c>
      <c r="AN131" s="23" t="s">
        <v>54</v>
      </c>
      <c r="AO131" s="23" t="s">
        <v>54</v>
      </c>
      <c r="AP131" s="23" t="s">
        <v>54</v>
      </c>
      <c r="AQ131" s="23" t="s">
        <v>54</v>
      </c>
      <c r="AR131" s="35">
        <v>0</v>
      </c>
      <c r="AS131" s="35">
        <v>0</v>
      </c>
      <c r="AT131" s="35">
        <v>0</v>
      </c>
      <c r="AU131" s="31" t="str">
        <f t="shared" si="5"/>
        <v>库存为0</v>
      </c>
      <c r="AV131" s="36" t="str">
        <f>IFERROR(时间!$B$4+AU131,"上周无销量")</f>
        <v>上周无销量</v>
      </c>
    </row>
    <row r="132" spans="1:48">
      <c r="A132" s="21" t="s">
        <v>477</v>
      </c>
      <c r="B132" t="s">
        <v>478</v>
      </c>
      <c r="C132" t="s">
        <v>479</v>
      </c>
      <c r="D132" s="31">
        <v>0</v>
      </c>
      <c r="E132" s="31">
        <v>0</v>
      </c>
      <c r="F132" s="31">
        <v>0</v>
      </c>
      <c r="G132" s="31">
        <v>0</v>
      </c>
      <c r="H132" s="32">
        <v>0</v>
      </c>
      <c r="I132">
        <v>0</v>
      </c>
      <c r="J132" s="33">
        <v>0</v>
      </c>
      <c r="K132" s="33">
        <v>0</v>
      </c>
      <c r="L132" s="33">
        <v>0</v>
      </c>
      <c r="M132">
        <v>0</v>
      </c>
      <c r="N132">
        <v>0</v>
      </c>
      <c r="O132">
        <v>0</v>
      </c>
      <c r="P132" t="s">
        <v>54</v>
      </c>
      <c r="Q132" t="s">
        <v>54</v>
      </c>
      <c r="R132" t="s">
        <v>54</v>
      </c>
      <c r="S132" t="s">
        <v>54</v>
      </c>
      <c r="T132" t="s">
        <v>54</v>
      </c>
      <c r="U132" t="s">
        <v>54</v>
      </c>
      <c r="V132" t="s">
        <v>54</v>
      </c>
      <c r="W132" t="s">
        <v>54</v>
      </c>
      <c r="X132" s="23" t="s">
        <v>54</v>
      </c>
      <c r="Y132" s="23" t="s">
        <v>54</v>
      </c>
      <c r="Z132" s="23" t="s">
        <v>54</v>
      </c>
      <c r="AA132" s="23" t="s">
        <v>54</v>
      </c>
      <c r="AB132" t="s">
        <v>54</v>
      </c>
      <c r="AC132" t="s">
        <v>54</v>
      </c>
      <c r="AD132" t="s">
        <v>54</v>
      </c>
      <c r="AE132" t="s">
        <v>54</v>
      </c>
      <c r="AF132" s="23" t="s">
        <v>54</v>
      </c>
      <c r="AG132" s="23" t="s">
        <v>54</v>
      </c>
      <c r="AH132" s="23" t="s">
        <v>54</v>
      </c>
      <c r="AI132" s="23" t="s">
        <v>54</v>
      </c>
      <c r="AJ132">
        <v>0</v>
      </c>
      <c r="AK132">
        <v>0</v>
      </c>
      <c r="AL132">
        <v>0</v>
      </c>
      <c r="AM132">
        <v>0</v>
      </c>
      <c r="AN132" s="23" t="s">
        <v>54</v>
      </c>
      <c r="AO132" s="23" t="s">
        <v>54</v>
      </c>
      <c r="AP132" s="23" t="s">
        <v>54</v>
      </c>
      <c r="AQ132" s="23" t="s">
        <v>54</v>
      </c>
      <c r="AR132" s="35">
        <v>0</v>
      </c>
      <c r="AS132" s="35">
        <v>0</v>
      </c>
      <c r="AT132" s="35">
        <v>0</v>
      </c>
      <c r="AU132" s="31" t="str">
        <f t="shared" si="5"/>
        <v>库存为0</v>
      </c>
      <c r="AV132" s="36" t="str">
        <f>IFERROR(时间!$B$4+AU132,"上周无销量")</f>
        <v>上周无销量</v>
      </c>
    </row>
    <row r="133" spans="1:48">
      <c r="A133" s="21" t="s">
        <v>480</v>
      </c>
      <c r="B133" t="s">
        <v>481</v>
      </c>
      <c r="C133" t="s">
        <v>479</v>
      </c>
      <c r="D133" s="31">
        <v>0</v>
      </c>
      <c r="E133" s="31">
        <v>0</v>
      </c>
      <c r="F133" s="31">
        <v>0</v>
      </c>
      <c r="G133" s="31">
        <v>0</v>
      </c>
      <c r="H133" s="32">
        <v>0</v>
      </c>
      <c r="I133">
        <v>0</v>
      </c>
      <c r="J133" s="33">
        <v>0</v>
      </c>
      <c r="K133" s="33">
        <v>0</v>
      </c>
      <c r="L133" s="33">
        <v>0</v>
      </c>
      <c r="M133">
        <v>0</v>
      </c>
      <c r="N133">
        <v>0</v>
      </c>
      <c r="O133">
        <v>0</v>
      </c>
      <c r="P133" t="s">
        <v>54</v>
      </c>
      <c r="Q133" t="s">
        <v>54</v>
      </c>
      <c r="R133" t="s">
        <v>54</v>
      </c>
      <c r="S133" t="s">
        <v>54</v>
      </c>
      <c r="T133" t="s">
        <v>54</v>
      </c>
      <c r="U133" t="s">
        <v>54</v>
      </c>
      <c r="V133" t="s">
        <v>54</v>
      </c>
      <c r="W133" t="s">
        <v>54</v>
      </c>
      <c r="X133" s="23" t="s">
        <v>54</v>
      </c>
      <c r="Y133" s="23" t="s">
        <v>54</v>
      </c>
      <c r="Z133" s="23" t="s">
        <v>54</v>
      </c>
      <c r="AA133" s="23" t="s">
        <v>54</v>
      </c>
      <c r="AB133" t="s">
        <v>54</v>
      </c>
      <c r="AC133" t="s">
        <v>54</v>
      </c>
      <c r="AD133" t="s">
        <v>54</v>
      </c>
      <c r="AE133" t="s">
        <v>54</v>
      </c>
      <c r="AF133" s="23" t="s">
        <v>54</v>
      </c>
      <c r="AG133" s="23" t="s">
        <v>54</v>
      </c>
      <c r="AH133" s="23" t="s">
        <v>54</v>
      </c>
      <c r="AI133" s="23" t="s">
        <v>54</v>
      </c>
      <c r="AJ133">
        <v>0</v>
      </c>
      <c r="AK133">
        <v>0</v>
      </c>
      <c r="AL133">
        <v>0</v>
      </c>
      <c r="AM133">
        <v>0</v>
      </c>
      <c r="AN133" s="23" t="s">
        <v>54</v>
      </c>
      <c r="AO133" s="23" t="s">
        <v>54</v>
      </c>
      <c r="AP133" s="23" t="s">
        <v>54</v>
      </c>
      <c r="AQ133" s="23" t="s">
        <v>54</v>
      </c>
      <c r="AR133" s="35">
        <v>0</v>
      </c>
      <c r="AS133" s="35">
        <v>0</v>
      </c>
      <c r="AT133" s="35">
        <v>0</v>
      </c>
      <c r="AU133" s="31" t="str">
        <f t="shared" ref="AU133:AU196" si="6">IF(AR133="","库存为"&amp;M133,IF(AS133=0,"库存为"&amp;M133,INT(M133/AR133)))</f>
        <v>库存为0</v>
      </c>
      <c r="AV133" s="36" t="str">
        <f>IFERROR(时间!$B$4+AU133,"上周无销量")</f>
        <v>上周无销量</v>
      </c>
    </row>
    <row r="134" spans="1:48">
      <c r="A134" s="21" t="s">
        <v>482</v>
      </c>
      <c r="B134" t="s">
        <v>483</v>
      </c>
      <c r="C134" t="s">
        <v>479</v>
      </c>
      <c r="D134" s="31">
        <v>0</v>
      </c>
      <c r="E134" s="31">
        <v>0</v>
      </c>
      <c r="F134" s="31">
        <v>0</v>
      </c>
      <c r="G134" s="31">
        <v>0</v>
      </c>
      <c r="H134" s="32">
        <v>0</v>
      </c>
      <c r="I134">
        <v>0</v>
      </c>
      <c r="J134" s="33">
        <v>0</v>
      </c>
      <c r="K134" s="33">
        <v>0</v>
      </c>
      <c r="L134" s="33">
        <v>0</v>
      </c>
      <c r="M134">
        <v>0</v>
      </c>
      <c r="N134">
        <v>0</v>
      </c>
      <c r="O134">
        <v>0</v>
      </c>
      <c r="P134" t="s">
        <v>54</v>
      </c>
      <c r="Q134" t="s">
        <v>54</v>
      </c>
      <c r="R134" t="s">
        <v>54</v>
      </c>
      <c r="S134" t="s">
        <v>54</v>
      </c>
      <c r="T134" t="s">
        <v>54</v>
      </c>
      <c r="U134" t="s">
        <v>54</v>
      </c>
      <c r="V134" t="s">
        <v>54</v>
      </c>
      <c r="W134" t="s">
        <v>54</v>
      </c>
      <c r="X134" s="23" t="s">
        <v>54</v>
      </c>
      <c r="Y134" s="23" t="s">
        <v>54</v>
      </c>
      <c r="Z134" s="23" t="s">
        <v>54</v>
      </c>
      <c r="AA134" s="23" t="s">
        <v>54</v>
      </c>
      <c r="AB134" t="s">
        <v>54</v>
      </c>
      <c r="AC134" t="s">
        <v>54</v>
      </c>
      <c r="AD134" t="s">
        <v>54</v>
      </c>
      <c r="AE134" t="s">
        <v>54</v>
      </c>
      <c r="AF134" s="23" t="s">
        <v>54</v>
      </c>
      <c r="AG134" s="23" t="s">
        <v>54</v>
      </c>
      <c r="AH134" s="23" t="s">
        <v>54</v>
      </c>
      <c r="AI134" s="23" t="s">
        <v>54</v>
      </c>
      <c r="AJ134">
        <v>0</v>
      </c>
      <c r="AK134">
        <v>0</v>
      </c>
      <c r="AL134">
        <v>0</v>
      </c>
      <c r="AM134">
        <v>0</v>
      </c>
      <c r="AN134" s="23" t="s">
        <v>54</v>
      </c>
      <c r="AO134" s="23" t="s">
        <v>54</v>
      </c>
      <c r="AP134" s="23" t="s">
        <v>54</v>
      </c>
      <c r="AQ134" s="23" t="s">
        <v>54</v>
      </c>
      <c r="AR134" s="35">
        <v>0</v>
      </c>
      <c r="AS134" s="35">
        <v>0</v>
      </c>
      <c r="AT134" s="35">
        <v>0</v>
      </c>
      <c r="AU134" s="31" t="str">
        <f t="shared" si="6"/>
        <v>库存为0</v>
      </c>
      <c r="AV134" s="36" t="str">
        <f>IFERROR(时间!$B$4+AU134,"上周无销量")</f>
        <v>上周无销量</v>
      </c>
    </row>
    <row r="135" spans="1:48">
      <c r="A135" s="21" t="s">
        <v>484</v>
      </c>
      <c r="B135" t="s">
        <v>485</v>
      </c>
      <c r="C135" t="s">
        <v>486</v>
      </c>
      <c r="D135" s="31">
        <v>3</v>
      </c>
      <c r="E135" s="31">
        <v>2</v>
      </c>
      <c r="F135" s="31">
        <v>0</v>
      </c>
      <c r="G135" s="31">
        <v>3</v>
      </c>
      <c r="H135" s="32">
        <v>99.99</v>
      </c>
      <c r="I135">
        <v>0</v>
      </c>
      <c r="J135" s="33">
        <v>5</v>
      </c>
      <c r="K135" s="33">
        <v>0</v>
      </c>
      <c r="L135" s="33">
        <v>0</v>
      </c>
      <c r="M135">
        <v>5</v>
      </c>
      <c r="N135">
        <v>0</v>
      </c>
      <c r="O135">
        <v>0</v>
      </c>
      <c r="P135">
        <v>38248</v>
      </c>
      <c r="Q135">
        <v>67824</v>
      </c>
      <c r="R135">
        <v>248690</v>
      </c>
      <c r="S135">
        <v>249727</v>
      </c>
      <c r="T135">
        <v>257</v>
      </c>
      <c r="U135">
        <v>436</v>
      </c>
      <c r="V135">
        <v>1820</v>
      </c>
      <c r="W135">
        <v>1827</v>
      </c>
      <c r="X135" s="23">
        <v>0.00671930558460573</v>
      </c>
      <c r="Y135" s="23">
        <v>0.00642840292521821</v>
      </c>
      <c r="Z135" s="23">
        <v>0.00731834814427601</v>
      </c>
      <c r="AA135" s="23">
        <v>0.00731598906005358</v>
      </c>
      <c r="AB135">
        <v>35.21</v>
      </c>
      <c r="AC135">
        <v>57.74</v>
      </c>
      <c r="AD135">
        <v>256.75</v>
      </c>
      <c r="AE135">
        <v>257.98</v>
      </c>
      <c r="AF135" s="23">
        <v>0.117378404507117</v>
      </c>
      <c r="AG135" s="23">
        <v>0.288728872887289</v>
      </c>
      <c r="AH135" s="23" t="s">
        <v>487</v>
      </c>
      <c r="AI135" s="23">
        <v>0.86001933526686</v>
      </c>
      <c r="AJ135">
        <v>319</v>
      </c>
      <c r="AK135">
        <v>497</v>
      </c>
      <c r="AL135">
        <v>0</v>
      </c>
      <c r="AM135">
        <v>289</v>
      </c>
      <c r="AN135" s="23">
        <v>0.00940438871473354</v>
      </c>
      <c r="AO135" s="23">
        <v>0.00402414486921529</v>
      </c>
      <c r="AP135" s="23" t="s">
        <v>54</v>
      </c>
      <c r="AQ135" s="23">
        <v>0.0103806228373702</v>
      </c>
      <c r="AR135" s="35">
        <v>0.428571428571429</v>
      </c>
      <c r="AS135" s="35">
        <v>25.7142857142857</v>
      </c>
      <c r="AT135" s="35">
        <v>-20.7142857142857</v>
      </c>
      <c r="AU135" s="31">
        <f t="shared" si="6"/>
        <v>11</v>
      </c>
      <c r="AV135" s="36">
        <f>IFERROR(时间!$B$4+AU135,"上周无销量")</f>
        <v>43350</v>
      </c>
    </row>
    <row r="136" spans="1:48">
      <c r="A136" s="21" t="s">
        <v>488</v>
      </c>
      <c r="B136" t="s">
        <v>80</v>
      </c>
      <c r="C136" t="s">
        <v>489</v>
      </c>
      <c r="D136" s="31">
        <v>1</v>
      </c>
      <c r="E136" s="31">
        <v>2</v>
      </c>
      <c r="F136" s="31">
        <v>0</v>
      </c>
      <c r="G136" s="31">
        <v>0</v>
      </c>
      <c r="H136" s="32">
        <v>92.99</v>
      </c>
      <c r="I136">
        <v>0</v>
      </c>
      <c r="J136" s="33">
        <v>5</v>
      </c>
      <c r="K136" s="33">
        <v>0</v>
      </c>
      <c r="L136" s="33">
        <v>0</v>
      </c>
      <c r="M136">
        <v>5</v>
      </c>
      <c r="N136">
        <v>0</v>
      </c>
      <c r="O136">
        <v>0</v>
      </c>
      <c r="P136">
        <v>23841</v>
      </c>
      <c r="Q136">
        <v>14332</v>
      </c>
      <c r="R136">
        <v>103442</v>
      </c>
      <c r="S136">
        <v>103442</v>
      </c>
      <c r="T136">
        <v>182</v>
      </c>
      <c r="U136">
        <v>101</v>
      </c>
      <c r="V136">
        <v>574</v>
      </c>
      <c r="W136">
        <v>574</v>
      </c>
      <c r="X136" s="23">
        <v>0.00763390797365882</v>
      </c>
      <c r="Y136" s="23">
        <v>0.00704716717834217</v>
      </c>
      <c r="Z136" s="23">
        <v>0.00554900330620058</v>
      </c>
      <c r="AA136" s="23">
        <v>0.00554900330620058</v>
      </c>
      <c r="AB136">
        <v>25.58</v>
      </c>
      <c r="AC136">
        <v>14.3</v>
      </c>
      <c r="AD136">
        <v>89.8</v>
      </c>
      <c r="AE136">
        <v>89.8</v>
      </c>
      <c r="AF136" s="23">
        <v>0.27508334229487</v>
      </c>
      <c r="AG136" s="23">
        <v>0.0768899881707711</v>
      </c>
      <c r="AH136" s="23" t="s">
        <v>490</v>
      </c>
      <c r="AI136" s="23" t="s">
        <v>490</v>
      </c>
      <c r="AJ136">
        <v>228</v>
      </c>
      <c r="AK136">
        <v>195</v>
      </c>
      <c r="AL136">
        <v>216</v>
      </c>
      <c r="AM136">
        <v>14</v>
      </c>
      <c r="AN136" s="23">
        <v>0.0043859649122807</v>
      </c>
      <c r="AO136" s="23">
        <v>0.0102564102564103</v>
      </c>
      <c r="AP136" s="23">
        <v>0</v>
      </c>
      <c r="AQ136" s="23">
        <v>0</v>
      </c>
      <c r="AR136" s="35">
        <v>0.142857142857143</v>
      </c>
      <c r="AS136" s="35">
        <v>8.57142857142857</v>
      </c>
      <c r="AT136" s="35">
        <v>-3.57142857142857</v>
      </c>
      <c r="AU136" s="31">
        <f t="shared" si="6"/>
        <v>35</v>
      </c>
      <c r="AV136" s="36">
        <f>IFERROR(时间!$B$4+AU136,"上周无销量")</f>
        <v>43374</v>
      </c>
    </row>
    <row r="137" spans="1:48">
      <c r="A137" s="21" t="s">
        <v>491</v>
      </c>
      <c r="B137" t="s">
        <v>492</v>
      </c>
      <c r="C137" t="s">
        <v>493</v>
      </c>
      <c r="D137" s="31">
        <v>8</v>
      </c>
      <c r="E137" s="31">
        <v>4</v>
      </c>
      <c r="F137" s="31">
        <v>2</v>
      </c>
      <c r="G137" s="31">
        <v>5</v>
      </c>
      <c r="H137" s="32">
        <v>99.99</v>
      </c>
      <c r="I137">
        <v>2</v>
      </c>
      <c r="J137" s="33">
        <v>2</v>
      </c>
      <c r="K137" s="33">
        <v>0</v>
      </c>
      <c r="L137" s="33">
        <v>0</v>
      </c>
      <c r="M137">
        <v>4</v>
      </c>
      <c r="N137">
        <v>1</v>
      </c>
      <c r="O137">
        <v>0</v>
      </c>
      <c r="P137">
        <v>141603</v>
      </c>
      <c r="Q137">
        <v>78503</v>
      </c>
      <c r="R137">
        <v>239580</v>
      </c>
      <c r="S137">
        <v>240542</v>
      </c>
      <c r="T137">
        <v>777</v>
      </c>
      <c r="U137">
        <v>443</v>
      </c>
      <c r="V137">
        <v>1285</v>
      </c>
      <c r="W137">
        <v>1286</v>
      </c>
      <c r="X137" s="23">
        <v>0.00548717188195165</v>
      </c>
      <c r="Y137" s="23">
        <v>0.00564309644217418</v>
      </c>
      <c r="Z137" s="23">
        <v>0.00536355288421404</v>
      </c>
      <c r="AA137" s="23">
        <v>0.00534625969685128</v>
      </c>
      <c r="AB137">
        <v>111.54</v>
      </c>
      <c r="AC137">
        <v>63.73</v>
      </c>
      <c r="AD137">
        <v>174.23</v>
      </c>
      <c r="AE137">
        <v>174.42</v>
      </c>
      <c r="AF137" s="23">
        <v>0.139438943894389</v>
      </c>
      <c r="AG137" s="23">
        <v>0.159340934093409</v>
      </c>
      <c r="AH137" s="23">
        <v>0.871237123712371</v>
      </c>
      <c r="AI137" s="23">
        <v>0.348874887488749</v>
      </c>
      <c r="AJ137">
        <v>904</v>
      </c>
      <c r="AK137">
        <v>679</v>
      </c>
      <c r="AL137">
        <v>373</v>
      </c>
      <c r="AM137">
        <v>569</v>
      </c>
      <c r="AN137" s="23">
        <v>0.00884955752212389</v>
      </c>
      <c r="AO137" s="23">
        <v>0.00589101620029455</v>
      </c>
      <c r="AP137" s="23">
        <v>0.00536193029490617</v>
      </c>
      <c r="AQ137" s="23">
        <v>0.00878734622144113</v>
      </c>
      <c r="AR137" s="35">
        <v>1.14285714285714</v>
      </c>
      <c r="AS137" s="35">
        <v>68.5714285714286</v>
      </c>
      <c r="AT137" s="35">
        <v>-64.5714285714286</v>
      </c>
      <c r="AU137" s="31">
        <f t="shared" si="6"/>
        <v>3</v>
      </c>
      <c r="AV137" s="36">
        <f>IFERROR(时间!$B$4+AU137,"上周无销量")</f>
        <v>43342</v>
      </c>
    </row>
    <row r="138" spans="1:48">
      <c r="A138" s="21" t="s">
        <v>494</v>
      </c>
      <c r="B138" t="s">
        <v>95</v>
      </c>
      <c r="C138" t="s">
        <v>495</v>
      </c>
      <c r="D138" s="31">
        <v>4</v>
      </c>
      <c r="E138" s="31">
        <v>2</v>
      </c>
      <c r="F138" s="31">
        <v>1</v>
      </c>
      <c r="G138" s="31">
        <v>2</v>
      </c>
      <c r="H138" s="32">
        <v>89.99</v>
      </c>
      <c r="I138">
        <v>2</v>
      </c>
      <c r="J138" s="33">
        <v>5</v>
      </c>
      <c r="K138" s="33">
        <v>0</v>
      </c>
      <c r="L138" s="33">
        <v>0</v>
      </c>
      <c r="M138">
        <v>7</v>
      </c>
      <c r="N138">
        <v>0</v>
      </c>
      <c r="O138">
        <v>0</v>
      </c>
      <c r="P138">
        <v>29041</v>
      </c>
      <c r="Q138">
        <v>16782</v>
      </c>
      <c r="R138">
        <v>154991</v>
      </c>
      <c r="S138">
        <v>155121</v>
      </c>
      <c r="T138">
        <v>161</v>
      </c>
      <c r="U138">
        <v>104</v>
      </c>
      <c r="V138">
        <v>685</v>
      </c>
      <c r="W138">
        <v>685</v>
      </c>
      <c r="X138" s="23">
        <v>0.00554388622981302</v>
      </c>
      <c r="Y138" s="23">
        <v>0.00619711595757359</v>
      </c>
      <c r="Z138" s="23">
        <v>0.00441961146131066</v>
      </c>
      <c r="AA138" s="23">
        <v>0.00441590758182322</v>
      </c>
      <c r="AB138">
        <v>22.43</v>
      </c>
      <c r="AC138">
        <v>13.23</v>
      </c>
      <c r="AD138">
        <v>110.37</v>
      </c>
      <c r="AE138">
        <v>110.37</v>
      </c>
      <c r="AF138" s="23">
        <v>0.0623124791643516</v>
      </c>
      <c r="AG138" s="23">
        <v>0.0735081675741749</v>
      </c>
      <c r="AH138" s="23">
        <v>1.22646960773419</v>
      </c>
      <c r="AI138" s="23">
        <v>0.613234803867096</v>
      </c>
      <c r="AJ138">
        <v>277</v>
      </c>
      <c r="AK138">
        <v>212</v>
      </c>
      <c r="AL138">
        <v>244</v>
      </c>
      <c r="AM138">
        <v>204</v>
      </c>
      <c r="AN138" s="23">
        <v>0.0144404332129964</v>
      </c>
      <c r="AO138" s="23">
        <v>0.00943396226415094</v>
      </c>
      <c r="AP138" s="23">
        <v>0.00409836065573771</v>
      </c>
      <c r="AQ138" s="23">
        <v>0.00980392156862745</v>
      </c>
      <c r="AR138" s="35">
        <v>0.571428571428571</v>
      </c>
      <c r="AS138" s="35">
        <v>34.2857142857143</v>
      </c>
      <c r="AT138" s="35">
        <v>-27.2857142857143</v>
      </c>
      <c r="AU138" s="31">
        <f t="shared" si="6"/>
        <v>12</v>
      </c>
      <c r="AV138" s="36">
        <f>IFERROR(时间!$B$4+AU138,"上周无销量")</f>
        <v>43351</v>
      </c>
    </row>
    <row r="139" spans="1:48">
      <c r="A139" s="21" t="s">
        <v>496</v>
      </c>
      <c r="B139" t="s">
        <v>71</v>
      </c>
      <c r="C139" t="s">
        <v>497</v>
      </c>
      <c r="D139" s="31">
        <v>4</v>
      </c>
      <c r="E139" s="31">
        <v>5</v>
      </c>
      <c r="F139" s="31">
        <v>4</v>
      </c>
      <c r="G139" s="31">
        <v>0</v>
      </c>
      <c r="H139" s="32">
        <v>100.606153846154</v>
      </c>
      <c r="I139">
        <v>0</v>
      </c>
      <c r="J139" s="33">
        <v>14</v>
      </c>
      <c r="K139" s="33">
        <v>0</v>
      </c>
      <c r="L139" s="33">
        <v>0</v>
      </c>
      <c r="M139">
        <v>14</v>
      </c>
      <c r="N139">
        <v>0</v>
      </c>
      <c r="O139">
        <v>0</v>
      </c>
      <c r="P139">
        <v>10272</v>
      </c>
      <c r="Q139">
        <v>4336</v>
      </c>
      <c r="R139">
        <v>8129</v>
      </c>
      <c r="S139">
        <v>8180</v>
      </c>
      <c r="T139">
        <v>140</v>
      </c>
      <c r="U139">
        <v>31</v>
      </c>
      <c r="V139">
        <v>115</v>
      </c>
      <c r="W139">
        <v>117</v>
      </c>
      <c r="X139" s="23">
        <v>0.0136292834890966</v>
      </c>
      <c r="Y139" s="23">
        <v>0.00714944649446494</v>
      </c>
      <c r="Z139" s="23">
        <v>0.0141468815352442</v>
      </c>
      <c r="AA139" s="23">
        <v>0.0143031784841076</v>
      </c>
      <c r="AB139">
        <v>25.92</v>
      </c>
      <c r="AC139">
        <v>4.34</v>
      </c>
      <c r="AD139">
        <v>25</v>
      </c>
      <c r="AE139">
        <v>25.22</v>
      </c>
      <c r="AF139" s="23">
        <v>0.0644095788604458</v>
      </c>
      <c r="AG139" s="23">
        <v>0.00862770284735601</v>
      </c>
      <c r="AH139" s="23">
        <v>0.062123436400893</v>
      </c>
      <c r="AI139" s="23" t="s">
        <v>498</v>
      </c>
      <c r="AJ139">
        <v>158</v>
      </c>
      <c r="AK139">
        <v>118</v>
      </c>
      <c r="AL139">
        <v>147</v>
      </c>
      <c r="AM139">
        <v>90</v>
      </c>
      <c r="AN139" s="23">
        <v>0.0253164556962025</v>
      </c>
      <c r="AO139" s="23">
        <v>0.0423728813559322</v>
      </c>
      <c r="AP139" s="23">
        <v>0.0272108843537415</v>
      </c>
      <c r="AQ139" s="23">
        <v>0</v>
      </c>
      <c r="AR139" s="35">
        <v>0.571428571428571</v>
      </c>
      <c r="AS139" s="35">
        <v>34.2857142857143</v>
      </c>
      <c r="AT139" s="35">
        <v>-20.2857142857143</v>
      </c>
      <c r="AU139" s="31">
        <f t="shared" si="6"/>
        <v>24</v>
      </c>
      <c r="AV139" s="36">
        <f>IFERROR(时间!$B$4+AU139,"上周无销量")</f>
        <v>43363</v>
      </c>
    </row>
    <row r="140" spans="1:48">
      <c r="A140" s="21" t="s">
        <v>499</v>
      </c>
      <c r="B140" t="s">
        <v>500</v>
      </c>
      <c r="C140" t="s">
        <v>501</v>
      </c>
      <c r="D140" s="31">
        <v>0</v>
      </c>
      <c r="E140" s="31">
        <v>0</v>
      </c>
      <c r="F140" s="31">
        <v>0</v>
      </c>
      <c r="G140" s="31">
        <v>0</v>
      </c>
      <c r="H140" s="32">
        <v>0</v>
      </c>
      <c r="I140">
        <v>8</v>
      </c>
      <c r="J140" s="33">
        <v>0</v>
      </c>
      <c r="K140" s="33">
        <v>0</v>
      </c>
      <c r="L140" s="33">
        <v>0</v>
      </c>
      <c r="M140">
        <v>8</v>
      </c>
      <c r="N140">
        <v>0</v>
      </c>
      <c r="O140">
        <v>8</v>
      </c>
      <c r="P140" t="s">
        <v>54</v>
      </c>
      <c r="Q140" t="s">
        <v>54</v>
      </c>
      <c r="R140" t="s">
        <v>54</v>
      </c>
      <c r="S140" t="s">
        <v>54</v>
      </c>
      <c r="T140" t="s">
        <v>54</v>
      </c>
      <c r="U140" t="s">
        <v>54</v>
      </c>
      <c r="V140" t="s">
        <v>54</v>
      </c>
      <c r="W140" t="s">
        <v>54</v>
      </c>
      <c r="X140" s="23" t="s">
        <v>54</v>
      </c>
      <c r="Y140" s="23" t="s">
        <v>54</v>
      </c>
      <c r="Z140" s="23" t="s">
        <v>54</v>
      </c>
      <c r="AA140" s="23" t="s">
        <v>54</v>
      </c>
      <c r="AB140" t="s">
        <v>54</v>
      </c>
      <c r="AC140" t="s">
        <v>54</v>
      </c>
      <c r="AD140" t="s">
        <v>54</v>
      </c>
      <c r="AE140" t="s">
        <v>54</v>
      </c>
      <c r="AF140" s="23" t="s">
        <v>54</v>
      </c>
      <c r="AG140" s="23" t="s">
        <v>54</v>
      </c>
      <c r="AH140" s="23" t="s">
        <v>54</v>
      </c>
      <c r="AI140" s="23" t="s">
        <v>54</v>
      </c>
      <c r="AJ140">
        <v>7</v>
      </c>
      <c r="AK140">
        <v>15</v>
      </c>
      <c r="AL140">
        <v>9</v>
      </c>
      <c r="AM140">
        <v>8</v>
      </c>
      <c r="AN140" s="23">
        <v>0</v>
      </c>
      <c r="AO140" s="23">
        <v>0</v>
      </c>
      <c r="AP140" s="23">
        <v>0</v>
      </c>
      <c r="AQ140" s="23">
        <v>0</v>
      </c>
      <c r="AR140" s="35">
        <v>0</v>
      </c>
      <c r="AS140" s="35">
        <v>0</v>
      </c>
      <c r="AT140" s="35">
        <v>8</v>
      </c>
      <c r="AU140" s="31" t="str">
        <f t="shared" si="6"/>
        <v>库存为8</v>
      </c>
      <c r="AV140" s="36" t="str">
        <f>IFERROR(时间!$B$4+AU140,"上周无销量")</f>
        <v>上周无销量</v>
      </c>
    </row>
    <row r="141" spans="1:48">
      <c r="A141" s="21" t="s">
        <v>502</v>
      </c>
      <c r="B141" t="s">
        <v>503</v>
      </c>
      <c r="C141" t="s">
        <v>501</v>
      </c>
      <c r="D141" s="31">
        <v>1</v>
      </c>
      <c r="E141" s="31">
        <v>0</v>
      </c>
      <c r="F141" s="31">
        <v>0</v>
      </c>
      <c r="G141" s="31">
        <v>0</v>
      </c>
      <c r="H141" s="32">
        <v>32.99</v>
      </c>
      <c r="I141">
        <v>12</v>
      </c>
      <c r="J141" s="33">
        <v>0</v>
      </c>
      <c r="K141" s="33">
        <v>0</v>
      </c>
      <c r="L141" s="33">
        <v>0</v>
      </c>
      <c r="M141">
        <v>12</v>
      </c>
      <c r="N141">
        <v>0</v>
      </c>
      <c r="O141">
        <v>1</v>
      </c>
      <c r="P141" t="s">
        <v>54</v>
      </c>
      <c r="Q141" t="s">
        <v>54</v>
      </c>
      <c r="R141" t="s">
        <v>54</v>
      </c>
      <c r="S141" t="s">
        <v>54</v>
      </c>
      <c r="T141" t="s">
        <v>54</v>
      </c>
      <c r="U141" t="s">
        <v>54</v>
      </c>
      <c r="V141" t="s">
        <v>54</v>
      </c>
      <c r="W141" t="s">
        <v>54</v>
      </c>
      <c r="X141" s="23" t="s">
        <v>54</v>
      </c>
      <c r="Y141" s="23" t="s">
        <v>54</v>
      </c>
      <c r="Z141" s="23" t="s">
        <v>54</v>
      </c>
      <c r="AA141" s="23" t="s">
        <v>54</v>
      </c>
      <c r="AB141" t="s">
        <v>54</v>
      </c>
      <c r="AC141" t="s">
        <v>54</v>
      </c>
      <c r="AD141" t="s">
        <v>54</v>
      </c>
      <c r="AE141" t="s">
        <v>54</v>
      </c>
      <c r="AF141" s="23" t="s">
        <v>54</v>
      </c>
      <c r="AG141" s="23" t="s">
        <v>54</v>
      </c>
      <c r="AH141" s="23" t="s">
        <v>54</v>
      </c>
      <c r="AI141" s="23" t="s">
        <v>54</v>
      </c>
      <c r="AJ141">
        <v>30</v>
      </c>
      <c r="AK141">
        <v>47</v>
      </c>
      <c r="AL141">
        <v>54</v>
      </c>
      <c r="AM141">
        <v>40</v>
      </c>
      <c r="AN141" s="23">
        <v>0.0333333333333333</v>
      </c>
      <c r="AO141" s="23">
        <v>0</v>
      </c>
      <c r="AP141" s="23">
        <v>0</v>
      </c>
      <c r="AQ141" s="23">
        <v>0</v>
      </c>
      <c r="AR141" s="35">
        <v>0.142857142857143</v>
      </c>
      <c r="AS141" s="35">
        <v>8.57142857142857</v>
      </c>
      <c r="AT141" s="35">
        <v>3.42857142857143</v>
      </c>
      <c r="AU141" s="31">
        <f t="shared" si="6"/>
        <v>84</v>
      </c>
      <c r="AV141" s="36">
        <f>IFERROR(时间!$B$4+AU141,"上周无销量")</f>
        <v>43423</v>
      </c>
    </row>
    <row r="142" spans="1:48">
      <c r="A142" s="21" t="s">
        <v>504</v>
      </c>
      <c r="B142" t="s">
        <v>505</v>
      </c>
      <c r="C142" t="s">
        <v>501</v>
      </c>
      <c r="D142" s="31">
        <v>2</v>
      </c>
      <c r="E142" s="31">
        <v>0</v>
      </c>
      <c r="F142" s="31">
        <v>0</v>
      </c>
      <c r="G142" s="31">
        <v>0</v>
      </c>
      <c r="H142" s="32">
        <v>34.99</v>
      </c>
      <c r="I142">
        <v>13</v>
      </c>
      <c r="J142" s="33">
        <v>0</v>
      </c>
      <c r="K142" s="33">
        <v>0</v>
      </c>
      <c r="L142" s="33">
        <v>0</v>
      </c>
      <c r="M142">
        <v>13</v>
      </c>
      <c r="N142">
        <v>0</v>
      </c>
      <c r="O142">
        <v>14</v>
      </c>
      <c r="P142" t="s">
        <v>54</v>
      </c>
      <c r="Q142" t="s">
        <v>54</v>
      </c>
      <c r="R142" t="s">
        <v>54</v>
      </c>
      <c r="S142" t="s">
        <v>54</v>
      </c>
      <c r="T142" t="s">
        <v>54</v>
      </c>
      <c r="U142" t="s">
        <v>54</v>
      </c>
      <c r="V142" t="s">
        <v>54</v>
      </c>
      <c r="W142" t="s">
        <v>54</v>
      </c>
      <c r="X142" s="23" t="s">
        <v>54</v>
      </c>
      <c r="Y142" s="23" t="s">
        <v>54</v>
      </c>
      <c r="Z142" s="23" t="s">
        <v>54</v>
      </c>
      <c r="AA142" s="23" t="s">
        <v>54</v>
      </c>
      <c r="AB142" t="s">
        <v>54</v>
      </c>
      <c r="AC142" t="s">
        <v>54</v>
      </c>
      <c r="AD142" t="s">
        <v>54</v>
      </c>
      <c r="AE142" t="s">
        <v>54</v>
      </c>
      <c r="AF142" s="23" t="s">
        <v>54</v>
      </c>
      <c r="AG142" s="23" t="s">
        <v>54</v>
      </c>
      <c r="AH142" s="23" t="s">
        <v>54</v>
      </c>
      <c r="AI142" s="23" t="s">
        <v>54</v>
      </c>
      <c r="AJ142">
        <v>59</v>
      </c>
      <c r="AK142">
        <v>69</v>
      </c>
      <c r="AL142">
        <v>52</v>
      </c>
      <c r="AM142">
        <v>52</v>
      </c>
      <c r="AN142" s="23">
        <v>0.0338983050847458</v>
      </c>
      <c r="AO142" s="23">
        <v>0</v>
      </c>
      <c r="AP142" s="23">
        <v>0</v>
      </c>
      <c r="AQ142" s="23">
        <v>0</v>
      </c>
      <c r="AR142" s="35">
        <v>0.285714285714286</v>
      </c>
      <c r="AS142" s="35">
        <v>17.1428571428571</v>
      </c>
      <c r="AT142" s="35">
        <v>-4.14285714285714</v>
      </c>
      <c r="AU142" s="31">
        <f t="shared" si="6"/>
        <v>45</v>
      </c>
      <c r="AV142" s="36">
        <f>IFERROR(时间!$B$4+AU142,"上周无销量")</f>
        <v>43384</v>
      </c>
    </row>
    <row r="143" spans="1:48">
      <c r="A143" s="21" t="s">
        <v>506</v>
      </c>
      <c r="B143" t="s">
        <v>59</v>
      </c>
      <c r="C143" t="s">
        <v>501</v>
      </c>
      <c r="D143" s="31">
        <v>1</v>
      </c>
      <c r="E143" s="31">
        <v>0</v>
      </c>
      <c r="F143" s="31">
        <v>0</v>
      </c>
      <c r="G143" s="31">
        <v>0</v>
      </c>
      <c r="H143" s="32">
        <v>108.99</v>
      </c>
      <c r="I143">
        <v>3</v>
      </c>
      <c r="J143" s="33">
        <v>0</v>
      </c>
      <c r="K143" s="33">
        <v>0</v>
      </c>
      <c r="L143" s="33">
        <v>0</v>
      </c>
      <c r="M143">
        <v>3</v>
      </c>
      <c r="N143">
        <v>0</v>
      </c>
      <c r="O143">
        <v>0</v>
      </c>
      <c r="P143">
        <v>23544</v>
      </c>
      <c r="Q143">
        <v>7247</v>
      </c>
      <c r="R143">
        <v>3088</v>
      </c>
      <c r="S143">
        <v>3110</v>
      </c>
      <c r="T143">
        <v>125</v>
      </c>
      <c r="U143">
        <v>57</v>
      </c>
      <c r="V143">
        <v>57</v>
      </c>
      <c r="W143">
        <v>57</v>
      </c>
      <c r="X143" s="23">
        <v>0.00530920829085967</v>
      </c>
      <c r="Y143" s="23">
        <v>0.00786532358217193</v>
      </c>
      <c r="Z143" s="23">
        <v>0.0184585492227979</v>
      </c>
      <c r="AA143" s="23">
        <v>0.0183279742765273</v>
      </c>
      <c r="AB143">
        <v>24.31</v>
      </c>
      <c r="AC143">
        <v>11.32</v>
      </c>
      <c r="AD143">
        <v>18.49</v>
      </c>
      <c r="AE143">
        <v>18.49</v>
      </c>
      <c r="AF143" s="23">
        <v>0.223047986053766</v>
      </c>
      <c r="AG143" s="23" t="s">
        <v>507</v>
      </c>
      <c r="AH143" s="23" t="s">
        <v>508</v>
      </c>
      <c r="AI143" s="23" t="s">
        <v>508</v>
      </c>
      <c r="AJ143">
        <v>153</v>
      </c>
      <c r="AK143">
        <v>96</v>
      </c>
      <c r="AL143">
        <v>70</v>
      </c>
      <c r="AM143">
        <v>31</v>
      </c>
      <c r="AN143" s="23">
        <v>0.0065359477124183</v>
      </c>
      <c r="AO143" s="23">
        <v>0</v>
      </c>
      <c r="AP143" s="23">
        <v>0</v>
      </c>
      <c r="AQ143" s="23">
        <v>0</v>
      </c>
      <c r="AR143" s="35">
        <v>0.142857142857143</v>
      </c>
      <c r="AS143" s="35">
        <v>8.57142857142857</v>
      </c>
      <c r="AT143" s="35">
        <v>-5.57142857142857</v>
      </c>
      <c r="AU143" s="31">
        <f t="shared" si="6"/>
        <v>21</v>
      </c>
      <c r="AV143" s="36">
        <f>IFERROR(时间!$B$4+AU143,"上周无销量")</f>
        <v>43360</v>
      </c>
    </row>
    <row r="144" spans="1:48">
      <c r="A144" s="21" t="s">
        <v>509</v>
      </c>
      <c r="B144" t="s">
        <v>68</v>
      </c>
      <c r="C144" t="s">
        <v>510</v>
      </c>
      <c r="D144" s="31">
        <v>0</v>
      </c>
      <c r="E144" s="31">
        <v>1</v>
      </c>
      <c r="F144" s="31">
        <v>0</v>
      </c>
      <c r="G144" s="31">
        <v>1</v>
      </c>
      <c r="H144" s="32">
        <v>99.99</v>
      </c>
      <c r="I144">
        <v>6</v>
      </c>
      <c r="J144" s="33">
        <v>0</v>
      </c>
      <c r="K144" s="33">
        <v>0</v>
      </c>
      <c r="L144" s="33">
        <v>0</v>
      </c>
      <c r="M144">
        <v>6</v>
      </c>
      <c r="N144">
        <v>0</v>
      </c>
      <c r="O144">
        <v>0</v>
      </c>
      <c r="P144">
        <v>4230</v>
      </c>
      <c r="Q144">
        <v>5110</v>
      </c>
      <c r="R144">
        <v>8207</v>
      </c>
      <c r="S144">
        <v>8246</v>
      </c>
      <c r="T144">
        <v>28</v>
      </c>
      <c r="U144">
        <v>23</v>
      </c>
      <c r="V144">
        <v>49</v>
      </c>
      <c r="W144">
        <v>49</v>
      </c>
      <c r="X144" s="23">
        <v>0.0066193853427896</v>
      </c>
      <c r="Y144" s="23">
        <v>0.00450097847358121</v>
      </c>
      <c r="Z144" s="23">
        <v>0.00597051297672718</v>
      </c>
      <c r="AA144" s="23">
        <v>0.00594227504244482</v>
      </c>
      <c r="AB144">
        <v>6.25</v>
      </c>
      <c r="AC144">
        <v>5.94</v>
      </c>
      <c r="AD144">
        <v>14.84</v>
      </c>
      <c r="AE144">
        <v>14.84</v>
      </c>
      <c r="AF144" s="23" t="s">
        <v>511</v>
      </c>
      <c r="AG144" s="23">
        <v>0.0594059405940594</v>
      </c>
      <c r="AH144" s="23" t="s">
        <v>512</v>
      </c>
      <c r="AI144" s="23">
        <v>0.148414841484148</v>
      </c>
      <c r="AJ144">
        <v>44</v>
      </c>
      <c r="AK144">
        <v>66</v>
      </c>
      <c r="AL144">
        <v>40</v>
      </c>
      <c r="AM144">
        <v>46</v>
      </c>
      <c r="AN144" s="23">
        <v>0</v>
      </c>
      <c r="AO144" s="23">
        <v>0.0151515151515152</v>
      </c>
      <c r="AP144" s="23">
        <v>0</v>
      </c>
      <c r="AQ144" s="23">
        <v>0.0217391304347826</v>
      </c>
      <c r="AR144" s="35">
        <v>0</v>
      </c>
      <c r="AS144" s="35">
        <v>0</v>
      </c>
      <c r="AT144" s="35">
        <v>6</v>
      </c>
      <c r="AU144" s="31" t="str">
        <f t="shared" si="6"/>
        <v>库存为6</v>
      </c>
      <c r="AV144" s="36" t="str">
        <f>IFERROR(时间!$B$4+AU144,"上周无销量")</f>
        <v>上周无销量</v>
      </c>
    </row>
    <row r="145" spans="1:48">
      <c r="A145" s="21" t="s">
        <v>513</v>
      </c>
      <c r="B145" t="s">
        <v>62</v>
      </c>
      <c r="C145" t="s">
        <v>514</v>
      </c>
      <c r="D145" s="31">
        <v>2</v>
      </c>
      <c r="E145" s="31">
        <v>1</v>
      </c>
      <c r="F145" s="31">
        <v>1</v>
      </c>
      <c r="G145" s="31">
        <v>0</v>
      </c>
      <c r="H145" s="32">
        <v>108.99</v>
      </c>
      <c r="I145">
        <v>9</v>
      </c>
      <c r="J145" s="33">
        <v>0</v>
      </c>
      <c r="K145" s="33">
        <v>0</v>
      </c>
      <c r="L145" s="33">
        <v>0</v>
      </c>
      <c r="M145">
        <v>9</v>
      </c>
      <c r="N145">
        <v>0</v>
      </c>
      <c r="O145">
        <v>0</v>
      </c>
      <c r="P145">
        <v>30407</v>
      </c>
      <c r="Q145">
        <v>28752</v>
      </c>
      <c r="R145">
        <v>68946</v>
      </c>
      <c r="S145">
        <v>69070</v>
      </c>
      <c r="T145">
        <v>203</v>
      </c>
      <c r="U145">
        <v>184</v>
      </c>
      <c r="V145">
        <v>262</v>
      </c>
      <c r="W145">
        <v>262</v>
      </c>
      <c r="X145" s="23">
        <v>0.00667609432038675</v>
      </c>
      <c r="Y145" s="23">
        <v>0.00639955481357819</v>
      </c>
      <c r="Z145" s="23">
        <v>0.00380007542134424</v>
      </c>
      <c r="AA145" s="23">
        <v>0.00379325322136963</v>
      </c>
      <c r="AB145">
        <v>54.94</v>
      </c>
      <c r="AC145">
        <v>48.74</v>
      </c>
      <c r="AD145">
        <v>60.22</v>
      </c>
      <c r="AE145">
        <v>60.22</v>
      </c>
      <c r="AF145" s="23">
        <v>0.252041471694651</v>
      </c>
      <c r="AG145" s="23">
        <v>0.447196990549592</v>
      </c>
      <c r="AH145" s="23">
        <v>0.552527754839894</v>
      </c>
      <c r="AI145" s="23" t="s">
        <v>515</v>
      </c>
      <c r="AJ145">
        <v>286</v>
      </c>
      <c r="AK145">
        <v>301</v>
      </c>
      <c r="AL145">
        <v>174</v>
      </c>
      <c r="AM145">
        <v>124</v>
      </c>
      <c r="AN145" s="23">
        <v>0.00699300699300699</v>
      </c>
      <c r="AO145" s="23">
        <v>0.00332225913621262</v>
      </c>
      <c r="AP145" s="23">
        <v>0.00574712643678161</v>
      </c>
      <c r="AQ145" s="23">
        <v>0</v>
      </c>
      <c r="AR145" s="35">
        <v>0.285714285714286</v>
      </c>
      <c r="AS145" s="35">
        <v>17.1428571428571</v>
      </c>
      <c r="AT145" s="35">
        <v>-8.14285714285714</v>
      </c>
      <c r="AU145" s="31">
        <f t="shared" si="6"/>
        <v>31</v>
      </c>
      <c r="AV145" s="36">
        <f>IFERROR(时间!$B$4+AU145,"上周无销量")</f>
        <v>43370</v>
      </c>
    </row>
    <row r="146" spans="1:48">
      <c r="A146" s="21" t="s">
        <v>516</v>
      </c>
      <c r="B146" t="s">
        <v>65</v>
      </c>
      <c r="C146" t="s">
        <v>517</v>
      </c>
      <c r="D146" s="31">
        <v>1</v>
      </c>
      <c r="E146" s="31">
        <v>0</v>
      </c>
      <c r="F146" s="31">
        <v>3</v>
      </c>
      <c r="G146" s="31">
        <v>2</v>
      </c>
      <c r="H146" s="32">
        <v>108.99</v>
      </c>
      <c r="I146">
        <v>4</v>
      </c>
      <c r="J146" s="33">
        <v>0</v>
      </c>
      <c r="K146" s="33">
        <v>0</v>
      </c>
      <c r="L146" s="33">
        <v>0</v>
      </c>
      <c r="M146">
        <v>4</v>
      </c>
      <c r="N146">
        <v>0</v>
      </c>
      <c r="O146">
        <v>0</v>
      </c>
      <c r="P146">
        <v>8688</v>
      </c>
      <c r="Q146">
        <v>0</v>
      </c>
      <c r="R146">
        <v>69100</v>
      </c>
      <c r="S146">
        <v>69142</v>
      </c>
      <c r="T146">
        <v>42</v>
      </c>
      <c r="U146">
        <v>0</v>
      </c>
      <c r="V146">
        <v>281</v>
      </c>
      <c r="W146">
        <v>281</v>
      </c>
      <c r="X146" s="23">
        <v>0.00483425414364641</v>
      </c>
      <c r="Y146" s="23" t="s">
        <v>54</v>
      </c>
      <c r="Z146" s="23">
        <v>0.00406657018813314</v>
      </c>
      <c r="AA146" s="23">
        <v>0.00406409996818142</v>
      </c>
      <c r="AB146">
        <v>12.21</v>
      </c>
      <c r="AC146">
        <v>0</v>
      </c>
      <c r="AD146">
        <v>83.43</v>
      </c>
      <c r="AE146">
        <v>83.43</v>
      </c>
      <c r="AF146" s="23">
        <v>0.112028626479494</v>
      </c>
      <c r="AG146" s="23" t="s">
        <v>54</v>
      </c>
      <c r="AH146" s="23">
        <v>0.255161023947151</v>
      </c>
      <c r="AI146" s="23">
        <v>0.382741535920727</v>
      </c>
      <c r="AJ146">
        <v>37</v>
      </c>
      <c r="AK146">
        <v>0</v>
      </c>
      <c r="AL146">
        <v>100</v>
      </c>
      <c r="AM146">
        <v>79</v>
      </c>
      <c r="AN146" s="23">
        <v>0.027027027027027</v>
      </c>
      <c r="AO146" s="23" t="s">
        <v>54</v>
      </c>
      <c r="AP146" s="23">
        <v>0.03</v>
      </c>
      <c r="AQ146" s="23">
        <v>0.0253164556962025</v>
      </c>
      <c r="AR146" s="35">
        <v>0.142857142857143</v>
      </c>
      <c r="AS146" s="35">
        <v>8.57142857142857</v>
      </c>
      <c r="AT146" s="35">
        <v>-4.57142857142857</v>
      </c>
      <c r="AU146" s="31">
        <f t="shared" si="6"/>
        <v>28</v>
      </c>
      <c r="AV146" s="36">
        <f>IFERROR(时间!$B$4+AU146,"上周无销量")</f>
        <v>43367</v>
      </c>
    </row>
    <row r="147" spans="1:48">
      <c r="A147" s="21" t="s">
        <v>518</v>
      </c>
      <c r="B147" t="s">
        <v>519</v>
      </c>
      <c r="C147" t="s">
        <v>520</v>
      </c>
      <c r="D147" s="31">
        <v>0</v>
      </c>
      <c r="E147" s="31">
        <v>0</v>
      </c>
      <c r="F147" s="31">
        <v>0</v>
      </c>
      <c r="G147" s="31">
        <v>0</v>
      </c>
      <c r="H147" s="32">
        <v>0</v>
      </c>
      <c r="I147">
        <v>3</v>
      </c>
      <c r="J147" s="33">
        <v>0</v>
      </c>
      <c r="K147" s="33">
        <v>0</v>
      </c>
      <c r="L147" s="33">
        <v>0</v>
      </c>
      <c r="M147">
        <v>3</v>
      </c>
      <c r="N147">
        <v>0</v>
      </c>
      <c r="O147">
        <v>0</v>
      </c>
      <c r="P147" t="s">
        <v>54</v>
      </c>
      <c r="Q147" t="s">
        <v>54</v>
      </c>
      <c r="R147" t="s">
        <v>54</v>
      </c>
      <c r="S147" t="s">
        <v>54</v>
      </c>
      <c r="T147" t="s">
        <v>54</v>
      </c>
      <c r="U147" t="s">
        <v>54</v>
      </c>
      <c r="V147" t="s">
        <v>54</v>
      </c>
      <c r="W147" t="s">
        <v>54</v>
      </c>
      <c r="X147" s="23" t="s">
        <v>54</v>
      </c>
      <c r="Y147" s="23" t="s">
        <v>54</v>
      </c>
      <c r="Z147" s="23" t="s">
        <v>54</v>
      </c>
      <c r="AA147" s="23" t="s">
        <v>54</v>
      </c>
      <c r="AB147" t="s">
        <v>54</v>
      </c>
      <c r="AC147" t="s">
        <v>54</v>
      </c>
      <c r="AD147" t="s">
        <v>54</v>
      </c>
      <c r="AE147" t="s">
        <v>54</v>
      </c>
      <c r="AF147" s="23" t="s">
        <v>54</v>
      </c>
      <c r="AG147" s="23" t="s">
        <v>54</v>
      </c>
      <c r="AH147" s="23" t="s">
        <v>54</v>
      </c>
      <c r="AI147" s="23" t="s">
        <v>54</v>
      </c>
      <c r="AJ147">
        <v>8</v>
      </c>
      <c r="AK147">
        <v>13</v>
      </c>
      <c r="AL147">
        <v>3</v>
      </c>
      <c r="AM147">
        <v>0</v>
      </c>
      <c r="AN147" s="23">
        <v>0</v>
      </c>
      <c r="AO147" s="23">
        <v>0</v>
      </c>
      <c r="AP147" s="23">
        <v>0</v>
      </c>
      <c r="AQ147" s="23" t="s">
        <v>54</v>
      </c>
      <c r="AR147" s="35">
        <v>0</v>
      </c>
      <c r="AS147" s="35">
        <v>0</v>
      </c>
      <c r="AT147" s="35">
        <v>3</v>
      </c>
      <c r="AU147" s="31" t="str">
        <f t="shared" si="6"/>
        <v>库存为3</v>
      </c>
      <c r="AV147" s="36" t="str">
        <f>IFERROR(时间!$B$4+AU147,"上周无销量")</f>
        <v>上周无销量</v>
      </c>
    </row>
    <row r="148" spans="1:48">
      <c r="A148" s="21" t="s">
        <v>521</v>
      </c>
      <c r="B148" t="s">
        <v>522</v>
      </c>
      <c r="C148" t="s">
        <v>523</v>
      </c>
      <c r="D148" s="31">
        <v>0</v>
      </c>
      <c r="E148" s="31">
        <v>0</v>
      </c>
      <c r="F148" s="31">
        <v>0</v>
      </c>
      <c r="G148" s="31">
        <v>0</v>
      </c>
      <c r="H148" s="32">
        <v>0</v>
      </c>
      <c r="I148">
        <v>0</v>
      </c>
      <c r="J148" s="33">
        <v>3</v>
      </c>
      <c r="K148" s="33">
        <v>0</v>
      </c>
      <c r="L148" s="33">
        <v>0</v>
      </c>
      <c r="M148">
        <v>3</v>
      </c>
      <c r="N148">
        <v>0</v>
      </c>
      <c r="O148">
        <v>0</v>
      </c>
      <c r="P148" t="s">
        <v>54</v>
      </c>
      <c r="Q148" t="s">
        <v>54</v>
      </c>
      <c r="R148" t="s">
        <v>54</v>
      </c>
      <c r="S148" t="s">
        <v>54</v>
      </c>
      <c r="T148" t="s">
        <v>54</v>
      </c>
      <c r="U148" t="s">
        <v>54</v>
      </c>
      <c r="V148" t="s">
        <v>54</v>
      </c>
      <c r="W148" t="s">
        <v>54</v>
      </c>
      <c r="X148" s="23" t="s">
        <v>54</v>
      </c>
      <c r="Y148" s="23" t="s">
        <v>54</v>
      </c>
      <c r="Z148" s="23" t="s">
        <v>54</v>
      </c>
      <c r="AA148" s="23" t="s">
        <v>54</v>
      </c>
      <c r="AB148" t="s">
        <v>54</v>
      </c>
      <c r="AC148" t="s">
        <v>54</v>
      </c>
      <c r="AD148" t="s">
        <v>54</v>
      </c>
      <c r="AE148" t="s">
        <v>54</v>
      </c>
      <c r="AF148" s="23" t="s">
        <v>54</v>
      </c>
      <c r="AG148" s="23" t="s">
        <v>54</v>
      </c>
      <c r="AH148" s="23" t="s">
        <v>54</v>
      </c>
      <c r="AI148" s="23" t="s">
        <v>54</v>
      </c>
      <c r="AJ148">
        <v>0</v>
      </c>
      <c r="AK148">
        <v>0</v>
      </c>
      <c r="AL148">
        <v>0</v>
      </c>
      <c r="AM148">
        <v>0</v>
      </c>
      <c r="AN148" s="23" t="s">
        <v>54</v>
      </c>
      <c r="AO148" s="23" t="s">
        <v>54</v>
      </c>
      <c r="AP148" s="23" t="s">
        <v>54</v>
      </c>
      <c r="AQ148" s="23" t="s">
        <v>54</v>
      </c>
      <c r="AR148" s="35">
        <v>0</v>
      </c>
      <c r="AS148" s="35">
        <v>0</v>
      </c>
      <c r="AT148" s="35">
        <v>3</v>
      </c>
      <c r="AU148" s="31" t="str">
        <f t="shared" si="6"/>
        <v>库存为3</v>
      </c>
      <c r="AV148" s="36" t="str">
        <f>IFERROR(时间!$B$4+AU148,"上周无销量")</f>
        <v>上周无销量</v>
      </c>
    </row>
    <row r="149" spans="1:48">
      <c r="A149" s="21" t="s">
        <v>524</v>
      </c>
      <c r="B149" t="s">
        <v>525</v>
      </c>
      <c r="C149" t="s">
        <v>526</v>
      </c>
      <c r="D149" s="31">
        <v>0</v>
      </c>
      <c r="E149" s="31">
        <v>1</v>
      </c>
      <c r="F149" s="31">
        <v>0</v>
      </c>
      <c r="G149" s="31">
        <v>0</v>
      </c>
      <c r="H149" s="32">
        <v>79.99</v>
      </c>
      <c r="I149">
        <v>0</v>
      </c>
      <c r="J149" s="33">
        <v>0</v>
      </c>
      <c r="K149" s="33">
        <v>0</v>
      </c>
      <c r="L149" s="33">
        <v>1</v>
      </c>
      <c r="M149">
        <v>1</v>
      </c>
      <c r="N149">
        <v>0</v>
      </c>
      <c r="O149">
        <v>0</v>
      </c>
      <c r="P149">
        <v>3604</v>
      </c>
      <c r="Q149">
        <v>3229</v>
      </c>
      <c r="R149">
        <v>173</v>
      </c>
      <c r="S149">
        <v>187</v>
      </c>
      <c r="T149">
        <v>26</v>
      </c>
      <c r="U149">
        <v>21</v>
      </c>
      <c r="V149">
        <v>2</v>
      </c>
      <c r="W149">
        <v>2</v>
      </c>
      <c r="X149" s="23">
        <v>0.0072142064372919</v>
      </c>
      <c r="Y149" s="23">
        <v>0.0065035614741406</v>
      </c>
      <c r="Z149" s="23">
        <v>0.0115606936416185</v>
      </c>
      <c r="AA149" s="23">
        <v>0.0106951871657754</v>
      </c>
      <c r="AB149">
        <v>7.39</v>
      </c>
      <c r="AC149">
        <v>5.65</v>
      </c>
      <c r="AD149">
        <v>0.64</v>
      </c>
      <c r="AE149">
        <v>0.64</v>
      </c>
      <c r="AF149" s="23" t="s">
        <v>527</v>
      </c>
      <c r="AG149" s="23">
        <v>0.0706338292286536</v>
      </c>
      <c r="AH149" s="23" t="s">
        <v>528</v>
      </c>
      <c r="AI149" s="23" t="s">
        <v>528</v>
      </c>
      <c r="AJ149">
        <v>31</v>
      </c>
      <c r="AK149">
        <v>36</v>
      </c>
      <c r="AL149">
        <v>24</v>
      </c>
      <c r="AM149">
        <v>6</v>
      </c>
      <c r="AN149" s="23">
        <v>0</v>
      </c>
      <c r="AO149" s="23">
        <v>0.0277777777777778</v>
      </c>
      <c r="AP149" s="23">
        <v>0</v>
      </c>
      <c r="AQ149" s="23">
        <v>0</v>
      </c>
      <c r="AR149" s="35">
        <v>0</v>
      </c>
      <c r="AS149" s="35">
        <v>0</v>
      </c>
      <c r="AT149" s="35">
        <v>1</v>
      </c>
      <c r="AU149" s="31" t="str">
        <f t="shared" si="6"/>
        <v>库存为1</v>
      </c>
      <c r="AV149" s="36" t="str">
        <f>IFERROR(时间!$B$4+AU149,"上周无销量")</f>
        <v>上周无销量</v>
      </c>
    </row>
    <row r="150" spans="1:48">
      <c r="A150" s="21" t="s">
        <v>529</v>
      </c>
      <c r="B150" t="s">
        <v>530</v>
      </c>
      <c r="C150" t="s">
        <v>531</v>
      </c>
      <c r="D150" s="31">
        <v>0</v>
      </c>
      <c r="E150" s="31">
        <v>2</v>
      </c>
      <c r="F150" s="31">
        <v>0</v>
      </c>
      <c r="G150" s="31">
        <v>0</v>
      </c>
      <c r="H150" s="32">
        <v>109.99</v>
      </c>
      <c r="I150">
        <v>4</v>
      </c>
      <c r="J150" s="33">
        <v>0</v>
      </c>
      <c r="K150" s="33">
        <v>0</v>
      </c>
      <c r="L150" s="33">
        <v>0</v>
      </c>
      <c r="M150">
        <v>4</v>
      </c>
      <c r="N150">
        <v>0</v>
      </c>
      <c r="O150">
        <v>0</v>
      </c>
      <c r="P150">
        <v>18</v>
      </c>
      <c r="Q150">
        <v>14468</v>
      </c>
      <c r="R150">
        <v>262</v>
      </c>
      <c r="S150">
        <v>269</v>
      </c>
      <c r="T150">
        <v>1</v>
      </c>
      <c r="U150">
        <v>157</v>
      </c>
      <c r="V150">
        <v>5</v>
      </c>
      <c r="W150">
        <v>5</v>
      </c>
      <c r="X150" s="23">
        <v>0.0555555555555556</v>
      </c>
      <c r="Y150" s="23">
        <v>0.0108515344207907</v>
      </c>
      <c r="Z150" s="23">
        <v>0.0190839694656489</v>
      </c>
      <c r="AA150" s="23">
        <v>0.0185873605947955</v>
      </c>
      <c r="AB150">
        <v>0.02</v>
      </c>
      <c r="AC150">
        <v>42.01</v>
      </c>
      <c r="AD150">
        <v>2.06</v>
      </c>
      <c r="AE150">
        <v>2.06</v>
      </c>
      <c r="AF150" s="23" t="s">
        <v>532</v>
      </c>
      <c r="AG150" s="23">
        <v>0.190971906536958</v>
      </c>
      <c r="AH150" s="23" t="s">
        <v>533</v>
      </c>
      <c r="AI150" s="23" t="s">
        <v>533</v>
      </c>
      <c r="AJ150">
        <v>94</v>
      </c>
      <c r="AK150">
        <v>284</v>
      </c>
      <c r="AL150">
        <v>178</v>
      </c>
      <c r="AM150">
        <v>46</v>
      </c>
      <c r="AN150" s="23">
        <v>0</v>
      </c>
      <c r="AO150" s="23">
        <v>0.00704225352112676</v>
      </c>
      <c r="AP150" s="23">
        <v>0</v>
      </c>
      <c r="AQ150" s="23">
        <v>0</v>
      </c>
      <c r="AR150" s="35">
        <v>0</v>
      </c>
      <c r="AS150" s="35">
        <v>0</v>
      </c>
      <c r="AT150" s="35">
        <v>4</v>
      </c>
      <c r="AU150" s="31" t="str">
        <f t="shared" si="6"/>
        <v>库存为4</v>
      </c>
      <c r="AV150" s="36" t="str">
        <f>IFERROR(时间!$B$4+AU150,"上周无销量")</f>
        <v>上周无销量</v>
      </c>
    </row>
    <row r="151" spans="1:48">
      <c r="A151" s="21" t="s">
        <v>534</v>
      </c>
      <c r="B151" t="s">
        <v>535</v>
      </c>
      <c r="C151" t="s">
        <v>536</v>
      </c>
      <c r="D151" s="31">
        <v>0</v>
      </c>
      <c r="E151" s="31">
        <v>0</v>
      </c>
      <c r="F151" s="31">
        <v>0</v>
      </c>
      <c r="G151" s="31">
        <v>0</v>
      </c>
      <c r="H151" s="32">
        <v>0</v>
      </c>
      <c r="I151">
        <v>3</v>
      </c>
      <c r="J151" s="33">
        <v>0</v>
      </c>
      <c r="K151" s="33">
        <v>0</v>
      </c>
      <c r="L151" s="33">
        <v>0</v>
      </c>
      <c r="M151">
        <v>3</v>
      </c>
      <c r="N151">
        <v>0</v>
      </c>
      <c r="O151">
        <v>0</v>
      </c>
      <c r="P151">
        <v>2464</v>
      </c>
      <c r="Q151">
        <v>7291</v>
      </c>
      <c r="R151">
        <v>193</v>
      </c>
      <c r="S151">
        <v>204</v>
      </c>
      <c r="T151">
        <v>15</v>
      </c>
      <c r="U151">
        <v>47</v>
      </c>
      <c r="V151">
        <v>1</v>
      </c>
      <c r="W151">
        <v>1</v>
      </c>
      <c r="X151" s="23">
        <v>0.00608766233766234</v>
      </c>
      <c r="Y151" s="23">
        <v>0.0064463036620491</v>
      </c>
      <c r="Z151" s="23">
        <v>0.00518134715025907</v>
      </c>
      <c r="AA151" s="23">
        <v>0.00490196078431373</v>
      </c>
      <c r="AB151">
        <v>3.59</v>
      </c>
      <c r="AC151">
        <v>12.52</v>
      </c>
      <c r="AD151">
        <v>0.74</v>
      </c>
      <c r="AE151">
        <v>0.74</v>
      </c>
      <c r="AF151" s="23" t="s">
        <v>537</v>
      </c>
      <c r="AG151" s="23" t="s">
        <v>538</v>
      </c>
      <c r="AH151" s="23" t="s">
        <v>539</v>
      </c>
      <c r="AI151" s="23" t="s">
        <v>539</v>
      </c>
      <c r="AJ151">
        <v>36</v>
      </c>
      <c r="AK151">
        <v>72</v>
      </c>
      <c r="AL151">
        <v>20</v>
      </c>
      <c r="AM151">
        <v>9</v>
      </c>
      <c r="AN151" s="23">
        <v>0</v>
      </c>
      <c r="AO151" s="23">
        <v>0</v>
      </c>
      <c r="AP151" s="23">
        <v>0</v>
      </c>
      <c r="AQ151" s="23">
        <v>0</v>
      </c>
      <c r="AR151" s="35">
        <v>0</v>
      </c>
      <c r="AS151" s="35">
        <v>0</v>
      </c>
      <c r="AT151" s="35">
        <v>3</v>
      </c>
      <c r="AU151" s="31" t="str">
        <f t="shared" si="6"/>
        <v>库存为3</v>
      </c>
      <c r="AV151" s="36" t="str">
        <f>IFERROR(时间!$B$4+AU151,"上周无销量")</f>
        <v>上周无销量</v>
      </c>
    </row>
    <row r="152" spans="1:48">
      <c r="A152" s="21" t="s">
        <v>540</v>
      </c>
      <c r="B152" t="s">
        <v>83</v>
      </c>
      <c r="C152" t="s">
        <v>541</v>
      </c>
      <c r="D152" s="31">
        <v>0</v>
      </c>
      <c r="E152" s="31">
        <v>4</v>
      </c>
      <c r="F152" s="31">
        <v>4</v>
      </c>
      <c r="G152" s="31">
        <v>3</v>
      </c>
      <c r="H152" s="32">
        <v>89.99</v>
      </c>
      <c r="I152">
        <v>30</v>
      </c>
      <c r="J152" s="33">
        <v>0</v>
      </c>
      <c r="K152" s="33">
        <v>0</v>
      </c>
      <c r="L152" s="33">
        <v>0</v>
      </c>
      <c r="M152">
        <v>30</v>
      </c>
      <c r="N152">
        <v>1</v>
      </c>
      <c r="O152">
        <v>0</v>
      </c>
      <c r="P152">
        <v>8857</v>
      </c>
      <c r="Q152">
        <v>38669</v>
      </c>
      <c r="R152">
        <v>0</v>
      </c>
      <c r="S152">
        <v>0</v>
      </c>
      <c r="T152">
        <v>47</v>
      </c>
      <c r="U152">
        <v>182</v>
      </c>
      <c r="V152">
        <v>0</v>
      </c>
      <c r="W152">
        <v>0</v>
      </c>
      <c r="X152" s="23">
        <v>0.00530653720221294</v>
      </c>
      <c r="Y152" s="23">
        <v>0.00470661253200238</v>
      </c>
      <c r="Z152" s="23" t="s">
        <v>54</v>
      </c>
      <c r="AA152" s="23" t="s">
        <v>54</v>
      </c>
      <c r="AB152">
        <v>14.26</v>
      </c>
      <c r="AC152">
        <v>47.37</v>
      </c>
      <c r="AD152">
        <v>0</v>
      </c>
      <c r="AE152">
        <v>0</v>
      </c>
      <c r="AF152" s="23" t="s">
        <v>542</v>
      </c>
      <c r="AG152" s="23">
        <v>0.13159795532837</v>
      </c>
      <c r="AH152" s="23" t="s">
        <v>54</v>
      </c>
      <c r="AI152" s="23" t="s">
        <v>54</v>
      </c>
      <c r="AJ152">
        <v>158</v>
      </c>
      <c r="AK152">
        <v>372</v>
      </c>
      <c r="AL152">
        <v>174</v>
      </c>
      <c r="AM152">
        <v>96</v>
      </c>
      <c r="AN152" s="23">
        <v>0</v>
      </c>
      <c r="AO152" s="23">
        <v>0.010752688172043</v>
      </c>
      <c r="AP152" s="23">
        <v>0.0229885057471264</v>
      </c>
      <c r="AQ152" s="23">
        <v>0.03125</v>
      </c>
      <c r="AR152" s="35">
        <v>0</v>
      </c>
      <c r="AS152" s="35">
        <v>0</v>
      </c>
      <c r="AT152" s="35">
        <v>30</v>
      </c>
      <c r="AU152" s="31" t="str">
        <f t="shared" si="6"/>
        <v>库存为30</v>
      </c>
      <c r="AV152" s="36" t="str">
        <f>IFERROR(时间!$B$4+AU152,"上周无销量")</f>
        <v>上周无销量</v>
      </c>
    </row>
    <row r="153" spans="1:48">
      <c r="A153" s="21" t="s">
        <v>543</v>
      </c>
      <c r="B153" t="s">
        <v>544</v>
      </c>
      <c r="C153" t="s">
        <v>545</v>
      </c>
      <c r="D153" s="31">
        <v>0</v>
      </c>
      <c r="E153" s="31">
        <v>0</v>
      </c>
      <c r="F153" s="31">
        <v>0</v>
      </c>
      <c r="G153" s="31">
        <v>0</v>
      </c>
      <c r="H153" s="32">
        <v>0</v>
      </c>
      <c r="I153">
        <v>2</v>
      </c>
      <c r="J153" s="33">
        <v>0</v>
      </c>
      <c r="K153" s="33">
        <v>0</v>
      </c>
      <c r="L153" s="33">
        <v>0</v>
      </c>
      <c r="M153">
        <v>2</v>
      </c>
      <c r="N153">
        <v>0</v>
      </c>
      <c r="O153">
        <v>0</v>
      </c>
      <c r="P153" t="s">
        <v>54</v>
      </c>
      <c r="Q153" t="s">
        <v>54</v>
      </c>
      <c r="R153" t="s">
        <v>54</v>
      </c>
      <c r="S153" t="s">
        <v>54</v>
      </c>
      <c r="T153" t="s">
        <v>54</v>
      </c>
      <c r="U153" t="s">
        <v>54</v>
      </c>
      <c r="V153" t="s">
        <v>54</v>
      </c>
      <c r="W153" t="s">
        <v>54</v>
      </c>
      <c r="X153" s="23" t="s">
        <v>54</v>
      </c>
      <c r="Y153" s="23" t="s">
        <v>54</v>
      </c>
      <c r="Z153" s="23" t="s">
        <v>54</v>
      </c>
      <c r="AA153" s="23" t="s">
        <v>54</v>
      </c>
      <c r="AB153" t="s">
        <v>54</v>
      </c>
      <c r="AC153" t="s">
        <v>54</v>
      </c>
      <c r="AD153" t="s">
        <v>54</v>
      </c>
      <c r="AE153" t="s">
        <v>54</v>
      </c>
      <c r="AF153" s="23" t="s">
        <v>54</v>
      </c>
      <c r="AG153" s="23" t="s">
        <v>54</v>
      </c>
      <c r="AH153" s="23" t="s">
        <v>54</v>
      </c>
      <c r="AI153" s="23" t="s">
        <v>54</v>
      </c>
      <c r="AJ153">
        <v>111</v>
      </c>
      <c r="AK153">
        <v>128</v>
      </c>
      <c r="AL153">
        <v>141</v>
      </c>
      <c r="AM153">
        <v>64</v>
      </c>
      <c r="AN153" s="23">
        <v>0</v>
      </c>
      <c r="AO153" s="23">
        <v>0</v>
      </c>
      <c r="AP153" s="23">
        <v>0</v>
      </c>
      <c r="AQ153" s="23">
        <v>0</v>
      </c>
      <c r="AR153" s="35">
        <v>0</v>
      </c>
      <c r="AS153" s="35">
        <v>0</v>
      </c>
      <c r="AT153" s="35">
        <v>2</v>
      </c>
      <c r="AU153" s="31" t="str">
        <f t="shared" si="6"/>
        <v>库存为2</v>
      </c>
      <c r="AV153" s="36" t="str">
        <f>IFERROR(时间!$B$4+AU153,"上周无销量")</f>
        <v>上周无销量</v>
      </c>
    </row>
    <row r="154" spans="1:48">
      <c r="A154" s="21" t="s">
        <v>546</v>
      </c>
      <c r="B154" t="s">
        <v>547</v>
      </c>
      <c r="C154" t="s">
        <v>545</v>
      </c>
      <c r="D154" s="31">
        <v>2</v>
      </c>
      <c r="E154" s="31">
        <v>4</v>
      </c>
      <c r="F154" s="31">
        <v>1</v>
      </c>
      <c r="G154" s="31">
        <v>1</v>
      </c>
      <c r="H154" s="32">
        <v>106.99</v>
      </c>
      <c r="I154">
        <v>1</v>
      </c>
      <c r="J154" s="33">
        <v>11</v>
      </c>
      <c r="K154" s="33">
        <v>0</v>
      </c>
      <c r="L154" s="33">
        <v>0</v>
      </c>
      <c r="M154">
        <v>12</v>
      </c>
      <c r="N154">
        <v>0</v>
      </c>
      <c r="O154">
        <v>1</v>
      </c>
      <c r="P154">
        <v>33</v>
      </c>
      <c r="Q154">
        <v>0</v>
      </c>
      <c r="R154">
        <v>97258</v>
      </c>
      <c r="S154">
        <v>97458</v>
      </c>
      <c r="T154">
        <v>0</v>
      </c>
      <c r="U154">
        <v>0</v>
      </c>
      <c r="V154">
        <v>390</v>
      </c>
      <c r="W154">
        <v>392</v>
      </c>
      <c r="X154" s="23">
        <v>0</v>
      </c>
      <c r="Y154" s="23" t="s">
        <v>54</v>
      </c>
      <c r="Z154" s="23">
        <v>0.00400995290875815</v>
      </c>
      <c r="AA154" s="23">
        <v>0.00402224548010425</v>
      </c>
      <c r="AB154">
        <v>0</v>
      </c>
      <c r="AC154">
        <v>0</v>
      </c>
      <c r="AD154">
        <v>129.66</v>
      </c>
      <c r="AE154">
        <v>130.55</v>
      </c>
      <c r="AF154" s="23" t="s">
        <v>54</v>
      </c>
      <c r="AG154" s="23" t="s">
        <v>54</v>
      </c>
      <c r="AH154" s="23">
        <v>1.21188896158519</v>
      </c>
      <c r="AI154" s="23">
        <v>1.22020749602767</v>
      </c>
      <c r="AJ154">
        <v>101</v>
      </c>
      <c r="AK154">
        <v>134</v>
      </c>
      <c r="AL154">
        <v>99</v>
      </c>
      <c r="AM154">
        <v>255</v>
      </c>
      <c r="AN154" s="23">
        <v>0.0198019801980198</v>
      </c>
      <c r="AO154" s="23">
        <v>0.0298507462686567</v>
      </c>
      <c r="AP154" s="23">
        <v>0.0101010101010101</v>
      </c>
      <c r="AQ154" s="23">
        <v>0.00392156862745098</v>
      </c>
      <c r="AR154" s="35">
        <v>0.285714285714286</v>
      </c>
      <c r="AS154" s="35">
        <v>17.1428571428571</v>
      </c>
      <c r="AT154" s="35">
        <v>-5.14285714285714</v>
      </c>
      <c r="AU154" s="31">
        <f t="shared" si="6"/>
        <v>42</v>
      </c>
      <c r="AV154" s="36">
        <f>IFERROR(时间!$B$4+AU154,"上周无销量")</f>
        <v>43381</v>
      </c>
    </row>
    <row r="155" spans="1:48">
      <c r="A155" s="21" t="s">
        <v>548</v>
      </c>
      <c r="B155" t="s">
        <v>549</v>
      </c>
      <c r="C155" t="s">
        <v>550</v>
      </c>
      <c r="D155" s="31">
        <v>1</v>
      </c>
      <c r="E155" s="31">
        <v>2</v>
      </c>
      <c r="F155" s="31">
        <v>1</v>
      </c>
      <c r="G155" s="31">
        <v>1</v>
      </c>
      <c r="H155" s="32">
        <v>29.99</v>
      </c>
      <c r="I155">
        <v>6</v>
      </c>
      <c r="J155" s="33">
        <v>0</v>
      </c>
      <c r="K155" s="33">
        <v>0</v>
      </c>
      <c r="L155" s="33">
        <v>0</v>
      </c>
      <c r="M155">
        <v>6</v>
      </c>
      <c r="N155">
        <v>0</v>
      </c>
      <c r="O155">
        <v>6</v>
      </c>
      <c r="P155" t="s">
        <v>54</v>
      </c>
      <c r="Q155" t="s">
        <v>54</v>
      </c>
      <c r="R155" t="s">
        <v>54</v>
      </c>
      <c r="S155" t="s">
        <v>54</v>
      </c>
      <c r="T155" t="s">
        <v>54</v>
      </c>
      <c r="U155" t="s">
        <v>54</v>
      </c>
      <c r="V155" t="s">
        <v>54</v>
      </c>
      <c r="W155" t="s">
        <v>54</v>
      </c>
      <c r="X155" s="23" t="s">
        <v>54</v>
      </c>
      <c r="Y155" s="23" t="s">
        <v>54</v>
      </c>
      <c r="Z155" s="23" t="s">
        <v>54</v>
      </c>
      <c r="AA155" s="23" t="s">
        <v>54</v>
      </c>
      <c r="AB155" t="s">
        <v>54</v>
      </c>
      <c r="AC155" t="s">
        <v>54</v>
      </c>
      <c r="AD155" t="s">
        <v>54</v>
      </c>
      <c r="AE155" t="s">
        <v>54</v>
      </c>
      <c r="AF155" s="23" t="s">
        <v>54</v>
      </c>
      <c r="AG155" s="23" t="s">
        <v>54</v>
      </c>
      <c r="AH155" s="23" t="s">
        <v>54</v>
      </c>
      <c r="AI155" s="23" t="s">
        <v>54</v>
      </c>
      <c r="AJ155">
        <v>80</v>
      </c>
      <c r="AK155">
        <v>121</v>
      </c>
      <c r="AL155">
        <v>118</v>
      </c>
      <c r="AM155">
        <v>151</v>
      </c>
      <c r="AN155" s="23">
        <v>0.0125</v>
      </c>
      <c r="AO155" s="23">
        <v>0.0165289256198347</v>
      </c>
      <c r="AP155" s="23">
        <v>0.00847457627118644</v>
      </c>
      <c r="AQ155" s="23">
        <v>0.00662251655629139</v>
      </c>
      <c r="AR155" s="35">
        <v>0.142857142857143</v>
      </c>
      <c r="AS155" s="35">
        <v>8.57142857142857</v>
      </c>
      <c r="AT155" s="35">
        <v>-2.57142857142857</v>
      </c>
      <c r="AU155" s="31">
        <f t="shared" si="6"/>
        <v>42</v>
      </c>
      <c r="AV155" s="36">
        <f>IFERROR(时间!$B$4+AU155,"上周无销量")</f>
        <v>43381</v>
      </c>
    </row>
    <row r="156" spans="1:48">
      <c r="A156" s="21" t="s">
        <v>551</v>
      </c>
      <c r="B156" t="s">
        <v>552</v>
      </c>
      <c r="C156" t="s">
        <v>550</v>
      </c>
      <c r="D156" s="31">
        <v>0</v>
      </c>
      <c r="E156" s="31">
        <v>6</v>
      </c>
      <c r="F156" s="31">
        <v>6</v>
      </c>
      <c r="G156" s="31">
        <v>2</v>
      </c>
      <c r="H156" s="32">
        <v>29.99</v>
      </c>
      <c r="I156">
        <v>0</v>
      </c>
      <c r="J156" s="33">
        <v>5</v>
      </c>
      <c r="K156" s="33">
        <v>0</v>
      </c>
      <c r="L156" s="33">
        <v>0</v>
      </c>
      <c r="M156">
        <v>5</v>
      </c>
      <c r="N156">
        <v>0</v>
      </c>
      <c r="O156">
        <v>0</v>
      </c>
      <c r="P156">
        <v>0</v>
      </c>
      <c r="Q156">
        <v>10909</v>
      </c>
      <c r="R156">
        <v>5079</v>
      </c>
      <c r="S156">
        <v>5169</v>
      </c>
      <c r="T156">
        <v>0</v>
      </c>
      <c r="U156">
        <v>157</v>
      </c>
      <c r="V156">
        <v>105</v>
      </c>
      <c r="W156">
        <v>106</v>
      </c>
      <c r="X156" s="23" t="s">
        <v>54</v>
      </c>
      <c r="Y156" s="23">
        <v>0.0143917865982217</v>
      </c>
      <c r="Z156" s="23">
        <v>0.0206733608978145</v>
      </c>
      <c r="AA156" s="23">
        <v>0.020506867866125</v>
      </c>
      <c r="AB156">
        <v>0</v>
      </c>
      <c r="AC156">
        <v>38</v>
      </c>
      <c r="AD156">
        <v>19.84</v>
      </c>
      <c r="AE156">
        <v>20.03</v>
      </c>
      <c r="AF156" s="23" t="s">
        <v>54</v>
      </c>
      <c r="AG156" s="23">
        <v>0.211181504946093</v>
      </c>
      <c r="AH156" s="23">
        <v>0.11025897521396</v>
      </c>
      <c r="AI156" s="23">
        <v>0.333944648216072</v>
      </c>
      <c r="AJ156">
        <v>0</v>
      </c>
      <c r="AK156">
        <v>312</v>
      </c>
      <c r="AL156">
        <v>260</v>
      </c>
      <c r="AM156">
        <v>173</v>
      </c>
      <c r="AN156" s="23" t="s">
        <v>54</v>
      </c>
      <c r="AO156" s="23">
        <v>0.0192307692307692</v>
      </c>
      <c r="AP156" s="23">
        <v>0.0230769230769231</v>
      </c>
      <c r="AQ156" s="23">
        <v>0.0115606936416185</v>
      </c>
      <c r="AR156" s="35">
        <v>0</v>
      </c>
      <c r="AS156" s="35">
        <v>0</v>
      </c>
      <c r="AT156" s="35">
        <v>5</v>
      </c>
      <c r="AU156" s="31" t="str">
        <f t="shared" si="6"/>
        <v>库存为5</v>
      </c>
      <c r="AV156" s="36" t="str">
        <f>IFERROR(时间!$B$4+AU156,"上周无销量")</f>
        <v>上周无销量</v>
      </c>
    </row>
    <row r="157" spans="1:48">
      <c r="A157" s="21" t="s">
        <v>553</v>
      </c>
      <c r="B157" t="s">
        <v>554</v>
      </c>
      <c r="C157" t="s">
        <v>555</v>
      </c>
      <c r="D157" s="31">
        <v>1</v>
      </c>
      <c r="E157" s="31">
        <v>0</v>
      </c>
      <c r="F157" s="31">
        <v>0</v>
      </c>
      <c r="G157" s="31">
        <v>0</v>
      </c>
      <c r="H157" s="32">
        <v>26.99</v>
      </c>
      <c r="I157">
        <v>9</v>
      </c>
      <c r="J157" s="33">
        <v>0</v>
      </c>
      <c r="K157" s="33">
        <v>0</v>
      </c>
      <c r="L157" s="33">
        <v>0</v>
      </c>
      <c r="M157">
        <v>9</v>
      </c>
      <c r="N157">
        <v>0</v>
      </c>
      <c r="O157">
        <v>6</v>
      </c>
      <c r="P157">
        <v>3235</v>
      </c>
      <c r="Q157">
        <v>2844</v>
      </c>
      <c r="R157">
        <v>26870</v>
      </c>
      <c r="S157">
        <v>26887</v>
      </c>
      <c r="T157">
        <v>32</v>
      </c>
      <c r="U157">
        <v>37</v>
      </c>
      <c r="V157">
        <v>164</v>
      </c>
      <c r="W157">
        <v>164</v>
      </c>
      <c r="X157" s="23">
        <v>0.00989180834621329</v>
      </c>
      <c r="Y157" s="23">
        <v>0.0130098452883263</v>
      </c>
      <c r="Z157" s="23">
        <v>0.00610346110904354</v>
      </c>
      <c r="AA157" s="23">
        <v>0.00609960203815971</v>
      </c>
      <c r="AB157">
        <v>4.92</v>
      </c>
      <c r="AC157">
        <v>5.55</v>
      </c>
      <c r="AD157">
        <v>29.1</v>
      </c>
      <c r="AE157">
        <v>29.1</v>
      </c>
      <c r="AF157" s="23">
        <v>0.182289736939607</v>
      </c>
      <c r="AG157" s="23" t="s">
        <v>556</v>
      </c>
      <c r="AH157" s="23" t="s">
        <v>557</v>
      </c>
      <c r="AI157" s="23" t="s">
        <v>557</v>
      </c>
      <c r="AJ157">
        <v>76</v>
      </c>
      <c r="AK157">
        <v>91</v>
      </c>
      <c r="AL157">
        <v>39</v>
      </c>
      <c r="AM157">
        <v>53</v>
      </c>
      <c r="AN157" s="23">
        <v>0.0131578947368421</v>
      </c>
      <c r="AO157" s="23">
        <v>0</v>
      </c>
      <c r="AP157" s="23">
        <v>0</v>
      </c>
      <c r="AQ157" s="23">
        <v>0</v>
      </c>
      <c r="AR157" s="35">
        <v>0.142857142857143</v>
      </c>
      <c r="AS157" s="35">
        <v>8.57142857142857</v>
      </c>
      <c r="AT157" s="35">
        <v>0.428571428571429</v>
      </c>
      <c r="AU157" s="31">
        <f t="shared" si="6"/>
        <v>63</v>
      </c>
      <c r="AV157" s="36">
        <f>IFERROR(时间!$B$4+AU157,"上周无销量")</f>
        <v>43402</v>
      </c>
    </row>
    <row r="158" spans="1:48">
      <c r="A158" s="21" t="s">
        <v>558</v>
      </c>
      <c r="B158" t="s">
        <v>559</v>
      </c>
      <c r="C158" t="s">
        <v>560</v>
      </c>
      <c r="D158" s="31">
        <v>0</v>
      </c>
      <c r="E158" s="31">
        <v>0</v>
      </c>
      <c r="F158" s="31">
        <v>0</v>
      </c>
      <c r="G158" s="31">
        <v>0</v>
      </c>
      <c r="H158" s="32">
        <v>0</v>
      </c>
      <c r="I158">
        <v>0</v>
      </c>
      <c r="J158" s="33">
        <v>0</v>
      </c>
      <c r="K158" s="33">
        <v>0</v>
      </c>
      <c r="L158" s="33">
        <v>0</v>
      </c>
      <c r="M158">
        <v>0</v>
      </c>
      <c r="N158">
        <v>0</v>
      </c>
      <c r="O158">
        <v>0</v>
      </c>
      <c r="P158" t="s">
        <v>54</v>
      </c>
      <c r="Q158" t="s">
        <v>54</v>
      </c>
      <c r="R158" t="s">
        <v>54</v>
      </c>
      <c r="S158" t="s">
        <v>54</v>
      </c>
      <c r="T158" t="s">
        <v>54</v>
      </c>
      <c r="U158" t="s">
        <v>54</v>
      </c>
      <c r="V158" t="s">
        <v>54</v>
      </c>
      <c r="W158" t="s">
        <v>54</v>
      </c>
      <c r="X158" s="23" t="s">
        <v>54</v>
      </c>
      <c r="Y158" s="23" t="s">
        <v>54</v>
      </c>
      <c r="Z158" s="23" t="s">
        <v>54</v>
      </c>
      <c r="AA158" s="23" t="s">
        <v>54</v>
      </c>
      <c r="AB158" t="s">
        <v>54</v>
      </c>
      <c r="AC158" t="s">
        <v>54</v>
      </c>
      <c r="AD158" t="s">
        <v>54</v>
      </c>
      <c r="AE158" t="s">
        <v>54</v>
      </c>
      <c r="AF158" s="23" t="s">
        <v>54</v>
      </c>
      <c r="AG158" s="23" t="s">
        <v>54</v>
      </c>
      <c r="AH158" s="23" t="s">
        <v>54</v>
      </c>
      <c r="AI158" s="23" t="s">
        <v>54</v>
      </c>
      <c r="AJ158">
        <v>0</v>
      </c>
      <c r="AK158">
        <v>0</v>
      </c>
      <c r="AL158">
        <v>0</v>
      </c>
      <c r="AM158">
        <v>0</v>
      </c>
      <c r="AN158" s="23" t="s">
        <v>54</v>
      </c>
      <c r="AO158" s="23" t="s">
        <v>54</v>
      </c>
      <c r="AP158" s="23" t="s">
        <v>54</v>
      </c>
      <c r="AQ158" s="23" t="s">
        <v>54</v>
      </c>
      <c r="AR158" s="35">
        <v>0</v>
      </c>
      <c r="AS158" s="35">
        <v>0</v>
      </c>
      <c r="AT158" s="35">
        <v>0</v>
      </c>
      <c r="AU158" s="31" t="str">
        <f t="shared" si="6"/>
        <v>库存为0</v>
      </c>
      <c r="AV158" s="36" t="str">
        <f>IFERROR(时间!$B$4+AU158,"上周无销量")</f>
        <v>上周无销量</v>
      </c>
    </row>
    <row r="159" spans="1:48">
      <c r="A159" s="21" t="s">
        <v>561</v>
      </c>
      <c r="B159" t="s">
        <v>562</v>
      </c>
      <c r="C159" t="s">
        <v>560</v>
      </c>
      <c r="D159" s="31">
        <v>0</v>
      </c>
      <c r="E159" s="31">
        <v>0</v>
      </c>
      <c r="F159" s="31">
        <v>0</v>
      </c>
      <c r="G159" s="31">
        <v>0</v>
      </c>
      <c r="H159" s="32">
        <v>0</v>
      </c>
      <c r="I159">
        <v>0</v>
      </c>
      <c r="J159" s="33">
        <v>0</v>
      </c>
      <c r="K159" s="33">
        <v>0</v>
      </c>
      <c r="L159" s="33">
        <v>0</v>
      </c>
      <c r="M159">
        <v>0</v>
      </c>
      <c r="N159">
        <v>0</v>
      </c>
      <c r="O159">
        <v>0</v>
      </c>
      <c r="P159" t="s">
        <v>54</v>
      </c>
      <c r="Q159" t="s">
        <v>54</v>
      </c>
      <c r="R159" t="s">
        <v>54</v>
      </c>
      <c r="S159" t="s">
        <v>54</v>
      </c>
      <c r="T159" t="s">
        <v>54</v>
      </c>
      <c r="U159" t="s">
        <v>54</v>
      </c>
      <c r="V159" t="s">
        <v>54</v>
      </c>
      <c r="W159" t="s">
        <v>54</v>
      </c>
      <c r="X159" s="23" t="s">
        <v>54</v>
      </c>
      <c r="Y159" s="23" t="s">
        <v>54</v>
      </c>
      <c r="Z159" s="23" t="s">
        <v>54</v>
      </c>
      <c r="AA159" s="23" t="s">
        <v>54</v>
      </c>
      <c r="AB159" t="s">
        <v>54</v>
      </c>
      <c r="AC159" t="s">
        <v>54</v>
      </c>
      <c r="AD159" t="s">
        <v>54</v>
      </c>
      <c r="AE159" t="s">
        <v>54</v>
      </c>
      <c r="AF159" s="23" t="s">
        <v>54</v>
      </c>
      <c r="AG159" s="23" t="s">
        <v>54</v>
      </c>
      <c r="AH159" s="23" t="s">
        <v>54</v>
      </c>
      <c r="AI159" s="23" t="s">
        <v>54</v>
      </c>
      <c r="AJ159">
        <v>0</v>
      </c>
      <c r="AK159">
        <v>5</v>
      </c>
      <c r="AL159">
        <v>42</v>
      </c>
      <c r="AM159">
        <v>34</v>
      </c>
      <c r="AN159" s="23" t="s">
        <v>54</v>
      </c>
      <c r="AO159" s="23">
        <v>0</v>
      </c>
      <c r="AP159" s="23">
        <v>0</v>
      </c>
      <c r="AQ159" s="23">
        <v>0</v>
      </c>
      <c r="AR159" s="35">
        <v>0</v>
      </c>
      <c r="AS159" s="35">
        <v>0</v>
      </c>
      <c r="AT159" s="35">
        <v>0</v>
      </c>
      <c r="AU159" s="31" t="str">
        <f t="shared" si="6"/>
        <v>库存为0</v>
      </c>
      <c r="AV159" s="36" t="str">
        <f>IFERROR(时间!$B$4+AU159,"上周无销量")</f>
        <v>上周无销量</v>
      </c>
    </row>
    <row r="160" spans="1:48">
      <c r="A160" s="21" t="s">
        <v>563</v>
      </c>
      <c r="B160" t="s">
        <v>564</v>
      </c>
      <c r="C160" t="s">
        <v>560</v>
      </c>
      <c r="D160" s="31">
        <v>0</v>
      </c>
      <c r="E160" s="31">
        <v>1</v>
      </c>
      <c r="F160" s="31">
        <v>1</v>
      </c>
      <c r="G160" s="31">
        <v>2</v>
      </c>
      <c r="H160" s="32">
        <v>26.99</v>
      </c>
      <c r="I160">
        <v>16</v>
      </c>
      <c r="J160" s="33">
        <v>0</v>
      </c>
      <c r="K160" s="33">
        <v>0</v>
      </c>
      <c r="L160" s="33">
        <v>0</v>
      </c>
      <c r="M160">
        <v>16</v>
      </c>
      <c r="N160">
        <v>0</v>
      </c>
      <c r="O160">
        <v>15</v>
      </c>
      <c r="P160">
        <v>0</v>
      </c>
      <c r="Q160">
        <v>0</v>
      </c>
      <c r="R160">
        <v>16294</v>
      </c>
      <c r="S160">
        <v>16294</v>
      </c>
      <c r="T160">
        <v>0</v>
      </c>
      <c r="U160">
        <v>0</v>
      </c>
      <c r="V160">
        <v>84</v>
      </c>
      <c r="W160">
        <v>84</v>
      </c>
      <c r="X160" s="23" t="s">
        <v>54</v>
      </c>
      <c r="Y160" s="23" t="s">
        <v>54</v>
      </c>
      <c r="Z160" s="23">
        <v>0.00515527187921934</v>
      </c>
      <c r="AA160" s="23">
        <v>0.00515527187921934</v>
      </c>
      <c r="AB160">
        <v>0</v>
      </c>
      <c r="AC160">
        <v>0</v>
      </c>
      <c r="AD160">
        <v>15.06</v>
      </c>
      <c r="AE160">
        <v>15.06</v>
      </c>
      <c r="AF160" s="23" t="s">
        <v>54</v>
      </c>
      <c r="AG160" s="23" t="s">
        <v>54</v>
      </c>
      <c r="AH160" s="23">
        <v>0.557984438680993</v>
      </c>
      <c r="AI160" s="23">
        <v>0.278992219340497</v>
      </c>
      <c r="AJ160">
        <v>91</v>
      </c>
      <c r="AK160">
        <v>105</v>
      </c>
      <c r="AL160">
        <v>72</v>
      </c>
      <c r="AM160">
        <v>134</v>
      </c>
      <c r="AN160" s="23">
        <v>0</v>
      </c>
      <c r="AO160" s="23">
        <v>0.00952380952380952</v>
      </c>
      <c r="AP160" s="23">
        <v>0.0138888888888889</v>
      </c>
      <c r="AQ160" s="23">
        <v>0.0149253731343284</v>
      </c>
      <c r="AR160" s="35">
        <v>0</v>
      </c>
      <c r="AS160" s="35">
        <v>0</v>
      </c>
      <c r="AT160" s="35">
        <v>16</v>
      </c>
      <c r="AU160" s="31" t="str">
        <f t="shared" si="6"/>
        <v>库存为16</v>
      </c>
      <c r="AV160" s="36" t="str">
        <f>IFERROR(时间!$B$4+AU160,"上周无销量")</f>
        <v>上周无销量</v>
      </c>
    </row>
    <row r="161" spans="1:48">
      <c r="A161" s="21" t="s">
        <v>565</v>
      </c>
      <c r="B161" t="s">
        <v>566</v>
      </c>
      <c r="C161" t="s">
        <v>567</v>
      </c>
      <c r="D161" s="31">
        <v>0</v>
      </c>
      <c r="E161" s="31">
        <v>0</v>
      </c>
      <c r="F161" s="31">
        <v>0</v>
      </c>
      <c r="G161" s="31">
        <v>0</v>
      </c>
      <c r="H161" s="32">
        <v>0</v>
      </c>
      <c r="I161">
        <v>0</v>
      </c>
      <c r="J161" s="33">
        <v>0</v>
      </c>
      <c r="K161" s="33">
        <v>0</v>
      </c>
      <c r="L161" s="33">
        <v>0</v>
      </c>
      <c r="M161">
        <v>0</v>
      </c>
      <c r="N161">
        <v>0</v>
      </c>
      <c r="O161">
        <v>0</v>
      </c>
      <c r="P161" t="s">
        <v>54</v>
      </c>
      <c r="Q161" t="s">
        <v>54</v>
      </c>
      <c r="R161" t="s">
        <v>54</v>
      </c>
      <c r="S161" t="s">
        <v>54</v>
      </c>
      <c r="T161" t="s">
        <v>54</v>
      </c>
      <c r="U161" t="s">
        <v>54</v>
      </c>
      <c r="V161" t="s">
        <v>54</v>
      </c>
      <c r="W161" t="s">
        <v>54</v>
      </c>
      <c r="X161" s="23" t="s">
        <v>54</v>
      </c>
      <c r="Y161" s="23" t="s">
        <v>54</v>
      </c>
      <c r="Z161" s="23" t="s">
        <v>54</v>
      </c>
      <c r="AA161" s="23" t="s">
        <v>54</v>
      </c>
      <c r="AB161" t="s">
        <v>54</v>
      </c>
      <c r="AC161" t="s">
        <v>54</v>
      </c>
      <c r="AD161" t="s">
        <v>54</v>
      </c>
      <c r="AE161" t="s">
        <v>54</v>
      </c>
      <c r="AF161" s="23" t="s">
        <v>54</v>
      </c>
      <c r="AG161" s="23" t="s">
        <v>54</v>
      </c>
      <c r="AH161" s="23" t="s">
        <v>54</v>
      </c>
      <c r="AI161" s="23" t="s">
        <v>54</v>
      </c>
      <c r="AJ161">
        <v>0</v>
      </c>
      <c r="AK161">
        <v>3</v>
      </c>
      <c r="AL161">
        <v>21</v>
      </c>
      <c r="AM161">
        <v>16</v>
      </c>
      <c r="AN161" s="23" t="s">
        <v>54</v>
      </c>
      <c r="AO161" s="23">
        <v>0</v>
      </c>
      <c r="AP161" s="23">
        <v>0</v>
      </c>
      <c r="AQ161" s="23">
        <v>0</v>
      </c>
      <c r="AR161" s="35">
        <v>0</v>
      </c>
      <c r="AS161" s="35">
        <v>0</v>
      </c>
      <c r="AT161" s="35">
        <v>0</v>
      </c>
      <c r="AU161" s="31" t="str">
        <f t="shared" si="6"/>
        <v>库存为0</v>
      </c>
      <c r="AV161" s="36" t="str">
        <f>IFERROR(时间!$B$4+AU161,"上周无销量")</f>
        <v>上周无销量</v>
      </c>
    </row>
    <row r="162" spans="1:48">
      <c r="A162" s="21" t="s">
        <v>568</v>
      </c>
      <c r="B162" t="s">
        <v>569</v>
      </c>
      <c r="C162" t="s">
        <v>567</v>
      </c>
      <c r="D162" s="31">
        <v>0</v>
      </c>
      <c r="E162" s="31">
        <v>0</v>
      </c>
      <c r="F162" s="31">
        <v>0</v>
      </c>
      <c r="G162" s="31">
        <v>0</v>
      </c>
      <c r="H162" s="32">
        <v>0</v>
      </c>
      <c r="I162">
        <v>0</v>
      </c>
      <c r="J162" s="33">
        <v>0</v>
      </c>
      <c r="K162" s="33">
        <v>0</v>
      </c>
      <c r="L162" s="33">
        <v>0</v>
      </c>
      <c r="M162">
        <v>0</v>
      </c>
      <c r="N162">
        <v>0</v>
      </c>
      <c r="O162">
        <v>0</v>
      </c>
      <c r="P162" t="s">
        <v>54</v>
      </c>
      <c r="Q162" t="s">
        <v>54</v>
      </c>
      <c r="R162" t="s">
        <v>54</v>
      </c>
      <c r="S162" t="s">
        <v>54</v>
      </c>
      <c r="T162" t="s">
        <v>54</v>
      </c>
      <c r="U162" t="s">
        <v>54</v>
      </c>
      <c r="V162" t="s">
        <v>54</v>
      </c>
      <c r="W162" t="s">
        <v>54</v>
      </c>
      <c r="X162" s="23" t="s">
        <v>54</v>
      </c>
      <c r="Y162" s="23" t="s">
        <v>54</v>
      </c>
      <c r="Z162" s="23" t="s">
        <v>54</v>
      </c>
      <c r="AA162" s="23" t="s">
        <v>54</v>
      </c>
      <c r="AB162" t="s">
        <v>54</v>
      </c>
      <c r="AC162" t="s">
        <v>54</v>
      </c>
      <c r="AD162" t="s">
        <v>54</v>
      </c>
      <c r="AE162" t="s">
        <v>54</v>
      </c>
      <c r="AF162" s="23" t="s">
        <v>54</v>
      </c>
      <c r="AG162" s="23" t="s">
        <v>54</v>
      </c>
      <c r="AH162" s="23" t="s">
        <v>54</v>
      </c>
      <c r="AI162" s="23" t="s">
        <v>54</v>
      </c>
      <c r="AJ162">
        <v>0</v>
      </c>
      <c r="AK162">
        <v>4</v>
      </c>
      <c r="AL162">
        <v>28</v>
      </c>
      <c r="AM162">
        <v>26</v>
      </c>
      <c r="AN162" s="23" t="s">
        <v>54</v>
      </c>
      <c r="AO162" s="23">
        <v>0</v>
      </c>
      <c r="AP162" s="23">
        <v>0</v>
      </c>
      <c r="AQ162" s="23">
        <v>0</v>
      </c>
      <c r="AR162" s="35">
        <v>0</v>
      </c>
      <c r="AS162" s="35">
        <v>0</v>
      </c>
      <c r="AT162" s="35">
        <v>0</v>
      </c>
      <c r="AU162" s="31" t="str">
        <f t="shared" si="6"/>
        <v>库存为0</v>
      </c>
      <c r="AV162" s="36" t="str">
        <f>IFERROR(时间!$B$4+AU162,"上周无销量")</f>
        <v>上周无销量</v>
      </c>
    </row>
    <row r="163" spans="1:48">
      <c r="A163" s="21" t="s">
        <v>570</v>
      </c>
      <c r="B163" t="s">
        <v>571</v>
      </c>
      <c r="C163" t="s">
        <v>572</v>
      </c>
      <c r="D163" s="31">
        <v>0</v>
      </c>
      <c r="E163" s="31">
        <v>0</v>
      </c>
      <c r="F163" s="31">
        <v>0</v>
      </c>
      <c r="G163" s="31">
        <v>0</v>
      </c>
      <c r="H163" s="32">
        <v>0</v>
      </c>
      <c r="I163">
        <v>4</v>
      </c>
      <c r="J163" s="33">
        <v>0</v>
      </c>
      <c r="K163" s="33">
        <v>0</v>
      </c>
      <c r="L163" s="33">
        <v>0</v>
      </c>
      <c r="M163">
        <v>4</v>
      </c>
      <c r="N163">
        <v>0</v>
      </c>
      <c r="O163">
        <v>0</v>
      </c>
      <c r="P163">
        <v>0</v>
      </c>
      <c r="Q163">
        <v>0</v>
      </c>
      <c r="R163">
        <v>8505</v>
      </c>
      <c r="S163">
        <v>8505</v>
      </c>
      <c r="T163">
        <v>0</v>
      </c>
      <c r="U163">
        <v>0</v>
      </c>
      <c r="V163">
        <v>97</v>
      </c>
      <c r="W163">
        <v>97</v>
      </c>
      <c r="X163" s="23" t="s">
        <v>54</v>
      </c>
      <c r="Y163" s="23" t="s">
        <v>54</v>
      </c>
      <c r="Z163" s="23">
        <v>0.0114050558495003</v>
      </c>
      <c r="AA163" s="23">
        <v>0.0114050558495003</v>
      </c>
      <c r="AB163">
        <v>0</v>
      </c>
      <c r="AC163">
        <v>0</v>
      </c>
      <c r="AD163">
        <v>12.73</v>
      </c>
      <c r="AE163">
        <v>12.73</v>
      </c>
      <c r="AF163" s="23" t="s">
        <v>54</v>
      </c>
      <c r="AG163" s="23" t="s">
        <v>54</v>
      </c>
      <c r="AH163" s="23" t="s">
        <v>573</v>
      </c>
      <c r="AI163" s="23" t="s">
        <v>573</v>
      </c>
      <c r="AJ163">
        <v>13</v>
      </c>
      <c r="AK163">
        <v>34</v>
      </c>
      <c r="AL163">
        <v>25</v>
      </c>
      <c r="AM163">
        <v>11</v>
      </c>
      <c r="AN163" s="23">
        <v>0</v>
      </c>
      <c r="AO163" s="23">
        <v>0</v>
      </c>
      <c r="AP163" s="23">
        <v>0</v>
      </c>
      <c r="AQ163" s="23">
        <v>0</v>
      </c>
      <c r="AR163" s="35">
        <v>0</v>
      </c>
      <c r="AS163" s="35">
        <v>0</v>
      </c>
      <c r="AT163" s="35">
        <v>4</v>
      </c>
      <c r="AU163" s="31" t="str">
        <f t="shared" si="6"/>
        <v>库存为4</v>
      </c>
      <c r="AV163" s="36" t="str">
        <f>IFERROR(时间!$B$4+AU163,"上周无销量")</f>
        <v>上周无销量</v>
      </c>
    </row>
    <row r="164" spans="1:48">
      <c r="A164" s="21" t="s">
        <v>574</v>
      </c>
      <c r="B164" t="s">
        <v>52</v>
      </c>
      <c r="C164" t="s">
        <v>575</v>
      </c>
      <c r="D164" s="31">
        <v>11</v>
      </c>
      <c r="E164" s="31">
        <v>11</v>
      </c>
      <c r="F164" s="31">
        <v>16</v>
      </c>
      <c r="G164" s="31">
        <v>13</v>
      </c>
      <c r="H164" s="32">
        <v>97.1860784313724</v>
      </c>
      <c r="I164">
        <v>94</v>
      </c>
      <c r="J164" s="33">
        <v>0</v>
      </c>
      <c r="K164" s="33">
        <v>0</v>
      </c>
      <c r="L164" s="33">
        <v>0</v>
      </c>
      <c r="M164">
        <v>94</v>
      </c>
      <c r="N164">
        <v>0</v>
      </c>
      <c r="O164">
        <v>0</v>
      </c>
      <c r="P164">
        <v>92461</v>
      </c>
      <c r="Q164">
        <v>40000</v>
      </c>
      <c r="R164">
        <v>278529</v>
      </c>
      <c r="S164">
        <v>279023</v>
      </c>
      <c r="T164">
        <v>289</v>
      </c>
      <c r="U164">
        <v>159</v>
      </c>
      <c r="V164">
        <v>1430</v>
      </c>
      <c r="W164">
        <v>1431</v>
      </c>
      <c r="X164" s="23">
        <v>0.00312564216264155</v>
      </c>
      <c r="Y164" s="23">
        <v>0.003975</v>
      </c>
      <c r="Z164" s="23">
        <v>0.0051341152985865</v>
      </c>
      <c r="AA164" s="23">
        <v>0.00512860946947026</v>
      </c>
      <c r="AB164">
        <v>86.75</v>
      </c>
      <c r="AC164">
        <v>48.46</v>
      </c>
      <c r="AD164">
        <v>281.81</v>
      </c>
      <c r="AE164">
        <v>282.1</v>
      </c>
      <c r="AF164" s="23">
        <v>0.0811470507263297</v>
      </c>
      <c r="AG164" s="23">
        <v>0.0453300988841261</v>
      </c>
      <c r="AH164" s="23">
        <v>0.181230946698168</v>
      </c>
      <c r="AI164" s="23">
        <v>0.223283008742074</v>
      </c>
      <c r="AJ164">
        <v>817</v>
      </c>
      <c r="AK164">
        <v>1473</v>
      </c>
      <c r="AL164">
        <v>1332</v>
      </c>
      <c r="AM164">
        <v>1292</v>
      </c>
      <c r="AN164" s="23">
        <v>0.0134638922888617</v>
      </c>
      <c r="AO164" s="23">
        <v>0.00746775288526816</v>
      </c>
      <c r="AP164" s="23">
        <v>0.012012012012012</v>
      </c>
      <c r="AQ164" s="23">
        <v>0.010061919504644</v>
      </c>
      <c r="AR164" s="35">
        <v>1.57142857142857</v>
      </c>
      <c r="AS164" s="35">
        <v>94.2857142857143</v>
      </c>
      <c r="AT164" s="35">
        <v>-0.285714285714278</v>
      </c>
      <c r="AU164" s="31">
        <f t="shared" si="6"/>
        <v>59</v>
      </c>
      <c r="AV164" s="36">
        <f>IFERROR(时间!$B$4+AU164,"上周无销量")</f>
        <v>43398</v>
      </c>
    </row>
    <row r="165" spans="1:48">
      <c r="A165" s="21" t="s">
        <v>576</v>
      </c>
      <c r="B165" t="s">
        <v>577</v>
      </c>
      <c r="C165" t="s">
        <v>578</v>
      </c>
      <c r="D165" s="31">
        <v>13</v>
      </c>
      <c r="E165" s="31">
        <v>15</v>
      </c>
      <c r="F165" s="31">
        <v>12</v>
      </c>
      <c r="G165" s="31">
        <v>15</v>
      </c>
      <c r="H165" s="32">
        <v>89.9899999999999</v>
      </c>
      <c r="I165">
        <v>11</v>
      </c>
      <c r="J165" s="33">
        <v>0</v>
      </c>
      <c r="K165" s="33">
        <v>0</v>
      </c>
      <c r="L165" s="33">
        <v>20</v>
      </c>
      <c r="M165">
        <v>31</v>
      </c>
      <c r="N165">
        <v>1</v>
      </c>
      <c r="O165">
        <v>0</v>
      </c>
      <c r="P165">
        <v>74861</v>
      </c>
      <c r="Q165">
        <v>23442</v>
      </c>
      <c r="R165">
        <v>242920</v>
      </c>
      <c r="S165">
        <v>243750</v>
      </c>
      <c r="T165">
        <v>497</v>
      </c>
      <c r="U165">
        <v>184</v>
      </c>
      <c r="V165">
        <v>1731</v>
      </c>
      <c r="W165">
        <v>1734</v>
      </c>
      <c r="X165" s="23">
        <v>0.00663897089272118</v>
      </c>
      <c r="Y165" s="23">
        <v>0.00784915962801809</v>
      </c>
      <c r="Z165" s="23">
        <v>0.00712580273341018</v>
      </c>
      <c r="AA165" s="23">
        <v>0.00711384615384615</v>
      </c>
      <c r="AB165">
        <v>160.97</v>
      </c>
      <c r="AC165">
        <v>64.98</v>
      </c>
      <c r="AD165">
        <v>364.92</v>
      </c>
      <c r="AE165">
        <v>365.48</v>
      </c>
      <c r="AF165" s="23">
        <v>0.137596485079539</v>
      </c>
      <c r="AG165" s="23">
        <v>0.0481386820757863</v>
      </c>
      <c r="AH165" s="23">
        <v>0.337926436270697</v>
      </c>
      <c r="AI165" s="23">
        <v>0.270756009927029</v>
      </c>
      <c r="AJ165">
        <v>1144</v>
      </c>
      <c r="AK165">
        <v>792</v>
      </c>
      <c r="AL165">
        <v>813</v>
      </c>
      <c r="AM165">
        <v>798</v>
      </c>
      <c r="AN165" s="23">
        <v>0.0113636363636364</v>
      </c>
      <c r="AO165" s="23">
        <v>0.0189393939393939</v>
      </c>
      <c r="AP165" s="23">
        <v>0.014760147601476</v>
      </c>
      <c r="AQ165" s="23">
        <v>0.018796992481203</v>
      </c>
      <c r="AR165" s="35">
        <v>1.85714285714286</v>
      </c>
      <c r="AS165" s="35">
        <v>111.428571428571</v>
      </c>
      <c r="AT165" s="35">
        <v>-80.4285714285714</v>
      </c>
      <c r="AU165" s="31">
        <f t="shared" si="6"/>
        <v>16</v>
      </c>
      <c r="AV165" s="36">
        <f>IFERROR(时间!$B$4+AU165,"上周无销量")</f>
        <v>43355</v>
      </c>
    </row>
    <row r="166" spans="1:48">
      <c r="A166" s="21" t="s">
        <v>579</v>
      </c>
      <c r="B166" t="s">
        <v>92</v>
      </c>
      <c r="C166" t="s">
        <v>580</v>
      </c>
      <c r="D166" s="31">
        <v>2</v>
      </c>
      <c r="E166" s="31">
        <v>4</v>
      </c>
      <c r="F166" s="31">
        <v>5</v>
      </c>
      <c r="G166" s="31">
        <v>3</v>
      </c>
      <c r="H166" s="32">
        <v>89.99</v>
      </c>
      <c r="I166">
        <v>54</v>
      </c>
      <c r="J166" s="33">
        <v>0</v>
      </c>
      <c r="K166" s="33">
        <v>0</v>
      </c>
      <c r="L166" s="33">
        <v>0</v>
      </c>
      <c r="M166">
        <v>54</v>
      </c>
      <c r="N166">
        <v>1</v>
      </c>
      <c r="O166">
        <v>0</v>
      </c>
      <c r="P166">
        <v>28859</v>
      </c>
      <c r="Q166">
        <v>22782</v>
      </c>
      <c r="R166">
        <v>0</v>
      </c>
      <c r="S166">
        <v>0</v>
      </c>
      <c r="T166">
        <v>140</v>
      </c>
      <c r="U166">
        <v>82</v>
      </c>
      <c r="V166">
        <v>0</v>
      </c>
      <c r="W166">
        <v>0</v>
      </c>
      <c r="X166" s="23">
        <v>0.00485117294431547</v>
      </c>
      <c r="Y166" s="23">
        <v>0.0035993328066017</v>
      </c>
      <c r="Z166" s="23" t="s">
        <v>54</v>
      </c>
      <c r="AA166" s="23" t="s">
        <v>54</v>
      </c>
      <c r="AB166">
        <v>35.8</v>
      </c>
      <c r="AC166">
        <v>19.42</v>
      </c>
      <c r="AD166">
        <v>0</v>
      </c>
      <c r="AE166">
        <v>0</v>
      </c>
      <c r="AF166" s="23">
        <v>0.198910990110012</v>
      </c>
      <c r="AG166" s="23">
        <v>0.0539504389376597</v>
      </c>
      <c r="AH166" s="23" t="s">
        <v>54</v>
      </c>
      <c r="AI166" s="23" t="s">
        <v>54</v>
      </c>
      <c r="AJ166">
        <v>407</v>
      </c>
      <c r="AK166">
        <v>403</v>
      </c>
      <c r="AL166">
        <v>642</v>
      </c>
      <c r="AM166">
        <v>343</v>
      </c>
      <c r="AN166" s="23">
        <v>0.00491400491400491</v>
      </c>
      <c r="AO166" s="23">
        <v>0.00992555831265509</v>
      </c>
      <c r="AP166" s="23">
        <v>0.00778816199376947</v>
      </c>
      <c r="AQ166" s="23">
        <v>0.0087463556851312</v>
      </c>
      <c r="AR166" s="35">
        <v>0.285714285714286</v>
      </c>
      <c r="AS166" s="35">
        <v>17.1428571428571</v>
      </c>
      <c r="AT166" s="35">
        <v>36.8571428571429</v>
      </c>
      <c r="AU166" s="31">
        <f t="shared" si="6"/>
        <v>189</v>
      </c>
      <c r="AV166" s="36">
        <f>IFERROR(时间!$B$4+AU166,"上周无销量")</f>
        <v>43528</v>
      </c>
    </row>
    <row r="167" spans="1:48">
      <c r="A167" s="21" t="s">
        <v>581</v>
      </c>
      <c r="B167" t="s">
        <v>582</v>
      </c>
      <c r="C167" t="s">
        <v>583</v>
      </c>
      <c r="D167" s="31">
        <v>2</v>
      </c>
      <c r="E167" s="31">
        <v>4</v>
      </c>
      <c r="F167" s="31">
        <v>3</v>
      </c>
      <c r="G167" s="31">
        <v>2</v>
      </c>
      <c r="H167" s="32">
        <v>89.6</v>
      </c>
      <c r="I167">
        <v>51</v>
      </c>
      <c r="J167" s="33">
        <v>0</v>
      </c>
      <c r="K167" s="33">
        <v>0</v>
      </c>
      <c r="L167" s="33">
        <v>0</v>
      </c>
      <c r="M167">
        <v>51</v>
      </c>
      <c r="N167">
        <v>0</v>
      </c>
      <c r="O167">
        <v>0</v>
      </c>
      <c r="P167">
        <v>37951</v>
      </c>
      <c r="Q167">
        <v>37950</v>
      </c>
      <c r="R167">
        <v>162405</v>
      </c>
      <c r="S167">
        <v>164186</v>
      </c>
      <c r="T167">
        <v>108</v>
      </c>
      <c r="U167">
        <v>139</v>
      </c>
      <c r="V167">
        <v>760</v>
      </c>
      <c r="W167">
        <v>761</v>
      </c>
      <c r="X167" s="23">
        <v>0.00284577481489289</v>
      </c>
      <c r="Y167" s="23">
        <v>0.00366271409749671</v>
      </c>
      <c r="Z167" s="23">
        <v>0.00467965887749761</v>
      </c>
      <c r="AA167" s="23">
        <v>0.00463498714872157</v>
      </c>
      <c r="AB167">
        <v>34.21</v>
      </c>
      <c r="AC167">
        <v>39.51</v>
      </c>
      <c r="AD167">
        <v>191.5</v>
      </c>
      <c r="AE167">
        <v>191.66</v>
      </c>
      <c r="AF167" s="23">
        <v>0.190904017857143</v>
      </c>
      <c r="AG167" s="23">
        <v>0.110239955357143</v>
      </c>
      <c r="AH167" s="23">
        <v>0.712425595238095</v>
      </c>
      <c r="AI167" s="23">
        <v>1.06953125</v>
      </c>
      <c r="AJ167">
        <v>194</v>
      </c>
      <c r="AK167">
        <v>168</v>
      </c>
      <c r="AL167">
        <v>223</v>
      </c>
      <c r="AM167">
        <v>252</v>
      </c>
      <c r="AN167" s="23">
        <v>0.0103092783505155</v>
      </c>
      <c r="AO167" s="23">
        <v>0.0238095238095238</v>
      </c>
      <c r="AP167" s="23">
        <v>0.0134529147982063</v>
      </c>
      <c r="AQ167" s="23">
        <v>0.00793650793650794</v>
      </c>
      <c r="AR167" s="35">
        <v>0.285714285714286</v>
      </c>
      <c r="AS167" s="35">
        <v>17.1428571428571</v>
      </c>
      <c r="AT167" s="35">
        <v>33.8571428571429</v>
      </c>
      <c r="AU167" s="31">
        <f t="shared" si="6"/>
        <v>178</v>
      </c>
      <c r="AV167" s="36">
        <f>IFERROR(时间!$B$4+AU167,"上周无销量")</f>
        <v>43517</v>
      </c>
    </row>
    <row r="168" ht="14" customHeight="1" spans="1:48">
      <c r="A168" s="21" t="s">
        <v>584</v>
      </c>
      <c r="B168" t="s">
        <v>89</v>
      </c>
      <c r="C168" t="s">
        <v>585</v>
      </c>
      <c r="D168" s="31">
        <v>3</v>
      </c>
      <c r="E168" s="31">
        <v>5</v>
      </c>
      <c r="F168" s="31">
        <v>10</v>
      </c>
      <c r="G168" s="31">
        <v>7</v>
      </c>
      <c r="H168" s="32">
        <v>89.99</v>
      </c>
      <c r="I168">
        <v>69</v>
      </c>
      <c r="J168" s="33">
        <v>0</v>
      </c>
      <c r="K168" s="33">
        <v>0</v>
      </c>
      <c r="L168" s="33">
        <v>1</v>
      </c>
      <c r="M168">
        <v>70</v>
      </c>
      <c r="N168">
        <v>0</v>
      </c>
      <c r="O168">
        <v>0</v>
      </c>
      <c r="P168">
        <v>66385</v>
      </c>
      <c r="Q168">
        <v>0</v>
      </c>
      <c r="R168">
        <v>50890</v>
      </c>
      <c r="S168">
        <v>50890</v>
      </c>
      <c r="T168">
        <v>319</v>
      </c>
      <c r="U168">
        <v>0</v>
      </c>
      <c r="V168">
        <v>279</v>
      </c>
      <c r="W168">
        <v>279</v>
      </c>
      <c r="X168" s="23">
        <v>0.0048053024026512</v>
      </c>
      <c r="Y168" s="23" t="s">
        <v>54</v>
      </c>
      <c r="Z168" s="23">
        <v>0.00548241304775005</v>
      </c>
      <c r="AA168" s="23">
        <v>0.00548241304775005</v>
      </c>
      <c r="AB168">
        <v>89.69</v>
      </c>
      <c r="AC168">
        <v>0</v>
      </c>
      <c r="AD168">
        <v>69.5</v>
      </c>
      <c r="AE168">
        <v>69.5</v>
      </c>
      <c r="AF168" s="23">
        <v>0.332222098751713</v>
      </c>
      <c r="AG168" s="23" t="s">
        <v>54</v>
      </c>
      <c r="AH168" s="23">
        <v>0.0772308034226025</v>
      </c>
      <c r="AI168" s="23">
        <v>0.110329719175146</v>
      </c>
      <c r="AJ168">
        <v>606</v>
      </c>
      <c r="AK168">
        <v>431</v>
      </c>
      <c r="AL168">
        <v>381</v>
      </c>
      <c r="AM168">
        <v>429</v>
      </c>
      <c r="AN168" s="23">
        <v>0.00495049504950495</v>
      </c>
      <c r="AO168" s="23">
        <v>0.0116009280742459</v>
      </c>
      <c r="AP168" s="23">
        <v>0.026246719160105</v>
      </c>
      <c r="AQ168" s="23">
        <v>0.0163170163170163</v>
      </c>
      <c r="AR168" s="35">
        <v>0.428571428571429</v>
      </c>
      <c r="AS168" s="35">
        <v>25.7142857142857</v>
      </c>
      <c r="AT168" s="35">
        <v>44.2857142857143</v>
      </c>
      <c r="AU168" s="31">
        <f t="shared" si="6"/>
        <v>163</v>
      </c>
      <c r="AV168" s="36">
        <f>IFERROR(时间!$B$4+AU168,"上周无销量")</f>
        <v>43502</v>
      </c>
    </row>
    <row r="169" spans="1:48">
      <c r="A169" s="21" t="s">
        <v>586</v>
      </c>
      <c r="B169" t="s">
        <v>587</v>
      </c>
      <c r="C169" t="s">
        <v>588</v>
      </c>
      <c r="D169" s="31">
        <v>3</v>
      </c>
      <c r="E169" s="31">
        <v>3</v>
      </c>
      <c r="F169" s="31">
        <v>0</v>
      </c>
      <c r="G169" s="31">
        <v>2</v>
      </c>
      <c r="H169" s="32">
        <v>89.99</v>
      </c>
      <c r="I169">
        <v>63</v>
      </c>
      <c r="J169" s="33">
        <v>0</v>
      </c>
      <c r="K169" s="33">
        <v>0</v>
      </c>
      <c r="L169" s="33">
        <v>0</v>
      </c>
      <c r="M169">
        <v>63</v>
      </c>
      <c r="N169">
        <v>1</v>
      </c>
      <c r="O169">
        <v>0</v>
      </c>
      <c r="P169">
        <v>0</v>
      </c>
      <c r="Q169">
        <v>0</v>
      </c>
      <c r="R169">
        <v>23482</v>
      </c>
      <c r="S169">
        <v>23482</v>
      </c>
      <c r="T169">
        <v>0</v>
      </c>
      <c r="U169">
        <v>0</v>
      </c>
      <c r="V169">
        <v>119</v>
      </c>
      <c r="W169">
        <v>119</v>
      </c>
      <c r="X169" s="23" t="s">
        <v>54</v>
      </c>
      <c r="Y169" s="23" t="s">
        <v>54</v>
      </c>
      <c r="Z169" s="23">
        <v>0.00506771143854868</v>
      </c>
      <c r="AA169" s="23">
        <v>0.00506771143854868</v>
      </c>
      <c r="AB169">
        <v>0</v>
      </c>
      <c r="AC169">
        <v>0</v>
      </c>
      <c r="AD169">
        <v>16.6</v>
      </c>
      <c r="AE169">
        <v>16.6</v>
      </c>
      <c r="AF169" s="23" t="s">
        <v>54</v>
      </c>
      <c r="AG169" s="23" t="s">
        <v>54</v>
      </c>
      <c r="AH169" s="23" t="s">
        <v>589</v>
      </c>
      <c r="AI169" s="23">
        <v>0.092232470274475</v>
      </c>
      <c r="AJ169">
        <v>69</v>
      </c>
      <c r="AK169">
        <v>57</v>
      </c>
      <c r="AL169">
        <v>57</v>
      </c>
      <c r="AM169">
        <v>62</v>
      </c>
      <c r="AN169" s="23">
        <v>0.0434782608695652</v>
      </c>
      <c r="AO169" s="23">
        <v>0.0526315789473684</v>
      </c>
      <c r="AP169" s="23">
        <v>0</v>
      </c>
      <c r="AQ169" s="23">
        <v>0.032258064516129</v>
      </c>
      <c r="AR169" s="35">
        <v>0.428571428571429</v>
      </c>
      <c r="AS169" s="35">
        <v>25.7142857142857</v>
      </c>
      <c r="AT169" s="35">
        <v>37.2857142857143</v>
      </c>
      <c r="AU169" s="31">
        <f t="shared" si="6"/>
        <v>147</v>
      </c>
      <c r="AV169" s="36">
        <f>IFERROR(时间!$B$4+AU169,"上周无销量")</f>
        <v>43486</v>
      </c>
    </row>
    <row r="170" spans="1:48">
      <c r="A170" s="21" t="s">
        <v>590</v>
      </c>
      <c r="B170" t="s">
        <v>591</v>
      </c>
      <c r="C170" t="s">
        <v>592</v>
      </c>
      <c r="D170" s="31">
        <v>0</v>
      </c>
      <c r="E170" s="31">
        <v>0</v>
      </c>
      <c r="F170" s="31">
        <v>0</v>
      </c>
      <c r="G170" s="31">
        <v>1</v>
      </c>
      <c r="H170" s="32">
        <v>79.6</v>
      </c>
      <c r="I170">
        <v>5</v>
      </c>
      <c r="J170" s="33">
        <v>0</v>
      </c>
      <c r="K170" s="33">
        <v>0</v>
      </c>
      <c r="L170" s="33">
        <v>0</v>
      </c>
      <c r="M170">
        <v>5</v>
      </c>
      <c r="N170">
        <v>0</v>
      </c>
      <c r="O170">
        <v>5</v>
      </c>
      <c r="P170">
        <v>0</v>
      </c>
      <c r="Q170">
        <v>8956</v>
      </c>
      <c r="R170">
        <v>0</v>
      </c>
      <c r="S170">
        <v>0</v>
      </c>
      <c r="T170">
        <v>0</v>
      </c>
      <c r="U170">
        <v>51</v>
      </c>
      <c r="V170">
        <v>0</v>
      </c>
      <c r="W170">
        <v>0</v>
      </c>
      <c r="X170" s="23" t="s">
        <v>54</v>
      </c>
      <c r="Y170" s="23">
        <v>0.0056945064761054</v>
      </c>
      <c r="Z170" s="23" t="s">
        <v>54</v>
      </c>
      <c r="AA170" s="23" t="s">
        <v>54</v>
      </c>
      <c r="AB170">
        <v>0</v>
      </c>
      <c r="AC170">
        <v>13.8</v>
      </c>
      <c r="AD170">
        <v>0</v>
      </c>
      <c r="AE170">
        <v>0</v>
      </c>
      <c r="AF170" s="23" t="s">
        <v>54</v>
      </c>
      <c r="AG170" s="23" t="s">
        <v>593</v>
      </c>
      <c r="AH170" s="23" t="s">
        <v>54</v>
      </c>
      <c r="AI170" s="23" t="s">
        <v>54</v>
      </c>
      <c r="AJ170">
        <v>10</v>
      </c>
      <c r="AK170">
        <v>72</v>
      </c>
      <c r="AL170">
        <v>65</v>
      </c>
      <c r="AM170">
        <v>16</v>
      </c>
      <c r="AN170" s="23">
        <v>0</v>
      </c>
      <c r="AO170" s="23">
        <v>0</v>
      </c>
      <c r="AP170" s="23">
        <v>0</v>
      </c>
      <c r="AQ170" s="23">
        <v>0.0625</v>
      </c>
      <c r="AR170" s="35">
        <v>0</v>
      </c>
      <c r="AS170" s="35">
        <v>0</v>
      </c>
      <c r="AT170" s="35">
        <v>5</v>
      </c>
      <c r="AU170" s="31" t="str">
        <f t="shared" si="6"/>
        <v>库存为5</v>
      </c>
      <c r="AV170" s="36" t="str">
        <f>IFERROR(时间!$B$4+AU170,"上周无销量")</f>
        <v>上周无销量</v>
      </c>
    </row>
    <row r="171" spans="1:48">
      <c r="A171" s="21" t="s">
        <v>594</v>
      </c>
      <c r="B171" t="s">
        <v>595</v>
      </c>
      <c r="C171" t="s">
        <v>596</v>
      </c>
      <c r="D171" s="31">
        <v>0</v>
      </c>
      <c r="E171" s="31">
        <v>0</v>
      </c>
      <c r="F171" s="31">
        <v>2</v>
      </c>
      <c r="G171" s="31">
        <v>1</v>
      </c>
      <c r="H171" s="32">
        <v>79.99</v>
      </c>
      <c r="I171">
        <v>13</v>
      </c>
      <c r="J171" s="33">
        <v>0</v>
      </c>
      <c r="K171" s="33">
        <v>0</v>
      </c>
      <c r="L171" s="33">
        <v>0</v>
      </c>
      <c r="M171">
        <v>13</v>
      </c>
      <c r="N171">
        <v>0</v>
      </c>
      <c r="O171">
        <v>13</v>
      </c>
      <c r="P171" t="s">
        <v>54</v>
      </c>
      <c r="Q171" t="s">
        <v>54</v>
      </c>
      <c r="R171" t="s">
        <v>54</v>
      </c>
      <c r="S171" t="s">
        <v>54</v>
      </c>
      <c r="T171" t="s">
        <v>54</v>
      </c>
      <c r="U171" t="s">
        <v>54</v>
      </c>
      <c r="V171" t="s">
        <v>54</v>
      </c>
      <c r="W171" t="s">
        <v>54</v>
      </c>
      <c r="X171" s="23" t="s">
        <v>54</v>
      </c>
      <c r="Y171" s="23" t="s">
        <v>54</v>
      </c>
      <c r="Z171" s="23" t="s">
        <v>54</v>
      </c>
      <c r="AA171" s="23" t="s">
        <v>54</v>
      </c>
      <c r="AB171" t="s">
        <v>54</v>
      </c>
      <c r="AC171" t="s">
        <v>54</v>
      </c>
      <c r="AD171" t="s">
        <v>54</v>
      </c>
      <c r="AE171" t="s">
        <v>54</v>
      </c>
      <c r="AF171" s="23" t="s">
        <v>54</v>
      </c>
      <c r="AG171" s="23" t="s">
        <v>54</v>
      </c>
      <c r="AH171" s="23" t="s">
        <v>54</v>
      </c>
      <c r="AI171" s="23" t="s">
        <v>54</v>
      </c>
      <c r="AJ171">
        <v>34</v>
      </c>
      <c r="AK171">
        <v>90</v>
      </c>
      <c r="AL171">
        <v>60</v>
      </c>
      <c r="AM171">
        <v>24</v>
      </c>
      <c r="AN171" s="23">
        <v>0</v>
      </c>
      <c r="AO171" s="23">
        <v>0</v>
      </c>
      <c r="AP171" s="23">
        <v>0.0333333333333333</v>
      </c>
      <c r="AQ171" s="23">
        <v>0.0416666666666667</v>
      </c>
      <c r="AR171" s="35">
        <v>0</v>
      </c>
      <c r="AS171" s="35">
        <v>0</v>
      </c>
      <c r="AT171" s="35">
        <v>13</v>
      </c>
      <c r="AU171" s="31" t="str">
        <f t="shared" si="6"/>
        <v>库存为13</v>
      </c>
      <c r="AV171" s="36" t="str">
        <f>IFERROR(时间!$B$4+AU171,"上周无销量")</f>
        <v>上周无销量</v>
      </c>
    </row>
    <row r="172" spans="1:48">
      <c r="A172" s="21" t="s">
        <v>597</v>
      </c>
      <c r="B172" t="s">
        <v>598</v>
      </c>
      <c r="C172" t="s">
        <v>599</v>
      </c>
      <c r="D172" s="31">
        <v>0</v>
      </c>
      <c r="E172" s="31">
        <v>0</v>
      </c>
      <c r="F172" s="31">
        <v>0</v>
      </c>
      <c r="G172" s="31">
        <v>0</v>
      </c>
      <c r="H172" s="32">
        <v>0</v>
      </c>
      <c r="I172">
        <v>1</v>
      </c>
      <c r="J172" s="33">
        <v>0</v>
      </c>
      <c r="K172" s="33">
        <v>0</v>
      </c>
      <c r="L172" s="33">
        <v>0</v>
      </c>
      <c r="M172">
        <v>1</v>
      </c>
      <c r="N172">
        <v>0</v>
      </c>
      <c r="O172">
        <v>0</v>
      </c>
      <c r="P172">
        <v>37</v>
      </c>
      <c r="Q172">
        <v>81</v>
      </c>
      <c r="R172">
        <v>11011</v>
      </c>
      <c r="S172">
        <v>11011</v>
      </c>
      <c r="T172">
        <v>1</v>
      </c>
      <c r="U172">
        <v>0</v>
      </c>
      <c r="V172">
        <v>125</v>
      </c>
      <c r="W172">
        <v>125</v>
      </c>
      <c r="X172" s="23">
        <v>0.027027027027027</v>
      </c>
      <c r="Y172" s="23">
        <v>0</v>
      </c>
      <c r="Z172" s="23">
        <v>0.0113522840795568</v>
      </c>
      <c r="AA172" s="23">
        <v>0.0113522840795568</v>
      </c>
      <c r="AB172">
        <v>0.13</v>
      </c>
      <c r="AC172">
        <v>0</v>
      </c>
      <c r="AD172">
        <v>20.17</v>
      </c>
      <c r="AE172">
        <v>20.17</v>
      </c>
      <c r="AF172" s="23" t="s">
        <v>600</v>
      </c>
      <c r="AG172" s="23" t="s">
        <v>54</v>
      </c>
      <c r="AH172" s="23" t="s">
        <v>601</v>
      </c>
      <c r="AI172" s="23" t="s">
        <v>601</v>
      </c>
      <c r="AJ172">
        <v>6</v>
      </c>
      <c r="AK172">
        <v>1</v>
      </c>
      <c r="AL172">
        <v>6</v>
      </c>
      <c r="AM172">
        <v>12</v>
      </c>
      <c r="AN172" s="23">
        <v>0</v>
      </c>
      <c r="AO172" s="23">
        <v>0</v>
      </c>
      <c r="AP172" s="23">
        <v>0</v>
      </c>
      <c r="AQ172" s="23">
        <v>0</v>
      </c>
      <c r="AR172" s="35">
        <v>0</v>
      </c>
      <c r="AS172" s="35">
        <v>0</v>
      </c>
      <c r="AT172" s="35">
        <v>1</v>
      </c>
      <c r="AU172" s="31" t="str">
        <f t="shared" si="6"/>
        <v>库存为1</v>
      </c>
      <c r="AV172" s="36" t="str">
        <f>IFERROR(时间!$B$4+AU172,"上周无销量")</f>
        <v>上周无销量</v>
      </c>
    </row>
    <row r="173" spans="1:48">
      <c r="A173" s="21" t="s">
        <v>602</v>
      </c>
      <c r="B173" t="s">
        <v>603</v>
      </c>
      <c r="C173" t="s">
        <v>599</v>
      </c>
      <c r="D173" s="31">
        <v>0</v>
      </c>
      <c r="E173" s="31">
        <v>0</v>
      </c>
      <c r="F173" s="31">
        <v>0</v>
      </c>
      <c r="G173" s="31">
        <v>1</v>
      </c>
      <c r="H173" s="32">
        <v>89.99</v>
      </c>
      <c r="I173">
        <v>0</v>
      </c>
      <c r="J173" s="33">
        <v>0</v>
      </c>
      <c r="K173" s="33">
        <v>0</v>
      </c>
      <c r="L173" s="33">
        <v>0</v>
      </c>
      <c r="M173">
        <v>0</v>
      </c>
      <c r="N173">
        <v>0</v>
      </c>
      <c r="O173">
        <v>0</v>
      </c>
      <c r="P173">
        <v>0</v>
      </c>
      <c r="Q173">
        <v>974</v>
      </c>
      <c r="R173">
        <v>12669</v>
      </c>
      <c r="S173">
        <v>12711</v>
      </c>
      <c r="T173">
        <v>0</v>
      </c>
      <c r="U173">
        <v>8</v>
      </c>
      <c r="V173">
        <v>80</v>
      </c>
      <c r="W173">
        <v>80</v>
      </c>
      <c r="X173" s="23" t="s">
        <v>54</v>
      </c>
      <c r="Y173" s="23">
        <v>0.0082135523613963</v>
      </c>
      <c r="Z173" s="23">
        <v>0.00631462625305865</v>
      </c>
      <c r="AA173" s="23">
        <v>0.00629376130910235</v>
      </c>
      <c r="AB173">
        <v>0</v>
      </c>
      <c r="AC173">
        <v>1.5</v>
      </c>
      <c r="AD173">
        <v>22.29</v>
      </c>
      <c r="AE173">
        <v>22.29</v>
      </c>
      <c r="AF173" s="23" t="s">
        <v>54</v>
      </c>
      <c r="AG173" s="23" t="s">
        <v>604</v>
      </c>
      <c r="AH173" s="23" t="s">
        <v>605</v>
      </c>
      <c r="AI173" s="23">
        <v>0.247694188243138</v>
      </c>
      <c r="AJ173">
        <v>0</v>
      </c>
      <c r="AK173">
        <v>18</v>
      </c>
      <c r="AL173">
        <v>26</v>
      </c>
      <c r="AM173">
        <v>56</v>
      </c>
      <c r="AN173" s="23" t="s">
        <v>54</v>
      </c>
      <c r="AO173" s="23">
        <v>0</v>
      </c>
      <c r="AP173" s="23">
        <v>0</v>
      </c>
      <c r="AQ173" s="23">
        <v>0.0178571428571429</v>
      </c>
      <c r="AR173" s="35">
        <v>0</v>
      </c>
      <c r="AS173" s="35">
        <v>0</v>
      </c>
      <c r="AT173" s="35">
        <v>0</v>
      </c>
      <c r="AU173" s="31" t="str">
        <f t="shared" si="6"/>
        <v>库存为0</v>
      </c>
      <c r="AV173" s="36" t="str">
        <f>IFERROR(时间!$B$4+AU173,"上周无销量")</f>
        <v>上周无销量</v>
      </c>
    </row>
    <row r="174" spans="1:48">
      <c r="A174" s="21" t="s">
        <v>606</v>
      </c>
      <c r="B174" t="s">
        <v>607</v>
      </c>
      <c r="C174" t="s">
        <v>599</v>
      </c>
      <c r="D174" s="31">
        <v>0</v>
      </c>
      <c r="E174" s="31">
        <v>0</v>
      </c>
      <c r="F174" s="31">
        <v>0</v>
      </c>
      <c r="G174" s="31">
        <v>0</v>
      </c>
      <c r="H174" s="32">
        <v>0</v>
      </c>
      <c r="I174">
        <v>1</v>
      </c>
      <c r="J174" s="33">
        <v>0</v>
      </c>
      <c r="K174" s="33">
        <v>0</v>
      </c>
      <c r="L174" s="33">
        <v>0</v>
      </c>
      <c r="M174">
        <v>1</v>
      </c>
      <c r="N174">
        <v>0</v>
      </c>
      <c r="O174">
        <v>1</v>
      </c>
      <c r="P174">
        <v>41</v>
      </c>
      <c r="Q174">
        <v>138</v>
      </c>
      <c r="R174">
        <v>1192</v>
      </c>
      <c r="S174">
        <v>1192</v>
      </c>
      <c r="T174">
        <v>1</v>
      </c>
      <c r="U174">
        <v>2</v>
      </c>
      <c r="V174">
        <v>25</v>
      </c>
      <c r="W174">
        <v>25</v>
      </c>
      <c r="X174" s="23">
        <v>0.024390243902439</v>
      </c>
      <c r="Y174" s="23">
        <v>0.0144927536231884</v>
      </c>
      <c r="Z174" s="23">
        <v>0.0209731543624161</v>
      </c>
      <c r="AA174" s="23">
        <v>0.0209731543624161</v>
      </c>
      <c r="AB174">
        <v>0.34</v>
      </c>
      <c r="AC174">
        <v>0.55</v>
      </c>
      <c r="AD174">
        <v>3.98</v>
      </c>
      <c r="AE174">
        <v>3.98</v>
      </c>
      <c r="AF174" s="23" t="s">
        <v>608</v>
      </c>
      <c r="AG174" s="23" t="s">
        <v>609</v>
      </c>
      <c r="AH174" s="23" t="s">
        <v>610</v>
      </c>
      <c r="AI174" s="23" t="s">
        <v>610</v>
      </c>
      <c r="AJ174">
        <v>16</v>
      </c>
      <c r="AK174">
        <v>15</v>
      </c>
      <c r="AL174">
        <v>13</v>
      </c>
      <c r="AM174">
        <v>15</v>
      </c>
      <c r="AN174" s="23">
        <v>0</v>
      </c>
      <c r="AO174" s="23">
        <v>0</v>
      </c>
      <c r="AP174" s="23">
        <v>0</v>
      </c>
      <c r="AQ174" s="23">
        <v>0</v>
      </c>
      <c r="AR174" s="35">
        <v>0</v>
      </c>
      <c r="AS174" s="35">
        <v>0</v>
      </c>
      <c r="AT174" s="35">
        <v>1</v>
      </c>
      <c r="AU174" s="31" t="str">
        <f t="shared" si="6"/>
        <v>库存为1</v>
      </c>
      <c r="AV174" s="36" t="str">
        <f>IFERROR(时间!$B$4+AU174,"上周无销量")</f>
        <v>上周无销量</v>
      </c>
    </row>
    <row r="175" spans="1:48">
      <c r="A175" s="21" t="s">
        <v>611</v>
      </c>
      <c r="B175" t="s">
        <v>612</v>
      </c>
      <c r="C175" t="s">
        <v>613</v>
      </c>
      <c r="D175" s="31">
        <v>1</v>
      </c>
      <c r="E175" s="31">
        <v>3</v>
      </c>
      <c r="F175" s="31">
        <v>3</v>
      </c>
      <c r="G175" s="31">
        <v>3</v>
      </c>
      <c r="H175" s="32">
        <v>99.99</v>
      </c>
      <c r="I175">
        <v>16</v>
      </c>
      <c r="J175" s="33">
        <v>2</v>
      </c>
      <c r="K175" s="33">
        <v>0</v>
      </c>
      <c r="L175" s="33">
        <v>2</v>
      </c>
      <c r="M175">
        <v>20</v>
      </c>
      <c r="N175">
        <v>0</v>
      </c>
      <c r="O175">
        <v>0</v>
      </c>
      <c r="P175">
        <v>6127</v>
      </c>
      <c r="Q175">
        <v>36494</v>
      </c>
      <c r="R175">
        <v>14</v>
      </c>
      <c r="S175">
        <v>14</v>
      </c>
      <c r="T175">
        <v>34</v>
      </c>
      <c r="U175">
        <v>159</v>
      </c>
      <c r="V175">
        <v>0</v>
      </c>
      <c r="W175">
        <v>0</v>
      </c>
      <c r="X175" s="23">
        <v>0.00554920842173984</v>
      </c>
      <c r="Y175" s="23">
        <v>0.00435688058310955</v>
      </c>
      <c r="Z175" s="23">
        <v>0</v>
      </c>
      <c r="AA175" s="23">
        <v>0</v>
      </c>
      <c r="AB175">
        <v>8.85</v>
      </c>
      <c r="AC175">
        <v>40.29</v>
      </c>
      <c r="AD175">
        <v>0</v>
      </c>
      <c r="AE175">
        <v>0</v>
      </c>
      <c r="AF175" s="23">
        <v>0.0885088508850885</v>
      </c>
      <c r="AG175" s="23">
        <v>0.134313431343134</v>
      </c>
      <c r="AH175" s="23" t="s">
        <v>54</v>
      </c>
      <c r="AI175" s="23" t="s">
        <v>54</v>
      </c>
      <c r="AJ175">
        <v>194</v>
      </c>
      <c r="AK175">
        <v>437</v>
      </c>
      <c r="AL175">
        <v>202</v>
      </c>
      <c r="AM175">
        <v>144</v>
      </c>
      <c r="AN175" s="23">
        <v>0.00515463917525773</v>
      </c>
      <c r="AO175" s="23">
        <v>0.0068649885583524</v>
      </c>
      <c r="AP175" s="23">
        <v>0.0148514851485149</v>
      </c>
      <c r="AQ175" s="23">
        <v>0.0208333333333333</v>
      </c>
      <c r="AR175" s="35">
        <v>0.142857142857143</v>
      </c>
      <c r="AS175" s="35">
        <v>8.57142857142857</v>
      </c>
      <c r="AT175" s="35">
        <v>11.4285714285714</v>
      </c>
      <c r="AU175" s="31">
        <f t="shared" si="6"/>
        <v>140</v>
      </c>
      <c r="AV175" s="36">
        <f>IFERROR(时间!$B$4+AU175,"上周无销量")</f>
        <v>43479</v>
      </c>
    </row>
    <row r="176" spans="1:48">
      <c r="A176" s="21" t="s">
        <v>614</v>
      </c>
      <c r="B176" t="s">
        <v>615</v>
      </c>
      <c r="C176" t="s">
        <v>616</v>
      </c>
      <c r="D176" s="31">
        <v>0</v>
      </c>
      <c r="E176" s="31">
        <v>0</v>
      </c>
      <c r="F176" s="31">
        <v>0</v>
      </c>
      <c r="G176" s="31">
        <v>0</v>
      </c>
      <c r="H176" s="32">
        <v>0</v>
      </c>
      <c r="I176">
        <v>16</v>
      </c>
      <c r="J176" s="33">
        <v>0</v>
      </c>
      <c r="K176" s="33">
        <v>0</v>
      </c>
      <c r="L176" s="33">
        <v>0</v>
      </c>
      <c r="M176">
        <v>16</v>
      </c>
      <c r="N176">
        <v>0</v>
      </c>
      <c r="O176">
        <v>16</v>
      </c>
      <c r="P176" t="s">
        <v>54</v>
      </c>
      <c r="Q176" t="s">
        <v>54</v>
      </c>
      <c r="R176" t="s">
        <v>54</v>
      </c>
      <c r="S176" t="s">
        <v>54</v>
      </c>
      <c r="T176" t="s">
        <v>54</v>
      </c>
      <c r="U176" t="s">
        <v>54</v>
      </c>
      <c r="V176" t="s">
        <v>54</v>
      </c>
      <c r="W176" t="s">
        <v>54</v>
      </c>
      <c r="X176" s="23" t="s">
        <v>54</v>
      </c>
      <c r="Y176" s="23" t="s">
        <v>54</v>
      </c>
      <c r="Z176" s="23" t="s">
        <v>54</v>
      </c>
      <c r="AA176" s="23" t="s">
        <v>54</v>
      </c>
      <c r="AB176" t="s">
        <v>54</v>
      </c>
      <c r="AC176" t="s">
        <v>54</v>
      </c>
      <c r="AD176" t="s">
        <v>54</v>
      </c>
      <c r="AE176" t="s">
        <v>54</v>
      </c>
      <c r="AF176" s="23" t="s">
        <v>54</v>
      </c>
      <c r="AG176" s="23" t="s">
        <v>54</v>
      </c>
      <c r="AH176" s="23" t="s">
        <v>54</v>
      </c>
      <c r="AI176" s="23" t="s">
        <v>54</v>
      </c>
      <c r="AJ176">
        <v>8</v>
      </c>
      <c r="AK176">
        <v>9</v>
      </c>
      <c r="AL176">
        <v>7</v>
      </c>
      <c r="AM176">
        <v>8</v>
      </c>
      <c r="AN176" s="23">
        <v>0</v>
      </c>
      <c r="AO176" s="23">
        <v>0</v>
      </c>
      <c r="AP176" s="23">
        <v>0</v>
      </c>
      <c r="AQ176" s="23">
        <v>0</v>
      </c>
      <c r="AR176" s="35">
        <v>0</v>
      </c>
      <c r="AS176" s="35">
        <v>0</v>
      </c>
      <c r="AT176" s="35">
        <v>16</v>
      </c>
      <c r="AU176" s="31" t="str">
        <f t="shared" si="6"/>
        <v>库存为16</v>
      </c>
      <c r="AV176" s="36" t="str">
        <f>IFERROR(时间!$B$4+AU176,"上周无销量")</f>
        <v>上周无销量</v>
      </c>
    </row>
    <row r="177" spans="1:48">
      <c r="A177" s="21" t="s">
        <v>617</v>
      </c>
      <c r="B177" t="s">
        <v>618</v>
      </c>
      <c r="C177" t="s">
        <v>619</v>
      </c>
      <c r="D177" s="31">
        <v>0</v>
      </c>
      <c r="E177" s="31">
        <v>0</v>
      </c>
      <c r="F177" s="31">
        <v>0</v>
      </c>
      <c r="G177" s="31">
        <v>0</v>
      </c>
      <c r="H177" s="32">
        <v>0</v>
      </c>
      <c r="I177">
        <v>8</v>
      </c>
      <c r="J177" s="33">
        <v>0</v>
      </c>
      <c r="K177" s="33">
        <v>0</v>
      </c>
      <c r="L177" s="33">
        <v>0</v>
      </c>
      <c r="M177">
        <v>8</v>
      </c>
      <c r="N177">
        <v>0</v>
      </c>
      <c r="O177">
        <v>4</v>
      </c>
      <c r="P177" t="s">
        <v>54</v>
      </c>
      <c r="Q177" t="s">
        <v>54</v>
      </c>
      <c r="R177" t="s">
        <v>54</v>
      </c>
      <c r="S177" t="s">
        <v>54</v>
      </c>
      <c r="T177" t="s">
        <v>54</v>
      </c>
      <c r="U177" t="s">
        <v>54</v>
      </c>
      <c r="V177" t="s">
        <v>54</v>
      </c>
      <c r="W177" t="s">
        <v>54</v>
      </c>
      <c r="X177" s="23" t="s">
        <v>54</v>
      </c>
      <c r="Y177" s="23" t="s">
        <v>54</v>
      </c>
      <c r="Z177" s="23" t="s">
        <v>54</v>
      </c>
      <c r="AA177" s="23" t="s">
        <v>54</v>
      </c>
      <c r="AB177" t="s">
        <v>54</v>
      </c>
      <c r="AC177" t="s">
        <v>54</v>
      </c>
      <c r="AD177" t="s">
        <v>54</v>
      </c>
      <c r="AE177" t="s">
        <v>54</v>
      </c>
      <c r="AF177" s="23" t="s">
        <v>54</v>
      </c>
      <c r="AG177" s="23" t="s">
        <v>54</v>
      </c>
      <c r="AH177" s="23" t="s">
        <v>54</v>
      </c>
      <c r="AI177" s="23" t="s">
        <v>54</v>
      </c>
      <c r="AJ177">
        <v>8</v>
      </c>
      <c r="AK177">
        <v>15</v>
      </c>
      <c r="AL177">
        <v>22</v>
      </c>
      <c r="AM177">
        <v>25</v>
      </c>
      <c r="AN177" s="23">
        <v>0</v>
      </c>
      <c r="AO177" s="23">
        <v>0</v>
      </c>
      <c r="AP177" s="23">
        <v>0</v>
      </c>
      <c r="AQ177" s="23">
        <v>0</v>
      </c>
      <c r="AR177" s="35">
        <v>0</v>
      </c>
      <c r="AS177" s="35">
        <v>0</v>
      </c>
      <c r="AT177" s="35">
        <v>8</v>
      </c>
      <c r="AU177" s="31" t="str">
        <f t="shared" si="6"/>
        <v>库存为8</v>
      </c>
      <c r="AV177" s="36" t="str">
        <f>IFERROR(时间!$B$4+AU177,"上周无销量")</f>
        <v>上周无销量</v>
      </c>
    </row>
    <row r="178" spans="1:48">
      <c r="A178" s="21" t="s">
        <v>620</v>
      </c>
      <c r="B178" t="s">
        <v>621</v>
      </c>
      <c r="C178" t="s">
        <v>619</v>
      </c>
      <c r="D178" s="31">
        <v>0</v>
      </c>
      <c r="E178" s="31">
        <v>0</v>
      </c>
      <c r="F178" s="31">
        <v>0</v>
      </c>
      <c r="G178" s="31">
        <v>0</v>
      </c>
      <c r="H178" s="32">
        <v>0</v>
      </c>
      <c r="I178">
        <v>18</v>
      </c>
      <c r="J178" s="33">
        <v>0</v>
      </c>
      <c r="K178" s="33">
        <v>0</v>
      </c>
      <c r="L178" s="33">
        <v>0</v>
      </c>
      <c r="M178">
        <v>18</v>
      </c>
      <c r="N178">
        <v>0</v>
      </c>
      <c r="O178">
        <v>8</v>
      </c>
      <c r="P178" t="s">
        <v>54</v>
      </c>
      <c r="Q178" t="s">
        <v>54</v>
      </c>
      <c r="R178" t="s">
        <v>54</v>
      </c>
      <c r="S178" t="s">
        <v>54</v>
      </c>
      <c r="T178" t="s">
        <v>54</v>
      </c>
      <c r="U178" t="s">
        <v>54</v>
      </c>
      <c r="V178" t="s">
        <v>54</v>
      </c>
      <c r="W178" t="s">
        <v>54</v>
      </c>
      <c r="X178" s="23" t="s">
        <v>54</v>
      </c>
      <c r="Y178" s="23" t="s">
        <v>54</v>
      </c>
      <c r="Z178" s="23" t="s">
        <v>54</v>
      </c>
      <c r="AA178" s="23" t="s">
        <v>54</v>
      </c>
      <c r="AB178" t="s">
        <v>54</v>
      </c>
      <c r="AC178" t="s">
        <v>54</v>
      </c>
      <c r="AD178" t="s">
        <v>54</v>
      </c>
      <c r="AE178" t="s">
        <v>54</v>
      </c>
      <c r="AF178" s="23" t="s">
        <v>54</v>
      </c>
      <c r="AG178" s="23" t="s">
        <v>54</v>
      </c>
      <c r="AH178" s="23" t="s">
        <v>54</v>
      </c>
      <c r="AI178" s="23" t="s">
        <v>54</v>
      </c>
      <c r="AJ178">
        <v>15</v>
      </c>
      <c r="AK178">
        <v>23</v>
      </c>
      <c r="AL178">
        <v>29</v>
      </c>
      <c r="AM178">
        <v>51</v>
      </c>
      <c r="AN178" s="23">
        <v>0</v>
      </c>
      <c r="AO178" s="23">
        <v>0</v>
      </c>
      <c r="AP178" s="23">
        <v>0</v>
      </c>
      <c r="AQ178" s="23">
        <v>0</v>
      </c>
      <c r="AR178" s="35">
        <v>0</v>
      </c>
      <c r="AS178" s="35">
        <v>0</v>
      </c>
      <c r="AT178" s="35">
        <v>18</v>
      </c>
      <c r="AU178" s="31" t="str">
        <f t="shared" si="6"/>
        <v>库存为18</v>
      </c>
      <c r="AV178" s="36" t="str">
        <f>IFERROR(时间!$B$4+AU178,"上周无销量")</f>
        <v>上周无销量</v>
      </c>
    </row>
    <row r="179" spans="1:48">
      <c r="A179" s="21" t="s">
        <v>622</v>
      </c>
      <c r="B179" t="s">
        <v>623</v>
      </c>
      <c r="C179" t="s">
        <v>619</v>
      </c>
      <c r="D179" s="31">
        <v>0</v>
      </c>
      <c r="E179" s="31">
        <v>2</v>
      </c>
      <c r="F179" s="31">
        <v>3</v>
      </c>
      <c r="G179" s="31">
        <v>2</v>
      </c>
      <c r="H179" s="32">
        <v>34.99</v>
      </c>
      <c r="I179">
        <v>49</v>
      </c>
      <c r="J179" s="33">
        <v>0</v>
      </c>
      <c r="K179" s="33">
        <v>0</v>
      </c>
      <c r="L179" s="33">
        <v>0</v>
      </c>
      <c r="M179">
        <v>49</v>
      </c>
      <c r="N179">
        <v>1</v>
      </c>
      <c r="O179">
        <v>0</v>
      </c>
      <c r="P179">
        <v>0</v>
      </c>
      <c r="Q179">
        <v>0</v>
      </c>
      <c r="R179">
        <v>57765</v>
      </c>
      <c r="S179">
        <v>57765</v>
      </c>
      <c r="T179">
        <v>0</v>
      </c>
      <c r="U179">
        <v>0</v>
      </c>
      <c r="V179">
        <v>282</v>
      </c>
      <c r="W179">
        <v>282</v>
      </c>
      <c r="X179" s="23" t="s">
        <v>54</v>
      </c>
      <c r="Y179" s="23" t="s">
        <v>54</v>
      </c>
      <c r="Z179" s="23">
        <v>0.00488184887042327</v>
      </c>
      <c r="AA179" s="23">
        <v>0.00488184887042327</v>
      </c>
      <c r="AB179">
        <v>0</v>
      </c>
      <c r="AC179">
        <v>0</v>
      </c>
      <c r="AD179">
        <v>57.64</v>
      </c>
      <c r="AE179">
        <v>57.64</v>
      </c>
      <c r="AF179" s="23" t="s">
        <v>54</v>
      </c>
      <c r="AG179" s="23" t="s">
        <v>54</v>
      </c>
      <c r="AH179" s="23">
        <v>0.549109269315042</v>
      </c>
      <c r="AI179" s="23">
        <v>0.823663903972564</v>
      </c>
      <c r="AJ179">
        <v>109</v>
      </c>
      <c r="AK179">
        <v>142</v>
      </c>
      <c r="AL179">
        <v>127</v>
      </c>
      <c r="AM179">
        <v>135</v>
      </c>
      <c r="AN179" s="23">
        <v>0</v>
      </c>
      <c r="AO179" s="23">
        <v>0.0140845070422535</v>
      </c>
      <c r="AP179" s="23">
        <v>0.0236220472440945</v>
      </c>
      <c r="AQ179" s="23">
        <v>0.0148148148148148</v>
      </c>
      <c r="AR179" s="35">
        <v>0</v>
      </c>
      <c r="AS179" s="35">
        <v>0</v>
      </c>
      <c r="AT179" s="35">
        <v>49</v>
      </c>
      <c r="AU179" s="31" t="str">
        <f t="shared" si="6"/>
        <v>库存为49</v>
      </c>
      <c r="AV179" s="36" t="str">
        <f>IFERROR(时间!$B$4+AU179,"上周无销量")</f>
        <v>上周无销量</v>
      </c>
    </row>
    <row r="180" spans="1:48">
      <c r="A180" s="21" t="s">
        <v>624</v>
      </c>
      <c r="B180" t="s">
        <v>625</v>
      </c>
      <c r="C180" t="s">
        <v>619</v>
      </c>
      <c r="D180" s="31">
        <v>0</v>
      </c>
      <c r="E180" s="31">
        <v>0</v>
      </c>
      <c r="F180" s="31">
        <v>0</v>
      </c>
      <c r="G180" s="31">
        <v>0</v>
      </c>
      <c r="H180" s="32">
        <v>0</v>
      </c>
      <c r="I180">
        <v>0</v>
      </c>
      <c r="J180" s="33">
        <v>0</v>
      </c>
      <c r="K180" s="33">
        <v>0</v>
      </c>
      <c r="L180" s="33">
        <v>0</v>
      </c>
      <c r="M180">
        <v>0</v>
      </c>
      <c r="N180">
        <v>0</v>
      </c>
      <c r="O180">
        <v>0</v>
      </c>
      <c r="P180" t="s">
        <v>54</v>
      </c>
      <c r="Q180" t="s">
        <v>54</v>
      </c>
      <c r="R180" t="s">
        <v>54</v>
      </c>
      <c r="S180" t="s">
        <v>54</v>
      </c>
      <c r="T180" t="s">
        <v>54</v>
      </c>
      <c r="U180" t="s">
        <v>54</v>
      </c>
      <c r="V180" t="s">
        <v>54</v>
      </c>
      <c r="W180" t="s">
        <v>54</v>
      </c>
      <c r="X180" s="23" t="s">
        <v>54</v>
      </c>
      <c r="Y180" s="23" t="s">
        <v>54</v>
      </c>
      <c r="Z180" s="23" t="s">
        <v>54</v>
      </c>
      <c r="AA180" s="23" t="s">
        <v>54</v>
      </c>
      <c r="AB180" t="s">
        <v>54</v>
      </c>
      <c r="AC180" t="s">
        <v>54</v>
      </c>
      <c r="AD180" t="s">
        <v>54</v>
      </c>
      <c r="AE180" t="s">
        <v>54</v>
      </c>
      <c r="AF180" s="23" t="s">
        <v>54</v>
      </c>
      <c r="AG180" s="23" t="s">
        <v>54</v>
      </c>
      <c r="AH180" s="23" t="s">
        <v>54</v>
      </c>
      <c r="AI180" s="23" t="s">
        <v>54</v>
      </c>
      <c r="AJ180">
        <v>0</v>
      </c>
      <c r="AK180">
        <v>0</v>
      </c>
      <c r="AL180">
        <v>0</v>
      </c>
      <c r="AM180">
        <v>0</v>
      </c>
      <c r="AN180" s="23" t="s">
        <v>54</v>
      </c>
      <c r="AO180" s="23" t="s">
        <v>54</v>
      </c>
      <c r="AP180" s="23" t="s">
        <v>54</v>
      </c>
      <c r="AQ180" s="23" t="s">
        <v>54</v>
      </c>
      <c r="AR180" s="35">
        <v>0</v>
      </c>
      <c r="AS180" s="35">
        <v>0</v>
      </c>
      <c r="AT180" s="35">
        <v>0</v>
      </c>
      <c r="AU180" s="31" t="str">
        <f t="shared" si="6"/>
        <v>库存为0</v>
      </c>
      <c r="AV180" s="36" t="str">
        <f>IFERROR(时间!$B$4+AU180,"上周无销量")</f>
        <v>上周无销量</v>
      </c>
    </row>
    <row r="181" spans="1:48">
      <c r="A181" s="21" t="s">
        <v>626</v>
      </c>
      <c r="B181" t="s">
        <v>618</v>
      </c>
      <c r="C181" t="s">
        <v>619</v>
      </c>
      <c r="D181" s="31">
        <v>0</v>
      </c>
      <c r="E181" s="31">
        <v>0</v>
      </c>
      <c r="F181" s="31">
        <v>0</v>
      </c>
      <c r="G181" s="31">
        <v>0</v>
      </c>
      <c r="H181" s="32">
        <v>0</v>
      </c>
      <c r="I181">
        <v>0</v>
      </c>
      <c r="J181" s="33">
        <v>0</v>
      </c>
      <c r="K181" s="33">
        <v>0</v>
      </c>
      <c r="L181" s="33">
        <v>0</v>
      </c>
      <c r="M181">
        <v>0</v>
      </c>
      <c r="N181">
        <v>0</v>
      </c>
      <c r="O181">
        <v>0</v>
      </c>
      <c r="P181" t="s">
        <v>54</v>
      </c>
      <c r="Q181" t="s">
        <v>54</v>
      </c>
      <c r="R181" t="s">
        <v>54</v>
      </c>
      <c r="S181" t="s">
        <v>54</v>
      </c>
      <c r="T181" t="s">
        <v>54</v>
      </c>
      <c r="U181" t="s">
        <v>54</v>
      </c>
      <c r="V181" t="s">
        <v>54</v>
      </c>
      <c r="W181" t="s">
        <v>54</v>
      </c>
      <c r="X181" s="23" t="s">
        <v>54</v>
      </c>
      <c r="Y181" s="23" t="s">
        <v>54</v>
      </c>
      <c r="Z181" s="23" t="s">
        <v>54</v>
      </c>
      <c r="AA181" s="23" t="s">
        <v>54</v>
      </c>
      <c r="AB181" t="s">
        <v>54</v>
      </c>
      <c r="AC181" t="s">
        <v>54</v>
      </c>
      <c r="AD181" t="s">
        <v>54</v>
      </c>
      <c r="AE181" t="s">
        <v>54</v>
      </c>
      <c r="AF181" s="23" t="s">
        <v>54</v>
      </c>
      <c r="AG181" s="23" t="s">
        <v>54</v>
      </c>
      <c r="AH181" s="23" t="s">
        <v>54</v>
      </c>
      <c r="AI181" s="23" t="s">
        <v>54</v>
      </c>
      <c r="AJ181">
        <v>8</v>
      </c>
      <c r="AK181">
        <v>15</v>
      </c>
      <c r="AL181">
        <v>22</v>
      </c>
      <c r="AM181">
        <v>25</v>
      </c>
      <c r="AN181" s="23">
        <v>0</v>
      </c>
      <c r="AO181" s="23">
        <v>0</v>
      </c>
      <c r="AP181" s="23">
        <v>0</v>
      </c>
      <c r="AQ181" s="23">
        <v>0</v>
      </c>
      <c r="AR181" s="35">
        <v>0</v>
      </c>
      <c r="AS181" s="35">
        <v>0</v>
      </c>
      <c r="AT181" s="35">
        <v>0</v>
      </c>
      <c r="AU181" s="31" t="str">
        <f t="shared" si="6"/>
        <v>库存为0</v>
      </c>
      <c r="AV181" s="36" t="str">
        <f>IFERROR(时间!$B$4+AU181,"上周无销量")</f>
        <v>上周无销量</v>
      </c>
    </row>
    <row r="182" spans="1:48">
      <c r="A182" s="21" t="s">
        <v>627</v>
      </c>
      <c r="B182" t="s">
        <v>544</v>
      </c>
      <c r="C182" t="s">
        <v>628</v>
      </c>
      <c r="D182" s="31">
        <v>1</v>
      </c>
      <c r="E182" s="31">
        <v>0</v>
      </c>
      <c r="F182" s="31">
        <v>5</v>
      </c>
      <c r="G182" s="31">
        <v>1</v>
      </c>
      <c r="H182" s="32">
        <v>89.99</v>
      </c>
      <c r="I182">
        <v>50</v>
      </c>
      <c r="J182" s="33">
        <v>0</v>
      </c>
      <c r="K182" s="33">
        <v>0</v>
      </c>
      <c r="L182" s="33">
        <v>4</v>
      </c>
      <c r="M182">
        <v>54</v>
      </c>
      <c r="N182">
        <v>0</v>
      </c>
      <c r="O182">
        <v>0</v>
      </c>
      <c r="P182" t="s">
        <v>54</v>
      </c>
      <c r="Q182" t="s">
        <v>54</v>
      </c>
      <c r="R182" t="s">
        <v>54</v>
      </c>
      <c r="S182" t="s">
        <v>54</v>
      </c>
      <c r="T182" t="s">
        <v>54</v>
      </c>
      <c r="U182" t="s">
        <v>54</v>
      </c>
      <c r="V182" t="s">
        <v>54</v>
      </c>
      <c r="W182" t="s">
        <v>54</v>
      </c>
      <c r="X182" s="23" t="s">
        <v>54</v>
      </c>
      <c r="Y182" s="23" t="s">
        <v>54</v>
      </c>
      <c r="Z182" s="23" t="s">
        <v>54</v>
      </c>
      <c r="AA182" s="23" t="s">
        <v>54</v>
      </c>
      <c r="AB182" t="s">
        <v>54</v>
      </c>
      <c r="AC182" t="s">
        <v>54</v>
      </c>
      <c r="AD182" t="s">
        <v>54</v>
      </c>
      <c r="AE182" t="s">
        <v>54</v>
      </c>
      <c r="AF182" s="23" t="s">
        <v>54</v>
      </c>
      <c r="AG182" s="23" t="s">
        <v>54</v>
      </c>
      <c r="AH182" s="23" t="s">
        <v>54</v>
      </c>
      <c r="AI182" s="23" t="s">
        <v>54</v>
      </c>
      <c r="AJ182">
        <v>111</v>
      </c>
      <c r="AK182">
        <v>128</v>
      </c>
      <c r="AL182">
        <v>141</v>
      </c>
      <c r="AM182">
        <v>64</v>
      </c>
      <c r="AN182" s="23">
        <v>0.00900900900900901</v>
      </c>
      <c r="AO182" s="23">
        <v>0</v>
      </c>
      <c r="AP182" s="23">
        <v>0.0354609929078014</v>
      </c>
      <c r="AQ182" s="23">
        <v>0.015625</v>
      </c>
      <c r="AR182" s="35">
        <v>0.142857142857143</v>
      </c>
      <c r="AS182" s="35">
        <v>8.57142857142857</v>
      </c>
      <c r="AT182" s="35">
        <v>45.4285714285714</v>
      </c>
      <c r="AU182" s="31">
        <f t="shared" si="6"/>
        <v>378</v>
      </c>
      <c r="AV182" s="36">
        <f>IFERROR(时间!$B$4+AU182,"上周无销量")</f>
        <v>43717</v>
      </c>
    </row>
    <row r="183" spans="1:48">
      <c r="A183" s="21" t="s">
        <v>629</v>
      </c>
      <c r="B183" t="s">
        <v>630</v>
      </c>
      <c r="C183" t="s">
        <v>631</v>
      </c>
      <c r="D183" s="31">
        <v>0</v>
      </c>
      <c r="E183" s="31">
        <v>0</v>
      </c>
      <c r="F183" s="31">
        <v>0</v>
      </c>
      <c r="G183" s="31">
        <v>0</v>
      </c>
      <c r="H183" s="32">
        <v>0</v>
      </c>
      <c r="I183">
        <v>0</v>
      </c>
      <c r="J183" s="33">
        <v>0</v>
      </c>
      <c r="K183" s="33">
        <v>0</v>
      </c>
      <c r="L183" s="33">
        <v>0</v>
      </c>
      <c r="M183">
        <v>0</v>
      </c>
      <c r="N183">
        <v>0</v>
      </c>
      <c r="O183">
        <v>0</v>
      </c>
      <c r="P183" t="s">
        <v>54</v>
      </c>
      <c r="Q183" t="s">
        <v>54</v>
      </c>
      <c r="R183" t="s">
        <v>54</v>
      </c>
      <c r="S183" t="s">
        <v>54</v>
      </c>
      <c r="T183" t="s">
        <v>54</v>
      </c>
      <c r="U183" t="s">
        <v>54</v>
      </c>
      <c r="V183" t="s">
        <v>54</v>
      </c>
      <c r="W183" t="s">
        <v>54</v>
      </c>
      <c r="X183" s="23" t="s">
        <v>54</v>
      </c>
      <c r="Y183" s="23" t="s">
        <v>54</v>
      </c>
      <c r="Z183" s="23" t="s">
        <v>54</v>
      </c>
      <c r="AA183" s="23" t="s">
        <v>54</v>
      </c>
      <c r="AB183" t="s">
        <v>54</v>
      </c>
      <c r="AC183" t="s">
        <v>54</v>
      </c>
      <c r="AD183" t="s">
        <v>54</v>
      </c>
      <c r="AE183" t="s">
        <v>54</v>
      </c>
      <c r="AF183" s="23" t="s">
        <v>54</v>
      </c>
      <c r="AG183" s="23" t="s">
        <v>54</v>
      </c>
      <c r="AH183" s="23" t="s">
        <v>54</v>
      </c>
      <c r="AI183" s="23" t="s">
        <v>54</v>
      </c>
      <c r="AJ183">
        <v>0</v>
      </c>
      <c r="AK183">
        <v>4</v>
      </c>
      <c r="AL183">
        <v>22</v>
      </c>
      <c r="AM183">
        <v>16</v>
      </c>
      <c r="AN183" s="23" t="s">
        <v>54</v>
      </c>
      <c r="AO183" s="23">
        <v>0</v>
      </c>
      <c r="AP183" s="23">
        <v>0</v>
      </c>
      <c r="AQ183" s="23">
        <v>0</v>
      </c>
      <c r="AR183" s="35">
        <v>0</v>
      </c>
      <c r="AS183" s="35">
        <v>0</v>
      </c>
      <c r="AT183" s="35">
        <v>0</v>
      </c>
      <c r="AU183" s="31" t="str">
        <f t="shared" si="6"/>
        <v>库存为0</v>
      </c>
      <c r="AV183" s="36" t="str">
        <f>IFERROR(时间!$B$4+AU183,"上周无销量")</f>
        <v>上周无销量</v>
      </c>
    </row>
    <row r="184" spans="1:48">
      <c r="A184" s="21" t="s">
        <v>632</v>
      </c>
      <c r="B184" t="s">
        <v>633</v>
      </c>
      <c r="C184" t="s">
        <v>634</v>
      </c>
      <c r="D184" s="31">
        <v>0</v>
      </c>
      <c r="E184" s="31">
        <v>1</v>
      </c>
      <c r="F184" s="31">
        <v>1</v>
      </c>
      <c r="G184" s="31">
        <v>2</v>
      </c>
      <c r="H184" s="32">
        <v>99.6</v>
      </c>
      <c r="I184">
        <v>29</v>
      </c>
      <c r="J184" s="33">
        <v>0</v>
      </c>
      <c r="K184" s="33">
        <v>0</v>
      </c>
      <c r="L184" s="33">
        <v>1</v>
      </c>
      <c r="M184">
        <v>30</v>
      </c>
      <c r="N184">
        <v>0</v>
      </c>
      <c r="O184">
        <v>0</v>
      </c>
      <c r="P184">
        <v>0</v>
      </c>
      <c r="Q184">
        <v>0</v>
      </c>
      <c r="R184">
        <v>18953</v>
      </c>
      <c r="S184">
        <v>18953</v>
      </c>
      <c r="T184">
        <v>0</v>
      </c>
      <c r="U184">
        <v>0</v>
      </c>
      <c r="V184">
        <v>131</v>
      </c>
      <c r="W184">
        <v>131</v>
      </c>
      <c r="X184" s="23" t="s">
        <v>54</v>
      </c>
      <c r="Y184" s="23" t="s">
        <v>54</v>
      </c>
      <c r="Z184" s="23">
        <v>0.00691183453806785</v>
      </c>
      <c r="AA184" s="23">
        <v>0.00691183453806785</v>
      </c>
      <c r="AB184">
        <v>0</v>
      </c>
      <c r="AC184">
        <v>0</v>
      </c>
      <c r="AD184">
        <v>19.11</v>
      </c>
      <c r="AE184">
        <v>19.11</v>
      </c>
      <c r="AF184" s="23" t="s">
        <v>54</v>
      </c>
      <c r="AG184" s="23" t="s">
        <v>54</v>
      </c>
      <c r="AH184" s="23">
        <v>0.191867469879518</v>
      </c>
      <c r="AI184" s="23">
        <v>0.095933734939759</v>
      </c>
      <c r="AJ184">
        <v>38</v>
      </c>
      <c r="AK184">
        <v>66</v>
      </c>
      <c r="AL184">
        <v>60</v>
      </c>
      <c r="AM184">
        <v>44</v>
      </c>
      <c r="AN184" s="23">
        <v>0</v>
      </c>
      <c r="AO184" s="23">
        <v>0.0151515151515152</v>
      </c>
      <c r="AP184" s="23">
        <v>0.0166666666666667</v>
      </c>
      <c r="AQ184" s="23">
        <v>0.0454545454545455</v>
      </c>
      <c r="AR184" s="35">
        <v>0</v>
      </c>
      <c r="AS184" s="35">
        <v>0</v>
      </c>
      <c r="AT184" s="35">
        <v>30</v>
      </c>
      <c r="AU184" s="31" t="str">
        <f t="shared" si="6"/>
        <v>库存为30</v>
      </c>
      <c r="AV184" s="36" t="str">
        <f>IFERROR(时间!$B$4+AU184,"上周无销量")</f>
        <v>上周无销量</v>
      </c>
    </row>
    <row r="185" spans="1:48">
      <c r="A185" s="21" t="s">
        <v>635</v>
      </c>
      <c r="B185" t="s">
        <v>636</v>
      </c>
      <c r="C185" t="s">
        <v>637</v>
      </c>
      <c r="D185" s="31">
        <v>6</v>
      </c>
      <c r="E185" s="31">
        <v>3</v>
      </c>
      <c r="F185" s="31">
        <v>0</v>
      </c>
      <c r="G185" s="31">
        <v>2</v>
      </c>
      <c r="H185" s="32">
        <v>21.99</v>
      </c>
      <c r="I185">
        <v>9</v>
      </c>
      <c r="J185" s="33">
        <v>0</v>
      </c>
      <c r="K185" s="33">
        <v>0</v>
      </c>
      <c r="L185" s="33">
        <v>0</v>
      </c>
      <c r="M185">
        <v>9</v>
      </c>
      <c r="N185">
        <v>0</v>
      </c>
      <c r="O185">
        <v>14</v>
      </c>
      <c r="P185" t="s">
        <v>54</v>
      </c>
      <c r="Q185" t="s">
        <v>54</v>
      </c>
      <c r="R185" t="s">
        <v>54</v>
      </c>
      <c r="S185" t="s">
        <v>54</v>
      </c>
      <c r="T185" t="s">
        <v>54</v>
      </c>
      <c r="U185" t="s">
        <v>54</v>
      </c>
      <c r="V185" t="s">
        <v>54</v>
      </c>
      <c r="W185" t="s">
        <v>54</v>
      </c>
      <c r="X185" s="23" t="s">
        <v>54</v>
      </c>
      <c r="Y185" s="23" t="s">
        <v>54</v>
      </c>
      <c r="Z185" s="23" t="s">
        <v>54</v>
      </c>
      <c r="AA185" s="23" t="s">
        <v>54</v>
      </c>
      <c r="AB185" t="s">
        <v>54</v>
      </c>
      <c r="AC185" t="s">
        <v>54</v>
      </c>
      <c r="AD185" t="s">
        <v>54</v>
      </c>
      <c r="AE185" t="s">
        <v>54</v>
      </c>
      <c r="AF185" s="23" t="s">
        <v>54</v>
      </c>
      <c r="AG185" s="23" t="s">
        <v>54</v>
      </c>
      <c r="AH185" s="23" t="s">
        <v>54</v>
      </c>
      <c r="AI185" s="23" t="s">
        <v>54</v>
      </c>
      <c r="AJ185">
        <v>44</v>
      </c>
      <c r="AK185">
        <v>59</v>
      </c>
      <c r="AL185">
        <v>30</v>
      </c>
      <c r="AM185">
        <v>46</v>
      </c>
      <c r="AN185" s="23">
        <v>0.136363636363636</v>
      </c>
      <c r="AO185" s="23">
        <v>0.0508474576271186</v>
      </c>
      <c r="AP185" s="23">
        <v>0</v>
      </c>
      <c r="AQ185" s="23">
        <v>0.0434782608695652</v>
      </c>
      <c r="AR185" s="35">
        <v>0.857142857142857</v>
      </c>
      <c r="AS185" s="35">
        <v>51.4285714285714</v>
      </c>
      <c r="AT185" s="35">
        <v>-42.4285714285714</v>
      </c>
      <c r="AU185" s="31">
        <f t="shared" si="6"/>
        <v>10</v>
      </c>
      <c r="AV185" s="36">
        <f>IFERROR(时间!$B$4+AU185,"上周无销量")</f>
        <v>43349</v>
      </c>
    </row>
    <row r="186" spans="1:48">
      <c r="A186" s="21" t="s">
        <v>638</v>
      </c>
      <c r="B186" t="s">
        <v>639</v>
      </c>
      <c r="C186" t="s">
        <v>637</v>
      </c>
      <c r="D186" s="31">
        <v>0</v>
      </c>
      <c r="E186" s="31">
        <v>0</v>
      </c>
      <c r="F186" s="31">
        <v>5</v>
      </c>
      <c r="G186" s="31">
        <v>2</v>
      </c>
      <c r="H186" s="32">
        <v>12.99</v>
      </c>
      <c r="I186">
        <v>0</v>
      </c>
      <c r="J186" s="33">
        <v>0</v>
      </c>
      <c r="K186" s="33">
        <v>0</v>
      </c>
      <c r="L186" s="33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58789</v>
      </c>
      <c r="S186">
        <v>58833</v>
      </c>
      <c r="T186">
        <v>0</v>
      </c>
      <c r="U186">
        <v>0</v>
      </c>
      <c r="V186">
        <v>186</v>
      </c>
      <c r="W186">
        <v>186</v>
      </c>
      <c r="X186" s="23" t="s">
        <v>54</v>
      </c>
      <c r="Y186" s="23" t="s">
        <v>54</v>
      </c>
      <c r="Z186" s="23">
        <v>0.00316385718416711</v>
      </c>
      <c r="AA186" s="23">
        <v>0.00316149099994901</v>
      </c>
      <c r="AB186">
        <v>0</v>
      </c>
      <c r="AC186">
        <v>0</v>
      </c>
      <c r="AD186">
        <v>56.72</v>
      </c>
      <c r="AE186">
        <v>56.72</v>
      </c>
      <c r="AF186" s="23" t="s">
        <v>54</v>
      </c>
      <c r="AG186" s="23" t="s">
        <v>54</v>
      </c>
      <c r="AH186" s="23">
        <v>0.87328714395689</v>
      </c>
      <c r="AI186" s="23">
        <v>2.18321785989222</v>
      </c>
      <c r="AJ186">
        <v>0</v>
      </c>
      <c r="AK186">
        <v>0</v>
      </c>
      <c r="AL186">
        <v>14</v>
      </c>
      <c r="AM186">
        <v>26</v>
      </c>
      <c r="AN186" s="23" t="s">
        <v>54</v>
      </c>
      <c r="AO186" s="23" t="s">
        <v>54</v>
      </c>
      <c r="AP186" s="23">
        <v>0.357142857142857</v>
      </c>
      <c r="AQ186" s="23">
        <v>0.0769230769230769</v>
      </c>
      <c r="AR186" s="35">
        <v>0</v>
      </c>
      <c r="AS186" s="35">
        <v>0</v>
      </c>
      <c r="AT186" s="35">
        <v>0</v>
      </c>
      <c r="AU186" s="31" t="str">
        <f t="shared" si="6"/>
        <v>库存为0</v>
      </c>
      <c r="AV186" s="36" t="str">
        <f>IFERROR(时间!$B$4+AU186,"上周无销量")</f>
        <v>上周无销量</v>
      </c>
    </row>
    <row r="187" spans="1:48">
      <c r="A187" s="21" t="s">
        <v>640</v>
      </c>
      <c r="B187" t="s">
        <v>641</v>
      </c>
      <c r="C187" t="s">
        <v>637</v>
      </c>
      <c r="D187" s="31">
        <v>1</v>
      </c>
      <c r="E187" s="31">
        <v>3</v>
      </c>
      <c r="F187" s="31">
        <v>5</v>
      </c>
      <c r="G187" s="31">
        <v>2</v>
      </c>
      <c r="H187" s="32">
        <v>12.99</v>
      </c>
      <c r="I187">
        <v>0</v>
      </c>
      <c r="J187" s="33">
        <v>0</v>
      </c>
      <c r="K187" s="33">
        <v>0</v>
      </c>
      <c r="L187" s="33">
        <v>0</v>
      </c>
      <c r="M187">
        <v>0</v>
      </c>
      <c r="N187">
        <v>0</v>
      </c>
      <c r="O187">
        <v>0</v>
      </c>
      <c r="P187">
        <v>1530</v>
      </c>
      <c r="Q187">
        <v>7942</v>
      </c>
      <c r="R187">
        <v>10214</v>
      </c>
      <c r="S187">
        <v>10218</v>
      </c>
      <c r="T187">
        <v>10</v>
      </c>
      <c r="U187">
        <v>56</v>
      </c>
      <c r="V187">
        <v>60</v>
      </c>
      <c r="W187">
        <v>60</v>
      </c>
      <c r="X187" s="23">
        <v>0.0065359477124183</v>
      </c>
      <c r="Y187" s="23">
        <v>0.00705112062452783</v>
      </c>
      <c r="Z187" s="23">
        <v>0.00587429018993538</v>
      </c>
      <c r="AA187" s="23">
        <v>0.00587199060481503</v>
      </c>
      <c r="AB187">
        <v>1.58</v>
      </c>
      <c r="AC187">
        <v>8.17</v>
      </c>
      <c r="AD187">
        <v>17.61</v>
      </c>
      <c r="AE187">
        <v>17.61</v>
      </c>
      <c r="AF187" s="23">
        <v>0.121632024634334</v>
      </c>
      <c r="AG187" s="23">
        <v>0.209648447523736</v>
      </c>
      <c r="AH187" s="23">
        <v>0.271131639722864</v>
      </c>
      <c r="AI187" s="23">
        <v>0.677829099307159</v>
      </c>
      <c r="AJ187">
        <v>16</v>
      </c>
      <c r="AK187">
        <v>86</v>
      </c>
      <c r="AL187">
        <v>43</v>
      </c>
      <c r="AM187">
        <v>24</v>
      </c>
      <c r="AN187" s="23">
        <v>0.0625</v>
      </c>
      <c r="AO187" s="23">
        <v>0.0348837209302326</v>
      </c>
      <c r="AP187" s="23">
        <v>0.116279069767442</v>
      </c>
      <c r="AQ187" s="23">
        <v>0.0833333333333333</v>
      </c>
      <c r="AR187" s="35">
        <v>0.142857142857143</v>
      </c>
      <c r="AS187" s="35">
        <v>8.57142857142857</v>
      </c>
      <c r="AT187" s="35">
        <v>-8.57142857142857</v>
      </c>
      <c r="AU187" s="31">
        <f t="shared" si="6"/>
        <v>0</v>
      </c>
      <c r="AV187" s="36">
        <f>IFERROR(时间!$B$4+AU187,"上周无销量")</f>
        <v>43339</v>
      </c>
    </row>
    <row r="188" spans="1:48">
      <c r="A188" s="21" t="s">
        <v>642</v>
      </c>
      <c r="B188" t="s">
        <v>643</v>
      </c>
      <c r="C188" t="s">
        <v>637</v>
      </c>
      <c r="D188" s="31">
        <v>0</v>
      </c>
      <c r="E188" s="31">
        <v>0</v>
      </c>
      <c r="F188" s="31">
        <v>0</v>
      </c>
      <c r="G188" s="31">
        <v>0</v>
      </c>
      <c r="H188" s="32">
        <v>0</v>
      </c>
      <c r="I188">
        <v>0</v>
      </c>
      <c r="J188" s="33">
        <v>0</v>
      </c>
      <c r="K188" s="33">
        <v>0</v>
      </c>
      <c r="L188" s="33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28299</v>
      </c>
      <c r="S188">
        <v>28299</v>
      </c>
      <c r="T188">
        <v>0</v>
      </c>
      <c r="U188">
        <v>0</v>
      </c>
      <c r="V188">
        <v>148</v>
      </c>
      <c r="W188">
        <v>148</v>
      </c>
      <c r="X188" s="23" t="s">
        <v>54</v>
      </c>
      <c r="Y188" s="23" t="s">
        <v>54</v>
      </c>
      <c r="Z188" s="23">
        <v>0.00522986677974487</v>
      </c>
      <c r="AA188" s="23">
        <v>0.00522986677974487</v>
      </c>
      <c r="AB188">
        <v>0</v>
      </c>
      <c r="AC188">
        <v>0</v>
      </c>
      <c r="AD188">
        <v>44.24</v>
      </c>
      <c r="AE188">
        <v>44.24</v>
      </c>
      <c r="AF188" s="23" t="s">
        <v>54</v>
      </c>
      <c r="AG188" s="23" t="s">
        <v>54</v>
      </c>
      <c r="AH188" s="23" t="s">
        <v>644</v>
      </c>
      <c r="AI188" s="23" t="s">
        <v>644</v>
      </c>
      <c r="AJ188">
        <v>0</v>
      </c>
      <c r="AK188">
        <v>0</v>
      </c>
      <c r="AL188">
        <v>0</v>
      </c>
      <c r="AM188">
        <v>0</v>
      </c>
      <c r="AN188" s="23" t="s">
        <v>54</v>
      </c>
      <c r="AO188" s="23" t="s">
        <v>54</v>
      </c>
      <c r="AP188" s="23" t="s">
        <v>54</v>
      </c>
      <c r="AQ188" s="23" t="s">
        <v>54</v>
      </c>
      <c r="AR188" s="35">
        <v>0</v>
      </c>
      <c r="AS188" s="35">
        <v>0</v>
      </c>
      <c r="AT188" s="35">
        <v>0</v>
      </c>
      <c r="AU188" s="31" t="str">
        <f t="shared" si="6"/>
        <v>库存为0</v>
      </c>
      <c r="AV188" s="36" t="str">
        <f>IFERROR(时间!$B$4+AU188,"上周无销量")</f>
        <v>上周无销量</v>
      </c>
    </row>
    <row r="189" spans="1:48">
      <c r="A189" s="21" t="s">
        <v>645</v>
      </c>
      <c r="B189" t="s">
        <v>646</v>
      </c>
      <c r="C189" t="s">
        <v>645</v>
      </c>
      <c r="D189" s="31">
        <v>0</v>
      </c>
      <c r="E189" s="31">
        <v>0</v>
      </c>
      <c r="F189" s="31">
        <v>1</v>
      </c>
      <c r="G189" s="31">
        <v>0</v>
      </c>
      <c r="H189" s="32">
        <v>16.99</v>
      </c>
      <c r="I189">
        <v>11</v>
      </c>
      <c r="J189" s="33">
        <v>0</v>
      </c>
      <c r="K189" s="33">
        <v>0</v>
      </c>
      <c r="L189" s="33">
        <v>0</v>
      </c>
      <c r="M189">
        <v>11</v>
      </c>
      <c r="N189">
        <v>0</v>
      </c>
      <c r="O189">
        <v>11</v>
      </c>
      <c r="P189" t="s">
        <v>54</v>
      </c>
      <c r="Q189" t="s">
        <v>54</v>
      </c>
      <c r="R189" t="s">
        <v>54</v>
      </c>
      <c r="S189" t="s">
        <v>54</v>
      </c>
      <c r="T189" t="s">
        <v>54</v>
      </c>
      <c r="U189" t="s">
        <v>54</v>
      </c>
      <c r="V189" t="s">
        <v>54</v>
      </c>
      <c r="W189" t="s">
        <v>54</v>
      </c>
      <c r="X189" s="23" t="s">
        <v>54</v>
      </c>
      <c r="Y189" s="23" t="s">
        <v>54</v>
      </c>
      <c r="Z189" s="23" t="s">
        <v>54</v>
      </c>
      <c r="AA189" s="23" t="s">
        <v>54</v>
      </c>
      <c r="AB189" t="s">
        <v>54</v>
      </c>
      <c r="AC189" t="s">
        <v>54</v>
      </c>
      <c r="AD189" t="s">
        <v>54</v>
      </c>
      <c r="AE189" t="s">
        <v>54</v>
      </c>
      <c r="AF189" s="23" t="s">
        <v>54</v>
      </c>
      <c r="AG189" s="23" t="s">
        <v>54</v>
      </c>
      <c r="AH189" s="23" t="s">
        <v>54</v>
      </c>
      <c r="AI189" s="23" t="s">
        <v>54</v>
      </c>
      <c r="AJ189">
        <v>5</v>
      </c>
      <c r="AK189">
        <v>9</v>
      </c>
      <c r="AL189">
        <v>8</v>
      </c>
      <c r="AM189">
        <v>12</v>
      </c>
      <c r="AN189" s="23">
        <v>0</v>
      </c>
      <c r="AO189" s="23">
        <v>0</v>
      </c>
      <c r="AP189" s="23">
        <v>0.125</v>
      </c>
      <c r="AQ189" s="23">
        <v>0</v>
      </c>
      <c r="AR189" s="35">
        <v>0</v>
      </c>
      <c r="AS189" s="35">
        <v>0</v>
      </c>
      <c r="AT189" s="35">
        <v>11</v>
      </c>
      <c r="AU189" s="31" t="str">
        <f t="shared" si="6"/>
        <v>库存为11</v>
      </c>
      <c r="AV189" s="36" t="str">
        <f>IFERROR(时间!$B$4+AU189,"上周无销量")</f>
        <v>上周无销量</v>
      </c>
    </row>
    <row r="190" spans="1:48">
      <c r="A190" s="21" t="s">
        <v>647</v>
      </c>
      <c r="B190" t="s">
        <v>648</v>
      </c>
      <c r="C190" t="s">
        <v>649</v>
      </c>
      <c r="D190" s="31">
        <v>1</v>
      </c>
      <c r="E190" s="31">
        <v>1</v>
      </c>
      <c r="F190" s="31">
        <v>0</v>
      </c>
      <c r="G190" s="31">
        <v>3</v>
      </c>
      <c r="H190" s="32">
        <v>21.99</v>
      </c>
      <c r="I190">
        <v>13</v>
      </c>
      <c r="J190" s="33">
        <v>0</v>
      </c>
      <c r="K190" s="33">
        <v>0</v>
      </c>
      <c r="L190" s="33">
        <v>0</v>
      </c>
      <c r="M190">
        <v>13</v>
      </c>
      <c r="N190">
        <v>0</v>
      </c>
      <c r="O190">
        <v>0</v>
      </c>
      <c r="P190" t="s">
        <v>54</v>
      </c>
      <c r="Q190" t="s">
        <v>54</v>
      </c>
      <c r="R190" t="s">
        <v>54</v>
      </c>
      <c r="S190" t="s">
        <v>54</v>
      </c>
      <c r="T190" t="s">
        <v>54</v>
      </c>
      <c r="U190" t="s">
        <v>54</v>
      </c>
      <c r="V190" t="s">
        <v>54</v>
      </c>
      <c r="W190" t="s">
        <v>54</v>
      </c>
      <c r="X190" s="23" t="s">
        <v>54</v>
      </c>
      <c r="Y190" s="23" t="s">
        <v>54</v>
      </c>
      <c r="Z190" s="23" t="s">
        <v>54</v>
      </c>
      <c r="AA190" s="23" t="s">
        <v>54</v>
      </c>
      <c r="AB190" t="s">
        <v>54</v>
      </c>
      <c r="AC190" t="s">
        <v>54</v>
      </c>
      <c r="AD190" t="s">
        <v>54</v>
      </c>
      <c r="AE190" t="s">
        <v>54</v>
      </c>
      <c r="AF190" s="23" t="s">
        <v>54</v>
      </c>
      <c r="AG190" s="23" t="s">
        <v>54</v>
      </c>
      <c r="AH190" s="23" t="s">
        <v>54</v>
      </c>
      <c r="AI190" s="23" t="s">
        <v>54</v>
      </c>
      <c r="AJ190">
        <v>34</v>
      </c>
      <c r="AK190">
        <v>35</v>
      </c>
      <c r="AL190">
        <v>26</v>
      </c>
      <c r="AM190">
        <v>44</v>
      </c>
      <c r="AN190" s="23">
        <v>0.0294117647058824</v>
      </c>
      <c r="AO190" s="23">
        <v>0.0285714285714286</v>
      </c>
      <c r="AP190" s="23">
        <v>0</v>
      </c>
      <c r="AQ190" s="23">
        <v>0.0681818181818182</v>
      </c>
      <c r="AR190" s="35">
        <v>0.142857142857143</v>
      </c>
      <c r="AS190" s="35">
        <v>8.57142857142857</v>
      </c>
      <c r="AT190" s="35">
        <v>4.42857142857143</v>
      </c>
      <c r="AU190" s="31">
        <f t="shared" si="6"/>
        <v>91</v>
      </c>
      <c r="AV190" s="36">
        <f>IFERROR(时间!$B$4+AU190,"上周无销量")</f>
        <v>43430</v>
      </c>
    </row>
    <row r="191" spans="1:48">
      <c r="A191" s="21" t="s">
        <v>650</v>
      </c>
      <c r="B191" t="s">
        <v>651</v>
      </c>
      <c r="C191" t="s">
        <v>652</v>
      </c>
      <c r="D191" s="31">
        <v>5</v>
      </c>
      <c r="E191" s="31">
        <v>4</v>
      </c>
      <c r="F191" s="31">
        <v>5</v>
      </c>
      <c r="G191" s="31">
        <v>0</v>
      </c>
      <c r="H191" s="32">
        <v>21.99</v>
      </c>
      <c r="I191">
        <v>4</v>
      </c>
      <c r="J191" s="33">
        <v>19</v>
      </c>
      <c r="K191" s="33">
        <v>0</v>
      </c>
      <c r="L191" s="33">
        <v>4</v>
      </c>
      <c r="M191">
        <v>27</v>
      </c>
      <c r="N191">
        <v>0</v>
      </c>
      <c r="O191">
        <v>0</v>
      </c>
      <c r="P191" t="s">
        <v>54</v>
      </c>
      <c r="Q191" t="s">
        <v>54</v>
      </c>
      <c r="R191" t="s">
        <v>54</v>
      </c>
      <c r="S191" t="s">
        <v>54</v>
      </c>
      <c r="T191" t="s">
        <v>54</v>
      </c>
      <c r="U191" t="s">
        <v>54</v>
      </c>
      <c r="V191" t="s">
        <v>54</v>
      </c>
      <c r="W191" t="s">
        <v>54</v>
      </c>
      <c r="X191" s="23" t="s">
        <v>54</v>
      </c>
      <c r="Y191" s="23" t="s">
        <v>54</v>
      </c>
      <c r="Z191" s="23" t="s">
        <v>54</v>
      </c>
      <c r="AA191" s="23" t="s">
        <v>54</v>
      </c>
      <c r="AB191" t="s">
        <v>54</v>
      </c>
      <c r="AC191" t="s">
        <v>54</v>
      </c>
      <c r="AD191" t="s">
        <v>54</v>
      </c>
      <c r="AE191" t="s">
        <v>54</v>
      </c>
      <c r="AF191" s="23" t="s">
        <v>54</v>
      </c>
      <c r="AG191" s="23" t="s">
        <v>54</v>
      </c>
      <c r="AH191" s="23" t="s">
        <v>54</v>
      </c>
      <c r="AI191" s="23" t="s">
        <v>54</v>
      </c>
      <c r="AJ191">
        <v>115</v>
      </c>
      <c r="AK191">
        <v>113</v>
      </c>
      <c r="AL191">
        <v>49</v>
      </c>
      <c r="AM191">
        <v>21</v>
      </c>
      <c r="AN191" s="23">
        <v>0.0434782608695652</v>
      </c>
      <c r="AO191" s="23">
        <v>0.0353982300884956</v>
      </c>
      <c r="AP191" s="23">
        <v>0.102040816326531</v>
      </c>
      <c r="AQ191" s="23">
        <v>0</v>
      </c>
      <c r="AR191" s="35">
        <v>0.714285714285714</v>
      </c>
      <c r="AS191" s="35">
        <v>42.8571428571429</v>
      </c>
      <c r="AT191" s="35">
        <v>-15.8571428571429</v>
      </c>
      <c r="AU191" s="31">
        <f t="shared" si="6"/>
        <v>37</v>
      </c>
      <c r="AV191" s="36">
        <f>IFERROR(时间!$B$4+AU191,"上周无销量")</f>
        <v>43376</v>
      </c>
    </row>
    <row r="192" spans="1:48">
      <c r="A192" s="21" t="s">
        <v>653</v>
      </c>
      <c r="B192" t="s">
        <v>654</v>
      </c>
      <c r="C192" t="s">
        <v>652</v>
      </c>
      <c r="D192" s="31">
        <v>2</v>
      </c>
      <c r="E192" s="31">
        <v>1</v>
      </c>
      <c r="F192" s="31">
        <v>1</v>
      </c>
      <c r="G192" s="31">
        <v>2</v>
      </c>
      <c r="H192" s="32">
        <v>21.99</v>
      </c>
      <c r="I192">
        <v>13</v>
      </c>
      <c r="J192" s="33">
        <v>0</v>
      </c>
      <c r="K192" s="33">
        <v>0</v>
      </c>
      <c r="L192" s="33">
        <v>1</v>
      </c>
      <c r="M192">
        <v>14</v>
      </c>
      <c r="N192">
        <v>0</v>
      </c>
      <c r="O192">
        <v>0</v>
      </c>
      <c r="P192" t="s">
        <v>54</v>
      </c>
      <c r="Q192" t="s">
        <v>54</v>
      </c>
      <c r="R192" t="s">
        <v>54</v>
      </c>
      <c r="S192" t="s">
        <v>54</v>
      </c>
      <c r="T192" t="s">
        <v>54</v>
      </c>
      <c r="U192" t="s">
        <v>54</v>
      </c>
      <c r="V192" t="s">
        <v>54</v>
      </c>
      <c r="W192" t="s">
        <v>54</v>
      </c>
      <c r="X192" s="23" t="s">
        <v>54</v>
      </c>
      <c r="Y192" s="23" t="s">
        <v>54</v>
      </c>
      <c r="Z192" s="23" t="s">
        <v>54</v>
      </c>
      <c r="AA192" s="23" t="s">
        <v>54</v>
      </c>
      <c r="AB192" t="s">
        <v>54</v>
      </c>
      <c r="AC192" t="s">
        <v>54</v>
      </c>
      <c r="AD192" t="s">
        <v>54</v>
      </c>
      <c r="AE192" t="s">
        <v>54</v>
      </c>
      <c r="AF192" s="23" t="s">
        <v>54</v>
      </c>
      <c r="AG192" s="23" t="s">
        <v>54</v>
      </c>
      <c r="AH192" s="23" t="s">
        <v>54</v>
      </c>
      <c r="AI192" s="23" t="s">
        <v>54</v>
      </c>
      <c r="AJ192">
        <v>54</v>
      </c>
      <c r="AK192">
        <v>49</v>
      </c>
      <c r="AL192">
        <v>36</v>
      </c>
      <c r="AM192">
        <v>39</v>
      </c>
      <c r="AN192" s="23">
        <v>0.037037037037037</v>
      </c>
      <c r="AO192" s="23">
        <v>0.0204081632653061</v>
      </c>
      <c r="AP192" s="23">
        <v>0.0277777777777778</v>
      </c>
      <c r="AQ192" s="23">
        <v>0.0512820512820513</v>
      </c>
      <c r="AR192" s="35">
        <v>0.285714285714286</v>
      </c>
      <c r="AS192" s="35">
        <v>17.1428571428571</v>
      </c>
      <c r="AT192" s="35">
        <v>-3.14285714285714</v>
      </c>
      <c r="AU192" s="31">
        <f t="shared" si="6"/>
        <v>49</v>
      </c>
      <c r="AV192" s="36">
        <f>IFERROR(时间!$B$4+AU192,"上周无销量")</f>
        <v>43388</v>
      </c>
    </row>
    <row r="193" spans="1:48">
      <c r="A193" s="21" t="s">
        <v>655</v>
      </c>
      <c r="B193" t="s">
        <v>656</v>
      </c>
      <c r="C193" t="s">
        <v>657</v>
      </c>
      <c r="D193" s="31">
        <v>13</v>
      </c>
      <c r="E193" s="31">
        <v>5</v>
      </c>
      <c r="F193" s="31">
        <v>8</v>
      </c>
      <c r="G193" s="31">
        <v>8</v>
      </c>
      <c r="H193" s="32">
        <v>21.99</v>
      </c>
      <c r="I193">
        <v>24</v>
      </c>
      <c r="J193" s="33">
        <v>18</v>
      </c>
      <c r="K193" s="33">
        <v>0</v>
      </c>
      <c r="L193" s="33">
        <v>1</v>
      </c>
      <c r="M193">
        <v>43</v>
      </c>
      <c r="N193">
        <v>0</v>
      </c>
      <c r="O193">
        <v>0</v>
      </c>
      <c r="P193" t="s">
        <v>54</v>
      </c>
      <c r="Q193" t="s">
        <v>54</v>
      </c>
      <c r="R193" t="s">
        <v>54</v>
      </c>
      <c r="S193" t="s">
        <v>54</v>
      </c>
      <c r="T193" t="s">
        <v>54</v>
      </c>
      <c r="U193" t="s">
        <v>54</v>
      </c>
      <c r="V193" t="s">
        <v>54</v>
      </c>
      <c r="W193" t="s">
        <v>54</v>
      </c>
      <c r="X193" s="23" t="s">
        <v>54</v>
      </c>
      <c r="Y193" s="23" t="s">
        <v>54</v>
      </c>
      <c r="Z193" s="23" t="s">
        <v>54</v>
      </c>
      <c r="AA193" s="23" t="s">
        <v>54</v>
      </c>
      <c r="AB193" t="s">
        <v>54</v>
      </c>
      <c r="AC193" t="s">
        <v>54</v>
      </c>
      <c r="AD193" t="s">
        <v>54</v>
      </c>
      <c r="AE193" t="s">
        <v>54</v>
      </c>
      <c r="AF193" s="23" t="s">
        <v>54</v>
      </c>
      <c r="AG193" s="23" t="s">
        <v>54</v>
      </c>
      <c r="AH193" s="23" t="s">
        <v>54</v>
      </c>
      <c r="AI193" s="23" t="s">
        <v>54</v>
      </c>
      <c r="AJ193">
        <v>208</v>
      </c>
      <c r="AK193">
        <v>252</v>
      </c>
      <c r="AL193">
        <v>181</v>
      </c>
      <c r="AM193">
        <v>188</v>
      </c>
      <c r="AN193" s="23">
        <v>0.0625</v>
      </c>
      <c r="AO193" s="23">
        <v>0.0198412698412698</v>
      </c>
      <c r="AP193" s="23">
        <v>0.0441988950276243</v>
      </c>
      <c r="AQ193" s="23">
        <v>0.0425531914893617</v>
      </c>
      <c r="AR193" s="35">
        <v>1.85714285714286</v>
      </c>
      <c r="AS193" s="35">
        <v>111.428571428571</v>
      </c>
      <c r="AT193" s="35">
        <v>-68.4285714285714</v>
      </c>
      <c r="AU193" s="31">
        <f t="shared" si="6"/>
        <v>23</v>
      </c>
      <c r="AV193" s="36">
        <f>IFERROR(时间!$B$4+AU193,"上周无销量")</f>
        <v>43362</v>
      </c>
    </row>
    <row r="194" spans="1:48">
      <c r="A194" s="21" t="s">
        <v>658</v>
      </c>
      <c r="B194" t="s">
        <v>659</v>
      </c>
      <c r="C194" t="s">
        <v>660</v>
      </c>
      <c r="D194" s="31">
        <v>2</v>
      </c>
      <c r="E194" s="31">
        <v>0</v>
      </c>
      <c r="F194" s="31">
        <v>0</v>
      </c>
      <c r="G194" s="31">
        <v>1</v>
      </c>
      <c r="H194" s="32">
        <v>23.3233333333333</v>
      </c>
      <c r="I194">
        <v>3</v>
      </c>
      <c r="J194" s="33">
        <v>0</v>
      </c>
      <c r="K194" s="33">
        <v>0</v>
      </c>
      <c r="L194" s="33">
        <v>0</v>
      </c>
      <c r="M194">
        <v>3</v>
      </c>
      <c r="N194">
        <v>0</v>
      </c>
      <c r="O194">
        <v>0</v>
      </c>
      <c r="P194" t="s">
        <v>54</v>
      </c>
      <c r="Q194" t="s">
        <v>54</v>
      </c>
      <c r="R194" t="s">
        <v>54</v>
      </c>
      <c r="S194" t="s">
        <v>54</v>
      </c>
      <c r="T194" t="s">
        <v>54</v>
      </c>
      <c r="U194" t="s">
        <v>54</v>
      </c>
      <c r="V194" t="s">
        <v>54</v>
      </c>
      <c r="W194" t="s">
        <v>54</v>
      </c>
      <c r="X194" s="23" t="s">
        <v>54</v>
      </c>
      <c r="Y194" s="23" t="s">
        <v>54</v>
      </c>
      <c r="Z194" s="23" t="s">
        <v>54</v>
      </c>
      <c r="AA194" s="23" t="s">
        <v>54</v>
      </c>
      <c r="AB194" t="s">
        <v>54</v>
      </c>
      <c r="AC194" t="s">
        <v>54</v>
      </c>
      <c r="AD194" t="s">
        <v>54</v>
      </c>
      <c r="AE194" t="s">
        <v>54</v>
      </c>
      <c r="AF194" s="23" t="s">
        <v>54</v>
      </c>
      <c r="AG194" s="23" t="s">
        <v>54</v>
      </c>
      <c r="AH194" s="23" t="s">
        <v>54</v>
      </c>
      <c r="AI194" s="23" t="s">
        <v>54</v>
      </c>
      <c r="AJ194">
        <v>40</v>
      </c>
      <c r="AK194">
        <v>20</v>
      </c>
      <c r="AL194">
        <v>18</v>
      </c>
      <c r="AM194">
        <v>3</v>
      </c>
      <c r="AN194" s="23">
        <v>0.05</v>
      </c>
      <c r="AO194" s="23">
        <v>0</v>
      </c>
      <c r="AP194" s="23">
        <v>0</v>
      </c>
      <c r="AQ194" s="23">
        <v>0.333333333333333</v>
      </c>
      <c r="AR194" s="35">
        <v>0.285714285714286</v>
      </c>
      <c r="AS194" s="35">
        <v>17.1428571428571</v>
      </c>
      <c r="AT194" s="35">
        <v>-14.1428571428571</v>
      </c>
      <c r="AU194" s="31">
        <f t="shared" si="6"/>
        <v>10</v>
      </c>
      <c r="AV194" s="36">
        <f>IFERROR(时间!$B$4+AU194,"上周无销量")</f>
        <v>43349</v>
      </c>
    </row>
    <row r="195" spans="1:48">
      <c r="A195" s="21" t="s">
        <v>661</v>
      </c>
      <c r="B195" t="s">
        <v>662</v>
      </c>
      <c r="C195" t="s">
        <v>663</v>
      </c>
      <c r="D195" s="31">
        <v>0</v>
      </c>
      <c r="E195" s="31">
        <v>0</v>
      </c>
      <c r="F195" s="31">
        <v>0</v>
      </c>
      <c r="G195" s="31">
        <v>0</v>
      </c>
      <c r="H195" s="32">
        <v>0</v>
      </c>
      <c r="I195">
        <v>8</v>
      </c>
      <c r="J195" s="33">
        <v>0</v>
      </c>
      <c r="K195" s="33">
        <v>0</v>
      </c>
      <c r="L195" s="33">
        <v>0</v>
      </c>
      <c r="M195">
        <v>8</v>
      </c>
      <c r="N195">
        <v>0</v>
      </c>
      <c r="O195">
        <v>0</v>
      </c>
      <c r="P195" t="s">
        <v>54</v>
      </c>
      <c r="Q195" t="s">
        <v>54</v>
      </c>
      <c r="R195" t="s">
        <v>54</v>
      </c>
      <c r="S195" t="s">
        <v>54</v>
      </c>
      <c r="T195" t="s">
        <v>54</v>
      </c>
      <c r="U195" t="s">
        <v>54</v>
      </c>
      <c r="V195" t="s">
        <v>54</v>
      </c>
      <c r="W195" t="s">
        <v>54</v>
      </c>
      <c r="X195" s="23" t="s">
        <v>54</v>
      </c>
      <c r="Y195" s="23" t="s">
        <v>54</v>
      </c>
      <c r="Z195" s="23" t="s">
        <v>54</v>
      </c>
      <c r="AA195" s="23" t="s">
        <v>54</v>
      </c>
      <c r="AB195" t="s">
        <v>54</v>
      </c>
      <c r="AC195" t="s">
        <v>54</v>
      </c>
      <c r="AD195" t="s">
        <v>54</v>
      </c>
      <c r="AE195" t="s">
        <v>54</v>
      </c>
      <c r="AF195" s="23" t="s">
        <v>54</v>
      </c>
      <c r="AG195" s="23" t="s">
        <v>54</v>
      </c>
      <c r="AH195" s="23" t="s">
        <v>54</v>
      </c>
      <c r="AI195" s="23" t="s">
        <v>54</v>
      </c>
      <c r="AJ195">
        <v>19</v>
      </c>
      <c r="AK195">
        <v>21</v>
      </c>
      <c r="AL195">
        <v>11</v>
      </c>
      <c r="AM195">
        <v>5</v>
      </c>
      <c r="AN195" s="23">
        <v>0</v>
      </c>
      <c r="AO195" s="23">
        <v>0</v>
      </c>
      <c r="AP195" s="23">
        <v>0</v>
      </c>
      <c r="AQ195" s="23">
        <v>0</v>
      </c>
      <c r="AR195" s="35">
        <v>0</v>
      </c>
      <c r="AS195" s="35">
        <v>0</v>
      </c>
      <c r="AT195" s="35">
        <v>8</v>
      </c>
      <c r="AU195" s="31" t="str">
        <f t="shared" si="6"/>
        <v>库存为8</v>
      </c>
      <c r="AV195" s="36" t="str">
        <f>IFERROR(时间!$B$4+AU195,"上周无销量")</f>
        <v>上周无销量</v>
      </c>
    </row>
    <row r="196" spans="1:48">
      <c r="A196" s="21" t="s">
        <v>664</v>
      </c>
      <c r="B196" t="s">
        <v>665</v>
      </c>
      <c r="C196" t="s">
        <v>666</v>
      </c>
      <c r="D196" s="31">
        <v>0</v>
      </c>
      <c r="E196" s="31">
        <v>1</v>
      </c>
      <c r="F196" s="31">
        <v>2</v>
      </c>
      <c r="G196" s="31">
        <v>0</v>
      </c>
      <c r="H196" s="32">
        <v>23.99</v>
      </c>
      <c r="I196">
        <v>0</v>
      </c>
      <c r="J196" s="33">
        <v>5</v>
      </c>
      <c r="K196" s="33">
        <v>0</v>
      </c>
      <c r="L196" s="33">
        <v>0</v>
      </c>
      <c r="M196">
        <v>5</v>
      </c>
      <c r="N196">
        <v>0</v>
      </c>
      <c r="O196">
        <v>0</v>
      </c>
      <c r="P196" t="s">
        <v>54</v>
      </c>
      <c r="Q196" t="s">
        <v>54</v>
      </c>
      <c r="R196" t="s">
        <v>54</v>
      </c>
      <c r="S196" t="s">
        <v>54</v>
      </c>
      <c r="T196" t="s">
        <v>54</v>
      </c>
      <c r="U196" t="s">
        <v>54</v>
      </c>
      <c r="V196" t="s">
        <v>54</v>
      </c>
      <c r="W196" t="s">
        <v>54</v>
      </c>
      <c r="X196" s="23" t="s">
        <v>54</v>
      </c>
      <c r="Y196" s="23" t="s">
        <v>54</v>
      </c>
      <c r="Z196" s="23" t="s">
        <v>54</v>
      </c>
      <c r="AA196" s="23" t="s">
        <v>54</v>
      </c>
      <c r="AB196" t="s">
        <v>54</v>
      </c>
      <c r="AC196" t="s">
        <v>54</v>
      </c>
      <c r="AD196" t="s">
        <v>54</v>
      </c>
      <c r="AE196" t="s">
        <v>54</v>
      </c>
      <c r="AF196" s="23" t="s">
        <v>54</v>
      </c>
      <c r="AG196" s="23" t="s">
        <v>54</v>
      </c>
      <c r="AH196" s="23" t="s">
        <v>54</v>
      </c>
      <c r="AI196" s="23" t="s">
        <v>54</v>
      </c>
      <c r="AJ196">
        <v>0</v>
      </c>
      <c r="AK196">
        <v>39</v>
      </c>
      <c r="AL196">
        <v>26</v>
      </c>
      <c r="AM196">
        <v>2</v>
      </c>
      <c r="AN196" s="23" t="s">
        <v>54</v>
      </c>
      <c r="AO196" s="23">
        <v>0.0256410256410256</v>
      </c>
      <c r="AP196" s="23">
        <v>0.0769230769230769</v>
      </c>
      <c r="AQ196" s="23">
        <v>0</v>
      </c>
      <c r="AR196" s="35">
        <v>0</v>
      </c>
      <c r="AS196" s="35">
        <v>0</v>
      </c>
      <c r="AT196" s="35">
        <v>5</v>
      </c>
      <c r="AU196" s="31" t="str">
        <f t="shared" si="6"/>
        <v>库存为5</v>
      </c>
      <c r="AV196" s="36" t="str">
        <f>IFERROR(时间!$B$4+AU196,"上周无销量")</f>
        <v>上周无销量</v>
      </c>
    </row>
    <row r="197" spans="1:48">
      <c r="A197" s="21" t="s">
        <v>667</v>
      </c>
      <c r="B197" t="s">
        <v>668</v>
      </c>
      <c r="C197" t="s">
        <v>669</v>
      </c>
      <c r="D197" s="31">
        <v>0</v>
      </c>
      <c r="E197" s="31">
        <v>1</v>
      </c>
      <c r="F197" s="31">
        <v>0</v>
      </c>
      <c r="G197" s="31">
        <v>0</v>
      </c>
      <c r="H197" s="32">
        <v>21.99</v>
      </c>
      <c r="I197">
        <v>10</v>
      </c>
      <c r="J197" s="33">
        <v>0</v>
      </c>
      <c r="K197" s="33">
        <v>0</v>
      </c>
      <c r="L197" s="33">
        <v>0</v>
      </c>
      <c r="M197">
        <v>10</v>
      </c>
      <c r="N197">
        <v>0</v>
      </c>
      <c r="O197">
        <v>10</v>
      </c>
      <c r="P197" t="s">
        <v>54</v>
      </c>
      <c r="Q197" t="s">
        <v>54</v>
      </c>
      <c r="R197" t="s">
        <v>54</v>
      </c>
      <c r="S197" t="s">
        <v>54</v>
      </c>
      <c r="T197" t="s">
        <v>54</v>
      </c>
      <c r="U197" t="s">
        <v>54</v>
      </c>
      <c r="V197" t="s">
        <v>54</v>
      </c>
      <c r="W197" t="s">
        <v>54</v>
      </c>
      <c r="X197" s="23" t="s">
        <v>54</v>
      </c>
      <c r="Y197" s="23" t="s">
        <v>54</v>
      </c>
      <c r="Z197" s="23" t="s">
        <v>54</v>
      </c>
      <c r="AA197" s="23" t="s">
        <v>54</v>
      </c>
      <c r="AB197" t="s">
        <v>54</v>
      </c>
      <c r="AC197" t="s">
        <v>54</v>
      </c>
      <c r="AD197" t="s">
        <v>54</v>
      </c>
      <c r="AE197" t="s">
        <v>54</v>
      </c>
      <c r="AF197" s="23" t="s">
        <v>54</v>
      </c>
      <c r="AG197" s="23" t="s">
        <v>54</v>
      </c>
      <c r="AH197" s="23" t="s">
        <v>54</v>
      </c>
      <c r="AI197" s="23" t="s">
        <v>54</v>
      </c>
      <c r="AJ197">
        <v>13</v>
      </c>
      <c r="AK197">
        <v>13</v>
      </c>
      <c r="AL197">
        <v>15</v>
      </c>
      <c r="AM197">
        <v>16</v>
      </c>
      <c r="AN197" s="23">
        <v>0</v>
      </c>
      <c r="AO197" s="23">
        <v>0.0769230769230769</v>
      </c>
      <c r="AP197" s="23">
        <v>0</v>
      </c>
      <c r="AQ197" s="23">
        <v>0</v>
      </c>
      <c r="AR197" s="35">
        <v>0</v>
      </c>
      <c r="AS197" s="35">
        <v>0</v>
      </c>
      <c r="AT197" s="35">
        <v>10</v>
      </c>
      <c r="AU197" s="31" t="str">
        <f t="shared" ref="AU197:AU209" si="7">IF(AR197="","库存为"&amp;M197,IF(AS197=0,"库存为"&amp;M197,INT(M197/AR197)))</f>
        <v>库存为10</v>
      </c>
      <c r="AV197" s="36" t="str">
        <f>IFERROR(时间!$B$4+AU197,"上周无销量")</f>
        <v>上周无销量</v>
      </c>
    </row>
    <row r="198" spans="1:48">
      <c r="A198" s="21" t="s">
        <v>670</v>
      </c>
      <c r="B198" t="s">
        <v>671</v>
      </c>
      <c r="C198" t="s">
        <v>672</v>
      </c>
      <c r="D198" s="31">
        <v>1</v>
      </c>
      <c r="E198" s="31">
        <v>2</v>
      </c>
      <c r="F198" s="31">
        <v>1</v>
      </c>
      <c r="G198" s="31">
        <v>1</v>
      </c>
      <c r="H198" s="32">
        <v>17.592</v>
      </c>
      <c r="I198">
        <v>3</v>
      </c>
      <c r="J198" s="33">
        <v>8</v>
      </c>
      <c r="K198" s="33">
        <v>0</v>
      </c>
      <c r="L198" s="33">
        <v>0</v>
      </c>
      <c r="M198">
        <v>11</v>
      </c>
      <c r="N198">
        <v>0</v>
      </c>
      <c r="O198">
        <v>0</v>
      </c>
      <c r="P198" t="s">
        <v>54</v>
      </c>
      <c r="Q198" t="s">
        <v>54</v>
      </c>
      <c r="R198" t="s">
        <v>54</v>
      </c>
      <c r="S198" t="s">
        <v>54</v>
      </c>
      <c r="T198" t="s">
        <v>54</v>
      </c>
      <c r="U198" t="s">
        <v>54</v>
      </c>
      <c r="V198" t="s">
        <v>54</v>
      </c>
      <c r="W198" t="s">
        <v>54</v>
      </c>
      <c r="X198" s="23" t="s">
        <v>54</v>
      </c>
      <c r="Y198" s="23" t="s">
        <v>54</v>
      </c>
      <c r="Z198" s="23" t="s">
        <v>54</v>
      </c>
      <c r="AA198" s="23" t="s">
        <v>54</v>
      </c>
      <c r="AB198" t="s">
        <v>54</v>
      </c>
      <c r="AC198" t="s">
        <v>54</v>
      </c>
      <c r="AD198" t="s">
        <v>54</v>
      </c>
      <c r="AE198" t="s">
        <v>54</v>
      </c>
      <c r="AF198" s="23" t="s">
        <v>54</v>
      </c>
      <c r="AG198" s="23" t="s">
        <v>54</v>
      </c>
      <c r="AH198" s="23" t="s">
        <v>54</v>
      </c>
      <c r="AI198" s="23" t="s">
        <v>54</v>
      </c>
      <c r="AJ198">
        <v>28</v>
      </c>
      <c r="AK198">
        <v>21</v>
      </c>
      <c r="AL198">
        <v>11</v>
      </c>
      <c r="AM198">
        <v>11</v>
      </c>
      <c r="AN198" s="23">
        <v>0.0357142857142857</v>
      </c>
      <c r="AO198" s="23">
        <v>0.0952380952380952</v>
      </c>
      <c r="AP198" s="23">
        <v>0.0909090909090909</v>
      </c>
      <c r="AQ198" s="23">
        <v>0.0909090909090909</v>
      </c>
      <c r="AR198" s="35">
        <v>0.142857142857143</v>
      </c>
      <c r="AS198" s="35">
        <v>8.57142857142857</v>
      </c>
      <c r="AT198" s="35">
        <v>2.42857142857143</v>
      </c>
      <c r="AU198" s="31">
        <f t="shared" si="7"/>
        <v>77</v>
      </c>
      <c r="AV198" s="36">
        <f>IFERROR(时间!$B$4+AU198,"上周无销量")</f>
        <v>43416</v>
      </c>
    </row>
    <row r="199" spans="1:48">
      <c r="A199" s="21" t="s">
        <v>673</v>
      </c>
      <c r="B199" t="s">
        <v>674</v>
      </c>
      <c r="C199" t="s">
        <v>675</v>
      </c>
      <c r="D199" s="31">
        <v>2</v>
      </c>
      <c r="E199" s="31">
        <v>3</v>
      </c>
      <c r="F199" s="31">
        <v>3</v>
      </c>
      <c r="G199" s="31">
        <v>1</v>
      </c>
      <c r="H199" s="32">
        <v>21.99</v>
      </c>
      <c r="I199">
        <v>4</v>
      </c>
      <c r="J199" s="33">
        <v>0</v>
      </c>
      <c r="K199" s="33">
        <v>0</v>
      </c>
      <c r="L199" s="33">
        <v>1</v>
      </c>
      <c r="M199">
        <v>5</v>
      </c>
      <c r="N199">
        <v>0</v>
      </c>
      <c r="O199">
        <v>0</v>
      </c>
      <c r="P199" t="s">
        <v>54</v>
      </c>
      <c r="Q199" t="s">
        <v>54</v>
      </c>
      <c r="R199" t="s">
        <v>54</v>
      </c>
      <c r="S199" t="s">
        <v>54</v>
      </c>
      <c r="T199" t="s">
        <v>54</v>
      </c>
      <c r="U199" t="s">
        <v>54</v>
      </c>
      <c r="V199" t="s">
        <v>54</v>
      </c>
      <c r="W199" t="s">
        <v>54</v>
      </c>
      <c r="X199" s="23" t="s">
        <v>54</v>
      </c>
      <c r="Y199" s="23" t="s">
        <v>54</v>
      </c>
      <c r="Z199" s="23" t="s">
        <v>54</v>
      </c>
      <c r="AA199" s="23" t="s">
        <v>54</v>
      </c>
      <c r="AB199" t="s">
        <v>54</v>
      </c>
      <c r="AC199" t="s">
        <v>54</v>
      </c>
      <c r="AD199" t="s">
        <v>54</v>
      </c>
      <c r="AE199" t="s">
        <v>54</v>
      </c>
      <c r="AF199" s="23" t="s">
        <v>54</v>
      </c>
      <c r="AG199" s="23" t="s">
        <v>54</v>
      </c>
      <c r="AH199" s="23" t="s">
        <v>54</v>
      </c>
      <c r="AI199" s="23" t="s">
        <v>54</v>
      </c>
      <c r="AJ199">
        <v>53</v>
      </c>
      <c r="AK199">
        <v>59</v>
      </c>
      <c r="AL199">
        <v>58</v>
      </c>
      <c r="AM199">
        <v>31</v>
      </c>
      <c r="AN199" s="23">
        <v>0.0377358490566038</v>
      </c>
      <c r="AO199" s="23">
        <v>0.0508474576271186</v>
      </c>
      <c r="AP199" s="23">
        <v>0.0517241379310345</v>
      </c>
      <c r="AQ199" s="23">
        <v>0.032258064516129</v>
      </c>
      <c r="AR199" s="35">
        <v>0.285714285714286</v>
      </c>
      <c r="AS199" s="35">
        <v>17.1428571428571</v>
      </c>
      <c r="AT199" s="35">
        <v>-12.1428571428571</v>
      </c>
      <c r="AU199" s="31">
        <f t="shared" si="7"/>
        <v>17</v>
      </c>
      <c r="AV199" s="36">
        <f>IFERROR(时间!$B$4+AU199,"上周无销量")</f>
        <v>43356</v>
      </c>
    </row>
    <row r="200" spans="1:48">
      <c r="A200" s="21" t="s">
        <v>676</v>
      </c>
      <c r="B200" t="s">
        <v>651</v>
      </c>
      <c r="C200" t="s">
        <v>637</v>
      </c>
      <c r="D200" s="31">
        <v>0</v>
      </c>
      <c r="E200" s="31">
        <v>0</v>
      </c>
      <c r="F200" s="31">
        <v>0</v>
      </c>
      <c r="G200" s="31">
        <v>2</v>
      </c>
      <c r="H200" s="32">
        <v>21.99</v>
      </c>
      <c r="I200">
        <v>0</v>
      </c>
      <c r="J200" s="33">
        <v>0</v>
      </c>
      <c r="K200" s="33">
        <v>0</v>
      </c>
      <c r="L200" s="33">
        <v>0</v>
      </c>
      <c r="M200">
        <v>0</v>
      </c>
      <c r="N200">
        <v>0</v>
      </c>
      <c r="O200">
        <v>0</v>
      </c>
      <c r="P200" t="s">
        <v>54</v>
      </c>
      <c r="Q200" t="s">
        <v>54</v>
      </c>
      <c r="R200" t="s">
        <v>54</v>
      </c>
      <c r="S200" t="s">
        <v>54</v>
      </c>
      <c r="T200" t="s">
        <v>54</v>
      </c>
      <c r="U200" t="s">
        <v>54</v>
      </c>
      <c r="V200" t="s">
        <v>54</v>
      </c>
      <c r="W200" t="s">
        <v>54</v>
      </c>
      <c r="X200" s="23" t="s">
        <v>54</v>
      </c>
      <c r="Y200" s="23" t="s">
        <v>54</v>
      </c>
      <c r="Z200" s="23" t="s">
        <v>54</v>
      </c>
      <c r="AA200" s="23" t="s">
        <v>54</v>
      </c>
      <c r="AB200" t="s">
        <v>54</v>
      </c>
      <c r="AC200" t="s">
        <v>54</v>
      </c>
      <c r="AD200" t="s">
        <v>54</v>
      </c>
      <c r="AE200" t="s">
        <v>54</v>
      </c>
      <c r="AF200" s="23" t="s">
        <v>54</v>
      </c>
      <c r="AG200" s="23" t="s">
        <v>54</v>
      </c>
      <c r="AH200" s="23" t="s">
        <v>54</v>
      </c>
      <c r="AI200" s="23" t="s">
        <v>54</v>
      </c>
      <c r="AJ200">
        <v>115</v>
      </c>
      <c r="AK200">
        <v>113</v>
      </c>
      <c r="AL200">
        <v>49</v>
      </c>
      <c r="AM200">
        <v>21</v>
      </c>
      <c r="AN200" s="23">
        <v>0</v>
      </c>
      <c r="AO200" s="23">
        <v>0</v>
      </c>
      <c r="AP200" s="23">
        <v>0</v>
      </c>
      <c r="AQ200" s="23">
        <v>0.0952380952380952</v>
      </c>
      <c r="AR200" s="35">
        <v>0</v>
      </c>
      <c r="AS200" s="35">
        <v>0</v>
      </c>
      <c r="AT200" s="35">
        <v>0</v>
      </c>
      <c r="AU200" s="31" t="str">
        <f t="shared" si="7"/>
        <v>库存为0</v>
      </c>
      <c r="AV200" s="36" t="str">
        <f>IFERROR(时间!$B$4+AU200,"上周无销量")</f>
        <v>上周无销量</v>
      </c>
    </row>
    <row r="201" spans="1:48">
      <c r="A201" s="21" t="s">
        <v>677</v>
      </c>
      <c r="B201" t="s">
        <v>678</v>
      </c>
      <c r="C201" t="s">
        <v>679</v>
      </c>
      <c r="D201" s="31">
        <v>0</v>
      </c>
      <c r="E201" s="31">
        <v>0</v>
      </c>
      <c r="F201" s="31">
        <v>3</v>
      </c>
      <c r="G201" s="31">
        <v>2</v>
      </c>
      <c r="H201" s="32">
        <v>69.99</v>
      </c>
      <c r="I201">
        <v>0</v>
      </c>
      <c r="J201" s="33">
        <v>0</v>
      </c>
      <c r="K201" s="33">
        <v>0</v>
      </c>
      <c r="L201" s="33">
        <v>0</v>
      </c>
      <c r="M201">
        <v>0</v>
      </c>
      <c r="N201">
        <v>0</v>
      </c>
      <c r="O201">
        <v>0</v>
      </c>
      <c r="P201" t="s">
        <v>54</v>
      </c>
      <c r="Q201" t="s">
        <v>54</v>
      </c>
      <c r="R201" t="s">
        <v>54</v>
      </c>
      <c r="S201" t="s">
        <v>54</v>
      </c>
      <c r="T201" t="s">
        <v>54</v>
      </c>
      <c r="U201" t="s">
        <v>54</v>
      </c>
      <c r="V201" t="s">
        <v>54</v>
      </c>
      <c r="W201" t="s">
        <v>54</v>
      </c>
      <c r="X201" s="23" t="s">
        <v>54</v>
      </c>
      <c r="Y201" s="23" t="s">
        <v>54</v>
      </c>
      <c r="Z201" s="23" t="s">
        <v>54</v>
      </c>
      <c r="AA201" s="23" t="s">
        <v>54</v>
      </c>
      <c r="AB201" t="s">
        <v>54</v>
      </c>
      <c r="AC201" t="s">
        <v>54</v>
      </c>
      <c r="AD201" t="s">
        <v>54</v>
      </c>
      <c r="AE201" t="s">
        <v>54</v>
      </c>
      <c r="AF201" s="23" t="s">
        <v>54</v>
      </c>
      <c r="AG201" s="23" t="s">
        <v>54</v>
      </c>
      <c r="AH201" s="23" t="s">
        <v>54</v>
      </c>
      <c r="AI201" s="23" t="s">
        <v>54</v>
      </c>
      <c r="AJ201">
        <v>0</v>
      </c>
      <c r="AK201">
        <v>0</v>
      </c>
      <c r="AL201">
        <v>82</v>
      </c>
      <c r="AM201">
        <v>34</v>
      </c>
      <c r="AN201" s="23" t="s">
        <v>54</v>
      </c>
      <c r="AO201" s="23" t="s">
        <v>54</v>
      </c>
      <c r="AP201" s="23">
        <v>0.0365853658536585</v>
      </c>
      <c r="AQ201" s="23">
        <v>0.0588235294117647</v>
      </c>
      <c r="AR201" s="35">
        <v>0</v>
      </c>
      <c r="AS201" s="35">
        <v>0</v>
      </c>
      <c r="AT201" s="35">
        <v>0</v>
      </c>
      <c r="AU201" s="31" t="str">
        <f t="shared" si="7"/>
        <v>库存为0</v>
      </c>
      <c r="AV201" s="36" t="str">
        <f>IFERROR(时间!$B$4+AU201,"上周无销量")</f>
        <v>上周无销量</v>
      </c>
    </row>
    <row r="202" spans="1:48">
      <c r="A202" s="21" t="s">
        <v>680</v>
      </c>
      <c r="B202" t="s">
        <v>681</v>
      </c>
      <c r="C202" t="s">
        <v>599</v>
      </c>
      <c r="D202" s="31">
        <v>0</v>
      </c>
      <c r="E202" s="31">
        <v>0</v>
      </c>
      <c r="F202" s="31">
        <v>0</v>
      </c>
      <c r="G202" s="31">
        <v>0</v>
      </c>
      <c r="H202" s="32">
        <v>0</v>
      </c>
      <c r="I202">
        <v>0</v>
      </c>
      <c r="J202" s="33">
        <v>0</v>
      </c>
      <c r="K202" s="33">
        <v>0</v>
      </c>
      <c r="L202" s="33">
        <v>0</v>
      </c>
      <c r="M202">
        <v>0</v>
      </c>
      <c r="N202">
        <v>0</v>
      </c>
      <c r="O202">
        <v>0</v>
      </c>
      <c r="P202" t="s">
        <v>54</v>
      </c>
      <c r="Q202" t="s">
        <v>54</v>
      </c>
      <c r="R202" t="s">
        <v>54</v>
      </c>
      <c r="S202" t="s">
        <v>54</v>
      </c>
      <c r="T202" t="s">
        <v>54</v>
      </c>
      <c r="U202" t="s">
        <v>54</v>
      </c>
      <c r="V202" t="s">
        <v>54</v>
      </c>
      <c r="W202" t="s">
        <v>54</v>
      </c>
      <c r="X202" s="23" t="s">
        <v>54</v>
      </c>
      <c r="Y202" s="23" t="s">
        <v>54</v>
      </c>
      <c r="Z202" s="23" t="s">
        <v>54</v>
      </c>
      <c r="AA202" s="23" t="s">
        <v>54</v>
      </c>
      <c r="AB202" t="s">
        <v>54</v>
      </c>
      <c r="AC202" t="s">
        <v>54</v>
      </c>
      <c r="AD202" t="s">
        <v>54</v>
      </c>
      <c r="AE202" t="s">
        <v>54</v>
      </c>
      <c r="AF202" s="23" t="s">
        <v>54</v>
      </c>
      <c r="AG202" s="23" t="s">
        <v>54</v>
      </c>
      <c r="AH202" s="23" t="s">
        <v>54</v>
      </c>
      <c r="AI202" s="23" t="s">
        <v>54</v>
      </c>
      <c r="AJ202">
        <v>0</v>
      </c>
      <c r="AK202">
        <v>0</v>
      </c>
      <c r="AL202">
        <v>0</v>
      </c>
      <c r="AM202">
        <v>0</v>
      </c>
      <c r="AN202" s="23" t="s">
        <v>54</v>
      </c>
      <c r="AO202" s="23" t="s">
        <v>54</v>
      </c>
      <c r="AP202" s="23" t="s">
        <v>54</v>
      </c>
      <c r="AQ202" s="23" t="s">
        <v>54</v>
      </c>
      <c r="AR202" s="35">
        <v>0</v>
      </c>
      <c r="AS202" s="35">
        <v>0</v>
      </c>
      <c r="AT202" s="35">
        <v>0</v>
      </c>
      <c r="AU202" s="31" t="str">
        <f t="shared" si="7"/>
        <v>库存为0</v>
      </c>
      <c r="AV202" s="36" t="str">
        <f>IFERROR(时间!$B$4+AU202,"上周无销量")</f>
        <v>上周无销量</v>
      </c>
    </row>
    <row r="203" spans="1:48">
      <c r="A203" s="21" t="s">
        <v>682</v>
      </c>
      <c r="B203" t="s">
        <v>683</v>
      </c>
      <c r="C203" t="s">
        <v>684</v>
      </c>
      <c r="D203" s="31">
        <v>0</v>
      </c>
      <c r="E203" s="31">
        <v>0</v>
      </c>
      <c r="F203" s="31">
        <v>0</v>
      </c>
      <c r="G203" s="31">
        <v>2</v>
      </c>
      <c r="H203" s="32">
        <v>23.99</v>
      </c>
      <c r="I203">
        <v>0</v>
      </c>
      <c r="J203" s="33">
        <v>0</v>
      </c>
      <c r="K203" s="33">
        <v>0</v>
      </c>
      <c r="L203" s="33">
        <v>0</v>
      </c>
      <c r="M203">
        <v>0</v>
      </c>
      <c r="N203">
        <v>0</v>
      </c>
      <c r="O203">
        <v>0</v>
      </c>
      <c r="P203" t="s">
        <v>54</v>
      </c>
      <c r="Q203" t="s">
        <v>54</v>
      </c>
      <c r="R203" t="s">
        <v>54</v>
      </c>
      <c r="S203" t="s">
        <v>54</v>
      </c>
      <c r="T203" t="s">
        <v>54</v>
      </c>
      <c r="U203" t="s">
        <v>54</v>
      </c>
      <c r="V203" t="s">
        <v>54</v>
      </c>
      <c r="W203" t="s">
        <v>54</v>
      </c>
      <c r="X203" s="23" t="s">
        <v>54</v>
      </c>
      <c r="Y203" s="23" t="s">
        <v>54</v>
      </c>
      <c r="Z203" s="23" t="s">
        <v>54</v>
      </c>
      <c r="AA203" s="23" t="s">
        <v>54</v>
      </c>
      <c r="AB203" t="s">
        <v>54</v>
      </c>
      <c r="AC203" t="s">
        <v>54</v>
      </c>
      <c r="AD203" t="s">
        <v>54</v>
      </c>
      <c r="AE203" t="s">
        <v>54</v>
      </c>
      <c r="AF203" s="23" t="s">
        <v>54</v>
      </c>
      <c r="AG203" s="23" t="s">
        <v>54</v>
      </c>
      <c r="AH203" s="23" t="s">
        <v>54</v>
      </c>
      <c r="AI203" s="23" t="s">
        <v>54</v>
      </c>
      <c r="AJ203">
        <v>0</v>
      </c>
      <c r="AK203">
        <v>0</v>
      </c>
      <c r="AL203">
        <v>0</v>
      </c>
      <c r="AM203">
        <v>6</v>
      </c>
      <c r="AN203" s="23" t="s">
        <v>54</v>
      </c>
      <c r="AO203" s="23" t="s">
        <v>54</v>
      </c>
      <c r="AP203" s="23" t="s">
        <v>54</v>
      </c>
      <c r="AQ203" s="23">
        <v>0.333333333333333</v>
      </c>
      <c r="AR203" s="35">
        <v>0</v>
      </c>
      <c r="AS203" s="35">
        <v>0</v>
      </c>
      <c r="AT203" s="35">
        <v>0</v>
      </c>
      <c r="AU203" s="31" t="str">
        <f t="shared" si="7"/>
        <v>库存为0</v>
      </c>
      <c r="AV203" s="36" t="str">
        <f>IFERROR(时间!$B$4+AU203,"上周无销量")</f>
        <v>上周无销量</v>
      </c>
    </row>
    <row r="204" spans="1:48">
      <c r="A204" s="21" t="s">
        <v>685</v>
      </c>
      <c r="B204" t="s">
        <v>686</v>
      </c>
      <c r="C204" t="s">
        <v>687</v>
      </c>
      <c r="D204" s="31">
        <v>0</v>
      </c>
      <c r="E204" s="31">
        <v>2</v>
      </c>
      <c r="F204" s="31">
        <v>0</v>
      </c>
      <c r="G204" s="31">
        <v>0</v>
      </c>
      <c r="H204" s="32">
        <v>59.99</v>
      </c>
      <c r="I204">
        <v>0</v>
      </c>
      <c r="J204" s="33">
        <v>0</v>
      </c>
      <c r="K204" s="33">
        <v>0</v>
      </c>
      <c r="L204" s="33">
        <v>0</v>
      </c>
      <c r="M204">
        <v>0</v>
      </c>
      <c r="N204">
        <v>0</v>
      </c>
      <c r="O204">
        <v>0</v>
      </c>
      <c r="P204" t="s">
        <v>54</v>
      </c>
      <c r="Q204" t="s">
        <v>54</v>
      </c>
      <c r="R204" t="s">
        <v>54</v>
      </c>
      <c r="S204" t="s">
        <v>54</v>
      </c>
      <c r="T204" t="s">
        <v>54</v>
      </c>
      <c r="U204" t="s">
        <v>54</v>
      </c>
      <c r="V204" t="s">
        <v>54</v>
      </c>
      <c r="W204" t="s">
        <v>54</v>
      </c>
      <c r="X204" s="23" t="s">
        <v>54</v>
      </c>
      <c r="Y204" s="23" t="s">
        <v>54</v>
      </c>
      <c r="Z204" s="23" t="s">
        <v>54</v>
      </c>
      <c r="AA204" s="23" t="s">
        <v>54</v>
      </c>
      <c r="AB204" t="s">
        <v>54</v>
      </c>
      <c r="AC204" t="s">
        <v>54</v>
      </c>
      <c r="AD204" t="s">
        <v>54</v>
      </c>
      <c r="AE204" t="s">
        <v>54</v>
      </c>
      <c r="AF204" s="23" t="s">
        <v>54</v>
      </c>
      <c r="AG204" s="23" t="s">
        <v>54</v>
      </c>
      <c r="AH204" s="23" t="s">
        <v>54</v>
      </c>
      <c r="AI204" s="23" t="s">
        <v>54</v>
      </c>
      <c r="AJ204">
        <v>0</v>
      </c>
      <c r="AK204">
        <v>13</v>
      </c>
      <c r="AL204">
        <v>20</v>
      </c>
      <c r="AM204">
        <v>20</v>
      </c>
      <c r="AN204" s="23" t="s">
        <v>54</v>
      </c>
      <c r="AO204" s="23">
        <v>0.153846153846154</v>
      </c>
      <c r="AP204" s="23">
        <v>0</v>
      </c>
      <c r="AQ204" s="23">
        <v>0</v>
      </c>
      <c r="AR204" s="35">
        <v>0</v>
      </c>
      <c r="AS204" s="35">
        <v>0</v>
      </c>
      <c r="AT204" s="35">
        <v>0</v>
      </c>
      <c r="AU204" s="31" t="str">
        <f t="shared" si="7"/>
        <v>库存为0</v>
      </c>
      <c r="AV204" s="36" t="str">
        <f>IFERROR(时间!$B$4+AU204,"上周无销量")</f>
        <v>上周无销量</v>
      </c>
    </row>
    <row r="205" spans="1:48">
      <c r="A205" s="38" t="s">
        <v>688</v>
      </c>
      <c r="B205" t="s">
        <v>689</v>
      </c>
      <c r="C205" t="s">
        <v>690</v>
      </c>
      <c r="D205" s="31">
        <v>0</v>
      </c>
      <c r="E205" s="31">
        <v>0</v>
      </c>
      <c r="F205" s="31">
        <v>0</v>
      </c>
      <c r="G205" s="31">
        <v>0</v>
      </c>
      <c r="H205" s="32">
        <v>0</v>
      </c>
      <c r="I205">
        <v>0</v>
      </c>
      <c r="J205" s="33">
        <v>0</v>
      </c>
      <c r="K205" s="33">
        <v>0</v>
      </c>
      <c r="L205" s="33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236</v>
      </c>
      <c r="S205">
        <v>236</v>
      </c>
      <c r="T205">
        <v>0</v>
      </c>
      <c r="U205">
        <v>0</v>
      </c>
      <c r="V205">
        <v>3</v>
      </c>
      <c r="W205">
        <v>3</v>
      </c>
      <c r="X205" s="23" t="s">
        <v>54</v>
      </c>
      <c r="Y205" s="23" t="s">
        <v>54</v>
      </c>
      <c r="Z205" s="23">
        <v>0.0127118644067797</v>
      </c>
      <c r="AA205" s="23">
        <v>0.0127118644067797</v>
      </c>
      <c r="AB205">
        <v>0</v>
      </c>
      <c r="AC205">
        <v>0</v>
      </c>
      <c r="AD205">
        <v>0.6</v>
      </c>
      <c r="AE205">
        <v>0.6</v>
      </c>
      <c r="AF205" s="23" t="s">
        <v>54</v>
      </c>
      <c r="AG205" s="23" t="s">
        <v>54</v>
      </c>
      <c r="AH205" s="23" t="s">
        <v>691</v>
      </c>
      <c r="AI205" s="23" t="s">
        <v>691</v>
      </c>
      <c r="AJ205">
        <v>0</v>
      </c>
      <c r="AK205">
        <v>0</v>
      </c>
      <c r="AL205">
        <v>0</v>
      </c>
      <c r="AM205">
        <v>0</v>
      </c>
      <c r="AN205" s="23" t="s">
        <v>54</v>
      </c>
      <c r="AO205" s="23" t="s">
        <v>54</v>
      </c>
      <c r="AP205" s="23" t="s">
        <v>54</v>
      </c>
      <c r="AQ205" s="23" t="s">
        <v>54</v>
      </c>
      <c r="AR205" s="35">
        <v>0</v>
      </c>
      <c r="AS205" s="35">
        <v>0</v>
      </c>
      <c r="AT205" s="35">
        <v>0</v>
      </c>
      <c r="AU205" s="31" t="str">
        <f t="shared" si="7"/>
        <v>库存为0</v>
      </c>
      <c r="AV205" s="36" t="str">
        <f>IFERROR(时间!$B$4+AU205,"上周无销量")</f>
        <v>上周无销量</v>
      </c>
    </row>
    <row r="206" spans="1:48">
      <c r="A206" s="38" t="s">
        <v>692</v>
      </c>
      <c r="B206" t="s">
        <v>289</v>
      </c>
      <c r="C206" t="s">
        <v>679</v>
      </c>
      <c r="D206" s="31">
        <v>0</v>
      </c>
      <c r="E206" s="31">
        <v>0</v>
      </c>
      <c r="F206" s="31">
        <v>0</v>
      </c>
      <c r="G206" s="31">
        <v>0</v>
      </c>
      <c r="H206" s="32">
        <v>0</v>
      </c>
      <c r="I206">
        <v>0</v>
      </c>
      <c r="J206" s="33">
        <v>0</v>
      </c>
      <c r="K206" s="33">
        <v>0</v>
      </c>
      <c r="L206" s="33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152059</v>
      </c>
      <c r="S206">
        <v>152059</v>
      </c>
      <c r="T206">
        <v>0</v>
      </c>
      <c r="U206">
        <v>0</v>
      </c>
      <c r="V206">
        <v>544</v>
      </c>
      <c r="W206">
        <v>544</v>
      </c>
      <c r="X206" s="23" t="s">
        <v>54</v>
      </c>
      <c r="Y206" s="23" t="s">
        <v>54</v>
      </c>
      <c r="Z206" s="23">
        <v>0.00357755871076359</v>
      </c>
      <c r="AA206" s="23">
        <v>0.00357755871076359</v>
      </c>
      <c r="AB206">
        <v>0</v>
      </c>
      <c r="AC206">
        <v>0</v>
      </c>
      <c r="AD206">
        <v>88.02</v>
      </c>
      <c r="AE206">
        <v>88.02</v>
      </c>
      <c r="AF206" s="23" t="s">
        <v>54</v>
      </c>
      <c r="AG206" s="23" t="s">
        <v>54</v>
      </c>
      <c r="AH206" s="23" t="s">
        <v>693</v>
      </c>
      <c r="AI206" s="23" t="s">
        <v>693</v>
      </c>
      <c r="AJ206">
        <v>45</v>
      </c>
      <c r="AK206">
        <v>40</v>
      </c>
      <c r="AL206">
        <v>47</v>
      </c>
      <c r="AM206">
        <v>41</v>
      </c>
      <c r="AN206" s="23">
        <v>0</v>
      </c>
      <c r="AO206" s="23">
        <v>0</v>
      </c>
      <c r="AP206" s="23">
        <v>0</v>
      </c>
      <c r="AQ206" s="23">
        <v>0</v>
      </c>
      <c r="AR206" s="35">
        <v>0</v>
      </c>
      <c r="AS206" s="35">
        <v>0</v>
      </c>
      <c r="AT206" s="35">
        <v>0</v>
      </c>
      <c r="AU206" s="31" t="str">
        <f t="shared" si="7"/>
        <v>库存为0</v>
      </c>
      <c r="AV206" s="36" t="str">
        <f>IFERROR(时间!$B$4+AU206,"上周无销量")</f>
        <v>上周无销量</v>
      </c>
    </row>
    <row r="207" spans="1:48">
      <c r="A207" s="38" t="s">
        <v>694</v>
      </c>
      <c r="B207" t="s">
        <v>695</v>
      </c>
      <c r="C207" t="s">
        <v>696</v>
      </c>
      <c r="D207" s="31">
        <v>0</v>
      </c>
      <c r="E207" s="31">
        <v>0</v>
      </c>
      <c r="F207" s="31">
        <v>0</v>
      </c>
      <c r="G207" s="31">
        <v>0</v>
      </c>
      <c r="H207" s="32">
        <v>0</v>
      </c>
      <c r="I207">
        <v>0</v>
      </c>
      <c r="J207" s="33">
        <v>0</v>
      </c>
      <c r="K207" s="33">
        <v>0</v>
      </c>
      <c r="L207" s="33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19073</v>
      </c>
      <c r="S207">
        <v>19073</v>
      </c>
      <c r="T207">
        <v>0</v>
      </c>
      <c r="U207">
        <v>0</v>
      </c>
      <c r="V207">
        <v>249</v>
      </c>
      <c r="W207">
        <v>249</v>
      </c>
      <c r="X207" s="23" t="s">
        <v>54</v>
      </c>
      <c r="Y207" s="23" t="s">
        <v>54</v>
      </c>
      <c r="Z207" s="23">
        <v>0.0130551040738216</v>
      </c>
      <c r="AA207" s="23">
        <v>0.0130551040738216</v>
      </c>
      <c r="AB207">
        <v>0</v>
      </c>
      <c r="AC207">
        <v>0</v>
      </c>
      <c r="AD207">
        <v>36.43</v>
      </c>
      <c r="AE207">
        <v>36.43</v>
      </c>
      <c r="AF207" s="23" t="s">
        <v>54</v>
      </c>
      <c r="AG207" s="23" t="s">
        <v>54</v>
      </c>
      <c r="AH207" s="23" t="s">
        <v>697</v>
      </c>
      <c r="AI207" s="23" t="s">
        <v>697</v>
      </c>
      <c r="AJ207">
        <v>0</v>
      </c>
      <c r="AK207">
        <v>0</v>
      </c>
      <c r="AL207">
        <v>0</v>
      </c>
      <c r="AM207">
        <v>0</v>
      </c>
      <c r="AN207" s="23" t="s">
        <v>54</v>
      </c>
      <c r="AO207" s="23" t="s">
        <v>54</v>
      </c>
      <c r="AP207" s="23" t="s">
        <v>54</v>
      </c>
      <c r="AQ207" s="23" t="s">
        <v>54</v>
      </c>
      <c r="AR207" s="35">
        <v>0</v>
      </c>
      <c r="AS207" s="35">
        <v>0</v>
      </c>
      <c r="AT207" s="35">
        <v>0</v>
      </c>
      <c r="AU207" s="31" t="str">
        <f t="shared" si="7"/>
        <v>库存为0</v>
      </c>
      <c r="AV207" s="36" t="str">
        <f>IFERROR(时间!$B$4+AU207,"上周无销量")</f>
        <v>上周无销量</v>
      </c>
    </row>
    <row r="208" spans="1:48">
      <c r="A208" s="38" t="s">
        <v>698</v>
      </c>
      <c r="B208" t="s">
        <v>699</v>
      </c>
      <c r="C208" t="s">
        <v>230</v>
      </c>
      <c r="D208" s="31">
        <v>0</v>
      </c>
      <c r="E208" s="31">
        <v>0</v>
      </c>
      <c r="F208" s="31">
        <v>0</v>
      </c>
      <c r="G208" s="31">
        <v>0</v>
      </c>
      <c r="H208" s="32">
        <v>0</v>
      </c>
      <c r="I208">
        <v>0</v>
      </c>
      <c r="J208" s="33">
        <v>0</v>
      </c>
      <c r="K208" s="33">
        <v>0</v>
      </c>
      <c r="L208" s="33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20780</v>
      </c>
      <c r="S208">
        <v>20780</v>
      </c>
      <c r="T208">
        <v>0</v>
      </c>
      <c r="U208">
        <v>0</v>
      </c>
      <c r="V208">
        <v>97</v>
      </c>
      <c r="W208">
        <v>97</v>
      </c>
      <c r="X208" s="23" t="s">
        <v>54</v>
      </c>
      <c r="Y208" s="23" t="s">
        <v>54</v>
      </c>
      <c r="Z208" s="23">
        <v>0.00466794995187681</v>
      </c>
      <c r="AA208" s="23">
        <v>0.00466794995187681</v>
      </c>
      <c r="AB208">
        <v>0</v>
      </c>
      <c r="AC208">
        <v>0</v>
      </c>
      <c r="AD208">
        <v>16.25</v>
      </c>
      <c r="AE208">
        <v>16.25</v>
      </c>
      <c r="AF208" s="23" t="s">
        <v>54</v>
      </c>
      <c r="AG208" s="23" t="s">
        <v>54</v>
      </c>
      <c r="AH208" s="23" t="s">
        <v>700</v>
      </c>
      <c r="AI208" s="23" t="s">
        <v>700</v>
      </c>
      <c r="AJ208">
        <v>0</v>
      </c>
      <c r="AK208">
        <v>0</v>
      </c>
      <c r="AL208">
        <v>0</v>
      </c>
      <c r="AM208">
        <v>0</v>
      </c>
      <c r="AN208" s="23" t="s">
        <v>54</v>
      </c>
      <c r="AO208" s="23" t="s">
        <v>54</v>
      </c>
      <c r="AP208" s="23" t="s">
        <v>54</v>
      </c>
      <c r="AQ208" s="23" t="s">
        <v>54</v>
      </c>
      <c r="AR208" s="35">
        <v>0</v>
      </c>
      <c r="AS208" s="35">
        <v>0</v>
      </c>
      <c r="AT208" s="35">
        <v>0</v>
      </c>
      <c r="AU208" s="31" t="str">
        <f t="shared" si="7"/>
        <v>库存为0</v>
      </c>
      <c r="AV208" s="36" t="str">
        <f>IFERROR(时间!$B$4+AU208,"上周无销量")</f>
        <v>上周无销量</v>
      </c>
    </row>
    <row r="209" spans="1:48">
      <c r="A209" s="38" t="s">
        <v>701</v>
      </c>
      <c r="B209" t="s">
        <v>702</v>
      </c>
      <c r="C209" t="s">
        <v>696</v>
      </c>
      <c r="D209" s="31">
        <v>0</v>
      </c>
      <c r="E209" s="31">
        <v>0</v>
      </c>
      <c r="F209" s="31">
        <v>0</v>
      </c>
      <c r="G209" s="31">
        <v>0</v>
      </c>
      <c r="H209" s="32">
        <v>0</v>
      </c>
      <c r="I209">
        <v>0</v>
      </c>
      <c r="J209" s="33">
        <v>0</v>
      </c>
      <c r="K209" s="33">
        <v>0</v>
      </c>
      <c r="L209" s="33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1116</v>
      </c>
      <c r="S209">
        <v>1116</v>
      </c>
      <c r="T209">
        <v>0</v>
      </c>
      <c r="U209">
        <v>0</v>
      </c>
      <c r="V209">
        <v>15</v>
      </c>
      <c r="W209">
        <v>15</v>
      </c>
      <c r="X209" s="23" t="s">
        <v>54</v>
      </c>
      <c r="Y209" s="23" t="s">
        <v>54</v>
      </c>
      <c r="Z209" s="23">
        <v>0.0134408602150538</v>
      </c>
      <c r="AA209" s="23">
        <v>0.0134408602150538</v>
      </c>
      <c r="AB209">
        <v>0</v>
      </c>
      <c r="AC209">
        <v>0</v>
      </c>
      <c r="AD209">
        <v>2.45</v>
      </c>
      <c r="AE209">
        <v>2.45</v>
      </c>
      <c r="AF209" s="23" t="s">
        <v>54</v>
      </c>
      <c r="AG209" s="23" t="s">
        <v>54</v>
      </c>
      <c r="AH209" s="23" t="s">
        <v>703</v>
      </c>
      <c r="AI209" s="23" t="s">
        <v>703</v>
      </c>
      <c r="AJ209">
        <v>0</v>
      </c>
      <c r="AK209">
        <v>0</v>
      </c>
      <c r="AL209">
        <v>0</v>
      </c>
      <c r="AM209">
        <v>0</v>
      </c>
      <c r="AN209" s="23" t="s">
        <v>54</v>
      </c>
      <c r="AO209" s="23" t="s">
        <v>54</v>
      </c>
      <c r="AP209" s="23" t="s">
        <v>54</v>
      </c>
      <c r="AQ209" s="23" t="s">
        <v>54</v>
      </c>
      <c r="AR209" s="35">
        <v>0</v>
      </c>
      <c r="AS209" s="35">
        <v>0</v>
      </c>
      <c r="AT209" s="35">
        <v>0</v>
      </c>
      <c r="AU209" s="31" t="str">
        <f t="shared" si="7"/>
        <v>库存为0</v>
      </c>
      <c r="AV209" s="36" t="str">
        <f>IFERROR(时间!$B$4+AU209,"上周无销量")</f>
        <v>上周无销量</v>
      </c>
    </row>
    <row r="210" spans="1:48">
      <c r="A210" s="39"/>
      <c r="D210" s="31"/>
      <c r="E210" s="31"/>
      <c r="F210" s="31"/>
      <c r="G210" s="31"/>
      <c r="H210" s="32"/>
      <c r="J210" s="33"/>
      <c r="K210" s="33"/>
      <c r="L210" s="33"/>
      <c r="X210" s="23"/>
      <c r="Y210" s="23"/>
      <c r="Z210" s="23"/>
      <c r="AA210" s="23"/>
      <c r="AF210" s="23"/>
      <c r="AG210" s="23"/>
      <c r="AH210" s="23"/>
      <c r="AI210" s="23"/>
      <c r="AN210" s="23"/>
      <c r="AO210" s="23"/>
      <c r="AP210" s="23"/>
      <c r="AQ210" s="23"/>
      <c r="AR210" s="35"/>
      <c r="AS210" s="35"/>
      <c r="AT210" s="35"/>
      <c r="AU210" s="31"/>
      <c r="AV210" s="36"/>
    </row>
    <row r="211" spans="1:48">
      <c r="A211" s="39"/>
      <c r="D211" s="31"/>
      <c r="E211" s="31"/>
      <c r="F211" s="31"/>
      <c r="G211" s="31"/>
      <c r="H211" s="32"/>
      <c r="J211" s="33"/>
      <c r="K211" s="33"/>
      <c r="L211" s="33"/>
      <c r="X211" s="23"/>
      <c r="Y211" s="23"/>
      <c r="Z211" s="23"/>
      <c r="AA211" s="23"/>
      <c r="AF211" s="23"/>
      <c r="AG211" s="23"/>
      <c r="AH211" s="23"/>
      <c r="AI211" s="23"/>
      <c r="AN211" s="23"/>
      <c r="AO211" s="23"/>
      <c r="AP211" s="23"/>
      <c r="AQ211" s="23"/>
      <c r="AR211" s="35"/>
      <c r="AS211" s="35"/>
      <c r="AT211" s="35"/>
      <c r="AU211" s="31"/>
      <c r="AV211" s="36"/>
    </row>
    <row r="212" spans="1:48">
      <c r="A212" s="39"/>
      <c r="D212" s="31"/>
      <c r="E212" s="31"/>
      <c r="F212" s="31"/>
      <c r="G212" s="31"/>
      <c r="H212" s="32"/>
      <c r="J212" s="33"/>
      <c r="K212" s="33"/>
      <c r="L212" s="33"/>
      <c r="X212" s="23"/>
      <c r="Y212" s="23"/>
      <c r="Z212" s="23"/>
      <c r="AA212" s="23"/>
      <c r="AF212" s="23"/>
      <c r="AG212" s="23"/>
      <c r="AH212" s="23"/>
      <c r="AI212" s="23"/>
      <c r="AN212" s="23"/>
      <c r="AO212" s="23"/>
      <c r="AP212" s="23"/>
      <c r="AQ212" s="23"/>
      <c r="AR212" s="35"/>
      <c r="AS212" s="35"/>
      <c r="AT212" s="35"/>
      <c r="AU212" s="31"/>
      <c r="AV212" s="36"/>
    </row>
    <row r="213" spans="1:48">
      <c r="A213" s="39"/>
      <c r="D213" s="31"/>
      <c r="E213" s="31"/>
      <c r="F213" s="31"/>
      <c r="G213" s="31"/>
      <c r="H213" s="32"/>
      <c r="J213" s="33"/>
      <c r="K213" s="33"/>
      <c r="L213" s="33"/>
      <c r="X213" s="23"/>
      <c r="Y213" s="23"/>
      <c r="Z213" s="23"/>
      <c r="AA213" s="23"/>
      <c r="AF213" s="23"/>
      <c r="AG213" s="23"/>
      <c r="AH213" s="23"/>
      <c r="AI213" s="23"/>
      <c r="AN213" s="23"/>
      <c r="AO213" s="23"/>
      <c r="AP213" s="23"/>
      <c r="AQ213" s="23"/>
      <c r="AR213" s="35"/>
      <c r="AS213" s="35"/>
      <c r="AT213" s="35"/>
      <c r="AU213" s="31"/>
      <c r="AV213" s="36"/>
    </row>
    <row r="214" spans="1:48">
      <c r="A214" s="39"/>
      <c r="D214" s="31"/>
      <c r="E214" s="31"/>
      <c r="F214" s="31"/>
      <c r="G214" s="31"/>
      <c r="H214" s="32"/>
      <c r="J214" s="33"/>
      <c r="K214" s="33"/>
      <c r="L214" s="33"/>
      <c r="X214" s="23"/>
      <c r="Y214" s="23"/>
      <c r="Z214" s="23"/>
      <c r="AA214" s="23"/>
      <c r="AF214" s="23"/>
      <c r="AG214" s="23"/>
      <c r="AH214" s="23"/>
      <c r="AI214" s="23"/>
      <c r="AN214" s="23"/>
      <c r="AO214" s="23"/>
      <c r="AP214" s="23"/>
      <c r="AQ214" s="23"/>
      <c r="AR214" s="35"/>
      <c r="AS214" s="35"/>
      <c r="AT214" s="35"/>
      <c r="AU214" s="31"/>
      <c r="AV214" s="36"/>
    </row>
    <row r="215" spans="1:48">
      <c r="A215" s="39"/>
      <c r="D215" s="31"/>
      <c r="E215" s="31"/>
      <c r="F215" s="31"/>
      <c r="G215" s="31"/>
      <c r="H215" s="32"/>
      <c r="J215" s="33"/>
      <c r="K215" s="33"/>
      <c r="L215" s="33"/>
      <c r="X215" s="23"/>
      <c r="Y215" s="23"/>
      <c r="Z215" s="23"/>
      <c r="AA215" s="23"/>
      <c r="AF215" s="23"/>
      <c r="AG215" s="23"/>
      <c r="AH215" s="23"/>
      <c r="AI215" s="23"/>
      <c r="AN215" s="23"/>
      <c r="AO215" s="23"/>
      <c r="AP215" s="23"/>
      <c r="AQ215" s="23"/>
      <c r="AR215" s="35"/>
      <c r="AS215" s="35"/>
      <c r="AT215" s="35"/>
      <c r="AU215" s="31"/>
      <c r="AV215" s="36"/>
    </row>
    <row r="216" spans="1:48">
      <c r="A216" s="39"/>
      <c r="D216" s="31"/>
      <c r="E216" s="31"/>
      <c r="F216" s="31"/>
      <c r="G216" s="31"/>
      <c r="H216" s="32"/>
      <c r="J216" s="33"/>
      <c r="K216" s="33"/>
      <c r="L216" s="33"/>
      <c r="X216" s="23"/>
      <c r="Y216" s="23"/>
      <c r="Z216" s="23"/>
      <c r="AA216" s="23"/>
      <c r="AF216" s="23"/>
      <c r="AG216" s="23"/>
      <c r="AH216" s="23"/>
      <c r="AI216" s="23"/>
      <c r="AN216" s="23"/>
      <c r="AO216" s="23"/>
      <c r="AP216" s="23"/>
      <c r="AQ216" s="23"/>
      <c r="AR216" s="35"/>
      <c r="AS216" s="35"/>
      <c r="AT216" s="35"/>
      <c r="AU216" s="31"/>
      <c r="AV216" s="36"/>
    </row>
    <row r="217" spans="1:48">
      <c r="A217" s="39"/>
      <c r="D217" s="31"/>
      <c r="E217" s="31"/>
      <c r="F217" s="31"/>
      <c r="G217" s="31"/>
      <c r="H217" s="32"/>
      <c r="J217" s="33"/>
      <c r="K217" s="33"/>
      <c r="L217" s="33"/>
      <c r="X217" s="23"/>
      <c r="Y217" s="23"/>
      <c r="Z217" s="23"/>
      <c r="AA217" s="23"/>
      <c r="AF217" s="23"/>
      <c r="AG217" s="23"/>
      <c r="AH217" s="23"/>
      <c r="AI217" s="23"/>
      <c r="AN217" s="23"/>
      <c r="AO217" s="23"/>
      <c r="AP217" s="23"/>
      <c r="AQ217" s="23"/>
      <c r="AR217" s="35"/>
      <c r="AS217" s="35"/>
      <c r="AT217" s="35"/>
      <c r="AU217" s="31"/>
      <c r="AV217" s="36"/>
    </row>
    <row r="218" spans="1:48">
      <c r="A218" s="39"/>
      <c r="D218" s="31"/>
      <c r="E218" s="31"/>
      <c r="F218" s="31"/>
      <c r="G218" s="31"/>
      <c r="H218" s="32"/>
      <c r="J218" s="33"/>
      <c r="K218" s="33"/>
      <c r="L218" s="33"/>
      <c r="X218" s="23"/>
      <c r="Y218" s="23"/>
      <c r="Z218" s="23"/>
      <c r="AA218" s="23"/>
      <c r="AF218" s="23"/>
      <c r="AG218" s="23"/>
      <c r="AH218" s="23"/>
      <c r="AI218" s="23"/>
      <c r="AN218" s="23"/>
      <c r="AO218" s="23"/>
      <c r="AP218" s="23"/>
      <c r="AQ218" s="23"/>
      <c r="AR218" s="35"/>
      <c r="AS218" s="35"/>
      <c r="AT218" s="35"/>
      <c r="AU218" s="31"/>
      <c r="AV218" s="36"/>
    </row>
    <row r="219" spans="1:48">
      <c r="A219" s="39"/>
      <c r="D219" s="31"/>
      <c r="E219" s="31"/>
      <c r="F219" s="31"/>
      <c r="G219" s="31"/>
      <c r="H219" s="32"/>
      <c r="J219" s="33"/>
      <c r="K219" s="33"/>
      <c r="L219" s="33"/>
      <c r="X219" s="23"/>
      <c r="Y219" s="23"/>
      <c r="Z219" s="23"/>
      <c r="AA219" s="23"/>
      <c r="AF219" s="23"/>
      <c r="AG219" s="23"/>
      <c r="AH219" s="23"/>
      <c r="AI219" s="23"/>
      <c r="AN219" s="23"/>
      <c r="AO219" s="23"/>
      <c r="AP219" s="23"/>
      <c r="AQ219" s="23"/>
      <c r="AR219" s="35"/>
      <c r="AS219" s="35"/>
      <c r="AT219" s="35"/>
      <c r="AU219" s="31"/>
      <c r="AV219" s="36"/>
    </row>
    <row r="220" spans="1:48">
      <c r="A220" s="39"/>
      <c r="D220" s="31"/>
      <c r="E220" s="31"/>
      <c r="F220" s="31"/>
      <c r="G220" s="31"/>
      <c r="H220" s="32"/>
      <c r="J220" s="33"/>
      <c r="K220" s="33"/>
      <c r="L220" s="33"/>
      <c r="X220" s="23"/>
      <c r="Y220" s="23"/>
      <c r="Z220" s="23"/>
      <c r="AA220" s="23"/>
      <c r="AF220" s="23"/>
      <c r="AG220" s="23"/>
      <c r="AH220" s="23"/>
      <c r="AI220" s="23"/>
      <c r="AN220" s="23"/>
      <c r="AO220" s="23"/>
      <c r="AP220" s="23"/>
      <c r="AQ220" s="23"/>
      <c r="AR220" s="35"/>
      <c r="AS220" s="35"/>
      <c r="AT220" s="35"/>
      <c r="AU220" s="31"/>
      <c r="AV220" s="36"/>
    </row>
    <row r="221" spans="1:48">
      <c r="A221" s="39"/>
      <c r="D221" s="31"/>
      <c r="E221" s="31"/>
      <c r="F221" s="31"/>
      <c r="G221" s="31"/>
      <c r="H221" s="32"/>
      <c r="J221" s="33"/>
      <c r="K221" s="33"/>
      <c r="L221" s="33"/>
      <c r="X221" s="23"/>
      <c r="Y221" s="23"/>
      <c r="Z221" s="23"/>
      <c r="AA221" s="23"/>
      <c r="AF221" s="23"/>
      <c r="AG221" s="23"/>
      <c r="AH221" s="23"/>
      <c r="AI221" s="23"/>
      <c r="AN221" s="23"/>
      <c r="AO221" s="23"/>
      <c r="AP221" s="23"/>
      <c r="AQ221" s="23"/>
      <c r="AR221" s="35"/>
      <c r="AS221" s="35"/>
      <c r="AT221" s="35"/>
      <c r="AU221" s="31"/>
      <c r="AV221" s="36"/>
    </row>
    <row r="222" spans="1:48">
      <c r="A222" s="39"/>
      <c r="D222" s="31"/>
      <c r="E222" s="31"/>
      <c r="F222" s="31"/>
      <c r="G222" s="31"/>
      <c r="H222" s="32"/>
      <c r="J222" s="33"/>
      <c r="K222" s="33"/>
      <c r="L222" s="33"/>
      <c r="X222" s="23"/>
      <c r="Y222" s="23"/>
      <c r="Z222" s="23"/>
      <c r="AA222" s="23"/>
      <c r="AF222" s="23"/>
      <c r="AG222" s="23"/>
      <c r="AH222" s="23"/>
      <c r="AI222" s="23"/>
      <c r="AN222" s="23"/>
      <c r="AO222" s="23"/>
      <c r="AP222" s="23"/>
      <c r="AQ222" s="23"/>
      <c r="AR222" s="35"/>
      <c r="AS222" s="35"/>
      <c r="AT222" s="35"/>
      <c r="AU222" s="31"/>
      <c r="AV222" s="36"/>
    </row>
    <row r="223" spans="1:48">
      <c r="A223" s="39"/>
      <c r="D223" s="31"/>
      <c r="E223" s="31"/>
      <c r="F223" s="31"/>
      <c r="G223" s="31"/>
      <c r="H223" s="32"/>
      <c r="J223" s="33"/>
      <c r="K223" s="33"/>
      <c r="L223" s="33"/>
      <c r="X223" s="23"/>
      <c r="Y223" s="23"/>
      <c r="Z223" s="23"/>
      <c r="AA223" s="23"/>
      <c r="AF223" s="23"/>
      <c r="AG223" s="23"/>
      <c r="AH223" s="23"/>
      <c r="AI223" s="23"/>
      <c r="AN223" s="23"/>
      <c r="AO223" s="23"/>
      <c r="AP223" s="23"/>
      <c r="AQ223" s="23"/>
      <c r="AR223" s="35"/>
      <c r="AS223" s="35"/>
      <c r="AT223" s="35"/>
      <c r="AU223" s="31"/>
      <c r="AV223" s="36"/>
    </row>
    <row r="224" spans="1:48">
      <c r="A224" s="39"/>
      <c r="D224" s="31"/>
      <c r="E224" s="31"/>
      <c r="F224" s="31"/>
      <c r="G224" s="31"/>
      <c r="H224" s="32"/>
      <c r="J224" s="33"/>
      <c r="K224" s="33"/>
      <c r="L224" s="33"/>
      <c r="X224" s="23"/>
      <c r="Y224" s="23"/>
      <c r="Z224" s="23"/>
      <c r="AA224" s="23"/>
      <c r="AF224" s="23"/>
      <c r="AG224" s="23"/>
      <c r="AH224" s="23"/>
      <c r="AI224" s="23"/>
      <c r="AN224" s="23"/>
      <c r="AO224" s="23"/>
      <c r="AP224" s="23"/>
      <c r="AQ224" s="23"/>
      <c r="AR224" s="35"/>
      <c r="AS224" s="35"/>
      <c r="AT224" s="35"/>
      <c r="AU224" s="31"/>
      <c r="AV224" s="36"/>
    </row>
    <row r="225" spans="1:48">
      <c r="A225" s="39"/>
      <c r="D225" s="31"/>
      <c r="E225" s="31"/>
      <c r="F225" s="31"/>
      <c r="G225" s="31"/>
      <c r="H225" s="32"/>
      <c r="J225" s="33"/>
      <c r="K225" s="33"/>
      <c r="L225" s="33"/>
      <c r="X225" s="23"/>
      <c r="Y225" s="23"/>
      <c r="Z225" s="23"/>
      <c r="AA225" s="23"/>
      <c r="AF225" s="23"/>
      <c r="AG225" s="23"/>
      <c r="AH225" s="23"/>
      <c r="AI225" s="23"/>
      <c r="AN225" s="23"/>
      <c r="AO225" s="23"/>
      <c r="AP225" s="23"/>
      <c r="AQ225" s="23"/>
      <c r="AR225" s="35"/>
      <c r="AS225" s="35"/>
      <c r="AT225" s="35"/>
      <c r="AU225" s="31"/>
      <c r="AV225" s="36"/>
    </row>
    <row r="226" spans="1:48">
      <c r="A226" s="39"/>
      <c r="D226" s="31"/>
      <c r="E226" s="31"/>
      <c r="F226" s="31"/>
      <c r="G226" s="31"/>
      <c r="H226" s="32"/>
      <c r="J226" s="33"/>
      <c r="K226" s="33"/>
      <c r="L226" s="33"/>
      <c r="X226" s="23"/>
      <c r="Y226" s="23"/>
      <c r="Z226" s="23"/>
      <c r="AA226" s="23"/>
      <c r="AF226" s="23"/>
      <c r="AG226" s="23"/>
      <c r="AH226" s="23"/>
      <c r="AI226" s="23"/>
      <c r="AN226" s="23"/>
      <c r="AO226" s="23"/>
      <c r="AP226" s="23"/>
      <c r="AQ226" s="23"/>
      <c r="AR226" s="35"/>
      <c r="AS226" s="35"/>
      <c r="AT226" s="35"/>
      <c r="AU226" s="31"/>
      <c r="AV226" s="36"/>
    </row>
    <row r="227" spans="1:48">
      <c r="A227" s="39"/>
      <c r="D227" s="31"/>
      <c r="E227" s="31"/>
      <c r="F227" s="31"/>
      <c r="G227" s="31"/>
      <c r="H227" s="32"/>
      <c r="J227" s="33"/>
      <c r="K227" s="33"/>
      <c r="L227" s="33"/>
      <c r="X227" s="23"/>
      <c r="Y227" s="23"/>
      <c r="Z227" s="23"/>
      <c r="AA227" s="23"/>
      <c r="AF227" s="23"/>
      <c r="AG227" s="23"/>
      <c r="AH227" s="23"/>
      <c r="AI227" s="23"/>
      <c r="AN227" s="23"/>
      <c r="AO227" s="23"/>
      <c r="AP227" s="23"/>
      <c r="AQ227" s="23"/>
      <c r="AR227" s="35"/>
      <c r="AS227" s="35"/>
      <c r="AT227" s="35"/>
      <c r="AU227" s="31"/>
      <c r="AV227" s="36"/>
    </row>
    <row r="228" spans="1:48">
      <c r="A228" s="39"/>
      <c r="D228" s="31"/>
      <c r="E228" s="31"/>
      <c r="F228" s="31"/>
      <c r="G228" s="31"/>
      <c r="H228" s="32"/>
      <c r="J228" s="33"/>
      <c r="K228" s="33"/>
      <c r="L228" s="33"/>
      <c r="X228" s="23"/>
      <c r="Y228" s="23"/>
      <c r="Z228" s="23"/>
      <c r="AA228" s="23"/>
      <c r="AF228" s="23"/>
      <c r="AG228" s="23"/>
      <c r="AH228" s="23"/>
      <c r="AI228" s="23"/>
      <c r="AN228" s="23"/>
      <c r="AO228" s="23"/>
      <c r="AP228" s="23"/>
      <c r="AQ228" s="23"/>
      <c r="AR228" s="35"/>
      <c r="AS228" s="35"/>
      <c r="AT228" s="35"/>
      <c r="AU228" s="31"/>
      <c r="AV228" s="36"/>
    </row>
    <row r="229" spans="1:48">
      <c r="A229" s="39"/>
      <c r="D229" s="31"/>
      <c r="E229" s="31"/>
      <c r="F229" s="31"/>
      <c r="G229" s="31"/>
      <c r="H229" s="32"/>
      <c r="J229" s="33"/>
      <c r="K229" s="33"/>
      <c r="L229" s="33"/>
      <c r="X229" s="23"/>
      <c r="Y229" s="23"/>
      <c r="Z229" s="23"/>
      <c r="AA229" s="23"/>
      <c r="AF229" s="23"/>
      <c r="AG229" s="23"/>
      <c r="AH229" s="23"/>
      <c r="AI229" s="23"/>
      <c r="AN229" s="23"/>
      <c r="AO229" s="23"/>
      <c r="AP229" s="23"/>
      <c r="AQ229" s="23"/>
      <c r="AR229" s="35"/>
      <c r="AS229" s="35"/>
      <c r="AT229" s="35"/>
      <c r="AU229" s="31"/>
      <c r="AV229" s="36"/>
    </row>
    <row r="230" spans="1:48">
      <c r="A230" s="39"/>
      <c r="D230" s="31"/>
      <c r="E230" s="31"/>
      <c r="F230" s="31"/>
      <c r="G230" s="31"/>
      <c r="H230" s="32"/>
      <c r="J230" s="33"/>
      <c r="K230" s="33"/>
      <c r="L230" s="33"/>
      <c r="X230" s="23"/>
      <c r="Y230" s="23"/>
      <c r="Z230" s="23"/>
      <c r="AA230" s="23"/>
      <c r="AF230" s="23"/>
      <c r="AG230" s="23"/>
      <c r="AH230" s="23"/>
      <c r="AI230" s="23"/>
      <c r="AN230" s="23"/>
      <c r="AO230" s="23"/>
      <c r="AP230" s="23"/>
      <c r="AQ230" s="23"/>
      <c r="AR230" s="35"/>
      <c r="AS230" s="35"/>
      <c r="AT230" s="35"/>
      <c r="AU230" s="31"/>
      <c r="AV230" s="36"/>
    </row>
    <row r="231" spans="1:48">
      <c r="A231" s="39"/>
      <c r="D231" s="31"/>
      <c r="E231" s="31"/>
      <c r="F231" s="31"/>
      <c r="G231" s="31"/>
      <c r="H231" s="32"/>
      <c r="J231" s="33"/>
      <c r="K231" s="33"/>
      <c r="L231" s="33"/>
      <c r="X231" s="23"/>
      <c r="Y231" s="23"/>
      <c r="Z231" s="23"/>
      <c r="AA231" s="23"/>
      <c r="AF231" s="23"/>
      <c r="AG231" s="23"/>
      <c r="AH231" s="23"/>
      <c r="AI231" s="23"/>
      <c r="AN231" s="23"/>
      <c r="AO231" s="23"/>
      <c r="AP231" s="23"/>
      <c r="AQ231" s="23"/>
      <c r="AR231" s="35"/>
      <c r="AS231" s="35"/>
      <c r="AT231" s="35"/>
      <c r="AU231" s="31"/>
      <c r="AV231" s="36"/>
    </row>
    <row r="232" spans="1:48">
      <c r="A232" s="39"/>
      <c r="D232" s="31"/>
      <c r="E232" s="31"/>
      <c r="F232" s="31"/>
      <c r="G232" s="31"/>
      <c r="H232" s="32"/>
      <c r="J232" s="33"/>
      <c r="K232" s="33"/>
      <c r="L232" s="33"/>
      <c r="X232" s="23"/>
      <c r="Y232" s="23"/>
      <c r="Z232" s="23"/>
      <c r="AA232" s="23"/>
      <c r="AF232" s="23"/>
      <c r="AG232" s="23"/>
      <c r="AH232" s="23"/>
      <c r="AI232" s="23"/>
      <c r="AN232" s="23"/>
      <c r="AO232" s="23"/>
      <c r="AP232" s="23"/>
      <c r="AQ232" s="23"/>
      <c r="AR232" s="35"/>
      <c r="AS232" s="35"/>
      <c r="AT232" s="35"/>
      <c r="AU232" s="31"/>
      <c r="AV232" s="36"/>
    </row>
    <row r="233" spans="1:48">
      <c r="A233" s="39"/>
      <c r="D233" s="31"/>
      <c r="E233" s="31"/>
      <c r="F233" s="31"/>
      <c r="G233" s="31"/>
      <c r="H233" s="32"/>
      <c r="J233" s="33"/>
      <c r="K233" s="33"/>
      <c r="L233" s="33"/>
      <c r="X233" s="23"/>
      <c r="Y233" s="23"/>
      <c r="Z233" s="23"/>
      <c r="AA233" s="23"/>
      <c r="AF233" s="23"/>
      <c r="AG233" s="23"/>
      <c r="AH233" s="23"/>
      <c r="AI233" s="23"/>
      <c r="AN233" s="23"/>
      <c r="AO233" s="23"/>
      <c r="AP233" s="23"/>
      <c r="AQ233" s="23"/>
      <c r="AR233" s="35"/>
      <c r="AS233" s="35"/>
      <c r="AT233" s="35"/>
      <c r="AU233" s="31"/>
      <c r="AV233" s="36"/>
    </row>
    <row r="234" spans="1:48">
      <c r="A234" s="39"/>
      <c r="D234" s="31"/>
      <c r="E234" s="31"/>
      <c r="F234" s="31"/>
      <c r="G234" s="31"/>
      <c r="H234" s="32"/>
      <c r="J234" s="33"/>
      <c r="K234" s="33"/>
      <c r="L234" s="33"/>
      <c r="X234" s="23"/>
      <c r="Y234" s="23"/>
      <c r="Z234" s="23"/>
      <c r="AA234" s="23"/>
      <c r="AF234" s="23"/>
      <c r="AG234" s="23"/>
      <c r="AH234" s="23"/>
      <c r="AI234" s="23"/>
      <c r="AN234" s="23"/>
      <c r="AO234" s="23"/>
      <c r="AP234" s="23"/>
      <c r="AQ234" s="23"/>
      <c r="AR234" s="35"/>
      <c r="AS234" s="35"/>
      <c r="AT234" s="35"/>
      <c r="AU234" s="31"/>
      <c r="AV234" s="36"/>
    </row>
    <row r="235" spans="1:48">
      <c r="A235" s="39"/>
      <c r="D235" s="31"/>
      <c r="E235" s="31"/>
      <c r="F235" s="31"/>
      <c r="G235" s="31"/>
      <c r="H235" s="32"/>
      <c r="J235" s="33"/>
      <c r="K235" s="33"/>
      <c r="L235" s="33"/>
      <c r="X235" s="23"/>
      <c r="Y235" s="23"/>
      <c r="Z235" s="23"/>
      <c r="AA235" s="23"/>
      <c r="AF235" s="23"/>
      <c r="AG235" s="23"/>
      <c r="AH235" s="23"/>
      <c r="AI235" s="23"/>
      <c r="AN235" s="23"/>
      <c r="AO235" s="23"/>
      <c r="AP235" s="23"/>
      <c r="AQ235" s="23"/>
      <c r="AR235" s="35"/>
      <c r="AS235" s="35"/>
      <c r="AT235" s="35"/>
      <c r="AU235" s="31"/>
      <c r="AV235" s="36"/>
    </row>
    <row r="236" spans="1:48">
      <c r="A236" s="39"/>
      <c r="D236" s="31"/>
      <c r="E236" s="31"/>
      <c r="F236" s="31"/>
      <c r="G236" s="31"/>
      <c r="H236" s="32"/>
      <c r="J236" s="33"/>
      <c r="K236" s="33"/>
      <c r="L236" s="33"/>
      <c r="X236" s="23"/>
      <c r="Y236" s="23"/>
      <c r="Z236" s="23"/>
      <c r="AA236" s="23"/>
      <c r="AF236" s="23"/>
      <c r="AG236" s="23"/>
      <c r="AH236" s="23"/>
      <c r="AI236" s="23"/>
      <c r="AN236" s="23"/>
      <c r="AO236" s="23"/>
      <c r="AP236" s="23"/>
      <c r="AQ236" s="23"/>
      <c r="AR236" s="35"/>
      <c r="AS236" s="35"/>
      <c r="AT236" s="35"/>
      <c r="AU236" s="31"/>
      <c r="AV236" s="36"/>
    </row>
    <row r="237" spans="1:48">
      <c r="A237" s="39"/>
      <c r="D237" s="31"/>
      <c r="E237" s="31"/>
      <c r="F237" s="31"/>
      <c r="G237" s="31"/>
      <c r="H237" s="32"/>
      <c r="J237" s="33"/>
      <c r="K237" s="33"/>
      <c r="L237" s="33"/>
      <c r="X237" s="23"/>
      <c r="Y237" s="23"/>
      <c r="Z237" s="23"/>
      <c r="AA237" s="23"/>
      <c r="AF237" s="23"/>
      <c r="AG237" s="23"/>
      <c r="AH237" s="23"/>
      <c r="AI237" s="23"/>
      <c r="AN237" s="23"/>
      <c r="AO237" s="23"/>
      <c r="AP237" s="23"/>
      <c r="AQ237" s="23"/>
      <c r="AR237" s="35"/>
      <c r="AS237" s="35"/>
      <c r="AT237" s="35"/>
      <c r="AU237" s="31"/>
      <c r="AV237" s="36"/>
    </row>
    <row r="238" spans="1:48">
      <c r="A238" s="39"/>
      <c r="D238" s="31"/>
      <c r="E238" s="31"/>
      <c r="F238" s="31"/>
      <c r="G238" s="31"/>
      <c r="H238" s="32"/>
      <c r="J238" s="33"/>
      <c r="K238" s="33"/>
      <c r="L238" s="33"/>
      <c r="X238" s="23"/>
      <c r="Y238" s="23"/>
      <c r="Z238" s="23"/>
      <c r="AA238" s="23"/>
      <c r="AF238" s="23"/>
      <c r="AG238" s="23"/>
      <c r="AH238" s="23"/>
      <c r="AI238" s="23"/>
      <c r="AN238" s="23"/>
      <c r="AO238" s="23"/>
      <c r="AP238" s="23"/>
      <c r="AQ238" s="23"/>
      <c r="AR238" s="35"/>
      <c r="AS238" s="35"/>
      <c r="AT238" s="35"/>
      <c r="AU238" s="31"/>
      <c r="AV238" s="36"/>
    </row>
    <row r="239" spans="1:48">
      <c r="A239" s="39"/>
      <c r="D239" s="31"/>
      <c r="E239" s="31"/>
      <c r="F239" s="31"/>
      <c r="G239" s="31"/>
      <c r="H239" s="32"/>
      <c r="J239" s="33"/>
      <c r="K239" s="33"/>
      <c r="L239" s="33"/>
      <c r="X239" s="23"/>
      <c r="Y239" s="23"/>
      <c r="Z239" s="23"/>
      <c r="AA239" s="23"/>
      <c r="AF239" s="23"/>
      <c r="AG239" s="23"/>
      <c r="AH239" s="23"/>
      <c r="AI239" s="23"/>
      <c r="AN239" s="23"/>
      <c r="AO239" s="23"/>
      <c r="AP239" s="23"/>
      <c r="AQ239" s="23"/>
      <c r="AR239" s="35"/>
      <c r="AS239" s="35"/>
      <c r="AT239" s="35"/>
      <c r="AU239" s="31"/>
      <c r="AV239" s="36"/>
    </row>
    <row r="240" spans="1:48">
      <c r="A240" s="39"/>
      <c r="D240" s="31"/>
      <c r="E240" s="31"/>
      <c r="F240" s="31"/>
      <c r="G240" s="31"/>
      <c r="H240" s="32"/>
      <c r="J240" s="33"/>
      <c r="K240" s="33"/>
      <c r="L240" s="33"/>
      <c r="X240" s="23"/>
      <c r="Y240" s="23"/>
      <c r="Z240" s="23"/>
      <c r="AA240" s="23"/>
      <c r="AF240" s="23"/>
      <c r="AG240" s="23"/>
      <c r="AH240" s="23"/>
      <c r="AI240" s="23"/>
      <c r="AN240" s="23"/>
      <c r="AO240" s="23"/>
      <c r="AP240" s="23"/>
      <c r="AQ240" s="23"/>
      <c r="AR240" s="35"/>
      <c r="AS240" s="35"/>
      <c r="AT240" s="35"/>
      <c r="AU240" s="31"/>
      <c r="AV240" s="36"/>
    </row>
    <row r="241" spans="1:48">
      <c r="A241" s="39"/>
      <c r="D241" s="31"/>
      <c r="E241" s="31"/>
      <c r="F241" s="31"/>
      <c r="G241" s="31"/>
      <c r="H241" s="32"/>
      <c r="J241" s="33"/>
      <c r="K241" s="33"/>
      <c r="L241" s="33"/>
      <c r="X241" s="23"/>
      <c r="Y241" s="23"/>
      <c r="Z241" s="23"/>
      <c r="AA241" s="23"/>
      <c r="AF241" s="23"/>
      <c r="AG241" s="23"/>
      <c r="AH241" s="23"/>
      <c r="AI241" s="23"/>
      <c r="AN241" s="23"/>
      <c r="AO241" s="23"/>
      <c r="AP241" s="23"/>
      <c r="AQ241" s="23"/>
      <c r="AR241" s="35"/>
      <c r="AS241" s="35"/>
      <c r="AT241" s="35"/>
      <c r="AU241" s="31"/>
      <c r="AV241" s="36"/>
    </row>
    <row r="242" spans="1:48">
      <c r="A242" s="39"/>
      <c r="D242" s="31"/>
      <c r="E242" s="31"/>
      <c r="F242" s="31"/>
      <c r="G242" s="31"/>
      <c r="H242" s="32"/>
      <c r="J242" s="33"/>
      <c r="K242" s="33"/>
      <c r="L242" s="33"/>
      <c r="X242" s="23"/>
      <c r="Y242" s="23"/>
      <c r="Z242" s="23"/>
      <c r="AA242" s="23"/>
      <c r="AF242" s="23"/>
      <c r="AG242" s="23"/>
      <c r="AH242" s="23"/>
      <c r="AI242" s="23"/>
      <c r="AN242" s="23"/>
      <c r="AO242" s="23"/>
      <c r="AP242" s="23"/>
      <c r="AQ242" s="23"/>
      <c r="AR242" s="35"/>
      <c r="AS242" s="35"/>
      <c r="AT242" s="35"/>
      <c r="AU242" s="31"/>
      <c r="AV242" s="36"/>
    </row>
    <row r="243" spans="1:48">
      <c r="A243" s="39"/>
      <c r="D243" s="31"/>
      <c r="E243" s="31"/>
      <c r="F243" s="31"/>
      <c r="G243" s="31"/>
      <c r="H243" s="32"/>
      <c r="J243" s="33"/>
      <c r="K243" s="33"/>
      <c r="L243" s="33"/>
      <c r="X243" s="23"/>
      <c r="Y243" s="23"/>
      <c r="Z243" s="23"/>
      <c r="AA243" s="23"/>
      <c r="AF243" s="23"/>
      <c r="AG243" s="23"/>
      <c r="AH243" s="23"/>
      <c r="AI243" s="23"/>
      <c r="AN243" s="23"/>
      <c r="AO243" s="23"/>
      <c r="AP243" s="23"/>
      <c r="AQ243" s="23"/>
      <c r="AR243" s="35"/>
      <c r="AS243" s="35"/>
      <c r="AT243" s="35"/>
      <c r="AU243" s="31"/>
      <c r="AV243" s="36"/>
    </row>
    <row r="244" spans="1:48">
      <c r="A244" s="39"/>
      <c r="D244" s="31"/>
      <c r="E244" s="31"/>
      <c r="F244" s="31"/>
      <c r="G244" s="31"/>
      <c r="H244" s="32"/>
      <c r="J244" s="33"/>
      <c r="K244" s="33"/>
      <c r="L244" s="33"/>
      <c r="X244" s="23"/>
      <c r="Y244" s="23"/>
      <c r="Z244" s="23"/>
      <c r="AA244" s="23"/>
      <c r="AF244" s="23"/>
      <c r="AG244" s="23"/>
      <c r="AH244" s="23"/>
      <c r="AI244" s="23"/>
      <c r="AN244" s="23"/>
      <c r="AO244" s="23"/>
      <c r="AP244" s="23"/>
      <c r="AQ244" s="23"/>
      <c r="AR244" s="35"/>
      <c r="AS244" s="35"/>
      <c r="AT244" s="35"/>
      <c r="AU244" s="31"/>
      <c r="AV244" s="36"/>
    </row>
    <row r="245" spans="1:48">
      <c r="A245" s="39"/>
      <c r="D245" s="31"/>
      <c r="E245" s="31"/>
      <c r="F245" s="31"/>
      <c r="G245" s="31"/>
      <c r="H245" s="32"/>
      <c r="J245" s="33"/>
      <c r="K245" s="33"/>
      <c r="L245" s="33"/>
      <c r="X245" s="23"/>
      <c r="Y245" s="23"/>
      <c r="Z245" s="23"/>
      <c r="AA245" s="23"/>
      <c r="AF245" s="23"/>
      <c r="AG245" s="23"/>
      <c r="AH245" s="23"/>
      <c r="AI245" s="23"/>
      <c r="AN245" s="23"/>
      <c r="AO245" s="23"/>
      <c r="AP245" s="23"/>
      <c r="AQ245" s="23"/>
      <c r="AR245" s="35"/>
      <c r="AS245" s="35"/>
      <c r="AT245" s="35"/>
      <c r="AU245" s="31"/>
      <c r="AV245" s="36"/>
    </row>
    <row r="246" spans="1:48">
      <c r="A246" s="39"/>
      <c r="D246" s="31"/>
      <c r="E246" s="31"/>
      <c r="F246" s="31"/>
      <c r="G246" s="31"/>
      <c r="H246" s="32"/>
      <c r="J246" s="33"/>
      <c r="K246" s="33"/>
      <c r="L246" s="33"/>
      <c r="X246" s="23"/>
      <c r="Y246" s="23"/>
      <c r="Z246" s="23"/>
      <c r="AA246" s="23"/>
      <c r="AF246" s="23"/>
      <c r="AG246" s="23"/>
      <c r="AH246" s="23"/>
      <c r="AI246" s="23"/>
      <c r="AN246" s="23"/>
      <c r="AO246" s="23"/>
      <c r="AP246" s="23"/>
      <c r="AQ246" s="23"/>
      <c r="AR246" s="35"/>
      <c r="AS246" s="35"/>
      <c r="AT246" s="35"/>
      <c r="AU246" s="31"/>
      <c r="AV246" s="36"/>
    </row>
    <row r="247" spans="1:48">
      <c r="A247" s="39"/>
      <c r="D247" s="31"/>
      <c r="E247" s="31"/>
      <c r="F247" s="31"/>
      <c r="G247" s="31"/>
      <c r="H247" s="32"/>
      <c r="J247" s="33"/>
      <c r="K247" s="33"/>
      <c r="L247" s="33"/>
      <c r="X247" s="23"/>
      <c r="Y247" s="23"/>
      <c r="Z247" s="23"/>
      <c r="AA247" s="23"/>
      <c r="AF247" s="23"/>
      <c r="AG247" s="23"/>
      <c r="AH247" s="23"/>
      <c r="AI247" s="23"/>
      <c r="AN247" s="23"/>
      <c r="AO247" s="23"/>
      <c r="AP247" s="23"/>
      <c r="AQ247" s="23"/>
      <c r="AR247" s="35"/>
      <c r="AS247" s="35"/>
      <c r="AT247" s="35"/>
      <c r="AU247" s="31"/>
      <c r="AV247" s="36"/>
    </row>
    <row r="248" spans="1:48">
      <c r="A248" s="39"/>
      <c r="D248" s="31"/>
      <c r="E248" s="31"/>
      <c r="F248" s="31"/>
      <c r="G248" s="31"/>
      <c r="H248" s="32"/>
      <c r="J248" s="33"/>
      <c r="K248" s="33"/>
      <c r="L248" s="33"/>
      <c r="X248" s="23"/>
      <c r="Y248" s="23"/>
      <c r="Z248" s="23"/>
      <c r="AA248" s="23"/>
      <c r="AF248" s="23"/>
      <c r="AG248" s="23"/>
      <c r="AH248" s="23"/>
      <c r="AI248" s="23"/>
      <c r="AN248" s="23"/>
      <c r="AO248" s="23"/>
      <c r="AP248" s="23"/>
      <c r="AQ248" s="23"/>
      <c r="AR248" s="35"/>
      <c r="AS248" s="35"/>
      <c r="AT248" s="35"/>
      <c r="AU248" s="31"/>
      <c r="AV248" s="36"/>
    </row>
    <row r="249" spans="1:48">
      <c r="A249" s="39"/>
      <c r="D249" s="31"/>
      <c r="E249" s="31"/>
      <c r="F249" s="31"/>
      <c r="G249" s="31"/>
      <c r="H249" s="32"/>
      <c r="J249" s="33"/>
      <c r="K249" s="33"/>
      <c r="L249" s="33"/>
      <c r="X249" s="23"/>
      <c r="Y249" s="23"/>
      <c r="Z249" s="23"/>
      <c r="AA249" s="23"/>
      <c r="AF249" s="23"/>
      <c r="AG249" s="23"/>
      <c r="AH249" s="23"/>
      <c r="AI249" s="23"/>
      <c r="AN249" s="23"/>
      <c r="AO249" s="23"/>
      <c r="AP249" s="23"/>
      <c r="AQ249" s="23"/>
      <c r="AR249" s="35"/>
      <c r="AS249" s="35"/>
      <c r="AT249" s="35"/>
      <c r="AU249" s="31"/>
      <c r="AV249" s="36"/>
    </row>
    <row r="250" spans="1:48">
      <c r="A250" s="39"/>
      <c r="D250" s="31"/>
      <c r="E250" s="31"/>
      <c r="F250" s="31"/>
      <c r="G250" s="31"/>
      <c r="H250" s="32"/>
      <c r="J250" s="33"/>
      <c r="K250" s="33"/>
      <c r="L250" s="33"/>
      <c r="X250" s="23"/>
      <c r="Y250" s="23"/>
      <c r="Z250" s="23"/>
      <c r="AA250" s="23"/>
      <c r="AF250" s="23"/>
      <c r="AG250" s="23"/>
      <c r="AH250" s="23"/>
      <c r="AI250" s="23"/>
      <c r="AN250" s="23"/>
      <c r="AO250" s="23"/>
      <c r="AP250" s="23"/>
      <c r="AQ250" s="23"/>
      <c r="AR250" s="35"/>
      <c r="AS250" s="35"/>
      <c r="AT250" s="35"/>
      <c r="AU250" s="31"/>
      <c r="AV250" s="36"/>
    </row>
    <row r="251" spans="1:48">
      <c r="A251" s="39"/>
      <c r="D251" s="31"/>
      <c r="E251" s="31"/>
      <c r="F251" s="31"/>
      <c r="G251" s="31"/>
      <c r="H251" s="32"/>
      <c r="J251" s="33"/>
      <c r="K251" s="33"/>
      <c r="L251" s="33"/>
      <c r="X251" s="23"/>
      <c r="Y251" s="23"/>
      <c r="Z251" s="23"/>
      <c r="AA251" s="23"/>
      <c r="AF251" s="23"/>
      <c r="AG251" s="23"/>
      <c r="AH251" s="23"/>
      <c r="AI251" s="23"/>
      <c r="AN251" s="23"/>
      <c r="AO251" s="23"/>
      <c r="AP251" s="23"/>
      <c r="AQ251" s="23"/>
      <c r="AR251" s="35"/>
      <c r="AS251" s="35"/>
      <c r="AT251" s="35"/>
      <c r="AU251" s="31"/>
      <c r="AV251" s="36"/>
    </row>
    <row r="252" spans="1:48">
      <c r="A252" s="39"/>
      <c r="D252" s="31"/>
      <c r="E252" s="31"/>
      <c r="F252" s="31"/>
      <c r="G252" s="31"/>
      <c r="H252" s="32"/>
      <c r="J252" s="33"/>
      <c r="K252" s="33"/>
      <c r="L252" s="33"/>
      <c r="X252" s="23"/>
      <c r="Y252" s="23"/>
      <c r="Z252" s="23"/>
      <c r="AA252" s="23"/>
      <c r="AF252" s="23"/>
      <c r="AG252" s="23"/>
      <c r="AH252" s="23"/>
      <c r="AI252" s="23"/>
      <c r="AN252" s="23"/>
      <c r="AO252" s="23"/>
      <c r="AP252" s="23"/>
      <c r="AQ252" s="23"/>
      <c r="AR252" s="35"/>
      <c r="AS252" s="35"/>
      <c r="AT252" s="35"/>
      <c r="AU252" s="31"/>
      <c r="AV252" s="36"/>
    </row>
    <row r="253" spans="1:48">
      <c r="A253" s="39"/>
      <c r="D253" s="31"/>
      <c r="E253" s="31"/>
      <c r="F253" s="31"/>
      <c r="G253" s="31"/>
      <c r="H253" s="32"/>
      <c r="J253" s="33"/>
      <c r="K253" s="33"/>
      <c r="L253" s="33"/>
      <c r="X253" s="23"/>
      <c r="Y253" s="23"/>
      <c r="Z253" s="23"/>
      <c r="AA253" s="23"/>
      <c r="AF253" s="23"/>
      <c r="AG253" s="23"/>
      <c r="AH253" s="23"/>
      <c r="AI253" s="23"/>
      <c r="AN253" s="23"/>
      <c r="AO253" s="23"/>
      <c r="AP253" s="23"/>
      <c r="AQ253" s="23"/>
      <c r="AR253" s="35"/>
      <c r="AS253" s="35"/>
      <c r="AT253" s="35"/>
      <c r="AU253" s="31"/>
      <c r="AV253" s="36"/>
    </row>
    <row r="254" spans="1:48">
      <c r="A254" s="39"/>
      <c r="D254" s="31"/>
      <c r="E254" s="31"/>
      <c r="F254" s="31"/>
      <c r="G254" s="31"/>
      <c r="H254" s="32"/>
      <c r="J254" s="33"/>
      <c r="K254" s="33"/>
      <c r="L254" s="33"/>
      <c r="X254" s="23"/>
      <c r="Y254" s="23"/>
      <c r="Z254" s="23"/>
      <c r="AA254" s="23"/>
      <c r="AF254" s="23"/>
      <c r="AG254" s="23"/>
      <c r="AH254" s="23"/>
      <c r="AI254" s="23"/>
      <c r="AN254" s="23"/>
      <c r="AO254" s="23"/>
      <c r="AP254" s="23"/>
      <c r="AQ254" s="23"/>
      <c r="AR254" s="35"/>
      <c r="AS254" s="35"/>
      <c r="AT254" s="35"/>
      <c r="AU254" s="31"/>
      <c r="AV254" s="36"/>
    </row>
    <row r="255" spans="1:48">
      <c r="A255" s="39"/>
      <c r="D255" s="31"/>
      <c r="E255" s="31"/>
      <c r="F255" s="31"/>
      <c r="G255" s="31"/>
      <c r="H255" s="32"/>
      <c r="J255" s="33"/>
      <c r="K255" s="33"/>
      <c r="L255" s="33"/>
      <c r="X255" s="23"/>
      <c r="Y255" s="23"/>
      <c r="Z255" s="23"/>
      <c r="AA255" s="23"/>
      <c r="AF255" s="23"/>
      <c r="AG255" s="23"/>
      <c r="AH255" s="23"/>
      <c r="AI255" s="23"/>
      <c r="AN255" s="23"/>
      <c r="AO255" s="23"/>
      <c r="AP255" s="23"/>
      <c r="AQ255" s="23"/>
      <c r="AR255" s="35"/>
      <c r="AS255" s="35"/>
      <c r="AT255" s="35"/>
      <c r="AU255" s="31"/>
      <c r="AV255" s="36"/>
    </row>
    <row r="256" spans="1:48">
      <c r="A256" s="39"/>
      <c r="D256" s="31"/>
      <c r="E256" s="31"/>
      <c r="F256" s="31"/>
      <c r="G256" s="31"/>
      <c r="H256" s="32"/>
      <c r="J256" s="33"/>
      <c r="K256" s="33"/>
      <c r="L256" s="33"/>
      <c r="X256" s="23"/>
      <c r="Y256" s="23"/>
      <c r="Z256" s="23"/>
      <c r="AA256" s="23"/>
      <c r="AF256" s="23"/>
      <c r="AG256" s="23"/>
      <c r="AH256" s="23"/>
      <c r="AI256" s="23"/>
      <c r="AN256" s="23"/>
      <c r="AO256" s="23"/>
      <c r="AP256" s="23"/>
      <c r="AQ256" s="23"/>
      <c r="AR256" s="35"/>
      <c r="AS256" s="35"/>
      <c r="AT256" s="35"/>
      <c r="AU256" s="31"/>
      <c r="AV256" s="36"/>
    </row>
    <row r="257" spans="1:48">
      <c r="A257" s="39"/>
      <c r="D257" s="31"/>
      <c r="E257" s="31"/>
      <c r="F257" s="31"/>
      <c r="G257" s="31"/>
      <c r="H257" s="32"/>
      <c r="J257" s="33"/>
      <c r="K257" s="33"/>
      <c r="L257" s="33"/>
      <c r="X257" s="23"/>
      <c r="Y257" s="23"/>
      <c r="Z257" s="23"/>
      <c r="AA257" s="23"/>
      <c r="AF257" s="23"/>
      <c r="AG257" s="23"/>
      <c r="AH257" s="23"/>
      <c r="AI257" s="23"/>
      <c r="AN257" s="23"/>
      <c r="AO257" s="23"/>
      <c r="AP257" s="23"/>
      <c r="AQ257" s="23"/>
      <c r="AR257" s="35"/>
      <c r="AS257" s="35"/>
      <c r="AT257" s="35"/>
      <c r="AU257" s="31"/>
      <c r="AV257" s="36"/>
    </row>
    <row r="258" spans="1:48">
      <c r="A258" s="39"/>
      <c r="D258" s="31"/>
      <c r="E258" s="31"/>
      <c r="F258" s="31"/>
      <c r="G258" s="31"/>
      <c r="H258" s="32"/>
      <c r="J258" s="33"/>
      <c r="K258" s="33"/>
      <c r="L258" s="33"/>
      <c r="X258" s="23"/>
      <c r="Y258" s="23"/>
      <c r="Z258" s="23"/>
      <c r="AA258" s="23"/>
      <c r="AF258" s="23"/>
      <c r="AG258" s="23"/>
      <c r="AH258" s="23"/>
      <c r="AI258" s="23"/>
      <c r="AN258" s="23"/>
      <c r="AO258" s="23"/>
      <c r="AP258" s="23"/>
      <c r="AQ258" s="23"/>
      <c r="AR258" s="35"/>
      <c r="AS258" s="35"/>
      <c r="AT258" s="35"/>
      <c r="AU258" s="31"/>
      <c r="AV258" s="36"/>
    </row>
    <row r="259" spans="1:48">
      <c r="A259" s="39"/>
      <c r="D259" s="31"/>
      <c r="E259" s="31"/>
      <c r="F259" s="31"/>
      <c r="G259" s="31"/>
      <c r="H259" s="32"/>
      <c r="J259" s="33"/>
      <c r="K259" s="33"/>
      <c r="L259" s="33"/>
      <c r="X259" s="23"/>
      <c r="Y259" s="23"/>
      <c r="Z259" s="23"/>
      <c r="AA259" s="23"/>
      <c r="AF259" s="23"/>
      <c r="AG259" s="23"/>
      <c r="AH259" s="23"/>
      <c r="AI259" s="23"/>
      <c r="AN259" s="23"/>
      <c r="AO259" s="23"/>
      <c r="AP259" s="23"/>
      <c r="AQ259" s="23"/>
      <c r="AR259" s="35"/>
      <c r="AS259" s="35"/>
      <c r="AT259" s="35"/>
      <c r="AU259" s="31"/>
      <c r="AV259" s="36"/>
    </row>
    <row r="260" spans="1:48">
      <c r="A260" s="39"/>
      <c r="D260" s="31"/>
      <c r="E260" s="31"/>
      <c r="F260" s="31"/>
      <c r="G260" s="31"/>
      <c r="H260" s="32"/>
      <c r="J260" s="33"/>
      <c r="K260" s="33"/>
      <c r="L260" s="33"/>
      <c r="X260" s="23"/>
      <c r="Y260" s="23"/>
      <c r="Z260" s="23"/>
      <c r="AA260" s="23"/>
      <c r="AF260" s="23"/>
      <c r="AG260" s="23"/>
      <c r="AH260" s="23"/>
      <c r="AI260" s="23"/>
      <c r="AN260" s="23"/>
      <c r="AO260" s="23"/>
      <c r="AP260" s="23"/>
      <c r="AQ260" s="23"/>
      <c r="AR260" s="35"/>
      <c r="AS260" s="35"/>
      <c r="AT260" s="35"/>
      <c r="AU260" s="31"/>
      <c r="AV260" s="36"/>
    </row>
    <row r="261" spans="1:48">
      <c r="A261" s="39"/>
      <c r="D261" s="31"/>
      <c r="E261" s="31"/>
      <c r="F261" s="31"/>
      <c r="G261" s="31"/>
      <c r="H261" s="32"/>
      <c r="J261" s="33"/>
      <c r="K261" s="33"/>
      <c r="L261" s="33"/>
      <c r="X261" s="23"/>
      <c r="Y261" s="23"/>
      <c r="Z261" s="23"/>
      <c r="AA261" s="23"/>
      <c r="AF261" s="23"/>
      <c r="AG261" s="23"/>
      <c r="AH261" s="23"/>
      <c r="AI261" s="23"/>
      <c r="AN261" s="23"/>
      <c r="AO261" s="23"/>
      <c r="AP261" s="23"/>
      <c r="AQ261" s="23"/>
      <c r="AR261" s="35"/>
      <c r="AS261" s="35"/>
      <c r="AT261" s="35"/>
      <c r="AU261" s="31"/>
      <c r="AV261" s="36"/>
    </row>
    <row r="262" spans="1:48">
      <c r="A262" s="39"/>
      <c r="D262" s="31"/>
      <c r="E262" s="31"/>
      <c r="F262" s="31"/>
      <c r="G262" s="31"/>
      <c r="H262" s="32"/>
      <c r="J262" s="33"/>
      <c r="K262" s="33"/>
      <c r="L262" s="33"/>
      <c r="X262" s="23"/>
      <c r="Y262" s="23"/>
      <c r="Z262" s="23"/>
      <c r="AA262" s="23"/>
      <c r="AF262" s="23"/>
      <c r="AG262" s="23"/>
      <c r="AH262" s="23"/>
      <c r="AI262" s="23"/>
      <c r="AN262" s="23"/>
      <c r="AO262" s="23"/>
      <c r="AP262" s="23"/>
      <c r="AQ262" s="23"/>
      <c r="AR262" s="35"/>
      <c r="AS262" s="35"/>
      <c r="AT262" s="35"/>
      <c r="AU262" s="31"/>
      <c r="AV262" s="36"/>
    </row>
    <row r="263" spans="1:48">
      <c r="A263" s="39"/>
      <c r="D263" s="31"/>
      <c r="E263" s="31"/>
      <c r="F263" s="31"/>
      <c r="G263" s="31"/>
      <c r="H263" s="32"/>
      <c r="J263" s="33"/>
      <c r="K263" s="33"/>
      <c r="L263" s="33"/>
      <c r="X263" s="23"/>
      <c r="Y263" s="23"/>
      <c r="Z263" s="23"/>
      <c r="AA263" s="23"/>
      <c r="AF263" s="23"/>
      <c r="AG263" s="23"/>
      <c r="AH263" s="23"/>
      <c r="AI263" s="23"/>
      <c r="AN263" s="23"/>
      <c r="AO263" s="23"/>
      <c r="AP263" s="23"/>
      <c r="AQ263" s="23"/>
      <c r="AR263" s="35"/>
      <c r="AS263" s="35"/>
      <c r="AT263" s="35"/>
      <c r="AU263" s="31"/>
      <c r="AV263" s="36"/>
    </row>
    <row r="264" spans="1:48">
      <c r="A264" s="39"/>
      <c r="D264" s="31"/>
      <c r="E264" s="31"/>
      <c r="F264" s="31"/>
      <c r="G264" s="31"/>
      <c r="H264" s="32"/>
      <c r="J264" s="33"/>
      <c r="K264" s="33"/>
      <c r="L264" s="33"/>
      <c r="X264" s="23"/>
      <c r="Y264" s="23"/>
      <c r="Z264" s="23"/>
      <c r="AA264" s="23"/>
      <c r="AF264" s="23"/>
      <c r="AG264" s="23"/>
      <c r="AH264" s="23"/>
      <c r="AI264" s="23"/>
      <c r="AN264" s="23"/>
      <c r="AO264" s="23"/>
      <c r="AP264" s="23"/>
      <c r="AQ264" s="23"/>
      <c r="AR264" s="35"/>
      <c r="AS264" s="35"/>
      <c r="AT264" s="35"/>
      <c r="AU264" s="31"/>
      <c r="AV264" s="36"/>
    </row>
    <row r="265" spans="1:48">
      <c r="A265" s="39"/>
      <c r="D265" s="31"/>
      <c r="E265" s="31"/>
      <c r="F265" s="31"/>
      <c r="G265" s="31"/>
      <c r="H265" s="32"/>
      <c r="J265" s="33"/>
      <c r="K265" s="33"/>
      <c r="L265" s="33"/>
      <c r="X265" s="23"/>
      <c r="Y265" s="23"/>
      <c r="Z265" s="23"/>
      <c r="AA265" s="23"/>
      <c r="AF265" s="23"/>
      <c r="AG265" s="23"/>
      <c r="AH265" s="23"/>
      <c r="AI265" s="23"/>
      <c r="AN265" s="23"/>
      <c r="AO265" s="23"/>
      <c r="AP265" s="23"/>
      <c r="AQ265" s="23"/>
      <c r="AR265" s="35"/>
      <c r="AS265" s="35"/>
      <c r="AT265" s="35"/>
      <c r="AU265" s="31"/>
      <c r="AV265" s="36"/>
    </row>
    <row r="266" spans="1:48">
      <c r="A266" s="39"/>
      <c r="D266" s="31"/>
      <c r="E266" s="31"/>
      <c r="F266" s="31"/>
      <c r="G266" s="31"/>
      <c r="H266" s="32"/>
      <c r="J266" s="33"/>
      <c r="K266" s="33"/>
      <c r="L266" s="33"/>
      <c r="X266" s="23"/>
      <c r="Y266" s="23"/>
      <c r="Z266" s="23"/>
      <c r="AA266" s="23"/>
      <c r="AF266" s="23"/>
      <c r="AG266" s="23"/>
      <c r="AH266" s="23"/>
      <c r="AI266" s="23"/>
      <c r="AN266" s="23"/>
      <c r="AO266" s="23"/>
      <c r="AP266" s="23"/>
      <c r="AQ266" s="23"/>
      <c r="AR266" s="35"/>
      <c r="AS266" s="35"/>
      <c r="AT266" s="35"/>
      <c r="AU266" s="31"/>
      <c r="AV266" s="36"/>
    </row>
    <row r="267" spans="1:48">
      <c r="A267" s="39"/>
      <c r="D267" s="31"/>
      <c r="E267" s="31"/>
      <c r="F267" s="31"/>
      <c r="G267" s="31"/>
      <c r="H267" s="32"/>
      <c r="J267" s="33"/>
      <c r="K267" s="33"/>
      <c r="L267" s="33"/>
      <c r="X267" s="23"/>
      <c r="Y267" s="23"/>
      <c r="Z267" s="23"/>
      <c r="AA267" s="23"/>
      <c r="AF267" s="23"/>
      <c r="AG267" s="23"/>
      <c r="AH267" s="23"/>
      <c r="AI267" s="23"/>
      <c r="AN267" s="23"/>
      <c r="AO267" s="23"/>
      <c r="AP267" s="23"/>
      <c r="AQ267" s="23"/>
      <c r="AR267" s="35"/>
      <c r="AS267" s="35"/>
      <c r="AT267" s="35"/>
      <c r="AU267" s="31"/>
      <c r="AV267" s="36"/>
    </row>
    <row r="268" spans="1:48">
      <c r="A268" s="39"/>
      <c r="D268" s="31"/>
      <c r="E268" s="31"/>
      <c r="F268" s="31"/>
      <c r="G268" s="31"/>
      <c r="H268" s="32"/>
      <c r="J268" s="33"/>
      <c r="K268" s="33"/>
      <c r="L268" s="33"/>
      <c r="X268" s="23"/>
      <c r="Y268" s="23"/>
      <c r="Z268" s="23"/>
      <c r="AA268" s="23"/>
      <c r="AF268" s="23"/>
      <c r="AG268" s="23"/>
      <c r="AH268" s="23"/>
      <c r="AI268" s="23"/>
      <c r="AN268" s="23"/>
      <c r="AO268" s="23"/>
      <c r="AP268" s="23"/>
      <c r="AQ268" s="23"/>
      <c r="AR268" s="35"/>
      <c r="AS268" s="35"/>
      <c r="AT268" s="35"/>
      <c r="AU268" s="31"/>
      <c r="AV268" s="36"/>
    </row>
    <row r="269" spans="1:48">
      <c r="A269" s="39"/>
      <c r="D269" s="31"/>
      <c r="E269" s="31"/>
      <c r="F269" s="31"/>
      <c r="G269" s="31"/>
      <c r="H269" s="32"/>
      <c r="J269" s="33"/>
      <c r="K269" s="33"/>
      <c r="L269" s="33"/>
      <c r="X269" s="23"/>
      <c r="Y269" s="23"/>
      <c r="Z269" s="23"/>
      <c r="AA269" s="23"/>
      <c r="AF269" s="23"/>
      <c r="AG269" s="23"/>
      <c r="AH269" s="23"/>
      <c r="AI269" s="23"/>
      <c r="AN269" s="23"/>
      <c r="AO269" s="23"/>
      <c r="AP269" s="23"/>
      <c r="AQ269" s="23"/>
      <c r="AR269" s="35"/>
      <c r="AS269" s="35"/>
      <c r="AT269" s="35"/>
      <c r="AU269" s="31"/>
      <c r="AV269" s="36"/>
    </row>
    <row r="270" spans="1:48">
      <c r="A270" s="39"/>
      <c r="D270" s="31"/>
      <c r="E270" s="31"/>
      <c r="F270" s="31"/>
      <c r="G270" s="31"/>
      <c r="H270" s="32"/>
      <c r="J270" s="33"/>
      <c r="K270" s="33"/>
      <c r="L270" s="33"/>
      <c r="X270" s="23"/>
      <c r="Y270" s="23"/>
      <c r="Z270" s="23"/>
      <c r="AA270" s="23"/>
      <c r="AF270" s="23"/>
      <c r="AG270" s="23"/>
      <c r="AH270" s="23"/>
      <c r="AI270" s="23"/>
      <c r="AN270" s="23"/>
      <c r="AO270" s="23"/>
      <c r="AP270" s="23"/>
      <c r="AQ270" s="23"/>
      <c r="AR270" s="35"/>
      <c r="AS270" s="35"/>
      <c r="AT270" s="35"/>
      <c r="AU270" s="31"/>
      <c r="AV270" s="36"/>
    </row>
    <row r="271" spans="1:48">
      <c r="A271" s="39"/>
      <c r="D271" s="31"/>
      <c r="E271" s="31"/>
      <c r="F271" s="31"/>
      <c r="G271" s="31"/>
      <c r="H271" s="32"/>
      <c r="J271" s="33"/>
      <c r="K271" s="33"/>
      <c r="L271" s="33"/>
      <c r="X271" s="23"/>
      <c r="Y271" s="23"/>
      <c r="Z271" s="23"/>
      <c r="AA271" s="23"/>
      <c r="AF271" s="23"/>
      <c r="AG271" s="23"/>
      <c r="AH271" s="23"/>
      <c r="AI271" s="23"/>
      <c r="AN271" s="23"/>
      <c r="AO271" s="23"/>
      <c r="AP271" s="23"/>
      <c r="AQ271" s="23"/>
      <c r="AR271" s="35"/>
      <c r="AS271" s="35"/>
      <c r="AT271" s="35"/>
      <c r="AU271" s="31"/>
      <c r="AV271" s="36"/>
    </row>
    <row r="272" spans="1:48">
      <c r="A272" s="39"/>
      <c r="D272" s="31"/>
      <c r="E272" s="31"/>
      <c r="F272" s="31"/>
      <c r="G272" s="31"/>
      <c r="H272" s="32"/>
      <c r="J272" s="33"/>
      <c r="K272" s="33"/>
      <c r="L272" s="33"/>
      <c r="X272" s="23"/>
      <c r="Y272" s="23"/>
      <c r="Z272" s="23"/>
      <c r="AA272" s="23"/>
      <c r="AF272" s="23"/>
      <c r="AG272" s="23"/>
      <c r="AH272" s="23"/>
      <c r="AI272" s="23"/>
      <c r="AN272" s="23"/>
      <c r="AO272" s="23"/>
      <c r="AP272" s="23"/>
      <c r="AQ272" s="23"/>
      <c r="AR272" s="35"/>
      <c r="AS272" s="35"/>
      <c r="AT272" s="35"/>
      <c r="AU272" s="31"/>
      <c r="AV272" s="36"/>
    </row>
    <row r="273" spans="1:48">
      <c r="A273" s="39"/>
      <c r="D273" s="31"/>
      <c r="E273" s="31"/>
      <c r="F273" s="31"/>
      <c r="G273" s="31"/>
      <c r="H273" s="32"/>
      <c r="J273" s="33"/>
      <c r="K273" s="33"/>
      <c r="L273" s="33"/>
      <c r="X273" s="23"/>
      <c r="Y273" s="23"/>
      <c r="Z273" s="23"/>
      <c r="AA273" s="23"/>
      <c r="AF273" s="23"/>
      <c r="AG273" s="23"/>
      <c r="AH273" s="23"/>
      <c r="AI273" s="23"/>
      <c r="AN273" s="23"/>
      <c r="AO273" s="23"/>
      <c r="AP273" s="23"/>
      <c r="AQ273" s="23"/>
      <c r="AR273" s="35"/>
      <c r="AS273" s="35"/>
      <c r="AT273" s="35"/>
      <c r="AU273" s="31"/>
      <c r="AV273" s="36"/>
    </row>
    <row r="274" spans="1:48">
      <c r="A274" s="39"/>
      <c r="D274" s="31"/>
      <c r="E274" s="31"/>
      <c r="F274" s="31"/>
      <c r="G274" s="31"/>
      <c r="H274" s="32"/>
      <c r="J274" s="33"/>
      <c r="K274" s="33"/>
      <c r="L274" s="33"/>
      <c r="X274" s="23"/>
      <c r="Y274" s="23"/>
      <c r="Z274" s="23"/>
      <c r="AA274" s="23"/>
      <c r="AF274" s="23"/>
      <c r="AG274" s="23"/>
      <c r="AH274" s="23"/>
      <c r="AI274" s="23"/>
      <c r="AN274" s="23"/>
      <c r="AO274" s="23"/>
      <c r="AP274" s="23"/>
      <c r="AQ274" s="23"/>
      <c r="AR274" s="35"/>
      <c r="AS274" s="35"/>
      <c r="AT274" s="35"/>
      <c r="AU274" s="31"/>
      <c r="AV274" s="36"/>
    </row>
    <row r="275" spans="1:48">
      <c r="A275" s="39"/>
      <c r="D275" s="31"/>
      <c r="E275" s="31"/>
      <c r="F275" s="31"/>
      <c r="G275" s="31"/>
      <c r="H275" s="32"/>
      <c r="J275" s="33"/>
      <c r="K275" s="33"/>
      <c r="L275" s="33"/>
      <c r="X275" s="23"/>
      <c r="Y275" s="23"/>
      <c r="Z275" s="23"/>
      <c r="AA275" s="23"/>
      <c r="AF275" s="23"/>
      <c r="AG275" s="23"/>
      <c r="AH275" s="23"/>
      <c r="AI275" s="23"/>
      <c r="AN275" s="23"/>
      <c r="AO275" s="23"/>
      <c r="AP275" s="23"/>
      <c r="AQ275" s="23"/>
      <c r="AR275" s="35"/>
      <c r="AS275" s="35"/>
      <c r="AT275" s="35"/>
      <c r="AU275" s="31"/>
      <c r="AV275" s="36"/>
    </row>
    <row r="276" spans="1:48">
      <c r="A276" s="39"/>
      <c r="D276" s="31"/>
      <c r="E276" s="31"/>
      <c r="F276" s="31"/>
      <c r="G276" s="31"/>
      <c r="H276" s="32"/>
      <c r="J276" s="33"/>
      <c r="K276" s="33"/>
      <c r="L276" s="33"/>
      <c r="X276" s="23"/>
      <c r="Y276" s="23"/>
      <c r="Z276" s="23"/>
      <c r="AA276" s="23"/>
      <c r="AF276" s="23"/>
      <c r="AG276" s="23"/>
      <c r="AH276" s="23"/>
      <c r="AI276" s="23"/>
      <c r="AN276" s="23"/>
      <c r="AO276" s="23"/>
      <c r="AP276" s="23"/>
      <c r="AQ276" s="23"/>
      <c r="AR276" s="35"/>
      <c r="AS276" s="35"/>
      <c r="AT276" s="35"/>
      <c r="AU276" s="31"/>
      <c r="AV276" s="36"/>
    </row>
    <row r="277" spans="1:48">
      <c r="A277" s="39"/>
      <c r="D277" s="31"/>
      <c r="E277" s="31"/>
      <c r="F277" s="31"/>
      <c r="G277" s="31"/>
      <c r="H277" s="32"/>
      <c r="J277" s="33"/>
      <c r="K277" s="33"/>
      <c r="L277" s="33"/>
      <c r="X277" s="23"/>
      <c r="Y277" s="23"/>
      <c r="Z277" s="23"/>
      <c r="AA277" s="23"/>
      <c r="AF277" s="23"/>
      <c r="AG277" s="23"/>
      <c r="AH277" s="23"/>
      <c r="AI277" s="23"/>
      <c r="AN277" s="23"/>
      <c r="AO277" s="23"/>
      <c r="AP277" s="23"/>
      <c r="AQ277" s="23"/>
      <c r="AR277" s="35"/>
      <c r="AS277" s="35"/>
      <c r="AT277" s="35"/>
      <c r="AU277" s="31"/>
      <c r="AV277" s="36"/>
    </row>
    <row r="278" spans="1:48">
      <c r="A278" s="39"/>
      <c r="D278" s="31"/>
      <c r="E278" s="31"/>
      <c r="F278" s="31"/>
      <c r="G278" s="31"/>
      <c r="H278" s="32"/>
      <c r="J278" s="33"/>
      <c r="K278" s="33"/>
      <c r="L278" s="33"/>
      <c r="X278" s="23"/>
      <c r="Y278" s="23"/>
      <c r="Z278" s="23"/>
      <c r="AA278" s="23"/>
      <c r="AF278" s="23"/>
      <c r="AG278" s="23"/>
      <c r="AH278" s="23"/>
      <c r="AI278" s="23"/>
      <c r="AN278" s="23"/>
      <c r="AO278" s="23"/>
      <c r="AP278" s="23"/>
      <c r="AQ278" s="23"/>
      <c r="AR278" s="35"/>
      <c r="AS278" s="35"/>
      <c r="AT278" s="35"/>
      <c r="AU278" s="31"/>
      <c r="AV278" s="36"/>
    </row>
    <row r="279" spans="1:48">
      <c r="A279" s="39"/>
      <c r="D279" s="31"/>
      <c r="E279" s="31"/>
      <c r="F279" s="31"/>
      <c r="G279" s="31"/>
      <c r="H279" s="32"/>
      <c r="J279" s="33"/>
      <c r="K279" s="33"/>
      <c r="L279" s="33"/>
      <c r="X279" s="23"/>
      <c r="Y279" s="23"/>
      <c r="Z279" s="23"/>
      <c r="AA279" s="23"/>
      <c r="AF279" s="23"/>
      <c r="AG279" s="23"/>
      <c r="AH279" s="23"/>
      <c r="AI279" s="23"/>
      <c r="AN279" s="23"/>
      <c r="AO279" s="23"/>
      <c r="AP279" s="23"/>
      <c r="AQ279" s="23"/>
      <c r="AR279" s="35"/>
      <c r="AS279" s="35"/>
      <c r="AT279" s="35"/>
      <c r="AU279" s="31"/>
      <c r="AV279" s="36"/>
    </row>
    <row r="280" spans="1:48">
      <c r="A280" s="39"/>
      <c r="D280" s="31"/>
      <c r="E280" s="31"/>
      <c r="F280" s="31"/>
      <c r="G280" s="31"/>
      <c r="H280" s="32"/>
      <c r="J280" s="33"/>
      <c r="K280" s="33"/>
      <c r="L280" s="33"/>
      <c r="X280" s="23"/>
      <c r="Y280" s="23"/>
      <c r="Z280" s="23"/>
      <c r="AA280" s="23"/>
      <c r="AF280" s="23"/>
      <c r="AG280" s="23"/>
      <c r="AH280" s="23"/>
      <c r="AI280" s="23"/>
      <c r="AN280" s="23"/>
      <c r="AO280" s="23"/>
      <c r="AP280" s="23"/>
      <c r="AQ280" s="23"/>
      <c r="AR280" s="35"/>
      <c r="AS280" s="35"/>
      <c r="AT280" s="35"/>
      <c r="AU280" s="31"/>
      <c r="AV280" s="36"/>
    </row>
    <row r="281" spans="1:48">
      <c r="A281" s="39"/>
      <c r="D281" s="31"/>
      <c r="E281" s="31"/>
      <c r="F281" s="31"/>
      <c r="G281" s="31"/>
      <c r="H281" s="32"/>
      <c r="J281" s="33"/>
      <c r="K281" s="33"/>
      <c r="L281" s="33"/>
      <c r="X281" s="23"/>
      <c r="Y281" s="23"/>
      <c r="Z281" s="23"/>
      <c r="AA281" s="23"/>
      <c r="AF281" s="23"/>
      <c r="AG281" s="23"/>
      <c r="AH281" s="23"/>
      <c r="AI281" s="23"/>
      <c r="AN281" s="23"/>
      <c r="AO281" s="23"/>
      <c r="AP281" s="23"/>
      <c r="AQ281" s="23"/>
      <c r="AR281" s="35"/>
      <c r="AS281" s="35"/>
      <c r="AT281" s="35"/>
      <c r="AU281" s="31"/>
      <c r="AV281" s="36"/>
    </row>
    <row r="282" spans="1:48">
      <c r="A282" s="39"/>
      <c r="D282" s="31"/>
      <c r="E282" s="31"/>
      <c r="F282" s="31"/>
      <c r="G282" s="31"/>
      <c r="H282" s="32"/>
      <c r="J282" s="33"/>
      <c r="K282" s="33"/>
      <c r="L282" s="33"/>
      <c r="X282" s="23"/>
      <c r="Y282" s="23"/>
      <c r="Z282" s="23"/>
      <c r="AA282" s="23"/>
      <c r="AF282" s="23"/>
      <c r="AG282" s="23"/>
      <c r="AH282" s="23"/>
      <c r="AI282" s="23"/>
      <c r="AN282" s="23"/>
      <c r="AO282" s="23"/>
      <c r="AP282" s="23"/>
      <c r="AQ282" s="23"/>
      <c r="AR282" s="35"/>
      <c r="AS282" s="35"/>
      <c r="AT282" s="35"/>
      <c r="AU282" s="31"/>
      <c r="AV282" s="36"/>
    </row>
    <row r="283" spans="1:48">
      <c r="A283" s="39"/>
      <c r="D283" s="31"/>
      <c r="E283" s="31"/>
      <c r="F283" s="31"/>
      <c r="G283" s="31"/>
      <c r="H283" s="32"/>
      <c r="J283" s="33"/>
      <c r="K283" s="33"/>
      <c r="L283" s="33"/>
      <c r="X283" s="23"/>
      <c r="Y283" s="23"/>
      <c r="Z283" s="23"/>
      <c r="AA283" s="23"/>
      <c r="AF283" s="23"/>
      <c r="AG283" s="23"/>
      <c r="AH283" s="23"/>
      <c r="AI283" s="23"/>
      <c r="AN283" s="23"/>
      <c r="AO283" s="23"/>
      <c r="AP283" s="23"/>
      <c r="AQ283" s="23"/>
      <c r="AR283" s="35"/>
      <c r="AS283" s="35"/>
      <c r="AT283" s="35"/>
      <c r="AU283" s="31"/>
      <c r="AV283" s="36"/>
    </row>
    <row r="284" spans="1:48">
      <c r="A284" s="39"/>
      <c r="D284" s="31"/>
      <c r="E284" s="31"/>
      <c r="F284" s="31"/>
      <c r="G284" s="31"/>
      <c r="H284" s="32"/>
      <c r="J284" s="33"/>
      <c r="K284" s="33"/>
      <c r="L284" s="33"/>
      <c r="X284" s="23"/>
      <c r="Y284" s="23"/>
      <c r="Z284" s="23"/>
      <c r="AA284" s="23"/>
      <c r="AF284" s="23"/>
      <c r="AG284" s="23"/>
      <c r="AH284" s="23"/>
      <c r="AI284" s="23"/>
      <c r="AN284" s="23"/>
      <c r="AO284" s="23"/>
      <c r="AP284" s="23"/>
      <c r="AQ284" s="23"/>
      <c r="AR284" s="35"/>
      <c r="AS284" s="35"/>
      <c r="AT284" s="35"/>
      <c r="AU284" s="31"/>
      <c r="AV284" s="36"/>
    </row>
    <row r="285" spans="1:48">
      <c r="A285" s="39"/>
      <c r="D285" s="31"/>
      <c r="E285" s="31"/>
      <c r="F285" s="31"/>
      <c r="G285" s="31"/>
      <c r="H285" s="32"/>
      <c r="J285" s="33"/>
      <c r="K285" s="33"/>
      <c r="L285" s="33"/>
      <c r="X285" s="23"/>
      <c r="Y285" s="23"/>
      <c r="Z285" s="23"/>
      <c r="AA285" s="23"/>
      <c r="AF285" s="23"/>
      <c r="AG285" s="23"/>
      <c r="AH285" s="23"/>
      <c r="AI285" s="23"/>
      <c r="AN285" s="23"/>
      <c r="AO285" s="23"/>
      <c r="AP285" s="23"/>
      <c r="AQ285" s="23"/>
      <c r="AR285" s="35"/>
      <c r="AS285" s="35"/>
      <c r="AT285" s="35"/>
      <c r="AU285" s="31"/>
      <c r="AV285" s="36"/>
    </row>
    <row r="286" spans="1:48">
      <c r="A286" s="39"/>
      <c r="D286" s="31"/>
      <c r="E286" s="31"/>
      <c r="F286" s="31"/>
      <c r="G286" s="31"/>
      <c r="H286" s="32"/>
      <c r="J286" s="33"/>
      <c r="K286" s="33"/>
      <c r="L286" s="33"/>
      <c r="X286" s="23"/>
      <c r="Y286" s="23"/>
      <c r="Z286" s="23"/>
      <c r="AA286" s="23"/>
      <c r="AF286" s="23"/>
      <c r="AG286" s="23"/>
      <c r="AH286" s="23"/>
      <c r="AI286" s="23"/>
      <c r="AN286" s="23"/>
      <c r="AO286" s="23"/>
      <c r="AP286" s="23"/>
      <c r="AQ286" s="23"/>
      <c r="AR286" s="35"/>
      <c r="AS286" s="35"/>
      <c r="AT286" s="35"/>
      <c r="AU286" s="31"/>
      <c r="AV286" s="36"/>
    </row>
    <row r="287" spans="1:48">
      <c r="A287" s="39"/>
      <c r="D287" s="31"/>
      <c r="E287" s="31"/>
      <c r="F287" s="31"/>
      <c r="G287" s="31"/>
      <c r="H287" s="32"/>
      <c r="J287" s="33"/>
      <c r="K287" s="33"/>
      <c r="L287" s="33"/>
      <c r="X287" s="23"/>
      <c r="Y287" s="23"/>
      <c r="Z287" s="23"/>
      <c r="AA287" s="23"/>
      <c r="AF287" s="23"/>
      <c r="AG287" s="23"/>
      <c r="AH287" s="23"/>
      <c r="AI287" s="23"/>
      <c r="AN287" s="23"/>
      <c r="AO287" s="23"/>
      <c r="AP287" s="23"/>
      <c r="AQ287" s="23"/>
      <c r="AR287" s="35"/>
      <c r="AS287" s="35"/>
      <c r="AT287" s="35"/>
      <c r="AU287" s="31"/>
      <c r="AV287" s="36"/>
    </row>
    <row r="288" spans="1:48">
      <c r="A288" s="39"/>
      <c r="D288" s="31"/>
      <c r="E288" s="31"/>
      <c r="F288" s="31"/>
      <c r="G288" s="31"/>
      <c r="H288" s="32"/>
      <c r="J288" s="33"/>
      <c r="K288" s="33"/>
      <c r="L288" s="33"/>
      <c r="X288" s="23"/>
      <c r="Y288" s="23"/>
      <c r="Z288" s="23"/>
      <c r="AA288" s="23"/>
      <c r="AF288" s="23"/>
      <c r="AG288" s="23"/>
      <c r="AH288" s="23"/>
      <c r="AI288" s="23"/>
      <c r="AN288" s="23"/>
      <c r="AO288" s="23"/>
      <c r="AP288" s="23"/>
      <c r="AQ288" s="23"/>
      <c r="AR288" s="35"/>
      <c r="AS288" s="35"/>
      <c r="AT288" s="35"/>
      <c r="AU288" s="31"/>
      <c r="AV288" s="36"/>
    </row>
    <row r="289" spans="1:48">
      <c r="A289" s="39"/>
      <c r="D289" s="31"/>
      <c r="E289" s="31"/>
      <c r="F289" s="31"/>
      <c r="G289" s="31"/>
      <c r="H289" s="32"/>
      <c r="J289" s="33"/>
      <c r="K289" s="33"/>
      <c r="L289" s="33"/>
      <c r="X289" s="23"/>
      <c r="Y289" s="23"/>
      <c r="Z289" s="23"/>
      <c r="AA289" s="23"/>
      <c r="AF289" s="23"/>
      <c r="AG289" s="23"/>
      <c r="AH289" s="23"/>
      <c r="AI289" s="23"/>
      <c r="AN289" s="23"/>
      <c r="AO289" s="23"/>
      <c r="AP289" s="23"/>
      <c r="AQ289" s="23"/>
      <c r="AR289" s="35"/>
      <c r="AS289" s="35"/>
      <c r="AT289" s="35"/>
      <c r="AU289" s="31"/>
      <c r="AV289" s="36"/>
    </row>
    <row r="290" spans="1:48">
      <c r="A290" s="39"/>
      <c r="D290" s="31"/>
      <c r="E290" s="31"/>
      <c r="F290" s="31"/>
      <c r="G290" s="31"/>
      <c r="H290" s="32"/>
      <c r="J290" s="33"/>
      <c r="K290" s="33"/>
      <c r="L290" s="33"/>
      <c r="X290" s="23"/>
      <c r="Y290" s="23"/>
      <c r="Z290" s="23"/>
      <c r="AA290" s="23"/>
      <c r="AF290" s="23"/>
      <c r="AG290" s="23"/>
      <c r="AH290" s="23"/>
      <c r="AI290" s="23"/>
      <c r="AN290" s="23"/>
      <c r="AO290" s="23"/>
      <c r="AP290" s="23"/>
      <c r="AQ290" s="23"/>
      <c r="AR290" s="35"/>
      <c r="AS290" s="35"/>
      <c r="AT290" s="35"/>
      <c r="AU290" s="31"/>
      <c r="AV290" s="36"/>
    </row>
    <row r="291" spans="1:48">
      <c r="A291" s="39"/>
      <c r="D291" s="31"/>
      <c r="E291" s="31"/>
      <c r="F291" s="31"/>
      <c r="G291" s="31"/>
      <c r="H291" s="32"/>
      <c r="J291" s="33"/>
      <c r="K291" s="33"/>
      <c r="L291" s="33"/>
      <c r="X291" s="23"/>
      <c r="Y291" s="23"/>
      <c r="Z291" s="23"/>
      <c r="AA291" s="23"/>
      <c r="AF291" s="23"/>
      <c r="AG291" s="23"/>
      <c r="AH291" s="23"/>
      <c r="AI291" s="23"/>
      <c r="AN291" s="23"/>
      <c r="AO291" s="23"/>
      <c r="AP291" s="23"/>
      <c r="AQ291" s="23"/>
      <c r="AR291" s="35"/>
      <c r="AS291" s="35"/>
      <c r="AT291" s="35"/>
      <c r="AU291" s="31"/>
      <c r="AV291" s="36"/>
    </row>
    <row r="292" spans="1:48">
      <c r="A292" s="39"/>
      <c r="D292" s="31"/>
      <c r="E292" s="31"/>
      <c r="F292" s="31"/>
      <c r="G292" s="31"/>
      <c r="H292" s="32"/>
      <c r="J292" s="33"/>
      <c r="K292" s="33"/>
      <c r="L292" s="33"/>
      <c r="X292" s="23"/>
      <c r="Y292" s="23"/>
      <c r="Z292" s="23"/>
      <c r="AA292" s="23"/>
      <c r="AF292" s="23"/>
      <c r="AG292" s="23"/>
      <c r="AH292" s="23"/>
      <c r="AI292" s="23"/>
      <c r="AN292" s="23"/>
      <c r="AO292" s="23"/>
      <c r="AP292" s="23"/>
      <c r="AQ292" s="23"/>
      <c r="AR292" s="35"/>
      <c r="AS292" s="35"/>
      <c r="AT292" s="35"/>
      <c r="AU292" s="31"/>
      <c r="AV292" s="36"/>
    </row>
    <row r="293" spans="1:48">
      <c r="A293" s="39"/>
      <c r="D293" s="31"/>
      <c r="E293" s="31"/>
      <c r="F293" s="31"/>
      <c r="G293" s="31"/>
      <c r="H293" s="32"/>
      <c r="J293" s="33"/>
      <c r="K293" s="33"/>
      <c r="L293" s="33"/>
      <c r="X293" s="23"/>
      <c r="Y293" s="23"/>
      <c r="Z293" s="23"/>
      <c r="AA293" s="23"/>
      <c r="AF293" s="23"/>
      <c r="AG293" s="23"/>
      <c r="AH293" s="23"/>
      <c r="AI293" s="23"/>
      <c r="AN293" s="23"/>
      <c r="AO293" s="23"/>
      <c r="AP293" s="23"/>
      <c r="AQ293" s="23"/>
      <c r="AR293" s="35"/>
      <c r="AS293" s="35"/>
      <c r="AT293" s="35"/>
      <c r="AU293" s="31"/>
      <c r="AV293" s="36"/>
    </row>
    <row r="294" spans="1:48">
      <c r="A294" s="39"/>
      <c r="D294" s="31"/>
      <c r="E294" s="31"/>
      <c r="F294" s="31"/>
      <c r="G294" s="31"/>
      <c r="H294" s="32"/>
      <c r="J294" s="33"/>
      <c r="K294" s="33"/>
      <c r="L294" s="33"/>
      <c r="X294" s="23"/>
      <c r="Y294" s="23"/>
      <c r="Z294" s="23"/>
      <c r="AA294" s="23"/>
      <c r="AF294" s="23"/>
      <c r="AG294" s="23"/>
      <c r="AH294" s="23"/>
      <c r="AI294" s="23"/>
      <c r="AN294" s="23"/>
      <c r="AO294" s="23"/>
      <c r="AP294" s="23"/>
      <c r="AQ294" s="23"/>
      <c r="AR294" s="35"/>
      <c r="AS294" s="35"/>
      <c r="AT294" s="35"/>
      <c r="AU294" s="31"/>
      <c r="AV294" s="36"/>
    </row>
    <row r="295" spans="1:48">
      <c r="A295" s="39"/>
      <c r="D295" s="31"/>
      <c r="E295" s="31"/>
      <c r="F295" s="31"/>
      <c r="G295" s="31"/>
      <c r="H295" s="32"/>
      <c r="J295" s="33"/>
      <c r="K295" s="33"/>
      <c r="L295" s="33"/>
      <c r="X295" s="23"/>
      <c r="Y295" s="23"/>
      <c r="Z295" s="23"/>
      <c r="AA295" s="23"/>
      <c r="AF295" s="23"/>
      <c r="AG295" s="23"/>
      <c r="AH295" s="23"/>
      <c r="AI295" s="23"/>
      <c r="AN295" s="23"/>
      <c r="AO295" s="23"/>
      <c r="AP295" s="23"/>
      <c r="AQ295" s="23"/>
      <c r="AR295" s="35"/>
      <c r="AS295" s="35"/>
      <c r="AT295" s="35"/>
      <c r="AU295" s="31"/>
      <c r="AV295" s="36"/>
    </row>
    <row r="296" spans="1:48">
      <c r="A296" s="39"/>
      <c r="D296" s="31"/>
      <c r="E296" s="31"/>
      <c r="F296" s="31"/>
      <c r="G296" s="31"/>
      <c r="H296" s="32"/>
      <c r="J296" s="33"/>
      <c r="K296" s="33"/>
      <c r="L296" s="33"/>
      <c r="X296" s="23"/>
      <c r="Y296" s="23"/>
      <c r="Z296" s="23"/>
      <c r="AA296" s="23"/>
      <c r="AF296" s="23"/>
      <c r="AG296" s="23"/>
      <c r="AH296" s="23"/>
      <c r="AI296" s="23"/>
      <c r="AN296" s="23"/>
      <c r="AO296" s="23"/>
      <c r="AP296" s="23"/>
      <c r="AQ296" s="23"/>
      <c r="AR296" s="35"/>
      <c r="AS296" s="35"/>
      <c r="AT296" s="35"/>
      <c r="AU296" s="31"/>
      <c r="AV296" s="36"/>
    </row>
    <row r="297" spans="1:48">
      <c r="A297" s="39"/>
      <c r="D297" s="31"/>
      <c r="E297" s="31"/>
      <c r="F297" s="31"/>
      <c r="G297" s="31"/>
      <c r="H297" s="32"/>
      <c r="J297" s="33"/>
      <c r="K297" s="33"/>
      <c r="L297" s="33"/>
      <c r="X297" s="23"/>
      <c r="Y297" s="23"/>
      <c r="Z297" s="23"/>
      <c r="AA297" s="23"/>
      <c r="AF297" s="23"/>
      <c r="AG297" s="23"/>
      <c r="AH297" s="23"/>
      <c r="AI297" s="23"/>
      <c r="AN297" s="23"/>
      <c r="AO297" s="23"/>
      <c r="AP297" s="23"/>
      <c r="AQ297" s="23"/>
      <c r="AR297" s="35"/>
      <c r="AS297" s="35"/>
      <c r="AT297" s="35"/>
      <c r="AU297" s="31"/>
      <c r="AV297" s="36"/>
    </row>
    <row r="298" spans="1:48">
      <c r="A298" s="39"/>
      <c r="D298" s="31"/>
      <c r="E298" s="31"/>
      <c r="F298" s="31"/>
      <c r="G298" s="31"/>
      <c r="H298" s="32"/>
      <c r="J298" s="33"/>
      <c r="K298" s="33"/>
      <c r="L298" s="33"/>
      <c r="X298" s="23"/>
      <c r="Y298" s="23"/>
      <c r="Z298" s="23"/>
      <c r="AA298" s="23"/>
      <c r="AF298" s="23"/>
      <c r="AG298" s="23"/>
      <c r="AH298" s="23"/>
      <c r="AI298" s="23"/>
      <c r="AN298" s="23"/>
      <c r="AO298" s="23"/>
      <c r="AP298" s="23"/>
      <c r="AQ298" s="23"/>
      <c r="AR298" s="35"/>
      <c r="AS298" s="35"/>
      <c r="AT298" s="35"/>
      <c r="AU298" s="31"/>
      <c r="AV298" s="36"/>
    </row>
    <row r="299" spans="1:48">
      <c r="A299" s="39"/>
      <c r="D299" s="31"/>
      <c r="E299" s="31"/>
      <c r="F299" s="31"/>
      <c r="G299" s="31"/>
      <c r="H299" s="32"/>
      <c r="J299" s="33"/>
      <c r="K299" s="33"/>
      <c r="L299" s="33"/>
      <c r="X299" s="23"/>
      <c r="Y299" s="23"/>
      <c r="Z299" s="23"/>
      <c r="AA299" s="23"/>
      <c r="AF299" s="23"/>
      <c r="AG299" s="23"/>
      <c r="AH299" s="23"/>
      <c r="AI299" s="23"/>
      <c r="AN299" s="23"/>
      <c r="AO299" s="23"/>
      <c r="AP299" s="23"/>
      <c r="AQ299" s="23"/>
      <c r="AR299" s="35"/>
      <c r="AS299" s="35"/>
      <c r="AT299" s="35"/>
      <c r="AU299" s="31"/>
      <c r="AV299" s="36"/>
    </row>
    <row r="300" spans="1:48">
      <c r="A300" s="39"/>
      <c r="D300" s="31"/>
      <c r="E300" s="31"/>
      <c r="F300" s="31"/>
      <c r="G300" s="31"/>
      <c r="H300" s="32"/>
      <c r="J300" s="33"/>
      <c r="K300" s="33"/>
      <c r="L300" s="33"/>
      <c r="X300" s="23"/>
      <c r="Y300" s="23"/>
      <c r="Z300" s="23"/>
      <c r="AA300" s="23"/>
      <c r="AF300" s="23"/>
      <c r="AG300" s="23"/>
      <c r="AH300" s="23"/>
      <c r="AI300" s="23"/>
      <c r="AN300" s="23"/>
      <c r="AO300" s="23"/>
      <c r="AP300" s="23"/>
      <c r="AQ300" s="23"/>
      <c r="AR300" s="35"/>
      <c r="AS300" s="35"/>
      <c r="AT300" s="35"/>
      <c r="AU300" s="31"/>
      <c r="AV300" s="36"/>
    </row>
    <row r="301" spans="1:48">
      <c r="A301" s="39"/>
      <c r="D301" s="31"/>
      <c r="E301" s="31"/>
      <c r="F301" s="31"/>
      <c r="G301" s="31"/>
      <c r="H301" s="32"/>
      <c r="J301" s="33"/>
      <c r="K301" s="33"/>
      <c r="L301" s="33"/>
      <c r="X301" s="23"/>
      <c r="Y301" s="23"/>
      <c r="Z301" s="23"/>
      <c r="AA301" s="23"/>
      <c r="AF301" s="23"/>
      <c r="AG301" s="23"/>
      <c r="AH301" s="23"/>
      <c r="AI301" s="23"/>
      <c r="AN301" s="23"/>
      <c r="AO301" s="23"/>
      <c r="AP301" s="23"/>
      <c r="AQ301" s="23"/>
      <c r="AR301" s="35"/>
      <c r="AS301" s="35"/>
      <c r="AT301" s="35"/>
      <c r="AU301" s="31"/>
      <c r="AV301" s="36"/>
    </row>
    <row r="302" spans="1:48">
      <c r="A302" s="39"/>
      <c r="D302" s="31"/>
      <c r="E302" s="31"/>
      <c r="F302" s="31"/>
      <c r="G302" s="31"/>
      <c r="H302" s="32"/>
      <c r="J302" s="33"/>
      <c r="K302" s="33"/>
      <c r="L302" s="33"/>
      <c r="X302" s="23"/>
      <c r="Y302" s="23"/>
      <c r="Z302" s="23"/>
      <c r="AA302" s="23"/>
      <c r="AF302" s="23"/>
      <c r="AG302" s="23"/>
      <c r="AH302" s="23"/>
      <c r="AI302" s="23"/>
      <c r="AN302" s="23"/>
      <c r="AO302" s="23"/>
      <c r="AP302" s="23"/>
      <c r="AQ302" s="23"/>
      <c r="AR302" s="35"/>
      <c r="AS302" s="35"/>
      <c r="AT302" s="35"/>
      <c r="AU302" s="31"/>
      <c r="AV302" s="36"/>
    </row>
    <row r="303" spans="1:48">
      <c r="A303" s="39"/>
      <c r="D303" s="31"/>
      <c r="E303" s="31"/>
      <c r="F303" s="31"/>
      <c r="G303" s="31"/>
      <c r="H303" s="32"/>
      <c r="J303" s="33"/>
      <c r="K303" s="33"/>
      <c r="L303" s="33"/>
      <c r="X303" s="23"/>
      <c r="Y303" s="23"/>
      <c r="Z303" s="23"/>
      <c r="AA303" s="23"/>
      <c r="AF303" s="23"/>
      <c r="AG303" s="23"/>
      <c r="AH303" s="23"/>
      <c r="AI303" s="23"/>
      <c r="AN303" s="23"/>
      <c r="AO303" s="23"/>
      <c r="AP303" s="23"/>
      <c r="AQ303" s="23"/>
      <c r="AR303" s="35"/>
      <c r="AS303" s="35"/>
      <c r="AT303" s="35"/>
      <c r="AU303" s="31"/>
      <c r="AV303" s="36"/>
    </row>
    <row r="304" spans="1:48">
      <c r="A304" s="39"/>
      <c r="D304" s="31"/>
      <c r="E304" s="31"/>
      <c r="F304" s="31"/>
      <c r="G304" s="31"/>
      <c r="H304" s="32"/>
      <c r="J304" s="33"/>
      <c r="K304" s="33"/>
      <c r="L304" s="33"/>
      <c r="X304" s="23"/>
      <c r="Y304" s="23"/>
      <c r="Z304" s="23"/>
      <c r="AA304" s="23"/>
      <c r="AF304" s="23"/>
      <c r="AG304" s="23"/>
      <c r="AH304" s="23"/>
      <c r="AI304" s="23"/>
      <c r="AN304" s="23"/>
      <c r="AO304" s="23"/>
      <c r="AP304" s="23"/>
      <c r="AQ304" s="23"/>
      <c r="AR304" s="35"/>
      <c r="AS304" s="35"/>
      <c r="AT304" s="35"/>
      <c r="AU304" s="31"/>
      <c r="AV304" s="36"/>
    </row>
    <row r="305" spans="1:48">
      <c r="A305" s="39"/>
      <c r="D305" s="31"/>
      <c r="E305" s="31"/>
      <c r="F305" s="31"/>
      <c r="G305" s="31"/>
      <c r="H305" s="32"/>
      <c r="J305" s="33"/>
      <c r="K305" s="33"/>
      <c r="L305" s="33"/>
      <c r="X305" s="23"/>
      <c r="Y305" s="23"/>
      <c r="Z305" s="23"/>
      <c r="AA305" s="23"/>
      <c r="AF305" s="23"/>
      <c r="AG305" s="23"/>
      <c r="AH305" s="23"/>
      <c r="AI305" s="23"/>
      <c r="AN305" s="23"/>
      <c r="AO305" s="23"/>
      <c r="AP305" s="23"/>
      <c r="AQ305" s="23"/>
      <c r="AR305" s="35"/>
      <c r="AS305" s="35"/>
      <c r="AT305" s="35"/>
      <c r="AU305" s="31"/>
      <c r="AV305" s="36"/>
    </row>
    <row r="306" spans="1:48">
      <c r="A306" s="39"/>
      <c r="D306" s="31"/>
      <c r="E306" s="31"/>
      <c r="F306" s="31"/>
      <c r="G306" s="31"/>
      <c r="H306" s="32"/>
      <c r="J306" s="33"/>
      <c r="K306" s="33"/>
      <c r="L306" s="33"/>
      <c r="X306" s="23"/>
      <c r="Y306" s="23"/>
      <c r="Z306" s="23"/>
      <c r="AA306" s="23"/>
      <c r="AF306" s="23"/>
      <c r="AG306" s="23"/>
      <c r="AH306" s="23"/>
      <c r="AI306" s="23"/>
      <c r="AN306" s="23"/>
      <c r="AO306" s="23"/>
      <c r="AP306" s="23"/>
      <c r="AQ306" s="23"/>
      <c r="AR306" s="35"/>
      <c r="AS306" s="35"/>
      <c r="AT306" s="35"/>
      <c r="AU306" s="31"/>
      <c r="AV306" s="36"/>
    </row>
    <row r="307" spans="1:48">
      <c r="A307" s="39"/>
      <c r="D307" s="31"/>
      <c r="E307" s="31"/>
      <c r="F307" s="31"/>
      <c r="G307" s="31"/>
      <c r="H307" s="32"/>
      <c r="J307" s="33"/>
      <c r="K307" s="33"/>
      <c r="L307" s="33"/>
      <c r="X307" s="23"/>
      <c r="Y307" s="23"/>
      <c r="Z307" s="23"/>
      <c r="AA307" s="23"/>
      <c r="AF307" s="23"/>
      <c r="AG307" s="23"/>
      <c r="AH307" s="23"/>
      <c r="AI307" s="23"/>
      <c r="AN307" s="23"/>
      <c r="AO307" s="23"/>
      <c r="AP307" s="23"/>
      <c r="AQ307" s="23"/>
      <c r="AR307" s="35"/>
      <c r="AS307" s="35"/>
      <c r="AT307" s="35"/>
      <c r="AU307" s="31"/>
      <c r="AV307" s="36"/>
    </row>
    <row r="308" spans="1:48">
      <c r="A308" s="39"/>
      <c r="D308" s="31"/>
      <c r="E308" s="31"/>
      <c r="F308" s="31"/>
      <c r="G308" s="31"/>
      <c r="H308" s="32"/>
      <c r="J308" s="33"/>
      <c r="K308" s="33"/>
      <c r="L308" s="33"/>
      <c r="X308" s="23"/>
      <c r="Y308" s="23"/>
      <c r="Z308" s="23"/>
      <c r="AA308" s="23"/>
      <c r="AF308" s="23"/>
      <c r="AG308" s="23"/>
      <c r="AH308" s="23"/>
      <c r="AI308" s="23"/>
      <c r="AN308" s="23"/>
      <c r="AO308" s="23"/>
      <c r="AP308" s="23"/>
      <c r="AQ308" s="23"/>
      <c r="AR308" s="35"/>
      <c r="AS308" s="35"/>
      <c r="AT308" s="35"/>
      <c r="AU308" s="31"/>
      <c r="AV308" s="36"/>
    </row>
    <row r="309" spans="1:48">
      <c r="A309" s="39"/>
      <c r="D309" s="31"/>
      <c r="E309" s="31"/>
      <c r="F309" s="31"/>
      <c r="G309" s="31"/>
      <c r="H309" s="32"/>
      <c r="J309" s="33"/>
      <c r="K309" s="33"/>
      <c r="L309" s="33"/>
      <c r="X309" s="23"/>
      <c r="Y309" s="23"/>
      <c r="Z309" s="23"/>
      <c r="AA309" s="23"/>
      <c r="AF309" s="23"/>
      <c r="AG309" s="23"/>
      <c r="AH309" s="23"/>
      <c r="AI309" s="23"/>
      <c r="AN309" s="23"/>
      <c r="AO309" s="23"/>
      <c r="AP309" s="23"/>
      <c r="AQ309" s="23"/>
      <c r="AR309" s="35"/>
      <c r="AS309" s="35"/>
      <c r="AT309" s="35"/>
      <c r="AU309" s="31"/>
      <c r="AV309" s="36"/>
    </row>
    <row r="310" spans="1:48">
      <c r="A310" s="39"/>
      <c r="D310" s="31"/>
      <c r="E310" s="31"/>
      <c r="F310" s="31"/>
      <c r="G310" s="31"/>
      <c r="H310" s="32"/>
      <c r="J310" s="33"/>
      <c r="K310" s="33"/>
      <c r="L310" s="33"/>
      <c r="X310" s="23"/>
      <c r="Y310" s="23"/>
      <c r="Z310" s="23"/>
      <c r="AA310" s="23"/>
      <c r="AF310" s="23"/>
      <c r="AG310" s="23"/>
      <c r="AH310" s="23"/>
      <c r="AI310" s="23"/>
      <c r="AN310" s="23"/>
      <c r="AO310" s="23"/>
      <c r="AP310" s="23"/>
      <c r="AQ310" s="23"/>
      <c r="AR310" s="35"/>
      <c r="AS310" s="35"/>
      <c r="AT310" s="35"/>
      <c r="AU310" s="31"/>
      <c r="AV310" s="36"/>
    </row>
    <row r="311" spans="1:48">
      <c r="A311" s="39"/>
      <c r="D311" s="31"/>
      <c r="E311" s="31"/>
      <c r="F311" s="31"/>
      <c r="G311" s="31"/>
      <c r="H311" s="32"/>
      <c r="J311" s="33"/>
      <c r="K311" s="33"/>
      <c r="L311" s="33"/>
      <c r="X311" s="23"/>
      <c r="Y311" s="23"/>
      <c r="Z311" s="23"/>
      <c r="AA311" s="23"/>
      <c r="AF311" s="23"/>
      <c r="AG311" s="23"/>
      <c r="AH311" s="23"/>
      <c r="AI311" s="23"/>
      <c r="AN311" s="23"/>
      <c r="AO311" s="23"/>
      <c r="AP311" s="23"/>
      <c r="AQ311" s="23"/>
      <c r="AR311" s="35"/>
      <c r="AS311" s="35"/>
      <c r="AT311" s="35"/>
      <c r="AU311" s="31"/>
      <c r="AV311" s="36"/>
    </row>
    <row r="312" spans="1:48">
      <c r="A312" s="39"/>
      <c r="D312" s="31"/>
      <c r="E312" s="31"/>
      <c r="F312" s="31"/>
      <c r="G312" s="31"/>
      <c r="H312" s="32"/>
      <c r="J312" s="33"/>
      <c r="K312" s="33"/>
      <c r="L312" s="33"/>
      <c r="X312" s="23"/>
      <c r="Y312" s="23"/>
      <c r="Z312" s="23"/>
      <c r="AA312" s="23"/>
      <c r="AF312" s="23"/>
      <c r="AG312" s="23"/>
      <c r="AH312" s="23"/>
      <c r="AI312" s="23"/>
      <c r="AN312" s="23"/>
      <c r="AO312" s="23"/>
      <c r="AP312" s="23"/>
      <c r="AQ312" s="23"/>
      <c r="AR312" s="35"/>
      <c r="AS312" s="35"/>
      <c r="AT312" s="35"/>
      <c r="AU312" s="31"/>
      <c r="AV312" s="36"/>
    </row>
    <row r="313" spans="1:48">
      <c r="A313" s="39"/>
      <c r="D313" s="31"/>
      <c r="E313" s="31"/>
      <c r="F313" s="31"/>
      <c r="G313" s="31"/>
      <c r="H313" s="32"/>
      <c r="J313" s="33"/>
      <c r="K313" s="33"/>
      <c r="L313" s="33"/>
      <c r="X313" s="23"/>
      <c r="Y313" s="23"/>
      <c r="Z313" s="23"/>
      <c r="AA313" s="23"/>
      <c r="AF313" s="23"/>
      <c r="AG313" s="23"/>
      <c r="AH313" s="23"/>
      <c r="AI313" s="23"/>
      <c r="AN313" s="23"/>
      <c r="AO313" s="23"/>
      <c r="AP313" s="23"/>
      <c r="AQ313" s="23"/>
      <c r="AR313" s="35"/>
      <c r="AS313" s="35"/>
      <c r="AT313" s="35"/>
      <c r="AU313" s="31"/>
      <c r="AV313" s="36"/>
    </row>
    <row r="314" spans="1:48">
      <c r="A314" s="39"/>
      <c r="D314" s="31"/>
      <c r="E314" s="31"/>
      <c r="F314" s="31"/>
      <c r="G314" s="31"/>
      <c r="H314" s="32"/>
      <c r="J314" s="33"/>
      <c r="K314" s="33"/>
      <c r="L314" s="33"/>
      <c r="X314" s="23"/>
      <c r="Y314" s="23"/>
      <c r="Z314" s="23"/>
      <c r="AA314" s="23"/>
      <c r="AF314" s="23"/>
      <c r="AG314" s="23"/>
      <c r="AH314" s="23"/>
      <c r="AI314" s="23"/>
      <c r="AN314" s="23"/>
      <c r="AO314" s="23"/>
      <c r="AP314" s="23"/>
      <c r="AQ314" s="23"/>
      <c r="AR314" s="35"/>
      <c r="AS314" s="35"/>
      <c r="AT314" s="35"/>
      <c r="AU314" s="31"/>
      <c r="AV314" s="36"/>
    </row>
    <row r="315" spans="1:48">
      <c r="A315" s="39"/>
      <c r="D315" s="31"/>
      <c r="E315" s="31"/>
      <c r="F315" s="31"/>
      <c r="G315" s="31"/>
      <c r="H315" s="32"/>
      <c r="J315" s="33"/>
      <c r="K315" s="33"/>
      <c r="L315" s="33"/>
      <c r="X315" s="23"/>
      <c r="Y315" s="23"/>
      <c r="Z315" s="23"/>
      <c r="AA315" s="23"/>
      <c r="AF315" s="23"/>
      <c r="AG315" s="23"/>
      <c r="AH315" s="23"/>
      <c r="AI315" s="23"/>
      <c r="AN315" s="23"/>
      <c r="AO315" s="23"/>
      <c r="AP315" s="23"/>
      <c r="AQ315" s="23"/>
      <c r="AR315" s="35"/>
      <c r="AS315" s="35"/>
      <c r="AT315" s="35"/>
      <c r="AU315" s="31"/>
      <c r="AV315" s="36"/>
    </row>
    <row r="316" spans="1:48">
      <c r="A316" s="39"/>
      <c r="D316" s="31"/>
      <c r="E316" s="31"/>
      <c r="F316" s="31"/>
      <c r="G316" s="31"/>
      <c r="H316" s="32"/>
      <c r="J316" s="33"/>
      <c r="K316" s="33"/>
      <c r="L316" s="33"/>
      <c r="X316" s="23"/>
      <c r="Y316" s="23"/>
      <c r="Z316" s="23"/>
      <c r="AA316" s="23"/>
      <c r="AF316" s="23"/>
      <c r="AG316" s="23"/>
      <c r="AH316" s="23"/>
      <c r="AI316" s="23"/>
      <c r="AN316" s="23"/>
      <c r="AO316" s="23"/>
      <c r="AP316" s="23"/>
      <c r="AQ316" s="23"/>
      <c r="AR316" s="35"/>
      <c r="AS316" s="35"/>
      <c r="AT316" s="35"/>
      <c r="AU316" s="31"/>
      <c r="AV316" s="36"/>
    </row>
    <row r="317" spans="1:48">
      <c r="A317" s="39"/>
      <c r="D317" s="31"/>
      <c r="E317" s="31"/>
      <c r="F317" s="31"/>
      <c r="G317" s="31"/>
      <c r="H317" s="32"/>
      <c r="J317" s="33"/>
      <c r="K317" s="33"/>
      <c r="L317" s="33"/>
      <c r="X317" s="23"/>
      <c r="Y317" s="23"/>
      <c r="Z317" s="23"/>
      <c r="AA317" s="23"/>
      <c r="AF317" s="23"/>
      <c r="AG317" s="23"/>
      <c r="AH317" s="23"/>
      <c r="AI317" s="23"/>
      <c r="AN317" s="23"/>
      <c r="AO317" s="23"/>
      <c r="AP317" s="23"/>
      <c r="AQ317" s="23"/>
      <c r="AR317" s="35"/>
      <c r="AS317" s="35"/>
      <c r="AT317" s="35"/>
      <c r="AU317" s="31"/>
      <c r="AV317" s="36"/>
    </row>
    <row r="318" spans="1:48">
      <c r="A318" s="39"/>
      <c r="D318" s="31"/>
      <c r="E318" s="31"/>
      <c r="F318" s="31"/>
      <c r="G318" s="31"/>
      <c r="H318" s="32"/>
      <c r="J318" s="33"/>
      <c r="K318" s="33"/>
      <c r="L318" s="33"/>
      <c r="X318" s="23"/>
      <c r="Y318" s="23"/>
      <c r="Z318" s="23"/>
      <c r="AA318" s="23"/>
      <c r="AF318" s="23"/>
      <c r="AG318" s="23"/>
      <c r="AH318" s="23"/>
      <c r="AI318" s="23"/>
      <c r="AN318" s="23"/>
      <c r="AO318" s="23"/>
      <c r="AP318" s="23"/>
      <c r="AQ318" s="23"/>
      <c r="AR318" s="35"/>
      <c r="AS318" s="35"/>
      <c r="AT318" s="35"/>
      <c r="AU318" s="31"/>
      <c r="AV318" s="36"/>
    </row>
    <row r="319" spans="1:48">
      <c r="A319" s="39"/>
      <c r="D319" s="31"/>
      <c r="E319" s="31"/>
      <c r="F319" s="31"/>
      <c r="G319" s="31"/>
      <c r="H319" s="32"/>
      <c r="J319" s="33"/>
      <c r="K319" s="33"/>
      <c r="L319" s="33"/>
      <c r="X319" s="23"/>
      <c r="Y319" s="23"/>
      <c r="Z319" s="23"/>
      <c r="AA319" s="23"/>
      <c r="AF319" s="23"/>
      <c r="AG319" s="23"/>
      <c r="AH319" s="23"/>
      <c r="AI319" s="23"/>
      <c r="AN319" s="23"/>
      <c r="AO319" s="23"/>
      <c r="AP319" s="23"/>
      <c r="AQ319" s="23"/>
      <c r="AR319" s="35"/>
      <c r="AS319" s="35"/>
      <c r="AT319" s="35"/>
      <c r="AU319" s="31"/>
      <c r="AV319" s="36"/>
    </row>
    <row r="320" spans="1:48">
      <c r="A320" s="39"/>
      <c r="D320" s="31"/>
      <c r="E320" s="31"/>
      <c r="F320" s="31"/>
      <c r="G320" s="31"/>
      <c r="H320" s="32"/>
      <c r="J320" s="33"/>
      <c r="K320" s="33"/>
      <c r="L320" s="33"/>
      <c r="X320" s="23"/>
      <c r="Y320" s="23"/>
      <c r="Z320" s="23"/>
      <c r="AA320" s="23"/>
      <c r="AF320" s="23"/>
      <c r="AG320" s="23"/>
      <c r="AH320" s="23"/>
      <c r="AI320" s="23"/>
      <c r="AN320" s="23"/>
      <c r="AO320" s="23"/>
      <c r="AP320" s="23"/>
      <c r="AQ320" s="23"/>
      <c r="AR320" s="35"/>
      <c r="AS320" s="35"/>
      <c r="AT320" s="35"/>
      <c r="AU320" s="31"/>
      <c r="AV320" s="36"/>
    </row>
    <row r="321" spans="1:48">
      <c r="A321" s="39"/>
      <c r="D321" s="31"/>
      <c r="E321" s="31"/>
      <c r="F321" s="31"/>
      <c r="G321" s="31"/>
      <c r="H321" s="32"/>
      <c r="J321" s="33"/>
      <c r="K321" s="33"/>
      <c r="L321" s="33"/>
      <c r="X321" s="23"/>
      <c r="Y321" s="23"/>
      <c r="Z321" s="23"/>
      <c r="AA321" s="23"/>
      <c r="AF321" s="23"/>
      <c r="AG321" s="23"/>
      <c r="AH321" s="23"/>
      <c r="AI321" s="23"/>
      <c r="AN321" s="23"/>
      <c r="AO321" s="23"/>
      <c r="AP321" s="23"/>
      <c r="AQ321" s="23"/>
      <c r="AR321" s="35"/>
      <c r="AS321" s="35"/>
      <c r="AT321" s="35"/>
      <c r="AU321" s="31"/>
      <c r="AV321" s="36"/>
    </row>
    <row r="322" spans="1:48">
      <c r="A322" s="39"/>
      <c r="D322" s="31"/>
      <c r="E322" s="31"/>
      <c r="F322" s="31"/>
      <c r="G322" s="31"/>
      <c r="H322" s="32"/>
      <c r="J322" s="33"/>
      <c r="K322" s="33"/>
      <c r="L322" s="33"/>
      <c r="X322" s="23"/>
      <c r="Y322" s="23"/>
      <c r="Z322" s="23"/>
      <c r="AA322" s="23"/>
      <c r="AF322" s="23"/>
      <c r="AG322" s="23"/>
      <c r="AH322" s="23"/>
      <c r="AI322" s="23"/>
      <c r="AN322" s="23"/>
      <c r="AO322" s="23"/>
      <c r="AP322" s="23"/>
      <c r="AQ322" s="23"/>
      <c r="AR322" s="35"/>
      <c r="AS322" s="35"/>
      <c r="AT322" s="35"/>
      <c r="AU322" s="31"/>
      <c r="AV322" s="36"/>
    </row>
    <row r="323" spans="1:48">
      <c r="A323" s="39"/>
      <c r="D323" s="31"/>
      <c r="E323" s="31"/>
      <c r="F323" s="31"/>
      <c r="G323" s="31"/>
      <c r="H323" s="32"/>
      <c r="J323" s="33"/>
      <c r="K323" s="33"/>
      <c r="L323" s="33"/>
      <c r="X323" s="23"/>
      <c r="Y323" s="23"/>
      <c r="Z323" s="23"/>
      <c r="AA323" s="23"/>
      <c r="AF323" s="23"/>
      <c r="AG323" s="23"/>
      <c r="AH323" s="23"/>
      <c r="AI323" s="23"/>
      <c r="AN323" s="23"/>
      <c r="AO323" s="23"/>
      <c r="AP323" s="23"/>
      <c r="AQ323" s="23"/>
      <c r="AR323" s="35"/>
      <c r="AS323" s="35"/>
      <c r="AT323" s="35"/>
      <c r="AU323" s="31"/>
      <c r="AV323" s="36"/>
    </row>
    <row r="324" spans="1:48">
      <c r="A324" s="39"/>
      <c r="D324" s="31"/>
      <c r="E324" s="31"/>
      <c r="F324" s="31"/>
      <c r="G324" s="31"/>
      <c r="H324" s="32"/>
      <c r="J324" s="33"/>
      <c r="K324" s="33"/>
      <c r="L324" s="33"/>
      <c r="X324" s="23"/>
      <c r="Y324" s="23"/>
      <c r="Z324" s="23"/>
      <c r="AA324" s="23"/>
      <c r="AF324" s="23"/>
      <c r="AG324" s="23"/>
      <c r="AH324" s="23"/>
      <c r="AI324" s="23"/>
      <c r="AN324" s="23"/>
      <c r="AO324" s="23"/>
      <c r="AP324" s="23"/>
      <c r="AQ324" s="23"/>
      <c r="AR324" s="35"/>
      <c r="AS324" s="35"/>
      <c r="AT324" s="35"/>
      <c r="AU324" s="31"/>
      <c r="AV324" s="36"/>
    </row>
    <row r="325" spans="1:48">
      <c r="A325" s="39"/>
      <c r="D325" s="31"/>
      <c r="E325" s="31"/>
      <c r="F325" s="31"/>
      <c r="G325" s="31"/>
      <c r="H325" s="32"/>
      <c r="J325" s="33"/>
      <c r="K325" s="33"/>
      <c r="L325" s="33"/>
      <c r="X325" s="23"/>
      <c r="Y325" s="23"/>
      <c r="Z325" s="23"/>
      <c r="AA325" s="23"/>
      <c r="AF325" s="23"/>
      <c r="AG325" s="23"/>
      <c r="AH325" s="23"/>
      <c r="AI325" s="23"/>
      <c r="AN325" s="23"/>
      <c r="AO325" s="23"/>
      <c r="AP325" s="23"/>
      <c r="AQ325" s="23"/>
      <c r="AR325" s="35"/>
      <c r="AS325" s="35"/>
      <c r="AT325" s="35"/>
      <c r="AU325" s="31"/>
      <c r="AV325" s="36"/>
    </row>
    <row r="326" spans="1:48">
      <c r="A326" s="39"/>
      <c r="D326" s="31"/>
      <c r="E326" s="31"/>
      <c r="F326" s="31"/>
      <c r="G326" s="31"/>
      <c r="H326" s="32"/>
      <c r="J326" s="33"/>
      <c r="K326" s="33"/>
      <c r="L326" s="33"/>
      <c r="X326" s="23"/>
      <c r="Y326" s="23"/>
      <c r="Z326" s="23"/>
      <c r="AA326" s="23"/>
      <c r="AF326" s="23"/>
      <c r="AG326" s="23"/>
      <c r="AH326" s="23"/>
      <c r="AI326" s="23"/>
      <c r="AN326" s="23"/>
      <c r="AO326" s="23"/>
      <c r="AP326" s="23"/>
      <c r="AQ326" s="23"/>
      <c r="AR326" s="35"/>
      <c r="AS326" s="35"/>
      <c r="AT326" s="35"/>
      <c r="AU326" s="31"/>
      <c r="AV326" s="36"/>
    </row>
    <row r="327" spans="1:48">
      <c r="A327" s="39"/>
      <c r="D327" s="31"/>
      <c r="E327" s="31"/>
      <c r="F327" s="31"/>
      <c r="G327" s="31"/>
      <c r="H327" s="32"/>
      <c r="J327" s="33"/>
      <c r="K327" s="33"/>
      <c r="L327" s="33"/>
      <c r="X327" s="23"/>
      <c r="Y327" s="23"/>
      <c r="Z327" s="23"/>
      <c r="AA327" s="23"/>
      <c r="AF327" s="23"/>
      <c r="AG327" s="23"/>
      <c r="AH327" s="23"/>
      <c r="AI327" s="23"/>
      <c r="AN327" s="23"/>
      <c r="AO327" s="23"/>
      <c r="AP327" s="23"/>
      <c r="AQ327" s="23"/>
      <c r="AR327" s="35"/>
      <c r="AS327" s="35"/>
      <c r="AT327" s="35"/>
      <c r="AU327" s="31"/>
      <c r="AV327" s="36"/>
    </row>
    <row r="328" spans="1:48">
      <c r="A328" s="39"/>
      <c r="D328" s="31"/>
      <c r="E328" s="31"/>
      <c r="F328" s="31"/>
      <c r="G328" s="31"/>
      <c r="H328" s="32"/>
      <c r="J328" s="33"/>
      <c r="K328" s="33"/>
      <c r="L328" s="33"/>
      <c r="X328" s="23"/>
      <c r="Y328" s="23"/>
      <c r="Z328" s="23"/>
      <c r="AA328" s="23"/>
      <c r="AF328" s="23"/>
      <c r="AG328" s="23"/>
      <c r="AH328" s="23"/>
      <c r="AI328" s="23"/>
      <c r="AN328" s="23"/>
      <c r="AO328" s="23"/>
      <c r="AP328" s="23"/>
      <c r="AQ328" s="23"/>
      <c r="AR328" s="35"/>
      <c r="AS328" s="35"/>
      <c r="AT328" s="35"/>
      <c r="AU328" s="31"/>
      <c r="AV328" s="36"/>
    </row>
    <row r="329" spans="1:48">
      <c r="A329" s="39"/>
      <c r="D329" s="31"/>
      <c r="E329" s="31"/>
      <c r="F329" s="31"/>
      <c r="G329" s="31"/>
      <c r="H329" s="32"/>
      <c r="J329" s="33"/>
      <c r="K329" s="33"/>
      <c r="L329" s="33"/>
      <c r="X329" s="23"/>
      <c r="Y329" s="23"/>
      <c r="Z329" s="23"/>
      <c r="AA329" s="23"/>
      <c r="AF329" s="23"/>
      <c r="AG329" s="23"/>
      <c r="AH329" s="23"/>
      <c r="AI329" s="23"/>
      <c r="AN329" s="23"/>
      <c r="AO329" s="23"/>
      <c r="AP329" s="23"/>
      <c r="AQ329" s="23"/>
      <c r="AR329" s="35"/>
      <c r="AS329" s="35"/>
      <c r="AT329" s="35"/>
      <c r="AU329" s="31"/>
      <c r="AV329" s="36"/>
    </row>
    <row r="330" spans="1:48">
      <c r="A330" s="39"/>
      <c r="D330" s="31"/>
      <c r="E330" s="31"/>
      <c r="F330" s="31"/>
      <c r="G330" s="31"/>
      <c r="H330" s="32"/>
      <c r="J330" s="33"/>
      <c r="K330" s="33"/>
      <c r="L330" s="33"/>
      <c r="X330" s="23"/>
      <c r="Y330" s="23"/>
      <c r="Z330" s="23"/>
      <c r="AA330" s="23"/>
      <c r="AF330" s="23"/>
      <c r="AG330" s="23"/>
      <c r="AH330" s="23"/>
      <c r="AI330" s="23"/>
      <c r="AN330" s="23"/>
      <c r="AO330" s="23"/>
      <c r="AP330" s="23"/>
      <c r="AQ330" s="23"/>
      <c r="AR330" s="35"/>
      <c r="AS330" s="35"/>
      <c r="AT330" s="35"/>
      <c r="AU330" s="31"/>
      <c r="AV330" s="36"/>
    </row>
    <row r="331" spans="1:48">
      <c r="A331" s="39"/>
      <c r="D331" s="31"/>
      <c r="E331" s="31"/>
      <c r="F331" s="31"/>
      <c r="G331" s="31"/>
      <c r="H331" s="32"/>
      <c r="J331" s="33"/>
      <c r="K331" s="33"/>
      <c r="L331" s="33"/>
      <c r="X331" s="23"/>
      <c r="Y331" s="23"/>
      <c r="Z331" s="23"/>
      <c r="AA331" s="23"/>
      <c r="AF331" s="23"/>
      <c r="AG331" s="23"/>
      <c r="AH331" s="23"/>
      <c r="AI331" s="23"/>
      <c r="AN331" s="23"/>
      <c r="AO331" s="23"/>
      <c r="AP331" s="23"/>
      <c r="AQ331" s="23"/>
      <c r="AR331" s="35"/>
      <c r="AS331" s="35"/>
      <c r="AT331" s="35"/>
      <c r="AU331" s="31"/>
      <c r="AV331" s="36"/>
    </row>
    <row r="332" spans="1:48">
      <c r="A332" s="39"/>
      <c r="D332" s="31"/>
      <c r="E332" s="31"/>
      <c r="F332" s="31"/>
      <c r="G332" s="31"/>
      <c r="H332" s="32"/>
      <c r="J332" s="33"/>
      <c r="K332" s="33"/>
      <c r="L332" s="33"/>
      <c r="X332" s="23"/>
      <c r="Y332" s="23"/>
      <c r="Z332" s="23"/>
      <c r="AA332" s="23"/>
      <c r="AF332" s="23"/>
      <c r="AG332" s="23"/>
      <c r="AH332" s="23"/>
      <c r="AI332" s="23"/>
      <c r="AN332" s="23"/>
      <c r="AO332" s="23"/>
      <c r="AP332" s="23"/>
      <c r="AQ332" s="23"/>
      <c r="AR332" s="35"/>
      <c r="AS332" s="35"/>
      <c r="AT332" s="35"/>
      <c r="AU332" s="31"/>
      <c r="AV332" s="36"/>
    </row>
    <row r="333" spans="1:48">
      <c r="A333" s="39"/>
      <c r="D333" s="31"/>
      <c r="E333" s="31"/>
      <c r="F333" s="31"/>
      <c r="G333" s="31"/>
      <c r="H333" s="32"/>
      <c r="J333" s="33"/>
      <c r="K333" s="33"/>
      <c r="L333" s="33"/>
      <c r="X333" s="23"/>
      <c r="Y333" s="23"/>
      <c r="Z333" s="23"/>
      <c r="AA333" s="23"/>
      <c r="AF333" s="23"/>
      <c r="AG333" s="23"/>
      <c r="AH333" s="23"/>
      <c r="AI333" s="23"/>
      <c r="AN333" s="23"/>
      <c r="AO333" s="23"/>
      <c r="AP333" s="23"/>
      <c r="AQ333" s="23"/>
      <c r="AR333" s="35"/>
      <c r="AS333" s="35"/>
      <c r="AT333" s="35"/>
      <c r="AU333" s="31"/>
      <c r="AV333" s="36"/>
    </row>
    <row r="334" spans="1:48">
      <c r="A334" s="39"/>
      <c r="D334" s="31"/>
      <c r="E334" s="31"/>
      <c r="F334" s="31"/>
      <c r="G334" s="31"/>
      <c r="H334" s="32"/>
      <c r="J334" s="33"/>
      <c r="K334" s="33"/>
      <c r="L334" s="33"/>
      <c r="X334" s="23"/>
      <c r="Y334" s="23"/>
      <c r="Z334" s="23"/>
      <c r="AA334" s="23"/>
      <c r="AF334" s="23"/>
      <c r="AG334" s="23"/>
      <c r="AH334" s="23"/>
      <c r="AI334" s="23"/>
      <c r="AN334" s="23"/>
      <c r="AO334" s="23"/>
      <c r="AP334" s="23"/>
      <c r="AQ334" s="23"/>
      <c r="AR334" s="35"/>
      <c r="AS334" s="35"/>
      <c r="AT334" s="35"/>
      <c r="AU334" s="31"/>
      <c r="AV334" s="36"/>
    </row>
    <row r="335" spans="1:48">
      <c r="A335" s="39"/>
      <c r="D335" s="31"/>
      <c r="E335" s="31"/>
      <c r="F335" s="31"/>
      <c r="G335" s="31"/>
      <c r="H335" s="32"/>
      <c r="J335" s="33"/>
      <c r="K335" s="33"/>
      <c r="L335" s="33"/>
      <c r="X335" s="23"/>
      <c r="Y335" s="23"/>
      <c r="Z335" s="23"/>
      <c r="AA335" s="23"/>
      <c r="AF335" s="23"/>
      <c r="AG335" s="23"/>
      <c r="AH335" s="23"/>
      <c r="AI335" s="23"/>
      <c r="AN335" s="23"/>
      <c r="AO335" s="23"/>
      <c r="AP335" s="23"/>
      <c r="AQ335" s="23"/>
      <c r="AR335" s="35"/>
      <c r="AS335" s="35"/>
      <c r="AT335" s="35"/>
      <c r="AU335" s="31"/>
      <c r="AV335" s="36"/>
    </row>
    <row r="336" spans="1:48">
      <c r="A336" s="39"/>
      <c r="D336" s="31"/>
      <c r="E336" s="31"/>
      <c r="F336" s="31"/>
      <c r="G336" s="31"/>
      <c r="H336" s="32"/>
      <c r="J336" s="33"/>
      <c r="K336" s="33"/>
      <c r="L336" s="33"/>
      <c r="X336" s="23"/>
      <c r="Y336" s="23"/>
      <c r="Z336" s="23"/>
      <c r="AA336" s="23"/>
      <c r="AF336" s="23"/>
      <c r="AG336" s="23"/>
      <c r="AH336" s="23"/>
      <c r="AI336" s="23"/>
      <c r="AN336" s="23"/>
      <c r="AO336" s="23"/>
      <c r="AP336" s="23"/>
      <c r="AQ336" s="23"/>
      <c r="AR336" s="35"/>
      <c r="AS336" s="35"/>
      <c r="AT336" s="35"/>
      <c r="AU336" s="31"/>
      <c r="AV336" s="36"/>
    </row>
    <row r="337" spans="1:48">
      <c r="A337" s="39"/>
      <c r="D337" s="31"/>
      <c r="E337" s="31"/>
      <c r="F337" s="31"/>
      <c r="G337" s="31"/>
      <c r="H337" s="32"/>
      <c r="J337" s="33"/>
      <c r="K337" s="33"/>
      <c r="L337" s="33"/>
      <c r="X337" s="23"/>
      <c r="Y337" s="23"/>
      <c r="Z337" s="23"/>
      <c r="AA337" s="23"/>
      <c r="AF337" s="23"/>
      <c r="AG337" s="23"/>
      <c r="AH337" s="23"/>
      <c r="AI337" s="23"/>
      <c r="AN337" s="23"/>
      <c r="AO337" s="23"/>
      <c r="AP337" s="23"/>
      <c r="AQ337" s="23"/>
      <c r="AR337" s="35"/>
      <c r="AS337" s="35"/>
      <c r="AT337" s="35"/>
      <c r="AU337" s="31"/>
      <c r="AV337" s="36"/>
    </row>
    <row r="338" spans="1:48">
      <c r="A338" s="39"/>
      <c r="D338" s="31"/>
      <c r="E338" s="31"/>
      <c r="F338" s="31"/>
      <c r="G338" s="31"/>
      <c r="H338" s="32"/>
      <c r="J338" s="33"/>
      <c r="K338" s="33"/>
      <c r="L338" s="33"/>
      <c r="X338" s="23"/>
      <c r="Y338" s="23"/>
      <c r="Z338" s="23"/>
      <c r="AA338" s="23"/>
      <c r="AF338" s="23"/>
      <c r="AG338" s="23"/>
      <c r="AH338" s="23"/>
      <c r="AI338" s="23"/>
      <c r="AN338" s="23"/>
      <c r="AO338" s="23"/>
      <c r="AP338" s="23"/>
      <c r="AQ338" s="23"/>
      <c r="AR338" s="35"/>
      <c r="AS338" s="35"/>
      <c r="AT338" s="35"/>
      <c r="AU338" s="31"/>
      <c r="AV338" s="36"/>
    </row>
    <row r="339" spans="1:48">
      <c r="A339" s="39"/>
      <c r="D339" s="31"/>
      <c r="E339" s="31"/>
      <c r="F339" s="31"/>
      <c r="G339" s="31"/>
      <c r="H339" s="32"/>
      <c r="J339" s="33"/>
      <c r="K339" s="33"/>
      <c r="L339" s="33"/>
      <c r="X339" s="23"/>
      <c r="Y339" s="23"/>
      <c r="Z339" s="23"/>
      <c r="AA339" s="23"/>
      <c r="AF339" s="23"/>
      <c r="AG339" s="23"/>
      <c r="AH339" s="23"/>
      <c r="AI339" s="23"/>
      <c r="AN339" s="23"/>
      <c r="AO339" s="23"/>
      <c r="AP339" s="23"/>
      <c r="AQ339" s="23"/>
      <c r="AR339" s="35"/>
      <c r="AS339" s="35"/>
      <c r="AT339" s="35"/>
      <c r="AU339" s="31"/>
      <c r="AV339" s="36"/>
    </row>
    <row r="340" spans="1:48">
      <c r="A340" s="39"/>
      <c r="D340" s="31"/>
      <c r="E340" s="31"/>
      <c r="F340" s="31"/>
      <c r="G340" s="31"/>
      <c r="H340" s="32"/>
      <c r="J340" s="33"/>
      <c r="K340" s="33"/>
      <c r="L340" s="33"/>
      <c r="X340" s="23"/>
      <c r="Y340" s="23"/>
      <c r="Z340" s="23"/>
      <c r="AA340" s="23"/>
      <c r="AF340" s="23"/>
      <c r="AG340" s="23"/>
      <c r="AH340" s="23"/>
      <c r="AI340" s="23"/>
      <c r="AN340" s="23"/>
      <c r="AO340" s="23"/>
      <c r="AP340" s="23"/>
      <c r="AQ340" s="23"/>
      <c r="AR340" s="35"/>
      <c r="AS340" s="35"/>
      <c r="AT340" s="35"/>
      <c r="AU340" s="31"/>
      <c r="AV340" s="36"/>
    </row>
    <row r="341" spans="1:48">
      <c r="A341" s="39"/>
      <c r="D341" s="31"/>
      <c r="E341" s="31"/>
      <c r="F341" s="31"/>
      <c r="G341" s="31"/>
      <c r="H341" s="32"/>
      <c r="J341" s="33"/>
      <c r="K341" s="33"/>
      <c r="L341" s="33"/>
      <c r="X341" s="23"/>
      <c r="Y341" s="23"/>
      <c r="Z341" s="23"/>
      <c r="AA341" s="23"/>
      <c r="AF341" s="23"/>
      <c r="AG341" s="23"/>
      <c r="AH341" s="23"/>
      <c r="AI341" s="23"/>
      <c r="AN341" s="23"/>
      <c r="AO341" s="23"/>
      <c r="AP341" s="23"/>
      <c r="AQ341" s="23"/>
      <c r="AR341" s="35"/>
      <c r="AS341" s="35"/>
      <c r="AT341" s="35"/>
      <c r="AU341" s="31"/>
      <c r="AV341" s="36"/>
    </row>
    <row r="342" spans="1:48">
      <c r="A342" s="39"/>
      <c r="D342" s="31"/>
      <c r="E342" s="31"/>
      <c r="F342" s="31"/>
      <c r="G342" s="31"/>
      <c r="H342" s="32"/>
      <c r="J342" s="33"/>
      <c r="K342" s="33"/>
      <c r="L342" s="33"/>
      <c r="X342" s="23"/>
      <c r="Y342" s="23"/>
      <c r="Z342" s="23"/>
      <c r="AA342" s="23"/>
      <c r="AF342" s="23"/>
      <c r="AG342" s="23"/>
      <c r="AH342" s="23"/>
      <c r="AI342" s="23"/>
      <c r="AN342" s="23"/>
      <c r="AO342" s="23"/>
      <c r="AP342" s="23"/>
      <c r="AQ342" s="23"/>
      <c r="AR342" s="35"/>
      <c r="AS342" s="35"/>
      <c r="AT342" s="35"/>
      <c r="AU342" s="31"/>
      <c r="AV342" s="36"/>
    </row>
    <row r="343" spans="1:48">
      <c r="A343" s="39"/>
      <c r="D343" s="31"/>
      <c r="E343" s="31"/>
      <c r="F343" s="31"/>
      <c r="G343" s="31"/>
      <c r="H343" s="32"/>
      <c r="J343" s="33"/>
      <c r="K343" s="33"/>
      <c r="L343" s="33"/>
      <c r="X343" s="23"/>
      <c r="Y343" s="23"/>
      <c r="Z343" s="23"/>
      <c r="AA343" s="23"/>
      <c r="AF343" s="23"/>
      <c r="AG343" s="23"/>
      <c r="AH343" s="23"/>
      <c r="AI343" s="23"/>
      <c r="AN343" s="23"/>
      <c r="AO343" s="23"/>
      <c r="AP343" s="23"/>
      <c r="AQ343" s="23"/>
      <c r="AR343" s="35"/>
      <c r="AS343" s="35"/>
      <c r="AT343" s="35"/>
      <c r="AU343" s="31"/>
      <c r="AV343" s="36"/>
    </row>
    <row r="344" spans="1:48">
      <c r="A344" s="39"/>
      <c r="D344" s="31"/>
      <c r="E344" s="31"/>
      <c r="F344" s="31"/>
      <c r="G344" s="31"/>
      <c r="H344" s="32"/>
      <c r="J344" s="33"/>
      <c r="K344" s="33"/>
      <c r="L344" s="33"/>
      <c r="X344" s="23"/>
      <c r="Y344" s="23"/>
      <c r="Z344" s="23"/>
      <c r="AA344" s="23"/>
      <c r="AF344" s="23"/>
      <c r="AG344" s="23"/>
      <c r="AH344" s="23"/>
      <c r="AI344" s="23"/>
      <c r="AN344" s="23"/>
      <c r="AO344" s="23"/>
      <c r="AP344" s="23"/>
      <c r="AQ344" s="23"/>
      <c r="AR344" s="35"/>
      <c r="AS344" s="35"/>
      <c r="AT344" s="35"/>
      <c r="AU344" s="31"/>
      <c r="AV344" s="36"/>
    </row>
    <row r="345" spans="1:48">
      <c r="A345" s="39"/>
      <c r="D345" s="31"/>
      <c r="E345" s="31"/>
      <c r="F345" s="31"/>
      <c r="G345" s="31"/>
      <c r="H345" s="32"/>
      <c r="J345" s="33"/>
      <c r="K345" s="33"/>
      <c r="L345" s="33"/>
      <c r="X345" s="23"/>
      <c r="Y345" s="23"/>
      <c r="Z345" s="23"/>
      <c r="AA345" s="23"/>
      <c r="AF345" s="23"/>
      <c r="AG345" s="23"/>
      <c r="AH345" s="23"/>
      <c r="AI345" s="23"/>
      <c r="AN345" s="23"/>
      <c r="AO345" s="23"/>
      <c r="AP345" s="23"/>
      <c r="AQ345" s="23"/>
      <c r="AR345" s="35"/>
      <c r="AS345" s="35"/>
      <c r="AT345" s="35"/>
      <c r="AU345" s="31"/>
      <c r="AV345" s="36"/>
    </row>
    <row r="346" spans="1:48">
      <c r="A346" s="39"/>
      <c r="D346" s="31"/>
      <c r="E346" s="31"/>
      <c r="F346" s="31"/>
      <c r="G346" s="31"/>
      <c r="H346" s="32"/>
      <c r="J346" s="33"/>
      <c r="K346" s="33"/>
      <c r="L346" s="33"/>
      <c r="X346" s="23"/>
      <c r="Y346" s="23"/>
      <c r="Z346" s="23"/>
      <c r="AA346" s="23"/>
      <c r="AF346" s="23"/>
      <c r="AG346" s="23"/>
      <c r="AH346" s="23"/>
      <c r="AI346" s="23"/>
      <c r="AN346" s="23"/>
      <c r="AO346" s="23"/>
      <c r="AP346" s="23"/>
      <c r="AQ346" s="23"/>
      <c r="AR346" s="35"/>
      <c r="AS346" s="35"/>
      <c r="AT346" s="35"/>
      <c r="AU346" s="31"/>
      <c r="AV346" s="36"/>
    </row>
    <row r="347" spans="1:48">
      <c r="A347" s="39"/>
      <c r="D347" s="31"/>
      <c r="E347" s="31"/>
      <c r="F347" s="31"/>
      <c r="G347" s="31"/>
      <c r="H347" s="32"/>
      <c r="J347" s="33"/>
      <c r="K347" s="33"/>
      <c r="L347" s="33"/>
      <c r="X347" s="23"/>
      <c r="Y347" s="23"/>
      <c r="Z347" s="23"/>
      <c r="AA347" s="23"/>
      <c r="AF347" s="23"/>
      <c r="AG347" s="23"/>
      <c r="AH347" s="23"/>
      <c r="AI347" s="23"/>
      <c r="AN347" s="23"/>
      <c r="AO347" s="23"/>
      <c r="AP347" s="23"/>
      <c r="AQ347" s="23"/>
      <c r="AR347" s="35"/>
      <c r="AS347" s="35"/>
      <c r="AT347" s="35"/>
      <c r="AU347" s="31"/>
      <c r="AV347" s="36"/>
    </row>
    <row r="348" spans="1:48">
      <c r="A348" s="39"/>
      <c r="D348" s="31"/>
      <c r="E348" s="31"/>
      <c r="F348" s="31"/>
      <c r="G348" s="31"/>
      <c r="H348" s="32"/>
      <c r="J348" s="33"/>
      <c r="K348" s="33"/>
      <c r="L348" s="33"/>
      <c r="X348" s="23"/>
      <c r="Y348" s="23"/>
      <c r="Z348" s="23"/>
      <c r="AA348" s="23"/>
      <c r="AF348" s="23"/>
      <c r="AG348" s="23"/>
      <c r="AH348" s="23"/>
      <c r="AI348" s="23"/>
      <c r="AN348" s="23"/>
      <c r="AO348" s="23"/>
      <c r="AP348" s="23"/>
      <c r="AQ348" s="23"/>
      <c r="AR348" s="35"/>
      <c r="AS348" s="35"/>
      <c r="AT348" s="35"/>
      <c r="AU348" s="31"/>
      <c r="AV348" s="36"/>
    </row>
    <row r="349" spans="1:48">
      <c r="A349" s="39"/>
      <c r="D349" s="31"/>
      <c r="E349" s="31"/>
      <c r="F349" s="31"/>
      <c r="G349" s="31"/>
      <c r="H349" s="32"/>
      <c r="J349" s="33"/>
      <c r="K349" s="33"/>
      <c r="L349" s="33"/>
      <c r="X349" s="23"/>
      <c r="Y349" s="23"/>
      <c r="Z349" s="23"/>
      <c r="AA349" s="23"/>
      <c r="AF349" s="23"/>
      <c r="AG349" s="23"/>
      <c r="AH349" s="23"/>
      <c r="AI349" s="23"/>
      <c r="AN349" s="23"/>
      <c r="AO349" s="23"/>
      <c r="AP349" s="23"/>
      <c r="AQ349" s="23"/>
      <c r="AR349" s="35"/>
      <c r="AS349" s="35"/>
      <c r="AT349" s="35"/>
      <c r="AU349" s="31"/>
      <c r="AV349" s="36"/>
    </row>
    <row r="350" spans="1:48">
      <c r="A350" s="39"/>
      <c r="D350" s="31"/>
      <c r="E350" s="31"/>
      <c r="F350" s="31"/>
      <c r="G350" s="31"/>
      <c r="H350" s="32"/>
      <c r="J350" s="33"/>
      <c r="K350" s="33"/>
      <c r="L350" s="33"/>
      <c r="X350" s="23"/>
      <c r="Y350" s="23"/>
      <c r="Z350" s="23"/>
      <c r="AA350" s="23"/>
      <c r="AF350" s="23"/>
      <c r="AG350" s="23"/>
      <c r="AH350" s="23"/>
      <c r="AI350" s="23"/>
      <c r="AN350" s="23"/>
      <c r="AO350" s="23"/>
      <c r="AP350" s="23"/>
      <c r="AQ350" s="23"/>
      <c r="AR350" s="35"/>
      <c r="AS350" s="35"/>
      <c r="AT350" s="35"/>
      <c r="AU350" s="31"/>
      <c r="AV350" s="36"/>
    </row>
    <row r="351" spans="1:48">
      <c r="A351" s="39"/>
      <c r="D351" s="31"/>
      <c r="E351" s="31"/>
      <c r="F351" s="31"/>
      <c r="G351" s="31"/>
      <c r="H351" s="32"/>
      <c r="J351" s="33"/>
      <c r="K351" s="33"/>
      <c r="L351" s="33"/>
      <c r="X351" s="23"/>
      <c r="Y351" s="23"/>
      <c r="Z351" s="23"/>
      <c r="AA351" s="23"/>
      <c r="AF351" s="23"/>
      <c r="AG351" s="23"/>
      <c r="AH351" s="23"/>
      <c r="AI351" s="23"/>
      <c r="AN351" s="23"/>
      <c r="AO351" s="23"/>
      <c r="AP351" s="23"/>
      <c r="AQ351" s="23"/>
      <c r="AR351" s="35"/>
      <c r="AS351" s="35"/>
      <c r="AT351" s="35"/>
      <c r="AU351" s="31"/>
      <c r="AV351" s="36"/>
    </row>
    <row r="352" spans="1:48">
      <c r="A352" s="39"/>
      <c r="D352" s="31"/>
      <c r="E352" s="31"/>
      <c r="F352" s="31"/>
      <c r="G352" s="31"/>
      <c r="H352" s="32"/>
      <c r="J352" s="33"/>
      <c r="K352" s="33"/>
      <c r="L352" s="33"/>
      <c r="X352" s="23"/>
      <c r="Y352" s="23"/>
      <c r="Z352" s="23"/>
      <c r="AA352" s="23"/>
      <c r="AF352" s="23"/>
      <c r="AG352" s="23"/>
      <c r="AH352" s="23"/>
      <c r="AI352" s="23"/>
      <c r="AN352" s="23"/>
      <c r="AO352" s="23"/>
      <c r="AP352" s="23"/>
      <c r="AQ352" s="23"/>
      <c r="AR352" s="35"/>
      <c r="AS352" s="35"/>
      <c r="AT352" s="35"/>
      <c r="AU352" s="31"/>
      <c r="AV352" s="36"/>
    </row>
    <row r="353" spans="1:48">
      <c r="A353" s="39"/>
      <c r="D353" s="31"/>
      <c r="E353" s="31"/>
      <c r="F353" s="31"/>
      <c r="G353" s="31"/>
      <c r="H353" s="32"/>
      <c r="J353" s="33"/>
      <c r="K353" s="33"/>
      <c r="L353" s="33"/>
      <c r="X353" s="23"/>
      <c r="Y353" s="23"/>
      <c r="Z353" s="23"/>
      <c r="AA353" s="23"/>
      <c r="AF353" s="23"/>
      <c r="AG353" s="23"/>
      <c r="AH353" s="23"/>
      <c r="AI353" s="23"/>
      <c r="AN353" s="23"/>
      <c r="AO353" s="23"/>
      <c r="AP353" s="23"/>
      <c r="AQ353" s="23"/>
      <c r="AR353" s="35"/>
      <c r="AS353" s="35"/>
      <c r="AT353" s="35"/>
      <c r="AU353" s="31"/>
      <c r="AV353" s="36"/>
    </row>
    <row r="354" spans="1:48">
      <c r="A354" s="39"/>
      <c r="D354" s="31"/>
      <c r="E354" s="31"/>
      <c r="F354" s="31"/>
      <c r="G354" s="31"/>
      <c r="H354" s="32"/>
      <c r="J354" s="33"/>
      <c r="K354" s="33"/>
      <c r="L354" s="33"/>
      <c r="X354" s="23"/>
      <c r="Y354" s="23"/>
      <c r="Z354" s="23"/>
      <c r="AA354" s="23"/>
      <c r="AF354" s="23"/>
      <c r="AG354" s="23"/>
      <c r="AH354" s="23"/>
      <c r="AI354" s="23"/>
      <c r="AN354" s="23"/>
      <c r="AO354" s="23"/>
      <c r="AP354" s="23"/>
      <c r="AQ354" s="23"/>
      <c r="AR354" s="35"/>
      <c r="AS354" s="35"/>
      <c r="AT354" s="35"/>
      <c r="AU354" s="31"/>
      <c r="AV354" s="36"/>
    </row>
    <row r="355" spans="1:48">
      <c r="A355" s="39"/>
      <c r="D355" s="31"/>
      <c r="E355" s="31"/>
      <c r="F355" s="31"/>
      <c r="G355" s="31"/>
      <c r="H355" s="32"/>
      <c r="J355" s="33"/>
      <c r="K355" s="33"/>
      <c r="L355" s="33"/>
      <c r="X355" s="23"/>
      <c r="Y355" s="23"/>
      <c r="Z355" s="23"/>
      <c r="AA355" s="23"/>
      <c r="AF355" s="23"/>
      <c r="AG355" s="23"/>
      <c r="AH355" s="23"/>
      <c r="AI355" s="23"/>
      <c r="AN355" s="23"/>
      <c r="AO355" s="23"/>
      <c r="AP355" s="23"/>
      <c r="AQ355" s="23"/>
      <c r="AR355" s="35"/>
      <c r="AS355" s="35"/>
      <c r="AT355" s="35"/>
      <c r="AU355" s="31"/>
      <c r="AV355" s="36"/>
    </row>
    <row r="356" spans="1:48">
      <c r="A356" s="39"/>
      <c r="D356" s="31"/>
      <c r="E356" s="31"/>
      <c r="F356" s="31"/>
      <c r="G356" s="31"/>
      <c r="H356" s="32"/>
      <c r="J356" s="33"/>
      <c r="K356" s="33"/>
      <c r="L356" s="33"/>
      <c r="X356" s="23"/>
      <c r="Y356" s="23"/>
      <c r="Z356" s="23"/>
      <c r="AA356" s="23"/>
      <c r="AF356" s="23"/>
      <c r="AG356" s="23"/>
      <c r="AH356" s="23"/>
      <c r="AI356" s="23"/>
      <c r="AN356" s="23"/>
      <c r="AO356" s="23"/>
      <c r="AP356" s="23"/>
      <c r="AQ356" s="23"/>
      <c r="AR356" s="35"/>
      <c r="AS356" s="35"/>
      <c r="AT356" s="35"/>
      <c r="AU356" s="31"/>
      <c r="AV356" s="36"/>
    </row>
    <row r="357" spans="1:48">
      <c r="A357" s="39"/>
      <c r="D357" s="31"/>
      <c r="E357" s="31"/>
      <c r="F357" s="31"/>
      <c r="G357" s="31"/>
      <c r="H357" s="32"/>
      <c r="J357" s="33"/>
      <c r="K357" s="33"/>
      <c r="L357" s="33"/>
      <c r="X357" s="23"/>
      <c r="Y357" s="23"/>
      <c r="Z357" s="23"/>
      <c r="AA357" s="23"/>
      <c r="AF357" s="23"/>
      <c r="AG357" s="23"/>
      <c r="AH357" s="23"/>
      <c r="AI357" s="23"/>
      <c r="AN357" s="23"/>
      <c r="AO357" s="23"/>
      <c r="AP357" s="23"/>
      <c r="AQ357" s="23"/>
      <c r="AR357" s="35"/>
      <c r="AS357" s="35"/>
      <c r="AT357" s="35"/>
      <c r="AU357" s="31"/>
      <c r="AV357" s="36"/>
    </row>
    <row r="358" spans="1:48">
      <c r="A358" s="39"/>
      <c r="D358" s="31"/>
      <c r="E358" s="31"/>
      <c r="F358" s="31"/>
      <c r="G358" s="31"/>
      <c r="H358" s="32"/>
      <c r="J358" s="33"/>
      <c r="K358" s="33"/>
      <c r="L358" s="33"/>
      <c r="X358" s="23"/>
      <c r="Y358" s="23"/>
      <c r="Z358" s="23"/>
      <c r="AA358" s="23"/>
      <c r="AF358" s="23"/>
      <c r="AG358" s="23"/>
      <c r="AH358" s="23"/>
      <c r="AI358" s="23"/>
      <c r="AN358" s="23"/>
      <c r="AO358" s="23"/>
      <c r="AP358" s="23"/>
      <c r="AQ358" s="23"/>
      <c r="AR358" s="35"/>
      <c r="AS358" s="35"/>
      <c r="AT358" s="35"/>
      <c r="AU358" s="31"/>
      <c r="AV358" s="36"/>
    </row>
    <row r="359" spans="1:48">
      <c r="A359" s="39"/>
      <c r="D359" s="31"/>
      <c r="E359" s="31"/>
      <c r="F359" s="31"/>
      <c r="G359" s="31"/>
      <c r="H359" s="32"/>
      <c r="J359" s="33"/>
      <c r="K359" s="33"/>
      <c r="L359" s="33"/>
      <c r="X359" s="23"/>
      <c r="Y359" s="23"/>
      <c r="Z359" s="23"/>
      <c r="AA359" s="23"/>
      <c r="AF359" s="23"/>
      <c r="AG359" s="23"/>
      <c r="AH359" s="23"/>
      <c r="AI359" s="23"/>
      <c r="AN359" s="23"/>
      <c r="AO359" s="23"/>
      <c r="AP359" s="23"/>
      <c r="AQ359" s="23"/>
      <c r="AR359" s="35"/>
      <c r="AS359" s="35"/>
      <c r="AT359" s="35"/>
      <c r="AU359" s="31"/>
      <c r="AV359" s="36"/>
    </row>
    <row r="360" spans="1:48">
      <c r="A360" s="39"/>
      <c r="D360" s="31"/>
      <c r="E360" s="31"/>
      <c r="F360" s="31"/>
      <c r="G360" s="31"/>
      <c r="H360" s="32"/>
      <c r="J360" s="33"/>
      <c r="K360" s="33"/>
      <c r="L360" s="33"/>
      <c r="X360" s="23"/>
      <c r="Y360" s="23"/>
      <c r="Z360" s="23"/>
      <c r="AA360" s="23"/>
      <c r="AF360" s="23"/>
      <c r="AG360" s="23"/>
      <c r="AH360" s="23"/>
      <c r="AI360" s="23"/>
      <c r="AN360" s="23"/>
      <c r="AO360" s="23"/>
      <c r="AP360" s="23"/>
      <c r="AQ360" s="23"/>
      <c r="AR360" s="35"/>
      <c r="AS360" s="35"/>
      <c r="AT360" s="35"/>
      <c r="AU360" s="31"/>
      <c r="AV360" s="36"/>
    </row>
    <row r="361" spans="1:48">
      <c r="A361" s="39"/>
      <c r="D361" s="31"/>
      <c r="E361" s="31"/>
      <c r="F361" s="31"/>
      <c r="G361" s="31"/>
      <c r="H361" s="32"/>
      <c r="J361" s="33"/>
      <c r="K361" s="33"/>
      <c r="L361" s="33"/>
      <c r="X361" s="23"/>
      <c r="Y361" s="23"/>
      <c r="Z361" s="23"/>
      <c r="AA361" s="23"/>
      <c r="AF361" s="23"/>
      <c r="AG361" s="23"/>
      <c r="AH361" s="23"/>
      <c r="AI361" s="23"/>
      <c r="AN361" s="23"/>
      <c r="AO361" s="23"/>
      <c r="AP361" s="23"/>
      <c r="AQ361" s="23"/>
      <c r="AR361" s="35"/>
      <c r="AS361" s="35"/>
      <c r="AT361" s="35"/>
      <c r="AU361" s="31"/>
      <c r="AV361" s="36"/>
    </row>
    <row r="362" spans="1:48">
      <c r="A362" s="39"/>
      <c r="D362" s="31"/>
      <c r="E362" s="31"/>
      <c r="F362" s="31"/>
      <c r="G362" s="31"/>
      <c r="H362" s="32"/>
      <c r="J362" s="33"/>
      <c r="K362" s="33"/>
      <c r="L362" s="33"/>
      <c r="X362" s="23"/>
      <c r="Y362" s="23"/>
      <c r="Z362" s="23"/>
      <c r="AA362" s="23"/>
      <c r="AF362" s="23"/>
      <c r="AG362" s="23"/>
      <c r="AH362" s="23"/>
      <c r="AI362" s="23"/>
      <c r="AN362" s="23"/>
      <c r="AO362" s="23"/>
      <c r="AP362" s="23"/>
      <c r="AQ362" s="23"/>
      <c r="AR362" s="35"/>
      <c r="AS362" s="35"/>
      <c r="AT362" s="35"/>
      <c r="AU362" s="31"/>
      <c r="AV362" s="36"/>
    </row>
    <row r="363" spans="1:48">
      <c r="A363" s="39"/>
      <c r="D363" s="31"/>
      <c r="E363" s="31"/>
      <c r="F363" s="31"/>
      <c r="G363" s="31"/>
      <c r="H363" s="32"/>
      <c r="J363" s="33"/>
      <c r="K363" s="33"/>
      <c r="L363" s="33"/>
      <c r="X363" s="23"/>
      <c r="Y363" s="23"/>
      <c r="Z363" s="23"/>
      <c r="AA363" s="23"/>
      <c r="AF363" s="23"/>
      <c r="AG363" s="23"/>
      <c r="AH363" s="23"/>
      <c r="AI363" s="23"/>
      <c r="AN363" s="23"/>
      <c r="AO363" s="23"/>
      <c r="AP363" s="23"/>
      <c r="AQ363" s="23"/>
      <c r="AR363" s="35"/>
      <c r="AS363" s="35"/>
      <c r="AT363" s="35"/>
      <c r="AU363" s="31"/>
      <c r="AV363" s="36"/>
    </row>
    <row r="364" spans="1:48">
      <c r="A364" s="39"/>
      <c r="D364" s="31"/>
      <c r="E364" s="31"/>
      <c r="F364" s="31"/>
      <c r="G364" s="31"/>
      <c r="H364" s="32"/>
      <c r="J364" s="33"/>
      <c r="K364" s="33"/>
      <c r="L364" s="33"/>
      <c r="X364" s="23"/>
      <c r="Y364" s="23"/>
      <c r="Z364" s="23"/>
      <c r="AA364" s="23"/>
      <c r="AF364" s="23"/>
      <c r="AG364" s="23"/>
      <c r="AH364" s="23"/>
      <c r="AI364" s="23"/>
      <c r="AN364" s="23"/>
      <c r="AO364" s="23"/>
      <c r="AP364" s="23"/>
      <c r="AQ364" s="23"/>
      <c r="AR364" s="35"/>
      <c r="AS364" s="35"/>
      <c r="AT364" s="35"/>
      <c r="AU364" s="31"/>
      <c r="AV364" s="36"/>
    </row>
    <row r="365" spans="1:48">
      <c r="A365" s="39"/>
      <c r="D365" s="31"/>
      <c r="E365" s="31"/>
      <c r="F365" s="31"/>
      <c r="G365" s="31"/>
      <c r="H365" s="32"/>
      <c r="J365" s="33"/>
      <c r="K365" s="33"/>
      <c r="L365" s="33"/>
      <c r="X365" s="23"/>
      <c r="Y365" s="23"/>
      <c r="Z365" s="23"/>
      <c r="AA365" s="23"/>
      <c r="AF365" s="23"/>
      <c r="AG365" s="23"/>
      <c r="AH365" s="23"/>
      <c r="AI365" s="23"/>
      <c r="AN365" s="23"/>
      <c r="AO365" s="23"/>
      <c r="AP365" s="23"/>
      <c r="AQ365" s="23"/>
      <c r="AR365" s="35"/>
      <c r="AS365" s="35"/>
      <c r="AT365" s="35"/>
      <c r="AU365" s="31"/>
      <c r="AV365" s="36"/>
    </row>
    <row r="366" spans="1:48">
      <c r="A366" s="39"/>
      <c r="D366" s="31"/>
      <c r="E366" s="31"/>
      <c r="F366" s="31"/>
      <c r="G366" s="31"/>
      <c r="H366" s="32"/>
      <c r="J366" s="33"/>
      <c r="K366" s="33"/>
      <c r="L366" s="33"/>
      <c r="X366" s="23"/>
      <c r="Y366" s="23"/>
      <c r="Z366" s="23"/>
      <c r="AA366" s="23"/>
      <c r="AF366" s="23"/>
      <c r="AG366" s="23"/>
      <c r="AH366" s="23"/>
      <c r="AI366" s="23"/>
      <c r="AN366" s="23"/>
      <c r="AO366" s="23"/>
      <c r="AP366" s="23"/>
      <c r="AQ366" s="23"/>
      <c r="AR366" s="35"/>
      <c r="AS366" s="35"/>
      <c r="AT366" s="35"/>
      <c r="AU366" s="31"/>
      <c r="AV366" s="36"/>
    </row>
    <row r="367" spans="1:48">
      <c r="A367" s="39"/>
      <c r="D367" s="31"/>
      <c r="E367" s="31"/>
      <c r="F367" s="31"/>
      <c r="G367" s="31"/>
      <c r="H367" s="32"/>
      <c r="J367" s="33"/>
      <c r="K367" s="33"/>
      <c r="L367" s="33"/>
      <c r="X367" s="23"/>
      <c r="Y367" s="23"/>
      <c r="Z367" s="23"/>
      <c r="AA367" s="23"/>
      <c r="AF367" s="23"/>
      <c r="AG367" s="23"/>
      <c r="AH367" s="23"/>
      <c r="AI367" s="23"/>
      <c r="AN367" s="23"/>
      <c r="AO367" s="23"/>
      <c r="AP367" s="23"/>
      <c r="AQ367" s="23"/>
      <c r="AR367" s="35"/>
      <c r="AS367" s="35"/>
      <c r="AT367" s="35"/>
      <c r="AU367" s="31"/>
      <c r="AV367" s="36"/>
    </row>
    <row r="368" spans="1:48">
      <c r="A368" s="39"/>
      <c r="D368" s="31"/>
      <c r="E368" s="31"/>
      <c r="F368" s="31"/>
      <c r="G368" s="31"/>
      <c r="H368" s="32"/>
      <c r="J368" s="33"/>
      <c r="K368" s="33"/>
      <c r="L368" s="33"/>
      <c r="X368" s="23"/>
      <c r="Y368" s="23"/>
      <c r="Z368" s="23"/>
      <c r="AA368" s="23"/>
      <c r="AF368" s="23"/>
      <c r="AG368" s="23"/>
      <c r="AH368" s="23"/>
      <c r="AI368" s="23"/>
      <c r="AN368" s="23"/>
      <c r="AO368" s="23"/>
      <c r="AP368" s="23"/>
      <c r="AQ368" s="23"/>
      <c r="AR368" s="35"/>
      <c r="AS368" s="35"/>
      <c r="AT368" s="35"/>
      <c r="AU368" s="31"/>
      <c r="AV368" s="36"/>
    </row>
    <row r="369" spans="1:48">
      <c r="A369" s="39"/>
      <c r="D369" s="31"/>
      <c r="E369" s="31"/>
      <c r="F369" s="31"/>
      <c r="G369" s="31"/>
      <c r="H369" s="32"/>
      <c r="J369" s="33"/>
      <c r="K369" s="33"/>
      <c r="L369" s="33"/>
      <c r="X369" s="23"/>
      <c r="Y369" s="23"/>
      <c r="Z369" s="23"/>
      <c r="AA369" s="23"/>
      <c r="AF369" s="23"/>
      <c r="AG369" s="23"/>
      <c r="AH369" s="23"/>
      <c r="AI369" s="23"/>
      <c r="AN369" s="23"/>
      <c r="AO369" s="23"/>
      <c r="AP369" s="23"/>
      <c r="AQ369" s="23"/>
      <c r="AR369" s="35"/>
      <c r="AS369" s="35"/>
      <c r="AT369" s="35"/>
      <c r="AU369" s="31"/>
      <c r="AV369" s="36"/>
    </row>
    <row r="370" spans="1:48">
      <c r="A370" s="39"/>
      <c r="D370" s="31"/>
      <c r="E370" s="31"/>
      <c r="F370" s="31"/>
      <c r="G370" s="31"/>
      <c r="H370" s="32"/>
      <c r="J370" s="33"/>
      <c r="K370" s="33"/>
      <c r="L370" s="33"/>
      <c r="X370" s="23"/>
      <c r="Y370" s="23"/>
      <c r="Z370" s="23"/>
      <c r="AA370" s="23"/>
      <c r="AF370" s="23"/>
      <c r="AG370" s="23"/>
      <c r="AH370" s="23"/>
      <c r="AI370" s="23"/>
      <c r="AN370" s="23"/>
      <c r="AO370" s="23"/>
      <c r="AP370" s="23"/>
      <c r="AQ370" s="23"/>
      <c r="AR370" s="35"/>
      <c r="AS370" s="35"/>
      <c r="AT370" s="35"/>
      <c r="AU370" s="31"/>
      <c r="AV370" s="36"/>
    </row>
    <row r="371" spans="1:48">
      <c r="A371" s="39"/>
      <c r="D371" s="31"/>
      <c r="E371" s="31"/>
      <c r="F371" s="31"/>
      <c r="G371" s="31"/>
      <c r="H371" s="32"/>
      <c r="J371" s="33"/>
      <c r="K371" s="33"/>
      <c r="L371" s="33"/>
      <c r="X371" s="23"/>
      <c r="Y371" s="23"/>
      <c r="Z371" s="23"/>
      <c r="AA371" s="23"/>
      <c r="AF371" s="23"/>
      <c r="AG371" s="23"/>
      <c r="AH371" s="23"/>
      <c r="AI371" s="23"/>
      <c r="AN371" s="23"/>
      <c r="AO371" s="23"/>
      <c r="AP371" s="23"/>
      <c r="AQ371" s="23"/>
      <c r="AR371" s="35"/>
      <c r="AS371" s="35"/>
      <c r="AT371" s="35"/>
      <c r="AU371" s="31"/>
      <c r="AV371" s="36"/>
    </row>
    <row r="372" spans="1:48">
      <c r="A372" s="39"/>
      <c r="D372" s="31"/>
      <c r="E372" s="31"/>
      <c r="F372" s="31"/>
      <c r="G372" s="31"/>
      <c r="H372" s="32"/>
      <c r="J372" s="33"/>
      <c r="K372" s="33"/>
      <c r="L372" s="33"/>
      <c r="X372" s="23"/>
      <c r="Y372" s="23"/>
      <c r="Z372" s="23"/>
      <c r="AA372" s="23"/>
      <c r="AF372" s="23"/>
      <c r="AG372" s="23"/>
      <c r="AH372" s="23"/>
      <c r="AI372" s="23"/>
      <c r="AN372" s="23"/>
      <c r="AO372" s="23"/>
      <c r="AP372" s="23"/>
      <c r="AQ372" s="23"/>
      <c r="AR372" s="35"/>
      <c r="AS372" s="35"/>
      <c r="AT372" s="35"/>
      <c r="AU372" s="31"/>
      <c r="AV372" s="36"/>
    </row>
    <row r="373" spans="1:48">
      <c r="A373" s="39"/>
      <c r="D373" s="31"/>
      <c r="E373" s="31"/>
      <c r="F373" s="31"/>
      <c r="G373" s="31"/>
      <c r="H373" s="32"/>
      <c r="J373" s="33"/>
      <c r="K373" s="33"/>
      <c r="L373" s="33"/>
      <c r="X373" s="23"/>
      <c r="Y373" s="23"/>
      <c r="Z373" s="23"/>
      <c r="AA373" s="23"/>
      <c r="AF373" s="23"/>
      <c r="AG373" s="23"/>
      <c r="AH373" s="23"/>
      <c r="AI373" s="23"/>
      <c r="AN373" s="23"/>
      <c r="AO373" s="23"/>
      <c r="AP373" s="23"/>
      <c r="AQ373" s="23"/>
      <c r="AR373" s="35"/>
      <c r="AS373" s="35"/>
      <c r="AT373" s="35"/>
      <c r="AU373" s="31"/>
      <c r="AV373" s="36"/>
    </row>
    <row r="374" spans="1:48">
      <c r="A374" s="39"/>
      <c r="D374" s="31"/>
      <c r="E374" s="31"/>
      <c r="F374" s="31"/>
      <c r="G374" s="31"/>
      <c r="H374" s="32"/>
      <c r="J374" s="33"/>
      <c r="K374" s="33"/>
      <c r="L374" s="33"/>
      <c r="X374" s="23"/>
      <c r="Y374" s="23"/>
      <c r="Z374" s="23"/>
      <c r="AA374" s="23"/>
      <c r="AF374" s="23"/>
      <c r="AG374" s="23"/>
      <c r="AH374" s="23"/>
      <c r="AI374" s="23"/>
      <c r="AN374" s="23"/>
      <c r="AO374" s="23"/>
      <c r="AP374" s="23"/>
      <c r="AQ374" s="23"/>
      <c r="AR374" s="35"/>
      <c r="AS374" s="35"/>
      <c r="AT374" s="35"/>
      <c r="AU374" s="31"/>
      <c r="AV374" s="36"/>
    </row>
    <row r="375" spans="1:48">
      <c r="A375" s="39"/>
      <c r="D375" s="31"/>
      <c r="E375" s="31"/>
      <c r="F375" s="31"/>
      <c r="G375" s="31"/>
      <c r="H375" s="32"/>
      <c r="J375" s="33"/>
      <c r="K375" s="33"/>
      <c r="L375" s="33"/>
      <c r="X375" s="23"/>
      <c r="Y375" s="23"/>
      <c r="Z375" s="23"/>
      <c r="AA375" s="23"/>
      <c r="AF375" s="23"/>
      <c r="AG375" s="23"/>
      <c r="AH375" s="23"/>
      <c r="AI375" s="23"/>
      <c r="AN375" s="23"/>
      <c r="AO375" s="23"/>
      <c r="AP375" s="23"/>
      <c r="AQ375" s="23"/>
      <c r="AR375" s="35"/>
      <c r="AS375" s="35"/>
      <c r="AT375" s="35"/>
      <c r="AU375" s="31"/>
      <c r="AV375" s="36"/>
    </row>
    <row r="376" spans="1:48">
      <c r="A376" s="39"/>
      <c r="D376" s="31"/>
      <c r="E376" s="31"/>
      <c r="F376" s="31"/>
      <c r="G376" s="31"/>
      <c r="H376" s="32"/>
      <c r="J376" s="33"/>
      <c r="K376" s="33"/>
      <c r="L376" s="33"/>
      <c r="X376" s="23"/>
      <c r="Y376" s="23"/>
      <c r="Z376" s="23"/>
      <c r="AA376" s="23"/>
      <c r="AF376" s="23"/>
      <c r="AG376" s="23"/>
      <c r="AH376" s="23"/>
      <c r="AI376" s="23"/>
      <c r="AN376" s="23"/>
      <c r="AO376" s="23"/>
      <c r="AP376" s="23"/>
      <c r="AQ376" s="23"/>
      <c r="AR376" s="35"/>
      <c r="AS376" s="35"/>
      <c r="AT376" s="35"/>
      <c r="AU376" s="31"/>
      <c r="AV376" s="36"/>
    </row>
    <row r="377" spans="1:48">
      <c r="A377" s="39"/>
      <c r="D377" s="31"/>
      <c r="E377" s="31"/>
      <c r="F377" s="31"/>
      <c r="G377" s="31"/>
      <c r="H377" s="32"/>
      <c r="J377" s="33"/>
      <c r="K377" s="33"/>
      <c r="L377" s="33"/>
      <c r="X377" s="23"/>
      <c r="Y377" s="23"/>
      <c r="Z377" s="23"/>
      <c r="AA377" s="23"/>
      <c r="AF377" s="23"/>
      <c r="AG377" s="23"/>
      <c r="AH377" s="23"/>
      <c r="AI377" s="23"/>
      <c r="AN377" s="23"/>
      <c r="AO377" s="23"/>
      <c r="AP377" s="23"/>
      <c r="AQ377" s="23"/>
      <c r="AR377" s="35"/>
      <c r="AS377" s="35"/>
      <c r="AT377" s="35"/>
      <c r="AU377" s="31"/>
      <c r="AV377" s="36"/>
    </row>
    <row r="378" spans="1:48">
      <c r="A378" s="39"/>
      <c r="D378" s="31"/>
      <c r="E378" s="31"/>
      <c r="F378" s="31"/>
      <c r="G378" s="31"/>
      <c r="H378" s="32"/>
      <c r="J378" s="33"/>
      <c r="K378" s="33"/>
      <c r="L378" s="33"/>
      <c r="X378" s="23"/>
      <c r="Y378" s="23"/>
      <c r="Z378" s="23"/>
      <c r="AA378" s="23"/>
      <c r="AF378" s="23"/>
      <c r="AG378" s="23"/>
      <c r="AH378" s="23"/>
      <c r="AI378" s="23"/>
      <c r="AN378" s="23"/>
      <c r="AO378" s="23"/>
      <c r="AP378" s="23"/>
      <c r="AQ378" s="23"/>
      <c r="AR378" s="35"/>
      <c r="AS378" s="35"/>
      <c r="AT378" s="35"/>
      <c r="AU378" s="31"/>
      <c r="AV378" s="36"/>
    </row>
    <row r="379" spans="1:48">
      <c r="A379" s="39"/>
      <c r="D379" s="31"/>
      <c r="E379" s="31"/>
      <c r="F379" s="31"/>
      <c r="G379" s="31"/>
      <c r="H379" s="32"/>
      <c r="J379" s="33"/>
      <c r="K379" s="33"/>
      <c r="L379" s="33"/>
      <c r="X379" s="23"/>
      <c r="Y379" s="23"/>
      <c r="Z379" s="23"/>
      <c r="AA379" s="23"/>
      <c r="AF379" s="23"/>
      <c r="AG379" s="23"/>
      <c r="AH379" s="23"/>
      <c r="AI379" s="23"/>
      <c r="AN379" s="23"/>
      <c r="AO379" s="23"/>
      <c r="AP379" s="23"/>
      <c r="AQ379" s="23"/>
      <c r="AR379" s="35"/>
      <c r="AS379" s="35"/>
      <c r="AT379" s="35"/>
      <c r="AU379" s="31"/>
      <c r="AV379" s="36"/>
    </row>
    <row r="380" spans="1:48">
      <c r="A380" s="39"/>
      <c r="D380" s="31"/>
      <c r="E380" s="31"/>
      <c r="F380" s="31"/>
      <c r="G380" s="31"/>
      <c r="H380" s="32"/>
      <c r="J380" s="33"/>
      <c r="K380" s="33"/>
      <c r="L380" s="33"/>
      <c r="X380" s="23"/>
      <c r="Y380" s="23"/>
      <c r="Z380" s="23"/>
      <c r="AA380" s="23"/>
      <c r="AF380" s="23"/>
      <c r="AG380" s="23"/>
      <c r="AH380" s="23"/>
      <c r="AI380" s="23"/>
      <c r="AN380" s="23"/>
      <c r="AO380" s="23"/>
      <c r="AP380" s="23"/>
      <c r="AQ380" s="23"/>
      <c r="AR380" s="35"/>
      <c r="AS380" s="35"/>
      <c r="AT380" s="35"/>
      <c r="AU380" s="31"/>
      <c r="AV380" s="36"/>
    </row>
    <row r="381" spans="1:48">
      <c r="A381" s="39"/>
      <c r="D381" s="31"/>
      <c r="E381" s="31"/>
      <c r="F381" s="31"/>
      <c r="G381" s="31"/>
      <c r="H381" s="32"/>
      <c r="J381" s="33"/>
      <c r="K381" s="33"/>
      <c r="L381" s="33"/>
      <c r="X381" s="23"/>
      <c r="Y381" s="23"/>
      <c r="Z381" s="23"/>
      <c r="AA381" s="23"/>
      <c r="AF381" s="23"/>
      <c r="AG381" s="23"/>
      <c r="AH381" s="23"/>
      <c r="AI381" s="23"/>
      <c r="AN381" s="23"/>
      <c r="AO381" s="23"/>
      <c r="AP381" s="23"/>
      <c r="AQ381" s="23"/>
      <c r="AR381" s="35"/>
      <c r="AS381" s="35"/>
      <c r="AT381" s="35"/>
      <c r="AU381" s="31"/>
      <c r="AV381" s="36"/>
    </row>
    <row r="382" spans="1:48">
      <c r="A382" s="39"/>
      <c r="D382" s="31"/>
      <c r="E382" s="31"/>
      <c r="F382" s="31"/>
      <c r="G382" s="31"/>
      <c r="H382" s="32"/>
      <c r="J382" s="33"/>
      <c r="K382" s="33"/>
      <c r="L382" s="33"/>
      <c r="X382" s="23"/>
      <c r="Y382" s="23"/>
      <c r="Z382" s="23"/>
      <c r="AA382" s="23"/>
      <c r="AF382" s="23"/>
      <c r="AG382" s="23"/>
      <c r="AH382" s="23"/>
      <c r="AI382" s="23"/>
      <c r="AN382" s="23"/>
      <c r="AO382" s="23"/>
      <c r="AP382" s="23"/>
      <c r="AQ382" s="23"/>
      <c r="AR382" s="35"/>
      <c r="AS382" s="35"/>
      <c r="AT382" s="35"/>
      <c r="AU382" s="31"/>
      <c r="AV382" s="36"/>
    </row>
    <row r="383" spans="1:48">
      <c r="A383" s="39"/>
      <c r="D383" s="31"/>
      <c r="E383" s="31"/>
      <c r="F383" s="31"/>
      <c r="G383" s="31"/>
      <c r="H383" s="32"/>
      <c r="J383" s="33"/>
      <c r="K383" s="33"/>
      <c r="L383" s="33"/>
      <c r="X383" s="23"/>
      <c r="Y383" s="23"/>
      <c r="Z383" s="23"/>
      <c r="AA383" s="23"/>
      <c r="AF383" s="23"/>
      <c r="AG383" s="23"/>
      <c r="AH383" s="23"/>
      <c r="AI383" s="23"/>
      <c r="AN383" s="23"/>
      <c r="AO383" s="23"/>
      <c r="AP383" s="23"/>
      <c r="AQ383" s="23"/>
      <c r="AR383" s="35"/>
      <c r="AS383" s="35"/>
      <c r="AT383" s="35"/>
      <c r="AU383" s="31"/>
      <c r="AV383" s="36"/>
    </row>
    <row r="384" spans="1:48">
      <c r="A384" s="39"/>
      <c r="D384" s="31"/>
      <c r="E384" s="31"/>
      <c r="F384" s="31"/>
      <c r="G384" s="31"/>
      <c r="H384" s="32"/>
      <c r="J384" s="33"/>
      <c r="K384" s="33"/>
      <c r="L384" s="33"/>
      <c r="X384" s="23"/>
      <c r="Y384" s="23"/>
      <c r="Z384" s="23"/>
      <c r="AA384" s="23"/>
      <c r="AF384" s="23"/>
      <c r="AG384" s="23"/>
      <c r="AH384" s="23"/>
      <c r="AI384" s="23"/>
      <c r="AN384" s="23"/>
      <c r="AO384" s="23"/>
      <c r="AP384" s="23"/>
      <c r="AQ384" s="23"/>
      <c r="AR384" s="35"/>
      <c r="AS384" s="35"/>
      <c r="AT384" s="35"/>
      <c r="AU384" s="31"/>
      <c r="AV384" s="36"/>
    </row>
    <row r="385" spans="1:48">
      <c r="A385" s="39"/>
      <c r="D385" s="31"/>
      <c r="E385" s="31"/>
      <c r="F385" s="31"/>
      <c r="G385" s="31"/>
      <c r="H385" s="32"/>
      <c r="J385" s="33"/>
      <c r="K385" s="33"/>
      <c r="L385" s="33"/>
      <c r="X385" s="23"/>
      <c r="Y385" s="23"/>
      <c r="Z385" s="23"/>
      <c r="AA385" s="23"/>
      <c r="AF385" s="23"/>
      <c r="AG385" s="23"/>
      <c r="AH385" s="23"/>
      <c r="AI385" s="23"/>
      <c r="AN385" s="23"/>
      <c r="AO385" s="23"/>
      <c r="AP385" s="23"/>
      <c r="AQ385" s="23"/>
      <c r="AR385" s="35"/>
      <c r="AS385" s="35"/>
      <c r="AT385" s="35"/>
      <c r="AU385" s="31"/>
      <c r="AV385" s="36"/>
    </row>
    <row r="386" spans="1:48">
      <c r="A386" s="39"/>
      <c r="D386" s="31"/>
      <c r="E386" s="31"/>
      <c r="F386" s="31"/>
      <c r="G386" s="31"/>
      <c r="H386" s="32"/>
      <c r="J386" s="33"/>
      <c r="K386" s="33"/>
      <c r="L386" s="33"/>
      <c r="X386" s="23"/>
      <c r="Y386" s="23"/>
      <c r="Z386" s="23"/>
      <c r="AA386" s="23"/>
      <c r="AF386" s="23"/>
      <c r="AG386" s="23"/>
      <c r="AH386" s="23"/>
      <c r="AI386" s="23"/>
      <c r="AN386" s="23"/>
      <c r="AO386" s="23"/>
      <c r="AP386" s="23"/>
      <c r="AQ386" s="23"/>
      <c r="AR386" s="35"/>
      <c r="AS386" s="35"/>
      <c r="AT386" s="35"/>
      <c r="AU386" s="31"/>
      <c r="AV386" s="36"/>
    </row>
    <row r="387" spans="1:48">
      <c r="A387" s="39"/>
      <c r="D387" s="31"/>
      <c r="E387" s="31"/>
      <c r="F387" s="31"/>
      <c r="G387" s="31"/>
      <c r="H387" s="32"/>
      <c r="J387" s="33"/>
      <c r="K387" s="33"/>
      <c r="L387" s="33"/>
      <c r="X387" s="23"/>
      <c r="Y387" s="23"/>
      <c r="Z387" s="23"/>
      <c r="AA387" s="23"/>
      <c r="AF387" s="23"/>
      <c r="AG387" s="23"/>
      <c r="AH387" s="23"/>
      <c r="AI387" s="23"/>
      <c r="AN387" s="23"/>
      <c r="AO387" s="23"/>
      <c r="AP387" s="23"/>
      <c r="AQ387" s="23"/>
      <c r="AR387" s="35"/>
      <c r="AS387" s="35"/>
      <c r="AT387" s="35"/>
      <c r="AU387" s="31"/>
      <c r="AV387" s="36"/>
    </row>
    <row r="388" spans="1:48">
      <c r="A388" s="39"/>
      <c r="D388" s="31"/>
      <c r="E388" s="31"/>
      <c r="F388" s="31"/>
      <c r="G388" s="31"/>
      <c r="H388" s="32"/>
      <c r="J388" s="33"/>
      <c r="K388" s="33"/>
      <c r="L388" s="33"/>
      <c r="X388" s="23"/>
      <c r="Y388" s="23"/>
      <c r="Z388" s="23"/>
      <c r="AA388" s="23"/>
      <c r="AF388" s="23"/>
      <c r="AG388" s="23"/>
      <c r="AH388" s="23"/>
      <c r="AI388" s="23"/>
      <c r="AN388" s="23"/>
      <c r="AO388" s="23"/>
      <c r="AP388" s="23"/>
      <c r="AQ388" s="23"/>
      <c r="AR388" s="35"/>
      <c r="AS388" s="35"/>
      <c r="AT388" s="35"/>
      <c r="AU388" s="31"/>
      <c r="AV388" s="36"/>
    </row>
    <row r="389" spans="1:48">
      <c r="A389" s="39"/>
      <c r="D389" s="31"/>
      <c r="E389" s="31"/>
      <c r="F389" s="31"/>
      <c r="G389" s="31"/>
      <c r="H389" s="32"/>
      <c r="J389" s="33"/>
      <c r="K389" s="33"/>
      <c r="L389" s="33"/>
      <c r="X389" s="23"/>
      <c r="Y389" s="23"/>
      <c r="Z389" s="23"/>
      <c r="AA389" s="23"/>
      <c r="AF389" s="23"/>
      <c r="AG389" s="23"/>
      <c r="AH389" s="23"/>
      <c r="AI389" s="23"/>
      <c r="AN389" s="23"/>
      <c r="AO389" s="23"/>
      <c r="AP389" s="23"/>
      <c r="AQ389" s="23"/>
      <c r="AR389" s="35"/>
      <c r="AS389" s="35"/>
      <c r="AT389" s="35"/>
      <c r="AU389" s="31"/>
      <c r="AV389" s="36"/>
    </row>
    <row r="390" spans="1:48">
      <c r="A390" s="39"/>
      <c r="D390" s="31"/>
      <c r="E390" s="31"/>
      <c r="F390" s="31"/>
      <c r="G390" s="31"/>
      <c r="H390" s="32"/>
      <c r="J390" s="33"/>
      <c r="K390" s="33"/>
      <c r="L390" s="33"/>
      <c r="X390" s="23"/>
      <c r="Y390" s="23"/>
      <c r="Z390" s="23"/>
      <c r="AA390" s="23"/>
      <c r="AF390" s="23"/>
      <c r="AG390" s="23"/>
      <c r="AH390" s="23"/>
      <c r="AI390" s="23"/>
      <c r="AN390" s="23"/>
      <c r="AO390" s="23"/>
      <c r="AP390" s="23"/>
      <c r="AQ390" s="23"/>
      <c r="AR390" s="35"/>
      <c r="AS390" s="35"/>
      <c r="AT390" s="35"/>
      <c r="AU390" s="31"/>
      <c r="AV390" s="36"/>
    </row>
    <row r="391" spans="1:48">
      <c r="A391" s="39"/>
      <c r="D391" s="31"/>
      <c r="E391" s="31"/>
      <c r="F391" s="31"/>
      <c r="G391" s="31"/>
      <c r="H391" s="32"/>
      <c r="J391" s="33"/>
      <c r="K391" s="33"/>
      <c r="L391" s="33"/>
      <c r="X391" s="23"/>
      <c r="Y391" s="23"/>
      <c r="Z391" s="23"/>
      <c r="AA391" s="23"/>
      <c r="AF391" s="23"/>
      <c r="AG391" s="23"/>
      <c r="AH391" s="23"/>
      <c r="AI391" s="23"/>
      <c r="AN391" s="23"/>
      <c r="AO391" s="23"/>
      <c r="AP391" s="23"/>
      <c r="AQ391" s="23"/>
      <c r="AR391" s="35"/>
      <c r="AS391" s="35"/>
      <c r="AT391" s="35"/>
      <c r="AU391" s="31"/>
      <c r="AV391" s="36"/>
    </row>
    <row r="392" spans="1:48">
      <c r="A392" s="39"/>
      <c r="D392" s="31"/>
      <c r="E392" s="31"/>
      <c r="F392" s="31"/>
      <c r="G392" s="31"/>
      <c r="H392" s="32"/>
      <c r="J392" s="33"/>
      <c r="K392" s="33"/>
      <c r="L392" s="33"/>
      <c r="X392" s="23"/>
      <c r="Y392" s="23"/>
      <c r="Z392" s="23"/>
      <c r="AA392" s="23"/>
      <c r="AF392" s="23"/>
      <c r="AG392" s="23"/>
      <c r="AH392" s="23"/>
      <c r="AI392" s="23"/>
      <c r="AN392" s="23"/>
      <c r="AO392" s="23"/>
      <c r="AP392" s="23"/>
      <c r="AQ392" s="23"/>
      <c r="AR392" s="35"/>
      <c r="AS392" s="35"/>
      <c r="AT392" s="35"/>
      <c r="AU392" s="31"/>
      <c r="AV392" s="36"/>
    </row>
    <row r="393" spans="1:48">
      <c r="A393" s="39"/>
      <c r="D393" s="31"/>
      <c r="E393" s="31"/>
      <c r="F393" s="31"/>
      <c r="G393" s="31"/>
      <c r="H393" s="32"/>
      <c r="J393" s="33"/>
      <c r="K393" s="33"/>
      <c r="L393" s="33"/>
      <c r="X393" s="23"/>
      <c r="Y393" s="23"/>
      <c r="Z393" s="23"/>
      <c r="AA393" s="23"/>
      <c r="AF393" s="23"/>
      <c r="AG393" s="23"/>
      <c r="AH393" s="23"/>
      <c r="AI393" s="23"/>
      <c r="AN393" s="23"/>
      <c r="AO393" s="23"/>
      <c r="AP393" s="23"/>
      <c r="AQ393" s="23"/>
      <c r="AR393" s="35"/>
      <c r="AS393" s="35"/>
      <c r="AT393" s="35"/>
      <c r="AU393" s="31"/>
      <c r="AV393" s="36"/>
    </row>
    <row r="394" spans="1:48">
      <c r="A394" s="39"/>
      <c r="D394" s="31"/>
      <c r="E394" s="31"/>
      <c r="F394" s="31"/>
      <c r="G394" s="31"/>
      <c r="H394" s="32"/>
      <c r="J394" s="33"/>
      <c r="K394" s="33"/>
      <c r="L394" s="33"/>
      <c r="X394" s="23"/>
      <c r="Y394" s="23"/>
      <c r="Z394" s="23"/>
      <c r="AA394" s="23"/>
      <c r="AF394" s="23"/>
      <c r="AG394" s="23"/>
      <c r="AH394" s="23"/>
      <c r="AI394" s="23"/>
      <c r="AN394" s="23"/>
      <c r="AO394" s="23"/>
      <c r="AP394" s="23"/>
      <c r="AQ394" s="23"/>
      <c r="AR394" s="35"/>
      <c r="AS394" s="35"/>
      <c r="AT394" s="35"/>
      <c r="AU394" s="31"/>
      <c r="AV394" s="36"/>
    </row>
    <row r="395" spans="1:48">
      <c r="A395" s="39"/>
      <c r="D395" s="31"/>
      <c r="E395" s="31"/>
      <c r="F395" s="31"/>
      <c r="G395" s="31"/>
      <c r="H395" s="32"/>
      <c r="J395" s="33"/>
      <c r="K395" s="33"/>
      <c r="L395" s="33"/>
      <c r="X395" s="23"/>
      <c r="Y395" s="23"/>
      <c r="Z395" s="23"/>
      <c r="AA395" s="23"/>
      <c r="AF395" s="23"/>
      <c r="AG395" s="23"/>
      <c r="AH395" s="23"/>
      <c r="AI395" s="23"/>
      <c r="AN395" s="23"/>
      <c r="AO395" s="23"/>
      <c r="AP395" s="23"/>
      <c r="AQ395" s="23"/>
      <c r="AR395" s="35"/>
      <c r="AS395" s="35"/>
      <c r="AT395" s="35"/>
      <c r="AU395" s="31"/>
      <c r="AV395" s="36"/>
    </row>
    <row r="396" spans="1:48">
      <c r="A396" s="39"/>
      <c r="D396" s="31"/>
      <c r="E396" s="31"/>
      <c r="F396" s="31"/>
      <c r="G396" s="31"/>
      <c r="H396" s="32"/>
      <c r="J396" s="33"/>
      <c r="K396" s="33"/>
      <c r="L396" s="33"/>
      <c r="X396" s="23"/>
      <c r="Y396" s="23"/>
      <c r="Z396" s="23"/>
      <c r="AA396" s="23"/>
      <c r="AF396" s="23"/>
      <c r="AG396" s="23"/>
      <c r="AH396" s="23"/>
      <c r="AI396" s="23"/>
      <c r="AN396" s="23"/>
      <c r="AO396" s="23"/>
      <c r="AP396" s="23"/>
      <c r="AQ396" s="23"/>
      <c r="AR396" s="35"/>
      <c r="AS396" s="35"/>
      <c r="AT396" s="35"/>
      <c r="AU396" s="31"/>
      <c r="AV396" s="36"/>
    </row>
    <row r="397" spans="1:48">
      <c r="A397" s="39"/>
      <c r="D397" s="31"/>
      <c r="E397" s="31"/>
      <c r="F397" s="31"/>
      <c r="G397" s="31"/>
      <c r="H397" s="32"/>
      <c r="J397" s="33"/>
      <c r="K397" s="33"/>
      <c r="L397" s="33"/>
      <c r="X397" s="23"/>
      <c r="Y397" s="23"/>
      <c r="Z397" s="23"/>
      <c r="AA397" s="23"/>
      <c r="AF397" s="23"/>
      <c r="AG397" s="23"/>
      <c r="AH397" s="23"/>
      <c r="AI397" s="23"/>
      <c r="AN397" s="23"/>
      <c r="AO397" s="23"/>
      <c r="AP397" s="23"/>
      <c r="AQ397" s="23"/>
      <c r="AR397" s="35"/>
      <c r="AS397" s="35"/>
      <c r="AT397" s="35"/>
      <c r="AU397" s="31"/>
      <c r="AV397" s="36"/>
    </row>
    <row r="398" spans="1:48">
      <c r="A398" s="39"/>
      <c r="D398" s="31"/>
      <c r="E398" s="31"/>
      <c r="F398" s="31"/>
      <c r="G398" s="31"/>
      <c r="H398" s="32"/>
      <c r="J398" s="33"/>
      <c r="K398" s="33"/>
      <c r="L398" s="33"/>
      <c r="X398" s="23"/>
      <c r="Y398" s="23"/>
      <c r="Z398" s="23"/>
      <c r="AA398" s="23"/>
      <c r="AF398" s="23"/>
      <c r="AG398" s="23"/>
      <c r="AH398" s="23"/>
      <c r="AI398" s="23"/>
      <c r="AN398" s="23"/>
      <c r="AO398" s="23"/>
      <c r="AP398" s="23"/>
      <c r="AQ398" s="23"/>
      <c r="AR398" s="35"/>
      <c r="AS398" s="35"/>
      <c r="AT398" s="35"/>
      <c r="AU398" s="31"/>
      <c r="AV398" s="36"/>
    </row>
    <row r="399" spans="1:48">
      <c r="A399" s="39"/>
      <c r="D399" s="31"/>
      <c r="E399" s="31"/>
      <c r="F399" s="31"/>
      <c r="G399" s="31"/>
      <c r="H399" s="32"/>
      <c r="J399" s="33"/>
      <c r="K399" s="33"/>
      <c r="L399" s="33"/>
      <c r="X399" s="23"/>
      <c r="Y399" s="23"/>
      <c r="Z399" s="23"/>
      <c r="AA399" s="23"/>
      <c r="AF399" s="23"/>
      <c r="AG399" s="23"/>
      <c r="AH399" s="23"/>
      <c r="AI399" s="23"/>
      <c r="AN399" s="23"/>
      <c r="AO399" s="23"/>
      <c r="AP399" s="23"/>
      <c r="AQ399" s="23"/>
      <c r="AR399" s="35"/>
      <c r="AS399" s="35"/>
      <c r="AT399" s="35"/>
      <c r="AU399" s="31"/>
      <c r="AV399" s="36"/>
    </row>
    <row r="400" spans="1:48">
      <c r="A400" s="39"/>
      <c r="D400" s="31"/>
      <c r="E400" s="31"/>
      <c r="F400" s="31"/>
      <c r="G400" s="31"/>
      <c r="H400" s="32"/>
      <c r="J400" s="33"/>
      <c r="K400" s="33"/>
      <c r="L400" s="33"/>
      <c r="X400" s="23"/>
      <c r="Y400" s="23"/>
      <c r="Z400" s="23"/>
      <c r="AA400" s="23"/>
      <c r="AF400" s="23"/>
      <c r="AG400" s="23"/>
      <c r="AH400" s="23"/>
      <c r="AI400" s="23"/>
      <c r="AN400" s="23"/>
      <c r="AO400" s="23"/>
      <c r="AP400" s="23"/>
      <c r="AQ400" s="23"/>
      <c r="AR400" s="35"/>
      <c r="AS400" s="35"/>
      <c r="AT400" s="35"/>
      <c r="AU400" s="31"/>
      <c r="AV400" s="36"/>
    </row>
    <row r="401" spans="1:48">
      <c r="A401" s="39"/>
      <c r="D401" s="31"/>
      <c r="E401" s="31"/>
      <c r="F401" s="31"/>
      <c r="G401" s="31"/>
      <c r="H401" s="32"/>
      <c r="J401" s="33"/>
      <c r="K401" s="33"/>
      <c r="L401" s="33"/>
      <c r="X401" s="23"/>
      <c r="Y401" s="23"/>
      <c r="Z401" s="23"/>
      <c r="AA401" s="23"/>
      <c r="AF401" s="23"/>
      <c r="AG401" s="23"/>
      <c r="AH401" s="23"/>
      <c r="AI401" s="23"/>
      <c r="AN401" s="23"/>
      <c r="AO401" s="23"/>
      <c r="AP401" s="23"/>
      <c r="AQ401" s="23"/>
      <c r="AR401" s="35"/>
      <c r="AS401" s="35"/>
      <c r="AT401" s="35"/>
      <c r="AU401" s="31"/>
      <c r="AV401" s="36"/>
    </row>
    <row r="402" spans="1:48">
      <c r="A402" s="39"/>
      <c r="D402" s="31"/>
      <c r="E402" s="31"/>
      <c r="F402" s="31"/>
      <c r="G402" s="31"/>
      <c r="H402" s="32"/>
      <c r="J402" s="33"/>
      <c r="K402" s="33"/>
      <c r="L402" s="33"/>
      <c r="X402" s="23"/>
      <c r="Y402" s="23"/>
      <c r="Z402" s="23"/>
      <c r="AA402" s="23"/>
      <c r="AF402" s="23"/>
      <c r="AG402" s="23"/>
      <c r="AH402" s="23"/>
      <c r="AI402" s="23"/>
      <c r="AN402" s="23"/>
      <c r="AO402" s="23"/>
      <c r="AP402" s="23"/>
      <c r="AQ402" s="23"/>
      <c r="AR402" s="35"/>
      <c r="AS402" s="35"/>
      <c r="AT402" s="35"/>
      <c r="AU402" s="31"/>
      <c r="AV402" s="36"/>
    </row>
    <row r="403" spans="1:48">
      <c r="A403" s="39"/>
      <c r="D403" s="31"/>
      <c r="E403" s="31"/>
      <c r="F403" s="31"/>
      <c r="G403" s="31"/>
      <c r="H403" s="32"/>
      <c r="J403" s="33"/>
      <c r="K403" s="33"/>
      <c r="L403" s="33"/>
      <c r="X403" s="23"/>
      <c r="Y403" s="23"/>
      <c r="Z403" s="23"/>
      <c r="AA403" s="23"/>
      <c r="AF403" s="23"/>
      <c r="AG403" s="23"/>
      <c r="AH403" s="23"/>
      <c r="AI403" s="23"/>
      <c r="AN403" s="23"/>
      <c r="AO403" s="23"/>
      <c r="AP403" s="23"/>
      <c r="AQ403" s="23"/>
      <c r="AR403" s="35"/>
      <c r="AS403" s="35"/>
      <c r="AT403" s="35"/>
      <c r="AU403" s="31"/>
      <c r="AV403" s="36"/>
    </row>
    <row r="404" spans="1:48">
      <c r="A404" s="39"/>
      <c r="D404" s="31"/>
      <c r="E404" s="31"/>
      <c r="F404" s="31"/>
      <c r="G404" s="31"/>
      <c r="H404" s="32"/>
      <c r="J404" s="33"/>
      <c r="K404" s="33"/>
      <c r="L404" s="33"/>
      <c r="X404" s="23"/>
      <c r="Y404" s="23"/>
      <c r="Z404" s="23"/>
      <c r="AA404" s="23"/>
      <c r="AF404" s="23"/>
      <c r="AG404" s="23"/>
      <c r="AH404" s="23"/>
      <c r="AI404" s="23"/>
      <c r="AN404" s="23"/>
      <c r="AO404" s="23"/>
      <c r="AP404" s="23"/>
      <c r="AQ404" s="23"/>
      <c r="AR404" s="35"/>
      <c r="AS404" s="35"/>
      <c r="AT404" s="35"/>
      <c r="AU404" s="31"/>
      <c r="AV404" s="36"/>
    </row>
    <row r="405" spans="1:48">
      <c r="A405" s="39"/>
      <c r="D405" s="31"/>
      <c r="E405" s="31"/>
      <c r="F405" s="31"/>
      <c r="G405" s="31"/>
      <c r="H405" s="32"/>
      <c r="J405" s="33"/>
      <c r="K405" s="33"/>
      <c r="L405" s="33"/>
      <c r="X405" s="23"/>
      <c r="Y405" s="23"/>
      <c r="Z405" s="23"/>
      <c r="AA405" s="23"/>
      <c r="AF405" s="23"/>
      <c r="AG405" s="23"/>
      <c r="AH405" s="23"/>
      <c r="AI405" s="23"/>
      <c r="AN405" s="23"/>
      <c r="AO405" s="23"/>
      <c r="AP405" s="23"/>
      <c r="AQ405" s="23"/>
      <c r="AR405" s="35"/>
      <c r="AS405" s="35"/>
      <c r="AT405" s="35"/>
      <c r="AU405" s="31"/>
      <c r="AV405" s="36"/>
    </row>
    <row r="406" spans="1:48">
      <c r="A406" s="39"/>
      <c r="D406" s="31"/>
      <c r="E406" s="31"/>
      <c r="F406" s="31"/>
      <c r="G406" s="31"/>
      <c r="H406" s="32"/>
      <c r="J406" s="33"/>
      <c r="K406" s="33"/>
      <c r="L406" s="33"/>
      <c r="X406" s="23"/>
      <c r="Y406" s="23"/>
      <c r="Z406" s="23"/>
      <c r="AA406" s="23"/>
      <c r="AF406" s="23"/>
      <c r="AG406" s="23"/>
      <c r="AH406" s="23"/>
      <c r="AI406" s="23"/>
      <c r="AN406" s="23"/>
      <c r="AO406" s="23"/>
      <c r="AP406" s="23"/>
      <c r="AQ406" s="23"/>
      <c r="AR406" s="35"/>
      <c r="AS406" s="35"/>
      <c r="AT406" s="35"/>
      <c r="AU406" s="31"/>
      <c r="AV406" s="36"/>
    </row>
    <row r="407" spans="1:48">
      <c r="A407" s="39"/>
      <c r="D407" s="31"/>
      <c r="E407" s="31"/>
      <c r="F407" s="31"/>
      <c r="G407" s="31"/>
      <c r="H407" s="32"/>
      <c r="J407" s="33"/>
      <c r="K407" s="33"/>
      <c r="L407" s="33"/>
      <c r="X407" s="23"/>
      <c r="Y407" s="23"/>
      <c r="Z407" s="23"/>
      <c r="AA407" s="23"/>
      <c r="AF407" s="23"/>
      <c r="AG407" s="23"/>
      <c r="AH407" s="23"/>
      <c r="AI407" s="23"/>
      <c r="AN407" s="23"/>
      <c r="AO407" s="23"/>
      <c r="AP407" s="23"/>
      <c r="AQ407" s="23"/>
      <c r="AR407" s="35"/>
      <c r="AS407" s="35"/>
      <c r="AT407" s="35"/>
      <c r="AU407" s="31"/>
      <c r="AV407" s="36"/>
    </row>
    <row r="408" spans="1:48">
      <c r="A408" s="39"/>
      <c r="D408" s="31"/>
      <c r="E408" s="31"/>
      <c r="F408" s="31"/>
      <c r="G408" s="31"/>
      <c r="H408" s="32"/>
      <c r="J408" s="33"/>
      <c r="K408" s="33"/>
      <c r="L408" s="33"/>
      <c r="X408" s="23"/>
      <c r="Y408" s="23"/>
      <c r="Z408" s="23"/>
      <c r="AA408" s="23"/>
      <c r="AF408" s="23"/>
      <c r="AG408" s="23"/>
      <c r="AH408" s="23"/>
      <c r="AI408" s="23"/>
      <c r="AN408" s="23"/>
      <c r="AO408" s="23"/>
      <c r="AP408" s="23"/>
      <c r="AQ408" s="23"/>
      <c r="AR408" s="35"/>
      <c r="AS408" s="35"/>
      <c r="AT408" s="35"/>
      <c r="AU408" s="31"/>
      <c r="AV408" s="36"/>
    </row>
    <row r="409" spans="1:48">
      <c r="A409" s="39"/>
      <c r="D409" s="31"/>
      <c r="E409" s="31"/>
      <c r="F409" s="31"/>
      <c r="G409" s="31"/>
      <c r="H409" s="32"/>
      <c r="J409" s="33"/>
      <c r="K409" s="33"/>
      <c r="L409" s="33"/>
      <c r="X409" s="23"/>
      <c r="Y409" s="23"/>
      <c r="Z409" s="23"/>
      <c r="AA409" s="23"/>
      <c r="AF409" s="23"/>
      <c r="AG409" s="23"/>
      <c r="AH409" s="23"/>
      <c r="AI409" s="23"/>
      <c r="AN409" s="23"/>
      <c r="AO409" s="23"/>
      <c r="AP409" s="23"/>
      <c r="AQ409" s="23"/>
      <c r="AR409" s="35"/>
      <c r="AS409" s="35"/>
      <c r="AT409" s="35"/>
      <c r="AU409" s="31"/>
      <c r="AV409" s="36"/>
    </row>
    <row r="410" spans="1:48">
      <c r="A410" s="39"/>
      <c r="D410" s="31"/>
      <c r="E410" s="31"/>
      <c r="F410" s="31"/>
      <c r="G410" s="31"/>
      <c r="H410" s="32"/>
      <c r="J410" s="33"/>
      <c r="K410" s="33"/>
      <c r="L410" s="33"/>
      <c r="X410" s="23"/>
      <c r="Y410" s="23"/>
      <c r="Z410" s="23"/>
      <c r="AA410" s="23"/>
      <c r="AF410" s="23"/>
      <c r="AG410" s="23"/>
      <c r="AH410" s="23"/>
      <c r="AI410" s="23"/>
      <c r="AN410" s="23"/>
      <c r="AO410" s="23"/>
      <c r="AP410" s="23"/>
      <c r="AQ410" s="23"/>
      <c r="AR410" s="35"/>
      <c r="AS410" s="35"/>
      <c r="AT410" s="35"/>
      <c r="AU410" s="31"/>
      <c r="AV410" s="36"/>
    </row>
    <row r="411" spans="1:48">
      <c r="A411" s="39"/>
      <c r="D411" s="31"/>
      <c r="E411" s="31"/>
      <c r="F411" s="31"/>
      <c r="G411" s="31"/>
      <c r="H411" s="32"/>
      <c r="J411" s="33"/>
      <c r="K411" s="33"/>
      <c r="L411" s="33"/>
      <c r="X411" s="23"/>
      <c r="Y411" s="23"/>
      <c r="Z411" s="23"/>
      <c r="AA411" s="23"/>
      <c r="AF411" s="23"/>
      <c r="AG411" s="23"/>
      <c r="AH411" s="23"/>
      <c r="AI411" s="23"/>
      <c r="AN411" s="23"/>
      <c r="AO411" s="23"/>
      <c r="AP411" s="23"/>
      <c r="AQ411" s="23"/>
      <c r="AR411" s="35"/>
      <c r="AS411" s="35"/>
      <c r="AT411" s="35"/>
      <c r="AU411" s="31"/>
      <c r="AV411" s="36"/>
    </row>
    <row r="412" spans="1:48">
      <c r="A412" s="39"/>
      <c r="D412" s="31"/>
      <c r="E412" s="31"/>
      <c r="F412" s="31"/>
      <c r="G412" s="31"/>
      <c r="H412" s="32"/>
      <c r="J412" s="33"/>
      <c r="K412" s="33"/>
      <c r="L412" s="33"/>
      <c r="X412" s="23"/>
      <c r="Y412" s="23"/>
      <c r="Z412" s="23"/>
      <c r="AA412" s="23"/>
      <c r="AF412" s="23"/>
      <c r="AG412" s="23"/>
      <c r="AH412" s="23"/>
      <c r="AI412" s="23"/>
      <c r="AN412" s="23"/>
      <c r="AO412" s="23"/>
      <c r="AP412" s="23"/>
      <c r="AQ412" s="23"/>
      <c r="AR412" s="35"/>
      <c r="AS412" s="35"/>
      <c r="AT412" s="35"/>
      <c r="AU412" s="31"/>
      <c r="AV412" s="36"/>
    </row>
    <row r="413" spans="1:48">
      <c r="A413" s="39"/>
      <c r="D413" s="31"/>
      <c r="E413" s="31"/>
      <c r="F413" s="31"/>
      <c r="G413" s="31"/>
      <c r="H413" s="32"/>
      <c r="J413" s="33"/>
      <c r="K413" s="33"/>
      <c r="L413" s="33"/>
      <c r="X413" s="23"/>
      <c r="Y413" s="23"/>
      <c r="Z413" s="23"/>
      <c r="AA413" s="23"/>
      <c r="AF413" s="23"/>
      <c r="AG413" s="23"/>
      <c r="AH413" s="23"/>
      <c r="AI413" s="23"/>
      <c r="AN413" s="23"/>
      <c r="AO413" s="23"/>
      <c r="AP413" s="23"/>
      <c r="AQ413" s="23"/>
      <c r="AR413" s="35"/>
      <c r="AS413" s="35"/>
      <c r="AT413" s="35"/>
      <c r="AU413" s="31"/>
      <c r="AV413" s="36"/>
    </row>
    <row r="414" spans="1:48">
      <c r="A414" s="39"/>
      <c r="D414" s="31"/>
      <c r="E414" s="31"/>
      <c r="F414" s="31"/>
      <c r="G414" s="31"/>
      <c r="H414" s="32"/>
      <c r="J414" s="33"/>
      <c r="K414" s="33"/>
      <c r="L414" s="33"/>
      <c r="X414" s="23"/>
      <c r="Y414" s="23"/>
      <c r="Z414" s="23"/>
      <c r="AA414" s="23"/>
      <c r="AF414" s="23"/>
      <c r="AG414" s="23"/>
      <c r="AH414" s="23"/>
      <c r="AI414" s="23"/>
      <c r="AN414" s="23"/>
      <c r="AO414" s="23"/>
      <c r="AP414" s="23"/>
      <c r="AQ414" s="23"/>
      <c r="AR414" s="35"/>
      <c r="AS414" s="35"/>
      <c r="AT414" s="35"/>
      <c r="AU414" s="31"/>
      <c r="AV414" s="36"/>
    </row>
    <row r="415" spans="1:48">
      <c r="A415" s="39"/>
      <c r="D415" s="31"/>
      <c r="E415" s="31"/>
      <c r="F415" s="31"/>
      <c r="G415" s="31"/>
      <c r="H415" s="32"/>
      <c r="J415" s="33"/>
      <c r="K415" s="33"/>
      <c r="L415" s="33"/>
      <c r="X415" s="23"/>
      <c r="Y415" s="23"/>
      <c r="Z415" s="23"/>
      <c r="AA415" s="23"/>
      <c r="AF415" s="23"/>
      <c r="AG415" s="23"/>
      <c r="AH415" s="23"/>
      <c r="AI415" s="23"/>
      <c r="AN415" s="23"/>
      <c r="AO415" s="23"/>
      <c r="AP415" s="23"/>
      <c r="AQ415" s="23"/>
      <c r="AR415" s="35"/>
      <c r="AS415" s="35"/>
      <c r="AT415" s="35"/>
      <c r="AU415" s="31"/>
      <c r="AV415" s="36"/>
    </row>
    <row r="416" spans="1:48">
      <c r="A416" s="39"/>
      <c r="D416" s="31"/>
      <c r="E416" s="31"/>
      <c r="F416" s="31"/>
      <c r="G416" s="31"/>
      <c r="H416" s="32"/>
      <c r="J416" s="33"/>
      <c r="K416" s="33"/>
      <c r="L416" s="33"/>
      <c r="X416" s="23"/>
      <c r="Y416" s="23"/>
      <c r="Z416" s="23"/>
      <c r="AA416" s="23"/>
      <c r="AF416" s="23"/>
      <c r="AG416" s="23"/>
      <c r="AH416" s="23"/>
      <c r="AI416" s="23"/>
      <c r="AN416" s="23"/>
      <c r="AO416" s="23"/>
      <c r="AP416" s="23"/>
      <c r="AQ416" s="23"/>
      <c r="AR416" s="35"/>
      <c r="AS416" s="35"/>
      <c r="AT416" s="35"/>
      <c r="AU416" s="31"/>
      <c r="AV416" s="36"/>
    </row>
    <row r="417" spans="1:48">
      <c r="A417" s="39"/>
      <c r="D417" s="31"/>
      <c r="E417" s="31"/>
      <c r="F417" s="31"/>
      <c r="G417" s="31"/>
      <c r="H417" s="32"/>
      <c r="J417" s="33"/>
      <c r="K417" s="33"/>
      <c r="L417" s="33"/>
      <c r="X417" s="23"/>
      <c r="Y417" s="23"/>
      <c r="Z417" s="23"/>
      <c r="AA417" s="23"/>
      <c r="AF417" s="23"/>
      <c r="AG417" s="23"/>
      <c r="AH417" s="23"/>
      <c r="AI417" s="23"/>
      <c r="AN417" s="23"/>
      <c r="AO417" s="23"/>
      <c r="AP417" s="23"/>
      <c r="AQ417" s="23"/>
      <c r="AR417" s="35"/>
      <c r="AS417" s="35"/>
      <c r="AT417" s="35"/>
      <c r="AU417" s="31"/>
      <c r="AV417" s="36"/>
    </row>
    <row r="418" spans="1:48">
      <c r="A418" s="39"/>
      <c r="D418" s="31"/>
      <c r="E418" s="31"/>
      <c r="F418" s="31"/>
      <c r="G418" s="31"/>
      <c r="H418" s="32"/>
      <c r="J418" s="33"/>
      <c r="K418" s="33"/>
      <c r="L418" s="33"/>
      <c r="X418" s="23"/>
      <c r="Y418" s="23"/>
      <c r="Z418" s="23"/>
      <c r="AA418" s="23"/>
      <c r="AF418" s="23"/>
      <c r="AG418" s="23"/>
      <c r="AH418" s="23"/>
      <c r="AI418" s="23"/>
      <c r="AN418" s="23"/>
      <c r="AO418" s="23"/>
      <c r="AP418" s="23"/>
      <c r="AQ418" s="23"/>
      <c r="AR418" s="35"/>
      <c r="AS418" s="35"/>
      <c r="AT418" s="35"/>
      <c r="AU418" s="31"/>
      <c r="AV418" s="36"/>
    </row>
    <row r="419" spans="1:48">
      <c r="A419" s="39"/>
      <c r="D419" s="31"/>
      <c r="E419" s="31"/>
      <c r="F419" s="31"/>
      <c r="G419" s="31"/>
      <c r="H419" s="32"/>
      <c r="J419" s="33"/>
      <c r="K419" s="33"/>
      <c r="L419" s="33"/>
      <c r="X419" s="23"/>
      <c r="Y419" s="23"/>
      <c r="Z419" s="23"/>
      <c r="AA419" s="23"/>
      <c r="AF419" s="23"/>
      <c r="AG419" s="23"/>
      <c r="AH419" s="23"/>
      <c r="AI419" s="23"/>
      <c r="AN419" s="23"/>
      <c r="AO419" s="23"/>
      <c r="AP419" s="23"/>
      <c r="AQ419" s="23"/>
      <c r="AR419" s="35"/>
      <c r="AS419" s="35"/>
      <c r="AT419" s="35"/>
      <c r="AU419" s="31"/>
      <c r="AV419" s="36"/>
    </row>
    <row r="420" spans="1:48">
      <c r="A420" s="39"/>
      <c r="D420" s="31"/>
      <c r="E420" s="31"/>
      <c r="F420" s="31"/>
      <c r="G420" s="31"/>
      <c r="H420" s="32"/>
      <c r="J420" s="33"/>
      <c r="K420" s="33"/>
      <c r="L420" s="33"/>
      <c r="X420" s="23"/>
      <c r="Y420" s="23"/>
      <c r="Z420" s="23"/>
      <c r="AA420" s="23"/>
      <c r="AF420" s="23"/>
      <c r="AG420" s="23"/>
      <c r="AH420" s="23"/>
      <c r="AI420" s="23"/>
      <c r="AN420" s="23"/>
      <c r="AO420" s="23"/>
      <c r="AP420" s="23"/>
      <c r="AQ420" s="23"/>
      <c r="AR420" s="35"/>
      <c r="AS420" s="35"/>
      <c r="AT420" s="35"/>
      <c r="AU420" s="31"/>
      <c r="AV420" s="36"/>
    </row>
    <row r="421" spans="1:48">
      <c r="A421" s="39"/>
      <c r="D421" s="31"/>
      <c r="E421" s="31"/>
      <c r="F421" s="31"/>
      <c r="G421" s="31"/>
      <c r="H421" s="32"/>
      <c r="J421" s="33"/>
      <c r="K421" s="33"/>
      <c r="L421" s="33"/>
      <c r="X421" s="23"/>
      <c r="Y421" s="23"/>
      <c r="Z421" s="23"/>
      <c r="AA421" s="23"/>
      <c r="AF421" s="23"/>
      <c r="AG421" s="23"/>
      <c r="AH421" s="23"/>
      <c r="AI421" s="23"/>
      <c r="AN421" s="23"/>
      <c r="AO421" s="23"/>
      <c r="AP421" s="23"/>
      <c r="AQ421" s="23"/>
      <c r="AR421" s="35"/>
      <c r="AS421" s="35"/>
      <c r="AT421" s="35"/>
      <c r="AU421" s="31"/>
      <c r="AV421" s="36"/>
    </row>
    <row r="422" spans="1:48">
      <c r="A422" s="39"/>
      <c r="D422" s="31"/>
      <c r="E422" s="31"/>
      <c r="F422" s="31"/>
      <c r="G422" s="31"/>
      <c r="H422" s="32"/>
      <c r="J422" s="33"/>
      <c r="K422" s="33"/>
      <c r="L422" s="33"/>
      <c r="X422" s="23"/>
      <c r="Y422" s="23"/>
      <c r="Z422" s="23"/>
      <c r="AA422" s="23"/>
      <c r="AF422" s="23"/>
      <c r="AG422" s="23"/>
      <c r="AH422" s="23"/>
      <c r="AI422" s="23"/>
      <c r="AN422" s="23"/>
      <c r="AO422" s="23"/>
      <c r="AP422" s="23"/>
      <c r="AQ422" s="23"/>
      <c r="AR422" s="35"/>
      <c r="AS422" s="35"/>
      <c r="AT422" s="35"/>
      <c r="AU422" s="31"/>
      <c r="AV422" s="36"/>
    </row>
    <row r="423" spans="1:48">
      <c r="A423" s="39"/>
      <c r="D423" s="31"/>
      <c r="E423" s="31"/>
      <c r="F423" s="31"/>
      <c r="G423" s="31"/>
      <c r="H423" s="32"/>
      <c r="J423" s="33"/>
      <c r="K423" s="33"/>
      <c r="L423" s="33"/>
      <c r="X423" s="23"/>
      <c r="Y423" s="23"/>
      <c r="Z423" s="23"/>
      <c r="AA423" s="23"/>
      <c r="AF423" s="23"/>
      <c r="AG423" s="23"/>
      <c r="AH423" s="23"/>
      <c r="AI423" s="23"/>
      <c r="AN423" s="23"/>
      <c r="AO423" s="23"/>
      <c r="AP423" s="23"/>
      <c r="AQ423" s="23"/>
      <c r="AR423" s="35"/>
      <c r="AS423" s="35"/>
      <c r="AT423" s="35"/>
      <c r="AU423" s="31"/>
      <c r="AV423" s="36"/>
    </row>
    <row r="424" spans="1:48">
      <c r="A424" s="39"/>
      <c r="D424" s="31"/>
      <c r="E424" s="31"/>
      <c r="F424" s="31"/>
      <c r="G424" s="31"/>
      <c r="H424" s="32"/>
      <c r="J424" s="33"/>
      <c r="K424" s="33"/>
      <c r="L424" s="33"/>
      <c r="X424" s="23"/>
      <c r="Y424" s="23"/>
      <c r="Z424" s="23"/>
      <c r="AA424" s="23"/>
      <c r="AF424" s="23"/>
      <c r="AG424" s="23"/>
      <c r="AH424" s="23"/>
      <c r="AI424" s="23"/>
      <c r="AN424" s="23"/>
      <c r="AO424" s="23"/>
      <c r="AP424" s="23"/>
      <c r="AQ424" s="23"/>
      <c r="AR424" s="35"/>
      <c r="AS424" s="35"/>
      <c r="AT424" s="35"/>
      <c r="AU424" s="31"/>
      <c r="AV424" s="36"/>
    </row>
    <row r="425" spans="1:48">
      <c r="A425" s="39"/>
      <c r="D425" s="31"/>
      <c r="E425" s="31"/>
      <c r="F425" s="31"/>
      <c r="G425" s="31"/>
      <c r="H425" s="32"/>
      <c r="J425" s="33"/>
      <c r="K425" s="33"/>
      <c r="L425" s="33"/>
      <c r="X425" s="23"/>
      <c r="Y425" s="23"/>
      <c r="Z425" s="23"/>
      <c r="AA425" s="23"/>
      <c r="AF425" s="23"/>
      <c r="AG425" s="23"/>
      <c r="AH425" s="23"/>
      <c r="AI425" s="23"/>
      <c r="AN425" s="23"/>
      <c r="AO425" s="23"/>
      <c r="AP425" s="23"/>
      <c r="AQ425" s="23"/>
      <c r="AR425" s="35"/>
      <c r="AS425" s="35"/>
      <c r="AT425" s="35"/>
      <c r="AU425" s="31"/>
      <c r="AV425" s="36"/>
    </row>
    <row r="426" spans="1:48">
      <c r="A426" s="39"/>
      <c r="D426" s="31"/>
      <c r="E426" s="31"/>
      <c r="F426" s="31"/>
      <c r="G426" s="31"/>
      <c r="H426" s="32"/>
      <c r="J426" s="33"/>
      <c r="K426" s="33"/>
      <c r="L426" s="33"/>
      <c r="X426" s="23"/>
      <c r="Y426" s="23"/>
      <c r="Z426" s="23"/>
      <c r="AA426" s="23"/>
      <c r="AF426" s="23"/>
      <c r="AG426" s="23"/>
      <c r="AH426" s="23"/>
      <c r="AI426" s="23"/>
      <c r="AN426" s="23"/>
      <c r="AO426" s="23"/>
      <c r="AP426" s="23"/>
      <c r="AQ426" s="23"/>
      <c r="AR426" s="35"/>
      <c r="AS426" s="35"/>
      <c r="AT426" s="35"/>
      <c r="AU426" s="31"/>
      <c r="AV426" s="36"/>
    </row>
    <row r="427" spans="1:48">
      <c r="A427" s="39"/>
      <c r="D427" s="31"/>
      <c r="E427" s="31"/>
      <c r="F427" s="31"/>
      <c r="G427" s="31"/>
      <c r="H427" s="32"/>
      <c r="J427" s="33"/>
      <c r="K427" s="33"/>
      <c r="L427" s="33"/>
      <c r="X427" s="23"/>
      <c r="Y427" s="23"/>
      <c r="Z427" s="23"/>
      <c r="AA427" s="23"/>
      <c r="AF427" s="23"/>
      <c r="AG427" s="23"/>
      <c r="AH427" s="23"/>
      <c r="AI427" s="23"/>
      <c r="AN427" s="23"/>
      <c r="AO427" s="23"/>
      <c r="AP427" s="23"/>
      <c r="AQ427" s="23"/>
      <c r="AR427" s="35"/>
      <c r="AS427" s="35"/>
      <c r="AT427" s="35"/>
      <c r="AU427" s="31"/>
      <c r="AV427" s="36"/>
    </row>
    <row r="428" spans="1:48">
      <c r="A428" s="39"/>
      <c r="D428" s="31"/>
      <c r="E428" s="31"/>
      <c r="F428" s="31"/>
      <c r="G428" s="31"/>
      <c r="H428" s="32"/>
      <c r="J428" s="33"/>
      <c r="K428" s="33"/>
      <c r="L428" s="33"/>
      <c r="X428" s="23"/>
      <c r="Y428" s="23"/>
      <c r="Z428" s="23"/>
      <c r="AA428" s="23"/>
      <c r="AF428" s="23"/>
      <c r="AG428" s="23"/>
      <c r="AH428" s="23"/>
      <c r="AI428" s="23"/>
      <c r="AN428" s="23"/>
      <c r="AO428" s="23"/>
      <c r="AP428" s="23"/>
      <c r="AQ428" s="23"/>
      <c r="AR428" s="35"/>
      <c r="AS428" s="35"/>
      <c r="AT428" s="35"/>
      <c r="AU428" s="31"/>
      <c r="AV428" s="36"/>
    </row>
    <row r="429" spans="1:48">
      <c r="A429" s="39"/>
      <c r="D429" s="31"/>
      <c r="E429" s="31"/>
      <c r="F429" s="31"/>
      <c r="G429" s="31"/>
      <c r="H429" s="32"/>
      <c r="J429" s="33"/>
      <c r="K429" s="33"/>
      <c r="L429" s="33"/>
      <c r="X429" s="23"/>
      <c r="Y429" s="23"/>
      <c r="Z429" s="23"/>
      <c r="AA429" s="23"/>
      <c r="AF429" s="23"/>
      <c r="AG429" s="23"/>
      <c r="AH429" s="23"/>
      <c r="AI429" s="23"/>
      <c r="AN429" s="23"/>
      <c r="AO429" s="23"/>
      <c r="AP429" s="23"/>
      <c r="AQ429" s="23"/>
      <c r="AR429" s="35"/>
      <c r="AS429" s="35"/>
      <c r="AT429" s="35"/>
      <c r="AU429" s="31"/>
      <c r="AV429" s="36"/>
    </row>
    <row r="430" spans="1:48">
      <c r="A430" s="39"/>
      <c r="D430" s="31"/>
      <c r="E430" s="31"/>
      <c r="F430" s="31"/>
      <c r="G430" s="31"/>
      <c r="H430" s="32"/>
      <c r="J430" s="33"/>
      <c r="K430" s="33"/>
      <c r="L430" s="33"/>
      <c r="X430" s="23"/>
      <c r="Y430" s="23"/>
      <c r="Z430" s="23"/>
      <c r="AA430" s="23"/>
      <c r="AF430" s="23"/>
      <c r="AG430" s="23"/>
      <c r="AH430" s="23"/>
      <c r="AI430" s="23"/>
      <c r="AN430" s="23"/>
      <c r="AO430" s="23"/>
      <c r="AP430" s="23"/>
      <c r="AQ430" s="23"/>
      <c r="AR430" s="35"/>
      <c r="AS430" s="35"/>
      <c r="AT430" s="35"/>
      <c r="AU430" s="31"/>
      <c r="AV430" s="36"/>
    </row>
    <row r="431" spans="1:48">
      <c r="A431" s="39"/>
      <c r="D431" s="31"/>
      <c r="E431" s="31"/>
      <c r="F431" s="31"/>
      <c r="G431" s="31"/>
      <c r="H431" s="32"/>
      <c r="J431" s="33"/>
      <c r="K431" s="33"/>
      <c r="L431" s="33"/>
      <c r="X431" s="23"/>
      <c r="Y431" s="23"/>
      <c r="Z431" s="23"/>
      <c r="AA431" s="23"/>
      <c r="AF431" s="23"/>
      <c r="AG431" s="23"/>
      <c r="AH431" s="23"/>
      <c r="AI431" s="23"/>
      <c r="AN431" s="23"/>
      <c r="AO431" s="23"/>
      <c r="AP431" s="23"/>
      <c r="AQ431" s="23"/>
      <c r="AR431" s="35"/>
      <c r="AS431" s="35"/>
      <c r="AT431" s="35"/>
      <c r="AU431" s="31"/>
      <c r="AV431" s="36"/>
    </row>
    <row r="432" spans="1:48">
      <c r="A432" s="39"/>
      <c r="D432" s="31"/>
      <c r="E432" s="31"/>
      <c r="F432" s="31"/>
      <c r="G432" s="31"/>
      <c r="H432" s="32"/>
      <c r="J432" s="33"/>
      <c r="K432" s="33"/>
      <c r="L432" s="33"/>
      <c r="X432" s="23"/>
      <c r="Y432" s="23"/>
      <c r="Z432" s="23"/>
      <c r="AA432" s="23"/>
      <c r="AF432" s="23"/>
      <c r="AG432" s="23"/>
      <c r="AH432" s="23"/>
      <c r="AI432" s="23"/>
      <c r="AN432" s="23"/>
      <c r="AO432" s="23"/>
      <c r="AP432" s="23"/>
      <c r="AQ432" s="23"/>
      <c r="AR432" s="35"/>
      <c r="AS432" s="35"/>
      <c r="AT432" s="35"/>
      <c r="AU432" s="31"/>
      <c r="AV432" s="36"/>
    </row>
    <row r="433" spans="1:48">
      <c r="A433" s="39"/>
      <c r="D433" s="31"/>
      <c r="E433" s="31"/>
      <c r="F433" s="31"/>
      <c r="G433" s="31"/>
      <c r="H433" s="32"/>
      <c r="J433" s="33"/>
      <c r="K433" s="33"/>
      <c r="L433" s="33"/>
      <c r="X433" s="23"/>
      <c r="Y433" s="23"/>
      <c r="Z433" s="23"/>
      <c r="AA433" s="23"/>
      <c r="AF433" s="23"/>
      <c r="AG433" s="23"/>
      <c r="AH433" s="23"/>
      <c r="AI433" s="23"/>
      <c r="AN433" s="23"/>
      <c r="AO433" s="23"/>
      <c r="AP433" s="23"/>
      <c r="AQ433" s="23"/>
      <c r="AR433" s="35"/>
      <c r="AS433" s="35"/>
      <c r="AT433" s="35"/>
      <c r="AU433" s="31"/>
      <c r="AV433" s="36"/>
    </row>
    <row r="434" spans="1:48">
      <c r="A434" s="39"/>
      <c r="D434" s="31"/>
      <c r="E434" s="31"/>
      <c r="F434" s="31"/>
      <c r="G434" s="31"/>
      <c r="H434" s="32"/>
      <c r="J434" s="33"/>
      <c r="K434" s="33"/>
      <c r="L434" s="33"/>
      <c r="X434" s="23"/>
      <c r="Y434" s="23"/>
      <c r="Z434" s="23"/>
      <c r="AA434" s="23"/>
      <c r="AF434" s="23"/>
      <c r="AG434" s="23"/>
      <c r="AH434" s="23"/>
      <c r="AI434" s="23"/>
      <c r="AN434" s="23"/>
      <c r="AO434" s="23"/>
      <c r="AP434" s="23"/>
      <c r="AQ434" s="23"/>
      <c r="AR434" s="35"/>
      <c r="AS434" s="35"/>
      <c r="AT434" s="35"/>
      <c r="AU434" s="31"/>
      <c r="AV434" s="36"/>
    </row>
    <row r="435" spans="1:48">
      <c r="A435" s="39"/>
      <c r="D435" s="31"/>
      <c r="E435" s="31"/>
      <c r="F435" s="31"/>
      <c r="G435" s="31"/>
      <c r="H435" s="32"/>
      <c r="J435" s="33"/>
      <c r="K435" s="33"/>
      <c r="L435" s="33"/>
      <c r="X435" s="23"/>
      <c r="Y435" s="23"/>
      <c r="Z435" s="23"/>
      <c r="AA435" s="23"/>
      <c r="AF435" s="23"/>
      <c r="AG435" s="23"/>
      <c r="AH435" s="23"/>
      <c r="AI435" s="23"/>
      <c r="AN435" s="23"/>
      <c r="AO435" s="23"/>
      <c r="AP435" s="23"/>
      <c r="AQ435" s="23"/>
      <c r="AR435" s="35"/>
      <c r="AS435" s="35"/>
      <c r="AT435" s="35"/>
      <c r="AU435" s="31"/>
      <c r="AV435" s="36"/>
    </row>
    <row r="436" spans="1:48">
      <c r="A436" s="39"/>
      <c r="D436" s="31"/>
      <c r="E436" s="31"/>
      <c r="F436" s="31"/>
      <c r="G436" s="31"/>
      <c r="H436" s="32"/>
      <c r="J436" s="33"/>
      <c r="K436" s="33"/>
      <c r="L436" s="33"/>
      <c r="X436" s="23"/>
      <c r="Y436" s="23"/>
      <c r="Z436" s="23"/>
      <c r="AA436" s="23"/>
      <c r="AF436" s="23"/>
      <c r="AG436" s="23"/>
      <c r="AH436" s="23"/>
      <c r="AI436" s="23"/>
      <c r="AN436" s="23"/>
      <c r="AO436" s="23"/>
      <c r="AP436" s="23"/>
      <c r="AQ436" s="23"/>
      <c r="AR436" s="35"/>
      <c r="AS436" s="35"/>
      <c r="AT436" s="35"/>
      <c r="AU436" s="31"/>
      <c r="AV436" s="36"/>
    </row>
    <row r="437" spans="1:48">
      <c r="A437" s="39"/>
      <c r="D437" s="31"/>
      <c r="E437" s="31"/>
      <c r="F437" s="31"/>
      <c r="G437" s="31"/>
      <c r="H437" s="32"/>
      <c r="J437" s="33"/>
      <c r="K437" s="33"/>
      <c r="L437" s="33"/>
      <c r="X437" s="23"/>
      <c r="Y437" s="23"/>
      <c r="Z437" s="23"/>
      <c r="AA437" s="23"/>
      <c r="AF437" s="23"/>
      <c r="AG437" s="23"/>
      <c r="AH437" s="23"/>
      <c r="AI437" s="23"/>
      <c r="AN437" s="23"/>
      <c r="AO437" s="23"/>
      <c r="AP437" s="23"/>
      <c r="AQ437" s="23"/>
      <c r="AR437" s="35"/>
      <c r="AS437" s="35"/>
      <c r="AT437" s="35"/>
      <c r="AU437" s="31"/>
      <c r="AV437" s="36"/>
    </row>
    <row r="438" spans="1:48">
      <c r="A438" s="39"/>
      <c r="D438" s="31"/>
      <c r="E438" s="31"/>
      <c r="F438" s="31"/>
      <c r="G438" s="31"/>
      <c r="H438" s="32"/>
      <c r="J438" s="33"/>
      <c r="K438" s="33"/>
      <c r="L438" s="33"/>
      <c r="X438" s="23"/>
      <c r="Y438" s="23"/>
      <c r="Z438" s="23"/>
      <c r="AA438" s="23"/>
      <c r="AF438" s="23"/>
      <c r="AG438" s="23"/>
      <c r="AH438" s="23"/>
      <c r="AI438" s="23"/>
      <c r="AN438" s="23"/>
      <c r="AO438" s="23"/>
      <c r="AP438" s="23"/>
      <c r="AQ438" s="23"/>
      <c r="AR438" s="35"/>
      <c r="AS438" s="35"/>
      <c r="AT438" s="35"/>
      <c r="AU438" s="31"/>
      <c r="AV438" s="36"/>
    </row>
    <row r="439" spans="1:48">
      <c r="A439" s="39"/>
      <c r="D439" s="31"/>
      <c r="E439" s="31"/>
      <c r="F439" s="31"/>
      <c r="G439" s="31"/>
      <c r="H439" s="32"/>
      <c r="J439" s="33"/>
      <c r="K439" s="33"/>
      <c r="L439" s="33"/>
      <c r="X439" s="23"/>
      <c r="Y439" s="23"/>
      <c r="Z439" s="23"/>
      <c r="AA439" s="23"/>
      <c r="AF439" s="23"/>
      <c r="AG439" s="23"/>
      <c r="AH439" s="23"/>
      <c r="AI439" s="23"/>
      <c r="AN439" s="23"/>
      <c r="AO439" s="23"/>
      <c r="AP439" s="23"/>
      <c r="AQ439" s="23"/>
      <c r="AR439" s="35"/>
      <c r="AS439" s="35"/>
      <c r="AT439" s="35"/>
      <c r="AU439" s="31"/>
      <c r="AV439" s="36"/>
    </row>
    <row r="440" spans="1:48">
      <c r="A440" s="39"/>
      <c r="D440" s="31"/>
      <c r="E440" s="31"/>
      <c r="F440" s="31"/>
      <c r="G440" s="31"/>
      <c r="H440" s="32"/>
      <c r="J440" s="33"/>
      <c r="K440" s="33"/>
      <c r="L440" s="33"/>
      <c r="X440" s="23"/>
      <c r="Y440" s="23"/>
      <c r="Z440" s="23"/>
      <c r="AA440" s="23"/>
      <c r="AF440" s="23"/>
      <c r="AG440" s="23"/>
      <c r="AH440" s="23"/>
      <c r="AI440" s="23"/>
      <c r="AN440" s="23"/>
      <c r="AO440" s="23"/>
      <c r="AP440" s="23"/>
      <c r="AQ440" s="23"/>
      <c r="AR440" s="35"/>
      <c r="AS440" s="35"/>
      <c r="AT440" s="35"/>
      <c r="AU440" s="31"/>
      <c r="AV440" s="36"/>
    </row>
    <row r="441" spans="1:48">
      <c r="A441" s="39"/>
      <c r="D441" s="31"/>
      <c r="E441" s="31"/>
      <c r="F441" s="31"/>
      <c r="G441" s="31"/>
      <c r="H441" s="32"/>
      <c r="J441" s="33"/>
      <c r="K441" s="33"/>
      <c r="L441" s="33"/>
      <c r="X441" s="23"/>
      <c r="Y441" s="23"/>
      <c r="Z441" s="23"/>
      <c r="AA441" s="23"/>
      <c r="AF441" s="23"/>
      <c r="AG441" s="23"/>
      <c r="AH441" s="23"/>
      <c r="AI441" s="23"/>
      <c r="AN441" s="23"/>
      <c r="AO441" s="23"/>
      <c r="AP441" s="23"/>
      <c r="AQ441" s="23"/>
      <c r="AR441" s="35"/>
      <c r="AS441" s="35"/>
      <c r="AT441" s="35"/>
      <c r="AU441" s="31"/>
      <c r="AV441" s="36"/>
    </row>
    <row r="442" spans="1:48">
      <c r="A442" s="39"/>
      <c r="D442" s="31"/>
      <c r="E442" s="31"/>
      <c r="F442" s="31"/>
      <c r="G442" s="31"/>
      <c r="H442" s="32"/>
      <c r="J442" s="33"/>
      <c r="K442" s="33"/>
      <c r="L442" s="33"/>
      <c r="X442" s="23"/>
      <c r="Y442" s="23"/>
      <c r="Z442" s="23"/>
      <c r="AA442" s="23"/>
      <c r="AF442" s="23"/>
      <c r="AG442" s="23"/>
      <c r="AH442" s="23"/>
      <c r="AI442" s="23"/>
      <c r="AN442" s="23"/>
      <c r="AO442" s="23"/>
      <c r="AP442" s="23"/>
      <c r="AQ442" s="23"/>
      <c r="AR442" s="35"/>
      <c r="AS442" s="35"/>
      <c r="AT442" s="35"/>
      <c r="AU442" s="31"/>
      <c r="AV442" s="36"/>
    </row>
    <row r="443" spans="1:48">
      <c r="A443" s="39"/>
      <c r="D443" s="31"/>
      <c r="E443" s="31"/>
      <c r="F443" s="31"/>
      <c r="G443" s="31"/>
      <c r="H443" s="32"/>
      <c r="J443" s="33"/>
      <c r="K443" s="33"/>
      <c r="L443" s="33"/>
      <c r="X443" s="23"/>
      <c r="Y443" s="23"/>
      <c r="Z443" s="23"/>
      <c r="AA443" s="23"/>
      <c r="AF443" s="23"/>
      <c r="AG443" s="23"/>
      <c r="AH443" s="23"/>
      <c r="AI443" s="23"/>
      <c r="AN443" s="23"/>
      <c r="AO443" s="23"/>
      <c r="AP443" s="23"/>
      <c r="AQ443" s="23"/>
      <c r="AR443" s="35"/>
      <c r="AS443" s="35"/>
      <c r="AT443" s="35"/>
      <c r="AU443" s="31"/>
      <c r="AV443" s="36"/>
    </row>
    <row r="444" spans="1:48">
      <c r="A444" s="39"/>
      <c r="D444" s="31"/>
      <c r="E444" s="31"/>
      <c r="F444" s="31"/>
      <c r="G444" s="31"/>
      <c r="H444" s="32"/>
      <c r="J444" s="33"/>
      <c r="K444" s="33"/>
      <c r="L444" s="33"/>
      <c r="X444" s="23"/>
      <c r="Y444" s="23"/>
      <c r="Z444" s="23"/>
      <c r="AA444" s="23"/>
      <c r="AF444" s="23"/>
      <c r="AG444" s="23"/>
      <c r="AH444" s="23"/>
      <c r="AI444" s="23"/>
      <c r="AN444" s="23"/>
      <c r="AO444" s="23"/>
      <c r="AP444" s="23"/>
      <c r="AQ444" s="23"/>
      <c r="AR444" s="35"/>
      <c r="AS444" s="35"/>
      <c r="AT444" s="35"/>
      <c r="AU444" s="31"/>
      <c r="AV444" s="36"/>
    </row>
    <row r="445" spans="1:48">
      <c r="A445" s="39"/>
      <c r="D445" s="31"/>
      <c r="E445" s="31"/>
      <c r="F445" s="31"/>
      <c r="G445" s="31"/>
      <c r="H445" s="32"/>
      <c r="J445" s="33"/>
      <c r="K445" s="33"/>
      <c r="L445" s="33"/>
      <c r="X445" s="23"/>
      <c r="Y445" s="23"/>
      <c r="Z445" s="23"/>
      <c r="AA445" s="23"/>
      <c r="AF445" s="23"/>
      <c r="AG445" s="23"/>
      <c r="AH445" s="23"/>
      <c r="AI445" s="23"/>
      <c r="AN445" s="23"/>
      <c r="AO445" s="23"/>
      <c r="AP445" s="23"/>
      <c r="AQ445" s="23"/>
      <c r="AR445" s="35"/>
      <c r="AS445" s="35"/>
      <c r="AT445" s="35"/>
      <c r="AU445" s="31"/>
      <c r="AV445" s="36"/>
    </row>
    <row r="446" spans="1:48">
      <c r="A446" s="39"/>
      <c r="D446" s="31"/>
      <c r="E446" s="31"/>
      <c r="F446" s="31"/>
      <c r="G446" s="31"/>
      <c r="H446" s="32"/>
      <c r="J446" s="33"/>
      <c r="K446" s="33"/>
      <c r="L446" s="33"/>
      <c r="X446" s="23"/>
      <c r="Y446" s="23"/>
      <c r="Z446" s="23"/>
      <c r="AA446" s="23"/>
      <c r="AF446" s="23"/>
      <c r="AG446" s="23"/>
      <c r="AH446" s="23"/>
      <c r="AI446" s="23"/>
      <c r="AN446" s="23"/>
      <c r="AO446" s="23"/>
      <c r="AP446" s="23"/>
      <c r="AQ446" s="23"/>
      <c r="AR446" s="35"/>
      <c r="AS446" s="35"/>
      <c r="AT446" s="35"/>
      <c r="AU446" s="31"/>
      <c r="AV446" s="36"/>
    </row>
    <row r="447" spans="1:48">
      <c r="A447" s="39"/>
      <c r="D447" s="31"/>
      <c r="E447" s="31"/>
      <c r="F447" s="31"/>
      <c r="G447" s="31"/>
      <c r="H447" s="32"/>
      <c r="J447" s="33"/>
      <c r="K447" s="33"/>
      <c r="L447" s="33"/>
      <c r="X447" s="23"/>
      <c r="Y447" s="23"/>
      <c r="Z447" s="23"/>
      <c r="AA447" s="23"/>
      <c r="AF447" s="23"/>
      <c r="AG447" s="23"/>
      <c r="AH447" s="23"/>
      <c r="AI447" s="23"/>
      <c r="AN447" s="23"/>
      <c r="AO447" s="23"/>
      <c r="AP447" s="23"/>
      <c r="AQ447" s="23"/>
      <c r="AR447" s="35"/>
      <c r="AS447" s="35"/>
      <c r="AT447" s="35"/>
      <c r="AU447" s="31"/>
      <c r="AV447" s="36"/>
    </row>
    <row r="448" spans="1:48">
      <c r="A448" s="39"/>
      <c r="D448" s="31"/>
      <c r="E448" s="31"/>
      <c r="F448" s="31"/>
      <c r="G448" s="31"/>
      <c r="H448" s="32"/>
      <c r="J448" s="33"/>
      <c r="K448" s="33"/>
      <c r="L448" s="33"/>
      <c r="X448" s="23"/>
      <c r="Y448" s="23"/>
      <c r="Z448" s="23"/>
      <c r="AA448" s="23"/>
      <c r="AF448" s="23"/>
      <c r="AG448" s="23"/>
      <c r="AH448" s="23"/>
      <c r="AI448" s="23"/>
      <c r="AN448" s="23"/>
      <c r="AO448" s="23"/>
      <c r="AP448" s="23"/>
      <c r="AQ448" s="23"/>
      <c r="AR448" s="35"/>
      <c r="AS448" s="35"/>
      <c r="AT448" s="35"/>
      <c r="AU448" s="31"/>
      <c r="AV448" s="36"/>
    </row>
    <row r="449" spans="1:48">
      <c r="A449" s="39"/>
      <c r="D449" s="31"/>
      <c r="E449" s="31"/>
      <c r="F449" s="31"/>
      <c r="G449" s="31"/>
      <c r="H449" s="32"/>
      <c r="J449" s="33"/>
      <c r="K449" s="33"/>
      <c r="L449" s="33"/>
      <c r="X449" s="23"/>
      <c r="Y449" s="23"/>
      <c r="Z449" s="23"/>
      <c r="AA449" s="23"/>
      <c r="AF449" s="23"/>
      <c r="AG449" s="23"/>
      <c r="AH449" s="23"/>
      <c r="AI449" s="23"/>
      <c r="AN449" s="23"/>
      <c r="AO449" s="23"/>
      <c r="AP449" s="23"/>
      <c r="AQ449" s="23"/>
      <c r="AR449" s="35"/>
      <c r="AS449" s="35"/>
      <c r="AT449" s="35"/>
      <c r="AU449" s="31"/>
      <c r="AV449" s="36"/>
    </row>
    <row r="450" spans="1:48">
      <c r="A450" s="39"/>
      <c r="D450" s="31"/>
      <c r="E450" s="31"/>
      <c r="F450" s="31"/>
      <c r="G450" s="31"/>
      <c r="H450" s="32"/>
      <c r="J450" s="33"/>
      <c r="K450" s="33"/>
      <c r="L450" s="33"/>
      <c r="X450" s="23"/>
      <c r="Y450" s="23"/>
      <c r="Z450" s="23"/>
      <c r="AA450" s="23"/>
      <c r="AF450" s="23"/>
      <c r="AG450" s="23"/>
      <c r="AH450" s="23"/>
      <c r="AI450" s="23"/>
      <c r="AN450" s="23"/>
      <c r="AO450" s="23"/>
      <c r="AP450" s="23"/>
      <c r="AQ450" s="23"/>
      <c r="AR450" s="35"/>
      <c r="AS450" s="35"/>
      <c r="AT450" s="35"/>
      <c r="AU450" s="31"/>
      <c r="AV450" s="36"/>
    </row>
    <row r="451" spans="1:48">
      <c r="A451" s="39"/>
      <c r="D451" s="31"/>
      <c r="E451" s="31"/>
      <c r="F451" s="31"/>
      <c r="G451" s="31"/>
      <c r="H451" s="32"/>
      <c r="J451" s="33"/>
      <c r="K451" s="33"/>
      <c r="L451" s="33"/>
      <c r="X451" s="23"/>
      <c r="Y451" s="23"/>
      <c r="Z451" s="23"/>
      <c r="AA451" s="23"/>
      <c r="AF451" s="23"/>
      <c r="AG451" s="23"/>
      <c r="AH451" s="23"/>
      <c r="AI451" s="23"/>
      <c r="AN451" s="23"/>
      <c r="AO451" s="23"/>
      <c r="AP451" s="23"/>
      <c r="AQ451" s="23"/>
      <c r="AR451" s="35"/>
      <c r="AS451" s="35"/>
      <c r="AT451" s="35"/>
      <c r="AU451" s="31"/>
      <c r="AV451" s="36"/>
    </row>
    <row r="452" spans="1:48">
      <c r="A452" s="39"/>
      <c r="D452" s="31"/>
      <c r="E452" s="31"/>
      <c r="F452" s="31"/>
      <c r="G452" s="31"/>
      <c r="H452" s="32"/>
      <c r="J452" s="33"/>
      <c r="K452" s="33"/>
      <c r="L452" s="33"/>
      <c r="X452" s="23"/>
      <c r="Y452" s="23"/>
      <c r="Z452" s="23"/>
      <c r="AA452" s="23"/>
      <c r="AF452" s="23"/>
      <c r="AG452" s="23"/>
      <c r="AH452" s="23"/>
      <c r="AI452" s="23"/>
      <c r="AN452" s="23"/>
      <c r="AO452" s="23"/>
      <c r="AP452" s="23"/>
      <c r="AQ452" s="23"/>
      <c r="AR452" s="35"/>
      <c r="AS452" s="35"/>
      <c r="AT452" s="35"/>
      <c r="AU452" s="31"/>
      <c r="AV452" s="36"/>
    </row>
    <row r="453" spans="1:48">
      <c r="A453" s="39"/>
      <c r="D453" s="31"/>
      <c r="E453" s="31"/>
      <c r="F453" s="31"/>
      <c r="G453" s="31"/>
      <c r="H453" s="32"/>
      <c r="J453" s="33"/>
      <c r="K453" s="33"/>
      <c r="L453" s="33"/>
      <c r="X453" s="23"/>
      <c r="Y453" s="23"/>
      <c r="Z453" s="23"/>
      <c r="AA453" s="23"/>
      <c r="AF453" s="23"/>
      <c r="AG453" s="23"/>
      <c r="AH453" s="23"/>
      <c r="AI453" s="23"/>
      <c r="AN453" s="23"/>
      <c r="AO453" s="23"/>
      <c r="AP453" s="23"/>
      <c r="AQ453" s="23"/>
      <c r="AR453" s="35"/>
      <c r="AS453" s="35"/>
      <c r="AT453" s="35"/>
      <c r="AU453" s="31"/>
      <c r="AV453" s="36"/>
    </row>
    <row r="454" spans="1:48">
      <c r="A454" s="39"/>
      <c r="D454" s="31"/>
      <c r="E454" s="31"/>
      <c r="F454" s="31"/>
      <c r="G454" s="31"/>
      <c r="H454" s="32"/>
      <c r="J454" s="33"/>
      <c r="K454" s="33"/>
      <c r="L454" s="33"/>
      <c r="X454" s="23"/>
      <c r="Y454" s="23"/>
      <c r="Z454" s="23"/>
      <c r="AA454" s="23"/>
      <c r="AF454" s="23"/>
      <c r="AG454" s="23"/>
      <c r="AH454" s="23"/>
      <c r="AI454" s="23"/>
      <c r="AN454" s="23"/>
      <c r="AO454" s="23"/>
      <c r="AP454" s="23"/>
      <c r="AQ454" s="23"/>
      <c r="AR454" s="35"/>
      <c r="AS454" s="35"/>
      <c r="AT454" s="35"/>
      <c r="AU454" s="31"/>
      <c r="AV454" s="36"/>
    </row>
    <row r="455" spans="1:48">
      <c r="A455" s="39"/>
      <c r="D455" s="31"/>
      <c r="E455" s="31"/>
      <c r="F455" s="31"/>
      <c r="G455" s="31"/>
      <c r="H455" s="32"/>
      <c r="J455" s="33"/>
      <c r="K455" s="33"/>
      <c r="L455" s="33"/>
      <c r="X455" s="23"/>
      <c r="Y455" s="23"/>
      <c r="Z455" s="23"/>
      <c r="AA455" s="23"/>
      <c r="AF455" s="23"/>
      <c r="AG455" s="23"/>
      <c r="AH455" s="23"/>
      <c r="AI455" s="23"/>
      <c r="AN455" s="23"/>
      <c r="AO455" s="23"/>
      <c r="AP455" s="23"/>
      <c r="AQ455" s="23"/>
      <c r="AR455" s="35"/>
      <c r="AS455" s="35"/>
      <c r="AT455" s="35"/>
      <c r="AU455" s="31"/>
      <c r="AV455" s="36"/>
    </row>
    <row r="456" spans="1:48">
      <c r="A456" s="39"/>
      <c r="D456" s="31"/>
      <c r="E456" s="31"/>
      <c r="F456" s="31"/>
      <c r="G456" s="31"/>
      <c r="H456" s="32"/>
      <c r="J456" s="33"/>
      <c r="K456" s="33"/>
      <c r="L456" s="33"/>
      <c r="X456" s="23"/>
      <c r="Y456" s="23"/>
      <c r="Z456" s="23"/>
      <c r="AA456" s="23"/>
      <c r="AF456" s="23"/>
      <c r="AG456" s="23"/>
      <c r="AH456" s="23"/>
      <c r="AI456" s="23"/>
      <c r="AN456" s="23"/>
      <c r="AO456" s="23"/>
      <c r="AP456" s="23"/>
      <c r="AQ456" s="23"/>
      <c r="AR456" s="35"/>
      <c r="AS456" s="35"/>
      <c r="AT456" s="35"/>
      <c r="AU456" s="31"/>
      <c r="AV456" s="36"/>
    </row>
    <row r="457" spans="1:48">
      <c r="A457" s="39"/>
      <c r="D457" s="31"/>
      <c r="E457" s="31"/>
      <c r="F457" s="31"/>
      <c r="G457" s="31"/>
      <c r="H457" s="32"/>
      <c r="J457" s="33"/>
      <c r="K457" s="33"/>
      <c r="L457" s="33"/>
      <c r="X457" s="23"/>
      <c r="Y457" s="23"/>
      <c r="Z457" s="23"/>
      <c r="AA457" s="23"/>
      <c r="AF457" s="23"/>
      <c r="AG457" s="23"/>
      <c r="AH457" s="23"/>
      <c r="AI457" s="23"/>
      <c r="AN457" s="23"/>
      <c r="AO457" s="23"/>
      <c r="AP457" s="23"/>
      <c r="AQ457" s="23"/>
      <c r="AR457" s="35"/>
      <c r="AS457" s="35"/>
      <c r="AT457" s="35"/>
      <c r="AU457" s="31"/>
      <c r="AV457" s="36"/>
    </row>
    <row r="458" spans="1:48">
      <c r="A458" s="39"/>
      <c r="D458" s="31"/>
      <c r="E458" s="31"/>
      <c r="F458" s="31"/>
      <c r="G458" s="31"/>
      <c r="H458" s="32"/>
      <c r="J458" s="33"/>
      <c r="K458" s="33"/>
      <c r="L458" s="33"/>
      <c r="X458" s="23"/>
      <c r="Y458" s="23"/>
      <c r="Z458" s="23"/>
      <c r="AA458" s="23"/>
      <c r="AF458" s="23"/>
      <c r="AG458" s="23"/>
      <c r="AH458" s="23"/>
      <c r="AI458" s="23"/>
      <c r="AN458" s="23"/>
      <c r="AO458" s="23"/>
      <c r="AP458" s="23"/>
      <c r="AQ458" s="23"/>
      <c r="AR458" s="35"/>
      <c r="AS458" s="35"/>
      <c r="AT458" s="35"/>
      <c r="AU458" s="31"/>
      <c r="AV458" s="36"/>
    </row>
    <row r="459" spans="1:48">
      <c r="A459" s="39"/>
      <c r="D459" s="31"/>
      <c r="E459" s="31"/>
      <c r="F459" s="31"/>
      <c r="G459" s="31"/>
      <c r="H459" s="32"/>
      <c r="J459" s="33"/>
      <c r="K459" s="33"/>
      <c r="L459" s="33"/>
      <c r="X459" s="23"/>
      <c r="Y459" s="23"/>
      <c r="Z459" s="23"/>
      <c r="AA459" s="23"/>
      <c r="AF459" s="23"/>
      <c r="AG459" s="23"/>
      <c r="AH459" s="23"/>
      <c r="AI459" s="23"/>
      <c r="AN459" s="23"/>
      <c r="AO459" s="23"/>
      <c r="AP459" s="23"/>
      <c r="AQ459" s="23"/>
      <c r="AR459" s="35"/>
      <c r="AS459" s="35"/>
      <c r="AT459" s="35"/>
      <c r="AU459" s="31"/>
      <c r="AV459" s="36"/>
    </row>
    <row r="460" spans="1:48">
      <c r="A460" s="39"/>
      <c r="D460" s="31"/>
      <c r="E460" s="31"/>
      <c r="F460" s="31"/>
      <c r="G460" s="31"/>
      <c r="H460" s="32"/>
      <c r="J460" s="33"/>
      <c r="K460" s="33"/>
      <c r="L460" s="33"/>
      <c r="X460" s="23"/>
      <c r="Y460" s="23"/>
      <c r="Z460" s="23"/>
      <c r="AA460" s="23"/>
      <c r="AF460" s="23"/>
      <c r="AG460" s="23"/>
      <c r="AH460" s="23"/>
      <c r="AI460" s="23"/>
      <c r="AN460" s="23"/>
      <c r="AO460" s="23"/>
      <c r="AP460" s="23"/>
      <c r="AQ460" s="23"/>
      <c r="AR460" s="35"/>
      <c r="AS460" s="35"/>
      <c r="AT460" s="35"/>
      <c r="AU460" s="31"/>
      <c r="AV460" s="36"/>
    </row>
    <row r="461" spans="1:48">
      <c r="A461" s="39"/>
      <c r="D461" s="31"/>
      <c r="E461" s="31"/>
      <c r="F461" s="31"/>
      <c r="G461" s="31"/>
      <c r="H461" s="32"/>
      <c r="J461" s="33"/>
      <c r="K461" s="33"/>
      <c r="L461" s="33"/>
      <c r="X461" s="23"/>
      <c r="Y461" s="23"/>
      <c r="Z461" s="23"/>
      <c r="AA461" s="23"/>
      <c r="AF461" s="23"/>
      <c r="AG461" s="23"/>
      <c r="AH461" s="23"/>
      <c r="AI461" s="23"/>
      <c r="AN461" s="23"/>
      <c r="AO461" s="23"/>
      <c r="AP461" s="23"/>
      <c r="AQ461" s="23"/>
      <c r="AR461" s="35"/>
      <c r="AS461" s="35"/>
      <c r="AT461" s="35"/>
      <c r="AU461" s="31"/>
      <c r="AV461" s="36"/>
    </row>
    <row r="462" spans="1:48">
      <c r="A462" s="39"/>
      <c r="D462" s="31"/>
      <c r="E462" s="31"/>
      <c r="F462" s="31"/>
      <c r="G462" s="31"/>
      <c r="H462" s="32"/>
      <c r="J462" s="33"/>
      <c r="K462" s="33"/>
      <c r="L462" s="33"/>
      <c r="X462" s="23"/>
      <c r="Y462" s="23"/>
      <c r="Z462" s="23"/>
      <c r="AA462" s="23"/>
      <c r="AF462" s="23"/>
      <c r="AG462" s="23"/>
      <c r="AH462" s="23"/>
      <c r="AI462" s="23"/>
      <c r="AN462" s="23"/>
      <c r="AO462" s="23"/>
      <c r="AP462" s="23"/>
      <c r="AQ462" s="23"/>
      <c r="AR462" s="35"/>
      <c r="AS462" s="35"/>
      <c r="AT462" s="35"/>
      <c r="AU462" s="31"/>
      <c r="AV462" s="36"/>
    </row>
    <row r="463" spans="1:48">
      <c r="A463" s="39"/>
      <c r="D463" s="31"/>
      <c r="E463" s="31"/>
      <c r="F463" s="31"/>
      <c r="G463" s="31"/>
      <c r="H463" s="32"/>
      <c r="J463" s="33"/>
      <c r="K463" s="33"/>
      <c r="L463" s="33"/>
      <c r="X463" s="23"/>
      <c r="Y463" s="23"/>
      <c r="Z463" s="23"/>
      <c r="AA463" s="23"/>
      <c r="AF463" s="23"/>
      <c r="AG463" s="23"/>
      <c r="AH463" s="23"/>
      <c r="AI463" s="23"/>
      <c r="AN463" s="23"/>
      <c r="AO463" s="23"/>
      <c r="AP463" s="23"/>
      <c r="AQ463" s="23"/>
      <c r="AR463" s="35"/>
      <c r="AS463" s="35"/>
      <c r="AT463" s="35"/>
      <c r="AU463" s="31"/>
      <c r="AV463" s="36"/>
    </row>
    <row r="464" spans="1:48">
      <c r="A464" s="39"/>
      <c r="D464" s="31"/>
      <c r="E464" s="31"/>
      <c r="F464" s="31"/>
      <c r="G464" s="31"/>
      <c r="H464" s="32"/>
      <c r="J464" s="33"/>
      <c r="K464" s="33"/>
      <c r="L464" s="33"/>
      <c r="X464" s="23"/>
      <c r="Y464" s="23"/>
      <c r="Z464" s="23"/>
      <c r="AA464" s="23"/>
      <c r="AF464" s="23"/>
      <c r="AG464" s="23"/>
      <c r="AH464" s="23"/>
      <c r="AI464" s="23"/>
      <c r="AN464" s="23"/>
      <c r="AO464" s="23"/>
      <c r="AP464" s="23"/>
      <c r="AQ464" s="23"/>
      <c r="AR464" s="35"/>
      <c r="AS464" s="35"/>
      <c r="AT464" s="35"/>
      <c r="AU464" s="31"/>
      <c r="AV464" s="36"/>
    </row>
    <row r="465" spans="1:48">
      <c r="A465" s="39"/>
      <c r="D465" s="31"/>
      <c r="E465" s="31"/>
      <c r="F465" s="31"/>
      <c r="G465" s="31"/>
      <c r="H465" s="32"/>
      <c r="J465" s="33"/>
      <c r="K465" s="33"/>
      <c r="L465" s="33"/>
      <c r="X465" s="23"/>
      <c r="Y465" s="23"/>
      <c r="Z465" s="23"/>
      <c r="AA465" s="23"/>
      <c r="AF465" s="23"/>
      <c r="AG465" s="23"/>
      <c r="AH465" s="23"/>
      <c r="AI465" s="23"/>
      <c r="AN465" s="23"/>
      <c r="AO465" s="23"/>
      <c r="AP465" s="23"/>
      <c r="AQ465" s="23"/>
      <c r="AR465" s="35"/>
      <c r="AS465" s="35"/>
      <c r="AT465" s="35"/>
      <c r="AU465" s="31"/>
      <c r="AV465" s="36"/>
    </row>
    <row r="466" spans="1:48">
      <c r="A466" s="39"/>
      <c r="D466" s="31"/>
      <c r="E466" s="31"/>
      <c r="F466" s="31"/>
      <c r="G466" s="31"/>
      <c r="H466" s="32"/>
      <c r="J466" s="33"/>
      <c r="K466" s="33"/>
      <c r="L466" s="33"/>
      <c r="X466" s="23"/>
      <c r="Y466" s="23"/>
      <c r="Z466" s="23"/>
      <c r="AA466" s="23"/>
      <c r="AF466" s="23"/>
      <c r="AG466" s="23"/>
      <c r="AH466" s="23"/>
      <c r="AI466" s="23"/>
      <c r="AN466" s="23"/>
      <c r="AO466" s="23"/>
      <c r="AP466" s="23"/>
      <c r="AQ466" s="23"/>
      <c r="AR466" s="35"/>
      <c r="AS466" s="35"/>
      <c r="AT466" s="35"/>
      <c r="AU466" s="31"/>
      <c r="AV466" s="36"/>
    </row>
    <row r="467" spans="1:48">
      <c r="A467" s="39"/>
      <c r="D467" s="31"/>
      <c r="E467" s="31"/>
      <c r="F467" s="31"/>
      <c r="G467" s="31"/>
      <c r="H467" s="32"/>
      <c r="J467" s="33"/>
      <c r="K467" s="33"/>
      <c r="L467" s="33"/>
      <c r="X467" s="23"/>
      <c r="Y467" s="23"/>
      <c r="Z467" s="23"/>
      <c r="AA467" s="23"/>
      <c r="AF467" s="23"/>
      <c r="AG467" s="23"/>
      <c r="AH467" s="23"/>
      <c r="AI467" s="23"/>
      <c r="AN467" s="23"/>
      <c r="AO467" s="23"/>
      <c r="AP467" s="23"/>
      <c r="AQ467" s="23"/>
      <c r="AR467" s="35"/>
      <c r="AS467" s="35"/>
      <c r="AT467" s="35"/>
      <c r="AU467" s="31"/>
      <c r="AV467" s="36"/>
    </row>
    <row r="468" spans="1:48">
      <c r="A468" s="39"/>
      <c r="D468" s="31"/>
      <c r="E468" s="31"/>
      <c r="F468" s="31"/>
      <c r="G468" s="31"/>
      <c r="H468" s="32"/>
      <c r="J468" s="33"/>
      <c r="K468" s="33"/>
      <c r="L468" s="33"/>
      <c r="X468" s="23"/>
      <c r="Y468" s="23"/>
      <c r="Z468" s="23"/>
      <c r="AA468" s="23"/>
      <c r="AF468" s="23"/>
      <c r="AG468" s="23"/>
      <c r="AH468" s="23"/>
      <c r="AI468" s="23"/>
      <c r="AN468" s="23"/>
      <c r="AO468" s="23"/>
      <c r="AP468" s="23"/>
      <c r="AQ468" s="23"/>
      <c r="AR468" s="35"/>
      <c r="AS468" s="35"/>
      <c r="AT468" s="35"/>
      <c r="AU468" s="31"/>
      <c r="AV468" s="36"/>
    </row>
    <row r="469" spans="1:48">
      <c r="A469" s="39"/>
      <c r="D469" s="31"/>
      <c r="E469" s="31"/>
      <c r="F469" s="31"/>
      <c r="G469" s="31"/>
      <c r="H469" s="32"/>
      <c r="J469" s="33"/>
      <c r="K469" s="33"/>
      <c r="L469" s="33"/>
      <c r="X469" s="23"/>
      <c r="Y469" s="23"/>
      <c r="Z469" s="23"/>
      <c r="AA469" s="23"/>
      <c r="AF469" s="23"/>
      <c r="AG469" s="23"/>
      <c r="AH469" s="23"/>
      <c r="AI469" s="23"/>
      <c r="AN469" s="23"/>
      <c r="AO469" s="23"/>
      <c r="AP469" s="23"/>
      <c r="AQ469" s="23"/>
      <c r="AR469" s="35"/>
      <c r="AS469" s="35"/>
      <c r="AT469" s="35"/>
      <c r="AU469" s="31"/>
      <c r="AV469" s="36"/>
    </row>
    <row r="470" spans="1:48">
      <c r="A470" s="39"/>
      <c r="D470" s="31"/>
      <c r="E470" s="31"/>
      <c r="F470" s="31"/>
      <c r="G470" s="31"/>
      <c r="H470" s="32"/>
      <c r="J470" s="33"/>
      <c r="K470" s="33"/>
      <c r="L470" s="33"/>
      <c r="X470" s="23"/>
      <c r="Y470" s="23"/>
      <c r="Z470" s="23"/>
      <c r="AA470" s="23"/>
      <c r="AF470" s="23"/>
      <c r="AG470" s="23"/>
      <c r="AH470" s="23"/>
      <c r="AI470" s="23"/>
      <c r="AN470" s="23"/>
      <c r="AO470" s="23"/>
      <c r="AP470" s="23"/>
      <c r="AQ470" s="23"/>
      <c r="AR470" s="35"/>
      <c r="AS470" s="35"/>
      <c r="AT470" s="35"/>
      <c r="AU470" s="31"/>
      <c r="AV470" s="36"/>
    </row>
    <row r="471" spans="1:48">
      <c r="A471" s="39"/>
      <c r="D471" s="31"/>
      <c r="E471" s="31"/>
      <c r="F471" s="31"/>
      <c r="G471" s="31"/>
      <c r="H471" s="32"/>
      <c r="J471" s="33"/>
      <c r="K471" s="33"/>
      <c r="L471" s="33"/>
      <c r="X471" s="23"/>
      <c r="Y471" s="23"/>
      <c r="Z471" s="23"/>
      <c r="AA471" s="23"/>
      <c r="AF471" s="23"/>
      <c r="AG471" s="23"/>
      <c r="AH471" s="23"/>
      <c r="AI471" s="23"/>
      <c r="AN471" s="23"/>
      <c r="AO471" s="23"/>
      <c r="AP471" s="23"/>
      <c r="AQ471" s="23"/>
      <c r="AR471" s="35"/>
      <c r="AS471" s="35"/>
      <c r="AT471" s="35"/>
      <c r="AU471" s="31"/>
      <c r="AV471" s="36"/>
    </row>
    <row r="472" spans="1:48">
      <c r="A472" s="39"/>
      <c r="D472" s="31"/>
      <c r="E472" s="31"/>
      <c r="F472" s="31"/>
      <c r="G472" s="31"/>
      <c r="H472" s="32"/>
      <c r="J472" s="33"/>
      <c r="K472" s="33"/>
      <c r="L472" s="33"/>
      <c r="X472" s="23"/>
      <c r="Y472" s="23"/>
      <c r="Z472" s="23"/>
      <c r="AA472" s="23"/>
      <c r="AF472" s="23"/>
      <c r="AG472" s="23"/>
      <c r="AH472" s="23"/>
      <c r="AI472" s="23"/>
      <c r="AN472" s="23"/>
      <c r="AO472" s="23"/>
      <c r="AP472" s="23"/>
      <c r="AQ472" s="23"/>
      <c r="AR472" s="35"/>
      <c r="AS472" s="35"/>
      <c r="AT472" s="35"/>
      <c r="AU472" s="31"/>
      <c r="AV472" s="36"/>
    </row>
    <row r="473" spans="1:48">
      <c r="A473" s="39"/>
      <c r="D473" s="31"/>
      <c r="E473" s="31"/>
      <c r="F473" s="31"/>
      <c r="G473" s="31"/>
      <c r="H473" s="32"/>
      <c r="J473" s="33"/>
      <c r="K473" s="33"/>
      <c r="L473" s="33"/>
      <c r="X473" s="23"/>
      <c r="Y473" s="23"/>
      <c r="Z473" s="23"/>
      <c r="AA473" s="23"/>
      <c r="AF473" s="23"/>
      <c r="AG473" s="23"/>
      <c r="AH473" s="23"/>
      <c r="AI473" s="23"/>
      <c r="AN473" s="23"/>
      <c r="AO473" s="23"/>
      <c r="AP473" s="23"/>
      <c r="AQ473" s="23"/>
      <c r="AR473" s="35"/>
      <c r="AS473" s="35"/>
      <c r="AT473" s="35"/>
      <c r="AU473" s="31"/>
      <c r="AV473" s="36"/>
    </row>
    <row r="474" spans="1:48">
      <c r="A474" s="39"/>
      <c r="D474" s="31"/>
      <c r="E474" s="31"/>
      <c r="F474" s="31"/>
      <c r="G474" s="31"/>
      <c r="H474" s="32"/>
      <c r="J474" s="33"/>
      <c r="K474" s="33"/>
      <c r="L474" s="33"/>
      <c r="X474" s="23"/>
      <c r="Y474" s="23"/>
      <c r="Z474" s="23"/>
      <c r="AA474" s="23"/>
      <c r="AF474" s="23"/>
      <c r="AG474" s="23"/>
      <c r="AH474" s="23"/>
      <c r="AI474" s="23"/>
      <c r="AN474" s="23"/>
      <c r="AO474" s="23"/>
      <c r="AP474" s="23"/>
      <c r="AQ474" s="23"/>
      <c r="AR474" s="35"/>
      <c r="AS474" s="35"/>
      <c r="AT474" s="35"/>
      <c r="AU474" s="31"/>
      <c r="AV474" s="36"/>
    </row>
    <row r="475" spans="1:48">
      <c r="A475" s="39"/>
      <c r="D475" s="31"/>
      <c r="E475" s="31"/>
      <c r="F475" s="31"/>
      <c r="G475" s="31"/>
      <c r="H475" s="32"/>
      <c r="J475" s="33"/>
      <c r="K475" s="33"/>
      <c r="L475" s="33"/>
      <c r="X475" s="23"/>
      <c r="Y475" s="23"/>
      <c r="Z475" s="23"/>
      <c r="AA475" s="23"/>
      <c r="AF475" s="23"/>
      <c r="AG475" s="23"/>
      <c r="AH475" s="23"/>
      <c r="AI475" s="23"/>
      <c r="AN475" s="23"/>
      <c r="AO475" s="23"/>
      <c r="AP475" s="23"/>
      <c r="AQ475" s="23"/>
      <c r="AR475" s="35"/>
      <c r="AS475" s="35"/>
      <c r="AT475" s="35"/>
      <c r="AU475" s="31"/>
      <c r="AV475" s="36"/>
    </row>
    <row r="476" spans="1:48">
      <c r="A476" s="39"/>
      <c r="D476" s="31"/>
      <c r="E476" s="31"/>
      <c r="F476" s="31"/>
      <c r="G476" s="31"/>
      <c r="H476" s="32"/>
      <c r="J476" s="33"/>
      <c r="K476" s="33"/>
      <c r="L476" s="33"/>
      <c r="X476" s="23"/>
      <c r="Y476" s="23"/>
      <c r="Z476" s="23"/>
      <c r="AA476" s="23"/>
      <c r="AF476" s="23"/>
      <c r="AG476" s="23"/>
      <c r="AH476" s="23"/>
      <c r="AI476" s="23"/>
      <c r="AN476" s="23"/>
      <c r="AO476" s="23"/>
      <c r="AP476" s="23"/>
      <c r="AQ476" s="23"/>
      <c r="AR476" s="35"/>
      <c r="AS476" s="35"/>
      <c r="AT476" s="35"/>
      <c r="AU476" s="31"/>
      <c r="AV476" s="36"/>
    </row>
    <row r="477" spans="1:48">
      <c r="A477" s="39"/>
      <c r="D477" s="31"/>
      <c r="E477" s="31"/>
      <c r="F477" s="31"/>
      <c r="G477" s="31"/>
      <c r="H477" s="32"/>
      <c r="J477" s="33"/>
      <c r="K477" s="33"/>
      <c r="L477" s="33"/>
      <c r="X477" s="23"/>
      <c r="Y477" s="23"/>
      <c r="Z477" s="23"/>
      <c r="AA477" s="23"/>
      <c r="AF477" s="23"/>
      <c r="AG477" s="23"/>
      <c r="AH477" s="23"/>
      <c r="AI477" s="23"/>
      <c r="AN477" s="23"/>
      <c r="AO477" s="23"/>
      <c r="AP477" s="23"/>
      <c r="AQ477" s="23"/>
      <c r="AR477" s="35"/>
      <c r="AS477" s="35"/>
      <c r="AT477" s="35"/>
      <c r="AU477" s="31"/>
      <c r="AV477" s="36"/>
    </row>
    <row r="478" spans="1:48">
      <c r="A478" s="39"/>
      <c r="D478" s="31"/>
      <c r="E478" s="31"/>
      <c r="F478" s="31"/>
      <c r="G478" s="31"/>
      <c r="H478" s="32"/>
      <c r="J478" s="33"/>
      <c r="K478" s="33"/>
      <c r="L478" s="33"/>
      <c r="X478" s="23"/>
      <c r="Y478" s="23"/>
      <c r="Z478" s="23"/>
      <c r="AA478" s="23"/>
      <c r="AF478" s="23"/>
      <c r="AG478" s="23"/>
      <c r="AH478" s="23"/>
      <c r="AI478" s="23"/>
      <c r="AN478" s="23"/>
      <c r="AO478" s="23"/>
      <c r="AP478" s="23"/>
      <c r="AQ478" s="23"/>
      <c r="AR478" s="35"/>
      <c r="AS478" s="35"/>
      <c r="AT478" s="35"/>
      <c r="AU478" s="31"/>
      <c r="AV478" s="36"/>
    </row>
    <row r="479" spans="1:48">
      <c r="A479" s="39"/>
      <c r="D479" s="31"/>
      <c r="E479" s="31"/>
      <c r="F479" s="31"/>
      <c r="G479" s="31"/>
      <c r="H479" s="32"/>
      <c r="J479" s="33"/>
      <c r="K479" s="33"/>
      <c r="L479" s="33"/>
      <c r="X479" s="23"/>
      <c r="Y479" s="23"/>
      <c r="Z479" s="23"/>
      <c r="AA479" s="23"/>
      <c r="AF479" s="23"/>
      <c r="AG479" s="23"/>
      <c r="AH479" s="23"/>
      <c r="AI479" s="23"/>
      <c r="AN479" s="23"/>
      <c r="AO479" s="23"/>
      <c r="AP479" s="23"/>
      <c r="AQ479" s="23"/>
      <c r="AR479" s="35"/>
      <c r="AS479" s="35"/>
      <c r="AT479" s="35"/>
      <c r="AU479" s="31"/>
      <c r="AV479" s="36"/>
    </row>
    <row r="480" spans="1:48">
      <c r="A480" s="39"/>
      <c r="D480" s="31"/>
      <c r="E480" s="31"/>
      <c r="F480" s="31"/>
      <c r="G480" s="31"/>
      <c r="H480" s="32"/>
      <c r="J480" s="33"/>
      <c r="K480" s="33"/>
      <c r="L480" s="33"/>
      <c r="X480" s="23"/>
      <c r="Y480" s="23"/>
      <c r="Z480" s="23"/>
      <c r="AA480" s="23"/>
      <c r="AF480" s="23"/>
      <c r="AG480" s="23"/>
      <c r="AH480" s="23"/>
      <c r="AI480" s="23"/>
      <c r="AN480" s="23"/>
      <c r="AO480" s="23"/>
      <c r="AP480" s="23"/>
      <c r="AQ480" s="23"/>
      <c r="AR480" s="35"/>
      <c r="AS480" s="35"/>
      <c r="AT480" s="35"/>
      <c r="AU480" s="31"/>
      <c r="AV480" s="36"/>
    </row>
    <row r="481" spans="1:48">
      <c r="A481" s="39"/>
      <c r="D481" s="31"/>
      <c r="E481" s="31"/>
      <c r="F481" s="31"/>
      <c r="G481" s="31"/>
      <c r="H481" s="32"/>
      <c r="J481" s="33"/>
      <c r="K481" s="33"/>
      <c r="L481" s="33"/>
      <c r="X481" s="23"/>
      <c r="Y481" s="23"/>
      <c r="Z481" s="23"/>
      <c r="AA481" s="23"/>
      <c r="AF481" s="23"/>
      <c r="AG481" s="23"/>
      <c r="AH481" s="23"/>
      <c r="AI481" s="23"/>
      <c r="AN481" s="23"/>
      <c r="AO481" s="23"/>
      <c r="AP481" s="23"/>
      <c r="AQ481" s="23"/>
      <c r="AR481" s="35"/>
      <c r="AS481" s="35"/>
      <c r="AT481" s="35"/>
      <c r="AU481" s="31"/>
      <c r="AV481" s="36"/>
    </row>
    <row r="482" spans="1:48">
      <c r="A482" s="39"/>
      <c r="D482" s="31"/>
      <c r="E482" s="31"/>
      <c r="F482" s="31"/>
      <c r="G482" s="31"/>
      <c r="H482" s="32"/>
      <c r="J482" s="33"/>
      <c r="K482" s="33"/>
      <c r="L482" s="33"/>
      <c r="X482" s="23"/>
      <c r="Y482" s="23"/>
      <c r="Z482" s="23"/>
      <c r="AA482" s="23"/>
      <c r="AF482" s="23"/>
      <c r="AG482" s="23"/>
      <c r="AH482" s="23"/>
      <c r="AI482" s="23"/>
      <c r="AN482" s="23"/>
      <c r="AO482" s="23"/>
      <c r="AP482" s="23"/>
      <c r="AQ482" s="23"/>
      <c r="AR482" s="35"/>
      <c r="AS482" s="35"/>
      <c r="AT482" s="35"/>
      <c r="AU482" s="31"/>
      <c r="AV482" s="36"/>
    </row>
    <row r="483" spans="1:48">
      <c r="A483" s="39"/>
      <c r="D483" s="31"/>
      <c r="E483" s="31"/>
      <c r="F483" s="31"/>
      <c r="G483" s="31"/>
      <c r="H483" s="32"/>
      <c r="J483" s="33"/>
      <c r="K483" s="33"/>
      <c r="L483" s="33"/>
      <c r="X483" s="23"/>
      <c r="Y483" s="23"/>
      <c r="Z483" s="23"/>
      <c r="AA483" s="23"/>
      <c r="AF483" s="23"/>
      <c r="AG483" s="23"/>
      <c r="AH483" s="23"/>
      <c r="AI483" s="23"/>
      <c r="AN483" s="23"/>
      <c r="AO483" s="23"/>
      <c r="AP483" s="23"/>
      <c r="AQ483" s="23"/>
      <c r="AR483" s="35"/>
      <c r="AS483" s="35"/>
      <c r="AT483" s="35"/>
      <c r="AU483" s="31"/>
      <c r="AV483" s="36"/>
    </row>
    <row r="484" spans="1:48">
      <c r="A484" s="39"/>
      <c r="D484" s="31"/>
      <c r="E484" s="31"/>
      <c r="F484" s="31"/>
      <c r="G484" s="31"/>
      <c r="H484" s="32"/>
      <c r="J484" s="33"/>
      <c r="K484" s="33"/>
      <c r="L484" s="33"/>
      <c r="X484" s="23"/>
      <c r="Y484" s="23"/>
      <c r="Z484" s="23"/>
      <c r="AA484" s="23"/>
      <c r="AF484" s="23"/>
      <c r="AG484" s="23"/>
      <c r="AH484" s="23"/>
      <c r="AI484" s="23"/>
      <c r="AN484" s="23"/>
      <c r="AO484" s="23"/>
      <c r="AP484" s="23"/>
      <c r="AQ484" s="23"/>
      <c r="AR484" s="35"/>
      <c r="AS484" s="35"/>
      <c r="AT484" s="35"/>
      <c r="AU484" s="31"/>
      <c r="AV484" s="36"/>
    </row>
    <row r="485" spans="1:48">
      <c r="A485" s="39"/>
      <c r="D485" s="31"/>
      <c r="E485" s="31"/>
      <c r="F485" s="31"/>
      <c r="G485" s="31"/>
      <c r="H485" s="32"/>
      <c r="J485" s="33"/>
      <c r="K485" s="33"/>
      <c r="L485" s="33"/>
      <c r="X485" s="23"/>
      <c r="Y485" s="23"/>
      <c r="Z485" s="23"/>
      <c r="AA485" s="23"/>
      <c r="AF485" s="23"/>
      <c r="AG485" s="23"/>
      <c r="AH485" s="23"/>
      <c r="AI485" s="23"/>
      <c r="AN485" s="23"/>
      <c r="AO485" s="23"/>
      <c r="AP485" s="23"/>
      <c r="AQ485" s="23"/>
      <c r="AR485" s="35"/>
      <c r="AS485" s="35"/>
      <c r="AT485" s="35"/>
      <c r="AU485" s="31"/>
      <c r="AV485" s="36"/>
    </row>
    <row r="486" spans="1:48">
      <c r="A486" s="39"/>
      <c r="D486" s="31"/>
      <c r="E486" s="31"/>
      <c r="F486" s="31"/>
      <c r="G486" s="31"/>
      <c r="H486" s="32"/>
      <c r="J486" s="33"/>
      <c r="K486" s="33"/>
      <c r="L486" s="33"/>
      <c r="X486" s="23"/>
      <c r="Y486" s="23"/>
      <c r="Z486" s="23"/>
      <c r="AA486" s="23"/>
      <c r="AF486" s="23"/>
      <c r="AG486" s="23"/>
      <c r="AH486" s="23"/>
      <c r="AI486" s="23"/>
      <c r="AN486" s="23"/>
      <c r="AO486" s="23"/>
      <c r="AP486" s="23"/>
      <c r="AQ486" s="23"/>
      <c r="AR486" s="35"/>
      <c r="AS486" s="35"/>
      <c r="AT486" s="35"/>
      <c r="AU486" s="31"/>
      <c r="AV486" s="36"/>
    </row>
    <row r="487" spans="1:48">
      <c r="A487" s="39"/>
      <c r="D487" s="31"/>
      <c r="E487" s="31"/>
      <c r="F487" s="31"/>
      <c r="G487" s="31"/>
      <c r="H487" s="32"/>
      <c r="J487" s="33"/>
      <c r="K487" s="33"/>
      <c r="L487" s="33"/>
      <c r="X487" s="23"/>
      <c r="Y487" s="23"/>
      <c r="Z487" s="23"/>
      <c r="AA487" s="23"/>
      <c r="AF487" s="23"/>
      <c r="AG487" s="23"/>
      <c r="AH487" s="23"/>
      <c r="AI487" s="23"/>
      <c r="AN487" s="23"/>
      <c r="AO487" s="23"/>
      <c r="AP487" s="23"/>
      <c r="AQ487" s="23"/>
      <c r="AR487" s="35"/>
      <c r="AS487" s="35"/>
      <c r="AT487" s="35"/>
      <c r="AU487" s="31"/>
      <c r="AV487" s="36"/>
    </row>
    <row r="488" spans="1:48">
      <c r="A488" s="39"/>
      <c r="D488" s="31"/>
      <c r="E488" s="31"/>
      <c r="F488" s="31"/>
      <c r="G488" s="31"/>
      <c r="H488" s="32"/>
      <c r="J488" s="33"/>
      <c r="K488" s="33"/>
      <c r="L488" s="33"/>
      <c r="X488" s="23"/>
      <c r="Y488" s="23"/>
      <c r="Z488" s="23"/>
      <c r="AA488" s="23"/>
      <c r="AF488" s="23"/>
      <c r="AG488" s="23"/>
      <c r="AH488" s="23"/>
      <c r="AI488" s="23"/>
      <c r="AN488" s="23"/>
      <c r="AO488" s="23"/>
      <c r="AP488" s="23"/>
      <c r="AQ488" s="23"/>
      <c r="AR488" s="35"/>
      <c r="AS488" s="35"/>
      <c r="AT488" s="35"/>
      <c r="AU488" s="31"/>
      <c r="AV488" s="36"/>
    </row>
    <row r="489" spans="1:48">
      <c r="A489" s="39"/>
      <c r="D489" s="31"/>
      <c r="E489" s="31"/>
      <c r="F489" s="31"/>
      <c r="G489" s="31"/>
      <c r="H489" s="32"/>
      <c r="J489" s="33"/>
      <c r="K489" s="33"/>
      <c r="L489" s="33"/>
      <c r="X489" s="23"/>
      <c r="Y489" s="23"/>
      <c r="Z489" s="23"/>
      <c r="AA489" s="23"/>
      <c r="AF489" s="23"/>
      <c r="AG489" s="23"/>
      <c r="AH489" s="23"/>
      <c r="AI489" s="23"/>
      <c r="AN489" s="23"/>
      <c r="AO489" s="23"/>
      <c r="AP489" s="23"/>
      <c r="AQ489" s="23"/>
      <c r="AR489" s="35"/>
      <c r="AS489" s="35"/>
      <c r="AT489" s="35"/>
      <c r="AU489" s="31"/>
      <c r="AV489" s="36"/>
    </row>
    <row r="490" spans="1:48">
      <c r="A490" s="39"/>
      <c r="D490" s="31"/>
      <c r="E490" s="31"/>
      <c r="F490" s="31"/>
      <c r="G490" s="31"/>
      <c r="H490" s="32"/>
      <c r="J490" s="33"/>
      <c r="K490" s="33"/>
      <c r="L490" s="33"/>
      <c r="X490" s="23"/>
      <c r="Y490" s="23"/>
      <c r="Z490" s="23"/>
      <c r="AA490" s="23"/>
      <c r="AF490" s="23"/>
      <c r="AG490" s="23"/>
      <c r="AH490" s="23"/>
      <c r="AI490" s="23"/>
      <c r="AN490" s="23"/>
      <c r="AO490" s="23"/>
      <c r="AP490" s="23"/>
      <c r="AQ490" s="23"/>
      <c r="AR490" s="35"/>
      <c r="AS490" s="35"/>
      <c r="AT490" s="35"/>
      <c r="AU490" s="31"/>
      <c r="AV490" s="36"/>
    </row>
    <row r="491" spans="1:48">
      <c r="A491" s="39"/>
      <c r="D491" s="31"/>
      <c r="E491" s="31"/>
      <c r="F491" s="31"/>
      <c r="G491" s="31"/>
      <c r="H491" s="32"/>
      <c r="J491" s="33"/>
      <c r="K491" s="33"/>
      <c r="L491" s="33"/>
      <c r="X491" s="23"/>
      <c r="Y491" s="23"/>
      <c r="Z491" s="23"/>
      <c r="AA491" s="23"/>
      <c r="AF491" s="23"/>
      <c r="AG491" s="23"/>
      <c r="AH491" s="23"/>
      <c r="AI491" s="23"/>
      <c r="AN491" s="23"/>
      <c r="AO491" s="23"/>
      <c r="AP491" s="23"/>
      <c r="AQ491" s="23"/>
      <c r="AR491" s="35"/>
      <c r="AS491" s="35"/>
      <c r="AT491" s="35"/>
      <c r="AU491" s="31"/>
      <c r="AV491" s="36"/>
    </row>
    <row r="492" spans="1:48">
      <c r="A492" s="39"/>
      <c r="D492" s="31"/>
      <c r="E492" s="31"/>
      <c r="F492" s="31"/>
      <c r="G492" s="31"/>
      <c r="H492" s="32"/>
      <c r="J492" s="33"/>
      <c r="K492" s="33"/>
      <c r="L492" s="33"/>
      <c r="X492" s="23"/>
      <c r="Y492" s="23"/>
      <c r="Z492" s="23"/>
      <c r="AA492" s="23"/>
      <c r="AF492" s="23"/>
      <c r="AG492" s="23"/>
      <c r="AH492" s="23"/>
      <c r="AI492" s="23"/>
      <c r="AN492" s="23"/>
      <c r="AO492" s="23"/>
      <c r="AP492" s="23"/>
      <c r="AQ492" s="23"/>
      <c r="AR492" s="35"/>
      <c r="AS492" s="35"/>
      <c r="AT492" s="35"/>
      <c r="AU492" s="31"/>
      <c r="AV492" s="36"/>
    </row>
    <row r="493" spans="1:48">
      <c r="A493" s="39"/>
      <c r="D493" s="31"/>
      <c r="E493" s="31"/>
      <c r="F493" s="31"/>
      <c r="G493" s="31"/>
      <c r="H493" s="32"/>
      <c r="J493" s="33"/>
      <c r="K493" s="33"/>
      <c r="L493" s="33"/>
      <c r="X493" s="23"/>
      <c r="Y493" s="23"/>
      <c r="Z493" s="23"/>
      <c r="AA493" s="23"/>
      <c r="AF493" s="23"/>
      <c r="AG493" s="23"/>
      <c r="AH493" s="23"/>
      <c r="AI493" s="23"/>
      <c r="AN493" s="23"/>
      <c r="AO493" s="23"/>
      <c r="AP493" s="23"/>
      <c r="AQ493" s="23"/>
      <c r="AR493" s="35"/>
      <c r="AS493" s="35"/>
      <c r="AT493" s="35"/>
      <c r="AU493" s="31"/>
      <c r="AV493" s="36"/>
    </row>
    <row r="494" spans="1:48">
      <c r="A494" s="39"/>
      <c r="D494" s="31"/>
      <c r="E494" s="31"/>
      <c r="F494" s="31"/>
      <c r="G494" s="31"/>
      <c r="H494" s="32"/>
      <c r="J494" s="33"/>
      <c r="K494" s="33"/>
      <c r="L494" s="33"/>
      <c r="X494" s="23"/>
      <c r="Y494" s="23"/>
      <c r="Z494" s="23"/>
      <c r="AA494" s="23"/>
      <c r="AF494" s="23"/>
      <c r="AG494" s="23"/>
      <c r="AH494" s="23"/>
      <c r="AI494" s="23"/>
      <c r="AN494" s="23"/>
      <c r="AO494" s="23"/>
      <c r="AP494" s="23"/>
      <c r="AQ494" s="23"/>
      <c r="AR494" s="35"/>
      <c r="AS494" s="35"/>
      <c r="AT494" s="35"/>
      <c r="AU494" s="31"/>
      <c r="AV494" s="36"/>
    </row>
    <row r="495" spans="1:48">
      <c r="A495" s="39"/>
      <c r="D495" s="31"/>
      <c r="E495" s="31"/>
      <c r="F495" s="31"/>
      <c r="G495" s="31"/>
      <c r="H495" s="32"/>
      <c r="J495" s="33"/>
      <c r="K495" s="33"/>
      <c r="L495" s="33"/>
      <c r="X495" s="23"/>
      <c r="Y495" s="23"/>
      <c r="Z495" s="23"/>
      <c r="AA495" s="23"/>
      <c r="AF495" s="23"/>
      <c r="AG495" s="23"/>
      <c r="AH495" s="23"/>
      <c r="AI495" s="23"/>
      <c r="AN495" s="23"/>
      <c r="AO495" s="23"/>
      <c r="AP495" s="23"/>
      <c r="AQ495" s="23"/>
      <c r="AR495" s="35"/>
      <c r="AS495" s="35"/>
      <c r="AT495" s="35"/>
      <c r="AU495" s="31"/>
      <c r="AV495" s="36"/>
    </row>
    <row r="496" spans="1:48">
      <c r="A496" s="39"/>
      <c r="D496" s="31"/>
      <c r="E496" s="31"/>
      <c r="F496" s="31"/>
      <c r="G496" s="31"/>
      <c r="H496" s="32"/>
      <c r="J496" s="33"/>
      <c r="K496" s="33"/>
      <c r="L496" s="33"/>
      <c r="X496" s="23"/>
      <c r="Y496" s="23"/>
      <c r="Z496" s="23"/>
      <c r="AA496" s="23"/>
      <c r="AF496" s="23"/>
      <c r="AG496" s="23"/>
      <c r="AH496" s="23"/>
      <c r="AI496" s="23"/>
      <c r="AN496" s="23"/>
      <c r="AO496" s="23"/>
      <c r="AP496" s="23"/>
      <c r="AQ496" s="23"/>
      <c r="AR496" s="35"/>
      <c r="AS496" s="35"/>
      <c r="AT496" s="35"/>
      <c r="AU496" s="31"/>
      <c r="AV496" s="36"/>
    </row>
    <row r="497" spans="1:48">
      <c r="A497" s="39"/>
      <c r="D497" s="31"/>
      <c r="E497" s="31"/>
      <c r="F497" s="31"/>
      <c r="G497" s="31"/>
      <c r="H497" s="32"/>
      <c r="J497" s="33"/>
      <c r="K497" s="33"/>
      <c r="L497" s="33"/>
      <c r="X497" s="23"/>
      <c r="Y497" s="23"/>
      <c r="Z497" s="23"/>
      <c r="AA497" s="23"/>
      <c r="AF497" s="23"/>
      <c r="AG497" s="23"/>
      <c r="AH497" s="23"/>
      <c r="AI497" s="23"/>
      <c r="AN497" s="23"/>
      <c r="AO497" s="23"/>
      <c r="AP497" s="23"/>
      <c r="AQ497" s="23"/>
      <c r="AR497" s="35"/>
      <c r="AS497" s="35"/>
      <c r="AT497" s="35"/>
      <c r="AU497" s="31"/>
      <c r="AV497" s="36"/>
    </row>
    <row r="498" spans="1:48">
      <c r="A498" s="39"/>
      <c r="D498" s="31"/>
      <c r="E498" s="31"/>
      <c r="F498" s="31"/>
      <c r="G498" s="31"/>
      <c r="H498" s="32"/>
      <c r="J498" s="33"/>
      <c r="K498" s="33"/>
      <c r="L498" s="33"/>
      <c r="X498" s="23"/>
      <c r="Y498" s="23"/>
      <c r="Z498" s="23"/>
      <c r="AA498" s="23"/>
      <c r="AF498" s="23"/>
      <c r="AG498" s="23"/>
      <c r="AH498" s="23"/>
      <c r="AI498" s="23"/>
      <c r="AN498" s="23"/>
      <c r="AO498" s="23"/>
      <c r="AP498" s="23"/>
      <c r="AQ498" s="23"/>
      <c r="AR498" s="35"/>
      <c r="AS498" s="35"/>
      <c r="AT498" s="35"/>
      <c r="AU498" s="31"/>
      <c r="AV498" s="36"/>
    </row>
    <row r="499" spans="1:48">
      <c r="A499" s="39"/>
      <c r="D499" s="31"/>
      <c r="E499" s="31"/>
      <c r="F499" s="31"/>
      <c r="G499" s="31"/>
      <c r="H499" s="32"/>
      <c r="J499" s="33"/>
      <c r="K499" s="33"/>
      <c r="L499" s="33"/>
      <c r="X499" s="23"/>
      <c r="Y499" s="23"/>
      <c r="Z499" s="23"/>
      <c r="AA499" s="23"/>
      <c r="AF499" s="23"/>
      <c r="AG499" s="23"/>
      <c r="AH499" s="23"/>
      <c r="AI499" s="23"/>
      <c r="AN499" s="23"/>
      <c r="AO499" s="23"/>
      <c r="AP499" s="23"/>
      <c r="AQ499" s="23"/>
      <c r="AR499" s="35"/>
      <c r="AS499" s="35"/>
      <c r="AT499" s="35"/>
      <c r="AU499" s="31"/>
      <c r="AV499" s="36"/>
    </row>
    <row r="500" spans="1:48">
      <c r="A500" s="39"/>
      <c r="D500" s="31"/>
      <c r="E500" s="31"/>
      <c r="F500" s="31"/>
      <c r="G500" s="31"/>
      <c r="H500" s="32"/>
      <c r="J500" s="33"/>
      <c r="K500" s="33"/>
      <c r="L500" s="33"/>
      <c r="X500" s="23"/>
      <c r="Y500" s="23"/>
      <c r="Z500" s="23"/>
      <c r="AA500" s="23"/>
      <c r="AF500" s="23"/>
      <c r="AG500" s="23"/>
      <c r="AH500" s="23"/>
      <c r="AI500" s="23"/>
      <c r="AN500" s="23"/>
      <c r="AO500" s="23"/>
      <c r="AP500" s="23"/>
      <c r="AQ500" s="23"/>
      <c r="AR500" s="35"/>
      <c r="AS500" s="35"/>
      <c r="AT500" s="35"/>
      <c r="AU500" s="31"/>
      <c r="AV500" s="36"/>
    </row>
    <row r="501" spans="1:48">
      <c r="A501" s="39"/>
      <c r="D501" s="31"/>
      <c r="E501" s="31"/>
      <c r="F501" s="31"/>
      <c r="G501" s="31"/>
      <c r="H501" s="32"/>
      <c r="J501" s="33"/>
      <c r="K501" s="33"/>
      <c r="L501" s="33"/>
      <c r="X501" s="23"/>
      <c r="Y501" s="23"/>
      <c r="Z501" s="23"/>
      <c r="AA501" s="23"/>
      <c r="AF501" s="23"/>
      <c r="AG501" s="23"/>
      <c r="AH501" s="23"/>
      <c r="AI501" s="23"/>
      <c r="AN501" s="23"/>
      <c r="AO501" s="23"/>
      <c r="AP501" s="23"/>
      <c r="AQ501" s="23"/>
      <c r="AR501" s="35"/>
      <c r="AS501" s="35"/>
      <c r="AT501" s="35"/>
      <c r="AU501" s="31"/>
      <c r="AV501" s="36"/>
    </row>
    <row r="502" spans="1:47">
      <c r="A502" s="21"/>
      <c r="D502" s="31"/>
      <c r="E502" s="31"/>
      <c r="F502" s="31"/>
      <c r="G502" s="31"/>
      <c r="H502" s="32"/>
      <c r="J502" s="33"/>
      <c r="K502" s="33"/>
      <c r="L502" s="33"/>
      <c r="X502" s="23"/>
      <c r="Y502" s="23"/>
      <c r="Z502" s="23"/>
      <c r="AA502" s="23"/>
      <c r="AF502" s="23"/>
      <c r="AG502" s="23"/>
      <c r="AH502" s="23"/>
      <c r="AI502" s="23"/>
      <c r="AN502" s="23"/>
      <c r="AO502" s="23"/>
      <c r="AP502" s="23"/>
      <c r="AQ502" s="23"/>
      <c r="AR502" s="35"/>
      <c r="AS502" s="35"/>
      <c r="AT502" s="35"/>
      <c r="AU502" s="31"/>
    </row>
    <row r="503" spans="1:47">
      <c r="A503" s="21"/>
      <c r="D503" s="31"/>
      <c r="E503" s="31"/>
      <c r="F503" s="31"/>
      <c r="G503" s="31"/>
      <c r="H503" s="32"/>
      <c r="J503" s="33"/>
      <c r="K503" s="33"/>
      <c r="L503" s="33"/>
      <c r="X503" s="23"/>
      <c r="Y503" s="23"/>
      <c r="Z503" s="23"/>
      <c r="AA503" s="23"/>
      <c r="AF503" s="23"/>
      <c r="AG503" s="23"/>
      <c r="AH503" s="23"/>
      <c r="AI503" s="23"/>
      <c r="AN503" s="23"/>
      <c r="AO503" s="23"/>
      <c r="AP503" s="23"/>
      <c r="AQ503" s="23"/>
      <c r="AR503" s="35"/>
      <c r="AS503" s="35"/>
      <c r="AT503" s="35"/>
      <c r="AU503" s="31"/>
    </row>
    <row r="504" spans="1:47">
      <c r="A504" s="21"/>
      <c r="D504" s="31"/>
      <c r="E504" s="31"/>
      <c r="F504" s="31"/>
      <c r="G504" s="31"/>
      <c r="H504" s="32"/>
      <c r="J504" s="33"/>
      <c r="K504" s="33"/>
      <c r="L504" s="33"/>
      <c r="X504" s="23"/>
      <c r="Y504" s="23"/>
      <c r="Z504" s="23"/>
      <c r="AA504" s="23"/>
      <c r="AF504" s="23"/>
      <c r="AG504" s="23"/>
      <c r="AH504" s="23"/>
      <c r="AI504" s="23"/>
      <c r="AN504" s="23"/>
      <c r="AO504" s="23"/>
      <c r="AP504" s="23"/>
      <c r="AQ504" s="23"/>
      <c r="AR504" s="35"/>
      <c r="AS504" s="35"/>
      <c r="AT504" s="35"/>
      <c r="AU504" s="31"/>
    </row>
    <row r="505" spans="1:47">
      <c r="A505" s="21"/>
      <c r="D505" s="31"/>
      <c r="E505" s="31"/>
      <c r="F505" s="31"/>
      <c r="G505" s="31"/>
      <c r="H505" s="32"/>
      <c r="J505" s="33"/>
      <c r="K505" s="33"/>
      <c r="L505" s="33"/>
      <c r="X505" s="23"/>
      <c r="Y505" s="23"/>
      <c r="Z505" s="23"/>
      <c r="AA505" s="23"/>
      <c r="AF505" s="23"/>
      <c r="AG505" s="23"/>
      <c r="AH505" s="23"/>
      <c r="AI505" s="23"/>
      <c r="AN505" s="23"/>
      <c r="AO505" s="23"/>
      <c r="AP505" s="23"/>
      <c r="AQ505" s="23"/>
      <c r="AR505" s="35"/>
      <c r="AS505" s="35"/>
      <c r="AT505" s="35"/>
      <c r="AU505" s="31"/>
    </row>
    <row r="506" spans="1:47">
      <c r="A506" s="21"/>
      <c r="D506" s="31"/>
      <c r="E506" s="31"/>
      <c r="F506" s="31"/>
      <c r="G506" s="31"/>
      <c r="H506" s="32"/>
      <c r="J506" s="33"/>
      <c r="K506" s="33"/>
      <c r="L506" s="33"/>
      <c r="X506" s="23"/>
      <c r="Y506" s="23"/>
      <c r="Z506" s="23"/>
      <c r="AA506" s="23"/>
      <c r="AF506" s="23"/>
      <c r="AG506" s="23"/>
      <c r="AH506" s="23"/>
      <c r="AI506" s="23"/>
      <c r="AN506" s="23"/>
      <c r="AO506" s="23"/>
      <c r="AP506" s="23"/>
      <c r="AQ506" s="23"/>
      <c r="AR506" s="35"/>
      <c r="AS506" s="35"/>
      <c r="AT506" s="35"/>
      <c r="AU506" s="31"/>
    </row>
    <row r="507" spans="1:47">
      <c r="A507" s="21"/>
      <c r="D507" s="31"/>
      <c r="E507" s="31"/>
      <c r="F507" s="31"/>
      <c r="G507" s="31"/>
      <c r="H507" s="32"/>
      <c r="J507" s="33"/>
      <c r="K507" s="33"/>
      <c r="L507" s="33"/>
      <c r="X507" s="23"/>
      <c r="Y507" s="23"/>
      <c r="Z507" s="23"/>
      <c r="AA507" s="23"/>
      <c r="AF507" s="23"/>
      <c r="AG507" s="23"/>
      <c r="AH507" s="23"/>
      <c r="AI507" s="23"/>
      <c r="AN507" s="23"/>
      <c r="AO507" s="23"/>
      <c r="AP507" s="23"/>
      <c r="AQ507" s="23"/>
      <c r="AR507" s="35"/>
      <c r="AS507" s="35"/>
      <c r="AT507" s="35"/>
      <c r="AU507" s="31"/>
    </row>
    <row r="508" spans="1:47">
      <c r="A508" s="21"/>
      <c r="D508" s="31"/>
      <c r="E508" s="31"/>
      <c r="F508" s="31"/>
      <c r="G508" s="31"/>
      <c r="H508" s="32"/>
      <c r="J508" s="33"/>
      <c r="K508" s="33"/>
      <c r="L508" s="33"/>
      <c r="X508" s="23"/>
      <c r="Y508" s="23"/>
      <c r="Z508" s="23"/>
      <c r="AA508" s="23"/>
      <c r="AF508" s="23"/>
      <c r="AG508" s="23"/>
      <c r="AH508" s="23"/>
      <c r="AI508" s="23"/>
      <c r="AN508" s="23"/>
      <c r="AO508" s="23"/>
      <c r="AP508" s="23"/>
      <c r="AQ508" s="23"/>
      <c r="AR508" s="35"/>
      <c r="AS508" s="35"/>
      <c r="AT508" s="35"/>
      <c r="AU508" s="31"/>
    </row>
    <row r="509" spans="1:47">
      <c r="A509" s="21"/>
      <c r="D509" s="31"/>
      <c r="E509" s="31"/>
      <c r="F509" s="31"/>
      <c r="G509" s="31"/>
      <c r="H509" s="32"/>
      <c r="J509" s="33"/>
      <c r="K509" s="33"/>
      <c r="L509" s="33"/>
      <c r="X509" s="23"/>
      <c r="Y509" s="23"/>
      <c r="Z509" s="23"/>
      <c r="AA509" s="23"/>
      <c r="AF509" s="23"/>
      <c r="AG509" s="23"/>
      <c r="AH509" s="23"/>
      <c r="AI509" s="23"/>
      <c r="AN509" s="23"/>
      <c r="AO509" s="23"/>
      <c r="AP509" s="23"/>
      <c r="AQ509" s="23"/>
      <c r="AR509" s="35"/>
      <c r="AS509" s="35"/>
      <c r="AT509" s="35"/>
      <c r="AU509" s="31"/>
    </row>
    <row r="510" spans="1:47">
      <c r="A510" s="21"/>
      <c r="D510" s="31"/>
      <c r="E510" s="31"/>
      <c r="F510" s="31"/>
      <c r="G510" s="31"/>
      <c r="H510" s="32"/>
      <c r="J510" s="33"/>
      <c r="K510" s="33"/>
      <c r="L510" s="33"/>
      <c r="X510" s="23"/>
      <c r="Y510" s="23"/>
      <c r="Z510" s="23"/>
      <c r="AA510" s="23"/>
      <c r="AF510" s="23"/>
      <c r="AG510" s="23"/>
      <c r="AH510" s="23"/>
      <c r="AI510" s="23"/>
      <c r="AN510" s="23"/>
      <c r="AO510" s="23"/>
      <c r="AP510" s="23"/>
      <c r="AQ510" s="23"/>
      <c r="AR510" s="35"/>
      <c r="AS510" s="35"/>
      <c r="AT510" s="35"/>
      <c r="AU510" s="31"/>
    </row>
    <row r="511" spans="1:47">
      <c r="A511" s="21"/>
      <c r="D511" s="31"/>
      <c r="E511" s="31"/>
      <c r="F511" s="31"/>
      <c r="G511" s="31"/>
      <c r="H511" s="32"/>
      <c r="J511" s="33"/>
      <c r="K511" s="33"/>
      <c r="L511" s="33"/>
      <c r="X511" s="23"/>
      <c r="Y511" s="23"/>
      <c r="Z511" s="23"/>
      <c r="AA511" s="23"/>
      <c r="AF511" s="23"/>
      <c r="AG511" s="23"/>
      <c r="AH511" s="23"/>
      <c r="AI511" s="23"/>
      <c r="AN511" s="23"/>
      <c r="AO511" s="23"/>
      <c r="AP511" s="23"/>
      <c r="AQ511" s="23"/>
      <c r="AR511" s="35"/>
      <c r="AS511" s="35"/>
      <c r="AT511" s="35"/>
      <c r="AU511" s="31"/>
    </row>
    <row r="512" spans="1:47">
      <c r="A512" s="21"/>
      <c r="D512" s="31"/>
      <c r="E512" s="31"/>
      <c r="F512" s="31"/>
      <c r="G512" s="31"/>
      <c r="H512" s="32"/>
      <c r="J512" s="33"/>
      <c r="K512" s="33"/>
      <c r="L512" s="33"/>
      <c r="X512" s="23"/>
      <c r="Y512" s="23"/>
      <c r="Z512" s="23"/>
      <c r="AA512" s="23"/>
      <c r="AF512" s="23"/>
      <c r="AG512" s="23"/>
      <c r="AH512" s="23"/>
      <c r="AI512" s="23"/>
      <c r="AN512" s="23"/>
      <c r="AO512" s="23"/>
      <c r="AP512" s="23"/>
      <c r="AQ512" s="23"/>
      <c r="AR512" s="35"/>
      <c r="AS512" s="35"/>
      <c r="AT512" s="35"/>
      <c r="AU512" s="31"/>
    </row>
    <row r="513" spans="1:47">
      <c r="A513" s="21"/>
      <c r="D513" s="31"/>
      <c r="E513" s="31"/>
      <c r="F513" s="31"/>
      <c r="G513" s="31"/>
      <c r="H513" s="32"/>
      <c r="J513" s="33"/>
      <c r="K513" s="33"/>
      <c r="L513" s="33"/>
      <c r="X513" s="23"/>
      <c r="Y513" s="23"/>
      <c r="Z513" s="23"/>
      <c r="AA513" s="23"/>
      <c r="AF513" s="23"/>
      <c r="AG513" s="23"/>
      <c r="AH513" s="23"/>
      <c r="AI513" s="23"/>
      <c r="AN513" s="23"/>
      <c r="AO513" s="23"/>
      <c r="AP513" s="23"/>
      <c r="AQ513" s="23"/>
      <c r="AR513" s="35"/>
      <c r="AS513" s="35"/>
      <c r="AT513" s="35"/>
      <c r="AU513" s="31"/>
    </row>
    <row r="514" spans="1:47">
      <c r="A514" s="21"/>
      <c r="D514" s="31"/>
      <c r="E514" s="31"/>
      <c r="F514" s="31"/>
      <c r="G514" s="31"/>
      <c r="H514" s="32"/>
      <c r="J514" s="33"/>
      <c r="K514" s="33"/>
      <c r="L514" s="33"/>
      <c r="X514" s="23"/>
      <c r="Y514" s="23"/>
      <c r="Z514" s="23"/>
      <c r="AA514" s="23"/>
      <c r="AF514" s="23"/>
      <c r="AG514" s="23"/>
      <c r="AH514" s="23"/>
      <c r="AI514" s="23"/>
      <c r="AN514" s="23"/>
      <c r="AO514" s="23"/>
      <c r="AP514" s="23"/>
      <c r="AQ514" s="23"/>
      <c r="AR514" s="35"/>
      <c r="AS514" s="35"/>
      <c r="AT514" s="35"/>
      <c r="AU514" s="31"/>
    </row>
    <row r="515" spans="1:47">
      <c r="A515" s="21"/>
      <c r="D515" s="31"/>
      <c r="E515" s="31"/>
      <c r="F515" s="31"/>
      <c r="G515" s="31"/>
      <c r="H515" s="32"/>
      <c r="J515" s="33"/>
      <c r="K515" s="33"/>
      <c r="L515" s="33"/>
      <c r="X515" s="23"/>
      <c r="Y515" s="23"/>
      <c r="Z515" s="23"/>
      <c r="AA515" s="23"/>
      <c r="AF515" s="23"/>
      <c r="AG515" s="23"/>
      <c r="AH515" s="23"/>
      <c r="AI515" s="23"/>
      <c r="AN515" s="23"/>
      <c r="AO515" s="23"/>
      <c r="AP515" s="23"/>
      <c r="AQ515" s="23"/>
      <c r="AR515" s="35"/>
      <c r="AS515" s="35"/>
      <c r="AT515" s="35"/>
      <c r="AU515" s="31"/>
    </row>
    <row r="516" spans="1:47">
      <c r="A516" s="21"/>
      <c r="D516" s="31"/>
      <c r="E516" s="31"/>
      <c r="F516" s="31"/>
      <c r="G516" s="31"/>
      <c r="H516" s="32"/>
      <c r="J516" s="33"/>
      <c r="K516" s="33"/>
      <c r="L516" s="33"/>
      <c r="X516" s="23"/>
      <c r="Y516" s="23"/>
      <c r="Z516" s="23"/>
      <c r="AA516" s="23"/>
      <c r="AF516" s="23"/>
      <c r="AG516" s="23"/>
      <c r="AH516" s="23"/>
      <c r="AI516" s="23"/>
      <c r="AN516" s="23"/>
      <c r="AO516" s="23"/>
      <c r="AP516" s="23"/>
      <c r="AQ516" s="23"/>
      <c r="AR516" s="35"/>
      <c r="AS516" s="35"/>
      <c r="AT516" s="35"/>
      <c r="AU516" s="31"/>
    </row>
    <row r="517" spans="1:47">
      <c r="A517" s="21"/>
      <c r="D517" s="31"/>
      <c r="E517" s="31"/>
      <c r="F517" s="31"/>
      <c r="G517" s="31"/>
      <c r="H517" s="32"/>
      <c r="J517" s="33"/>
      <c r="K517" s="33"/>
      <c r="L517" s="33"/>
      <c r="X517" s="23"/>
      <c r="Y517" s="23"/>
      <c r="Z517" s="23"/>
      <c r="AA517" s="23"/>
      <c r="AF517" s="23"/>
      <c r="AG517" s="23"/>
      <c r="AH517" s="23"/>
      <c r="AI517" s="23"/>
      <c r="AN517" s="23"/>
      <c r="AO517" s="23"/>
      <c r="AP517" s="23"/>
      <c r="AQ517" s="23"/>
      <c r="AR517" s="35"/>
      <c r="AS517" s="35"/>
      <c r="AT517" s="35"/>
      <c r="AU517" s="31"/>
    </row>
    <row r="518" spans="1:47">
      <c r="A518" s="21"/>
      <c r="D518" s="31"/>
      <c r="E518" s="31"/>
      <c r="F518" s="31"/>
      <c r="G518" s="31"/>
      <c r="H518" s="32"/>
      <c r="J518" s="33"/>
      <c r="K518" s="33"/>
      <c r="L518" s="33"/>
      <c r="X518" s="23"/>
      <c r="Y518" s="23"/>
      <c r="Z518" s="23"/>
      <c r="AA518" s="23"/>
      <c r="AF518" s="23"/>
      <c r="AG518" s="23"/>
      <c r="AH518" s="23"/>
      <c r="AI518" s="23"/>
      <c r="AN518" s="23"/>
      <c r="AO518" s="23"/>
      <c r="AP518" s="23"/>
      <c r="AQ518" s="23"/>
      <c r="AR518" s="35"/>
      <c r="AS518" s="35"/>
      <c r="AT518" s="35"/>
      <c r="AU518" s="31"/>
    </row>
    <row r="519" spans="1:47">
      <c r="A519" s="21"/>
      <c r="D519" s="31"/>
      <c r="E519" s="31"/>
      <c r="F519" s="31"/>
      <c r="G519" s="31"/>
      <c r="H519" s="32"/>
      <c r="J519" s="33"/>
      <c r="K519" s="33"/>
      <c r="L519" s="33"/>
      <c r="X519" s="23"/>
      <c r="Y519" s="23"/>
      <c r="Z519" s="23"/>
      <c r="AA519" s="23"/>
      <c r="AF519" s="23"/>
      <c r="AG519" s="23"/>
      <c r="AH519" s="23"/>
      <c r="AI519" s="23"/>
      <c r="AN519" s="23"/>
      <c r="AO519" s="23"/>
      <c r="AP519" s="23"/>
      <c r="AQ519" s="23"/>
      <c r="AR519" s="35"/>
      <c r="AS519" s="35"/>
      <c r="AT519" s="35"/>
      <c r="AU519" s="31"/>
    </row>
    <row r="520" spans="1:47">
      <c r="A520" s="21"/>
      <c r="D520" s="31"/>
      <c r="E520" s="31"/>
      <c r="F520" s="31"/>
      <c r="G520" s="31"/>
      <c r="H520" s="32"/>
      <c r="J520" s="33"/>
      <c r="K520" s="33"/>
      <c r="L520" s="33"/>
      <c r="X520" s="23"/>
      <c r="Y520" s="23"/>
      <c r="Z520" s="23"/>
      <c r="AA520" s="23"/>
      <c r="AF520" s="23"/>
      <c r="AG520" s="23"/>
      <c r="AH520" s="23"/>
      <c r="AI520" s="23"/>
      <c r="AN520" s="23"/>
      <c r="AO520" s="23"/>
      <c r="AP520" s="23"/>
      <c r="AQ520" s="23"/>
      <c r="AR520" s="35"/>
      <c r="AS520" s="35"/>
      <c r="AT520" s="35"/>
      <c r="AU520" s="31"/>
    </row>
    <row r="521" spans="1:47">
      <c r="A521" s="21"/>
      <c r="D521" s="31"/>
      <c r="E521" s="31"/>
      <c r="F521" s="31"/>
      <c r="G521" s="31"/>
      <c r="H521" s="32"/>
      <c r="J521" s="33"/>
      <c r="K521" s="33"/>
      <c r="L521" s="33"/>
      <c r="X521" s="23"/>
      <c r="Y521" s="23"/>
      <c r="Z521" s="23"/>
      <c r="AA521" s="23"/>
      <c r="AF521" s="23"/>
      <c r="AG521" s="23"/>
      <c r="AH521" s="23"/>
      <c r="AI521" s="23"/>
      <c r="AN521" s="23"/>
      <c r="AO521" s="23"/>
      <c r="AP521" s="23"/>
      <c r="AQ521" s="23"/>
      <c r="AR521" s="35"/>
      <c r="AS521" s="35"/>
      <c r="AT521" s="35"/>
      <c r="AU521" s="31"/>
    </row>
    <row r="522" spans="1:47">
      <c r="A522" s="21"/>
      <c r="D522" s="31"/>
      <c r="E522" s="31"/>
      <c r="F522" s="31"/>
      <c r="G522" s="31"/>
      <c r="H522" s="32"/>
      <c r="J522" s="33"/>
      <c r="K522" s="33"/>
      <c r="L522" s="33"/>
      <c r="X522" s="23"/>
      <c r="Y522" s="23"/>
      <c r="Z522" s="23"/>
      <c r="AA522" s="23"/>
      <c r="AF522" s="23"/>
      <c r="AG522" s="23"/>
      <c r="AH522" s="23"/>
      <c r="AI522" s="23"/>
      <c r="AN522" s="23"/>
      <c r="AO522" s="23"/>
      <c r="AP522" s="23"/>
      <c r="AQ522" s="23"/>
      <c r="AR522" s="35"/>
      <c r="AS522" s="35"/>
      <c r="AT522" s="35"/>
      <c r="AU522" s="31"/>
    </row>
    <row r="523" spans="1:47">
      <c r="A523" s="21"/>
      <c r="D523" s="31"/>
      <c r="E523" s="31"/>
      <c r="F523" s="31"/>
      <c r="G523" s="31"/>
      <c r="H523" s="32"/>
      <c r="J523" s="33"/>
      <c r="K523" s="33"/>
      <c r="L523" s="33"/>
      <c r="X523" s="23"/>
      <c r="Y523" s="23"/>
      <c r="Z523" s="23"/>
      <c r="AA523" s="23"/>
      <c r="AF523" s="23"/>
      <c r="AG523" s="23"/>
      <c r="AH523" s="23"/>
      <c r="AI523" s="23"/>
      <c r="AN523" s="23"/>
      <c r="AO523" s="23"/>
      <c r="AP523" s="23"/>
      <c r="AQ523" s="23"/>
      <c r="AR523" s="35"/>
      <c r="AS523" s="35"/>
      <c r="AT523" s="35"/>
      <c r="AU523" s="31"/>
    </row>
    <row r="524" spans="1:47">
      <c r="A524" s="21"/>
      <c r="D524" s="31"/>
      <c r="E524" s="31"/>
      <c r="F524" s="31"/>
      <c r="G524" s="31"/>
      <c r="H524" s="32"/>
      <c r="J524" s="33"/>
      <c r="K524" s="33"/>
      <c r="L524" s="33"/>
      <c r="X524" s="23"/>
      <c r="Y524" s="23"/>
      <c r="Z524" s="23"/>
      <c r="AA524" s="23"/>
      <c r="AF524" s="23"/>
      <c r="AG524" s="23"/>
      <c r="AH524" s="23"/>
      <c r="AI524" s="23"/>
      <c r="AN524" s="23"/>
      <c r="AO524" s="23"/>
      <c r="AP524" s="23"/>
      <c r="AQ524" s="23"/>
      <c r="AR524" s="35"/>
      <c r="AS524" s="35"/>
      <c r="AT524" s="35"/>
      <c r="AU524" s="31"/>
    </row>
    <row r="525" spans="1:47">
      <c r="A525" s="21"/>
      <c r="D525" s="31"/>
      <c r="E525" s="31"/>
      <c r="F525" s="31"/>
      <c r="G525" s="31"/>
      <c r="H525" s="32"/>
      <c r="J525" s="33"/>
      <c r="K525" s="33"/>
      <c r="L525" s="33"/>
      <c r="X525" s="23"/>
      <c r="Y525" s="23"/>
      <c r="Z525" s="23"/>
      <c r="AA525" s="23"/>
      <c r="AF525" s="23"/>
      <c r="AG525" s="23"/>
      <c r="AH525" s="23"/>
      <c r="AI525" s="23"/>
      <c r="AN525" s="23"/>
      <c r="AO525" s="23"/>
      <c r="AP525" s="23"/>
      <c r="AQ525" s="23"/>
      <c r="AR525" s="35"/>
      <c r="AS525" s="35"/>
      <c r="AT525" s="35"/>
      <c r="AU525" s="31"/>
    </row>
    <row r="526" spans="1:47">
      <c r="A526" s="21"/>
      <c r="D526" s="31"/>
      <c r="E526" s="31"/>
      <c r="F526" s="31"/>
      <c r="G526" s="31"/>
      <c r="H526" s="32"/>
      <c r="J526" s="33"/>
      <c r="K526" s="33"/>
      <c r="L526" s="33"/>
      <c r="X526" s="23"/>
      <c r="Y526" s="23"/>
      <c r="Z526" s="23"/>
      <c r="AA526" s="23"/>
      <c r="AF526" s="23"/>
      <c r="AG526" s="23"/>
      <c r="AH526" s="23"/>
      <c r="AI526" s="23"/>
      <c r="AN526" s="23"/>
      <c r="AO526" s="23"/>
      <c r="AP526" s="23"/>
      <c r="AQ526" s="23"/>
      <c r="AR526" s="35"/>
      <c r="AS526" s="35"/>
      <c r="AT526" s="35"/>
      <c r="AU526" s="31"/>
    </row>
    <row r="527" spans="1:47">
      <c r="A527" s="21"/>
      <c r="D527" s="31"/>
      <c r="E527" s="31"/>
      <c r="F527" s="31"/>
      <c r="G527" s="31"/>
      <c r="H527" s="32"/>
      <c r="J527" s="33"/>
      <c r="K527" s="33"/>
      <c r="L527" s="33"/>
      <c r="X527" s="23"/>
      <c r="Y527" s="23"/>
      <c r="Z527" s="23"/>
      <c r="AA527" s="23"/>
      <c r="AF527" s="23"/>
      <c r="AG527" s="23"/>
      <c r="AH527" s="23"/>
      <c r="AI527" s="23"/>
      <c r="AN527" s="23"/>
      <c r="AO527" s="23"/>
      <c r="AP527" s="23"/>
      <c r="AQ527" s="23"/>
      <c r="AR527" s="35"/>
      <c r="AS527" s="35"/>
      <c r="AT527" s="35"/>
      <c r="AU527" s="31"/>
    </row>
    <row r="528" spans="1:47">
      <c r="A528" s="21"/>
      <c r="D528" s="31"/>
      <c r="E528" s="31"/>
      <c r="F528" s="31"/>
      <c r="G528" s="31"/>
      <c r="H528" s="32"/>
      <c r="J528" s="33"/>
      <c r="K528" s="33"/>
      <c r="L528" s="33"/>
      <c r="X528" s="23"/>
      <c r="Y528" s="23"/>
      <c r="Z528" s="23"/>
      <c r="AA528" s="23"/>
      <c r="AF528" s="23"/>
      <c r="AG528" s="23"/>
      <c r="AH528" s="23"/>
      <c r="AI528" s="23"/>
      <c r="AN528" s="23"/>
      <c r="AO528" s="23"/>
      <c r="AP528" s="23"/>
      <c r="AQ528" s="23"/>
      <c r="AR528" s="35"/>
      <c r="AS528" s="35"/>
      <c r="AT528" s="35"/>
      <c r="AU528" s="31"/>
    </row>
    <row r="529" spans="1:47">
      <c r="A529" s="21"/>
      <c r="D529" s="31"/>
      <c r="E529" s="31"/>
      <c r="F529" s="31"/>
      <c r="G529" s="31"/>
      <c r="H529" s="32"/>
      <c r="J529" s="33"/>
      <c r="K529" s="33"/>
      <c r="L529" s="33"/>
      <c r="X529" s="23"/>
      <c r="Y529" s="23"/>
      <c r="Z529" s="23"/>
      <c r="AA529" s="23"/>
      <c r="AF529" s="23"/>
      <c r="AG529" s="23"/>
      <c r="AH529" s="23"/>
      <c r="AI529" s="23"/>
      <c r="AN529" s="23"/>
      <c r="AO529" s="23"/>
      <c r="AP529" s="23"/>
      <c r="AQ529" s="23"/>
      <c r="AR529" s="35"/>
      <c r="AS529" s="35"/>
      <c r="AT529" s="35"/>
      <c r="AU529" s="31"/>
    </row>
    <row r="530" spans="1:47">
      <c r="A530" s="21"/>
      <c r="D530" s="31"/>
      <c r="E530" s="31"/>
      <c r="F530" s="31"/>
      <c r="G530" s="31"/>
      <c r="H530" s="32"/>
      <c r="J530" s="33"/>
      <c r="K530" s="33"/>
      <c r="L530" s="33"/>
      <c r="X530" s="23"/>
      <c r="Y530" s="23"/>
      <c r="Z530" s="23"/>
      <c r="AA530" s="23"/>
      <c r="AF530" s="23"/>
      <c r="AG530" s="23"/>
      <c r="AH530" s="23"/>
      <c r="AI530" s="23"/>
      <c r="AN530" s="23"/>
      <c r="AO530" s="23"/>
      <c r="AP530" s="23"/>
      <c r="AQ530" s="23"/>
      <c r="AR530" s="35"/>
      <c r="AS530" s="35"/>
      <c r="AT530" s="35"/>
      <c r="AU530" s="31"/>
    </row>
    <row r="531" spans="1:47">
      <c r="A531" s="21"/>
      <c r="D531" s="31"/>
      <c r="E531" s="31"/>
      <c r="F531" s="31"/>
      <c r="G531" s="31"/>
      <c r="H531" s="32"/>
      <c r="J531" s="33"/>
      <c r="K531" s="33"/>
      <c r="L531" s="33"/>
      <c r="X531" s="23"/>
      <c r="Y531" s="23"/>
      <c r="Z531" s="23"/>
      <c r="AA531" s="23"/>
      <c r="AF531" s="23"/>
      <c r="AG531" s="23"/>
      <c r="AH531" s="23"/>
      <c r="AI531" s="23"/>
      <c r="AN531" s="23"/>
      <c r="AO531" s="23"/>
      <c r="AP531" s="23"/>
      <c r="AQ531" s="23"/>
      <c r="AR531" s="35"/>
      <c r="AS531" s="35"/>
      <c r="AT531" s="35"/>
      <c r="AU531" s="31"/>
    </row>
    <row r="532" spans="1:47">
      <c r="A532" s="21"/>
      <c r="D532" s="31"/>
      <c r="E532" s="31"/>
      <c r="F532" s="31"/>
      <c r="G532" s="31"/>
      <c r="H532" s="32"/>
      <c r="J532" s="33"/>
      <c r="K532" s="33"/>
      <c r="L532" s="33"/>
      <c r="X532" s="23"/>
      <c r="Y532" s="23"/>
      <c r="Z532" s="23"/>
      <c r="AA532" s="23"/>
      <c r="AF532" s="23"/>
      <c r="AG532" s="23"/>
      <c r="AH532" s="23"/>
      <c r="AI532" s="23"/>
      <c r="AN532" s="23"/>
      <c r="AO532" s="23"/>
      <c r="AP532" s="23"/>
      <c r="AQ532" s="23"/>
      <c r="AR532" s="35"/>
      <c r="AS532" s="35"/>
      <c r="AT532" s="35"/>
      <c r="AU532" s="31"/>
    </row>
    <row r="533" spans="1:47">
      <c r="A533" s="21"/>
      <c r="D533" s="31"/>
      <c r="E533" s="31"/>
      <c r="F533" s="31"/>
      <c r="G533" s="31"/>
      <c r="H533" s="32"/>
      <c r="J533" s="33"/>
      <c r="K533" s="33"/>
      <c r="L533" s="33"/>
      <c r="X533" s="23"/>
      <c r="Y533" s="23"/>
      <c r="Z533" s="23"/>
      <c r="AA533" s="23"/>
      <c r="AF533" s="23"/>
      <c r="AG533" s="23"/>
      <c r="AH533" s="23"/>
      <c r="AI533" s="23"/>
      <c r="AN533" s="23"/>
      <c r="AO533" s="23"/>
      <c r="AP533" s="23"/>
      <c r="AQ533" s="23"/>
      <c r="AR533" s="35"/>
      <c r="AS533" s="35"/>
      <c r="AT533" s="35"/>
      <c r="AU533" s="31"/>
    </row>
    <row r="534" spans="1:47">
      <c r="A534" s="21"/>
      <c r="D534" s="31"/>
      <c r="E534" s="31"/>
      <c r="F534" s="31"/>
      <c r="G534" s="31"/>
      <c r="H534" s="32"/>
      <c r="J534" s="33"/>
      <c r="K534" s="33"/>
      <c r="L534" s="33"/>
      <c r="X534" s="23"/>
      <c r="Y534" s="23"/>
      <c r="Z534" s="23"/>
      <c r="AA534" s="23"/>
      <c r="AF534" s="23"/>
      <c r="AG534" s="23"/>
      <c r="AH534" s="23"/>
      <c r="AI534" s="23"/>
      <c r="AN534" s="23"/>
      <c r="AO534" s="23"/>
      <c r="AP534" s="23"/>
      <c r="AQ534" s="23"/>
      <c r="AR534" s="35"/>
      <c r="AS534" s="35"/>
      <c r="AT534" s="35"/>
      <c r="AU534" s="31"/>
    </row>
    <row r="535" spans="1:47">
      <c r="A535" s="21"/>
      <c r="D535" s="31"/>
      <c r="E535" s="31"/>
      <c r="F535" s="31"/>
      <c r="G535" s="31"/>
      <c r="H535" s="32"/>
      <c r="J535" s="33"/>
      <c r="K535" s="33"/>
      <c r="L535" s="33"/>
      <c r="X535" s="23"/>
      <c r="Y535" s="23"/>
      <c r="Z535" s="23"/>
      <c r="AA535" s="23"/>
      <c r="AF535" s="23"/>
      <c r="AG535" s="23"/>
      <c r="AH535" s="23"/>
      <c r="AI535" s="23"/>
      <c r="AN535" s="23"/>
      <c r="AO535" s="23"/>
      <c r="AP535" s="23"/>
      <c r="AQ535" s="23"/>
      <c r="AR535" s="35"/>
      <c r="AS535" s="35"/>
      <c r="AT535" s="35"/>
      <c r="AU535" s="31"/>
    </row>
    <row r="536" spans="1:47">
      <c r="A536" s="21"/>
      <c r="D536" s="31"/>
      <c r="E536" s="31"/>
      <c r="F536" s="31"/>
      <c r="G536" s="31"/>
      <c r="H536" s="32"/>
      <c r="J536" s="33"/>
      <c r="K536" s="33"/>
      <c r="L536" s="33"/>
      <c r="X536" s="23"/>
      <c r="Y536" s="23"/>
      <c r="Z536" s="23"/>
      <c r="AA536" s="23"/>
      <c r="AF536" s="23"/>
      <c r="AG536" s="23"/>
      <c r="AH536" s="23"/>
      <c r="AI536" s="23"/>
      <c r="AN536" s="23"/>
      <c r="AO536" s="23"/>
      <c r="AP536" s="23"/>
      <c r="AQ536" s="23"/>
      <c r="AR536" s="35"/>
      <c r="AS536" s="35"/>
      <c r="AT536" s="35"/>
      <c r="AU536" s="31"/>
    </row>
    <row r="537" spans="1:47">
      <c r="A537" s="21"/>
      <c r="D537" s="31"/>
      <c r="E537" s="31"/>
      <c r="F537" s="31"/>
      <c r="G537" s="31"/>
      <c r="H537" s="32"/>
      <c r="J537" s="33"/>
      <c r="K537" s="33"/>
      <c r="L537" s="33"/>
      <c r="X537" s="23"/>
      <c r="Y537" s="23"/>
      <c r="Z537" s="23"/>
      <c r="AA537" s="23"/>
      <c r="AF537" s="23"/>
      <c r="AG537" s="23"/>
      <c r="AH537" s="23"/>
      <c r="AI537" s="23"/>
      <c r="AN537" s="23"/>
      <c r="AO537" s="23"/>
      <c r="AP537" s="23"/>
      <c r="AQ537" s="23"/>
      <c r="AR537" s="35"/>
      <c r="AS537" s="35"/>
      <c r="AT537" s="35"/>
      <c r="AU537" s="31"/>
    </row>
    <row r="538" spans="1:47">
      <c r="A538" s="21"/>
      <c r="D538" s="31"/>
      <c r="E538" s="31"/>
      <c r="F538" s="31"/>
      <c r="G538" s="31"/>
      <c r="H538" s="32"/>
      <c r="J538" s="33"/>
      <c r="K538" s="33"/>
      <c r="L538" s="33"/>
      <c r="X538" s="23"/>
      <c r="Y538" s="23"/>
      <c r="Z538" s="23"/>
      <c r="AA538" s="23"/>
      <c r="AF538" s="23"/>
      <c r="AG538" s="23"/>
      <c r="AH538" s="23"/>
      <c r="AI538" s="23"/>
      <c r="AN538" s="23"/>
      <c r="AO538" s="23"/>
      <c r="AP538" s="23"/>
      <c r="AQ538" s="23"/>
      <c r="AR538" s="35"/>
      <c r="AS538" s="35"/>
      <c r="AT538" s="35"/>
      <c r="AU538" s="31"/>
    </row>
    <row r="539" spans="1:47">
      <c r="A539" s="21"/>
      <c r="D539" s="31"/>
      <c r="E539" s="31"/>
      <c r="F539" s="31"/>
      <c r="G539" s="31"/>
      <c r="H539" s="32"/>
      <c r="J539" s="33"/>
      <c r="K539" s="33"/>
      <c r="L539" s="33"/>
      <c r="X539" s="23"/>
      <c r="Y539" s="23"/>
      <c r="Z539" s="23"/>
      <c r="AA539" s="23"/>
      <c r="AF539" s="23"/>
      <c r="AG539" s="23"/>
      <c r="AH539" s="23"/>
      <c r="AI539" s="23"/>
      <c r="AN539" s="23"/>
      <c r="AO539" s="23"/>
      <c r="AP539" s="23"/>
      <c r="AQ539" s="23"/>
      <c r="AR539" s="35"/>
      <c r="AS539" s="35"/>
      <c r="AT539" s="35"/>
      <c r="AU539" s="31"/>
    </row>
    <row r="540" spans="1:47">
      <c r="A540" s="21"/>
      <c r="D540" s="31"/>
      <c r="E540" s="31"/>
      <c r="F540" s="31"/>
      <c r="G540" s="31"/>
      <c r="H540" s="32"/>
      <c r="J540" s="33"/>
      <c r="K540" s="33"/>
      <c r="L540" s="33"/>
      <c r="X540" s="23"/>
      <c r="Y540" s="23"/>
      <c r="Z540" s="23"/>
      <c r="AA540" s="23"/>
      <c r="AF540" s="23"/>
      <c r="AG540" s="23"/>
      <c r="AH540" s="23"/>
      <c r="AI540" s="23"/>
      <c r="AN540" s="23"/>
      <c r="AO540" s="23"/>
      <c r="AP540" s="23"/>
      <c r="AQ540" s="23"/>
      <c r="AR540" s="35"/>
      <c r="AS540" s="35"/>
      <c r="AT540" s="35"/>
      <c r="AU540" s="31"/>
    </row>
    <row r="541" spans="1:47">
      <c r="A541" s="21"/>
      <c r="D541" s="31"/>
      <c r="E541" s="31"/>
      <c r="F541" s="31"/>
      <c r="G541" s="31"/>
      <c r="H541" s="32"/>
      <c r="J541" s="33"/>
      <c r="K541" s="33"/>
      <c r="L541" s="33"/>
      <c r="X541" s="23"/>
      <c r="Y541" s="23"/>
      <c r="Z541" s="23"/>
      <c r="AA541" s="23"/>
      <c r="AF541" s="23"/>
      <c r="AG541" s="23"/>
      <c r="AH541" s="23"/>
      <c r="AI541" s="23"/>
      <c r="AN541" s="23"/>
      <c r="AO541" s="23"/>
      <c r="AP541" s="23"/>
      <c r="AQ541" s="23"/>
      <c r="AR541" s="35"/>
      <c r="AS541" s="35"/>
      <c r="AT541" s="35"/>
      <c r="AU541" s="31"/>
    </row>
    <row r="542" spans="1:47">
      <c r="A542" s="21"/>
      <c r="D542" s="31"/>
      <c r="E542" s="31"/>
      <c r="F542" s="31"/>
      <c r="G542" s="31"/>
      <c r="H542" s="32"/>
      <c r="J542" s="33"/>
      <c r="K542" s="33"/>
      <c r="L542" s="33"/>
      <c r="X542" s="23"/>
      <c r="Y542" s="23"/>
      <c r="Z542" s="23"/>
      <c r="AA542" s="23"/>
      <c r="AF542" s="23"/>
      <c r="AG542" s="23"/>
      <c r="AH542" s="23"/>
      <c r="AI542" s="23"/>
      <c r="AN542" s="23"/>
      <c r="AO542" s="23"/>
      <c r="AP542" s="23"/>
      <c r="AQ542" s="23"/>
      <c r="AR542" s="35"/>
      <c r="AS542" s="35"/>
      <c r="AT542" s="35"/>
      <c r="AU542" s="31"/>
    </row>
    <row r="543" spans="1:47">
      <c r="A543" s="21"/>
      <c r="D543" s="31"/>
      <c r="E543" s="31"/>
      <c r="F543" s="31"/>
      <c r="G543" s="31"/>
      <c r="H543" s="32"/>
      <c r="J543" s="33"/>
      <c r="K543" s="33"/>
      <c r="L543" s="33"/>
      <c r="X543" s="23"/>
      <c r="Y543" s="23"/>
      <c r="Z543" s="23"/>
      <c r="AA543" s="23"/>
      <c r="AF543" s="23"/>
      <c r="AG543" s="23"/>
      <c r="AH543" s="23"/>
      <c r="AI543" s="23"/>
      <c r="AN543" s="23"/>
      <c r="AO543" s="23"/>
      <c r="AP543" s="23"/>
      <c r="AQ543" s="23"/>
      <c r="AR543" s="35"/>
      <c r="AS543" s="35"/>
      <c r="AT543" s="35"/>
      <c r="AU543" s="31"/>
    </row>
    <row r="544" spans="1:47">
      <c r="A544" s="21"/>
      <c r="D544" s="31"/>
      <c r="E544" s="31"/>
      <c r="F544" s="31"/>
      <c r="G544" s="31"/>
      <c r="H544" s="32"/>
      <c r="J544" s="33"/>
      <c r="K544" s="33"/>
      <c r="L544" s="33"/>
      <c r="X544" s="23"/>
      <c r="Y544" s="23"/>
      <c r="Z544" s="23"/>
      <c r="AA544" s="23"/>
      <c r="AF544" s="23"/>
      <c r="AG544" s="23"/>
      <c r="AH544" s="23"/>
      <c r="AI544" s="23"/>
      <c r="AN544" s="23"/>
      <c r="AO544" s="23"/>
      <c r="AP544" s="23"/>
      <c r="AQ544" s="23"/>
      <c r="AR544" s="35"/>
      <c r="AS544" s="35"/>
      <c r="AT544" s="35"/>
      <c r="AU544" s="31"/>
    </row>
    <row r="545" spans="1:47">
      <c r="A545" s="21"/>
      <c r="D545" s="31"/>
      <c r="E545" s="31"/>
      <c r="F545" s="31"/>
      <c r="G545" s="31"/>
      <c r="H545" s="32"/>
      <c r="J545" s="33"/>
      <c r="K545" s="33"/>
      <c r="L545" s="33"/>
      <c r="X545" s="23"/>
      <c r="Y545" s="23"/>
      <c r="Z545" s="23"/>
      <c r="AA545" s="23"/>
      <c r="AF545" s="23"/>
      <c r="AG545" s="23"/>
      <c r="AH545" s="23"/>
      <c r="AI545" s="23"/>
      <c r="AN545" s="23"/>
      <c r="AO545" s="23"/>
      <c r="AP545" s="23"/>
      <c r="AQ545" s="23"/>
      <c r="AR545" s="35"/>
      <c r="AS545" s="35"/>
      <c r="AT545" s="35"/>
      <c r="AU545" s="31"/>
    </row>
    <row r="546" spans="1:47">
      <c r="A546" s="21"/>
      <c r="D546" s="31"/>
      <c r="E546" s="31"/>
      <c r="F546" s="31"/>
      <c r="G546" s="31"/>
      <c r="H546" s="32"/>
      <c r="J546" s="33"/>
      <c r="K546" s="33"/>
      <c r="L546" s="33"/>
      <c r="X546" s="23"/>
      <c r="Y546" s="23"/>
      <c r="Z546" s="23"/>
      <c r="AA546" s="23"/>
      <c r="AF546" s="23"/>
      <c r="AG546" s="23"/>
      <c r="AH546" s="23"/>
      <c r="AI546" s="23"/>
      <c r="AN546" s="23"/>
      <c r="AO546" s="23"/>
      <c r="AP546" s="23"/>
      <c r="AQ546" s="23"/>
      <c r="AR546" s="35"/>
      <c r="AS546" s="35"/>
      <c r="AT546" s="35"/>
      <c r="AU546" s="31"/>
    </row>
    <row r="547" spans="1:47">
      <c r="A547" s="21"/>
      <c r="D547" s="31"/>
      <c r="E547" s="31"/>
      <c r="F547" s="31"/>
      <c r="G547" s="31"/>
      <c r="H547" s="32"/>
      <c r="J547" s="33"/>
      <c r="K547" s="33"/>
      <c r="L547" s="33"/>
      <c r="X547" s="23"/>
      <c r="Y547" s="23"/>
      <c r="Z547" s="23"/>
      <c r="AA547" s="23"/>
      <c r="AF547" s="23"/>
      <c r="AG547" s="23"/>
      <c r="AH547" s="23"/>
      <c r="AI547" s="23"/>
      <c r="AN547" s="23"/>
      <c r="AO547" s="23"/>
      <c r="AP547" s="23"/>
      <c r="AQ547" s="23"/>
      <c r="AR547" s="35"/>
      <c r="AS547" s="35"/>
      <c r="AT547" s="35"/>
      <c r="AU547" s="31"/>
    </row>
    <row r="548" spans="1:47">
      <c r="A548" s="21"/>
      <c r="D548" s="31"/>
      <c r="E548" s="31"/>
      <c r="F548" s="31"/>
      <c r="G548" s="31"/>
      <c r="H548" s="32"/>
      <c r="J548" s="33"/>
      <c r="K548" s="33"/>
      <c r="L548" s="33"/>
      <c r="X548" s="23"/>
      <c r="Y548" s="23"/>
      <c r="Z548" s="23"/>
      <c r="AA548" s="23"/>
      <c r="AF548" s="23"/>
      <c r="AG548" s="23"/>
      <c r="AH548" s="23"/>
      <c r="AI548" s="23"/>
      <c r="AN548" s="23"/>
      <c r="AO548" s="23"/>
      <c r="AP548" s="23"/>
      <c r="AQ548" s="23"/>
      <c r="AR548" s="35"/>
      <c r="AS548" s="35"/>
      <c r="AT548" s="35"/>
      <c r="AU548" s="31"/>
    </row>
    <row r="549" spans="1:47">
      <c r="A549" s="21"/>
      <c r="D549" s="31"/>
      <c r="E549" s="31"/>
      <c r="F549" s="31"/>
      <c r="G549" s="31"/>
      <c r="H549" s="32"/>
      <c r="J549" s="33"/>
      <c r="K549" s="33"/>
      <c r="L549" s="33"/>
      <c r="X549" s="23"/>
      <c r="Y549" s="23"/>
      <c r="Z549" s="23"/>
      <c r="AA549" s="23"/>
      <c r="AF549" s="23"/>
      <c r="AG549" s="23"/>
      <c r="AH549" s="23"/>
      <c r="AI549" s="23"/>
      <c r="AN549" s="23"/>
      <c r="AO549" s="23"/>
      <c r="AP549" s="23"/>
      <c r="AQ549" s="23"/>
      <c r="AR549" s="35"/>
      <c r="AS549" s="35"/>
      <c r="AT549" s="35"/>
      <c r="AU549" s="31"/>
    </row>
    <row r="550" spans="1:47">
      <c r="A550" s="21"/>
      <c r="D550" s="31"/>
      <c r="E550" s="31"/>
      <c r="F550" s="31"/>
      <c r="G550" s="31"/>
      <c r="H550" s="32"/>
      <c r="J550" s="33"/>
      <c r="K550" s="33"/>
      <c r="L550" s="33"/>
      <c r="X550" s="23"/>
      <c r="Y550" s="23"/>
      <c r="Z550" s="23"/>
      <c r="AA550" s="23"/>
      <c r="AF550" s="23"/>
      <c r="AG550" s="23"/>
      <c r="AH550" s="23"/>
      <c r="AI550" s="23"/>
      <c r="AN550" s="23"/>
      <c r="AO550" s="23"/>
      <c r="AP550" s="23"/>
      <c r="AQ550" s="23"/>
      <c r="AR550" s="35"/>
      <c r="AS550" s="35"/>
      <c r="AT550" s="35"/>
      <c r="AU550" s="31"/>
    </row>
    <row r="551" spans="1:47">
      <c r="A551" s="21"/>
      <c r="D551" s="31"/>
      <c r="E551" s="31"/>
      <c r="F551" s="31"/>
      <c r="G551" s="31"/>
      <c r="H551" s="32"/>
      <c r="J551" s="33"/>
      <c r="K551" s="33"/>
      <c r="L551" s="33"/>
      <c r="X551" s="23"/>
      <c r="Y551" s="23"/>
      <c r="Z551" s="23"/>
      <c r="AA551" s="23"/>
      <c r="AF551" s="23"/>
      <c r="AG551" s="23"/>
      <c r="AH551" s="23"/>
      <c r="AI551" s="23"/>
      <c r="AN551" s="23"/>
      <c r="AO551" s="23"/>
      <c r="AP551" s="23"/>
      <c r="AQ551" s="23"/>
      <c r="AR551" s="35"/>
      <c r="AS551" s="35"/>
      <c r="AT551" s="35"/>
      <c r="AU551" s="31"/>
    </row>
    <row r="552" spans="1:47">
      <c r="A552" s="21"/>
      <c r="D552" s="31"/>
      <c r="E552" s="31"/>
      <c r="F552" s="31"/>
      <c r="G552" s="31"/>
      <c r="H552" s="32"/>
      <c r="J552" s="33"/>
      <c r="K552" s="33"/>
      <c r="L552" s="33"/>
      <c r="X552" s="23"/>
      <c r="Y552" s="23"/>
      <c r="Z552" s="23"/>
      <c r="AA552" s="23"/>
      <c r="AF552" s="23"/>
      <c r="AG552" s="23"/>
      <c r="AH552" s="23"/>
      <c r="AI552" s="23"/>
      <c r="AN552" s="23"/>
      <c r="AO552" s="23"/>
      <c r="AP552" s="23"/>
      <c r="AQ552" s="23"/>
      <c r="AR552" s="35"/>
      <c r="AS552" s="35"/>
      <c r="AT552" s="35"/>
      <c r="AU552" s="31"/>
    </row>
    <row r="553" spans="1:47">
      <c r="A553" s="21"/>
      <c r="D553" s="31"/>
      <c r="E553" s="31"/>
      <c r="F553" s="31"/>
      <c r="G553" s="31"/>
      <c r="H553" s="32"/>
      <c r="J553" s="33"/>
      <c r="K553" s="33"/>
      <c r="L553" s="33"/>
      <c r="X553" s="23"/>
      <c r="Y553" s="23"/>
      <c r="Z553" s="23"/>
      <c r="AA553" s="23"/>
      <c r="AF553" s="23"/>
      <c r="AG553" s="23"/>
      <c r="AH553" s="23"/>
      <c r="AI553" s="23"/>
      <c r="AN553" s="23"/>
      <c r="AO553" s="23"/>
      <c r="AP553" s="23"/>
      <c r="AQ553" s="23"/>
      <c r="AR553" s="35"/>
      <c r="AS553" s="35"/>
      <c r="AT553" s="35"/>
      <c r="AU553" s="31"/>
    </row>
    <row r="554" spans="1:47">
      <c r="A554" s="21"/>
      <c r="D554" s="31"/>
      <c r="E554" s="31"/>
      <c r="F554" s="31"/>
      <c r="G554" s="31"/>
      <c r="H554" s="32"/>
      <c r="J554" s="33"/>
      <c r="K554" s="33"/>
      <c r="L554" s="33"/>
      <c r="X554" s="23"/>
      <c r="Y554" s="23"/>
      <c r="Z554" s="23"/>
      <c r="AA554" s="23"/>
      <c r="AF554" s="23"/>
      <c r="AG554" s="23"/>
      <c r="AH554" s="23"/>
      <c r="AI554" s="23"/>
      <c r="AN554" s="23"/>
      <c r="AO554" s="23"/>
      <c r="AP554" s="23"/>
      <c r="AQ554" s="23"/>
      <c r="AR554" s="35"/>
      <c r="AS554" s="35"/>
      <c r="AT554" s="35"/>
      <c r="AU554" s="31"/>
    </row>
    <row r="555" spans="1:47">
      <c r="A555" s="21"/>
      <c r="D555" s="31"/>
      <c r="E555" s="31"/>
      <c r="F555" s="31"/>
      <c r="G555" s="31"/>
      <c r="H555" s="32"/>
      <c r="J555" s="33"/>
      <c r="K555" s="33"/>
      <c r="L555" s="33"/>
      <c r="X555" s="23"/>
      <c r="Y555" s="23"/>
      <c r="Z555" s="23"/>
      <c r="AA555" s="23"/>
      <c r="AF555" s="23"/>
      <c r="AG555" s="23"/>
      <c r="AH555" s="23"/>
      <c r="AI555" s="23"/>
      <c r="AN555" s="23"/>
      <c r="AO555" s="23"/>
      <c r="AP555" s="23"/>
      <c r="AQ555" s="23"/>
      <c r="AR555" s="35"/>
      <c r="AS555" s="35"/>
      <c r="AT555" s="35"/>
      <c r="AU555" s="31"/>
    </row>
    <row r="556" spans="1:47">
      <c r="A556" s="21"/>
      <c r="D556" s="31"/>
      <c r="E556" s="31"/>
      <c r="F556" s="31"/>
      <c r="G556" s="31"/>
      <c r="H556" s="32"/>
      <c r="J556" s="33"/>
      <c r="K556" s="33"/>
      <c r="L556" s="33"/>
      <c r="X556" s="23"/>
      <c r="Y556" s="23"/>
      <c r="Z556" s="23"/>
      <c r="AA556" s="23"/>
      <c r="AF556" s="23"/>
      <c r="AG556" s="23"/>
      <c r="AH556" s="23"/>
      <c r="AI556" s="23"/>
      <c r="AN556" s="23"/>
      <c r="AO556" s="23"/>
      <c r="AP556" s="23"/>
      <c r="AQ556" s="23"/>
      <c r="AR556" s="35"/>
      <c r="AS556" s="35"/>
      <c r="AT556" s="35"/>
      <c r="AU556" s="31"/>
    </row>
    <row r="557" spans="1:47">
      <c r="A557" s="21"/>
      <c r="D557" s="31"/>
      <c r="E557" s="31"/>
      <c r="F557" s="31"/>
      <c r="G557" s="31"/>
      <c r="H557" s="32"/>
      <c r="J557" s="33"/>
      <c r="K557" s="33"/>
      <c r="L557" s="33"/>
      <c r="X557" s="23"/>
      <c r="Y557" s="23"/>
      <c r="Z557" s="23"/>
      <c r="AA557" s="23"/>
      <c r="AF557" s="23"/>
      <c r="AG557" s="23"/>
      <c r="AH557" s="23"/>
      <c r="AI557" s="23"/>
      <c r="AN557" s="23"/>
      <c r="AO557" s="23"/>
      <c r="AP557" s="23"/>
      <c r="AQ557" s="23"/>
      <c r="AR557" s="35"/>
      <c r="AS557" s="35"/>
      <c r="AT557" s="35"/>
      <c r="AU557" s="31"/>
    </row>
    <row r="558" spans="1:47">
      <c r="A558" s="21"/>
      <c r="D558" s="31"/>
      <c r="E558" s="31"/>
      <c r="F558" s="31"/>
      <c r="G558" s="31"/>
      <c r="H558" s="32"/>
      <c r="J558" s="33"/>
      <c r="K558" s="33"/>
      <c r="L558" s="33"/>
      <c r="X558" s="23"/>
      <c r="Y558" s="23"/>
      <c r="Z558" s="23"/>
      <c r="AA558" s="23"/>
      <c r="AF558" s="23"/>
      <c r="AG558" s="23"/>
      <c r="AH558" s="23"/>
      <c r="AI558" s="23"/>
      <c r="AN558" s="23"/>
      <c r="AO558" s="23"/>
      <c r="AP558" s="23"/>
      <c r="AQ558" s="23"/>
      <c r="AR558" s="35"/>
      <c r="AS558" s="35"/>
      <c r="AT558" s="35"/>
      <c r="AU558" s="31"/>
    </row>
    <row r="559" spans="1:47">
      <c r="A559" s="21"/>
      <c r="D559" s="31"/>
      <c r="E559" s="31"/>
      <c r="F559" s="31"/>
      <c r="G559" s="31"/>
      <c r="H559" s="32"/>
      <c r="J559" s="33"/>
      <c r="K559" s="33"/>
      <c r="L559" s="33"/>
      <c r="X559" s="23"/>
      <c r="Y559" s="23"/>
      <c r="Z559" s="23"/>
      <c r="AA559" s="23"/>
      <c r="AF559" s="23"/>
      <c r="AG559" s="23"/>
      <c r="AH559" s="23"/>
      <c r="AI559" s="23"/>
      <c r="AN559" s="23"/>
      <c r="AO559" s="23"/>
      <c r="AP559" s="23"/>
      <c r="AQ559" s="23"/>
      <c r="AR559" s="35"/>
      <c r="AS559" s="35"/>
      <c r="AT559" s="35"/>
      <c r="AU559" s="31"/>
    </row>
    <row r="560" spans="1:47">
      <c r="A560" s="21"/>
      <c r="D560" s="31"/>
      <c r="E560" s="31"/>
      <c r="F560" s="31"/>
      <c r="G560" s="31"/>
      <c r="H560" s="32"/>
      <c r="J560" s="33"/>
      <c r="K560" s="33"/>
      <c r="L560" s="33"/>
      <c r="X560" s="23"/>
      <c r="Y560" s="23"/>
      <c r="Z560" s="23"/>
      <c r="AA560" s="23"/>
      <c r="AF560" s="23"/>
      <c r="AG560" s="23"/>
      <c r="AH560" s="23"/>
      <c r="AI560" s="23"/>
      <c r="AN560" s="23"/>
      <c r="AO560" s="23"/>
      <c r="AP560" s="23"/>
      <c r="AQ560" s="23"/>
      <c r="AR560" s="35"/>
      <c r="AS560" s="35"/>
      <c r="AT560" s="35"/>
      <c r="AU560" s="31"/>
    </row>
    <row r="561" spans="1:47">
      <c r="A561" s="21"/>
      <c r="D561" s="31"/>
      <c r="E561" s="31"/>
      <c r="F561" s="31"/>
      <c r="G561" s="31"/>
      <c r="H561" s="32"/>
      <c r="J561" s="33"/>
      <c r="K561" s="33"/>
      <c r="L561" s="33"/>
      <c r="X561" s="23"/>
      <c r="Y561" s="23"/>
      <c r="Z561" s="23"/>
      <c r="AA561" s="23"/>
      <c r="AF561" s="23"/>
      <c r="AG561" s="23"/>
      <c r="AH561" s="23"/>
      <c r="AI561" s="23"/>
      <c r="AN561" s="23"/>
      <c r="AO561" s="23"/>
      <c r="AP561" s="23"/>
      <c r="AQ561" s="23"/>
      <c r="AR561" s="35"/>
      <c r="AS561" s="35"/>
      <c r="AT561" s="35"/>
      <c r="AU561" s="31"/>
    </row>
    <row r="562" spans="1:47">
      <c r="A562" s="21"/>
      <c r="D562" s="31"/>
      <c r="E562" s="31"/>
      <c r="F562" s="31"/>
      <c r="G562" s="31"/>
      <c r="H562" s="32"/>
      <c r="J562" s="33"/>
      <c r="K562" s="33"/>
      <c r="L562" s="33"/>
      <c r="X562" s="23"/>
      <c r="Y562" s="23"/>
      <c r="Z562" s="23"/>
      <c r="AA562" s="23"/>
      <c r="AF562" s="23"/>
      <c r="AG562" s="23"/>
      <c r="AH562" s="23"/>
      <c r="AI562" s="23"/>
      <c r="AN562" s="23"/>
      <c r="AO562" s="23"/>
      <c r="AP562" s="23"/>
      <c r="AQ562" s="23"/>
      <c r="AR562" s="35"/>
      <c r="AS562" s="35"/>
      <c r="AT562" s="35"/>
      <c r="AU562" s="31"/>
    </row>
    <row r="563" spans="1:47">
      <c r="A563" s="21"/>
      <c r="D563" s="31"/>
      <c r="E563" s="31"/>
      <c r="F563" s="31"/>
      <c r="G563" s="31"/>
      <c r="H563" s="32"/>
      <c r="J563" s="33"/>
      <c r="K563" s="33"/>
      <c r="L563" s="33"/>
      <c r="X563" s="23"/>
      <c r="Y563" s="23"/>
      <c r="Z563" s="23"/>
      <c r="AA563" s="23"/>
      <c r="AF563" s="23"/>
      <c r="AG563" s="23"/>
      <c r="AH563" s="23"/>
      <c r="AI563" s="23"/>
      <c r="AN563" s="23"/>
      <c r="AO563" s="23"/>
      <c r="AP563" s="23"/>
      <c r="AQ563" s="23"/>
      <c r="AR563" s="35"/>
      <c r="AS563" s="35"/>
      <c r="AT563" s="35"/>
      <c r="AU563" s="31"/>
    </row>
    <row r="564" spans="1:47">
      <c r="A564" s="21"/>
      <c r="D564" s="31"/>
      <c r="E564" s="31"/>
      <c r="F564" s="31"/>
      <c r="G564" s="31"/>
      <c r="H564" s="32"/>
      <c r="J564" s="33"/>
      <c r="K564" s="33"/>
      <c r="L564" s="33"/>
      <c r="X564" s="23"/>
      <c r="Y564" s="23"/>
      <c r="Z564" s="23"/>
      <c r="AA564" s="23"/>
      <c r="AF564" s="23"/>
      <c r="AG564" s="23"/>
      <c r="AH564" s="23"/>
      <c r="AI564" s="23"/>
      <c r="AN564" s="23"/>
      <c r="AO564" s="23"/>
      <c r="AP564" s="23"/>
      <c r="AQ564" s="23"/>
      <c r="AR564" s="35"/>
      <c r="AS564" s="35"/>
      <c r="AT564" s="35"/>
      <c r="AU564" s="31"/>
    </row>
    <row r="565" spans="1:47">
      <c r="A565" s="21"/>
      <c r="D565" s="31"/>
      <c r="E565" s="31"/>
      <c r="F565" s="31"/>
      <c r="G565" s="31"/>
      <c r="H565" s="32"/>
      <c r="J565" s="33"/>
      <c r="K565" s="33"/>
      <c r="L565" s="33"/>
      <c r="X565" s="23"/>
      <c r="Y565" s="23"/>
      <c r="Z565" s="23"/>
      <c r="AA565" s="23"/>
      <c r="AF565" s="23"/>
      <c r="AG565" s="23"/>
      <c r="AH565" s="23"/>
      <c r="AI565" s="23"/>
      <c r="AN565" s="23"/>
      <c r="AO565" s="23"/>
      <c r="AP565" s="23"/>
      <c r="AQ565" s="23"/>
      <c r="AR565" s="35"/>
      <c r="AS565" s="35"/>
      <c r="AT565" s="35"/>
      <c r="AU565" s="31"/>
    </row>
    <row r="566" spans="1:47">
      <c r="A566" s="21"/>
      <c r="D566" s="31"/>
      <c r="E566" s="31"/>
      <c r="F566" s="31"/>
      <c r="G566" s="31"/>
      <c r="H566" s="32"/>
      <c r="J566" s="33"/>
      <c r="K566" s="33"/>
      <c r="L566" s="33"/>
      <c r="X566" s="23"/>
      <c r="Y566" s="23"/>
      <c r="Z566" s="23"/>
      <c r="AA566" s="23"/>
      <c r="AF566" s="23"/>
      <c r="AG566" s="23"/>
      <c r="AH566" s="23"/>
      <c r="AI566" s="23"/>
      <c r="AN566" s="23"/>
      <c r="AO566" s="23"/>
      <c r="AP566" s="23"/>
      <c r="AQ566" s="23"/>
      <c r="AR566" s="35"/>
      <c r="AS566" s="35"/>
      <c r="AT566" s="35"/>
      <c r="AU566" s="31"/>
    </row>
    <row r="567" spans="1:47">
      <c r="A567" s="21"/>
      <c r="D567" s="31"/>
      <c r="E567" s="31"/>
      <c r="F567" s="31"/>
      <c r="G567" s="31"/>
      <c r="H567" s="32"/>
      <c r="J567" s="33"/>
      <c r="K567" s="33"/>
      <c r="L567" s="33"/>
      <c r="X567" s="23"/>
      <c r="Y567" s="23"/>
      <c r="Z567" s="23"/>
      <c r="AA567" s="23"/>
      <c r="AF567" s="23"/>
      <c r="AG567" s="23"/>
      <c r="AH567" s="23"/>
      <c r="AI567" s="23"/>
      <c r="AN567" s="23"/>
      <c r="AO567" s="23"/>
      <c r="AP567" s="23"/>
      <c r="AQ567" s="23"/>
      <c r="AR567" s="35"/>
      <c r="AS567" s="35"/>
      <c r="AT567" s="35"/>
      <c r="AU567" s="31"/>
    </row>
    <row r="568" spans="1:47">
      <c r="A568" s="21"/>
      <c r="D568" s="31"/>
      <c r="E568" s="31"/>
      <c r="F568" s="31"/>
      <c r="G568" s="31"/>
      <c r="H568" s="32"/>
      <c r="J568" s="33"/>
      <c r="K568" s="33"/>
      <c r="L568" s="33"/>
      <c r="X568" s="23"/>
      <c r="Y568" s="23"/>
      <c r="Z568" s="23"/>
      <c r="AA568" s="23"/>
      <c r="AF568" s="23"/>
      <c r="AG568" s="23"/>
      <c r="AH568" s="23"/>
      <c r="AI568" s="23"/>
      <c r="AN568" s="23"/>
      <c r="AO568" s="23"/>
      <c r="AP568" s="23"/>
      <c r="AQ568" s="23"/>
      <c r="AR568" s="35"/>
      <c r="AS568" s="35"/>
      <c r="AT568" s="35"/>
      <c r="AU568" s="31"/>
    </row>
    <row r="569" spans="1:47">
      <c r="A569" s="21"/>
      <c r="D569" s="31"/>
      <c r="E569" s="31"/>
      <c r="F569" s="31"/>
      <c r="G569" s="31"/>
      <c r="H569" s="32"/>
      <c r="J569" s="33"/>
      <c r="K569" s="33"/>
      <c r="L569" s="33"/>
      <c r="X569" s="23"/>
      <c r="Y569" s="23"/>
      <c r="Z569" s="23"/>
      <c r="AA569" s="23"/>
      <c r="AF569" s="23"/>
      <c r="AG569" s="23"/>
      <c r="AH569" s="23"/>
      <c r="AI569" s="23"/>
      <c r="AN569" s="23"/>
      <c r="AO569" s="23"/>
      <c r="AP569" s="23"/>
      <c r="AQ569" s="23"/>
      <c r="AR569" s="35"/>
      <c r="AS569" s="35"/>
      <c r="AT569" s="35"/>
      <c r="AU569" s="31"/>
    </row>
    <row r="570" spans="1:47">
      <c r="A570" s="21"/>
      <c r="D570" s="31"/>
      <c r="E570" s="31"/>
      <c r="F570" s="31"/>
      <c r="G570" s="31"/>
      <c r="H570" s="32"/>
      <c r="J570" s="33"/>
      <c r="K570" s="33"/>
      <c r="L570" s="33"/>
      <c r="X570" s="23"/>
      <c r="Y570" s="23"/>
      <c r="Z570" s="23"/>
      <c r="AA570" s="23"/>
      <c r="AF570" s="23"/>
      <c r="AG570" s="23"/>
      <c r="AH570" s="23"/>
      <c r="AI570" s="23"/>
      <c r="AN570" s="23"/>
      <c r="AO570" s="23"/>
      <c r="AP570" s="23"/>
      <c r="AQ570" s="23"/>
      <c r="AR570" s="35"/>
      <c r="AS570" s="35"/>
      <c r="AT570" s="35"/>
      <c r="AU570" s="31"/>
    </row>
    <row r="571" spans="1:47">
      <c r="A571" s="21"/>
      <c r="D571" s="31"/>
      <c r="E571" s="31"/>
      <c r="F571" s="31"/>
      <c r="G571" s="31"/>
      <c r="H571" s="32"/>
      <c r="J571" s="33"/>
      <c r="K571" s="33"/>
      <c r="L571" s="33"/>
      <c r="X571" s="23"/>
      <c r="Y571" s="23"/>
      <c r="Z571" s="23"/>
      <c r="AA571" s="23"/>
      <c r="AF571" s="23"/>
      <c r="AG571" s="23"/>
      <c r="AH571" s="23"/>
      <c r="AI571" s="23"/>
      <c r="AN571" s="23"/>
      <c r="AO571" s="23"/>
      <c r="AP571" s="23"/>
      <c r="AQ571" s="23"/>
      <c r="AR571" s="35"/>
      <c r="AS571" s="35"/>
      <c r="AT571" s="35"/>
      <c r="AU571" s="31"/>
    </row>
    <row r="572" spans="1:47">
      <c r="A572" s="21"/>
      <c r="D572" s="31"/>
      <c r="E572" s="31"/>
      <c r="F572" s="31"/>
      <c r="G572" s="31"/>
      <c r="H572" s="32"/>
      <c r="J572" s="33"/>
      <c r="K572" s="33"/>
      <c r="L572" s="33"/>
      <c r="X572" s="23"/>
      <c r="Y572" s="23"/>
      <c r="Z572" s="23"/>
      <c r="AA572" s="23"/>
      <c r="AF572" s="23"/>
      <c r="AG572" s="23"/>
      <c r="AH572" s="23"/>
      <c r="AI572" s="23"/>
      <c r="AN572" s="23"/>
      <c r="AO572" s="23"/>
      <c r="AP572" s="23"/>
      <c r="AQ572" s="23"/>
      <c r="AR572" s="35"/>
      <c r="AS572" s="35"/>
      <c r="AT572" s="35"/>
      <c r="AU572" s="31"/>
    </row>
    <row r="573" spans="1:47">
      <c r="A573" s="21"/>
      <c r="D573" s="31"/>
      <c r="E573" s="31"/>
      <c r="F573" s="31"/>
      <c r="G573" s="31"/>
      <c r="H573" s="32"/>
      <c r="J573" s="33"/>
      <c r="K573" s="33"/>
      <c r="L573" s="33"/>
      <c r="X573" s="23"/>
      <c r="Y573" s="23"/>
      <c r="Z573" s="23"/>
      <c r="AA573" s="23"/>
      <c r="AF573" s="23"/>
      <c r="AG573" s="23"/>
      <c r="AH573" s="23"/>
      <c r="AI573" s="23"/>
      <c r="AN573" s="23"/>
      <c r="AO573" s="23"/>
      <c r="AP573" s="23"/>
      <c r="AQ573" s="23"/>
      <c r="AR573" s="35"/>
      <c r="AS573" s="35"/>
      <c r="AT573" s="35"/>
      <c r="AU573" s="31"/>
    </row>
    <row r="574" spans="4:47">
      <c r="D574" s="31"/>
      <c r="E574" s="31"/>
      <c r="F574" s="31"/>
      <c r="G574" s="31"/>
      <c r="H574" s="32"/>
      <c r="J574" s="33"/>
      <c r="K574" s="33"/>
      <c r="L574" s="33"/>
      <c r="X574" s="23"/>
      <c r="Y574" s="23"/>
      <c r="Z574" s="23"/>
      <c r="AA574" s="23"/>
      <c r="AF574" s="23"/>
      <c r="AG574" s="23"/>
      <c r="AH574" s="23"/>
      <c r="AI574" s="23"/>
      <c r="AN574" s="23"/>
      <c r="AO574" s="23"/>
      <c r="AP574" s="23"/>
      <c r="AQ574" s="23"/>
      <c r="AR574" s="35"/>
      <c r="AS574" s="35"/>
      <c r="AT574" s="35"/>
      <c r="AU574" s="31"/>
    </row>
    <row r="575" spans="4:47">
      <c r="D575" s="31"/>
      <c r="E575" s="31"/>
      <c r="F575" s="31"/>
      <c r="G575" s="31"/>
      <c r="H575" s="32"/>
      <c r="J575" s="33"/>
      <c r="K575" s="33"/>
      <c r="L575" s="33"/>
      <c r="X575" s="23"/>
      <c r="Y575" s="23"/>
      <c r="Z575" s="23"/>
      <c r="AA575" s="23"/>
      <c r="AF575" s="23"/>
      <c r="AG575" s="23"/>
      <c r="AH575" s="23"/>
      <c r="AI575" s="23"/>
      <c r="AN575" s="23"/>
      <c r="AO575" s="23"/>
      <c r="AP575" s="23"/>
      <c r="AQ575" s="23"/>
      <c r="AR575" s="35"/>
      <c r="AS575" s="35"/>
      <c r="AT575" s="35"/>
      <c r="AU575" s="31"/>
    </row>
    <row r="576" spans="4:47">
      <c r="D576" s="31"/>
      <c r="E576" s="31"/>
      <c r="F576" s="31"/>
      <c r="G576" s="31"/>
      <c r="H576" s="32"/>
      <c r="J576" s="33"/>
      <c r="K576" s="33"/>
      <c r="L576" s="33"/>
      <c r="X576" s="23"/>
      <c r="Y576" s="23"/>
      <c r="Z576" s="23"/>
      <c r="AA576" s="23"/>
      <c r="AF576" s="23"/>
      <c r="AG576" s="23"/>
      <c r="AH576" s="23"/>
      <c r="AI576" s="23"/>
      <c r="AN576" s="23"/>
      <c r="AO576" s="23"/>
      <c r="AP576" s="23"/>
      <c r="AQ576" s="23"/>
      <c r="AR576" s="35"/>
      <c r="AS576" s="35"/>
      <c r="AT576" s="35"/>
      <c r="AU576" s="31"/>
    </row>
    <row r="577" spans="4:47">
      <c r="D577" s="31"/>
      <c r="E577" s="31"/>
      <c r="F577" s="31"/>
      <c r="G577" s="31"/>
      <c r="H577" s="32"/>
      <c r="J577" s="33"/>
      <c r="K577" s="33"/>
      <c r="L577" s="33"/>
      <c r="X577" s="23"/>
      <c r="Y577" s="23"/>
      <c r="Z577" s="23"/>
      <c r="AA577" s="23"/>
      <c r="AF577" s="23"/>
      <c r="AG577" s="23"/>
      <c r="AH577" s="23"/>
      <c r="AI577" s="23"/>
      <c r="AN577" s="23"/>
      <c r="AO577" s="23"/>
      <c r="AP577" s="23"/>
      <c r="AQ577" s="23"/>
      <c r="AR577" s="35"/>
      <c r="AS577" s="35"/>
      <c r="AT577" s="35"/>
      <c r="AU577" s="31"/>
    </row>
    <row r="578" spans="4:47">
      <c r="D578" s="31"/>
      <c r="E578" s="31"/>
      <c r="F578" s="31"/>
      <c r="G578" s="31"/>
      <c r="H578" s="32"/>
      <c r="J578" s="33"/>
      <c r="K578" s="33"/>
      <c r="L578" s="33"/>
      <c r="X578" s="23"/>
      <c r="Y578" s="23"/>
      <c r="Z578" s="23"/>
      <c r="AA578" s="23"/>
      <c r="AF578" s="23"/>
      <c r="AG578" s="23"/>
      <c r="AH578" s="23"/>
      <c r="AI578" s="23"/>
      <c r="AN578" s="23"/>
      <c r="AO578" s="23"/>
      <c r="AP578" s="23"/>
      <c r="AQ578" s="23"/>
      <c r="AR578" s="35"/>
      <c r="AS578" s="35"/>
      <c r="AT578" s="35"/>
      <c r="AU578" s="31"/>
    </row>
    <row r="579" spans="4:47">
      <c r="D579" s="31"/>
      <c r="E579" s="31"/>
      <c r="F579" s="31"/>
      <c r="G579" s="31"/>
      <c r="H579" s="32"/>
      <c r="J579" s="33"/>
      <c r="K579" s="33"/>
      <c r="L579" s="33"/>
      <c r="X579" s="23"/>
      <c r="Y579" s="23"/>
      <c r="Z579" s="23"/>
      <c r="AA579" s="23"/>
      <c r="AF579" s="23"/>
      <c r="AG579" s="23"/>
      <c r="AH579" s="23"/>
      <c r="AI579" s="23"/>
      <c r="AN579" s="23"/>
      <c r="AO579" s="23"/>
      <c r="AP579" s="23"/>
      <c r="AQ579" s="23"/>
      <c r="AR579" s="35"/>
      <c r="AS579" s="35"/>
      <c r="AT579" s="35"/>
      <c r="AU579" s="31"/>
    </row>
    <row r="580" spans="4:47">
      <c r="D580" s="31"/>
      <c r="E580" s="31"/>
      <c r="F580" s="31"/>
      <c r="G580" s="31"/>
      <c r="H580" s="32"/>
      <c r="J580" s="33"/>
      <c r="K580" s="33"/>
      <c r="L580" s="33"/>
      <c r="X580" s="23"/>
      <c r="Y580" s="23"/>
      <c r="Z580" s="23"/>
      <c r="AA580" s="23"/>
      <c r="AF580" s="23"/>
      <c r="AG580" s="23"/>
      <c r="AH580" s="23"/>
      <c r="AI580" s="23"/>
      <c r="AN580" s="23"/>
      <c r="AO580" s="23"/>
      <c r="AP580" s="23"/>
      <c r="AQ580" s="23"/>
      <c r="AR580" s="35"/>
      <c r="AS580" s="35"/>
      <c r="AT580" s="35"/>
      <c r="AU580" s="31"/>
    </row>
    <row r="581" spans="4:47">
      <c r="D581" s="31"/>
      <c r="E581" s="31"/>
      <c r="F581" s="31"/>
      <c r="G581" s="31"/>
      <c r="H581" s="32"/>
      <c r="J581" s="33"/>
      <c r="K581" s="33"/>
      <c r="L581" s="33"/>
      <c r="X581" s="23"/>
      <c r="Y581" s="23"/>
      <c r="Z581" s="23"/>
      <c r="AA581" s="23"/>
      <c r="AF581" s="23"/>
      <c r="AG581" s="23"/>
      <c r="AH581" s="23"/>
      <c r="AI581" s="23"/>
      <c r="AN581" s="23"/>
      <c r="AO581" s="23"/>
      <c r="AP581" s="23"/>
      <c r="AQ581" s="23"/>
      <c r="AR581" s="35"/>
      <c r="AS581" s="35"/>
      <c r="AT581" s="35"/>
      <c r="AU581" s="31"/>
    </row>
    <row r="582" spans="4:47">
      <c r="D582" s="31"/>
      <c r="E582" s="31"/>
      <c r="F582" s="31"/>
      <c r="G582" s="31"/>
      <c r="H582" s="32"/>
      <c r="J582" s="33"/>
      <c r="K582" s="33"/>
      <c r="L582" s="33"/>
      <c r="X582" s="23"/>
      <c r="Y582" s="23"/>
      <c r="Z582" s="23"/>
      <c r="AA582" s="23"/>
      <c r="AF582" s="23"/>
      <c r="AG582" s="23"/>
      <c r="AH582" s="23"/>
      <c r="AI582" s="23"/>
      <c r="AN582" s="23"/>
      <c r="AO582" s="23"/>
      <c r="AP582" s="23"/>
      <c r="AQ582" s="23"/>
      <c r="AR582" s="35"/>
      <c r="AS582" s="35"/>
      <c r="AT582" s="35"/>
      <c r="AU582" s="31"/>
    </row>
    <row r="583" spans="4:47">
      <c r="D583" s="31"/>
      <c r="E583" s="31"/>
      <c r="F583" s="31"/>
      <c r="G583" s="31"/>
      <c r="H583" s="32"/>
      <c r="J583" s="33"/>
      <c r="K583" s="33"/>
      <c r="L583" s="33"/>
      <c r="X583" s="23"/>
      <c r="Y583" s="23"/>
      <c r="Z583" s="23"/>
      <c r="AA583" s="23"/>
      <c r="AF583" s="23"/>
      <c r="AG583" s="23"/>
      <c r="AH583" s="23"/>
      <c r="AI583" s="23"/>
      <c r="AN583" s="23"/>
      <c r="AO583" s="23"/>
      <c r="AP583" s="23"/>
      <c r="AQ583" s="23"/>
      <c r="AR583" s="35"/>
      <c r="AS583" s="35"/>
      <c r="AT583" s="35"/>
      <c r="AU583" s="31"/>
    </row>
    <row r="584" spans="4:47">
      <c r="D584" s="31"/>
      <c r="E584" s="31"/>
      <c r="F584" s="31"/>
      <c r="G584" s="31"/>
      <c r="H584" s="32"/>
      <c r="J584" s="33"/>
      <c r="K584" s="33"/>
      <c r="L584" s="33"/>
      <c r="X584" s="23"/>
      <c r="Y584" s="23"/>
      <c r="Z584" s="23"/>
      <c r="AA584" s="23"/>
      <c r="AF584" s="23"/>
      <c r="AG584" s="23"/>
      <c r="AH584" s="23"/>
      <c r="AI584" s="23"/>
      <c r="AN584" s="23"/>
      <c r="AO584" s="23"/>
      <c r="AP584" s="23"/>
      <c r="AQ584" s="23"/>
      <c r="AR584" s="35"/>
      <c r="AS584" s="35"/>
      <c r="AT584" s="35"/>
      <c r="AU584" s="31"/>
    </row>
    <row r="585" spans="4:47">
      <c r="D585" s="31"/>
      <c r="E585" s="31"/>
      <c r="F585" s="31"/>
      <c r="G585" s="31"/>
      <c r="H585" s="32"/>
      <c r="J585" s="33"/>
      <c r="K585" s="33"/>
      <c r="L585" s="33"/>
      <c r="X585" s="23"/>
      <c r="Y585" s="23"/>
      <c r="Z585" s="23"/>
      <c r="AA585" s="23"/>
      <c r="AF585" s="23"/>
      <c r="AG585" s="23"/>
      <c r="AH585" s="23"/>
      <c r="AI585" s="23"/>
      <c r="AN585" s="23"/>
      <c r="AO585" s="23"/>
      <c r="AP585" s="23"/>
      <c r="AQ585" s="23"/>
      <c r="AR585" s="35"/>
      <c r="AS585" s="35"/>
      <c r="AT585" s="35"/>
      <c r="AU585" s="31"/>
    </row>
    <row r="586" spans="4:47">
      <c r="D586" s="31"/>
      <c r="E586" s="31"/>
      <c r="F586" s="31"/>
      <c r="G586" s="31"/>
      <c r="H586" s="32"/>
      <c r="J586" s="33"/>
      <c r="K586" s="33"/>
      <c r="L586" s="33"/>
      <c r="X586" s="23"/>
      <c r="Y586" s="23"/>
      <c r="Z586" s="23"/>
      <c r="AA586" s="23"/>
      <c r="AF586" s="23"/>
      <c r="AG586" s="23"/>
      <c r="AH586" s="23"/>
      <c r="AI586" s="23"/>
      <c r="AN586" s="23"/>
      <c r="AO586" s="23"/>
      <c r="AP586" s="23"/>
      <c r="AQ586" s="23"/>
      <c r="AR586" s="35"/>
      <c r="AS586" s="35"/>
      <c r="AT586" s="35"/>
      <c r="AU586" s="31"/>
    </row>
    <row r="587" spans="4:47">
      <c r="D587" s="31"/>
      <c r="E587" s="31"/>
      <c r="F587" s="31"/>
      <c r="G587" s="31"/>
      <c r="H587" s="32"/>
      <c r="J587" s="33"/>
      <c r="K587" s="33"/>
      <c r="L587" s="33"/>
      <c r="X587" s="23"/>
      <c r="Y587" s="23"/>
      <c r="Z587" s="23"/>
      <c r="AA587" s="23"/>
      <c r="AF587" s="23"/>
      <c r="AG587" s="23"/>
      <c r="AH587" s="23"/>
      <c r="AI587" s="23"/>
      <c r="AN587" s="23"/>
      <c r="AO587" s="23"/>
      <c r="AP587" s="23"/>
      <c r="AQ587" s="23"/>
      <c r="AR587" s="35"/>
      <c r="AS587" s="35"/>
      <c r="AT587" s="35"/>
      <c r="AU587" s="31"/>
    </row>
    <row r="588" spans="4:47">
      <c r="D588" s="31"/>
      <c r="E588" s="31"/>
      <c r="F588" s="31"/>
      <c r="G588" s="31"/>
      <c r="H588" s="32"/>
      <c r="J588" s="33"/>
      <c r="K588" s="33"/>
      <c r="L588" s="33"/>
      <c r="X588" s="23"/>
      <c r="Y588" s="23"/>
      <c r="Z588" s="23"/>
      <c r="AA588" s="23"/>
      <c r="AF588" s="23"/>
      <c r="AG588" s="23"/>
      <c r="AH588" s="23"/>
      <c r="AI588" s="23"/>
      <c r="AN588" s="23"/>
      <c r="AO588" s="23"/>
      <c r="AP588" s="23"/>
      <c r="AQ588" s="23"/>
      <c r="AR588" s="35"/>
      <c r="AS588" s="35"/>
      <c r="AT588" s="35"/>
      <c r="AU588" s="31"/>
    </row>
    <row r="589" spans="4:47">
      <c r="D589" s="31"/>
      <c r="E589" s="31"/>
      <c r="F589" s="31"/>
      <c r="G589" s="31"/>
      <c r="H589" s="32"/>
      <c r="J589" s="33"/>
      <c r="K589" s="33"/>
      <c r="L589" s="33"/>
      <c r="X589" s="23"/>
      <c r="Y589" s="23"/>
      <c r="Z589" s="23"/>
      <c r="AA589" s="23"/>
      <c r="AF589" s="23"/>
      <c r="AG589" s="23"/>
      <c r="AH589" s="23"/>
      <c r="AI589" s="23"/>
      <c r="AN589" s="23"/>
      <c r="AO589" s="23"/>
      <c r="AP589" s="23"/>
      <c r="AQ589" s="23"/>
      <c r="AR589" s="35"/>
      <c r="AS589" s="35"/>
      <c r="AT589" s="35"/>
      <c r="AU589" s="31"/>
    </row>
    <row r="590" spans="4:47">
      <c r="D590" s="31"/>
      <c r="E590" s="31"/>
      <c r="F590" s="31"/>
      <c r="G590" s="31"/>
      <c r="H590" s="32"/>
      <c r="J590" s="33"/>
      <c r="K590" s="33"/>
      <c r="L590" s="33"/>
      <c r="X590" s="23"/>
      <c r="Y590" s="23"/>
      <c r="Z590" s="23"/>
      <c r="AA590" s="23"/>
      <c r="AF590" s="23"/>
      <c r="AG590" s="23"/>
      <c r="AH590" s="23"/>
      <c r="AI590" s="23"/>
      <c r="AN590" s="23"/>
      <c r="AO590" s="23"/>
      <c r="AP590" s="23"/>
      <c r="AQ590" s="23"/>
      <c r="AR590" s="35"/>
      <c r="AS590" s="35"/>
      <c r="AT590" s="35"/>
      <c r="AU590" s="31"/>
    </row>
    <row r="591" spans="4:47">
      <c r="D591" s="31"/>
      <c r="E591" s="31"/>
      <c r="F591" s="31"/>
      <c r="G591" s="31"/>
      <c r="H591" s="32"/>
      <c r="J591" s="33"/>
      <c r="K591" s="33"/>
      <c r="L591" s="33"/>
      <c r="X591" s="23"/>
      <c r="Y591" s="23"/>
      <c r="Z591" s="23"/>
      <c r="AA591" s="23"/>
      <c r="AF591" s="23"/>
      <c r="AG591" s="23"/>
      <c r="AH591" s="23"/>
      <c r="AI591" s="23"/>
      <c r="AN591" s="23"/>
      <c r="AO591" s="23"/>
      <c r="AP591" s="23"/>
      <c r="AQ591" s="23"/>
      <c r="AR591" s="35"/>
      <c r="AS591" s="35"/>
      <c r="AT591" s="35"/>
      <c r="AU591" s="31"/>
    </row>
    <row r="592" spans="4:47">
      <c r="D592" s="31"/>
      <c r="E592" s="31"/>
      <c r="F592" s="31"/>
      <c r="G592" s="31"/>
      <c r="H592" s="32"/>
      <c r="J592" s="33"/>
      <c r="K592" s="33"/>
      <c r="L592" s="33"/>
      <c r="X592" s="23"/>
      <c r="Y592" s="23"/>
      <c r="Z592" s="23"/>
      <c r="AA592" s="23"/>
      <c r="AF592" s="23"/>
      <c r="AG592" s="23"/>
      <c r="AH592" s="23"/>
      <c r="AI592" s="23"/>
      <c r="AN592" s="23"/>
      <c r="AO592" s="23"/>
      <c r="AP592" s="23"/>
      <c r="AQ592" s="23"/>
      <c r="AR592" s="35"/>
      <c r="AS592" s="35"/>
      <c r="AT592" s="35"/>
      <c r="AU592" s="31"/>
    </row>
    <row r="593" spans="4:47">
      <c r="D593" s="31"/>
      <c r="E593" s="31"/>
      <c r="F593" s="31"/>
      <c r="G593" s="31"/>
      <c r="H593" s="32"/>
      <c r="J593" s="33"/>
      <c r="K593" s="33"/>
      <c r="L593" s="33"/>
      <c r="X593" s="23"/>
      <c r="Y593" s="23"/>
      <c r="Z593" s="23"/>
      <c r="AA593" s="23"/>
      <c r="AF593" s="23"/>
      <c r="AG593" s="23"/>
      <c r="AH593" s="23"/>
      <c r="AI593" s="23"/>
      <c r="AN593" s="23"/>
      <c r="AO593" s="23"/>
      <c r="AP593" s="23"/>
      <c r="AQ593" s="23"/>
      <c r="AR593" s="35"/>
      <c r="AS593" s="35"/>
      <c r="AT593" s="35"/>
      <c r="AU593" s="31"/>
    </row>
    <row r="594" spans="4:47">
      <c r="D594" s="31"/>
      <c r="E594" s="31"/>
      <c r="F594" s="31"/>
      <c r="G594" s="31"/>
      <c r="H594" s="32"/>
      <c r="J594" s="33"/>
      <c r="K594" s="33"/>
      <c r="L594" s="33"/>
      <c r="X594" s="23"/>
      <c r="Y594" s="23"/>
      <c r="Z594" s="23"/>
      <c r="AA594" s="23"/>
      <c r="AF594" s="23"/>
      <c r="AG594" s="23"/>
      <c r="AH594" s="23"/>
      <c r="AI594" s="23"/>
      <c r="AN594" s="23"/>
      <c r="AO594" s="23"/>
      <c r="AP594" s="23"/>
      <c r="AQ594" s="23"/>
      <c r="AR594" s="35"/>
      <c r="AS594" s="35"/>
      <c r="AT594" s="35"/>
      <c r="AU594" s="31"/>
    </row>
    <row r="595" spans="4:47">
      <c r="D595" s="31"/>
      <c r="E595" s="31"/>
      <c r="F595" s="31"/>
      <c r="G595" s="31"/>
      <c r="H595" s="32"/>
      <c r="J595" s="33"/>
      <c r="K595" s="33"/>
      <c r="L595" s="33"/>
      <c r="X595" s="23"/>
      <c r="Y595" s="23"/>
      <c r="Z595" s="23"/>
      <c r="AA595" s="23"/>
      <c r="AF595" s="23"/>
      <c r="AG595" s="23"/>
      <c r="AH595" s="23"/>
      <c r="AI595" s="23"/>
      <c r="AN595" s="23"/>
      <c r="AO595" s="23"/>
      <c r="AP595" s="23"/>
      <c r="AQ595" s="23"/>
      <c r="AR595" s="35"/>
      <c r="AS595" s="35"/>
      <c r="AT595" s="35"/>
      <c r="AU595" s="31"/>
    </row>
    <row r="596" spans="4:47">
      <c r="D596" s="31"/>
      <c r="E596" s="31"/>
      <c r="F596" s="31"/>
      <c r="G596" s="31"/>
      <c r="H596" s="32"/>
      <c r="J596" s="33"/>
      <c r="K596" s="33"/>
      <c r="L596" s="33"/>
      <c r="X596" s="23"/>
      <c r="Y596" s="23"/>
      <c r="Z596" s="23"/>
      <c r="AA596" s="23"/>
      <c r="AF596" s="23"/>
      <c r="AG596" s="23"/>
      <c r="AH596" s="23"/>
      <c r="AI596" s="23"/>
      <c r="AN596" s="23"/>
      <c r="AO596" s="23"/>
      <c r="AP596" s="23"/>
      <c r="AQ596" s="23"/>
      <c r="AR596" s="35"/>
      <c r="AS596" s="35"/>
      <c r="AT596" s="35"/>
      <c r="AU596" s="31"/>
    </row>
    <row r="597" spans="4:47">
      <c r="D597" s="31"/>
      <c r="E597" s="31"/>
      <c r="F597" s="31"/>
      <c r="G597" s="31"/>
      <c r="H597" s="32"/>
      <c r="J597" s="33"/>
      <c r="K597" s="33"/>
      <c r="L597" s="33"/>
      <c r="X597" s="23"/>
      <c r="Y597" s="23"/>
      <c r="Z597" s="23"/>
      <c r="AA597" s="23"/>
      <c r="AF597" s="23"/>
      <c r="AG597" s="23"/>
      <c r="AH597" s="23"/>
      <c r="AI597" s="23"/>
      <c r="AN597" s="23"/>
      <c r="AO597" s="23"/>
      <c r="AP597" s="23"/>
      <c r="AQ597" s="23"/>
      <c r="AR597" s="35"/>
      <c r="AS597" s="35"/>
      <c r="AT597" s="35"/>
      <c r="AU597" s="31"/>
    </row>
    <row r="598" spans="4:47">
      <c r="D598" s="31"/>
      <c r="E598" s="31"/>
      <c r="F598" s="31"/>
      <c r="G598" s="31"/>
      <c r="H598" s="32"/>
      <c r="J598" s="33"/>
      <c r="K598" s="33"/>
      <c r="L598" s="33"/>
      <c r="X598" s="23"/>
      <c r="Y598" s="23"/>
      <c r="Z598" s="23"/>
      <c r="AA598" s="23"/>
      <c r="AF598" s="23"/>
      <c r="AG598" s="23"/>
      <c r="AH598" s="23"/>
      <c r="AI598" s="23"/>
      <c r="AN598" s="23"/>
      <c r="AO598" s="23"/>
      <c r="AP598" s="23"/>
      <c r="AQ598" s="23"/>
      <c r="AR598" s="35"/>
      <c r="AS598" s="35"/>
      <c r="AT598" s="35"/>
      <c r="AU598" s="31"/>
    </row>
    <row r="599" spans="4:47">
      <c r="D599" s="31"/>
      <c r="E599" s="31"/>
      <c r="F599" s="31"/>
      <c r="G599" s="31"/>
      <c r="H599" s="32"/>
      <c r="J599" s="33"/>
      <c r="K599" s="33"/>
      <c r="L599" s="33"/>
      <c r="X599" s="23"/>
      <c r="Y599" s="23"/>
      <c r="Z599" s="23"/>
      <c r="AA599" s="23"/>
      <c r="AF599" s="23"/>
      <c r="AG599" s="23"/>
      <c r="AH599" s="23"/>
      <c r="AI599" s="23"/>
      <c r="AN599" s="23"/>
      <c r="AO599" s="23"/>
      <c r="AP599" s="23"/>
      <c r="AQ599" s="23"/>
      <c r="AR599" s="35"/>
      <c r="AS599" s="35"/>
      <c r="AT599" s="35"/>
      <c r="AU599" s="31"/>
    </row>
    <row r="600" spans="4:47">
      <c r="D600" s="31"/>
      <c r="E600" s="31"/>
      <c r="F600" s="31"/>
      <c r="G600" s="31"/>
      <c r="H600" s="32"/>
      <c r="J600" s="33"/>
      <c r="K600" s="33"/>
      <c r="L600" s="33"/>
      <c r="X600" s="23"/>
      <c r="Y600" s="23"/>
      <c r="Z600" s="23"/>
      <c r="AA600" s="23"/>
      <c r="AF600" s="23"/>
      <c r="AG600" s="23"/>
      <c r="AH600" s="23"/>
      <c r="AI600" s="23"/>
      <c r="AN600" s="23"/>
      <c r="AO600" s="23"/>
      <c r="AP600" s="23"/>
      <c r="AQ600" s="23"/>
      <c r="AR600" s="35"/>
      <c r="AS600" s="35"/>
      <c r="AT600" s="35"/>
      <c r="AU600" s="31"/>
    </row>
    <row r="601" spans="4:47">
      <c r="D601" s="31"/>
      <c r="E601" s="31"/>
      <c r="F601" s="31"/>
      <c r="G601" s="31"/>
      <c r="H601" s="32"/>
      <c r="J601" s="33"/>
      <c r="K601" s="33"/>
      <c r="L601" s="33"/>
      <c r="X601" s="23"/>
      <c r="Y601" s="23"/>
      <c r="Z601" s="23"/>
      <c r="AA601" s="23"/>
      <c r="AF601" s="23"/>
      <c r="AG601" s="23"/>
      <c r="AH601" s="23"/>
      <c r="AI601" s="23"/>
      <c r="AN601" s="23"/>
      <c r="AO601" s="23"/>
      <c r="AP601" s="23"/>
      <c r="AQ601" s="23"/>
      <c r="AR601" s="35"/>
      <c r="AS601" s="35"/>
      <c r="AT601" s="35"/>
      <c r="AU601" s="31"/>
    </row>
    <row r="602" spans="4:47">
      <c r="D602" s="31"/>
      <c r="E602" s="31"/>
      <c r="F602" s="31"/>
      <c r="G602" s="31"/>
      <c r="H602" s="32"/>
      <c r="J602" s="33"/>
      <c r="K602" s="33"/>
      <c r="L602" s="33"/>
      <c r="X602" s="23"/>
      <c r="Y602" s="23"/>
      <c r="Z602" s="23"/>
      <c r="AA602" s="23"/>
      <c r="AF602" s="23"/>
      <c r="AG602" s="23"/>
      <c r="AH602" s="23"/>
      <c r="AI602" s="23"/>
      <c r="AN602" s="23"/>
      <c r="AO602" s="23"/>
      <c r="AP602" s="23"/>
      <c r="AQ602" s="23"/>
      <c r="AR602" s="35"/>
      <c r="AS602" s="35"/>
      <c r="AT602" s="35"/>
      <c r="AU602" s="31"/>
    </row>
    <row r="603" spans="4:47">
      <c r="D603" s="31"/>
      <c r="E603" s="31"/>
      <c r="F603" s="31"/>
      <c r="G603" s="31"/>
      <c r="H603" s="32"/>
      <c r="J603" s="33"/>
      <c r="K603" s="33"/>
      <c r="L603" s="33"/>
      <c r="X603" s="23"/>
      <c r="Y603" s="23"/>
      <c r="Z603" s="23"/>
      <c r="AA603" s="23"/>
      <c r="AF603" s="23"/>
      <c r="AG603" s="23"/>
      <c r="AH603" s="23"/>
      <c r="AI603" s="23"/>
      <c r="AN603" s="23"/>
      <c r="AO603" s="23"/>
      <c r="AP603" s="23"/>
      <c r="AQ603" s="23"/>
      <c r="AR603" s="35"/>
      <c r="AS603" s="35"/>
      <c r="AT603" s="35"/>
      <c r="AU603" s="31"/>
    </row>
    <row r="604" spans="4:47">
      <c r="D604" s="31"/>
      <c r="E604" s="31"/>
      <c r="F604" s="31"/>
      <c r="G604" s="31"/>
      <c r="H604" s="32"/>
      <c r="J604" s="33"/>
      <c r="K604" s="33"/>
      <c r="L604" s="33"/>
      <c r="X604" s="23"/>
      <c r="Y604" s="23"/>
      <c r="Z604" s="23"/>
      <c r="AA604" s="23"/>
      <c r="AF604" s="23"/>
      <c r="AG604" s="23"/>
      <c r="AH604" s="23"/>
      <c r="AI604" s="23"/>
      <c r="AN604" s="23"/>
      <c r="AO604" s="23"/>
      <c r="AP604" s="23"/>
      <c r="AQ604" s="23"/>
      <c r="AR604" s="35"/>
      <c r="AS604" s="35"/>
      <c r="AT604" s="35"/>
      <c r="AU604" s="31"/>
    </row>
    <row r="605" spans="4:47">
      <c r="D605" s="31"/>
      <c r="E605" s="31"/>
      <c r="F605" s="31"/>
      <c r="G605" s="31"/>
      <c r="H605" s="32"/>
      <c r="J605" s="33"/>
      <c r="K605" s="33"/>
      <c r="L605" s="33"/>
      <c r="X605" s="23"/>
      <c r="Y605" s="23"/>
      <c r="Z605" s="23"/>
      <c r="AA605" s="23"/>
      <c r="AF605" s="23"/>
      <c r="AG605" s="23"/>
      <c r="AH605" s="23"/>
      <c r="AI605" s="23"/>
      <c r="AN605" s="23"/>
      <c r="AO605" s="23"/>
      <c r="AP605" s="23"/>
      <c r="AQ605" s="23"/>
      <c r="AR605" s="35"/>
      <c r="AS605" s="35"/>
      <c r="AT605" s="35"/>
      <c r="AU605" s="31"/>
    </row>
    <row r="606" spans="4:47">
      <c r="D606" s="31"/>
      <c r="E606" s="31"/>
      <c r="F606" s="31"/>
      <c r="G606" s="31"/>
      <c r="H606" s="32"/>
      <c r="J606" s="33"/>
      <c r="K606" s="33"/>
      <c r="L606" s="33"/>
      <c r="X606" s="23"/>
      <c r="Y606" s="23"/>
      <c r="Z606" s="23"/>
      <c r="AA606" s="23"/>
      <c r="AF606" s="23"/>
      <c r="AG606" s="23"/>
      <c r="AH606" s="23"/>
      <c r="AI606" s="23"/>
      <c r="AN606" s="23"/>
      <c r="AO606" s="23"/>
      <c r="AP606" s="23"/>
      <c r="AQ606" s="23"/>
      <c r="AR606" s="35"/>
      <c r="AS606" s="35"/>
      <c r="AT606" s="35"/>
      <c r="AU606" s="31"/>
    </row>
    <row r="607" spans="4:47">
      <c r="D607" s="31"/>
      <c r="E607" s="31"/>
      <c r="F607" s="31"/>
      <c r="G607" s="31"/>
      <c r="H607" s="32"/>
      <c r="J607" s="33"/>
      <c r="K607" s="33"/>
      <c r="L607" s="33"/>
      <c r="X607" s="23"/>
      <c r="Y607" s="23"/>
      <c r="Z607" s="23"/>
      <c r="AA607" s="23"/>
      <c r="AF607" s="23"/>
      <c r="AG607" s="23"/>
      <c r="AH607" s="23"/>
      <c r="AI607" s="23"/>
      <c r="AN607" s="23"/>
      <c r="AO607" s="23"/>
      <c r="AP607" s="23"/>
      <c r="AQ607" s="23"/>
      <c r="AR607" s="35"/>
      <c r="AS607" s="35"/>
      <c r="AT607" s="35"/>
      <c r="AU607" s="31"/>
    </row>
    <row r="608" spans="4:47">
      <c r="D608" s="31"/>
      <c r="E608" s="31"/>
      <c r="F608" s="31"/>
      <c r="G608" s="31"/>
      <c r="H608" s="32"/>
      <c r="J608" s="33"/>
      <c r="K608" s="33"/>
      <c r="L608" s="33"/>
      <c r="X608" s="23"/>
      <c r="Y608" s="23"/>
      <c r="Z608" s="23"/>
      <c r="AA608" s="23"/>
      <c r="AF608" s="23"/>
      <c r="AG608" s="23"/>
      <c r="AH608" s="23"/>
      <c r="AI608" s="23"/>
      <c r="AN608" s="23"/>
      <c r="AO608" s="23"/>
      <c r="AP608" s="23"/>
      <c r="AQ608" s="23"/>
      <c r="AR608" s="35"/>
      <c r="AS608" s="35"/>
      <c r="AT608" s="35"/>
      <c r="AU608" s="31"/>
    </row>
    <row r="609" spans="4:47">
      <c r="D609" s="31"/>
      <c r="E609" s="31"/>
      <c r="F609" s="31"/>
      <c r="G609" s="31"/>
      <c r="H609" s="32"/>
      <c r="J609" s="33"/>
      <c r="K609" s="33"/>
      <c r="L609" s="33"/>
      <c r="X609" s="23"/>
      <c r="Y609" s="23"/>
      <c r="Z609" s="23"/>
      <c r="AA609" s="23"/>
      <c r="AF609" s="23"/>
      <c r="AG609" s="23"/>
      <c r="AH609" s="23"/>
      <c r="AI609" s="23"/>
      <c r="AN609" s="23"/>
      <c r="AO609" s="23"/>
      <c r="AP609" s="23"/>
      <c r="AQ609" s="23"/>
      <c r="AR609" s="35"/>
      <c r="AS609" s="35"/>
      <c r="AT609" s="35"/>
      <c r="AU609" s="31"/>
    </row>
    <row r="610" spans="4:47">
      <c r="D610" s="31"/>
      <c r="E610" s="31"/>
      <c r="F610" s="31"/>
      <c r="G610" s="31"/>
      <c r="H610" s="32"/>
      <c r="J610" s="33"/>
      <c r="K610" s="33"/>
      <c r="L610" s="33"/>
      <c r="X610" s="23"/>
      <c r="Y610" s="23"/>
      <c r="Z610" s="23"/>
      <c r="AA610" s="23"/>
      <c r="AF610" s="23"/>
      <c r="AG610" s="23"/>
      <c r="AH610" s="23"/>
      <c r="AI610" s="23"/>
      <c r="AN610" s="23"/>
      <c r="AO610" s="23"/>
      <c r="AP610" s="23"/>
      <c r="AQ610" s="23"/>
      <c r="AR610" s="35"/>
      <c r="AS610" s="35"/>
      <c r="AT610" s="35"/>
      <c r="AU610" s="31"/>
    </row>
    <row r="611" spans="4:47">
      <c r="D611" s="31"/>
      <c r="E611" s="31"/>
      <c r="F611" s="31"/>
      <c r="G611" s="31"/>
      <c r="H611" s="32"/>
      <c r="J611" s="33"/>
      <c r="K611" s="33"/>
      <c r="L611" s="33"/>
      <c r="X611" s="23"/>
      <c r="Y611" s="23"/>
      <c r="Z611" s="23"/>
      <c r="AA611" s="23"/>
      <c r="AF611" s="23"/>
      <c r="AG611" s="23"/>
      <c r="AH611" s="23"/>
      <c r="AI611" s="23"/>
      <c r="AN611" s="23"/>
      <c r="AO611" s="23"/>
      <c r="AP611" s="23"/>
      <c r="AQ611" s="23"/>
      <c r="AR611" s="35"/>
      <c r="AS611" s="35"/>
      <c r="AT611" s="35"/>
      <c r="AU611" s="31"/>
    </row>
    <row r="612" spans="4:47">
      <c r="D612" s="31"/>
      <c r="E612" s="31"/>
      <c r="F612" s="31"/>
      <c r="G612" s="31"/>
      <c r="H612" s="32"/>
      <c r="J612" s="33"/>
      <c r="K612" s="33"/>
      <c r="L612" s="33"/>
      <c r="X612" s="23"/>
      <c r="Y612" s="23"/>
      <c r="Z612" s="23"/>
      <c r="AA612" s="23"/>
      <c r="AF612" s="23"/>
      <c r="AG612" s="23"/>
      <c r="AH612" s="23"/>
      <c r="AI612" s="23"/>
      <c r="AN612" s="23"/>
      <c r="AO612" s="23"/>
      <c r="AP612" s="23"/>
      <c r="AQ612" s="23"/>
      <c r="AR612" s="35"/>
      <c r="AS612" s="35"/>
      <c r="AT612" s="35"/>
      <c r="AU612" s="31"/>
    </row>
    <row r="613" spans="4:47">
      <c r="D613" s="31"/>
      <c r="E613" s="31"/>
      <c r="F613" s="31"/>
      <c r="G613" s="31"/>
      <c r="H613" s="32"/>
      <c r="J613" s="33"/>
      <c r="K613" s="33"/>
      <c r="L613" s="33"/>
      <c r="X613" s="23"/>
      <c r="Y613" s="23"/>
      <c r="Z613" s="23"/>
      <c r="AA613" s="23"/>
      <c r="AF613" s="23"/>
      <c r="AG613" s="23"/>
      <c r="AH613" s="23"/>
      <c r="AI613" s="23"/>
      <c r="AN613" s="23"/>
      <c r="AO613" s="23"/>
      <c r="AP613" s="23"/>
      <c r="AQ613" s="23"/>
      <c r="AR613" s="35"/>
      <c r="AS613" s="35"/>
      <c r="AT613" s="35"/>
      <c r="AU613" s="31"/>
    </row>
    <row r="614" spans="4:47">
      <c r="D614" s="31"/>
      <c r="E614" s="31"/>
      <c r="F614" s="31"/>
      <c r="G614" s="31"/>
      <c r="H614" s="32"/>
      <c r="J614" s="33"/>
      <c r="K614" s="33"/>
      <c r="L614" s="33"/>
      <c r="X614" s="23"/>
      <c r="Y614" s="23"/>
      <c r="Z614" s="23"/>
      <c r="AA614" s="23"/>
      <c r="AF614" s="23"/>
      <c r="AG614" s="23"/>
      <c r="AH614" s="23"/>
      <c r="AI614" s="23"/>
      <c r="AN614" s="23"/>
      <c r="AO614" s="23"/>
      <c r="AP614" s="23"/>
      <c r="AQ614" s="23"/>
      <c r="AR614" s="35"/>
      <c r="AS614" s="35"/>
      <c r="AT614" s="35"/>
      <c r="AU614" s="31"/>
    </row>
    <row r="615" spans="4:47">
      <c r="D615" s="31"/>
      <c r="E615" s="31"/>
      <c r="F615" s="31"/>
      <c r="G615" s="31"/>
      <c r="H615" s="32"/>
      <c r="J615" s="33"/>
      <c r="K615" s="33"/>
      <c r="L615" s="33"/>
      <c r="X615" s="23"/>
      <c r="Y615" s="23"/>
      <c r="Z615" s="23"/>
      <c r="AA615" s="23"/>
      <c r="AF615" s="23"/>
      <c r="AG615" s="23"/>
      <c r="AH615" s="23"/>
      <c r="AI615" s="23"/>
      <c r="AN615" s="23"/>
      <c r="AO615" s="23"/>
      <c r="AP615" s="23"/>
      <c r="AQ615" s="23"/>
      <c r="AR615" s="35"/>
      <c r="AS615" s="35"/>
      <c r="AT615" s="35"/>
      <c r="AU615" s="31"/>
    </row>
    <row r="616" spans="4:47">
      <c r="D616" s="31"/>
      <c r="E616" s="31"/>
      <c r="F616" s="31"/>
      <c r="G616" s="31"/>
      <c r="H616" s="32"/>
      <c r="J616" s="33"/>
      <c r="K616" s="33"/>
      <c r="L616" s="33"/>
      <c r="X616" s="23"/>
      <c r="Y616" s="23"/>
      <c r="Z616" s="23"/>
      <c r="AA616" s="23"/>
      <c r="AF616" s="23"/>
      <c r="AG616" s="23"/>
      <c r="AH616" s="23"/>
      <c r="AI616" s="23"/>
      <c r="AN616" s="23"/>
      <c r="AO616" s="23"/>
      <c r="AP616" s="23"/>
      <c r="AQ616" s="23"/>
      <c r="AR616" s="35"/>
      <c r="AS616" s="35"/>
      <c r="AT616" s="35"/>
      <c r="AU616" s="31"/>
    </row>
    <row r="617" spans="4:47">
      <c r="D617" s="31"/>
      <c r="E617" s="31"/>
      <c r="F617" s="31"/>
      <c r="G617" s="31"/>
      <c r="H617" s="32"/>
      <c r="J617" s="33"/>
      <c r="K617" s="33"/>
      <c r="L617" s="33"/>
      <c r="X617" s="23"/>
      <c r="Y617" s="23"/>
      <c r="Z617" s="23"/>
      <c r="AA617" s="23"/>
      <c r="AF617" s="23"/>
      <c r="AG617" s="23"/>
      <c r="AH617" s="23"/>
      <c r="AI617" s="23"/>
      <c r="AN617" s="23"/>
      <c r="AO617" s="23"/>
      <c r="AP617" s="23"/>
      <c r="AQ617" s="23"/>
      <c r="AR617" s="35"/>
      <c r="AS617" s="35"/>
      <c r="AT617" s="35"/>
      <c r="AU617" s="31"/>
    </row>
    <row r="618" spans="4:47">
      <c r="D618" s="31"/>
      <c r="E618" s="31"/>
      <c r="F618" s="31"/>
      <c r="G618" s="31"/>
      <c r="H618" s="32"/>
      <c r="J618" s="33"/>
      <c r="K618" s="33"/>
      <c r="L618" s="33"/>
      <c r="X618" s="23"/>
      <c r="Y618" s="23"/>
      <c r="Z618" s="23"/>
      <c r="AA618" s="23"/>
      <c r="AF618" s="23"/>
      <c r="AG618" s="23"/>
      <c r="AH618" s="23"/>
      <c r="AI618" s="23"/>
      <c r="AN618" s="23"/>
      <c r="AO618" s="23"/>
      <c r="AP618" s="23"/>
      <c r="AQ618" s="23"/>
      <c r="AR618" s="35"/>
      <c r="AS618" s="35"/>
      <c r="AT618" s="35"/>
      <c r="AU618" s="31"/>
    </row>
    <row r="619" spans="4:47">
      <c r="D619" s="31"/>
      <c r="E619" s="31"/>
      <c r="F619" s="31"/>
      <c r="G619" s="31"/>
      <c r="H619" s="32"/>
      <c r="J619" s="33"/>
      <c r="K619" s="33"/>
      <c r="L619" s="33"/>
      <c r="X619" s="23"/>
      <c r="Y619" s="23"/>
      <c r="Z619" s="23"/>
      <c r="AA619" s="23"/>
      <c r="AF619" s="23"/>
      <c r="AG619" s="23"/>
      <c r="AH619" s="23"/>
      <c r="AI619" s="23"/>
      <c r="AN619" s="23"/>
      <c r="AO619" s="23"/>
      <c r="AP619" s="23"/>
      <c r="AQ619" s="23"/>
      <c r="AR619" s="35"/>
      <c r="AS619" s="35"/>
      <c r="AT619" s="35"/>
      <c r="AU619" s="31"/>
    </row>
    <row r="620" spans="4:47">
      <c r="D620" s="31"/>
      <c r="E620" s="31"/>
      <c r="F620" s="31"/>
      <c r="G620" s="31"/>
      <c r="H620" s="32"/>
      <c r="J620" s="33"/>
      <c r="K620" s="33"/>
      <c r="L620" s="33"/>
      <c r="X620" s="23"/>
      <c r="Y620" s="23"/>
      <c r="Z620" s="23"/>
      <c r="AA620" s="23"/>
      <c r="AF620" s="23"/>
      <c r="AG620" s="23"/>
      <c r="AH620" s="23"/>
      <c r="AI620" s="23"/>
      <c r="AN620" s="23"/>
      <c r="AO620" s="23"/>
      <c r="AP620" s="23"/>
      <c r="AQ620" s="23"/>
      <c r="AR620" s="35"/>
      <c r="AS620" s="35"/>
      <c r="AT620" s="35"/>
      <c r="AU620" s="31"/>
    </row>
    <row r="621" spans="4:47">
      <c r="D621" s="31"/>
      <c r="E621" s="31"/>
      <c r="F621" s="31"/>
      <c r="G621" s="31"/>
      <c r="H621" s="32"/>
      <c r="J621" s="33"/>
      <c r="K621" s="33"/>
      <c r="L621" s="33"/>
      <c r="X621" s="23"/>
      <c r="Y621" s="23"/>
      <c r="Z621" s="23"/>
      <c r="AA621" s="23"/>
      <c r="AF621" s="23"/>
      <c r="AG621" s="23"/>
      <c r="AH621" s="23"/>
      <c r="AI621" s="23"/>
      <c r="AN621" s="23"/>
      <c r="AO621" s="23"/>
      <c r="AP621" s="23"/>
      <c r="AQ621" s="23"/>
      <c r="AR621" s="35"/>
      <c r="AS621" s="35"/>
      <c r="AT621" s="35"/>
      <c r="AU621" s="31"/>
    </row>
    <row r="622" spans="4:47">
      <c r="D622" s="31"/>
      <c r="E622" s="31"/>
      <c r="F622" s="31"/>
      <c r="G622" s="31"/>
      <c r="H622" s="32"/>
      <c r="J622" s="33"/>
      <c r="K622" s="33"/>
      <c r="L622" s="33"/>
      <c r="X622" s="23"/>
      <c r="Y622" s="23"/>
      <c r="Z622" s="23"/>
      <c r="AA622" s="23"/>
      <c r="AF622" s="23"/>
      <c r="AG622" s="23"/>
      <c r="AH622" s="23"/>
      <c r="AI622" s="23"/>
      <c r="AN622" s="23"/>
      <c r="AO622" s="23"/>
      <c r="AP622" s="23"/>
      <c r="AQ622" s="23"/>
      <c r="AR622" s="35"/>
      <c r="AS622" s="35"/>
      <c r="AT622" s="35"/>
      <c r="AU622" s="31"/>
    </row>
    <row r="623" spans="4:47">
      <c r="D623" s="31"/>
      <c r="E623" s="31"/>
      <c r="F623" s="31"/>
      <c r="G623" s="31"/>
      <c r="H623" s="32"/>
      <c r="J623" s="33"/>
      <c r="K623" s="33"/>
      <c r="L623" s="33"/>
      <c r="X623" s="23"/>
      <c r="Y623" s="23"/>
      <c r="Z623" s="23"/>
      <c r="AA623" s="23"/>
      <c r="AF623" s="23"/>
      <c r="AG623" s="23"/>
      <c r="AH623" s="23"/>
      <c r="AI623" s="23"/>
      <c r="AN623" s="23"/>
      <c r="AO623" s="23"/>
      <c r="AP623" s="23"/>
      <c r="AQ623" s="23"/>
      <c r="AR623" s="35"/>
      <c r="AS623" s="35"/>
      <c r="AT623" s="35"/>
      <c r="AU623" s="31"/>
    </row>
    <row r="624" spans="4:47">
      <c r="D624" s="31"/>
      <c r="E624" s="31"/>
      <c r="F624" s="31"/>
      <c r="G624" s="31"/>
      <c r="H624" s="32"/>
      <c r="J624" s="33"/>
      <c r="K624" s="33"/>
      <c r="L624" s="33"/>
      <c r="X624" s="23"/>
      <c r="Y624" s="23"/>
      <c r="Z624" s="23"/>
      <c r="AA624" s="23"/>
      <c r="AF624" s="23"/>
      <c r="AG624" s="23"/>
      <c r="AH624" s="23"/>
      <c r="AI624" s="23"/>
      <c r="AN624" s="23"/>
      <c r="AO624" s="23"/>
      <c r="AP624" s="23"/>
      <c r="AQ624" s="23"/>
      <c r="AR624" s="35"/>
      <c r="AS624" s="35"/>
      <c r="AT624" s="35"/>
      <c r="AU624" s="31"/>
    </row>
    <row r="625" spans="4:47">
      <c r="D625" s="31"/>
      <c r="E625" s="31"/>
      <c r="F625" s="31"/>
      <c r="G625" s="31"/>
      <c r="H625" s="32"/>
      <c r="J625" s="33"/>
      <c r="K625" s="33"/>
      <c r="L625" s="33"/>
      <c r="X625" s="23"/>
      <c r="Y625" s="23"/>
      <c r="Z625" s="23"/>
      <c r="AA625" s="23"/>
      <c r="AF625" s="23"/>
      <c r="AG625" s="23"/>
      <c r="AH625" s="23"/>
      <c r="AI625" s="23"/>
      <c r="AN625" s="23"/>
      <c r="AO625" s="23"/>
      <c r="AP625" s="23"/>
      <c r="AQ625" s="23"/>
      <c r="AR625" s="35"/>
      <c r="AS625" s="35"/>
      <c r="AT625" s="35"/>
      <c r="AU625" s="31"/>
    </row>
    <row r="626" spans="4:47">
      <c r="D626" s="31"/>
      <c r="E626" s="31"/>
      <c r="F626" s="31"/>
      <c r="G626" s="31"/>
      <c r="H626" s="32"/>
      <c r="J626" s="33"/>
      <c r="K626" s="33"/>
      <c r="L626" s="33"/>
      <c r="X626" s="23"/>
      <c r="Y626" s="23"/>
      <c r="Z626" s="23"/>
      <c r="AA626" s="23"/>
      <c r="AF626" s="23"/>
      <c r="AG626" s="23"/>
      <c r="AH626" s="23"/>
      <c r="AI626" s="23"/>
      <c r="AN626" s="23"/>
      <c r="AO626" s="23"/>
      <c r="AP626" s="23"/>
      <c r="AQ626" s="23"/>
      <c r="AR626" s="35"/>
      <c r="AS626" s="35"/>
      <c r="AT626" s="35"/>
      <c r="AU626" s="31"/>
    </row>
    <row r="627" spans="4:47">
      <c r="D627" s="31"/>
      <c r="E627" s="31"/>
      <c r="F627" s="31"/>
      <c r="G627" s="31"/>
      <c r="H627" s="32"/>
      <c r="J627" s="33"/>
      <c r="K627" s="33"/>
      <c r="L627" s="33"/>
      <c r="X627" s="23"/>
      <c r="Y627" s="23"/>
      <c r="Z627" s="23"/>
      <c r="AA627" s="23"/>
      <c r="AF627" s="23"/>
      <c r="AG627" s="23"/>
      <c r="AH627" s="23"/>
      <c r="AI627" s="23"/>
      <c r="AN627" s="23"/>
      <c r="AO627" s="23"/>
      <c r="AP627" s="23"/>
      <c r="AQ627" s="23"/>
      <c r="AR627" s="35"/>
      <c r="AS627" s="35"/>
      <c r="AT627" s="35"/>
      <c r="AU627" s="31"/>
    </row>
    <row r="628" spans="4:47">
      <c r="D628" s="31"/>
      <c r="E628" s="31"/>
      <c r="F628" s="31"/>
      <c r="G628" s="31"/>
      <c r="H628" s="32"/>
      <c r="J628" s="33"/>
      <c r="K628" s="33"/>
      <c r="L628" s="33"/>
      <c r="X628" s="23"/>
      <c r="Y628" s="23"/>
      <c r="Z628" s="23"/>
      <c r="AA628" s="23"/>
      <c r="AF628" s="23"/>
      <c r="AG628" s="23"/>
      <c r="AH628" s="23"/>
      <c r="AI628" s="23"/>
      <c r="AN628" s="23"/>
      <c r="AO628" s="23"/>
      <c r="AP628" s="23"/>
      <c r="AQ628" s="23"/>
      <c r="AR628" s="35"/>
      <c r="AS628" s="35"/>
      <c r="AT628" s="35"/>
      <c r="AU628" s="31"/>
    </row>
    <row r="629" spans="4:47">
      <c r="D629" s="31"/>
      <c r="E629" s="31"/>
      <c r="F629" s="31"/>
      <c r="G629" s="31"/>
      <c r="H629" s="32"/>
      <c r="J629" s="33"/>
      <c r="K629" s="33"/>
      <c r="L629" s="33"/>
      <c r="X629" s="23"/>
      <c r="Y629" s="23"/>
      <c r="Z629" s="23"/>
      <c r="AA629" s="23"/>
      <c r="AF629" s="23"/>
      <c r="AG629" s="23"/>
      <c r="AH629" s="23"/>
      <c r="AI629" s="23"/>
      <c r="AN629" s="23"/>
      <c r="AO629" s="23"/>
      <c r="AP629" s="23"/>
      <c r="AQ629" s="23"/>
      <c r="AR629" s="35"/>
      <c r="AS629" s="35"/>
      <c r="AT629" s="35"/>
      <c r="AU629" s="31"/>
    </row>
    <row r="630" spans="4:47">
      <c r="D630" s="31"/>
      <c r="E630" s="31"/>
      <c r="F630" s="31"/>
      <c r="G630" s="31"/>
      <c r="H630" s="32"/>
      <c r="J630" s="33"/>
      <c r="K630" s="33"/>
      <c r="L630" s="33"/>
      <c r="X630" s="23"/>
      <c r="Y630" s="23"/>
      <c r="Z630" s="23"/>
      <c r="AA630" s="23"/>
      <c r="AF630" s="23"/>
      <c r="AG630" s="23"/>
      <c r="AH630" s="23"/>
      <c r="AI630" s="23"/>
      <c r="AN630" s="23"/>
      <c r="AO630" s="23"/>
      <c r="AP630" s="23"/>
      <c r="AQ630" s="23"/>
      <c r="AR630" s="35"/>
      <c r="AS630" s="35"/>
      <c r="AT630" s="35"/>
      <c r="AU630" s="31"/>
    </row>
    <row r="631" spans="4:47">
      <c r="D631" s="31"/>
      <c r="E631" s="31"/>
      <c r="F631" s="31"/>
      <c r="G631" s="31"/>
      <c r="H631" s="32"/>
      <c r="J631" s="33"/>
      <c r="K631" s="33"/>
      <c r="L631" s="33"/>
      <c r="X631" s="23"/>
      <c r="Y631" s="23"/>
      <c r="Z631" s="23"/>
      <c r="AA631" s="23"/>
      <c r="AF631" s="23"/>
      <c r="AG631" s="23"/>
      <c r="AH631" s="23"/>
      <c r="AI631" s="23"/>
      <c r="AN631" s="23"/>
      <c r="AO631" s="23"/>
      <c r="AP631" s="23"/>
      <c r="AQ631" s="23"/>
      <c r="AR631" s="35"/>
      <c r="AS631" s="35"/>
      <c r="AT631" s="35"/>
      <c r="AU631" s="31"/>
    </row>
    <row r="632" spans="4:47">
      <c r="D632" s="31"/>
      <c r="E632" s="31"/>
      <c r="F632" s="31"/>
      <c r="G632" s="31"/>
      <c r="H632" s="32"/>
      <c r="J632" s="33"/>
      <c r="K632" s="33"/>
      <c r="L632" s="33"/>
      <c r="X632" s="23"/>
      <c r="Y632" s="23"/>
      <c r="Z632" s="23"/>
      <c r="AA632" s="23"/>
      <c r="AF632" s="23"/>
      <c r="AG632" s="23"/>
      <c r="AH632" s="23"/>
      <c r="AI632" s="23"/>
      <c r="AN632" s="23"/>
      <c r="AO632" s="23"/>
      <c r="AP632" s="23"/>
      <c r="AQ632" s="23"/>
      <c r="AR632" s="35"/>
      <c r="AS632" s="35"/>
      <c r="AT632" s="35"/>
      <c r="AU632" s="31"/>
    </row>
    <row r="633" spans="4:47">
      <c r="D633" s="31"/>
      <c r="E633" s="31"/>
      <c r="F633" s="31"/>
      <c r="G633" s="31"/>
      <c r="H633" s="32"/>
      <c r="J633" s="33"/>
      <c r="K633" s="33"/>
      <c r="L633" s="33"/>
      <c r="X633" s="23"/>
      <c r="Y633" s="23"/>
      <c r="Z633" s="23"/>
      <c r="AA633" s="23"/>
      <c r="AF633" s="23"/>
      <c r="AG633" s="23"/>
      <c r="AH633" s="23"/>
      <c r="AI633" s="23"/>
      <c r="AN633" s="23"/>
      <c r="AO633" s="23"/>
      <c r="AP633" s="23"/>
      <c r="AQ633" s="23"/>
      <c r="AR633" s="35"/>
      <c r="AS633" s="35"/>
      <c r="AT633" s="35"/>
      <c r="AU633" s="31"/>
    </row>
    <row r="634" spans="4:47">
      <c r="D634" s="31"/>
      <c r="E634" s="31"/>
      <c r="F634" s="31"/>
      <c r="G634" s="31"/>
      <c r="H634" s="32"/>
      <c r="J634" s="33"/>
      <c r="K634" s="33"/>
      <c r="L634" s="33"/>
      <c r="X634" s="23"/>
      <c r="Y634" s="23"/>
      <c r="Z634" s="23"/>
      <c r="AA634" s="23"/>
      <c r="AF634" s="23"/>
      <c r="AG634" s="23"/>
      <c r="AH634" s="23"/>
      <c r="AI634" s="23"/>
      <c r="AN634" s="23"/>
      <c r="AO634" s="23"/>
      <c r="AP634" s="23"/>
      <c r="AQ634" s="23"/>
      <c r="AR634" s="35"/>
      <c r="AS634" s="35"/>
      <c r="AT634" s="35"/>
      <c r="AU634" s="31"/>
    </row>
    <row r="635" spans="4:47">
      <c r="D635" s="31"/>
      <c r="E635" s="31"/>
      <c r="F635" s="31"/>
      <c r="G635" s="31"/>
      <c r="H635" s="32"/>
      <c r="J635" s="33"/>
      <c r="K635" s="33"/>
      <c r="L635" s="33"/>
      <c r="X635" s="23"/>
      <c r="Y635" s="23"/>
      <c r="Z635" s="23"/>
      <c r="AA635" s="23"/>
      <c r="AF635" s="23"/>
      <c r="AG635" s="23"/>
      <c r="AH635" s="23"/>
      <c r="AI635" s="23"/>
      <c r="AN635" s="23"/>
      <c r="AO635" s="23"/>
      <c r="AP635" s="23"/>
      <c r="AQ635" s="23"/>
      <c r="AR635" s="35"/>
      <c r="AS635" s="35"/>
      <c r="AT635" s="35"/>
      <c r="AU635" s="31"/>
    </row>
    <row r="636" spans="4:47">
      <c r="D636" s="31"/>
      <c r="E636" s="31"/>
      <c r="F636" s="31"/>
      <c r="G636" s="31"/>
      <c r="H636" s="32"/>
      <c r="J636" s="33"/>
      <c r="K636" s="33"/>
      <c r="L636" s="33"/>
      <c r="X636" s="23"/>
      <c r="Y636" s="23"/>
      <c r="Z636" s="23"/>
      <c r="AA636" s="23"/>
      <c r="AF636" s="23"/>
      <c r="AG636" s="23"/>
      <c r="AH636" s="23"/>
      <c r="AI636" s="23"/>
      <c r="AN636" s="23"/>
      <c r="AO636" s="23"/>
      <c r="AP636" s="23"/>
      <c r="AQ636" s="23"/>
      <c r="AR636" s="35"/>
      <c r="AS636" s="35"/>
      <c r="AT636" s="35"/>
      <c r="AU636" s="31"/>
    </row>
    <row r="637" spans="4:47">
      <c r="D637" s="31"/>
      <c r="E637" s="31"/>
      <c r="F637" s="31"/>
      <c r="G637" s="31"/>
      <c r="H637" s="32"/>
      <c r="J637" s="33"/>
      <c r="K637" s="33"/>
      <c r="L637" s="33"/>
      <c r="X637" s="23"/>
      <c r="Y637" s="23"/>
      <c r="Z637" s="23"/>
      <c r="AA637" s="23"/>
      <c r="AF637" s="23"/>
      <c r="AG637" s="23"/>
      <c r="AH637" s="23"/>
      <c r="AI637" s="23"/>
      <c r="AN637" s="23"/>
      <c r="AO637" s="23"/>
      <c r="AP637" s="23"/>
      <c r="AQ637" s="23"/>
      <c r="AR637" s="35"/>
      <c r="AS637" s="35"/>
      <c r="AT637" s="35"/>
      <c r="AU637" s="31"/>
    </row>
    <row r="638" spans="4:47">
      <c r="D638" s="31"/>
      <c r="E638" s="31"/>
      <c r="F638" s="31"/>
      <c r="G638" s="31"/>
      <c r="H638" s="32"/>
      <c r="J638" s="33"/>
      <c r="K638" s="33"/>
      <c r="L638" s="33"/>
      <c r="X638" s="23"/>
      <c r="Y638" s="23"/>
      <c r="Z638" s="23"/>
      <c r="AA638" s="23"/>
      <c r="AF638" s="23"/>
      <c r="AG638" s="23"/>
      <c r="AH638" s="23"/>
      <c r="AI638" s="23"/>
      <c r="AN638" s="23"/>
      <c r="AO638" s="23"/>
      <c r="AP638" s="23"/>
      <c r="AQ638" s="23"/>
      <c r="AR638" s="35"/>
      <c r="AS638" s="35"/>
      <c r="AT638" s="35"/>
      <c r="AU638" s="31"/>
    </row>
    <row r="639" spans="4:47">
      <c r="D639" s="31"/>
      <c r="E639" s="31"/>
      <c r="F639" s="31"/>
      <c r="G639" s="31"/>
      <c r="H639" s="32"/>
      <c r="J639" s="33"/>
      <c r="K639" s="33"/>
      <c r="L639" s="33"/>
      <c r="X639" s="23"/>
      <c r="Y639" s="23"/>
      <c r="Z639" s="23"/>
      <c r="AA639" s="23"/>
      <c r="AF639" s="23"/>
      <c r="AG639" s="23"/>
      <c r="AH639" s="23"/>
      <c r="AI639" s="23"/>
      <c r="AN639" s="23"/>
      <c r="AO639" s="23"/>
      <c r="AP639" s="23"/>
      <c r="AQ639" s="23"/>
      <c r="AR639" s="35"/>
      <c r="AS639" s="35"/>
      <c r="AT639" s="35"/>
      <c r="AU639" s="31"/>
    </row>
    <row r="640" spans="4:47">
      <c r="D640" s="31"/>
      <c r="E640" s="31"/>
      <c r="F640" s="31"/>
      <c r="G640" s="31"/>
      <c r="H640" s="32"/>
      <c r="J640" s="33"/>
      <c r="K640" s="33"/>
      <c r="L640" s="33"/>
      <c r="X640" s="23"/>
      <c r="Y640" s="23"/>
      <c r="Z640" s="23"/>
      <c r="AA640" s="23"/>
      <c r="AF640" s="23"/>
      <c r="AG640" s="23"/>
      <c r="AH640" s="23"/>
      <c r="AI640" s="23"/>
      <c r="AN640" s="23"/>
      <c r="AO640" s="23"/>
      <c r="AP640" s="23"/>
      <c r="AQ640" s="23"/>
      <c r="AR640" s="35"/>
      <c r="AS640" s="35"/>
      <c r="AT640" s="35"/>
      <c r="AU640" s="31"/>
    </row>
    <row r="641" spans="4:47">
      <c r="D641" s="31"/>
      <c r="E641" s="31"/>
      <c r="F641" s="31"/>
      <c r="G641" s="31"/>
      <c r="H641" s="32"/>
      <c r="J641" s="33"/>
      <c r="K641" s="33"/>
      <c r="L641" s="33"/>
      <c r="X641" s="23"/>
      <c r="Y641" s="23"/>
      <c r="Z641" s="23"/>
      <c r="AA641" s="23"/>
      <c r="AF641" s="23"/>
      <c r="AG641" s="23"/>
      <c r="AH641" s="23"/>
      <c r="AI641" s="23"/>
      <c r="AN641" s="23"/>
      <c r="AO641" s="23"/>
      <c r="AP641" s="23"/>
      <c r="AQ641" s="23"/>
      <c r="AR641" s="35"/>
      <c r="AS641" s="35"/>
      <c r="AT641" s="35"/>
      <c r="AU641" s="31"/>
    </row>
    <row r="642" spans="4:47">
      <c r="D642" s="31"/>
      <c r="E642" s="31"/>
      <c r="F642" s="31"/>
      <c r="G642" s="31"/>
      <c r="H642" s="32"/>
      <c r="J642" s="33"/>
      <c r="K642" s="33"/>
      <c r="L642" s="33"/>
      <c r="X642" s="23"/>
      <c r="Y642" s="23"/>
      <c r="Z642" s="23"/>
      <c r="AA642" s="23"/>
      <c r="AF642" s="23"/>
      <c r="AG642" s="23"/>
      <c r="AH642" s="23"/>
      <c r="AI642" s="23"/>
      <c r="AN642" s="23"/>
      <c r="AO642" s="23"/>
      <c r="AP642" s="23"/>
      <c r="AQ642" s="23"/>
      <c r="AR642" s="35"/>
      <c r="AS642" s="35"/>
      <c r="AT642" s="35"/>
      <c r="AU642" s="31"/>
    </row>
    <row r="643" spans="4:47">
      <c r="D643" s="31"/>
      <c r="E643" s="31"/>
      <c r="F643" s="31"/>
      <c r="G643" s="31"/>
      <c r="H643" s="32"/>
      <c r="J643" s="33"/>
      <c r="K643" s="33"/>
      <c r="L643" s="33"/>
      <c r="X643" s="23"/>
      <c r="Y643" s="23"/>
      <c r="Z643" s="23"/>
      <c r="AA643" s="23"/>
      <c r="AF643" s="23"/>
      <c r="AG643" s="23"/>
      <c r="AH643" s="23"/>
      <c r="AI643" s="23"/>
      <c r="AN643" s="23"/>
      <c r="AO643" s="23"/>
      <c r="AP643" s="23"/>
      <c r="AQ643" s="23"/>
      <c r="AR643" s="35"/>
      <c r="AS643" s="35"/>
      <c r="AT643" s="35"/>
      <c r="AU643" s="31"/>
    </row>
    <row r="644" spans="4:47">
      <c r="D644" s="31"/>
      <c r="E644" s="31"/>
      <c r="F644" s="31"/>
      <c r="G644" s="31"/>
      <c r="H644" s="32"/>
      <c r="J644" s="33"/>
      <c r="K644" s="33"/>
      <c r="L644" s="33"/>
      <c r="X644" s="23"/>
      <c r="Y644" s="23"/>
      <c r="Z644" s="23"/>
      <c r="AA644" s="23"/>
      <c r="AF644" s="23"/>
      <c r="AG644" s="23"/>
      <c r="AH644" s="23"/>
      <c r="AI644" s="23"/>
      <c r="AN644" s="23"/>
      <c r="AO644" s="23"/>
      <c r="AP644" s="23"/>
      <c r="AQ644" s="23"/>
      <c r="AR644" s="35"/>
      <c r="AS644" s="35"/>
      <c r="AT644" s="35"/>
      <c r="AU644" s="31"/>
    </row>
    <row r="645" spans="4:47">
      <c r="D645" s="31"/>
      <c r="E645" s="31"/>
      <c r="F645" s="31"/>
      <c r="G645" s="31"/>
      <c r="H645" s="32"/>
      <c r="J645" s="33"/>
      <c r="K645" s="33"/>
      <c r="L645" s="33"/>
      <c r="X645" s="23"/>
      <c r="Y645" s="23"/>
      <c r="Z645" s="23"/>
      <c r="AA645" s="23"/>
      <c r="AF645" s="23"/>
      <c r="AG645" s="23"/>
      <c r="AH645" s="23"/>
      <c r="AI645" s="23"/>
      <c r="AN645" s="23"/>
      <c r="AO645" s="23"/>
      <c r="AP645" s="23"/>
      <c r="AQ645" s="23"/>
      <c r="AR645" s="35"/>
      <c r="AS645" s="35"/>
      <c r="AT645" s="35"/>
      <c r="AU645" s="31"/>
    </row>
    <row r="646" spans="4:47">
      <c r="D646" s="31"/>
      <c r="E646" s="31"/>
      <c r="F646" s="31"/>
      <c r="G646" s="31"/>
      <c r="H646" s="32"/>
      <c r="J646" s="33"/>
      <c r="K646" s="33"/>
      <c r="L646" s="33"/>
      <c r="X646" s="23"/>
      <c r="Y646" s="23"/>
      <c r="Z646" s="23"/>
      <c r="AA646" s="23"/>
      <c r="AF646" s="23"/>
      <c r="AG646" s="23"/>
      <c r="AH646" s="23"/>
      <c r="AI646" s="23"/>
      <c r="AN646" s="23"/>
      <c r="AO646" s="23"/>
      <c r="AP646" s="23"/>
      <c r="AQ646" s="23"/>
      <c r="AR646" s="35"/>
      <c r="AS646" s="35"/>
      <c r="AT646" s="35"/>
      <c r="AU646" s="31"/>
    </row>
    <row r="647" spans="4:47">
      <c r="D647" s="31"/>
      <c r="E647" s="31"/>
      <c r="F647" s="31"/>
      <c r="G647" s="31"/>
      <c r="H647" s="32"/>
      <c r="J647" s="33"/>
      <c r="K647" s="33"/>
      <c r="L647" s="33"/>
      <c r="X647" s="23"/>
      <c r="Y647" s="23"/>
      <c r="Z647" s="23"/>
      <c r="AA647" s="23"/>
      <c r="AF647" s="23"/>
      <c r="AG647" s="23"/>
      <c r="AH647" s="23"/>
      <c r="AI647" s="23"/>
      <c r="AN647" s="23"/>
      <c r="AO647" s="23"/>
      <c r="AP647" s="23"/>
      <c r="AQ647" s="23"/>
      <c r="AR647" s="35"/>
      <c r="AS647" s="35"/>
      <c r="AT647" s="35"/>
      <c r="AU647" s="31"/>
    </row>
    <row r="648" spans="4:47">
      <c r="D648" s="31"/>
      <c r="E648" s="31"/>
      <c r="F648" s="31"/>
      <c r="G648" s="31"/>
      <c r="H648" s="32"/>
      <c r="J648" s="33"/>
      <c r="K648" s="33"/>
      <c r="L648" s="33"/>
      <c r="X648" s="23"/>
      <c r="Y648" s="23"/>
      <c r="Z648" s="23"/>
      <c r="AA648" s="23"/>
      <c r="AF648" s="23"/>
      <c r="AG648" s="23"/>
      <c r="AH648" s="23"/>
      <c r="AI648" s="23"/>
      <c r="AN648" s="23"/>
      <c r="AO648" s="23"/>
      <c r="AP648" s="23"/>
      <c r="AQ648" s="23"/>
      <c r="AR648" s="35"/>
      <c r="AS648" s="35"/>
      <c r="AT648" s="35"/>
      <c r="AU648" s="31"/>
    </row>
    <row r="649" spans="4:47">
      <c r="D649" s="31"/>
      <c r="E649" s="31"/>
      <c r="F649" s="31"/>
      <c r="G649" s="31"/>
      <c r="H649" s="32"/>
      <c r="J649" s="33"/>
      <c r="K649" s="33"/>
      <c r="L649" s="33"/>
      <c r="X649" s="23"/>
      <c r="Y649" s="23"/>
      <c r="Z649" s="23"/>
      <c r="AA649" s="23"/>
      <c r="AF649" s="23"/>
      <c r="AG649" s="23"/>
      <c r="AH649" s="23"/>
      <c r="AI649" s="23"/>
      <c r="AN649" s="23"/>
      <c r="AO649" s="23"/>
      <c r="AP649" s="23"/>
      <c r="AQ649" s="23"/>
      <c r="AR649" s="35"/>
      <c r="AS649" s="35"/>
      <c r="AT649" s="35"/>
      <c r="AU649" s="31"/>
    </row>
    <row r="650" spans="4:47">
      <c r="D650" s="31"/>
      <c r="E650" s="31"/>
      <c r="F650" s="31"/>
      <c r="G650" s="31"/>
      <c r="H650" s="32"/>
      <c r="J650" s="33"/>
      <c r="K650" s="33"/>
      <c r="L650" s="33"/>
      <c r="X650" s="23"/>
      <c r="Y650" s="23"/>
      <c r="Z650" s="23"/>
      <c r="AA650" s="23"/>
      <c r="AF650" s="23"/>
      <c r="AG650" s="23"/>
      <c r="AH650" s="23"/>
      <c r="AI650" s="23"/>
      <c r="AN650" s="23"/>
      <c r="AO650" s="23"/>
      <c r="AP650" s="23"/>
      <c r="AQ650" s="23"/>
      <c r="AR650" s="35"/>
      <c r="AS650" s="35"/>
      <c r="AT650" s="35"/>
      <c r="AU650" s="31"/>
    </row>
    <row r="651" spans="4:47">
      <c r="D651" s="31"/>
      <c r="E651" s="31"/>
      <c r="F651" s="31"/>
      <c r="G651" s="31"/>
      <c r="H651" s="32"/>
      <c r="J651" s="33"/>
      <c r="K651" s="33"/>
      <c r="L651" s="33"/>
      <c r="X651" s="23"/>
      <c r="Y651" s="23"/>
      <c r="Z651" s="23"/>
      <c r="AA651" s="23"/>
      <c r="AF651" s="23"/>
      <c r="AG651" s="23"/>
      <c r="AH651" s="23"/>
      <c r="AI651" s="23"/>
      <c r="AN651" s="23"/>
      <c r="AO651" s="23"/>
      <c r="AP651" s="23"/>
      <c r="AQ651" s="23"/>
      <c r="AR651" s="35"/>
      <c r="AS651" s="35"/>
      <c r="AT651" s="35"/>
      <c r="AU651" s="31"/>
    </row>
    <row r="652" spans="4:47">
      <c r="D652" s="31"/>
      <c r="E652" s="31"/>
      <c r="F652" s="31"/>
      <c r="G652" s="31"/>
      <c r="H652" s="32"/>
      <c r="J652" s="33"/>
      <c r="K652" s="33"/>
      <c r="L652" s="33"/>
      <c r="X652" s="23"/>
      <c r="Y652" s="23"/>
      <c r="Z652" s="23"/>
      <c r="AA652" s="23"/>
      <c r="AF652" s="23"/>
      <c r="AG652" s="23"/>
      <c r="AH652" s="23"/>
      <c r="AI652" s="23"/>
      <c r="AN652" s="23"/>
      <c r="AO652" s="23"/>
      <c r="AP652" s="23"/>
      <c r="AQ652" s="23"/>
      <c r="AR652" s="35"/>
      <c r="AS652" s="35"/>
      <c r="AT652" s="35"/>
      <c r="AU652" s="31"/>
    </row>
    <row r="653" spans="4:47">
      <c r="D653" s="31"/>
      <c r="E653" s="31"/>
      <c r="F653" s="31"/>
      <c r="G653" s="31"/>
      <c r="H653" s="32"/>
      <c r="J653" s="33"/>
      <c r="K653" s="33"/>
      <c r="L653" s="33"/>
      <c r="X653" s="23"/>
      <c r="Y653" s="23"/>
      <c r="Z653" s="23"/>
      <c r="AA653" s="23"/>
      <c r="AF653" s="23"/>
      <c r="AG653" s="23"/>
      <c r="AH653" s="23"/>
      <c r="AI653" s="23"/>
      <c r="AN653" s="23"/>
      <c r="AO653" s="23"/>
      <c r="AP653" s="23"/>
      <c r="AQ653" s="23"/>
      <c r="AR653" s="35"/>
      <c r="AS653" s="35"/>
      <c r="AT653" s="35"/>
      <c r="AU653" s="31"/>
    </row>
    <row r="654" spans="4:47">
      <c r="D654" s="31"/>
      <c r="E654" s="31"/>
      <c r="F654" s="31"/>
      <c r="G654" s="31"/>
      <c r="H654" s="32"/>
      <c r="J654" s="33"/>
      <c r="K654" s="33"/>
      <c r="L654" s="33"/>
      <c r="X654" s="23"/>
      <c r="Y654" s="23"/>
      <c r="Z654" s="23"/>
      <c r="AA654" s="23"/>
      <c r="AF654" s="23"/>
      <c r="AG654" s="23"/>
      <c r="AH654" s="23"/>
      <c r="AI654" s="23"/>
      <c r="AN654" s="23"/>
      <c r="AO654" s="23"/>
      <c r="AP654" s="23"/>
      <c r="AQ654" s="23"/>
      <c r="AR654" s="35"/>
      <c r="AS654" s="35"/>
      <c r="AT654" s="35"/>
      <c r="AU654" s="31"/>
    </row>
    <row r="655" spans="4:47">
      <c r="D655" s="31"/>
      <c r="E655" s="31"/>
      <c r="F655" s="31"/>
      <c r="G655" s="31"/>
      <c r="H655" s="32"/>
      <c r="J655" s="33"/>
      <c r="K655" s="33"/>
      <c r="L655" s="33"/>
      <c r="X655" s="23"/>
      <c r="Y655" s="23"/>
      <c r="Z655" s="23"/>
      <c r="AA655" s="23"/>
      <c r="AF655" s="23"/>
      <c r="AG655" s="23"/>
      <c r="AH655" s="23"/>
      <c r="AI655" s="23"/>
      <c r="AN655" s="23"/>
      <c r="AO655" s="23"/>
      <c r="AP655" s="23"/>
      <c r="AQ655" s="23"/>
      <c r="AR655" s="35"/>
      <c r="AS655" s="35"/>
      <c r="AT655" s="35"/>
      <c r="AU655" s="31"/>
    </row>
    <row r="656" spans="4:47">
      <c r="D656" s="31"/>
      <c r="E656" s="31"/>
      <c r="F656" s="31"/>
      <c r="G656" s="31"/>
      <c r="H656" s="32"/>
      <c r="J656" s="33"/>
      <c r="K656" s="33"/>
      <c r="L656" s="33"/>
      <c r="X656" s="23"/>
      <c r="Y656" s="23"/>
      <c r="Z656" s="23"/>
      <c r="AA656" s="23"/>
      <c r="AF656" s="23"/>
      <c r="AG656" s="23"/>
      <c r="AH656" s="23"/>
      <c r="AI656" s="23"/>
      <c r="AN656" s="23"/>
      <c r="AO656" s="23"/>
      <c r="AP656" s="23"/>
      <c r="AQ656" s="23"/>
      <c r="AR656" s="35"/>
      <c r="AS656" s="35"/>
      <c r="AT656" s="35"/>
      <c r="AU656" s="31"/>
    </row>
    <row r="657" spans="4:47">
      <c r="D657" s="31"/>
      <c r="E657" s="31"/>
      <c r="F657" s="31"/>
      <c r="G657" s="31"/>
      <c r="H657" s="32"/>
      <c r="J657" s="33"/>
      <c r="K657" s="33"/>
      <c r="L657" s="33"/>
      <c r="X657" s="23"/>
      <c r="Y657" s="23"/>
      <c r="Z657" s="23"/>
      <c r="AA657" s="23"/>
      <c r="AF657" s="23"/>
      <c r="AG657" s="23"/>
      <c r="AH657" s="23"/>
      <c r="AI657" s="23"/>
      <c r="AN657" s="23"/>
      <c r="AO657" s="23"/>
      <c r="AP657" s="23"/>
      <c r="AQ657" s="23"/>
      <c r="AR657" s="35"/>
      <c r="AS657" s="35"/>
      <c r="AT657" s="35"/>
      <c r="AU657" s="31"/>
    </row>
    <row r="658" spans="4:47">
      <c r="D658" s="31"/>
      <c r="E658" s="31"/>
      <c r="F658" s="31"/>
      <c r="G658" s="31"/>
      <c r="H658" s="32"/>
      <c r="J658" s="33"/>
      <c r="K658" s="33"/>
      <c r="L658" s="33"/>
      <c r="X658" s="23"/>
      <c r="Y658" s="23"/>
      <c r="Z658" s="23"/>
      <c r="AA658" s="23"/>
      <c r="AF658" s="23"/>
      <c r="AG658" s="23"/>
      <c r="AH658" s="23"/>
      <c r="AI658" s="23"/>
      <c r="AN658" s="23"/>
      <c r="AO658" s="23"/>
      <c r="AP658" s="23"/>
      <c r="AQ658" s="23"/>
      <c r="AR658" s="35"/>
      <c r="AS658" s="35"/>
      <c r="AT658" s="35"/>
      <c r="AU658" s="31"/>
    </row>
    <row r="659" spans="4:47">
      <c r="D659" s="31"/>
      <c r="E659" s="31"/>
      <c r="F659" s="31"/>
      <c r="G659" s="31"/>
      <c r="H659" s="32"/>
      <c r="J659" s="33"/>
      <c r="K659" s="33"/>
      <c r="L659" s="33"/>
      <c r="X659" s="23"/>
      <c r="Y659" s="23"/>
      <c r="Z659" s="23"/>
      <c r="AA659" s="23"/>
      <c r="AF659" s="23"/>
      <c r="AG659" s="23"/>
      <c r="AH659" s="23"/>
      <c r="AI659" s="23"/>
      <c r="AN659" s="23"/>
      <c r="AO659" s="23"/>
      <c r="AP659" s="23"/>
      <c r="AQ659" s="23"/>
      <c r="AR659" s="35"/>
      <c r="AS659" s="35"/>
      <c r="AT659" s="35"/>
      <c r="AU659" s="31"/>
    </row>
    <row r="660" spans="4:47">
      <c r="D660" s="31"/>
      <c r="E660" s="31"/>
      <c r="F660" s="31"/>
      <c r="G660" s="31"/>
      <c r="H660" s="32"/>
      <c r="J660" s="33"/>
      <c r="K660" s="33"/>
      <c r="L660" s="33"/>
      <c r="X660" s="23"/>
      <c r="Y660" s="23"/>
      <c r="Z660" s="23"/>
      <c r="AA660" s="23"/>
      <c r="AF660" s="23"/>
      <c r="AG660" s="23"/>
      <c r="AH660" s="23"/>
      <c r="AI660" s="23"/>
      <c r="AN660" s="23"/>
      <c r="AO660" s="23"/>
      <c r="AP660" s="23"/>
      <c r="AQ660" s="23"/>
      <c r="AR660" s="35"/>
      <c r="AS660" s="35"/>
      <c r="AT660" s="35"/>
      <c r="AU660" s="31"/>
    </row>
    <row r="661" spans="4:47">
      <c r="D661" s="31"/>
      <c r="E661" s="31"/>
      <c r="F661" s="31"/>
      <c r="G661" s="31"/>
      <c r="H661" s="32"/>
      <c r="J661" s="33"/>
      <c r="K661" s="33"/>
      <c r="L661" s="33"/>
      <c r="X661" s="23"/>
      <c r="Y661" s="23"/>
      <c r="Z661" s="23"/>
      <c r="AA661" s="23"/>
      <c r="AF661" s="23"/>
      <c r="AG661" s="23"/>
      <c r="AH661" s="23"/>
      <c r="AI661" s="23"/>
      <c r="AN661" s="23"/>
      <c r="AO661" s="23"/>
      <c r="AP661" s="23"/>
      <c r="AQ661" s="23"/>
      <c r="AR661" s="35"/>
      <c r="AS661" s="35"/>
      <c r="AT661" s="35"/>
      <c r="AU661" s="31"/>
    </row>
    <row r="662" spans="4:47">
      <c r="D662" s="31"/>
      <c r="E662" s="31"/>
      <c r="F662" s="31"/>
      <c r="G662" s="31"/>
      <c r="H662" s="32"/>
      <c r="J662" s="33"/>
      <c r="K662" s="33"/>
      <c r="L662" s="33"/>
      <c r="X662" s="23"/>
      <c r="Y662" s="23"/>
      <c r="Z662" s="23"/>
      <c r="AA662" s="23"/>
      <c r="AF662" s="23"/>
      <c r="AG662" s="23"/>
      <c r="AH662" s="23"/>
      <c r="AI662" s="23"/>
      <c r="AN662" s="23"/>
      <c r="AO662" s="23"/>
      <c r="AP662" s="23"/>
      <c r="AQ662" s="23"/>
      <c r="AR662" s="35"/>
      <c r="AS662" s="35"/>
      <c r="AT662" s="35"/>
      <c r="AU662" s="31"/>
    </row>
    <row r="663" spans="4:47">
      <c r="D663" s="31"/>
      <c r="E663" s="31"/>
      <c r="F663" s="31"/>
      <c r="G663" s="31"/>
      <c r="H663" s="32"/>
      <c r="J663" s="33"/>
      <c r="K663" s="33"/>
      <c r="L663" s="33"/>
      <c r="X663" s="23"/>
      <c r="Y663" s="23"/>
      <c r="Z663" s="23"/>
      <c r="AA663" s="23"/>
      <c r="AF663" s="23"/>
      <c r="AG663" s="23"/>
      <c r="AH663" s="23"/>
      <c r="AI663" s="23"/>
      <c r="AN663" s="23"/>
      <c r="AO663" s="23"/>
      <c r="AP663" s="23"/>
      <c r="AQ663" s="23"/>
      <c r="AR663" s="35"/>
      <c r="AS663" s="35"/>
      <c r="AT663" s="35"/>
      <c r="AU663" s="31"/>
    </row>
    <row r="664" spans="4:47">
      <c r="D664" s="31"/>
      <c r="E664" s="31"/>
      <c r="F664" s="31"/>
      <c r="G664" s="31"/>
      <c r="H664" s="32"/>
      <c r="J664" s="33"/>
      <c r="K664" s="33"/>
      <c r="L664" s="33"/>
      <c r="X664" s="23"/>
      <c r="Y664" s="23"/>
      <c r="Z664" s="23"/>
      <c r="AA664" s="23"/>
      <c r="AF664" s="23"/>
      <c r="AG664" s="23"/>
      <c r="AH664" s="23"/>
      <c r="AI664" s="23"/>
      <c r="AN664" s="23"/>
      <c r="AO664" s="23"/>
      <c r="AP664" s="23"/>
      <c r="AQ664" s="23"/>
      <c r="AR664" s="35"/>
      <c r="AS664" s="35"/>
      <c r="AT664" s="35"/>
      <c r="AU664" s="31"/>
    </row>
    <row r="665" spans="4:47">
      <c r="D665" s="31"/>
      <c r="E665" s="31"/>
      <c r="F665" s="31"/>
      <c r="G665" s="31"/>
      <c r="H665" s="32"/>
      <c r="J665" s="33"/>
      <c r="K665" s="33"/>
      <c r="L665" s="33"/>
      <c r="X665" s="23"/>
      <c r="Y665" s="23"/>
      <c r="Z665" s="23"/>
      <c r="AA665" s="23"/>
      <c r="AF665" s="23"/>
      <c r="AG665" s="23"/>
      <c r="AH665" s="23"/>
      <c r="AI665" s="23"/>
      <c r="AN665" s="23"/>
      <c r="AO665" s="23"/>
      <c r="AP665" s="23"/>
      <c r="AQ665" s="23"/>
      <c r="AR665" s="35"/>
      <c r="AS665" s="35"/>
      <c r="AT665" s="35"/>
      <c r="AU665" s="31"/>
    </row>
    <row r="666" spans="4:47">
      <c r="D666" s="31"/>
      <c r="E666" s="31"/>
      <c r="F666" s="31"/>
      <c r="G666" s="31"/>
      <c r="H666" s="32"/>
      <c r="J666" s="33"/>
      <c r="K666" s="33"/>
      <c r="L666" s="33"/>
      <c r="X666" s="23"/>
      <c r="Y666" s="23"/>
      <c r="Z666" s="23"/>
      <c r="AA666" s="23"/>
      <c r="AF666" s="23"/>
      <c r="AG666" s="23"/>
      <c r="AH666" s="23"/>
      <c r="AI666" s="23"/>
      <c r="AN666" s="23"/>
      <c r="AO666" s="23"/>
      <c r="AP666" s="23"/>
      <c r="AQ666" s="23"/>
      <c r="AR666" s="35"/>
      <c r="AS666" s="35"/>
      <c r="AT666" s="35"/>
      <c r="AU666" s="31"/>
    </row>
    <row r="667" spans="4:47">
      <c r="D667" s="31"/>
      <c r="E667" s="31"/>
      <c r="F667" s="31"/>
      <c r="G667" s="31"/>
      <c r="H667" s="32"/>
      <c r="J667" s="33"/>
      <c r="K667" s="33"/>
      <c r="L667" s="33"/>
      <c r="X667" s="23"/>
      <c r="Y667" s="23"/>
      <c r="Z667" s="23"/>
      <c r="AA667" s="23"/>
      <c r="AF667" s="23"/>
      <c r="AG667" s="23"/>
      <c r="AH667" s="23"/>
      <c r="AI667" s="23"/>
      <c r="AN667" s="23"/>
      <c r="AO667" s="23"/>
      <c r="AP667" s="23"/>
      <c r="AQ667" s="23"/>
      <c r="AR667" s="35"/>
      <c r="AS667" s="35"/>
      <c r="AT667" s="35"/>
      <c r="AU667" s="31"/>
    </row>
    <row r="668" spans="4:47">
      <c r="D668" s="31"/>
      <c r="E668" s="31"/>
      <c r="F668" s="31"/>
      <c r="G668" s="31"/>
      <c r="H668" s="32"/>
      <c r="J668" s="33"/>
      <c r="K668" s="33"/>
      <c r="L668" s="33"/>
      <c r="X668" s="23"/>
      <c r="Y668" s="23"/>
      <c r="Z668" s="23"/>
      <c r="AA668" s="23"/>
      <c r="AF668" s="23"/>
      <c r="AG668" s="23"/>
      <c r="AH668" s="23"/>
      <c r="AI668" s="23"/>
      <c r="AN668" s="23"/>
      <c r="AO668" s="23"/>
      <c r="AP668" s="23"/>
      <c r="AQ668" s="23"/>
      <c r="AR668" s="35"/>
      <c r="AS668" s="35"/>
      <c r="AT668" s="35"/>
      <c r="AU668" s="31"/>
    </row>
    <row r="669" spans="4:47">
      <c r="D669" s="31"/>
      <c r="E669" s="31"/>
      <c r="F669" s="31"/>
      <c r="G669" s="31"/>
      <c r="H669" s="32"/>
      <c r="J669" s="33"/>
      <c r="K669" s="33"/>
      <c r="L669" s="33"/>
      <c r="X669" s="23"/>
      <c r="Y669" s="23"/>
      <c r="Z669" s="23"/>
      <c r="AA669" s="23"/>
      <c r="AF669" s="23"/>
      <c r="AG669" s="23"/>
      <c r="AH669" s="23"/>
      <c r="AI669" s="23"/>
      <c r="AN669" s="23"/>
      <c r="AO669" s="23"/>
      <c r="AP669" s="23"/>
      <c r="AQ669" s="23"/>
      <c r="AR669" s="35"/>
      <c r="AS669" s="35"/>
      <c r="AT669" s="35"/>
      <c r="AU669" s="31"/>
    </row>
    <row r="670" spans="4:47">
      <c r="D670" s="31"/>
      <c r="E670" s="31"/>
      <c r="F670" s="31"/>
      <c r="G670" s="31"/>
      <c r="H670" s="32"/>
      <c r="J670" s="33"/>
      <c r="K670" s="33"/>
      <c r="L670" s="33"/>
      <c r="X670" s="23"/>
      <c r="Y670" s="23"/>
      <c r="Z670" s="23"/>
      <c r="AA670" s="23"/>
      <c r="AF670" s="23"/>
      <c r="AG670" s="23"/>
      <c r="AH670" s="23"/>
      <c r="AI670" s="23"/>
      <c r="AN670" s="23"/>
      <c r="AO670" s="23"/>
      <c r="AP670" s="23"/>
      <c r="AQ670" s="23"/>
      <c r="AR670" s="35"/>
      <c r="AS670" s="35"/>
      <c r="AT670" s="35"/>
      <c r="AU670" s="31"/>
    </row>
    <row r="671" spans="4:47">
      <c r="D671" s="31"/>
      <c r="E671" s="31"/>
      <c r="F671" s="31"/>
      <c r="G671" s="31"/>
      <c r="H671" s="32"/>
      <c r="J671" s="33"/>
      <c r="K671" s="33"/>
      <c r="L671" s="33"/>
      <c r="X671" s="23"/>
      <c r="Y671" s="23"/>
      <c r="Z671" s="23"/>
      <c r="AA671" s="23"/>
      <c r="AF671" s="23"/>
      <c r="AG671" s="23"/>
      <c r="AH671" s="23"/>
      <c r="AI671" s="23"/>
      <c r="AN671" s="23"/>
      <c r="AO671" s="23"/>
      <c r="AP671" s="23"/>
      <c r="AQ671" s="23"/>
      <c r="AR671" s="35"/>
      <c r="AS671" s="35"/>
      <c r="AT671" s="35"/>
      <c r="AU671" s="31"/>
    </row>
    <row r="672" spans="4:47">
      <c r="D672" s="31"/>
      <c r="E672" s="31"/>
      <c r="F672" s="31"/>
      <c r="G672" s="31"/>
      <c r="H672" s="32"/>
      <c r="J672" s="33"/>
      <c r="K672" s="33"/>
      <c r="L672" s="33"/>
      <c r="X672" s="23"/>
      <c r="Y672" s="23"/>
      <c r="Z672" s="23"/>
      <c r="AA672" s="23"/>
      <c r="AF672" s="23"/>
      <c r="AG672" s="23"/>
      <c r="AH672" s="23"/>
      <c r="AI672" s="23"/>
      <c r="AN672" s="23"/>
      <c r="AO672" s="23"/>
      <c r="AP672" s="23"/>
      <c r="AQ672" s="23"/>
      <c r="AR672" s="35"/>
      <c r="AS672" s="35"/>
      <c r="AT672" s="35"/>
      <c r="AU672" s="31"/>
    </row>
    <row r="673" spans="4:47">
      <c r="D673" s="31"/>
      <c r="E673" s="31"/>
      <c r="F673" s="31"/>
      <c r="G673" s="31"/>
      <c r="H673" s="32"/>
      <c r="J673" s="33"/>
      <c r="K673" s="33"/>
      <c r="L673" s="33"/>
      <c r="X673" s="23"/>
      <c r="Y673" s="23"/>
      <c r="Z673" s="23"/>
      <c r="AA673" s="23"/>
      <c r="AF673" s="23"/>
      <c r="AG673" s="23"/>
      <c r="AH673" s="23"/>
      <c r="AI673" s="23"/>
      <c r="AN673" s="23"/>
      <c r="AO673" s="23"/>
      <c r="AP673" s="23"/>
      <c r="AQ673" s="23"/>
      <c r="AR673" s="35"/>
      <c r="AS673" s="35"/>
      <c r="AT673" s="35"/>
      <c r="AU673" s="31"/>
    </row>
    <row r="674" spans="4:47">
      <c r="D674" s="31"/>
      <c r="E674" s="31"/>
      <c r="F674" s="31"/>
      <c r="G674" s="31"/>
      <c r="H674" s="32"/>
      <c r="J674" s="33"/>
      <c r="K674" s="33"/>
      <c r="L674" s="33"/>
      <c r="X674" s="23"/>
      <c r="Y674" s="23"/>
      <c r="Z674" s="23"/>
      <c r="AA674" s="23"/>
      <c r="AF674" s="23"/>
      <c r="AG674" s="23"/>
      <c r="AH674" s="23"/>
      <c r="AI674" s="23"/>
      <c r="AN674" s="23"/>
      <c r="AO674" s="23"/>
      <c r="AP674" s="23"/>
      <c r="AQ674" s="23"/>
      <c r="AR674" s="35"/>
      <c r="AS674" s="35"/>
      <c r="AT674" s="35"/>
      <c r="AU674" s="31"/>
    </row>
    <row r="675" spans="4:47">
      <c r="D675" s="31"/>
      <c r="E675" s="31"/>
      <c r="F675" s="31"/>
      <c r="G675" s="31"/>
      <c r="H675" s="32"/>
      <c r="J675" s="33"/>
      <c r="K675" s="33"/>
      <c r="L675" s="33"/>
      <c r="X675" s="23"/>
      <c r="Y675" s="23"/>
      <c r="Z675" s="23"/>
      <c r="AA675" s="23"/>
      <c r="AF675" s="23"/>
      <c r="AG675" s="23"/>
      <c r="AH675" s="23"/>
      <c r="AI675" s="23"/>
      <c r="AN675" s="23"/>
      <c r="AO675" s="23"/>
      <c r="AP675" s="23"/>
      <c r="AQ675" s="23"/>
      <c r="AR675" s="35"/>
      <c r="AS675" s="35"/>
      <c r="AT675" s="35"/>
      <c r="AU675" s="31"/>
    </row>
    <row r="676" spans="4:47">
      <c r="D676" s="31"/>
      <c r="E676" s="31"/>
      <c r="F676" s="31"/>
      <c r="G676" s="31"/>
      <c r="H676" s="32"/>
      <c r="J676" s="33"/>
      <c r="K676" s="33"/>
      <c r="L676" s="33"/>
      <c r="X676" s="23"/>
      <c r="Y676" s="23"/>
      <c r="Z676" s="23"/>
      <c r="AA676" s="23"/>
      <c r="AF676" s="23"/>
      <c r="AG676" s="23"/>
      <c r="AH676" s="23"/>
      <c r="AI676" s="23"/>
      <c r="AN676" s="23"/>
      <c r="AO676" s="23"/>
      <c r="AP676" s="23"/>
      <c r="AQ676" s="23"/>
      <c r="AR676" s="35"/>
      <c r="AS676" s="35"/>
      <c r="AT676" s="35"/>
      <c r="AU676" s="31"/>
    </row>
    <row r="677" spans="4:47">
      <c r="D677" s="31"/>
      <c r="E677" s="31"/>
      <c r="F677" s="31"/>
      <c r="G677" s="31"/>
      <c r="H677" s="32"/>
      <c r="J677" s="33"/>
      <c r="K677" s="33"/>
      <c r="L677" s="33"/>
      <c r="X677" s="23"/>
      <c r="Y677" s="23"/>
      <c r="Z677" s="23"/>
      <c r="AA677" s="23"/>
      <c r="AF677" s="23"/>
      <c r="AG677" s="23"/>
      <c r="AH677" s="23"/>
      <c r="AI677" s="23"/>
      <c r="AN677" s="23"/>
      <c r="AO677" s="23"/>
      <c r="AP677" s="23"/>
      <c r="AQ677" s="23"/>
      <c r="AR677" s="35"/>
      <c r="AS677" s="35"/>
      <c r="AT677" s="35"/>
      <c r="AU677" s="31"/>
    </row>
    <row r="678" spans="4:47">
      <c r="D678" s="31"/>
      <c r="E678" s="31"/>
      <c r="F678" s="31"/>
      <c r="G678" s="31"/>
      <c r="H678" s="32"/>
      <c r="J678" s="33"/>
      <c r="K678" s="33"/>
      <c r="L678" s="33"/>
      <c r="X678" s="23"/>
      <c r="Y678" s="23"/>
      <c r="Z678" s="23"/>
      <c r="AA678" s="23"/>
      <c r="AF678" s="23"/>
      <c r="AG678" s="23"/>
      <c r="AH678" s="23"/>
      <c r="AI678" s="23"/>
      <c r="AN678" s="23"/>
      <c r="AO678" s="23"/>
      <c r="AP678" s="23"/>
      <c r="AQ678" s="23"/>
      <c r="AR678" s="35"/>
      <c r="AS678" s="35"/>
      <c r="AT678" s="35"/>
      <c r="AU678" s="31"/>
    </row>
    <row r="679" spans="4:47">
      <c r="D679" s="31"/>
      <c r="E679" s="31"/>
      <c r="F679" s="31"/>
      <c r="G679" s="31"/>
      <c r="H679" s="32"/>
      <c r="J679" s="33"/>
      <c r="K679" s="33"/>
      <c r="L679" s="33"/>
      <c r="X679" s="23"/>
      <c r="Y679" s="23"/>
      <c r="Z679" s="23"/>
      <c r="AA679" s="23"/>
      <c r="AF679" s="23"/>
      <c r="AG679" s="23"/>
      <c r="AH679" s="23"/>
      <c r="AI679" s="23"/>
      <c r="AN679" s="23"/>
      <c r="AO679" s="23"/>
      <c r="AP679" s="23"/>
      <c r="AQ679" s="23"/>
      <c r="AR679" s="35"/>
      <c r="AS679" s="35"/>
      <c r="AT679" s="35"/>
      <c r="AU679" s="31"/>
    </row>
    <row r="680" spans="4:47">
      <c r="D680" s="31"/>
      <c r="E680" s="31"/>
      <c r="F680" s="31"/>
      <c r="G680" s="31"/>
      <c r="H680" s="32"/>
      <c r="J680" s="33"/>
      <c r="K680" s="33"/>
      <c r="L680" s="33"/>
      <c r="X680" s="23"/>
      <c r="Y680" s="23"/>
      <c r="Z680" s="23"/>
      <c r="AA680" s="23"/>
      <c r="AF680" s="23"/>
      <c r="AG680" s="23"/>
      <c r="AH680" s="23"/>
      <c r="AI680" s="23"/>
      <c r="AN680" s="23"/>
      <c r="AO680" s="23"/>
      <c r="AP680" s="23"/>
      <c r="AQ680" s="23"/>
      <c r="AR680" s="35"/>
      <c r="AS680" s="35"/>
      <c r="AT680" s="35"/>
      <c r="AU680" s="31"/>
    </row>
    <row r="681" spans="4:47">
      <c r="D681" s="31"/>
      <c r="E681" s="31"/>
      <c r="F681" s="31"/>
      <c r="G681" s="31"/>
      <c r="H681" s="32"/>
      <c r="J681" s="33"/>
      <c r="K681" s="33"/>
      <c r="L681" s="33"/>
      <c r="X681" s="23"/>
      <c r="Y681" s="23"/>
      <c r="Z681" s="23"/>
      <c r="AA681" s="23"/>
      <c r="AF681" s="23"/>
      <c r="AG681" s="23"/>
      <c r="AH681" s="23"/>
      <c r="AI681" s="23"/>
      <c r="AN681" s="23"/>
      <c r="AO681" s="23"/>
      <c r="AP681" s="23"/>
      <c r="AQ681" s="23"/>
      <c r="AR681" s="35"/>
      <c r="AS681" s="35"/>
      <c r="AT681" s="35"/>
      <c r="AU681" s="31"/>
    </row>
    <row r="682" spans="4:47">
      <c r="D682" s="31"/>
      <c r="E682" s="31"/>
      <c r="F682" s="31"/>
      <c r="G682" s="31"/>
      <c r="H682" s="32"/>
      <c r="J682" s="33"/>
      <c r="K682" s="33"/>
      <c r="L682" s="33"/>
      <c r="X682" s="23"/>
      <c r="Y682" s="23"/>
      <c r="Z682" s="23"/>
      <c r="AA682" s="23"/>
      <c r="AF682" s="23"/>
      <c r="AG682" s="23"/>
      <c r="AH682" s="23"/>
      <c r="AI682" s="23"/>
      <c r="AN682" s="23"/>
      <c r="AO682" s="23"/>
      <c r="AP682" s="23"/>
      <c r="AQ682" s="23"/>
      <c r="AR682" s="35"/>
      <c r="AS682" s="35"/>
      <c r="AT682" s="35"/>
      <c r="AU682" s="31"/>
    </row>
    <row r="683" spans="4:47">
      <c r="D683" s="31"/>
      <c r="E683" s="31"/>
      <c r="F683" s="31"/>
      <c r="G683" s="31"/>
      <c r="H683" s="32"/>
      <c r="J683" s="33"/>
      <c r="K683" s="33"/>
      <c r="L683" s="33"/>
      <c r="X683" s="23"/>
      <c r="Y683" s="23"/>
      <c r="Z683" s="23"/>
      <c r="AA683" s="23"/>
      <c r="AF683" s="23"/>
      <c r="AG683" s="23"/>
      <c r="AH683" s="23"/>
      <c r="AI683" s="23"/>
      <c r="AN683" s="23"/>
      <c r="AO683" s="23"/>
      <c r="AP683" s="23"/>
      <c r="AQ683" s="23"/>
      <c r="AR683" s="35"/>
      <c r="AS683" s="35"/>
      <c r="AT683" s="35"/>
      <c r="AU683" s="31"/>
    </row>
    <row r="684" spans="4:47">
      <c r="D684" s="31"/>
      <c r="E684" s="31"/>
      <c r="F684" s="31"/>
      <c r="G684" s="31"/>
      <c r="H684" s="32"/>
      <c r="J684" s="33"/>
      <c r="K684" s="33"/>
      <c r="L684" s="33"/>
      <c r="X684" s="23"/>
      <c r="Y684" s="23"/>
      <c r="Z684" s="23"/>
      <c r="AA684" s="23"/>
      <c r="AF684" s="23"/>
      <c r="AG684" s="23"/>
      <c r="AH684" s="23"/>
      <c r="AI684" s="23"/>
      <c r="AN684" s="23"/>
      <c r="AO684" s="23"/>
      <c r="AP684" s="23"/>
      <c r="AQ684" s="23"/>
      <c r="AR684" s="35"/>
      <c r="AS684" s="35"/>
      <c r="AT684" s="35"/>
      <c r="AU684" s="31"/>
    </row>
    <row r="685" spans="4:47">
      <c r="D685" s="31"/>
      <c r="E685" s="31"/>
      <c r="F685" s="31"/>
      <c r="G685" s="31"/>
      <c r="H685" s="32"/>
      <c r="J685" s="33"/>
      <c r="K685" s="33"/>
      <c r="L685" s="33"/>
      <c r="X685" s="23"/>
      <c r="Y685" s="23"/>
      <c r="Z685" s="23"/>
      <c r="AA685" s="23"/>
      <c r="AF685" s="23"/>
      <c r="AG685" s="23"/>
      <c r="AH685" s="23"/>
      <c r="AI685" s="23"/>
      <c r="AN685" s="23"/>
      <c r="AO685" s="23"/>
      <c r="AP685" s="23"/>
      <c r="AQ685" s="23"/>
      <c r="AR685" s="35"/>
      <c r="AS685" s="35"/>
      <c r="AT685" s="35"/>
      <c r="AU685" s="31"/>
    </row>
    <row r="686" spans="4:47">
      <c r="D686" s="31"/>
      <c r="E686" s="31"/>
      <c r="F686" s="31"/>
      <c r="G686" s="31"/>
      <c r="H686" s="32"/>
      <c r="J686" s="33"/>
      <c r="K686" s="33"/>
      <c r="L686" s="33"/>
      <c r="X686" s="23"/>
      <c r="Y686" s="23"/>
      <c r="Z686" s="23"/>
      <c r="AA686" s="23"/>
      <c r="AF686" s="23"/>
      <c r="AG686" s="23"/>
      <c r="AH686" s="23"/>
      <c r="AI686" s="23"/>
      <c r="AN686" s="23"/>
      <c r="AO686" s="23"/>
      <c r="AP686" s="23"/>
      <c r="AQ686" s="23"/>
      <c r="AR686" s="35"/>
      <c r="AS686" s="35"/>
      <c r="AT686" s="35"/>
      <c r="AU686" s="31"/>
    </row>
    <row r="687" spans="4:47">
      <c r="D687" s="31"/>
      <c r="E687" s="31"/>
      <c r="F687" s="31"/>
      <c r="G687" s="31"/>
      <c r="H687" s="32"/>
      <c r="J687" s="33"/>
      <c r="K687" s="33"/>
      <c r="L687" s="33"/>
      <c r="X687" s="23"/>
      <c r="Y687" s="23"/>
      <c r="Z687" s="23"/>
      <c r="AA687" s="23"/>
      <c r="AF687" s="23"/>
      <c r="AG687" s="23"/>
      <c r="AH687" s="23"/>
      <c r="AI687" s="23"/>
      <c r="AN687" s="23"/>
      <c r="AO687" s="23"/>
      <c r="AP687" s="23"/>
      <c r="AQ687" s="23"/>
      <c r="AR687" s="35"/>
      <c r="AS687" s="35"/>
      <c r="AT687" s="35"/>
      <c r="AU687" s="31"/>
    </row>
    <row r="688" spans="4:47">
      <c r="D688" s="31"/>
      <c r="E688" s="31"/>
      <c r="F688" s="31"/>
      <c r="G688" s="31"/>
      <c r="H688" s="32"/>
      <c r="J688" s="33"/>
      <c r="K688" s="33"/>
      <c r="L688" s="33"/>
      <c r="X688" s="23"/>
      <c r="Y688" s="23"/>
      <c r="Z688" s="23"/>
      <c r="AA688" s="23"/>
      <c r="AF688" s="23"/>
      <c r="AG688" s="23"/>
      <c r="AH688" s="23"/>
      <c r="AI688" s="23"/>
      <c r="AN688" s="23"/>
      <c r="AO688" s="23"/>
      <c r="AP688" s="23"/>
      <c r="AQ688" s="23"/>
      <c r="AR688" s="35"/>
      <c r="AS688" s="35"/>
      <c r="AT688" s="35"/>
      <c r="AU688" s="31"/>
    </row>
    <row r="689" spans="4:47">
      <c r="D689" s="31"/>
      <c r="E689" s="31"/>
      <c r="F689" s="31"/>
      <c r="G689" s="31"/>
      <c r="H689" s="32"/>
      <c r="J689" s="33"/>
      <c r="K689" s="33"/>
      <c r="L689" s="33"/>
      <c r="X689" s="23"/>
      <c r="Y689" s="23"/>
      <c r="Z689" s="23"/>
      <c r="AA689" s="23"/>
      <c r="AF689" s="23"/>
      <c r="AG689" s="23"/>
      <c r="AH689" s="23"/>
      <c r="AI689" s="23"/>
      <c r="AN689" s="23"/>
      <c r="AO689" s="23"/>
      <c r="AP689" s="23"/>
      <c r="AQ689" s="23"/>
      <c r="AR689" s="35"/>
      <c r="AS689" s="35"/>
      <c r="AT689" s="35"/>
      <c r="AU689" s="31"/>
    </row>
    <row r="690" spans="4:47">
      <c r="D690" s="31"/>
      <c r="E690" s="31"/>
      <c r="F690" s="31"/>
      <c r="G690" s="31"/>
      <c r="H690" s="32"/>
      <c r="J690" s="33"/>
      <c r="K690" s="33"/>
      <c r="L690" s="33"/>
      <c r="X690" s="23"/>
      <c r="Y690" s="23"/>
      <c r="Z690" s="23"/>
      <c r="AA690" s="23"/>
      <c r="AF690" s="23"/>
      <c r="AG690" s="23"/>
      <c r="AH690" s="23"/>
      <c r="AI690" s="23"/>
      <c r="AN690" s="23"/>
      <c r="AO690" s="23"/>
      <c r="AP690" s="23"/>
      <c r="AQ690" s="23"/>
      <c r="AR690" s="35"/>
      <c r="AS690" s="35"/>
      <c r="AT690" s="35"/>
      <c r="AU690" s="31"/>
    </row>
    <row r="691" spans="4:47">
      <c r="D691" s="31"/>
      <c r="E691" s="31"/>
      <c r="F691" s="31"/>
      <c r="G691" s="31"/>
      <c r="H691" s="32"/>
      <c r="J691" s="33"/>
      <c r="K691" s="33"/>
      <c r="L691" s="33"/>
      <c r="X691" s="23"/>
      <c r="Y691" s="23"/>
      <c r="Z691" s="23"/>
      <c r="AA691" s="23"/>
      <c r="AF691" s="23"/>
      <c r="AG691" s="23"/>
      <c r="AH691" s="23"/>
      <c r="AI691" s="23"/>
      <c r="AN691" s="23"/>
      <c r="AO691" s="23"/>
      <c r="AP691" s="23"/>
      <c r="AQ691" s="23"/>
      <c r="AR691" s="35"/>
      <c r="AS691" s="35"/>
      <c r="AT691" s="35"/>
      <c r="AU691" s="31"/>
    </row>
    <row r="692" spans="4:47">
      <c r="D692" s="31"/>
      <c r="E692" s="31"/>
      <c r="F692" s="31"/>
      <c r="G692" s="31"/>
      <c r="H692" s="32"/>
      <c r="J692" s="33"/>
      <c r="K692" s="33"/>
      <c r="L692" s="33"/>
      <c r="X692" s="23"/>
      <c r="Y692" s="23"/>
      <c r="Z692" s="23"/>
      <c r="AA692" s="23"/>
      <c r="AF692" s="23"/>
      <c r="AG692" s="23"/>
      <c r="AH692" s="23"/>
      <c r="AI692" s="23"/>
      <c r="AN692" s="23"/>
      <c r="AO692" s="23"/>
      <c r="AP692" s="23"/>
      <c r="AQ692" s="23"/>
      <c r="AR692" s="35"/>
      <c r="AS692" s="35"/>
      <c r="AT692" s="35"/>
      <c r="AU692" s="31"/>
    </row>
    <row r="693" spans="4:47">
      <c r="D693" s="31"/>
      <c r="E693" s="31"/>
      <c r="F693" s="31"/>
      <c r="G693" s="31"/>
      <c r="H693" s="32"/>
      <c r="J693" s="33"/>
      <c r="K693" s="33"/>
      <c r="L693" s="33"/>
      <c r="X693" s="23"/>
      <c r="Y693" s="23"/>
      <c r="Z693" s="23"/>
      <c r="AA693" s="23"/>
      <c r="AF693" s="23"/>
      <c r="AG693" s="23"/>
      <c r="AH693" s="23"/>
      <c r="AI693" s="23"/>
      <c r="AN693" s="23"/>
      <c r="AO693" s="23"/>
      <c r="AP693" s="23"/>
      <c r="AQ693" s="23"/>
      <c r="AR693" s="35"/>
      <c r="AS693" s="35"/>
      <c r="AT693" s="35"/>
      <c r="AU693" s="31"/>
    </row>
    <row r="694" spans="4:47">
      <c r="D694" s="31"/>
      <c r="E694" s="31"/>
      <c r="F694" s="31"/>
      <c r="G694" s="31"/>
      <c r="H694" s="32"/>
      <c r="J694" s="33"/>
      <c r="K694" s="33"/>
      <c r="L694" s="33"/>
      <c r="X694" s="23"/>
      <c r="Y694" s="23"/>
      <c r="Z694" s="23"/>
      <c r="AA694" s="23"/>
      <c r="AF694" s="23"/>
      <c r="AG694" s="23"/>
      <c r="AH694" s="23"/>
      <c r="AI694" s="23"/>
      <c r="AN694" s="23"/>
      <c r="AO694" s="23"/>
      <c r="AP694" s="23"/>
      <c r="AQ694" s="23"/>
      <c r="AR694" s="35"/>
      <c r="AS694" s="35"/>
      <c r="AT694" s="35"/>
      <c r="AU694" s="31"/>
    </row>
    <row r="695" spans="4:47">
      <c r="D695" s="31"/>
      <c r="E695" s="31"/>
      <c r="F695" s="31"/>
      <c r="G695" s="31"/>
      <c r="H695" s="32"/>
      <c r="J695" s="33"/>
      <c r="K695" s="33"/>
      <c r="L695" s="33"/>
      <c r="X695" s="23"/>
      <c r="Y695" s="23"/>
      <c r="Z695" s="23"/>
      <c r="AA695" s="23"/>
      <c r="AF695" s="23"/>
      <c r="AG695" s="23"/>
      <c r="AH695" s="23"/>
      <c r="AI695" s="23"/>
      <c r="AN695" s="23"/>
      <c r="AO695" s="23"/>
      <c r="AP695" s="23"/>
      <c r="AQ695" s="23"/>
      <c r="AR695" s="35"/>
      <c r="AS695" s="35"/>
      <c r="AT695" s="35"/>
      <c r="AU695" s="31"/>
    </row>
    <row r="696" spans="4:47">
      <c r="D696" s="31"/>
      <c r="E696" s="31"/>
      <c r="F696" s="31"/>
      <c r="G696" s="31"/>
      <c r="H696" s="32"/>
      <c r="J696" s="33"/>
      <c r="K696" s="33"/>
      <c r="L696" s="33"/>
      <c r="X696" s="23"/>
      <c r="Y696" s="23"/>
      <c r="Z696" s="23"/>
      <c r="AA696" s="23"/>
      <c r="AF696" s="23"/>
      <c r="AG696" s="23"/>
      <c r="AH696" s="23"/>
      <c r="AI696" s="23"/>
      <c r="AN696" s="23"/>
      <c r="AO696" s="23"/>
      <c r="AP696" s="23"/>
      <c r="AQ696" s="23"/>
      <c r="AR696" s="35"/>
      <c r="AS696" s="35"/>
      <c r="AT696" s="35"/>
      <c r="AU696" s="31"/>
    </row>
    <row r="697" spans="4:47">
      <c r="D697" s="31"/>
      <c r="E697" s="31"/>
      <c r="F697" s="31"/>
      <c r="G697" s="31"/>
      <c r="H697" s="32"/>
      <c r="J697" s="33"/>
      <c r="K697" s="33"/>
      <c r="L697" s="33"/>
      <c r="X697" s="23"/>
      <c r="Y697" s="23"/>
      <c r="Z697" s="23"/>
      <c r="AA697" s="23"/>
      <c r="AF697" s="23"/>
      <c r="AG697" s="23"/>
      <c r="AH697" s="23"/>
      <c r="AI697" s="23"/>
      <c r="AN697" s="23"/>
      <c r="AO697" s="23"/>
      <c r="AP697" s="23"/>
      <c r="AQ697" s="23"/>
      <c r="AR697" s="35"/>
      <c r="AS697" s="35"/>
      <c r="AT697" s="35"/>
      <c r="AU697" s="31"/>
    </row>
    <row r="698" spans="4:47">
      <c r="D698" s="31"/>
      <c r="E698" s="31"/>
      <c r="F698" s="31"/>
      <c r="G698" s="31"/>
      <c r="H698" s="32"/>
      <c r="J698" s="33"/>
      <c r="K698" s="33"/>
      <c r="L698" s="33"/>
      <c r="X698" s="23"/>
      <c r="Y698" s="23"/>
      <c r="Z698" s="23"/>
      <c r="AA698" s="23"/>
      <c r="AF698" s="23"/>
      <c r="AG698" s="23"/>
      <c r="AH698" s="23"/>
      <c r="AI698" s="23"/>
      <c r="AN698" s="23"/>
      <c r="AO698" s="23"/>
      <c r="AP698" s="23"/>
      <c r="AQ698" s="23"/>
      <c r="AR698" s="35"/>
      <c r="AS698" s="35"/>
      <c r="AT698" s="35"/>
      <c r="AU698" s="31"/>
    </row>
    <row r="699" spans="4:47">
      <c r="D699" s="31"/>
      <c r="E699" s="31"/>
      <c r="F699" s="31"/>
      <c r="G699" s="31"/>
      <c r="H699" s="32"/>
      <c r="J699" s="33"/>
      <c r="K699" s="33"/>
      <c r="L699" s="33"/>
      <c r="X699" s="23"/>
      <c r="Y699" s="23"/>
      <c r="Z699" s="23"/>
      <c r="AA699" s="23"/>
      <c r="AF699" s="23"/>
      <c r="AG699" s="23"/>
      <c r="AH699" s="23"/>
      <c r="AI699" s="23"/>
      <c r="AN699" s="23"/>
      <c r="AO699" s="23"/>
      <c r="AP699" s="23"/>
      <c r="AQ699" s="23"/>
      <c r="AR699" s="35"/>
      <c r="AS699" s="35"/>
      <c r="AT699" s="35"/>
      <c r="AU699" s="31"/>
    </row>
    <row r="700" spans="4:47">
      <c r="D700" s="31"/>
      <c r="E700" s="31"/>
      <c r="F700" s="31"/>
      <c r="G700" s="31"/>
      <c r="H700" s="32"/>
      <c r="J700" s="33"/>
      <c r="K700" s="33"/>
      <c r="L700" s="33"/>
      <c r="X700" s="23"/>
      <c r="Y700" s="23"/>
      <c r="Z700" s="23"/>
      <c r="AA700" s="23"/>
      <c r="AF700" s="23"/>
      <c r="AG700" s="23"/>
      <c r="AH700" s="23"/>
      <c r="AI700" s="23"/>
      <c r="AN700" s="23"/>
      <c r="AO700" s="23"/>
      <c r="AP700" s="23"/>
      <c r="AQ700" s="23"/>
      <c r="AR700" s="35"/>
      <c r="AS700" s="35"/>
      <c r="AT700" s="35"/>
      <c r="AU700" s="31"/>
    </row>
    <row r="701" spans="4:47">
      <c r="D701" s="31"/>
      <c r="E701" s="31"/>
      <c r="F701" s="31"/>
      <c r="G701" s="31"/>
      <c r="H701" s="32"/>
      <c r="J701" s="33"/>
      <c r="K701" s="33"/>
      <c r="L701" s="33"/>
      <c r="X701" s="23"/>
      <c r="Y701" s="23"/>
      <c r="Z701" s="23"/>
      <c r="AA701" s="23"/>
      <c r="AF701" s="23"/>
      <c r="AG701" s="23"/>
      <c r="AH701" s="23"/>
      <c r="AI701" s="23"/>
      <c r="AN701" s="23"/>
      <c r="AO701" s="23"/>
      <c r="AP701" s="23"/>
      <c r="AQ701" s="23"/>
      <c r="AR701" s="35"/>
      <c r="AS701" s="35"/>
      <c r="AT701" s="35"/>
      <c r="AU701" s="31"/>
    </row>
    <row r="702" spans="4:47">
      <c r="D702" s="31"/>
      <c r="E702" s="31"/>
      <c r="F702" s="31"/>
      <c r="G702" s="31"/>
      <c r="H702" s="32"/>
      <c r="J702" s="33"/>
      <c r="K702" s="33"/>
      <c r="L702" s="33"/>
      <c r="X702" s="23"/>
      <c r="Y702" s="23"/>
      <c r="Z702" s="23"/>
      <c r="AA702" s="23"/>
      <c r="AF702" s="23"/>
      <c r="AG702" s="23"/>
      <c r="AH702" s="23"/>
      <c r="AI702" s="23"/>
      <c r="AN702" s="23"/>
      <c r="AO702" s="23"/>
      <c r="AP702" s="23"/>
      <c r="AQ702" s="23"/>
      <c r="AR702" s="35"/>
      <c r="AS702" s="35"/>
      <c r="AT702" s="35"/>
      <c r="AU702" s="31"/>
    </row>
    <row r="703" spans="4:47">
      <c r="D703" s="31"/>
      <c r="E703" s="31"/>
      <c r="F703" s="31"/>
      <c r="G703" s="31"/>
      <c r="H703" s="32"/>
      <c r="J703" s="33"/>
      <c r="K703" s="33"/>
      <c r="L703" s="33"/>
      <c r="X703" s="23"/>
      <c r="Y703" s="23"/>
      <c r="Z703" s="23"/>
      <c r="AA703" s="23"/>
      <c r="AF703" s="23"/>
      <c r="AG703" s="23"/>
      <c r="AH703" s="23"/>
      <c r="AI703" s="23"/>
      <c r="AN703" s="23"/>
      <c r="AO703" s="23"/>
      <c r="AP703" s="23"/>
      <c r="AQ703" s="23"/>
      <c r="AR703" s="35"/>
      <c r="AS703" s="35"/>
      <c r="AT703" s="35"/>
      <c r="AU703" s="31"/>
    </row>
    <row r="704" spans="4:47">
      <c r="D704" s="31"/>
      <c r="E704" s="31"/>
      <c r="F704" s="31"/>
      <c r="G704" s="31"/>
      <c r="H704" s="32"/>
      <c r="J704" s="33"/>
      <c r="K704" s="33"/>
      <c r="L704" s="33"/>
      <c r="X704" s="23"/>
      <c r="Y704" s="23"/>
      <c r="Z704" s="23"/>
      <c r="AA704" s="23"/>
      <c r="AF704" s="23"/>
      <c r="AG704" s="23"/>
      <c r="AH704" s="23"/>
      <c r="AI704" s="23"/>
      <c r="AN704" s="23"/>
      <c r="AO704" s="23"/>
      <c r="AP704" s="23"/>
      <c r="AQ704" s="23"/>
      <c r="AR704" s="35"/>
      <c r="AS704" s="35"/>
      <c r="AT704" s="35"/>
      <c r="AU704" s="31"/>
    </row>
    <row r="705" spans="4:47">
      <c r="D705" s="31"/>
      <c r="E705" s="31"/>
      <c r="F705" s="31"/>
      <c r="G705" s="31"/>
      <c r="H705" s="32"/>
      <c r="J705" s="33"/>
      <c r="K705" s="33"/>
      <c r="L705" s="33"/>
      <c r="X705" s="23"/>
      <c r="Y705" s="23"/>
      <c r="Z705" s="23"/>
      <c r="AA705" s="23"/>
      <c r="AF705" s="23"/>
      <c r="AG705" s="23"/>
      <c r="AH705" s="23"/>
      <c r="AI705" s="23"/>
      <c r="AN705" s="23"/>
      <c r="AO705" s="23"/>
      <c r="AP705" s="23"/>
      <c r="AQ705" s="23"/>
      <c r="AR705" s="35"/>
      <c r="AS705" s="35"/>
      <c r="AT705" s="35"/>
      <c r="AU705" s="31"/>
    </row>
    <row r="706" spans="4:47">
      <c r="D706" s="31"/>
      <c r="E706" s="31"/>
      <c r="F706" s="31"/>
      <c r="G706" s="31"/>
      <c r="H706" s="32"/>
      <c r="J706" s="33"/>
      <c r="K706" s="33"/>
      <c r="L706" s="33"/>
      <c r="X706" s="23"/>
      <c r="Y706" s="23"/>
      <c r="Z706" s="23"/>
      <c r="AA706" s="23"/>
      <c r="AF706" s="23"/>
      <c r="AG706" s="23"/>
      <c r="AH706" s="23"/>
      <c r="AI706" s="23"/>
      <c r="AN706" s="23"/>
      <c r="AO706" s="23"/>
      <c r="AP706" s="23"/>
      <c r="AQ706" s="23"/>
      <c r="AR706" s="35"/>
      <c r="AS706" s="35"/>
      <c r="AT706" s="35"/>
      <c r="AU706" s="31"/>
    </row>
    <row r="707" spans="4:47">
      <c r="D707" s="31"/>
      <c r="E707" s="31"/>
      <c r="F707" s="31"/>
      <c r="G707" s="31"/>
      <c r="H707" s="32"/>
      <c r="J707" s="33"/>
      <c r="K707" s="33"/>
      <c r="L707" s="33"/>
      <c r="X707" s="23"/>
      <c r="Y707" s="23"/>
      <c r="Z707" s="23"/>
      <c r="AA707" s="23"/>
      <c r="AF707" s="23"/>
      <c r="AG707" s="23"/>
      <c r="AH707" s="23"/>
      <c r="AI707" s="23"/>
      <c r="AN707" s="23"/>
      <c r="AO707" s="23"/>
      <c r="AP707" s="23"/>
      <c r="AQ707" s="23"/>
      <c r="AR707" s="35"/>
      <c r="AS707" s="35"/>
      <c r="AT707" s="35"/>
      <c r="AU707" s="31"/>
    </row>
    <row r="708" spans="4:47">
      <c r="D708" s="31"/>
      <c r="E708" s="31"/>
      <c r="F708" s="31"/>
      <c r="G708" s="31"/>
      <c r="H708" s="32"/>
      <c r="J708" s="33"/>
      <c r="K708" s="33"/>
      <c r="L708" s="33"/>
      <c r="X708" s="23"/>
      <c r="Y708" s="23"/>
      <c r="Z708" s="23"/>
      <c r="AA708" s="23"/>
      <c r="AF708" s="23"/>
      <c r="AG708" s="23"/>
      <c r="AH708" s="23"/>
      <c r="AI708" s="23"/>
      <c r="AN708" s="23"/>
      <c r="AO708" s="23"/>
      <c r="AP708" s="23"/>
      <c r="AQ708" s="23"/>
      <c r="AR708" s="35"/>
      <c r="AS708" s="35"/>
      <c r="AT708" s="35"/>
      <c r="AU708" s="31"/>
    </row>
    <row r="709" spans="4:47">
      <c r="D709" s="31"/>
      <c r="E709" s="31"/>
      <c r="F709" s="31"/>
      <c r="G709" s="31"/>
      <c r="H709" s="32"/>
      <c r="J709" s="33"/>
      <c r="K709" s="33"/>
      <c r="L709" s="33"/>
      <c r="X709" s="23"/>
      <c r="Y709" s="23"/>
      <c r="Z709" s="23"/>
      <c r="AA709" s="23"/>
      <c r="AF709" s="23"/>
      <c r="AG709" s="23"/>
      <c r="AH709" s="23"/>
      <c r="AI709" s="23"/>
      <c r="AN709" s="23"/>
      <c r="AO709" s="23"/>
      <c r="AP709" s="23"/>
      <c r="AQ709" s="23"/>
      <c r="AR709" s="35"/>
      <c r="AS709" s="35"/>
      <c r="AT709" s="35"/>
      <c r="AU709" s="31"/>
    </row>
    <row r="710" spans="4:47">
      <c r="D710" s="31"/>
      <c r="E710" s="31"/>
      <c r="F710" s="31"/>
      <c r="G710" s="31"/>
      <c r="H710" s="32"/>
      <c r="J710" s="33"/>
      <c r="K710" s="33"/>
      <c r="L710" s="33"/>
      <c r="X710" s="23"/>
      <c r="Y710" s="23"/>
      <c r="Z710" s="23"/>
      <c r="AA710" s="23"/>
      <c r="AF710" s="23"/>
      <c r="AG710" s="23"/>
      <c r="AH710" s="23"/>
      <c r="AI710" s="23"/>
      <c r="AN710" s="23"/>
      <c r="AO710" s="23"/>
      <c r="AP710" s="23"/>
      <c r="AQ710" s="23"/>
      <c r="AR710" s="35"/>
      <c r="AS710" s="35"/>
      <c r="AT710" s="35"/>
      <c r="AU710" s="31"/>
    </row>
    <row r="711" spans="4:47">
      <c r="D711" s="31"/>
      <c r="E711" s="31"/>
      <c r="F711" s="31"/>
      <c r="G711" s="31"/>
      <c r="H711" s="32"/>
      <c r="J711" s="33"/>
      <c r="K711" s="33"/>
      <c r="L711" s="33"/>
      <c r="X711" s="23"/>
      <c r="Y711" s="23"/>
      <c r="Z711" s="23"/>
      <c r="AA711" s="23"/>
      <c r="AF711" s="23"/>
      <c r="AG711" s="23"/>
      <c r="AH711" s="23"/>
      <c r="AI711" s="23"/>
      <c r="AN711" s="23"/>
      <c r="AO711" s="23"/>
      <c r="AP711" s="23"/>
      <c r="AQ711" s="23"/>
      <c r="AR711" s="35"/>
      <c r="AS711" s="35"/>
      <c r="AT711" s="35"/>
      <c r="AU711" s="31"/>
    </row>
    <row r="712" spans="4:47">
      <c r="D712" s="31"/>
      <c r="E712" s="31"/>
      <c r="F712" s="31"/>
      <c r="G712" s="31"/>
      <c r="H712" s="32"/>
      <c r="J712" s="33"/>
      <c r="K712" s="33"/>
      <c r="L712" s="33"/>
      <c r="X712" s="23"/>
      <c r="Y712" s="23"/>
      <c r="Z712" s="23"/>
      <c r="AA712" s="23"/>
      <c r="AF712" s="23"/>
      <c r="AG712" s="23"/>
      <c r="AH712" s="23"/>
      <c r="AI712" s="23"/>
      <c r="AN712" s="23"/>
      <c r="AO712" s="23"/>
      <c r="AP712" s="23"/>
      <c r="AQ712" s="23"/>
      <c r="AR712" s="35"/>
      <c r="AS712" s="35"/>
      <c r="AT712" s="35"/>
      <c r="AU712" s="31"/>
    </row>
    <row r="713" spans="4:47">
      <c r="D713" s="31"/>
      <c r="E713" s="31"/>
      <c r="F713" s="31"/>
      <c r="G713" s="31"/>
      <c r="H713" s="32"/>
      <c r="J713" s="33"/>
      <c r="K713" s="33"/>
      <c r="L713" s="33"/>
      <c r="X713" s="23"/>
      <c r="Y713" s="23"/>
      <c r="Z713" s="23"/>
      <c r="AA713" s="23"/>
      <c r="AF713" s="23"/>
      <c r="AG713" s="23"/>
      <c r="AH713" s="23"/>
      <c r="AI713" s="23"/>
      <c r="AN713" s="23"/>
      <c r="AO713" s="23"/>
      <c r="AP713" s="23"/>
      <c r="AQ713" s="23"/>
      <c r="AR713" s="35"/>
      <c r="AS713" s="35"/>
      <c r="AT713" s="35"/>
      <c r="AU713" s="31"/>
    </row>
    <row r="714" spans="4:47">
      <c r="D714" s="31"/>
      <c r="E714" s="31"/>
      <c r="F714" s="31"/>
      <c r="G714" s="31"/>
      <c r="H714" s="32"/>
      <c r="J714" s="33"/>
      <c r="K714" s="33"/>
      <c r="L714" s="33"/>
      <c r="X714" s="23"/>
      <c r="Y714" s="23"/>
      <c r="Z714" s="23"/>
      <c r="AA714" s="23"/>
      <c r="AF714" s="23"/>
      <c r="AG714" s="23"/>
      <c r="AH714" s="23"/>
      <c r="AI714" s="23"/>
      <c r="AN714" s="23"/>
      <c r="AO714" s="23"/>
      <c r="AP714" s="23"/>
      <c r="AQ714" s="23"/>
      <c r="AR714" s="35"/>
      <c r="AS714" s="35"/>
      <c r="AT714" s="35"/>
      <c r="AU714" s="31"/>
    </row>
    <row r="715" spans="4:47">
      <c r="D715" s="31"/>
      <c r="E715" s="31"/>
      <c r="F715" s="31"/>
      <c r="G715" s="31"/>
      <c r="H715" s="32"/>
      <c r="J715" s="33"/>
      <c r="K715" s="33"/>
      <c r="L715" s="33"/>
      <c r="X715" s="23"/>
      <c r="Y715" s="23"/>
      <c r="Z715" s="23"/>
      <c r="AA715" s="23"/>
      <c r="AF715" s="23"/>
      <c r="AG715" s="23"/>
      <c r="AH715" s="23"/>
      <c r="AI715" s="23"/>
      <c r="AN715" s="23"/>
      <c r="AO715" s="23"/>
      <c r="AP715" s="23"/>
      <c r="AQ715" s="23"/>
      <c r="AR715" s="35"/>
      <c r="AS715" s="35"/>
      <c r="AT715" s="35"/>
      <c r="AU715" s="31"/>
    </row>
    <row r="716" spans="4:47">
      <c r="D716" s="31"/>
      <c r="E716" s="31"/>
      <c r="F716" s="31"/>
      <c r="G716" s="31"/>
      <c r="H716" s="32"/>
      <c r="J716" s="33"/>
      <c r="K716" s="33"/>
      <c r="L716" s="33"/>
      <c r="X716" s="23"/>
      <c r="Y716" s="23"/>
      <c r="Z716" s="23"/>
      <c r="AA716" s="23"/>
      <c r="AF716" s="23"/>
      <c r="AG716" s="23"/>
      <c r="AH716" s="23"/>
      <c r="AI716" s="23"/>
      <c r="AN716" s="23"/>
      <c r="AO716" s="23"/>
      <c r="AP716" s="23"/>
      <c r="AQ716" s="23"/>
      <c r="AR716" s="35"/>
      <c r="AS716" s="35"/>
      <c r="AT716" s="35"/>
      <c r="AU716" s="31"/>
    </row>
    <row r="717" spans="4:47">
      <c r="D717" s="31"/>
      <c r="E717" s="31"/>
      <c r="F717" s="31"/>
      <c r="G717" s="31"/>
      <c r="H717" s="32"/>
      <c r="J717" s="33"/>
      <c r="K717" s="33"/>
      <c r="L717" s="33"/>
      <c r="X717" s="23"/>
      <c r="Y717" s="23"/>
      <c r="Z717" s="23"/>
      <c r="AA717" s="23"/>
      <c r="AF717" s="23"/>
      <c r="AG717" s="23"/>
      <c r="AH717" s="23"/>
      <c r="AI717" s="23"/>
      <c r="AN717" s="23"/>
      <c r="AO717" s="23"/>
      <c r="AP717" s="23"/>
      <c r="AQ717" s="23"/>
      <c r="AR717" s="35"/>
      <c r="AS717" s="35"/>
      <c r="AT717" s="35"/>
      <c r="AU717" s="31"/>
    </row>
    <row r="718" spans="4:47">
      <c r="D718" s="31"/>
      <c r="E718" s="31"/>
      <c r="F718" s="31"/>
      <c r="G718" s="31"/>
      <c r="H718" s="32"/>
      <c r="J718" s="33"/>
      <c r="K718" s="33"/>
      <c r="L718" s="33"/>
      <c r="X718" s="23"/>
      <c r="Y718" s="23"/>
      <c r="Z718" s="23"/>
      <c r="AA718" s="23"/>
      <c r="AF718" s="23"/>
      <c r="AG718" s="23"/>
      <c r="AH718" s="23"/>
      <c r="AI718" s="23"/>
      <c r="AN718" s="23"/>
      <c r="AO718" s="23"/>
      <c r="AP718" s="23"/>
      <c r="AQ718" s="23"/>
      <c r="AR718" s="35"/>
      <c r="AS718" s="35"/>
      <c r="AT718" s="35"/>
      <c r="AU718" s="31"/>
    </row>
    <row r="719" spans="4:47">
      <c r="D719" s="31"/>
      <c r="E719" s="31"/>
      <c r="F719" s="31"/>
      <c r="G719" s="31"/>
      <c r="H719" s="32"/>
      <c r="J719" s="33"/>
      <c r="K719" s="33"/>
      <c r="L719" s="33"/>
      <c r="X719" s="23"/>
      <c r="Y719" s="23"/>
      <c r="Z719" s="23"/>
      <c r="AA719" s="23"/>
      <c r="AF719" s="23"/>
      <c r="AG719" s="23"/>
      <c r="AH719" s="23"/>
      <c r="AI719" s="23"/>
      <c r="AN719" s="23"/>
      <c r="AO719" s="23"/>
      <c r="AP719" s="23"/>
      <c r="AQ719" s="23"/>
      <c r="AR719" s="35"/>
      <c r="AS719" s="35"/>
      <c r="AT719" s="35"/>
      <c r="AU719" s="31"/>
    </row>
    <row r="720" spans="4:47">
      <c r="D720" s="31"/>
      <c r="E720" s="31"/>
      <c r="F720" s="31"/>
      <c r="G720" s="31"/>
      <c r="H720" s="32"/>
      <c r="J720" s="33"/>
      <c r="K720" s="33"/>
      <c r="L720" s="33"/>
      <c r="X720" s="23"/>
      <c r="Y720" s="23"/>
      <c r="Z720" s="23"/>
      <c r="AA720" s="23"/>
      <c r="AF720" s="23"/>
      <c r="AG720" s="23"/>
      <c r="AH720" s="23"/>
      <c r="AI720" s="23"/>
      <c r="AN720" s="23"/>
      <c r="AO720" s="23"/>
      <c r="AP720" s="23"/>
      <c r="AQ720" s="23"/>
      <c r="AR720" s="35"/>
      <c r="AS720" s="35"/>
      <c r="AT720" s="35"/>
      <c r="AU720" s="31"/>
    </row>
    <row r="721" spans="4:47">
      <c r="D721" s="31"/>
      <c r="E721" s="31"/>
      <c r="F721" s="31"/>
      <c r="G721" s="31"/>
      <c r="H721" s="32"/>
      <c r="J721" s="33"/>
      <c r="K721" s="33"/>
      <c r="L721" s="33"/>
      <c r="X721" s="23"/>
      <c r="Y721" s="23"/>
      <c r="Z721" s="23"/>
      <c r="AA721" s="23"/>
      <c r="AF721" s="23"/>
      <c r="AG721" s="23"/>
      <c r="AH721" s="23"/>
      <c r="AI721" s="23"/>
      <c r="AN721" s="23"/>
      <c r="AO721" s="23"/>
      <c r="AP721" s="23"/>
      <c r="AQ721" s="23"/>
      <c r="AR721" s="35"/>
      <c r="AS721" s="35"/>
      <c r="AT721" s="35"/>
      <c r="AU721" s="31"/>
    </row>
    <row r="722" spans="4:47">
      <c r="D722" s="31"/>
      <c r="E722" s="31"/>
      <c r="F722" s="31"/>
      <c r="G722" s="31"/>
      <c r="H722" s="32"/>
      <c r="J722" s="33"/>
      <c r="K722" s="33"/>
      <c r="L722" s="33"/>
      <c r="X722" s="23"/>
      <c r="Y722" s="23"/>
      <c r="Z722" s="23"/>
      <c r="AA722" s="23"/>
      <c r="AF722" s="23"/>
      <c r="AG722" s="23"/>
      <c r="AH722" s="23"/>
      <c r="AI722" s="23"/>
      <c r="AN722" s="23"/>
      <c r="AO722" s="23"/>
      <c r="AP722" s="23"/>
      <c r="AQ722" s="23"/>
      <c r="AR722" s="35"/>
      <c r="AS722" s="35"/>
      <c r="AT722" s="35"/>
      <c r="AU722" s="31"/>
    </row>
    <row r="723" spans="4:47">
      <c r="D723" s="31"/>
      <c r="E723" s="31"/>
      <c r="F723" s="31"/>
      <c r="G723" s="31"/>
      <c r="H723" s="32"/>
      <c r="J723" s="33"/>
      <c r="K723" s="33"/>
      <c r="L723" s="33"/>
      <c r="X723" s="23"/>
      <c r="Y723" s="23"/>
      <c r="Z723" s="23"/>
      <c r="AA723" s="23"/>
      <c r="AF723" s="23"/>
      <c r="AG723" s="23"/>
      <c r="AH723" s="23"/>
      <c r="AI723" s="23"/>
      <c r="AN723" s="23"/>
      <c r="AO723" s="23"/>
      <c r="AP723" s="23"/>
      <c r="AQ723" s="23"/>
      <c r="AR723" s="35"/>
      <c r="AS723" s="35"/>
      <c r="AT723" s="35"/>
      <c r="AU723" s="31"/>
    </row>
    <row r="724" spans="4:47">
      <c r="D724" s="31"/>
      <c r="E724" s="31"/>
      <c r="F724" s="31"/>
      <c r="G724" s="31"/>
      <c r="H724" s="32"/>
      <c r="J724" s="33"/>
      <c r="K724" s="33"/>
      <c r="L724" s="33"/>
      <c r="X724" s="23"/>
      <c r="Y724" s="23"/>
      <c r="Z724" s="23"/>
      <c r="AA724" s="23"/>
      <c r="AF724" s="23"/>
      <c r="AG724" s="23"/>
      <c r="AH724" s="23"/>
      <c r="AI724" s="23"/>
      <c r="AN724" s="23"/>
      <c r="AO724" s="23"/>
      <c r="AP724" s="23"/>
      <c r="AQ724" s="23"/>
      <c r="AR724" s="35"/>
      <c r="AS724" s="35"/>
      <c r="AT724" s="35"/>
      <c r="AU724" s="31"/>
    </row>
    <row r="725" spans="4:47">
      <c r="D725" s="31"/>
      <c r="E725" s="31"/>
      <c r="F725" s="31"/>
      <c r="G725" s="31"/>
      <c r="H725" s="32"/>
      <c r="J725" s="33"/>
      <c r="K725" s="33"/>
      <c r="L725" s="33"/>
      <c r="X725" s="23"/>
      <c r="Y725" s="23"/>
      <c r="Z725" s="23"/>
      <c r="AA725" s="23"/>
      <c r="AF725" s="23"/>
      <c r="AG725" s="23"/>
      <c r="AH725" s="23"/>
      <c r="AI725" s="23"/>
      <c r="AN725" s="23"/>
      <c r="AO725" s="23"/>
      <c r="AP725" s="23"/>
      <c r="AQ725" s="23"/>
      <c r="AR725" s="35"/>
      <c r="AS725" s="35"/>
      <c r="AT725" s="35"/>
      <c r="AU725" s="31"/>
    </row>
    <row r="726" spans="4:47">
      <c r="D726" s="31"/>
      <c r="E726" s="31"/>
      <c r="F726" s="31"/>
      <c r="G726" s="31"/>
      <c r="H726" s="32"/>
      <c r="J726" s="33"/>
      <c r="K726" s="33"/>
      <c r="L726" s="33"/>
      <c r="X726" s="23"/>
      <c r="Y726" s="23"/>
      <c r="Z726" s="23"/>
      <c r="AA726" s="23"/>
      <c r="AF726" s="23"/>
      <c r="AG726" s="23"/>
      <c r="AH726" s="23"/>
      <c r="AI726" s="23"/>
      <c r="AN726" s="23"/>
      <c r="AO726" s="23"/>
      <c r="AP726" s="23"/>
      <c r="AQ726" s="23"/>
      <c r="AR726" s="35"/>
      <c r="AS726" s="35"/>
      <c r="AT726" s="35"/>
      <c r="AU726" s="31"/>
    </row>
    <row r="727" spans="4:47">
      <c r="D727" s="31"/>
      <c r="E727" s="31"/>
      <c r="F727" s="31"/>
      <c r="G727" s="31"/>
      <c r="H727" s="32"/>
      <c r="J727" s="33"/>
      <c r="K727" s="33"/>
      <c r="L727" s="33"/>
      <c r="X727" s="23"/>
      <c r="Y727" s="23"/>
      <c r="Z727" s="23"/>
      <c r="AA727" s="23"/>
      <c r="AF727" s="23"/>
      <c r="AG727" s="23"/>
      <c r="AH727" s="23"/>
      <c r="AI727" s="23"/>
      <c r="AN727" s="23"/>
      <c r="AO727" s="23"/>
      <c r="AP727" s="23"/>
      <c r="AQ727" s="23"/>
      <c r="AR727" s="35"/>
      <c r="AS727" s="35"/>
      <c r="AT727" s="35"/>
      <c r="AU727" s="31"/>
    </row>
    <row r="728" spans="4:47">
      <c r="D728" s="31"/>
      <c r="E728" s="31"/>
      <c r="F728" s="31"/>
      <c r="G728" s="31"/>
      <c r="H728" s="32"/>
      <c r="J728" s="33"/>
      <c r="K728" s="33"/>
      <c r="L728" s="33"/>
      <c r="X728" s="23"/>
      <c r="Y728" s="23"/>
      <c r="Z728" s="23"/>
      <c r="AA728" s="23"/>
      <c r="AF728" s="23"/>
      <c r="AG728" s="23"/>
      <c r="AH728" s="23"/>
      <c r="AI728" s="23"/>
      <c r="AN728" s="23"/>
      <c r="AO728" s="23"/>
      <c r="AP728" s="23"/>
      <c r="AQ728" s="23"/>
      <c r="AR728" s="35"/>
      <c r="AS728" s="35"/>
      <c r="AT728" s="35"/>
      <c r="AU728" s="31"/>
    </row>
    <row r="729" spans="4:47">
      <c r="D729" s="31"/>
      <c r="E729" s="31"/>
      <c r="F729" s="31"/>
      <c r="G729" s="31"/>
      <c r="H729" s="32"/>
      <c r="J729" s="33"/>
      <c r="K729" s="33"/>
      <c r="L729" s="33"/>
      <c r="X729" s="23"/>
      <c r="Y729" s="23"/>
      <c r="Z729" s="23"/>
      <c r="AA729" s="23"/>
      <c r="AF729" s="23"/>
      <c r="AG729" s="23"/>
      <c r="AH729" s="23"/>
      <c r="AI729" s="23"/>
      <c r="AN729" s="23"/>
      <c r="AO729" s="23"/>
      <c r="AP729" s="23"/>
      <c r="AQ729" s="23"/>
      <c r="AR729" s="35"/>
      <c r="AS729" s="35"/>
      <c r="AT729" s="35"/>
      <c r="AU729" s="31"/>
    </row>
    <row r="730" spans="4:47">
      <c r="D730" s="31"/>
      <c r="E730" s="31"/>
      <c r="F730" s="31"/>
      <c r="G730" s="31"/>
      <c r="H730" s="32"/>
      <c r="J730" s="33"/>
      <c r="K730" s="33"/>
      <c r="L730" s="33"/>
      <c r="X730" s="23"/>
      <c r="Y730" s="23"/>
      <c r="Z730" s="23"/>
      <c r="AA730" s="23"/>
      <c r="AF730" s="23"/>
      <c r="AG730" s="23"/>
      <c r="AH730" s="23"/>
      <c r="AI730" s="23"/>
      <c r="AN730" s="23"/>
      <c r="AO730" s="23"/>
      <c r="AP730" s="23"/>
      <c r="AQ730" s="23"/>
      <c r="AR730" s="35"/>
      <c r="AS730" s="35"/>
      <c r="AT730" s="35"/>
      <c r="AU730" s="31"/>
    </row>
    <row r="731" spans="4:47">
      <c r="D731" s="31"/>
      <c r="E731" s="31"/>
      <c r="F731" s="31"/>
      <c r="G731" s="31"/>
      <c r="H731" s="32"/>
      <c r="J731" s="33"/>
      <c r="K731" s="33"/>
      <c r="L731" s="33"/>
      <c r="X731" s="23"/>
      <c r="Y731" s="23"/>
      <c r="Z731" s="23"/>
      <c r="AA731" s="23"/>
      <c r="AF731" s="23"/>
      <c r="AG731" s="23"/>
      <c r="AH731" s="23"/>
      <c r="AI731" s="23"/>
      <c r="AN731" s="23"/>
      <c r="AO731" s="23"/>
      <c r="AP731" s="23"/>
      <c r="AQ731" s="23"/>
      <c r="AR731" s="35"/>
      <c r="AS731" s="35"/>
      <c r="AT731" s="35"/>
      <c r="AU731" s="31"/>
    </row>
    <row r="732" spans="4:47">
      <c r="D732" s="31"/>
      <c r="E732" s="31"/>
      <c r="F732" s="31"/>
      <c r="G732" s="31"/>
      <c r="H732" s="32"/>
      <c r="J732" s="33"/>
      <c r="K732" s="33"/>
      <c r="L732" s="33"/>
      <c r="X732" s="23"/>
      <c r="Y732" s="23"/>
      <c r="Z732" s="23"/>
      <c r="AA732" s="23"/>
      <c r="AF732" s="23"/>
      <c r="AG732" s="23"/>
      <c r="AH732" s="23"/>
      <c r="AI732" s="23"/>
      <c r="AN732" s="23"/>
      <c r="AO732" s="23"/>
      <c r="AP732" s="23"/>
      <c r="AQ732" s="23"/>
      <c r="AR732" s="35"/>
      <c r="AS732" s="35"/>
      <c r="AT732" s="35"/>
      <c r="AU732" s="31"/>
    </row>
    <row r="733" spans="4:47">
      <c r="D733" s="31"/>
      <c r="E733" s="31"/>
      <c r="F733" s="31"/>
      <c r="G733" s="31"/>
      <c r="H733" s="32"/>
      <c r="J733" s="33"/>
      <c r="K733" s="33"/>
      <c r="L733" s="33"/>
      <c r="X733" s="23"/>
      <c r="Y733" s="23"/>
      <c r="Z733" s="23"/>
      <c r="AA733" s="23"/>
      <c r="AF733" s="23"/>
      <c r="AG733" s="23"/>
      <c r="AH733" s="23"/>
      <c r="AI733" s="23"/>
      <c r="AN733" s="23"/>
      <c r="AO733" s="23"/>
      <c r="AP733" s="23"/>
      <c r="AQ733" s="23"/>
      <c r="AR733" s="35"/>
      <c r="AS733" s="35"/>
      <c r="AT733" s="35"/>
      <c r="AU733" s="31"/>
    </row>
    <row r="734" spans="4:47">
      <c r="D734" s="31"/>
      <c r="E734" s="31"/>
      <c r="F734" s="31"/>
      <c r="G734" s="31"/>
      <c r="H734" s="32"/>
      <c r="J734" s="33"/>
      <c r="K734" s="33"/>
      <c r="L734" s="33"/>
      <c r="X734" s="23"/>
      <c r="Y734" s="23"/>
      <c r="Z734" s="23"/>
      <c r="AA734" s="23"/>
      <c r="AF734" s="23"/>
      <c r="AG734" s="23"/>
      <c r="AH734" s="23"/>
      <c r="AI734" s="23"/>
      <c r="AN734" s="23"/>
      <c r="AO734" s="23"/>
      <c r="AP734" s="23"/>
      <c r="AQ734" s="23"/>
      <c r="AR734" s="35"/>
      <c r="AS734" s="35"/>
      <c r="AT734" s="35"/>
      <c r="AU734" s="31"/>
    </row>
    <row r="735" spans="4:47">
      <c r="D735" s="31"/>
      <c r="E735" s="31"/>
      <c r="F735" s="31"/>
      <c r="G735" s="31"/>
      <c r="H735" s="32"/>
      <c r="J735" s="33"/>
      <c r="K735" s="33"/>
      <c r="L735" s="33"/>
      <c r="X735" s="23"/>
      <c r="Y735" s="23"/>
      <c r="Z735" s="23"/>
      <c r="AA735" s="23"/>
      <c r="AF735" s="23"/>
      <c r="AG735" s="23"/>
      <c r="AH735" s="23"/>
      <c r="AI735" s="23"/>
      <c r="AN735" s="23"/>
      <c r="AO735" s="23"/>
      <c r="AP735" s="23"/>
      <c r="AQ735" s="23"/>
      <c r="AR735" s="35"/>
      <c r="AS735" s="35"/>
      <c r="AT735" s="35"/>
      <c r="AU735" s="31"/>
    </row>
    <row r="736" spans="4:47">
      <c r="D736" s="31"/>
      <c r="E736" s="31"/>
      <c r="F736" s="31"/>
      <c r="G736" s="31"/>
      <c r="H736" s="32"/>
      <c r="J736" s="33"/>
      <c r="K736" s="33"/>
      <c r="L736" s="33"/>
      <c r="X736" s="23"/>
      <c r="Y736" s="23"/>
      <c r="Z736" s="23"/>
      <c r="AA736" s="23"/>
      <c r="AF736" s="23"/>
      <c r="AG736" s="23"/>
      <c r="AH736" s="23"/>
      <c r="AI736" s="23"/>
      <c r="AN736" s="23"/>
      <c r="AO736" s="23"/>
      <c r="AP736" s="23"/>
      <c r="AQ736" s="23"/>
      <c r="AR736" s="35"/>
      <c r="AS736" s="35"/>
      <c r="AT736" s="35"/>
      <c r="AU736" s="31"/>
    </row>
    <row r="737" spans="4:47">
      <c r="D737" s="31"/>
      <c r="E737" s="31"/>
      <c r="F737" s="31"/>
      <c r="G737" s="31"/>
      <c r="H737" s="32"/>
      <c r="J737" s="33"/>
      <c r="K737" s="33"/>
      <c r="L737" s="33"/>
      <c r="X737" s="23"/>
      <c r="Y737" s="23"/>
      <c r="Z737" s="23"/>
      <c r="AA737" s="23"/>
      <c r="AF737" s="23"/>
      <c r="AG737" s="23"/>
      <c r="AH737" s="23"/>
      <c r="AI737" s="23"/>
      <c r="AN737" s="23"/>
      <c r="AO737" s="23"/>
      <c r="AP737" s="23"/>
      <c r="AQ737" s="23"/>
      <c r="AR737" s="35"/>
      <c r="AS737" s="35"/>
      <c r="AT737" s="35"/>
      <c r="AU737" s="31"/>
    </row>
    <row r="738" spans="4:47">
      <c r="D738" s="31"/>
      <c r="E738" s="31"/>
      <c r="F738" s="31"/>
      <c r="G738" s="31"/>
      <c r="H738" s="32"/>
      <c r="J738" s="33"/>
      <c r="K738" s="33"/>
      <c r="L738" s="33"/>
      <c r="X738" s="23"/>
      <c r="Y738" s="23"/>
      <c r="Z738" s="23"/>
      <c r="AA738" s="23"/>
      <c r="AF738" s="23"/>
      <c r="AG738" s="23"/>
      <c r="AH738" s="23"/>
      <c r="AI738" s="23"/>
      <c r="AN738" s="23"/>
      <c r="AO738" s="23"/>
      <c r="AP738" s="23"/>
      <c r="AQ738" s="23"/>
      <c r="AR738" s="35"/>
      <c r="AS738" s="35"/>
      <c r="AT738" s="35"/>
      <c r="AU738" s="31"/>
    </row>
    <row r="739" spans="4:47">
      <c r="D739" s="31"/>
      <c r="E739" s="31"/>
      <c r="F739" s="31"/>
      <c r="G739" s="31"/>
      <c r="H739" s="32"/>
      <c r="J739" s="33"/>
      <c r="K739" s="33"/>
      <c r="L739" s="33"/>
      <c r="X739" s="23"/>
      <c r="Y739" s="23"/>
      <c r="Z739" s="23"/>
      <c r="AA739" s="23"/>
      <c r="AF739" s="23"/>
      <c r="AG739" s="23"/>
      <c r="AH739" s="23"/>
      <c r="AI739" s="23"/>
      <c r="AN739" s="23"/>
      <c r="AO739" s="23"/>
      <c r="AP739" s="23"/>
      <c r="AQ739" s="23"/>
      <c r="AR739" s="35"/>
      <c r="AS739" s="35"/>
      <c r="AT739" s="35"/>
      <c r="AU739" s="31"/>
    </row>
    <row r="740" spans="4:47">
      <c r="D740" s="31"/>
      <c r="E740" s="31"/>
      <c r="F740" s="31"/>
      <c r="G740" s="31"/>
      <c r="H740" s="32"/>
      <c r="J740" s="33"/>
      <c r="K740" s="33"/>
      <c r="L740" s="33"/>
      <c r="X740" s="23"/>
      <c r="Y740" s="23"/>
      <c r="Z740" s="23"/>
      <c r="AA740" s="23"/>
      <c r="AF740" s="23"/>
      <c r="AG740" s="23"/>
      <c r="AH740" s="23"/>
      <c r="AI740" s="23"/>
      <c r="AN740" s="23"/>
      <c r="AO740" s="23"/>
      <c r="AP740" s="23"/>
      <c r="AQ740" s="23"/>
      <c r="AR740" s="35"/>
      <c r="AS740" s="35"/>
      <c r="AT740" s="35"/>
      <c r="AU740" s="31"/>
    </row>
    <row r="741" spans="4:47">
      <c r="D741" s="31"/>
      <c r="E741" s="31"/>
      <c r="F741" s="31"/>
      <c r="G741" s="31"/>
      <c r="H741" s="32"/>
      <c r="J741" s="33"/>
      <c r="K741" s="33"/>
      <c r="L741" s="33"/>
      <c r="X741" s="23"/>
      <c r="Y741" s="23"/>
      <c r="Z741" s="23"/>
      <c r="AA741" s="23"/>
      <c r="AF741" s="23"/>
      <c r="AG741" s="23"/>
      <c r="AH741" s="23"/>
      <c r="AI741" s="23"/>
      <c r="AN741" s="23"/>
      <c r="AO741" s="23"/>
      <c r="AP741" s="23"/>
      <c r="AQ741" s="23"/>
      <c r="AR741" s="35"/>
      <c r="AS741" s="35"/>
      <c r="AT741" s="35"/>
      <c r="AU741" s="31"/>
    </row>
    <row r="742" spans="4:47">
      <c r="D742" s="31"/>
      <c r="E742" s="31"/>
      <c r="F742" s="31"/>
      <c r="G742" s="31"/>
      <c r="H742" s="32"/>
      <c r="J742" s="33"/>
      <c r="K742" s="33"/>
      <c r="L742" s="33"/>
      <c r="X742" s="23"/>
      <c r="Y742" s="23"/>
      <c r="Z742" s="23"/>
      <c r="AA742" s="23"/>
      <c r="AF742" s="23"/>
      <c r="AG742" s="23"/>
      <c r="AH742" s="23"/>
      <c r="AI742" s="23"/>
      <c r="AN742" s="23"/>
      <c r="AO742" s="23"/>
      <c r="AP742" s="23"/>
      <c r="AQ742" s="23"/>
      <c r="AR742" s="35"/>
      <c r="AS742" s="35"/>
      <c r="AT742" s="35"/>
      <c r="AU742" s="31"/>
    </row>
    <row r="743" spans="4:47">
      <c r="D743" s="31"/>
      <c r="E743" s="31"/>
      <c r="F743" s="31"/>
      <c r="G743" s="31"/>
      <c r="H743" s="32"/>
      <c r="J743" s="33"/>
      <c r="K743" s="33"/>
      <c r="L743" s="33"/>
      <c r="X743" s="23"/>
      <c r="Y743" s="23"/>
      <c r="Z743" s="23"/>
      <c r="AA743" s="23"/>
      <c r="AF743" s="23"/>
      <c r="AG743" s="23"/>
      <c r="AH743" s="23"/>
      <c r="AI743" s="23"/>
      <c r="AN743" s="23"/>
      <c r="AO743" s="23"/>
      <c r="AP743" s="23"/>
      <c r="AQ743" s="23"/>
      <c r="AR743" s="35"/>
      <c r="AS743" s="35"/>
      <c r="AT743" s="35"/>
      <c r="AU743" s="31"/>
    </row>
    <row r="744" spans="4:47">
      <c r="D744" s="31"/>
      <c r="E744" s="31"/>
      <c r="F744" s="31"/>
      <c r="G744" s="31"/>
      <c r="H744" s="32"/>
      <c r="J744" s="33"/>
      <c r="K744" s="33"/>
      <c r="L744" s="33"/>
      <c r="X744" s="23"/>
      <c r="Y744" s="23"/>
      <c r="Z744" s="23"/>
      <c r="AA744" s="23"/>
      <c r="AF744" s="23"/>
      <c r="AG744" s="23"/>
      <c r="AH744" s="23"/>
      <c r="AI744" s="23"/>
      <c r="AN744" s="23"/>
      <c r="AO744" s="23"/>
      <c r="AP744" s="23"/>
      <c r="AQ744" s="23"/>
      <c r="AR744" s="35"/>
      <c r="AS744" s="35"/>
      <c r="AT744" s="35"/>
      <c r="AU744" s="31"/>
    </row>
    <row r="745" spans="4:47">
      <c r="D745" s="31"/>
      <c r="E745" s="31"/>
      <c r="F745" s="31"/>
      <c r="G745" s="31"/>
      <c r="H745" s="32"/>
      <c r="J745" s="33"/>
      <c r="K745" s="33"/>
      <c r="L745" s="33"/>
      <c r="X745" s="23"/>
      <c r="Y745" s="23"/>
      <c r="Z745" s="23"/>
      <c r="AA745" s="23"/>
      <c r="AF745" s="23"/>
      <c r="AG745" s="23"/>
      <c r="AH745" s="23"/>
      <c r="AI745" s="23"/>
      <c r="AN745" s="23"/>
      <c r="AO745" s="23"/>
      <c r="AP745" s="23"/>
      <c r="AQ745" s="23"/>
      <c r="AR745" s="35"/>
      <c r="AS745" s="35"/>
      <c r="AT745" s="35"/>
      <c r="AU745" s="31"/>
    </row>
    <row r="746" spans="4:47">
      <c r="D746" s="31"/>
      <c r="E746" s="31"/>
      <c r="F746" s="31"/>
      <c r="G746" s="31"/>
      <c r="H746" s="32"/>
      <c r="J746" s="33"/>
      <c r="K746" s="33"/>
      <c r="L746" s="33"/>
      <c r="X746" s="23"/>
      <c r="Y746" s="23"/>
      <c r="Z746" s="23"/>
      <c r="AA746" s="23"/>
      <c r="AF746" s="23"/>
      <c r="AG746" s="23"/>
      <c r="AH746" s="23"/>
      <c r="AI746" s="23"/>
      <c r="AN746" s="23"/>
      <c r="AO746" s="23"/>
      <c r="AP746" s="23"/>
      <c r="AQ746" s="23"/>
      <c r="AR746" s="35"/>
      <c r="AS746" s="35"/>
      <c r="AT746" s="35"/>
      <c r="AU746" s="31"/>
    </row>
    <row r="747" spans="4:47">
      <c r="D747" s="31"/>
      <c r="E747" s="31"/>
      <c r="F747" s="31"/>
      <c r="G747" s="31"/>
      <c r="H747" s="32"/>
      <c r="J747" s="33"/>
      <c r="K747" s="33"/>
      <c r="L747" s="33"/>
      <c r="X747" s="23"/>
      <c r="Y747" s="23"/>
      <c r="Z747" s="23"/>
      <c r="AA747" s="23"/>
      <c r="AF747" s="23"/>
      <c r="AG747" s="23"/>
      <c r="AH747" s="23"/>
      <c r="AI747" s="23"/>
      <c r="AN747" s="23"/>
      <c r="AO747" s="23"/>
      <c r="AP747" s="23"/>
      <c r="AQ747" s="23"/>
      <c r="AR747" s="35"/>
      <c r="AS747" s="35"/>
      <c r="AT747" s="35"/>
      <c r="AU747" s="31"/>
    </row>
    <row r="748" spans="4:47">
      <c r="D748" s="31"/>
      <c r="E748" s="31"/>
      <c r="F748" s="31"/>
      <c r="G748" s="31"/>
      <c r="H748" s="32"/>
      <c r="J748" s="33"/>
      <c r="K748" s="33"/>
      <c r="L748" s="33"/>
      <c r="X748" s="23"/>
      <c r="Y748" s="23"/>
      <c r="Z748" s="23"/>
      <c r="AA748" s="23"/>
      <c r="AF748" s="23"/>
      <c r="AG748" s="23"/>
      <c r="AH748" s="23"/>
      <c r="AI748" s="23"/>
      <c r="AN748" s="23"/>
      <c r="AO748" s="23"/>
      <c r="AP748" s="23"/>
      <c r="AQ748" s="23"/>
      <c r="AR748" s="35"/>
      <c r="AS748" s="35"/>
      <c r="AT748" s="35"/>
      <c r="AU748" s="31"/>
    </row>
    <row r="749" spans="4:47">
      <c r="D749" s="31"/>
      <c r="E749" s="31"/>
      <c r="F749" s="31"/>
      <c r="G749" s="31"/>
      <c r="H749" s="32"/>
      <c r="J749" s="33"/>
      <c r="K749" s="33"/>
      <c r="L749" s="33"/>
      <c r="X749" s="23"/>
      <c r="Y749" s="23"/>
      <c r="Z749" s="23"/>
      <c r="AA749" s="23"/>
      <c r="AF749" s="23"/>
      <c r="AG749" s="23"/>
      <c r="AH749" s="23"/>
      <c r="AI749" s="23"/>
      <c r="AN749" s="23"/>
      <c r="AO749" s="23"/>
      <c r="AP749" s="23"/>
      <c r="AQ749" s="23"/>
      <c r="AR749" s="35"/>
      <c r="AS749" s="35"/>
      <c r="AT749" s="35"/>
      <c r="AU749" s="31"/>
    </row>
    <row r="750" spans="4:47">
      <c r="D750" s="31"/>
      <c r="E750" s="31"/>
      <c r="F750" s="31"/>
      <c r="G750" s="31"/>
      <c r="H750" s="32"/>
      <c r="J750" s="33"/>
      <c r="K750" s="33"/>
      <c r="L750" s="33"/>
      <c r="X750" s="23"/>
      <c r="Y750" s="23"/>
      <c r="Z750" s="23"/>
      <c r="AA750" s="23"/>
      <c r="AF750" s="23"/>
      <c r="AG750" s="23"/>
      <c r="AH750" s="23"/>
      <c r="AI750" s="23"/>
      <c r="AN750" s="23"/>
      <c r="AO750" s="23"/>
      <c r="AP750" s="23"/>
      <c r="AQ750" s="23"/>
      <c r="AR750" s="35"/>
      <c r="AS750" s="35"/>
      <c r="AT750" s="35"/>
      <c r="AU750" s="31"/>
    </row>
    <row r="751" spans="4:47">
      <c r="D751" s="31"/>
      <c r="E751" s="31"/>
      <c r="F751" s="31"/>
      <c r="G751" s="31"/>
      <c r="H751" s="32"/>
      <c r="J751" s="33"/>
      <c r="K751" s="33"/>
      <c r="L751" s="33"/>
      <c r="X751" s="23"/>
      <c r="Y751" s="23"/>
      <c r="Z751" s="23"/>
      <c r="AA751" s="23"/>
      <c r="AF751" s="23"/>
      <c r="AG751" s="23"/>
      <c r="AH751" s="23"/>
      <c r="AI751" s="23"/>
      <c r="AN751" s="23"/>
      <c r="AO751" s="23"/>
      <c r="AP751" s="23"/>
      <c r="AQ751" s="23"/>
      <c r="AR751" s="35"/>
      <c r="AS751" s="35"/>
      <c r="AT751" s="35"/>
      <c r="AU751" s="31"/>
    </row>
    <row r="752" spans="4:47">
      <c r="D752" s="31"/>
      <c r="E752" s="31"/>
      <c r="F752" s="31"/>
      <c r="G752" s="31"/>
      <c r="H752" s="32"/>
      <c r="J752" s="33"/>
      <c r="K752" s="33"/>
      <c r="L752" s="33"/>
      <c r="X752" s="23"/>
      <c r="Y752" s="23"/>
      <c r="Z752" s="23"/>
      <c r="AA752" s="23"/>
      <c r="AF752" s="23"/>
      <c r="AG752" s="23"/>
      <c r="AH752" s="23"/>
      <c r="AI752" s="23"/>
      <c r="AN752" s="23"/>
      <c r="AO752" s="23"/>
      <c r="AP752" s="23"/>
      <c r="AQ752" s="23"/>
      <c r="AR752" s="35"/>
      <c r="AS752" s="35"/>
      <c r="AT752" s="35"/>
      <c r="AU752" s="31"/>
    </row>
    <row r="753" spans="4:47">
      <c r="D753" s="31"/>
      <c r="E753" s="31"/>
      <c r="F753" s="31"/>
      <c r="G753" s="31"/>
      <c r="H753" s="32"/>
      <c r="J753" s="33"/>
      <c r="K753" s="33"/>
      <c r="L753" s="33"/>
      <c r="X753" s="23"/>
      <c r="Y753" s="23"/>
      <c r="Z753" s="23"/>
      <c r="AA753" s="23"/>
      <c r="AF753" s="23"/>
      <c r="AG753" s="23"/>
      <c r="AH753" s="23"/>
      <c r="AI753" s="23"/>
      <c r="AN753" s="23"/>
      <c r="AO753" s="23"/>
      <c r="AP753" s="23"/>
      <c r="AQ753" s="23"/>
      <c r="AR753" s="35"/>
      <c r="AS753" s="35"/>
      <c r="AT753" s="35"/>
      <c r="AU753" s="31"/>
    </row>
    <row r="754" spans="4:47">
      <c r="D754" s="31"/>
      <c r="E754" s="31"/>
      <c r="F754" s="31"/>
      <c r="G754" s="31"/>
      <c r="H754" s="32"/>
      <c r="J754" s="33"/>
      <c r="K754" s="33"/>
      <c r="L754" s="33"/>
      <c r="X754" s="23"/>
      <c r="Y754" s="23"/>
      <c r="Z754" s="23"/>
      <c r="AA754" s="23"/>
      <c r="AF754" s="23"/>
      <c r="AG754" s="23"/>
      <c r="AH754" s="23"/>
      <c r="AI754" s="23"/>
      <c r="AN754" s="23"/>
      <c r="AO754" s="23"/>
      <c r="AP754" s="23"/>
      <c r="AQ754" s="23"/>
      <c r="AR754" s="35"/>
      <c r="AS754" s="35"/>
      <c r="AT754" s="35"/>
      <c r="AU754" s="31"/>
    </row>
    <row r="755" spans="4:47">
      <c r="D755" s="31"/>
      <c r="E755" s="31"/>
      <c r="F755" s="31"/>
      <c r="G755" s="31"/>
      <c r="H755" s="32"/>
      <c r="J755" s="33"/>
      <c r="K755" s="33"/>
      <c r="L755" s="33"/>
      <c r="X755" s="23"/>
      <c r="Y755" s="23"/>
      <c r="Z755" s="23"/>
      <c r="AA755" s="23"/>
      <c r="AF755" s="23"/>
      <c r="AG755" s="23"/>
      <c r="AH755" s="23"/>
      <c r="AI755" s="23"/>
      <c r="AN755" s="23"/>
      <c r="AO755" s="23"/>
      <c r="AP755" s="23"/>
      <c r="AQ755" s="23"/>
      <c r="AR755" s="35"/>
      <c r="AS755" s="35"/>
      <c r="AT755" s="35"/>
      <c r="AU755" s="31"/>
    </row>
    <row r="756" spans="4:47">
      <c r="D756" s="31"/>
      <c r="E756" s="31"/>
      <c r="F756" s="31"/>
      <c r="G756" s="31"/>
      <c r="H756" s="32"/>
      <c r="J756" s="33"/>
      <c r="K756" s="33"/>
      <c r="L756" s="33"/>
      <c r="X756" s="23"/>
      <c r="Y756" s="23"/>
      <c r="Z756" s="23"/>
      <c r="AA756" s="23"/>
      <c r="AF756" s="23"/>
      <c r="AG756" s="23"/>
      <c r="AH756" s="23"/>
      <c r="AI756" s="23"/>
      <c r="AN756" s="23"/>
      <c r="AO756" s="23"/>
      <c r="AP756" s="23"/>
      <c r="AQ756" s="23"/>
      <c r="AR756" s="35"/>
      <c r="AS756" s="35"/>
      <c r="AT756" s="35"/>
      <c r="AU756" s="31"/>
    </row>
    <row r="757" spans="4:47">
      <c r="D757" s="31"/>
      <c r="E757" s="31"/>
      <c r="F757" s="31"/>
      <c r="G757" s="31"/>
      <c r="H757" s="32"/>
      <c r="J757" s="33"/>
      <c r="K757" s="33"/>
      <c r="L757" s="33"/>
      <c r="X757" s="23"/>
      <c r="Y757" s="23"/>
      <c r="Z757" s="23"/>
      <c r="AA757" s="23"/>
      <c r="AF757" s="23"/>
      <c r="AG757" s="23"/>
      <c r="AH757" s="23"/>
      <c r="AI757" s="23"/>
      <c r="AN757" s="23"/>
      <c r="AO757" s="23"/>
      <c r="AP757" s="23"/>
      <c r="AQ757" s="23"/>
      <c r="AR757" s="35"/>
      <c r="AS757" s="35"/>
      <c r="AT757" s="35"/>
      <c r="AU757" s="31"/>
    </row>
    <row r="758" spans="4:47">
      <c r="D758" s="31"/>
      <c r="E758" s="31"/>
      <c r="F758" s="31"/>
      <c r="G758" s="31"/>
      <c r="H758" s="32"/>
      <c r="J758" s="33"/>
      <c r="K758" s="33"/>
      <c r="L758" s="33"/>
      <c r="X758" s="23"/>
      <c r="Y758" s="23"/>
      <c r="Z758" s="23"/>
      <c r="AA758" s="23"/>
      <c r="AF758" s="23"/>
      <c r="AG758" s="23"/>
      <c r="AH758" s="23"/>
      <c r="AI758" s="23"/>
      <c r="AN758" s="23"/>
      <c r="AO758" s="23"/>
      <c r="AP758" s="23"/>
      <c r="AQ758" s="23"/>
      <c r="AR758" s="35"/>
      <c r="AS758" s="35"/>
      <c r="AT758" s="35"/>
      <c r="AU758" s="31"/>
    </row>
    <row r="759" spans="4:47">
      <c r="D759" s="31"/>
      <c r="E759" s="31"/>
      <c r="F759" s="31"/>
      <c r="G759" s="31"/>
      <c r="H759" s="32"/>
      <c r="J759" s="33"/>
      <c r="K759" s="33"/>
      <c r="L759" s="33"/>
      <c r="X759" s="23"/>
      <c r="Y759" s="23"/>
      <c r="Z759" s="23"/>
      <c r="AA759" s="23"/>
      <c r="AF759" s="23"/>
      <c r="AG759" s="23"/>
      <c r="AH759" s="23"/>
      <c r="AI759" s="23"/>
      <c r="AN759" s="23"/>
      <c r="AO759" s="23"/>
      <c r="AP759" s="23"/>
      <c r="AQ759" s="23"/>
      <c r="AR759" s="35"/>
      <c r="AS759" s="35"/>
      <c r="AT759" s="35"/>
      <c r="AU759" s="31"/>
    </row>
    <row r="760" spans="4:47">
      <c r="D760" s="31"/>
      <c r="E760" s="31"/>
      <c r="F760" s="31"/>
      <c r="G760" s="31"/>
      <c r="H760" s="32"/>
      <c r="J760" s="33"/>
      <c r="K760" s="33"/>
      <c r="L760" s="33"/>
      <c r="X760" s="23"/>
      <c r="Y760" s="23"/>
      <c r="Z760" s="23"/>
      <c r="AA760" s="23"/>
      <c r="AF760" s="23"/>
      <c r="AG760" s="23"/>
      <c r="AH760" s="23"/>
      <c r="AI760" s="23"/>
      <c r="AN760" s="23"/>
      <c r="AO760" s="23"/>
      <c r="AP760" s="23"/>
      <c r="AQ760" s="23"/>
      <c r="AR760" s="35"/>
      <c r="AS760" s="35"/>
      <c r="AT760" s="35"/>
      <c r="AU760" s="31"/>
    </row>
    <row r="761" spans="4:47">
      <c r="D761" s="31"/>
      <c r="E761" s="31"/>
      <c r="F761" s="31"/>
      <c r="G761" s="31"/>
      <c r="H761" s="32"/>
      <c r="J761" s="33"/>
      <c r="K761" s="33"/>
      <c r="L761" s="33"/>
      <c r="X761" s="23"/>
      <c r="Y761" s="23"/>
      <c r="Z761" s="23"/>
      <c r="AA761" s="23"/>
      <c r="AF761" s="23"/>
      <c r="AG761" s="23"/>
      <c r="AH761" s="23"/>
      <c r="AI761" s="23"/>
      <c r="AN761" s="23"/>
      <c r="AO761" s="23"/>
      <c r="AP761" s="23"/>
      <c r="AQ761" s="23"/>
      <c r="AR761" s="35"/>
      <c r="AS761" s="35"/>
      <c r="AT761" s="35"/>
      <c r="AU761" s="31"/>
    </row>
    <row r="762" spans="4:47">
      <c r="D762" s="31"/>
      <c r="E762" s="31"/>
      <c r="F762" s="31"/>
      <c r="G762" s="31"/>
      <c r="H762" s="32"/>
      <c r="J762" s="33"/>
      <c r="K762" s="33"/>
      <c r="L762" s="33"/>
      <c r="X762" s="23"/>
      <c r="Y762" s="23"/>
      <c r="Z762" s="23"/>
      <c r="AA762" s="23"/>
      <c r="AF762" s="23"/>
      <c r="AG762" s="23"/>
      <c r="AH762" s="23"/>
      <c r="AI762" s="23"/>
      <c r="AN762" s="23"/>
      <c r="AO762" s="23"/>
      <c r="AP762" s="23"/>
      <c r="AQ762" s="23"/>
      <c r="AR762" s="35"/>
      <c r="AS762" s="35"/>
      <c r="AT762" s="35"/>
      <c r="AU762" s="31"/>
    </row>
    <row r="763" spans="4:47">
      <c r="D763" s="31"/>
      <c r="E763" s="31"/>
      <c r="F763" s="31"/>
      <c r="G763" s="31"/>
      <c r="H763" s="32"/>
      <c r="J763" s="33"/>
      <c r="K763" s="33"/>
      <c r="L763" s="33"/>
      <c r="X763" s="23"/>
      <c r="Y763" s="23"/>
      <c r="Z763" s="23"/>
      <c r="AA763" s="23"/>
      <c r="AF763" s="23"/>
      <c r="AG763" s="23"/>
      <c r="AH763" s="23"/>
      <c r="AI763" s="23"/>
      <c r="AN763" s="23"/>
      <c r="AO763" s="23"/>
      <c r="AP763" s="23"/>
      <c r="AQ763" s="23"/>
      <c r="AR763" s="35"/>
      <c r="AS763" s="35"/>
      <c r="AT763" s="35"/>
      <c r="AU763" s="31"/>
    </row>
    <row r="764" spans="4:47">
      <c r="D764" s="31"/>
      <c r="E764" s="31"/>
      <c r="F764" s="31"/>
      <c r="G764" s="31"/>
      <c r="H764" s="32"/>
      <c r="J764" s="33"/>
      <c r="K764" s="33"/>
      <c r="L764" s="33"/>
      <c r="X764" s="23"/>
      <c r="Y764" s="23"/>
      <c r="Z764" s="23"/>
      <c r="AA764" s="23"/>
      <c r="AF764" s="23"/>
      <c r="AG764" s="23"/>
      <c r="AH764" s="23"/>
      <c r="AI764" s="23"/>
      <c r="AN764" s="23"/>
      <c r="AO764" s="23"/>
      <c r="AP764" s="23"/>
      <c r="AQ764" s="23"/>
      <c r="AR764" s="35"/>
      <c r="AS764" s="35"/>
      <c r="AT764" s="35"/>
      <c r="AU764" s="31"/>
    </row>
    <row r="765" spans="4:47">
      <c r="D765" s="31"/>
      <c r="E765" s="31"/>
      <c r="F765" s="31"/>
      <c r="G765" s="31"/>
      <c r="H765" s="32"/>
      <c r="J765" s="33"/>
      <c r="K765" s="33"/>
      <c r="L765" s="33"/>
      <c r="X765" s="23"/>
      <c r="Y765" s="23"/>
      <c r="Z765" s="23"/>
      <c r="AA765" s="23"/>
      <c r="AF765" s="23"/>
      <c r="AG765" s="23"/>
      <c r="AH765" s="23"/>
      <c r="AI765" s="23"/>
      <c r="AN765" s="23"/>
      <c r="AO765" s="23"/>
      <c r="AP765" s="23"/>
      <c r="AQ765" s="23"/>
      <c r="AR765" s="35"/>
      <c r="AS765" s="35"/>
      <c r="AT765" s="35"/>
      <c r="AU765" s="31"/>
    </row>
    <row r="766" spans="4:47">
      <c r="D766" s="31"/>
      <c r="E766" s="31"/>
      <c r="F766" s="31"/>
      <c r="G766" s="31"/>
      <c r="H766" s="32"/>
      <c r="J766" s="33"/>
      <c r="K766" s="33"/>
      <c r="L766" s="33"/>
      <c r="X766" s="23"/>
      <c r="Y766" s="23"/>
      <c r="Z766" s="23"/>
      <c r="AA766" s="23"/>
      <c r="AF766" s="23"/>
      <c r="AG766" s="23"/>
      <c r="AH766" s="23"/>
      <c r="AI766" s="23"/>
      <c r="AN766" s="23"/>
      <c r="AO766" s="23"/>
      <c r="AP766" s="23"/>
      <c r="AQ766" s="23"/>
      <c r="AR766" s="35"/>
      <c r="AS766" s="35"/>
      <c r="AT766" s="35"/>
      <c r="AU766" s="31"/>
    </row>
    <row r="767" spans="4:47">
      <c r="D767" s="31"/>
      <c r="E767" s="31"/>
      <c r="F767" s="31"/>
      <c r="G767" s="31"/>
      <c r="H767" s="32"/>
      <c r="J767" s="33"/>
      <c r="K767" s="33"/>
      <c r="L767" s="33"/>
      <c r="X767" s="23"/>
      <c r="Y767" s="23"/>
      <c r="Z767" s="23"/>
      <c r="AA767" s="23"/>
      <c r="AF767" s="23"/>
      <c r="AG767" s="23"/>
      <c r="AH767" s="23"/>
      <c r="AI767" s="23"/>
      <c r="AN767" s="23"/>
      <c r="AO767" s="23"/>
      <c r="AP767" s="23"/>
      <c r="AQ767" s="23"/>
      <c r="AR767" s="35"/>
      <c r="AS767" s="35"/>
      <c r="AT767" s="35"/>
      <c r="AU767" s="31"/>
    </row>
    <row r="768" spans="4:47">
      <c r="D768" s="31"/>
      <c r="E768" s="31"/>
      <c r="F768" s="31"/>
      <c r="G768" s="31"/>
      <c r="H768" s="32"/>
      <c r="J768" s="33"/>
      <c r="K768" s="33"/>
      <c r="L768" s="33"/>
      <c r="X768" s="23"/>
      <c r="Y768" s="23"/>
      <c r="Z768" s="23"/>
      <c r="AA768" s="23"/>
      <c r="AF768" s="23"/>
      <c r="AG768" s="23"/>
      <c r="AH768" s="23"/>
      <c r="AI768" s="23"/>
      <c r="AN768" s="23"/>
      <c r="AO768" s="23"/>
      <c r="AP768" s="23"/>
      <c r="AQ768" s="23"/>
      <c r="AR768" s="35"/>
      <c r="AS768" s="35"/>
      <c r="AT768" s="35"/>
      <c r="AU768" s="31"/>
    </row>
    <row r="769" spans="4:47">
      <c r="D769" s="31"/>
      <c r="E769" s="31"/>
      <c r="F769" s="31"/>
      <c r="G769" s="31"/>
      <c r="H769" s="32"/>
      <c r="J769" s="33"/>
      <c r="K769" s="33"/>
      <c r="L769" s="33"/>
      <c r="X769" s="23"/>
      <c r="Y769" s="23"/>
      <c r="Z769" s="23"/>
      <c r="AA769" s="23"/>
      <c r="AF769" s="23"/>
      <c r="AG769" s="23"/>
      <c r="AH769" s="23"/>
      <c r="AI769" s="23"/>
      <c r="AN769" s="23"/>
      <c r="AO769" s="23"/>
      <c r="AP769" s="23"/>
      <c r="AQ769" s="23"/>
      <c r="AR769" s="35"/>
      <c r="AS769" s="35"/>
      <c r="AT769" s="35"/>
      <c r="AU769" s="31"/>
    </row>
    <row r="770" spans="4:47">
      <c r="D770" s="31"/>
      <c r="E770" s="31"/>
      <c r="F770" s="31"/>
      <c r="G770" s="31"/>
      <c r="H770" s="32"/>
      <c r="J770" s="33"/>
      <c r="K770" s="33"/>
      <c r="L770" s="33"/>
      <c r="X770" s="23"/>
      <c r="Y770" s="23"/>
      <c r="Z770" s="23"/>
      <c r="AA770" s="23"/>
      <c r="AF770" s="23"/>
      <c r="AG770" s="23"/>
      <c r="AH770" s="23"/>
      <c r="AI770" s="23"/>
      <c r="AN770" s="23"/>
      <c r="AO770" s="23"/>
      <c r="AP770" s="23"/>
      <c r="AQ770" s="23"/>
      <c r="AR770" s="35"/>
      <c r="AS770" s="35"/>
      <c r="AT770" s="35"/>
      <c r="AU770" s="31"/>
    </row>
    <row r="771" spans="4:47">
      <c r="D771" s="31"/>
      <c r="E771" s="31"/>
      <c r="F771" s="31"/>
      <c r="G771" s="31"/>
      <c r="H771" s="32"/>
      <c r="J771" s="33"/>
      <c r="K771" s="33"/>
      <c r="L771" s="33"/>
      <c r="X771" s="23"/>
      <c r="Y771" s="23"/>
      <c r="Z771" s="23"/>
      <c r="AA771" s="23"/>
      <c r="AF771" s="23"/>
      <c r="AG771" s="23"/>
      <c r="AH771" s="23"/>
      <c r="AI771" s="23"/>
      <c r="AN771" s="23"/>
      <c r="AO771" s="23"/>
      <c r="AP771" s="23"/>
      <c r="AQ771" s="23"/>
      <c r="AR771" s="35"/>
      <c r="AS771" s="35"/>
      <c r="AT771" s="35"/>
      <c r="AU771" s="31"/>
    </row>
    <row r="772" spans="4:47">
      <c r="D772" s="31"/>
      <c r="E772" s="31"/>
      <c r="F772" s="31"/>
      <c r="G772" s="31"/>
      <c r="H772" s="32"/>
      <c r="J772" s="33"/>
      <c r="K772" s="33"/>
      <c r="L772" s="33"/>
      <c r="X772" s="23"/>
      <c r="Y772" s="23"/>
      <c r="Z772" s="23"/>
      <c r="AA772" s="23"/>
      <c r="AF772" s="23"/>
      <c r="AG772" s="23"/>
      <c r="AH772" s="23"/>
      <c r="AI772" s="23"/>
      <c r="AN772" s="23"/>
      <c r="AO772" s="23"/>
      <c r="AP772" s="23"/>
      <c r="AQ772" s="23"/>
      <c r="AR772" s="35"/>
      <c r="AS772" s="35"/>
      <c r="AT772" s="35"/>
      <c r="AU772" s="31"/>
    </row>
    <row r="773" spans="4:47">
      <c r="D773" s="31"/>
      <c r="E773" s="31"/>
      <c r="F773" s="31"/>
      <c r="G773" s="31"/>
      <c r="H773" s="32"/>
      <c r="J773" s="33"/>
      <c r="K773" s="33"/>
      <c r="L773" s="33"/>
      <c r="X773" s="23"/>
      <c r="Y773" s="23"/>
      <c r="Z773" s="23"/>
      <c r="AA773" s="23"/>
      <c r="AF773" s="23"/>
      <c r="AG773" s="23"/>
      <c r="AH773" s="23"/>
      <c r="AI773" s="23"/>
      <c r="AN773" s="23"/>
      <c r="AO773" s="23"/>
      <c r="AP773" s="23"/>
      <c r="AQ773" s="23"/>
      <c r="AR773" s="35"/>
      <c r="AS773" s="35"/>
      <c r="AT773" s="35"/>
      <c r="AU773" s="31"/>
    </row>
    <row r="774" spans="4:47">
      <c r="D774" s="31"/>
      <c r="E774" s="31"/>
      <c r="F774" s="31"/>
      <c r="G774" s="31"/>
      <c r="H774" s="32"/>
      <c r="J774" s="33"/>
      <c r="K774" s="33"/>
      <c r="L774" s="33"/>
      <c r="X774" s="23"/>
      <c r="Y774" s="23"/>
      <c r="Z774" s="23"/>
      <c r="AA774" s="23"/>
      <c r="AF774" s="23"/>
      <c r="AG774" s="23"/>
      <c r="AH774" s="23"/>
      <c r="AI774" s="23"/>
      <c r="AN774" s="23"/>
      <c r="AO774" s="23"/>
      <c r="AP774" s="23"/>
      <c r="AQ774" s="23"/>
      <c r="AR774" s="35"/>
      <c r="AS774" s="35"/>
      <c r="AT774" s="35"/>
      <c r="AU774" s="31"/>
    </row>
    <row r="775" spans="4:47">
      <c r="D775" s="31"/>
      <c r="E775" s="31"/>
      <c r="F775" s="31"/>
      <c r="G775" s="31"/>
      <c r="H775" s="32"/>
      <c r="J775" s="33"/>
      <c r="K775" s="33"/>
      <c r="L775" s="33"/>
      <c r="X775" s="23"/>
      <c r="Y775" s="23"/>
      <c r="Z775" s="23"/>
      <c r="AA775" s="23"/>
      <c r="AF775" s="23"/>
      <c r="AG775" s="23"/>
      <c r="AH775" s="23"/>
      <c r="AI775" s="23"/>
      <c r="AN775" s="23"/>
      <c r="AO775" s="23"/>
      <c r="AP775" s="23"/>
      <c r="AQ775" s="23"/>
      <c r="AR775" s="35"/>
      <c r="AS775" s="35"/>
      <c r="AT775" s="35"/>
      <c r="AU775" s="31"/>
    </row>
    <row r="776" spans="4:47">
      <c r="D776" s="31"/>
      <c r="E776" s="31"/>
      <c r="F776" s="31"/>
      <c r="G776" s="31"/>
      <c r="H776" s="32"/>
      <c r="J776" s="33"/>
      <c r="K776" s="33"/>
      <c r="L776" s="33"/>
      <c r="X776" s="23"/>
      <c r="Y776" s="23"/>
      <c r="Z776" s="23"/>
      <c r="AA776" s="23"/>
      <c r="AF776" s="23"/>
      <c r="AG776" s="23"/>
      <c r="AH776" s="23"/>
      <c r="AI776" s="23"/>
      <c r="AN776" s="23"/>
      <c r="AO776" s="23"/>
      <c r="AP776" s="23"/>
      <c r="AQ776" s="23"/>
      <c r="AR776" s="35"/>
      <c r="AS776" s="35"/>
      <c r="AT776" s="35"/>
      <c r="AU776" s="31"/>
    </row>
    <row r="777" spans="4:47">
      <c r="D777" s="31"/>
      <c r="E777" s="31"/>
      <c r="F777" s="31"/>
      <c r="G777" s="31"/>
      <c r="H777" s="32"/>
      <c r="J777" s="33"/>
      <c r="K777" s="33"/>
      <c r="L777" s="33"/>
      <c r="X777" s="23"/>
      <c r="Y777" s="23"/>
      <c r="Z777" s="23"/>
      <c r="AA777" s="23"/>
      <c r="AF777" s="23"/>
      <c r="AG777" s="23"/>
      <c r="AH777" s="23"/>
      <c r="AI777" s="23"/>
      <c r="AN777" s="23"/>
      <c r="AO777" s="23"/>
      <c r="AP777" s="23"/>
      <c r="AQ777" s="23"/>
      <c r="AR777" s="35"/>
      <c r="AS777" s="35"/>
      <c r="AT777" s="35"/>
      <c r="AU777" s="31"/>
    </row>
    <row r="778" spans="4:47">
      <c r="D778" s="31"/>
      <c r="E778" s="31"/>
      <c r="F778" s="31"/>
      <c r="G778" s="31"/>
      <c r="H778" s="32"/>
      <c r="J778" s="33"/>
      <c r="K778" s="33"/>
      <c r="L778" s="33"/>
      <c r="X778" s="23"/>
      <c r="Y778" s="23"/>
      <c r="Z778" s="23"/>
      <c r="AA778" s="23"/>
      <c r="AF778" s="23"/>
      <c r="AG778" s="23"/>
      <c r="AH778" s="23"/>
      <c r="AI778" s="23"/>
      <c r="AN778" s="23"/>
      <c r="AO778" s="23"/>
      <c r="AP778" s="23"/>
      <c r="AQ778" s="23"/>
      <c r="AR778" s="35"/>
      <c r="AS778" s="35"/>
      <c r="AT778" s="35"/>
      <c r="AU778" s="31"/>
    </row>
    <row r="779" spans="4:47">
      <c r="D779" s="31"/>
      <c r="E779" s="31"/>
      <c r="F779" s="31"/>
      <c r="G779" s="31"/>
      <c r="H779" s="32"/>
      <c r="J779" s="33"/>
      <c r="K779" s="33"/>
      <c r="L779" s="33"/>
      <c r="X779" s="23"/>
      <c r="Y779" s="23"/>
      <c r="Z779" s="23"/>
      <c r="AA779" s="23"/>
      <c r="AF779" s="23"/>
      <c r="AG779" s="23"/>
      <c r="AH779" s="23"/>
      <c r="AI779" s="23"/>
      <c r="AN779" s="23"/>
      <c r="AO779" s="23"/>
      <c r="AP779" s="23"/>
      <c r="AQ779" s="23"/>
      <c r="AR779" s="35"/>
      <c r="AS779" s="35"/>
      <c r="AT779" s="35"/>
      <c r="AU779" s="31"/>
    </row>
    <row r="780" spans="4:47">
      <c r="D780" s="31"/>
      <c r="E780" s="31"/>
      <c r="F780" s="31"/>
      <c r="G780" s="31"/>
      <c r="H780" s="32"/>
      <c r="J780" s="33"/>
      <c r="K780" s="33"/>
      <c r="L780" s="33"/>
      <c r="X780" s="23"/>
      <c r="Y780" s="23"/>
      <c r="Z780" s="23"/>
      <c r="AA780" s="23"/>
      <c r="AF780" s="23"/>
      <c r="AG780" s="23"/>
      <c r="AH780" s="23"/>
      <c r="AI780" s="23"/>
      <c r="AN780" s="23"/>
      <c r="AO780" s="23"/>
      <c r="AP780" s="23"/>
      <c r="AQ780" s="23"/>
      <c r="AR780" s="35"/>
      <c r="AS780" s="35"/>
      <c r="AT780" s="35"/>
      <c r="AU780" s="31"/>
    </row>
    <row r="781" spans="4:47">
      <c r="D781" s="31"/>
      <c r="E781" s="31"/>
      <c r="F781" s="31"/>
      <c r="G781" s="31"/>
      <c r="H781" s="32"/>
      <c r="J781" s="33"/>
      <c r="K781" s="33"/>
      <c r="L781" s="33"/>
      <c r="X781" s="23"/>
      <c r="Y781" s="23"/>
      <c r="Z781" s="23"/>
      <c r="AA781" s="23"/>
      <c r="AF781" s="23"/>
      <c r="AG781" s="23"/>
      <c r="AH781" s="23"/>
      <c r="AI781" s="23"/>
      <c r="AN781" s="23"/>
      <c r="AO781" s="23"/>
      <c r="AP781" s="23"/>
      <c r="AQ781" s="23"/>
      <c r="AR781" s="35"/>
      <c r="AS781" s="35"/>
      <c r="AT781" s="35"/>
      <c r="AU781" s="31"/>
    </row>
    <row r="782" spans="4:47">
      <c r="D782" s="31"/>
      <c r="E782" s="31"/>
      <c r="F782" s="31"/>
      <c r="G782" s="31"/>
      <c r="H782" s="32"/>
      <c r="J782" s="33"/>
      <c r="K782" s="33"/>
      <c r="L782" s="33"/>
      <c r="X782" s="23"/>
      <c r="Y782" s="23"/>
      <c r="Z782" s="23"/>
      <c r="AA782" s="23"/>
      <c r="AF782" s="23"/>
      <c r="AG782" s="23"/>
      <c r="AH782" s="23"/>
      <c r="AI782" s="23"/>
      <c r="AN782" s="23"/>
      <c r="AO782" s="23"/>
      <c r="AP782" s="23"/>
      <c r="AQ782" s="23"/>
      <c r="AR782" s="35"/>
      <c r="AS782" s="35"/>
      <c r="AT782" s="35"/>
      <c r="AU782" s="31"/>
    </row>
    <row r="783" spans="4:47">
      <c r="D783" s="31"/>
      <c r="E783" s="31"/>
      <c r="F783" s="31"/>
      <c r="G783" s="31"/>
      <c r="H783" s="32"/>
      <c r="J783" s="33"/>
      <c r="K783" s="33"/>
      <c r="L783" s="33"/>
      <c r="X783" s="23"/>
      <c r="Y783" s="23"/>
      <c r="Z783" s="23"/>
      <c r="AA783" s="23"/>
      <c r="AF783" s="23"/>
      <c r="AG783" s="23"/>
      <c r="AH783" s="23"/>
      <c r="AI783" s="23"/>
      <c r="AN783" s="23"/>
      <c r="AO783" s="23"/>
      <c r="AP783" s="23"/>
      <c r="AQ783" s="23"/>
      <c r="AR783" s="35"/>
      <c r="AS783" s="35"/>
      <c r="AT783" s="35"/>
      <c r="AU783" s="31"/>
    </row>
    <row r="784" spans="4:47">
      <c r="D784" s="31"/>
      <c r="E784" s="31"/>
      <c r="F784" s="31"/>
      <c r="G784" s="31"/>
      <c r="H784" s="32"/>
      <c r="J784" s="33"/>
      <c r="K784" s="33"/>
      <c r="L784" s="33"/>
      <c r="X784" s="23"/>
      <c r="Y784" s="23"/>
      <c r="Z784" s="23"/>
      <c r="AA784" s="23"/>
      <c r="AF784" s="23"/>
      <c r="AG784" s="23"/>
      <c r="AH784" s="23"/>
      <c r="AI784" s="23"/>
      <c r="AN784" s="23"/>
      <c r="AO784" s="23"/>
      <c r="AP784" s="23"/>
      <c r="AQ784" s="23"/>
      <c r="AR784" s="35"/>
      <c r="AS784" s="35"/>
      <c r="AT784" s="35"/>
      <c r="AU784" s="31"/>
    </row>
    <row r="785" spans="4:47">
      <c r="D785" s="31"/>
      <c r="E785" s="31"/>
      <c r="F785" s="31"/>
      <c r="G785" s="31"/>
      <c r="H785" s="32"/>
      <c r="J785" s="33"/>
      <c r="K785" s="33"/>
      <c r="L785" s="33"/>
      <c r="X785" s="23"/>
      <c r="Y785" s="23"/>
      <c r="Z785" s="23"/>
      <c r="AA785" s="23"/>
      <c r="AF785" s="23"/>
      <c r="AG785" s="23"/>
      <c r="AH785" s="23"/>
      <c r="AI785" s="23"/>
      <c r="AN785" s="23"/>
      <c r="AO785" s="23"/>
      <c r="AP785" s="23"/>
      <c r="AQ785" s="23"/>
      <c r="AR785" s="35"/>
      <c r="AS785" s="35"/>
      <c r="AT785" s="35"/>
      <c r="AU785" s="31"/>
    </row>
    <row r="786" spans="4:47">
      <c r="D786" s="31"/>
      <c r="E786" s="31"/>
      <c r="F786" s="31"/>
      <c r="G786" s="31"/>
      <c r="H786" s="32"/>
      <c r="J786" s="33"/>
      <c r="K786" s="33"/>
      <c r="L786" s="33"/>
      <c r="X786" s="23"/>
      <c r="Y786" s="23"/>
      <c r="Z786" s="23"/>
      <c r="AA786" s="23"/>
      <c r="AF786" s="23"/>
      <c r="AG786" s="23"/>
      <c r="AH786" s="23"/>
      <c r="AI786" s="23"/>
      <c r="AN786" s="23"/>
      <c r="AO786" s="23"/>
      <c r="AP786" s="23"/>
      <c r="AQ786" s="23"/>
      <c r="AR786" s="35"/>
      <c r="AS786" s="35"/>
      <c r="AT786" s="35"/>
      <c r="AU786" s="31"/>
    </row>
    <row r="787" spans="4:47">
      <c r="D787" s="31"/>
      <c r="E787" s="31"/>
      <c r="F787" s="31"/>
      <c r="G787" s="31"/>
      <c r="H787" s="32"/>
      <c r="J787" s="33"/>
      <c r="K787" s="33"/>
      <c r="L787" s="33"/>
      <c r="X787" s="23"/>
      <c r="Y787" s="23"/>
      <c r="Z787" s="23"/>
      <c r="AA787" s="23"/>
      <c r="AF787" s="23"/>
      <c r="AG787" s="23"/>
      <c r="AH787" s="23"/>
      <c r="AI787" s="23"/>
      <c r="AN787" s="23"/>
      <c r="AO787" s="23"/>
      <c r="AP787" s="23"/>
      <c r="AQ787" s="23"/>
      <c r="AR787" s="35"/>
      <c r="AS787" s="35"/>
      <c r="AT787" s="35"/>
      <c r="AU787" s="31"/>
    </row>
    <row r="788" spans="4:47">
      <c r="D788" s="31"/>
      <c r="E788" s="31"/>
      <c r="F788" s="31"/>
      <c r="G788" s="31"/>
      <c r="H788" s="32"/>
      <c r="J788" s="33"/>
      <c r="K788" s="33"/>
      <c r="L788" s="33"/>
      <c r="X788" s="23"/>
      <c r="Y788" s="23"/>
      <c r="Z788" s="23"/>
      <c r="AA788" s="23"/>
      <c r="AF788" s="23"/>
      <c r="AG788" s="23"/>
      <c r="AH788" s="23"/>
      <c r="AI788" s="23"/>
      <c r="AN788" s="23"/>
      <c r="AO788" s="23"/>
      <c r="AP788" s="23"/>
      <c r="AQ788" s="23"/>
      <c r="AR788" s="35"/>
      <c r="AS788" s="35"/>
      <c r="AT788" s="35"/>
      <c r="AU788" s="31"/>
    </row>
    <row r="789" spans="4:47">
      <c r="D789" s="31"/>
      <c r="E789" s="31"/>
      <c r="F789" s="31"/>
      <c r="G789" s="31"/>
      <c r="H789" s="32"/>
      <c r="J789" s="33"/>
      <c r="K789" s="33"/>
      <c r="L789" s="33"/>
      <c r="X789" s="23"/>
      <c r="Y789" s="23"/>
      <c r="Z789" s="23"/>
      <c r="AA789" s="23"/>
      <c r="AF789" s="23"/>
      <c r="AG789" s="23"/>
      <c r="AH789" s="23"/>
      <c r="AI789" s="23"/>
      <c r="AN789" s="23"/>
      <c r="AO789" s="23"/>
      <c r="AP789" s="23"/>
      <c r="AQ789" s="23"/>
      <c r="AR789" s="35"/>
      <c r="AS789" s="35"/>
      <c r="AT789" s="35"/>
      <c r="AU789" s="31"/>
    </row>
    <row r="790" spans="4:47">
      <c r="D790" s="31"/>
      <c r="E790" s="31"/>
      <c r="F790" s="31"/>
      <c r="G790" s="31"/>
      <c r="H790" s="32"/>
      <c r="J790" s="33"/>
      <c r="K790" s="33"/>
      <c r="L790" s="33"/>
      <c r="X790" s="23"/>
      <c r="Y790" s="23"/>
      <c r="Z790" s="23"/>
      <c r="AA790" s="23"/>
      <c r="AF790" s="23"/>
      <c r="AG790" s="23"/>
      <c r="AH790" s="23"/>
      <c r="AI790" s="23"/>
      <c r="AN790" s="23"/>
      <c r="AO790" s="23"/>
      <c r="AP790" s="23"/>
      <c r="AQ790" s="23"/>
      <c r="AR790" s="35"/>
      <c r="AS790" s="35"/>
      <c r="AT790" s="35"/>
      <c r="AU790" s="31"/>
    </row>
    <row r="791" spans="4:47">
      <c r="D791" s="31"/>
      <c r="E791" s="31"/>
      <c r="F791" s="31"/>
      <c r="G791" s="31"/>
      <c r="H791" s="32"/>
      <c r="J791" s="33"/>
      <c r="K791" s="33"/>
      <c r="L791" s="33"/>
      <c r="X791" s="23"/>
      <c r="Y791" s="23"/>
      <c r="Z791" s="23"/>
      <c r="AA791" s="23"/>
      <c r="AF791" s="23"/>
      <c r="AG791" s="23"/>
      <c r="AH791" s="23"/>
      <c r="AI791" s="23"/>
      <c r="AN791" s="23"/>
      <c r="AO791" s="23"/>
      <c r="AP791" s="23"/>
      <c r="AQ791" s="23"/>
      <c r="AR791" s="35"/>
      <c r="AS791" s="35"/>
      <c r="AT791" s="35"/>
      <c r="AU791" s="31"/>
    </row>
    <row r="792" spans="4:47">
      <c r="D792" s="31"/>
      <c r="E792" s="31"/>
      <c r="F792" s="31"/>
      <c r="G792" s="31"/>
      <c r="H792" s="32"/>
      <c r="J792" s="33"/>
      <c r="K792" s="33"/>
      <c r="L792" s="33"/>
      <c r="X792" s="23"/>
      <c r="Y792" s="23"/>
      <c r="Z792" s="23"/>
      <c r="AA792" s="23"/>
      <c r="AF792" s="23"/>
      <c r="AG792" s="23"/>
      <c r="AH792" s="23"/>
      <c r="AI792" s="23"/>
      <c r="AN792" s="23"/>
      <c r="AO792" s="23"/>
      <c r="AP792" s="23"/>
      <c r="AQ792" s="23"/>
      <c r="AR792" s="35"/>
      <c r="AS792" s="35"/>
      <c r="AT792" s="35"/>
      <c r="AU792" s="31"/>
    </row>
    <row r="793" spans="4:47">
      <c r="D793" s="31"/>
      <c r="E793" s="31"/>
      <c r="F793" s="31"/>
      <c r="G793" s="31"/>
      <c r="H793" s="32"/>
      <c r="J793" s="33"/>
      <c r="K793" s="33"/>
      <c r="L793" s="33"/>
      <c r="X793" s="23"/>
      <c r="Y793" s="23"/>
      <c r="Z793" s="23"/>
      <c r="AA793" s="23"/>
      <c r="AF793" s="23"/>
      <c r="AG793" s="23"/>
      <c r="AH793" s="23"/>
      <c r="AI793" s="23"/>
      <c r="AN793" s="23"/>
      <c r="AO793" s="23"/>
      <c r="AP793" s="23"/>
      <c r="AQ793" s="23"/>
      <c r="AR793" s="35"/>
      <c r="AS793" s="35"/>
      <c r="AT793" s="35"/>
      <c r="AU793" s="31"/>
    </row>
    <row r="794" spans="4:47">
      <c r="D794" s="31"/>
      <c r="E794" s="31"/>
      <c r="F794" s="31"/>
      <c r="G794" s="31"/>
      <c r="H794" s="32"/>
      <c r="J794" s="33"/>
      <c r="K794" s="33"/>
      <c r="L794" s="33"/>
      <c r="X794" s="23"/>
      <c r="Y794" s="23"/>
      <c r="Z794" s="23"/>
      <c r="AA794" s="23"/>
      <c r="AF794" s="23"/>
      <c r="AG794" s="23"/>
      <c r="AH794" s="23"/>
      <c r="AI794" s="23"/>
      <c r="AN794" s="23"/>
      <c r="AO794" s="23"/>
      <c r="AP794" s="23"/>
      <c r="AQ794" s="23"/>
      <c r="AR794" s="35"/>
      <c r="AS794" s="35"/>
      <c r="AT794" s="35"/>
      <c r="AU794" s="31"/>
    </row>
    <row r="795" spans="4:47">
      <c r="D795" s="31"/>
      <c r="E795" s="31"/>
      <c r="F795" s="31"/>
      <c r="G795" s="31"/>
      <c r="H795" s="32"/>
      <c r="J795" s="33"/>
      <c r="K795" s="33"/>
      <c r="L795" s="33"/>
      <c r="X795" s="23"/>
      <c r="Y795" s="23"/>
      <c r="Z795" s="23"/>
      <c r="AA795" s="23"/>
      <c r="AF795" s="23"/>
      <c r="AG795" s="23"/>
      <c r="AH795" s="23"/>
      <c r="AI795" s="23"/>
      <c r="AN795" s="23"/>
      <c r="AO795" s="23"/>
      <c r="AP795" s="23"/>
      <c r="AQ795" s="23"/>
      <c r="AR795" s="35"/>
      <c r="AS795" s="35"/>
      <c r="AT795" s="35"/>
      <c r="AU795" s="31"/>
    </row>
    <row r="796" spans="4:47">
      <c r="D796" s="31"/>
      <c r="E796" s="31"/>
      <c r="F796" s="31"/>
      <c r="G796" s="31"/>
      <c r="H796" s="32"/>
      <c r="J796" s="33"/>
      <c r="K796" s="33"/>
      <c r="L796" s="33"/>
      <c r="X796" s="23"/>
      <c r="Y796" s="23"/>
      <c r="Z796" s="23"/>
      <c r="AA796" s="23"/>
      <c r="AF796" s="23"/>
      <c r="AG796" s="23"/>
      <c r="AH796" s="23"/>
      <c r="AI796" s="23"/>
      <c r="AN796" s="23"/>
      <c r="AO796" s="23"/>
      <c r="AP796" s="23"/>
      <c r="AQ796" s="23"/>
      <c r="AR796" s="35"/>
      <c r="AS796" s="35"/>
      <c r="AT796" s="35"/>
      <c r="AU796" s="31"/>
    </row>
    <row r="797" spans="4:47">
      <c r="D797" s="31"/>
      <c r="E797" s="31"/>
      <c r="F797" s="31"/>
      <c r="G797" s="31"/>
      <c r="H797" s="32"/>
      <c r="J797" s="33"/>
      <c r="K797" s="33"/>
      <c r="L797" s="33"/>
      <c r="X797" s="23"/>
      <c r="Y797" s="23"/>
      <c r="Z797" s="23"/>
      <c r="AA797" s="23"/>
      <c r="AF797" s="23"/>
      <c r="AG797" s="23"/>
      <c r="AH797" s="23"/>
      <c r="AI797" s="23"/>
      <c r="AN797" s="23"/>
      <c r="AO797" s="23"/>
      <c r="AP797" s="23"/>
      <c r="AQ797" s="23"/>
      <c r="AR797" s="35"/>
      <c r="AS797" s="35"/>
      <c r="AT797" s="35"/>
      <c r="AU797" s="31"/>
    </row>
    <row r="798" spans="4:47">
      <c r="D798" s="31"/>
      <c r="E798" s="31"/>
      <c r="F798" s="31"/>
      <c r="G798" s="31"/>
      <c r="H798" s="32"/>
      <c r="J798" s="33"/>
      <c r="K798" s="33"/>
      <c r="L798" s="33"/>
      <c r="X798" s="23"/>
      <c r="Y798" s="23"/>
      <c r="Z798" s="23"/>
      <c r="AA798" s="23"/>
      <c r="AF798" s="23"/>
      <c r="AG798" s="23"/>
      <c r="AH798" s="23"/>
      <c r="AI798" s="23"/>
      <c r="AN798" s="23"/>
      <c r="AO798" s="23"/>
      <c r="AP798" s="23"/>
      <c r="AQ798" s="23"/>
      <c r="AR798" s="35"/>
      <c r="AS798" s="35"/>
      <c r="AT798" s="35"/>
      <c r="AU798" s="31"/>
    </row>
    <row r="799" spans="4:47">
      <c r="D799" s="31"/>
      <c r="E799" s="31"/>
      <c r="F799" s="31"/>
      <c r="G799" s="31"/>
      <c r="H799" s="32"/>
      <c r="J799" s="33"/>
      <c r="K799" s="33"/>
      <c r="L799" s="33"/>
      <c r="X799" s="23"/>
      <c r="Y799" s="23"/>
      <c r="Z799" s="23"/>
      <c r="AA799" s="23"/>
      <c r="AF799" s="23"/>
      <c r="AG799" s="23"/>
      <c r="AH799" s="23"/>
      <c r="AI799" s="23"/>
      <c r="AN799" s="23"/>
      <c r="AO799" s="23"/>
      <c r="AP799" s="23"/>
      <c r="AQ799" s="23"/>
      <c r="AR799" s="35"/>
      <c r="AS799" s="35"/>
      <c r="AT799" s="35"/>
      <c r="AU799" s="31"/>
    </row>
    <row r="800" spans="4:47">
      <c r="D800" s="31"/>
      <c r="E800" s="31"/>
      <c r="F800" s="31"/>
      <c r="G800" s="31"/>
      <c r="H800" s="32"/>
      <c r="J800" s="33"/>
      <c r="K800" s="33"/>
      <c r="L800" s="33"/>
      <c r="X800" s="23"/>
      <c r="Y800" s="23"/>
      <c r="Z800" s="23"/>
      <c r="AA800" s="23"/>
      <c r="AF800" s="23"/>
      <c r="AG800" s="23"/>
      <c r="AH800" s="23"/>
      <c r="AI800" s="23"/>
      <c r="AN800" s="23"/>
      <c r="AO800" s="23"/>
      <c r="AP800" s="23"/>
      <c r="AQ800" s="23"/>
      <c r="AR800" s="35"/>
      <c r="AS800" s="35"/>
      <c r="AT800" s="35"/>
      <c r="AU800" s="31"/>
    </row>
    <row r="801" spans="4:47">
      <c r="D801" s="31"/>
      <c r="E801" s="31"/>
      <c r="F801" s="31"/>
      <c r="G801" s="31"/>
      <c r="H801" s="32"/>
      <c r="J801" s="33"/>
      <c r="K801" s="33"/>
      <c r="L801" s="33"/>
      <c r="X801" s="23"/>
      <c r="Y801" s="23"/>
      <c r="Z801" s="23"/>
      <c r="AA801" s="23"/>
      <c r="AF801" s="23"/>
      <c r="AG801" s="23"/>
      <c r="AH801" s="23"/>
      <c r="AI801" s="23"/>
      <c r="AN801" s="23"/>
      <c r="AO801" s="23"/>
      <c r="AP801" s="23"/>
      <c r="AQ801" s="23"/>
      <c r="AR801" s="35"/>
      <c r="AS801" s="35"/>
      <c r="AT801" s="35"/>
      <c r="AU801" s="31"/>
    </row>
    <row r="802" spans="4:47">
      <c r="D802" s="31"/>
      <c r="E802" s="31"/>
      <c r="F802" s="31"/>
      <c r="G802" s="31"/>
      <c r="H802" s="32"/>
      <c r="J802" s="33"/>
      <c r="K802" s="33"/>
      <c r="L802" s="33"/>
      <c r="X802" s="23"/>
      <c r="Y802" s="23"/>
      <c r="Z802" s="23"/>
      <c r="AA802" s="23"/>
      <c r="AF802" s="23"/>
      <c r="AG802" s="23"/>
      <c r="AH802" s="23"/>
      <c r="AI802" s="23"/>
      <c r="AN802" s="23"/>
      <c r="AO802" s="23"/>
      <c r="AP802" s="23"/>
      <c r="AQ802" s="23"/>
      <c r="AR802" s="35"/>
      <c r="AS802" s="35"/>
      <c r="AT802" s="35"/>
      <c r="AU802" s="31"/>
    </row>
    <row r="803" spans="4:47">
      <c r="D803" s="31"/>
      <c r="E803" s="31"/>
      <c r="F803" s="31"/>
      <c r="G803" s="31"/>
      <c r="H803" s="32"/>
      <c r="J803" s="33"/>
      <c r="K803" s="33"/>
      <c r="L803" s="33"/>
      <c r="X803" s="23"/>
      <c r="Y803" s="23"/>
      <c r="Z803" s="23"/>
      <c r="AA803" s="23"/>
      <c r="AF803" s="23"/>
      <c r="AG803" s="23"/>
      <c r="AH803" s="23"/>
      <c r="AI803" s="23"/>
      <c r="AN803" s="23"/>
      <c r="AO803" s="23"/>
      <c r="AP803" s="23"/>
      <c r="AQ803" s="23"/>
      <c r="AR803" s="35"/>
      <c r="AS803" s="35"/>
      <c r="AT803" s="35"/>
      <c r="AU803" s="31"/>
    </row>
    <row r="804" spans="4:47">
      <c r="D804" s="31"/>
      <c r="E804" s="31"/>
      <c r="F804" s="31"/>
      <c r="G804" s="31"/>
      <c r="H804" s="32"/>
      <c r="J804" s="33"/>
      <c r="K804" s="33"/>
      <c r="L804" s="33"/>
      <c r="X804" s="23"/>
      <c r="Y804" s="23"/>
      <c r="Z804" s="23"/>
      <c r="AA804" s="23"/>
      <c r="AF804" s="23"/>
      <c r="AG804" s="23"/>
      <c r="AH804" s="23"/>
      <c r="AI804" s="23"/>
      <c r="AN804" s="23"/>
      <c r="AO804" s="23"/>
      <c r="AP804" s="23"/>
      <c r="AQ804" s="23"/>
      <c r="AR804" s="35"/>
      <c r="AS804" s="35"/>
      <c r="AT804" s="35"/>
      <c r="AU804" s="31"/>
    </row>
    <row r="805" spans="4:47">
      <c r="D805" s="31"/>
      <c r="E805" s="31"/>
      <c r="F805" s="31"/>
      <c r="G805" s="31"/>
      <c r="H805" s="32"/>
      <c r="J805" s="33"/>
      <c r="K805" s="33"/>
      <c r="L805" s="33"/>
      <c r="X805" s="23"/>
      <c r="Y805" s="23"/>
      <c r="Z805" s="23"/>
      <c r="AA805" s="23"/>
      <c r="AF805" s="23"/>
      <c r="AG805" s="23"/>
      <c r="AH805" s="23"/>
      <c r="AI805" s="23"/>
      <c r="AN805" s="23"/>
      <c r="AO805" s="23"/>
      <c r="AP805" s="23"/>
      <c r="AQ805" s="23"/>
      <c r="AR805" s="35"/>
      <c r="AS805" s="35"/>
      <c r="AT805" s="35"/>
      <c r="AU805" s="31"/>
    </row>
    <row r="806" spans="4:47">
      <c r="D806" s="31"/>
      <c r="E806" s="31"/>
      <c r="F806" s="31"/>
      <c r="G806" s="31"/>
      <c r="H806" s="32"/>
      <c r="J806" s="33"/>
      <c r="K806" s="33"/>
      <c r="L806" s="33"/>
      <c r="X806" s="23"/>
      <c r="Y806" s="23"/>
      <c r="Z806" s="23"/>
      <c r="AA806" s="23"/>
      <c r="AF806" s="23"/>
      <c r="AG806" s="23"/>
      <c r="AH806" s="23"/>
      <c r="AI806" s="23"/>
      <c r="AN806" s="23"/>
      <c r="AO806" s="23"/>
      <c r="AP806" s="23"/>
      <c r="AQ806" s="23"/>
      <c r="AR806" s="35"/>
      <c r="AS806" s="35"/>
      <c r="AT806" s="35"/>
      <c r="AU806" s="31"/>
    </row>
    <row r="807" spans="4:47">
      <c r="D807" s="31"/>
      <c r="E807" s="31"/>
      <c r="F807" s="31"/>
      <c r="G807" s="31"/>
      <c r="H807" s="32"/>
      <c r="J807" s="33"/>
      <c r="K807" s="33"/>
      <c r="L807" s="33"/>
      <c r="X807" s="23"/>
      <c r="Y807" s="23"/>
      <c r="Z807" s="23"/>
      <c r="AA807" s="23"/>
      <c r="AF807" s="23"/>
      <c r="AG807" s="23"/>
      <c r="AH807" s="23"/>
      <c r="AI807" s="23"/>
      <c r="AN807" s="23"/>
      <c r="AO807" s="23"/>
      <c r="AP807" s="23"/>
      <c r="AQ807" s="23"/>
      <c r="AR807" s="35"/>
      <c r="AS807" s="35"/>
      <c r="AT807" s="35"/>
      <c r="AU807" s="31"/>
    </row>
    <row r="808" spans="4:47">
      <c r="D808" s="31"/>
      <c r="E808" s="31"/>
      <c r="F808" s="31"/>
      <c r="G808" s="31"/>
      <c r="H808" s="32"/>
      <c r="J808" s="33"/>
      <c r="K808" s="33"/>
      <c r="L808" s="33"/>
      <c r="X808" s="23"/>
      <c r="Y808" s="23"/>
      <c r="Z808" s="23"/>
      <c r="AA808" s="23"/>
      <c r="AF808" s="23"/>
      <c r="AG808" s="23"/>
      <c r="AH808" s="23"/>
      <c r="AI808" s="23"/>
      <c r="AN808" s="23"/>
      <c r="AO808" s="23"/>
      <c r="AP808" s="23"/>
      <c r="AQ808" s="23"/>
      <c r="AR808" s="35"/>
      <c r="AS808" s="35"/>
      <c r="AT808" s="35"/>
      <c r="AU808" s="31"/>
    </row>
    <row r="809" spans="4:47">
      <c r="D809" s="31"/>
      <c r="E809" s="31"/>
      <c r="F809" s="31"/>
      <c r="G809" s="31"/>
      <c r="H809" s="32"/>
      <c r="J809" s="33"/>
      <c r="K809" s="33"/>
      <c r="L809" s="33"/>
      <c r="X809" s="23"/>
      <c r="Y809" s="23"/>
      <c r="Z809" s="23"/>
      <c r="AA809" s="23"/>
      <c r="AF809" s="23"/>
      <c r="AG809" s="23"/>
      <c r="AH809" s="23"/>
      <c r="AI809" s="23"/>
      <c r="AN809" s="23"/>
      <c r="AO809" s="23"/>
      <c r="AP809" s="23"/>
      <c r="AQ809" s="23"/>
      <c r="AR809" s="35"/>
      <c r="AS809" s="35"/>
      <c r="AT809" s="35"/>
      <c r="AU809" s="31"/>
    </row>
    <row r="810" spans="4:47">
      <c r="D810" s="31"/>
      <c r="E810" s="31"/>
      <c r="F810" s="31"/>
      <c r="G810" s="31"/>
      <c r="H810" s="32"/>
      <c r="J810" s="33"/>
      <c r="K810" s="33"/>
      <c r="L810" s="33"/>
      <c r="X810" s="23"/>
      <c r="Y810" s="23"/>
      <c r="Z810" s="23"/>
      <c r="AA810" s="23"/>
      <c r="AF810" s="23"/>
      <c r="AG810" s="23"/>
      <c r="AH810" s="23"/>
      <c r="AI810" s="23"/>
      <c r="AN810" s="23"/>
      <c r="AO810" s="23"/>
      <c r="AP810" s="23"/>
      <c r="AQ810" s="23"/>
      <c r="AR810" s="35"/>
      <c r="AS810" s="35"/>
      <c r="AT810" s="35"/>
      <c r="AU810" s="31"/>
    </row>
    <row r="811" spans="4:47">
      <c r="D811" s="31"/>
      <c r="E811" s="31"/>
      <c r="F811" s="31"/>
      <c r="G811" s="31"/>
      <c r="H811" s="32"/>
      <c r="J811" s="33"/>
      <c r="K811" s="33"/>
      <c r="L811" s="33"/>
      <c r="X811" s="23"/>
      <c r="Y811" s="23"/>
      <c r="Z811" s="23"/>
      <c r="AA811" s="23"/>
      <c r="AF811" s="23"/>
      <c r="AG811" s="23"/>
      <c r="AH811" s="23"/>
      <c r="AI811" s="23"/>
      <c r="AN811" s="23"/>
      <c r="AO811" s="23"/>
      <c r="AP811" s="23"/>
      <c r="AQ811" s="23"/>
      <c r="AR811" s="35"/>
      <c r="AS811" s="35"/>
      <c r="AT811" s="35"/>
      <c r="AU811" s="31"/>
    </row>
    <row r="812" spans="4:47">
      <c r="D812" s="31"/>
      <c r="E812" s="31"/>
      <c r="F812" s="31"/>
      <c r="G812" s="31"/>
      <c r="H812" s="32"/>
      <c r="J812" s="33"/>
      <c r="K812" s="33"/>
      <c r="L812" s="33"/>
      <c r="X812" s="23"/>
      <c r="Y812" s="23"/>
      <c r="Z812" s="23"/>
      <c r="AA812" s="23"/>
      <c r="AF812" s="23"/>
      <c r="AG812" s="23"/>
      <c r="AH812" s="23"/>
      <c r="AI812" s="23"/>
      <c r="AN812" s="23"/>
      <c r="AO812" s="23"/>
      <c r="AP812" s="23"/>
      <c r="AQ812" s="23"/>
      <c r="AR812" s="35"/>
      <c r="AS812" s="35"/>
      <c r="AT812" s="35"/>
      <c r="AU812" s="31"/>
    </row>
    <row r="813" spans="4:47">
      <c r="D813" s="31"/>
      <c r="E813" s="31"/>
      <c r="F813" s="31"/>
      <c r="G813" s="31"/>
      <c r="H813" s="32"/>
      <c r="J813" s="33"/>
      <c r="K813" s="33"/>
      <c r="L813" s="33"/>
      <c r="X813" s="23"/>
      <c r="Y813" s="23"/>
      <c r="Z813" s="23"/>
      <c r="AA813" s="23"/>
      <c r="AF813" s="23"/>
      <c r="AG813" s="23"/>
      <c r="AH813" s="23"/>
      <c r="AI813" s="23"/>
      <c r="AN813" s="23"/>
      <c r="AO813" s="23"/>
      <c r="AP813" s="23"/>
      <c r="AQ813" s="23"/>
      <c r="AR813" s="35"/>
      <c r="AS813" s="35"/>
      <c r="AT813" s="35"/>
      <c r="AU813" s="31"/>
    </row>
    <row r="814" spans="1:47">
      <c r="A814" s="39"/>
      <c r="D814" s="31"/>
      <c r="E814" s="31"/>
      <c r="F814" s="31"/>
      <c r="G814" s="31"/>
      <c r="H814" s="32"/>
      <c r="J814" s="33"/>
      <c r="K814" s="33"/>
      <c r="L814" s="33"/>
      <c r="X814" s="23"/>
      <c r="Y814" s="23"/>
      <c r="Z814" s="23"/>
      <c r="AA814" s="23"/>
      <c r="AF814" s="23"/>
      <c r="AG814" s="23"/>
      <c r="AH814" s="23"/>
      <c r="AI814" s="23"/>
      <c r="AN814" s="23"/>
      <c r="AO814" s="23"/>
      <c r="AP814" s="23"/>
      <c r="AQ814" s="23"/>
      <c r="AR814" s="35"/>
      <c r="AS814" s="35"/>
      <c r="AT814" s="35"/>
      <c r="AU814" s="31"/>
    </row>
    <row r="815" spans="1:47">
      <c r="A815" s="39"/>
      <c r="D815" s="31"/>
      <c r="E815" s="31"/>
      <c r="F815" s="31"/>
      <c r="G815" s="31"/>
      <c r="H815" s="32"/>
      <c r="J815" s="33"/>
      <c r="K815" s="33"/>
      <c r="L815" s="33"/>
      <c r="X815" s="23"/>
      <c r="Y815" s="23"/>
      <c r="Z815" s="23"/>
      <c r="AA815" s="23"/>
      <c r="AF815" s="23"/>
      <c r="AG815" s="23"/>
      <c r="AH815" s="23"/>
      <c r="AI815" s="23"/>
      <c r="AN815" s="23"/>
      <c r="AO815" s="23"/>
      <c r="AP815" s="23"/>
      <c r="AQ815" s="23"/>
      <c r="AR815" s="35"/>
      <c r="AS815" s="35"/>
      <c r="AT815" s="35"/>
      <c r="AU815" s="31"/>
    </row>
    <row r="816" spans="1:47">
      <c r="A816" s="39"/>
      <c r="D816" s="31"/>
      <c r="E816" s="31"/>
      <c r="F816" s="31"/>
      <c r="G816" s="31"/>
      <c r="H816" s="32"/>
      <c r="J816" s="33"/>
      <c r="K816" s="33"/>
      <c r="L816" s="33"/>
      <c r="X816" s="23"/>
      <c r="Y816" s="23"/>
      <c r="Z816" s="23"/>
      <c r="AA816" s="23"/>
      <c r="AF816" s="23"/>
      <c r="AG816" s="23"/>
      <c r="AH816" s="23"/>
      <c r="AI816" s="23"/>
      <c r="AN816" s="23"/>
      <c r="AO816" s="23"/>
      <c r="AP816" s="23"/>
      <c r="AQ816" s="23"/>
      <c r="AR816" s="35"/>
      <c r="AS816" s="35"/>
      <c r="AT816" s="35"/>
      <c r="AU816" s="31"/>
    </row>
    <row r="817" spans="1:47">
      <c r="A817" s="39"/>
      <c r="D817" s="31"/>
      <c r="E817" s="31"/>
      <c r="F817" s="31"/>
      <c r="G817" s="31"/>
      <c r="H817" s="32"/>
      <c r="J817" s="33"/>
      <c r="K817" s="33"/>
      <c r="L817" s="33"/>
      <c r="X817" s="23"/>
      <c r="Y817" s="23"/>
      <c r="Z817" s="23"/>
      <c r="AA817" s="23"/>
      <c r="AF817" s="23"/>
      <c r="AG817" s="23"/>
      <c r="AH817" s="23"/>
      <c r="AI817" s="23"/>
      <c r="AN817" s="23"/>
      <c r="AO817" s="23"/>
      <c r="AP817" s="23"/>
      <c r="AQ817" s="23"/>
      <c r="AR817" s="35"/>
      <c r="AS817" s="35"/>
      <c r="AT817" s="35"/>
      <c r="AU817" s="31"/>
    </row>
    <row r="818" spans="1:47">
      <c r="A818" s="39"/>
      <c r="D818" s="31"/>
      <c r="E818" s="31"/>
      <c r="F818" s="31"/>
      <c r="G818" s="31"/>
      <c r="H818" s="32"/>
      <c r="J818" s="33"/>
      <c r="K818" s="33"/>
      <c r="L818" s="33"/>
      <c r="X818" s="23"/>
      <c r="Y818" s="23"/>
      <c r="Z818" s="23"/>
      <c r="AA818" s="23"/>
      <c r="AF818" s="23"/>
      <c r="AG818" s="23"/>
      <c r="AH818" s="23"/>
      <c r="AI818" s="23"/>
      <c r="AN818" s="23"/>
      <c r="AO818" s="23"/>
      <c r="AP818" s="23"/>
      <c r="AQ818" s="23"/>
      <c r="AR818" s="35"/>
      <c r="AS818" s="35"/>
      <c r="AT818" s="35"/>
      <c r="AU818" s="31"/>
    </row>
    <row r="819" spans="1:47">
      <c r="A819" s="39"/>
      <c r="D819" s="31"/>
      <c r="E819" s="31"/>
      <c r="F819" s="31"/>
      <c r="G819" s="31"/>
      <c r="H819" s="32"/>
      <c r="J819" s="33"/>
      <c r="K819" s="33"/>
      <c r="L819" s="33"/>
      <c r="X819" s="23"/>
      <c r="Y819" s="23"/>
      <c r="Z819" s="23"/>
      <c r="AA819" s="23"/>
      <c r="AF819" s="23"/>
      <c r="AG819" s="23"/>
      <c r="AH819" s="23"/>
      <c r="AI819" s="23"/>
      <c r="AN819" s="23"/>
      <c r="AO819" s="23"/>
      <c r="AP819" s="23"/>
      <c r="AQ819" s="23"/>
      <c r="AR819" s="35"/>
      <c r="AS819" s="35"/>
      <c r="AT819" s="35"/>
      <c r="AU819" s="31"/>
    </row>
    <row r="820" spans="1:47">
      <c r="A820" s="39"/>
      <c r="D820" s="31"/>
      <c r="E820" s="31"/>
      <c r="F820" s="31"/>
      <c r="G820" s="31"/>
      <c r="H820" s="32"/>
      <c r="J820" s="33"/>
      <c r="K820" s="33"/>
      <c r="L820" s="33"/>
      <c r="X820" s="23"/>
      <c r="Y820" s="23"/>
      <c r="Z820" s="23"/>
      <c r="AA820" s="23"/>
      <c r="AF820" s="23"/>
      <c r="AG820" s="23"/>
      <c r="AH820" s="23"/>
      <c r="AI820" s="23"/>
      <c r="AN820" s="23"/>
      <c r="AO820" s="23"/>
      <c r="AP820" s="23"/>
      <c r="AQ820" s="23"/>
      <c r="AR820" s="35"/>
      <c r="AS820" s="35"/>
      <c r="AT820" s="35"/>
      <c r="AU820" s="31"/>
    </row>
    <row r="821" spans="1:47">
      <c r="A821" s="39"/>
      <c r="D821" s="31"/>
      <c r="E821" s="31"/>
      <c r="F821" s="31"/>
      <c r="G821" s="31"/>
      <c r="H821" s="32"/>
      <c r="J821" s="33"/>
      <c r="K821" s="33"/>
      <c r="L821" s="33"/>
      <c r="X821" s="23"/>
      <c r="Y821" s="23"/>
      <c r="Z821" s="23"/>
      <c r="AA821" s="23"/>
      <c r="AF821" s="23"/>
      <c r="AG821" s="23"/>
      <c r="AH821" s="23"/>
      <c r="AI821" s="23"/>
      <c r="AN821" s="23"/>
      <c r="AO821" s="23"/>
      <c r="AP821" s="23"/>
      <c r="AQ821" s="23"/>
      <c r="AR821" s="35"/>
      <c r="AS821" s="35"/>
      <c r="AT821" s="35"/>
      <c r="AU821" s="31"/>
    </row>
    <row r="822" spans="1:47">
      <c r="A822" s="39"/>
      <c r="D822" s="31"/>
      <c r="E822" s="31"/>
      <c r="F822" s="31"/>
      <c r="G822" s="31"/>
      <c r="H822" s="32"/>
      <c r="J822" s="33"/>
      <c r="K822" s="33"/>
      <c r="L822" s="33"/>
      <c r="X822" s="23"/>
      <c r="Y822" s="23"/>
      <c r="Z822" s="23"/>
      <c r="AA822" s="23"/>
      <c r="AF822" s="23"/>
      <c r="AG822" s="23"/>
      <c r="AH822" s="23"/>
      <c r="AI822" s="23"/>
      <c r="AN822" s="23"/>
      <c r="AO822" s="23"/>
      <c r="AP822" s="23"/>
      <c r="AQ822" s="23"/>
      <c r="AR822" s="35"/>
      <c r="AS822" s="35"/>
      <c r="AT822" s="35"/>
      <c r="AU822" s="31"/>
    </row>
    <row r="823" spans="1:47">
      <c r="A823" s="39"/>
      <c r="D823" s="31"/>
      <c r="E823" s="31"/>
      <c r="F823" s="31"/>
      <c r="G823" s="31"/>
      <c r="H823" s="32"/>
      <c r="J823" s="33"/>
      <c r="K823" s="33"/>
      <c r="L823" s="33"/>
      <c r="X823" s="23"/>
      <c r="Y823" s="23"/>
      <c r="Z823" s="23"/>
      <c r="AA823" s="23"/>
      <c r="AF823" s="23"/>
      <c r="AG823" s="23"/>
      <c r="AH823" s="23"/>
      <c r="AI823" s="23"/>
      <c r="AN823" s="23"/>
      <c r="AO823" s="23"/>
      <c r="AP823" s="23"/>
      <c r="AQ823" s="23"/>
      <c r="AR823" s="35"/>
      <c r="AS823" s="35"/>
      <c r="AT823" s="35"/>
      <c r="AU823" s="31"/>
    </row>
    <row r="824" spans="1:47">
      <c r="A824" s="39"/>
      <c r="D824" s="31"/>
      <c r="E824" s="31"/>
      <c r="F824" s="31"/>
      <c r="G824" s="31"/>
      <c r="H824" s="32"/>
      <c r="J824" s="33"/>
      <c r="K824" s="33"/>
      <c r="L824" s="33"/>
      <c r="X824" s="23"/>
      <c r="Y824" s="23"/>
      <c r="Z824" s="23"/>
      <c r="AA824" s="23"/>
      <c r="AF824" s="23"/>
      <c r="AG824" s="23"/>
      <c r="AH824" s="23"/>
      <c r="AI824" s="23"/>
      <c r="AN824" s="23"/>
      <c r="AO824" s="23"/>
      <c r="AP824" s="23"/>
      <c r="AQ824" s="23"/>
      <c r="AR824" s="35"/>
      <c r="AS824" s="35"/>
      <c r="AT824" s="35"/>
      <c r="AU824" s="31"/>
    </row>
    <row r="825" spans="1:47">
      <c r="A825" s="39"/>
      <c r="D825" s="31"/>
      <c r="E825" s="31"/>
      <c r="F825" s="31"/>
      <c r="G825" s="31"/>
      <c r="H825" s="32"/>
      <c r="J825" s="33"/>
      <c r="K825" s="33"/>
      <c r="L825" s="33"/>
      <c r="X825" s="23"/>
      <c r="Y825" s="23"/>
      <c r="Z825" s="23"/>
      <c r="AA825" s="23"/>
      <c r="AF825" s="23"/>
      <c r="AG825" s="23"/>
      <c r="AH825" s="23"/>
      <c r="AI825" s="23"/>
      <c r="AN825" s="23"/>
      <c r="AO825" s="23"/>
      <c r="AP825" s="23"/>
      <c r="AQ825" s="23"/>
      <c r="AR825" s="35"/>
      <c r="AS825" s="35"/>
      <c r="AT825" s="35"/>
      <c r="AU825" s="31"/>
    </row>
    <row r="826" spans="1:47">
      <c r="A826" s="39"/>
      <c r="D826" s="31"/>
      <c r="E826" s="31"/>
      <c r="F826" s="31"/>
      <c r="G826" s="31"/>
      <c r="H826" s="32"/>
      <c r="J826" s="33"/>
      <c r="K826" s="33"/>
      <c r="L826" s="33"/>
      <c r="X826" s="23"/>
      <c r="Y826" s="23"/>
      <c r="Z826" s="23"/>
      <c r="AA826" s="23"/>
      <c r="AF826" s="23"/>
      <c r="AG826" s="23"/>
      <c r="AH826" s="23"/>
      <c r="AI826" s="23"/>
      <c r="AN826" s="23"/>
      <c r="AO826" s="23"/>
      <c r="AP826" s="23"/>
      <c r="AQ826" s="23"/>
      <c r="AR826" s="35"/>
      <c r="AS826" s="35"/>
      <c r="AT826" s="35"/>
      <c r="AU826" s="31"/>
    </row>
    <row r="827" spans="1:47">
      <c r="A827" s="39"/>
      <c r="D827" s="31"/>
      <c r="E827" s="31"/>
      <c r="F827" s="31"/>
      <c r="G827" s="31"/>
      <c r="H827" s="32"/>
      <c r="J827" s="33"/>
      <c r="K827" s="33"/>
      <c r="L827" s="33"/>
      <c r="X827" s="23"/>
      <c r="Y827" s="23"/>
      <c r="Z827" s="23"/>
      <c r="AA827" s="23"/>
      <c r="AF827" s="23"/>
      <c r="AG827" s="23"/>
      <c r="AH827" s="23"/>
      <c r="AI827" s="23"/>
      <c r="AN827" s="23"/>
      <c r="AO827" s="23"/>
      <c r="AP827" s="23"/>
      <c r="AQ827" s="23"/>
      <c r="AR827" s="35"/>
      <c r="AS827" s="35"/>
      <c r="AT827" s="35"/>
      <c r="AU827" s="31"/>
    </row>
    <row r="828" spans="1:47">
      <c r="A828" s="39"/>
      <c r="D828" s="31"/>
      <c r="E828" s="31"/>
      <c r="F828" s="31"/>
      <c r="G828" s="31"/>
      <c r="H828" s="32"/>
      <c r="J828" s="33"/>
      <c r="K828" s="33"/>
      <c r="L828" s="33"/>
      <c r="X828" s="23"/>
      <c r="Y828" s="23"/>
      <c r="Z828" s="23"/>
      <c r="AA828" s="23"/>
      <c r="AF828" s="23"/>
      <c r="AG828" s="23"/>
      <c r="AH828" s="23"/>
      <c r="AI828" s="23"/>
      <c r="AN828" s="23"/>
      <c r="AO828" s="23"/>
      <c r="AP828" s="23"/>
      <c r="AQ828" s="23"/>
      <c r="AR828" s="35"/>
      <c r="AS828" s="35"/>
      <c r="AT828" s="35"/>
      <c r="AU828" s="31"/>
    </row>
    <row r="829" spans="1:47">
      <c r="A829" s="39"/>
      <c r="D829" s="31"/>
      <c r="E829" s="31"/>
      <c r="F829" s="31"/>
      <c r="G829" s="31"/>
      <c r="H829" s="32"/>
      <c r="J829" s="33"/>
      <c r="K829" s="33"/>
      <c r="L829" s="33"/>
      <c r="X829" s="23"/>
      <c r="Y829" s="23"/>
      <c r="Z829" s="23"/>
      <c r="AA829" s="23"/>
      <c r="AF829" s="23"/>
      <c r="AG829" s="23"/>
      <c r="AH829" s="23"/>
      <c r="AI829" s="23"/>
      <c r="AN829" s="23"/>
      <c r="AO829" s="23"/>
      <c r="AP829" s="23"/>
      <c r="AQ829" s="23"/>
      <c r="AR829" s="35"/>
      <c r="AS829" s="35"/>
      <c r="AT829" s="35"/>
      <c r="AU829" s="31"/>
    </row>
    <row r="830" spans="1:47">
      <c r="A830" s="39"/>
      <c r="D830" s="31"/>
      <c r="E830" s="31"/>
      <c r="F830" s="31"/>
      <c r="G830" s="31"/>
      <c r="H830" s="32"/>
      <c r="J830" s="33"/>
      <c r="K830" s="33"/>
      <c r="L830" s="33"/>
      <c r="X830" s="23"/>
      <c r="Y830" s="23"/>
      <c r="Z830" s="23"/>
      <c r="AA830" s="23"/>
      <c r="AF830" s="23"/>
      <c r="AG830" s="23"/>
      <c r="AH830" s="23"/>
      <c r="AI830" s="23"/>
      <c r="AN830" s="23"/>
      <c r="AO830" s="23"/>
      <c r="AP830" s="23"/>
      <c r="AQ830" s="23"/>
      <c r="AR830" s="35"/>
      <c r="AS830" s="35"/>
      <c r="AT830" s="35"/>
      <c r="AU830" s="31"/>
    </row>
    <row r="831" spans="1:47">
      <c r="A831" s="39"/>
      <c r="D831" s="31"/>
      <c r="E831" s="31"/>
      <c r="F831" s="31"/>
      <c r="G831" s="31"/>
      <c r="H831" s="32"/>
      <c r="J831" s="33"/>
      <c r="K831" s="33"/>
      <c r="L831" s="33"/>
      <c r="X831" s="23"/>
      <c r="Y831" s="23"/>
      <c r="Z831" s="23"/>
      <c r="AA831" s="23"/>
      <c r="AF831" s="23"/>
      <c r="AG831" s="23"/>
      <c r="AH831" s="23"/>
      <c r="AI831" s="23"/>
      <c r="AN831" s="23"/>
      <c r="AO831" s="23"/>
      <c r="AP831" s="23"/>
      <c r="AQ831" s="23"/>
      <c r="AR831" s="35"/>
      <c r="AS831" s="35"/>
      <c r="AT831" s="35"/>
      <c r="AU831" s="31"/>
    </row>
    <row r="832" spans="1:47">
      <c r="A832" s="39"/>
      <c r="D832" s="31"/>
      <c r="E832" s="31"/>
      <c r="F832" s="31"/>
      <c r="G832" s="31"/>
      <c r="H832" s="32"/>
      <c r="J832" s="33"/>
      <c r="K832" s="33"/>
      <c r="L832" s="33"/>
      <c r="X832" s="23"/>
      <c r="Y832" s="23"/>
      <c r="Z832" s="23"/>
      <c r="AA832" s="23"/>
      <c r="AF832" s="23"/>
      <c r="AG832" s="23"/>
      <c r="AH832" s="23"/>
      <c r="AI832" s="23"/>
      <c r="AN832" s="23"/>
      <c r="AO832" s="23"/>
      <c r="AP832" s="23"/>
      <c r="AQ832" s="23"/>
      <c r="AR832" s="35"/>
      <c r="AS832" s="35"/>
      <c r="AT832" s="35"/>
      <c r="AU832" s="31"/>
    </row>
    <row r="833" spans="1:47">
      <c r="A833" s="39"/>
      <c r="D833" s="31"/>
      <c r="E833" s="31"/>
      <c r="F833" s="31"/>
      <c r="G833" s="31"/>
      <c r="H833" s="32"/>
      <c r="J833" s="33"/>
      <c r="K833" s="33"/>
      <c r="L833" s="33"/>
      <c r="X833" s="23"/>
      <c r="Y833" s="23"/>
      <c r="Z833" s="23"/>
      <c r="AA833" s="23"/>
      <c r="AF833" s="23"/>
      <c r="AG833" s="23"/>
      <c r="AH833" s="23"/>
      <c r="AI833" s="23"/>
      <c r="AN833" s="23"/>
      <c r="AO833" s="23"/>
      <c r="AP833" s="23"/>
      <c r="AQ833" s="23"/>
      <c r="AR833" s="35"/>
      <c r="AS833" s="35"/>
      <c r="AT833" s="35"/>
      <c r="AU833" s="31"/>
    </row>
    <row r="834" spans="1:47">
      <c r="A834" s="39"/>
      <c r="D834" s="31"/>
      <c r="E834" s="31"/>
      <c r="F834" s="31"/>
      <c r="G834" s="31"/>
      <c r="H834" s="32"/>
      <c r="J834" s="33"/>
      <c r="K834" s="33"/>
      <c r="L834" s="33"/>
      <c r="X834" s="23"/>
      <c r="Y834" s="23"/>
      <c r="Z834" s="23"/>
      <c r="AA834" s="23"/>
      <c r="AF834" s="23"/>
      <c r="AG834" s="23"/>
      <c r="AH834" s="23"/>
      <c r="AI834" s="23"/>
      <c r="AN834" s="23"/>
      <c r="AO834" s="23"/>
      <c r="AP834" s="23"/>
      <c r="AQ834" s="23"/>
      <c r="AR834" s="35"/>
      <c r="AS834" s="35"/>
      <c r="AT834" s="35"/>
      <c r="AU834" s="31"/>
    </row>
    <row r="835" spans="1:47">
      <c r="A835" s="39"/>
      <c r="D835" s="31"/>
      <c r="E835" s="31"/>
      <c r="F835" s="31"/>
      <c r="G835" s="31"/>
      <c r="H835" s="32"/>
      <c r="J835" s="33"/>
      <c r="K835" s="33"/>
      <c r="L835" s="33"/>
      <c r="X835" s="23"/>
      <c r="Y835" s="23"/>
      <c r="Z835" s="23"/>
      <c r="AA835" s="23"/>
      <c r="AF835" s="23"/>
      <c r="AG835" s="23"/>
      <c r="AH835" s="23"/>
      <c r="AI835" s="23"/>
      <c r="AN835" s="23"/>
      <c r="AO835" s="23"/>
      <c r="AP835" s="23"/>
      <c r="AQ835" s="23"/>
      <c r="AR835" s="35"/>
      <c r="AS835" s="35"/>
      <c r="AT835" s="35"/>
      <c r="AU835" s="31"/>
    </row>
    <row r="836" spans="1:47">
      <c r="A836" s="39"/>
      <c r="D836" s="31"/>
      <c r="E836" s="31"/>
      <c r="F836" s="31"/>
      <c r="G836" s="31"/>
      <c r="H836" s="32"/>
      <c r="J836" s="33"/>
      <c r="K836" s="33"/>
      <c r="L836" s="33"/>
      <c r="X836" s="23"/>
      <c r="Y836" s="23"/>
      <c r="Z836" s="23"/>
      <c r="AA836" s="23"/>
      <c r="AF836" s="23"/>
      <c r="AG836" s="23"/>
      <c r="AH836" s="23"/>
      <c r="AI836" s="23"/>
      <c r="AN836" s="23"/>
      <c r="AO836" s="23"/>
      <c r="AP836" s="23"/>
      <c r="AQ836" s="23"/>
      <c r="AR836" s="35"/>
      <c r="AS836" s="35"/>
      <c r="AT836" s="35"/>
      <c r="AU836" s="31"/>
    </row>
    <row r="837" spans="1:47">
      <c r="A837" s="39"/>
      <c r="D837" s="31"/>
      <c r="E837" s="31"/>
      <c r="F837" s="31"/>
      <c r="G837" s="31"/>
      <c r="H837" s="32"/>
      <c r="J837" s="33"/>
      <c r="K837" s="33"/>
      <c r="L837" s="33"/>
      <c r="X837" s="23"/>
      <c r="Y837" s="23"/>
      <c r="Z837" s="23"/>
      <c r="AA837" s="23"/>
      <c r="AF837" s="23"/>
      <c r="AG837" s="23"/>
      <c r="AH837" s="23"/>
      <c r="AI837" s="23"/>
      <c r="AN837" s="23"/>
      <c r="AO837" s="23"/>
      <c r="AP837" s="23"/>
      <c r="AQ837" s="23"/>
      <c r="AR837" s="35"/>
      <c r="AS837" s="35"/>
      <c r="AT837" s="35"/>
      <c r="AU837" s="31"/>
    </row>
    <row r="838" spans="1:47">
      <c r="A838" s="39"/>
      <c r="D838" s="31"/>
      <c r="E838" s="31"/>
      <c r="F838" s="31"/>
      <c r="G838" s="31"/>
      <c r="H838" s="32"/>
      <c r="J838" s="33"/>
      <c r="K838" s="33"/>
      <c r="L838" s="33"/>
      <c r="X838" s="23"/>
      <c r="Y838" s="23"/>
      <c r="Z838" s="23"/>
      <c r="AA838" s="23"/>
      <c r="AF838" s="23"/>
      <c r="AG838" s="23"/>
      <c r="AH838" s="23"/>
      <c r="AI838" s="23"/>
      <c r="AN838" s="23"/>
      <c r="AO838" s="23"/>
      <c r="AP838" s="23"/>
      <c r="AQ838" s="23"/>
      <c r="AR838" s="35"/>
      <c r="AS838" s="35"/>
      <c r="AT838" s="35"/>
      <c r="AU838" s="31"/>
    </row>
    <row r="839" spans="1:47">
      <c r="A839" s="39"/>
      <c r="D839" s="31"/>
      <c r="E839" s="31"/>
      <c r="F839" s="31"/>
      <c r="G839" s="31"/>
      <c r="H839" s="32"/>
      <c r="J839" s="33"/>
      <c r="K839" s="33"/>
      <c r="L839" s="33"/>
      <c r="X839" s="23"/>
      <c r="Y839" s="23"/>
      <c r="Z839" s="23"/>
      <c r="AA839" s="23"/>
      <c r="AF839" s="23"/>
      <c r="AG839" s="23"/>
      <c r="AH839" s="23"/>
      <c r="AI839" s="23"/>
      <c r="AN839" s="23"/>
      <c r="AO839" s="23"/>
      <c r="AP839" s="23"/>
      <c r="AQ839" s="23"/>
      <c r="AR839" s="35"/>
      <c r="AS839" s="35"/>
      <c r="AT839" s="35"/>
      <c r="AU839" s="31"/>
    </row>
    <row r="840" spans="1:47">
      <c r="A840" s="39"/>
      <c r="D840" s="31"/>
      <c r="E840" s="31"/>
      <c r="F840" s="31"/>
      <c r="G840" s="31"/>
      <c r="H840" s="32"/>
      <c r="J840" s="33"/>
      <c r="K840" s="33"/>
      <c r="L840" s="33"/>
      <c r="X840" s="23"/>
      <c r="Y840" s="23"/>
      <c r="Z840" s="23"/>
      <c r="AA840" s="23"/>
      <c r="AF840" s="23"/>
      <c r="AG840" s="23"/>
      <c r="AH840" s="23"/>
      <c r="AI840" s="23"/>
      <c r="AN840" s="23"/>
      <c r="AO840" s="23"/>
      <c r="AP840" s="23"/>
      <c r="AQ840" s="23"/>
      <c r="AR840" s="35"/>
      <c r="AS840" s="35"/>
      <c r="AT840" s="35"/>
      <c r="AU840" s="31"/>
    </row>
    <row r="841" spans="1:47">
      <c r="A841" s="39"/>
      <c r="D841" s="31"/>
      <c r="E841" s="31"/>
      <c r="F841" s="31"/>
      <c r="G841" s="31"/>
      <c r="H841" s="32"/>
      <c r="J841" s="33"/>
      <c r="K841" s="33"/>
      <c r="L841" s="33"/>
      <c r="X841" s="23"/>
      <c r="Y841" s="23"/>
      <c r="Z841" s="23"/>
      <c r="AA841" s="23"/>
      <c r="AF841" s="23"/>
      <c r="AG841" s="23"/>
      <c r="AH841" s="23"/>
      <c r="AI841" s="23"/>
      <c r="AN841" s="23"/>
      <c r="AO841" s="23"/>
      <c r="AP841" s="23"/>
      <c r="AQ841" s="23"/>
      <c r="AR841" s="35"/>
      <c r="AS841" s="35"/>
      <c r="AT841" s="35"/>
      <c r="AU841" s="31"/>
    </row>
    <row r="842" spans="1:47">
      <c r="A842" s="39"/>
      <c r="D842" s="31"/>
      <c r="E842" s="31"/>
      <c r="F842" s="31"/>
      <c r="G842" s="31"/>
      <c r="H842" s="32"/>
      <c r="J842" s="33"/>
      <c r="K842" s="33"/>
      <c r="L842" s="33"/>
      <c r="X842" s="23"/>
      <c r="Y842" s="23"/>
      <c r="Z842" s="23"/>
      <c r="AA842" s="23"/>
      <c r="AF842" s="23"/>
      <c r="AG842" s="23"/>
      <c r="AH842" s="23"/>
      <c r="AI842" s="23"/>
      <c r="AN842" s="23"/>
      <c r="AO842" s="23"/>
      <c r="AP842" s="23"/>
      <c r="AQ842" s="23"/>
      <c r="AR842" s="35"/>
      <c r="AS842" s="35"/>
      <c r="AT842" s="35"/>
      <c r="AU842" s="31"/>
    </row>
    <row r="843" spans="1:47">
      <c r="A843" s="39"/>
      <c r="D843" s="31"/>
      <c r="E843" s="31"/>
      <c r="F843" s="31"/>
      <c r="G843" s="31"/>
      <c r="H843" s="32"/>
      <c r="J843" s="33"/>
      <c r="K843" s="33"/>
      <c r="L843" s="33"/>
      <c r="X843" s="23"/>
      <c r="Y843" s="23"/>
      <c r="Z843" s="23"/>
      <c r="AA843" s="23"/>
      <c r="AF843" s="23"/>
      <c r="AG843" s="23"/>
      <c r="AH843" s="23"/>
      <c r="AI843" s="23"/>
      <c r="AN843" s="23"/>
      <c r="AO843" s="23"/>
      <c r="AP843" s="23"/>
      <c r="AQ843" s="23"/>
      <c r="AR843" s="35"/>
      <c r="AS843" s="35"/>
      <c r="AT843" s="35"/>
      <c r="AU843" s="31"/>
    </row>
    <row r="844" spans="1:47">
      <c r="A844" s="39"/>
      <c r="D844" s="31"/>
      <c r="E844" s="31"/>
      <c r="F844" s="31"/>
      <c r="G844" s="31"/>
      <c r="H844" s="32"/>
      <c r="J844" s="33"/>
      <c r="K844" s="33"/>
      <c r="L844" s="33"/>
      <c r="X844" s="23"/>
      <c r="Y844" s="23"/>
      <c r="Z844" s="23"/>
      <c r="AA844" s="23"/>
      <c r="AF844" s="23"/>
      <c r="AG844" s="23"/>
      <c r="AH844" s="23"/>
      <c r="AI844" s="23"/>
      <c r="AN844" s="23"/>
      <c r="AO844" s="23"/>
      <c r="AP844" s="23"/>
      <c r="AQ844" s="23"/>
      <c r="AR844" s="35"/>
      <c r="AS844" s="35"/>
      <c r="AT844" s="35"/>
      <c r="AU844" s="31"/>
    </row>
    <row r="845" spans="1:47">
      <c r="A845" s="39"/>
      <c r="D845" s="31"/>
      <c r="E845" s="31"/>
      <c r="F845" s="31"/>
      <c r="G845" s="31"/>
      <c r="H845" s="32"/>
      <c r="J845" s="33"/>
      <c r="K845" s="33"/>
      <c r="L845" s="33"/>
      <c r="X845" s="23"/>
      <c r="Y845" s="23"/>
      <c r="Z845" s="23"/>
      <c r="AA845" s="23"/>
      <c r="AF845" s="23"/>
      <c r="AG845" s="23"/>
      <c r="AH845" s="23"/>
      <c r="AI845" s="23"/>
      <c r="AN845" s="23"/>
      <c r="AO845" s="23"/>
      <c r="AP845" s="23"/>
      <c r="AQ845" s="23"/>
      <c r="AR845" s="35"/>
      <c r="AS845" s="35"/>
      <c r="AT845" s="35"/>
      <c r="AU845" s="31"/>
    </row>
    <row r="846" spans="1:47">
      <c r="A846" s="39"/>
      <c r="D846" s="31"/>
      <c r="E846" s="31"/>
      <c r="F846" s="31"/>
      <c r="G846" s="31"/>
      <c r="H846" s="32"/>
      <c r="J846" s="33"/>
      <c r="K846" s="33"/>
      <c r="L846" s="33"/>
      <c r="X846" s="23"/>
      <c r="Y846" s="23"/>
      <c r="Z846" s="23"/>
      <c r="AA846" s="23"/>
      <c r="AF846" s="23"/>
      <c r="AG846" s="23"/>
      <c r="AH846" s="23"/>
      <c r="AI846" s="23"/>
      <c r="AN846" s="23"/>
      <c r="AO846" s="23"/>
      <c r="AP846" s="23"/>
      <c r="AQ846" s="23"/>
      <c r="AR846" s="35"/>
      <c r="AS846" s="35"/>
      <c r="AT846" s="35"/>
      <c r="AU846" s="31"/>
    </row>
    <row r="847" spans="1:47">
      <c r="A847" s="39"/>
      <c r="D847" s="31"/>
      <c r="E847" s="31"/>
      <c r="F847" s="31"/>
      <c r="G847" s="31"/>
      <c r="H847" s="32"/>
      <c r="J847" s="33"/>
      <c r="K847" s="33"/>
      <c r="L847" s="33"/>
      <c r="X847" s="23"/>
      <c r="Y847" s="23"/>
      <c r="Z847" s="23"/>
      <c r="AA847" s="23"/>
      <c r="AF847" s="23"/>
      <c r="AG847" s="23"/>
      <c r="AH847" s="23"/>
      <c r="AI847" s="23"/>
      <c r="AN847" s="23"/>
      <c r="AO847" s="23"/>
      <c r="AP847" s="23"/>
      <c r="AQ847" s="23"/>
      <c r="AR847" s="35"/>
      <c r="AS847" s="35"/>
      <c r="AT847" s="35"/>
      <c r="AU847" s="31"/>
    </row>
    <row r="848" spans="1:47">
      <c r="A848" s="39"/>
      <c r="D848" s="31"/>
      <c r="E848" s="31"/>
      <c r="F848" s="31"/>
      <c r="G848" s="31"/>
      <c r="H848" s="32"/>
      <c r="J848" s="33"/>
      <c r="K848" s="33"/>
      <c r="L848" s="33"/>
      <c r="X848" s="23"/>
      <c r="Y848" s="23"/>
      <c r="Z848" s="23"/>
      <c r="AA848" s="23"/>
      <c r="AF848" s="23"/>
      <c r="AG848" s="23"/>
      <c r="AH848" s="23"/>
      <c r="AI848" s="23"/>
      <c r="AN848" s="23"/>
      <c r="AO848" s="23"/>
      <c r="AP848" s="23"/>
      <c r="AQ848" s="23"/>
      <c r="AR848" s="35"/>
      <c r="AS848" s="35"/>
      <c r="AT848" s="35"/>
      <c r="AU848" s="31"/>
    </row>
    <row r="849" spans="1:47">
      <c r="A849" s="39"/>
      <c r="D849" s="31"/>
      <c r="E849" s="31"/>
      <c r="F849" s="31"/>
      <c r="G849" s="31"/>
      <c r="H849" s="32"/>
      <c r="J849" s="33"/>
      <c r="K849" s="33"/>
      <c r="L849" s="33"/>
      <c r="X849" s="23"/>
      <c r="Y849" s="23"/>
      <c r="Z849" s="23"/>
      <c r="AA849" s="23"/>
      <c r="AF849" s="23"/>
      <c r="AG849" s="23"/>
      <c r="AH849" s="23"/>
      <c r="AI849" s="23"/>
      <c r="AN849" s="23"/>
      <c r="AO849" s="23"/>
      <c r="AP849" s="23"/>
      <c r="AQ849" s="23"/>
      <c r="AR849" s="35"/>
      <c r="AS849" s="35"/>
      <c r="AT849" s="35"/>
      <c r="AU849" s="31"/>
    </row>
    <row r="850" spans="1:47">
      <c r="A850" s="39"/>
      <c r="D850" s="31"/>
      <c r="E850" s="31"/>
      <c r="F850" s="31"/>
      <c r="G850" s="31"/>
      <c r="H850" s="32"/>
      <c r="J850" s="33"/>
      <c r="K850" s="33"/>
      <c r="L850" s="33"/>
      <c r="X850" s="23"/>
      <c r="Y850" s="23"/>
      <c r="Z850" s="23"/>
      <c r="AA850" s="23"/>
      <c r="AF850" s="23"/>
      <c r="AG850" s="23"/>
      <c r="AH850" s="23"/>
      <c r="AI850" s="23"/>
      <c r="AN850" s="23"/>
      <c r="AO850" s="23"/>
      <c r="AP850" s="23"/>
      <c r="AQ850" s="23"/>
      <c r="AR850" s="35"/>
      <c r="AS850" s="35"/>
      <c r="AT850" s="35"/>
      <c r="AU850" s="31"/>
    </row>
    <row r="851" spans="1:47">
      <c r="A851" s="39"/>
      <c r="D851" s="31"/>
      <c r="E851" s="31"/>
      <c r="F851" s="31"/>
      <c r="G851" s="31"/>
      <c r="H851" s="32"/>
      <c r="J851" s="33"/>
      <c r="K851" s="33"/>
      <c r="L851" s="33"/>
      <c r="X851" s="23"/>
      <c r="Y851" s="23"/>
      <c r="Z851" s="23"/>
      <c r="AA851" s="23"/>
      <c r="AF851" s="23"/>
      <c r="AG851" s="23"/>
      <c r="AH851" s="23"/>
      <c r="AI851" s="23"/>
      <c r="AN851" s="23"/>
      <c r="AO851" s="23"/>
      <c r="AP851" s="23"/>
      <c r="AQ851" s="23"/>
      <c r="AR851" s="35"/>
      <c r="AS851" s="35"/>
      <c r="AT851" s="35"/>
      <c r="AU851" s="31"/>
    </row>
    <row r="852" spans="1:47">
      <c r="A852" s="39"/>
      <c r="D852" s="31"/>
      <c r="E852" s="31"/>
      <c r="F852" s="31"/>
      <c r="G852" s="31"/>
      <c r="H852" s="32"/>
      <c r="J852" s="33"/>
      <c r="K852" s="33"/>
      <c r="L852" s="33"/>
      <c r="X852" s="23"/>
      <c r="Y852" s="23"/>
      <c r="Z852" s="23"/>
      <c r="AA852" s="23"/>
      <c r="AF852" s="23"/>
      <c r="AG852" s="23"/>
      <c r="AH852" s="23"/>
      <c r="AI852" s="23"/>
      <c r="AN852" s="23"/>
      <c r="AO852" s="23"/>
      <c r="AP852" s="23"/>
      <c r="AQ852" s="23"/>
      <c r="AR852" s="35"/>
      <c r="AS852" s="35"/>
      <c r="AT852" s="35"/>
      <c r="AU852" s="31"/>
    </row>
    <row r="853" spans="1:47">
      <c r="A853" s="39"/>
      <c r="D853" s="31"/>
      <c r="E853" s="31"/>
      <c r="F853" s="31"/>
      <c r="G853" s="31"/>
      <c r="H853" s="32"/>
      <c r="J853" s="33"/>
      <c r="K853" s="33"/>
      <c r="L853" s="33"/>
      <c r="X853" s="23"/>
      <c r="Y853" s="23"/>
      <c r="Z853" s="23"/>
      <c r="AA853" s="23"/>
      <c r="AF853" s="23"/>
      <c r="AG853" s="23"/>
      <c r="AH853" s="23"/>
      <c r="AI853" s="23"/>
      <c r="AN853" s="23"/>
      <c r="AO853" s="23"/>
      <c r="AP853" s="23"/>
      <c r="AQ853" s="23"/>
      <c r="AR853" s="35"/>
      <c r="AS853" s="35"/>
      <c r="AT853" s="35"/>
      <c r="AU853" s="31"/>
    </row>
    <row r="854" spans="1:47">
      <c r="A854" s="39"/>
      <c r="D854" s="31"/>
      <c r="E854" s="31"/>
      <c r="F854" s="31"/>
      <c r="G854" s="31"/>
      <c r="H854" s="32"/>
      <c r="J854" s="33"/>
      <c r="K854" s="33"/>
      <c r="L854" s="33"/>
      <c r="X854" s="23"/>
      <c r="Y854" s="23"/>
      <c r="Z854" s="23"/>
      <c r="AA854" s="23"/>
      <c r="AF854" s="23"/>
      <c r="AG854" s="23"/>
      <c r="AH854" s="23"/>
      <c r="AI854" s="23"/>
      <c r="AN854" s="23"/>
      <c r="AO854" s="23"/>
      <c r="AP854" s="23"/>
      <c r="AQ854" s="23"/>
      <c r="AR854" s="35"/>
      <c r="AS854" s="35"/>
      <c r="AT854" s="35"/>
      <c r="AU854" s="31"/>
    </row>
    <row r="855" spans="1:47">
      <c r="A855" s="39"/>
      <c r="D855" s="31"/>
      <c r="E855" s="31"/>
      <c r="F855" s="31"/>
      <c r="G855" s="31"/>
      <c r="H855" s="32"/>
      <c r="J855" s="33"/>
      <c r="K855" s="33"/>
      <c r="L855" s="33"/>
      <c r="X855" s="23"/>
      <c r="Y855" s="23"/>
      <c r="Z855" s="23"/>
      <c r="AA855" s="23"/>
      <c r="AF855" s="23"/>
      <c r="AG855" s="23"/>
      <c r="AH855" s="23"/>
      <c r="AI855" s="23"/>
      <c r="AN855" s="23"/>
      <c r="AO855" s="23"/>
      <c r="AP855" s="23"/>
      <c r="AQ855" s="23"/>
      <c r="AR855" s="35"/>
      <c r="AS855" s="35"/>
      <c r="AT855" s="35"/>
      <c r="AU855" s="31"/>
    </row>
    <row r="856" spans="1:47">
      <c r="A856" s="39"/>
      <c r="D856" s="31"/>
      <c r="E856" s="31"/>
      <c r="F856" s="31"/>
      <c r="G856" s="31"/>
      <c r="H856" s="32"/>
      <c r="J856" s="33"/>
      <c r="K856" s="33"/>
      <c r="L856" s="33"/>
      <c r="X856" s="23"/>
      <c r="Y856" s="23"/>
      <c r="Z856" s="23"/>
      <c r="AA856" s="23"/>
      <c r="AF856" s="23"/>
      <c r="AG856" s="23"/>
      <c r="AH856" s="23"/>
      <c r="AI856" s="23"/>
      <c r="AN856" s="23"/>
      <c r="AO856" s="23"/>
      <c r="AP856" s="23"/>
      <c r="AQ856" s="23"/>
      <c r="AR856" s="35"/>
      <c r="AS856" s="35"/>
      <c r="AT856" s="35"/>
      <c r="AU856" s="31"/>
    </row>
    <row r="857" spans="1:47">
      <c r="A857" s="39"/>
      <c r="D857" s="31"/>
      <c r="E857" s="31"/>
      <c r="F857" s="31"/>
      <c r="G857" s="31"/>
      <c r="H857" s="32"/>
      <c r="J857" s="33"/>
      <c r="K857" s="33"/>
      <c r="L857" s="33"/>
      <c r="X857" s="23"/>
      <c r="Y857" s="23"/>
      <c r="Z857" s="23"/>
      <c r="AA857" s="23"/>
      <c r="AF857" s="23"/>
      <c r="AG857" s="23"/>
      <c r="AH857" s="23"/>
      <c r="AI857" s="23"/>
      <c r="AN857" s="23"/>
      <c r="AO857" s="23"/>
      <c r="AP857" s="23"/>
      <c r="AQ857" s="23"/>
      <c r="AR857" s="35"/>
      <c r="AS857" s="35"/>
      <c r="AT857" s="35"/>
      <c r="AU857" s="31"/>
    </row>
    <row r="858" spans="1:47">
      <c r="A858" s="39"/>
      <c r="D858" s="31"/>
      <c r="E858" s="31"/>
      <c r="F858" s="31"/>
      <c r="G858" s="31"/>
      <c r="H858" s="32"/>
      <c r="J858" s="33"/>
      <c r="K858" s="33"/>
      <c r="L858" s="33"/>
      <c r="X858" s="23"/>
      <c r="Y858" s="23"/>
      <c r="Z858" s="23"/>
      <c r="AA858" s="23"/>
      <c r="AF858" s="23"/>
      <c r="AG858" s="23"/>
      <c r="AH858" s="23"/>
      <c r="AI858" s="23"/>
      <c r="AN858" s="23"/>
      <c r="AO858" s="23"/>
      <c r="AP858" s="23"/>
      <c r="AQ858" s="23"/>
      <c r="AR858" s="35"/>
      <c r="AS858" s="35"/>
      <c r="AT858" s="35"/>
      <c r="AU858" s="31"/>
    </row>
    <row r="859" spans="1:47">
      <c r="A859" s="39"/>
      <c r="D859" s="31"/>
      <c r="E859" s="31"/>
      <c r="F859" s="31"/>
      <c r="G859" s="31"/>
      <c r="H859" s="32"/>
      <c r="J859" s="33"/>
      <c r="K859" s="33"/>
      <c r="L859" s="33"/>
      <c r="X859" s="23"/>
      <c r="Y859" s="23"/>
      <c r="Z859" s="23"/>
      <c r="AA859" s="23"/>
      <c r="AF859" s="23"/>
      <c r="AG859" s="23"/>
      <c r="AH859" s="23"/>
      <c r="AI859" s="23"/>
      <c r="AN859" s="23"/>
      <c r="AO859" s="23"/>
      <c r="AP859" s="23"/>
      <c r="AQ859" s="23"/>
      <c r="AR859" s="35"/>
      <c r="AS859" s="35"/>
      <c r="AT859" s="35"/>
      <c r="AU859" s="31"/>
    </row>
    <row r="860" spans="1:47">
      <c r="A860" s="39"/>
      <c r="D860" s="31"/>
      <c r="E860" s="31"/>
      <c r="F860" s="31"/>
      <c r="G860" s="31"/>
      <c r="H860" s="32"/>
      <c r="J860" s="33"/>
      <c r="K860" s="33"/>
      <c r="L860" s="33"/>
      <c r="X860" s="23"/>
      <c r="Y860" s="23"/>
      <c r="Z860" s="23"/>
      <c r="AA860" s="23"/>
      <c r="AF860" s="23"/>
      <c r="AG860" s="23"/>
      <c r="AH860" s="23"/>
      <c r="AI860" s="23"/>
      <c r="AN860" s="23"/>
      <c r="AO860" s="23"/>
      <c r="AP860" s="23"/>
      <c r="AQ860" s="23"/>
      <c r="AR860" s="35"/>
      <c r="AS860" s="35"/>
      <c r="AT860" s="35"/>
      <c r="AU860" s="31"/>
    </row>
    <row r="861" spans="1:47">
      <c r="A861" s="39"/>
      <c r="D861" s="31"/>
      <c r="E861" s="31"/>
      <c r="F861" s="31"/>
      <c r="G861" s="31"/>
      <c r="H861" s="32"/>
      <c r="J861" s="33"/>
      <c r="K861" s="33"/>
      <c r="L861" s="33"/>
      <c r="X861" s="23"/>
      <c r="Y861" s="23"/>
      <c r="Z861" s="23"/>
      <c r="AA861" s="23"/>
      <c r="AF861" s="23"/>
      <c r="AG861" s="23"/>
      <c r="AH861" s="23"/>
      <c r="AI861" s="23"/>
      <c r="AN861" s="23"/>
      <c r="AO861" s="23"/>
      <c r="AP861" s="23"/>
      <c r="AQ861" s="23"/>
      <c r="AR861" s="35"/>
      <c r="AS861" s="35"/>
      <c r="AT861" s="35"/>
      <c r="AU861" s="31"/>
    </row>
    <row r="862" spans="1:47">
      <c r="A862" s="39"/>
      <c r="D862" s="31"/>
      <c r="E862" s="31"/>
      <c r="F862" s="31"/>
      <c r="G862" s="31"/>
      <c r="H862" s="32"/>
      <c r="J862" s="33"/>
      <c r="K862" s="33"/>
      <c r="L862" s="33"/>
      <c r="X862" s="23"/>
      <c r="Y862" s="23"/>
      <c r="Z862" s="23"/>
      <c r="AA862" s="23"/>
      <c r="AF862" s="23"/>
      <c r="AG862" s="23"/>
      <c r="AH862" s="23"/>
      <c r="AI862" s="23"/>
      <c r="AN862" s="23"/>
      <c r="AO862" s="23"/>
      <c r="AP862" s="23"/>
      <c r="AQ862" s="23"/>
      <c r="AR862" s="35"/>
      <c r="AS862" s="35"/>
      <c r="AT862" s="35"/>
      <c r="AU862" s="31"/>
    </row>
    <row r="863" spans="1:47">
      <c r="A863" s="39"/>
      <c r="D863" s="31"/>
      <c r="E863" s="31"/>
      <c r="F863" s="31"/>
      <c r="G863" s="31"/>
      <c r="H863" s="32"/>
      <c r="J863" s="33"/>
      <c r="K863" s="33"/>
      <c r="L863" s="33"/>
      <c r="X863" s="23"/>
      <c r="Y863" s="23"/>
      <c r="Z863" s="23"/>
      <c r="AA863" s="23"/>
      <c r="AF863" s="23"/>
      <c r="AG863" s="23"/>
      <c r="AH863" s="23"/>
      <c r="AI863" s="23"/>
      <c r="AN863" s="23"/>
      <c r="AO863" s="23"/>
      <c r="AP863" s="23"/>
      <c r="AQ863" s="23"/>
      <c r="AR863" s="35"/>
      <c r="AS863" s="35"/>
      <c r="AT863" s="35"/>
      <c r="AU863" s="31"/>
    </row>
    <row r="864" spans="1:47">
      <c r="A864" s="39"/>
      <c r="D864" s="31"/>
      <c r="E864" s="31"/>
      <c r="F864" s="31"/>
      <c r="G864" s="31"/>
      <c r="H864" s="32"/>
      <c r="J864" s="33"/>
      <c r="K864" s="33"/>
      <c r="L864" s="33"/>
      <c r="X864" s="23"/>
      <c r="Y864" s="23"/>
      <c r="Z864" s="23"/>
      <c r="AA864" s="23"/>
      <c r="AF864" s="23"/>
      <c r="AG864" s="23"/>
      <c r="AH864" s="23"/>
      <c r="AI864" s="23"/>
      <c r="AN864" s="23"/>
      <c r="AO864" s="23"/>
      <c r="AP864" s="23"/>
      <c r="AQ864" s="23"/>
      <c r="AR864" s="35"/>
      <c r="AS864" s="35"/>
      <c r="AT864" s="35"/>
      <c r="AU864" s="31"/>
    </row>
    <row r="865" spans="1:47">
      <c r="A865" s="39"/>
      <c r="D865" s="31"/>
      <c r="E865" s="31"/>
      <c r="F865" s="31"/>
      <c r="G865" s="31"/>
      <c r="H865" s="32"/>
      <c r="J865" s="33"/>
      <c r="K865" s="33"/>
      <c r="L865" s="33"/>
      <c r="X865" s="23"/>
      <c r="Y865" s="23"/>
      <c r="Z865" s="23"/>
      <c r="AA865" s="23"/>
      <c r="AF865" s="23"/>
      <c r="AG865" s="23"/>
      <c r="AH865" s="23"/>
      <c r="AI865" s="23"/>
      <c r="AN865" s="23"/>
      <c r="AO865" s="23"/>
      <c r="AP865" s="23"/>
      <c r="AQ865" s="23"/>
      <c r="AR865" s="35"/>
      <c r="AS865" s="35"/>
      <c r="AT865" s="35"/>
      <c r="AU865" s="31"/>
    </row>
    <row r="866" spans="1:47">
      <c r="A866" s="39"/>
      <c r="D866" s="31"/>
      <c r="E866" s="31"/>
      <c r="F866" s="31"/>
      <c r="G866" s="31"/>
      <c r="H866" s="32"/>
      <c r="J866" s="33"/>
      <c r="K866" s="33"/>
      <c r="L866" s="33"/>
      <c r="X866" s="23"/>
      <c r="Y866" s="23"/>
      <c r="Z866" s="23"/>
      <c r="AA866" s="23"/>
      <c r="AF866" s="23"/>
      <c r="AG866" s="23"/>
      <c r="AH866" s="23"/>
      <c r="AI866" s="23"/>
      <c r="AN866" s="23"/>
      <c r="AO866" s="23"/>
      <c r="AP866" s="23"/>
      <c r="AQ866" s="23"/>
      <c r="AR866" s="35"/>
      <c r="AS866" s="35"/>
      <c r="AT866" s="35"/>
      <c r="AU866" s="31"/>
    </row>
    <row r="867" spans="1:47">
      <c r="A867" s="39"/>
      <c r="D867" s="31"/>
      <c r="E867" s="31"/>
      <c r="F867" s="31"/>
      <c r="G867" s="31"/>
      <c r="H867" s="32"/>
      <c r="J867" s="33"/>
      <c r="K867" s="33"/>
      <c r="L867" s="33"/>
      <c r="X867" s="23"/>
      <c r="Y867" s="23"/>
      <c r="Z867" s="23"/>
      <c r="AA867" s="23"/>
      <c r="AF867" s="23"/>
      <c r="AG867" s="23"/>
      <c r="AH867" s="23"/>
      <c r="AI867" s="23"/>
      <c r="AN867" s="23"/>
      <c r="AO867" s="23"/>
      <c r="AP867" s="23"/>
      <c r="AQ867" s="23"/>
      <c r="AR867" s="35"/>
      <c r="AS867" s="35"/>
      <c r="AT867" s="35"/>
      <c r="AU867" s="31"/>
    </row>
    <row r="868" spans="1:47">
      <c r="A868" s="39"/>
      <c r="D868" s="31"/>
      <c r="E868" s="31"/>
      <c r="F868" s="31"/>
      <c r="G868" s="31"/>
      <c r="H868" s="32"/>
      <c r="J868" s="33"/>
      <c r="K868" s="33"/>
      <c r="L868" s="33"/>
      <c r="X868" s="23"/>
      <c r="Y868" s="23"/>
      <c r="Z868" s="23"/>
      <c r="AA868" s="23"/>
      <c r="AF868" s="23"/>
      <c r="AG868" s="23"/>
      <c r="AH868" s="23"/>
      <c r="AI868" s="23"/>
      <c r="AN868" s="23"/>
      <c r="AO868" s="23"/>
      <c r="AP868" s="23"/>
      <c r="AQ868" s="23"/>
      <c r="AR868" s="35"/>
      <c r="AS868" s="35"/>
      <c r="AT868" s="35"/>
      <c r="AU868" s="31"/>
    </row>
    <row r="869" spans="1:47">
      <c r="A869" s="39"/>
      <c r="D869" s="31"/>
      <c r="E869" s="31"/>
      <c r="F869" s="31"/>
      <c r="G869" s="31"/>
      <c r="H869" s="32"/>
      <c r="J869" s="33"/>
      <c r="K869" s="33"/>
      <c r="L869" s="33"/>
      <c r="X869" s="23"/>
      <c r="Y869" s="23"/>
      <c r="Z869" s="23"/>
      <c r="AA869" s="23"/>
      <c r="AF869" s="23"/>
      <c r="AG869" s="23"/>
      <c r="AH869" s="23"/>
      <c r="AI869" s="23"/>
      <c r="AN869" s="23"/>
      <c r="AO869" s="23"/>
      <c r="AP869" s="23"/>
      <c r="AQ869" s="23"/>
      <c r="AR869" s="35"/>
      <c r="AS869" s="35"/>
      <c r="AT869" s="35"/>
      <c r="AU869" s="31"/>
    </row>
    <row r="870" spans="1:47">
      <c r="A870" s="39"/>
      <c r="D870" s="31"/>
      <c r="E870" s="31"/>
      <c r="F870" s="31"/>
      <c r="G870" s="31"/>
      <c r="H870" s="32"/>
      <c r="J870" s="33"/>
      <c r="K870" s="33"/>
      <c r="L870" s="33"/>
      <c r="X870" s="23"/>
      <c r="Y870" s="23"/>
      <c r="Z870" s="23"/>
      <c r="AA870" s="23"/>
      <c r="AF870" s="23"/>
      <c r="AG870" s="23"/>
      <c r="AH870" s="23"/>
      <c r="AI870" s="23"/>
      <c r="AN870" s="23"/>
      <c r="AO870" s="23"/>
      <c r="AP870" s="23"/>
      <c r="AQ870" s="23"/>
      <c r="AR870" s="35"/>
      <c r="AS870" s="35"/>
      <c r="AT870" s="35"/>
      <c r="AU870" s="31"/>
    </row>
    <row r="871" spans="1:47">
      <c r="A871" s="39"/>
      <c r="D871" s="31"/>
      <c r="E871" s="31"/>
      <c r="F871" s="31"/>
      <c r="G871" s="31"/>
      <c r="H871" s="32"/>
      <c r="J871" s="33"/>
      <c r="K871" s="33"/>
      <c r="L871" s="33"/>
      <c r="X871" s="23"/>
      <c r="Y871" s="23"/>
      <c r="Z871" s="23"/>
      <c r="AA871" s="23"/>
      <c r="AF871" s="23"/>
      <c r="AG871" s="23"/>
      <c r="AH871" s="23"/>
      <c r="AI871" s="23"/>
      <c r="AN871" s="23"/>
      <c r="AO871" s="23"/>
      <c r="AP871" s="23"/>
      <c r="AQ871" s="23"/>
      <c r="AR871" s="35"/>
      <c r="AS871" s="35"/>
      <c r="AT871" s="35"/>
      <c r="AU871" s="31"/>
    </row>
    <row r="872" spans="1:47">
      <c r="A872" s="39"/>
      <c r="D872" s="31"/>
      <c r="E872" s="31"/>
      <c r="F872" s="31"/>
      <c r="G872" s="31"/>
      <c r="H872" s="32"/>
      <c r="J872" s="33"/>
      <c r="K872" s="33"/>
      <c r="L872" s="33"/>
      <c r="X872" s="23"/>
      <c r="Y872" s="23"/>
      <c r="Z872" s="23"/>
      <c r="AA872" s="23"/>
      <c r="AF872" s="23"/>
      <c r="AG872" s="23"/>
      <c r="AH872" s="23"/>
      <c r="AI872" s="23"/>
      <c r="AN872" s="23"/>
      <c r="AO872" s="23"/>
      <c r="AP872" s="23"/>
      <c r="AQ872" s="23"/>
      <c r="AR872" s="35"/>
      <c r="AS872" s="35"/>
      <c r="AT872" s="35"/>
      <c r="AU872" s="31"/>
    </row>
    <row r="873" spans="1:47">
      <c r="A873" s="39"/>
      <c r="D873" s="31"/>
      <c r="E873" s="31"/>
      <c r="F873" s="31"/>
      <c r="G873" s="31"/>
      <c r="H873" s="32"/>
      <c r="J873" s="33"/>
      <c r="K873" s="33"/>
      <c r="L873" s="33"/>
      <c r="X873" s="23"/>
      <c r="Y873" s="23"/>
      <c r="Z873" s="23"/>
      <c r="AA873" s="23"/>
      <c r="AF873" s="23"/>
      <c r="AG873" s="23"/>
      <c r="AH873" s="23"/>
      <c r="AI873" s="23"/>
      <c r="AN873" s="23"/>
      <c r="AO873" s="23"/>
      <c r="AP873" s="23"/>
      <c r="AQ873" s="23"/>
      <c r="AR873" s="35"/>
      <c r="AS873" s="35"/>
      <c r="AT873" s="35"/>
      <c r="AU873" s="31"/>
    </row>
    <row r="874" spans="1:47">
      <c r="A874" s="39"/>
      <c r="D874" s="31"/>
      <c r="E874" s="31"/>
      <c r="F874" s="31"/>
      <c r="G874" s="31"/>
      <c r="H874" s="32"/>
      <c r="J874" s="33"/>
      <c r="K874" s="33"/>
      <c r="L874" s="33"/>
      <c r="X874" s="23"/>
      <c r="Y874" s="23"/>
      <c r="Z874" s="23"/>
      <c r="AA874" s="23"/>
      <c r="AF874" s="23"/>
      <c r="AG874" s="23"/>
      <c r="AH874" s="23"/>
      <c r="AI874" s="23"/>
      <c r="AN874" s="23"/>
      <c r="AO874" s="23"/>
      <c r="AP874" s="23"/>
      <c r="AQ874" s="23"/>
      <c r="AR874" s="35"/>
      <c r="AS874" s="35"/>
      <c r="AT874" s="35"/>
      <c r="AU874" s="31"/>
    </row>
    <row r="875" spans="1:47">
      <c r="A875" s="39"/>
      <c r="D875" s="31"/>
      <c r="E875" s="31"/>
      <c r="F875" s="31"/>
      <c r="G875" s="31"/>
      <c r="H875" s="32"/>
      <c r="J875" s="33"/>
      <c r="K875" s="33"/>
      <c r="L875" s="33"/>
      <c r="X875" s="23"/>
      <c r="Y875" s="23"/>
      <c r="Z875" s="23"/>
      <c r="AA875" s="23"/>
      <c r="AF875" s="23"/>
      <c r="AG875" s="23"/>
      <c r="AH875" s="23"/>
      <c r="AI875" s="23"/>
      <c r="AN875" s="23"/>
      <c r="AO875" s="23"/>
      <c r="AP875" s="23"/>
      <c r="AQ875" s="23"/>
      <c r="AR875" s="35"/>
      <c r="AS875" s="35"/>
      <c r="AT875" s="35"/>
      <c r="AU875" s="31"/>
    </row>
    <row r="876" spans="1:47">
      <c r="A876" s="39"/>
      <c r="D876" s="31"/>
      <c r="E876" s="31"/>
      <c r="F876" s="31"/>
      <c r="G876" s="31"/>
      <c r="H876" s="32"/>
      <c r="J876" s="33"/>
      <c r="K876" s="33"/>
      <c r="L876" s="33"/>
      <c r="X876" s="23"/>
      <c r="Y876" s="23"/>
      <c r="Z876" s="23"/>
      <c r="AA876" s="23"/>
      <c r="AF876" s="23"/>
      <c r="AG876" s="23"/>
      <c r="AH876" s="23"/>
      <c r="AI876" s="23"/>
      <c r="AN876" s="23"/>
      <c r="AO876" s="23"/>
      <c r="AP876" s="23"/>
      <c r="AQ876" s="23"/>
      <c r="AR876" s="35"/>
      <c r="AS876" s="35"/>
      <c r="AT876" s="35"/>
      <c r="AU876" s="31"/>
    </row>
    <row r="877" spans="1:47">
      <c r="A877" s="39"/>
      <c r="D877" s="31"/>
      <c r="E877" s="31"/>
      <c r="F877" s="31"/>
      <c r="G877" s="31"/>
      <c r="H877" s="32"/>
      <c r="J877" s="33"/>
      <c r="K877" s="33"/>
      <c r="L877" s="33"/>
      <c r="X877" s="23"/>
      <c r="Y877" s="23"/>
      <c r="Z877" s="23"/>
      <c r="AA877" s="23"/>
      <c r="AF877" s="23"/>
      <c r="AG877" s="23"/>
      <c r="AH877" s="23"/>
      <c r="AI877" s="23"/>
      <c r="AN877" s="23"/>
      <c r="AO877" s="23"/>
      <c r="AP877" s="23"/>
      <c r="AQ877" s="23"/>
      <c r="AR877" s="35"/>
      <c r="AS877" s="35"/>
      <c r="AT877" s="35"/>
      <c r="AU877" s="31"/>
    </row>
    <row r="878" spans="1:47">
      <c r="A878" s="39"/>
      <c r="D878" s="31"/>
      <c r="E878" s="31"/>
      <c r="F878" s="31"/>
      <c r="G878" s="31"/>
      <c r="H878" s="32"/>
      <c r="J878" s="33"/>
      <c r="K878" s="33"/>
      <c r="L878" s="33"/>
      <c r="X878" s="23"/>
      <c r="Y878" s="23"/>
      <c r="Z878" s="23"/>
      <c r="AA878" s="23"/>
      <c r="AF878" s="23"/>
      <c r="AG878" s="23"/>
      <c r="AH878" s="23"/>
      <c r="AI878" s="23"/>
      <c r="AN878" s="23"/>
      <c r="AO878" s="23"/>
      <c r="AP878" s="23"/>
      <c r="AQ878" s="23"/>
      <c r="AR878" s="35"/>
      <c r="AS878" s="35"/>
      <c r="AT878" s="35"/>
      <c r="AU878" s="31"/>
    </row>
    <row r="879" spans="1:47">
      <c r="A879" s="39"/>
      <c r="D879" s="31"/>
      <c r="E879" s="31"/>
      <c r="F879" s="31"/>
      <c r="G879" s="31"/>
      <c r="H879" s="32"/>
      <c r="J879" s="33"/>
      <c r="K879" s="33"/>
      <c r="L879" s="33"/>
      <c r="X879" s="23"/>
      <c r="Y879" s="23"/>
      <c r="Z879" s="23"/>
      <c r="AA879" s="23"/>
      <c r="AF879" s="23"/>
      <c r="AG879" s="23"/>
      <c r="AH879" s="23"/>
      <c r="AI879" s="23"/>
      <c r="AN879" s="23"/>
      <c r="AO879" s="23"/>
      <c r="AP879" s="23"/>
      <c r="AQ879" s="23"/>
      <c r="AR879" s="35"/>
      <c r="AS879" s="35"/>
      <c r="AT879" s="35"/>
      <c r="AU879" s="31"/>
    </row>
    <row r="880" spans="1:47">
      <c r="A880" s="39"/>
      <c r="D880" s="31"/>
      <c r="E880" s="31"/>
      <c r="F880" s="31"/>
      <c r="G880" s="31"/>
      <c r="H880" s="32"/>
      <c r="J880" s="33"/>
      <c r="K880" s="33"/>
      <c r="L880" s="33"/>
      <c r="X880" s="23"/>
      <c r="Y880" s="23"/>
      <c r="Z880" s="23"/>
      <c r="AA880" s="23"/>
      <c r="AF880" s="23"/>
      <c r="AG880" s="23"/>
      <c r="AH880" s="23"/>
      <c r="AI880" s="23"/>
      <c r="AN880" s="23"/>
      <c r="AO880" s="23"/>
      <c r="AP880" s="23"/>
      <c r="AQ880" s="23"/>
      <c r="AR880" s="35"/>
      <c r="AS880" s="35"/>
      <c r="AT880" s="35"/>
      <c r="AU880" s="31"/>
    </row>
    <row r="881" spans="1:47">
      <c r="A881" s="39"/>
      <c r="D881" s="31"/>
      <c r="E881" s="31"/>
      <c r="F881" s="31"/>
      <c r="G881" s="31"/>
      <c r="H881" s="32"/>
      <c r="J881" s="33"/>
      <c r="K881" s="33"/>
      <c r="L881" s="33"/>
      <c r="X881" s="23"/>
      <c r="Y881" s="23"/>
      <c r="Z881" s="23"/>
      <c r="AA881" s="23"/>
      <c r="AF881" s="23"/>
      <c r="AG881" s="23"/>
      <c r="AH881" s="23"/>
      <c r="AI881" s="23"/>
      <c r="AN881" s="23"/>
      <c r="AO881" s="23"/>
      <c r="AP881" s="23"/>
      <c r="AQ881" s="23"/>
      <c r="AR881" s="35"/>
      <c r="AS881" s="35"/>
      <c r="AT881" s="35"/>
      <c r="AU881" s="31"/>
    </row>
    <row r="882" spans="1:47">
      <c r="A882" s="39"/>
      <c r="D882" s="31"/>
      <c r="E882" s="31"/>
      <c r="F882" s="31"/>
      <c r="G882" s="31"/>
      <c r="H882" s="32"/>
      <c r="J882" s="33"/>
      <c r="K882" s="33"/>
      <c r="L882" s="33"/>
      <c r="X882" s="23"/>
      <c r="Y882" s="23"/>
      <c r="Z882" s="23"/>
      <c r="AA882" s="23"/>
      <c r="AF882" s="23"/>
      <c r="AG882" s="23"/>
      <c r="AH882" s="23"/>
      <c r="AI882" s="23"/>
      <c r="AN882" s="23"/>
      <c r="AO882" s="23"/>
      <c r="AP882" s="23"/>
      <c r="AQ882" s="23"/>
      <c r="AR882" s="35"/>
      <c r="AS882" s="35"/>
      <c r="AT882" s="35"/>
      <c r="AU882" s="31"/>
    </row>
    <row r="883" spans="1:47">
      <c r="A883" s="39"/>
      <c r="D883" s="31"/>
      <c r="E883" s="31"/>
      <c r="F883" s="31"/>
      <c r="G883" s="31"/>
      <c r="H883" s="32"/>
      <c r="J883" s="33"/>
      <c r="K883" s="33"/>
      <c r="L883" s="33"/>
      <c r="X883" s="23"/>
      <c r="Y883" s="23"/>
      <c r="Z883" s="23"/>
      <c r="AA883" s="23"/>
      <c r="AF883" s="23"/>
      <c r="AG883" s="23"/>
      <c r="AH883" s="23"/>
      <c r="AI883" s="23"/>
      <c r="AN883" s="23"/>
      <c r="AO883" s="23"/>
      <c r="AP883" s="23"/>
      <c r="AQ883" s="23"/>
      <c r="AR883" s="35"/>
      <c r="AS883" s="35"/>
      <c r="AT883" s="35"/>
      <c r="AU883" s="31"/>
    </row>
    <row r="884" spans="1:47">
      <c r="A884" s="39"/>
      <c r="D884" s="31"/>
      <c r="E884" s="31"/>
      <c r="F884" s="31"/>
      <c r="G884" s="31"/>
      <c r="H884" s="32"/>
      <c r="J884" s="33"/>
      <c r="K884" s="33"/>
      <c r="L884" s="33"/>
      <c r="X884" s="23"/>
      <c r="Y884" s="23"/>
      <c r="Z884" s="23"/>
      <c r="AA884" s="23"/>
      <c r="AF884" s="23"/>
      <c r="AG884" s="23"/>
      <c r="AH884" s="23"/>
      <c r="AI884" s="23"/>
      <c r="AN884" s="23"/>
      <c r="AO884" s="23"/>
      <c r="AP884" s="23"/>
      <c r="AQ884" s="23"/>
      <c r="AR884" s="35"/>
      <c r="AS884" s="35"/>
      <c r="AT884" s="35"/>
      <c r="AU884" s="31"/>
    </row>
    <row r="885" spans="1:47">
      <c r="A885" s="39"/>
      <c r="D885" s="31"/>
      <c r="E885" s="31"/>
      <c r="F885" s="31"/>
      <c r="G885" s="31"/>
      <c r="H885" s="32"/>
      <c r="J885" s="33"/>
      <c r="K885" s="33"/>
      <c r="L885" s="33"/>
      <c r="X885" s="23"/>
      <c r="Y885" s="23"/>
      <c r="Z885" s="23"/>
      <c r="AA885" s="23"/>
      <c r="AF885" s="23"/>
      <c r="AG885" s="23"/>
      <c r="AH885" s="23"/>
      <c r="AI885" s="23"/>
      <c r="AN885" s="23"/>
      <c r="AO885" s="23"/>
      <c r="AP885" s="23"/>
      <c r="AQ885" s="23"/>
      <c r="AR885" s="35"/>
      <c r="AS885" s="35"/>
      <c r="AT885" s="35"/>
      <c r="AU885" s="31"/>
    </row>
    <row r="886" spans="1:47">
      <c r="A886" s="39"/>
      <c r="D886" s="31"/>
      <c r="E886" s="31"/>
      <c r="F886" s="31"/>
      <c r="G886" s="31"/>
      <c r="H886" s="32"/>
      <c r="J886" s="33"/>
      <c r="K886" s="33"/>
      <c r="L886" s="33"/>
      <c r="X886" s="23"/>
      <c r="Y886" s="23"/>
      <c r="Z886" s="23"/>
      <c r="AA886" s="23"/>
      <c r="AF886" s="23"/>
      <c r="AG886" s="23"/>
      <c r="AH886" s="23"/>
      <c r="AI886" s="23"/>
      <c r="AN886" s="23"/>
      <c r="AO886" s="23"/>
      <c r="AP886" s="23"/>
      <c r="AQ886" s="23"/>
      <c r="AR886" s="35"/>
      <c r="AS886" s="35"/>
      <c r="AT886" s="35"/>
      <c r="AU886" s="31"/>
    </row>
    <row r="887" spans="1:47">
      <c r="A887" s="39"/>
      <c r="D887" s="31"/>
      <c r="E887" s="31"/>
      <c r="F887" s="31"/>
      <c r="G887" s="31"/>
      <c r="H887" s="32"/>
      <c r="J887" s="33"/>
      <c r="K887" s="33"/>
      <c r="L887" s="33"/>
      <c r="X887" s="23"/>
      <c r="Y887" s="23"/>
      <c r="Z887" s="23"/>
      <c r="AA887" s="23"/>
      <c r="AF887" s="23"/>
      <c r="AG887" s="23"/>
      <c r="AH887" s="23"/>
      <c r="AI887" s="23"/>
      <c r="AN887" s="23"/>
      <c r="AO887" s="23"/>
      <c r="AP887" s="23"/>
      <c r="AQ887" s="23"/>
      <c r="AR887" s="35"/>
      <c r="AS887" s="35"/>
      <c r="AT887" s="35"/>
      <c r="AU887" s="31"/>
    </row>
    <row r="888" spans="1:47">
      <c r="A888" s="39"/>
      <c r="D888" s="31"/>
      <c r="E888" s="31"/>
      <c r="F888" s="31"/>
      <c r="G888" s="31"/>
      <c r="H888" s="32"/>
      <c r="J888" s="33"/>
      <c r="K888" s="33"/>
      <c r="L888" s="33"/>
      <c r="X888" s="23"/>
      <c r="Y888" s="23"/>
      <c r="Z888" s="23"/>
      <c r="AA888" s="23"/>
      <c r="AF888" s="23"/>
      <c r="AG888" s="23"/>
      <c r="AH888" s="23"/>
      <c r="AI888" s="23"/>
      <c r="AN888" s="23"/>
      <c r="AO888" s="23"/>
      <c r="AP888" s="23"/>
      <c r="AQ888" s="23"/>
      <c r="AR888" s="35"/>
      <c r="AS888" s="35"/>
      <c r="AT888" s="35"/>
      <c r="AU888" s="31"/>
    </row>
    <row r="889" spans="1:47">
      <c r="A889" s="39"/>
      <c r="D889" s="31"/>
      <c r="E889" s="31"/>
      <c r="F889" s="31"/>
      <c r="G889" s="31"/>
      <c r="H889" s="32"/>
      <c r="J889" s="33"/>
      <c r="K889" s="33"/>
      <c r="L889" s="33"/>
      <c r="X889" s="23"/>
      <c r="Y889" s="23"/>
      <c r="Z889" s="23"/>
      <c r="AA889" s="23"/>
      <c r="AF889" s="23"/>
      <c r="AG889" s="23"/>
      <c r="AH889" s="23"/>
      <c r="AI889" s="23"/>
      <c r="AN889" s="23"/>
      <c r="AO889" s="23"/>
      <c r="AP889" s="23"/>
      <c r="AQ889" s="23"/>
      <c r="AR889" s="35"/>
      <c r="AS889" s="35"/>
      <c r="AT889" s="35"/>
      <c r="AU889" s="31"/>
    </row>
    <row r="890" spans="1:47">
      <c r="A890" s="39"/>
      <c r="D890" s="31"/>
      <c r="E890" s="31"/>
      <c r="F890" s="31"/>
      <c r="G890" s="31"/>
      <c r="H890" s="32"/>
      <c r="J890" s="33"/>
      <c r="K890" s="33"/>
      <c r="L890" s="33"/>
      <c r="X890" s="23"/>
      <c r="Y890" s="23"/>
      <c r="Z890" s="23"/>
      <c r="AA890" s="23"/>
      <c r="AF890" s="23"/>
      <c r="AG890" s="23"/>
      <c r="AH890" s="23"/>
      <c r="AI890" s="23"/>
      <c r="AN890" s="23"/>
      <c r="AO890" s="23"/>
      <c r="AP890" s="23"/>
      <c r="AQ890" s="23"/>
      <c r="AR890" s="35"/>
      <c r="AS890" s="35"/>
      <c r="AT890" s="35"/>
      <c r="AU890" s="31"/>
    </row>
    <row r="891" spans="1:47">
      <c r="A891" s="39"/>
      <c r="D891" s="31"/>
      <c r="E891" s="31"/>
      <c r="F891" s="31"/>
      <c r="G891" s="31"/>
      <c r="H891" s="32"/>
      <c r="J891" s="33"/>
      <c r="K891" s="33"/>
      <c r="L891" s="33"/>
      <c r="X891" s="23"/>
      <c r="Y891" s="23"/>
      <c r="Z891" s="23"/>
      <c r="AA891" s="23"/>
      <c r="AF891" s="23"/>
      <c r="AG891" s="23"/>
      <c r="AH891" s="23"/>
      <c r="AI891" s="23"/>
      <c r="AN891" s="23"/>
      <c r="AO891" s="23"/>
      <c r="AP891" s="23"/>
      <c r="AQ891" s="23"/>
      <c r="AR891" s="35"/>
      <c r="AS891" s="35"/>
      <c r="AT891" s="35"/>
      <c r="AU891" s="31"/>
    </row>
    <row r="892" spans="1:47">
      <c r="A892" s="39"/>
      <c r="D892" s="31"/>
      <c r="E892" s="31"/>
      <c r="F892" s="31"/>
      <c r="G892" s="31"/>
      <c r="H892" s="32"/>
      <c r="J892" s="33"/>
      <c r="K892" s="33"/>
      <c r="L892" s="33"/>
      <c r="X892" s="23"/>
      <c r="Y892" s="23"/>
      <c r="Z892" s="23"/>
      <c r="AA892" s="23"/>
      <c r="AF892" s="23"/>
      <c r="AG892" s="23"/>
      <c r="AH892" s="23"/>
      <c r="AI892" s="23"/>
      <c r="AN892" s="23"/>
      <c r="AO892" s="23"/>
      <c r="AP892" s="23"/>
      <c r="AQ892" s="23"/>
      <c r="AR892" s="35"/>
      <c r="AS892" s="35"/>
      <c r="AT892" s="35"/>
      <c r="AU892" s="31"/>
    </row>
    <row r="893" spans="1:47">
      <c r="A893" s="39"/>
      <c r="D893" s="31"/>
      <c r="E893" s="31"/>
      <c r="F893" s="31"/>
      <c r="G893" s="31"/>
      <c r="H893" s="32"/>
      <c r="J893" s="33"/>
      <c r="K893" s="33"/>
      <c r="L893" s="33"/>
      <c r="X893" s="23"/>
      <c r="Y893" s="23"/>
      <c r="Z893" s="23"/>
      <c r="AA893" s="23"/>
      <c r="AF893" s="23"/>
      <c r="AG893" s="23"/>
      <c r="AH893" s="23"/>
      <c r="AI893" s="23"/>
      <c r="AN893" s="23"/>
      <c r="AO893" s="23"/>
      <c r="AP893" s="23"/>
      <c r="AQ893" s="23"/>
      <c r="AR893" s="35"/>
      <c r="AS893" s="35"/>
      <c r="AT893" s="35"/>
      <c r="AU893" s="31"/>
    </row>
    <row r="894" spans="1:47">
      <c r="A894" s="39"/>
      <c r="D894" s="31"/>
      <c r="E894" s="31"/>
      <c r="F894" s="31"/>
      <c r="G894" s="31"/>
      <c r="H894" s="32"/>
      <c r="J894" s="33"/>
      <c r="K894" s="33"/>
      <c r="L894" s="33"/>
      <c r="X894" s="23"/>
      <c r="Y894" s="23"/>
      <c r="Z894" s="23"/>
      <c r="AA894" s="23"/>
      <c r="AF894" s="23"/>
      <c r="AG894" s="23"/>
      <c r="AH894" s="23"/>
      <c r="AI894" s="23"/>
      <c r="AN894" s="23"/>
      <c r="AO894" s="23"/>
      <c r="AP894" s="23"/>
      <c r="AQ894" s="23"/>
      <c r="AR894" s="35"/>
      <c r="AS894" s="35"/>
      <c r="AT894" s="35"/>
      <c r="AU894" s="31"/>
    </row>
    <row r="895" spans="1:47">
      <c r="A895" s="39"/>
      <c r="D895" s="31"/>
      <c r="E895" s="31"/>
      <c r="F895" s="31"/>
      <c r="G895" s="31"/>
      <c r="H895" s="32"/>
      <c r="J895" s="33"/>
      <c r="K895" s="33"/>
      <c r="L895" s="33"/>
      <c r="X895" s="23"/>
      <c r="Y895" s="23"/>
      <c r="Z895" s="23"/>
      <c r="AA895" s="23"/>
      <c r="AF895" s="23"/>
      <c r="AG895" s="23"/>
      <c r="AH895" s="23"/>
      <c r="AI895" s="23"/>
      <c r="AN895" s="23"/>
      <c r="AO895" s="23"/>
      <c r="AP895" s="23"/>
      <c r="AQ895" s="23"/>
      <c r="AR895" s="35"/>
      <c r="AS895" s="35"/>
      <c r="AT895" s="35"/>
      <c r="AU895" s="31"/>
    </row>
    <row r="896" spans="1:47">
      <c r="A896" s="21"/>
      <c r="D896" s="31"/>
      <c r="E896" s="31"/>
      <c r="F896" s="31"/>
      <c r="G896" s="31"/>
      <c r="H896" s="32"/>
      <c r="J896" s="33"/>
      <c r="K896" s="33"/>
      <c r="L896" s="33"/>
      <c r="X896" s="23"/>
      <c r="Y896" s="23"/>
      <c r="Z896" s="23"/>
      <c r="AA896" s="23"/>
      <c r="AF896" s="23"/>
      <c r="AG896" s="23"/>
      <c r="AH896" s="23"/>
      <c r="AI896" s="23"/>
      <c r="AN896" s="23"/>
      <c r="AO896" s="23"/>
      <c r="AP896" s="23"/>
      <c r="AQ896" s="23"/>
      <c r="AR896" s="35"/>
      <c r="AS896" s="35"/>
      <c r="AT896" s="35"/>
      <c r="AU896" s="31"/>
    </row>
    <row r="897" spans="1:47">
      <c r="A897" s="21"/>
      <c r="D897" s="31"/>
      <c r="E897" s="31"/>
      <c r="F897" s="31"/>
      <c r="G897" s="31"/>
      <c r="H897" s="32"/>
      <c r="J897" s="33"/>
      <c r="K897" s="33"/>
      <c r="L897" s="33"/>
      <c r="X897" s="23"/>
      <c r="Y897" s="23"/>
      <c r="Z897" s="23"/>
      <c r="AA897" s="23"/>
      <c r="AF897" s="23"/>
      <c r="AG897" s="23"/>
      <c r="AH897" s="23"/>
      <c r="AI897" s="23"/>
      <c r="AN897" s="23"/>
      <c r="AO897" s="23"/>
      <c r="AP897" s="23"/>
      <c r="AQ897" s="23"/>
      <c r="AR897" s="35"/>
      <c r="AS897" s="35"/>
      <c r="AT897" s="35"/>
      <c r="AU897" s="31"/>
    </row>
    <row r="898" spans="1:47">
      <c r="A898" s="21"/>
      <c r="D898" s="31"/>
      <c r="E898" s="31"/>
      <c r="F898" s="31"/>
      <c r="G898" s="31"/>
      <c r="H898" s="32"/>
      <c r="J898" s="33"/>
      <c r="K898" s="33"/>
      <c r="L898" s="33"/>
      <c r="X898" s="23"/>
      <c r="Y898" s="23"/>
      <c r="Z898" s="23"/>
      <c r="AA898" s="23"/>
      <c r="AF898" s="23"/>
      <c r="AG898" s="23"/>
      <c r="AH898" s="23"/>
      <c r="AI898" s="23"/>
      <c r="AN898" s="23"/>
      <c r="AO898" s="23"/>
      <c r="AP898" s="23"/>
      <c r="AQ898" s="23"/>
      <c r="AR898" s="35"/>
      <c r="AS898" s="35"/>
      <c r="AT898" s="35"/>
      <c r="AU898" s="31"/>
    </row>
    <row r="899" spans="1:47">
      <c r="A899" s="21"/>
      <c r="D899" s="31"/>
      <c r="E899" s="31"/>
      <c r="F899" s="31"/>
      <c r="G899" s="31"/>
      <c r="H899" s="32"/>
      <c r="J899" s="33"/>
      <c r="K899" s="33"/>
      <c r="L899" s="33"/>
      <c r="X899" s="23"/>
      <c r="Y899" s="23"/>
      <c r="Z899" s="23"/>
      <c r="AA899" s="23"/>
      <c r="AF899" s="23"/>
      <c r="AG899" s="23"/>
      <c r="AH899" s="23"/>
      <c r="AI899" s="23"/>
      <c r="AN899" s="23"/>
      <c r="AO899" s="23"/>
      <c r="AP899" s="23"/>
      <c r="AQ899" s="23"/>
      <c r="AR899" s="35"/>
      <c r="AS899" s="35"/>
      <c r="AT899" s="35"/>
      <c r="AU899" s="31"/>
    </row>
    <row r="900" spans="1:47">
      <c r="A900" s="21"/>
      <c r="D900" s="31"/>
      <c r="E900" s="31"/>
      <c r="F900" s="31"/>
      <c r="G900" s="31"/>
      <c r="H900" s="32"/>
      <c r="J900" s="33"/>
      <c r="K900" s="33"/>
      <c r="L900" s="33"/>
      <c r="X900" s="23"/>
      <c r="Y900" s="23"/>
      <c r="Z900" s="23"/>
      <c r="AA900" s="23"/>
      <c r="AF900" s="23"/>
      <c r="AG900" s="23"/>
      <c r="AH900" s="23"/>
      <c r="AI900" s="23"/>
      <c r="AN900" s="23"/>
      <c r="AO900" s="23"/>
      <c r="AP900" s="23"/>
      <c r="AQ900" s="23"/>
      <c r="AR900" s="35"/>
      <c r="AS900" s="35"/>
      <c r="AT900" s="35"/>
      <c r="AU900" s="31"/>
    </row>
    <row r="901" spans="1:47">
      <c r="A901" s="21"/>
      <c r="D901" s="31"/>
      <c r="E901" s="31"/>
      <c r="F901" s="31"/>
      <c r="G901" s="31"/>
      <c r="H901" s="32"/>
      <c r="J901" s="33"/>
      <c r="K901" s="33"/>
      <c r="L901" s="33"/>
      <c r="X901" s="23"/>
      <c r="Y901" s="23"/>
      <c r="Z901" s="23"/>
      <c r="AA901" s="23"/>
      <c r="AF901" s="23"/>
      <c r="AG901" s="23"/>
      <c r="AH901" s="23"/>
      <c r="AI901" s="23"/>
      <c r="AN901" s="23"/>
      <c r="AO901" s="23"/>
      <c r="AP901" s="23"/>
      <c r="AQ901" s="23"/>
      <c r="AR901" s="35"/>
      <c r="AS901" s="35"/>
      <c r="AT901" s="35"/>
      <c r="AU901" s="31"/>
    </row>
    <row r="902" spans="1:47">
      <c r="A902" s="21"/>
      <c r="D902" s="31"/>
      <c r="E902" s="31"/>
      <c r="F902" s="31"/>
      <c r="G902" s="31"/>
      <c r="H902" s="32"/>
      <c r="J902" s="33"/>
      <c r="K902" s="33"/>
      <c r="L902" s="33"/>
      <c r="X902" s="23"/>
      <c r="Y902" s="23"/>
      <c r="Z902" s="23"/>
      <c r="AA902" s="23"/>
      <c r="AF902" s="23"/>
      <c r="AG902" s="23"/>
      <c r="AH902" s="23"/>
      <c r="AI902" s="23"/>
      <c r="AN902" s="23"/>
      <c r="AO902" s="23"/>
      <c r="AP902" s="23"/>
      <c r="AQ902" s="23"/>
      <c r="AR902" s="35"/>
      <c r="AS902" s="35"/>
      <c r="AT902" s="35"/>
      <c r="AU902" s="31"/>
    </row>
    <row r="903" spans="1:47">
      <c r="A903" s="21"/>
      <c r="D903" s="31"/>
      <c r="E903" s="31"/>
      <c r="F903" s="31"/>
      <c r="G903" s="31"/>
      <c r="H903" s="32"/>
      <c r="J903" s="33"/>
      <c r="K903" s="33"/>
      <c r="L903" s="33"/>
      <c r="X903" s="23"/>
      <c r="Y903" s="23"/>
      <c r="Z903" s="23"/>
      <c r="AA903" s="23"/>
      <c r="AF903" s="23"/>
      <c r="AG903" s="23"/>
      <c r="AH903" s="23"/>
      <c r="AI903" s="23"/>
      <c r="AN903" s="23"/>
      <c r="AO903" s="23"/>
      <c r="AP903" s="23"/>
      <c r="AQ903" s="23"/>
      <c r="AR903" s="35"/>
      <c r="AS903" s="35"/>
      <c r="AT903" s="35"/>
      <c r="AU903" s="31"/>
    </row>
    <row r="904" spans="1:47">
      <c r="A904" s="21"/>
      <c r="D904" s="31"/>
      <c r="E904" s="31"/>
      <c r="F904" s="31"/>
      <c r="G904" s="31"/>
      <c r="H904" s="32"/>
      <c r="J904" s="33"/>
      <c r="K904" s="33"/>
      <c r="L904" s="33"/>
      <c r="X904" s="23"/>
      <c r="Y904" s="23"/>
      <c r="Z904" s="23"/>
      <c r="AA904" s="23"/>
      <c r="AF904" s="23"/>
      <c r="AG904" s="23"/>
      <c r="AH904" s="23"/>
      <c r="AI904" s="23"/>
      <c r="AN904" s="23"/>
      <c r="AO904" s="23"/>
      <c r="AP904" s="23"/>
      <c r="AQ904" s="23"/>
      <c r="AR904" s="35"/>
      <c r="AS904" s="35"/>
      <c r="AT904" s="35"/>
      <c r="AU904" s="31"/>
    </row>
    <row r="905" spans="1:47">
      <c r="A905" s="21"/>
      <c r="D905" s="31"/>
      <c r="E905" s="31"/>
      <c r="F905" s="31"/>
      <c r="G905" s="31"/>
      <c r="H905" s="32"/>
      <c r="J905" s="33"/>
      <c r="K905" s="33"/>
      <c r="L905" s="33"/>
      <c r="X905" s="23"/>
      <c r="Y905" s="23"/>
      <c r="Z905" s="23"/>
      <c r="AA905" s="23"/>
      <c r="AF905" s="23"/>
      <c r="AG905" s="23"/>
      <c r="AH905" s="23"/>
      <c r="AI905" s="23"/>
      <c r="AN905" s="23"/>
      <c r="AO905" s="23"/>
      <c r="AP905" s="23"/>
      <c r="AQ905" s="23"/>
      <c r="AR905" s="35"/>
      <c r="AS905" s="35"/>
      <c r="AT905" s="35"/>
      <c r="AU905" s="31"/>
    </row>
    <row r="906" spans="1:47">
      <c r="A906" s="21"/>
      <c r="D906" s="31"/>
      <c r="E906" s="31"/>
      <c r="F906" s="31"/>
      <c r="G906" s="31"/>
      <c r="H906" s="32"/>
      <c r="J906" s="33"/>
      <c r="K906" s="33"/>
      <c r="L906" s="33"/>
      <c r="X906" s="23"/>
      <c r="Y906" s="23"/>
      <c r="Z906" s="23"/>
      <c r="AA906" s="23"/>
      <c r="AF906" s="23"/>
      <c r="AG906" s="23"/>
      <c r="AH906" s="23"/>
      <c r="AI906" s="23"/>
      <c r="AN906" s="23"/>
      <c r="AO906" s="23"/>
      <c r="AP906" s="23"/>
      <c r="AQ906" s="23"/>
      <c r="AR906" s="35"/>
      <c r="AS906" s="35"/>
      <c r="AT906" s="35"/>
      <c r="AU906" s="31"/>
    </row>
    <row r="907" spans="1:47">
      <c r="A907" s="21"/>
      <c r="D907" s="31"/>
      <c r="E907" s="31"/>
      <c r="F907" s="31"/>
      <c r="G907" s="31"/>
      <c r="H907" s="32"/>
      <c r="J907" s="33"/>
      <c r="K907" s="33"/>
      <c r="L907" s="33"/>
      <c r="X907" s="23"/>
      <c r="Y907" s="23"/>
      <c r="Z907" s="23"/>
      <c r="AA907" s="23"/>
      <c r="AF907" s="23"/>
      <c r="AG907" s="23"/>
      <c r="AH907" s="23"/>
      <c r="AI907" s="23"/>
      <c r="AN907" s="23"/>
      <c r="AO907" s="23"/>
      <c r="AP907" s="23"/>
      <c r="AQ907" s="23"/>
      <c r="AR907" s="35"/>
      <c r="AS907" s="35"/>
      <c r="AT907" s="35"/>
      <c r="AU907" s="31"/>
    </row>
    <row r="908" spans="4:47">
      <c r="D908" s="31"/>
      <c r="E908" s="31"/>
      <c r="F908" s="31"/>
      <c r="G908" s="31"/>
      <c r="H908" s="32"/>
      <c r="J908" s="33"/>
      <c r="K908" s="33"/>
      <c r="L908" s="33"/>
      <c r="X908" s="23"/>
      <c r="Y908" s="23"/>
      <c r="Z908" s="23"/>
      <c r="AA908" s="23"/>
      <c r="AF908" s="23"/>
      <c r="AG908" s="23"/>
      <c r="AH908" s="23"/>
      <c r="AI908" s="23"/>
      <c r="AN908" s="23"/>
      <c r="AO908" s="23"/>
      <c r="AP908" s="23"/>
      <c r="AQ908" s="23"/>
      <c r="AR908" s="35"/>
      <c r="AS908" s="35"/>
      <c r="AT908" s="35"/>
      <c r="AU908" s="31"/>
    </row>
    <row r="909" spans="4:47">
      <c r="D909" s="31"/>
      <c r="E909" s="31"/>
      <c r="F909" s="31"/>
      <c r="G909" s="31"/>
      <c r="H909" s="32"/>
      <c r="J909" s="33"/>
      <c r="K909" s="33"/>
      <c r="L909" s="33"/>
      <c r="X909" s="23"/>
      <c r="Y909" s="23"/>
      <c r="Z909" s="23"/>
      <c r="AA909" s="23"/>
      <c r="AF909" s="23"/>
      <c r="AG909" s="23"/>
      <c r="AH909" s="23"/>
      <c r="AI909" s="23"/>
      <c r="AN909" s="23"/>
      <c r="AO909" s="23"/>
      <c r="AP909" s="23"/>
      <c r="AQ909" s="23"/>
      <c r="AR909" s="35"/>
      <c r="AS909" s="35"/>
      <c r="AT909" s="35"/>
      <c r="AU909" s="31"/>
    </row>
    <row r="910" spans="4:47">
      <c r="D910" s="31"/>
      <c r="E910" s="31"/>
      <c r="F910" s="31"/>
      <c r="G910" s="31"/>
      <c r="H910" s="32"/>
      <c r="J910" s="33"/>
      <c r="K910" s="33"/>
      <c r="L910" s="33"/>
      <c r="X910" s="23"/>
      <c r="Y910" s="23"/>
      <c r="Z910" s="23"/>
      <c r="AA910" s="23"/>
      <c r="AF910" s="23"/>
      <c r="AG910" s="23"/>
      <c r="AH910" s="23"/>
      <c r="AI910" s="23"/>
      <c r="AN910" s="23"/>
      <c r="AO910" s="23"/>
      <c r="AP910" s="23"/>
      <c r="AQ910" s="23"/>
      <c r="AR910" s="35"/>
      <c r="AS910" s="35"/>
      <c r="AT910" s="35"/>
      <c r="AU910" s="31"/>
    </row>
    <row r="911" spans="4:47">
      <c r="D911" s="31"/>
      <c r="E911" s="31"/>
      <c r="F911" s="31"/>
      <c r="G911" s="31"/>
      <c r="H911" s="32"/>
      <c r="J911" s="33"/>
      <c r="K911" s="33"/>
      <c r="L911" s="33"/>
      <c r="X911" s="23"/>
      <c r="Y911" s="23"/>
      <c r="Z911" s="23"/>
      <c r="AA911" s="23"/>
      <c r="AF911" s="23"/>
      <c r="AG911" s="23"/>
      <c r="AH911" s="23"/>
      <c r="AI911" s="23"/>
      <c r="AN911" s="23"/>
      <c r="AO911" s="23"/>
      <c r="AP911" s="23"/>
      <c r="AQ911" s="23"/>
      <c r="AR911" s="35"/>
      <c r="AS911" s="35"/>
      <c r="AT911" s="35"/>
      <c r="AU911" s="31"/>
    </row>
    <row r="912" spans="4:47">
      <c r="D912" s="31"/>
      <c r="E912" s="31"/>
      <c r="F912" s="31"/>
      <c r="G912" s="31"/>
      <c r="H912" s="32"/>
      <c r="J912" s="33"/>
      <c r="K912" s="33"/>
      <c r="L912" s="33"/>
      <c r="X912" s="23"/>
      <c r="Y912" s="23"/>
      <c r="Z912" s="23"/>
      <c r="AA912" s="23"/>
      <c r="AF912" s="23"/>
      <c r="AG912" s="23"/>
      <c r="AH912" s="23"/>
      <c r="AI912" s="23"/>
      <c r="AN912" s="23"/>
      <c r="AO912" s="23"/>
      <c r="AP912" s="23"/>
      <c r="AQ912" s="23"/>
      <c r="AR912" s="35"/>
      <c r="AS912" s="35"/>
      <c r="AT912" s="35"/>
      <c r="AU912" s="31"/>
    </row>
    <row r="913" spans="4:47">
      <c r="D913" s="31"/>
      <c r="E913" s="31"/>
      <c r="F913" s="31"/>
      <c r="G913" s="31"/>
      <c r="H913" s="32"/>
      <c r="J913" s="33"/>
      <c r="K913" s="33"/>
      <c r="L913" s="33"/>
      <c r="X913" s="23"/>
      <c r="Y913" s="23"/>
      <c r="Z913" s="23"/>
      <c r="AA913" s="23"/>
      <c r="AF913" s="23"/>
      <c r="AG913" s="23"/>
      <c r="AH913" s="23"/>
      <c r="AI913" s="23"/>
      <c r="AN913" s="23"/>
      <c r="AO913" s="23"/>
      <c r="AP913" s="23"/>
      <c r="AQ913" s="23"/>
      <c r="AR913" s="35"/>
      <c r="AS913" s="35"/>
      <c r="AT913" s="35"/>
      <c r="AU913" s="31"/>
    </row>
    <row r="914" spans="4:47">
      <c r="D914" s="31"/>
      <c r="E914" s="31"/>
      <c r="F914" s="31"/>
      <c r="G914" s="31"/>
      <c r="H914" s="32"/>
      <c r="J914" s="33"/>
      <c r="K914" s="33"/>
      <c r="L914" s="33"/>
      <c r="X914" s="23"/>
      <c r="Y914" s="23"/>
      <c r="Z914" s="23"/>
      <c r="AA914" s="23"/>
      <c r="AF914" s="23"/>
      <c r="AG914" s="23"/>
      <c r="AH914" s="23"/>
      <c r="AI914" s="23"/>
      <c r="AN914" s="23"/>
      <c r="AO914" s="23"/>
      <c r="AP914" s="23"/>
      <c r="AQ914" s="23"/>
      <c r="AR914" s="35"/>
      <c r="AS914" s="35"/>
      <c r="AT914" s="35"/>
      <c r="AU914" s="31"/>
    </row>
    <row r="915" spans="4:47">
      <c r="D915" s="31"/>
      <c r="E915" s="31"/>
      <c r="F915" s="31"/>
      <c r="G915" s="31"/>
      <c r="H915" s="32"/>
      <c r="J915" s="33"/>
      <c r="K915" s="33"/>
      <c r="L915" s="33"/>
      <c r="X915" s="23"/>
      <c r="Y915" s="23"/>
      <c r="Z915" s="23"/>
      <c r="AA915" s="23"/>
      <c r="AF915" s="23"/>
      <c r="AG915" s="23"/>
      <c r="AH915" s="23"/>
      <c r="AI915" s="23"/>
      <c r="AN915" s="23"/>
      <c r="AO915" s="23"/>
      <c r="AP915" s="23"/>
      <c r="AQ915" s="23"/>
      <c r="AR915" s="35"/>
      <c r="AS915" s="35"/>
      <c r="AT915" s="35"/>
      <c r="AU915" s="31"/>
    </row>
    <row r="916" spans="4:47">
      <c r="D916" s="31"/>
      <c r="E916" s="31"/>
      <c r="F916" s="31"/>
      <c r="G916" s="31"/>
      <c r="H916" s="32"/>
      <c r="J916" s="33"/>
      <c r="K916" s="33"/>
      <c r="L916" s="33"/>
      <c r="X916" s="23"/>
      <c r="Y916" s="23"/>
      <c r="Z916" s="23"/>
      <c r="AA916" s="23"/>
      <c r="AF916" s="23"/>
      <c r="AG916" s="23"/>
      <c r="AH916" s="23"/>
      <c r="AI916" s="23"/>
      <c r="AN916" s="23"/>
      <c r="AO916" s="23"/>
      <c r="AP916" s="23"/>
      <c r="AQ916" s="23"/>
      <c r="AR916" s="35"/>
      <c r="AS916" s="35"/>
      <c r="AT916" s="35"/>
      <c r="AU916" s="31"/>
    </row>
    <row r="917" spans="4:47">
      <c r="D917" s="31"/>
      <c r="E917" s="31"/>
      <c r="F917" s="31"/>
      <c r="G917" s="31"/>
      <c r="H917" s="32"/>
      <c r="J917" s="33"/>
      <c r="K917" s="33"/>
      <c r="L917" s="33"/>
      <c r="X917" s="23"/>
      <c r="Y917" s="23"/>
      <c r="Z917" s="23"/>
      <c r="AA917" s="23"/>
      <c r="AF917" s="23"/>
      <c r="AG917" s="23"/>
      <c r="AH917" s="23"/>
      <c r="AI917" s="23"/>
      <c r="AN917" s="23"/>
      <c r="AO917" s="23"/>
      <c r="AP917" s="23"/>
      <c r="AQ917" s="23"/>
      <c r="AR917" s="35"/>
      <c r="AS917" s="35"/>
      <c r="AT917" s="35"/>
      <c r="AU917" s="31"/>
    </row>
    <row r="918" spans="4:47">
      <c r="D918" s="31"/>
      <c r="E918" s="31"/>
      <c r="F918" s="31"/>
      <c r="G918" s="31"/>
      <c r="H918" s="32"/>
      <c r="J918" s="33"/>
      <c r="K918" s="33"/>
      <c r="L918" s="33"/>
      <c r="X918" s="23"/>
      <c r="Y918" s="23"/>
      <c r="Z918" s="23"/>
      <c r="AA918" s="23"/>
      <c r="AF918" s="23"/>
      <c r="AG918" s="23"/>
      <c r="AH918" s="23"/>
      <c r="AI918" s="23"/>
      <c r="AN918" s="23"/>
      <c r="AO918" s="23"/>
      <c r="AP918" s="23"/>
      <c r="AQ918" s="23"/>
      <c r="AR918" s="35"/>
      <c r="AS918" s="35"/>
      <c r="AT918" s="35"/>
      <c r="AU918" s="31"/>
    </row>
    <row r="919" spans="4:47">
      <c r="D919" s="31"/>
      <c r="E919" s="31"/>
      <c r="F919" s="31"/>
      <c r="G919" s="31"/>
      <c r="H919" s="32"/>
      <c r="J919" s="33"/>
      <c r="K919" s="33"/>
      <c r="L919" s="33"/>
      <c r="X919" s="23"/>
      <c r="Y919" s="23"/>
      <c r="Z919" s="23"/>
      <c r="AA919" s="23"/>
      <c r="AF919" s="23"/>
      <c r="AG919" s="23"/>
      <c r="AH919" s="23"/>
      <c r="AI919" s="23"/>
      <c r="AN919" s="23"/>
      <c r="AO919" s="23"/>
      <c r="AP919" s="23"/>
      <c r="AQ919" s="23"/>
      <c r="AR919" s="35"/>
      <c r="AS919" s="35"/>
      <c r="AT919" s="35"/>
      <c r="AU919" s="31"/>
    </row>
    <row r="920" spans="4:47">
      <c r="D920" s="31"/>
      <c r="E920" s="31"/>
      <c r="F920" s="31"/>
      <c r="G920" s="31"/>
      <c r="H920" s="32"/>
      <c r="J920" s="33"/>
      <c r="K920" s="33"/>
      <c r="L920" s="33"/>
      <c r="X920" s="23"/>
      <c r="Y920" s="23"/>
      <c r="Z920" s="23"/>
      <c r="AA920" s="23"/>
      <c r="AF920" s="23"/>
      <c r="AG920" s="23"/>
      <c r="AH920" s="23"/>
      <c r="AI920" s="23"/>
      <c r="AN920" s="23"/>
      <c r="AO920" s="23"/>
      <c r="AP920" s="23"/>
      <c r="AQ920" s="23"/>
      <c r="AR920" s="35"/>
      <c r="AS920" s="35"/>
      <c r="AT920" s="35"/>
      <c r="AU920" s="31"/>
    </row>
    <row r="921" spans="4:47">
      <c r="D921" s="31"/>
      <c r="E921" s="31"/>
      <c r="F921" s="31"/>
      <c r="G921" s="31"/>
      <c r="H921" s="32"/>
      <c r="J921" s="33"/>
      <c r="K921" s="33"/>
      <c r="L921" s="33"/>
      <c r="X921" s="23"/>
      <c r="Y921" s="23"/>
      <c r="Z921" s="23"/>
      <c r="AA921" s="23"/>
      <c r="AF921" s="23"/>
      <c r="AG921" s="23"/>
      <c r="AH921" s="23"/>
      <c r="AI921" s="23"/>
      <c r="AN921" s="23"/>
      <c r="AO921" s="23"/>
      <c r="AP921" s="23"/>
      <c r="AQ921" s="23"/>
      <c r="AR921" s="35"/>
      <c r="AS921" s="35"/>
      <c r="AT921" s="35"/>
      <c r="AU921" s="31"/>
    </row>
    <row r="922" spans="4:47">
      <c r="D922" s="31"/>
      <c r="E922" s="31"/>
      <c r="F922" s="31"/>
      <c r="G922" s="31"/>
      <c r="H922" s="32"/>
      <c r="J922" s="33"/>
      <c r="K922" s="33"/>
      <c r="L922" s="33"/>
      <c r="X922" s="23"/>
      <c r="Y922" s="23"/>
      <c r="Z922" s="23"/>
      <c r="AA922" s="23"/>
      <c r="AF922" s="23"/>
      <c r="AG922" s="23"/>
      <c r="AH922" s="23"/>
      <c r="AI922" s="23"/>
      <c r="AN922" s="23"/>
      <c r="AO922" s="23"/>
      <c r="AP922" s="23"/>
      <c r="AQ922" s="23"/>
      <c r="AR922" s="35"/>
      <c r="AS922" s="35"/>
      <c r="AT922" s="35"/>
      <c r="AU922" s="31"/>
    </row>
    <row r="923" spans="4:47">
      <c r="D923" s="31"/>
      <c r="E923" s="31"/>
      <c r="F923" s="31"/>
      <c r="G923" s="31"/>
      <c r="H923" s="32"/>
      <c r="J923" s="33"/>
      <c r="K923" s="33"/>
      <c r="L923" s="33"/>
      <c r="X923" s="23"/>
      <c r="Y923" s="23"/>
      <c r="Z923" s="23"/>
      <c r="AA923" s="23"/>
      <c r="AF923" s="23"/>
      <c r="AG923" s="23"/>
      <c r="AH923" s="23"/>
      <c r="AI923" s="23"/>
      <c r="AN923" s="23"/>
      <c r="AO923" s="23"/>
      <c r="AP923" s="23"/>
      <c r="AQ923" s="23"/>
      <c r="AR923" s="35"/>
      <c r="AS923" s="35"/>
      <c r="AT923" s="35"/>
      <c r="AU923" s="31"/>
    </row>
    <row r="924" spans="4:47">
      <c r="D924" s="31"/>
      <c r="E924" s="31"/>
      <c r="F924" s="31"/>
      <c r="G924" s="31"/>
      <c r="H924" s="32"/>
      <c r="J924" s="33"/>
      <c r="K924" s="33"/>
      <c r="L924" s="33"/>
      <c r="X924" s="23"/>
      <c r="Y924" s="23"/>
      <c r="Z924" s="23"/>
      <c r="AA924" s="23"/>
      <c r="AF924" s="23"/>
      <c r="AG924" s="23"/>
      <c r="AH924" s="23"/>
      <c r="AI924" s="23"/>
      <c r="AN924" s="23"/>
      <c r="AO924" s="23"/>
      <c r="AP924" s="23"/>
      <c r="AQ924" s="23"/>
      <c r="AR924" s="35"/>
      <c r="AS924" s="35"/>
      <c r="AT924" s="35"/>
      <c r="AU924" s="31"/>
    </row>
    <row r="925" spans="4:47">
      <c r="D925" s="31"/>
      <c r="E925" s="31"/>
      <c r="F925" s="31"/>
      <c r="G925" s="31"/>
      <c r="H925" s="32"/>
      <c r="J925" s="33"/>
      <c r="K925" s="33"/>
      <c r="L925" s="33"/>
      <c r="X925" s="23"/>
      <c r="Y925" s="23"/>
      <c r="Z925" s="23"/>
      <c r="AA925" s="23"/>
      <c r="AF925" s="23"/>
      <c r="AG925" s="23"/>
      <c r="AH925" s="23"/>
      <c r="AI925" s="23"/>
      <c r="AN925" s="23"/>
      <c r="AO925" s="23"/>
      <c r="AP925" s="23"/>
      <c r="AQ925" s="23"/>
      <c r="AR925" s="35"/>
      <c r="AS925" s="35"/>
      <c r="AT925" s="35"/>
      <c r="AU925" s="31"/>
    </row>
    <row r="926" spans="4:47">
      <c r="D926" s="31"/>
      <c r="E926" s="31"/>
      <c r="F926" s="31"/>
      <c r="G926" s="31"/>
      <c r="H926" s="32"/>
      <c r="J926" s="33"/>
      <c r="K926" s="33"/>
      <c r="L926" s="33"/>
      <c r="X926" s="23"/>
      <c r="Y926" s="23"/>
      <c r="Z926" s="23"/>
      <c r="AA926" s="23"/>
      <c r="AF926" s="23"/>
      <c r="AG926" s="23"/>
      <c r="AH926" s="23"/>
      <c r="AI926" s="23"/>
      <c r="AN926" s="23"/>
      <c r="AO926" s="23"/>
      <c r="AP926" s="23"/>
      <c r="AQ926" s="23"/>
      <c r="AR926" s="35"/>
      <c r="AS926" s="35"/>
      <c r="AT926" s="35"/>
      <c r="AU926" s="31"/>
    </row>
    <row r="927" spans="4:47">
      <c r="D927" s="31"/>
      <c r="E927" s="31"/>
      <c r="F927" s="31"/>
      <c r="G927" s="31"/>
      <c r="H927" s="32"/>
      <c r="J927" s="33"/>
      <c r="K927" s="33"/>
      <c r="L927" s="33"/>
      <c r="X927" s="23"/>
      <c r="Y927" s="23"/>
      <c r="Z927" s="23"/>
      <c r="AA927" s="23"/>
      <c r="AF927" s="23"/>
      <c r="AG927" s="23"/>
      <c r="AH927" s="23"/>
      <c r="AI927" s="23"/>
      <c r="AN927" s="23"/>
      <c r="AO927" s="23"/>
      <c r="AP927" s="23"/>
      <c r="AQ927" s="23"/>
      <c r="AR927" s="35"/>
      <c r="AS927" s="35"/>
      <c r="AT927" s="35"/>
      <c r="AU927" s="31"/>
    </row>
    <row r="928" spans="4:47">
      <c r="D928" s="31"/>
      <c r="E928" s="31"/>
      <c r="F928" s="31"/>
      <c r="G928" s="31"/>
      <c r="H928" s="32"/>
      <c r="J928" s="33"/>
      <c r="K928" s="33"/>
      <c r="L928" s="33"/>
      <c r="X928" s="23"/>
      <c r="Y928" s="23"/>
      <c r="Z928" s="23"/>
      <c r="AA928" s="23"/>
      <c r="AF928" s="23"/>
      <c r="AG928" s="23"/>
      <c r="AH928" s="23"/>
      <c r="AI928" s="23"/>
      <c r="AN928" s="23"/>
      <c r="AO928" s="23"/>
      <c r="AP928" s="23"/>
      <c r="AQ928" s="23"/>
      <c r="AR928" s="35"/>
      <c r="AS928" s="35"/>
      <c r="AT928" s="35"/>
      <c r="AU928" s="31"/>
    </row>
    <row r="929" spans="4:47">
      <c r="D929" s="31"/>
      <c r="E929" s="31"/>
      <c r="F929" s="31"/>
      <c r="G929" s="31"/>
      <c r="H929" s="32"/>
      <c r="J929" s="33"/>
      <c r="K929" s="33"/>
      <c r="L929" s="33"/>
      <c r="X929" s="23"/>
      <c r="Y929" s="23"/>
      <c r="Z929" s="23"/>
      <c r="AA929" s="23"/>
      <c r="AF929" s="23"/>
      <c r="AG929" s="23"/>
      <c r="AH929" s="23"/>
      <c r="AI929" s="23"/>
      <c r="AN929" s="23"/>
      <c r="AO929" s="23"/>
      <c r="AP929" s="23"/>
      <c r="AQ929" s="23"/>
      <c r="AR929" s="35"/>
      <c r="AS929" s="35"/>
      <c r="AT929" s="35"/>
      <c r="AU929" s="31"/>
    </row>
    <row r="930" spans="4:47">
      <c r="D930" s="31"/>
      <c r="E930" s="31"/>
      <c r="F930" s="31"/>
      <c r="G930" s="31"/>
      <c r="H930" s="32"/>
      <c r="J930" s="33"/>
      <c r="K930" s="33"/>
      <c r="L930" s="33"/>
      <c r="X930" s="23"/>
      <c r="Y930" s="23"/>
      <c r="Z930" s="23"/>
      <c r="AA930" s="23"/>
      <c r="AF930" s="23"/>
      <c r="AG930" s="23"/>
      <c r="AH930" s="23"/>
      <c r="AI930" s="23"/>
      <c r="AN930" s="23"/>
      <c r="AO930" s="23"/>
      <c r="AP930" s="23"/>
      <c r="AQ930" s="23"/>
      <c r="AR930" s="35"/>
      <c r="AS930" s="35"/>
      <c r="AT930" s="35"/>
      <c r="AU930" s="31"/>
    </row>
    <row r="931" spans="4:47">
      <c r="D931" s="31"/>
      <c r="E931" s="31"/>
      <c r="F931" s="31"/>
      <c r="G931" s="31"/>
      <c r="H931" s="32"/>
      <c r="J931" s="33"/>
      <c r="K931" s="33"/>
      <c r="L931" s="33"/>
      <c r="X931" s="23"/>
      <c r="Y931" s="23"/>
      <c r="Z931" s="23"/>
      <c r="AA931" s="23"/>
      <c r="AF931" s="23"/>
      <c r="AG931" s="23"/>
      <c r="AH931" s="23"/>
      <c r="AI931" s="23"/>
      <c r="AN931" s="23"/>
      <c r="AO931" s="23"/>
      <c r="AP931" s="23"/>
      <c r="AQ931" s="23"/>
      <c r="AR931" s="35"/>
      <c r="AS931" s="35"/>
      <c r="AT931" s="35"/>
      <c r="AU931" s="31"/>
    </row>
    <row r="932" spans="4:47">
      <c r="D932" s="31"/>
      <c r="E932" s="31"/>
      <c r="F932" s="31"/>
      <c r="G932" s="31"/>
      <c r="H932" s="32"/>
      <c r="J932" s="33"/>
      <c r="K932" s="33"/>
      <c r="L932" s="33"/>
      <c r="X932" s="23"/>
      <c r="Y932" s="23"/>
      <c r="Z932" s="23"/>
      <c r="AA932" s="23"/>
      <c r="AF932" s="23"/>
      <c r="AG932" s="23"/>
      <c r="AH932" s="23"/>
      <c r="AI932" s="23"/>
      <c r="AN932" s="23"/>
      <c r="AO932" s="23"/>
      <c r="AP932" s="23"/>
      <c r="AQ932" s="23"/>
      <c r="AR932" s="35"/>
      <c r="AS932" s="35"/>
      <c r="AT932" s="35"/>
      <c r="AU932" s="31"/>
    </row>
    <row r="933" spans="4:47">
      <c r="D933" s="31"/>
      <c r="E933" s="31"/>
      <c r="F933" s="31"/>
      <c r="G933" s="31"/>
      <c r="H933" s="32"/>
      <c r="J933" s="33"/>
      <c r="K933" s="33"/>
      <c r="L933" s="33"/>
      <c r="X933" s="23"/>
      <c r="Y933" s="23"/>
      <c r="Z933" s="23"/>
      <c r="AA933" s="23"/>
      <c r="AF933" s="23"/>
      <c r="AG933" s="23"/>
      <c r="AH933" s="23"/>
      <c r="AI933" s="23"/>
      <c r="AN933" s="23"/>
      <c r="AO933" s="23"/>
      <c r="AP933" s="23"/>
      <c r="AQ933" s="23"/>
      <c r="AR933" s="35"/>
      <c r="AS933" s="35"/>
      <c r="AT933" s="35"/>
      <c r="AU933" s="31"/>
    </row>
    <row r="934" spans="4:47">
      <c r="D934" s="31"/>
      <c r="E934" s="31"/>
      <c r="F934" s="31"/>
      <c r="G934" s="31"/>
      <c r="H934" s="32"/>
      <c r="J934" s="33"/>
      <c r="K934" s="33"/>
      <c r="L934" s="33"/>
      <c r="X934" s="23"/>
      <c r="Y934" s="23"/>
      <c r="Z934" s="23"/>
      <c r="AA934" s="23"/>
      <c r="AF934" s="23"/>
      <c r="AG934" s="23"/>
      <c r="AH934" s="23"/>
      <c r="AI934" s="23"/>
      <c r="AN934" s="23"/>
      <c r="AO934" s="23"/>
      <c r="AP934" s="23"/>
      <c r="AQ934" s="23"/>
      <c r="AR934" s="35"/>
      <c r="AS934" s="35"/>
      <c r="AT934" s="35"/>
      <c r="AU934" s="31"/>
    </row>
    <row r="935" spans="4:47">
      <c r="D935" s="31"/>
      <c r="E935" s="31"/>
      <c r="F935" s="31"/>
      <c r="G935" s="31"/>
      <c r="H935" s="32"/>
      <c r="J935" s="33"/>
      <c r="K935" s="33"/>
      <c r="L935" s="33"/>
      <c r="X935" s="23"/>
      <c r="Y935" s="23"/>
      <c r="Z935" s="23"/>
      <c r="AA935" s="23"/>
      <c r="AF935" s="23"/>
      <c r="AG935" s="23"/>
      <c r="AH935" s="23"/>
      <c r="AI935" s="23"/>
      <c r="AN935" s="23"/>
      <c r="AO935" s="23"/>
      <c r="AP935" s="23"/>
      <c r="AQ935" s="23"/>
      <c r="AR935" s="35"/>
      <c r="AS935" s="35"/>
      <c r="AT935" s="35"/>
      <c r="AU935" s="31"/>
    </row>
    <row r="936" spans="4:47">
      <c r="D936" s="31"/>
      <c r="E936" s="31"/>
      <c r="F936" s="31"/>
      <c r="G936" s="31"/>
      <c r="H936" s="32"/>
      <c r="J936" s="33"/>
      <c r="K936" s="33"/>
      <c r="L936" s="33"/>
      <c r="X936" s="23"/>
      <c r="Y936" s="23"/>
      <c r="Z936" s="23"/>
      <c r="AA936" s="23"/>
      <c r="AF936" s="23"/>
      <c r="AG936" s="23"/>
      <c r="AH936" s="23"/>
      <c r="AI936" s="23"/>
      <c r="AN936" s="23"/>
      <c r="AO936" s="23"/>
      <c r="AP936" s="23"/>
      <c r="AQ936" s="23"/>
      <c r="AR936" s="35"/>
      <c r="AS936" s="35"/>
      <c r="AT936" s="35"/>
      <c r="AU936" s="31"/>
    </row>
    <row r="937" spans="4:47">
      <c r="D937" s="31"/>
      <c r="E937" s="31"/>
      <c r="F937" s="31"/>
      <c r="G937" s="31"/>
      <c r="H937" s="32"/>
      <c r="J937" s="33"/>
      <c r="K937" s="33"/>
      <c r="L937" s="33"/>
      <c r="X937" s="23"/>
      <c r="Y937" s="23"/>
      <c r="Z937" s="23"/>
      <c r="AA937" s="23"/>
      <c r="AF937" s="23"/>
      <c r="AG937" s="23"/>
      <c r="AH937" s="23"/>
      <c r="AI937" s="23"/>
      <c r="AN937" s="23"/>
      <c r="AO937" s="23"/>
      <c r="AP937" s="23"/>
      <c r="AQ937" s="23"/>
      <c r="AR937" s="35"/>
      <c r="AS937" s="35"/>
      <c r="AT937" s="35"/>
      <c r="AU937" s="31"/>
    </row>
    <row r="938" spans="4:47">
      <c r="D938" s="31"/>
      <c r="E938" s="31"/>
      <c r="F938" s="31"/>
      <c r="G938" s="31"/>
      <c r="H938" s="32"/>
      <c r="J938" s="33"/>
      <c r="K938" s="33"/>
      <c r="L938" s="33"/>
      <c r="X938" s="23"/>
      <c r="Y938" s="23"/>
      <c r="Z938" s="23"/>
      <c r="AA938" s="23"/>
      <c r="AF938" s="23"/>
      <c r="AG938" s="23"/>
      <c r="AH938" s="23"/>
      <c r="AI938" s="23"/>
      <c r="AN938" s="23"/>
      <c r="AO938" s="23"/>
      <c r="AP938" s="23"/>
      <c r="AQ938" s="23"/>
      <c r="AR938" s="35"/>
      <c r="AS938" s="35"/>
      <c r="AT938" s="35"/>
      <c r="AU938" s="31"/>
    </row>
    <row r="939" spans="4:47">
      <c r="D939" s="31"/>
      <c r="E939" s="31"/>
      <c r="F939" s="31"/>
      <c r="G939" s="31"/>
      <c r="H939" s="32"/>
      <c r="J939" s="33"/>
      <c r="K939" s="33"/>
      <c r="L939" s="33"/>
      <c r="X939" s="23"/>
      <c r="Y939" s="23"/>
      <c r="Z939" s="23"/>
      <c r="AA939" s="23"/>
      <c r="AF939" s="23"/>
      <c r="AG939" s="23"/>
      <c r="AH939" s="23"/>
      <c r="AI939" s="23"/>
      <c r="AN939" s="23"/>
      <c r="AO939" s="23"/>
      <c r="AP939" s="23"/>
      <c r="AQ939" s="23"/>
      <c r="AR939" s="35"/>
      <c r="AS939" s="35"/>
      <c r="AT939" s="35"/>
      <c r="AU939" s="31"/>
    </row>
    <row r="940" spans="4:47">
      <c r="D940" s="31"/>
      <c r="E940" s="31"/>
      <c r="F940" s="31"/>
      <c r="G940" s="31"/>
      <c r="H940" s="32"/>
      <c r="J940" s="33"/>
      <c r="K940" s="33"/>
      <c r="L940" s="33"/>
      <c r="X940" s="23"/>
      <c r="Y940" s="23"/>
      <c r="Z940" s="23"/>
      <c r="AA940" s="23"/>
      <c r="AF940" s="23"/>
      <c r="AG940" s="23"/>
      <c r="AH940" s="23"/>
      <c r="AI940" s="23"/>
      <c r="AN940" s="23"/>
      <c r="AO940" s="23"/>
      <c r="AP940" s="23"/>
      <c r="AQ940" s="23"/>
      <c r="AR940" s="35"/>
      <c r="AS940" s="35"/>
      <c r="AT940" s="35"/>
      <c r="AU940" s="31"/>
    </row>
    <row r="941" spans="4:47">
      <c r="D941" s="31"/>
      <c r="E941" s="31"/>
      <c r="F941" s="31"/>
      <c r="G941" s="31"/>
      <c r="H941" s="32"/>
      <c r="J941" s="33"/>
      <c r="K941" s="33"/>
      <c r="L941" s="33"/>
      <c r="X941" s="23"/>
      <c r="Y941" s="23"/>
      <c r="Z941" s="23"/>
      <c r="AA941" s="23"/>
      <c r="AF941" s="23"/>
      <c r="AG941" s="23"/>
      <c r="AH941" s="23"/>
      <c r="AI941" s="23"/>
      <c r="AN941" s="23"/>
      <c r="AO941" s="23"/>
      <c r="AP941" s="23"/>
      <c r="AQ941" s="23"/>
      <c r="AR941" s="35"/>
      <c r="AS941" s="35"/>
      <c r="AT941" s="35"/>
      <c r="AU941" s="31"/>
    </row>
    <row r="942" spans="4:47">
      <c r="D942" s="31"/>
      <c r="E942" s="31"/>
      <c r="F942" s="31"/>
      <c r="G942" s="31"/>
      <c r="H942" s="32"/>
      <c r="J942" s="33"/>
      <c r="K942" s="33"/>
      <c r="L942" s="33"/>
      <c r="X942" s="23"/>
      <c r="Y942" s="23"/>
      <c r="Z942" s="23"/>
      <c r="AA942" s="23"/>
      <c r="AF942" s="23"/>
      <c r="AG942" s="23"/>
      <c r="AH942" s="23"/>
      <c r="AI942" s="23"/>
      <c r="AN942" s="23"/>
      <c r="AO942" s="23"/>
      <c r="AP942" s="23"/>
      <c r="AQ942" s="23"/>
      <c r="AR942" s="35"/>
      <c r="AS942" s="35"/>
      <c r="AT942" s="35"/>
      <c r="AU942" s="31"/>
    </row>
    <row r="943" spans="4:47">
      <c r="D943" s="31"/>
      <c r="E943" s="31"/>
      <c r="F943" s="31"/>
      <c r="G943" s="31"/>
      <c r="H943" s="32"/>
      <c r="J943" s="33"/>
      <c r="K943" s="33"/>
      <c r="L943" s="33"/>
      <c r="X943" s="23"/>
      <c r="Y943" s="23"/>
      <c r="Z943" s="23"/>
      <c r="AA943" s="23"/>
      <c r="AF943" s="23"/>
      <c r="AG943" s="23"/>
      <c r="AH943" s="23"/>
      <c r="AI943" s="23"/>
      <c r="AN943" s="23"/>
      <c r="AO943" s="23"/>
      <c r="AP943" s="23"/>
      <c r="AQ943" s="23"/>
      <c r="AR943" s="35"/>
      <c r="AS943" s="35"/>
      <c r="AT943" s="35"/>
      <c r="AU943" s="31"/>
    </row>
    <row r="944" spans="4:47">
      <c r="D944" s="31"/>
      <c r="E944" s="31"/>
      <c r="F944" s="31"/>
      <c r="G944" s="31"/>
      <c r="H944" s="32"/>
      <c r="J944" s="33"/>
      <c r="K944" s="33"/>
      <c r="L944" s="33"/>
      <c r="X944" s="23"/>
      <c r="Y944" s="23"/>
      <c r="Z944" s="23"/>
      <c r="AA944" s="23"/>
      <c r="AF944" s="23"/>
      <c r="AG944" s="23"/>
      <c r="AH944" s="23"/>
      <c r="AI944" s="23"/>
      <c r="AN944" s="23"/>
      <c r="AO944" s="23"/>
      <c r="AP944" s="23"/>
      <c r="AQ944" s="23"/>
      <c r="AR944" s="35"/>
      <c r="AS944" s="35"/>
      <c r="AT944" s="35"/>
      <c r="AU944" s="31"/>
    </row>
    <row r="945" spans="4:47">
      <c r="D945" s="31"/>
      <c r="E945" s="31"/>
      <c r="F945" s="31"/>
      <c r="G945" s="31"/>
      <c r="H945" s="32"/>
      <c r="J945" s="33"/>
      <c r="K945" s="33"/>
      <c r="L945" s="33"/>
      <c r="X945" s="23"/>
      <c r="Y945" s="23"/>
      <c r="Z945" s="23"/>
      <c r="AA945" s="23"/>
      <c r="AF945" s="23"/>
      <c r="AG945" s="23"/>
      <c r="AH945" s="23"/>
      <c r="AI945" s="23"/>
      <c r="AN945" s="23"/>
      <c r="AO945" s="23"/>
      <c r="AP945" s="23"/>
      <c r="AQ945" s="23"/>
      <c r="AR945" s="35"/>
      <c r="AS945" s="35"/>
      <c r="AT945" s="35"/>
      <c r="AU945" s="31"/>
    </row>
    <row r="946" spans="4:47">
      <c r="D946" s="31"/>
      <c r="E946" s="31"/>
      <c r="F946" s="31"/>
      <c r="G946" s="31"/>
      <c r="H946" s="32"/>
      <c r="J946" s="33"/>
      <c r="K946" s="33"/>
      <c r="L946" s="33"/>
      <c r="X946" s="23"/>
      <c r="Y946" s="23"/>
      <c r="Z946" s="23"/>
      <c r="AA946" s="23"/>
      <c r="AF946" s="23"/>
      <c r="AG946" s="23"/>
      <c r="AH946" s="23"/>
      <c r="AI946" s="23"/>
      <c r="AN946" s="23"/>
      <c r="AO946" s="23"/>
      <c r="AP946" s="23"/>
      <c r="AQ946" s="23"/>
      <c r="AR946" s="35"/>
      <c r="AS946" s="35"/>
      <c r="AT946" s="35"/>
      <c r="AU946" s="31"/>
    </row>
    <row r="947" spans="4:47">
      <c r="D947" s="31"/>
      <c r="E947" s="31"/>
      <c r="F947" s="31"/>
      <c r="G947" s="31"/>
      <c r="H947" s="32"/>
      <c r="J947" s="33"/>
      <c r="K947" s="33"/>
      <c r="L947" s="33"/>
      <c r="X947" s="23"/>
      <c r="Y947" s="23"/>
      <c r="Z947" s="23"/>
      <c r="AA947" s="23"/>
      <c r="AF947" s="23"/>
      <c r="AG947" s="23"/>
      <c r="AH947" s="23"/>
      <c r="AI947" s="23"/>
      <c r="AN947" s="23"/>
      <c r="AO947" s="23"/>
      <c r="AP947" s="23"/>
      <c r="AQ947" s="23"/>
      <c r="AR947" s="35"/>
      <c r="AS947" s="35"/>
      <c r="AT947" s="35"/>
      <c r="AU947" s="31"/>
    </row>
    <row r="948" spans="4:47">
      <c r="D948" s="31"/>
      <c r="E948" s="31"/>
      <c r="F948" s="31"/>
      <c r="G948" s="31"/>
      <c r="H948" s="32"/>
      <c r="J948" s="33"/>
      <c r="K948" s="33"/>
      <c r="L948" s="33"/>
      <c r="X948" s="23"/>
      <c r="Y948" s="23"/>
      <c r="Z948" s="23"/>
      <c r="AA948" s="23"/>
      <c r="AF948" s="23"/>
      <c r="AG948" s="23"/>
      <c r="AH948" s="23"/>
      <c r="AI948" s="23"/>
      <c r="AN948" s="23"/>
      <c r="AO948" s="23"/>
      <c r="AP948" s="23"/>
      <c r="AQ948" s="23"/>
      <c r="AR948" s="35"/>
      <c r="AS948" s="35"/>
      <c r="AT948" s="35"/>
      <c r="AU948" s="31"/>
    </row>
    <row r="949" spans="4:47">
      <c r="D949" s="31"/>
      <c r="E949" s="31"/>
      <c r="F949" s="31"/>
      <c r="G949" s="31"/>
      <c r="H949" s="32"/>
      <c r="J949" s="33"/>
      <c r="K949" s="33"/>
      <c r="L949" s="33"/>
      <c r="X949" s="23"/>
      <c r="Y949" s="23"/>
      <c r="Z949" s="23"/>
      <c r="AA949" s="23"/>
      <c r="AF949" s="23"/>
      <c r="AG949" s="23"/>
      <c r="AH949" s="23"/>
      <c r="AI949" s="23"/>
      <c r="AN949" s="23"/>
      <c r="AO949" s="23"/>
      <c r="AP949" s="23"/>
      <c r="AQ949" s="23"/>
      <c r="AR949" s="35"/>
      <c r="AS949" s="35"/>
      <c r="AT949" s="35"/>
      <c r="AU949" s="31"/>
    </row>
    <row r="950" spans="4:47">
      <c r="D950" s="31"/>
      <c r="E950" s="31"/>
      <c r="F950" s="31"/>
      <c r="G950" s="31"/>
      <c r="H950" s="32"/>
      <c r="J950" s="33"/>
      <c r="K950" s="33"/>
      <c r="L950" s="33"/>
      <c r="X950" s="23"/>
      <c r="Y950" s="23"/>
      <c r="Z950" s="23"/>
      <c r="AA950" s="23"/>
      <c r="AF950" s="23"/>
      <c r="AG950" s="23"/>
      <c r="AH950" s="23"/>
      <c r="AI950" s="23"/>
      <c r="AN950" s="23"/>
      <c r="AO950" s="23"/>
      <c r="AP950" s="23"/>
      <c r="AQ950" s="23"/>
      <c r="AR950" s="35"/>
      <c r="AS950" s="35"/>
      <c r="AT950" s="35"/>
      <c r="AU950" s="31"/>
    </row>
    <row r="951" spans="4:47">
      <c r="D951" s="31"/>
      <c r="E951" s="31"/>
      <c r="F951" s="31"/>
      <c r="G951" s="31"/>
      <c r="H951" s="32"/>
      <c r="J951" s="33"/>
      <c r="K951" s="33"/>
      <c r="L951" s="33"/>
      <c r="X951" s="23"/>
      <c r="Y951" s="23"/>
      <c r="Z951" s="23"/>
      <c r="AA951" s="23"/>
      <c r="AF951" s="23"/>
      <c r="AG951" s="23"/>
      <c r="AH951" s="23"/>
      <c r="AI951" s="23"/>
      <c r="AN951" s="23"/>
      <c r="AO951" s="23"/>
      <c r="AP951" s="23"/>
      <c r="AQ951" s="23"/>
      <c r="AR951" s="35"/>
      <c r="AS951" s="35"/>
      <c r="AT951" s="35"/>
      <c r="AU951" s="31"/>
    </row>
    <row r="952" spans="4:47">
      <c r="D952" s="31"/>
      <c r="E952" s="31"/>
      <c r="F952" s="31"/>
      <c r="G952" s="31"/>
      <c r="H952" s="32"/>
      <c r="J952" s="33"/>
      <c r="K952" s="33"/>
      <c r="L952" s="33"/>
      <c r="X952" s="23"/>
      <c r="Y952" s="23"/>
      <c r="Z952" s="23"/>
      <c r="AA952" s="23"/>
      <c r="AF952" s="23"/>
      <c r="AG952" s="23"/>
      <c r="AH952" s="23"/>
      <c r="AI952" s="23"/>
      <c r="AN952" s="23"/>
      <c r="AO952" s="23"/>
      <c r="AP952" s="23"/>
      <c r="AQ952" s="23"/>
      <c r="AR952" s="35"/>
      <c r="AS952" s="35"/>
      <c r="AT952" s="35"/>
      <c r="AU952" s="31"/>
    </row>
    <row r="953" spans="4:47">
      <c r="D953" s="31"/>
      <c r="E953" s="31"/>
      <c r="F953" s="31"/>
      <c r="G953" s="31"/>
      <c r="H953" s="32"/>
      <c r="J953" s="33"/>
      <c r="K953" s="33"/>
      <c r="L953" s="33"/>
      <c r="X953" s="23"/>
      <c r="Y953" s="23"/>
      <c r="Z953" s="23"/>
      <c r="AA953" s="23"/>
      <c r="AF953" s="23"/>
      <c r="AG953" s="23"/>
      <c r="AH953" s="23"/>
      <c r="AI953" s="23"/>
      <c r="AN953" s="23"/>
      <c r="AO953" s="23"/>
      <c r="AP953" s="23"/>
      <c r="AQ953" s="23"/>
      <c r="AR953" s="35"/>
      <c r="AS953" s="35"/>
      <c r="AT953" s="35"/>
      <c r="AU953" s="31"/>
    </row>
    <row r="954" spans="4:47">
      <c r="D954" s="31"/>
      <c r="E954" s="31"/>
      <c r="F954" s="31"/>
      <c r="G954" s="31"/>
      <c r="H954" s="32"/>
      <c r="J954" s="33"/>
      <c r="K954" s="33"/>
      <c r="L954" s="33"/>
      <c r="X954" s="23"/>
      <c r="Y954" s="23"/>
      <c r="Z954" s="23"/>
      <c r="AA954" s="23"/>
      <c r="AF954" s="23"/>
      <c r="AG954" s="23"/>
      <c r="AH954" s="23"/>
      <c r="AI954" s="23"/>
      <c r="AN954" s="23"/>
      <c r="AO954" s="23"/>
      <c r="AP954" s="23"/>
      <c r="AQ954" s="23"/>
      <c r="AR954" s="35"/>
      <c r="AS954" s="35"/>
      <c r="AT954" s="35"/>
      <c r="AU954" s="31"/>
    </row>
    <row r="955" spans="4:47">
      <c r="D955" s="31"/>
      <c r="E955" s="31"/>
      <c r="F955" s="31"/>
      <c r="G955" s="31"/>
      <c r="H955" s="32"/>
      <c r="J955" s="33"/>
      <c r="K955" s="33"/>
      <c r="L955" s="33"/>
      <c r="X955" s="23"/>
      <c r="Y955" s="23"/>
      <c r="Z955" s="23"/>
      <c r="AA955" s="23"/>
      <c r="AF955" s="23"/>
      <c r="AG955" s="23"/>
      <c r="AH955" s="23"/>
      <c r="AI955" s="23"/>
      <c r="AN955" s="23"/>
      <c r="AO955" s="23"/>
      <c r="AP955" s="23"/>
      <c r="AQ955" s="23"/>
      <c r="AR955" s="35"/>
      <c r="AS955" s="35"/>
      <c r="AT955" s="35"/>
      <c r="AU955" s="31"/>
    </row>
    <row r="956" spans="4:47">
      <c r="D956" s="31"/>
      <c r="E956" s="31"/>
      <c r="F956" s="31"/>
      <c r="G956" s="31"/>
      <c r="H956" s="32"/>
      <c r="J956" s="33"/>
      <c r="K956" s="33"/>
      <c r="L956" s="33"/>
      <c r="X956" s="23"/>
      <c r="Y956" s="23"/>
      <c r="Z956" s="23"/>
      <c r="AA956" s="23"/>
      <c r="AF956" s="23"/>
      <c r="AG956" s="23"/>
      <c r="AH956" s="23"/>
      <c r="AI956" s="23"/>
      <c r="AN956" s="23"/>
      <c r="AO956" s="23"/>
      <c r="AP956" s="23"/>
      <c r="AQ956" s="23"/>
      <c r="AR956" s="35"/>
      <c r="AS956" s="35"/>
      <c r="AT956" s="35"/>
      <c r="AU956" s="31"/>
    </row>
    <row r="957" spans="4:47">
      <c r="D957" s="31"/>
      <c r="E957" s="31"/>
      <c r="F957" s="31"/>
      <c r="G957" s="31"/>
      <c r="H957" s="32"/>
      <c r="J957" s="33"/>
      <c r="K957" s="33"/>
      <c r="L957" s="33"/>
      <c r="X957" s="23"/>
      <c r="Y957" s="23"/>
      <c r="Z957" s="23"/>
      <c r="AA957" s="23"/>
      <c r="AF957" s="23"/>
      <c r="AG957" s="23"/>
      <c r="AH957" s="23"/>
      <c r="AI957" s="23"/>
      <c r="AN957" s="23"/>
      <c r="AO957" s="23"/>
      <c r="AP957" s="23"/>
      <c r="AQ957" s="23"/>
      <c r="AR957" s="35"/>
      <c r="AS957" s="35"/>
      <c r="AT957" s="35"/>
      <c r="AU957" s="31"/>
    </row>
    <row r="958" spans="4:47">
      <c r="D958" s="31"/>
      <c r="E958" s="31"/>
      <c r="F958" s="31"/>
      <c r="G958" s="31"/>
      <c r="H958" s="32"/>
      <c r="J958" s="33"/>
      <c r="K958" s="33"/>
      <c r="L958" s="33"/>
      <c r="X958" s="23"/>
      <c r="Y958" s="23"/>
      <c r="Z958" s="23"/>
      <c r="AA958" s="23"/>
      <c r="AF958" s="23"/>
      <c r="AG958" s="23"/>
      <c r="AH958" s="23"/>
      <c r="AI958" s="23"/>
      <c r="AN958" s="23"/>
      <c r="AO958" s="23"/>
      <c r="AP958" s="23"/>
      <c r="AQ958" s="23"/>
      <c r="AR958" s="35"/>
      <c r="AS958" s="35"/>
      <c r="AT958" s="35"/>
      <c r="AU958" s="31"/>
    </row>
    <row r="959" spans="4:47">
      <c r="D959" s="31"/>
      <c r="E959" s="31"/>
      <c r="F959" s="31"/>
      <c r="G959" s="31"/>
      <c r="H959" s="32"/>
      <c r="J959" s="33"/>
      <c r="K959" s="33"/>
      <c r="L959" s="33"/>
      <c r="X959" s="23"/>
      <c r="Y959" s="23"/>
      <c r="Z959" s="23"/>
      <c r="AA959" s="23"/>
      <c r="AF959" s="23"/>
      <c r="AG959" s="23"/>
      <c r="AH959" s="23"/>
      <c r="AI959" s="23"/>
      <c r="AN959" s="23"/>
      <c r="AO959" s="23"/>
      <c r="AP959" s="23"/>
      <c r="AQ959" s="23"/>
      <c r="AR959" s="35"/>
      <c r="AS959" s="35"/>
      <c r="AT959" s="35"/>
      <c r="AU959" s="31"/>
    </row>
    <row r="960" spans="4:47">
      <c r="D960" s="31"/>
      <c r="E960" s="31"/>
      <c r="F960" s="31"/>
      <c r="G960" s="31"/>
      <c r="H960" s="32"/>
      <c r="J960" s="33"/>
      <c r="K960" s="33"/>
      <c r="L960" s="33"/>
      <c r="X960" s="23"/>
      <c r="Y960" s="23"/>
      <c r="Z960" s="23"/>
      <c r="AA960" s="23"/>
      <c r="AF960" s="23"/>
      <c r="AG960" s="23"/>
      <c r="AH960" s="23"/>
      <c r="AI960" s="23"/>
      <c r="AN960" s="23"/>
      <c r="AO960" s="23"/>
      <c r="AP960" s="23"/>
      <c r="AQ960" s="23"/>
      <c r="AR960" s="35"/>
      <c r="AS960" s="35"/>
      <c r="AT960" s="35"/>
      <c r="AU960" s="31"/>
    </row>
    <row r="961" spans="4:47">
      <c r="D961" s="31"/>
      <c r="E961" s="31"/>
      <c r="F961" s="31"/>
      <c r="G961" s="31"/>
      <c r="H961" s="32"/>
      <c r="J961" s="33"/>
      <c r="K961" s="33"/>
      <c r="L961" s="33"/>
      <c r="X961" s="23"/>
      <c r="Y961" s="23"/>
      <c r="Z961" s="23"/>
      <c r="AA961" s="23"/>
      <c r="AF961" s="23"/>
      <c r="AG961" s="23"/>
      <c r="AH961" s="23"/>
      <c r="AI961" s="23"/>
      <c r="AN961" s="23"/>
      <c r="AO961" s="23"/>
      <c r="AP961" s="23"/>
      <c r="AQ961" s="23"/>
      <c r="AR961" s="35"/>
      <c r="AS961" s="35"/>
      <c r="AT961" s="35"/>
      <c r="AU961" s="31"/>
    </row>
    <row r="962" spans="4:47">
      <c r="D962" s="31"/>
      <c r="E962" s="31"/>
      <c r="F962" s="31"/>
      <c r="G962" s="31"/>
      <c r="H962" s="32"/>
      <c r="J962" s="33"/>
      <c r="K962" s="33"/>
      <c r="L962" s="33"/>
      <c r="X962" s="23"/>
      <c r="Y962" s="23"/>
      <c r="Z962" s="23"/>
      <c r="AA962" s="23"/>
      <c r="AF962" s="23"/>
      <c r="AG962" s="23"/>
      <c r="AH962" s="23"/>
      <c r="AI962" s="23"/>
      <c r="AN962" s="23"/>
      <c r="AO962" s="23"/>
      <c r="AP962" s="23"/>
      <c r="AQ962" s="23"/>
      <c r="AR962" s="35"/>
      <c r="AS962" s="35"/>
      <c r="AT962" s="35"/>
      <c r="AU962" s="31"/>
    </row>
    <row r="963" spans="4:47">
      <c r="D963" s="31"/>
      <c r="E963" s="31"/>
      <c r="F963" s="31"/>
      <c r="G963" s="31"/>
      <c r="H963" s="32"/>
      <c r="J963" s="33"/>
      <c r="K963" s="33"/>
      <c r="L963" s="33"/>
      <c r="X963" s="23"/>
      <c r="Y963" s="23"/>
      <c r="Z963" s="23"/>
      <c r="AA963" s="23"/>
      <c r="AF963" s="23"/>
      <c r="AG963" s="23"/>
      <c r="AH963" s="23"/>
      <c r="AI963" s="23"/>
      <c r="AN963" s="23"/>
      <c r="AO963" s="23"/>
      <c r="AP963" s="23"/>
      <c r="AQ963" s="23"/>
      <c r="AR963" s="35"/>
      <c r="AS963" s="35"/>
      <c r="AT963" s="35"/>
      <c r="AU963" s="31"/>
    </row>
    <row r="964" spans="4:47">
      <c r="D964" s="31"/>
      <c r="E964" s="31"/>
      <c r="F964" s="31"/>
      <c r="G964" s="31"/>
      <c r="H964" s="32"/>
      <c r="J964" s="33"/>
      <c r="K964" s="33"/>
      <c r="L964" s="33"/>
      <c r="X964" s="23"/>
      <c r="Y964" s="23"/>
      <c r="Z964" s="23"/>
      <c r="AA964" s="23"/>
      <c r="AF964" s="23"/>
      <c r="AG964" s="23"/>
      <c r="AH964" s="23"/>
      <c r="AI964" s="23"/>
      <c r="AN964" s="23"/>
      <c r="AO964" s="23"/>
      <c r="AP964" s="23"/>
      <c r="AQ964" s="23"/>
      <c r="AR964" s="35"/>
      <c r="AS964" s="35"/>
      <c r="AT964" s="35"/>
      <c r="AU964" s="31"/>
    </row>
    <row r="965" spans="4:47">
      <c r="D965" s="31"/>
      <c r="E965" s="31"/>
      <c r="F965" s="31"/>
      <c r="G965" s="31"/>
      <c r="H965" s="32"/>
      <c r="J965" s="33"/>
      <c r="K965" s="33"/>
      <c r="L965" s="33"/>
      <c r="X965" s="23"/>
      <c r="Y965" s="23"/>
      <c r="Z965" s="23"/>
      <c r="AA965" s="23"/>
      <c r="AF965" s="23"/>
      <c r="AG965" s="23"/>
      <c r="AH965" s="23"/>
      <c r="AI965" s="23"/>
      <c r="AN965" s="23"/>
      <c r="AO965" s="23"/>
      <c r="AP965" s="23"/>
      <c r="AQ965" s="23"/>
      <c r="AR965" s="35"/>
      <c r="AS965" s="35"/>
      <c r="AT965" s="35"/>
      <c r="AU965" s="31"/>
    </row>
    <row r="966" spans="4:47">
      <c r="D966" s="31"/>
      <c r="E966" s="31"/>
      <c r="F966" s="31"/>
      <c r="G966" s="31"/>
      <c r="H966" s="32"/>
      <c r="J966" s="33"/>
      <c r="K966" s="33"/>
      <c r="L966" s="33"/>
      <c r="X966" s="23"/>
      <c r="Y966" s="23"/>
      <c r="Z966" s="23"/>
      <c r="AA966" s="23"/>
      <c r="AF966" s="23"/>
      <c r="AG966" s="23"/>
      <c r="AH966" s="23"/>
      <c r="AI966" s="23"/>
      <c r="AN966" s="23"/>
      <c r="AO966" s="23"/>
      <c r="AP966" s="23"/>
      <c r="AQ966" s="23"/>
      <c r="AR966" s="35"/>
      <c r="AS966" s="35"/>
      <c r="AT966" s="35"/>
      <c r="AU966" s="31"/>
    </row>
    <row r="967" spans="4:47">
      <c r="D967" s="31"/>
      <c r="E967" s="31"/>
      <c r="F967" s="31"/>
      <c r="G967" s="31"/>
      <c r="H967" s="32"/>
      <c r="J967" s="33"/>
      <c r="K967" s="33"/>
      <c r="L967" s="33"/>
      <c r="X967" s="23"/>
      <c r="Y967" s="23"/>
      <c r="Z967" s="23"/>
      <c r="AA967" s="23"/>
      <c r="AF967" s="23"/>
      <c r="AG967" s="23"/>
      <c r="AH967" s="23"/>
      <c r="AI967" s="23"/>
      <c r="AN967" s="23"/>
      <c r="AO967" s="23"/>
      <c r="AP967" s="23"/>
      <c r="AQ967" s="23"/>
      <c r="AR967" s="35"/>
      <c r="AS967" s="35"/>
      <c r="AT967" s="35"/>
      <c r="AU967" s="31"/>
    </row>
    <row r="968" spans="4:47">
      <c r="D968" s="31"/>
      <c r="E968" s="31"/>
      <c r="F968" s="31"/>
      <c r="G968" s="31"/>
      <c r="H968" s="32"/>
      <c r="J968" s="33"/>
      <c r="K968" s="33"/>
      <c r="L968" s="33"/>
      <c r="X968" s="23"/>
      <c r="Y968" s="23"/>
      <c r="Z968" s="23"/>
      <c r="AA968" s="23"/>
      <c r="AF968" s="23"/>
      <c r="AG968" s="23"/>
      <c r="AH968" s="23"/>
      <c r="AI968" s="23"/>
      <c r="AN968" s="23"/>
      <c r="AO968" s="23"/>
      <c r="AP968" s="23"/>
      <c r="AQ968" s="23"/>
      <c r="AR968" s="35"/>
      <c r="AS968" s="35"/>
      <c r="AT968" s="35"/>
      <c r="AU968" s="31"/>
    </row>
    <row r="969" spans="4:47">
      <c r="D969" s="31"/>
      <c r="E969" s="31"/>
      <c r="F969" s="31"/>
      <c r="G969" s="31"/>
      <c r="H969" s="32"/>
      <c r="J969" s="33"/>
      <c r="K969" s="33"/>
      <c r="L969" s="33"/>
      <c r="X969" s="23"/>
      <c r="Y969" s="23"/>
      <c r="Z969" s="23"/>
      <c r="AA969" s="23"/>
      <c r="AF969" s="23"/>
      <c r="AG969" s="23"/>
      <c r="AH969" s="23"/>
      <c r="AI969" s="23"/>
      <c r="AN969" s="23"/>
      <c r="AO969" s="23"/>
      <c r="AP969" s="23"/>
      <c r="AQ969" s="23"/>
      <c r="AR969" s="35"/>
      <c r="AS969" s="35"/>
      <c r="AT969" s="35"/>
      <c r="AU969" s="31"/>
    </row>
    <row r="970" spans="4:47">
      <c r="D970" s="31"/>
      <c r="E970" s="31"/>
      <c r="F970" s="31"/>
      <c r="G970" s="31"/>
      <c r="H970" s="32"/>
      <c r="J970" s="33"/>
      <c r="K970" s="33"/>
      <c r="L970" s="33"/>
      <c r="X970" s="23"/>
      <c r="Y970" s="23"/>
      <c r="Z970" s="23"/>
      <c r="AA970" s="23"/>
      <c r="AF970" s="23"/>
      <c r="AG970" s="23"/>
      <c r="AH970" s="23"/>
      <c r="AI970" s="23"/>
      <c r="AN970" s="23"/>
      <c r="AO970" s="23"/>
      <c r="AP970" s="23"/>
      <c r="AQ970" s="23"/>
      <c r="AR970" s="35"/>
      <c r="AS970" s="35"/>
      <c r="AT970" s="35"/>
      <c r="AU970" s="31"/>
    </row>
    <row r="971" spans="4:47">
      <c r="D971" s="31"/>
      <c r="E971" s="31"/>
      <c r="F971" s="31"/>
      <c r="G971" s="31"/>
      <c r="H971" s="32"/>
      <c r="J971" s="33"/>
      <c r="K971" s="33"/>
      <c r="L971" s="33"/>
      <c r="X971" s="23"/>
      <c r="Y971" s="23"/>
      <c r="Z971" s="23"/>
      <c r="AA971" s="23"/>
      <c r="AF971" s="23"/>
      <c r="AG971" s="23"/>
      <c r="AH971" s="23"/>
      <c r="AI971" s="23"/>
      <c r="AN971" s="23"/>
      <c r="AO971" s="23"/>
      <c r="AP971" s="23"/>
      <c r="AQ971" s="23"/>
      <c r="AR971" s="35"/>
      <c r="AS971" s="35"/>
      <c r="AT971" s="35"/>
      <c r="AU971" s="31"/>
    </row>
    <row r="972" spans="4:47">
      <c r="D972" s="31"/>
      <c r="E972" s="31"/>
      <c r="F972" s="31"/>
      <c r="G972" s="31"/>
      <c r="H972" s="32"/>
      <c r="J972" s="33"/>
      <c r="K972" s="33"/>
      <c r="L972" s="33"/>
      <c r="X972" s="23"/>
      <c r="Y972" s="23"/>
      <c r="Z972" s="23"/>
      <c r="AA972" s="23"/>
      <c r="AF972" s="23"/>
      <c r="AG972" s="23"/>
      <c r="AH972" s="23"/>
      <c r="AI972" s="23"/>
      <c r="AN972" s="23"/>
      <c r="AO972" s="23"/>
      <c r="AP972" s="23"/>
      <c r="AQ972" s="23"/>
      <c r="AR972" s="35"/>
      <c r="AS972" s="35"/>
      <c r="AT972" s="35"/>
      <c r="AU972" s="31"/>
    </row>
    <row r="973" spans="4:47">
      <c r="D973" s="31"/>
      <c r="E973" s="31"/>
      <c r="F973" s="31"/>
      <c r="G973" s="31"/>
      <c r="H973" s="32"/>
      <c r="J973" s="33"/>
      <c r="K973" s="33"/>
      <c r="L973" s="33"/>
      <c r="X973" s="23"/>
      <c r="Y973" s="23"/>
      <c r="Z973" s="23"/>
      <c r="AA973" s="23"/>
      <c r="AF973" s="23"/>
      <c r="AG973" s="23"/>
      <c r="AH973" s="23"/>
      <c r="AI973" s="23"/>
      <c r="AN973" s="23"/>
      <c r="AO973" s="23"/>
      <c r="AP973" s="23"/>
      <c r="AQ973" s="23"/>
      <c r="AR973" s="35"/>
      <c r="AS973" s="35"/>
      <c r="AT973" s="35"/>
      <c r="AU973" s="31"/>
    </row>
    <row r="974" spans="4:47">
      <c r="D974" s="31"/>
      <c r="E974" s="31"/>
      <c r="F974" s="31"/>
      <c r="G974" s="31"/>
      <c r="H974" s="32"/>
      <c r="J974" s="33"/>
      <c r="K974" s="33"/>
      <c r="L974" s="33"/>
      <c r="X974" s="23"/>
      <c r="Y974" s="23"/>
      <c r="Z974" s="23"/>
      <c r="AA974" s="23"/>
      <c r="AF974" s="23"/>
      <c r="AG974" s="23"/>
      <c r="AH974" s="23"/>
      <c r="AI974" s="23"/>
      <c r="AN974" s="23"/>
      <c r="AO974" s="23"/>
      <c r="AP974" s="23"/>
      <c r="AQ974" s="23"/>
      <c r="AR974" s="35"/>
      <c r="AS974" s="35"/>
      <c r="AT974" s="35"/>
      <c r="AU974" s="31"/>
    </row>
    <row r="975" spans="4:47">
      <c r="D975" s="31"/>
      <c r="E975" s="31"/>
      <c r="F975" s="31"/>
      <c r="G975" s="31"/>
      <c r="H975" s="32"/>
      <c r="J975" s="33"/>
      <c r="K975" s="33"/>
      <c r="L975" s="33"/>
      <c r="X975" s="23"/>
      <c r="Y975" s="23"/>
      <c r="Z975" s="23"/>
      <c r="AA975" s="23"/>
      <c r="AF975" s="23"/>
      <c r="AG975" s="23"/>
      <c r="AH975" s="23"/>
      <c r="AI975" s="23"/>
      <c r="AN975" s="23"/>
      <c r="AO975" s="23"/>
      <c r="AP975" s="23"/>
      <c r="AQ975" s="23"/>
      <c r="AR975" s="35"/>
      <c r="AS975" s="35"/>
      <c r="AT975" s="35"/>
      <c r="AU975" s="31"/>
    </row>
    <row r="976" spans="4:47">
      <c r="D976" s="31"/>
      <c r="E976" s="31"/>
      <c r="F976" s="31"/>
      <c r="G976" s="31"/>
      <c r="H976" s="32"/>
      <c r="J976" s="33"/>
      <c r="K976" s="33"/>
      <c r="L976" s="33"/>
      <c r="X976" s="23"/>
      <c r="Y976" s="23"/>
      <c r="Z976" s="23"/>
      <c r="AA976" s="23"/>
      <c r="AF976" s="23"/>
      <c r="AG976" s="23"/>
      <c r="AH976" s="23"/>
      <c r="AI976" s="23"/>
      <c r="AN976" s="23"/>
      <c r="AO976" s="23"/>
      <c r="AP976" s="23"/>
      <c r="AQ976" s="23"/>
      <c r="AR976" s="35"/>
      <c r="AS976" s="35"/>
      <c r="AT976" s="35"/>
      <c r="AU976" s="31"/>
    </row>
    <row r="977" spans="4:47">
      <c r="D977" s="31"/>
      <c r="E977" s="31"/>
      <c r="F977" s="31"/>
      <c r="G977" s="31"/>
      <c r="H977" s="32"/>
      <c r="J977" s="33"/>
      <c r="K977" s="33"/>
      <c r="L977" s="33"/>
      <c r="X977" s="23"/>
      <c r="Y977" s="23"/>
      <c r="Z977" s="23"/>
      <c r="AA977" s="23"/>
      <c r="AF977" s="23"/>
      <c r="AG977" s="23"/>
      <c r="AH977" s="23"/>
      <c r="AI977" s="23"/>
      <c r="AN977" s="23"/>
      <c r="AO977" s="23"/>
      <c r="AP977" s="23"/>
      <c r="AQ977" s="23"/>
      <c r="AR977" s="35"/>
      <c r="AS977" s="35"/>
      <c r="AT977" s="35"/>
      <c r="AU977" s="31"/>
    </row>
    <row r="978" spans="4:47">
      <c r="D978" s="31"/>
      <c r="E978" s="31"/>
      <c r="F978" s="31"/>
      <c r="G978" s="31"/>
      <c r="H978" s="32"/>
      <c r="J978" s="33"/>
      <c r="K978" s="33"/>
      <c r="L978" s="33"/>
      <c r="X978" s="23"/>
      <c r="Y978" s="23"/>
      <c r="Z978" s="23"/>
      <c r="AA978" s="23"/>
      <c r="AF978" s="23"/>
      <c r="AG978" s="23"/>
      <c r="AH978" s="23"/>
      <c r="AI978" s="23"/>
      <c r="AN978" s="23"/>
      <c r="AO978" s="23"/>
      <c r="AP978" s="23"/>
      <c r="AQ978" s="23"/>
      <c r="AR978" s="35"/>
      <c r="AS978" s="35"/>
      <c r="AT978" s="35"/>
      <c r="AU978" s="31"/>
    </row>
    <row r="979" spans="4:47">
      <c r="D979" s="31"/>
      <c r="E979" s="31"/>
      <c r="F979" s="31"/>
      <c r="G979" s="31"/>
      <c r="H979" s="32"/>
      <c r="J979" s="33"/>
      <c r="K979" s="33"/>
      <c r="L979" s="33"/>
      <c r="X979" s="23"/>
      <c r="Y979" s="23"/>
      <c r="Z979" s="23"/>
      <c r="AA979" s="23"/>
      <c r="AF979" s="23"/>
      <c r="AG979" s="23"/>
      <c r="AH979" s="23"/>
      <c r="AI979" s="23"/>
      <c r="AN979" s="23"/>
      <c r="AO979" s="23"/>
      <c r="AP979" s="23"/>
      <c r="AQ979" s="23"/>
      <c r="AR979" s="35"/>
      <c r="AS979" s="35"/>
      <c r="AT979" s="35"/>
      <c r="AU979" s="31"/>
    </row>
    <row r="980" spans="4:47">
      <c r="D980" s="31"/>
      <c r="E980" s="31"/>
      <c r="F980" s="31"/>
      <c r="G980" s="31"/>
      <c r="H980" s="32"/>
      <c r="J980" s="33"/>
      <c r="K980" s="33"/>
      <c r="L980" s="33"/>
      <c r="X980" s="23"/>
      <c r="Y980" s="23"/>
      <c r="Z980" s="23"/>
      <c r="AA980" s="23"/>
      <c r="AF980" s="23"/>
      <c r="AG980" s="23"/>
      <c r="AH980" s="23"/>
      <c r="AI980" s="23"/>
      <c r="AN980" s="23"/>
      <c r="AO980" s="23"/>
      <c r="AP980" s="23"/>
      <c r="AQ980" s="23"/>
      <c r="AR980" s="35"/>
      <c r="AS980" s="35"/>
      <c r="AT980" s="35"/>
      <c r="AU980" s="31"/>
    </row>
    <row r="981" spans="4:47">
      <c r="D981" s="31"/>
      <c r="E981" s="31"/>
      <c r="F981" s="31"/>
      <c r="G981" s="31"/>
      <c r="H981" s="32"/>
      <c r="J981" s="33"/>
      <c r="K981" s="33"/>
      <c r="L981" s="33"/>
      <c r="X981" s="23"/>
      <c r="Y981" s="23"/>
      <c r="Z981" s="23"/>
      <c r="AA981" s="23"/>
      <c r="AF981" s="23"/>
      <c r="AG981" s="23"/>
      <c r="AH981" s="23"/>
      <c r="AI981" s="23"/>
      <c r="AN981" s="23"/>
      <c r="AO981" s="23"/>
      <c r="AP981" s="23"/>
      <c r="AQ981" s="23"/>
      <c r="AR981" s="35"/>
      <c r="AS981" s="35"/>
      <c r="AT981" s="35"/>
      <c r="AU981" s="31"/>
    </row>
    <row r="982" spans="4:47">
      <c r="D982" s="31"/>
      <c r="E982" s="31"/>
      <c r="F982" s="31"/>
      <c r="G982" s="31"/>
      <c r="H982" s="32"/>
      <c r="J982" s="33"/>
      <c r="K982" s="33"/>
      <c r="L982" s="33"/>
      <c r="X982" s="23"/>
      <c r="Y982" s="23"/>
      <c r="Z982" s="23"/>
      <c r="AA982" s="23"/>
      <c r="AF982" s="23"/>
      <c r="AG982" s="23"/>
      <c r="AH982" s="23"/>
      <c r="AI982" s="23"/>
      <c r="AN982" s="23"/>
      <c r="AO982" s="23"/>
      <c r="AP982" s="23"/>
      <c r="AQ982" s="23"/>
      <c r="AR982" s="35"/>
      <c r="AS982" s="35"/>
      <c r="AT982" s="35"/>
      <c r="AU982" s="31"/>
    </row>
    <row r="983" spans="4:47">
      <c r="D983" s="31"/>
      <c r="E983" s="31"/>
      <c r="F983" s="31"/>
      <c r="G983" s="31"/>
      <c r="H983" s="32"/>
      <c r="J983" s="33"/>
      <c r="K983" s="33"/>
      <c r="L983" s="33"/>
      <c r="X983" s="23"/>
      <c r="Y983" s="23"/>
      <c r="Z983" s="23"/>
      <c r="AA983" s="23"/>
      <c r="AF983" s="23"/>
      <c r="AG983" s="23"/>
      <c r="AH983" s="23"/>
      <c r="AI983" s="23"/>
      <c r="AN983" s="23"/>
      <c r="AO983" s="23"/>
      <c r="AP983" s="23"/>
      <c r="AQ983" s="23"/>
      <c r="AR983" s="35"/>
      <c r="AS983" s="35"/>
      <c r="AT983" s="35"/>
      <c r="AU983" s="31"/>
    </row>
    <row r="984" spans="4:47">
      <c r="D984" s="31"/>
      <c r="E984" s="31"/>
      <c r="F984" s="31"/>
      <c r="G984" s="31"/>
      <c r="H984" s="32"/>
      <c r="J984" s="33"/>
      <c r="K984" s="33"/>
      <c r="L984" s="33"/>
      <c r="X984" s="23"/>
      <c r="Y984" s="23"/>
      <c r="Z984" s="23"/>
      <c r="AA984" s="23"/>
      <c r="AF984" s="23"/>
      <c r="AG984" s="23"/>
      <c r="AH984" s="23"/>
      <c r="AI984" s="23"/>
      <c r="AN984" s="23"/>
      <c r="AO984" s="23"/>
      <c r="AP984" s="23"/>
      <c r="AQ984" s="23"/>
      <c r="AR984" s="35"/>
      <c r="AS984" s="35"/>
      <c r="AT984" s="35"/>
      <c r="AU984" s="31"/>
    </row>
    <row r="985" spans="4:47">
      <c r="D985" s="31"/>
      <c r="E985" s="31"/>
      <c r="F985" s="31"/>
      <c r="G985" s="31"/>
      <c r="H985" s="32"/>
      <c r="J985" s="33"/>
      <c r="K985" s="33"/>
      <c r="L985" s="33"/>
      <c r="X985" s="23"/>
      <c r="Y985" s="23"/>
      <c r="Z985" s="23"/>
      <c r="AA985" s="23"/>
      <c r="AF985" s="23"/>
      <c r="AG985" s="23"/>
      <c r="AH985" s="23"/>
      <c r="AI985" s="23"/>
      <c r="AN985" s="23"/>
      <c r="AO985" s="23"/>
      <c r="AP985" s="23"/>
      <c r="AQ985" s="23"/>
      <c r="AR985" s="35"/>
      <c r="AS985" s="35"/>
      <c r="AT985" s="35"/>
      <c r="AU985" s="31"/>
    </row>
    <row r="986" spans="4:47">
      <c r="D986" s="31"/>
      <c r="E986" s="31"/>
      <c r="F986" s="31"/>
      <c r="G986" s="31"/>
      <c r="H986" s="32"/>
      <c r="J986" s="33"/>
      <c r="K986" s="33"/>
      <c r="L986" s="33"/>
      <c r="X986" s="23"/>
      <c r="Y986" s="23"/>
      <c r="Z986" s="23"/>
      <c r="AA986" s="23"/>
      <c r="AF986" s="23"/>
      <c r="AG986" s="23"/>
      <c r="AH986" s="23"/>
      <c r="AI986" s="23"/>
      <c r="AN986" s="23"/>
      <c r="AO986" s="23"/>
      <c r="AP986" s="23"/>
      <c r="AQ986" s="23"/>
      <c r="AR986" s="35"/>
      <c r="AS986" s="35"/>
      <c r="AT986" s="35"/>
      <c r="AU986" s="31"/>
    </row>
    <row r="987" spans="4:47">
      <c r="D987" s="31"/>
      <c r="E987" s="31"/>
      <c r="F987" s="31"/>
      <c r="G987" s="31"/>
      <c r="H987" s="32"/>
      <c r="J987" s="33"/>
      <c r="K987" s="33"/>
      <c r="L987" s="33"/>
      <c r="X987" s="23"/>
      <c r="Y987" s="23"/>
      <c r="Z987" s="23"/>
      <c r="AA987" s="23"/>
      <c r="AF987" s="23"/>
      <c r="AG987" s="23"/>
      <c r="AH987" s="23"/>
      <c r="AI987" s="23"/>
      <c r="AN987" s="23"/>
      <c r="AO987" s="23"/>
      <c r="AP987" s="23"/>
      <c r="AQ987" s="23"/>
      <c r="AR987" s="35"/>
      <c r="AS987" s="35"/>
      <c r="AT987" s="35"/>
      <c r="AU987" s="31"/>
    </row>
    <row r="988" spans="4:47">
      <c r="D988" s="31"/>
      <c r="E988" s="31"/>
      <c r="F988" s="31"/>
      <c r="G988" s="31"/>
      <c r="H988" s="32"/>
      <c r="J988" s="33"/>
      <c r="K988" s="33"/>
      <c r="L988" s="33"/>
      <c r="X988" s="23"/>
      <c r="Y988" s="23"/>
      <c r="Z988" s="23"/>
      <c r="AA988" s="23"/>
      <c r="AF988" s="23"/>
      <c r="AG988" s="23"/>
      <c r="AH988" s="23"/>
      <c r="AI988" s="23"/>
      <c r="AN988" s="23"/>
      <c r="AO988" s="23"/>
      <c r="AP988" s="23"/>
      <c r="AQ988" s="23"/>
      <c r="AR988" s="35"/>
      <c r="AS988" s="35"/>
      <c r="AT988" s="35"/>
      <c r="AU988" s="31"/>
    </row>
    <row r="989" spans="4:47">
      <c r="D989" s="31"/>
      <c r="E989" s="31"/>
      <c r="F989" s="31"/>
      <c r="G989" s="31"/>
      <c r="H989" s="32"/>
      <c r="J989" s="33"/>
      <c r="K989" s="33"/>
      <c r="L989" s="33"/>
      <c r="X989" s="23"/>
      <c r="Y989" s="23"/>
      <c r="Z989" s="23"/>
      <c r="AA989" s="23"/>
      <c r="AF989" s="23"/>
      <c r="AG989" s="23"/>
      <c r="AH989" s="23"/>
      <c r="AI989" s="23"/>
      <c r="AN989" s="23"/>
      <c r="AO989" s="23"/>
      <c r="AP989" s="23"/>
      <c r="AQ989" s="23"/>
      <c r="AR989" s="35"/>
      <c r="AS989" s="35"/>
      <c r="AT989" s="35"/>
      <c r="AU989" s="31"/>
    </row>
    <row r="990" spans="4:47">
      <c r="D990" s="31"/>
      <c r="E990" s="31"/>
      <c r="F990" s="31"/>
      <c r="G990" s="31"/>
      <c r="H990" s="32"/>
      <c r="J990" s="33"/>
      <c r="K990" s="33"/>
      <c r="L990" s="33"/>
      <c r="X990" s="23"/>
      <c r="Y990" s="23"/>
      <c r="Z990" s="23"/>
      <c r="AA990" s="23"/>
      <c r="AF990" s="23"/>
      <c r="AG990" s="23"/>
      <c r="AH990" s="23"/>
      <c r="AI990" s="23"/>
      <c r="AN990" s="23"/>
      <c r="AO990" s="23"/>
      <c r="AP990" s="23"/>
      <c r="AQ990" s="23"/>
      <c r="AR990" s="35"/>
      <c r="AS990" s="35"/>
      <c r="AT990" s="35"/>
      <c r="AU990" s="31"/>
    </row>
    <row r="991" spans="4:47">
      <c r="D991" s="31"/>
      <c r="E991" s="31"/>
      <c r="F991" s="31"/>
      <c r="G991" s="31"/>
      <c r="H991" s="32"/>
      <c r="J991" s="33"/>
      <c r="K991" s="33"/>
      <c r="L991" s="33"/>
      <c r="X991" s="23"/>
      <c r="Y991" s="23"/>
      <c r="Z991" s="23"/>
      <c r="AA991" s="23"/>
      <c r="AF991" s="23"/>
      <c r="AG991" s="23"/>
      <c r="AH991" s="23"/>
      <c r="AI991" s="23"/>
      <c r="AN991" s="23"/>
      <c r="AO991" s="23"/>
      <c r="AP991" s="23"/>
      <c r="AQ991" s="23"/>
      <c r="AR991" s="35"/>
      <c r="AS991" s="35"/>
      <c r="AT991" s="35"/>
      <c r="AU991" s="31"/>
    </row>
    <row r="992" spans="4:47">
      <c r="D992" s="31"/>
      <c r="E992" s="31"/>
      <c r="F992" s="31"/>
      <c r="G992" s="31"/>
      <c r="H992" s="32"/>
      <c r="J992" s="33"/>
      <c r="K992" s="33"/>
      <c r="L992" s="33"/>
      <c r="X992" s="23"/>
      <c r="Y992" s="23"/>
      <c r="Z992" s="23"/>
      <c r="AA992" s="23"/>
      <c r="AF992" s="23"/>
      <c r="AG992" s="23"/>
      <c r="AH992" s="23"/>
      <c r="AI992" s="23"/>
      <c r="AN992" s="23"/>
      <c r="AO992" s="23"/>
      <c r="AP992" s="23"/>
      <c r="AQ992" s="23"/>
      <c r="AR992" s="35"/>
      <c r="AS992" s="35"/>
      <c r="AT992" s="35"/>
      <c r="AU992" s="31"/>
    </row>
    <row r="993" spans="4:47">
      <c r="D993" s="31"/>
      <c r="E993" s="31"/>
      <c r="F993" s="31"/>
      <c r="G993" s="31"/>
      <c r="H993" s="32"/>
      <c r="J993" s="33"/>
      <c r="K993" s="33"/>
      <c r="L993" s="33"/>
      <c r="X993" s="23"/>
      <c r="Y993" s="23"/>
      <c r="Z993" s="23"/>
      <c r="AA993" s="23"/>
      <c r="AF993" s="23"/>
      <c r="AG993" s="23"/>
      <c r="AH993" s="23"/>
      <c r="AI993" s="23"/>
      <c r="AN993" s="23"/>
      <c r="AO993" s="23"/>
      <c r="AP993" s="23"/>
      <c r="AQ993" s="23"/>
      <c r="AR993" s="35"/>
      <c r="AS993" s="35"/>
      <c r="AT993" s="35"/>
      <c r="AU993" s="31"/>
    </row>
    <row r="994" spans="4:47">
      <c r="D994" s="31"/>
      <c r="E994" s="31"/>
      <c r="F994" s="31"/>
      <c r="G994" s="31"/>
      <c r="H994" s="32"/>
      <c r="J994" s="33"/>
      <c r="K994" s="33"/>
      <c r="L994" s="33"/>
      <c r="X994" s="23"/>
      <c r="Y994" s="23"/>
      <c r="Z994" s="23"/>
      <c r="AA994" s="23"/>
      <c r="AF994" s="23"/>
      <c r="AG994" s="23"/>
      <c r="AH994" s="23"/>
      <c r="AI994" s="23"/>
      <c r="AN994" s="23"/>
      <c r="AO994" s="23"/>
      <c r="AP994" s="23"/>
      <c r="AQ994" s="23"/>
      <c r="AR994" s="35"/>
      <c r="AS994" s="35"/>
      <c r="AT994" s="35"/>
      <c r="AU994" s="31"/>
    </row>
    <row r="995" spans="4:47">
      <c r="D995" s="31"/>
      <c r="E995" s="31"/>
      <c r="F995" s="31"/>
      <c r="G995" s="31"/>
      <c r="H995" s="32"/>
      <c r="J995" s="33"/>
      <c r="K995" s="33"/>
      <c r="L995" s="33"/>
      <c r="X995" s="23"/>
      <c r="Y995" s="23"/>
      <c r="Z995" s="23"/>
      <c r="AA995" s="23"/>
      <c r="AF995" s="23"/>
      <c r="AG995" s="23"/>
      <c r="AH995" s="23"/>
      <c r="AI995" s="23"/>
      <c r="AN995" s="23"/>
      <c r="AO995" s="23"/>
      <c r="AP995" s="23"/>
      <c r="AQ995" s="23"/>
      <c r="AR995" s="35"/>
      <c r="AS995" s="35"/>
      <c r="AT995" s="35"/>
      <c r="AU995" s="31"/>
    </row>
    <row r="996" spans="4:47">
      <c r="D996" s="31"/>
      <c r="E996" s="31"/>
      <c r="F996" s="31"/>
      <c r="G996" s="31"/>
      <c r="H996" s="32"/>
      <c r="J996" s="33"/>
      <c r="K996" s="33"/>
      <c r="L996" s="33"/>
      <c r="X996" s="23"/>
      <c r="Y996" s="23"/>
      <c r="Z996" s="23"/>
      <c r="AA996" s="23"/>
      <c r="AF996" s="23"/>
      <c r="AG996" s="23"/>
      <c r="AH996" s="23"/>
      <c r="AI996" s="23"/>
      <c r="AN996" s="23"/>
      <c r="AO996" s="23"/>
      <c r="AP996" s="23"/>
      <c r="AQ996" s="23"/>
      <c r="AR996" s="35"/>
      <c r="AS996" s="35"/>
      <c r="AT996" s="35"/>
      <c r="AU996" s="31"/>
    </row>
    <row r="997" spans="4:47">
      <c r="D997" s="31"/>
      <c r="E997" s="31"/>
      <c r="F997" s="31"/>
      <c r="G997" s="31"/>
      <c r="H997" s="32"/>
      <c r="J997" s="33"/>
      <c r="K997" s="33"/>
      <c r="L997" s="33"/>
      <c r="X997" s="23"/>
      <c r="Y997" s="23"/>
      <c r="Z997" s="23"/>
      <c r="AA997" s="23"/>
      <c r="AF997" s="23"/>
      <c r="AG997" s="23"/>
      <c r="AH997" s="23"/>
      <c r="AI997" s="23"/>
      <c r="AN997" s="23"/>
      <c r="AO997" s="23"/>
      <c r="AP997" s="23"/>
      <c r="AQ997" s="23"/>
      <c r="AR997" s="35"/>
      <c r="AS997" s="35"/>
      <c r="AT997" s="35"/>
      <c r="AU997" s="31"/>
    </row>
    <row r="998" spans="4:47">
      <c r="D998" s="31"/>
      <c r="E998" s="31"/>
      <c r="F998" s="31"/>
      <c r="G998" s="31"/>
      <c r="H998" s="32"/>
      <c r="J998" s="33"/>
      <c r="K998" s="33"/>
      <c r="L998" s="33"/>
      <c r="X998" s="23"/>
      <c r="Y998" s="23"/>
      <c r="Z998" s="23"/>
      <c r="AA998" s="23"/>
      <c r="AF998" s="23"/>
      <c r="AG998" s="23"/>
      <c r="AH998" s="23"/>
      <c r="AI998" s="23"/>
      <c r="AN998" s="23"/>
      <c r="AO998" s="23"/>
      <c r="AP998" s="23"/>
      <c r="AQ998" s="23"/>
      <c r="AR998" s="35"/>
      <c r="AS998" s="35"/>
      <c r="AT998" s="35"/>
      <c r="AU998" s="31"/>
    </row>
    <row r="999" spans="4:47">
      <c r="D999" s="31"/>
      <c r="E999" s="31"/>
      <c r="F999" s="31"/>
      <c r="G999" s="31"/>
      <c r="H999" s="32"/>
      <c r="J999" s="33"/>
      <c r="K999" s="33"/>
      <c r="L999" s="33"/>
      <c r="X999" s="23"/>
      <c r="Y999" s="23"/>
      <c r="Z999" s="23"/>
      <c r="AA999" s="23"/>
      <c r="AF999" s="23"/>
      <c r="AG999" s="23"/>
      <c r="AH999" s="23"/>
      <c r="AI999" s="23"/>
      <c r="AN999" s="23"/>
      <c r="AO999" s="23"/>
      <c r="AP999" s="23"/>
      <c r="AQ999" s="23"/>
      <c r="AR999" s="35"/>
      <c r="AS999" s="35"/>
      <c r="AT999" s="35"/>
      <c r="AU999" s="31"/>
    </row>
    <row r="1000" spans="4:47">
      <c r="D1000" s="31"/>
      <c r="E1000" s="31"/>
      <c r="F1000" s="31"/>
      <c r="G1000" s="31"/>
      <c r="H1000" s="32"/>
      <c r="J1000" s="33"/>
      <c r="K1000" s="33"/>
      <c r="L1000" s="33"/>
      <c r="X1000" s="23"/>
      <c r="Y1000" s="23"/>
      <c r="Z1000" s="23"/>
      <c r="AA1000" s="23"/>
      <c r="AF1000" s="23"/>
      <c r="AG1000" s="23"/>
      <c r="AH1000" s="23"/>
      <c r="AI1000" s="23"/>
      <c r="AN1000" s="23"/>
      <c r="AO1000" s="23"/>
      <c r="AP1000" s="23"/>
      <c r="AQ1000" s="23"/>
      <c r="AR1000" s="35"/>
      <c r="AS1000" s="35"/>
      <c r="AT1000" s="35"/>
      <c r="AU1000" s="31"/>
    </row>
    <row r="1001" spans="4:47">
      <c r="D1001" s="31"/>
      <c r="E1001" s="31"/>
      <c r="F1001" s="31"/>
      <c r="G1001" s="31"/>
      <c r="H1001" s="32"/>
      <c r="J1001" s="33"/>
      <c r="K1001" s="33"/>
      <c r="L1001" s="33"/>
      <c r="X1001" s="23"/>
      <c r="Y1001" s="23"/>
      <c r="Z1001" s="23"/>
      <c r="AA1001" s="23"/>
      <c r="AF1001" s="23"/>
      <c r="AG1001" s="23"/>
      <c r="AH1001" s="23"/>
      <c r="AI1001" s="23"/>
      <c r="AN1001" s="23"/>
      <c r="AO1001" s="23"/>
      <c r="AP1001" s="23"/>
      <c r="AQ1001" s="23"/>
      <c r="AR1001" s="35"/>
      <c r="AS1001" s="35"/>
      <c r="AT1001" s="35"/>
      <c r="AU1001" s="31"/>
    </row>
    <row r="1002" spans="4:47">
      <c r="D1002" s="31"/>
      <c r="E1002" s="31"/>
      <c r="F1002" s="31"/>
      <c r="G1002" s="31"/>
      <c r="H1002" s="32"/>
      <c r="J1002" s="33"/>
      <c r="K1002" s="33"/>
      <c r="L1002" s="33"/>
      <c r="X1002" s="23"/>
      <c r="Y1002" s="23"/>
      <c r="Z1002" s="23"/>
      <c r="AA1002" s="23"/>
      <c r="AF1002" s="23"/>
      <c r="AG1002" s="23"/>
      <c r="AH1002" s="23"/>
      <c r="AI1002" s="23"/>
      <c r="AN1002" s="23"/>
      <c r="AO1002" s="23"/>
      <c r="AP1002" s="23"/>
      <c r="AQ1002" s="23"/>
      <c r="AR1002" s="35"/>
      <c r="AS1002" s="35"/>
      <c r="AT1002" s="35"/>
      <c r="AU1002" s="31"/>
    </row>
    <row r="1003" spans="4:47">
      <c r="D1003" s="31"/>
      <c r="E1003" s="31"/>
      <c r="F1003" s="31"/>
      <c r="G1003" s="31"/>
      <c r="H1003" s="32"/>
      <c r="J1003" s="33"/>
      <c r="K1003" s="33"/>
      <c r="L1003" s="33"/>
      <c r="X1003" s="23"/>
      <c r="Y1003" s="23"/>
      <c r="Z1003" s="23"/>
      <c r="AA1003" s="23"/>
      <c r="AF1003" s="23"/>
      <c r="AG1003" s="23"/>
      <c r="AH1003" s="23"/>
      <c r="AI1003" s="23"/>
      <c r="AN1003" s="23"/>
      <c r="AO1003" s="23"/>
      <c r="AP1003" s="23"/>
      <c r="AQ1003" s="23"/>
      <c r="AR1003" s="35"/>
      <c r="AS1003" s="35"/>
      <c r="AT1003" s="35"/>
      <c r="AU1003" s="31"/>
    </row>
    <row r="1004" spans="4:47">
      <c r="D1004" s="31"/>
      <c r="E1004" s="31"/>
      <c r="F1004" s="31"/>
      <c r="G1004" s="31"/>
      <c r="H1004" s="32"/>
      <c r="J1004" s="33"/>
      <c r="K1004" s="33"/>
      <c r="L1004" s="33"/>
      <c r="X1004" s="23"/>
      <c r="Y1004" s="23"/>
      <c r="Z1004" s="23"/>
      <c r="AA1004" s="23"/>
      <c r="AF1004" s="23"/>
      <c r="AG1004" s="23"/>
      <c r="AH1004" s="23"/>
      <c r="AI1004" s="23"/>
      <c r="AN1004" s="23"/>
      <c r="AO1004" s="23"/>
      <c r="AP1004" s="23"/>
      <c r="AQ1004" s="23"/>
      <c r="AR1004" s="35"/>
      <c r="AS1004" s="35"/>
      <c r="AT1004" s="35"/>
      <c r="AU1004" s="31"/>
    </row>
    <row r="1005" spans="4:47">
      <c r="D1005" s="31"/>
      <c r="E1005" s="31"/>
      <c r="F1005" s="31"/>
      <c r="G1005" s="31"/>
      <c r="H1005" s="32"/>
      <c r="J1005" s="33"/>
      <c r="K1005" s="33"/>
      <c r="L1005" s="33"/>
      <c r="X1005" s="23"/>
      <c r="Y1005" s="23"/>
      <c r="Z1005" s="23"/>
      <c r="AA1005" s="23"/>
      <c r="AF1005" s="23"/>
      <c r="AG1005" s="23"/>
      <c r="AH1005" s="23"/>
      <c r="AI1005" s="23"/>
      <c r="AN1005" s="23"/>
      <c r="AO1005" s="23"/>
      <c r="AP1005" s="23"/>
      <c r="AQ1005" s="23"/>
      <c r="AR1005" s="35"/>
      <c r="AS1005" s="35"/>
      <c r="AT1005" s="35"/>
      <c r="AU1005" s="31"/>
    </row>
    <row r="1006" spans="4:47">
      <c r="D1006" s="31"/>
      <c r="E1006" s="31"/>
      <c r="F1006" s="31"/>
      <c r="G1006" s="31"/>
      <c r="H1006" s="32"/>
      <c r="J1006" s="33"/>
      <c r="K1006" s="33"/>
      <c r="L1006" s="33"/>
      <c r="X1006" s="23"/>
      <c r="Y1006" s="23"/>
      <c r="Z1006" s="23"/>
      <c r="AA1006" s="23"/>
      <c r="AF1006" s="23"/>
      <c r="AG1006" s="23"/>
      <c r="AH1006" s="23"/>
      <c r="AI1006" s="23"/>
      <c r="AN1006" s="23"/>
      <c r="AO1006" s="23"/>
      <c r="AP1006" s="23"/>
      <c r="AQ1006" s="23"/>
      <c r="AR1006" s="35"/>
      <c r="AS1006" s="35"/>
      <c r="AT1006" s="35"/>
      <c r="AU1006" s="31"/>
    </row>
    <row r="1007" spans="4:47">
      <c r="D1007" s="31"/>
      <c r="E1007" s="31"/>
      <c r="F1007" s="31"/>
      <c r="G1007" s="31"/>
      <c r="H1007" s="32"/>
      <c r="J1007" s="33"/>
      <c r="K1007" s="33"/>
      <c r="L1007" s="33"/>
      <c r="X1007" s="23"/>
      <c r="Y1007" s="23"/>
      <c r="Z1007" s="23"/>
      <c r="AA1007" s="23"/>
      <c r="AF1007" s="23"/>
      <c r="AG1007" s="23"/>
      <c r="AH1007" s="23"/>
      <c r="AI1007" s="23"/>
      <c r="AN1007" s="23"/>
      <c r="AO1007" s="23"/>
      <c r="AP1007" s="23"/>
      <c r="AQ1007" s="23"/>
      <c r="AR1007" s="35"/>
      <c r="AS1007" s="35"/>
      <c r="AT1007" s="35"/>
      <c r="AU1007" s="31"/>
    </row>
    <row r="1008" spans="4:47">
      <c r="D1008" s="31"/>
      <c r="E1008" s="31"/>
      <c r="F1008" s="31"/>
      <c r="G1008" s="31"/>
      <c r="H1008" s="32"/>
      <c r="J1008" s="33"/>
      <c r="K1008" s="33"/>
      <c r="L1008" s="33"/>
      <c r="X1008" s="23"/>
      <c r="Y1008" s="23"/>
      <c r="Z1008" s="23"/>
      <c r="AA1008" s="23"/>
      <c r="AF1008" s="23"/>
      <c r="AG1008" s="23"/>
      <c r="AH1008" s="23"/>
      <c r="AI1008" s="23"/>
      <c r="AN1008" s="23"/>
      <c r="AO1008" s="23"/>
      <c r="AP1008" s="23"/>
      <c r="AQ1008" s="23"/>
      <c r="AR1008" s="35"/>
      <c r="AS1008" s="35"/>
      <c r="AT1008" s="35"/>
      <c r="AU1008" s="31"/>
    </row>
    <row r="1009" spans="4:47">
      <c r="D1009" s="31"/>
      <c r="E1009" s="31"/>
      <c r="F1009" s="31"/>
      <c r="G1009" s="31"/>
      <c r="H1009" s="32"/>
      <c r="J1009" s="33"/>
      <c r="K1009" s="33"/>
      <c r="L1009" s="33"/>
      <c r="X1009" s="23"/>
      <c r="Y1009" s="23"/>
      <c r="Z1009" s="23"/>
      <c r="AA1009" s="23"/>
      <c r="AF1009" s="23"/>
      <c r="AG1009" s="23"/>
      <c r="AH1009" s="23"/>
      <c r="AI1009" s="23"/>
      <c r="AN1009" s="23"/>
      <c r="AO1009" s="23"/>
      <c r="AP1009" s="23"/>
      <c r="AQ1009" s="23"/>
      <c r="AR1009" s="35"/>
      <c r="AS1009" s="35"/>
      <c r="AT1009" s="35"/>
      <c r="AU1009" s="31"/>
    </row>
    <row r="1010" spans="4:47">
      <c r="D1010" s="31"/>
      <c r="E1010" s="31"/>
      <c r="F1010" s="31"/>
      <c r="G1010" s="31"/>
      <c r="H1010" s="32"/>
      <c r="J1010" s="33"/>
      <c r="K1010" s="33"/>
      <c r="L1010" s="33"/>
      <c r="X1010" s="23"/>
      <c r="Y1010" s="23"/>
      <c r="Z1010" s="23"/>
      <c r="AA1010" s="23"/>
      <c r="AF1010" s="23"/>
      <c r="AG1010" s="23"/>
      <c r="AH1010" s="23"/>
      <c r="AI1010" s="23"/>
      <c r="AN1010" s="23"/>
      <c r="AO1010" s="23"/>
      <c r="AP1010" s="23"/>
      <c r="AQ1010" s="23"/>
      <c r="AR1010" s="35"/>
      <c r="AS1010" s="35"/>
      <c r="AT1010" s="35"/>
      <c r="AU1010" s="31"/>
    </row>
    <row r="1011" spans="4:47">
      <c r="D1011" s="31"/>
      <c r="E1011" s="31"/>
      <c r="F1011" s="31"/>
      <c r="G1011" s="31"/>
      <c r="H1011" s="32"/>
      <c r="J1011" s="33"/>
      <c r="K1011" s="33"/>
      <c r="L1011" s="33"/>
      <c r="X1011" s="23"/>
      <c r="Y1011" s="23"/>
      <c r="Z1011" s="23"/>
      <c r="AA1011" s="23"/>
      <c r="AF1011" s="23"/>
      <c r="AG1011" s="23"/>
      <c r="AH1011" s="23"/>
      <c r="AI1011" s="23"/>
      <c r="AN1011" s="23"/>
      <c r="AO1011" s="23"/>
      <c r="AP1011" s="23"/>
      <c r="AQ1011" s="23"/>
      <c r="AR1011" s="35"/>
      <c r="AS1011" s="35"/>
      <c r="AT1011" s="35"/>
      <c r="AU1011" s="31"/>
    </row>
    <row r="1012" spans="4:47">
      <c r="D1012" s="31"/>
      <c r="E1012" s="31"/>
      <c r="F1012" s="31"/>
      <c r="G1012" s="31"/>
      <c r="H1012" s="32"/>
      <c r="J1012" s="33"/>
      <c r="K1012" s="33"/>
      <c r="L1012" s="33"/>
      <c r="X1012" s="23"/>
      <c r="Y1012" s="23"/>
      <c r="Z1012" s="23"/>
      <c r="AA1012" s="23"/>
      <c r="AF1012" s="23"/>
      <c r="AG1012" s="23"/>
      <c r="AH1012" s="23"/>
      <c r="AI1012" s="23"/>
      <c r="AN1012" s="23"/>
      <c r="AO1012" s="23"/>
      <c r="AP1012" s="23"/>
      <c r="AQ1012" s="23"/>
      <c r="AR1012" s="35"/>
      <c r="AS1012" s="35"/>
      <c r="AT1012" s="35"/>
      <c r="AU1012" s="31"/>
    </row>
    <row r="1013" spans="4:47">
      <c r="D1013" s="31"/>
      <c r="E1013" s="31"/>
      <c r="F1013" s="31"/>
      <c r="G1013" s="31"/>
      <c r="H1013" s="32"/>
      <c r="J1013" s="33"/>
      <c r="K1013" s="33"/>
      <c r="L1013" s="33"/>
      <c r="X1013" s="23"/>
      <c r="Y1013" s="23"/>
      <c r="Z1013" s="23"/>
      <c r="AA1013" s="23"/>
      <c r="AF1013" s="23"/>
      <c r="AG1013" s="23"/>
      <c r="AH1013" s="23"/>
      <c r="AI1013" s="23"/>
      <c r="AN1013" s="23"/>
      <c r="AO1013" s="23"/>
      <c r="AP1013" s="23"/>
      <c r="AQ1013" s="23"/>
      <c r="AR1013" s="35"/>
      <c r="AS1013" s="35"/>
      <c r="AT1013" s="35"/>
      <c r="AU1013" s="31"/>
    </row>
    <row r="1014" spans="4:47">
      <c r="D1014" s="31"/>
      <c r="E1014" s="31"/>
      <c r="F1014" s="31"/>
      <c r="G1014" s="31"/>
      <c r="H1014" s="32"/>
      <c r="J1014" s="33"/>
      <c r="K1014" s="33"/>
      <c r="L1014" s="33"/>
      <c r="X1014" s="23"/>
      <c r="Y1014" s="23"/>
      <c r="Z1014" s="23"/>
      <c r="AA1014" s="23"/>
      <c r="AF1014" s="23"/>
      <c r="AG1014" s="23"/>
      <c r="AH1014" s="23"/>
      <c r="AI1014" s="23"/>
      <c r="AN1014" s="23"/>
      <c r="AO1014" s="23"/>
      <c r="AP1014" s="23"/>
      <c r="AQ1014" s="23"/>
      <c r="AR1014" s="35"/>
      <c r="AS1014" s="35"/>
      <c r="AT1014" s="35"/>
      <c r="AU1014" s="31"/>
    </row>
    <row r="1015" spans="4:47">
      <c r="D1015" s="31"/>
      <c r="E1015" s="31"/>
      <c r="F1015" s="31"/>
      <c r="G1015" s="31"/>
      <c r="H1015" s="32"/>
      <c r="J1015" s="33"/>
      <c r="K1015" s="33"/>
      <c r="L1015" s="33"/>
      <c r="X1015" s="23"/>
      <c r="Y1015" s="23"/>
      <c r="Z1015" s="23"/>
      <c r="AA1015" s="23"/>
      <c r="AF1015" s="23"/>
      <c r="AG1015" s="23"/>
      <c r="AH1015" s="23"/>
      <c r="AI1015" s="23"/>
      <c r="AN1015" s="23"/>
      <c r="AO1015" s="23"/>
      <c r="AP1015" s="23"/>
      <c r="AQ1015" s="23"/>
      <c r="AR1015" s="35"/>
      <c r="AS1015" s="35"/>
      <c r="AT1015" s="35"/>
      <c r="AU1015" s="31"/>
    </row>
    <row r="1016" spans="4:47">
      <c r="D1016" s="31"/>
      <c r="E1016" s="31"/>
      <c r="F1016" s="31"/>
      <c r="G1016" s="31"/>
      <c r="H1016" s="32"/>
      <c r="J1016" s="33"/>
      <c r="K1016" s="33"/>
      <c r="L1016" s="33"/>
      <c r="X1016" s="23"/>
      <c r="Y1016" s="23"/>
      <c r="Z1016" s="23"/>
      <c r="AA1016" s="23"/>
      <c r="AF1016" s="23"/>
      <c r="AG1016" s="23"/>
      <c r="AH1016" s="23"/>
      <c r="AI1016" s="23"/>
      <c r="AN1016" s="23"/>
      <c r="AO1016" s="23"/>
      <c r="AP1016" s="23"/>
      <c r="AQ1016" s="23"/>
      <c r="AR1016" s="35"/>
      <c r="AS1016" s="35"/>
      <c r="AT1016" s="35"/>
      <c r="AU1016" s="31"/>
    </row>
    <row r="1017" spans="4:47">
      <c r="D1017" s="31"/>
      <c r="E1017" s="31"/>
      <c r="F1017" s="31"/>
      <c r="G1017" s="31"/>
      <c r="H1017" s="32"/>
      <c r="J1017" s="33"/>
      <c r="K1017" s="33"/>
      <c r="L1017" s="33"/>
      <c r="X1017" s="23"/>
      <c r="Y1017" s="23"/>
      <c r="Z1017" s="23"/>
      <c r="AA1017" s="23"/>
      <c r="AF1017" s="23"/>
      <c r="AG1017" s="23"/>
      <c r="AH1017" s="23"/>
      <c r="AI1017" s="23"/>
      <c r="AN1017" s="23"/>
      <c r="AO1017" s="23"/>
      <c r="AP1017" s="23"/>
      <c r="AQ1017" s="23"/>
      <c r="AR1017" s="35"/>
      <c r="AS1017" s="35"/>
      <c r="AT1017" s="35"/>
      <c r="AU1017" s="31"/>
    </row>
    <row r="1018" spans="4:47">
      <c r="D1018" s="31"/>
      <c r="E1018" s="31"/>
      <c r="F1018" s="31"/>
      <c r="G1018" s="31"/>
      <c r="H1018" s="32"/>
      <c r="J1018" s="33"/>
      <c r="K1018" s="33"/>
      <c r="L1018" s="33"/>
      <c r="X1018" s="23"/>
      <c r="Y1018" s="23"/>
      <c r="Z1018" s="23"/>
      <c r="AA1018" s="23"/>
      <c r="AF1018" s="23"/>
      <c r="AG1018" s="23"/>
      <c r="AH1018" s="23"/>
      <c r="AI1018" s="23"/>
      <c r="AN1018" s="23"/>
      <c r="AO1018" s="23"/>
      <c r="AP1018" s="23"/>
      <c r="AQ1018" s="23"/>
      <c r="AR1018" s="35"/>
      <c r="AS1018" s="35"/>
      <c r="AT1018" s="35"/>
      <c r="AU1018" s="31"/>
    </row>
    <row r="1019" spans="4:47">
      <c r="D1019" s="31"/>
      <c r="E1019" s="31"/>
      <c r="F1019" s="31"/>
      <c r="G1019" s="31"/>
      <c r="H1019" s="32"/>
      <c r="J1019" s="33"/>
      <c r="K1019" s="33"/>
      <c r="L1019" s="33"/>
      <c r="X1019" s="23"/>
      <c r="Y1019" s="23"/>
      <c r="Z1019" s="23"/>
      <c r="AA1019" s="23"/>
      <c r="AF1019" s="23"/>
      <c r="AG1019" s="23"/>
      <c r="AH1019" s="23"/>
      <c r="AI1019" s="23"/>
      <c r="AN1019" s="23"/>
      <c r="AO1019" s="23"/>
      <c r="AP1019" s="23"/>
      <c r="AQ1019" s="23"/>
      <c r="AR1019" s="35"/>
      <c r="AS1019" s="35"/>
      <c r="AT1019" s="35"/>
      <c r="AU1019" s="31"/>
    </row>
    <row r="1020" spans="4:47">
      <c r="D1020" s="31"/>
      <c r="E1020" s="31"/>
      <c r="F1020" s="31"/>
      <c r="G1020" s="31"/>
      <c r="H1020" s="32"/>
      <c r="J1020" s="33"/>
      <c r="K1020" s="33"/>
      <c r="L1020" s="33"/>
      <c r="X1020" s="23"/>
      <c r="Y1020" s="23"/>
      <c r="Z1020" s="23"/>
      <c r="AA1020" s="23"/>
      <c r="AF1020" s="23"/>
      <c r="AG1020" s="23"/>
      <c r="AH1020" s="23"/>
      <c r="AI1020" s="23"/>
      <c r="AN1020" s="23"/>
      <c r="AO1020" s="23"/>
      <c r="AP1020" s="23"/>
      <c r="AQ1020" s="23"/>
      <c r="AR1020" s="35"/>
      <c r="AS1020" s="35"/>
      <c r="AT1020" s="35"/>
      <c r="AU1020" s="31"/>
    </row>
    <row r="1021" spans="4:47">
      <c r="D1021" s="31"/>
      <c r="E1021" s="31"/>
      <c r="F1021" s="31"/>
      <c r="G1021" s="31"/>
      <c r="H1021" s="32"/>
      <c r="J1021" s="33"/>
      <c r="K1021" s="33"/>
      <c r="L1021" s="33"/>
      <c r="X1021" s="23"/>
      <c r="Y1021" s="23"/>
      <c r="Z1021" s="23"/>
      <c r="AA1021" s="23"/>
      <c r="AF1021" s="23"/>
      <c r="AG1021" s="23"/>
      <c r="AH1021" s="23"/>
      <c r="AI1021" s="23"/>
      <c r="AN1021" s="23"/>
      <c r="AO1021" s="23"/>
      <c r="AP1021" s="23"/>
      <c r="AQ1021" s="23"/>
      <c r="AR1021" s="35"/>
      <c r="AS1021" s="35"/>
      <c r="AT1021" s="35"/>
      <c r="AU1021" s="31"/>
    </row>
    <row r="1022" spans="4:47">
      <c r="D1022" s="31"/>
      <c r="E1022" s="31"/>
      <c r="F1022" s="31"/>
      <c r="G1022" s="31"/>
      <c r="H1022" s="32"/>
      <c r="J1022" s="33"/>
      <c r="K1022" s="33"/>
      <c r="L1022" s="33"/>
      <c r="X1022" s="23"/>
      <c r="Y1022" s="23"/>
      <c r="Z1022" s="23"/>
      <c r="AA1022" s="23"/>
      <c r="AF1022" s="23"/>
      <c r="AG1022" s="23"/>
      <c r="AH1022" s="23"/>
      <c r="AI1022" s="23"/>
      <c r="AN1022" s="23"/>
      <c r="AO1022" s="23"/>
      <c r="AP1022" s="23"/>
      <c r="AQ1022" s="23"/>
      <c r="AR1022" s="35"/>
      <c r="AS1022" s="35"/>
      <c r="AT1022" s="35"/>
      <c r="AU1022" s="31"/>
    </row>
    <row r="1023" spans="4:47">
      <c r="D1023" s="31"/>
      <c r="E1023" s="31"/>
      <c r="F1023" s="31"/>
      <c r="G1023" s="31"/>
      <c r="H1023" s="32"/>
      <c r="J1023" s="33"/>
      <c r="K1023" s="33"/>
      <c r="L1023" s="33"/>
      <c r="X1023" s="23"/>
      <c r="Y1023" s="23"/>
      <c r="Z1023" s="23"/>
      <c r="AA1023" s="23"/>
      <c r="AF1023" s="23"/>
      <c r="AG1023" s="23"/>
      <c r="AH1023" s="23"/>
      <c r="AI1023" s="23"/>
      <c r="AN1023" s="23"/>
      <c r="AO1023" s="23"/>
      <c r="AP1023" s="23"/>
      <c r="AQ1023" s="23"/>
      <c r="AR1023" s="35"/>
      <c r="AS1023" s="35"/>
      <c r="AT1023" s="35"/>
      <c r="AU1023" s="31"/>
    </row>
    <row r="1024" spans="4:47">
      <c r="D1024" s="31"/>
      <c r="E1024" s="31"/>
      <c r="F1024" s="31"/>
      <c r="G1024" s="31"/>
      <c r="H1024" s="32"/>
      <c r="J1024" s="33"/>
      <c r="K1024" s="33"/>
      <c r="L1024" s="33"/>
      <c r="X1024" s="23"/>
      <c r="Y1024" s="23"/>
      <c r="Z1024" s="23"/>
      <c r="AA1024" s="23"/>
      <c r="AF1024" s="23"/>
      <c r="AG1024" s="23"/>
      <c r="AH1024" s="23"/>
      <c r="AI1024" s="23"/>
      <c r="AN1024" s="23"/>
      <c r="AO1024" s="23"/>
      <c r="AP1024" s="23"/>
      <c r="AQ1024" s="23"/>
      <c r="AR1024" s="35"/>
      <c r="AS1024" s="35"/>
      <c r="AT1024" s="35"/>
      <c r="AU1024" s="31"/>
    </row>
    <row r="1025" spans="4:47">
      <c r="D1025" s="31"/>
      <c r="E1025" s="31"/>
      <c r="F1025" s="31"/>
      <c r="G1025" s="31"/>
      <c r="H1025" s="32"/>
      <c r="J1025" s="33"/>
      <c r="K1025" s="33"/>
      <c r="L1025" s="33"/>
      <c r="X1025" s="23"/>
      <c r="Y1025" s="23"/>
      <c r="Z1025" s="23"/>
      <c r="AA1025" s="23"/>
      <c r="AF1025" s="23"/>
      <c r="AG1025" s="23"/>
      <c r="AH1025" s="23"/>
      <c r="AI1025" s="23"/>
      <c r="AN1025" s="23"/>
      <c r="AO1025" s="23"/>
      <c r="AP1025" s="23"/>
      <c r="AQ1025" s="23"/>
      <c r="AR1025" s="35"/>
      <c r="AS1025" s="35"/>
      <c r="AT1025" s="35"/>
      <c r="AU1025" s="31"/>
    </row>
    <row r="1026" spans="4:47">
      <c r="D1026" s="31"/>
      <c r="E1026" s="31"/>
      <c r="F1026" s="31"/>
      <c r="G1026" s="31"/>
      <c r="H1026" s="32"/>
      <c r="J1026" s="33"/>
      <c r="K1026" s="33"/>
      <c r="L1026" s="33"/>
      <c r="X1026" s="23"/>
      <c r="Y1026" s="23"/>
      <c r="Z1026" s="23"/>
      <c r="AA1026" s="23"/>
      <c r="AF1026" s="23"/>
      <c r="AG1026" s="23"/>
      <c r="AH1026" s="23"/>
      <c r="AI1026" s="23"/>
      <c r="AN1026" s="23"/>
      <c r="AO1026" s="23"/>
      <c r="AP1026" s="23"/>
      <c r="AQ1026" s="23"/>
      <c r="AR1026" s="35"/>
      <c r="AS1026" s="35"/>
      <c r="AT1026" s="35"/>
      <c r="AU1026" s="31"/>
    </row>
    <row r="1027" spans="4:47">
      <c r="D1027" s="31"/>
      <c r="E1027" s="31"/>
      <c r="F1027" s="31"/>
      <c r="G1027" s="31"/>
      <c r="H1027" s="32"/>
      <c r="J1027" s="33"/>
      <c r="K1027" s="33"/>
      <c r="L1027" s="33"/>
      <c r="X1027" s="23"/>
      <c r="Y1027" s="23"/>
      <c r="Z1027" s="23"/>
      <c r="AA1027" s="23"/>
      <c r="AF1027" s="23"/>
      <c r="AG1027" s="23"/>
      <c r="AH1027" s="23"/>
      <c r="AI1027" s="23"/>
      <c r="AN1027" s="23"/>
      <c r="AO1027" s="23"/>
      <c r="AP1027" s="23"/>
      <c r="AQ1027" s="23"/>
      <c r="AR1027" s="35"/>
      <c r="AS1027" s="35"/>
      <c r="AT1027" s="35"/>
      <c r="AU1027" s="31"/>
    </row>
    <row r="1028" spans="4:47">
      <c r="D1028" s="31"/>
      <c r="E1028" s="31"/>
      <c r="F1028" s="31"/>
      <c r="G1028" s="31"/>
      <c r="H1028" s="32"/>
      <c r="J1028" s="33"/>
      <c r="K1028" s="33"/>
      <c r="L1028" s="33"/>
      <c r="X1028" s="23"/>
      <c r="Y1028" s="23"/>
      <c r="Z1028" s="23"/>
      <c r="AA1028" s="23"/>
      <c r="AF1028" s="23"/>
      <c r="AG1028" s="23"/>
      <c r="AH1028" s="23"/>
      <c r="AI1028" s="23"/>
      <c r="AN1028" s="23"/>
      <c r="AO1028" s="23"/>
      <c r="AP1028" s="23"/>
      <c r="AQ1028" s="23"/>
      <c r="AR1028" s="35"/>
      <c r="AS1028" s="35"/>
      <c r="AT1028" s="35"/>
      <c r="AU1028" s="31"/>
    </row>
    <row r="1029" spans="4:47">
      <c r="D1029" s="31"/>
      <c r="E1029" s="31"/>
      <c r="F1029" s="31"/>
      <c r="G1029" s="31"/>
      <c r="H1029" s="32"/>
      <c r="J1029" s="33"/>
      <c r="K1029" s="33"/>
      <c r="L1029" s="33"/>
      <c r="X1029" s="23"/>
      <c r="Y1029" s="23"/>
      <c r="Z1029" s="23"/>
      <c r="AA1029" s="23"/>
      <c r="AF1029" s="23"/>
      <c r="AG1029" s="23"/>
      <c r="AH1029" s="23"/>
      <c r="AI1029" s="23"/>
      <c r="AN1029" s="23"/>
      <c r="AO1029" s="23"/>
      <c r="AP1029" s="23"/>
      <c r="AQ1029" s="23"/>
      <c r="AR1029" s="35"/>
      <c r="AS1029" s="35"/>
      <c r="AT1029" s="35"/>
      <c r="AU1029" s="31"/>
    </row>
    <row r="1030" spans="4:47">
      <c r="D1030" s="31"/>
      <c r="E1030" s="31"/>
      <c r="F1030" s="31"/>
      <c r="G1030" s="31"/>
      <c r="H1030" s="32"/>
      <c r="J1030" s="33"/>
      <c r="K1030" s="33"/>
      <c r="L1030" s="33"/>
      <c r="X1030" s="23"/>
      <c r="Y1030" s="23"/>
      <c r="Z1030" s="23"/>
      <c r="AA1030" s="23"/>
      <c r="AF1030" s="23"/>
      <c r="AG1030" s="23"/>
      <c r="AH1030" s="23"/>
      <c r="AI1030" s="23"/>
      <c r="AN1030" s="23"/>
      <c r="AO1030" s="23"/>
      <c r="AP1030" s="23"/>
      <c r="AQ1030" s="23"/>
      <c r="AR1030" s="35"/>
      <c r="AS1030" s="35"/>
      <c r="AT1030" s="35"/>
      <c r="AU1030" s="31"/>
    </row>
    <row r="1031" spans="4:47">
      <c r="D1031" s="31"/>
      <c r="E1031" s="31"/>
      <c r="F1031" s="31"/>
      <c r="G1031" s="31"/>
      <c r="H1031" s="32"/>
      <c r="J1031" s="33"/>
      <c r="K1031" s="33"/>
      <c r="L1031" s="33"/>
      <c r="X1031" s="23"/>
      <c r="Y1031" s="23"/>
      <c r="Z1031" s="23"/>
      <c r="AA1031" s="23"/>
      <c r="AF1031" s="23"/>
      <c r="AG1031" s="23"/>
      <c r="AH1031" s="23"/>
      <c r="AI1031" s="23"/>
      <c r="AN1031" s="23"/>
      <c r="AO1031" s="23"/>
      <c r="AP1031" s="23"/>
      <c r="AQ1031" s="23"/>
      <c r="AR1031" s="35"/>
      <c r="AS1031" s="35"/>
      <c r="AT1031" s="35"/>
      <c r="AU1031" s="31"/>
    </row>
    <row r="1032" spans="4:47">
      <c r="D1032" s="31"/>
      <c r="E1032" s="31"/>
      <c r="F1032" s="31"/>
      <c r="G1032" s="31"/>
      <c r="H1032" s="32"/>
      <c r="J1032" s="33"/>
      <c r="K1032" s="33"/>
      <c r="L1032" s="33"/>
      <c r="X1032" s="23"/>
      <c r="Y1032" s="23"/>
      <c r="Z1032" s="23"/>
      <c r="AA1032" s="23"/>
      <c r="AF1032" s="23"/>
      <c r="AG1032" s="23"/>
      <c r="AH1032" s="23"/>
      <c r="AI1032" s="23"/>
      <c r="AN1032" s="23"/>
      <c r="AO1032" s="23"/>
      <c r="AP1032" s="23"/>
      <c r="AQ1032" s="23"/>
      <c r="AR1032" s="35"/>
      <c r="AS1032" s="35"/>
      <c r="AT1032" s="35"/>
      <c r="AU1032" s="31"/>
    </row>
    <row r="1033" spans="4:47">
      <c r="D1033" s="31"/>
      <c r="E1033" s="31"/>
      <c r="F1033" s="31"/>
      <c r="G1033" s="31"/>
      <c r="H1033" s="32"/>
      <c r="J1033" s="33"/>
      <c r="K1033" s="33"/>
      <c r="L1033" s="33"/>
      <c r="X1033" s="23"/>
      <c r="Y1033" s="23"/>
      <c r="Z1033" s="23"/>
      <c r="AA1033" s="23"/>
      <c r="AF1033" s="23"/>
      <c r="AG1033" s="23"/>
      <c r="AH1033" s="23"/>
      <c r="AI1033" s="23"/>
      <c r="AN1033" s="23"/>
      <c r="AO1033" s="23"/>
      <c r="AP1033" s="23"/>
      <c r="AQ1033" s="23"/>
      <c r="AR1033" s="35"/>
      <c r="AS1033" s="35"/>
      <c r="AT1033" s="35"/>
      <c r="AU1033" s="31"/>
    </row>
    <row r="1034" spans="4:47">
      <c r="D1034" s="31"/>
      <c r="E1034" s="31"/>
      <c r="F1034" s="31"/>
      <c r="G1034" s="31"/>
      <c r="H1034" s="32"/>
      <c r="J1034" s="33"/>
      <c r="K1034" s="33"/>
      <c r="L1034" s="33"/>
      <c r="X1034" s="23"/>
      <c r="Y1034" s="23"/>
      <c r="Z1034" s="23"/>
      <c r="AA1034" s="23"/>
      <c r="AF1034" s="23"/>
      <c r="AG1034" s="23"/>
      <c r="AH1034" s="23"/>
      <c r="AI1034" s="23"/>
      <c r="AN1034" s="23"/>
      <c r="AO1034" s="23"/>
      <c r="AP1034" s="23"/>
      <c r="AQ1034" s="23"/>
      <c r="AR1034" s="35"/>
      <c r="AS1034" s="35"/>
      <c r="AT1034" s="35"/>
      <c r="AU1034" s="31"/>
    </row>
    <row r="1035" spans="4:47">
      <c r="D1035" s="31"/>
      <c r="E1035" s="31"/>
      <c r="F1035" s="31"/>
      <c r="G1035" s="31"/>
      <c r="H1035" s="32"/>
      <c r="J1035" s="33"/>
      <c r="K1035" s="33"/>
      <c r="L1035" s="33"/>
      <c r="X1035" s="23"/>
      <c r="Y1035" s="23"/>
      <c r="Z1035" s="23"/>
      <c r="AA1035" s="23"/>
      <c r="AF1035" s="23"/>
      <c r="AG1035" s="23"/>
      <c r="AH1035" s="23"/>
      <c r="AI1035" s="23"/>
      <c r="AN1035" s="23"/>
      <c r="AO1035" s="23"/>
      <c r="AP1035" s="23"/>
      <c r="AQ1035" s="23"/>
      <c r="AR1035" s="35"/>
      <c r="AS1035" s="35"/>
      <c r="AT1035" s="35"/>
      <c r="AU1035" s="31"/>
    </row>
    <row r="1036" spans="4:47">
      <c r="D1036" s="31"/>
      <c r="E1036" s="31"/>
      <c r="F1036" s="31"/>
      <c r="G1036" s="31"/>
      <c r="H1036" s="32"/>
      <c r="J1036" s="33"/>
      <c r="K1036" s="33"/>
      <c r="L1036" s="33"/>
      <c r="X1036" s="23"/>
      <c r="Y1036" s="23"/>
      <c r="Z1036" s="23"/>
      <c r="AA1036" s="23"/>
      <c r="AF1036" s="23"/>
      <c r="AG1036" s="23"/>
      <c r="AH1036" s="23"/>
      <c r="AI1036" s="23"/>
      <c r="AN1036" s="23"/>
      <c r="AO1036" s="23"/>
      <c r="AP1036" s="23"/>
      <c r="AQ1036" s="23"/>
      <c r="AR1036" s="35"/>
      <c r="AS1036" s="35"/>
      <c r="AT1036" s="35"/>
      <c r="AU1036" s="31"/>
    </row>
    <row r="1037" spans="4:47">
      <c r="D1037" s="31"/>
      <c r="E1037" s="31"/>
      <c r="F1037" s="31"/>
      <c r="G1037" s="31"/>
      <c r="H1037" s="32"/>
      <c r="J1037" s="33"/>
      <c r="K1037" s="33"/>
      <c r="L1037" s="33"/>
      <c r="X1037" s="23"/>
      <c r="Y1037" s="23"/>
      <c r="Z1037" s="23"/>
      <c r="AA1037" s="23"/>
      <c r="AF1037" s="23"/>
      <c r="AG1037" s="23"/>
      <c r="AH1037" s="23"/>
      <c r="AI1037" s="23"/>
      <c r="AN1037" s="23"/>
      <c r="AO1037" s="23"/>
      <c r="AP1037" s="23"/>
      <c r="AQ1037" s="23"/>
      <c r="AR1037" s="35"/>
      <c r="AS1037" s="35"/>
      <c r="AT1037" s="35"/>
      <c r="AU1037" s="31"/>
    </row>
    <row r="1038" spans="4:47">
      <c r="D1038" s="31"/>
      <c r="E1038" s="31"/>
      <c r="F1038" s="31"/>
      <c r="G1038" s="31"/>
      <c r="H1038" s="32"/>
      <c r="J1038" s="33"/>
      <c r="K1038" s="33"/>
      <c r="L1038" s="33"/>
      <c r="X1038" s="23"/>
      <c r="Y1038" s="23"/>
      <c r="Z1038" s="23"/>
      <c r="AA1038" s="23"/>
      <c r="AF1038" s="23"/>
      <c r="AG1038" s="23"/>
      <c r="AH1038" s="23"/>
      <c r="AI1038" s="23"/>
      <c r="AN1038" s="23"/>
      <c r="AO1038" s="23"/>
      <c r="AP1038" s="23"/>
      <c r="AQ1038" s="23"/>
      <c r="AR1038" s="35"/>
      <c r="AS1038" s="35"/>
      <c r="AT1038" s="35"/>
      <c r="AU1038" s="31"/>
    </row>
    <row r="1039" spans="4:47">
      <c r="D1039" s="31"/>
      <c r="E1039" s="31"/>
      <c r="F1039" s="31"/>
      <c r="G1039" s="31"/>
      <c r="H1039" s="32"/>
      <c r="J1039" s="33"/>
      <c r="K1039" s="33"/>
      <c r="L1039" s="33"/>
      <c r="X1039" s="23"/>
      <c r="Y1039" s="23"/>
      <c r="Z1039" s="23"/>
      <c r="AA1039" s="23"/>
      <c r="AF1039" s="23"/>
      <c r="AG1039" s="23"/>
      <c r="AH1039" s="23"/>
      <c r="AI1039" s="23"/>
      <c r="AN1039" s="23"/>
      <c r="AO1039" s="23"/>
      <c r="AP1039" s="23"/>
      <c r="AQ1039" s="23"/>
      <c r="AR1039" s="35"/>
      <c r="AS1039" s="35"/>
      <c r="AT1039" s="35"/>
      <c r="AU1039" s="31"/>
    </row>
    <row r="1040" spans="4:47">
      <c r="D1040" s="31"/>
      <c r="E1040" s="31"/>
      <c r="F1040" s="31"/>
      <c r="G1040" s="31"/>
      <c r="H1040" s="32"/>
      <c r="J1040" s="33"/>
      <c r="K1040" s="33"/>
      <c r="L1040" s="33"/>
      <c r="X1040" s="23"/>
      <c r="Y1040" s="23"/>
      <c r="Z1040" s="23"/>
      <c r="AA1040" s="23"/>
      <c r="AF1040" s="23"/>
      <c r="AG1040" s="23"/>
      <c r="AH1040" s="23"/>
      <c r="AI1040" s="23"/>
      <c r="AN1040" s="23"/>
      <c r="AO1040" s="23"/>
      <c r="AP1040" s="23"/>
      <c r="AQ1040" s="23"/>
      <c r="AR1040" s="35"/>
      <c r="AS1040" s="35"/>
      <c r="AT1040" s="35"/>
      <c r="AU1040" s="31"/>
    </row>
    <row r="1041" spans="4:47">
      <c r="D1041" s="31"/>
      <c r="E1041" s="31"/>
      <c r="F1041" s="31"/>
      <c r="G1041" s="31"/>
      <c r="H1041" s="32"/>
      <c r="J1041" s="33"/>
      <c r="K1041" s="33"/>
      <c r="L1041" s="33"/>
      <c r="X1041" s="23"/>
      <c r="Y1041" s="23"/>
      <c r="Z1041" s="23"/>
      <c r="AA1041" s="23"/>
      <c r="AF1041" s="23"/>
      <c r="AG1041" s="23"/>
      <c r="AH1041" s="23"/>
      <c r="AI1041" s="23"/>
      <c r="AN1041" s="23"/>
      <c r="AO1041" s="23"/>
      <c r="AP1041" s="23"/>
      <c r="AQ1041" s="23"/>
      <c r="AR1041" s="35"/>
      <c r="AS1041" s="35"/>
      <c r="AT1041" s="35"/>
      <c r="AU1041" s="31"/>
    </row>
    <row r="1042" spans="4:47">
      <c r="D1042" s="31"/>
      <c r="E1042" s="31"/>
      <c r="F1042" s="31"/>
      <c r="G1042" s="31"/>
      <c r="H1042" s="32"/>
      <c r="J1042" s="33"/>
      <c r="K1042" s="33"/>
      <c r="L1042" s="33"/>
      <c r="X1042" s="23"/>
      <c r="Y1042" s="23"/>
      <c r="Z1042" s="23"/>
      <c r="AA1042" s="23"/>
      <c r="AF1042" s="23"/>
      <c r="AG1042" s="23"/>
      <c r="AH1042" s="23"/>
      <c r="AI1042" s="23"/>
      <c r="AN1042" s="23"/>
      <c r="AO1042" s="23"/>
      <c r="AP1042" s="23"/>
      <c r="AQ1042" s="23"/>
      <c r="AR1042" s="35"/>
      <c r="AS1042" s="35"/>
      <c r="AT1042" s="35"/>
      <c r="AU1042" s="31"/>
    </row>
    <row r="1043" spans="4:47">
      <c r="D1043" s="31"/>
      <c r="E1043" s="31"/>
      <c r="F1043" s="31"/>
      <c r="G1043" s="31"/>
      <c r="H1043" s="32"/>
      <c r="J1043" s="33"/>
      <c r="K1043" s="33"/>
      <c r="L1043" s="33"/>
      <c r="X1043" s="23"/>
      <c r="Y1043" s="23"/>
      <c r="Z1043" s="23"/>
      <c r="AA1043" s="23"/>
      <c r="AF1043" s="23"/>
      <c r="AG1043" s="23"/>
      <c r="AH1043" s="23"/>
      <c r="AI1043" s="23"/>
      <c r="AN1043" s="23"/>
      <c r="AO1043" s="23"/>
      <c r="AP1043" s="23"/>
      <c r="AQ1043" s="23"/>
      <c r="AR1043" s="35"/>
      <c r="AS1043" s="35"/>
      <c r="AT1043" s="35"/>
      <c r="AU1043" s="31"/>
    </row>
    <row r="1044" spans="4:47">
      <c r="D1044" s="31"/>
      <c r="E1044" s="31"/>
      <c r="F1044" s="31"/>
      <c r="G1044" s="31"/>
      <c r="H1044" s="32"/>
      <c r="J1044" s="33"/>
      <c r="K1044" s="33"/>
      <c r="L1044" s="33"/>
      <c r="X1044" s="23"/>
      <c r="Y1044" s="23"/>
      <c r="Z1044" s="23"/>
      <c r="AA1044" s="23"/>
      <c r="AF1044" s="23"/>
      <c r="AG1044" s="23"/>
      <c r="AH1044" s="23"/>
      <c r="AI1044" s="23"/>
      <c r="AN1044" s="23"/>
      <c r="AO1044" s="23"/>
      <c r="AP1044" s="23"/>
      <c r="AQ1044" s="23"/>
      <c r="AR1044" s="35"/>
      <c r="AS1044" s="35"/>
      <c r="AT1044" s="35"/>
      <c r="AU1044" s="31"/>
    </row>
    <row r="1045" spans="4:47">
      <c r="D1045" s="31"/>
      <c r="E1045" s="31"/>
      <c r="F1045" s="31"/>
      <c r="G1045" s="31"/>
      <c r="H1045" s="32"/>
      <c r="J1045" s="33"/>
      <c r="K1045" s="33"/>
      <c r="L1045" s="33"/>
      <c r="X1045" s="23"/>
      <c r="Y1045" s="23"/>
      <c r="Z1045" s="23"/>
      <c r="AA1045" s="23"/>
      <c r="AF1045" s="23"/>
      <c r="AG1045" s="23"/>
      <c r="AH1045" s="23"/>
      <c r="AI1045" s="23"/>
      <c r="AN1045" s="23"/>
      <c r="AO1045" s="23"/>
      <c r="AP1045" s="23"/>
      <c r="AQ1045" s="23"/>
      <c r="AR1045" s="35"/>
      <c r="AS1045" s="35"/>
      <c r="AT1045" s="35"/>
      <c r="AU1045" s="31"/>
    </row>
    <row r="1046" spans="4:47">
      <c r="D1046" s="31"/>
      <c r="E1046" s="31"/>
      <c r="F1046" s="31"/>
      <c r="G1046" s="31"/>
      <c r="H1046" s="32"/>
      <c r="J1046" s="33"/>
      <c r="K1046" s="33"/>
      <c r="L1046" s="33"/>
      <c r="X1046" s="23"/>
      <c r="Y1046" s="23"/>
      <c r="Z1046" s="23"/>
      <c r="AA1046" s="23"/>
      <c r="AF1046" s="23"/>
      <c r="AG1046" s="23"/>
      <c r="AH1046" s="23"/>
      <c r="AI1046" s="23"/>
      <c r="AN1046" s="23"/>
      <c r="AO1046" s="23"/>
      <c r="AP1046" s="23"/>
      <c r="AQ1046" s="23"/>
      <c r="AR1046" s="35"/>
      <c r="AS1046" s="35"/>
      <c r="AT1046" s="35"/>
      <c r="AU1046" s="31"/>
    </row>
    <row r="1047" spans="4:47">
      <c r="D1047" s="31"/>
      <c r="E1047" s="31"/>
      <c r="F1047" s="31"/>
      <c r="G1047" s="31"/>
      <c r="H1047" s="32"/>
      <c r="J1047" s="33"/>
      <c r="K1047" s="33"/>
      <c r="L1047" s="33"/>
      <c r="X1047" s="23"/>
      <c r="Y1047" s="23"/>
      <c r="Z1047" s="23"/>
      <c r="AA1047" s="23"/>
      <c r="AF1047" s="23"/>
      <c r="AG1047" s="23"/>
      <c r="AH1047" s="23"/>
      <c r="AI1047" s="23"/>
      <c r="AN1047" s="23"/>
      <c r="AO1047" s="23"/>
      <c r="AP1047" s="23"/>
      <c r="AQ1047" s="23"/>
      <c r="AR1047" s="35"/>
      <c r="AS1047" s="35"/>
      <c r="AT1047" s="35"/>
      <c r="AU1047" s="31"/>
    </row>
    <row r="1048" spans="4:47">
      <c r="D1048" s="31"/>
      <c r="E1048" s="31"/>
      <c r="F1048" s="31"/>
      <c r="G1048" s="31"/>
      <c r="H1048" s="32"/>
      <c r="J1048" s="33"/>
      <c r="K1048" s="33"/>
      <c r="L1048" s="33"/>
      <c r="X1048" s="23"/>
      <c r="Y1048" s="23"/>
      <c r="Z1048" s="23"/>
      <c r="AA1048" s="23"/>
      <c r="AF1048" s="23"/>
      <c r="AG1048" s="23"/>
      <c r="AH1048" s="23"/>
      <c r="AI1048" s="23"/>
      <c r="AN1048" s="23"/>
      <c r="AO1048" s="23"/>
      <c r="AP1048" s="23"/>
      <c r="AQ1048" s="23"/>
      <c r="AR1048" s="35"/>
      <c r="AS1048" s="35"/>
      <c r="AT1048" s="35"/>
      <c r="AU1048" s="31"/>
    </row>
    <row r="1049" spans="4:47">
      <c r="D1049" s="31"/>
      <c r="E1049" s="31"/>
      <c r="F1049" s="31"/>
      <c r="G1049" s="31"/>
      <c r="H1049" s="32"/>
      <c r="J1049" s="33"/>
      <c r="K1049" s="33"/>
      <c r="L1049" s="33"/>
      <c r="X1049" s="23"/>
      <c r="Y1049" s="23"/>
      <c r="Z1049" s="23"/>
      <c r="AA1049" s="23"/>
      <c r="AF1049" s="23"/>
      <c r="AG1049" s="23"/>
      <c r="AH1049" s="23"/>
      <c r="AI1049" s="23"/>
      <c r="AN1049" s="23"/>
      <c r="AO1049" s="23"/>
      <c r="AP1049" s="23"/>
      <c r="AQ1049" s="23"/>
      <c r="AR1049" s="35"/>
      <c r="AS1049" s="35"/>
      <c r="AT1049" s="35"/>
      <c r="AU1049" s="31"/>
    </row>
    <row r="1050" spans="4:47">
      <c r="D1050" s="31"/>
      <c r="E1050" s="31"/>
      <c r="F1050" s="31"/>
      <c r="G1050" s="31"/>
      <c r="H1050" s="32"/>
      <c r="J1050" s="33"/>
      <c r="K1050" s="33"/>
      <c r="L1050" s="33"/>
      <c r="X1050" s="23"/>
      <c r="Y1050" s="23"/>
      <c r="Z1050" s="23"/>
      <c r="AA1050" s="23"/>
      <c r="AF1050" s="23"/>
      <c r="AG1050" s="23"/>
      <c r="AH1050" s="23"/>
      <c r="AI1050" s="23"/>
      <c r="AN1050" s="23"/>
      <c r="AO1050" s="23"/>
      <c r="AP1050" s="23"/>
      <c r="AQ1050" s="23"/>
      <c r="AR1050" s="35"/>
      <c r="AS1050" s="35"/>
      <c r="AT1050" s="35"/>
      <c r="AU1050" s="31"/>
    </row>
    <row r="1051" spans="4:47">
      <c r="D1051" s="31"/>
      <c r="E1051" s="31"/>
      <c r="F1051" s="31"/>
      <c r="G1051" s="31"/>
      <c r="H1051" s="32"/>
      <c r="J1051" s="33"/>
      <c r="K1051" s="33"/>
      <c r="L1051" s="33"/>
      <c r="X1051" s="23"/>
      <c r="Y1051" s="23"/>
      <c r="Z1051" s="23"/>
      <c r="AA1051" s="23"/>
      <c r="AF1051" s="23"/>
      <c r="AG1051" s="23"/>
      <c r="AH1051" s="23"/>
      <c r="AI1051" s="23"/>
      <c r="AN1051" s="23"/>
      <c r="AO1051" s="23"/>
      <c r="AP1051" s="23"/>
      <c r="AQ1051" s="23"/>
      <c r="AR1051" s="35"/>
      <c r="AS1051" s="35"/>
      <c r="AT1051" s="35"/>
      <c r="AU1051" s="31"/>
    </row>
    <row r="1052" spans="4:47">
      <c r="D1052" s="31"/>
      <c r="E1052" s="31"/>
      <c r="F1052" s="31"/>
      <c r="G1052" s="31"/>
      <c r="H1052" s="32"/>
      <c r="J1052" s="33"/>
      <c r="K1052" s="33"/>
      <c r="L1052" s="33"/>
      <c r="X1052" s="23"/>
      <c r="Y1052" s="23"/>
      <c r="Z1052" s="23"/>
      <c r="AA1052" s="23"/>
      <c r="AF1052" s="23"/>
      <c r="AG1052" s="23"/>
      <c r="AH1052" s="23"/>
      <c r="AI1052" s="23"/>
      <c r="AN1052" s="23"/>
      <c r="AO1052" s="23"/>
      <c r="AP1052" s="23"/>
      <c r="AQ1052" s="23"/>
      <c r="AR1052" s="35"/>
      <c r="AS1052" s="35"/>
      <c r="AT1052" s="35"/>
      <c r="AU1052" s="31"/>
    </row>
    <row r="1053" spans="4:47">
      <c r="D1053" s="31"/>
      <c r="E1053" s="31"/>
      <c r="F1053" s="31"/>
      <c r="G1053" s="31"/>
      <c r="H1053" s="32"/>
      <c r="J1053" s="33"/>
      <c r="K1053" s="33"/>
      <c r="L1053" s="33"/>
      <c r="X1053" s="23"/>
      <c r="Y1053" s="23"/>
      <c r="Z1053" s="23"/>
      <c r="AA1053" s="23"/>
      <c r="AF1053" s="23"/>
      <c r="AG1053" s="23"/>
      <c r="AH1053" s="23"/>
      <c r="AI1053" s="23"/>
      <c r="AN1053" s="23"/>
      <c r="AO1053" s="23"/>
      <c r="AP1053" s="23"/>
      <c r="AQ1053" s="23"/>
      <c r="AR1053" s="35"/>
      <c r="AS1053" s="35"/>
      <c r="AT1053" s="35"/>
      <c r="AU1053" s="31"/>
    </row>
    <row r="1054" spans="4:47">
      <c r="D1054" s="31"/>
      <c r="E1054" s="31"/>
      <c r="F1054" s="31"/>
      <c r="G1054" s="31"/>
      <c r="H1054" s="32"/>
      <c r="J1054" s="33"/>
      <c r="K1054" s="33"/>
      <c r="L1054" s="33"/>
      <c r="X1054" s="23"/>
      <c r="Y1054" s="23"/>
      <c r="Z1054" s="23"/>
      <c r="AA1054" s="23"/>
      <c r="AF1054" s="23"/>
      <c r="AG1054" s="23"/>
      <c r="AH1054" s="23"/>
      <c r="AI1054" s="23"/>
      <c r="AN1054" s="23"/>
      <c r="AO1054" s="23"/>
      <c r="AP1054" s="23"/>
      <c r="AQ1054" s="23"/>
      <c r="AR1054" s="35"/>
      <c r="AS1054" s="35"/>
      <c r="AT1054" s="35"/>
      <c r="AU1054" s="31"/>
    </row>
    <row r="1055" spans="4:47">
      <c r="D1055" s="31"/>
      <c r="E1055" s="31"/>
      <c r="F1055" s="31"/>
      <c r="G1055" s="31"/>
      <c r="H1055" s="32"/>
      <c r="J1055" s="33"/>
      <c r="K1055" s="33"/>
      <c r="L1055" s="33"/>
      <c r="X1055" s="23"/>
      <c r="Y1055" s="23"/>
      <c r="Z1055" s="23"/>
      <c r="AA1055" s="23"/>
      <c r="AF1055" s="23"/>
      <c r="AG1055" s="23"/>
      <c r="AH1055" s="23"/>
      <c r="AI1055" s="23"/>
      <c r="AN1055" s="23"/>
      <c r="AO1055" s="23"/>
      <c r="AP1055" s="23"/>
      <c r="AQ1055" s="23"/>
      <c r="AR1055" s="35"/>
      <c r="AS1055" s="35"/>
      <c r="AT1055" s="35"/>
      <c r="AU1055" s="31"/>
    </row>
    <row r="1056" spans="4:47">
      <c r="D1056" s="31"/>
      <c r="E1056" s="31"/>
      <c r="F1056" s="31"/>
      <c r="G1056" s="31"/>
      <c r="H1056" s="32"/>
      <c r="J1056" s="33"/>
      <c r="K1056" s="33"/>
      <c r="L1056" s="33"/>
      <c r="X1056" s="23"/>
      <c r="Y1056" s="23"/>
      <c r="Z1056" s="23"/>
      <c r="AA1056" s="23"/>
      <c r="AF1056" s="23"/>
      <c r="AG1056" s="23"/>
      <c r="AH1056" s="23"/>
      <c r="AI1056" s="23"/>
      <c r="AN1056" s="23"/>
      <c r="AO1056" s="23"/>
      <c r="AP1056" s="23"/>
      <c r="AQ1056" s="23"/>
      <c r="AR1056" s="35"/>
      <c r="AS1056" s="35"/>
      <c r="AT1056" s="35"/>
      <c r="AU1056" s="31"/>
    </row>
    <row r="1057" spans="4:47">
      <c r="D1057" s="31"/>
      <c r="E1057" s="31"/>
      <c r="F1057" s="31"/>
      <c r="G1057" s="31"/>
      <c r="H1057" s="32"/>
      <c r="J1057" s="33"/>
      <c r="K1057" s="33"/>
      <c r="L1057" s="33"/>
      <c r="X1057" s="23"/>
      <c r="Y1057" s="23"/>
      <c r="Z1057" s="23"/>
      <c r="AA1057" s="23"/>
      <c r="AF1057" s="23"/>
      <c r="AG1057" s="23"/>
      <c r="AH1057" s="23"/>
      <c r="AI1057" s="23"/>
      <c r="AN1057" s="23"/>
      <c r="AO1057" s="23"/>
      <c r="AP1057" s="23"/>
      <c r="AQ1057" s="23"/>
      <c r="AR1057" s="35"/>
      <c r="AS1057" s="35"/>
      <c r="AT1057" s="35"/>
      <c r="AU1057" s="31"/>
    </row>
    <row r="1058" spans="4:47">
      <c r="D1058" s="31"/>
      <c r="E1058" s="31"/>
      <c r="F1058" s="31"/>
      <c r="G1058" s="31"/>
      <c r="H1058" s="32"/>
      <c r="J1058" s="33"/>
      <c r="K1058" s="33"/>
      <c r="L1058" s="33"/>
      <c r="X1058" s="23"/>
      <c r="Y1058" s="23"/>
      <c r="Z1058" s="23"/>
      <c r="AA1058" s="23"/>
      <c r="AF1058" s="23"/>
      <c r="AG1058" s="23"/>
      <c r="AH1058" s="23"/>
      <c r="AI1058" s="23"/>
      <c r="AN1058" s="23"/>
      <c r="AO1058" s="23"/>
      <c r="AP1058" s="23"/>
      <c r="AQ1058" s="23"/>
      <c r="AR1058" s="35"/>
      <c r="AS1058" s="35"/>
      <c r="AT1058" s="35"/>
      <c r="AU1058" s="31"/>
    </row>
    <row r="1059" spans="4:47">
      <c r="D1059" s="31"/>
      <c r="E1059" s="31"/>
      <c r="F1059" s="31"/>
      <c r="G1059" s="31"/>
      <c r="H1059" s="32"/>
      <c r="J1059" s="33"/>
      <c r="K1059" s="33"/>
      <c r="L1059" s="33"/>
      <c r="X1059" s="23"/>
      <c r="Y1059" s="23"/>
      <c r="Z1059" s="23"/>
      <c r="AA1059" s="23"/>
      <c r="AF1059" s="23"/>
      <c r="AG1059" s="23"/>
      <c r="AH1059" s="23"/>
      <c r="AI1059" s="23"/>
      <c r="AN1059" s="23"/>
      <c r="AO1059" s="23"/>
      <c r="AP1059" s="23"/>
      <c r="AQ1059" s="23"/>
      <c r="AR1059" s="35"/>
      <c r="AS1059" s="35"/>
      <c r="AT1059" s="35"/>
      <c r="AU1059" s="31"/>
    </row>
    <row r="1060" spans="4:47">
      <c r="D1060" s="31"/>
      <c r="E1060" s="31"/>
      <c r="F1060" s="31"/>
      <c r="G1060" s="31"/>
      <c r="H1060" s="32"/>
      <c r="J1060" s="33"/>
      <c r="K1060" s="33"/>
      <c r="L1060" s="33"/>
      <c r="X1060" s="23"/>
      <c r="Y1060" s="23"/>
      <c r="Z1060" s="23"/>
      <c r="AA1060" s="23"/>
      <c r="AF1060" s="23"/>
      <c r="AG1060" s="23"/>
      <c r="AH1060" s="23"/>
      <c r="AI1060" s="23"/>
      <c r="AN1060" s="23"/>
      <c r="AO1060" s="23"/>
      <c r="AP1060" s="23"/>
      <c r="AQ1060" s="23"/>
      <c r="AR1060" s="35"/>
      <c r="AS1060" s="35"/>
      <c r="AT1060" s="35"/>
      <c r="AU1060" s="31"/>
    </row>
    <row r="1061" spans="4:47">
      <c r="D1061" s="31"/>
      <c r="E1061" s="31"/>
      <c r="F1061" s="31"/>
      <c r="G1061" s="31"/>
      <c r="H1061" s="32"/>
      <c r="J1061" s="33"/>
      <c r="K1061" s="33"/>
      <c r="L1061" s="33"/>
      <c r="X1061" s="23"/>
      <c r="Y1061" s="23"/>
      <c r="Z1061" s="23"/>
      <c r="AA1061" s="23"/>
      <c r="AF1061" s="23"/>
      <c r="AG1061" s="23"/>
      <c r="AH1061" s="23"/>
      <c r="AI1061" s="23"/>
      <c r="AN1061" s="23"/>
      <c r="AO1061" s="23"/>
      <c r="AP1061" s="23"/>
      <c r="AQ1061" s="23"/>
      <c r="AR1061" s="35"/>
      <c r="AS1061" s="35"/>
      <c r="AT1061" s="35"/>
      <c r="AU1061" s="31"/>
    </row>
    <row r="1062" spans="4:47">
      <c r="D1062" s="31"/>
      <c r="E1062" s="31"/>
      <c r="F1062" s="31"/>
      <c r="G1062" s="31"/>
      <c r="H1062" s="32"/>
      <c r="J1062" s="33"/>
      <c r="K1062" s="33"/>
      <c r="L1062" s="33"/>
      <c r="X1062" s="23"/>
      <c r="Y1062" s="23"/>
      <c r="Z1062" s="23"/>
      <c r="AA1062" s="23"/>
      <c r="AF1062" s="23"/>
      <c r="AG1062" s="23"/>
      <c r="AH1062" s="23"/>
      <c r="AI1062" s="23"/>
      <c r="AN1062" s="23"/>
      <c r="AO1062" s="23"/>
      <c r="AP1062" s="23"/>
      <c r="AQ1062" s="23"/>
      <c r="AR1062" s="35"/>
      <c r="AS1062" s="35"/>
      <c r="AT1062" s="35"/>
      <c r="AU1062" s="31"/>
    </row>
    <row r="1063" spans="4:47">
      <c r="D1063" s="31"/>
      <c r="E1063" s="31"/>
      <c r="F1063" s="31"/>
      <c r="G1063" s="31"/>
      <c r="H1063" s="32"/>
      <c r="J1063" s="33"/>
      <c r="K1063" s="33"/>
      <c r="L1063" s="33"/>
      <c r="X1063" s="23"/>
      <c r="Y1063" s="23"/>
      <c r="Z1063" s="23"/>
      <c r="AA1063" s="23"/>
      <c r="AF1063" s="23"/>
      <c r="AG1063" s="23"/>
      <c r="AH1063" s="23"/>
      <c r="AI1063" s="23"/>
      <c r="AN1063" s="23"/>
      <c r="AO1063" s="23"/>
      <c r="AP1063" s="23"/>
      <c r="AQ1063" s="23"/>
      <c r="AR1063" s="35"/>
      <c r="AS1063" s="35"/>
      <c r="AT1063" s="35"/>
      <c r="AU1063" s="31"/>
    </row>
    <row r="1064" spans="4:47">
      <c r="D1064" s="31"/>
      <c r="E1064" s="31"/>
      <c r="F1064" s="31"/>
      <c r="G1064" s="31"/>
      <c r="H1064" s="32"/>
      <c r="J1064" s="33"/>
      <c r="K1064" s="33"/>
      <c r="L1064" s="33"/>
      <c r="X1064" s="23"/>
      <c r="Y1064" s="23"/>
      <c r="Z1064" s="23"/>
      <c r="AA1064" s="23"/>
      <c r="AF1064" s="23"/>
      <c r="AG1064" s="23"/>
      <c r="AH1064" s="23"/>
      <c r="AI1064" s="23"/>
      <c r="AN1064" s="23"/>
      <c r="AO1064" s="23"/>
      <c r="AP1064" s="23"/>
      <c r="AQ1064" s="23"/>
      <c r="AR1064" s="35"/>
      <c r="AS1064" s="35"/>
      <c r="AT1064" s="35"/>
      <c r="AU1064" s="31"/>
    </row>
    <row r="1065" spans="4:47">
      <c r="D1065" s="31"/>
      <c r="E1065" s="31"/>
      <c r="F1065" s="31"/>
      <c r="G1065" s="31"/>
      <c r="H1065" s="32"/>
      <c r="J1065" s="33"/>
      <c r="K1065" s="33"/>
      <c r="L1065" s="33"/>
      <c r="X1065" s="23"/>
      <c r="Y1065" s="23"/>
      <c r="Z1065" s="23"/>
      <c r="AA1065" s="23"/>
      <c r="AF1065" s="23"/>
      <c r="AG1065" s="23"/>
      <c r="AH1065" s="23"/>
      <c r="AI1065" s="23"/>
      <c r="AN1065" s="23"/>
      <c r="AO1065" s="23"/>
      <c r="AP1065" s="23"/>
      <c r="AQ1065" s="23"/>
      <c r="AR1065" s="35"/>
      <c r="AS1065" s="35"/>
      <c r="AT1065" s="35"/>
      <c r="AU1065" s="31"/>
    </row>
    <row r="1066" spans="4:47">
      <c r="D1066" s="31"/>
      <c r="E1066" s="31"/>
      <c r="F1066" s="31"/>
      <c r="G1066" s="31"/>
      <c r="H1066" s="32"/>
      <c r="J1066" s="33"/>
      <c r="K1066" s="33"/>
      <c r="L1066" s="33"/>
      <c r="X1066" s="23"/>
      <c r="Y1066" s="23"/>
      <c r="Z1066" s="23"/>
      <c r="AA1066" s="23"/>
      <c r="AF1066" s="23"/>
      <c r="AG1066" s="23"/>
      <c r="AH1066" s="23"/>
      <c r="AI1066" s="23"/>
      <c r="AN1066" s="23"/>
      <c r="AO1066" s="23"/>
      <c r="AP1066" s="23"/>
      <c r="AQ1066" s="23"/>
      <c r="AR1066" s="35"/>
      <c r="AS1066" s="35"/>
      <c r="AT1066" s="35"/>
      <c r="AU1066" s="31"/>
    </row>
    <row r="1067" spans="4:47">
      <c r="D1067" s="31"/>
      <c r="E1067" s="31"/>
      <c r="F1067" s="31"/>
      <c r="G1067" s="31"/>
      <c r="H1067" s="32"/>
      <c r="J1067" s="33"/>
      <c r="K1067" s="33"/>
      <c r="L1067" s="33"/>
      <c r="X1067" s="23"/>
      <c r="Y1067" s="23"/>
      <c r="Z1067" s="23"/>
      <c r="AA1067" s="23"/>
      <c r="AF1067" s="23"/>
      <c r="AG1067" s="23"/>
      <c r="AH1067" s="23"/>
      <c r="AI1067" s="23"/>
      <c r="AN1067" s="23"/>
      <c r="AO1067" s="23"/>
      <c r="AP1067" s="23"/>
      <c r="AQ1067" s="23"/>
      <c r="AR1067" s="35"/>
      <c r="AS1067" s="35"/>
      <c r="AT1067" s="35"/>
      <c r="AU1067" s="31"/>
    </row>
    <row r="1068" spans="4:47">
      <c r="D1068" s="31"/>
      <c r="E1068" s="31"/>
      <c r="F1068" s="31"/>
      <c r="G1068" s="31"/>
      <c r="H1068" s="32"/>
      <c r="J1068" s="33"/>
      <c r="K1068" s="33"/>
      <c r="L1068" s="33"/>
      <c r="X1068" s="23"/>
      <c r="Y1068" s="23"/>
      <c r="Z1068" s="23"/>
      <c r="AA1068" s="23"/>
      <c r="AF1068" s="23"/>
      <c r="AG1068" s="23"/>
      <c r="AH1068" s="23"/>
      <c r="AI1068" s="23"/>
      <c r="AN1068" s="23"/>
      <c r="AO1068" s="23"/>
      <c r="AP1068" s="23"/>
      <c r="AQ1068" s="23"/>
      <c r="AR1068" s="35"/>
      <c r="AS1068" s="35"/>
      <c r="AT1068" s="35"/>
      <c r="AU1068" s="31"/>
    </row>
    <row r="1069" spans="4:47">
      <c r="D1069" s="31"/>
      <c r="E1069" s="31"/>
      <c r="F1069" s="31"/>
      <c r="G1069" s="31"/>
      <c r="H1069" s="32"/>
      <c r="J1069" s="33"/>
      <c r="K1069" s="33"/>
      <c r="L1069" s="33"/>
      <c r="X1069" s="23"/>
      <c r="Y1069" s="23"/>
      <c r="Z1069" s="23"/>
      <c r="AA1069" s="23"/>
      <c r="AF1069" s="23"/>
      <c r="AG1069" s="23"/>
      <c r="AH1069" s="23"/>
      <c r="AI1069" s="23"/>
      <c r="AN1069" s="23"/>
      <c r="AO1069" s="23"/>
      <c r="AP1069" s="23"/>
      <c r="AQ1069" s="23"/>
      <c r="AR1069" s="35"/>
      <c r="AS1069" s="35"/>
      <c r="AT1069" s="35"/>
      <c r="AU1069" s="31"/>
    </row>
    <row r="1070" spans="4:47">
      <c r="D1070" s="31"/>
      <c r="E1070" s="31"/>
      <c r="F1070" s="31"/>
      <c r="G1070" s="31"/>
      <c r="H1070" s="32"/>
      <c r="J1070" s="33"/>
      <c r="K1070" s="33"/>
      <c r="L1070" s="33"/>
      <c r="X1070" s="23"/>
      <c r="Y1070" s="23"/>
      <c r="Z1070" s="23"/>
      <c r="AA1070" s="23"/>
      <c r="AF1070" s="23"/>
      <c r="AG1070" s="23"/>
      <c r="AH1070" s="23"/>
      <c r="AI1070" s="23"/>
      <c r="AN1070" s="23"/>
      <c r="AO1070" s="23"/>
      <c r="AP1070" s="23"/>
      <c r="AQ1070" s="23"/>
      <c r="AR1070" s="35"/>
      <c r="AS1070" s="35"/>
      <c r="AT1070" s="35"/>
      <c r="AU1070" s="31"/>
    </row>
    <row r="1071" spans="4:47">
      <c r="D1071" s="31"/>
      <c r="E1071" s="31"/>
      <c r="F1071" s="31"/>
      <c r="G1071" s="31"/>
      <c r="H1071" s="32"/>
      <c r="J1071" s="33"/>
      <c r="K1071" s="33"/>
      <c r="L1071" s="33"/>
      <c r="X1071" s="23"/>
      <c r="Y1071" s="23"/>
      <c r="Z1071" s="23"/>
      <c r="AA1071" s="23"/>
      <c r="AF1071" s="23"/>
      <c r="AG1071" s="23"/>
      <c r="AH1071" s="23"/>
      <c r="AI1071" s="23"/>
      <c r="AN1071" s="23"/>
      <c r="AO1071" s="23"/>
      <c r="AP1071" s="23"/>
      <c r="AQ1071" s="23"/>
      <c r="AR1071" s="35"/>
      <c r="AS1071" s="35"/>
      <c r="AT1071" s="35"/>
      <c r="AU1071" s="31"/>
    </row>
    <row r="1072" spans="4:47">
      <c r="D1072" s="31"/>
      <c r="E1072" s="31"/>
      <c r="F1072" s="31"/>
      <c r="G1072" s="31"/>
      <c r="H1072" s="32"/>
      <c r="J1072" s="33"/>
      <c r="K1072" s="33"/>
      <c r="L1072" s="33"/>
      <c r="X1072" s="23"/>
      <c r="Y1072" s="23"/>
      <c r="Z1072" s="23"/>
      <c r="AA1072" s="23"/>
      <c r="AF1072" s="23"/>
      <c r="AG1072" s="23"/>
      <c r="AH1072" s="23"/>
      <c r="AI1072" s="23"/>
      <c r="AN1072" s="23"/>
      <c r="AO1072" s="23"/>
      <c r="AP1072" s="23"/>
      <c r="AQ1072" s="23"/>
      <c r="AR1072" s="35"/>
      <c r="AS1072" s="35"/>
      <c r="AT1072" s="35"/>
      <c r="AU1072" s="31"/>
    </row>
    <row r="1073" spans="4:47">
      <c r="D1073" s="31"/>
      <c r="E1073" s="31"/>
      <c r="F1073" s="31"/>
      <c r="G1073" s="31"/>
      <c r="H1073" s="32"/>
      <c r="J1073" s="33"/>
      <c r="K1073" s="33"/>
      <c r="L1073" s="33"/>
      <c r="X1073" s="23"/>
      <c r="Y1073" s="23"/>
      <c r="Z1073" s="23"/>
      <c r="AA1073" s="23"/>
      <c r="AF1073" s="23"/>
      <c r="AG1073" s="23"/>
      <c r="AH1073" s="23"/>
      <c r="AI1073" s="23"/>
      <c r="AN1073" s="23"/>
      <c r="AO1073" s="23"/>
      <c r="AP1073" s="23"/>
      <c r="AQ1073" s="23"/>
      <c r="AR1073" s="35"/>
      <c r="AS1073" s="35"/>
      <c r="AT1073" s="35"/>
      <c r="AU1073" s="31"/>
    </row>
    <row r="1074" spans="4:47">
      <c r="D1074" s="31"/>
      <c r="E1074" s="31"/>
      <c r="F1074" s="31"/>
      <c r="G1074" s="31"/>
      <c r="H1074" s="32"/>
      <c r="J1074" s="33"/>
      <c r="K1074" s="33"/>
      <c r="L1074" s="33"/>
      <c r="X1074" s="23"/>
      <c r="Y1074" s="23"/>
      <c r="Z1074" s="23"/>
      <c r="AA1074" s="23"/>
      <c r="AF1074" s="23"/>
      <c r="AG1074" s="23"/>
      <c r="AH1074" s="23"/>
      <c r="AI1074" s="23"/>
      <c r="AN1074" s="23"/>
      <c r="AO1074" s="23"/>
      <c r="AP1074" s="23"/>
      <c r="AQ1074" s="23"/>
      <c r="AR1074" s="35"/>
      <c r="AS1074" s="35"/>
      <c r="AT1074" s="35"/>
      <c r="AU1074" s="31"/>
    </row>
    <row r="1075" spans="4:47">
      <c r="D1075" s="31"/>
      <c r="E1075" s="31"/>
      <c r="F1075" s="31"/>
      <c r="G1075" s="31"/>
      <c r="H1075" s="32"/>
      <c r="J1075" s="33"/>
      <c r="K1075" s="33"/>
      <c r="L1075" s="33"/>
      <c r="X1075" s="23"/>
      <c r="Y1075" s="23"/>
      <c r="Z1075" s="23"/>
      <c r="AA1075" s="23"/>
      <c r="AF1075" s="23"/>
      <c r="AG1075" s="23"/>
      <c r="AH1075" s="23"/>
      <c r="AI1075" s="23"/>
      <c r="AN1075" s="23"/>
      <c r="AO1075" s="23"/>
      <c r="AP1075" s="23"/>
      <c r="AQ1075" s="23"/>
      <c r="AR1075" s="35"/>
      <c r="AS1075" s="35"/>
      <c r="AT1075" s="35"/>
      <c r="AU1075" s="31"/>
    </row>
    <row r="1076" spans="4:47">
      <c r="D1076" s="31"/>
      <c r="E1076" s="31"/>
      <c r="F1076" s="31"/>
      <c r="G1076" s="31"/>
      <c r="H1076" s="32"/>
      <c r="J1076" s="33"/>
      <c r="K1076" s="33"/>
      <c r="L1076" s="33"/>
      <c r="X1076" s="23"/>
      <c r="Y1076" s="23"/>
      <c r="Z1076" s="23"/>
      <c r="AA1076" s="23"/>
      <c r="AF1076" s="23"/>
      <c r="AG1076" s="23"/>
      <c r="AH1076" s="23"/>
      <c r="AI1076" s="23"/>
      <c r="AN1076" s="23"/>
      <c r="AO1076" s="23"/>
      <c r="AP1076" s="23"/>
      <c r="AQ1076" s="23"/>
      <c r="AR1076" s="35"/>
      <c r="AS1076" s="35"/>
      <c r="AT1076" s="35"/>
      <c r="AU1076" s="31"/>
    </row>
    <row r="1077" spans="4:47">
      <c r="D1077" s="31"/>
      <c r="E1077" s="31"/>
      <c r="F1077" s="31"/>
      <c r="G1077" s="31"/>
      <c r="H1077" s="32"/>
      <c r="J1077" s="33"/>
      <c r="K1077" s="33"/>
      <c r="L1077" s="33"/>
      <c r="X1077" s="23"/>
      <c r="Y1077" s="23"/>
      <c r="Z1077" s="23"/>
      <c r="AA1077" s="23"/>
      <c r="AF1077" s="23"/>
      <c r="AG1077" s="23"/>
      <c r="AH1077" s="23"/>
      <c r="AI1077" s="23"/>
      <c r="AN1077" s="23"/>
      <c r="AO1077" s="23"/>
      <c r="AP1077" s="23"/>
      <c r="AQ1077" s="23"/>
      <c r="AR1077" s="35"/>
      <c r="AS1077" s="35"/>
      <c r="AT1077" s="35"/>
      <c r="AU1077" s="31"/>
    </row>
    <row r="1078" spans="4:47">
      <c r="D1078" s="31"/>
      <c r="E1078" s="31"/>
      <c r="F1078" s="31"/>
      <c r="G1078" s="31"/>
      <c r="H1078" s="32"/>
      <c r="J1078" s="33"/>
      <c r="K1078" s="33"/>
      <c r="L1078" s="33"/>
      <c r="X1078" s="23"/>
      <c r="Y1078" s="23"/>
      <c r="Z1078" s="23"/>
      <c r="AA1078" s="23"/>
      <c r="AF1078" s="23"/>
      <c r="AG1078" s="23"/>
      <c r="AH1078" s="23"/>
      <c r="AI1078" s="23"/>
      <c r="AN1078" s="23"/>
      <c r="AO1078" s="23"/>
      <c r="AP1078" s="23"/>
      <c r="AQ1078" s="23"/>
      <c r="AR1078" s="35"/>
      <c r="AS1078" s="35"/>
      <c r="AT1078" s="35"/>
      <c r="AU1078" s="31"/>
    </row>
    <row r="1079" spans="4:47">
      <c r="D1079" s="31"/>
      <c r="E1079" s="31"/>
      <c r="F1079" s="31"/>
      <c r="G1079" s="31"/>
      <c r="H1079" s="32"/>
      <c r="J1079" s="33"/>
      <c r="K1079" s="33"/>
      <c r="L1079" s="33"/>
      <c r="X1079" s="23"/>
      <c r="Y1079" s="23"/>
      <c r="Z1079" s="23"/>
      <c r="AA1079" s="23"/>
      <c r="AF1079" s="23"/>
      <c r="AG1079" s="23"/>
      <c r="AH1079" s="23"/>
      <c r="AI1079" s="23"/>
      <c r="AN1079" s="23"/>
      <c r="AO1079" s="23"/>
      <c r="AP1079" s="23"/>
      <c r="AQ1079" s="23"/>
      <c r="AR1079" s="35"/>
      <c r="AS1079" s="35"/>
      <c r="AT1079" s="35"/>
      <c r="AU1079" s="31"/>
    </row>
    <row r="1080" spans="4:47">
      <c r="D1080" s="31"/>
      <c r="E1080" s="31"/>
      <c r="F1080" s="31"/>
      <c r="G1080" s="31"/>
      <c r="H1080" s="32"/>
      <c r="J1080" s="33"/>
      <c r="K1080" s="33"/>
      <c r="L1080" s="33"/>
      <c r="X1080" s="23"/>
      <c r="Y1080" s="23"/>
      <c r="Z1080" s="23"/>
      <c r="AA1080" s="23"/>
      <c r="AF1080" s="23"/>
      <c r="AG1080" s="23"/>
      <c r="AH1080" s="23"/>
      <c r="AI1080" s="23"/>
      <c r="AN1080" s="23"/>
      <c r="AO1080" s="23"/>
      <c r="AP1080" s="23"/>
      <c r="AQ1080" s="23"/>
      <c r="AR1080" s="35"/>
      <c r="AS1080" s="35"/>
      <c r="AT1080" s="35"/>
      <c r="AU1080" s="31"/>
    </row>
    <row r="1081" spans="4:47">
      <c r="D1081" s="31"/>
      <c r="E1081" s="31"/>
      <c r="F1081" s="31"/>
      <c r="G1081" s="31"/>
      <c r="H1081" s="32"/>
      <c r="J1081" s="33"/>
      <c r="K1081" s="33"/>
      <c r="L1081" s="33"/>
      <c r="X1081" s="23"/>
      <c r="Y1081" s="23"/>
      <c r="Z1081" s="23"/>
      <c r="AA1081" s="23"/>
      <c r="AF1081" s="23"/>
      <c r="AG1081" s="23"/>
      <c r="AH1081" s="23"/>
      <c r="AI1081" s="23"/>
      <c r="AN1081" s="23"/>
      <c r="AO1081" s="23"/>
      <c r="AP1081" s="23"/>
      <c r="AQ1081" s="23"/>
      <c r="AR1081" s="35"/>
      <c r="AS1081" s="35"/>
      <c r="AT1081" s="35"/>
      <c r="AU1081" s="31"/>
    </row>
    <row r="1082" spans="4:47">
      <c r="D1082" s="31"/>
      <c r="E1082" s="31"/>
      <c r="F1082" s="31"/>
      <c r="G1082" s="31"/>
      <c r="H1082" s="32"/>
      <c r="J1082" s="33"/>
      <c r="K1082" s="33"/>
      <c r="L1082" s="33"/>
      <c r="X1082" s="23"/>
      <c r="Y1082" s="23"/>
      <c r="Z1082" s="23"/>
      <c r="AA1082" s="23"/>
      <c r="AF1082" s="23"/>
      <c r="AG1082" s="23"/>
      <c r="AH1082" s="23"/>
      <c r="AI1082" s="23"/>
      <c r="AN1082" s="23"/>
      <c r="AO1082" s="23"/>
      <c r="AP1082" s="23"/>
      <c r="AQ1082" s="23"/>
      <c r="AR1082" s="35"/>
      <c r="AS1082" s="35"/>
      <c r="AT1082" s="35"/>
      <c r="AU1082" s="31"/>
    </row>
    <row r="1083" spans="4:47">
      <c r="D1083" s="31"/>
      <c r="E1083" s="31"/>
      <c r="F1083" s="31"/>
      <c r="G1083" s="31"/>
      <c r="H1083" s="32"/>
      <c r="J1083" s="33"/>
      <c r="K1083" s="33"/>
      <c r="L1083" s="33"/>
      <c r="X1083" s="23"/>
      <c r="Y1083" s="23"/>
      <c r="Z1083" s="23"/>
      <c r="AA1083" s="23"/>
      <c r="AF1083" s="23"/>
      <c r="AG1083" s="23"/>
      <c r="AH1083" s="23"/>
      <c r="AI1083" s="23"/>
      <c r="AN1083" s="23"/>
      <c r="AO1083" s="23"/>
      <c r="AP1083" s="23"/>
      <c r="AQ1083" s="23"/>
      <c r="AR1083" s="35"/>
      <c r="AS1083" s="35"/>
      <c r="AT1083" s="35"/>
      <c r="AU1083" s="31"/>
    </row>
    <row r="1084" spans="4:47">
      <c r="D1084" s="31"/>
      <c r="E1084" s="31"/>
      <c r="F1084" s="31"/>
      <c r="G1084" s="31"/>
      <c r="H1084" s="32"/>
      <c r="J1084" s="33"/>
      <c r="K1084" s="33"/>
      <c r="L1084" s="33"/>
      <c r="X1084" s="23"/>
      <c r="Y1084" s="23"/>
      <c r="Z1084" s="23"/>
      <c r="AA1084" s="23"/>
      <c r="AF1084" s="23"/>
      <c r="AG1084" s="23"/>
      <c r="AH1084" s="23"/>
      <c r="AI1084" s="23"/>
      <c r="AN1084" s="23"/>
      <c r="AO1084" s="23"/>
      <c r="AP1084" s="23"/>
      <c r="AQ1084" s="23"/>
      <c r="AR1084" s="35"/>
      <c r="AS1084" s="35"/>
      <c r="AT1084" s="35"/>
      <c r="AU1084" s="31"/>
    </row>
    <row r="1085" spans="4:47">
      <c r="D1085" s="31"/>
      <c r="E1085" s="31"/>
      <c r="F1085" s="31"/>
      <c r="G1085" s="31"/>
      <c r="H1085" s="32"/>
      <c r="J1085" s="33"/>
      <c r="K1085" s="33"/>
      <c r="L1085" s="33"/>
      <c r="X1085" s="23"/>
      <c r="Y1085" s="23"/>
      <c r="Z1085" s="23"/>
      <c r="AA1085" s="23"/>
      <c r="AF1085" s="23"/>
      <c r="AG1085" s="23"/>
      <c r="AH1085" s="23"/>
      <c r="AI1085" s="23"/>
      <c r="AN1085" s="23"/>
      <c r="AO1085" s="23"/>
      <c r="AP1085" s="23"/>
      <c r="AQ1085" s="23"/>
      <c r="AR1085" s="35"/>
      <c r="AS1085" s="35"/>
      <c r="AT1085" s="35"/>
      <c r="AU1085" s="31"/>
    </row>
    <row r="1086" spans="4:47">
      <c r="D1086" s="31"/>
      <c r="E1086" s="31"/>
      <c r="F1086" s="31"/>
      <c r="G1086" s="31"/>
      <c r="H1086" s="32"/>
      <c r="J1086" s="33"/>
      <c r="K1086" s="33"/>
      <c r="L1086" s="33"/>
      <c r="X1086" s="23"/>
      <c r="Y1086" s="23"/>
      <c r="Z1086" s="23"/>
      <c r="AA1086" s="23"/>
      <c r="AF1086" s="23"/>
      <c r="AG1086" s="23"/>
      <c r="AH1086" s="23"/>
      <c r="AI1086" s="23"/>
      <c r="AN1086" s="23"/>
      <c r="AO1086" s="23"/>
      <c r="AP1086" s="23"/>
      <c r="AQ1086" s="23"/>
      <c r="AR1086" s="35"/>
      <c r="AS1086" s="35"/>
      <c r="AT1086" s="35"/>
      <c r="AU1086" s="31"/>
    </row>
    <row r="1087" spans="4:47">
      <c r="D1087" s="31"/>
      <c r="E1087" s="31"/>
      <c r="F1087" s="31"/>
      <c r="G1087" s="31"/>
      <c r="H1087" s="32"/>
      <c r="J1087" s="33"/>
      <c r="K1087" s="33"/>
      <c r="L1087" s="33"/>
      <c r="X1087" s="23"/>
      <c r="Y1087" s="23"/>
      <c r="Z1087" s="23"/>
      <c r="AA1087" s="23"/>
      <c r="AF1087" s="23"/>
      <c r="AG1087" s="23"/>
      <c r="AH1087" s="23"/>
      <c r="AI1087" s="23"/>
      <c r="AN1087" s="23"/>
      <c r="AO1087" s="23"/>
      <c r="AP1087" s="23"/>
      <c r="AQ1087" s="23"/>
      <c r="AR1087" s="35"/>
      <c r="AS1087" s="35"/>
      <c r="AT1087" s="35"/>
      <c r="AU1087" s="31"/>
    </row>
    <row r="1088" spans="4:47">
      <c r="D1088" s="31"/>
      <c r="E1088" s="31"/>
      <c r="F1088" s="31"/>
      <c r="G1088" s="31"/>
      <c r="H1088" s="32"/>
      <c r="J1088" s="33"/>
      <c r="K1088" s="33"/>
      <c r="L1088" s="33"/>
      <c r="X1088" s="23"/>
      <c r="Y1088" s="23"/>
      <c r="Z1088" s="23"/>
      <c r="AA1088" s="23"/>
      <c r="AF1088" s="23"/>
      <c r="AG1088" s="23"/>
      <c r="AH1088" s="23"/>
      <c r="AI1088" s="23"/>
      <c r="AN1088" s="23"/>
      <c r="AO1088" s="23"/>
      <c r="AP1088" s="23"/>
      <c r="AQ1088" s="23"/>
      <c r="AR1088" s="35"/>
      <c r="AS1088" s="35"/>
      <c r="AT1088" s="35"/>
      <c r="AU1088" s="31"/>
    </row>
    <row r="1089" spans="4:47">
      <c r="D1089" s="31"/>
      <c r="E1089" s="31"/>
      <c r="F1089" s="31"/>
      <c r="G1089" s="31"/>
      <c r="H1089" s="32"/>
      <c r="J1089" s="33"/>
      <c r="K1089" s="33"/>
      <c r="L1089" s="33"/>
      <c r="X1089" s="23"/>
      <c r="Y1089" s="23"/>
      <c r="Z1089" s="23"/>
      <c r="AA1089" s="23"/>
      <c r="AF1089" s="23"/>
      <c r="AG1089" s="23"/>
      <c r="AH1089" s="23"/>
      <c r="AI1089" s="23"/>
      <c r="AN1089" s="23"/>
      <c r="AO1089" s="23"/>
      <c r="AP1089" s="23"/>
      <c r="AQ1089" s="23"/>
      <c r="AR1089" s="35"/>
      <c r="AS1089" s="35"/>
      <c r="AT1089" s="35"/>
      <c r="AU1089" s="31"/>
    </row>
    <row r="1090" spans="4:47">
      <c r="D1090" s="31"/>
      <c r="E1090" s="31"/>
      <c r="F1090" s="31"/>
      <c r="G1090" s="31"/>
      <c r="H1090" s="32"/>
      <c r="J1090" s="33"/>
      <c r="K1090" s="33"/>
      <c r="L1090" s="33"/>
      <c r="X1090" s="23"/>
      <c r="Y1090" s="23"/>
      <c r="Z1090" s="23"/>
      <c r="AA1090" s="23"/>
      <c r="AF1090" s="23"/>
      <c r="AG1090" s="23"/>
      <c r="AH1090" s="23"/>
      <c r="AI1090" s="23"/>
      <c r="AN1090" s="23"/>
      <c r="AO1090" s="23"/>
      <c r="AP1090" s="23"/>
      <c r="AQ1090" s="23"/>
      <c r="AR1090" s="35"/>
      <c r="AS1090" s="35"/>
      <c r="AT1090" s="35"/>
      <c r="AU1090" s="31"/>
    </row>
    <row r="1091" spans="4:47">
      <c r="D1091" s="31"/>
      <c r="E1091" s="31"/>
      <c r="F1091" s="31"/>
      <c r="G1091" s="31"/>
      <c r="H1091" s="32"/>
      <c r="J1091" s="33"/>
      <c r="K1091" s="33"/>
      <c r="L1091" s="33"/>
      <c r="X1091" s="23"/>
      <c r="Y1091" s="23"/>
      <c r="Z1091" s="23"/>
      <c r="AA1091" s="23"/>
      <c r="AF1091" s="23"/>
      <c r="AG1091" s="23"/>
      <c r="AH1091" s="23"/>
      <c r="AI1091" s="23"/>
      <c r="AN1091" s="23"/>
      <c r="AO1091" s="23"/>
      <c r="AP1091" s="23"/>
      <c r="AQ1091" s="23"/>
      <c r="AR1091" s="35"/>
      <c r="AS1091" s="35"/>
      <c r="AT1091" s="35"/>
      <c r="AU1091" s="31"/>
    </row>
    <row r="1092" spans="4:47">
      <c r="D1092" s="31"/>
      <c r="E1092" s="31"/>
      <c r="F1092" s="31"/>
      <c r="G1092" s="31"/>
      <c r="H1092" s="32"/>
      <c r="J1092" s="33"/>
      <c r="K1092" s="33"/>
      <c r="L1092" s="33"/>
      <c r="X1092" s="23"/>
      <c r="Y1092" s="23"/>
      <c r="Z1092" s="23"/>
      <c r="AA1092" s="23"/>
      <c r="AF1092" s="23"/>
      <c r="AG1092" s="23"/>
      <c r="AH1092" s="23"/>
      <c r="AI1092" s="23"/>
      <c r="AN1092" s="23"/>
      <c r="AO1092" s="23"/>
      <c r="AP1092" s="23"/>
      <c r="AQ1092" s="23"/>
      <c r="AR1092" s="35"/>
      <c r="AS1092" s="35"/>
      <c r="AT1092" s="35"/>
      <c r="AU1092" s="31"/>
    </row>
    <row r="1093" spans="4:47">
      <c r="D1093" s="31"/>
      <c r="E1093" s="31"/>
      <c r="F1093" s="31"/>
      <c r="G1093" s="31"/>
      <c r="H1093" s="32"/>
      <c r="J1093" s="33"/>
      <c r="K1093" s="33"/>
      <c r="L1093" s="33"/>
      <c r="X1093" s="23"/>
      <c r="Y1093" s="23"/>
      <c r="Z1093" s="23"/>
      <c r="AA1093" s="23"/>
      <c r="AF1093" s="23"/>
      <c r="AG1093" s="23"/>
      <c r="AH1093" s="23"/>
      <c r="AI1093" s="23"/>
      <c r="AN1093" s="23"/>
      <c r="AO1093" s="23"/>
      <c r="AP1093" s="23"/>
      <c r="AQ1093" s="23"/>
      <c r="AR1093" s="35"/>
      <c r="AS1093" s="35"/>
      <c r="AT1093" s="35"/>
      <c r="AU1093" s="31"/>
    </row>
    <row r="1094" spans="4:47">
      <c r="D1094" s="31"/>
      <c r="E1094" s="31"/>
      <c r="F1094" s="31"/>
      <c r="G1094" s="31"/>
      <c r="H1094" s="32"/>
      <c r="J1094" s="33"/>
      <c r="K1094" s="33"/>
      <c r="L1094" s="33"/>
      <c r="X1094" s="23"/>
      <c r="Y1094" s="23"/>
      <c r="Z1094" s="23"/>
      <c r="AA1094" s="23"/>
      <c r="AF1094" s="23"/>
      <c r="AG1094" s="23"/>
      <c r="AH1094" s="23"/>
      <c r="AI1094" s="23"/>
      <c r="AN1094" s="23"/>
      <c r="AO1094" s="23"/>
      <c r="AP1094" s="23"/>
      <c r="AQ1094" s="23"/>
      <c r="AR1094" s="35"/>
      <c r="AS1094" s="35"/>
      <c r="AT1094" s="35"/>
      <c r="AU1094" s="31"/>
    </row>
    <row r="1095" spans="4:47">
      <c r="D1095" s="31"/>
      <c r="E1095" s="31"/>
      <c r="F1095" s="31"/>
      <c r="G1095" s="31"/>
      <c r="H1095" s="32"/>
      <c r="J1095" s="33"/>
      <c r="K1095" s="33"/>
      <c r="L1095" s="33"/>
      <c r="X1095" s="23"/>
      <c r="Y1095" s="23"/>
      <c r="Z1095" s="23"/>
      <c r="AA1095" s="23"/>
      <c r="AF1095" s="23"/>
      <c r="AG1095" s="23"/>
      <c r="AH1095" s="23"/>
      <c r="AI1095" s="23"/>
      <c r="AN1095" s="23"/>
      <c r="AO1095" s="23"/>
      <c r="AP1095" s="23"/>
      <c r="AQ1095" s="23"/>
      <c r="AR1095" s="35"/>
      <c r="AS1095" s="35"/>
      <c r="AT1095" s="35"/>
      <c r="AU1095" s="31"/>
    </row>
    <row r="1096" spans="4:47">
      <c r="D1096" s="31"/>
      <c r="E1096" s="31"/>
      <c r="F1096" s="31"/>
      <c r="G1096" s="31"/>
      <c r="H1096" s="32"/>
      <c r="J1096" s="33"/>
      <c r="K1096" s="33"/>
      <c r="L1096" s="33"/>
      <c r="X1096" s="23"/>
      <c r="Y1096" s="23"/>
      <c r="Z1096" s="23"/>
      <c r="AA1096" s="23"/>
      <c r="AF1096" s="23"/>
      <c r="AG1096" s="23"/>
      <c r="AH1096" s="23"/>
      <c r="AI1096" s="23"/>
      <c r="AN1096" s="23"/>
      <c r="AO1096" s="23"/>
      <c r="AP1096" s="23"/>
      <c r="AQ1096" s="23"/>
      <c r="AR1096" s="35"/>
      <c r="AS1096" s="35"/>
      <c r="AT1096" s="35"/>
      <c r="AU1096" s="31"/>
    </row>
    <row r="1097" spans="4:47">
      <c r="D1097" s="31"/>
      <c r="E1097" s="31"/>
      <c r="F1097" s="31"/>
      <c r="G1097" s="31"/>
      <c r="H1097" s="32"/>
      <c r="J1097" s="33"/>
      <c r="K1097" s="33"/>
      <c r="L1097" s="33"/>
      <c r="X1097" s="23"/>
      <c r="Y1097" s="23"/>
      <c r="Z1097" s="23"/>
      <c r="AA1097" s="23"/>
      <c r="AF1097" s="23"/>
      <c r="AG1097" s="23"/>
      <c r="AH1097" s="23"/>
      <c r="AI1097" s="23"/>
      <c r="AN1097" s="23"/>
      <c r="AO1097" s="23"/>
      <c r="AP1097" s="23"/>
      <c r="AQ1097" s="23"/>
      <c r="AR1097" s="35"/>
      <c r="AS1097" s="35"/>
      <c r="AT1097" s="35"/>
      <c r="AU1097" s="31"/>
    </row>
    <row r="1098" spans="4:47">
      <c r="D1098" s="31"/>
      <c r="E1098" s="31"/>
      <c r="F1098" s="31"/>
      <c r="G1098" s="31"/>
      <c r="H1098" s="32"/>
      <c r="J1098" s="33"/>
      <c r="K1098" s="33"/>
      <c r="L1098" s="33"/>
      <c r="X1098" s="23"/>
      <c r="Y1098" s="23"/>
      <c r="Z1098" s="23"/>
      <c r="AA1098" s="23"/>
      <c r="AF1098" s="23"/>
      <c r="AG1098" s="23"/>
      <c r="AH1098" s="23"/>
      <c r="AI1098" s="23"/>
      <c r="AN1098" s="23"/>
      <c r="AO1098" s="23"/>
      <c r="AP1098" s="23"/>
      <c r="AQ1098" s="23"/>
      <c r="AR1098" s="35"/>
      <c r="AS1098" s="35"/>
      <c r="AT1098" s="35"/>
      <c r="AU1098" s="31"/>
    </row>
    <row r="1099" spans="4:47">
      <c r="D1099" s="31"/>
      <c r="E1099" s="31"/>
      <c r="F1099" s="31"/>
      <c r="G1099" s="31"/>
      <c r="H1099" s="32"/>
      <c r="J1099" s="33"/>
      <c r="K1099" s="33"/>
      <c r="L1099" s="33"/>
      <c r="X1099" s="23"/>
      <c r="Y1099" s="23"/>
      <c r="Z1099" s="23"/>
      <c r="AA1099" s="23"/>
      <c r="AF1099" s="23"/>
      <c r="AG1099" s="23"/>
      <c r="AH1099" s="23"/>
      <c r="AI1099" s="23"/>
      <c r="AN1099" s="23"/>
      <c r="AO1099" s="23"/>
      <c r="AP1099" s="23"/>
      <c r="AQ1099" s="23"/>
      <c r="AR1099" s="35"/>
      <c r="AS1099" s="35"/>
      <c r="AT1099" s="35"/>
      <c r="AU1099" s="31"/>
    </row>
    <row r="1100" spans="4:47">
      <c r="D1100" s="31"/>
      <c r="E1100" s="31"/>
      <c r="F1100" s="31"/>
      <c r="G1100" s="31"/>
      <c r="H1100" s="32"/>
      <c r="J1100" s="33"/>
      <c r="K1100" s="33"/>
      <c r="L1100" s="33"/>
      <c r="X1100" s="23"/>
      <c r="Y1100" s="23"/>
      <c r="Z1100" s="23"/>
      <c r="AA1100" s="23"/>
      <c r="AF1100" s="23"/>
      <c r="AG1100" s="23"/>
      <c r="AH1100" s="23"/>
      <c r="AI1100" s="23"/>
      <c r="AN1100" s="23"/>
      <c r="AO1100" s="23"/>
      <c r="AP1100" s="23"/>
      <c r="AQ1100" s="23"/>
      <c r="AR1100" s="35"/>
      <c r="AS1100" s="35"/>
      <c r="AT1100" s="35"/>
      <c r="AU1100" s="31"/>
    </row>
    <row r="1101" spans="4:47">
      <c r="D1101" s="31"/>
      <c r="E1101" s="31"/>
      <c r="F1101" s="31"/>
      <c r="G1101" s="31"/>
      <c r="H1101" s="32"/>
      <c r="J1101" s="33"/>
      <c r="K1101" s="33"/>
      <c r="L1101" s="33"/>
      <c r="X1101" s="23"/>
      <c r="Y1101" s="23"/>
      <c r="Z1101" s="23"/>
      <c r="AA1101" s="23"/>
      <c r="AF1101" s="23"/>
      <c r="AG1101" s="23"/>
      <c r="AH1101" s="23"/>
      <c r="AI1101" s="23"/>
      <c r="AN1101" s="23"/>
      <c r="AO1101" s="23"/>
      <c r="AP1101" s="23"/>
      <c r="AQ1101" s="23"/>
      <c r="AR1101" s="35"/>
      <c r="AS1101" s="35"/>
      <c r="AT1101" s="35"/>
      <c r="AU1101" s="31"/>
    </row>
    <row r="1102" spans="4:47">
      <c r="D1102" s="31"/>
      <c r="E1102" s="31"/>
      <c r="F1102" s="31"/>
      <c r="G1102" s="31"/>
      <c r="H1102" s="32"/>
      <c r="J1102" s="33"/>
      <c r="K1102" s="33"/>
      <c r="L1102" s="33"/>
      <c r="X1102" s="23"/>
      <c r="Y1102" s="23"/>
      <c r="Z1102" s="23"/>
      <c r="AA1102" s="23"/>
      <c r="AF1102" s="23"/>
      <c r="AG1102" s="23"/>
      <c r="AH1102" s="23"/>
      <c r="AI1102" s="23"/>
      <c r="AN1102" s="23"/>
      <c r="AO1102" s="23"/>
      <c r="AP1102" s="23"/>
      <c r="AQ1102" s="23"/>
      <c r="AR1102" s="35"/>
      <c r="AS1102" s="35"/>
      <c r="AT1102" s="35"/>
      <c r="AU1102" s="31"/>
    </row>
    <row r="1103" spans="4:47">
      <c r="D1103" s="31"/>
      <c r="E1103" s="31"/>
      <c r="F1103" s="31"/>
      <c r="G1103" s="31"/>
      <c r="H1103" s="32"/>
      <c r="J1103" s="33"/>
      <c r="K1103" s="33"/>
      <c r="L1103" s="33"/>
      <c r="X1103" s="23"/>
      <c r="Y1103" s="23"/>
      <c r="Z1103" s="23"/>
      <c r="AA1103" s="23"/>
      <c r="AF1103" s="23"/>
      <c r="AG1103" s="23"/>
      <c r="AH1103" s="23"/>
      <c r="AI1103" s="23"/>
      <c r="AN1103" s="23"/>
      <c r="AO1103" s="23"/>
      <c r="AP1103" s="23"/>
      <c r="AQ1103" s="23"/>
      <c r="AR1103" s="35"/>
      <c r="AS1103" s="35"/>
      <c r="AT1103" s="35"/>
      <c r="AU1103" s="31"/>
    </row>
    <row r="1104" spans="4:47">
      <c r="D1104" s="31"/>
      <c r="E1104" s="31"/>
      <c r="F1104" s="31"/>
      <c r="G1104" s="31"/>
      <c r="H1104" s="32"/>
      <c r="J1104" s="33"/>
      <c r="K1104" s="33"/>
      <c r="L1104" s="33"/>
      <c r="X1104" s="23"/>
      <c r="Y1104" s="23"/>
      <c r="Z1104" s="23"/>
      <c r="AA1104" s="23"/>
      <c r="AF1104" s="23"/>
      <c r="AG1104" s="23"/>
      <c r="AH1104" s="23"/>
      <c r="AI1104" s="23"/>
      <c r="AN1104" s="23"/>
      <c r="AO1104" s="23"/>
      <c r="AP1104" s="23"/>
      <c r="AQ1104" s="23"/>
      <c r="AR1104" s="35"/>
      <c r="AS1104" s="35"/>
      <c r="AT1104" s="35"/>
      <c r="AU1104" s="31"/>
    </row>
    <row r="1105" spans="4:47">
      <c r="D1105" s="31"/>
      <c r="E1105" s="31"/>
      <c r="F1105" s="31"/>
      <c r="G1105" s="31"/>
      <c r="H1105" s="32"/>
      <c r="J1105" s="33"/>
      <c r="K1105" s="33"/>
      <c r="L1105" s="33"/>
      <c r="X1105" s="23"/>
      <c r="Y1105" s="23"/>
      <c r="Z1105" s="23"/>
      <c r="AA1105" s="23"/>
      <c r="AF1105" s="23"/>
      <c r="AG1105" s="23"/>
      <c r="AH1105" s="23"/>
      <c r="AI1105" s="23"/>
      <c r="AN1105" s="23"/>
      <c r="AO1105" s="23"/>
      <c r="AP1105" s="23"/>
      <c r="AQ1105" s="23"/>
      <c r="AR1105" s="35"/>
      <c r="AS1105" s="35"/>
      <c r="AT1105" s="35"/>
      <c r="AU1105" s="31"/>
    </row>
    <row r="1106" spans="4:47">
      <c r="D1106" s="31"/>
      <c r="E1106" s="31"/>
      <c r="F1106" s="31"/>
      <c r="G1106" s="31"/>
      <c r="H1106" s="32"/>
      <c r="J1106" s="33"/>
      <c r="K1106" s="33"/>
      <c r="L1106" s="33"/>
      <c r="X1106" s="23"/>
      <c r="Y1106" s="23"/>
      <c r="Z1106" s="23"/>
      <c r="AA1106" s="23"/>
      <c r="AF1106" s="23"/>
      <c r="AG1106" s="23"/>
      <c r="AH1106" s="23"/>
      <c r="AI1106" s="23"/>
      <c r="AN1106" s="23"/>
      <c r="AO1106" s="23"/>
      <c r="AP1106" s="23"/>
      <c r="AQ1106" s="23"/>
      <c r="AR1106" s="35"/>
      <c r="AS1106" s="35"/>
      <c r="AT1106" s="35"/>
      <c r="AU1106" s="31"/>
    </row>
    <row r="1107" spans="4:47">
      <c r="D1107" s="31"/>
      <c r="E1107" s="31"/>
      <c r="F1107" s="31"/>
      <c r="G1107" s="31"/>
      <c r="H1107" s="32"/>
      <c r="J1107" s="33"/>
      <c r="K1107" s="33"/>
      <c r="L1107" s="33"/>
      <c r="X1107" s="23"/>
      <c r="Y1107" s="23"/>
      <c r="Z1107" s="23"/>
      <c r="AA1107" s="23"/>
      <c r="AF1107" s="23"/>
      <c r="AG1107" s="23"/>
      <c r="AH1107" s="23"/>
      <c r="AI1107" s="23"/>
      <c r="AN1107" s="23"/>
      <c r="AO1107" s="23"/>
      <c r="AP1107" s="23"/>
      <c r="AQ1107" s="23"/>
      <c r="AR1107" s="35"/>
      <c r="AS1107" s="35"/>
      <c r="AT1107" s="35"/>
      <c r="AU1107" s="31"/>
    </row>
    <row r="1108" spans="4:47">
      <c r="D1108" s="31"/>
      <c r="E1108" s="31"/>
      <c r="F1108" s="31"/>
      <c r="G1108" s="31"/>
      <c r="H1108" s="32"/>
      <c r="J1108" s="33"/>
      <c r="K1108" s="33"/>
      <c r="L1108" s="33"/>
      <c r="X1108" s="23"/>
      <c r="Y1108" s="23"/>
      <c r="Z1108" s="23"/>
      <c r="AA1108" s="23"/>
      <c r="AF1108" s="23"/>
      <c r="AG1108" s="23"/>
      <c r="AH1108" s="23"/>
      <c r="AI1108" s="23"/>
      <c r="AN1108" s="23"/>
      <c r="AO1108" s="23"/>
      <c r="AP1108" s="23"/>
      <c r="AQ1108" s="23"/>
      <c r="AR1108" s="35"/>
      <c r="AS1108" s="35"/>
      <c r="AT1108" s="35"/>
      <c r="AU1108" s="31"/>
    </row>
    <row r="1109" spans="4:47">
      <c r="D1109" s="31"/>
      <c r="E1109" s="31"/>
      <c r="F1109" s="31"/>
      <c r="G1109" s="31"/>
      <c r="H1109" s="32"/>
      <c r="J1109" s="33"/>
      <c r="K1109" s="33"/>
      <c r="L1109" s="33"/>
      <c r="X1109" s="23"/>
      <c r="Y1109" s="23"/>
      <c r="Z1109" s="23"/>
      <c r="AA1109" s="23"/>
      <c r="AF1109" s="23"/>
      <c r="AG1109" s="23"/>
      <c r="AH1109" s="23"/>
      <c r="AI1109" s="23"/>
      <c r="AN1109" s="23"/>
      <c r="AO1109" s="23"/>
      <c r="AP1109" s="23"/>
      <c r="AQ1109" s="23"/>
      <c r="AR1109" s="35"/>
      <c r="AS1109" s="35"/>
      <c r="AT1109" s="35"/>
      <c r="AU1109" s="31"/>
    </row>
    <row r="1110" spans="4:47">
      <c r="D1110" s="31"/>
      <c r="E1110" s="31"/>
      <c r="F1110" s="31"/>
      <c r="G1110" s="31"/>
      <c r="H1110" s="32"/>
      <c r="J1110" s="33"/>
      <c r="K1110" s="33"/>
      <c r="L1110" s="33"/>
      <c r="X1110" s="23"/>
      <c r="Y1110" s="23"/>
      <c r="Z1110" s="23"/>
      <c r="AA1110" s="23"/>
      <c r="AF1110" s="23"/>
      <c r="AG1110" s="23"/>
      <c r="AH1110" s="23"/>
      <c r="AI1110" s="23"/>
      <c r="AN1110" s="23"/>
      <c r="AO1110" s="23"/>
      <c r="AP1110" s="23"/>
      <c r="AQ1110" s="23"/>
      <c r="AR1110" s="35"/>
      <c r="AS1110" s="35"/>
      <c r="AT1110" s="35"/>
      <c r="AU1110" s="31"/>
    </row>
    <row r="1111" spans="4:47">
      <c r="D1111" s="31"/>
      <c r="E1111" s="31"/>
      <c r="F1111" s="31"/>
      <c r="G1111" s="31"/>
      <c r="H1111" s="32"/>
      <c r="J1111" s="33"/>
      <c r="K1111" s="33"/>
      <c r="L1111" s="33"/>
      <c r="X1111" s="23"/>
      <c r="Y1111" s="23"/>
      <c r="Z1111" s="23"/>
      <c r="AA1111" s="23"/>
      <c r="AF1111" s="23"/>
      <c r="AG1111" s="23"/>
      <c r="AH1111" s="23"/>
      <c r="AI1111" s="23"/>
      <c r="AN1111" s="23"/>
      <c r="AO1111" s="23"/>
      <c r="AP1111" s="23"/>
      <c r="AQ1111" s="23"/>
      <c r="AR1111" s="35"/>
      <c r="AS1111" s="35"/>
      <c r="AT1111" s="35"/>
      <c r="AU1111" s="31"/>
    </row>
    <row r="1112" spans="4:47">
      <c r="D1112" s="31"/>
      <c r="E1112" s="31"/>
      <c r="F1112" s="31"/>
      <c r="G1112" s="31"/>
      <c r="H1112" s="32"/>
      <c r="J1112" s="33"/>
      <c r="K1112" s="33"/>
      <c r="L1112" s="33"/>
      <c r="X1112" s="23"/>
      <c r="Y1112" s="23"/>
      <c r="Z1112" s="23"/>
      <c r="AA1112" s="23"/>
      <c r="AF1112" s="23"/>
      <c r="AG1112" s="23"/>
      <c r="AH1112" s="23"/>
      <c r="AI1112" s="23"/>
      <c r="AN1112" s="23"/>
      <c r="AO1112" s="23"/>
      <c r="AP1112" s="23"/>
      <c r="AQ1112" s="23"/>
      <c r="AR1112" s="35"/>
      <c r="AS1112" s="35"/>
      <c r="AT1112" s="35"/>
      <c r="AU1112" s="31"/>
    </row>
    <row r="1113" spans="4:47">
      <c r="D1113" s="31"/>
      <c r="E1113" s="31"/>
      <c r="F1113" s="31"/>
      <c r="G1113" s="31"/>
      <c r="H1113" s="32"/>
      <c r="J1113" s="33"/>
      <c r="K1113" s="33"/>
      <c r="L1113" s="33"/>
      <c r="X1113" s="23"/>
      <c r="Y1113" s="23"/>
      <c r="Z1113" s="23"/>
      <c r="AA1113" s="23"/>
      <c r="AF1113" s="23"/>
      <c r="AG1113" s="23"/>
      <c r="AH1113" s="23"/>
      <c r="AI1113" s="23"/>
      <c r="AN1113" s="23"/>
      <c r="AO1113" s="23"/>
      <c r="AP1113" s="23"/>
      <c r="AQ1113" s="23"/>
      <c r="AR1113" s="35"/>
      <c r="AS1113" s="35"/>
      <c r="AT1113" s="35"/>
      <c r="AU1113" s="31"/>
    </row>
    <row r="1114" spans="4:47">
      <c r="D1114" s="31"/>
      <c r="E1114" s="31"/>
      <c r="F1114" s="31"/>
      <c r="G1114" s="31"/>
      <c r="H1114" s="32"/>
      <c r="J1114" s="33"/>
      <c r="K1114" s="33"/>
      <c r="L1114" s="33"/>
      <c r="X1114" s="23"/>
      <c r="Y1114" s="23"/>
      <c r="Z1114" s="23"/>
      <c r="AA1114" s="23"/>
      <c r="AF1114" s="23"/>
      <c r="AG1114" s="23"/>
      <c r="AH1114" s="23"/>
      <c r="AI1114" s="23"/>
      <c r="AN1114" s="23"/>
      <c r="AO1114" s="23"/>
      <c r="AP1114" s="23"/>
      <c r="AQ1114" s="23"/>
      <c r="AR1114" s="35"/>
      <c r="AS1114" s="35"/>
      <c r="AT1114" s="35"/>
      <c r="AU1114" s="31"/>
    </row>
    <row r="1115" spans="4:47">
      <c r="D1115" s="31"/>
      <c r="E1115" s="31"/>
      <c r="F1115" s="31"/>
      <c r="G1115" s="31"/>
      <c r="H1115" s="32"/>
      <c r="J1115" s="33"/>
      <c r="K1115" s="33"/>
      <c r="L1115" s="33"/>
      <c r="X1115" s="23"/>
      <c r="Y1115" s="23"/>
      <c r="Z1115" s="23"/>
      <c r="AA1115" s="23"/>
      <c r="AF1115" s="23"/>
      <c r="AG1115" s="23"/>
      <c r="AH1115" s="23"/>
      <c r="AI1115" s="23"/>
      <c r="AN1115" s="23"/>
      <c r="AO1115" s="23"/>
      <c r="AP1115" s="23"/>
      <c r="AQ1115" s="23"/>
      <c r="AR1115" s="35"/>
      <c r="AS1115" s="35"/>
      <c r="AT1115" s="35"/>
      <c r="AU1115" s="31"/>
    </row>
    <row r="1116" spans="4:47">
      <c r="D1116" s="31"/>
      <c r="E1116" s="31"/>
      <c r="F1116" s="31"/>
      <c r="G1116" s="31"/>
      <c r="H1116" s="32"/>
      <c r="J1116" s="33"/>
      <c r="K1116" s="33"/>
      <c r="L1116" s="33"/>
      <c r="X1116" s="23"/>
      <c r="Y1116" s="23"/>
      <c r="Z1116" s="23"/>
      <c r="AA1116" s="23"/>
      <c r="AF1116" s="23"/>
      <c r="AG1116" s="23"/>
      <c r="AH1116" s="23"/>
      <c r="AI1116" s="23"/>
      <c r="AN1116" s="23"/>
      <c r="AO1116" s="23"/>
      <c r="AP1116" s="23"/>
      <c r="AQ1116" s="23"/>
      <c r="AR1116" s="35"/>
      <c r="AS1116" s="35"/>
      <c r="AT1116" s="35"/>
      <c r="AU1116" s="31"/>
    </row>
    <row r="1117" spans="4:47">
      <c r="D1117" s="31"/>
      <c r="E1117" s="31"/>
      <c r="F1117" s="31"/>
      <c r="G1117" s="31"/>
      <c r="H1117" s="32"/>
      <c r="J1117" s="33"/>
      <c r="K1117" s="33"/>
      <c r="L1117" s="33"/>
      <c r="X1117" s="23"/>
      <c r="Y1117" s="23"/>
      <c r="Z1117" s="23"/>
      <c r="AA1117" s="23"/>
      <c r="AF1117" s="23"/>
      <c r="AG1117" s="23"/>
      <c r="AH1117" s="23"/>
      <c r="AI1117" s="23"/>
      <c r="AN1117" s="23"/>
      <c r="AO1117" s="23"/>
      <c r="AP1117" s="23"/>
      <c r="AQ1117" s="23"/>
      <c r="AR1117" s="35"/>
      <c r="AS1117" s="35"/>
      <c r="AT1117" s="35"/>
      <c r="AU1117" s="31"/>
    </row>
    <row r="1118" spans="4:47">
      <c r="D1118" s="31"/>
      <c r="E1118" s="31"/>
      <c r="F1118" s="31"/>
      <c r="G1118" s="31"/>
      <c r="H1118" s="32"/>
      <c r="J1118" s="33"/>
      <c r="K1118" s="33"/>
      <c r="L1118" s="33"/>
      <c r="X1118" s="23"/>
      <c r="Y1118" s="23"/>
      <c r="Z1118" s="23"/>
      <c r="AA1118" s="23"/>
      <c r="AF1118" s="23"/>
      <c r="AG1118" s="23"/>
      <c r="AH1118" s="23"/>
      <c r="AI1118" s="23"/>
      <c r="AN1118" s="23"/>
      <c r="AO1118" s="23"/>
      <c r="AP1118" s="23"/>
      <c r="AQ1118" s="23"/>
      <c r="AR1118" s="35"/>
      <c r="AS1118" s="35"/>
      <c r="AT1118" s="35"/>
      <c r="AU1118" s="31"/>
    </row>
    <row r="1119" spans="4:47">
      <c r="D1119" s="31"/>
      <c r="E1119" s="31"/>
      <c r="F1119" s="31"/>
      <c r="G1119" s="31"/>
      <c r="H1119" s="32"/>
      <c r="J1119" s="33"/>
      <c r="K1119" s="33"/>
      <c r="L1119" s="33"/>
      <c r="X1119" s="23"/>
      <c r="Y1119" s="23"/>
      <c r="Z1119" s="23"/>
      <c r="AA1119" s="23"/>
      <c r="AF1119" s="23"/>
      <c r="AG1119" s="23"/>
      <c r="AH1119" s="23"/>
      <c r="AI1119" s="23"/>
      <c r="AN1119" s="23"/>
      <c r="AO1119" s="23"/>
      <c r="AP1119" s="23"/>
      <c r="AQ1119" s="23"/>
      <c r="AR1119" s="35"/>
      <c r="AS1119" s="35"/>
      <c r="AT1119" s="35"/>
      <c r="AU1119" s="31"/>
    </row>
    <row r="1120" spans="4:47">
      <c r="D1120" s="31"/>
      <c r="E1120" s="31"/>
      <c r="F1120" s="31"/>
      <c r="G1120" s="31"/>
      <c r="H1120" s="32"/>
      <c r="J1120" s="33"/>
      <c r="K1120" s="33"/>
      <c r="L1120" s="33"/>
      <c r="X1120" s="23"/>
      <c r="Y1120" s="23"/>
      <c r="Z1120" s="23"/>
      <c r="AA1120" s="23"/>
      <c r="AF1120" s="23"/>
      <c r="AG1120" s="23"/>
      <c r="AH1120" s="23"/>
      <c r="AI1120" s="23"/>
      <c r="AN1120" s="23"/>
      <c r="AO1120" s="23"/>
      <c r="AP1120" s="23"/>
      <c r="AQ1120" s="23"/>
      <c r="AR1120" s="35"/>
      <c r="AS1120" s="35"/>
      <c r="AT1120" s="35"/>
      <c r="AU1120" s="31"/>
    </row>
    <row r="1121" spans="4:47">
      <c r="D1121" s="31"/>
      <c r="E1121" s="31"/>
      <c r="F1121" s="31"/>
      <c r="G1121" s="31"/>
      <c r="H1121" s="32"/>
      <c r="J1121" s="33"/>
      <c r="K1121" s="33"/>
      <c r="L1121" s="33"/>
      <c r="X1121" s="23"/>
      <c r="Y1121" s="23"/>
      <c r="Z1121" s="23"/>
      <c r="AA1121" s="23"/>
      <c r="AF1121" s="23"/>
      <c r="AG1121" s="23"/>
      <c r="AH1121" s="23"/>
      <c r="AI1121" s="23"/>
      <c r="AN1121" s="23"/>
      <c r="AO1121" s="23"/>
      <c r="AP1121" s="23"/>
      <c r="AQ1121" s="23"/>
      <c r="AR1121" s="35"/>
      <c r="AS1121" s="35"/>
      <c r="AT1121" s="35"/>
      <c r="AU1121" s="31"/>
    </row>
    <row r="1122" spans="4:47">
      <c r="D1122" s="31"/>
      <c r="E1122" s="31"/>
      <c r="F1122" s="31"/>
      <c r="G1122" s="31"/>
      <c r="H1122" s="32"/>
      <c r="J1122" s="33"/>
      <c r="K1122" s="33"/>
      <c r="L1122" s="33"/>
      <c r="X1122" s="23"/>
      <c r="Y1122" s="23"/>
      <c r="Z1122" s="23"/>
      <c r="AA1122" s="23"/>
      <c r="AF1122" s="23"/>
      <c r="AG1122" s="23"/>
      <c r="AH1122" s="23"/>
      <c r="AI1122" s="23"/>
      <c r="AN1122" s="23"/>
      <c r="AO1122" s="23"/>
      <c r="AP1122" s="23"/>
      <c r="AQ1122" s="23"/>
      <c r="AR1122" s="35"/>
      <c r="AS1122" s="35"/>
      <c r="AT1122" s="35"/>
      <c r="AU1122" s="31"/>
    </row>
    <row r="1123" spans="4:47">
      <c r="D1123" s="31"/>
      <c r="E1123" s="31"/>
      <c r="F1123" s="31"/>
      <c r="G1123" s="31"/>
      <c r="H1123" s="32"/>
      <c r="J1123" s="33"/>
      <c r="K1123" s="33"/>
      <c r="L1123" s="33"/>
      <c r="X1123" s="23"/>
      <c r="Y1123" s="23"/>
      <c r="Z1123" s="23"/>
      <c r="AA1123" s="23"/>
      <c r="AF1123" s="23"/>
      <c r="AG1123" s="23"/>
      <c r="AH1123" s="23"/>
      <c r="AI1123" s="23"/>
      <c r="AN1123" s="23"/>
      <c r="AO1123" s="23"/>
      <c r="AP1123" s="23"/>
      <c r="AQ1123" s="23"/>
      <c r="AR1123" s="35"/>
      <c r="AS1123" s="35"/>
      <c r="AT1123" s="35"/>
      <c r="AU1123" s="31"/>
    </row>
    <row r="1124" spans="4:47">
      <c r="D1124" s="31"/>
      <c r="E1124" s="31"/>
      <c r="F1124" s="31"/>
      <c r="G1124" s="31"/>
      <c r="H1124" s="32"/>
      <c r="J1124" s="33"/>
      <c r="K1124" s="33"/>
      <c r="L1124" s="33"/>
      <c r="X1124" s="23"/>
      <c r="Y1124" s="23"/>
      <c r="Z1124" s="23"/>
      <c r="AA1124" s="23"/>
      <c r="AF1124" s="23"/>
      <c r="AG1124" s="23"/>
      <c r="AH1124" s="23"/>
      <c r="AI1124" s="23"/>
      <c r="AN1124" s="23"/>
      <c r="AO1124" s="23"/>
      <c r="AP1124" s="23"/>
      <c r="AQ1124" s="23"/>
      <c r="AR1124" s="35"/>
      <c r="AS1124" s="35"/>
      <c r="AT1124" s="35"/>
      <c r="AU1124" s="31"/>
    </row>
    <row r="1125" spans="4:47">
      <c r="D1125" s="31"/>
      <c r="E1125" s="31"/>
      <c r="F1125" s="31"/>
      <c r="G1125" s="31"/>
      <c r="H1125" s="32"/>
      <c r="J1125" s="33"/>
      <c r="K1125" s="33"/>
      <c r="L1125" s="33"/>
      <c r="X1125" s="23"/>
      <c r="Y1125" s="23"/>
      <c r="Z1125" s="23"/>
      <c r="AA1125" s="23"/>
      <c r="AF1125" s="23"/>
      <c r="AG1125" s="23"/>
      <c r="AH1125" s="23"/>
      <c r="AI1125" s="23"/>
      <c r="AN1125" s="23"/>
      <c r="AO1125" s="23"/>
      <c r="AP1125" s="23"/>
      <c r="AQ1125" s="23"/>
      <c r="AR1125" s="35"/>
      <c r="AS1125" s="35"/>
      <c r="AT1125" s="35"/>
      <c r="AU1125" s="31"/>
    </row>
    <row r="1126" spans="4:47">
      <c r="D1126" s="31"/>
      <c r="E1126" s="31"/>
      <c r="F1126" s="31"/>
      <c r="G1126" s="31"/>
      <c r="H1126" s="32"/>
      <c r="J1126" s="33"/>
      <c r="K1126" s="33"/>
      <c r="L1126" s="33"/>
      <c r="X1126" s="23"/>
      <c r="Y1126" s="23"/>
      <c r="Z1126" s="23"/>
      <c r="AA1126" s="23"/>
      <c r="AF1126" s="23"/>
      <c r="AG1126" s="23"/>
      <c r="AH1126" s="23"/>
      <c r="AI1126" s="23"/>
      <c r="AN1126" s="23"/>
      <c r="AO1126" s="23"/>
      <c r="AP1126" s="23"/>
      <c r="AQ1126" s="23"/>
      <c r="AR1126" s="35"/>
      <c r="AS1126" s="35"/>
      <c r="AT1126" s="35"/>
      <c r="AU1126" s="31"/>
    </row>
    <row r="1127" spans="4:47">
      <c r="D1127" s="31"/>
      <c r="E1127" s="31"/>
      <c r="F1127" s="31"/>
      <c r="G1127" s="31"/>
      <c r="H1127" s="32"/>
      <c r="J1127" s="33"/>
      <c r="K1127" s="33"/>
      <c r="L1127" s="33"/>
      <c r="X1127" s="23"/>
      <c r="Y1127" s="23"/>
      <c r="Z1127" s="23"/>
      <c r="AA1127" s="23"/>
      <c r="AF1127" s="23"/>
      <c r="AG1127" s="23"/>
      <c r="AH1127" s="23"/>
      <c r="AI1127" s="23"/>
      <c r="AN1127" s="23"/>
      <c r="AO1127" s="23"/>
      <c r="AP1127" s="23"/>
      <c r="AQ1127" s="23"/>
      <c r="AR1127" s="35"/>
      <c r="AS1127" s="35"/>
      <c r="AT1127" s="35"/>
      <c r="AU1127" s="31"/>
    </row>
    <row r="1128" spans="4:47">
      <c r="D1128" s="31"/>
      <c r="E1128" s="31"/>
      <c r="F1128" s="31"/>
      <c r="G1128" s="31"/>
      <c r="H1128" s="32"/>
      <c r="J1128" s="33"/>
      <c r="K1128" s="33"/>
      <c r="L1128" s="33"/>
      <c r="X1128" s="23"/>
      <c r="Y1128" s="23"/>
      <c r="Z1128" s="23"/>
      <c r="AA1128" s="23"/>
      <c r="AF1128" s="23"/>
      <c r="AG1128" s="23"/>
      <c r="AH1128" s="23"/>
      <c r="AI1128" s="23"/>
      <c r="AN1128" s="23"/>
      <c r="AO1128" s="23"/>
      <c r="AP1128" s="23"/>
      <c r="AQ1128" s="23"/>
      <c r="AR1128" s="35"/>
      <c r="AS1128" s="35"/>
      <c r="AT1128" s="35"/>
      <c r="AU1128" s="31"/>
    </row>
    <row r="1129" spans="4:47">
      <c r="D1129" s="31"/>
      <c r="E1129" s="31"/>
      <c r="F1129" s="31"/>
      <c r="G1129" s="31"/>
      <c r="H1129" s="32"/>
      <c r="J1129" s="33"/>
      <c r="K1129" s="33"/>
      <c r="L1129" s="33"/>
      <c r="X1129" s="23"/>
      <c r="Y1129" s="23"/>
      <c r="Z1129" s="23"/>
      <c r="AA1129" s="23"/>
      <c r="AF1129" s="23"/>
      <c r="AG1129" s="23"/>
      <c r="AH1129" s="23"/>
      <c r="AI1129" s="23"/>
      <c r="AN1129" s="23"/>
      <c r="AO1129" s="23"/>
      <c r="AP1129" s="23"/>
      <c r="AQ1129" s="23"/>
      <c r="AR1129" s="35"/>
      <c r="AS1129" s="35"/>
      <c r="AT1129" s="35"/>
      <c r="AU1129" s="31"/>
    </row>
    <row r="1130" spans="4:47">
      <c r="D1130" s="31"/>
      <c r="E1130" s="31"/>
      <c r="F1130" s="31"/>
      <c r="G1130" s="31"/>
      <c r="H1130" s="32"/>
      <c r="J1130" s="33"/>
      <c r="K1130" s="33"/>
      <c r="L1130" s="33"/>
      <c r="X1130" s="23"/>
      <c r="Y1130" s="23"/>
      <c r="Z1130" s="23"/>
      <c r="AA1130" s="23"/>
      <c r="AF1130" s="23"/>
      <c r="AG1130" s="23"/>
      <c r="AH1130" s="23"/>
      <c r="AI1130" s="23"/>
      <c r="AN1130" s="23"/>
      <c r="AO1130" s="23"/>
      <c r="AP1130" s="23"/>
      <c r="AQ1130" s="23"/>
      <c r="AR1130" s="35"/>
      <c r="AS1130" s="35"/>
      <c r="AT1130" s="35"/>
      <c r="AU1130" s="31"/>
    </row>
    <row r="1131" spans="4:47">
      <c r="D1131" s="31"/>
      <c r="E1131" s="31"/>
      <c r="F1131" s="31"/>
      <c r="G1131" s="31"/>
      <c r="H1131" s="32"/>
      <c r="J1131" s="33"/>
      <c r="K1131" s="33"/>
      <c r="L1131" s="33"/>
      <c r="X1131" s="23"/>
      <c r="Y1131" s="23"/>
      <c r="Z1131" s="23"/>
      <c r="AA1131" s="23"/>
      <c r="AF1131" s="23"/>
      <c r="AG1131" s="23"/>
      <c r="AH1131" s="23"/>
      <c r="AI1131" s="23"/>
      <c r="AN1131" s="23"/>
      <c r="AO1131" s="23"/>
      <c r="AP1131" s="23"/>
      <c r="AQ1131" s="23"/>
      <c r="AR1131" s="35"/>
      <c r="AS1131" s="35"/>
      <c r="AT1131" s="35"/>
      <c r="AU1131" s="31"/>
    </row>
    <row r="1132" spans="4:47">
      <c r="D1132" s="31"/>
      <c r="E1132" s="31"/>
      <c r="F1132" s="31"/>
      <c r="G1132" s="31"/>
      <c r="H1132" s="32"/>
      <c r="J1132" s="33"/>
      <c r="K1132" s="33"/>
      <c r="L1132" s="33"/>
      <c r="X1132" s="23"/>
      <c r="Y1132" s="23"/>
      <c r="Z1132" s="23"/>
      <c r="AA1132" s="23"/>
      <c r="AF1132" s="23"/>
      <c r="AG1132" s="23"/>
      <c r="AH1132" s="23"/>
      <c r="AI1132" s="23"/>
      <c r="AN1132" s="23"/>
      <c r="AO1132" s="23"/>
      <c r="AP1132" s="23"/>
      <c r="AQ1132" s="23"/>
      <c r="AR1132" s="35"/>
      <c r="AS1132" s="35"/>
      <c r="AT1132" s="35"/>
      <c r="AU1132" s="31"/>
    </row>
    <row r="1133" spans="4:47">
      <c r="D1133" s="31"/>
      <c r="E1133" s="31"/>
      <c r="F1133" s="31"/>
      <c r="G1133" s="31"/>
      <c r="H1133" s="32"/>
      <c r="J1133" s="33"/>
      <c r="K1133" s="33"/>
      <c r="L1133" s="33"/>
      <c r="X1133" s="23"/>
      <c r="Y1133" s="23"/>
      <c r="Z1133" s="23"/>
      <c r="AA1133" s="23"/>
      <c r="AF1133" s="23"/>
      <c r="AG1133" s="23"/>
      <c r="AH1133" s="23"/>
      <c r="AI1133" s="23"/>
      <c r="AN1133" s="23"/>
      <c r="AO1133" s="23"/>
      <c r="AP1133" s="23"/>
      <c r="AQ1133" s="23"/>
      <c r="AR1133" s="35"/>
      <c r="AS1133" s="35"/>
      <c r="AT1133" s="35"/>
      <c r="AU1133" s="31"/>
    </row>
    <row r="1134" spans="4:47">
      <c r="D1134" s="31"/>
      <c r="E1134" s="31"/>
      <c r="F1134" s="31"/>
      <c r="G1134" s="31"/>
      <c r="H1134" s="32"/>
      <c r="J1134" s="33"/>
      <c r="K1134" s="33"/>
      <c r="L1134" s="33"/>
      <c r="X1134" s="23"/>
      <c r="Y1134" s="23"/>
      <c r="Z1134" s="23"/>
      <c r="AA1134" s="23"/>
      <c r="AF1134" s="23"/>
      <c r="AG1134" s="23"/>
      <c r="AH1134" s="23"/>
      <c r="AI1134" s="23"/>
      <c r="AN1134" s="23"/>
      <c r="AO1134" s="23"/>
      <c r="AP1134" s="23"/>
      <c r="AQ1134" s="23"/>
      <c r="AR1134" s="35"/>
      <c r="AS1134" s="35"/>
      <c r="AT1134" s="35"/>
      <c r="AU1134" s="31"/>
    </row>
    <row r="1135" spans="4:47">
      <c r="D1135" s="31"/>
      <c r="E1135" s="31"/>
      <c r="F1135" s="31"/>
      <c r="G1135" s="31"/>
      <c r="H1135" s="32"/>
      <c r="J1135" s="33"/>
      <c r="K1135" s="33"/>
      <c r="L1135" s="33"/>
      <c r="X1135" s="23"/>
      <c r="Y1135" s="23"/>
      <c r="Z1135" s="23"/>
      <c r="AA1135" s="23"/>
      <c r="AF1135" s="23"/>
      <c r="AG1135" s="23"/>
      <c r="AH1135" s="23"/>
      <c r="AI1135" s="23"/>
      <c r="AN1135" s="23"/>
      <c r="AO1135" s="23"/>
      <c r="AP1135" s="23"/>
      <c r="AQ1135" s="23"/>
      <c r="AR1135" s="35"/>
      <c r="AS1135" s="35"/>
      <c r="AT1135" s="35"/>
      <c r="AU1135" s="31"/>
    </row>
    <row r="1136" spans="4:47">
      <c r="D1136" s="31"/>
      <c r="E1136" s="31"/>
      <c r="F1136" s="31"/>
      <c r="G1136" s="31"/>
      <c r="H1136" s="32"/>
      <c r="J1136" s="33"/>
      <c r="K1136" s="33"/>
      <c r="L1136" s="33"/>
      <c r="X1136" s="23"/>
      <c r="Y1136" s="23"/>
      <c r="Z1136" s="23"/>
      <c r="AA1136" s="23"/>
      <c r="AF1136" s="23"/>
      <c r="AG1136" s="23"/>
      <c r="AH1136" s="23"/>
      <c r="AI1136" s="23"/>
      <c r="AN1136" s="23"/>
      <c r="AO1136" s="23"/>
      <c r="AP1136" s="23"/>
      <c r="AQ1136" s="23"/>
      <c r="AR1136" s="35"/>
      <c r="AS1136" s="35"/>
      <c r="AT1136" s="35"/>
      <c r="AU1136" s="31"/>
    </row>
    <row r="1137" spans="4:47">
      <c r="D1137" s="31"/>
      <c r="E1137" s="31"/>
      <c r="F1137" s="31"/>
      <c r="G1137" s="31"/>
      <c r="H1137" s="32"/>
      <c r="J1137" s="33"/>
      <c r="K1137" s="33"/>
      <c r="L1137" s="33"/>
      <c r="X1137" s="23"/>
      <c r="Y1137" s="23"/>
      <c r="Z1137" s="23"/>
      <c r="AA1137" s="23"/>
      <c r="AF1137" s="23"/>
      <c r="AG1137" s="23"/>
      <c r="AH1137" s="23"/>
      <c r="AI1137" s="23"/>
      <c r="AN1137" s="23"/>
      <c r="AO1137" s="23"/>
      <c r="AP1137" s="23"/>
      <c r="AQ1137" s="23"/>
      <c r="AR1137" s="35"/>
      <c r="AS1137" s="35"/>
      <c r="AT1137" s="35"/>
      <c r="AU1137" s="31"/>
    </row>
    <row r="1138" spans="4:47">
      <c r="D1138" s="31"/>
      <c r="E1138" s="31"/>
      <c r="F1138" s="31"/>
      <c r="G1138" s="31"/>
      <c r="H1138" s="32"/>
      <c r="J1138" s="33"/>
      <c r="K1138" s="33"/>
      <c r="L1138" s="33"/>
      <c r="X1138" s="23"/>
      <c r="Y1138" s="23"/>
      <c r="Z1138" s="23"/>
      <c r="AA1138" s="23"/>
      <c r="AF1138" s="23"/>
      <c r="AG1138" s="23"/>
      <c r="AH1138" s="23"/>
      <c r="AI1138" s="23"/>
      <c r="AN1138" s="23"/>
      <c r="AO1138" s="23"/>
      <c r="AP1138" s="23"/>
      <c r="AQ1138" s="23"/>
      <c r="AR1138" s="35"/>
      <c r="AS1138" s="35"/>
      <c r="AT1138" s="35"/>
      <c r="AU1138" s="31"/>
    </row>
    <row r="1139" spans="4:47">
      <c r="D1139" s="31"/>
      <c r="E1139" s="31"/>
      <c r="F1139" s="31"/>
      <c r="G1139" s="31"/>
      <c r="H1139" s="32"/>
      <c r="J1139" s="33"/>
      <c r="K1139" s="33"/>
      <c r="L1139" s="33"/>
      <c r="X1139" s="23"/>
      <c r="Y1139" s="23"/>
      <c r="Z1139" s="23"/>
      <c r="AA1139" s="23"/>
      <c r="AF1139" s="23"/>
      <c r="AG1139" s="23"/>
      <c r="AH1139" s="23"/>
      <c r="AI1139" s="23"/>
      <c r="AN1139" s="23"/>
      <c r="AO1139" s="23"/>
      <c r="AP1139" s="23"/>
      <c r="AQ1139" s="23"/>
      <c r="AR1139" s="35"/>
      <c r="AS1139" s="35"/>
      <c r="AT1139" s="35"/>
      <c r="AU1139" s="31"/>
    </row>
    <row r="1140" spans="4:47">
      <c r="D1140" s="31"/>
      <c r="E1140" s="31"/>
      <c r="F1140" s="31"/>
      <c r="G1140" s="31"/>
      <c r="H1140" s="32"/>
      <c r="J1140" s="33"/>
      <c r="K1140" s="33"/>
      <c r="L1140" s="33"/>
      <c r="X1140" s="23"/>
      <c r="Y1140" s="23"/>
      <c r="Z1140" s="23"/>
      <c r="AA1140" s="23"/>
      <c r="AF1140" s="23"/>
      <c r="AG1140" s="23"/>
      <c r="AH1140" s="23"/>
      <c r="AI1140" s="23"/>
      <c r="AN1140" s="23"/>
      <c r="AO1140" s="23"/>
      <c r="AP1140" s="23"/>
      <c r="AQ1140" s="23"/>
      <c r="AR1140" s="35"/>
      <c r="AS1140" s="35"/>
      <c r="AT1140" s="35"/>
      <c r="AU1140" s="31"/>
    </row>
    <row r="1141" spans="4:47">
      <c r="D1141" s="31"/>
      <c r="E1141" s="31"/>
      <c r="F1141" s="31"/>
      <c r="G1141" s="31"/>
      <c r="H1141" s="32"/>
      <c r="J1141" s="33"/>
      <c r="K1141" s="33"/>
      <c r="L1141" s="33"/>
      <c r="X1141" s="23"/>
      <c r="Y1141" s="23"/>
      <c r="Z1141" s="23"/>
      <c r="AA1141" s="23"/>
      <c r="AF1141" s="23"/>
      <c r="AG1141" s="23"/>
      <c r="AH1141" s="23"/>
      <c r="AI1141" s="23"/>
      <c r="AN1141" s="23"/>
      <c r="AO1141" s="23"/>
      <c r="AP1141" s="23"/>
      <c r="AQ1141" s="23"/>
      <c r="AR1141" s="35"/>
      <c r="AS1141" s="35"/>
      <c r="AT1141" s="35"/>
      <c r="AU1141" s="31"/>
    </row>
    <row r="1142" spans="4:47">
      <c r="D1142" s="31"/>
      <c r="E1142" s="31"/>
      <c r="F1142" s="31"/>
      <c r="G1142" s="31"/>
      <c r="H1142" s="32"/>
      <c r="J1142" s="33"/>
      <c r="K1142" s="33"/>
      <c r="L1142" s="33"/>
      <c r="X1142" s="23"/>
      <c r="Y1142" s="23"/>
      <c r="Z1142" s="23"/>
      <c r="AA1142" s="23"/>
      <c r="AF1142" s="23"/>
      <c r="AG1142" s="23"/>
      <c r="AH1142" s="23"/>
      <c r="AI1142" s="23"/>
      <c r="AN1142" s="23"/>
      <c r="AO1142" s="23"/>
      <c r="AP1142" s="23"/>
      <c r="AQ1142" s="23"/>
      <c r="AR1142" s="35"/>
      <c r="AS1142" s="35"/>
      <c r="AT1142" s="35"/>
      <c r="AU1142" s="31"/>
    </row>
    <row r="1143" spans="4:47">
      <c r="D1143" s="31"/>
      <c r="E1143" s="31"/>
      <c r="F1143" s="31"/>
      <c r="G1143" s="31"/>
      <c r="H1143" s="32"/>
      <c r="J1143" s="33"/>
      <c r="K1143" s="33"/>
      <c r="L1143" s="33"/>
      <c r="X1143" s="23"/>
      <c r="Y1143" s="23"/>
      <c r="Z1143" s="23"/>
      <c r="AA1143" s="23"/>
      <c r="AF1143" s="23"/>
      <c r="AG1143" s="23"/>
      <c r="AH1143" s="23"/>
      <c r="AI1143" s="23"/>
      <c r="AN1143" s="23"/>
      <c r="AO1143" s="23"/>
      <c r="AP1143" s="23"/>
      <c r="AQ1143" s="23"/>
      <c r="AR1143" s="35"/>
      <c r="AS1143" s="35"/>
      <c r="AT1143" s="35"/>
      <c r="AU1143" s="31"/>
    </row>
    <row r="1144" spans="4:47">
      <c r="D1144" s="31"/>
      <c r="E1144" s="31"/>
      <c r="F1144" s="31"/>
      <c r="G1144" s="31"/>
      <c r="H1144" s="32"/>
      <c r="J1144" s="33"/>
      <c r="K1144" s="33"/>
      <c r="L1144" s="33"/>
      <c r="X1144" s="23"/>
      <c r="Y1144" s="23"/>
      <c r="Z1144" s="23"/>
      <c r="AA1144" s="23"/>
      <c r="AF1144" s="23"/>
      <c r="AG1144" s="23"/>
      <c r="AH1144" s="23"/>
      <c r="AI1144" s="23"/>
      <c r="AN1144" s="23"/>
      <c r="AO1144" s="23"/>
      <c r="AP1144" s="23"/>
      <c r="AQ1144" s="23"/>
      <c r="AR1144" s="35"/>
      <c r="AS1144" s="35"/>
      <c r="AT1144" s="35"/>
      <c r="AU1144" s="31"/>
    </row>
    <row r="1145" spans="4:47">
      <c r="D1145" s="31"/>
      <c r="E1145" s="31"/>
      <c r="F1145" s="31"/>
      <c r="G1145" s="31"/>
      <c r="H1145" s="32"/>
      <c r="J1145" s="33"/>
      <c r="K1145" s="33"/>
      <c r="L1145" s="33"/>
      <c r="X1145" s="23"/>
      <c r="Y1145" s="23"/>
      <c r="Z1145" s="23"/>
      <c r="AA1145" s="23"/>
      <c r="AF1145" s="23"/>
      <c r="AG1145" s="23"/>
      <c r="AH1145" s="23"/>
      <c r="AI1145" s="23"/>
      <c r="AN1145" s="23"/>
      <c r="AO1145" s="23"/>
      <c r="AP1145" s="23"/>
      <c r="AQ1145" s="23"/>
      <c r="AR1145" s="35"/>
      <c r="AS1145" s="35"/>
      <c r="AT1145" s="35"/>
      <c r="AU1145" s="31"/>
    </row>
    <row r="1146" spans="4:47">
      <c r="D1146" s="31"/>
      <c r="E1146" s="31"/>
      <c r="F1146" s="31"/>
      <c r="G1146" s="31"/>
      <c r="H1146" s="32"/>
      <c r="J1146" s="33"/>
      <c r="K1146" s="33"/>
      <c r="L1146" s="33"/>
      <c r="X1146" s="23"/>
      <c r="Y1146" s="23"/>
      <c r="Z1146" s="23"/>
      <c r="AA1146" s="23"/>
      <c r="AF1146" s="23"/>
      <c r="AG1146" s="23"/>
      <c r="AH1146" s="23"/>
      <c r="AI1146" s="23"/>
      <c r="AN1146" s="23"/>
      <c r="AO1146" s="23"/>
      <c r="AP1146" s="23"/>
      <c r="AQ1146" s="23"/>
      <c r="AR1146" s="35"/>
      <c r="AS1146" s="35"/>
      <c r="AT1146" s="35"/>
      <c r="AU1146" s="31"/>
    </row>
    <row r="1147" spans="4:47">
      <c r="D1147" s="31"/>
      <c r="E1147" s="31"/>
      <c r="F1147" s="31"/>
      <c r="G1147" s="31"/>
      <c r="H1147" s="32"/>
      <c r="J1147" s="33"/>
      <c r="K1147" s="33"/>
      <c r="L1147" s="33"/>
      <c r="X1147" s="23"/>
      <c r="Y1147" s="23"/>
      <c r="Z1147" s="23"/>
      <c r="AA1147" s="23"/>
      <c r="AF1147" s="23"/>
      <c r="AG1147" s="23"/>
      <c r="AH1147" s="23"/>
      <c r="AI1147" s="23"/>
      <c r="AN1147" s="23"/>
      <c r="AO1147" s="23"/>
      <c r="AP1147" s="23"/>
      <c r="AQ1147" s="23"/>
      <c r="AR1147" s="35"/>
      <c r="AS1147" s="35"/>
      <c r="AT1147" s="35"/>
      <c r="AU1147" s="31"/>
    </row>
    <row r="1148" spans="4:47">
      <c r="D1148" s="31"/>
      <c r="E1148" s="31"/>
      <c r="F1148" s="31"/>
      <c r="G1148" s="31"/>
      <c r="H1148" s="32"/>
      <c r="J1148" s="33"/>
      <c r="K1148" s="33"/>
      <c r="L1148" s="33"/>
      <c r="X1148" s="23"/>
      <c r="Y1148" s="23"/>
      <c r="Z1148" s="23"/>
      <c r="AA1148" s="23"/>
      <c r="AF1148" s="23"/>
      <c r="AG1148" s="23"/>
      <c r="AH1148" s="23"/>
      <c r="AI1148" s="23"/>
      <c r="AN1148" s="23"/>
      <c r="AO1148" s="23"/>
      <c r="AP1148" s="23"/>
      <c r="AQ1148" s="23"/>
      <c r="AR1148" s="35"/>
      <c r="AS1148" s="35"/>
      <c r="AT1148" s="35"/>
      <c r="AU1148" s="31"/>
    </row>
    <row r="1149" spans="4:47">
      <c r="D1149" s="31"/>
      <c r="E1149" s="31"/>
      <c r="F1149" s="31"/>
      <c r="G1149" s="31"/>
      <c r="H1149" s="32"/>
      <c r="J1149" s="33"/>
      <c r="K1149" s="33"/>
      <c r="L1149" s="33"/>
      <c r="X1149" s="23"/>
      <c r="Y1149" s="23"/>
      <c r="Z1149" s="23"/>
      <c r="AA1149" s="23"/>
      <c r="AF1149" s="23"/>
      <c r="AG1149" s="23"/>
      <c r="AH1149" s="23"/>
      <c r="AI1149" s="23"/>
      <c r="AN1149" s="23"/>
      <c r="AO1149" s="23"/>
      <c r="AP1149" s="23"/>
      <c r="AQ1149" s="23"/>
      <c r="AR1149" s="35"/>
      <c r="AS1149" s="35"/>
      <c r="AT1149" s="35"/>
      <c r="AU1149" s="31"/>
    </row>
    <row r="1150" spans="4:47">
      <c r="D1150" s="31"/>
      <c r="E1150" s="31"/>
      <c r="F1150" s="31"/>
      <c r="G1150" s="31"/>
      <c r="H1150" s="32"/>
      <c r="J1150" s="33"/>
      <c r="K1150" s="33"/>
      <c r="L1150" s="33"/>
      <c r="X1150" s="23"/>
      <c r="Y1150" s="23"/>
      <c r="Z1150" s="23"/>
      <c r="AA1150" s="23"/>
      <c r="AF1150" s="23"/>
      <c r="AG1150" s="23"/>
      <c r="AH1150" s="23"/>
      <c r="AI1150" s="23"/>
      <c r="AN1150" s="23"/>
      <c r="AO1150" s="23"/>
      <c r="AP1150" s="23"/>
      <c r="AQ1150" s="23"/>
      <c r="AR1150" s="35"/>
      <c r="AS1150" s="35"/>
      <c r="AT1150" s="35"/>
      <c r="AU1150" s="31"/>
    </row>
    <row r="1151" spans="4:47">
      <c r="D1151" s="31"/>
      <c r="E1151" s="31"/>
      <c r="F1151" s="31"/>
      <c r="G1151" s="31"/>
      <c r="H1151" s="32"/>
      <c r="J1151" s="33"/>
      <c r="K1151" s="33"/>
      <c r="L1151" s="33"/>
      <c r="X1151" s="23"/>
      <c r="Y1151" s="23"/>
      <c r="Z1151" s="23"/>
      <c r="AA1151" s="23"/>
      <c r="AF1151" s="23"/>
      <c r="AG1151" s="23"/>
      <c r="AH1151" s="23"/>
      <c r="AI1151" s="23"/>
      <c r="AN1151" s="23"/>
      <c r="AO1151" s="23"/>
      <c r="AP1151" s="23"/>
      <c r="AQ1151" s="23"/>
      <c r="AR1151" s="35"/>
      <c r="AS1151" s="35"/>
      <c r="AT1151" s="35"/>
      <c r="AU1151" s="31"/>
    </row>
    <row r="1152" spans="4:47">
      <c r="D1152" s="31"/>
      <c r="E1152" s="31"/>
      <c r="F1152" s="31"/>
      <c r="G1152" s="31"/>
      <c r="H1152" s="32"/>
      <c r="J1152" s="33"/>
      <c r="K1152" s="33"/>
      <c r="L1152" s="33"/>
      <c r="X1152" s="23"/>
      <c r="Y1152" s="23"/>
      <c r="Z1152" s="23"/>
      <c r="AA1152" s="23"/>
      <c r="AF1152" s="23"/>
      <c r="AG1152" s="23"/>
      <c r="AH1152" s="23"/>
      <c r="AI1152" s="23"/>
      <c r="AN1152" s="23"/>
      <c r="AO1152" s="23"/>
      <c r="AP1152" s="23"/>
      <c r="AQ1152" s="23"/>
      <c r="AR1152" s="35"/>
      <c r="AS1152" s="35"/>
      <c r="AT1152" s="35"/>
      <c r="AU1152" s="31"/>
    </row>
    <row r="1153" spans="4:47">
      <c r="D1153" s="31"/>
      <c r="E1153" s="31"/>
      <c r="F1153" s="31"/>
      <c r="G1153" s="31"/>
      <c r="H1153" s="32"/>
      <c r="J1153" s="33"/>
      <c r="K1153" s="33"/>
      <c r="L1153" s="33"/>
      <c r="X1153" s="23"/>
      <c r="Y1153" s="23"/>
      <c r="Z1153" s="23"/>
      <c r="AA1153" s="23"/>
      <c r="AF1153" s="23"/>
      <c r="AG1153" s="23"/>
      <c r="AH1153" s="23"/>
      <c r="AI1153" s="23"/>
      <c r="AN1153" s="23"/>
      <c r="AO1153" s="23"/>
      <c r="AP1153" s="23"/>
      <c r="AQ1153" s="23"/>
      <c r="AR1153" s="35"/>
      <c r="AS1153" s="35"/>
      <c r="AT1153" s="35"/>
      <c r="AU1153" s="31"/>
    </row>
    <row r="1154" spans="4:47">
      <c r="D1154" s="31"/>
      <c r="E1154" s="31"/>
      <c r="F1154" s="31"/>
      <c r="G1154" s="31"/>
      <c r="H1154" s="32"/>
      <c r="J1154" s="33"/>
      <c r="K1154" s="33"/>
      <c r="L1154" s="33"/>
      <c r="X1154" s="23"/>
      <c r="Y1154" s="23"/>
      <c r="Z1154" s="23"/>
      <c r="AA1154" s="23"/>
      <c r="AF1154" s="23"/>
      <c r="AG1154" s="23"/>
      <c r="AH1154" s="23"/>
      <c r="AI1154" s="23"/>
      <c r="AN1154" s="23"/>
      <c r="AO1154" s="23"/>
      <c r="AP1154" s="23"/>
      <c r="AQ1154" s="23"/>
      <c r="AR1154" s="35"/>
      <c r="AS1154" s="35"/>
      <c r="AT1154" s="35"/>
      <c r="AU1154" s="31"/>
    </row>
    <row r="1155" spans="4:47">
      <c r="D1155" s="31"/>
      <c r="E1155" s="31"/>
      <c r="F1155" s="31"/>
      <c r="G1155" s="31"/>
      <c r="H1155" s="32"/>
      <c r="J1155" s="33"/>
      <c r="K1155" s="33"/>
      <c r="L1155" s="33"/>
      <c r="X1155" s="23"/>
      <c r="Y1155" s="23"/>
      <c r="Z1155" s="23"/>
      <c r="AA1155" s="23"/>
      <c r="AF1155" s="23"/>
      <c r="AG1155" s="23"/>
      <c r="AH1155" s="23"/>
      <c r="AI1155" s="23"/>
      <c r="AN1155" s="23"/>
      <c r="AO1155" s="23"/>
      <c r="AP1155" s="23"/>
      <c r="AQ1155" s="23"/>
      <c r="AR1155" s="35"/>
      <c r="AS1155" s="35"/>
      <c r="AT1155" s="35"/>
      <c r="AU1155" s="31"/>
    </row>
    <row r="1156" spans="4:47">
      <c r="D1156" s="31"/>
      <c r="E1156" s="31"/>
      <c r="F1156" s="31"/>
      <c r="G1156" s="31"/>
      <c r="H1156" s="32"/>
      <c r="J1156" s="33"/>
      <c r="K1156" s="33"/>
      <c r="L1156" s="33"/>
      <c r="X1156" s="23"/>
      <c r="Y1156" s="23"/>
      <c r="Z1156" s="23"/>
      <c r="AA1156" s="23"/>
      <c r="AF1156" s="23"/>
      <c r="AG1156" s="23"/>
      <c r="AH1156" s="23"/>
      <c r="AI1156" s="23"/>
      <c r="AN1156" s="23"/>
      <c r="AO1156" s="23"/>
      <c r="AP1156" s="23"/>
      <c r="AQ1156" s="23"/>
      <c r="AR1156" s="35"/>
      <c r="AS1156" s="35"/>
      <c r="AT1156" s="35"/>
      <c r="AU1156" s="31"/>
    </row>
    <row r="1157" spans="4:47">
      <c r="D1157" s="31"/>
      <c r="E1157" s="31"/>
      <c r="F1157" s="31"/>
      <c r="G1157" s="31"/>
      <c r="H1157" s="32"/>
      <c r="J1157" s="33"/>
      <c r="K1157" s="33"/>
      <c r="L1157" s="33"/>
      <c r="X1157" s="23"/>
      <c r="Y1157" s="23"/>
      <c r="Z1157" s="23"/>
      <c r="AA1157" s="23"/>
      <c r="AF1157" s="23"/>
      <c r="AG1157" s="23"/>
      <c r="AH1157" s="23"/>
      <c r="AI1157" s="23"/>
      <c r="AN1157" s="23"/>
      <c r="AO1157" s="23"/>
      <c r="AP1157" s="23"/>
      <c r="AQ1157" s="23"/>
      <c r="AR1157" s="35"/>
      <c r="AS1157" s="35"/>
      <c r="AT1157" s="35"/>
      <c r="AU1157" s="31"/>
    </row>
    <row r="1158" spans="4:47">
      <c r="D1158" s="31"/>
      <c r="E1158" s="31"/>
      <c r="F1158" s="31"/>
      <c r="G1158" s="31"/>
      <c r="H1158" s="32"/>
      <c r="J1158" s="33"/>
      <c r="K1158" s="33"/>
      <c r="L1158" s="33"/>
      <c r="X1158" s="23"/>
      <c r="Y1158" s="23"/>
      <c r="Z1158" s="23"/>
      <c r="AA1158" s="23"/>
      <c r="AF1158" s="23"/>
      <c r="AG1158" s="23"/>
      <c r="AH1158" s="23"/>
      <c r="AI1158" s="23"/>
      <c r="AN1158" s="23"/>
      <c r="AO1158" s="23"/>
      <c r="AP1158" s="23"/>
      <c r="AQ1158" s="23"/>
      <c r="AR1158" s="35"/>
      <c r="AS1158" s="35"/>
      <c r="AT1158" s="35"/>
      <c r="AU1158" s="31"/>
    </row>
    <row r="1159" spans="4:47">
      <c r="D1159" s="31"/>
      <c r="E1159" s="31"/>
      <c r="F1159" s="31"/>
      <c r="G1159" s="31"/>
      <c r="H1159" s="32"/>
      <c r="J1159" s="33"/>
      <c r="K1159" s="33"/>
      <c r="L1159" s="33"/>
      <c r="X1159" s="23"/>
      <c r="Y1159" s="23"/>
      <c r="Z1159" s="23"/>
      <c r="AA1159" s="23"/>
      <c r="AF1159" s="23"/>
      <c r="AG1159" s="23"/>
      <c r="AH1159" s="23"/>
      <c r="AI1159" s="23"/>
      <c r="AN1159" s="23"/>
      <c r="AO1159" s="23"/>
      <c r="AP1159" s="23"/>
      <c r="AQ1159" s="23"/>
      <c r="AR1159" s="35"/>
      <c r="AS1159" s="35"/>
      <c r="AT1159" s="35"/>
      <c r="AU1159" s="31"/>
    </row>
    <row r="1160" spans="4:47">
      <c r="D1160" s="31"/>
      <c r="E1160" s="31"/>
      <c r="F1160" s="31"/>
      <c r="G1160" s="31"/>
      <c r="H1160" s="32"/>
      <c r="J1160" s="33"/>
      <c r="K1160" s="33"/>
      <c r="L1160" s="33"/>
      <c r="X1160" s="23"/>
      <c r="Y1160" s="23"/>
      <c r="Z1160" s="23"/>
      <c r="AA1160" s="23"/>
      <c r="AF1160" s="23"/>
      <c r="AG1160" s="23"/>
      <c r="AH1160" s="23"/>
      <c r="AI1160" s="23"/>
      <c r="AN1160" s="23"/>
      <c r="AO1160" s="23"/>
      <c r="AP1160" s="23"/>
      <c r="AQ1160" s="23"/>
      <c r="AR1160" s="35"/>
      <c r="AS1160" s="35"/>
      <c r="AT1160" s="35"/>
      <c r="AU1160" s="31"/>
    </row>
    <row r="1161" spans="4:47">
      <c r="D1161" s="31"/>
      <c r="E1161" s="31"/>
      <c r="F1161" s="31"/>
      <c r="G1161" s="31"/>
      <c r="H1161" s="32"/>
      <c r="J1161" s="33"/>
      <c r="K1161" s="33"/>
      <c r="L1161" s="33"/>
      <c r="X1161" s="23"/>
      <c r="Y1161" s="23"/>
      <c r="Z1161" s="23"/>
      <c r="AA1161" s="23"/>
      <c r="AF1161" s="23"/>
      <c r="AG1161" s="23"/>
      <c r="AH1161" s="23"/>
      <c r="AI1161" s="23"/>
      <c r="AN1161" s="23"/>
      <c r="AO1161" s="23"/>
      <c r="AP1161" s="23"/>
      <c r="AQ1161" s="23"/>
      <c r="AR1161" s="35"/>
      <c r="AS1161" s="35"/>
      <c r="AT1161" s="35"/>
      <c r="AU1161" s="31"/>
    </row>
    <row r="1162" spans="4:47">
      <c r="D1162" s="31"/>
      <c r="E1162" s="31"/>
      <c r="F1162" s="31"/>
      <c r="G1162" s="31"/>
      <c r="H1162" s="32"/>
      <c r="J1162" s="33"/>
      <c r="K1162" s="33"/>
      <c r="L1162" s="33"/>
      <c r="X1162" s="23"/>
      <c r="Y1162" s="23"/>
      <c r="Z1162" s="23"/>
      <c r="AA1162" s="23"/>
      <c r="AF1162" s="23"/>
      <c r="AG1162" s="23"/>
      <c r="AH1162" s="23"/>
      <c r="AI1162" s="23"/>
      <c r="AN1162" s="23"/>
      <c r="AO1162" s="23"/>
      <c r="AP1162" s="23"/>
      <c r="AQ1162" s="23"/>
      <c r="AR1162" s="35"/>
      <c r="AS1162" s="35"/>
      <c r="AT1162" s="35"/>
      <c r="AU1162" s="31"/>
    </row>
    <row r="1163" spans="4:47">
      <c r="D1163" s="31"/>
      <c r="E1163" s="31"/>
      <c r="F1163" s="31"/>
      <c r="G1163" s="31"/>
      <c r="H1163" s="32"/>
      <c r="J1163" s="33"/>
      <c r="K1163" s="33"/>
      <c r="L1163" s="33"/>
      <c r="X1163" s="23"/>
      <c r="Y1163" s="23"/>
      <c r="Z1163" s="23"/>
      <c r="AA1163" s="23"/>
      <c r="AF1163" s="23"/>
      <c r="AG1163" s="23"/>
      <c r="AH1163" s="23"/>
      <c r="AI1163" s="23"/>
      <c r="AN1163" s="23"/>
      <c r="AO1163" s="23"/>
      <c r="AP1163" s="23"/>
      <c r="AQ1163" s="23"/>
      <c r="AR1163" s="35"/>
      <c r="AS1163" s="35"/>
      <c r="AT1163" s="35"/>
      <c r="AU1163" s="31"/>
    </row>
    <row r="1164" spans="4:47">
      <c r="D1164" s="31"/>
      <c r="E1164" s="31"/>
      <c r="F1164" s="31"/>
      <c r="G1164" s="31"/>
      <c r="H1164" s="32"/>
      <c r="J1164" s="33"/>
      <c r="K1164" s="33"/>
      <c r="L1164" s="33"/>
      <c r="X1164" s="23"/>
      <c r="Y1164" s="23"/>
      <c r="Z1164" s="23"/>
      <c r="AA1164" s="23"/>
      <c r="AF1164" s="23"/>
      <c r="AG1164" s="23"/>
      <c r="AH1164" s="23"/>
      <c r="AI1164" s="23"/>
      <c r="AN1164" s="23"/>
      <c r="AO1164" s="23"/>
      <c r="AP1164" s="23"/>
      <c r="AQ1164" s="23"/>
      <c r="AR1164" s="35"/>
      <c r="AS1164" s="35"/>
      <c r="AT1164" s="35"/>
      <c r="AU1164" s="31"/>
    </row>
    <row r="1165" spans="4:47">
      <c r="D1165" s="31"/>
      <c r="E1165" s="31"/>
      <c r="F1165" s="31"/>
      <c r="G1165" s="31"/>
      <c r="H1165" s="32"/>
      <c r="J1165" s="33"/>
      <c r="K1165" s="33"/>
      <c r="L1165" s="33"/>
      <c r="X1165" s="23"/>
      <c r="Y1165" s="23"/>
      <c r="Z1165" s="23"/>
      <c r="AA1165" s="23"/>
      <c r="AF1165" s="23"/>
      <c r="AG1165" s="23"/>
      <c r="AH1165" s="23"/>
      <c r="AI1165" s="23"/>
      <c r="AN1165" s="23"/>
      <c r="AO1165" s="23"/>
      <c r="AP1165" s="23"/>
      <c r="AQ1165" s="23"/>
      <c r="AR1165" s="35"/>
      <c r="AS1165" s="35"/>
      <c r="AT1165" s="35"/>
      <c r="AU1165" s="31"/>
    </row>
    <row r="1166" spans="4:47">
      <c r="D1166" s="31"/>
      <c r="E1166" s="31"/>
      <c r="F1166" s="31"/>
      <c r="G1166" s="31"/>
      <c r="H1166" s="32"/>
      <c r="J1166" s="33"/>
      <c r="K1166" s="33"/>
      <c r="L1166" s="33"/>
      <c r="X1166" s="23"/>
      <c r="Y1166" s="23"/>
      <c r="Z1166" s="23"/>
      <c r="AA1166" s="23"/>
      <c r="AF1166" s="23"/>
      <c r="AG1166" s="23"/>
      <c r="AH1166" s="23"/>
      <c r="AI1166" s="23"/>
      <c r="AN1166" s="23"/>
      <c r="AO1166" s="23"/>
      <c r="AP1166" s="23"/>
      <c r="AQ1166" s="23"/>
      <c r="AR1166" s="35"/>
      <c r="AS1166" s="35"/>
      <c r="AT1166" s="35"/>
      <c r="AU1166" s="31"/>
    </row>
    <row r="1167" spans="4:47">
      <c r="D1167" s="31"/>
      <c r="E1167" s="31"/>
      <c r="F1167" s="31"/>
      <c r="G1167" s="31"/>
      <c r="H1167" s="32"/>
      <c r="J1167" s="33"/>
      <c r="K1167" s="33"/>
      <c r="L1167" s="33"/>
      <c r="X1167" s="23"/>
      <c r="Y1167" s="23"/>
      <c r="Z1167" s="23"/>
      <c r="AA1167" s="23"/>
      <c r="AF1167" s="23"/>
      <c r="AG1167" s="23"/>
      <c r="AH1167" s="23"/>
      <c r="AI1167" s="23"/>
      <c r="AN1167" s="23"/>
      <c r="AO1167" s="23"/>
      <c r="AP1167" s="23"/>
      <c r="AQ1167" s="23"/>
      <c r="AR1167" s="35"/>
      <c r="AS1167" s="35"/>
      <c r="AT1167" s="35"/>
      <c r="AU1167" s="31"/>
    </row>
    <row r="1168" spans="4:47">
      <c r="D1168" s="31"/>
      <c r="E1168" s="31"/>
      <c r="F1168" s="31"/>
      <c r="G1168" s="31"/>
      <c r="H1168" s="32"/>
      <c r="J1168" s="33"/>
      <c r="K1168" s="33"/>
      <c r="L1168" s="33"/>
      <c r="X1168" s="23"/>
      <c r="Y1168" s="23"/>
      <c r="Z1168" s="23"/>
      <c r="AA1168" s="23"/>
      <c r="AF1168" s="23"/>
      <c r="AG1168" s="23"/>
      <c r="AH1168" s="23"/>
      <c r="AI1168" s="23"/>
      <c r="AN1168" s="23"/>
      <c r="AO1168" s="23"/>
      <c r="AP1168" s="23"/>
      <c r="AQ1168" s="23"/>
      <c r="AR1168" s="35"/>
      <c r="AS1168" s="35"/>
      <c r="AT1168" s="35"/>
      <c r="AU1168" s="31"/>
    </row>
    <row r="1169" spans="4:47">
      <c r="D1169" s="31"/>
      <c r="E1169" s="31"/>
      <c r="F1169" s="31"/>
      <c r="G1169" s="31"/>
      <c r="H1169" s="32"/>
      <c r="J1169" s="33"/>
      <c r="K1169" s="33"/>
      <c r="L1169" s="33"/>
      <c r="X1169" s="23"/>
      <c r="Y1169" s="23"/>
      <c r="Z1169" s="23"/>
      <c r="AA1169" s="23"/>
      <c r="AF1169" s="23"/>
      <c r="AG1169" s="23"/>
      <c r="AH1169" s="23"/>
      <c r="AI1169" s="23"/>
      <c r="AN1169" s="23"/>
      <c r="AO1169" s="23"/>
      <c r="AP1169" s="23"/>
      <c r="AQ1169" s="23"/>
      <c r="AR1169" s="35"/>
      <c r="AS1169" s="35"/>
      <c r="AT1169" s="35"/>
      <c r="AU1169" s="31"/>
    </row>
    <row r="1170" spans="4:47">
      <c r="D1170" s="31"/>
      <c r="E1170" s="31"/>
      <c r="F1170" s="31"/>
      <c r="G1170" s="31"/>
      <c r="H1170" s="32"/>
      <c r="J1170" s="33"/>
      <c r="K1170" s="33"/>
      <c r="L1170" s="33"/>
      <c r="X1170" s="23"/>
      <c r="Y1170" s="23"/>
      <c r="Z1170" s="23"/>
      <c r="AA1170" s="23"/>
      <c r="AF1170" s="23"/>
      <c r="AG1170" s="23"/>
      <c r="AH1170" s="23"/>
      <c r="AI1170" s="23"/>
      <c r="AN1170" s="23"/>
      <c r="AO1170" s="23"/>
      <c r="AP1170" s="23"/>
      <c r="AQ1170" s="23"/>
      <c r="AR1170" s="35"/>
      <c r="AS1170" s="35"/>
      <c r="AT1170" s="35"/>
      <c r="AU1170" s="31"/>
    </row>
    <row r="1171" spans="4:47">
      <c r="D1171" s="31"/>
      <c r="E1171" s="31"/>
      <c r="F1171" s="31"/>
      <c r="G1171" s="31"/>
      <c r="H1171" s="32"/>
      <c r="J1171" s="33"/>
      <c r="K1171" s="33"/>
      <c r="L1171" s="33"/>
      <c r="X1171" s="23"/>
      <c r="Y1171" s="23"/>
      <c r="Z1171" s="23"/>
      <c r="AA1171" s="23"/>
      <c r="AF1171" s="23"/>
      <c r="AG1171" s="23"/>
      <c r="AH1171" s="23"/>
      <c r="AI1171" s="23"/>
      <c r="AN1171" s="23"/>
      <c r="AO1171" s="23"/>
      <c r="AP1171" s="23"/>
      <c r="AQ1171" s="23"/>
      <c r="AR1171" s="35"/>
      <c r="AS1171" s="35"/>
      <c r="AT1171" s="35"/>
      <c r="AU1171" s="31"/>
    </row>
    <row r="1172" spans="4:47">
      <c r="D1172" s="31"/>
      <c r="E1172" s="31"/>
      <c r="F1172" s="31"/>
      <c r="G1172" s="31"/>
      <c r="H1172" s="32"/>
      <c r="J1172" s="33"/>
      <c r="K1172" s="33"/>
      <c r="L1172" s="33"/>
      <c r="X1172" s="23"/>
      <c r="Y1172" s="23"/>
      <c r="Z1172" s="23"/>
      <c r="AA1172" s="23"/>
      <c r="AF1172" s="23"/>
      <c r="AG1172" s="23"/>
      <c r="AH1172" s="23"/>
      <c r="AI1172" s="23"/>
      <c r="AN1172" s="23"/>
      <c r="AO1172" s="23"/>
      <c r="AP1172" s="23"/>
      <c r="AQ1172" s="23"/>
      <c r="AR1172" s="35"/>
      <c r="AS1172" s="35"/>
      <c r="AT1172" s="35"/>
      <c r="AU1172" s="31"/>
    </row>
    <row r="1173" spans="4:47">
      <c r="D1173" s="31"/>
      <c r="E1173" s="31"/>
      <c r="F1173" s="31"/>
      <c r="G1173" s="31"/>
      <c r="H1173" s="32"/>
      <c r="J1173" s="33"/>
      <c r="K1173" s="33"/>
      <c r="L1173" s="33"/>
      <c r="X1173" s="23"/>
      <c r="Y1173" s="23"/>
      <c r="Z1173" s="23"/>
      <c r="AA1173" s="23"/>
      <c r="AF1173" s="23"/>
      <c r="AG1173" s="23"/>
      <c r="AH1173" s="23"/>
      <c r="AI1173" s="23"/>
      <c r="AN1173" s="23"/>
      <c r="AO1173" s="23"/>
      <c r="AP1173" s="23"/>
      <c r="AQ1173" s="23"/>
      <c r="AR1173" s="35"/>
      <c r="AS1173" s="35"/>
      <c r="AT1173" s="35"/>
      <c r="AU1173" s="31"/>
    </row>
    <row r="1174" spans="4:47">
      <c r="D1174" s="31"/>
      <c r="E1174" s="31"/>
      <c r="F1174" s="31"/>
      <c r="G1174" s="31"/>
      <c r="H1174" s="32"/>
      <c r="J1174" s="33"/>
      <c r="K1174" s="33"/>
      <c r="L1174" s="33"/>
      <c r="X1174" s="23"/>
      <c r="Y1174" s="23"/>
      <c r="Z1174" s="23"/>
      <c r="AA1174" s="23"/>
      <c r="AF1174" s="23"/>
      <c r="AG1174" s="23"/>
      <c r="AH1174" s="23"/>
      <c r="AI1174" s="23"/>
      <c r="AN1174" s="23"/>
      <c r="AO1174" s="23"/>
      <c r="AP1174" s="23"/>
      <c r="AQ1174" s="23"/>
      <c r="AR1174" s="35"/>
      <c r="AS1174" s="35"/>
      <c r="AT1174" s="35"/>
      <c r="AU1174" s="31"/>
    </row>
    <row r="1175" spans="4:47">
      <c r="D1175" s="31"/>
      <c r="E1175" s="31"/>
      <c r="F1175" s="31"/>
      <c r="G1175" s="31"/>
      <c r="H1175" s="32"/>
      <c r="J1175" s="33"/>
      <c r="K1175" s="33"/>
      <c r="L1175" s="33"/>
      <c r="X1175" s="23"/>
      <c r="Y1175" s="23"/>
      <c r="Z1175" s="23"/>
      <c r="AA1175" s="23"/>
      <c r="AF1175" s="23"/>
      <c r="AG1175" s="23"/>
      <c r="AH1175" s="23"/>
      <c r="AI1175" s="23"/>
      <c r="AN1175" s="23"/>
      <c r="AO1175" s="23"/>
      <c r="AP1175" s="23"/>
      <c r="AQ1175" s="23"/>
      <c r="AR1175" s="35"/>
      <c r="AS1175" s="35"/>
      <c r="AT1175" s="35"/>
      <c r="AU1175" s="31"/>
    </row>
    <row r="1176" spans="4:47">
      <c r="D1176" s="31"/>
      <c r="E1176" s="31"/>
      <c r="F1176" s="31"/>
      <c r="G1176" s="31"/>
      <c r="H1176" s="32"/>
      <c r="J1176" s="33"/>
      <c r="K1176" s="33"/>
      <c r="L1176" s="33"/>
      <c r="X1176" s="23"/>
      <c r="Y1176" s="23"/>
      <c r="Z1176" s="23"/>
      <c r="AA1176" s="23"/>
      <c r="AF1176" s="23"/>
      <c r="AG1176" s="23"/>
      <c r="AH1176" s="23"/>
      <c r="AI1176" s="23"/>
      <c r="AN1176" s="23"/>
      <c r="AO1176" s="23"/>
      <c r="AP1176" s="23"/>
      <c r="AQ1176" s="23"/>
      <c r="AR1176" s="35"/>
      <c r="AS1176" s="35"/>
      <c r="AT1176" s="35"/>
      <c r="AU1176" s="31"/>
    </row>
    <row r="1177" spans="4:47">
      <c r="D1177" s="31"/>
      <c r="E1177" s="31"/>
      <c r="F1177" s="31"/>
      <c r="G1177" s="31"/>
      <c r="H1177" s="32"/>
      <c r="J1177" s="33"/>
      <c r="K1177" s="33"/>
      <c r="L1177" s="33"/>
      <c r="X1177" s="23"/>
      <c r="Y1177" s="23"/>
      <c r="Z1177" s="23"/>
      <c r="AA1177" s="23"/>
      <c r="AF1177" s="23"/>
      <c r="AG1177" s="23"/>
      <c r="AH1177" s="23"/>
      <c r="AI1177" s="23"/>
      <c r="AN1177" s="23"/>
      <c r="AO1177" s="23"/>
      <c r="AP1177" s="23"/>
      <c r="AQ1177" s="23"/>
      <c r="AR1177" s="35"/>
      <c r="AS1177" s="35"/>
      <c r="AT1177" s="35"/>
      <c r="AU1177" s="31"/>
    </row>
    <row r="1178" spans="4:47">
      <c r="D1178" s="31"/>
      <c r="E1178" s="31"/>
      <c r="F1178" s="31"/>
      <c r="G1178" s="31"/>
      <c r="H1178" s="32"/>
      <c r="J1178" s="33"/>
      <c r="K1178" s="33"/>
      <c r="L1178" s="33"/>
      <c r="X1178" s="23"/>
      <c r="Y1178" s="23"/>
      <c r="Z1178" s="23"/>
      <c r="AA1178" s="23"/>
      <c r="AF1178" s="23"/>
      <c r="AG1178" s="23"/>
      <c r="AH1178" s="23"/>
      <c r="AI1178" s="23"/>
      <c r="AN1178" s="23"/>
      <c r="AO1178" s="23"/>
      <c r="AP1178" s="23"/>
      <c r="AQ1178" s="23"/>
      <c r="AR1178" s="35"/>
      <c r="AS1178" s="35"/>
      <c r="AT1178" s="35"/>
      <c r="AU1178" s="31"/>
    </row>
    <row r="1179" spans="4:47">
      <c r="D1179" s="31"/>
      <c r="E1179" s="31"/>
      <c r="F1179" s="31"/>
      <c r="G1179" s="31"/>
      <c r="H1179" s="32"/>
      <c r="J1179" s="33"/>
      <c r="K1179" s="33"/>
      <c r="L1179" s="33"/>
      <c r="X1179" s="23"/>
      <c r="Y1179" s="23"/>
      <c r="Z1179" s="23"/>
      <c r="AA1179" s="23"/>
      <c r="AF1179" s="23"/>
      <c r="AG1179" s="23"/>
      <c r="AH1179" s="23"/>
      <c r="AI1179" s="23"/>
      <c r="AN1179" s="23"/>
      <c r="AO1179" s="23"/>
      <c r="AP1179" s="23"/>
      <c r="AQ1179" s="23"/>
      <c r="AR1179" s="35"/>
      <c r="AS1179" s="35"/>
      <c r="AT1179" s="35"/>
      <c r="AU1179" s="31"/>
    </row>
    <row r="1180" spans="4:47">
      <c r="D1180" s="31"/>
      <c r="E1180" s="31"/>
      <c r="F1180" s="31"/>
      <c r="G1180" s="31"/>
      <c r="H1180" s="32"/>
      <c r="J1180" s="33"/>
      <c r="K1180" s="33"/>
      <c r="L1180" s="33"/>
      <c r="X1180" s="23"/>
      <c r="Y1180" s="23"/>
      <c r="Z1180" s="23"/>
      <c r="AA1180" s="23"/>
      <c r="AF1180" s="23"/>
      <c r="AG1180" s="23"/>
      <c r="AH1180" s="23"/>
      <c r="AI1180" s="23"/>
      <c r="AN1180" s="23"/>
      <c r="AO1180" s="23"/>
      <c r="AP1180" s="23"/>
      <c r="AQ1180" s="23"/>
      <c r="AR1180" s="35"/>
      <c r="AS1180" s="35"/>
      <c r="AT1180" s="35"/>
      <c r="AU1180" s="31"/>
    </row>
    <row r="1181" spans="4:47">
      <c r="D1181" s="31"/>
      <c r="E1181" s="31"/>
      <c r="F1181" s="31"/>
      <c r="G1181" s="31"/>
      <c r="H1181" s="32"/>
      <c r="J1181" s="33"/>
      <c r="K1181" s="33"/>
      <c r="L1181" s="33"/>
      <c r="X1181" s="23"/>
      <c r="Y1181" s="23"/>
      <c r="Z1181" s="23"/>
      <c r="AA1181" s="23"/>
      <c r="AF1181" s="23"/>
      <c r="AG1181" s="23"/>
      <c r="AH1181" s="23"/>
      <c r="AI1181" s="23"/>
      <c r="AN1181" s="23"/>
      <c r="AO1181" s="23"/>
      <c r="AP1181" s="23"/>
      <c r="AQ1181" s="23"/>
      <c r="AR1181" s="35"/>
      <c r="AS1181" s="35"/>
      <c r="AT1181" s="35"/>
      <c r="AU1181" s="31"/>
    </row>
    <row r="1182" spans="4:47">
      <c r="D1182" s="31"/>
      <c r="E1182" s="31"/>
      <c r="F1182" s="31"/>
      <c r="G1182" s="31"/>
      <c r="H1182" s="32"/>
      <c r="J1182" s="33"/>
      <c r="K1182" s="33"/>
      <c r="L1182" s="33"/>
      <c r="X1182" s="23"/>
      <c r="Y1182" s="23"/>
      <c r="Z1182" s="23"/>
      <c r="AA1182" s="23"/>
      <c r="AF1182" s="23"/>
      <c r="AG1182" s="23"/>
      <c r="AH1182" s="23"/>
      <c r="AI1182" s="23"/>
      <c r="AN1182" s="23"/>
      <c r="AO1182" s="23"/>
      <c r="AP1182" s="23"/>
      <c r="AQ1182" s="23"/>
      <c r="AR1182" s="35"/>
      <c r="AS1182" s="35"/>
      <c r="AT1182" s="35"/>
      <c r="AU1182" s="31"/>
    </row>
    <row r="1183" spans="4:47">
      <c r="D1183" s="31"/>
      <c r="E1183" s="31"/>
      <c r="F1183" s="31"/>
      <c r="G1183" s="31"/>
      <c r="H1183" s="32"/>
      <c r="J1183" s="33"/>
      <c r="K1183" s="33"/>
      <c r="L1183" s="33"/>
      <c r="X1183" s="23"/>
      <c r="Y1183" s="23"/>
      <c r="Z1183" s="23"/>
      <c r="AA1183" s="23"/>
      <c r="AF1183" s="23"/>
      <c r="AG1183" s="23"/>
      <c r="AH1183" s="23"/>
      <c r="AI1183" s="23"/>
      <c r="AN1183" s="23"/>
      <c r="AO1183" s="23"/>
      <c r="AP1183" s="23"/>
      <c r="AQ1183" s="23"/>
      <c r="AR1183" s="35"/>
      <c r="AS1183" s="35"/>
      <c r="AT1183" s="35"/>
      <c r="AU1183" s="31"/>
    </row>
    <row r="1184" spans="4:47">
      <c r="D1184" s="31"/>
      <c r="E1184" s="31"/>
      <c r="F1184" s="31"/>
      <c r="G1184" s="31"/>
      <c r="H1184" s="32"/>
      <c r="J1184" s="33"/>
      <c r="K1184" s="33"/>
      <c r="L1184" s="33"/>
      <c r="X1184" s="23"/>
      <c r="Y1184" s="23"/>
      <c r="Z1184" s="23"/>
      <c r="AA1184" s="23"/>
      <c r="AF1184" s="23"/>
      <c r="AG1184" s="23"/>
      <c r="AH1184" s="23"/>
      <c r="AI1184" s="23"/>
      <c r="AN1184" s="23"/>
      <c r="AO1184" s="23"/>
      <c r="AP1184" s="23"/>
      <c r="AQ1184" s="23"/>
      <c r="AR1184" s="35"/>
      <c r="AS1184" s="35"/>
      <c r="AT1184" s="35"/>
      <c r="AU1184" s="31"/>
    </row>
    <row r="1185" spans="4:47">
      <c r="D1185" s="31"/>
      <c r="E1185" s="31"/>
      <c r="F1185" s="31"/>
      <c r="G1185" s="31"/>
      <c r="H1185" s="32"/>
      <c r="J1185" s="33"/>
      <c r="K1185" s="33"/>
      <c r="L1185" s="33"/>
      <c r="X1185" s="23"/>
      <c r="Y1185" s="23"/>
      <c r="Z1185" s="23"/>
      <c r="AA1185" s="23"/>
      <c r="AF1185" s="23"/>
      <c r="AG1185" s="23"/>
      <c r="AH1185" s="23"/>
      <c r="AI1185" s="23"/>
      <c r="AN1185" s="23"/>
      <c r="AO1185" s="23"/>
      <c r="AP1185" s="23"/>
      <c r="AQ1185" s="23"/>
      <c r="AR1185" s="35"/>
      <c r="AS1185" s="35"/>
      <c r="AT1185" s="35"/>
      <c r="AU1185" s="31"/>
    </row>
    <row r="1186" spans="4:47">
      <c r="D1186" s="31"/>
      <c r="E1186" s="31"/>
      <c r="F1186" s="31"/>
      <c r="G1186" s="31"/>
      <c r="H1186" s="32"/>
      <c r="J1186" s="33"/>
      <c r="K1186" s="33"/>
      <c r="L1186" s="33"/>
      <c r="X1186" s="23"/>
      <c r="Y1186" s="23"/>
      <c r="Z1186" s="23"/>
      <c r="AA1186" s="23"/>
      <c r="AF1186" s="23"/>
      <c r="AG1186" s="23"/>
      <c r="AH1186" s="23"/>
      <c r="AI1186" s="23"/>
      <c r="AN1186" s="23"/>
      <c r="AO1186" s="23"/>
      <c r="AP1186" s="23"/>
      <c r="AQ1186" s="23"/>
      <c r="AR1186" s="35"/>
      <c r="AS1186" s="35"/>
      <c r="AT1186" s="35"/>
      <c r="AU1186" s="31"/>
    </row>
    <row r="1187" spans="4:47">
      <c r="D1187" s="31"/>
      <c r="E1187" s="31"/>
      <c r="F1187" s="31"/>
      <c r="G1187" s="31"/>
      <c r="H1187" s="32"/>
      <c r="J1187" s="33"/>
      <c r="K1187" s="33"/>
      <c r="L1187" s="33"/>
      <c r="X1187" s="23"/>
      <c r="Y1187" s="23"/>
      <c r="Z1187" s="23"/>
      <c r="AA1187" s="23"/>
      <c r="AF1187" s="23"/>
      <c r="AG1187" s="23"/>
      <c r="AH1187" s="23"/>
      <c r="AI1187" s="23"/>
      <c r="AN1187" s="23"/>
      <c r="AO1187" s="23"/>
      <c r="AP1187" s="23"/>
      <c r="AQ1187" s="23"/>
      <c r="AR1187" s="35"/>
      <c r="AS1187" s="35"/>
      <c r="AT1187" s="35"/>
      <c r="AU1187" s="31"/>
    </row>
    <row r="1188" spans="4:47">
      <c r="D1188" s="31"/>
      <c r="E1188" s="31"/>
      <c r="F1188" s="31"/>
      <c r="G1188" s="31"/>
      <c r="H1188" s="32"/>
      <c r="J1188" s="33"/>
      <c r="K1188" s="33"/>
      <c r="L1188" s="33"/>
      <c r="X1188" s="23"/>
      <c r="Y1188" s="23"/>
      <c r="Z1188" s="23"/>
      <c r="AA1188" s="23"/>
      <c r="AF1188" s="23"/>
      <c r="AG1188" s="23"/>
      <c r="AH1188" s="23"/>
      <c r="AI1188" s="23"/>
      <c r="AN1188" s="23"/>
      <c r="AO1188" s="23"/>
      <c r="AP1188" s="23"/>
      <c r="AQ1188" s="23"/>
      <c r="AR1188" s="35"/>
      <c r="AS1188" s="35"/>
      <c r="AT1188" s="35"/>
      <c r="AU1188" s="31"/>
    </row>
    <row r="1189" spans="4:47">
      <c r="D1189" s="31"/>
      <c r="E1189" s="31"/>
      <c r="F1189" s="31"/>
      <c r="G1189" s="31"/>
      <c r="H1189" s="32"/>
      <c r="J1189" s="33"/>
      <c r="K1189" s="33"/>
      <c r="L1189" s="33"/>
      <c r="X1189" s="23"/>
      <c r="Y1189" s="23"/>
      <c r="Z1189" s="23"/>
      <c r="AA1189" s="23"/>
      <c r="AF1189" s="23"/>
      <c r="AG1189" s="23"/>
      <c r="AH1189" s="23"/>
      <c r="AI1189" s="23"/>
      <c r="AN1189" s="23"/>
      <c r="AO1189" s="23"/>
      <c r="AP1189" s="23"/>
      <c r="AQ1189" s="23"/>
      <c r="AR1189" s="35"/>
      <c r="AS1189" s="35"/>
      <c r="AT1189" s="35"/>
      <c r="AU1189" s="31"/>
    </row>
    <row r="1190" spans="4:47">
      <c r="D1190" s="31"/>
      <c r="E1190" s="31"/>
      <c r="F1190" s="31"/>
      <c r="G1190" s="31"/>
      <c r="H1190" s="32"/>
      <c r="J1190" s="33"/>
      <c r="K1190" s="33"/>
      <c r="L1190" s="33"/>
      <c r="X1190" s="23"/>
      <c r="Y1190" s="23"/>
      <c r="Z1190" s="23"/>
      <c r="AA1190" s="23"/>
      <c r="AF1190" s="23"/>
      <c r="AG1190" s="23"/>
      <c r="AH1190" s="23"/>
      <c r="AI1190" s="23"/>
      <c r="AN1190" s="23"/>
      <c r="AO1190" s="23"/>
      <c r="AP1190" s="23"/>
      <c r="AQ1190" s="23"/>
      <c r="AR1190" s="35"/>
      <c r="AS1190" s="35"/>
      <c r="AT1190" s="35"/>
      <c r="AU1190" s="31"/>
    </row>
    <row r="1191" spans="4:47">
      <c r="D1191" s="31"/>
      <c r="E1191" s="31"/>
      <c r="F1191" s="31"/>
      <c r="G1191" s="31"/>
      <c r="H1191" s="32"/>
      <c r="J1191" s="33"/>
      <c r="K1191" s="33"/>
      <c r="L1191" s="33"/>
      <c r="X1191" s="23"/>
      <c r="Y1191" s="23"/>
      <c r="Z1191" s="23"/>
      <c r="AA1191" s="23"/>
      <c r="AF1191" s="23"/>
      <c r="AG1191" s="23"/>
      <c r="AH1191" s="23"/>
      <c r="AI1191" s="23"/>
      <c r="AN1191" s="23"/>
      <c r="AO1191" s="23"/>
      <c r="AP1191" s="23"/>
      <c r="AQ1191" s="23"/>
      <c r="AR1191" s="35"/>
      <c r="AS1191" s="35"/>
      <c r="AT1191" s="35"/>
      <c r="AU1191" s="31"/>
    </row>
    <row r="1192" spans="4:47">
      <c r="D1192" s="31"/>
      <c r="E1192" s="31"/>
      <c r="F1192" s="31"/>
      <c r="G1192" s="31"/>
      <c r="H1192" s="32"/>
      <c r="J1192" s="33"/>
      <c r="K1192" s="33"/>
      <c r="L1192" s="33"/>
      <c r="X1192" s="23"/>
      <c r="Y1192" s="23"/>
      <c r="Z1192" s="23"/>
      <c r="AA1192" s="23"/>
      <c r="AF1192" s="23"/>
      <c r="AG1192" s="23"/>
      <c r="AH1192" s="23"/>
      <c r="AI1192" s="23"/>
      <c r="AN1192" s="23"/>
      <c r="AO1192" s="23"/>
      <c r="AP1192" s="23"/>
      <c r="AQ1192" s="23"/>
      <c r="AR1192" s="35"/>
      <c r="AS1192" s="35"/>
      <c r="AT1192" s="35"/>
      <c r="AU1192" s="31"/>
    </row>
    <row r="1193" spans="4:47">
      <c r="D1193" s="31"/>
      <c r="E1193" s="31"/>
      <c r="F1193" s="31"/>
      <c r="G1193" s="31"/>
      <c r="H1193" s="32"/>
      <c r="J1193" s="33"/>
      <c r="K1193" s="33"/>
      <c r="L1193" s="33"/>
      <c r="X1193" s="23"/>
      <c r="Y1193" s="23"/>
      <c r="Z1193" s="23"/>
      <c r="AA1193" s="23"/>
      <c r="AF1193" s="23"/>
      <c r="AG1193" s="23"/>
      <c r="AH1193" s="23"/>
      <c r="AI1193" s="23"/>
      <c r="AN1193" s="23"/>
      <c r="AO1193" s="23"/>
      <c r="AP1193" s="23"/>
      <c r="AQ1193" s="23"/>
      <c r="AR1193" s="35"/>
      <c r="AS1193" s="35"/>
      <c r="AT1193" s="35"/>
      <c r="AU1193" s="31"/>
    </row>
    <row r="1194" spans="4:47">
      <c r="D1194" s="31"/>
      <c r="E1194" s="31"/>
      <c r="F1194" s="31"/>
      <c r="G1194" s="31"/>
      <c r="H1194" s="32"/>
      <c r="J1194" s="33"/>
      <c r="K1194" s="33"/>
      <c r="L1194" s="33"/>
      <c r="X1194" s="23"/>
      <c r="Y1194" s="23"/>
      <c r="Z1194" s="23"/>
      <c r="AA1194" s="23"/>
      <c r="AF1194" s="23"/>
      <c r="AG1194" s="23"/>
      <c r="AH1194" s="23"/>
      <c r="AI1194" s="23"/>
      <c r="AN1194" s="23"/>
      <c r="AO1194" s="23"/>
      <c r="AP1194" s="23"/>
      <c r="AQ1194" s="23"/>
      <c r="AR1194" s="35"/>
      <c r="AS1194" s="35"/>
      <c r="AT1194" s="35"/>
      <c r="AU1194" s="31"/>
    </row>
    <row r="1195" spans="4:47">
      <c r="D1195" s="31"/>
      <c r="E1195" s="31"/>
      <c r="F1195" s="31"/>
      <c r="G1195" s="31"/>
      <c r="H1195" s="32"/>
      <c r="J1195" s="33"/>
      <c r="K1195" s="33"/>
      <c r="L1195" s="33"/>
      <c r="X1195" s="23"/>
      <c r="Y1195" s="23"/>
      <c r="Z1195" s="23"/>
      <c r="AA1195" s="23"/>
      <c r="AF1195" s="23"/>
      <c r="AG1195" s="23"/>
      <c r="AH1195" s="23"/>
      <c r="AI1195" s="23"/>
      <c r="AN1195" s="23"/>
      <c r="AO1195" s="23"/>
      <c r="AP1195" s="23"/>
      <c r="AQ1195" s="23"/>
      <c r="AR1195" s="35"/>
      <c r="AS1195" s="35"/>
      <c r="AT1195" s="35"/>
      <c r="AU1195" s="31"/>
    </row>
    <row r="1196" spans="4:47">
      <c r="D1196" s="31"/>
      <c r="E1196" s="31"/>
      <c r="F1196" s="31"/>
      <c r="G1196" s="31"/>
      <c r="H1196" s="32"/>
      <c r="J1196" s="33"/>
      <c r="K1196" s="33"/>
      <c r="L1196" s="33"/>
      <c r="X1196" s="23"/>
      <c r="Y1196" s="23"/>
      <c r="Z1196" s="23"/>
      <c r="AA1196" s="23"/>
      <c r="AF1196" s="23"/>
      <c r="AG1196" s="23"/>
      <c r="AH1196" s="23"/>
      <c r="AI1196" s="23"/>
      <c r="AN1196" s="23"/>
      <c r="AO1196" s="23"/>
      <c r="AP1196" s="23"/>
      <c r="AQ1196" s="23"/>
      <c r="AR1196" s="35"/>
      <c r="AS1196" s="35"/>
      <c r="AT1196" s="35"/>
      <c r="AU1196" s="31"/>
    </row>
    <row r="1197" spans="4:47">
      <c r="D1197" s="31"/>
      <c r="E1197" s="31"/>
      <c r="F1197" s="31"/>
      <c r="G1197" s="31"/>
      <c r="H1197" s="32"/>
      <c r="J1197" s="33"/>
      <c r="K1197" s="33"/>
      <c r="L1197" s="33"/>
      <c r="X1197" s="23"/>
      <c r="Y1197" s="23"/>
      <c r="Z1197" s="23"/>
      <c r="AA1197" s="23"/>
      <c r="AF1197" s="23"/>
      <c r="AG1197" s="23"/>
      <c r="AH1197" s="23"/>
      <c r="AI1197" s="23"/>
      <c r="AN1197" s="23"/>
      <c r="AO1197" s="23"/>
      <c r="AP1197" s="23"/>
      <c r="AQ1197" s="23"/>
      <c r="AR1197" s="35"/>
      <c r="AS1197" s="35"/>
      <c r="AT1197" s="35"/>
      <c r="AU1197" s="31"/>
    </row>
    <row r="1198" spans="4:47">
      <c r="D1198" s="31"/>
      <c r="E1198" s="31"/>
      <c r="F1198" s="31"/>
      <c r="G1198" s="31"/>
      <c r="H1198" s="32"/>
      <c r="J1198" s="33"/>
      <c r="K1198" s="33"/>
      <c r="L1198" s="33"/>
      <c r="X1198" s="23"/>
      <c r="Y1198" s="23"/>
      <c r="Z1198" s="23"/>
      <c r="AA1198" s="23"/>
      <c r="AF1198" s="23"/>
      <c r="AG1198" s="23"/>
      <c r="AH1198" s="23"/>
      <c r="AI1198" s="23"/>
      <c r="AN1198" s="23"/>
      <c r="AO1198" s="23"/>
      <c r="AP1198" s="23"/>
      <c r="AQ1198" s="23"/>
      <c r="AR1198" s="35"/>
      <c r="AS1198" s="35"/>
      <c r="AT1198" s="35"/>
      <c r="AU1198" s="31"/>
    </row>
    <row r="1199" spans="4:47">
      <c r="D1199" s="31"/>
      <c r="E1199" s="31"/>
      <c r="F1199" s="31"/>
      <c r="G1199" s="31"/>
      <c r="H1199" s="32"/>
      <c r="J1199" s="33"/>
      <c r="K1199" s="33"/>
      <c r="L1199" s="33"/>
      <c r="X1199" s="23"/>
      <c r="Y1199" s="23"/>
      <c r="Z1199" s="23"/>
      <c r="AA1199" s="23"/>
      <c r="AF1199" s="23"/>
      <c r="AG1199" s="23"/>
      <c r="AH1199" s="23"/>
      <c r="AI1199" s="23"/>
      <c r="AN1199" s="23"/>
      <c r="AO1199" s="23"/>
      <c r="AP1199" s="23"/>
      <c r="AQ1199" s="23"/>
      <c r="AR1199" s="35"/>
      <c r="AS1199" s="35"/>
      <c r="AT1199" s="35"/>
      <c r="AU1199" s="31"/>
    </row>
    <row r="1200" spans="4:47">
      <c r="D1200" s="31"/>
      <c r="E1200" s="31"/>
      <c r="F1200" s="31"/>
      <c r="G1200" s="31"/>
      <c r="H1200" s="32"/>
      <c r="J1200" s="33"/>
      <c r="K1200" s="33"/>
      <c r="L1200" s="33"/>
      <c r="X1200" s="23"/>
      <c r="Y1200" s="23"/>
      <c r="Z1200" s="23"/>
      <c r="AA1200" s="23"/>
      <c r="AF1200" s="23"/>
      <c r="AG1200" s="23"/>
      <c r="AH1200" s="23"/>
      <c r="AI1200" s="23"/>
      <c r="AN1200" s="23"/>
      <c r="AO1200" s="23"/>
      <c r="AP1200" s="23"/>
      <c r="AQ1200" s="23"/>
      <c r="AR1200" s="35"/>
      <c r="AS1200" s="35"/>
      <c r="AT1200" s="35"/>
      <c r="AU1200" s="31"/>
    </row>
    <row r="1201" spans="4:47">
      <c r="D1201" s="31"/>
      <c r="E1201" s="31"/>
      <c r="F1201" s="31"/>
      <c r="G1201" s="31"/>
      <c r="H1201" s="32"/>
      <c r="J1201" s="33"/>
      <c r="K1201" s="33"/>
      <c r="L1201" s="33"/>
      <c r="X1201" s="23"/>
      <c r="Y1201" s="23"/>
      <c r="Z1201" s="23"/>
      <c r="AA1201" s="23"/>
      <c r="AF1201" s="23"/>
      <c r="AG1201" s="23"/>
      <c r="AH1201" s="23"/>
      <c r="AI1201" s="23"/>
      <c r="AN1201" s="23"/>
      <c r="AO1201" s="23"/>
      <c r="AP1201" s="23"/>
      <c r="AQ1201" s="23"/>
      <c r="AR1201" s="35"/>
      <c r="AS1201" s="35"/>
      <c r="AT1201" s="35"/>
      <c r="AU1201" s="31"/>
    </row>
    <row r="1202" spans="4:47">
      <c r="D1202" s="31"/>
      <c r="E1202" s="31"/>
      <c r="F1202" s="31"/>
      <c r="G1202" s="31"/>
      <c r="H1202" s="32"/>
      <c r="J1202" s="33"/>
      <c r="K1202" s="33"/>
      <c r="L1202" s="33"/>
      <c r="X1202" s="23"/>
      <c r="Y1202" s="23"/>
      <c r="Z1202" s="23"/>
      <c r="AA1202" s="23"/>
      <c r="AF1202" s="23"/>
      <c r="AG1202" s="23"/>
      <c r="AH1202" s="23"/>
      <c r="AI1202" s="23"/>
      <c r="AN1202" s="23"/>
      <c r="AO1202" s="23"/>
      <c r="AP1202" s="23"/>
      <c r="AQ1202" s="23"/>
      <c r="AR1202" s="35"/>
      <c r="AS1202" s="35"/>
      <c r="AT1202" s="35"/>
      <c r="AU1202" s="31"/>
    </row>
    <row r="1203" spans="4:47">
      <c r="D1203" s="31"/>
      <c r="E1203" s="31"/>
      <c r="F1203" s="31"/>
      <c r="G1203" s="31"/>
      <c r="H1203" s="32"/>
      <c r="J1203" s="33"/>
      <c r="K1203" s="33"/>
      <c r="L1203" s="33"/>
      <c r="X1203" s="23"/>
      <c r="Y1203" s="23"/>
      <c r="Z1203" s="23"/>
      <c r="AA1203" s="23"/>
      <c r="AF1203" s="23"/>
      <c r="AG1203" s="23"/>
      <c r="AH1203" s="23"/>
      <c r="AI1203" s="23"/>
      <c r="AN1203" s="23"/>
      <c r="AO1203" s="23"/>
      <c r="AP1203" s="23"/>
      <c r="AQ1203" s="23"/>
      <c r="AR1203" s="35"/>
      <c r="AS1203" s="35"/>
      <c r="AT1203" s="35"/>
      <c r="AU1203" s="31"/>
    </row>
    <row r="1204" spans="4:47">
      <c r="D1204" s="31"/>
      <c r="E1204" s="31"/>
      <c r="F1204" s="31"/>
      <c r="G1204" s="31"/>
      <c r="H1204" s="32"/>
      <c r="J1204" s="33"/>
      <c r="K1204" s="33"/>
      <c r="L1204" s="33"/>
      <c r="X1204" s="23"/>
      <c r="Y1204" s="23"/>
      <c r="Z1204" s="23"/>
      <c r="AA1204" s="23"/>
      <c r="AF1204" s="23"/>
      <c r="AG1204" s="23"/>
      <c r="AH1204" s="23"/>
      <c r="AI1204" s="23"/>
      <c r="AN1204" s="23"/>
      <c r="AO1204" s="23"/>
      <c r="AP1204" s="23"/>
      <c r="AQ1204" s="23"/>
      <c r="AR1204" s="35"/>
      <c r="AS1204" s="35"/>
      <c r="AT1204" s="35"/>
      <c r="AU1204" s="31"/>
    </row>
    <row r="1205" spans="4:47">
      <c r="D1205" s="31"/>
      <c r="E1205" s="31"/>
      <c r="F1205" s="31"/>
      <c r="G1205" s="31"/>
      <c r="H1205" s="32"/>
      <c r="J1205" s="33"/>
      <c r="K1205" s="33"/>
      <c r="L1205" s="33"/>
      <c r="X1205" s="23"/>
      <c r="Y1205" s="23"/>
      <c r="Z1205" s="23"/>
      <c r="AA1205" s="23"/>
      <c r="AF1205" s="23"/>
      <c r="AG1205" s="23"/>
      <c r="AH1205" s="23"/>
      <c r="AI1205" s="23"/>
      <c r="AN1205" s="23"/>
      <c r="AO1205" s="23"/>
      <c r="AP1205" s="23"/>
      <c r="AQ1205" s="23"/>
      <c r="AR1205" s="35"/>
      <c r="AS1205" s="35"/>
      <c r="AT1205" s="35"/>
      <c r="AU1205" s="31"/>
    </row>
    <row r="1206" spans="4:47">
      <c r="D1206" s="31"/>
      <c r="E1206" s="31"/>
      <c r="F1206" s="31"/>
      <c r="G1206" s="31"/>
      <c r="H1206" s="32"/>
      <c r="J1206" s="33"/>
      <c r="K1206" s="33"/>
      <c r="L1206" s="33"/>
      <c r="X1206" s="23"/>
      <c r="Y1206" s="23"/>
      <c r="Z1206" s="23"/>
      <c r="AA1206" s="23"/>
      <c r="AF1206" s="23"/>
      <c r="AG1206" s="23"/>
      <c r="AH1206" s="23"/>
      <c r="AI1206" s="23"/>
      <c r="AN1206" s="23"/>
      <c r="AO1206" s="23"/>
      <c r="AP1206" s="23"/>
      <c r="AQ1206" s="23"/>
      <c r="AR1206" s="35"/>
      <c r="AS1206" s="35"/>
      <c r="AT1206" s="35"/>
      <c r="AU1206" s="31"/>
    </row>
    <row r="1207" spans="4:47">
      <c r="D1207" s="31"/>
      <c r="E1207" s="31"/>
      <c r="F1207" s="31"/>
      <c r="G1207" s="31"/>
      <c r="H1207" s="32"/>
      <c r="J1207" s="33"/>
      <c r="K1207" s="33"/>
      <c r="L1207" s="33"/>
      <c r="X1207" s="23"/>
      <c r="Y1207" s="23"/>
      <c r="Z1207" s="23"/>
      <c r="AA1207" s="23"/>
      <c r="AF1207" s="23"/>
      <c r="AG1207" s="23"/>
      <c r="AH1207" s="23"/>
      <c r="AI1207" s="23"/>
      <c r="AN1207" s="23"/>
      <c r="AO1207" s="23"/>
      <c r="AP1207" s="23"/>
      <c r="AQ1207" s="23"/>
      <c r="AR1207" s="35"/>
      <c r="AS1207" s="35"/>
      <c r="AT1207" s="35"/>
      <c r="AU1207" s="31"/>
    </row>
    <row r="1208" spans="4:47">
      <c r="D1208" s="31"/>
      <c r="E1208" s="31"/>
      <c r="F1208" s="31"/>
      <c r="G1208" s="31"/>
      <c r="H1208" s="32"/>
      <c r="J1208" s="33"/>
      <c r="K1208" s="33"/>
      <c r="L1208" s="33"/>
      <c r="X1208" s="23"/>
      <c r="Y1208" s="23"/>
      <c r="Z1208" s="23"/>
      <c r="AA1208" s="23"/>
      <c r="AF1208" s="23"/>
      <c r="AG1208" s="23"/>
      <c r="AH1208" s="23"/>
      <c r="AI1208" s="23"/>
      <c r="AN1208" s="23"/>
      <c r="AO1208" s="23"/>
      <c r="AP1208" s="23"/>
      <c r="AQ1208" s="23"/>
      <c r="AR1208" s="35"/>
      <c r="AS1208" s="35"/>
      <c r="AT1208" s="35"/>
      <c r="AU1208" s="31"/>
    </row>
    <row r="1209" spans="4:47">
      <c r="D1209" s="31"/>
      <c r="E1209" s="31"/>
      <c r="F1209" s="31"/>
      <c r="G1209" s="31"/>
      <c r="H1209" s="32"/>
      <c r="J1209" s="33"/>
      <c r="K1209" s="33"/>
      <c r="L1209" s="33"/>
      <c r="X1209" s="23"/>
      <c r="Y1209" s="23"/>
      <c r="Z1209" s="23"/>
      <c r="AA1209" s="23"/>
      <c r="AF1209" s="23"/>
      <c r="AG1209" s="23"/>
      <c r="AH1209" s="23"/>
      <c r="AI1209" s="23"/>
      <c r="AN1209" s="23"/>
      <c r="AO1209" s="23"/>
      <c r="AP1209" s="23"/>
      <c r="AQ1209" s="23"/>
      <c r="AR1209" s="35"/>
      <c r="AS1209" s="35"/>
      <c r="AT1209" s="35"/>
      <c r="AU1209" s="31"/>
    </row>
    <row r="1210" spans="4:47">
      <c r="D1210" s="31"/>
      <c r="E1210" s="31"/>
      <c r="F1210" s="31"/>
      <c r="G1210" s="31"/>
      <c r="H1210" s="32"/>
      <c r="J1210" s="33"/>
      <c r="K1210" s="33"/>
      <c r="L1210" s="33"/>
      <c r="X1210" s="23"/>
      <c r="Y1210" s="23"/>
      <c r="Z1210" s="23"/>
      <c r="AA1210" s="23"/>
      <c r="AF1210" s="23"/>
      <c r="AG1210" s="23"/>
      <c r="AH1210" s="23"/>
      <c r="AI1210" s="23"/>
      <c r="AN1210" s="23"/>
      <c r="AO1210" s="23"/>
      <c r="AP1210" s="23"/>
      <c r="AQ1210" s="23"/>
      <c r="AR1210" s="35"/>
      <c r="AS1210" s="35"/>
      <c r="AT1210" s="35"/>
      <c r="AU1210" s="31"/>
    </row>
    <row r="1211" spans="4:47">
      <c r="D1211" s="31"/>
      <c r="E1211" s="31"/>
      <c r="F1211" s="31"/>
      <c r="G1211" s="31"/>
      <c r="H1211" s="32"/>
      <c r="J1211" s="33"/>
      <c r="K1211" s="33"/>
      <c r="L1211" s="33"/>
      <c r="X1211" s="23"/>
      <c r="Y1211" s="23"/>
      <c r="Z1211" s="23"/>
      <c r="AA1211" s="23"/>
      <c r="AF1211" s="23"/>
      <c r="AG1211" s="23"/>
      <c r="AH1211" s="23"/>
      <c r="AI1211" s="23"/>
      <c r="AN1211" s="23"/>
      <c r="AO1211" s="23"/>
      <c r="AP1211" s="23"/>
      <c r="AQ1211" s="23"/>
      <c r="AR1211" s="35"/>
      <c r="AS1211" s="35"/>
      <c r="AT1211" s="35"/>
      <c r="AU1211" s="31"/>
    </row>
    <row r="1212" spans="4:47">
      <c r="D1212" s="31"/>
      <c r="E1212" s="31"/>
      <c r="F1212" s="31"/>
      <c r="G1212" s="31"/>
      <c r="H1212" s="32"/>
      <c r="J1212" s="33"/>
      <c r="K1212" s="33"/>
      <c r="L1212" s="33"/>
      <c r="X1212" s="23"/>
      <c r="Y1212" s="23"/>
      <c r="Z1212" s="23"/>
      <c r="AA1212" s="23"/>
      <c r="AF1212" s="23"/>
      <c r="AG1212" s="23"/>
      <c r="AH1212" s="23"/>
      <c r="AI1212" s="23"/>
      <c r="AN1212" s="23"/>
      <c r="AO1212" s="23"/>
      <c r="AP1212" s="23"/>
      <c r="AQ1212" s="23"/>
      <c r="AR1212" s="35"/>
      <c r="AS1212" s="35"/>
      <c r="AT1212" s="35"/>
      <c r="AU1212" s="31"/>
    </row>
    <row r="1213" spans="4:47">
      <c r="D1213" s="31"/>
      <c r="E1213" s="31"/>
      <c r="F1213" s="31"/>
      <c r="G1213" s="31"/>
      <c r="H1213" s="32"/>
      <c r="J1213" s="33"/>
      <c r="K1213" s="33"/>
      <c r="L1213" s="33"/>
      <c r="X1213" s="23"/>
      <c r="Y1213" s="23"/>
      <c r="Z1213" s="23"/>
      <c r="AA1213" s="23"/>
      <c r="AF1213" s="23"/>
      <c r="AG1213" s="23"/>
      <c r="AH1213" s="23"/>
      <c r="AI1213" s="23"/>
      <c r="AN1213" s="23"/>
      <c r="AO1213" s="23"/>
      <c r="AP1213" s="23"/>
      <c r="AQ1213" s="23"/>
      <c r="AR1213" s="35"/>
      <c r="AS1213" s="35"/>
      <c r="AT1213" s="35"/>
      <c r="AU1213" s="31"/>
    </row>
    <row r="1214" spans="4:47">
      <c r="D1214" s="31"/>
      <c r="E1214" s="31"/>
      <c r="F1214" s="31"/>
      <c r="G1214" s="31"/>
      <c r="H1214" s="32"/>
      <c r="J1214" s="33"/>
      <c r="K1214" s="33"/>
      <c r="L1214" s="33"/>
      <c r="X1214" s="23"/>
      <c r="Y1214" s="23"/>
      <c r="Z1214" s="23"/>
      <c r="AA1214" s="23"/>
      <c r="AF1214" s="23"/>
      <c r="AG1214" s="23"/>
      <c r="AH1214" s="23"/>
      <c r="AI1214" s="23"/>
      <c r="AN1214" s="23"/>
      <c r="AO1214" s="23"/>
      <c r="AP1214" s="23"/>
      <c r="AQ1214" s="23"/>
      <c r="AR1214" s="35"/>
      <c r="AS1214" s="35"/>
      <c r="AT1214" s="35"/>
      <c r="AU1214" s="31"/>
    </row>
    <row r="1215" spans="4:47">
      <c r="D1215" s="31"/>
      <c r="E1215" s="31"/>
      <c r="F1215" s="31"/>
      <c r="G1215" s="31"/>
      <c r="H1215" s="32"/>
      <c r="J1215" s="33"/>
      <c r="K1215" s="33"/>
      <c r="L1215" s="33"/>
      <c r="X1215" s="23"/>
      <c r="Y1215" s="23"/>
      <c r="Z1215" s="23"/>
      <c r="AA1215" s="23"/>
      <c r="AF1215" s="23"/>
      <c r="AG1215" s="23"/>
      <c r="AH1215" s="23"/>
      <c r="AI1215" s="23"/>
      <c r="AN1215" s="23"/>
      <c r="AO1215" s="23"/>
      <c r="AP1215" s="23"/>
      <c r="AQ1215" s="23"/>
      <c r="AR1215" s="35"/>
      <c r="AS1215" s="35"/>
      <c r="AT1215" s="35"/>
      <c r="AU1215" s="31"/>
    </row>
    <row r="1216" spans="4:47">
      <c r="D1216" s="31"/>
      <c r="E1216" s="31"/>
      <c r="F1216" s="31"/>
      <c r="G1216" s="31"/>
      <c r="H1216" s="32"/>
      <c r="J1216" s="33"/>
      <c r="K1216" s="33"/>
      <c r="L1216" s="33"/>
      <c r="X1216" s="23"/>
      <c r="Y1216" s="23"/>
      <c r="Z1216" s="23"/>
      <c r="AA1216" s="23"/>
      <c r="AF1216" s="23"/>
      <c r="AG1216" s="23"/>
      <c r="AH1216" s="23"/>
      <c r="AI1216" s="23"/>
      <c r="AN1216" s="23"/>
      <c r="AO1216" s="23"/>
      <c r="AP1216" s="23"/>
      <c r="AQ1216" s="23"/>
      <c r="AR1216" s="35"/>
      <c r="AS1216" s="35"/>
      <c r="AT1216" s="35"/>
      <c r="AU1216" s="31"/>
    </row>
    <row r="1217" spans="4:47">
      <c r="D1217" s="31"/>
      <c r="E1217" s="31"/>
      <c r="F1217" s="31"/>
      <c r="G1217" s="31"/>
      <c r="H1217" s="32"/>
      <c r="J1217" s="33"/>
      <c r="K1217" s="33"/>
      <c r="L1217" s="33"/>
      <c r="X1217" s="23"/>
      <c r="Y1217" s="23"/>
      <c r="Z1217" s="23"/>
      <c r="AA1217" s="23"/>
      <c r="AF1217" s="23"/>
      <c r="AG1217" s="23"/>
      <c r="AH1217" s="23"/>
      <c r="AI1217" s="23"/>
      <c r="AN1217" s="23"/>
      <c r="AO1217" s="23"/>
      <c r="AP1217" s="23"/>
      <c r="AQ1217" s="23"/>
      <c r="AR1217" s="35"/>
      <c r="AS1217" s="35"/>
      <c r="AT1217" s="35"/>
      <c r="AU1217" s="31"/>
    </row>
    <row r="1218" spans="4:47">
      <c r="D1218" s="31"/>
      <c r="E1218" s="31"/>
      <c r="F1218" s="31"/>
      <c r="G1218" s="31"/>
      <c r="H1218" s="32"/>
      <c r="J1218" s="33"/>
      <c r="K1218" s="33"/>
      <c r="L1218" s="33"/>
      <c r="X1218" s="23"/>
      <c r="Y1218" s="23"/>
      <c r="Z1218" s="23"/>
      <c r="AA1218" s="23"/>
      <c r="AF1218" s="23"/>
      <c r="AG1218" s="23"/>
      <c r="AH1218" s="23"/>
      <c r="AI1218" s="23"/>
      <c r="AN1218" s="23"/>
      <c r="AO1218" s="23"/>
      <c r="AP1218" s="23"/>
      <c r="AQ1218" s="23"/>
      <c r="AR1218" s="35"/>
      <c r="AS1218" s="35"/>
      <c r="AT1218" s="35"/>
      <c r="AU1218" s="31"/>
    </row>
    <row r="1219" spans="4:47">
      <c r="D1219" s="31"/>
      <c r="E1219" s="31"/>
      <c r="F1219" s="31"/>
      <c r="G1219" s="31"/>
      <c r="H1219" s="32"/>
      <c r="J1219" s="33"/>
      <c r="K1219" s="33"/>
      <c r="L1219" s="33"/>
      <c r="X1219" s="23"/>
      <c r="Y1219" s="23"/>
      <c r="Z1219" s="23"/>
      <c r="AA1219" s="23"/>
      <c r="AF1219" s="23"/>
      <c r="AG1219" s="23"/>
      <c r="AH1219" s="23"/>
      <c r="AI1219" s="23"/>
      <c r="AN1219" s="23"/>
      <c r="AO1219" s="23"/>
      <c r="AP1219" s="23"/>
      <c r="AQ1219" s="23"/>
      <c r="AR1219" s="35"/>
      <c r="AS1219" s="35"/>
      <c r="AT1219" s="35"/>
      <c r="AU1219" s="31"/>
    </row>
    <row r="1220" spans="4:47">
      <c r="D1220" s="31"/>
      <c r="E1220" s="31"/>
      <c r="F1220" s="31"/>
      <c r="G1220" s="31"/>
      <c r="H1220" s="32"/>
      <c r="J1220" s="33"/>
      <c r="K1220" s="33"/>
      <c r="L1220" s="33"/>
      <c r="X1220" s="23"/>
      <c r="Y1220" s="23"/>
      <c r="Z1220" s="23"/>
      <c r="AA1220" s="23"/>
      <c r="AF1220" s="23"/>
      <c r="AG1220" s="23"/>
      <c r="AH1220" s="23"/>
      <c r="AI1220" s="23"/>
      <c r="AN1220" s="23"/>
      <c r="AO1220" s="23"/>
      <c r="AP1220" s="23"/>
      <c r="AQ1220" s="23"/>
      <c r="AR1220" s="35"/>
      <c r="AS1220" s="35"/>
      <c r="AT1220" s="35"/>
      <c r="AU1220" s="31"/>
    </row>
    <row r="1221" spans="4:47">
      <c r="D1221" s="31"/>
      <c r="E1221" s="31"/>
      <c r="F1221" s="31"/>
      <c r="G1221" s="31"/>
      <c r="H1221" s="32"/>
      <c r="J1221" s="33"/>
      <c r="K1221" s="33"/>
      <c r="L1221" s="33"/>
      <c r="X1221" s="23"/>
      <c r="Y1221" s="23"/>
      <c r="Z1221" s="23"/>
      <c r="AA1221" s="23"/>
      <c r="AF1221" s="23"/>
      <c r="AG1221" s="23"/>
      <c r="AH1221" s="23"/>
      <c r="AI1221" s="23"/>
      <c r="AN1221" s="23"/>
      <c r="AO1221" s="23"/>
      <c r="AP1221" s="23"/>
      <c r="AQ1221" s="23"/>
      <c r="AR1221" s="35"/>
      <c r="AS1221" s="35"/>
      <c r="AT1221" s="35"/>
      <c r="AU1221" s="31"/>
    </row>
    <row r="1222" spans="4:47">
      <c r="D1222" s="31"/>
      <c r="E1222" s="31"/>
      <c r="F1222" s="31"/>
      <c r="G1222" s="31"/>
      <c r="H1222" s="32"/>
      <c r="J1222" s="33"/>
      <c r="K1222" s="33"/>
      <c r="L1222" s="33"/>
      <c r="X1222" s="23"/>
      <c r="Y1222" s="23"/>
      <c r="Z1222" s="23"/>
      <c r="AA1222" s="23"/>
      <c r="AF1222" s="23"/>
      <c r="AG1222" s="23"/>
      <c r="AH1222" s="23"/>
      <c r="AI1222" s="23"/>
      <c r="AN1222" s="23"/>
      <c r="AO1222" s="23"/>
      <c r="AP1222" s="23"/>
      <c r="AQ1222" s="23"/>
      <c r="AR1222" s="35"/>
      <c r="AS1222" s="35"/>
      <c r="AT1222" s="35"/>
      <c r="AU1222" s="31"/>
    </row>
    <row r="1223" spans="4:47">
      <c r="D1223" s="31"/>
      <c r="E1223" s="31"/>
      <c r="F1223" s="31"/>
      <c r="G1223" s="31"/>
      <c r="H1223" s="32"/>
      <c r="J1223" s="33"/>
      <c r="K1223" s="33"/>
      <c r="L1223" s="33"/>
      <c r="X1223" s="23"/>
      <c r="Y1223" s="23"/>
      <c r="Z1223" s="23"/>
      <c r="AA1223" s="23"/>
      <c r="AF1223" s="23"/>
      <c r="AG1223" s="23"/>
      <c r="AH1223" s="23"/>
      <c r="AI1223" s="23"/>
      <c r="AN1223" s="23"/>
      <c r="AO1223" s="23"/>
      <c r="AP1223" s="23"/>
      <c r="AQ1223" s="23"/>
      <c r="AR1223" s="35"/>
      <c r="AS1223" s="35"/>
      <c r="AT1223" s="35"/>
      <c r="AU1223" s="31"/>
    </row>
    <row r="1224" spans="4:47">
      <c r="D1224" s="31"/>
      <c r="E1224" s="31"/>
      <c r="F1224" s="31"/>
      <c r="G1224" s="31"/>
      <c r="H1224" s="32"/>
      <c r="J1224" s="33"/>
      <c r="K1224" s="33"/>
      <c r="L1224" s="33"/>
      <c r="X1224" s="23"/>
      <c r="Y1224" s="23"/>
      <c r="Z1224" s="23"/>
      <c r="AA1224" s="23"/>
      <c r="AF1224" s="23"/>
      <c r="AG1224" s="23"/>
      <c r="AH1224" s="23"/>
      <c r="AI1224" s="23"/>
      <c r="AN1224" s="23"/>
      <c r="AO1224" s="23"/>
      <c r="AP1224" s="23"/>
      <c r="AQ1224" s="23"/>
      <c r="AR1224" s="35"/>
      <c r="AS1224" s="35"/>
      <c r="AT1224" s="35"/>
      <c r="AU1224" s="31"/>
    </row>
    <row r="1225" spans="4:47">
      <c r="D1225" s="31"/>
      <c r="E1225" s="31"/>
      <c r="F1225" s="31"/>
      <c r="G1225" s="31"/>
      <c r="H1225" s="32"/>
      <c r="J1225" s="33"/>
      <c r="K1225" s="33"/>
      <c r="L1225" s="33"/>
      <c r="X1225" s="23"/>
      <c r="Y1225" s="23"/>
      <c r="Z1225" s="23"/>
      <c r="AA1225" s="23"/>
      <c r="AF1225" s="23"/>
      <c r="AG1225" s="23"/>
      <c r="AH1225" s="23"/>
      <c r="AI1225" s="23"/>
      <c r="AN1225" s="23"/>
      <c r="AO1225" s="23"/>
      <c r="AP1225" s="23"/>
      <c r="AQ1225" s="23"/>
      <c r="AR1225" s="35"/>
      <c r="AS1225" s="35"/>
      <c r="AT1225" s="35"/>
      <c r="AU1225" s="31"/>
    </row>
    <row r="1226" spans="4:47">
      <c r="D1226" s="31"/>
      <c r="E1226" s="31"/>
      <c r="F1226" s="31"/>
      <c r="G1226" s="31"/>
      <c r="H1226" s="32"/>
      <c r="J1226" s="33"/>
      <c r="K1226" s="33"/>
      <c r="L1226" s="33"/>
      <c r="X1226" s="23"/>
      <c r="Y1226" s="23"/>
      <c r="Z1226" s="23"/>
      <c r="AA1226" s="23"/>
      <c r="AF1226" s="23"/>
      <c r="AG1226" s="23"/>
      <c r="AH1226" s="23"/>
      <c r="AI1226" s="23"/>
      <c r="AN1226" s="23"/>
      <c r="AO1226" s="23"/>
      <c r="AP1226" s="23"/>
      <c r="AQ1226" s="23"/>
      <c r="AR1226" s="35"/>
      <c r="AS1226" s="35"/>
      <c r="AT1226" s="35"/>
      <c r="AU1226" s="31"/>
    </row>
    <row r="1227" spans="4:47">
      <c r="D1227" s="31"/>
      <c r="E1227" s="31"/>
      <c r="F1227" s="31"/>
      <c r="G1227" s="31"/>
      <c r="H1227" s="32"/>
      <c r="J1227" s="33"/>
      <c r="K1227" s="33"/>
      <c r="L1227" s="33"/>
      <c r="X1227" s="23"/>
      <c r="Y1227" s="23"/>
      <c r="Z1227" s="23"/>
      <c r="AA1227" s="23"/>
      <c r="AF1227" s="23"/>
      <c r="AG1227" s="23"/>
      <c r="AH1227" s="23"/>
      <c r="AI1227" s="23"/>
      <c r="AN1227" s="23"/>
      <c r="AO1227" s="23"/>
      <c r="AP1227" s="23"/>
      <c r="AQ1227" s="23"/>
      <c r="AR1227" s="35"/>
      <c r="AS1227" s="35"/>
      <c r="AT1227" s="35"/>
      <c r="AU1227" s="31"/>
    </row>
    <row r="1228" spans="4:47">
      <c r="D1228" s="31"/>
      <c r="E1228" s="31"/>
      <c r="F1228" s="31"/>
      <c r="G1228" s="31"/>
      <c r="H1228" s="32"/>
      <c r="J1228" s="33"/>
      <c r="K1228" s="33"/>
      <c r="L1228" s="33"/>
      <c r="X1228" s="23"/>
      <c r="Y1228" s="23"/>
      <c r="Z1228" s="23"/>
      <c r="AA1228" s="23"/>
      <c r="AF1228" s="23"/>
      <c r="AG1228" s="23"/>
      <c r="AH1228" s="23"/>
      <c r="AI1228" s="23"/>
      <c r="AN1228" s="23"/>
      <c r="AO1228" s="23"/>
      <c r="AP1228" s="23"/>
      <c r="AQ1228" s="23"/>
      <c r="AR1228" s="35"/>
      <c r="AS1228" s="35"/>
      <c r="AT1228" s="35"/>
      <c r="AU1228" s="31"/>
    </row>
    <row r="1229" spans="4:47">
      <c r="D1229" s="31"/>
      <c r="E1229" s="31"/>
      <c r="F1229" s="31"/>
      <c r="G1229" s="31"/>
      <c r="H1229" s="32"/>
      <c r="J1229" s="33"/>
      <c r="K1229" s="33"/>
      <c r="L1229" s="33"/>
      <c r="X1229" s="23"/>
      <c r="Y1229" s="23"/>
      <c r="Z1229" s="23"/>
      <c r="AA1229" s="23"/>
      <c r="AF1229" s="23"/>
      <c r="AG1229" s="23"/>
      <c r="AH1229" s="23"/>
      <c r="AI1229" s="23"/>
      <c r="AN1229" s="23"/>
      <c r="AO1229" s="23"/>
      <c r="AP1229" s="23"/>
      <c r="AQ1229" s="23"/>
      <c r="AR1229" s="35"/>
      <c r="AS1229" s="35"/>
      <c r="AT1229" s="35"/>
      <c r="AU1229" s="31"/>
    </row>
    <row r="1230" spans="4:47">
      <c r="D1230" s="31"/>
      <c r="E1230" s="31"/>
      <c r="F1230" s="31"/>
      <c r="G1230" s="31"/>
      <c r="H1230" s="32"/>
      <c r="J1230" s="33"/>
      <c r="K1230" s="33"/>
      <c r="L1230" s="33"/>
      <c r="X1230" s="23"/>
      <c r="Y1230" s="23"/>
      <c r="Z1230" s="23"/>
      <c r="AA1230" s="23"/>
      <c r="AF1230" s="23"/>
      <c r="AG1230" s="23"/>
      <c r="AH1230" s="23"/>
      <c r="AI1230" s="23"/>
      <c r="AN1230" s="23"/>
      <c r="AO1230" s="23"/>
      <c r="AP1230" s="23"/>
      <c r="AQ1230" s="23"/>
      <c r="AR1230" s="35"/>
      <c r="AS1230" s="35"/>
      <c r="AT1230" s="35"/>
      <c r="AU1230" s="31"/>
    </row>
    <row r="1231" spans="4:47">
      <c r="D1231" s="31"/>
      <c r="E1231" s="31"/>
      <c r="F1231" s="31"/>
      <c r="G1231" s="31"/>
      <c r="H1231" s="32"/>
      <c r="J1231" s="33"/>
      <c r="K1231" s="33"/>
      <c r="L1231" s="33"/>
      <c r="X1231" s="23"/>
      <c r="Y1231" s="23"/>
      <c r="Z1231" s="23"/>
      <c r="AA1231" s="23"/>
      <c r="AF1231" s="23"/>
      <c r="AG1231" s="23"/>
      <c r="AH1231" s="23"/>
      <c r="AI1231" s="23"/>
      <c r="AN1231" s="23"/>
      <c r="AO1231" s="23"/>
      <c r="AP1231" s="23"/>
      <c r="AQ1231" s="23"/>
      <c r="AR1231" s="35"/>
      <c r="AS1231" s="35"/>
      <c r="AT1231" s="35"/>
      <c r="AU1231" s="31"/>
    </row>
    <row r="1232" spans="4:47">
      <c r="D1232" s="31"/>
      <c r="E1232" s="31"/>
      <c r="F1232" s="31"/>
      <c r="G1232" s="31"/>
      <c r="H1232" s="32"/>
      <c r="J1232" s="33"/>
      <c r="K1232" s="33"/>
      <c r="L1232" s="33"/>
      <c r="X1232" s="23"/>
      <c r="Y1232" s="23"/>
      <c r="Z1232" s="23"/>
      <c r="AA1232" s="23"/>
      <c r="AF1232" s="23"/>
      <c r="AG1232" s="23"/>
      <c r="AH1232" s="23"/>
      <c r="AI1232" s="23"/>
      <c r="AN1232" s="23"/>
      <c r="AO1232" s="23"/>
      <c r="AP1232" s="23"/>
      <c r="AQ1232" s="23"/>
      <c r="AR1232" s="35"/>
      <c r="AS1232" s="35"/>
      <c r="AT1232" s="35"/>
      <c r="AU1232" s="31"/>
    </row>
    <row r="1233" spans="4:47">
      <c r="D1233" s="31"/>
      <c r="E1233" s="31"/>
      <c r="F1233" s="31"/>
      <c r="G1233" s="31"/>
      <c r="H1233" s="32"/>
      <c r="J1233" s="33"/>
      <c r="K1233" s="33"/>
      <c r="L1233" s="33"/>
      <c r="X1233" s="23"/>
      <c r="Y1233" s="23"/>
      <c r="Z1233" s="23"/>
      <c r="AA1233" s="23"/>
      <c r="AF1233" s="23"/>
      <c r="AG1233" s="23"/>
      <c r="AH1233" s="23"/>
      <c r="AI1233" s="23"/>
      <c r="AN1233" s="23"/>
      <c r="AO1233" s="23"/>
      <c r="AP1233" s="23"/>
      <c r="AQ1233" s="23"/>
      <c r="AR1233" s="35"/>
      <c r="AS1233" s="35"/>
      <c r="AT1233" s="35"/>
      <c r="AU1233" s="31"/>
    </row>
    <row r="1234" spans="4:47">
      <c r="D1234" s="31"/>
      <c r="E1234" s="31"/>
      <c r="F1234" s="31"/>
      <c r="G1234" s="31"/>
      <c r="H1234" s="32"/>
      <c r="J1234" s="33"/>
      <c r="K1234" s="33"/>
      <c r="L1234" s="33"/>
      <c r="X1234" s="23"/>
      <c r="Y1234" s="23"/>
      <c r="Z1234" s="23"/>
      <c r="AA1234" s="23"/>
      <c r="AF1234" s="23"/>
      <c r="AG1234" s="23"/>
      <c r="AH1234" s="23"/>
      <c r="AI1234" s="23"/>
      <c r="AN1234" s="23"/>
      <c r="AO1234" s="23"/>
      <c r="AP1234" s="23"/>
      <c r="AQ1234" s="23"/>
      <c r="AR1234" s="35"/>
      <c r="AS1234" s="35"/>
      <c r="AT1234" s="35"/>
      <c r="AU1234" s="31"/>
    </row>
    <row r="1235" spans="4:47">
      <c r="D1235" s="31"/>
      <c r="E1235" s="31"/>
      <c r="F1235" s="31"/>
      <c r="G1235" s="31"/>
      <c r="H1235" s="32"/>
      <c r="J1235" s="33"/>
      <c r="K1235" s="33"/>
      <c r="L1235" s="33"/>
      <c r="X1235" s="23"/>
      <c r="Y1235" s="23"/>
      <c r="Z1235" s="23"/>
      <c r="AA1235" s="23"/>
      <c r="AF1235" s="23"/>
      <c r="AG1235" s="23"/>
      <c r="AH1235" s="23"/>
      <c r="AI1235" s="23"/>
      <c r="AN1235" s="23"/>
      <c r="AO1235" s="23"/>
      <c r="AP1235" s="23"/>
      <c r="AQ1235" s="23"/>
      <c r="AR1235" s="35"/>
      <c r="AS1235" s="35"/>
      <c r="AT1235" s="35"/>
      <c r="AU1235" s="31"/>
    </row>
    <row r="1236" spans="4:47">
      <c r="D1236" s="31"/>
      <c r="E1236" s="31"/>
      <c r="F1236" s="31"/>
      <c r="G1236" s="31"/>
      <c r="H1236" s="32"/>
      <c r="J1236" s="33"/>
      <c r="K1236" s="33"/>
      <c r="L1236" s="33"/>
      <c r="X1236" s="23"/>
      <c r="Y1236" s="23"/>
      <c r="Z1236" s="23"/>
      <c r="AA1236" s="23"/>
      <c r="AF1236" s="23"/>
      <c r="AG1236" s="23"/>
      <c r="AH1236" s="23"/>
      <c r="AI1236" s="23"/>
      <c r="AN1236" s="23"/>
      <c r="AO1236" s="23"/>
      <c r="AP1236" s="23"/>
      <c r="AQ1236" s="23"/>
      <c r="AR1236" s="35"/>
      <c r="AS1236" s="35"/>
      <c r="AT1236" s="35"/>
      <c r="AU1236" s="31"/>
    </row>
    <row r="1237" spans="4:47">
      <c r="D1237" s="31"/>
      <c r="E1237" s="31"/>
      <c r="F1237" s="31"/>
      <c r="G1237" s="31"/>
      <c r="H1237" s="32"/>
      <c r="J1237" s="33"/>
      <c r="K1237" s="33"/>
      <c r="L1237" s="33"/>
      <c r="X1237" s="23"/>
      <c r="Y1237" s="23"/>
      <c r="Z1237" s="23"/>
      <c r="AA1237" s="23"/>
      <c r="AF1237" s="23"/>
      <c r="AG1237" s="23"/>
      <c r="AH1237" s="23"/>
      <c r="AI1237" s="23"/>
      <c r="AN1237" s="23"/>
      <c r="AO1237" s="23"/>
      <c r="AP1237" s="23"/>
      <c r="AQ1237" s="23"/>
      <c r="AR1237" s="35"/>
      <c r="AS1237" s="35"/>
      <c r="AT1237" s="35"/>
      <c r="AU1237" s="31"/>
    </row>
    <row r="1238" spans="4:47">
      <c r="D1238" s="31"/>
      <c r="E1238" s="31"/>
      <c r="F1238" s="31"/>
      <c r="G1238" s="31"/>
      <c r="H1238" s="32"/>
      <c r="J1238" s="33"/>
      <c r="K1238" s="33"/>
      <c r="L1238" s="33"/>
      <c r="X1238" s="23"/>
      <c r="Y1238" s="23"/>
      <c r="Z1238" s="23"/>
      <c r="AA1238" s="23"/>
      <c r="AF1238" s="23"/>
      <c r="AG1238" s="23"/>
      <c r="AH1238" s="23"/>
      <c r="AI1238" s="23"/>
      <c r="AN1238" s="23"/>
      <c r="AO1238" s="23"/>
      <c r="AP1238" s="23"/>
      <c r="AQ1238" s="23"/>
      <c r="AR1238" s="35"/>
      <c r="AS1238" s="35"/>
      <c r="AT1238" s="35"/>
      <c r="AU1238" s="31"/>
    </row>
    <row r="1239" spans="4:47">
      <c r="D1239" s="31"/>
      <c r="E1239" s="31"/>
      <c r="F1239" s="31"/>
      <c r="G1239" s="31"/>
      <c r="H1239" s="32"/>
      <c r="J1239" s="33"/>
      <c r="K1239" s="33"/>
      <c r="L1239" s="33"/>
      <c r="X1239" s="23"/>
      <c r="Y1239" s="23"/>
      <c r="Z1239" s="23"/>
      <c r="AA1239" s="23"/>
      <c r="AF1239" s="23"/>
      <c r="AG1239" s="23"/>
      <c r="AH1239" s="23"/>
      <c r="AI1239" s="23"/>
      <c r="AN1239" s="23"/>
      <c r="AO1239" s="23"/>
      <c r="AP1239" s="23"/>
      <c r="AQ1239" s="23"/>
      <c r="AR1239" s="35"/>
      <c r="AS1239" s="35"/>
      <c r="AT1239" s="35"/>
      <c r="AU1239" s="31"/>
    </row>
    <row r="1240" spans="4:47">
      <c r="D1240" s="31"/>
      <c r="E1240" s="31"/>
      <c r="F1240" s="31"/>
      <c r="G1240" s="31"/>
      <c r="H1240" s="32"/>
      <c r="J1240" s="33"/>
      <c r="K1240" s="33"/>
      <c r="L1240" s="33"/>
      <c r="X1240" s="23"/>
      <c r="Y1240" s="23"/>
      <c r="Z1240" s="23"/>
      <c r="AA1240" s="23"/>
      <c r="AF1240" s="23"/>
      <c r="AG1240" s="23"/>
      <c r="AH1240" s="23"/>
      <c r="AI1240" s="23"/>
      <c r="AN1240" s="23"/>
      <c r="AO1240" s="23"/>
      <c r="AP1240" s="23"/>
      <c r="AQ1240" s="23"/>
      <c r="AR1240" s="35"/>
      <c r="AS1240" s="35"/>
      <c r="AT1240" s="35"/>
      <c r="AU1240" s="31"/>
    </row>
    <row r="1241" spans="4:47">
      <c r="D1241" s="31"/>
      <c r="E1241" s="31"/>
      <c r="F1241" s="31"/>
      <c r="G1241" s="31"/>
      <c r="H1241" s="32"/>
      <c r="J1241" s="33"/>
      <c r="K1241" s="33"/>
      <c r="L1241" s="33"/>
      <c r="X1241" s="23"/>
      <c r="Y1241" s="23"/>
      <c r="Z1241" s="23"/>
      <c r="AA1241" s="23"/>
      <c r="AF1241" s="23"/>
      <c r="AG1241" s="23"/>
      <c r="AH1241" s="23"/>
      <c r="AI1241" s="23"/>
      <c r="AN1241" s="23"/>
      <c r="AO1241" s="23"/>
      <c r="AP1241" s="23"/>
      <c r="AQ1241" s="23"/>
      <c r="AR1241" s="35"/>
      <c r="AS1241" s="35"/>
      <c r="AT1241" s="35"/>
      <c r="AU1241" s="31"/>
    </row>
    <row r="1242" spans="4:47">
      <c r="D1242" s="31"/>
      <c r="E1242" s="31"/>
      <c r="F1242" s="31"/>
      <c r="G1242" s="31"/>
      <c r="H1242" s="32"/>
      <c r="J1242" s="33"/>
      <c r="K1242" s="33"/>
      <c r="L1242" s="33"/>
      <c r="X1242" s="23"/>
      <c r="Y1242" s="23"/>
      <c r="Z1242" s="23"/>
      <c r="AA1242" s="23"/>
      <c r="AF1242" s="23"/>
      <c r="AG1242" s="23"/>
      <c r="AH1242" s="23"/>
      <c r="AI1242" s="23"/>
      <c r="AN1242" s="23"/>
      <c r="AO1242" s="23"/>
      <c r="AP1242" s="23"/>
      <c r="AQ1242" s="23"/>
      <c r="AR1242" s="35"/>
      <c r="AS1242" s="35"/>
      <c r="AT1242" s="35"/>
      <c r="AU1242" s="31"/>
    </row>
    <row r="1243" spans="4:47">
      <c r="D1243" s="31"/>
      <c r="E1243" s="31"/>
      <c r="F1243" s="31"/>
      <c r="G1243" s="31"/>
      <c r="H1243" s="32"/>
      <c r="J1243" s="33"/>
      <c r="K1243" s="33"/>
      <c r="L1243" s="33"/>
      <c r="X1243" s="23"/>
      <c r="Y1243" s="23"/>
      <c r="Z1243" s="23"/>
      <c r="AA1243" s="23"/>
      <c r="AF1243" s="23"/>
      <c r="AG1243" s="23"/>
      <c r="AH1243" s="23"/>
      <c r="AI1243" s="23"/>
      <c r="AN1243" s="23"/>
      <c r="AO1243" s="23"/>
      <c r="AP1243" s="23"/>
      <c r="AQ1243" s="23"/>
      <c r="AR1243" s="35"/>
      <c r="AS1243" s="35"/>
      <c r="AT1243" s="35"/>
      <c r="AU1243" s="31"/>
    </row>
    <row r="1244" spans="4:47">
      <c r="D1244" s="31"/>
      <c r="E1244" s="31"/>
      <c r="F1244" s="31"/>
      <c r="G1244" s="31"/>
      <c r="H1244" s="32"/>
      <c r="J1244" s="33"/>
      <c r="K1244" s="33"/>
      <c r="L1244" s="33"/>
      <c r="X1244" s="23"/>
      <c r="Y1244" s="23"/>
      <c r="Z1244" s="23"/>
      <c r="AA1244" s="23"/>
      <c r="AF1244" s="23"/>
      <c r="AG1244" s="23"/>
      <c r="AH1244" s="23"/>
      <c r="AI1244" s="23"/>
      <c r="AN1244" s="23"/>
      <c r="AO1244" s="23"/>
      <c r="AP1244" s="23"/>
      <c r="AQ1244" s="23"/>
      <c r="AR1244" s="35"/>
      <c r="AS1244" s="35"/>
      <c r="AT1244" s="35"/>
      <c r="AU1244" s="31"/>
    </row>
    <row r="1245" spans="4:47">
      <c r="D1245" s="31"/>
      <c r="E1245" s="31"/>
      <c r="F1245" s="31"/>
      <c r="G1245" s="31"/>
      <c r="H1245" s="32"/>
      <c r="J1245" s="33"/>
      <c r="K1245" s="33"/>
      <c r="L1245" s="33"/>
      <c r="X1245" s="23"/>
      <c r="Y1245" s="23"/>
      <c r="Z1245" s="23"/>
      <c r="AA1245" s="23"/>
      <c r="AF1245" s="23"/>
      <c r="AG1245" s="23"/>
      <c r="AH1245" s="23"/>
      <c r="AI1245" s="23"/>
      <c r="AN1245" s="23"/>
      <c r="AO1245" s="23"/>
      <c r="AP1245" s="23"/>
      <c r="AQ1245" s="23"/>
      <c r="AR1245" s="35"/>
      <c r="AS1245" s="35"/>
      <c r="AT1245" s="35"/>
      <c r="AU1245" s="31"/>
    </row>
    <row r="1246" spans="4:47">
      <c r="D1246" s="31"/>
      <c r="E1246" s="31"/>
      <c r="F1246" s="31"/>
      <c r="G1246" s="31"/>
      <c r="H1246" s="32"/>
      <c r="J1246" s="33"/>
      <c r="K1246" s="33"/>
      <c r="L1246" s="33"/>
      <c r="X1246" s="23"/>
      <c r="Y1246" s="23"/>
      <c r="Z1246" s="23"/>
      <c r="AA1246" s="23"/>
      <c r="AF1246" s="23"/>
      <c r="AG1246" s="23"/>
      <c r="AH1246" s="23"/>
      <c r="AI1246" s="23"/>
      <c r="AN1246" s="23"/>
      <c r="AO1246" s="23"/>
      <c r="AP1246" s="23"/>
      <c r="AQ1246" s="23"/>
      <c r="AR1246" s="35"/>
      <c r="AS1246" s="35"/>
      <c r="AT1246" s="35"/>
      <c r="AU1246" s="31"/>
    </row>
    <row r="1247" spans="4:47">
      <c r="D1247" s="31"/>
      <c r="E1247" s="31"/>
      <c r="F1247" s="31"/>
      <c r="G1247" s="31"/>
      <c r="H1247" s="32"/>
      <c r="J1247" s="33"/>
      <c r="K1247" s="33"/>
      <c r="L1247" s="33"/>
      <c r="X1247" s="23"/>
      <c r="Y1247" s="23"/>
      <c r="Z1247" s="23"/>
      <c r="AA1247" s="23"/>
      <c r="AF1247" s="23"/>
      <c r="AG1247" s="23"/>
      <c r="AH1247" s="23"/>
      <c r="AI1247" s="23"/>
      <c r="AN1247" s="23"/>
      <c r="AO1247" s="23"/>
      <c r="AP1247" s="23"/>
      <c r="AQ1247" s="23"/>
      <c r="AR1247" s="35"/>
      <c r="AS1247" s="35"/>
      <c r="AT1247" s="35"/>
      <c r="AU1247" s="31"/>
    </row>
    <row r="1248" spans="4:47">
      <c r="D1248" s="31"/>
      <c r="E1248" s="31"/>
      <c r="F1248" s="31"/>
      <c r="G1248" s="31"/>
      <c r="H1248" s="32"/>
      <c r="J1248" s="33"/>
      <c r="K1248" s="33"/>
      <c r="L1248" s="33"/>
      <c r="X1248" s="23"/>
      <c r="Y1248" s="23"/>
      <c r="Z1248" s="23"/>
      <c r="AA1248" s="23"/>
      <c r="AF1248" s="23"/>
      <c r="AG1248" s="23"/>
      <c r="AH1248" s="23"/>
      <c r="AI1248" s="23"/>
      <c r="AN1248" s="23"/>
      <c r="AO1248" s="23"/>
      <c r="AP1248" s="23"/>
      <c r="AQ1248" s="23"/>
      <c r="AR1248" s="35"/>
      <c r="AS1248" s="35"/>
      <c r="AT1248" s="35"/>
      <c r="AU1248" s="31"/>
    </row>
    <row r="1249" spans="4:47">
      <c r="D1249" s="31"/>
      <c r="E1249" s="31"/>
      <c r="F1249" s="31"/>
      <c r="G1249" s="31"/>
      <c r="H1249" s="32"/>
      <c r="J1249" s="33"/>
      <c r="K1249" s="33"/>
      <c r="L1249" s="33"/>
      <c r="X1249" s="23"/>
      <c r="Y1249" s="23"/>
      <c r="Z1249" s="23"/>
      <c r="AA1249" s="23"/>
      <c r="AF1249" s="23"/>
      <c r="AG1249" s="23"/>
      <c r="AH1249" s="23"/>
      <c r="AI1249" s="23"/>
      <c r="AN1249" s="23"/>
      <c r="AO1249" s="23"/>
      <c r="AP1249" s="23"/>
      <c r="AQ1249" s="23"/>
      <c r="AR1249" s="35"/>
      <c r="AS1249" s="35"/>
      <c r="AT1249" s="35"/>
      <c r="AU1249" s="31"/>
    </row>
    <row r="1250" spans="4:47">
      <c r="D1250" s="31"/>
      <c r="E1250" s="31"/>
      <c r="F1250" s="31"/>
      <c r="G1250" s="31"/>
      <c r="H1250" s="32"/>
      <c r="J1250" s="33"/>
      <c r="K1250" s="33"/>
      <c r="L1250" s="33"/>
      <c r="X1250" s="23"/>
      <c r="Y1250" s="23"/>
      <c r="Z1250" s="23"/>
      <c r="AA1250" s="23"/>
      <c r="AF1250" s="23"/>
      <c r="AG1250" s="23"/>
      <c r="AH1250" s="23"/>
      <c r="AI1250" s="23"/>
      <c r="AN1250" s="23"/>
      <c r="AO1250" s="23"/>
      <c r="AP1250" s="23"/>
      <c r="AQ1250" s="23"/>
      <c r="AR1250" s="35"/>
      <c r="AS1250" s="35"/>
      <c r="AT1250" s="35"/>
      <c r="AU1250" s="31"/>
    </row>
    <row r="1251" spans="4:47">
      <c r="D1251" s="31"/>
      <c r="E1251" s="31"/>
      <c r="F1251" s="31"/>
      <c r="G1251" s="31"/>
      <c r="H1251" s="32"/>
      <c r="J1251" s="33"/>
      <c r="K1251" s="33"/>
      <c r="L1251" s="33"/>
      <c r="X1251" s="23"/>
      <c r="Y1251" s="23"/>
      <c r="Z1251" s="23"/>
      <c r="AA1251" s="23"/>
      <c r="AF1251" s="23"/>
      <c r="AG1251" s="23"/>
      <c r="AH1251" s="23"/>
      <c r="AI1251" s="23"/>
      <c r="AN1251" s="23"/>
      <c r="AO1251" s="23"/>
      <c r="AP1251" s="23"/>
      <c r="AQ1251" s="23"/>
      <c r="AR1251" s="35"/>
      <c r="AS1251" s="35"/>
      <c r="AT1251" s="35"/>
      <c r="AU1251" s="31"/>
    </row>
    <row r="1252" spans="4:47">
      <c r="D1252" s="31"/>
      <c r="E1252" s="31"/>
      <c r="F1252" s="31"/>
      <c r="G1252" s="31"/>
      <c r="H1252" s="32"/>
      <c r="J1252" s="33"/>
      <c r="K1252" s="33"/>
      <c r="L1252" s="33"/>
      <c r="X1252" s="23"/>
      <c r="Y1252" s="23"/>
      <c r="Z1252" s="23"/>
      <c r="AA1252" s="23"/>
      <c r="AF1252" s="23"/>
      <c r="AG1252" s="23"/>
      <c r="AH1252" s="23"/>
      <c r="AI1252" s="23"/>
      <c r="AN1252" s="23"/>
      <c r="AO1252" s="23"/>
      <c r="AP1252" s="23"/>
      <c r="AQ1252" s="23"/>
      <c r="AR1252" s="35"/>
      <c r="AS1252" s="35"/>
      <c r="AT1252" s="35"/>
      <c r="AU1252" s="31"/>
    </row>
    <row r="1253" spans="4:47">
      <c r="D1253" s="31"/>
      <c r="E1253" s="31"/>
      <c r="F1253" s="31"/>
      <c r="G1253" s="31"/>
      <c r="H1253" s="32"/>
      <c r="J1253" s="33"/>
      <c r="K1253" s="33"/>
      <c r="L1253" s="33"/>
      <c r="X1253" s="23"/>
      <c r="Y1253" s="23"/>
      <c r="Z1253" s="23"/>
      <c r="AA1253" s="23"/>
      <c r="AF1253" s="23"/>
      <c r="AG1253" s="23"/>
      <c r="AH1253" s="23"/>
      <c r="AI1253" s="23"/>
      <c r="AN1253" s="23"/>
      <c r="AO1253" s="23"/>
      <c r="AP1253" s="23"/>
      <c r="AQ1253" s="23"/>
      <c r="AR1253" s="35"/>
      <c r="AS1253" s="35"/>
      <c r="AT1253" s="35"/>
      <c r="AU1253" s="31"/>
    </row>
    <row r="1254" spans="4:47">
      <c r="D1254" s="31"/>
      <c r="E1254" s="31"/>
      <c r="F1254" s="31"/>
      <c r="G1254" s="31"/>
      <c r="H1254" s="32"/>
      <c r="J1254" s="33"/>
      <c r="K1254" s="33"/>
      <c r="L1254" s="33"/>
      <c r="X1254" s="23"/>
      <c r="Y1254" s="23"/>
      <c r="Z1254" s="23"/>
      <c r="AA1254" s="23"/>
      <c r="AF1254" s="23"/>
      <c r="AG1254" s="23"/>
      <c r="AH1254" s="23"/>
      <c r="AI1254" s="23"/>
      <c r="AN1254" s="23"/>
      <c r="AO1254" s="23"/>
      <c r="AP1254" s="23"/>
      <c r="AQ1254" s="23"/>
      <c r="AR1254" s="35"/>
      <c r="AS1254" s="35"/>
      <c r="AT1254" s="35"/>
      <c r="AU1254" s="31"/>
    </row>
    <row r="1255" spans="4:47">
      <c r="D1255" s="31"/>
      <c r="E1255" s="31"/>
      <c r="F1255" s="31"/>
      <c r="G1255" s="31"/>
      <c r="H1255" s="32"/>
      <c r="J1255" s="33"/>
      <c r="K1255" s="33"/>
      <c r="L1255" s="33"/>
      <c r="X1255" s="23"/>
      <c r="Y1255" s="23"/>
      <c r="Z1255" s="23"/>
      <c r="AA1255" s="23"/>
      <c r="AF1255" s="23"/>
      <c r="AG1255" s="23"/>
      <c r="AH1255" s="23"/>
      <c r="AI1255" s="23"/>
      <c r="AN1255" s="23"/>
      <c r="AO1255" s="23"/>
      <c r="AP1255" s="23"/>
      <c r="AQ1255" s="23"/>
      <c r="AR1255" s="35"/>
      <c r="AS1255" s="35"/>
      <c r="AT1255" s="35"/>
      <c r="AU1255" s="31"/>
    </row>
    <row r="1256" spans="4:47">
      <c r="D1256" s="31"/>
      <c r="E1256" s="31"/>
      <c r="F1256" s="31"/>
      <c r="G1256" s="31"/>
      <c r="H1256" s="32"/>
      <c r="J1256" s="33"/>
      <c r="K1256" s="33"/>
      <c r="L1256" s="33"/>
      <c r="X1256" s="23"/>
      <c r="Y1256" s="23"/>
      <c r="Z1256" s="23"/>
      <c r="AA1256" s="23"/>
      <c r="AF1256" s="23"/>
      <c r="AG1256" s="23"/>
      <c r="AH1256" s="23"/>
      <c r="AI1256" s="23"/>
      <c r="AN1256" s="23"/>
      <c r="AO1256" s="23"/>
      <c r="AP1256" s="23"/>
      <c r="AQ1256" s="23"/>
      <c r="AR1256" s="35"/>
      <c r="AS1256" s="35"/>
      <c r="AT1256" s="35"/>
      <c r="AU1256" s="31"/>
    </row>
    <row r="1257" spans="4:47">
      <c r="D1257" s="31"/>
      <c r="E1257" s="31"/>
      <c r="F1257" s="31"/>
      <c r="G1257" s="31"/>
      <c r="H1257" s="32"/>
      <c r="J1257" s="33"/>
      <c r="K1257" s="33"/>
      <c r="L1257" s="33"/>
      <c r="X1257" s="23"/>
      <c r="Y1257" s="23"/>
      <c r="Z1257" s="23"/>
      <c r="AA1257" s="23"/>
      <c r="AF1257" s="23"/>
      <c r="AG1257" s="23"/>
      <c r="AH1257" s="23"/>
      <c r="AI1257" s="23"/>
      <c r="AN1257" s="23"/>
      <c r="AO1257" s="23"/>
      <c r="AP1257" s="23"/>
      <c r="AQ1257" s="23"/>
      <c r="AR1257" s="35"/>
      <c r="AS1257" s="35"/>
      <c r="AT1257" s="35"/>
      <c r="AU1257" s="31"/>
    </row>
    <row r="1258" spans="4:47">
      <c r="D1258" s="31"/>
      <c r="E1258" s="31"/>
      <c r="F1258" s="31"/>
      <c r="G1258" s="31"/>
      <c r="H1258" s="32"/>
      <c r="J1258" s="33"/>
      <c r="K1258" s="33"/>
      <c r="L1258" s="33"/>
      <c r="X1258" s="23"/>
      <c r="Y1258" s="23"/>
      <c r="Z1258" s="23"/>
      <c r="AA1258" s="23"/>
      <c r="AF1258" s="23"/>
      <c r="AG1258" s="23"/>
      <c r="AH1258" s="23"/>
      <c r="AI1258" s="23"/>
      <c r="AN1258" s="23"/>
      <c r="AO1258" s="23"/>
      <c r="AP1258" s="23"/>
      <c r="AQ1258" s="23"/>
      <c r="AR1258" s="35"/>
      <c r="AS1258" s="35"/>
      <c r="AT1258" s="35"/>
      <c r="AU1258" s="31"/>
    </row>
    <row r="1259" spans="4:47">
      <c r="D1259" s="31"/>
      <c r="E1259" s="31"/>
      <c r="F1259" s="31"/>
      <c r="G1259" s="31"/>
      <c r="H1259" s="32"/>
      <c r="J1259" s="33"/>
      <c r="K1259" s="33"/>
      <c r="L1259" s="33"/>
      <c r="X1259" s="23"/>
      <c r="Y1259" s="23"/>
      <c r="Z1259" s="23"/>
      <c r="AA1259" s="23"/>
      <c r="AF1259" s="23"/>
      <c r="AG1259" s="23"/>
      <c r="AH1259" s="23"/>
      <c r="AI1259" s="23"/>
      <c r="AN1259" s="23"/>
      <c r="AO1259" s="23"/>
      <c r="AP1259" s="23"/>
      <c r="AQ1259" s="23"/>
      <c r="AR1259" s="35"/>
      <c r="AS1259" s="35"/>
      <c r="AT1259" s="35"/>
      <c r="AU1259" s="31"/>
    </row>
    <row r="1260" spans="4:47">
      <c r="D1260" s="31"/>
      <c r="E1260" s="31"/>
      <c r="F1260" s="31"/>
      <c r="G1260" s="31"/>
      <c r="H1260" s="32"/>
      <c r="J1260" s="33"/>
      <c r="K1260" s="33"/>
      <c r="L1260" s="33"/>
      <c r="X1260" s="23"/>
      <c r="Y1260" s="23"/>
      <c r="Z1260" s="23"/>
      <c r="AA1260" s="23"/>
      <c r="AF1260" s="23"/>
      <c r="AG1260" s="23"/>
      <c r="AH1260" s="23"/>
      <c r="AI1260" s="23"/>
      <c r="AN1260" s="23"/>
      <c r="AO1260" s="23"/>
      <c r="AP1260" s="23"/>
      <c r="AQ1260" s="23"/>
      <c r="AR1260" s="35"/>
      <c r="AS1260" s="35"/>
      <c r="AT1260" s="35"/>
      <c r="AU1260" s="31"/>
    </row>
    <row r="1261" spans="4:47">
      <c r="D1261" s="31"/>
      <c r="E1261" s="31"/>
      <c r="F1261" s="31"/>
      <c r="G1261" s="31"/>
      <c r="H1261" s="32"/>
      <c r="J1261" s="33"/>
      <c r="K1261" s="33"/>
      <c r="L1261" s="33"/>
      <c r="X1261" s="23"/>
      <c r="Y1261" s="23"/>
      <c r="Z1261" s="23"/>
      <c r="AA1261" s="23"/>
      <c r="AF1261" s="23"/>
      <c r="AG1261" s="23"/>
      <c r="AH1261" s="23"/>
      <c r="AI1261" s="23"/>
      <c r="AN1261" s="23"/>
      <c r="AO1261" s="23"/>
      <c r="AP1261" s="23"/>
      <c r="AQ1261" s="23"/>
      <c r="AR1261" s="35"/>
      <c r="AS1261" s="35"/>
      <c r="AT1261" s="35"/>
      <c r="AU1261" s="31"/>
    </row>
    <row r="1262" spans="4:47">
      <c r="D1262" s="31"/>
      <c r="E1262" s="31"/>
      <c r="F1262" s="31"/>
      <c r="G1262" s="31"/>
      <c r="H1262" s="32"/>
      <c r="J1262" s="33"/>
      <c r="K1262" s="33"/>
      <c r="L1262" s="33"/>
      <c r="X1262" s="23"/>
      <c r="Y1262" s="23"/>
      <c r="Z1262" s="23"/>
      <c r="AA1262" s="23"/>
      <c r="AF1262" s="23"/>
      <c r="AG1262" s="23"/>
      <c r="AH1262" s="23"/>
      <c r="AI1262" s="23"/>
      <c r="AN1262" s="23"/>
      <c r="AO1262" s="23"/>
      <c r="AP1262" s="23"/>
      <c r="AQ1262" s="23"/>
      <c r="AR1262" s="35"/>
      <c r="AS1262" s="35"/>
      <c r="AT1262" s="35"/>
      <c r="AU1262" s="31"/>
    </row>
    <row r="1263" spans="4:47">
      <c r="D1263" s="31"/>
      <c r="E1263" s="31"/>
      <c r="F1263" s="31"/>
      <c r="G1263" s="31"/>
      <c r="H1263" s="32"/>
      <c r="J1263" s="33"/>
      <c r="K1263" s="33"/>
      <c r="L1263" s="33"/>
      <c r="X1263" s="23"/>
      <c r="Y1263" s="23"/>
      <c r="Z1263" s="23"/>
      <c r="AA1263" s="23"/>
      <c r="AF1263" s="23"/>
      <c r="AG1263" s="23"/>
      <c r="AH1263" s="23"/>
      <c r="AI1263" s="23"/>
      <c r="AN1263" s="23"/>
      <c r="AO1263" s="23"/>
      <c r="AP1263" s="23"/>
      <c r="AQ1263" s="23"/>
      <c r="AR1263" s="35"/>
      <c r="AS1263" s="35"/>
      <c r="AT1263" s="35"/>
      <c r="AU1263" s="31"/>
    </row>
    <row r="1264" spans="4:47">
      <c r="D1264" s="31"/>
      <c r="E1264" s="31"/>
      <c r="F1264" s="31"/>
      <c r="G1264" s="31"/>
      <c r="H1264" s="32"/>
      <c r="J1264" s="33"/>
      <c r="K1264" s="33"/>
      <c r="L1264" s="33"/>
      <c r="X1264" s="23"/>
      <c r="Y1264" s="23"/>
      <c r="Z1264" s="23"/>
      <c r="AA1264" s="23"/>
      <c r="AF1264" s="23"/>
      <c r="AG1264" s="23"/>
      <c r="AH1264" s="23"/>
      <c r="AI1264" s="23"/>
      <c r="AN1264" s="23"/>
      <c r="AO1264" s="23"/>
      <c r="AP1264" s="23"/>
      <c r="AQ1264" s="23"/>
      <c r="AR1264" s="35"/>
      <c r="AS1264" s="35"/>
      <c r="AT1264" s="35"/>
      <c r="AU1264" s="31"/>
    </row>
    <row r="1265" spans="4:47">
      <c r="D1265" s="31"/>
      <c r="E1265" s="31"/>
      <c r="F1265" s="31"/>
      <c r="G1265" s="31"/>
      <c r="H1265" s="32"/>
      <c r="J1265" s="33"/>
      <c r="K1265" s="33"/>
      <c r="L1265" s="33"/>
      <c r="X1265" s="23"/>
      <c r="Y1265" s="23"/>
      <c r="Z1265" s="23"/>
      <c r="AA1265" s="23"/>
      <c r="AF1265" s="23"/>
      <c r="AG1265" s="23"/>
      <c r="AH1265" s="23"/>
      <c r="AI1265" s="23"/>
      <c r="AN1265" s="23"/>
      <c r="AO1265" s="23"/>
      <c r="AP1265" s="23"/>
      <c r="AQ1265" s="23"/>
      <c r="AR1265" s="35"/>
      <c r="AS1265" s="35"/>
      <c r="AT1265" s="35"/>
      <c r="AU1265" s="31"/>
    </row>
    <row r="1266" spans="4:47">
      <c r="D1266" s="31"/>
      <c r="E1266" s="31"/>
      <c r="F1266" s="31"/>
      <c r="G1266" s="31"/>
      <c r="H1266" s="32"/>
      <c r="J1266" s="33"/>
      <c r="K1266" s="33"/>
      <c r="L1266" s="33"/>
      <c r="X1266" s="23"/>
      <c r="Y1266" s="23"/>
      <c r="Z1266" s="23"/>
      <c r="AA1266" s="23"/>
      <c r="AF1266" s="23"/>
      <c r="AG1266" s="23"/>
      <c r="AH1266" s="23"/>
      <c r="AI1266" s="23"/>
      <c r="AN1266" s="23"/>
      <c r="AO1266" s="23"/>
      <c r="AP1266" s="23"/>
      <c r="AQ1266" s="23"/>
      <c r="AR1266" s="35"/>
      <c r="AS1266" s="35"/>
      <c r="AT1266" s="35"/>
      <c r="AU1266" s="31"/>
    </row>
    <row r="1267" spans="4:47">
      <c r="D1267" s="31"/>
      <c r="E1267" s="31"/>
      <c r="F1267" s="31"/>
      <c r="G1267" s="31"/>
      <c r="H1267" s="32"/>
      <c r="J1267" s="33"/>
      <c r="K1267" s="33"/>
      <c r="L1267" s="33"/>
      <c r="X1267" s="23"/>
      <c r="Y1267" s="23"/>
      <c r="Z1267" s="23"/>
      <c r="AA1267" s="23"/>
      <c r="AF1267" s="23"/>
      <c r="AG1267" s="23"/>
      <c r="AH1267" s="23"/>
      <c r="AI1267" s="23"/>
      <c r="AN1267" s="23"/>
      <c r="AO1267" s="23"/>
      <c r="AP1267" s="23"/>
      <c r="AQ1267" s="23"/>
      <c r="AR1267" s="35"/>
      <c r="AS1267" s="35"/>
      <c r="AT1267" s="35"/>
      <c r="AU1267" s="31"/>
    </row>
    <row r="1268" spans="4:47">
      <c r="D1268" s="31"/>
      <c r="E1268" s="31"/>
      <c r="F1268" s="31"/>
      <c r="G1268" s="31"/>
      <c r="H1268" s="32"/>
      <c r="J1268" s="33"/>
      <c r="K1268" s="33"/>
      <c r="L1268" s="33"/>
      <c r="X1268" s="23"/>
      <c r="Y1268" s="23"/>
      <c r="Z1268" s="23"/>
      <c r="AA1268" s="23"/>
      <c r="AF1268" s="23"/>
      <c r="AG1268" s="23"/>
      <c r="AH1268" s="23"/>
      <c r="AI1268" s="23"/>
      <c r="AN1268" s="23"/>
      <c r="AO1268" s="23"/>
      <c r="AP1268" s="23"/>
      <c r="AQ1268" s="23"/>
      <c r="AR1268" s="35"/>
      <c r="AS1268" s="35"/>
      <c r="AT1268" s="35"/>
      <c r="AU1268" s="31"/>
    </row>
    <row r="1269" spans="4:47">
      <c r="D1269" s="31"/>
      <c r="E1269" s="31"/>
      <c r="F1269" s="31"/>
      <c r="G1269" s="31"/>
      <c r="H1269" s="32"/>
      <c r="J1269" s="33"/>
      <c r="K1269" s="33"/>
      <c r="L1269" s="33"/>
      <c r="X1269" s="23"/>
      <c r="Y1269" s="23"/>
      <c r="Z1269" s="23"/>
      <c r="AA1269" s="23"/>
      <c r="AF1269" s="23"/>
      <c r="AG1269" s="23"/>
      <c r="AH1269" s="23"/>
      <c r="AI1269" s="23"/>
      <c r="AN1269" s="23"/>
      <c r="AO1269" s="23"/>
      <c r="AP1269" s="23"/>
      <c r="AQ1269" s="23"/>
      <c r="AR1269" s="35"/>
      <c r="AS1269" s="35"/>
      <c r="AT1269" s="35"/>
      <c r="AU1269" s="31"/>
    </row>
    <row r="1270" spans="4:47">
      <c r="D1270" s="31"/>
      <c r="E1270" s="31"/>
      <c r="F1270" s="31"/>
      <c r="G1270" s="31"/>
      <c r="H1270" s="32"/>
      <c r="J1270" s="33"/>
      <c r="K1270" s="33"/>
      <c r="L1270" s="33"/>
      <c r="X1270" s="23"/>
      <c r="Y1270" s="23"/>
      <c r="Z1270" s="23"/>
      <c r="AA1270" s="23"/>
      <c r="AF1270" s="23"/>
      <c r="AG1270" s="23"/>
      <c r="AH1270" s="23"/>
      <c r="AI1270" s="23"/>
      <c r="AN1270" s="23"/>
      <c r="AO1270" s="23"/>
      <c r="AP1270" s="23"/>
      <c r="AQ1270" s="23"/>
      <c r="AR1270" s="35"/>
      <c r="AS1270" s="35"/>
      <c r="AT1270" s="35"/>
      <c r="AU1270" s="31"/>
    </row>
    <row r="1271" spans="4:47">
      <c r="D1271" s="31"/>
      <c r="E1271" s="31"/>
      <c r="F1271" s="31"/>
      <c r="G1271" s="31"/>
      <c r="H1271" s="32"/>
      <c r="J1271" s="33"/>
      <c r="K1271" s="33"/>
      <c r="L1271" s="33"/>
      <c r="X1271" s="23"/>
      <c r="Y1271" s="23"/>
      <c r="Z1271" s="23"/>
      <c r="AA1271" s="23"/>
      <c r="AF1271" s="23"/>
      <c r="AG1271" s="23"/>
      <c r="AH1271" s="23"/>
      <c r="AI1271" s="23"/>
      <c r="AN1271" s="23"/>
      <c r="AO1271" s="23"/>
      <c r="AP1271" s="23"/>
      <c r="AQ1271" s="23"/>
      <c r="AR1271" s="35"/>
      <c r="AS1271" s="35"/>
      <c r="AT1271" s="35"/>
      <c r="AU1271" s="31"/>
    </row>
    <row r="1272" spans="4:47">
      <c r="D1272" s="31"/>
      <c r="E1272" s="31"/>
      <c r="F1272" s="31"/>
      <c r="G1272" s="31"/>
      <c r="H1272" s="32"/>
      <c r="J1272" s="33"/>
      <c r="K1272" s="33"/>
      <c r="L1272" s="33"/>
      <c r="X1272" s="23"/>
      <c r="Y1272" s="23"/>
      <c r="Z1272" s="23"/>
      <c r="AA1272" s="23"/>
      <c r="AF1272" s="23"/>
      <c r="AG1272" s="23"/>
      <c r="AH1272" s="23"/>
      <c r="AI1272" s="23"/>
      <c r="AN1272" s="23"/>
      <c r="AO1272" s="23"/>
      <c r="AP1272" s="23"/>
      <c r="AQ1272" s="23"/>
      <c r="AR1272" s="35"/>
      <c r="AS1272" s="35"/>
      <c r="AT1272" s="35"/>
      <c r="AU1272" s="31"/>
    </row>
    <row r="1273" spans="4:47">
      <c r="D1273" s="31"/>
      <c r="E1273" s="31"/>
      <c r="F1273" s="31"/>
      <c r="G1273" s="31"/>
      <c r="H1273" s="32"/>
      <c r="J1273" s="33"/>
      <c r="K1273" s="33"/>
      <c r="L1273" s="33"/>
      <c r="X1273" s="23"/>
      <c r="Y1273" s="23"/>
      <c r="Z1273" s="23"/>
      <c r="AA1273" s="23"/>
      <c r="AF1273" s="23"/>
      <c r="AG1273" s="23"/>
      <c r="AH1273" s="23"/>
      <c r="AI1273" s="23"/>
      <c r="AN1273" s="23"/>
      <c r="AO1273" s="23"/>
      <c r="AP1273" s="23"/>
      <c r="AQ1273" s="23"/>
      <c r="AR1273" s="35"/>
      <c r="AS1273" s="35"/>
      <c r="AT1273" s="35"/>
      <c r="AU1273" s="31"/>
    </row>
    <row r="1274" spans="4:47">
      <c r="D1274" s="31"/>
      <c r="E1274" s="31"/>
      <c r="F1274" s="31"/>
      <c r="G1274" s="31"/>
      <c r="H1274" s="32"/>
      <c r="J1274" s="33"/>
      <c r="K1274" s="33"/>
      <c r="L1274" s="33"/>
      <c r="X1274" s="23"/>
      <c r="Y1274" s="23"/>
      <c r="Z1274" s="23"/>
      <c r="AA1274" s="23"/>
      <c r="AF1274" s="23"/>
      <c r="AG1274" s="23"/>
      <c r="AH1274" s="23"/>
      <c r="AI1274" s="23"/>
      <c r="AN1274" s="23"/>
      <c r="AO1274" s="23"/>
      <c r="AP1274" s="23"/>
      <c r="AQ1274" s="23"/>
      <c r="AR1274" s="35"/>
      <c r="AS1274" s="35"/>
      <c r="AT1274" s="35"/>
      <c r="AU1274" s="31"/>
    </row>
    <row r="1275" spans="1:47">
      <c r="A1275" s="40"/>
      <c r="D1275" s="31"/>
      <c r="E1275" s="31"/>
      <c r="F1275" s="31"/>
      <c r="G1275" s="31"/>
      <c r="H1275" s="32"/>
      <c r="J1275" s="33"/>
      <c r="K1275" s="33"/>
      <c r="L1275" s="33"/>
      <c r="X1275" s="23"/>
      <c r="Y1275" s="23"/>
      <c r="Z1275" s="23"/>
      <c r="AA1275" s="23"/>
      <c r="AF1275" s="23"/>
      <c r="AG1275" s="23"/>
      <c r="AH1275" s="23"/>
      <c r="AI1275" s="23"/>
      <c r="AN1275" s="23"/>
      <c r="AO1275" s="23"/>
      <c r="AP1275" s="23"/>
      <c r="AQ1275" s="23"/>
      <c r="AR1275" s="35"/>
      <c r="AS1275" s="35"/>
      <c r="AT1275" s="35"/>
      <c r="AU1275" s="31"/>
    </row>
    <row r="1276" spans="1:47">
      <c r="A1276" s="40"/>
      <c r="D1276" s="31"/>
      <c r="E1276" s="31"/>
      <c r="F1276" s="31"/>
      <c r="G1276" s="31"/>
      <c r="H1276" s="32"/>
      <c r="J1276" s="33"/>
      <c r="K1276" s="33"/>
      <c r="L1276" s="33"/>
      <c r="X1276" s="23"/>
      <c r="Y1276" s="23"/>
      <c r="Z1276" s="23"/>
      <c r="AA1276" s="23"/>
      <c r="AF1276" s="23"/>
      <c r="AG1276" s="23"/>
      <c r="AH1276" s="23"/>
      <c r="AI1276" s="23"/>
      <c r="AN1276" s="23"/>
      <c r="AO1276" s="23"/>
      <c r="AP1276" s="23"/>
      <c r="AQ1276" s="23"/>
      <c r="AR1276" s="35"/>
      <c r="AS1276" s="35"/>
      <c r="AT1276" s="35"/>
      <c r="AU1276" s="31"/>
    </row>
    <row r="1277" spans="1:47">
      <c r="A1277" s="40"/>
      <c r="D1277" s="31"/>
      <c r="E1277" s="31"/>
      <c r="F1277" s="31"/>
      <c r="G1277" s="31"/>
      <c r="H1277" s="32"/>
      <c r="J1277" s="33"/>
      <c r="K1277" s="33"/>
      <c r="L1277" s="33"/>
      <c r="X1277" s="23"/>
      <c r="Y1277" s="23"/>
      <c r="Z1277" s="23"/>
      <c r="AA1277" s="23"/>
      <c r="AF1277" s="23"/>
      <c r="AG1277" s="23"/>
      <c r="AH1277" s="23"/>
      <c r="AI1277" s="23"/>
      <c r="AN1277" s="23"/>
      <c r="AO1277" s="23"/>
      <c r="AP1277" s="23"/>
      <c r="AQ1277" s="23"/>
      <c r="AR1277" s="35"/>
      <c r="AS1277" s="35"/>
      <c r="AT1277" s="35"/>
      <c r="AU1277" s="31"/>
    </row>
    <row r="1278" spans="1:47">
      <c r="A1278" s="40"/>
      <c r="D1278" s="31"/>
      <c r="E1278" s="31"/>
      <c r="F1278" s="31"/>
      <c r="G1278" s="31"/>
      <c r="H1278" s="32"/>
      <c r="J1278" s="33"/>
      <c r="K1278" s="33"/>
      <c r="L1278" s="33"/>
      <c r="X1278" s="23"/>
      <c r="Y1278" s="23"/>
      <c r="Z1278" s="23"/>
      <c r="AA1278" s="23"/>
      <c r="AF1278" s="23"/>
      <c r="AG1278" s="23"/>
      <c r="AH1278" s="23"/>
      <c r="AI1278" s="23"/>
      <c r="AN1278" s="23"/>
      <c r="AO1278" s="23"/>
      <c r="AP1278" s="23"/>
      <c r="AQ1278" s="23"/>
      <c r="AR1278" s="35"/>
      <c r="AS1278" s="35"/>
      <c r="AT1278" s="35"/>
      <c r="AU1278" s="31"/>
    </row>
    <row r="1279" spans="1:47">
      <c r="A1279" s="40"/>
      <c r="D1279" s="31"/>
      <c r="E1279" s="31"/>
      <c r="F1279" s="31"/>
      <c r="G1279" s="31"/>
      <c r="H1279" s="32"/>
      <c r="J1279" s="33"/>
      <c r="K1279" s="33"/>
      <c r="L1279" s="33"/>
      <c r="X1279" s="23"/>
      <c r="Y1279" s="23"/>
      <c r="Z1279" s="23"/>
      <c r="AA1279" s="23"/>
      <c r="AF1279" s="23"/>
      <c r="AG1279" s="23"/>
      <c r="AH1279" s="23"/>
      <c r="AI1279" s="23"/>
      <c r="AN1279" s="23"/>
      <c r="AO1279" s="23"/>
      <c r="AP1279" s="23"/>
      <c r="AQ1279" s="23"/>
      <c r="AR1279" s="35"/>
      <c r="AS1279" s="35"/>
      <c r="AT1279" s="35"/>
      <c r="AU1279" s="31"/>
    </row>
    <row r="1280" spans="1:47">
      <c r="A1280" s="40"/>
      <c r="D1280" s="31"/>
      <c r="E1280" s="31"/>
      <c r="F1280" s="31"/>
      <c r="G1280" s="31"/>
      <c r="H1280" s="32"/>
      <c r="J1280" s="33"/>
      <c r="K1280" s="33"/>
      <c r="L1280" s="33"/>
      <c r="X1280" s="23"/>
      <c r="Y1280" s="23"/>
      <c r="Z1280" s="23"/>
      <c r="AA1280" s="23"/>
      <c r="AF1280" s="23"/>
      <c r="AG1280" s="23"/>
      <c r="AH1280" s="23"/>
      <c r="AI1280" s="23"/>
      <c r="AN1280" s="23"/>
      <c r="AO1280" s="23"/>
      <c r="AP1280" s="23"/>
      <c r="AQ1280" s="23"/>
      <c r="AR1280" s="35"/>
      <c r="AS1280" s="35"/>
      <c r="AT1280" s="35"/>
      <c r="AU1280" s="31"/>
    </row>
    <row r="1281" spans="1:47">
      <c r="A1281" s="40"/>
      <c r="D1281" s="31"/>
      <c r="E1281" s="31"/>
      <c r="F1281" s="31"/>
      <c r="G1281" s="31"/>
      <c r="H1281" s="32"/>
      <c r="J1281" s="33"/>
      <c r="K1281" s="33"/>
      <c r="L1281" s="33"/>
      <c r="X1281" s="23"/>
      <c r="Y1281" s="23"/>
      <c r="Z1281" s="23"/>
      <c r="AA1281" s="23"/>
      <c r="AF1281" s="23"/>
      <c r="AG1281" s="23"/>
      <c r="AH1281" s="23"/>
      <c r="AI1281" s="23"/>
      <c r="AN1281" s="23"/>
      <c r="AO1281" s="23"/>
      <c r="AP1281" s="23"/>
      <c r="AQ1281" s="23"/>
      <c r="AR1281" s="35"/>
      <c r="AS1281" s="35"/>
      <c r="AT1281" s="35"/>
      <c r="AU1281" s="31"/>
    </row>
    <row r="1282" spans="1:47">
      <c r="A1282" s="40"/>
      <c r="D1282" s="31"/>
      <c r="E1282" s="31"/>
      <c r="F1282" s="31"/>
      <c r="G1282" s="31"/>
      <c r="H1282" s="32"/>
      <c r="J1282" s="33"/>
      <c r="K1282" s="33"/>
      <c r="L1282" s="33"/>
      <c r="X1282" s="23"/>
      <c r="Y1282" s="23"/>
      <c r="Z1282" s="23"/>
      <c r="AA1282" s="23"/>
      <c r="AF1282" s="23"/>
      <c r="AG1282" s="23"/>
      <c r="AH1282" s="23"/>
      <c r="AI1282" s="23"/>
      <c r="AN1282" s="23"/>
      <c r="AO1282" s="23"/>
      <c r="AP1282" s="23"/>
      <c r="AQ1282" s="23"/>
      <c r="AR1282" s="35"/>
      <c r="AS1282" s="35"/>
      <c r="AT1282" s="35"/>
      <c r="AU1282" s="31"/>
    </row>
    <row r="1283" spans="1:47">
      <c r="A1283" s="40"/>
      <c r="D1283" s="31"/>
      <c r="E1283" s="31"/>
      <c r="F1283" s="31"/>
      <c r="G1283" s="31"/>
      <c r="H1283" s="32"/>
      <c r="J1283" s="33"/>
      <c r="K1283" s="33"/>
      <c r="L1283" s="33"/>
      <c r="X1283" s="23"/>
      <c r="Y1283" s="23"/>
      <c r="Z1283" s="23"/>
      <c r="AA1283" s="23"/>
      <c r="AF1283" s="23"/>
      <c r="AG1283" s="23"/>
      <c r="AH1283" s="23"/>
      <c r="AI1283" s="23"/>
      <c r="AN1283" s="23"/>
      <c r="AO1283" s="23"/>
      <c r="AP1283" s="23"/>
      <c r="AQ1283" s="23"/>
      <c r="AR1283" s="35"/>
      <c r="AS1283" s="35"/>
      <c r="AT1283" s="35"/>
      <c r="AU1283" s="31"/>
    </row>
    <row r="1284" spans="1:47">
      <c r="A1284" s="40"/>
      <c r="D1284" s="31"/>
      <c r="E1284" s="31"/>
      <c r="F1284" s="31"/>
      <c r="G1284" s="31"/>
      <c r="H1284" s="32"/>
      <c r="J1284" s="33"/>
      <c r="K1284" s="33"/>
      <c r="L1284" s="33"/>
      <c r="X1284" s="23"/>
      <c r="Y1284" s="23"/>
      <c r="Z1284" s="23"/>
      <c r="AA1284" s="23"/>
      <c r="AF1284" s="23"/>
      <c r="AG1284" s="23"/>
      <c r="AH1284" s="23"/>
      <c r="AI1284" s="23"/>
      <c r="AN1284" s="23"/>
      <c r="AO1284" s="23"/>
      <c r="AP1284" s="23"/>
      <c r="AQ1284" s="23"/>
      <c r="AR1284" s="35"/>
      <c r="AS1284" s="35"/>
      <c r="AT1284" s="35"/>
      <c r="AU1284" s="31"/>
    </row>
    <row r="1285" spans="1:47">
      <c r="A1285" s="40"/>
      <c r="D1285" s="31"/>
      <c r="E1285" s="31"/>
      <c r="F1285" s="31"/>
      <c r="G1285" s="31"/>
      <c r="H1285" s="32"/>
      <c r="J1285" s="33"/>
      <c r="K1285" s="33"/>
      <c r="L1285" s="33"/>
      <c r="X1285" s="23"/>
      <c r="Y1285" s="23"/>
      <c r="Z1285" s="23"/>
      <c r="AA1285" s="23"/>
      <c r="AF1285" s="23"/>
      <c r="AG1285" s="23"/>
      <c r="AH1285" s="23"/>
      <c r="AI1285" s="23"/>
      <c r="AN1285" s="23"/>
      <c r="AO1285" s="23"/>
      <c r="AP1285" s="23"/>
      <c r="AQ1285" s="23"/>
      <c r="AR1285" s="35"/>
      <c r="AS1285" s="35"/>
      <c r="AT1285" s="35"/>
      <c r="AU1285" s="31"/>
    </row>
    <row r="1286" spans="1:47">
      <c r="A1286" s="40"/>
      <c r="D1286" s="31"/>
      <c r="E1286" s="31"/>
      <c r="F1286" s="31"/>
      <c r="G1286" s="31"/>
      <c r="H1286" s="32"/>
      <c r="J1286" s="33"/>
      <c r="K1286" s="33"/>
      <c r="L1286" s="33"/>
      <c r="X1286" s="23"/>
      <c r="Y1286" s="23"/>
      <c r="Z1286" s="23"/>
      <c r="AA1286" s="23"/>
      <c r="AF1286" s="23"/>
      <c r="AG1286" s="23"/>
      <c r="AH1286" s="23"/>
      <c r="AI1286" s="23"/>
      <c r="AN1286" s="23"/>
      <c r="AO1286" s="23"/>
      <c r="AP1286" s="23"/>
      <c r="AQ1286" s="23"/>
      <c r="AR1286" s="35"/>
      <c r="AS1286" s="35"/>
      <c r="AT1286" s="35"/>
      <c r="AU1286" s="31"/>
    </row>
    <row r="1287" spans="1:47">
      <c r="A1287" s="40"/>
      <c r="D1287" s="31"/>
      <c r="E1287" s="31"/>
      <c r="F1287" s="31"/>
      <c r="G1287" s="31"/>
      <c r="H1287" s="32"/>
      <c r="J1287" s="33"/>
      <c r="K1287" s="33"/>
      <c r="L1287" s="33"/>
      <c r="X1287" s="23"/>
      <c r="Y1287" s="23"/>
      <c r="Z1287" s="23"/>
      <c r="AA1287" s="23"/>
      <c r="AF1287" s="23"/>
      <c r="AG1287" s="23"/>
      <c r="AH1287" s="23"/>
      <c r="AI1287" s="23"/>
      <c r="AN1287" s="23"/>
      <c r="AO1287" s="23"/>
      <c r="AP1287" s="23"/>
      <c r="AQ1287" s="23"/>
      <c r="AR1287" s="35"/>
      <c r="AS1287" s="35"/>
      <c r="AT1287" s="35"/>
      <c r="AU1287" s="31"/>
    </row>
    <row r="1288" spans="1:47">
      <c r="A1288" s="21"/>
      <c r="D1288" s="31"/>
      <c r="E1288" s="31"/>
      <c r="F1288" s="31"/>
      <c r="G1288" s="31"/>
      <c r="H1288" s="32"/>
      <c r="J1288" s="33"/>
      <c r="K1288" s="33"/>
      <c r="L1288" s="33"/>
      <c r="X1288" s="23"/>
      <c r="Y1288" s="23"/>
      <c r="Z1288" s="23"/>
      <c r="AA1288" s="23"/>
      <c r="AF1288" s="23"/>
      <c r="AG1288" s="23"/>
      <c r="AH1288" s="23"/>
      <c r="AI1288" s="23"/>
      <c r="AN1288" s="23"/>
      <c r="AO1288" s="23"/>
      <c r="AP1288" s="23"/>
      <c r="AQ1288" s="23"/>
      <c r="AR1288" s="35"/>
      <c r="AS1288" s="35"/>
      <c r="AT1288" s="35"/>
      <c r="AU1288" s="31"/>
    </row>
    <row r="1289" spans="1:47">
      <c r="A1289" s="21"/>
      <c r="D1289" s="31"/>
      <c r="E1289" s="31"/>
      <c r="F1289" s="31"/>
      <c r="G1289" s="31"/>
      <c r="H1289" s="32"/>
      <c r="J1289" s="33"/>
      <c r="K1289" s="33"/>
      <c r="L1289" s="33"/>
      <c r="X1289" s="23"/>
      <c r="Y1289" s="23"/>
      <c r="Z1289" s="23"/>
      <c r="AA1289" s="23"/>
      <c r="AF1289" s="23"/>
      <c r="AG1289" s="23"/>
      <c r="AH1289" s="23"/>
      <c r="AI1289" s="23"/>
      <c r="AN1289" s="23"/>
      <c r="AO1289" s="23"/>
      <c r="AP1289" s="23"/>
      <c r="AQ1289" s="23"/>
      <c r="AR1289" s="35"/>
      <c r="AS1289" s="35"/>
      <c r="AT1289" s="35"/>
      <c r="AU1289" s="31"/>
    </row>
    <row r="1290" spans="1:47">
      <c r="A1290" s="21"/>
      <c r="D1290" s="31"/>
      <c r="E1290" s="31"/>
      <c r="F1290" s="31"/>
      <c r="G1290" s="31"/>
      <c r="H1290" s="32"/>
      <c r="J1290" s="33"/>
      <c r="K1290" s="33"/>
      <c r="L1290" s="33"/>
      <c r="X1290" s="23"/>
      <c r="Y1290" s="23"/>
      <c r="Z1290" s="23"/>
      <c r="AA1290" s="23"/>
      <c r="AF1290" s="23"/>
      <c r="AG1290" s="23"/>
      <c r="AH1290" s="23"/>
      <c r="AI1290" s="23"/>
      <c r="AN1290" s="23"/>
      <c r="AO1290" s="23"/>
      <c r="AP1290" s="23"/>
      <c r="AQ1290" s="23"/>
      <c r="AR1290" s="35"/>
      <c r="AS1290" s="35"/>
      <c r="AT1290" s="35"/>
      <c r="AU1290" s="31"/>
    </row>
    <row r="1291" spans="1:47">
      <c r="A1291" s="21"/>
      <c r="D1291" s="31"/>
      <c r="E1291" s="31"/>
      <c r="F1291" s="31"/>
      <c r="G1291" s="31"/>
      <c r="H1291" s="32"/>
      <c r="J1291" s="33"/>
      <c r="K1291" s="33"/>
      <c r="L1291" s="33"/>
      <c r="X1291" s="23"/>
      <c r="Y1291" s="23"/>
      <c r="Z1291" s="23"/>
      <c r="AA1291" s="23"/>
      <c r="AF1291" s="23"/>
      <c r="AG1291" s="23"/>
      <c r="AH1291" s="23"/>
      <c r="AI1291" s="23"/>
      <c r="AN1291" s="23"/>
      <c r="AO1291" s="23"/>
      <c r="AP1291" s="23"/>
      <c r="AQ1291" s="23"/>
      <c r="AR1291" s="35"/>
      <c r="AS1291" s="35"/>
      <c r="AT1291" s="35"/>
      <c r="AU1291" s="31"/>
    </row>
    <row r="1292" spans="1:47">
      <c r="A1292" s="21"/>
      <c r="D1292" s="31"/>
      <c r="E1292" s="31"/>
      <c r="F1292" s="31"/>
      <c r="G1292" s="31"/>
      <c r="H1292" s="32"/>
      <c r="J1292" s="33"/>
      <c r="K1292" s="33"/>
      <c r="L1292" s="33"/>
      <c r="X1292" s="23"/>
      <c r="Y1292" s="23"/>
      <c r="Z1292" s="23"/>
      <c r="AA1292" s="23"/>
      <c r="AF1292" s="23"/>
      <c r="AG1292" s="23"/>
      <c r="AH1292" s="23"/>
      <c r="AI1292" s="23"/>
      <c r="AN1292" s="23"/>
      <c r="AO1292" s="23"/>
      <c r="AP1292" s="23"/>
      <c r="AQ1292" s="23"/>
      <c r="AR1292" s="35"/>
      <c r="AS1292" s="35"/>
      <c r="AT1292" s="35"/>
      <c r="AU1292" s="31"/>
    </row>
    <row r="1293" spans="1:47">
      <c r="A1293" s="21"/>
      <c r="D1293" s="31"/>
      <c r="E1293" s="31"/>
      <c r="F1293" s="31"/>
      <c r="G1293" s="31"/>
      <c r="H1293" s="32"/>
      <c r="J1293" s="33"/>
      <c r="K1293" s="33"/>
      <c r="L1293" s="33"/>
      <c r="X1293" s="23"/>
      <c r="Y1293" s="23"/>
      <c r="Z1293" s="23"/>
      <c r="AA1293" s="23"/>
      <c r="AF1293" s="23"/>
      <c r="AG1293" s="23"/>
      <c r="AH1293" s="23"/>
      <c r="AI1293" s="23"/>
      <c r="AN1293" s="23"/>
      <c r="AO1293" s="23"/>
      <c r="AP1293" s="23"/>
      <c r="AQ1293" s="23"/>
      <c r="AR1293" s="35"/>
      <c r="AS1293" s="35"/>
      <c r="AT1293" s="35"/>
      <c r="AU1293" s="31"/>
    </row>
  </sheetData>
  <autoFilter ref="A4:BI209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6811" operator="lessThan">
      <formula>20</formula>
    </cfRule>
    <cfRule type="cellIs" dxfId="1" priority="6810" operator="greaterThan">
      <formula>120</formula>
    </cfRule>
    <cfRule type="containsText" dxfId="2" priority="6809" operator="between" text="库存为">
      <formula>NOT(ISERROR(SEARCH("库存为",AU2)))</formula>
    </cfRule>
  </conditionalFormatting>
  <conditionalFormatting sqref="AU6">
    <cfRule type="cellIs" dxfId="0" priority="612" operator="lessThan">
      <formula>20</formula>
    </cfRule>
    <cfRule type="cellIs" dxfId="1" priority="408" operator="greaterThan">
      <formula>120</formula>
    </cfRule>
    <cfRule type="containsText" dxfId="2" priority="204" operator="between" text="库存为">
      <formula>NOT(ISERROR(SEARCH("库存为",AU6)))</formula>
    </cfRule>
  </conditionalFormatting>
  <conditionalFormatting sqref="AU7">
    <cfRule type="cellIs" dxfId="0" priority="611" operator="lessThan">
      <formula>20</formula>
    </cfRule>
    <cfRule type="cellIs" dxfId="1" priority="407" operator="greaterThan">
      <formula>120</formula>
    </cfRule>
    <cfRule type="containsText" dxfId="2" priority="203" operator="between" text="库存为">
      <formula>NOT(ISERROR(SEARCH("库存为",AU7)))</formula>
    </cfRule>
  </conditionalFormatting>
  <conditionalFormatting sqref="AU8">
    <cfRule type="cellIs" dxfId="0" priority="610" operator="lessThan">
      <formula>20</formula>
    </cfRule>
    <cfRule type="cellIs" dxfId="1" priority="406" operator="greaterThan">
      <formula>120</formula>
    </cfRule>
    <cfRule type="containsText" dxfId="2" priority="202" operator="between" text="库存为">
      <formula>NOT(ISERROR(SEARCH("库存为",AU8)))</formula>
    </cfRule>
  </conditionalFormatting>
  <conditionalFormatting sqref="AU9">
    <cfRule type="cellIs" dxfId="0" priority="609" operator="lessThan">
      <formula>20</formula>
    </cfRule>
    <cfRule type="cellIs" dxfId="1" priority="405" operator="greaterThan">
      <formula>120</formula>
    </cfRule>
    <cfRule type="containsText" dxfId="2" priority="201" operator="between" text="库存为">
      <formula>NOT(ISERROR(SEARCH("库存为",AU9)))</formula>
    </cfRule>
  </conditionalFormatting>
  <conditionalFormatting sqref="AU10">
    <cfRule type="cellIs" dxfId="0" priority="608" operator="lessThan">
      <formula>20</formula>
    </cfRule>
    <cfRule type="cellIs" dxfId="1" priority="404" operator="greaterThan">
      <formula>120</formula>
    </cfRule>
    <cfRule type="containsText" dxfId="2" priority="200" operator="between" text="库存为">
      <formula>NOT(ISERROR(SEARCH("库存为",AU10)))</formula>
    </cfRule>
  </conditionalFormatting>
  <conditionalFormatting sqref="AU11">
    <cfRule type="cellIs" dxfId="0" priority="607" operator="lessThan">
      <formula>20</formula>
    </cfRule>
    <cfRule type="cellIs" dxfId="1" priority="403" operator="greaterThan">
      <formula>120</formula>
    </cfRule>
    <cfRule type="containsText" dxfId="2" priority="199" operator="between" text="库存为">
      <formula>NOT(ISERROR(SEARCH("库存为",AU11)))</formula>
    </cfRule>
  </conditionalFormatting>
  <conditionalFormatting sqref="AU12">
    <cfRule type="cellIs" dxfId="0" priority="606" operator="lessThan">
      <formula>20</formula>
    </cfRule>
    <cfRule type="cellIs" dxfId="1" priority="402" operator="greaterThan">
      <formula>120</formula>
    </cfRule>
    <cfRule type="containsText" dxfId="2" priority="198" operator="between" text="库存为">
      <formula>NOT(ISERROR(SEARCH("库存为",AU12)))</formula>
    </cfRule>
  </conditionalFormatting>
  <conditionalFormatting sqref="AU13">
    <cfRule type="cellIs" dxfId="0" priority="605" operator="lessThan">
      <formula>20</formula>
    </cfRule>
    <cfRule type="cellIs" dxfId="1" priority="401" operator="greaterThan">
      <formula>120</formula>
    </cfRule>
    <cfRule type="containsText" dxfId="2" priority="197" operator="between" text="库存为">
      <formula>NOT(ISERROR(SEARCH("库存为",AU13)))</formula>
    </cfRule>
  </conditionalFormatting>
  <conditionalFormatting sqref="AU14">
    <cfRule type="cellIs" dxfId="0" priority="604" operator="lessThan">
      <formula>20</formula>
    </cfRule>
    <cfRule type="cellIs" dxfId="1" priority="400" operator="greaterThan">
      <formula>120</formula>
    </cfRule>
    <cfRule type="containsText" dxfId="2" priority="196" operator="between" text="库存为">
      <formula>NOT(ISERROR(SEARCH("库存为",AU14)))</formula>
    </cfRule>
  </conditionalFormatting>
  <conditionalFormatting sqref="AU15">
    <cfRule type="cellIs" dxfId="0" priority="603" operator="lessThan">
      <formula>20</formula>
    </cfRule>
    <cfRule type="cellIs" dxfId="1" priority="399" operator="greaterThan">
      <formula>120</formula>
    </cfRule>
    <cfRule type="containsText" dxfId="2" priority="195" operator="between" text="库存为">
      <formula>NOT(ISERROR(SEARCH("库存为",AU15)))</formula>
    </cfRule>
  </conditionalFormatting>
  <conditionalFormatting sqref="AU16">
    <cfRule type="cellIs" dxfId="0" priority="602" operator="lessThan">
      <formula>20</formula>
    </cfRule>
    <cfRule type="cellIs" dxfId="1" priority="398" operator="greaterThan">
      <formula>120</formula>
    </cfRule>
    <cfRule type="containsText" dxfId="2" priority="194" operator="between" text="库存为">
      <formula>NOT(ISERROR(SEARCH("库存为",AU16)))</formula>
    </cfRule>
  </conditionalFormatting>
  <conditionalFormatting sqref="AU17">
    <cfRule type="cellIs" dxfId="0" priority="601" operator="lessThan">
      <formula>20</formula>
    </cfRule>
    <cfRule type="cellIs" dxfId="1" priority="397" operator="greaterThan">
      <formula>120</formula>
    </cfRule>
    <cfRule type="containsText" dxfId="2" priority="193" operator="between" text="库存为">
      <formula>NOT(ISERROR(SEARCH("库存为",AU17)))</formula>
    </cfRule>
  </conditionalFormatting>
  <conditionalFormatting sqref="AU18">
    <cfRule type="cellIs" dxfId="0" priority="600" operator="lessThan">
      <formula>20</formula>
    </cfRule>
    <cfRule type="cellIs" dxfId="1" priority="396" operator="greaterThan">
      <formula>120</formula>
    </cfRule>
    <cfRule type="containsText" dxfId="2" priority="192" operator="between" text="库存为">
      <formula>NOT(ISERROR(SEARCH("库存为",AU18)))</formula>
    </cfRule>
  </conditionalFormatting>
  <conditionalFormatting sqref="AU19">
    <cfRule type="cellIs" dxfId="0" priority="599" operator="lessThan">
      <formula>20</formula>
    </cfRule>
    <cfRule type="cellIs" dxfId="1" priority="395" operator="greaterThan">
      <formula>120</formula>
    </cfRule>
    <cfRule type="containsText" dxfId="2" priority="191" operator="between" text="库存为">
      <formula>NOT(ISERROR(SEARCH("库存为",AU19)))</formula>
    </cfRule>
  </conditionalFormatting>
  <conditionalFormatting sqref="AU20">
    <cfRule type="cellIs" dxfId="0" priority="598" operator="lessThan">
      <formula>20</formula>
    </cfRule>
    <cfRule type="cellIs" dxfId="1" priority="394" operator="greaterThan">
      <formula>120</formula>
    </cfRule>
    <cfRule type="containsText" dxfId="2" priority="190" operator="between" text="库存为">
      <formula>NOT(ISERROR(SEARCH("库存为",AU20)))</formula>
    </cfRule>
  </conditionalFormatting>
  <conditionalFormatting sqref="AU21">
    <cfRule type="cellIs" dxfId="0" priority="597" operator="lessThan">
      <formula>20</formula>
    </cfRule>
    <cfRule type="cellIs" dxfId="1" priority="393" operator="greaterThan">
      <formula>120</formula>
    </cfRule>
    <cfRule type="containsText" dxfId="2" priority="189" operator="between" text="库存为">
      <formula>NOT(ISERROR(SEARCH("库存为",AU21)))</formula>
    </cfRule>
  </conditionalFormatting>
  <conditionalFormatting sqref="AU22">
    <cfRule type="cellIs" dxfId="0" priority="596" operator="lessThan">
      <formula>20</formula>
    </cfRule>
    <cfRule type="cellIs" dxfId="1" priority="392" operator="greaterThan">
      <formula>120</formula>
    </cfRule>
    <cfRule type="containsText" dxfId="2" priority="188" operator="between" text="库存为">
      <formula>NOT(ISERROR(SEARCH("库存为",AU22)))</formula>
    </cfRule>
  </conditionalFormatting>
  <conditionalFormatting sqref="AU23">
    <cfRule type="cellIs" dxfId="0" priority="595" operator="lessThan">
      <formula>20</formula>
    </cfRule>
    <cfRule type="cellIs" dxfId="1" priority="391" operator="greaterThan">
      <formula>120</formula>
    </cfRule>
    <cfRule type="containsText" dxfId="2" priority="187" operator="between" text="库存为">
      <formula>NOT(ISERROR(SEARCH("库存为",AU23)))</formula>
    </cfRule>
  </conditionalFormatting>
  <conditionalFormatting sqref="AU24">
    <cfRule type="cellIs" dxfId="0" priority="594" operator="lessThan">
      <formula>20</formula>
    </cfRule>
    <cfRule type="cellIs" dxfId="1" priority="390" operator="greaterThan">
      <formula>120</formula>
    </cfRule>
    <cfRule type="containsText" dxfId="2" priority="186" operator="between" text="库存为">
      <formula>NOT(ISERROR(SEARCH("库存为",AU24)))</formula>
    </cfRule>
  </conditionalFormatting>
  <conditionalFormatting sqref="AU25">
    <cfRule type="cellIs" dxfId="0" priority="593" operator="lessThan">
      <formula>20</formula>
    </cfRule>
    <cfRule type="cellIs" dxfId="1" priority="389" operator="greaterThan">
      <formula>120</formula>
    </cfRule>
    <cfRule type="containsText" dxfId="2" priority="185" operator="between" text="库存为">
      <formula>NOT(ISERROR(SEARCH("库存为",AU25)))</formula>
    </cfRule>
  </conditionalFormatting>
  <conditionalFormatting sqref="AU26">
    <cfRule type="cellIs" dxfId="0" priority="592" operator="lessThan">
      <formula>20</formula>
    </cfRule>
    <cfRule type="cellIs" dxfId="1" priority="388" operator="greaterThan">
      <formula>120</formula>
    </cfRule>
    <cfRule type="containsText" dxfId="2" priority="184" operator="between" text="库存为">
      <formula>NOT(ISERROR(SEARCH("库存为",AU26)))</formula>
    </cfRule>
  </conditionalFormatting>
  <conditionalFormatting sqref="AU27">
    <cfRule type="cellIs" dxfId="0" priority="591" operator="lessThan">
      <formula>20</formula>
    </cfRule>
    <cfRule type="cellIs" dxfId="1" priority="387" operator="greaterThan">
      <formula>120</formula>
    </cfRule>
    <cfRule type="containsText" dxfId="2" priority="183" operator="between" text="库存为">
      <formula>NOT(ISERROR(SEARCH("库存为",AU27)))</formula>
    </cfRule>
  </conditionalFormatting>
  <conditionalFormatting sqref="AU28">
    <cfRule type="cellIs" dxfId="0" priority="590" operator="lessThan">
      <formula>20</formula>
    </cfRule>
    <cfRule type="cellIs" dxfId="1" priority="386" operator="greaterThan">
      <formula>120</formula>
    </cfRule>
    <cfRule type="containsText" dxfId="2" priority="182" operator="between" text="库存为">
      <formula>NOT(ISERROR(SEARCH("库存为",AU28)))</formula>
    </cfRule>
  </conditionalFormatting>
  <conditionalFormatting sqref="AU29">
    <cfRule type="cellIs" dxfId="0" priority="589" operator="lessThan">
      <formula>20</formula>
    </cfRule>
    <cfRule type="cellIs" dxfId="1" priority="385" operator="greaterThan">
      <formula>120</formula>
    </cfRule>
    <cfRule type="containsText" dxfId="2" priority="181" operator="between" text="库存为">
      <formula>NOT(ISERROR(SEARCH("库存为",AU29)))</formula>
    </cfRule>
  </conditionalFormatting>
  <conditionalFormatting sqref="AU30">
    <cfRule type="cellIs" dxfId="0" priority="588" operator="lessThan">
      <formula>20</formula>
    </cfRule>
    <cfRule type="cellIs" dxfId="1" priority="384" operator="greaterThan">
      <formula>120</formula>
    </cfRule>
    <cfRule type="containsText" dxfId="2" priority="180" operator="between" text="库存为">
      <formula>NOT(ISERROR(SEARCH("库存为",AU30)))</formula>
    </cfRule>
  </conditionalFormatting>
  <conditionalFormatting sqref="AU31">
    <cfRule type="cellIs" dxfId="0" priority="587" operator="lessThan">
      <formula>20</formula>
    </cfRule>
    <cfRule type="cellIs" dxfId="1" priority="383" operator="greaterThan">
      <formula>120</formula>
    </cfRule>
    <cfRule type="containsText" dxfId="2" priority="179" operator="between" text="库存为">
      <formula>NOT(ISERROR(SEARCH("库存为",AU31)))</formula>
    </cfRule>
  </conditionalFormatting>
  <conditionalFormatting sqref="AU32">
    <cfRule type="cellIs" dxfId="0" priority="586" operator="lessThan">
      <formula>20</formula>
    </cfRule>
    <cfRule type="cellIs" dxfId="1" priority="382" operator="greaterThan">
      <formula>120</formula>
    </cfRule>
    <cfRule type="containsText" dxfId="2" priority="178" operator="between" text="库存为">
      <formula>NOT(ISERROR(SEARCH("库存为",AU32)))</formula>
    </cfRule>
  </conditionalFormatting>
  <conditionalFormatting sqref="AU33">
    <cfRule type="cellIs" dxfId="0" priority="585" operator="lessThan">
      <formula>20</formula>
    </cfRule>
    <cfRule type="cellIs" dxfId="1" priority="381" operator="greaterThan">
      <formula>120</formula>
    </cfRule>
    <cfRule type="containsText" dxfId="2" priority="177" operator="between" text="库存为">
      <formula>NOT(ISERROR(SEARCH("库存为",AU33)))</formula>
    </cfRule>
  </conditionalFormatting>
  <conditionalFormatting sqref="AU34">
    <cfRule type="cellIs" dxfId="0" priority="584" operator="lessThan">
      <formula>20</formula>
    </cfRule>
    <cfRule type="cellIs" dxfId="1" priority="380" operator="greaterThan">
      <formula>120</formula>
    </cfRule>
    <cfRule type="containsText" dxfId="2" priority="176" operator="between" text="库存为">
      <formula>NOT(ISERROR(SEARCH("库存为",AU34)))</formula>
    </cfRule>
  </conditionalFormatting>
  <conditionalFormatting sqref="AU35">
    <cfRule type="cellIs" dxfId="0" priority="583" operator="lessThan">
      <formula>20</formula>
    </cfRule>
    <cfRule type="cellIs" dxfId="1" priority="379" operator="greaterThan">
      <formula>120</formula>
    </cfRule>
    <cfRule type="containsText" dxfId="2" priority="175" operator="between" text="库存为">
      <formula>NOT(ISERROR(SEARCH("库存为",AU35)))</formula>
    </cfRule>
  </conditionalFormatting>
  <conditionalFormatting sqref="AU36">
    <cfRule type="cellIs" dxfId="0" priority="582" operator="lessThan">
      <formula>20</formula>
    </cfRule>
    <cfRule type="cellIs" dxfId="1" priority="378" operator="greaterThan">
      <formula>120</formula>
    </cfRule>
    <cfRule type="containsText" dxfId="2" priority="174" operator="between" text="库存为">
      <formula>NOT(ISERROR(SEARCH("库存为",AU36)))</formula>
    </cfRule>
  </conditionalFormatting>
  <conditionalFormatting sqref="AU37">
    <cfRule type="cellIs" dxfId="0" priority="581" operator="lessThan">
      <formula>20</formula>
    </cfRule>
    <cfRule type="cellIs" dxfId="1" priority="377" operator="greaterThan">
      <formula>120</formula>
    </cfRule>
    <cfRule type="containsText" dxfId="2" priority="173" operator="between" text="库存为">
      <formula>NOT(ISERROR(SEARCH("库存为",AU37)))</formula>
    </cfRule>
  </conditionalFormatting>
  <conditionalFormatting sqref="AU38">
    <cfRule type="cellIs" dxfId="0" priority="580" operator="lessThan">
      <formula>20</formula>
    </cfRule>
    <cfRule type="cellIs" dxfId="1" priority="376" operator="greaterThan">
      <formula>120</formula>
    </cfRule>
    <cfRule type="containsText" dxfId="2" priority="172" operator="between" text="库存为">
      <formula>NOT(ISERROR(SEARCH("库存为",AU38)))</formula>
    </cfRule>
  </conditionalFormatting>
  <conditionalFormatting sqref="AU39">
    <cfRule type="cellIs" dxfId="0" priority="579" operator="lessThan">
      <formula>20</formula>
    </cfRule>
    <cfRule type="cellIs" dxfId="1" priority="375" operator="greaterThan">
      <formula>120</formula>
    </cfRule>
    <cfRule type="containsText" dxfId="2" priority="171" operator="between" text="库存为">
      <formula>NOT(ISERROR(SEARCH("库存为",AU39)))</formula>
    </cfRule>
  </conditionalFormatting>
  <conditionalFormatting sqref="AU40">
    <cfRule type="cellIs" dxfId="0" priority="578" operator="lessThan">
      <formula>20</formula>
    </cfRule>
    <cfRule type="cellIs" dxfId="1" priority="374" operator="greaterThan">
      <formula>120</formula>
    </cfRule>
    <cfRule type="containsText" dxfId="2" priority="170" operator="between" text="库存为">
      <formula>NOT(ISERROR(SEARCH("库存为",AU40)))</formula>
    </cfRule>
  </conditionalFormatting>
  <conditionalFormatting sqref="AU41">
    <cfRule type="cellIs" dxfId="0" priority="577" operator="lessThan">
      <formula>20</formula>
    </cfRule>
    <cfRule type="cellIs" dxfId="1" priority="373" operator="greaterThan">
      <formula>120</formula>
    </cfRule>
    <cfRule type="containsText" dxfId="2" priority="169" operator="between" text="库存为">
      <formula>NOT(ISERROR(SEARCH("库存为",AU41)))</formula>
    </cfRule>
  </conditionalFormatting>
  <conditionalFormatting sqref="AU42">
    <cfRule type="cellIs" dxfId="0" priority="576" operator="lessThan">
      <formula>20</formula>
    </cfRule>
    <cfRule type="cellIs" dxfId="1" priority="372" operator="greaterThan">
      <formula>120</formula>
    </cfRule>
    <cfRule type="containsText" dxfId="2" priority="168" operator="between" text="库存为">
      <formula>NOT(ISERROR(SEARCH("库存为",AU42)))</formula>
    </cfRule>
  </conditionalFormatting>
  <conditionalFormatting sqref="AU43">
    <cfRule type="cellIs" dxfId="0" priority="575" operator="lessThan">
      <formula>20</formula>
    </cfRule>
    <cfRule type="cellIs" dxfId="1" priority="371" operator="greaterThan">
      <formula>120</formula>
    </cfRule>
    <cfRule type="containsText" dxfId="2" priority="167" operator="between" text="库存为">
      <formula>NOT(ISERROR(SEARCH("库存为",AU43)))</formula>
    </cfRule>
  </conditionalFormatting>
  <conditionalFormatting sqref="AU44">
    <cfRule type="cellIs" dxfId="0" priority="574" operator="lessThan">
      <formula>20</formula>
    </cfRule>
    <cfRule type="cellIs" dxfId="1" priority="370" operator="greaterThan">
      <formula>120</formula>
    </cfRule>
    <cfRule type="containsText" dxfId="2" priority="166" operator="between" text="库存为">
      <formula>NOT(ISERROR(SEARCH("库存为",AU44)))</formula>
    </cfRule>
  </conditionalFormatting>
  <conditionalFormatting sqref="AU45">
    <cfRule type="cellIs" dxfId="0" priority="573" operator="lessThan">
      <formula>20</formula>
    </cfRule>
    <cfRule type="cellIs" dxfId="1" priority="369" operator="greaterThan">
      <formula>120</formula>
    </cfRule>
    <cfRule type="containsText" dxfId="2" priority="165" operator="between" text="库存为">
      <formula>NOT(ISERROR(SEARCH("库存为",AU45)))</formula>
    </cfRule>
  </conditionalFormatting>
  <conditionalFormatting sqref="AU46">
    <cfRule type="cellIs" dxfId="0" priority="572" operator="lessThan">
      <formula>20</formula>
    </cfRule>
    <cfRule type="cellIs" dxfId="1" priority="368" operator="greaterThan">
      <formula>120</formula>
    </cfRule>
    <cfRule type="containsText" dxfId="2" priority="164" operator="between" text="库存为">
      <formula>NOT(ISERROR(SEARCH("库存为",AU46)))</formula>
    </cfRule>
  </conditionalFormatting>
  <conditionalFormatting sqref="AU47">
    <cfRule type="cellIs" dxfId="0" priority="571" operator="lessThan">
      <formula>20</formula>
    </cfRule>
    <cfRule type="cellIs" dxfId="1" priority="367" operator="greaterThan">
      <formula>120</formula>
    </cfRule>
    <cfRule type="containsText" dxfId="2" priority="163" operator="between" text="库存为">
      <formula>NOT(ISERROR(SEARCH("库存为",AU47)))</formula>
    </cfRule>
  </conditionalFormatting>
  <conditionalFormatting sqref="AU48">
    <cfRule type="cellIs" dxfId="0" priority="570" operator="lessThan">
      <formula>20</formula>
    </cfRule>
    <cfRule type="cellIs" dxfId="1" priority="366" operator="greaterThan">
      <formula>120</formula>
    </cfRule>
    <cfRule type="containsText" dxfId="2" priority="162" operator="between" text="库存为">
      <formula>NOT(ISERROR(SEARCH("库存为",AU48)))</formula>
    </cfRule>
  </conditionalFormatting>
  <conditionalFormatting sqref="AU49">
    <cfRule type="cellIs" dxfId="0" priority="569" operator="lessThan">
      <formula>20</formula>
    </cfRule>
    <cfRule type="cellIs" dxfId="1" priority="365" operator="greaterThan">
      <formula>120</formula>
    </cfRule>
    <cfRule type="containsText" dxfId="2" priority="161" operator="between" text="库存为">
      <formula>NOT(ISERROR(SEARCH("库存为",AU49)))</formula>
    </cfRule>
  </conditionalFormatting>
  <conditionalFormatting sqref="AU50">
    <cfRule type="cellIs" dxfId="0" priority="568" operator="lessThan">
      <formula>20</formula>
    </cfRule>
    <cfRule type="cellIs" dxfId="1" priority="364" operator="greaterThan">
      <formula>120</formula>
    </cfRule>
    <cfRule type="containsText" dxfId="2" priority="160" operator="between" text="库存为">
      <formula>NOT(ISERROR(SEARCH("库存为",AU50)))</formula>
    </cfRule>
  </conditionalFormatting>
  <conditionalFormatting sqref="AU51">
    <cfRule type="cellIs" dxfId="0" priority="567" operator="lessThan">
      <formula>20</formula>
    </cfRule>
    <cfRule type="cellIs" dxfId="1" priority="363" operator="greaterThan">
      <formula>120</formula>
    </cfRule>
    <cfRule type="containsText" dxfId="2" priority="159" operator="between" text="库存为">
      <formula>NOT(ISERROR(SEARCH("库存为",AU51)))</formula>
    </cfRule>
  </conditionalFormatting>
  <conditionalFormatting sqref="AU52">
    <cfRule type="cellIs" dxfId="0" priority="566" operator="lessThan">
      <formula>20</formula>
    </cfRule>
    <cfRule type="cellIs" dxfId="1" priority="362" operator="greaterThan">
      <formula>120</formula>
    </cfRule>
    <cfRule type="containsText" dxfId="2" priority="158" operator="between" text="库存为">
      <formula>NOT(ISERROR(SEARCH("库存为",AU52)))</formula>
    </cfRule>
  </conditionalFormatting>
  <conditionalFormatting sqref="AU53">
    <cfRule type="cellIs" dxfId="0" priority="565" operator="lessThan">
      <formula>20</formula>
    </cfRule>
    <cfRule type="cellIs" dxfId="1" priority="361" operator="greaterThan">
      <formula>120</formula>
    </cfRule>
    <cfRule type="containsText" dxfId="2" priority="157" operator="between" text="库存为">
      <formula>NOT(ISERROR(SEARCH("库存为",AU53)))</formula>
    </cfRule>
  </conditionalFormatting>
  <conditionalFormatting sqref="AU54">
    <cfRule type="cellIs" dxfId="0" priority="564" operator="lessThan">
      <formula>20</formula>
    </cfRule>
    <cfRule type="cellIs" dxfId="1" priority="360" operator="greaterThan">
      <formula>120</formula>
    </cfRule>
    <cfRule type="containsText" dxfId="2" priority="156" operator="between" text="库存为">
      <formula>NOT(ISERROR(SEARCH("库存为",AU54)))</formula>
    </cfRule>
  </conditionalFormatting>
  <conditionalFormatting sqref="AU55">
    <cfRule type="cellIs" dxfId="0" priority="563" operator="lessThan">
      <formula>20</formula>
    </cfRule>
    <cfRule type="cellIs" dxfId="1" priority="359" operator="greaterThan">
      <formula>120</formula>
    </cfRule>
    <cfRule type="containsText" dxfId="2" priority="155" operator="between" text="库存为">
      <formula>NOT(ISERROR(SEARCH("库存为",AU55)))</formula>
    </cfRule>
  </conditionalFormatting>
  <conditionalFormatting sqref="AU56">
    <cfRule type="cellIs" dxfId="0" priority="562" operator="lessThan">
      <formula>20</formula>
    </cfRule>
    <cfRule type="cellIs" dxfId="1" priority="358" operator="greaterThan">
      <formula>120</formula>
    </cfRule>
    <cfRule type="containsText" dxfId="2" priority="154" operator="between" text="库存为">
      <formula>NOT(ISERROR(SEARCH("库存为",AU56)))</formula>
    </cfRule>
  </conditionalFormatting>
  <conditionalFormatting sqref="AU57">
    <cfRule type="cellIs" dxfId="0" priority="561" operator="lessThan">
      <formula>20</formula>
    </cfRule>
    <cfRule type="cellIs" dxfId="1" priority="357" operator="greaterThan">
      <formula>120</formula>
    </cfRule>
    <cfRule type="containsText" dxfId="2" priority="153" operator="between" text="库存为">
      <formula>NOT(ISERROR(SEARCH("库存为",AU57)))</formula>
    </cfRule>
  </conditionalFormatting>
  <conditionalFormatting sqref="AU58">
    <cfRule type="cellIs" dxfId="0" priority="560" operator="lessThan">
      <formula>20</formula>
    </cfRule>
    <cfRule type="cellIs" dxfId="1" priority="356" operator="greaterThan">
      <formula>120</formula>
    </cfRule>
    <cfRule type="containsText" dxfId="2" priority="152" operator="between" text="库存为">
      <formula>NOT(ISERROR(SEARCH("库存为",AU58)))</formula>
    </cfRule>
  </conditionalFormatting>
  <conditionalFormatting sqref="AU59">
    <cfRule type="cellIs" dxfId="0" priority="559" operator="lessThan">
      <formula>20</formula>
    </cfRule>
    <cfRule type="cellIs" dxfId="1" priority="355" operator="greaterThan">
      <formula>120</formula>
    </cfRule>
    <cfRule type="containsText" dxfId="2" priority="151" operator="between" text="库存为">
      <formula>NOT(ISERROR(SEARCH("库存为",AU59)))</formula>
    </cfRule>
  </conditionalFormatting>
  <conditionalFormatting sqref="AU60">
    <cfRule type="cellIs" dxfId="0" priority="558" operator="lessThan">
      <formula>20</formula>
    </cfRule>
    <cfRule type="cellIs" dxfId="1" priority="354" operator="greaterThan">
      <formula>120</formula>
    </cfRule>
    <cfRule type="containsText" dxfId="2" priority="150" operator="between" text="库存为">
      <formula>NOT(ISERROR(SEARCH("库存为",AU60)))</formula>
    </cfRule>
  </conditionalFormatting>
  <conditionalFormatting sqref="AU61">
    <cfRule type="cellIs" dxfId="0" priority="557" operator="lessThan">
      <formula>20</formula>
    </cfRule>
    <cfRule type="cellIs" dxfId="1" priority="353" operator="greaterThan">
      <formula>120</formula>
    </cfRule>
    <cfRule type="containsText" dxfId="2" priority="149" operator="between" text="库存为">
      <formula>NOT(ISERROR(SEARCH("库存为",AU61)))</formula>
    </cfRule>
  </conditionalFormatting>
  <conditionalFormatting sqref="AU62">
    <cfRule type="cellIs" dxfId="0" priority="556" operator="lessThan">
      <formula>20</formula>
    </cfRule>
    <cfRule type="cellIs" dxfId="1" priority="352" operator="greaterThan">
      <formula>120</formula>
    </cfRule>
    <cfRule type="containsText" dxfId="2" priority="148" operator="between" text="库存为">
      <formula>NOT(ISERROR(SEARCH("库存为",AU62)))</formula>
    </cfRule>
  </conditionalFormatting>
  <conditionalFormatting sqref="AU63">
    <cfRule type="cellIs" dxfId="0" priority="555" operator="lessThan">
      <formula>20</formula>
    </cfRule>
    <cfRule type="cellIs" dxfId="1" priority="351" operator="greaterThan">
      <formula>120</formula>
    </cfRule>
    <cfRule type="containsText" dxfId="2" priority="147" operator="between" text="库存为">
      <formula>NOT(ISERROR(SEARCH("库存为",AU63)))</formula>
    </cfRule>
  </conditionalFormatting>
  <conditionalFormatting sqref="AU64">
    <cfRule type="cellIs" dxfId="0" priority="554" operator="lessThan">
      <formula>20</formula>
    </cfRule>
    <cfRule type="cellIs" dxfId="1" priority="350" operator="greaterThan">
      <formula>120</formula>
    </cfRule>
    <cfRule type="containsText" dxfId="2" priority="146" operator="between" text="库存为">
      <formula>NOT(ISERROR(SEARCH("库存为",AU64)))</formula>
    </cfRule>
  </conditionalFormatting>
  <conditionalFormatting sqref="AU65">
    <cfRule type="cellIs" dxfId="0" priority="553" operator="lessThan">
      <formula>20</formula>
    </cfRule>
    <cfRule type="cellIs" dxfId="1" priority="349" operator="greaterThan">
      <formula>120</formula>
    </cfRule>
    <cfRule type="containsText" dxfId="2" priority="145" operator="between" text="库存为">
      <formula>NOT(ISERROR(SEARCH("库存为",AU65)))</formula>
    </cfRule>
  </conditionalFormatting>
  <conditionalFormatting sqref="AU66">
    <cfRule type="cellIs" dxfId="0" priority="552" operator="lessThan">
      <formula>20</formula>
    </cfRule>
    <cfRule type="cellIs" dxfId="1" priority="348" operator="greaterThan">
      <formula>120</formula>
    </cfRule>
    <cfRule type="containsText" dxfId="2" priority="144" operator="between" text="库存为">
      <formula>NOT(ISERROR(SEARCH("库存为",AU66)))</formula>
    </cfRule>
  </conditionalFormatting>
  <conditionalFormatting sqref="AU67">
    <cfRule type="cellIs" dxfId="0" priority="551" operator="lessThan">
      <formula>20</formula>
    </cfRule>
    <cfRule type="cellIs" dxfId="1" priority="347" operator="greaterThan">
      <formula>120</formula>
    </cfRule>
    <cfRule type="containsText" dxfId="2" priority="143" operator="between" text="库存为">
      <formula>NOT(ISERROR(SEARCH("库存为",AU67)))</formula>
    </cfRule>
  </conditionalFormatting>
  <conditionalFormatting sqref="AU68">
    <cfRule type="cellIs" dxfId="0" priority="550" operator="lessThan">
      <formula>20</formula>
    </cfRule>
    <cfRule type="cellIs" dxfId="1" priority="346" operator="greaterThan">
      <formula>120</formula>
    </cfRule>
    <cfRule type="containsText" dxfId="2" priority="142" operator="between" text="库存为">
      <formula>NOT(ISERROR(SEARCH("库存为",AU68)))</formula>
    </cfRule>
  </conditionalFormatting>
  <conditionalFormatting sqref="AU69">
    <cfRule type="cellIs" dxfId="0" priority="549" operator="lessThan">
      <formula>20</formula>
    </cfRule>
    <cfRule type="cellIs" dxfId="1" priority="345" operator="greaterThan">
      <formula>120</formula>
    </cfRule>
    <cfRule type="containsText" dxfId="2" priority="141" operator="between" text="库存为">
      <formula>NOT(ISERROR(SEARCH("库存为",AU69)))</formula>
    </cfRule>
  </conditionalFormatting>
  <conditionalFormatting sqref="AU70">
    <cfRule type="cellIs" dxfId="0" priority="548" operator="lessThan">
      <formula>20</formula>
    </cfRule>
    <cfRule type="cellIs" dxfId="1" priority="344" operator="greaterThan">
      <formula>120</formula>
    </cfRule>
    <cfRule type="containsText" dxfId="2" priority="140" operator="between" text="库存为">
      <formula>NOT(ISERROR(SEARCH("库存为",AU70)))</formula>
    </cfRule>
  </conditionalFormatting>
  <conditionalFormatting sqref="AU71">
    <cfRule type="cellIs" dxfId="0" priority="547" operator="lessThan">
      <formula>20</formula>
    </cfRule>
    <cfRule type="cellIs" dxfId="1" priority="343" operator="greaterThan">
      <formula>120</formula>
    </cfRule>
    <cfRule type="containsText" dxfId="2" priority="139" operator="between" text="库存为">
      <formula>NOT(ISERROR(SEARCH("库存为",AU71)))</formula>
    </cfRule>
  </conditionalFormatting>
  <conditionalFormatting sqref="AU72">
    <cfRule type="cellIs" dxfId="0" priority="546" operator="lessThan">
      <formula>20</formula>
    </cfRule>
    <cfRule type="cellIs" dxfId="1" priority="342" operator="greaterThan">
      <formula>120</formula>
    </cfRule>
    <cfRule type="containsText" dxfId="2" priority="138" operator="between" text="库存为">
      <formula>NOT(ISERROR(SEARCH("库存为",AU72)))</formula>
    </cfRule>
  </conditionalFormatting>
  <conditionalFormatting sqref="AU73">
    <cfRule type="cellIs" dxfId="0" priority="545" operator="lessThan">
      <formula>20</formula>
    </cfRule>
    <cfRule type="cellIs" dxfId="1" priority="341" operator="greaterThan">
      <formula>120</formula>
    </cfRule>
    <cfRule type="containsText" dxfId="2" priority="137" operator="between" text="库存为">
      <formula>NOT(ISERROR(SEARCH("库存为",AU73)))</formula>
    </cfRule>
  </conditionalFormatting>
  <conditionalFormatting sqref="AU74">
    <cfRule type="cellIs" dxfId="0" priority="544" operator="lessThan">
      <formula>20</formula>
    </cfRule>
    <cfRule type="cellIs" dxfId="1" priority="340" operator="greaterThan">
      <formula>120</formula>
    </cfRule>
    <cfRule type="containsText" dxfId="2" priority="136" operator="between" text="库存为">
      <formula>NOT(ISERROR(SEARCH("库存为",AU74)))</formula>
    </cfRule>
  </conditionalFormatting>
  <conditionalFormatting sqref="AU75">
    <cfRule type="cellIs" dxfId="0" priority="543" operator="lessThan">
      <formula>20</formula>
    </cfRule>
    <cfRule type="cellIs" dxfId="1" priority="339" operator="greaterThan">
      <formula>120</formula>
    </cfRule>
    <cfRule type="containsText" dxfId="2" priority="135" operator="between" text="库存为">
      <formula>NOT(ISERROR(SEARCH("库存为",AU75)))</formula>
    </cfRule>
  </conditionalFormatting>
  <conditionalFormatting sqref="AU76">
    <cfRule type="cellIs" dxfId="0" priority="542" operator="lessThan">
      <formula>20</formula>
    </cfRule>
    <cfRule type="cellIs" dxfId="1" priority="338" operator="greaterThan">
      <formula>120</formula>
    </cfRule>
    <cfRule type="containsText" dxfId="2" priority="134" operator="between" text="库存为">
      <formula>NOT(ISERROR(SEARCH("库存为",AU76)))</formula>
    </cfRule>
  </conditionalFormatting>
  <conditionalFormatting sqref="AU77">
    <cfRule type="cellIs" dxfId="0" priority="541" operator="lessThan">
      <formula>20</formula>
    </cfRule>
    <cfRule type="cellIs" dxfId="1" priority="337" operator="greaterThan">
      <formula>120</formula>
    </cfRule>
    <cfRule type="containsText" dxfId="2" priority="133" operator="between" text="库存为">
      <formula>NOT(ISERROR(SEARCH("库存为",AU77)))</formula>
    </cfRule>
  </conditionalFormatting>
  <conditionalFormatting sqref="AU78">
    <cfRule type="cellIs" dxfId="0" priority="540" operator="lessThan">
      <formula>20</formula>
    </cfRule>
    <cfRule type="cellIs" dxfId="1" priority="336" operator="greaterThan">
      <formula>120</formula>
    </cfRule>
    <cfRule type="containsText" dxfId="2" priority="132" operator="between" text="库存为">
      <formula>NOT(ISERROR(SEARCH("库存为",AU78)))</formula>
    </cfRule>
  </conditionalFormatting>
  <conditionalFormatting sqref="AU79">
    <cfRule type="cellIs" dxfId="0" priority="539" operator="lessThan">
      <formula>20</formula>
    </cfRule>
    <cfRule type="cellIs" dxfId="1" priority="335" operator="greaterThan">
      <formula>120</formula>
    </cfRule>
    <cfRule type="containsText" dxfId="2" priority="131" operator="between" text="库存为">
      <formula>NOT(ISERROR(SEARCH("库存为",AU79)))</formula>
    </cfRule>
  </conditionalFormatting>
  <conditionalFormatting sqref="AU80">
    <cfRule type="cellIs" dxfId="0" priority="538" operator="lessThan">
      <formula>20</formula>
    </cfRule>
    <cfRule type="cellIs" dxfId="1" priority="334" operator="greaterThan">
      <formula>120</formula>
    </cfRule>
    <cfRule type="containsText" dxfId="2" priority="130" operator="between" text="库存为">
      <formula>NOT(ISERROR(SEARCH("库存为",AU80)))</formula>
    </cfRule>
  </conditionalFormatting>
  <conditionalFormatting sqref="AU81">
    <cfRule type="cellIs" dxfId="0" priority="537" operator="lessThan">
      <formula>20</formula>
    </cfRule>
    <cfRule type="cellIs" dxfId="1" priority="333" operator="greaterThan">
      <formula>120</formula>
    </cfRule>
    <cfRule type="containsText" dxfId="2" priority="129" operator="between" text="库存为">
      <formula>NOT(ISERROR(SEARCH("库存为",AU81)))</formula>
    </cfRule>
  </conditionalFormatting>
  <conditionalFormatting sqref="AU82">
    <cfRule type="cellIs" dxfId="0" priority="536" operator="lessThan">
      <formula>20</formula>
    </cfRule>
    <cfRule type="cellIs" dxfId="1" priority="332" operator="greaterThan">
      <formula>120</formula>
    </cfRule>
    <cfRule type="containsText" dxfId="2" priority="128" operator="between" text="库存为">
      <formula>NOT(ISERROR(SEARCH("库存为",AU82)))</formula>
    </cfRule>
  </conditionalFormatting>
  <conditionalFormatting sqref="AU83">
    <cfRule type="cellIs" dxfId="0" priority="535" operator="lessThan">
      <formula>20</formula>
    </cfRule>
    <cfRule type="cellIs" dxfId="1" priority="331" operator="greaterThan">
      <formula>120</formula>
    </cfRule>
    <cfRule type="containsText" dxfId="2" priority="127" operator="between" text="库存为">
      <formula>NOT(ISERROR(SEARCH("库存为",AU83)))</formula>
    </cfRule>
  </conditionalFormatting>
  <conditionalFormatting sqref="AU84">
    <cfRule type="cellIs" dxfId="0" priority="534" operator="lessThan">
      <formula>20</formula>
    </cfRule>
    <cfRule type="cellIs" dxfId="1" priority="330" operator="greaterThan">
      <formula>120</formula>
    </cfRule>
    <cfRule type="containsText" dxfId="2" priority="126" operator="between" text="库存为">
      <formula>NOT(ISERROR(SEARCH("库存为",AU84)))</formula>
    </cfRule>
  </conditionalFormatting>
  <conditionalFormatting sqref="AU85">
    <cfRule type="cellIs" dxfId="0" priority="533" operator="lessThan">
      <formula>20</formula>
    </cfRule>
    <cfRule type="cellIs" dxfId="1" priority="329" operator="greaterThan">
      <formula>120</formula>
    </cfRule>
    <cfRule type="containsText" dxfId="2" priority="125" operator="between" text="库存为">
      <formula>NOT(ISERROR(SEARCH("库存为",AU85)))</formula>
    </cfRule>
  </conditionalFormatting>
  <conditionalFormatting sqref="AU86">
    <cfRule type="cellIs" dxfId="0" priority="532" operator="lessThan">
      <formula>20</formula>
    </cfRule>
    <cfRule type="cellIs" dxfId="1" priority="328" operator="greaterThan">
      <formula>120</formula>
    </cfRule>
    <cfRule type="containsText" dxfId="2" priority="124" operator="between" text="库存为">
      <formula>NOT(ISERROR(SEARCH("库存为",AU86)))</formula>
    </cfRule>
  </conditionalFormatting>
  <conditionalFormatting sqref="AU87">
    <cfRule type="cellIs" dxfId="0" priority="531" operator="lessThan">
      <formula>20</formula>
    </cfRule>
    <cfRule type="cellIs" dxfId="1" priority="327" operator="greaterThan">
      <formula>120</formula>
    </cfRule>
    <cfRule type="containsText" dxfId="2" priority="123" operator="between" text="库存为">
      <formula>NOT(ISERROR(SEARCH("库存为",AU87)))</formula>
    </cfRule>
  </conditionalFormatting>
  <conditionalFormatting sqref="AU88">
    <cfRule type="cellIs" dxfId="0" priority="530" operator="lessThan">
      <formula>20</formula>
    </cfRule>
    <cfRule type="cellIs" dxfId="1" priority="326" operator="greaterThan">
      <formula>120</formula>
    </cfRule>
    <cfRule type="containsText" dxfId="2" priority="122" operator="between" text="库存为">
      <formula>NOT(ISERROR(SEARCH("库存为",AU88)))</formula>
    </cfRule>
  </conditionalFormatting>
  <conditionalFormatting sqref="AU89">
    <cfRule type="cellIs" dxfId="0" priority="529" operator="lessThan">
      <formula>20</formula>
    </cfRule>
    <cfRule type="cellIs" dxfId="1" priority="325" operator="greaterThan">
      <formula>120</formula>
    </cfRule>
    <cfRule type="containsText" dxfId="2" priority="121" operator="between" text="库存为">
      <formula>NOT(ISERROR(SEARCH("库存为",AU89)))</formula>
    </cfRule>
  </conditionalFormatting>
  <conditionalFormatting sqref="AU90">
    <cfRule type="cellIs" dxfId="0" priority="528" operator="lessThan">
      <formula>20</formula>
    </cfRule>
    <cfRule type="cellIs" dxfId="1" priority="324" operator="greaterThan">
      <formula>120</formula>
    </cfRule>
    <cfRule type="containsText" dxfId="2" priority="120" operator="between" text="库存为">
      <formula>NOT(ISERROR(SEARCH("库存为",AU90)))</formula>
    </cfRule>
  </conditionalFormatting>
  <conditionalFormatting sqref="AU91">
    <cfRule type="cellIs" dxfId="0" priority="527" operator="lessThan">
      <formula>20</formula>
    </cfRule>
    <cfRule type="cellIs" dxfId="1" priority="323" operator="greaterThan">
      <formula>120</formula>
    </cfRule>
    <cfRule type="containsText" dxfId="2" priority="119" operator="between" text="库存为">
      <formula>NOT(ISERROR(SEARCH("库存为",AU91)))</formula>
    </cfRule>
  </conditionalFormatting>
  <conditionalFormatting sqref="AU92">
    <cfRule type="cellIs" dxfId="0" priority="526" operator="lessThan">
      <formula>20</formula>
    </cfRule>
    <cfRule type="cellIs" dxfId="1" priority="322" operator="greaterThan">
      <formula>120</formula>
    </cfRule>
    <cfRule type="containsText" dxfId="2" priority="118" operator="between" text="库存为">
      <formula>NOT(ISERROR(SEARCH("库存为",AU92)))</formula>
    </cfRule>
  </conditionalFormatting>
  <conditionalFormatting sqref="AU93">
    <cfRule type="cellIs" dxfId="0" priority="525" operator="lessThan">
      <formula>20</formula>
    </cfRule>
    <cfRule type="cellIs" dxfId="1" priority="321" operator="greaterThan">
      <formula>120</formula>
    </cfRule>
    <cfRule type="containsText" dxfId="2" priority="117" operator="between" text="库存为">
      <formula>NOT(ISERROR(SEARCH("库存为",AU93)))</formula>
    </cfRule>
  </conditionalFormatting>
  <conditionalFormatting sqref="AU94">
    <cfRule type="cellIs" dxfId="0" priority="524" operator="lessThan">
      <formula>20</formula>
    </cfRule>
    <cfRule type="cellIs" dxfId="1" priority="320" operator="greaterThan">
      <formula>120</formula>
    </cfRule>
    <cfRule type="containsText" dxfId="2" priority="116" operator="between" text="库存为">
      <formula>NOT(ISERROR(SEARCH("库存为",AU94)))</formula>
    </cfRule>
  </conditionalFormatting>
  <conditionalFormatting sqref="AU95">
    <cfRule type="cellIs" dxfId="0" priority="523" operator="lessThan">
      <formula>20</formula>
    </cfRule>
    <cfRule type="cellIs" dxfId="1" priority="319" operator="greaterThan">
      <formula>120</formula>
    </cfRule>
    <cfRule type="containsText" dxfId="2" priority="115" operator="between" text="库存为">
      <formula>NOT(ISERROR(SEARCH("库存为",AU95)))</formula>
    </cfRule>
  </conditionalFormatting>
  <conditionalFormatting sqref="AU96">
    <cfRule type="cellIs" dxfId="0" priority="522" operator="lessThan">
      <formula>20</formula>
    </cfRule>
    <cfRule type="cellIs" dxfId="1" priority="318" operator="greaterThan">
      <formula>120</formula>
    </cfRule>
    <cfRule type="containsText" dxfId="2" priority="114" operator="between" text="库存为">
      <formula>NOT(ISERROR(SEARCH("库存为",AU96)))</formula>
    </cfRule>
  </conditionalFormatting>
  <conditionalFormatting sqref="AU97">
    <cfRule type="cellIs" dxfId="0" priority="521" operator="lessThan">
      <formula>20</formula>
    </cfRule>
    <cfRule type="cellIs" dxfId="1" priority="317" operator="greaterThan">
      <formula>120</formula>
    </cfRule>
    <cfRule type="containsText" dxfId="2" priority="113" operator="between" text="库存为">
      <formula>NOT(ISERROR(SEARCH("库存为",AU97)))</formula>
    </cfRule>
  </conditionalFormatting>
  <conditionalFormatting sqref="AU98">
    <cfRule type="cellIs" dxfId="0" priority="520" operator="lessThan">
      <formula>20</formula>
    </cfRule>
    <cfRule type="cellIs" dxfId="1" priority="316" operator="greaterThan">
      <formula>120</formula>
    </cfRule>
    <cfRule type="containsText" dxfId="2" priority="112" operator="between" text="库存为">
      <formula>NOT(ISERROR(SEARCH("库存为",AU98)))</formula>
    </cfRule>
  </conditionalFormatting>
  <conditionalFormatting sqref="AU99">
    <cfRule type="cellIs" dxfId="0" priority="519" operator="lessThan">
      <formula>20</formula>
    </cfRule>
    <cfRule type="cellIs" dxfId="1" priority="315" operator="greaterThan">
      <formula>120</formula>
    </cfRule>
    <cfRule type="containsText" dxfId="2" priority="111" operator="between" text="库存为">
      <formula>NOT(ISERROR(SEARCH("库存为",AU99)))</formula>
    </cfRule>
  </conditionalFormatting>
  <conditionalFormatting sqref="AU100">
    <cfRule type="cellIs" dxfId="0" priority="518" operator="lessThan">
      <formula>20</formula>
    </cfRule>
    <cfRule type="cellIs" dxfId="1" priority="314" operator="greaterThan">
      <formula>120</formula>
    </cfRule>
    <cfRule type="containsText" dxfId="2" priority="110" operator="between" text="库存为">
      <formula>NOT(ISERROR(SEARCH("库存为",AU100)))</formula>
    </cfRule>
  </conditionalFormatting>
  <conditionalFormatting sqref="AU101">
    <cfRule type="cellIs" dxfId="0" priority="517" operator="lessThan">
      <formula>20</formula>
    </cfRule>
    <cfRule type="cellIs" dxfId="1" priority="313" operator="greaterThan">
      <formula>120</formula>
    </cfRule>
    <cfRule type="containsText" dxfId="2" priority="109" operator="between" text="库存为">
      <formula>NOT(ISERROR(SEARCH("库存为",AU101)))</formula>
    </cfRule>
  </conditionalFormatting>
  <conditionalFormatting sqref="AU102">
    <cfRule type="cellIs" dxfId="0" priority="516" operator="lessThan">
      <formula>20</formula>
    </cfRule>
    <cfRule type="cellIs" dxfId="1" priority="312" operator="greaterThan">
      <formula>120</formula>
    </cfRule>
    <cfRule type="containsText" dxfId="2" priority="108" operator="between" text="库存为">
      <formula>NOT(ISERROR(SEARCH("库存为",AU102)))</formula>
    </cfRule>
  </conditionalFormatting>
  <conditionalFormatting sqref="AU103">
    <cfRule type="cellIs" dxfId="0" priority="515" operator="lessThan">
      <formula>20</formula>
    </cfRule>
    <cfRule type="cellIs" dxfId="1" priority="311" operator="greaterThan">
      <formula>120</formula>
    </cfRule>
    <cfRule type="containsText" dxfId="2" priority="107" operator="between" text="库存为">
      <formula>NOT(ISERROR(SEARCH("库存为",AU103)))</formula>
    </cfRule>
  </conditionalFormatting>
  <conditionalFormatting sqref="AU104">
    <cfRule type="cellIs" dxfId="0" priority="514" operator="lessThan">
      <formula>20</formula>
    </cfRule>
    <cfRule type="cellIs" dxfId="1" priority="310" operator="greaterThan">
      <formula>120</formula>
    </cfRule>
    <cfRule type="containsText" dxfId="2" priority="106" operator="between" text="库存为">
      <formula>NOT(ISERROR(SEARCH("库存为",AU104)))</formula>
    </cfRule>
  </conditionalFormatting>
  <conditionalFormatting sqref="AU105">
    <cfRule type="cellIs" dxfId="0" priority="513" operator="lessThan">
      <formula>20</formula>
    </cfRule>
    <cfRule type="cellIs" dxfId="1" priority="309" operator="greaterThan">
      <formula>120</formula>
    </cfRule>
    <cfRule type="containsText" dxfId="2" priority="105" operator="between" text="库存为">
      <formula>NOT(ISERROR(SEARCH("库存为",AU105)))</formula>
    </cfRule>
  </conditionalFormatting>
  <conditionalFormatting sqref="AU106">
    <cfRule type="cellIs" dxfId="0" priority="512" operator="lessThan">
      <formula>20</formula>
    </cfRule>
    <cfRule type="cellIs" dxfId="1" priority="308" operator="greaterThan">
      <formula>120</formula>
    </cfRule>
    <cfRule type="containsText" dxfId="2" priority="104" operator="between" text="库存为">
      <formula>NOT(ISERROR(SEARCH("库存为",AU106)))</formula>
    </cfRule>
  </conditionalFormatting>
  <conditionalFormatting sqref="AU107">
    <cfRule type="cellIs" dxfId="0" priority="511" operator="lessThan">
      <formula>20</formula>
    </cfRule>
    <cfRule type="cellIs" dxfId="1" priority="307" operator="greaterThan">
      <formula>120</formula>
    </cfRule>
    <cfRule type="containsText" dxfId="2" priority="103" operator="between" text="库存为">
      <formula>NOT(ISERROR(SEARCH("库存为",AU107)))</formula>
    </cfRule>
  </conditionalFormatting>
  <conditionalFormatting sqref="AU108">
    <cfRule type="cellIs" dxfId="0" priority="510" operator="lessThan">
      <formula>20</formula>
    </cfRule>
    <cfRule type="cellIs" dxfId="1" priority="306" operator="greaterThan">
      <formula>120</formula>
    </cfRule>
    <cfRule type="containsText" dxfId="2" priority="102" operator="between" text="库存为">
      <formula>NOT(ISERROR(SEARCH("库存为",AU108)))</formula>
    </cfRule>
  </conditionalFormatting>
  <conditionalFormatting sqref="AU109">
    <cfRule type="cellIs" dxfId="0" priority="509" operator="lessThan">
      <formula>20</formula>
    </cfRule>
    <cfRule type="cellIs" dxfId="1" priority="305" operator="greaterThan">
      <formula>120</formula>
    </cfRule>
    <cfRule type="containsText" dxfId="2" priority="101" operator="between" text="库存为">
      <formula>NOT(ISERROR(SEARCH("库存为",AU109)))</formula>
    </cfRule>
  </conditionalFormatting>
  <conditionalFormatting sqref="AU110">
    <cfRule type="cellIs" dxfId="0" priority="508" operator="lessThan">
      <formula>20</formula>
    </cfRule>
    <cfRule type="cellIs" dxfId="1" priority="304" operator="greaterThan">
      <formula>120</formula>
    </cfRule>
    <cfRule type="containsText" dxfId="2" priority="100" operator="between" text="库存为">
      <formula>NOT(ISERROR(SEARCH("库存为",AU110)))</formula>
    </cfRule>
  </conditionalFormatting>
  <conditionalFormatting sqref="AU111">
    <cfRule type="cellIs" dxfId="0" priority="507" operator="lessThan">
      <formula>20</formula>
    </cfRule>
    <cfRule type="cellIs" dxfId="1" priority="303" operator="greaterThan">
      <formula>120</formula>
    </cfRule>
    <cfRule type="containsText" dxfId="2" priority="99" operator="between" text="库存为">
      <formula>NOT(ISERROR(SEARCH("库存为",AU111)))</formula>
    </cfRule>
  </conditionalFormatting>
  <conditionalFormatting sqref="AU112">
    <cfRule type="cellIs" dxfId="0" priority="506" operator="lessThan">
      <formula>20</formula>
    </cfRule>
    <cfRule type="cellIs" dxfId="1" priority="302" operator="greaterThan">
      <formula>120</formula>
    </cfRule>
    <cfRule type="containsText" dxfId="2" priority="98" operator="between" text="库存为">
      <formula>NOT(ISERROR(SEARCH("库存为",AU112)))</formula>
    </cfRule>
  </conditionalFormatting>
  <conditionalFormatting sqref="AU113">
    <cfRule type="cellIs" dxfId="0" priority="505" operator="lessThan">
      <formula>20</formula>
    </cfRule>
    <cfRule type="cellIs" dxfId="1" priority="301" operator="greaterThan">
      <formula>120</formula>
    </cfRule>
    <cfRule type="containsText" dxfId="2" priority="97" operator="between" text="库存为">
      <formula>NOT(ISERROR(SEARCH("库存为",AU113)))</formula>
    </cfRule>
  </conditionalFormatting>
  <conditionalFormatting sqref="AU114">
    <cfRule type="cellIs" dxfId="0" priority="504" operator="lessThan">
      <formula>20</formula>
    </cfRule>
    <cfRule type="cellIs" dxfId="1" priority="300" operator="greaterThan">
      <formula>120</formula>
    </cfRule>
    <cfRule type="containsText" dxfId="2" priority="96" operator="between" text="库存为">
      <formula>NOT(ISERROR(SEARCH("库存为",AU114)))</formula>
    </cfRule>
  </conditionalFormatting>
  <conditionalFormatting sqref="AU115">
    <cfRule type="cellIs" dxfId="0" priority="503" operator="lessThan">
      <formula>20</formula>
    </cfRule>
    <cfRule type="cellIs" dxfId="1" priority="299" operator="greaterThan">
      <formula>120</formula>
    </cfRule>
    <cfRule type="containsText" dxfId="2" priority="95" operator="between" text="库存为">
      <formula>NOT(ISERROR(SEARCH("库存为",AU115)))</formula>
    </cfRule>
  </conditionalFormatting>
  <conditionalFormatting sqref="AU116">
    <cfRule type="cellIs" dxfId="0" priority="502" operator="lessThan">
      <formula>20</formula>
    </cfRule>
    <cfRule type="cellIs" dxfId="1" priority="298" operator="greaterThan">
      <formula>120</formula>
    </cfRule>
    <cfRule type="containsText" dxfId="2" priority="94" operator="between" text="库存为">
      <formula>NOT(ISERROR(SEARCH("库存为",AU116)))</formula>
    </cfRule>
  </conditionalFormatting>
  <conditionalFormatting sqref="AU117">
    <cfRule type="cellIs" dxfId="0" priority="501" operator="lessThan">
      <formula>20</formula>
    </cfRule>
    <cfRule type="cellIs" dxfId="1" priority="297" operator="greaterThan">
      <formula>120</formula>
    </cfRule>
    <cfRule type="containsText" dxfId="2" priority="93" operator="between" text="库存为">
      <formula>NOT(ISERROR(SEARCH("库存为",AU117)))</formula>
    </cfRule>
  </conditionalFormatting>
  <conditionalFormatting sqref="AU118">
    <cfRule type="cellIs" dxfId="0" priority="500" operator="lessThan">
      <formula>20</formula>
    </cfRule>
    <cfRule type="cellIs" dxfId="1" priority="296" operator="greaterThan">
      <formula>120</formula>
    </cfRule>
    <cfRule type="containsText" dxfId="2" priority="92" operator="between" text="库存为">
      <formula>NOT(ISERROR(SEARCH("库存为",AU118)))</formula>
    </cfRule>
  </conditionalFormatting>
  <conditionalFormatting sqref="AU119">
    <cfRule type="cellIs" dxfId="0" priority="499" operator="lessThan">
      <formula>20</formula>
    </cfRule>
    <cfRule type="cellIs" dxfId="1" priority="295" operator="greaterThan">
      <formula>120</formula>
    </cfRule>
    <cfRule type="containsText" dxfId="2" priority="91" operator="between" text="库存为">
      <formula>NOT(ISERROR(SEARCH("库存为",AU119)))</formula>
    </cfRule>
  </conditionalFormatting>
  <conditionalFormatting sqref="AU120">
    <cfRule type="cellIs" dxfId="0" priority="498" operator="lessThan">
      <formula>20</formula>
    </cfRule>
    <cfRule type="cellIs" dxfId="1" priority="294" operator="greaterThan">
      <formula>120</formula>
    </cfRule>
    <cfRule type="containsText" dxfId="2" priority="90" operator="between" text="库存为">
      <formula>NOT(ISERROR(SEARCH("库存为",AU120)))</formula>
    </cfRule>
  </conditionalFormatting>
  <conditionalFormatting sqref="AU121">
    <cfRule type="cellIs" dxfId="0" priority="497" operator="lessThan">
      <formula>20</formula>
    </cfRule>
    <cfRule type="cellIs" dxfId="1" priority="293" operator="greaterThan">
      <formula>120</formula>
    </cfRule>
    <cfRule type="containsText" dxfId="2" priority="89" operator="between" text="库存为">
      <formula>NOT(ISERROR(SEARCH("库存为",AU121)))</formula>
    </cfRule>
  </conditionalFormatting>
  <conditionalFormatting sqref="AU122">
    <cfRule type="cellIs" dxfId="0" priority="496" operator="lessThan">
      <formula>20</formula>
    </cfRule>
    <cfRule type="cellIs" dxfId="1" priority="292" operator="greaterThan">
      <formula>120</formula>
    </cfRule>
    <cfRule type="containsText" dxfId="2" priority="88" operator="between" text="库存为">
      <formula>NOT(ISERROR(SEARCH("库存为",AU122)))</formula>
    </cfRule>
  </conditionalFormatting>
  <conditionalFormatting sqref="AU123">
    <cfRule type="cellIs" dxfId="0" priority="495" operator="lessThan">
      <formula>20</formula>
    </cfRule>
    <cfRule type="cellIs" dxfId="1" priority="291" operator="greaterThan">
      <formula>120</formula>
    </cfRule>
    <cfRule type="containsText" dxfId="2" priority="87" operator="between" text="库存为">
      <formula>NOT(ISERROR(SEARCH("库存为",AU123)))</formula>
    </cfRule>
  </conditionalFormatting>
  <conditionalFormatting sqref="AU124">
    <cfRule type="cellIs" dxfId="0" priority="494" operator="lessThan">
      <formula>20</formula>
    </cfRule>
    <cfRule type="cellIs" dxfId="1" priority="290" operator="greaterThan">
      <formula>120</formula>
    </cfRule>
    <cfRule type="containsText" dxfId="2" priority="86" operator="between" text="库存为">
      <formula>NOT(ISERROR(SEARCH("库存为",AU124)))</formula>
    </cfRule>
  </conditionalFormatting>
  <conditionalFormatting sqref="AU125">
    <cfRule type="cellIs" dxfId="0" priority="493" operator="lessThan">
      <formula>20</formula>
    </cfRule>
    <cfRule type="cellIs" dxfId="1" priority="289" operator="greaterThan">
      <formula>120</formula>
    </cfRule>
    <cfRule type="containsText" dxfId="2" priority="85" operator="between" text="库存为">
      <formula>NOT(ISERROR(SEARCH("库存为",AU125)))</formula>
    </cfRule>
  </conditionalFormatting>
  <conditionalFormatting sqref="AU126">
    <cfRule type="cellIs" dxfId="0" priority="492" operator="lessThan">
      <formula>20</formula>
    </cfRule>
    <cfRule type="cellIs" dxfId="1" priority="288" operator="greaterThan">
      <formula>120</formula>
    </cfRule>
    <cfRule type="containsText" dxfId="2" priority="84" operator="between" text="库存为">
      <formula>NOT(ISERROR(SEARCH("库存为",AU126)))</formula>
    </cfRule>
  </conditionalFormatting>
  <conditionalFormatting sqref="AU127">
    <cfRule type="cellIs" dxfId="0" priority="491" operator="lessThan">
      <formula>20</formula>
    </cfRule>
    <cfRule type="cellIs" dxfId="1" priority="287" operator="greaterThan">
      <formula>120</formula>
    </cfRule>
    <cfRule type="containsText" dxfId="2" priority="83" operator="between" text="库存为">
      <formula>NOT(ISERROR(SEARCH("库存为",AU127)))</formula>
    </cfRule>
  </conditionalFormatting>
  <conditionalFormatting sqref="AU128">
    <cfRule type="cellIs" dxfId="0" priority="490" operator="lessThan">
      <formula>20</formula>
    </cfRule>
    <cfRule type="cellIs" dxfId="1" priority="286" operator="greaterThan">
      <formula>120</formula>
    </cfRule>
    <cfRule type="containsText" dxfId="2" priority="82" operator="between" text="库存为">
      <formula>NOT(ISERROR(SEARCH("库存为",AU128)))</formula>
    </cfRule>
  </conditionalFormatting>
  <conditionalFormatting sqref="AU129">
    <cfRule type="cellIs" dxfId="0" priority="489" operator="lessThan">
      <formula>20</formula>
    </cfRule>
    <cfRule type="cellIs" dxfId="1" priority="285" operator="greaterThan">
      <formula>120</formula>
    </cfRule>
    <cfRule type="containsText" dxfId="2" priority="81" operator="between" text="库存为">
      <formula>NOT(ISERROR(SEARCH("库存为",AU129)))</formula>
    </cfRule>
  </conditionalFormatting>
  <conditionalFormatting sqref="AU130">
    <cfRule type="cellIs" dxfId="0" priority="488" operator="lessThan">
      <formula>20</formula>
    </cfRule>
    <cfRule type="cellIs" dxfId="1" priority="284" operator="greaterThan">
      <formula>120</formula>
    </cfRule>
    <cfRule type="containsText" dxfId="2" priority="80" operator="between" text="库存为">
      <formula>NOT(ISERROR(SEARCH("库存为",AU130)))</formula>
    </cfRule>
  </conditionalFormatting>
  <conditionalFormatting sqref="AU131">
    <cfRule type="cellIs" dxfId="0" priority="487" operator="lessThan">
      <formula>20</formula>
    </cfRule>
    <cfRule type="cellIs" dxfId="1" priority="283" operator="greaterThan">
      <formula>120</formula>
    </cfRule>
    <cfRule type="containsText" dxfId="2" priority="79" operator="between" text="库存为">
      <formula>NOT(ISERROR(SEARCH("库存为",AU131)))</formula>
    </cfRule>
  </conditionalFormatting>
  <conditionalFormatting sqref="AU132">
    <cfRule type="cellIs" dxfId="0" priority="486" operator="lessThan">
      <formula>20</formula>
    </cfRule>
    <cfRule type="cellIs" dxfId="1" priority="282" operator="greaterThan">
      <formula>120</formula>
    </cfRule>
    <cfRule type="containsText" dxfId="2" priority="78" operator="between" text="库存为">
      <formula>NOT(ISERROR(SEARCH("库存为",AU132)))</formula>
    </cfRule>
  </conditionalFormatting>
  <conditionalFormatting sqref="AU133">
    <cfRule type="cellIs" dxfId="0" priority="485" operator="lessThan">
      <formula>20</formula>
    </cfRule>
    <cfRule type="cellIs" dxfId="1" priority="281" operator="greaterThan">
      <formula>120</formula>
    </cfRule>
    <cfRule type="containsText" dxfId="2" priority="77" operator="between" text="库存为">
      <formula>NOT(ISERROR(SEARCH("库存为",AU133)))</formula>
    </cfRule>
  </conditionalFormatting>
  <conditionalFormatting sqref="AU134">
    <cfRule type="cellIs" dxfId="0" priority="484" operator="lessThan">
      <formula>20</formula>
    </cfRule>
    <cfRule type="cellIs" dxfId="1" priority="280" operator="greaterThan">
      <formula>120</formula>
    </cfRule>
    <cfRule type="containsText" dxfId="2" priority="76" operator="between" text="库存为">
      <formula>NOT(ISERROR(SEARCH("库存为",AU134)))</formula>
    </cfRule>
  </conditionalFormatting>
  <conditionalFormatting sqref="AU135">
    <cfRule type="cellIs" dxfId="0" priority="483" operator="lessThan">
      <formula>20</formula>
    </cfRule>
    <cfRule type="cellIs" dxfId="1" priority="279" operator="greaterThan">
      <formula>120</formula>
    </cfRule>
    <cfRule type="containsText" dxfId="2" priority="75" operator="between" text="库存为">
      <formula>NOT(ISERROR(SEARCH("库存为",AU135)))</formula>
    </cfRule>
  </conditionalFormatting>
  <conditionalFormatting sqref="AU136">
    <cfRule type="cellIs" dxfId="0" priority="482" operator="lessThan">
      <formula>20</formula>
    </cfRule>
    <cfRule type="cellIs" dxfId="1" priority="278" operator="greaterThan">
      <formula>120</formula>
    </cfRule>
    <cfRule type="containsText" dxfId="2" priority="74" operator="between" text="库存为">
      <formula>NOT(ISERROR(SEARCH("库存为",AU136)))</formula>
    </cfRule>
  </conditionalFormatting>
  <conditionalFormatting sqref="AU137">
    <cfRule type="cellIs" dxfId="0" priority="481" operator="lessThan">
      <formula>20</formula>
    </cfRule>
    <cfRule type="cellIs" dxfId="1" priority="277" operator="greaterThan">
      <formula>120</formula>
    </cfRule>
    <cfRule type="containsText" dxfId="2" priority="73" operator="between" text="库存为">
      <formula>NOT(ISERROR(SEARCH("库存为",AU137)))</formula>
    </cfRule>
  </conditionalFormatting>
  <conditionalFormatting sqref="AU138">
    <cfRule type="cellIs" dxfId="0" priority="480" operator="lessThan">
      <formula>20</formula>
    </cfRule>
    <cfRule type="cellIs" dxfId="1" priority="276" operator="greaterThan">
      <formula>120</formula>
    </cfRule>
    <cfRule type="containsText" dxfId="2" priority="72" operator="between" text="库存为">
      <formula>NOT(ISERROR(SEARCH("库存为",AU138)))</formula>
    </cfRule>
  </conditionalFormatting>
  <conditionalFormatting sqref="AU139">
    <cfRule type="cellIs" dxfId="0" priority="479" operator="lessThan">
      <formula>20</formula>
    </cfRule>
    <cfRule type="cellIs" dxfId="1" priority="275" operator="greaterThan">
      <formula>120</formula>
    </cfRule>
    <cfRule type="containsText" dxfId="2" priority="71" operator="between" text="库存为">
      <formula>NOT(ISERROR(SEARCH("库存为",AU139)))</formula>
    </cfRule>
  </conditionalFormatting>
  <conditionalFormatting sqref="AU140">
    <cfRule type="cellIs" dxfId="0" priority="478" operator="lessThan">
      <formula>20</formula>
    </cfRule>
    <cfRule type="cellIs" dxfId="1" priority="274" operator="greaterThan">
      <formula>120</formula>
    </cfRule>
    <cfRule type="containsText" dxfId="2" priority="70" operator="between" text="库存为">
      <formula>NOT(ISERROR(SEARCH("库存为",AU140)))</formula>
    </cfRule>
  </conditionalFormatting>
  <conditionalFormatting sqref="AU141">
    <cfRule type="cellIs" dxfId="0" priority="477" operator="lessThan">
      <formula>20</formula>
    </cfRule>
    <cfRule type="cellIs" dxfId="1" priority="273" operator="greaterThan">
      <formula>120</formula>
    </cfRule>
    <cfRule type="containsText" dxfId="2" priority="69" operator="between" text="库存为">
      <formula>NOT(ISERROR(SEARCH("库存为",AU141)))</formula>
    </cfRule>
  </conditionalFormatting>
  <conditionalFormatting sqref="AU142">
    <cfRule type="cellIs" dxfId="0" priority="476" operator="lessThan">
      <formula>20</formula>
    </cfRule>
    <cfRule type="cellIs" dxfId="1" priority="272" operator="greaterThan">
      <formula>120</formula>
    </cfRule>
    <cfRule type="containsText" dxfId="2" priority="68" operator="between" text="库存为">
      <formula>NOT(ISERROR(SEARCH("库存为",AU142)))</formula>
    </cfRule>
  </conditionalFormatting>
  <conditionalFormatting sqref="AU143">
    <cfRule type="cellIs" dxfId="0" priority="475" operator="lessThan">
      <formula>20</formula>
    </cfRule>
    <cfRule type="cellIs" dxfId="1" priority="271" operator="greaterThan">
      <formula>120</formula>
    </cfRule>
    <cfRule type="containsText" dxfId="2" priority="67" operator="between" text="库存为">
      <formula>NOT(ISERROR(SEARCH("库存为",AU143)))</formula>
    </cfRule>
  </conditionalFormatting>
  <conditionalFormatting sqref="AU144">
    <cfRule type="cellIs" dxfId="0" priority="474" operator="lessThan">
      <formula>20</formula>
    </cfRule>
    <cfRule type="cellIs" dxfId="1" priority="270" operator="greaterThan">
      <formula>120</formula>
    </cfRule>
    <cfRule type="containsText" dxfId="2" priority="66" operator="between" text="库存为">
      <formula>NOT(ISERROR(SEARCH("库存为",AU144)))</formula>
    </cfRule>
  </conditionalFormatting>
  <conditionalFormatting sqref="AU145">
    <cfRule type="cellIs" dxfId="0" priority="473" operator="lessThan">
      <formula>20</formula>
    </cfRule>
    <cfRule type="cellIs" dxfId="1" priority="269" operator="greaterThan">
      <formula>120</formula>
    </cfRule>
    <cfRule type="containsText" dxfId="2" priority="65" operator="between" text="库存为">
      <formula>NOT(ISERROR(SEARCH("库存为",AU145)))</formula>
    </cfRule>
  </conditionalFormatting>
  <conditionalFormatting sqref="AU146">
    <cfRule type="cellIs" dxfId="0" priority="472" operator="lessThan">
      <formula>20</formula>
    </cfRule>
    <cfRule type="cellIs" dxfId="1" priority="268" operator="greaterThan">
      <formula>120</formula>
    </cfRule>
    <cfRule type="containsText" dxfId="2" priority="64" operator="between" text="库存为">
      <formula>NOT(ISERROR(SEARCH("库存为",AU146)))</formula>
    </cfRule>
  </conditionalFormatting>
  <conditionalFormatting sqref="AU147">
    <cfRule type="cellIs" dxfId="0" priority="471" operator="lessThan">
      <formula>20</formula>
    </cfRule>
    <cfRule type="cellIs" dxfId="1" priority="267" operator="greaterThan">
      <formula>120</formula>
    </cfRule>
    <cfRule type="containsText" dxfId="2" priority="63" operator="between" text="库存为">
      <formula>NOT(ISERROR(SEARCH("库存为",AU147)))</formula>
    </cfRule>
  </conditionalFormatting>
  <conditionalFormatting sqref="AU148">
    <cfRule type="cellIs" dxfId="0" priority="470" operator="lessThan">
      <formula>20</formula>
    </cfRule>
    <cfRule type="cellIs" dxfId="1" priority="266" operator="greaterThan">
      <formula>120</formula>
    </cfRule>
    <cfRule type="containsText" dxfId="2" priority="62" operator="between" text="库存为">
      <formula>NOT(ISERROR(SEARCH("库存为",AU148)))</formula>
    </cfRule>
  </conditionalFormatting>
  <conditionalFormatting sqref="AU149">
    <cfRule type="cellIs" dxfId="0" priority="469" operator="lessThan">
      <formula>20</formula>
    </cfRule>
    <cfRule type="cellIs" dxfId="1" priority="265" operator="greaterThan">
      <formula>120</formula>
    </cfRule>
    <cfRule type="containsText" dxfId="2" priority="61" operator="between" text="库存为">
      <formula>NOT(ISERROR(SEARCH("库存为",AU149)))</formula>
    </cfRule>
  </conditionalFormatting>
  <conditionalFormatting sqref="AU150">
    <cfRule type="cellIs" dxfId="0" priority="468" operator="lessThan">
      <formula>20</formula>
    </cfRule>
    <cfRule type="cellIs" dxfId="1" priority="264" operator="greaterThan">
      <formula>120</formula>
    </cfRule>
    <cfRule type="containsText" dxfId="2" priority="60" operator="between" text="库存为">
      <formula>NOT(ISERROR(SEARCH("库存为",AU150)))</formula>
    </cfRule>
  </conditionalFormatting>
  <conditionalFormatting sqref="AU151">
    <cfRule type="cellIs" dxfId="0" priority="467" operator="lessThan">
      <formula>20</formula>
    </cfRule>
    <cfRule type="cellIs" dxfId="1" priority="263" operator="greaterThan">
      <formula>120</formula>
    </cfRule>
    <cfRule type="containsText" dxfId="2" priority="59" operator="between" text="库存为">
      <formula>NOT(ISERROR(SEARCH("库存为",AU151)))</formula>
    </cfRule>
  </conditionalFormatting>
  <conditionalFormatting sqref="AU152">
    <cfRule type="cellIs" dxfId="0" priority="466" operator="lessThan">
      <formula>20</formula>
    </cfRule>
    <cfRule type="cellIs" dxfId="1" priority="262" operator="greaterThan">
      <formula>120</formula>
    </cfRule>
    <cfRule type="containsText" dxfId="2" priority="58" operator="between" text="库存为">
      <formula>NOT(ISERROR(SEARCH("库存为",AU152)))</formula>
    </cfRule>
  </conditionalFormatting>
  <conditionalFormatting sqref="AU153">
    <cfRule type="cellIs" dxfId="0" priority="465" operator="lessThan">
      <formula>20</formula>
    </cfRule>
    <cfRule type="cellIs" dxfId="1" priority="261" operator="greaterThan">
      <formula>120</formula>
    </cfRule>
    <cfRule type="containsText" dxfId="2" priority="57" operator="between" text="库存为">
      <formula>NOT(ISERROR(SEARCH("库存为",AU153)))</formula>
    </cfRule>
  </conditionalFormatting>
  <conditionalFormatting sqref="AU154">
    <cfRule type="cellIs" dxfId="0" priority="464" operator="lessThan">
      <formula>20</formula>
    </cfRule>
    <cfRule type="cellIs" dxfId="1" priority="260" operator="greaterThan">
      <formula>120</formula>
    </cfRule>
    <cfRule type="containsText" dxfId="2" priority="56" operator="between" text="库存为">
      <formula>NOT(ISERROR(SEARCH("库存为",AU154)))</formula>
    </cfRule>
  </conditionalFormatting>
  <conditionalFormatting sqref="AU155">
    <cfRule type="cellIs" dxfId="0" priority="463" operator="lessThan">
      <formula>20</formula>
    </cfRule>
    <cfRule type="cellIs" dxfId="1" priority="259" operator="greaterThan">
      <formula>120</formula>
    </cfRule>
    <cfRule type="containsText" dxfId="2" priority="55" operator="between" text="库存为">
      <formula>NOT(ISERROR(SEARCH("库存为",AU155)))</formula>
    </cfRule>
  </conditionalFormatting>
  <conditionalFormatting sqref="AU156">
    <cfRule type="cellIs" dxfId="0" priority="462" operator="lessThan">
      <formula>20</formula>
    </cfRule>
    <cfRule type="cellIs" dxfId="1" priority="258" operator="greaterThan">
      <formula>120</formula>
    </cfRule>
    <cfRule type="containsText" dxfId="2" priority="54" operator="between" text="库存为">
      <formula>NOT(ISERROR(SEARCH("库存为",AU156)))</formula>
    </cfRule>
  </conditionalFormatting>
  <conditionalFormatting sqref="AU157">
    <cfRule type="cellIs" dxfId="0" priority="461" operator="lessThan">
      <formula>20</formula>
    </cfRule>
    <cfRule type="cellIs" dxfId="1" priority="257" operator="greaterThan">
      <formula>120</formula>
    </cfRule>
    <cfRule type="containsText" dxfId="2" priority="53" operator="between" text="库存为">
      <formula>NOT(ISERROR(SEARCH("库存为",AU157)))</formula>
    </cfRule>
  </conditionalFormatting>
  <conditionalFormatting sqref="AU158">
    <cfRule type="cellIs" dxfId="0" priority="460" operator="lessThan">
      <formula>20</formula>
    </cfRule>
    <cfRule type="cellIs" dxfId="1" priority="256" operator="greaterThan">
      <formula>120</formula>
    </cfRule>
    <cfRule type="containsText" dxfId="2" priority="52" operator="between" text="库存为">
      <formula>NOT(ISERROR(SEARCH("库存为",AU158)))</formula>
    </cfRule>
  </conditionalFormatting>
  <conditionalFormatting sqref="AU159">
    <cfRule type="cellIs" dxfId="0" priority="459" operator="lessThan">
      <formula>20</formula>
    </cfRule>
    <cfRule type="cellIs" dxfId="1" priority="255" operator="greaterThan">
      <formula>120</formula>
    </cfRule>
    <cfRule type="containsText" dxfId="2" priority="51" operator="between" text="库存为">
      <formula>NOT(ISERROR(SEARCH("库存为",AU159)))</formula>
    </cfRule>
  </conditionalFormatting>
  <conditionalFormatting sqref="AU160">
    <cfRule type="cellIs" dxfId="0" priority="458" operator="lessThan">
      <formula>20</formula>
    </cfRule>
    <cfRule type="cellIs" dxfId="1" priority="254" operator="greaterThan">
      <formula>120</formula>
    </cfRule>
    <cfRule type="containsText" dxfId="2" priority="50" operator="between" text="库存为">
      <formula>NOT(ISERROR(SEARCH("库存为",AU160)))</formula>
    </cfRule>
  </conditionalFormatting>
  <conditionalFormatting sqref="AU161">
    <cfRule type="cellIs" dxfId="0" priority="457" operator="lessThan">
      <formula>20</formula>
    </cfRule>
    <cfRule type="cellIs" dxfId="1" priority="253" operator="greaterThan">
      <formula>120</formula>
    </cfRule>
    <cfRule type="containsText" dxfId="2" priority="49" operator="between" text="库存为">
      <formula>NOT(ISERROR(SEARCH("库存为",AU161)))</formula>
    </cfRule>
  </conditionalFormatting>
  <conditionalFormatting sqref="AU162">
    <cfRule type="cellIs" dxfId="0" priority="456" operator="lessThan">
      <formula>20</formula>
    </cfRule>
    <cfRule type="cellIs" dxfId="1" priority="252" operator="greaterThan">
      <formula>120</formula>
    </cfRule>
    <cfRule type="containsText" dxfId="2" priority="48" operator="between" text="库存为">
      <formula>NOT(ISERROR(SEARCH("库存为",AU162)))</formula>
    </cfRule>
  </conditionalFormatting>
  <conditionalFormatting sqref="AU163">
    <cfRule type="cellIs" dxfId="0" priority="455" operator="lessThan">
      <formula>20</formula>
    </cfRule>
    <cfRule type="cellIs" dxfId="1" priority="251" operator="greaterThan">
      <formula>120</formula>
    </cfRule>
    <cfRule type="containsText" dxfId="2" priority="47" operator="between" text="库存为">
      <formula>NOT(ISERROR(SEARCH("库存为",AU163)))</formula>
    </cfRule>
  </conditionalFormatting>
  <conditionalFormatting sqref="AU164">
    <cfRule type="cellIs" dxfId="0" priority="454" operator="lessThan">
      <formula>20</formula>
    </cfRule>
    <cfRule type="cellIs" dxfId="1" priority="250" operator="greaterThan">
      <formula>120</formula>
    </cfRule>
    <cfRule type="containsText" dxfId="2" priority="46" operator="between" text="库存为">
      <formula>NOT(ISERROR(SEARCH("库存为",AU164)))</formula>
    </cfRule>
  </conditionalFormatting>
  <conditionalFormatting sqref="AU165">
    <cfRule type="cellIs" dxfId="0" priority="453" operator="lessThan">
      <formula>20</formula>
    </cfRule>
    <cfRule type="cellIs" dxfId="1" priority="249" operator="greaterThan">
      <formula>120</formula>
    </cfRule>
    <cfRule type="containsText" dxfId="2" priority="45" operator="between" text="库存为">
      <formula>NOT(ISERROR(SEARCH("库存为",AU165)))</formula>
    </cfRule>
  </conditionalFormatting>
  <conditionalFormatting sqref="AU166">
    <cfRule type="cellIs" dxfId="0" priority="452" operator="lessThan">
      <formula>20</formula>
    </cfRule>
    <cfRule type="cellIs" dxfId="1" priority="248" operator="greaterThan">
      <formula>120</formula>
    </cfRule>
    <cfRule type="containsText" dxfId="2" priority="44" operator="between" text="库存为">
      <formula>NOT(ISERROR(SEARCH("库存为",AU166)))</formula>
    </cfRule>
  </conditionalFormatting>
  <conditionalFormatting sqref="AU167">
    <cfRule type="cellIs" dxfId="0" priority="451" operator="lessThan">
      <formula>20</formula>
    </cfRule>
    <cfRule type="cellIs" dxfId="1" priority="247" operator="greaterThan">
      <formula>120</formula>
    </cfRule>
    <cfRule type="containsText" dxfId="2" priority="43" operator="between" text="库存为">
      <formula>NOT(ISERROR(SEARCH("库存为",AU167)))</formula>
    </cfRule>
  </conditionalFormatting>
  <conditionalFormatting sqref="AU168">
    <cfRule type="cellIs" dxfId="0" priority="450" operator="lessThan">
      <formula>20</formula>
    </cfRule>
    <cfRule type="cellIs" dxfId="1" priority="246" operator="greaterThan">
      <formula>120</formula>
    </cfRule>
    <cfRule type="containsText" dxfId="2" priority="42" operator="between" text="库存为">
      <formula>NOT(ISERROR(SEARCH("库存为",AU168)))</formula>
    </cfRule>
  </conditionalFormatting>
  <conditionalFormatting sqref="AU169">
    <cfRule type="cellIs" dxfId="0" priority="449" operator="lessThan">
      <formula>20</formula>
    </cfRule>
    <cfRule type="cellIs" dxfId="1" priority="245" operator="greaterThan">
      <formula>120</formula>
    </cfRule>
    <cfRule type="containsText" dxfId="2" priority="41" operator="between" text="库存为">
      <formula>NOT(ISERROR(SEARCH("库存为",AU169)))</formula>
    </cfRule>
  </conditionalFormatting>
  <conditionalFormatting sqref="AU170">
    <cfRule type="cellIs" dxfId="0" priority="448" operator="lessThan">
      <formula>20</formula>
    </cfRule>
    <cfRule type="cellIs" dxfId="1" priority="244" operator="greaterThan">
      <formula>120</formula>
    </cfRule>
    <cfRule type="containsText" dxfId="2" priority="40" operator="between" text="库存为">
      <formula>NOT(ISERROR(SEARCH("库存为",AU170)))</formula>
    </cfRule>
  </conditionalFormatting>
  <conditionalFormatting sqref="AU171">
    <cfRule type="cellIs" dxfId="0" priority="447" operator="lessThan">
      <formula>20</formula>
    </cfRule>
    <cfRule type="cellIs" dxfId="1" priority="243" operator="greaterThan">
      <formula>120</formula>
    </cfRule>
    <cfRule type="containsText" dxfId="2" priority="39" operator="between" text="库存为">
      <formula>NOT(ISERROR(SEARCH("库存为",AU171)))</formula>
    </cfRule>
  </conditionalFormatting>
  <conditionalFormatting sqref="AU172">
    <cfRule type="cellIs" dxfId="0" priority="446" operator="lessThan">
      <formula>20</formula>
    </cfRule>
    <cfRule type="cellIs" dxfId="1" priority="242" operator="greaterThan">
      <formula>120</formula>
    </cfRule>
    <cfRule type="containsText" dxfId="2" priority="38" operator="between" text="库存为">
      <formula>NOT(ISERROR(SEARCH("库存为",AU172)))</formula>
    </cfRule>
  </conditionalFormatting>
  <conditionalFormatting sqref="AU173">
    <cfRule type="cellIs" dxfId="0" priority="445" operator="lessThan">
      <formula>20</formula>
    </cfRule>
    <cfRule type="cellIs" dxfId="1" priority="241" operator="greaterThan">
      <formula>120</formula>
    </cfRule>
    <cfRule type="containsText" dxfId="2" priority="37" operator="between" text="库存为">
      <formula>NOT(ISERROR(SEARCH("库存为",AU173)))</formula>
    </cfRule>
  </conditionalFormatting>
  <conditionalFormatting sqref="AU174">
    <cfRule type="cellIs" dxfId="0" priority="444" operator="lessThan">
      <formula>20</formula>
    </cfRule>
    <cfRule type="cellIs" dxfId="1" priority="240" operator="greaterThan">
      <formula>120</formula>
    </cfRule>
    <cfRule type="containsText" dxfId="2" priority="36" operator="between" text="库存为">
      <formula>NOT(ISERROR(SEARCH("库存为",AU174)))</formula>
    </cfRule>
  </conditionalFormatting>
  <conditionalFormatting sqref="AU175">
    <cfRule type="cellIs" dxfId="0" priority="443" operator="lessThan">
      <formula>20</formula>
    </cfRule>
    <cfRule type="cellIs" dxfId="1" priority="239" operator="greaterThan">
      <formula>120</formula>
    </cfRule>
    <cfRule type="containsText" dxfId="2" priority="35" operator="between" text="库存为">
      <formula>NOT(ISERROR(SEARCH("库存为",AU175)))</formula>
    </cfRule>
  </conditionalFormatting>
  <conditionalFormatting sqref="AU176">
    <cfRule type="cellIs" dxfId="0" priority="442" operator="lessThan">
      <formula>20</formula>
    </cfRule>
    <cfRule type="cellIs" dxfId="1" priority="238" operator="greaterThan">
      <formula>120</formula>
    </cfRule>
    <cfRule type="containsText" dxfId="2" priority="34" operator="between" text="库存为">
      <formula>NOT(ISERROR(SEARCH("库存为",AU176)))</formula>
    </cfRule>
  </conditionalFormatting>
  <conditionalFormatting sqref="AU177">
    <cfRule type="cellIs" dxfId="0" priority="441" operator="lessThan">
      <formula>20</formula>
    </cfRule>
    <cfRule type="cellIs" dxfId="1" priority="237" operator="greaterThan">
      <formula>120</formula>
    </cfRule>
    <cfRule type="containsText" dxfId="2" priority="33" operator="between" text="库存为">
      <formula>NOT(ISERROR(SEARCH("库存为",AU177)))</formula>
    </cfRule>
  </conditionalFormatting>
  <conditionalFormatting sqref="AU178">
    <cfRule type="cellIs" dxfId="0" priority="440" operator="lessThan">
      <formula>20</formula>
    </cfRule>
    <cfRule type="cellIs" dxfId="1" priority="236" operator="greaterThan">
      <formula>120</formula>
    </cfRule>
    <cfRule type="containsText" dxfId="2" priority="32" operator="between" text="库存为">
      <formula>NOT(ISERROR(SEARCH("库存为",AU178)))</formula>
    </cfRule>
  </conditionalFormatting>
  <conditionalFormatting sqref="AU179">
    <cfRule type="cellIs" dxfId="0" priority="439" operator="lessThan">
      <formula>20</formula>
    </cfRule>
    <cfRule type="cellIs" dxfId="1" priority="235" operator="greaterThan">
      <formula>120</formula>
    </cfRule>
    <cfRule type="containsText" dxfId="2" priority="31" operator="between" text="库存为">
      <formula>NOT(ISERROR(SEARCH("库存为",AU179)))</formula>
    </cfRule>
  </conditionalFormatting>
  <conditionalFormatting sqref="AU180">
    <cfRule type="cellIs" dxfId="0" priority="438" operator="lessThan">
      <formula>20</formula>
    </cfRule>
    <cfRule type="cellIs" dxfId="1" priority="234" operator="greaterThan">
      <formula>120</formula>
    </cfRule>
    <cfRule type="containsText" dxfId="2" priority="30" operator="between" text="库存为">
      <formula>NOT(ISERROR(SEARCH("库存为",AU180)))</formula>
    </cfRule>
  </conditionalFormatting>
  <conditionalFormatting sqref="AU181">
    <cfRule type="cellIs" dxfId="0" priority="437" operator="lessThan">
      <formula>20</formula>
    </cfRule>
    <cfRule type="cellIs" dxfId="1" priority="233" operator="greaterThan">
      <formula>120</formula>
    </cfRule>
    <cfRule type="containsText" dxfId="2" priority="29" operator="between" text="库存为">
      <formula>NOT(ISERROR(SEARCH("库存为",AU181)))</formula>
    </cfRule>
  </conditionalFormatting>
  <conditionalFormatting sqref="AU182">
    <cfRule type="cellIs" dxfId="0" priority="436" operator="lessThan">
      <formula>20</formula>
    </cfRule>
    <cfRule type="cellIs" dxfId="1" priority="232" operator="greaterThan">
      <formula>120</formula>
    </cfRule>
    <cfRule type="containsText" dxfId="2" priority="28" operator="between" text="库存为">
      <formula>NOT(ISERROR(SEARCH("库存为",AU182)))</formula>
    </cfRule>
  </conditionalFormatting>
  <conditionalFormatting sqref="AU183">
    <cfRule type="cellIs" dxfId="0" priority="435" operator="lessThan">
      <formula>20</formula>
    </cfRule>
    <cfRule type="cellIs" dxfId="1" priority="231" operator="greaterThan">
      <formula>120</formula>
    </cfRule>
    <cfRule type="containsText" dxfId="2" priority="27" operator="between" text="库存为">
      <formula>NOT(ISERROR(SEARCH("库存为",AU183)))</formula>
    </cfRule>
  </conditionalFormatting>
  <conditionalFormatting sqref="AU184">
    <cfRule type="cellIs" dxfId="0" priority="434" operator="lessThan">
      <formula>20</formula>
    </cfRule>
    <cfRule type="cellIs" dxfId="1" priority="230" operator="greaterThan">
      <formula>120</formula>
    </cfRule>
    <cfRule type="containsText" dxfId="2" priority="26" operator="between" text="库存为">
      <formula>NOT(ISERROR(SEARCH("库存为",AU184)))</formula>
    </cfRule>
  </conditionalFormatting>
  <conditionalFormatting sqref="AU185">
    <cfRule type="cellIs" dxfId="0" priority="433" operator="lessThan">
      <formula>20</formula>
    </cfRule>
    <cfRule type="cellIs" dxfId="1" priority="229" operator="greaterThan">
      <formula>120</formula>
    </cfRule>
    <cfRule type="containsText" dxfId="2" priority="25" operator="between" text="库存为">
      <formula>NOT(ISERROR(SEARCH("库存为",AU185)))</formula>
    </cfRule>
  </conditionalFormatting>
  <conditionalFormatting sqref="AU186">
    <cfRule type="cellIs" dxfId="0" priority="432" operator="lessThan">
      <formula>20</formula>
    </cfRule>
    <cfRule type="cellIs" dxfId="1" priority="228" operator="greaterThan">
      <formula>120</formula>
    </cfRule>
    <cfRule type="containsText" dxfId="2" priority="24" operator="between" text="库存为">
      <formula>NOT(ISERROR(SEARCH("库存为",AU186)))</formula>
    </cfRule>
  </conditionalFormatting>
  <conditionalFormatting sqref="AU187">
    <cfRule type="cellIs" dxfId="0" priority="431" operator="lessThan">
      <formula>20</formula>
    </cfRule>
    <cfRule type="cellIs" dxfId="1" priority="227" operator="greaterThan">
      <formula>120</formula>
    </cfRule>
    <cfRule type="containsText" dxfId="2" priority="23" operator="between" text="库存为">
      <formula>NOT(ISERROR(SEARCH("库存为",AU187)))</formula>
    </cfRule>
  </conditionalFormatting>
  <conditionalFormatting sqref="AU188">
    <cfRule type="cellIs" dxfId="0" priority="430" operator="lessThan">
      <formula>20</formula>
    </cfRule>
    <cfRule type="cellIs" dxfId="1" priority="226" operator="greaterThan">
      <formula>120</formula>
    </cfRule>
    <cfRule type="containsText" dxfId="2" priority="22" operator="between" text="库存为">
      <formula>NOT(ISERROR(SEARCH("库存为",AU188)))</formula>
    </cfRule>
  </conditionalFormatting>
  <conditionalFormatting sqref="AU189">
    <cfRule type="cellIs" dxfId="0" priority="429" operator="lessThan">
      <formula>20</formula>
    </cfRule>
    <cfRule type="cellIs" dxfId="1" priority="225" operator="greaterThan">
      <formula>120</formula>
    </cfRule>
    <cfRule type="containsText" dxfId="2" priority="21" operator="between" text="库存为">
      <formula>NOT(ISERROR(SEARCH("库存为",AU189)))</formula>
    </cfRule>
  </conditionalFormatting>
  <conditionalFormatting sqref="AU190">
    <cfRule type="cellIs" dxfId="0" priority="428" operator="lessThan">
      <formula>20</formula>
    </cfRule>
    <cfRule type="cellIs" dxfId="1" priority="224" operator="greaterThan">
      <formula>120</formula>
    </cfRule>
    <cfRule type="containsText" dxfId="2" priority="20" operator="between" text="库存为">
      <formula>NOT(ISERROR(SEARCH("库存为",AU190)))</formula>
    </cfRule>
  </conditionalFormatting>
  <conditionalFormatting sqref="AU191">
    <cfRule type="cellIs" dxfId="0" priority="427" operator="lessThan">
      <formula>20</formula>
    </cfRule>
    <cfRule type="cellIs" dxfId="1" priority="223" operator="greaterThan">
      <formula>120</formula>
    </cfRule>
    <cfRule type="containsText" dxfId="2" priority="19" operator="between" text="库存为">
      <formula>NOT(ISERROR(SEARCH("库存为",AU191)))</formula>
    </cfRule>
  </conditionalFormatting>
  <conditionalFormatting sqref="AU192">
    <cfRule type="cellIs" dxfId="0" priority="426" operator="lessThan">
      <formula>20</formula>
    </cfRule>
    <cfRule type="cellIs" dxfId="1" priority="222" operator="greaterThan">
      <formula>120</formula>
    </cfRule>
    <cfRule type="containsText" dxfId="2" priority="18" operator="between" text="库存为">
      <formula>NOT(ISERROR(SEARCH("库存为",AU192)))</formula>
    </cfRule>
  </conditionalFormatting>
  <conditionalFormatting sqref="AU193">
    <cfRule type="cellIs" dxfId="0" priority="425" operator="lessThan">
      <formula>20</formula>
    </cfRule>
    <cfRule type="cellIs" dxfId="1" priority="221" operator="greaterThan">
      <formula>120</formula>
    </cfRule>
    <cfRule type="containsText" dxfId="2" priority="17" operator="between" text="库存为">
      <formula>NOT(ISERROR(SEARCH("库存为",AU193)))</formula>
    </cfRule>
  </conditionalFormatting>
  <conditionalFormatting sqref="AU194">
    <cfRule type="cellIs" dxfId="0" priority="424" operator="lessThan">
      <formula>20</formula>
    </cfRule>
    <cfRule type="cellIs" dxfId="1" priority="220" operator="greaterThan">
      <formula>120</formula>
    </cfRule>
    <cfRule type="containsText" dxfId="2" priority="16" operator="between" text="库存为">
      <formula>NOT(ISERROR(SEARCH("库存为",AU194)))</formula>
    </cfRule>
  </conditionalFormatting>
  <conditionalFormatting sqref="AU195">
    <cfRule type="cellIs" dxfId="0" priority="423" operator="lessThan">
      <formula>20</formula>
    </cfRule>
    <cfRule type="cellIs" dxfId="1" priority="219" operator="greaterThan">
      <formula>120</formula>
    </cfRule>
    <cfRule type="containsText" dxfId="2" priority="15" operator="between" text="库存为">
      <formula>NOT(ISERROR(SEARCH("库存为",AU195)))</formula>
    </cfRule>
  </conditionalFormatting>
  <conditionalFormatting sqref="AU196">
    <cfRule type="cellIs" dxfId="0" priority="422" operator="lessThan">
      <formula>20</formula>
    </cfRule>
    <cfRule type="cellIs" dxfId="1" priority="218" operator="greaterThan">
      <formula>120</formula>
    </cfRule>
    <cfRule type="containsText" dxfId="2" priority="14" operator="between" text="库存为">
      <formula>NOT(ISERROR(SEARCH("库存为",AU196)))</formula>
    </cfRule>
  </conditionalFormatting>
  <conditionalFormatting sqref="AU197">
    <cfRule type="cellIs" dxfId="0" priority="421" operator="lessThan">
      <formula>20</formula>
    </cfRule>
    <cfRule type="cellIs" dxfId="1" priority="217" operator="greaterThan">
      <formula>120</formula>
    </cfRule>
    <cfRule type="containsText" dxfId="2" priority="13" operator="between" text="库存为">
      <formula>NOT(ISERROR(SEARCH("库存为",AU197)))</formula>
    </cfRule>
  </conditionalFormatting>
  <conditionalFormatting sqref="AU198">
    <cfRule type="cellIs" dxfId="0" priority="420" operator="lessThan">
      <formula>20</formula>
    </cfRule>
    <cfRule type="cellIs" dxfId="1" priority="216" operator="greaterThan">
      <formula>120</formula>
    </cfRule>
    <cfRule type="containsText" dxfId="2" priority="12" operator="between" text="库存为">
      <formula>NOT(ISERROR(SEARCH("库存为",AU198)))</formula>
    </cfRule>
  </conditionalFormatting>
  <conditionalFormatting sqref="AU199">
    <cfRule type="cellIs" dxfId="0" priority="419" operator="lessThan">
      <formula>20</formula>
    </cfRule>
    <cfRule type="cellIs" dxfId="1" priority="215" operator="greaterThan">
      <formula>120</formula>
    </cfRule>
    <cfRule type="containsText" dxfId="2" priority="11" operator="between" text="库存为">
      <formula>NOT(ISERROR(SEARCH("库存为",AU199)))</formula>
    </cfRule>
  </conditionalFormatting>
  <conditionalFormatting sqref="AU200">
    <cfRule type="cellIs" dxfId="0" priority="418" operator="lessThan">
      <formula>20</formula>
    </cfRule>
    <cfRule type="cellIs" dxfId="1" priority="214" operator="greaterThan">
      <formula>120</formula>
    </cfRule>
    <cfRule type="containsText" dxfId="2" priority="10" operator="between" text="库存为">
      <formula>NOT(ISERROR(SEARCH("库存为",AU200)))</formula>
    </cfRule>
  </conditionalFormatting>
  <conditionalFormatting sqref="AU201">
    <cfRule type="cellIs" dxfId="0" priority="417" operator="lessThan">
      <formula>20</formula>
    </cfRule>
    <cfRule type="cellIs" dxfId="1" priority="213" operator="greaterThan">
      <formula>120</formula>
    </cfRule>
    <cfRule type="containsText" dxfId="2" priority="9" operator="between" text="库存为">
      <formula>NOT(ISERROR(SEARCH("库存为",AU201)))</formula>
    </cfRule>
  </conditionalFormatting>
  <conditionalFormatting sqref="AU202">
    <cfRule type="cellIs" dxfId="0" priority="416" operator="lessThan">
      <formula>20</formula>
    </cfRule>
    <cfRule type="cellIs" dxfId="1" priority="212" operator="greaterThan">
      <formula>120</formula>
    </cfRule>
    <cfRule type="containsText" dxfId="2" priority="8" operator="between" text="库存为">
      <formula>NOT(ISERROR(SEARCH("库存为",AU202)))</formula>
    </cfRule>
  </conditionalFormatting>
  <conditionalFormatting sqref="AU203">
    <cfRule type="cellIs" dxfId="0" priority="415" operator="lessThan">
      <formula>20</formula>
    </cfRule>
    <cfRule type="cellIs" dxfId="1" priority="211" operator="greaterThan">
      <formula>120</formula>
    </cfRule>
    <cfRule type="containsText" dxfId="2" priority="7" operator="between" text="库存为">
      <formula>NOT(ISERROR(SEARCH("库存为",AU203)))</formula>
    </cfRule>
  </conditionalFormatting>
  <conditionalFormatting sqref="AU204">
    <cfRule type="cellIs" dxfId="0" priority="414" operator="lessThan">
      <formula>20</formula>
    </cfRule>
    <cfRule type="cellIs" dxfId="1" priority="210" operator="greaterThan">
      <formula>120</formula>
    </cfRule>
    <cfRule type="containsText" dxfId="2" priority="6" operator="between" text="库存为">
      <formula>NOT(ISERROR(SEARCH("库存为",AU204)))</formula>
    </cfRule>
  </conditionalFormatting>
  <conditionalFormatting sqref="AU205">
    <cfRule type="cellIs" dxfId="0" priority="413" operator="lessThan">
      <formula>20</formula>
    </cfRule>
    <cfRule type="cellIs" dxfId="1" priority="209" operator="greaterThan">
      <formula>120</formula>
    </cfRule>
    <cfRule type="containsText" dxfId="2" priority="5" operator="between" text="库存为">
      <formula>NOT(ISERROR(SEARCH("库存为",AU205)))</formula>
    </cfRule>
  </conditionalFormatting>
  <conditionalFormatting sqref="AU206">
    <cfRule type="cellIs" dxfId="0" priority="412" operator="lessThan">
      <formula>20</formula>
    </cfRule>
    <cfRule type="cellIs" dxfId="1" priority="208" operator="greaterThan">
      <formula>120</formula>
    </cfRule>
    <cfRule type="containsText" dxfId="2" priority="4" operator="between" text="库存为">
      <formula>NOT(ISERROR(SEARCH("库存为",AU206)))</formula>
    </cfRule>
  </conditionalFormatting>
  <conditionalFormatting sqref="AU207">
    <cfRule type="cellIs" dxfId="0" priority="411" operator="lessThan">
      <formula>20</formula>
    </cfRule>
    <cfRule type="cellIs" dxfId="1" priority="207" operator="greaterThan">
      <formula>120</formula>
    </cfRule>
    <cfRule type="containsText" dxfId="2" priority="3" operator="between" text="库存为">
      <formula>NOT(ISERROR(SEARCH("库存为",AU207)))</formula>
    </cfRule>
  </conditionalFormatting>
  <conditionalFormatting sqref="AU208">
    <cfRule type="cellIs" dxfId="0" priority="410" operator="lessThan">
      <formula>20</formula>
    </cfRule>
    <cfRule type="cellIs" dxfId="1" priority="206" operator="greaterThan">
      <formula>120</formula>
    </cfRule>
    <cfRule type="containsText" dxfId="2" priority="2" operator="between" text="库存为">
      <formula>NOT(ISERROR(SEARCH("库存为",AU208)))</formula>
    </cfRule>
  </conditionalFormatting>
  <conditionalFormatting sqref="AU209">
    <cfRule type="cellIs" dxfId="0" priority="409" operator="lessThan">
      <formula>20</formula>
    </cfRule>
    <cfRule type="cellIs" dxfId="1" priority="205" operator="greaterThan">
      <formula>120</formula>
    </cfRule>
    <cfRule type="containsText" dxfId="2" priority="1" operator="between" text="库存为">
      <formula>NOT(ISERROR(SEARCH("库存为",AU209)))</formula>
    </cfRule>
  </conditionalFormatting>
  <conditionalFormatting sqref="AU210">
    <cfRule type="containsText" dxfId="2" priority="5584" operator="between" text="库存为">
      <formula>NOT(ISERROR(SEARCH("库存为",AU210)))</formula>
    </cfRule>
    <cfRule type="cellIs" dxfId="1" priority="6089" operator="greaterThan">
      <formula>120</formula>
    </cfRule>
    <cfRule type="cellIs" dxfId="0" priority="6594" operator="lessThan">
      <formula>20</formula>
    </cfRule>
  </conditionalFormatting>
  <conditionalFormatting sqref="AU211">
    <cfRule type="containsText" dxfId="2" priority="5583" operator="between" text="库存为">
      <formula>NOT(ISERROR(SEARCH("库存为",AU211)))</formula>
    </cfRule>
    <cfRule type="cellIs" dxfId="1" priority="6088" operator="greaterThan">
      <formula>120</formula>
    </cfRule>
    <cfRule type="cellIs" dxfId="0" priority="6593" operator="lessThan">
      <formula>20</formula>
    </cfRule>
  </conditionalFormatting>
  <conditionalFormatting sqref="AU212">
    <cfRule type="containsText" dxfId="2" priority="5582" operator="between" text="库存为">
      <formula>NOT(ISERROR(SEARCH("库存为",AU212)))</formula>
    </cfRule>
    <cfRule type="cellIs" dxfId="1" priority="6087" operator="greaterThan">
      <formula>120</formula>
    </cfRule>
    <cfRule type="cellIs" dxfId="0" priority="6592" operator="lessThan">
      <formula>20</formula>
    </cfRule>
  </conditionalFormatting>
  <conditionalFormatting sqref="AU213">
    <cfRule type="containsText" dxfId="2" priority="5581" operator="between" text="库存为">
      <formula>NOT(ISERROR(SEARCH("库存为",AU213)))</formula>
    </cfRule>
    <cfRule type="cellIs" dxfId="1" priority="6086" operator="greaterThan">
      <formula>120</formula>
    </cfRule>
    <cfRule type="cellIs" dxfId="0" priority="6591" operator="lessThan">
      <formula>20</formula>
    </cfRule>
  </conditionalFormatting>
  <conditionalFormatting sqref="AU214">
    <cfRule type="containsText" dxfId="2" priority="5580" operator="between" text="库存为">
      <formula>NOT(ISERROR(SEARCH("库存为",AU214)))</formula>
    </cfRule>
    <cfRule type="cellIs" dxfId="1" priority="6085" operator="greaterThan">
      <formula>120</formula>
    </cfRule>
    <cfRule type="cellIs" dxfId="0" priority="6590" operator="lessThan">
      <formula>20</formula>
    </cfRule>
  </conditionalFormatting>
  <conditionalFormatting sqref="AU215">
    <cfRule type="containsText" dxfId="2" priority="5579" operator="between" text="库存为">
      <formula>NOT(ISERROR(SEARCH("库存为",AU215)))</formula>
    </cfRule>
    <cfRule type="cellIs" dxfId="1" priority="6084" operator="greaterThan">
      <formula>120</formula>
    </cfRule>
    <cfRule type="cellIs" dxfId="0" priority="6589" operator="lessThan">
      <formula>20</formula>
    </cfRule>
  </conditionalFormatting>
  <conditionalFormatting sqref="AU216">
    <cfRule type="containsText" dxfId="2" priority="5578" operator="between" text="库存为">
      <formula>NOT(ISERROR(SEARCH("库存为",AU216)))</formula>
    </cfRule>
    <cfRule type="cellIs" dxfId="1" priority="6083" operator="greaterThan">
      <formula>120</formula>
    </cfRule>
    <cfRule type="cellIs" dxfId="0" priority="6588" operator="lessThan">
      <formula>20</formula>
    </cfRule>
  </conditionalFormatting>
  <conditionalFormatting sqref="AU217">
    <cfRule type="containsText" dxfId="2" priority="5577" operator="between" text="库存为">
      <formula>NOT(ISERROR(SEARCH("库存为",AU217)))</formula>
    </cfRule>
    <cfRule type="cellIs" dxfId="1" priority="6082" operator="greaterThan">
      <formula>120</formula>
    </cfRule>
    <cfRule type="cellIs" dxfId="0" priority="6587" operator="lessThan">
      <formula>20</formula>
    </cfRule>
  </conditionalFormatting>
  <conditionalFormatting sqref="AU218">
    <cfRule type="containsText" dxfId="2" priority="5576" operator="between" text="库存为">
      <formula>NOT(ISERROR(SEARCH("库存为",AU218)))</formula>
    </cfRule>
    <cfRule type="cellIs" dxfId="1" priority="6081" operator="greaterThan">
      <formula>120</formula>
    </cfRule>
    <cfRule type="cellIs" dxfId="0" priority="6586" operator="lessThan">
      <formula>20</formula>
    </cfRule>
  </conditionalFormatting>
  <conditionalFormatting sqref="AU219">
    <cfRule type="containsText" dxfId="2" priority="5575" operator="between" text="库存为">
      <formula>NOT(ISERROR(SEARCH("库存为",AU219)))</formula>
    </cfRule>
    <cfRule type="cellIs" dxfId="1" priority="6080" operator="greaterThan">
      <formula>120</formula>
    </cfRule>
    <cfRule type="cellIs" dxfId="0" priority="6585" operator="lessThan">
      <formula>20</formula>
    </cfRule>
  </conditionalFormatting>
  <conditionalFormatting sqref="AU220">
    <cfRule type="containsText" dxfId="2" priority="5574" operator="between" text="库存为">
      <formula>NOT(ISERROR(SEARCH("库存为",AU220)))</formula>
    </cfRule>
    <cfRule type="cellIs" dxfId="1" priority="6079" operator="greaterThan">
      <formula>120</formula>
    </cfRule>
    <cfRule type="cellIs" dxfId="0" priority="6584" operator="lessThan">
      <formula>20</formula>
    </cfRule>
  </conditionalFormatting>
  <conditionalFormatting sqref="AU221">
    <cfRule type="containsText" dxfId="2" priority="5573" operator="between" text="库存为">
      <formula>NOT(ISERROR(SEARCH("库存为",AU221)))</formula>
    </cfRule>
    <cfRule type="cellIs" dxfId="1" priority="6078" operator="greaterThan">
      <formula>120</formula>
    </cfRule>
    <cfRule type="cellIs" dxfId="0" priority="6583" operator="lessThan">
      <formula>20</formula>
    </cfRule>
  </conditionalFormatting>
  <conditionalFormatting sqref="AU222">
    <cfRule type="containsText" dxfId="2" priority="5572" operator="between" text="库存为">
      <formula>NOT(ISERROR(SEARCH("库存为",AU222)))</formula>
    </cfRule>
    <cfRule type="cellIs" dxfId="1" priority="6077" operator="greaterThan">
      <formula>120</formula>
    </cfRule>
    <cfRule type="cellIs" dxfId="0" priority="6582" operator="lessThan">
      <formula>20</formula>
    </cfRule>
  </conditionalFormatting>
  <conditionalFormatting sqref="AU223">
    <cfRule type="containsText" dxfId="2" priority="5571" operator="between" text="库存为">
      <formula>NOT(ISERROR(SEARCH("库存为",AU223)))</formula>
    </cfRule>
    <cfRule type="cellIs" dxfId="1" priority="6076" operator="greaterThan">
      <formula>120</formula>
    </cfRule>
    <cfRule type="cellIs" dxfId="0" priority="6581" operator="lessThan">
      <formula>20</formula>
    </cfRule>
  </conditionalFormatting>
  <conditionalFormatting sqref="AU224">
    <cfRule type="containsText" dxfId="2" priority="5570" operator="between" text="库存为">
      <formula>NOT(ISERROR(SEARCH("库存为",AU224)))</formula>
    </cfRule>
    <cfRule type="cellIs" dxfId="1" priority="6075" operator="greaterThan">
      <formula>120</formula>
    </cfRule>
    <cfRule type="cellIs" dxfId="0" priority="6580" operator="lessThan">
      <formula>20</formula>
    </cfRule>
  </conditionalFormatting>
  <conditionalFormatting sqref="AU225">
    <cfRule type="containsText" dxfId="2" priority="5569" operator="between" text="库存为">
      <formula>NOT(ISERROR(SEARCH("库存为",AU225)))</formula>
    </cfRule>
    <cfRule type="cellIs" dxfId="1" priority="6074" operator="greaterThan">
      <formula>120</formula>
    </cfRule>
    <cfRule type="cellIs" dxfId="0" priority="6579" operator="lessThan">
      <formula>20</formula>
    </cfRule>
  </conditionalFormatting>
  <conditionalFormatting sqref="AU226">
    <cfRule type="containsText" dxfId="2" priority="5568" operator="between" text="库存为">
      <formula>NOT(ISERROR(SEARCH("库存为",AU226)))</formula>
    </cfRule>
    <cfRule type="cellIs" dxfId="1" priority="6073" operator="greaterThan">
      <formula>120</formula>
    </cfRule>
    <cfRule type="cellIs" dxfId="0" priority="6578" operator="lessThan">
      <formula>20</formula>
    </cfRule>
  </conditionalFormatting>
  <conditionalFormatting sqref="AU227">
    <cfRule type="containsText" dxfId="2" priority="5567" operator="between" text="库存为">
      <formula>NOT(ISERROR(SEARCH("库存为",AU227)))</formula>
    </cfRule>
    <cfRule type="cellIs" dxfId="1" priority="6072" operator="greaterThan">
      <formula>120</formula>
    </cfRule>
    <cfRule type="cellIs" dxfId="0" priority="6577" operator="lessThan">
      <formula>20</formula>
    </cfRule>
  </conditionalFormatting>
  <conditionalFormatting sqref="AU228">
    <cfRule type="containsText" dxfId="2" priority="5566" operator="between" text="库存为">
      <formula>NOT(ISERROR(SEARCH("库存为",AU228)))</formula>
    </cfRule>
    <cfRule type="cellIs" dxfId="1" priority="6071" operator="greaterThan">
      <formula>120</formula>
    </cfRule>
    <cfRule type="cellIs" dxfId="0" priority="6576" operator="lessThan">
      <formula>20</formula>
    </cfRule>
  </conditionalFormatting>
  <conditionalFormatting sqref="AU229">
    <cfRule type="containsText" dxfId="2" priority="5565" operator="between" text="库存为">
      <formula>NOT(ISERROR(SEARCH("库存为",AU229)))</formula>
    </cfRule>
    <cfRule type="cellIs" dxfId="1" priority="6070" operator="greaterThan">
      <formula>120</formula>
    </cfRule>
    <cfRule type="cellIs" dxfId="0" priority="6575" operator="lessThan">
      <formula>20</formula>
    </cfRule>
  </conditionalFormatting>
  <conditionalFormatting sqref="AU230">
    <cfRule type="containsText" dxfId="2" priority="5564" operator="between" text="库存为">
      <formula>NOT(ISERROR(SEARCH("库存为",AU230)))</formula>
    </cfRule>
    <cfRule type="cellIs" dxfId="1" priority="6069" operator="greaterThan">
      <formula>120</formula>
    </cfRule>
    <cfRule type="cellIs" dxfId="0" priority="6574" operator="lessThan">
      <formula>20</formula>
    </cfRule>
  </conditionalFormatting>
  <conditionalFormatting sqref="AU231">
    <cfRule type="containsText" dxfId="2" priority="5563" operator="between" text="库存为">
      <formula>NOT(ISERROR(SEARCH("库存为",AU231)))</formula>
    </cfRule>
    <cfRule type="cellIs" dxfId="1" priority="6068" operator="greaterThan">
      <formula>120</formula>
    </cfRule>
    <cfRule type="cellIs" dxfId="0" priority="6573" operator="lessThan">
      <formula>20</formula>
    </cfRule>
  </conditionalFormatting>
  <conditionalFormatting sqref="AU232">
    <cfRule type="containsText" dxfId="2" priority="5562" operator="between" text="库存为">
      <formula>NOT(ISERROR(SEARCH("库存为",AU232)))</formula>
    </cfRule>
    <cfRule type="cellIs" dxfId="1" priority="6067" operator="greaterThan">
      <formula>120</formula>
    </cfRule>
    <cfRule type="cellIs" dxfId="0" priority="6572" operator="lessThan">
      <formula>20</formula>
    </cfRule>
  </conditionalFormatting>
  <conditionalFormatting sqref="AU233">
    <cfRule type="containsText" dxfId="2" priority="5561" operator="between" text="库存为">
      <formula>NOT(ISERROR(SEARCH("库存为",AU233)))</formula>
    </cfRule>
    <cfRule type="cellIs" dxfId="1" priority="6066" operator="greaterThan">
      <formula>120</formula>
    </cfRule>
    <cfRule type="cellIs" dxfId="0" priority="6571" operator="lessThan">
      <formula>20</formula>
    </cfRule>
  </conditionalFormatting>
  <conditionalFormatting sqref="AU234">
    <cfRule type="containsText" dxfId="2" priority="5560" operator="between" text="库存为">
      <formula>NOT(ISERROR(SEARCH("库存为",AU234)))</formula>
    </cfRule>
    <cfRule type="cellIs" dxfId="1" priority="6065" operator="greaterThan">
      <formula>120</formula>
    </cfRule>
    <cfRule type="cellIs" dxfId="0" priority="6570" operator="lessThan">
      <formula>20</formula>
    </cfRule>
  </conditionalFormatting>
  <conditionalFormatting sqref="AU235">
    <cfRule type="containsText" dxfId="2" priority="5559" operator="between" text="库存为">
      <formula>NOT(ISERROR(SEARCH("库存为",AU235)))</formula>
    </cfRule>
    <cfRule type="cellIs" dxfId="1" priority="6064" operator="greaterThan">
      <formula>120</formula>
    </cfRule>
    <cfRule type="cellIs" dxfId="0" priority="6569" operator="lessThan">
      <formula>20</formula>
    </cfRule>
  </conditionalFormatting>
  <conditionalFormatting sqref="AU236">
    <cfRule type="containsText" dxfId="2" priority="5558" operator="between" text="库存为">
      <formula>NOT(ISERROR(SEARCH("库存为",AU236)))</formula>
    </cfRule>
    <cfRule type="cellIs" dxfId="1" priority="6063" operator="greaterThan">
      <formula>120</formula>
    </cfRule>
    <cfRule type="cellIs" dxfId="0" priority="6568" operator="lessThan">
      <formula>20</formula>
    </cfRule>
  </conditionalFormatting>
  <conditionalFormatting sqref="AU237">
    <cfRule type="containsText" dxfId="2" priority="5557" operator="between" text="库存为">
      <formula>NOT(ISERROR(SEARCH("库存为",AU237)))</formula>
    </cfRule>
    <cfRule type="cellIs" dxfId="1" priority="6062" operator="greaterThan">
      <formula>120</formula>
    </cfRule>
    <cfRule type="cellIs" dxfId="0" priority="6567" operator="lessThan">
      <formula>20</formula>
    </cfRule>
  </conditionalFormatting>
  <conditionalFormatting sqref="AU238">
    <cfRule type="containsText" dxfId="2" priority="5556" operator="between" text="库存为">
      <formula>NOT(ISERROR(SEARCH("库存为",AU238)))</formula>
    </cfRule>
    <cfRule type="cellIs" dxfId="1" priority="6061" operator="greaterThan">
      <formula>120</formula>
    </cfRule>
    <cfRule type="cellIs" dxfId="0" priority="6566" operator="lessThan">
      <formula>20</formula>
    </cfRule>
  </conditionalFormatting>
  <conditionalFormatting sqref="AU239">
    <cfRule type="containsText" dxfId="2" priority="5555" operator="between" text="库存为">
      <formula>NOT(ISERROR(SEARCH("库存为",AU239)))</formula>
    </cfRule>
    <cfRule type="cellIs" dxfId="1" priority="6060" operator="greaterThan">
      <formula>120</formula>
    </cfRule>
    <cfRule type="cellIs" dxfId="0" priority="6565" operator="lessThan">
      <formula>20</formula>
    </cfRule>
  </conditionalFormatting>
  <conditionalFormatting sqref="AU240">
    <cfRule type="containsText" dxfId="2" priority="5554" operator="between" text="库存为">
      <formula>NOT(ISERROR(SEARCH("库存为",AU240)))</formula>
    </cfRule>
    <cfRule type="cellIs" dxfId="1" priority="6059" operator="greaterThan">
      <formula>120</formula>
    </cfRule>
    <cfRule type="cellIs" dxfId="0" priority="6564" operator="lessThan">
      <formula>20</formula>
    </cfRule>
  </conditionalFormatting>
  <conditionalFormatting sqref="AU241">
    <cfRule type="containsText" dxfId="2" priority="5553" operator="between" text="库存为">
      <formula>NOT(ISERROR(SEARCH("库存为",AU241)))</formula>
    </cfRule>
    <cfRule type="cellIs" dxfId="1" priority="6058" operator="greaterThan">
      <formula>120</formula>
    </cfRule>
    <cfRule type="cellIs" dxfId="0" priority="6563" operator="lessThan">
      <formula>20</formula>
    </cfRule>
  </conditionalFormatting>
  <conditionalFormatting sqref="AU242">
    <cfRule type="containsText" dxfId="2" priority="5552" operator="between" text="库存为">
      <formula>NOT(ISERROR(SEARCH("库存为",AU242)))</formula>
    </cfRule>
    <cfRule type="cellIs" dxfId="1" priority="6057" operator="greaterThan">
      <formula>120</formula>
    </cfRule>
    <cfRule type="cellIs" dxfId="0" priority="6562" operator="lessThan">
      <formula>20</formula>
    </cfRule>
  </conditionalFormatting>
  <conditionalFormatting sqref="AU243">
    <cfRule type="containsText" dxfId="2" priority="5551" operator="between" text="库存为">
      <formula>NOT(ISERROR(SEARCH("库存为",AU243)))</formula>
    </cfRule>
    <cfRule type="cellIs" dxfId="1" priority="6056" operator="greaterThan">
      <formula>120</formula>
    </cfRule>
    <cfRule type="cellIs" dxfId="0" priority="6561" operator="lessThan">
      <formula>20</formula>
    </cfRule>
  </conditionalFormatting>
  <conditionalFormatting sqref="AU244">
    <cfRule type="containsText" dxfId="2" priority="5550" operator="between" text="库存为">
      <formula>NOT(ISERROR(SEARCH("库存为",AU244)))</formula>
    </cfRule>
    <cfRule type="cellIs" dxfId="1" priority="6055" operator="greaterThan">
      <formula>120</formula>
    </cfRule>
    <cfRule type="cellIs" dxfId="0" priority="6560" operator="lessThan">
      <formula>20</formula>
    </cfRule>
  </conditionalFormatting>
  <conditionalFormatting sqref="AU245">
    <cfRule type="containsText" dxfId="2" priority="5549" operator="between" text="库存为">
      <formula>NOT(ISERROR(SEARCH("库存为",AU245)))</formula>
    </cfRule>
    <cfRule type="cellIs" dxfId="1" priority="6054" operator="greaterThan">
      <formula>120</formula>
    </cfRule>
    <cfRule type="cellIs" dxfId="0" priority="6559" operator="lessThan">
      <formula>20</formula>
    </cfRule>
  </conditionalFormatting>
  <conditionalFormatting sqref="AU246">
    <cfRule type="containsText" dxfId="2" priority="5548" operator="between" text="库存为">
      <formula>NOT(ISERROR(SEARCH("库存为",AU246)))</formula>
    </cfRule>
    <cfRule type="cellIs" dxfId="1" priority="6053" operator="greaterThan">
      <formula>120</formula>
    </cfRule>
    <cfRule type="cellIs" dxfId="0" priority="6558" operator="lessThan">
      <formula>20</formula>
    </cfRule>
  </conditionalFormatting>
  <conditionalFormatting sqref="AU247">
    <cfRule type="containsText" dxfId="2" priority="5547" operator="between" text="库存为">
      <formula>NOT(ISERROR(SEARCH("库存为",AU247)))</formula>
    </cfRule>
    <cfRule type="cellIs" dxfId="1" priority="6052" operator="greaterThan">
      <formula>120</formula>
    </cfRule>
    <cfRule type="cellIs" dxfId="0" priority="6557" operator="lessThan">
      <formula>20</formula>
    </cfRule>
  </conditionalFormatting>
  <conditionalFormatting sqref="AU248">
    <cfRule type="containsText" dxfId="2" priority="5546" operator="between" text="库存为">
      <formula>NOT(ISERROR(SEARCH("库存为",AU248)))</formula>
    </cfRule>
    <cfRule type="cellIs" dxfId="1" priority="6051" operator="greaterThan">
      <formula>120</formula>
    </cfRule>
    <cfRule type="cellIs" dxfId="0" priority="6556" operator="lessThan">
      <formula>20</formula>
    </cfRule>
  </conditionalFormatting>
  <conditionalFormatting sqref="AU249">
    <cfRule type="containsText" dxfId="2" priority="5545" operator="between" text="库存为">
      <formula>NOT(ISERROR(SEARCH("库存为",AU249)))</formula>
    </cfRule>
    <cfRule type="cellIs" dxfId="1" priority="6050" operator="greaterThan">
      <formula>120</formula>
    </cfRule>
    <cfRule type="cellIs" dxfId="0" priority="6555" operator="lessThan">
      <formula>20</formula>
    </cfRule>
  </conditionalFormatting>
  <conditionalFormatting sqref="AU250">
    <cfRule type="containsText" dxfId="2" priority="5544" operator="between" text="库存为">
      <formula>NOT(ISERROR(SEARCH("库存为",AU250)))</formula>
    </cfRule>
    <cfRule type="cellIs" dxfId="1" priority="6049" operator="greaterThan">
      <formula>120</formula>
    </cfRule>
    <cfRule type="cellIs" dxfId="0" priority="6554" operator="lessThan">
      <formula>20</formula>
    </cfRule>
  </conditionalFormatting>
  <conditionalFormatting sqref="AU251">
    <cfRule type="containsText" dxfId="2" priority="5543" operator="between" text="库存为">
      <formula>NOT(ISERROR(SEARCH("库存为",AU251)))</formula>
    </cfRule>
    <cfRule type="cellIs" dxfId="1" priority="6048" operator="greaterThan">
      <formula>120</formula>
    </cfRule>
    <cfRule type="cellIs" dxfId="0" priority="6553" operator="lessThan">
      <formula>20</formula>
    </cfRule>
  </conditionalFormatting>
  <conditionalFormatting sqref="AU252">
    <cfRule type="containsText" dxfId="2" priority="5542" operator="between" text="库存为">
      <formula>NOT(ISERROR(SEARCH("库存为",AU252)))</formula>
    </cfRule>
    <cfRule type="cellIs" dxfId="1" priority="6047" operator="greaterThan">
      <formula>120</formula>
    </cfRule>
    <cfRule type="cellIs" dxfId="0" priority="6552" operator="lessThan">
      <formula>20</formula>
    </cfRule>
  </conditionalFormatting>
  <conditionalFormatting sqref="AU253">
    <cfRule type="containsText" dxfId="2" priority="5541" operator="between" text="库存为">
      <formula>NOT(ISERROR(SEARCH("库存为",AU253)))</formula>
    </cfRule>
    <cfRule type="cellIs" dxfId="1" priority="6046" operator="greaterThan">
      <formula>120</formula>
    </cfRule>
    <cfRule type="cellIs" dxfId="0" priority="6551" operator="lessThan">
      <formula>20</formula>
    </cfRule>
  </conditionalFormatting>
  <conditionalFormatting sqref="AU254">
    <cfRule type="containsText" dxfId="2" priority="5540" operator="between" text="库存为">
      <formula>NOT(ISERROR(SEARCH("库存为",AU254)))</formula>
    </cfRule>
    <cfRule type="cellIs" dxfId="1" priority="6045" operator="greaterThan">
      <formula>120</formula>
    </cfRule>
    <cfRule type="cellIs" dxfId="0" priority="6550" operator="lessThan">
      <formula>20</formula>
    </cfRule>
  </conditionalFormatting>
  <conditionalFormatting sqref="AU255">
    <cfRule type="containsText" dxfId="2" priority="5539" operator="between" text="库存为">
      <formula>NOT(ISERROR(SEARCH("库存为",AU255)))</formula>
    </cfRule>
    <cfRule type="cellIs" dxfId="1" priority="6044" operator="greaterThan">
      <formula>120</formula>
    </cfRule>
    <cfRule type="cellIs" dxfId="0" priority="6549" operator="lessThan">
      <formula>20</formula>
    </cfRule>
  </conditionalFormatting>
  <conditionalFormatting sqref="AU256">
    <cfRule type="containsText" dxfId="2" priority="5538" operator="between" text="库存为">
      <formula>NOT(ISERROR(SEARCH("库存为",AU256)))</formula>
    </cfRule>
    <cfRule type="cellIs" dxfId="1" priority="6043" operator="greaterThan">
      <formula>120</formula>
    </cfRule>
    <cfRule type="cellIs" dxfId="0" priority="6548" operator="lessThan">
      <formula>20</formula>
    </cfRule>
  </conditionalFormatting>
  <conditionalFormatting sqref="AU257">
    <cfRule type="containsText" dxfId="2" priority="5537" operator="between" text="库存为">
      <formula>NOT(ISERROR(SEARCH("库存为",AU257)))</formula>
    </cfRule>
    <cfRule type="cellIs" dxfId="1" priority="6042" operator="greaterThan">
      <formula>120</formula>
    </cfRule>
    <cfRule type="cellIs" dxfId="0" priority="6547" operator="lessThan">
      <formula>20</formula>
    </cfRule>
  </conditionalFormatting>
  <conditionalFormatting sqref="AU258">
    <cfRule type="containsText" dxfId="2" priority="5536" operator="between" text="库存为">
      <formula>NOT(ISERROR(SEARCH("库存为",AU258)))</formula>
    </cfRule>
    <cfRule type="cellIs" dxfId="1" priority="6041" operator="greaterThan">
      <formula>120</formula>
    </cfRule>
    <cfRule type="cellIs" dxfId="0" priority="6546" operator="lessThan">
      <formula>20</formula>
    </cfRule>
  </conditionalFormatting>
  <conditionalFormatting sqref="AU259">
    <cfRule type="containsText" dxfId="2" priority="5535" operator="between" text="库存为">
      <formula>NOT(ISERROR(SEARCH("库存为",AU259)))</formula>
    </cfRule>
    <cfRule type="cellIs" dxfId="1" priority="6040" operator="greaterThan">
      <formula>120</formula>
    </cfRule>
    <cfRule type="cellIs" dxfId="0" priority="6545" operator="lessThan">
      <formula>20</formula>
    </cfRule>
  </conditionalFormatting>
  <conditionalFormatting sqref="AU260">
    <cfRule type="containsText" dxfId="2" priority="5534" operator="between" text="库存为">
      <formula>NOT(ISERROR(SEARCH("库存为",AU260)))</formula>
    </cfRule>
    <cfRule type="cellIs" dxfId="1" priority="6039" operator="greaterThan">
      <formula>120</formula>
    </cfRule>
    <cfRule type="cellIs" dxfId="0" priority="6544" operator="lessThan">
      <formula>20</formula>
    </cfRule>
  </conditionalFormatting>
  <conditionalFormatting sqref="AU261">
    <cfRule type="containsText" dxfId="2" priority="5533" operator="between" text="库存为">
      <formula>NOT(ISERROR(SEARCH("库存为",AU261)))</formula>
    </cfRule>
    <cfRule type="cellIs" dxfId="1" priority="6038" operator="greaterThan">
      <formula>120</formula>
    </cfRule>
    <cfRule type="cellIs" dxfId="0" priority="6543" operator="lessThan">
      <formula>20</formula>
    </cfRule>
  </conditionalFormatting>
  <conditionalFormatting sqref="AU262">
    <cfRule type="containsText" dxfId="2" priority="5532" operator="between" text="库存为">
      <formula>NOT(ISERROR(SEARCH("库存为",AU262)))</formula>
    </cfRule>
    <cfRule type="cellIs" dxfId="1" priority="6037" operator="greaterThan">
      <formula>120</formula>
    </cfRule>
    <cfRule type="cellIs" dxfId="0" priority="6542" operator="lessThan">
      <formula>20</formula>
    </cfRule>
  </conditionalFormatting>
  <conditionalFormatting sqref="AU263">
    <cfRule type="containsText" dxfId="2" priority="5531" operator="between" text="库存为">
      <formula>NOT(ISERROR(SEARCH("库存为",AU263)))</formula>
    </cfRule>
    <cfRule type="cellIs" dxfId="1" priority="6036" operator="greaterThan">
      <formula>120</formula>
    </cfRule>
    <cfRule type="cellIs" dxfId="0" priority="6541" operator="lessThan">
      <formula>20</formula>
    </cfRule>
  </conditionalFormatting>
  <conditionalFormatting sqref="AU264">
    <cfRule type="containsText" dxfId="2" priority="5530" operator="between" text="库存为">
      <formula>NOT(ISERROR(SEARCH("库存为",AU264)))</formula>
    </cfRule>
    <cfRule type="cellIs" dxfId="1" priority="6035" operator="greaterThan">
      <formula>120</formula>
    </cfRule>
    <cfRule type="cellIs" dxfId="0" priority="6540" operator="lessThan">
      <formula>20</formula>
    </cfRule>
  </conditionalFormatting>
  <conditionalFormatting sqref="AU265">
    <cfRule type="containsText" dxfId="2" priority="5529" operator="between" text="库存为">
      <formula>NOT(ISERROR(SEARCH("库存为",AU265)))</formula>
    </cfRule>
    <cfRule type="cellIs" dxfId="1" priority="6034" operator="greaterThan">
      <formula>120</formula>
    </cfRule>
    <cfRule type="cellIs" dxfId="0" priority="6539" operator="lessThan">
      <formula>20</formula>
    </cfRule>
  </conditionalFormatting>
  <conditionalFormatting sqref="AU266">
    <cfRule type="containsText" dxfId="2" priority="5528" operator="between" text="库存为">
      <formula>NOT(ISERROR(SEARCH("库存为",AU266)))</formula>
    </cfRule>
    <cfRule type="cellIs" dxfId="1" priority="6033" operator="greaterThan">
      <formula>120</formula>
    </cfRule>
    <cfRule type="cellIs" dxfId="0" priority="6538" operator="lessThan">
      <formula>20</formula>
    </cfRule>
  </conditionalFormatting>
  <conditionalFormatting sqref="AU267">
    <cfRule type="containsText" dxfId="2" priority="5527" operator="between" text="库存为">
      <formula>NOT(ISERROR(SEARCH("库存为",AU267)))</formula>
    </cfRule>
    <cfRule type="cellIs" dxfId="1" priority="6032" operator="greaterThan">
      <formula>120</formula>
    </cfRule>
    <cfRule type="cellIs" dxfId="0" priority="6537" operator="lessThan">
      <formula>20</formula>
    </cfRule>
  </conditionalFormatting>
  <conditionalFormatting sqref="AU268">
    <cfRule type="containsText" dxfId="2" priority="5526" operator="between" text="库存为">
      <formula>NOT(ISERROR(SEARCH("库存为",AU268)))</formula>
    </cfRule>
    <cfRule type="cellIs" dxfId="1" priority="6031" operator="greaterThan">
      <formula>120</formula>
    </cfRule>
    <cfRule type="cellIs" dxfId="0" priority="6536" operator="lessThan">
      <formula>20</formula>
    </cfRule>
  </conditionalFormatting>
  <conditionalFormatting sqref="AU269">
    <cfRule type="containsText" dxfId="2" priority="5525" operator="between" text="库存为">
      <formula>NOT(ISERROR(SEARCH("库存为",AU269)))</formula>
    </cfRule>
    <cfRule type="cellIs" dxfId="1" priority="6030" operator="greaterThan">
      <formula>120</formula>
    </cfRule>
    <cfRule type="cellIs" dxfId="0" priority="6535" operator="lessThan">
      <formula>20</formula>
    </cfRule>
  </conditionalFormatting>
  <conditionalFormatting sqref="AU270">
    <cfRule type="containsText" dxfId="2" priority="5524" operator="between" text="库存为">
      <formula>NOT(ISERROR(SEARCH("库存为",AU270)))</formula>
    </cfRule>
    <cfRule type="cellIs" dxfId="1" priority="6029" operator="greaterThan">
      <formula>120</formula>
    </cfRule>
    <cfRule type="cellIs" dxfId="0" priority="6534" operator="lessThan">
      <formula>20</formula>
    </cfRule>
  </conditionalFormatting>
  <conditionalFormatting sqref="AU271">
    <cfRule type="containsText" dxfId="2" priority="5523" operator="between" text="库存为">
      <formula>NOT(ISERROR(SEARCH("库存为",AU271)))</formula>
    </cfRule>
    <cfRule type="cellIs" dxfId="1" priority="6028" operator="greaterThan">
      <formula>120</formula>
    </cfRule>
    <cfRule type="cellIs" dxfId="0" priority="6533" operator="lessThan">
      <formula>20</formula>
    </cfRule>
  </conditionalFormatting>
  <conditionalFormatting sqref="AU272">
    <cfRule type="containsText" dxfId="2" priority="5522" operator="between" text="库存为">
      <formula>NOT(ISERROR(SEARCH("库存为",AU272)))</formula>
    </cfRule>
    <cfRule type="cellIs" dxfId="1" priority="6027" operator="greaterThan">
      <formula>120</formula>
    </cfRule>
    <cfRule type="cellIs" dxfId="0" priority="6532" operator="lessThan">
      <formula>20</formula>
    </cfRule>
  </conditionalFormatting>
  <conditionalFormatting sqref="AU273">
    <cfRule type="containsText" dxfId="2" priority="5521" operator="between" text="库存为">
      <formula>NOT(ISERROR(SEARCH("库存为",AU273)))</formula>
    </cfRule>
    <cfRule type="cellIs" dxfId="1" priority="6026" operator="greaterThan">
      <formula>120</formula>
    </cfRule>
    <cfRule type="cellIs" dxfId="0" priority="6531" operator="lessThan">
      <formula>20</formula>
    </cfRule>
  </conditionalFormatting>
  <conditionalFormatting sqref="AU274">
    <cfRule type="containsText" dxfId="2" priority="5520" operator="between" text="库存为">
      <formula>NOT(ISERROR(SEARCH("库存为",AU274)))</formula>
    </cfRule>
    <cfRule type="cellIs" dxfId="1" priority="6025" operator="greaterThan">
      <formula>120</formula>
    </cfRule>
    <cfRule type="cellIs" dxfId="0" priority="6530" operator="lessThan">
      <formula>20</formula>
    </cfRule>
  </conditionalFormatting>
  <conditionalFormatting sqref="AU275">
    <cfRule type="containsText" dxfId="2" priority="5519" operator="between" text="库存为">
      <formula>NOT(ISERROR(SEARCH("库存为",AU275)))</formula>
    </cfRule>
    <cfRule type="cellIs" dxfId="1" priority="6024" operator="greaterThan">
      <formula>120</formula>
    </cfRule>
    <cfRule type="cellIs" dxfId="0" priority="6529" operator="lessThan">
      <formula>20</formula>
    </cfRule>
  </conditionalFormatting>
  <conditionalFormatting sqref="AU276">
    <cfRule type="containsText" dxfId="2" priority="5518" operator="between" text="库存为">
      <formula>NOT(ISERROR(SEARCH("库存为",AU276)))</formula>
    </cfRule>
    <cfRule type="cellIs" dxfId="1" priority="6023" operator="greaterThan">
      <formula>120</formula>
    </cfRule>
    <cfRule type="cellIs" dxfId="0" priority="6528" operator="lessThan">
      <formula>20</formula>
    </cfRule>
  </conditionalFormatting>
  <conditionalFormatting sqref="AU277">
    <cfRule type="containsText" dxfId="2" priority="5517" operator="between" text="库存为">
      <formula>NOT(ISERROR(SEARCH("库存为",AU277)))</formula>
    </cfRule>
    <cfRule type="cellIs" dxfId="1" priority="6022" operator="greaterThan">
      <formula>120</formula>
    </cfRule>
    <cfRule type="cellIs" dxfId="0" priority="6527" operator="lessThan">
      <formula>20</formula>
    </cfRule>
  </conditionalFormatting>
  <conditionalFormatting sqref="AU278">
    <cfRule type="containsText" dxfId="2" priority="5516" operator="between" text="库存为">
      <formula>NOT(ISERROR(SEARCH("库存为",AU278)))</formula>
    </cfRule>
    <cfRule type="cellIs" dxfId="1" priority="6021" operator="greaterThan">
      <formula>120</formula>
    </cfRule>
    <cfRule type="cellIs" dxfId="0" priority="6526" operator="lessThan">
      <formula>20</formula>
    </cfRule>
  </conditionalFormatting>
  <conditionalFormatting sqref="AU279">
    <cfRule type="containsText" dxfId="2" priority="5515" operator="between" text="库存为">
      <formula>NOT(ISERROR(SEARCH("库存为",AU279)))</formula>
    </cfRule>
    <cfRule type="cellIs" dxfId="1" priority="6020" operator="greaterThan">
      <formula>120</formula>
    </cfRule>
    <cfRule type="cellIs" dxfId="0" priority="6525" operator="lessThan">
      <formula>20</formula>
    </cfRule>
  </conditionalFormatting>
  <conditionalFormatting sqref="AU280">
    <cfRule type="containsText" dxfId="2" priority="5514" operator="between" text="库存为">
      <formula>NOT(ISERROR(SEARCH("库存为",AU280)))</formula>
    </cfRule>
    <cfRule type="cellIs" dxfId="1" priority="6019" operator="greaterThan">
      <formula>120</formula>
    </cfRule>
    <cfRule type="cellIs" dxfId="0" priority="6524" operator="lessThan">
      <formula>20</formula>
    </cfRule>
  </conditionalFormatting>
  <conditionalFormatting sqref="AU281">
    <cfRule type="containsText" dxfId="2" priority="5513" operator="between" text="库存为">
      <formula>NOT(ISERROR(SEARCH("库存为",AU281)))</formula>
    </cfRule>
    <cfRule type="cellIs" dxfId="1" priority="6018" operator="greaterThan">
      <formula>120</formula>
    </cfRule>
    <cfRule type="cellIs" dxfId="0" priority="6523" operator="lessThan">
      <formula>20</formula>
    </cfRule>
  </conditionalFormatting>
  <conditionalFormatting sqref="AU282">
    <cfRule type="containsText" dxfId="2" priority="5512" operator="between" text="库存为">
      <formula>NOT(ISERROR(SEARCH("库存为",AU282)))</formula>
    </cfRule>
    <cfRule type="cellIs" dxfId="1" priority="6017" operator="greaterThan">
      <formula>120</formula>
    </cfRule>
    <cfRule type="cellIs" dxfId="0" priority="6522" operator="lessThan">
      <formula>20</formula>
    </cfRule>
  </conditionalFormatting>
  <conditionalFormatting sqref="AU283">
    <cfRule type="containsText" dxfId="2" priority="5511" operator="between" text="库存为">
      <formula>NOT(ISERROR(SEARCH("库存为",AU283)))</formula>
    </cfRule>
    <cfRule type="cellIs" dxfId="1" priority="6016" operator="greaterThan">
      <formula>120</formula>
    </cfRule>
    <cfRule type="cellIs" dxfId="0" priority="6521" operator="lessThan">
      <formula>20</formula>
    </cfRule>
  </conditionalFormatting>
  <conditionalFormatting sqref="AU284">
    <cfRule type="containsText" dxfId="2" priority="5510" operator="between" text="库存为">
      <formula>NOT(ISERROR(SEARCH("库存为",AU284)))</formula>
    </cfRule>
    <cfRule type="cellIs" dxfId="1" priority="6015" operator="greaterThan">
      <formula>120</formula>
    </cfRule>
    <cfRule type="cellIs" dxfId="0" priority="6520" operator="lessThan">
      <formula>20</formula>
    </cfRule>
  </conditionalFormatting>
  <conditionalFormatting sqref="AU285">
    <cfRule type="containsText" dxfId="2" priority="5509" operator="between" text="库存为">
      <formula>NOT(ISERROR(SEARCH("库存为",AU285)))</formula>
    </cfRule>
    <cfRule type="cellIs" dxfId="1" priority="6014" operator="greaterThan">
      <formula>120</formula>
    </cfRule>
    <cfRule type="cellIs" dxfId="0" priority="6519" operator="lessThan">
      <formula>20</formula>
    </cfRule>
  </conditionalFormatting>
  <conditionalFormatting sqref="AU286">
    <cfRule type="containsText" dxfId="2" priority="5508" operator="between" text="库存为">
      <formula>NOT(ISERROR(SEARCH("库存为",AU286)))</formula>
    </cfRule>
    <cfRule type="cellIs" dxfId="1" priority="6013" operator="greaterThan">
      <formula>120</formula>
    </cfRule>
    <cfRule type="cellIs" dxfId="0" priority="6518" operator="lessThan">
      <formula>20</formula>
    </cfRule>
  </conditionalFormatting>
  <conditionalFormatting sqref="AU287">
    <cfRule type="containsText" dxfId="2" priority="5507" operator="between" text="库存为">
      <formula>NOT(ISERROR(SEARCH("库存为",AU287)))</formula>
    </cfRule>
    <cfRule type="cellIs" dxfId="1" priority="6012" operator="greaterThan">
      <formula>120</formula>
    </cfRule>
    <cfRule type="cellIs" dxfId="0" priority="6517" operator="lessThan">
      <formula>20</formula>
    </cfRule>
  </conditionalFormatting>
  <conditionalFormatting sqref="AU288">
    <cfRule type="containsText" dxfId="2" priority="5506" operator="between" text="库存为">
      <formula>NOT(ISERROR(SEARCH("库存为",AU288)))</formula>
    </cfRule>
    <cfRule type="cellIs" dxfId="1" priority="6011" operator="greaterThan">
      <formula>120</formula>
    </cfRule>
    <cfRule type="cellIs" dxfId="0" priority="6516" operator="lessThan">
      <formula>20</formula>
    </cfRule>
  </conditionalFormatting>
  <conditionalFormatting sqref="AU289">
    <cfRule type="containsText" dxfId="2" priority="5505" operator="between" text="库存为">
      <formula>NOT(ISERROR(SEARCH("库存为",AU289)))</formula>
    </cfRule>
    <cfRule type="cellIs" dxfId="1" priority="6010" operator="greaterThan">
      <formula>120</formula>
    </cfRule>
    <cfRule type="cellIs" dxfId="0" priority="6515" operator="lessThan">
      <formula>20</formula>
    </cfRule>
  </conditionalFormatting>
  <conditionalFormatting sqref="AU290">
    <cfRule type="containsText" dxfId="2" priority="5504" operator="between" text="库存为">
      <formula>NOT(ISERROR(SEARCH("库存为",AU290)))</formula>
    </cfRule>
    <cfRule type="cellIs" dxfId="1" priority="6009" operator="greaterThan">
      <formula>120</formula>
    </cfRule>
    <cfRule type="cellIs" dxfId="0" priority="6514" operator="lessThan">
      <formula>20</formula>
    </cfRule>
  </conditionalFormatting>
  <conditionalFormatting sqref="AU291">
    <cfRule type="containsText" dxfId="2" priority="5503" operator="between" text="库存为">
      <formula>NOT(ISERROR(SEARCH("库存为",AU291)))</formula>
    </cfRule>
    <cfRule type="cellIs" dxfId="1" priority="6008" operator="greaterThan">
      <formula>120</formula>
    </cfRule>
    <cfRule type="cellIs" dxfId="0" priority="6513" operator="lessThan">
      <formula>20</formula>
    </cfRule>
  </conditionalFormatting>
  <conditionalFormatting sqref="AU292">
    <cfRule type="containsText" dxfId="2" priority="5502" operator="between" text="库存为">
      <formula>NOT(ISERROR(SEARCH("库存为",AU292)))</formula>
    </cfRule>
    <cfRule type="cellIs" dxfId="1" priority="6007" operator="greaterThan">
      <formula>120</formula>
    </cfRule>
    <cfRule type="cellIs" dxfId="0" priority="6512" operator="lessThan">
      <formula>20</formula>
    </cfRule>
  </conditionalFormatting>
  <conditionalFormatting sqref="AU293">
    <cfRule type="containsText" dxfId="2" priority="5501" operator="between" text="库存为">
      <formula>NOT(ISERROR(SEARCH("库存为",AU293)))</formula>
    </cfRule>
    <cfRule type="cellIs" dxfId="1" priority="6006" operator="greaterThan">
      <formula>120</formula>
    </cfRule>
    <cfRule type="cellIs" dxfId="0" priority="6511" operator="lessThan">
      <formula>20</formula>
    </cfRule>
  </conditionalFormatting>
  <conditionalFormatting sqref="AU294">
    <cfRule type="containsText" dxfId="2" priority="5500" operator="between" text="库存为">
      <formula>NOT(ISERROR(SEARCH("库存为",AU294)))</formula>
    </cfRule>
    <cfRule type="cellIs" dxfId="1" priority="6005" operator="greaterThan">
      <formula>120</formula>
    </cfRule>
    <cfRule type="cellIs" dxfId="0" priority="6510" operator="lessThan">
      <formula>20</formula>
    </cfRule>
  </conditionalFormatting>
  <conditionalFormatting sqref="AU295">
    <cfRule type="containsText" dxfId="2" priority="5499" operator="between" text="库存为">
      <formula>NOT(ISERROR(SEARCH("库存为",AU295)))</formula>
    </cfRule>
    <cfRule type="cellIs" dxfId="1" priority="6004" operator="greaterThan">
      <formula>120</formula>
    </cfRule>
    <cfRule type="cellIs" dxfId="0" priority="6509" operator="lessThan">
      <formula>20</formula>
    </cfRule>
  </conditionalFormatting>
  <conditionalFormatting sqref="AU296">
    <cfRule type="containsText" dxfId="2" priority="5498" operator="between" text="库存为">
      <formula>NOT(ISERROR(SEARCH("库存为",AU296)))</formula>
    </cfRule>
    <cfRule type="cellIs" dxfId="1" priority="6003" operator="greaterThan">
      <formula>120</formula>
    </cfRule>
    <cfRule type="cellIs" dxfId="0" priority="6508" operator="lessThan">
      <formula>20</formula>
    </cfRule>
  </conditionalFormatting>
  <conditionalFormatting sqref="AU297">
    <cfRule type="containsText" dxfId="2" priority="5497" operator="between" text="库存为">
      <formula>NOT(ISERROR(SEARCH("库存为",AU297)))</formula>
    </cfRule>
    <cfRule type="cellIs" dxfId="1" priority="6002" operator="greaterThan">
      <formula>120</formula>
    </cfRule>
    <cfRule type="cellIs" dxfId="0" priority="6507" operator="lessThan">
      <formula>20</formula>
    </cfRule>
  </conditionalFormatting>
  <conditionalFormatting sqref="AU298">
    <cfRule type="containsText" dxfId="2" priority="5496" operator="between" text="库存为">
      <formula>NOT(ISERROR(SEARCH("库存为",AU298)))</formula>
    </cfRule>
    <cfRule type="cellIs" dxfId="1" priority="6001" operator="greaterThan">
      <formula>120</formula>
    </cfRule>
    <cfRule type="cellIs" dxfId="0" priority="6506" operator="lessThan">
      <formula>20</formula>
    </cfRule>
  </conditionalFormatting>
  <conditionalFormatting sqref="AU299">
    <cfRule type="containsText" dxfId="2" priority="5495" operator="between" text="库存为">
      <formula>NOT(ISERROR(SEARCH("库存为",AU299)))</formula>
    </cfRule>
    <cfRule type="cellIs" dxfId="1" priority="6000" operator="greaterThan">
      <formula>120</formula>
    </cfRule>
    <cfRule type="cellIs" dxfId="0" priority="6505" operator="lessThan">
      <formula>20</formula>
    </cfRule>
  </conditionalFormatting>
  <conditionalFormatting sqref="AU300">
    <cfRule type="containsText" dxfId="2" priority="5494" operator="between" text="库存为">
      <formula>NOT(ISERROR(SEARCH("库存为",AU300)))</formula>
    </cfRule>
    <cfRule type="cellIs" dxfId="1" priority="5999" operator="greaterThan">
      <formula>120</formula>
    </cfRule>
    <cfRule type="cellIs" dxfId="0" priority="6504" operator="lessThan">
      <formula>20</formula>
    </cfRule>
  </conditionalFormatting>
  <conditionalFormatting sqref="AU301">
    <cfRule type="containsText" dxfId="2" priority="5493" operator="between" text="库存为">
      <formula>NOT(ISERROR(SEARCH("库存为",AU301)))</formula>
    </cfRule>
    <cfRule type="cellIs" dxfId="1" priority="5998" operator="greaterThan">
      <formula>120</formula>
    </cfRule>
    <cfRule type="cellIs" dxfId="0" priority="6503" operator="lessThan">
      <formula>20</formula>
    </cfRule>
  </conditionalFormatting>
  <conditionalFormatting sqref="AU302">
    <cfRule type="containsText" dxfId="2" priority="5492" operator="between" text="库存为">
      <formula>NOT(ISERROR(SEARCH("库存为",AU302)))</formula>
    </cfRule>
    <cfRule type="cellIs" dxfId="1" priority="5997" operator="greaterThan">
      <formula>120</formula>
    </cfRule>
    <cfRule type="cellIs" dxfId="0" priority="6502" operator="lessThan">
      <formula>20</formula>
    </cfRule>
  </conditionalFormatting>
  <conditionalFormatting sqref="AU303">
    <cfRule type="containsText" dxfId="2" priority="5491" operator="between" text="库存为">
      <formula>NOT(ISERROR(SEARCH("库存为",AU303)))</formula>
    </cfRule>
    <cfRule type="cellIs" dxfId="1" priority="5996" operator="greaterThan">
      <formula>120</formula>
    </cfRule>
    <cfRule type="cellIs" dxfId="0" priority="6501" operator="lessThan">
      <formula>20</formula>
    </cfRule>
  </conditionalFormatting>
  <conditionalFormatting sqref="AU304">
    <cfRule type="containsText" dxfId="2" priority="5490" operator="between" text="库存为">
      <formula>NOT(ISERROR(SEARCH("库存为",AU304)))</formula>
    </cfRule>
    <cfRule type="cellIs" dxfId="1" priority="5995" operator="greaterThan">
      <formula>120</formula>
    </cfRule>
    <cfRule type="cellIs" dxfId="0" priority="6500" operator="lessThan">
      <formula>20</formula>
    </cfRule>
  </conditionalFormatting>
  <conditionalFormatting sqref="AU305">
    <cfRule type="containsText" dxfId="2" priority="5489" operator="between" text="库存为">
      <formula>NOT(ISERROR(SEARCH("库存为",AU305)))</formula>
    </cfRule>
    <cfRule type="cellIs" dxfId="1" priority="5994" operator="greaterThan">
      <formula>120</formula>
    </cfRule>
    <cfRule type="cellIs" dxfId="0" priority="6499" operator="lessThan">
      <formula>20</formula>
    </cfRule>
  </conditionalFormatting>
  <conditionalFormatting sqref="AU306">
    <cfRule type="containsText" dxfId="2" priority="5488" operator="between" text="库存为">
      <formula>NOT(ISERROR(SEARCH("库存为",AU306)))</formula>
    </cfRule>
    <cfRule type="cellIs" dxfId="1" priority="5993" operator="greaterThan">
      <formula>120</formula>
    </cfRule>
    <cfRule type="cellIs" dxfId="0" priority="6498" operator="lessThan">
      <formula>20</formula>
    </cfRule>
  </conditionalFormatting>
  <conditionalFormatting sqref="AU307">
    <cfRule type="containsText" dxfId="2" priority="5487" operator="between" text="库存为">
      <formula>NOT(ISERROR(SEARCH("库存为",AU307)))</formula>
    </cfRule>
    <cfRule type="cellIs" dxfId="1" priority="5992" operator="greaterThan">
      <formula>120</formula>
    </cfRule>
    <cfRule type="cellIs" dxfId="0" priority="6497" operator="lessThan">
      <formula>20</formula>
    </cfRule>
  </conditionalFormatting>
  <conditionalFormatting sqref="AU308">
    <cfRule type="containsText" dxfId="2" priority="5486" operator="between" text="库存为">
      <formula>NOT(ISERROR(SEARCH("库存为",AU308)))</formula>
    </cfRule>
    <cfRule type="cellIs" dxfId="1" priority="5991" operator="greaterThan">
      <formula>120</formula>
    </cfRule>
    <cfRule type="cellIs" dxfId="0" priority="6496" operator="lessThan">
      <formula>20</formula>
    </cfRule>
  </conditionalFormatting>
  <conditionalFormatting sqref="AU309">
    <cfRule type="containsText" dxfId="2" priority="5485" operator="between" text="库存为">
      <formula>NOT(ISERROR(SEARCH("库存为",AU309)))</formula>
    </cfRule>
    <cfRule type="cellIs" dxfId="1" priority="5990" operator="greaterThan">
      <formula>120</formula>
    </cfRule>
    <cfRule type="cellIs" dxfId="0" priority="6495" operator="lessThan">
      <formula>20</formula>
    </cfRule>
  </conditionalFormatting>
  <conditionalFormatting sqref="AU310">
    <cfRule type="containsText" dxfId="2" priority="5484" operator="between" text="库存为">
      <formula>NOT(ISERROR(SEARCH("库存为",AU310)))</formula>
    </cfRule>
    <cfRule type="cellIs" dxfId="1" priority="5989" operator="greaterThan">
      <formula>120</formula>
    </cfRule>
    <cfRule type="cellIs" dxfId="0" priority="6494" operator="lessThan">
      <formula>20</formula>
    </cfRule>
  </conditionalFormatting>
  <conditionalFormatting sqref="AU311">
    <cfRule type="containsText" dxfId="2" priority="5483" operator="between" text="库存为">
      <formula>NOT(ISERROR(SEARCH("库存为",AU311)))</formula>
    </cfRule>
    <cfRule type="cellIs" dxfId="1" priority="5988" operator="greaterThan">
      <formula>120</formula>
    </cfRule>
    <cfRule type="cellIs" dxfId="0" priority="6493" operator="lessThan">
      <formula>20</formula>
    </cfRule>
  </conditionalFormatting>
  <conditionalFormatting sqref="AU312">
    <cfRule type="containsText" dxfId="2" priority="5482" operator="between" text="库存为">
      <formula>NOT(ISERROR(SEARCH("库存为",AU312)))</formula>
    </cfRule>
    <cfRule type="cellIs" dxfId="1" priority="5987" operator="greaterThan">
      <formula>120</formula>
    </cfRule>
    <cfRule type="cellIs" dxfId="0" priority="6492" operator="lessThan">
      <formula>20</formula>
    </cfRule>
  </conditionalFormatting>
  <conditionalFormatting sqref="AU313">
    <cfRule type="containsText" dxfId="2" priority="5481" operator="between" text="库存为">
      <formula>NOT(ISERROR(SEARCH("库存为",AU313)))</formula>
    </cfRule>
    <cfRule type="cellIs" dxfId="1" priority="5986" operator="greaterThan">
      <formula>120</formula>
    </cfRule>
    <cfRule type="cellIs" dxfId="0" priority="6491" operator="lessThan">
      <formula>20</formula>
    </cfRule>
  </conditionalFormatting>
  <conditionalFormatting sqref="AU314">
    <cfRule type="containsText" dxfId="2" priority="5480" operator="between" text="库存为">
      <formula>NOT(ISERROR(SEARCH("库存为",AU314)))</formula>
    </cfRule>
    <cfRule type="cellIs" dxfId="1" priority="5985" operator="greaterThan">
      <formula>120</formula>
    </cfRule>
    <cfRule type="cellIs" dxfId="0" priority="6490" operator="lessThan">
      <formula>20</formula>
    </cfRule>
  </conditionalFormatting>
  <conditionalFormatting sqref="AU315">
    <cfRule type="containsText" dxfId="2" priority="5479" operator="between" text="库存为">
      <formula>NOT(ISERROR(SEARCH("库存为",AU315)))</formula>
    </cfRule>
    <cfRule type="cellIs" dxfId="1" priority="5984" operator="greaterThan">
      <formula>120</formula>
    </cfRule>
    <cfRule type="cellIs" dxfId="0" priority="6489" operator="lessThan">
      <formula>20</formula>
    </cfRule>
  </conditionalFormatting>
  <conditionalFormatting sqref="AU316">
    <cfRule type="containsText" dxfId="2" priority="5478" operator="between" text="库存为">
      <formula>NOT(ISERROR(SEARCH("库存为",AU316)))</formula>
    </cfRule>
    <cfRule type="cellIs" dxfId="1" priority="5983" operator="greaterThan">
      <formula>120</formula>
    </cfRule>
    <cfRule type="cellIs" dxfId="0" priority="6488" operator="lessThan">
      <formula>20</formula>
    </cfRule>
  </conditionalFormatting>
  <conditionalFormatting sqref="AU317">
    <cfRule type="containsText" dxfId="2" priority="5477" operator="between" text="库存为">
      <formula>NOT(ISERROR(SEARCH("库存为",AU317)))</formula>
    </cfRule>
    <cfRule type="cellIs" dxfId="1" priority="5982" operator="greaterThan">
      <formula>120</formula>
    </cfRule>
    <cfRule type="cellIs" dxfId="0" priority="6487" operator="lessThan">
      <formula>20</formula>
    </cfRule>
  </conditionalFormatting>
  <conditionalFormatting sqref="AU318">
    <cfRule type="containsText" dxfId="2" priority="5476" operator="between" text="库存为">
      <formula>NOT(ISERROR(SEARCH("库存为",AU318)))</formula>
    </cfRule>
    <cfRule type="cellIs" dxfId="1" priority="5981" operator="greaterThan">
      <formula>120</formula>
    </cfRule>
    <cfRule type="cellIs" dxfId="0" priority="6486" operator="lessThan">
      <formula>20</formula>
    </cfRule>
  </conditionalFormatting>
  <conditionalFormatting sqref="AU319">
    <cfRule type="containsText" dxfId="2" priority="5475" operator="between" text="库存为">
      <formula>NOT(ISERROR(SEARCH("库存为",AU319)))</formula>
    </cfRule>
    <cfRule type="cellIs" dxfId="1" priority="5980" operator="greaterThan">
      <formula>120</formula>
    </cfRule>
    <cfRule type="cellIs" dxfId="0" priority="6485" operator="lessThan">
      <formula>20</formula>
    </cfRule>
  </conditionalFormatting>
  <conditionalFormatting sqref="AU320">
    <cfRule type="containsText" dxfId="2" priority="5474" operator="between" text="库存为">
      <formula>NOT(ISERROR(SEARCH("库存为",AU320)))</formula>
    </cfRule>
    <cfRule type="cellIs" dxfId="1" priority="5979" operator="greaterThan">
      <formula>120</formula>
    </cfRule>
    <cfRule type="cellIs" dxfId="0" priority="6484" operator="lessThan">
      <formula>20</formula>
    </cfRule>
  </conditionalFormatting>
  <conditionalFormatting sqref="AU321">
    <cfRule type="containsText" dxfId="2" priority="5473" operator="between" text="库存为">
      <formula>NOT(ISERROR(SEARCH("库存为",AU321)))</formula>
    </cfRule>
    <cfRule type="cellIs" dxfId="1" priority="5978" operator="greaterThan">
      <formula>120</formula>
    </cfRule>
    <cfRule type="cellIs" dxfId="0" priority="6483" operator="lessThan">
      <formula>20</formula>
    </cfRule>
  </conditionalFormatting>
  <conditionalFormatting sqref="AU322">
    <cfRule type="containsText" dxfId="2" priority="5472" operator="between" text="库存为">
      <formula>NOT(ISERROR(SEARCH("库存为",AU322)))</formula>
    </cfRule>
    <cfRule type="cellIs" dxfId="1" priority="5977" operator="greaterThan">
      <formula>120</formula>
    </cfRule>
    <cfRule type="cellIs" dxfId="0" priority="6482" operator="lessThan">
      <formula>20</formula>
    </cfRule>
  </conditionalFormatting>
  <conditionalFormatting sqref="AU323">
    <cfRule type="containsText" dxfId="2" priority="5471" operator="between" text="库存为">
      <formula>NOT(ISERROR(SEARCH("库存为",AU323)))</formula>
    </cfRule>
    <cfRule type="cellIs" dxfId="1" priority="5976" operator="greaterThan">
      <formula>120</formula>
    </cfRule>
    <cfRule type="cellIs" dxfId="0" priority="6481" operator="lessThan">
      <formula>20</formula>
    </cfRule>
  </conditionalFormatting>
  <conditionalFormatting sqref="AU324">
    <cfRule type="containsText" dxfId="2" priority="5470" operator="between" text="库存为">
      <formula>NOT(ISERROR(SEARCH("库存为",AU324)))</formula>
    </cfRule>
    <cfRule type="cellIs" dxfId="1" priority="5975" operator="greaterThan">
      <formula>120</formula>
    </cfRule>
    <cfRule type="cellIs" dxfId="0" priority="6480" operator="lessThan">
      <formula>20</formula>
    </cfRule>
  </conditionalFormatting>
  <conditionalFormatting sqref="AU325">
    <cfRule type="containsText" dxfId="2" priority="5469" operator="between" text="库存为">
      <formula>NOT(ISERROR(SEARCH("库存为",AU325)))</formula>
    </cfRule>
    <cfRule type="cellIs" dxfId="1" priority="5974" operator="greaterThan">
      <formula>120</formula>
    </cfRule>
    <cfRule type="cellIs" dxfId="0" priority="6479" operator="lessThan">
      <formula>20</formula>
    </cfRule>
  </conditionalFormatting>
  <conditionalFormatting sqref="AU326">
    <cfRule type="containsText" dxfId="2" priority="5468" operator="between" text="库存为">
      <formula>NOT(ISERROR(SEARCH("库存为",AU326)))</formula>
    </cfRule>
    <cfRule type="cellIs" dxfId="1" priority="5973" operator="greaterThan">
      <formula>120</formula>
    </cfRule>
    <cfRule type="cellIs" dxfId="0" priority="6478" operator="lessThan">
      <formula>20</formula>
    </cfRule>
  </conditionalFormatting>
  <conditionalFormatting sqref="AU327">
    <cfRule type="containsText" dxfId="2" priority="5467" operator="between" text="库存为">
      <formula>NOT(ISERROR(SEARCH("库存为",AU327)))</formula>
    </cfRule>
    <cfRule type="cellIs" dxfId="1" priority="5972" operator="greaterThan">
      <formula>120</formula>
    </cfRule>
    <cfRule type="cellIs" dxfId="0" priority="6477" operator="lessThan">
      <formula>20</formula>
    </cfRule>
  </conditionalFormatting>
  <conditionalFormatting sqref="AU328">
    <cfRule type="containsText" dxfId="2" priority="5466" operator="between" text="库存为">
      <formula>NOT(ISERROR(SEARCH("库存为",AU328)))</formula>
    </cfRule>
    <cfRule type="cellIs" dxfId="1" priority="5971" operator="greaterThan">
      <formula>120</formula>
    </cfRule>
    <cfRule type="cellIs" dxfId="0" priority="6476" operator="lessThan">
      <formula>20</formula>
    </cfRule>
  </conditionalFormatting>
  <conditionalFormatting sqref="AU329">
    <cfRule type="containsText" dxfId="2" priority="5465" operator="between" text="库存为">
      <formula>NOT(ISERROR(SEARCH("库存为",AU329)))</formula>
    </cfRule>
    <cfRule type="cellIs" dxfId="1" priority="5970" operator="greaterThan">
      <formula>120</formula>
    </cfRule>
    <cfRule type="cellIs" dxfId="0" priority="6475" operator="lessThan">
      <formula>20</formula>
    </cfRule>
  </conditionalFormatting>
  <conditionalFormatting sqref="AU330">
    <cfRule type="containsText" dxfId="2" priority="5464" operator="between" text="库存为">
      <formula>NOT(ISERROR(SEARCH("库存为",AU330)))</formula>
    </cfRule>
    <cfRule type="cellIs" dxfId="1" priority="5969" operator="greaterThan">
      <formula>120</formula>
    </cfRule>
    <cfRule type="cellIs" dxfId="0" priority="6474" operator="lessThan">
      <formula>20</formula>
    </cfRule>
  </conditionalFormatting>
  <conditionalFormatting sqref="AU331">
    <cfRule type="containsText" dxfId="2" priority="5463" operator="between" text="库存为">
      <formula>NOT(ISERROR(SEARCH("库存为",AU331)))</formula>
    </cfRule>
    <cfRule type="cellIs" dxfId="1" priority="5968" operator="greaterThan">
      <formula>120</formula>
    </cfRule>
    <cfRule type="cellIs" dxfId="0" priority="6473" operator="lessThan">
      <formula>20</formula>
    </cfRule>
  </conditionalFormatting>
  <conditionalFormatting sqref="AU332">
    <cfRule type="containsText" dxfId="2" priority="5462" operator="between" text="库存为">
      <formula>NOT(ISERROR(SEARCH("库存为",AU332)))</formula>
    </cfRule>
    <cfRule type="cellIs" dxfId="1" priority="5967" operator="greaterThan">
      <formula>120</formula>
    </cfRule>
    <cfRule type="cellIs" dxfId="0" priority="6472" operator="lessThan">
      <formula>20</formula>
    </cfRule>
  </conditionalFormatting>
  <conditionalFormatting sqref="AU333">
    <cfRule type="containsText" dxfId="2" priority="5461" operator="between" text="库存为">
      <formula>NOT(ISERROR(SEARCH("库存为",AU333)))</formula>
    </cfRule>
    <cfRule type="cellIs" dxfId="1" priority="5966" operator="greaterThan">
      <formula>120</formula>
    </cfRule>
    <cfRule type="cellIs" dxfId="0" priority="6471" operator="lessThan">
      <formula>20</formula>
    </cfRule>
  </conditionalFormatting>
  <conditionalFormatting sqref="AU334">
    <cfRule type="containsText" dxfId="2" priority="5460" operator="between" text="库存为">
      <formula>NOT(ISERROR(SEARCH("库存为",AU334)))</formula>
    </cfRule>
    <cfRule type="cellIs" dxfId="1" priority="5965" operator="greaterThan">
      <formula>120</formula>
    </cfRule>
    <cfRule type="cellIs" dxfId="0" priority="6470" operator="lessThan">
      <formula>20</formula>
    </cfRule>
  </conditionalFormatting>
  <conditionalFormatting sqref="AU335">
    <cfRule type="containsText" dxfId="2" priority="5459" operator="between" text="库存为">
      <formula>NOT(ISERROR(SEARCH("库存为",AU335)))</formula>
    </cfRule>
    <cfRule type="cellIs" dxfId="1" priority="5964" operator="greaterThan">
      <formula>120</formula>
    </cfRule>
    <cfRule type="cellIs" dxfId="0" priority="6469" operator="lessThan">
      <formula>20</formula>
    </cfRule>
  </conditionalFormatting>
  <conditionalFormatting sqref="AU336">
    <cfRule type="containsText" dxfId="2" priority="5458" operator="between" text="库存为">
      <formula>NOT(ISERROR(SEARCH("库存为",AU336)))</formula>
    </cfRule>
    <cfRule type="cellIs" dxfId="1" priority="5963" operator="greaterThan">
      <formula>120</formula>
    </cfRule>
    <cfRule type="cellIs" dxfId="0" priority="6468" operator="lessThan">
      <formula>20</formula>
    </cfRule>
  </conditionalFormatting>
  <conditionalFormatting sqref="AU337">
    <cfRule type="containsText" dxfId="2" priority="5457" operator="between" text="库存为">
      <formula>NOT(ISERROR(SEARCH("库存为",AU337)))</formula>
    </cfRule>
    <cfRule type="cellIs" dxfId="1" priority="5962" operator="greaterThan">
      <formula>120</formula>
    </cfRule>
    <cfRule type="cellIs" dxfId="0" priority="6467" operator="lessThan">
      <formula>20</formula>
    </cfRule>
  </conditionalFormatting>
  <conditionalFormatting sqref="AU338">
    <cfRule type="containsText" dxfId="2" priority="5456" operator="between" text="库存为">
      <formula>NOT(ISERROR(SEARCH("库存为",AU338)))</formula>
    </cfRule>
    <cfRule type="cellIs" dxfId="1" priority="5961" operator="greaterThan">
      <formula>120</formula>
    </cfRule>
    <cfRule type="cellIs" dxfId="0" priority="6466" operator="lessThan">
      <formula>20</formula>
    </cfRule>
  </conditionalFormatting>
  <conditionalFormatting sqref="AU339">
    <cfRule type="containsText" dxfId="2" priority="5455" operator="between" text="库存为">
      <formula>NOT(ISERROR(SEARCH("库存为",AU339)))</formula>
    </cfRule>
    <cfRule type="cellIs" dxfId="1" priority="5960" operator="greaterThan">
      <formula>120</formula>
    </cfRule>
    <cfRule type="cellIs" dxfId="0" priority="6465" operator="lessThan">
      <formula>20</formula>
    </cfRule>
  </conditionalFormatting>
  <conditionalFormatting sqref="AU340">
    <cfRule type="containsText" dxfId="2" priority="5454" operator="between" text="库存为">
      <formula>NOT(ISERROR(SEARCH("库存为",AU340)))</formula>
    </cfRule>
    <cfRule type="cellIs" dxfId="1" priority="5959" operator="greaterThan">
      <formula>120</formula>
    </cfRule>
    <cfRule type="cellIs" dxfId="0" priority="6464" operator="lessThan">
      <formula>20</formula>
    </cfRule>
  </conditionalFormatting>
  <conditionalFormatting sqref="AU341">
    <cfRule type="containsText" dxfId="2" priority="5453" operator="between" text="库存为">
      <formula>NOT(ISERROR(SEARCH("库存为",AU341)))</formula>
    </cfRule>
    <cfRule type="cellIs" dxfId="1" priority="5958" operator="greaterThan">
      <formula>120</formula>
    </cfRule>
    <cfRule type="cellIs" dxfId="0" priority="6463" operator="lessThan">
      <formula>20</formula>
    </cfRule>
  </conditionalFormatting>
  <conditionalFormatting sqref="AU342">
    <cfRule type="containsText" dxfId="2" priority="5452" operator="between" text="库存为">
      <formula>NOT(ISERROR(SEARCH("库存为",AU342)))</formula>
    </cfRule>
    <cfRule type="cellIs" dxfId="1" priority="5957" operator="greaterThan">
      <formula>120</formula>
    </cfRule>
    <cfRule type="cellIs" dxfId="0" priority="6462" operator="lessThan">
      <formula>20</formula>
    </cfRule>
  </conditionalFormatting>
  <conditionalFormatting sqref="AU343">
    <cfRule type="containsText" dxfId="2" priority="5451" operator="between" text="库存为">
      <formula>NOT(ISERROR(SEARCH("库存为",AU343)))</formula>
    </cfRule>
    <cfRule type="cellIs" dxfId="1" priority="5956" operator="greaterThan">
      <formula>120</formula>
    </cfRule>
    <cfRule type="cellIs" dxfId="0" priority="6461" operator="lessThan">
      <formula>20</formula>
    </cfRule>
  </conditionalFormatting>
  <conditionalFormatting sqref="AU344">
    <cfRule type="containsText" dxfId="2" priority="5450" operator="between" text="库存为">
      <formula>NOT(ISERROR(SEARCH("库存为",AU344)))</formula>
    </cfRule>
    <cfRule type="cellIs" dxfId="1" priority="5955" operator="greaterThan">
      <formula>120</formula>
    </cfRule>
    <cfRule type="cellIs" dxfId="0" priority="6460" operator="lessThan">
      <formula>20</formula>
    </cfRule>
  </conditionalFormatting>
  <conditionalFormatting sqref="AU345">
    <cfRule type="containsText" dxfId="2" priority="5449" operator="between" text="库存为">
      <formula>NOT(ISERROR(SEARCH("库存为",AU345)))</formula>
    </cfRule>
    <cfRule type="cellIs" dxfId="1" priority="5954" operator="greaterThan">
      <formula>120</formula>
    </cfRule>
    <cfRule type="cellIs" dxfId="0" priority="6459" operator="lessThan">
      <formula>20</formula>
    </cfRule>
  </conditionalFormatting>
  <conditionalFormatting sqref="AU346">
    <cfRule type="containsText" dxfId="2" priority="5448" operator="between" text="库存为">
      <formula>NOT(ISERROR(SEARCH("库存为",AU346)))</formula>
    </cfRule>
    <cfRule type="cellIs" dxfId="1" priority="5953" operator="greaterThan">
      <formula>120</formula>
    </cfRule>
    <cfRule type="cellIs" dxfId="0" priority="6458" operator="lessThan">
      <formula>20</formula>
    </cfRule>
  </conditionalFormatting>
  <conditionalFormatting sqref="AU347">
    <cfRule type="containsText" dxfId="2" priority="5447" operator="between" text="库存为">
      <formula>NOT(ISERROR(SEARCH("库存为",AU347)))</formula>
    </cfRule>
    <cfRule type="cellIs" dxfId="1" priority="5952" operator="greaterThan">
      <formula>120</formula>
    </cfRule>
    <cfRule type="cellIs" dxfId="0" priority="6457" operator="lessThan">
      <formula>20</formula>
    </cfRule>
  </conditionalFormatting>
  <conditionalFormatting sqref="AU348">
    <cfRule type="containsText" dxfId="2" priority="5446" operator="between" text="库存为">
      <formula>NOT(ISERROR(SEARCH("库存为",AU348)))</formula>
    </cfRule>
    <cfRule type="cellIs" dxfId="1" priority="5951" operator="greaterThan">
      <formula>120</formula>
    </cfRule>
    <cfRule type="cellIs" dxfId="0" priority="6456" operator="lessThan">
      <formula>20</formula>
    </cfRule>
  </conditionalFormatting>
  <conditionalFormatting sqref="AU349">
    <cfRule type="containsText" dxfId="2" priority="5445" operator="between" text="库存为">
      <formula>NOT(ISERROR(SEARCH("库存为",AU349)))</formula>
    </cfRule>
    <cfRule type="cellIs" dxfId="1" priority="5950" operator="greaterThan">
      <formula>120</formula>
    </cfRule>
    <cfRule type="cellIs" dxfId="0" priority="6455" operator="lessThan">
      <formula>20</formula>
    </cfRule>
  </conditionalFormatting>
  <conditionalFormatting sqref="AU350">
    <cfRule type="containsText" dxfId="2" priority="5444" operator="between" text="库存为">
      <formula>NOT(ISERROR(SEARCH("库存为",AU350)))</formula>
    </cfRule>
    <cfRule type="cellIs" dxfId="1" priority="5949" operator="greaterThan">
      <formula>120</formula>
    </cfRule>
    <cfRule type="cellIs" dxfId="0" priority="6454" operator="lessThan">
      <formula>20</formula>
    </cfRule>
  </conditionalFormatting>
  <conditionalFormatting sqref="AU351">
    <cfRule type="containsText" dxfId="2" priority="5443" operator="between" text="库存为">
      <formula>NOT(ISERROR(SEARCH("库存为",AU351)))</formula>
    </cfRule>
    <cfRule type="cellIs" dxfId="1" priority="5948" operator="greaterThan">
      <formula>120</formula>
    </cfRule>
    <cfRule type="cellIs" dxfId="0" priority="6453" operator="lessThan">
      <formula>20</formula>
    </cfRule>
  </conditionalFormatting>
  <conditionalFormatting sqref="AU352">
    <cfRule type="containsText" dxfId="2" priority="5442" operator="between" text="库存为">
      <formula>NOT(ISERROR(SEARCH("库存为",AU352)))</formula>
    </cfRule>
    <cfRule type="cellIs" dxfId="1" priority="5947" operator="greaterThan">
      <formula>120</formula>
    </cfRule>
    <cfRule type="cellIs" dxfId="0" priority="6452" operator="lessThan">
      <formula>20</formula>
    </cfRule>
  </conditionalFormatting>
  <conditionalFormatting sqref="AU353">
    <cfRule type="containsText" dxfId="2" priority="5441" operator="between" text="库存为">
      <formula>NOT(ISERROR(SEARCH("库存为",AU353)))</formula>
    </cfRule>
    <cfRule type="cellIs" dxfId="1" priority="5946" operator="greaterThan">
      <formula>120</formula>
    </cfRule>
    <cfRule type="cellIs" dxfId="0" priority="6451" operator="lessThan">
      <formula>20</formula>
    </cfRule>
  </conditionalFormatting>
  <conditionalFormatting sqref="AU354">
    <cfRule type="containsText" dxfId="2" priority="5440" operator="between" text="库存为">
      <formula>NOT(ISERROR(SEARCH("库存为",AU354)))</formula>
    </cfRule>
    <cfRule type="cellIs" dxfId="1" priority="5945" operator="greaterThan">
      <formula>120</formula>
    </cfRule>
    <cfRule type="cellIs" dxfId="0" priority="6450" operator="lessThan">
      <formula>20</formula>
    </cfRule>
  </conditionalFormatting>
  <conditionalFormatting sqref="AU355">
    <cfRule type="containsText" dxfId="2" priority="5439" operator="between" text="库存为">
      <formula>NOT(ISERROR(SEARCH("库存为",AU355)))</formula>
    </cfRule>
    <cfRule type="cellIs" dxfId="1" priority="5944" operator="greaterThan">
      <formula>120</formula>
    </cfRule>
    <cfRule type="cellIs" dxfId="0" priority="6449" operator="lessThan">
      <formula>20</formula>
    </cfRule>
  </conditionalFormatting>
  <conditionalFormatting sqref="AU356">
    <cfRule type="containsText" dxfId="2" priority="5438" operator="between" text="库存为">
      <formula>NOT(ISERROR(SEARCH("库存为",AU356)))</formula>
    </cfRule>
    <cfRule type="cellIs" dxfId="1" priority="5943" operator="greaterThan">
      <formula>120</formula>
    </cfRule>
    <cfRule type="cellIs" dxfId="0" priority="6448" operator="lessThan">
      <formula>20</formula>
    </cfRule>
  </conditionalFormatting>
  <conditionalFormatting sqref="AU357">
    <cfRule type="containsText" dxfId="2" priority="5437" operator="between" text="库存为">
      <formula>NOT(ISERROR(SEARCH("库存为",AU357)))</formula>
    </cfRule>
    <cfRule type="cellIs" dxfId="1" priority="5942" operator="greaterThan">
      <formula>120</formula>
    </cfRule>
    <cfRule type="cellIs" dxfId="0" priority="6447" operator="lessThan">
      <formula>20</formula>
    </cfRule>
  </conditionalFormatting>
  <conditionalFormatting sqref="AU358">
    <cfRule type="containsText" dxfId="2" priority="5436" operator="between" text="库存为">
      <formula>NOT(ISERROR(SEARCH("库存为",AU358)))</formula>
    </cfRule>
    <cfRule type="cellIs" dxfId="1" priority="5941" operator="greaterThan">
      <formula>120</formula>
    </cfRule>
    <cfRule type="cellIs" dxfId="0" priority="6446" operator="lessThan">
      <formula>20</formula>
    </cfRule>
  </conditionalFormatting>
  <conditionalFormatting sqref="AU359">
    <cfRule type="containsText" dxfId="2" priority="5435" operator="between" text="库存为">
      <formula>NOT(ISERROR(SEARCH("库存为",AU359)))</formula>
    </cfRule>
    <cfRule type="cellIs" dxfId="1" priority="5940" operator="greaterThan">
      <formula>120</formula>
    </cfRule>
    <cfRule type="cellIs" dxfId="0" priority="6445" operator="lessThan">
      <formula>20</formula>
    </cfRule>
  </conditionalFormatting>
  <conditionalFormatting sqref="AU360">
    <cfRule type="containsText" dxfId="2" priority="5434" operator="between" text="库存为">
      <formula>NOT(ISERROR(SEARCH("库存为",AU360)))</formula>
    </cfRule>
    <cfRule type="cellIs" dxfId="1" priority="5939" operator="greaterThan">
      <formula>120</formula>
    </cfRule>
    <cfRule type="cellIs" dxfId="0" priority="6444" operator="lessThan">
      <formula>20</formula>
    </cfRule>
  </conditionalFormatting>
  <conditionalFormatting sqref="AU361">
    <cfRule type="containsText" dxfId="2" priority="5433" operator="between" text="库存为">
      <formula>NOT(ISERROR(SEARCH("库存为",AU361)))</formula>
    </cfRule>
    <cfRule type="cellIs" dxfId="1" priority="5938" operator="greaterThan">
      <formula>120</formula>
    </cfRule>
    <cfRule type="cellIs" dxfId="0" priority="6443" operator="lessThan">
      <formula>20</formula>
    </cfRule>
  </conditionalFormatting>
  <conditionalFormatting sqref="AU362">
    <cfRule type="containsText" dxfId="2" priority="5432" operator="between" text="库存为">
      <formula>NOT(ISERROR(SEARCH("库存为",AU362)))</formula>
    </cfRule>
    <cfRule type="cellIs" dxfId="1" priority="5937" operator="greaterThan">
      <formula>120</formula>
    </cfRule>
    <cfRule type="cellIs" dxfId="0" priority="6442" operator="lessThan">
      <formula>20</formula>
    </cfRule>
  </conditionalFormatting>
  <conditionalFormatting sqref="AU363">
    <cfRule type="containsText" dxfId="2" priority="5431" operator="between" text="库存为">
      <formula>NOT(ISERROR(SEARCH("库存为",AU363)))</formula>
    </cfRule>
    <cfRule type="cellIs" dxfId="1" priority="5936" operator="greaterThan">
      <formula>120</formula>
    </cfRule>
    <cfRule type="cellIs" dxfId="0" priority="6441" operator="lessThan">
      <formula>20</formula>
    </cfRule>
  </conditionalFormatting>
  <conditionalFormatting sqref="AU364">
    <cfRule type="containsText" dxfId="2" priority="5430" operator="between" text="库存为">
      <formula>NOT(ISERROR(SEARCH("库存为",AU364)))</formula>
    </cfRule>
    <cfRule type="cellIs" dxfId="1" priority="5935" operator="greaterThan">
      <formula>120</formula>
    </cfRule>
    <cfRule type="cellIs" dxfId="0" priority="6440" operator="lessThan">
      <formula>20</formula>
    </cfRule>
  </conditionalFormatting>
  <conditionalFormatting sqref="AU365">
    <cfRule type="containsText" dxfId="2" priority="5429" operator="between" text="库存为">
      <formula>NOT(ISERROR(SEARCH("库存为",AU365)))</formula>
    </cfRule>
    <cfRule type="cellIs" dxfId="1" priority="5934" operator="greaterThan">
      <formula>120</formula>
    </cfRule>
    <cfRule type="cellIs" dxfId="0" priority="6439" operator="lessThan">
      <formula>20</formula>
    </cfRule>
  </conditionalFormatting>
  <conditionalFormatting sqref="AU366">
    <cfRule type="containsText" dxfId="2" priority="5428" operator="between" text="库存为">
      <formula>NOT(ISERROR(SEARCH("库存为",AU366)))</formula>
    </cfRule>
    <cfRule type="cellIs" dxfId="1" priority="5933" operator="greaterThan">
      <formula>120</formula>
    </cfRule>
    <cfRule type="cellIs" dxfId="0" priority="6438" operator="lessThan">
      <formula>20</formula>
    </cfRule>
  </conditionalFormatting>
  <conditionalFormatting sqref="AU367">
    <cfRule type="containsText" dxfId="2" priority="5427" operator="between" text="库存为">
      <formula>NOT(ISERROR(SEARCH("库存为",AU367)))</formula>
    </cfRule>
    <cfRule type="cellIs" dxfId="1" priority="5932" operator="greaterThan">
      <formula>120</formula>
    </cfRule>
    <cfRule type="cellIs" dxfId="0" priority="6437" operator="lessThan">
      <formula>20</formula>
    </cfRule>
  </conditionalFormatting>
  <conditionalFormatting sqref="AU368">
    <cfRule type="containsText" dxfId="2" priority="5426" operator="between" text="库存为">
      <formula>NOT(ISERROR(SEARCH("库存为",AU368)))</formula>
    </cfRule>
    <cfRule type="cellIs" dxfId="1" priority="5931" operator="greaterThan">
      <formula>120</formula>
    </cfRule>
    <cfRule type="cellIs" dxfId="0" priority="6436" operator="lessThan">
      <formula>20</formula>
    </cfRule>
  </conditionalFormatting>
  <conditionalFormatting sqref="AU369">
    <cfRule type="containsText" dxfId="2" priority="5425" operator="between" text="库存为">
      <formula>NOT(ISERROR(SEARCH("库存为",AU369)))</formula>
    </cfRule>
    <cfRule type="cellIs" dxfId="1" priority="5930" operator="greaterThan">
      <formula>120</formula>
    </cfRule>
    <cfRule type="cellIs" dxfId="0" priority="6435" operator="lessThan">
      <formula>20</formula>
    </cfRule>
  </conditionalFormatting>
  <conditionalFormatting sqref="AU370">
    <cfRule type="containsText" dxfId="2" priority="5424" operator="between" text="库存为">
      <formula>NOT(ISERROR(SEARCH("库存为",AU370)))</formula>
    </cfRule>
    <cfRule type="cellIs" dxfId="1" priority="5929" operator="greaterThan">
      <formula>120</formula>
    </cfRule>
    <cfRule type="cellIs" dxfId="0" priority="6434" operator="lessThan">
      <formula>20</formula>
    </cfRule>
  </conditionalFormatting>
  <conditionalFormatting sqref="AU371">
    <cfRule type="containsText" dxfId="2" priority="5423" operator="between" text="库存为">
      <formula>NOT(ISERROR(SEARCH("库存为",AU371)))</formula>
    </cfRule>
    <cfRule type="cellIs" dxfId="1" priority="5928" operator="greaterThan">
      <formula>120</formula>
    </cfRule>
    <cfRule type="cellIs" dxfId="0" priority="6433" operator="lessThan">
      <formula>20</formula>
    </cfRule>
  </conditionalFormatting>
  <conditionalFormatting sqref="AU372">
    <cfRule type="containsText" dxfId="2" priority="5422" operator="between" text="库存为">
      <formula>NOT(ISERROR(SEARCH("库存为",AU372)))</formula>
    </cfRule>
    <cfRule type="cellIs" dxfId="1" priority="5927" operator="greaterThan">
      <formula>120</formula>
    </cfRule>
    <cfRule type="cellIs" dxfId="0" priority="6432" operator="lessThan">
      <formula>20</formula>
    </cfRule>
  </conditionalFormatting>
  <conditionalFormatting sqref="AU373">
    <cfRule type="containsText" dxfId="2" priority="5421" operator="between" text="库存为">
      <formula>NOT(ISERROR(SEARCH("库存为",AU373)))</formula>
    </cfRule>
    <cfRule type="cellIs" dxfId="1" priority="5926" operator="greaterThan">
      <formula>120</formula>
    </cfRule>
    <cfRule type="cellIs" dxfId="0" priority="6431" operator="lessThan">
      <formula>20</formula>
    </cfRule>
  </conditionalFormatting>
  <conditionalFormatting sqref="AU374">
    <cfRule type="containsText" dxfId="2" priority="5420" operator="between" text="库存为">
      <formula>NOT(ISERROR(SEARCH("库存为",AU374)))</formula>
    </cfRule>
    <cfRule type="cellIs" dxfId="1" priority="5925" operator="greaterThan">
      <formula>120</formula>
    </cfRule>
    <cfRule type="cellIs" dxfId="0" priority="6430" operator="lessThan">
      <formula>20</formula>
    </cfRule>
  </conditionalFormatting>
  <conditionalFormatting sqref="AU375">
    <cfRule type="containsText" dxfId="2" priority="5419" operator="between" text="库存为">
      <formula>NOT(ISERROR(SEARCH("库存为",AU375)))</formula>
    </cfRule>
    <cfRule type="cellIs" dxfId="1" priority="5924" operator="greaterThan">
      <formula>120</formula>
    </cfRule>
    <cfRule type="cellIs" dxfId="0" priority="6429" operator="lessThan">
      <formula>20</formula>
    </cfRule>
  </conditionalFormatting>
  <conditionalFormatting sqref="AU376">
    <cfRule type="containsText" dxfId="2" priority="5418" operator="between" text="库存为">
      <formula>NOT(ISERROR(SEARCH("库存为",AU376)))</formula>
    </cfRule>
    <cfRule type="cellIs" dxfId="1" priority="5923" operator="greaterThan">
      <formula>120</formula>
    </cfRule>
    <cfRule type="cellIs" dxfId="0" priority="6428" operator="lessThan">
      <formula>20</formula>
    </cfRule>
  </conditionalFormatting>
  <conditionalFormatting sqref="AU377">
    <cfRule type="containsText" dxfId="2" priority="5417" operator="between" text="库存为">
      <formula>NOT(ISERROR(SEARCH("库存为",AU377)))</formula>
    </cfRule>
    <cfRule type="cellIs" dxfId="1" priority="5922" operator="greaterThan">
      <formula>120</formula>
    </cfRule>
    <cfRule type="cellIs" dxfId="0" priority="6427" operator="lessThan">
      <formula>20</formula>
    </cfRule>
  </conditionalFormatting>
  <conditionalFormatting sqref="AU378">
    <cfRule type="containsText" dxfId="2" priority="5416" operator="between" text="库存为">
      <formula>NOT(ISERROR(SEARCH("库存为",AU378)))</formula>
    </cfRule>
    <cfRule type="cellIs" dxfId="1" priority="5921" operator="greaterThan">
      <formula>120</formula>
    </cfRule>
    <cfRule type="cellIs" dxfId="0" priority="6426" operator="lessThan">
      <formula>20</formula>
    </cfRule>
  </conditionalFormatting>
  <conditionalFormatting sqref="AU379">
    <cfRule type="containsText" dxfId="2" priority="5415" operator="between" text="库存为">
      <formula>NOT(ISERROR(SEARCH("库存为",AU379)))</formula>
    </cfRule>
    <cfRule type="cellIs" dxfId="1" priority="5920" operator="greaterThan">
      <formula>120</formula>
    </cfRule>
    <cfRule type="cellIs" dxfId="0" priority="6425" operator="lessThan">
      <formula>20</formula>
    </cfRule>
  </conditionalFormatting>
  <conditionalFormatting sqref="AU380">
    <cfRule type="containsText" dxfId="2" priority="5414" operator="between" text="库存为">
      <formula>NOT(ISERROR(SEARCH("库存为",AU380)))</formula>
    </cfRule>
    <cfRule type="cellIs" dxfId="1" priority="5919" operator="greaterThan">
      <formula>120</formula>
    </cfRule>
    <cfRule type="cellIs" dxfId="0" priority="6424" operator="lessThan">
      <formula>20</formula>
    </cfRule>
  </conditionalFormatting>
  <conditionalFormatting sqref="AU381">
    <cfRule type="containsText" dxfId="2" priority="5413" operator="between" text="库存为">
      <formula>NOT(ISERROR(SEARCH("库存为",AU381)))</formula>
    </cfRule>
    <cfRule type="cellIs" dxfId="1" priority="5918" operator="greaterThan">
      <formula>120</formula>
    </cfRule>
    <cfRule type="cellIs" dxfId="0" priority="6423" operator="lessThan">
      <formula>20</formula>
    </cfRule>
  </conditionalFormatting>
  <conditionalFormatting sqref="AU382">
    <cfRule type="containsText" dxfId="2" priority="5412" operator="between" text="库存为">
      <formula>NOT(ISERROR(SEARCH("库存为",AU382)))</formula>
    </cfRule>
    <cfRule type="cellIs" dxfId="1" priority="5917" operator="greaterThan">
      <formula>120</formula>
    </cfRule>
    <cfRule type="cellIs" dxfId="0" priority="6422" operator="lessThan">
      <formula>20</formula>
    </cfRule>
  </conditionalFormatting>
  <conditionalFormatting sqref="AU383">
    <cfRule type="containsText" dxfId="2" priority="5411" operator="between" text="库存为">
      <formula>NOT(ISERROR(SEARCH("库存为",AU383)))</formula>
    </cfRule>
    <cfRule type="cellIs" dxfId="1" priority="5916" operator="greaterThan">
      <formula>120</formula>
    </cfRule>
    <cfRule type="cellIs" dxfId="0" priority="6421" operator="lessThan">
      <formula>20</formula>
    </cfRule>
  </conditionalFormatting>
  <conditionalFormatting sqref="AU384">
    <cfRule type="containsText" dxfId="2" priority="5410" operator="between" text="库存为">
      <formula>NOT(ISERROR(SEARCH("库存为",AU384)))</formula>
    </cfRule>
    <cfRule type="cellIs" dxfId="1" priority="5915" operator="greaterThan">
      <formula>120</formula>
    </cfRule>
    <cfRule type="cellIs" dxfId="0" priority="6420" operator="lessThan">
      <formula>20</formula>
    </cfRule>
  </conditionalFormatting>
  <conditionalFormatting sqref="AU385">
    <cfRule type="containsText" dxfId="2" priority="5409" operator="between" text="库存为">
      <formula>NOT(ISERROR(SEARCH("库存为",AU385)))</formula>
    </cfRule>
    <cfRule type="cellIs" dxfId="1" priority="5914" operator="greaterThan">
      <formula>120</formula>
    </cfRule>
    <cfRule type="cellIs" dxfId="0" priority="6419" operator="lessThan">
      <formula>20</formula>
    </cfRule>
  </conditionalFormatting>
  <conditionalFormatting sqref="AU386">
    <cfRule type="containsText" dxfId="2" priority="5408" operator="between" text="库存为">
      <formula>NOT(ISERROR(SEARCH("库存为",AU386)))</formula>
    </cfRule>
    <cfRule type="cellIs" dxfId="1" priority="5913" operator="greaterThan">
      <formula>120</formula>
    </cfRule>
    <cfRule type="cellIs" dxfId="0" priority="6418" operator="lessThan">
      <formula>20</formula>
    </cfRule>
  </conditionalFormatting>
  <conditionalFormatting sqref="AU387">
    <cfRule type="containsText" dxfId="2" priority="5407" operator="between" text="库存为">
      <formula>NOT(ISERROR(SEARCH("库存为",AU387)))</formula>
    </cfRule>
    <cfRule type="cellIs" dxfId="1" priority="5912" operator="greaterThan">
      <formula>120</formula>
    </cfRule>
    <cfRule type="cellIs" dxfId="0" priority="6417" operator="lessThan">
      <formula>20</formula>
    </cfRule>
  </conditionalFormatting>
  <conditionalFormatting sqref="AU388">
    <cfRule type="containsText" dxfId="2" priority="5406" operator="between" text="库存为">
      <formula>NOT(ISERROR(SEARCH("库存为",AU388)))</formula>
    </cfRule>
    <cfRule type="cellIs" dxfId="1" priority="5911" operator="greaterThan">
      <formula>120</formula>
    </cfRule>
    <cfRule type="cellIs" dxfId="0" priority="6416" operator="lessThan">
      <formula>20</formula>
    </cfRule>
  </conditionalFormatting>
  <conditionalFormatting sqref="AU389">
    <cfRule type="containsText" dxfId="2" priority="5405" operator="between" text="库存为">
      <formula>NOT(ISERROR(SEARCH("库存为",AU389)))</formula>
    </cfRule>
    <cfRule type="cellIs" dxfId="1" priority="5910" operator="greaterThan">
      <formula>120</formula>
    </cfRule>
    <cfRule type="cellIs" dxfId="0" priority="6415" operator="lessThan">
      <formula>20</formula>
    </cfRule>
  </conditionalFormatting>
  <conditionalFormatting sqref="AU390">
    <cfRule type="containsText" dxfId="2" priority="5404" operator="between" text="库存为">
      <formula>NOT(ISERROR(SEARCH("库存为",AU390)))</formula>
    </cfRule>
    <cfRule type="cellIs" dxfId="1" priority="5909" operator="greaterThan">
      <formula>120</formula>
    </cfRule>
    <cfRule type="cellIs" dxfId="0" priority="6414" operator="lessThan">
      <formula>20</formula>
    </cfRule>
  </conditionalFormatting>
  <conditionalFormatting sqref="AU391">
    <cfRule type="containsText" dxfId="2" priority="5403" operator="between" text="库存为">
      <formula>NOT(ISERROR(SEARCH("库存为",AU391)))</formula>
    </cfRule>
    <cfRule type="cellIs" dxfId="1" priority="5908" operator="greaterThan">
      <formula>120</formula>
    </cfRule>
    <cfRule type="cellIs" dxfId="0" priority="6413" operator="lessThan">
      <formula>20</formula>
    </cfRule>
  </conditionalFormatting>
  <conditionalFormatting sqref="AU392">
    <cfRule type="containsText" dxfId="2" priority="5402" operator="between" text="库存为">
      <formula>NOT(ISERROR(SEARCH("库存为",AU392)))</formula>
    </cfRule>
    <cfRule type="cellIs" dxfId="1" priority="5907" operator="greaterThan">
      <formula>120</formula>
    </cfRule>
    <cfRule type="cellIs" dxfId="0" priority="6412" operator="lessThan">
      <formula>20</formula>
    </cfRule>
  </conditionalFormatting>
  <conditionalFormatting sqref="AU393">
    <cfRule type="containsText" dxfId="2" priority="5401" operator="between" text="库存为">
      <formula>NOT(ISERROR(SEARCH("库存为",AU393)))</formula>
    </cfRule>
    <cfRule type="cellIs" dxfId="1" priority="5906" operator="greaterThan">
      <formula>120</formula>
    </cfRule>
    <cfRule type="cellIs" dxfId="0" priority="6411" operator="lessThan">
      <formula>20</formula>
    </cfRule>
  </conditionalFormatting>
  <conditionalFormatting sqref="AU394">
    <cfRule type="containsText" dxfId="2" priority="5400" operator="between" text="库存为">
      <formula>NOT(ISERROR(SEARCH("库存为",AU394)))</formula>
    </cfRule>
    <cfRule type="cellIs" dxfId="1" priority="5905" operator="greaterThan">
      <formula>120</formula>
    </cfRule>
    <cfRule type="cellIs" dxfId="0" priority="6410" operator="lessThan">
      <formula>20</formula>
    </cfRule>
  </conditionalFormatting>
  <conditionalFormatting sqref="AU395">
    <cfRule type="containsText" dxfId="2" priority="5399" operator="between" text="库存为">
      <formula>NOT(ISERROR(SEARCH("库存为",AU395)))</formula>
    </cfRule>
    <cfRule type="cellIs" dxfId="1" priority="5904" operator="greaterThan">
      <formula>120</formula>
    </cfRule>
    <cfRule type="cellIs" dxfId="0" priority="6409" operator="lessThan">
      <formula>20</formula>
    </cfRule>
  </conditionalFormatting>
  <conditionalFormatting sqref="AU396">
    <cfRule type="containsText" dxfId="2" priority="5398" operator="between" text="库存为">
      <formula>NOT(ISERROR(SEARCH("库存为",AU396)))</formula>
    </cfRule>
    <cfRule type="cellIs" dxfId="1" priority="5903" operator="greaterThan">
      <formula>120</formula>
    </cfRule>
    <cfRule type="cellIs" dxfId="0" priority="6408" operator="lessThan">
      <formula>20</formula>
    </cfRule>
  </conditionalFormatting>
  <conditionalFormatting sqref="AU397">
    <cfRule type="containsText" dxfId="2" priority="5397" operator="between" text="库存为">
      <formula>NOT(ISERROR(SEARCH("库存为",AU397)))</formula>
    </cfRule>
    <cfRule type="cellIs" dxfId="1" priority="5902" operator="greaterThan">
      <formula>120</formula>
    </cfRule>
    <cfRule type="cellIs" dxfId="0" priority="6407" operator="lessThan">
      <formula>20</formula>
    </cfRule>
  </conditionalFormatting>
  <conditionalFormatting sqref="AU398">
    <cfRule type="containsText" dxfId="2" priority="5396" operator="between" text="库存为">
      <formula>NOT(ISERROR(SEARCH("库存为",AU398)))</formula>
    </cfRule>
    <cfRule type="cellIs" dxfId="1" priority="5901" operator="greaterThan">
      <formula>120</formula>
    </cfRule>
    <cfRule type="cellIs" dxfId="0" priority="6406" operator="lessThan">
      <formula>20</formula>
    </cfRule>
  </conditionalFormatting>
  <conditionalFormatting sqref="AU399">
    <cfRule type="containsText" dxfId="2" priority="5395" operator="between" text="库存为">
      <formula>NOT(ISERROR(SEARCH("库存为",AU399)))</formula>
    </cfRule>
    <cfRule type="cellIs" dxfId="1" priority="5900" operator="greaterThan">
      <formula>120</formula>
    </cfRule>
    <cfRule type="cellIs" dxfId="0" priority="6405" operator="lessThan">
      <formula>20</formula>
    </cfRule>
  </conditionalFormatting>
  <conditionalFormatting sqref="AU400">
    <cfRule type="containsText" dxfId="2" priority="5394" operator="between" text="库存为">
      <formula>NOT(ISERROR(SEARCH("库存为",AU400)))</formula>
    </cfRule>
    <cfRule type="cellIs" dxfId="1" priority="5899" operator="greaterThan">
      <formula>120</formula>
    </cfRule>
    <cfRule type="cellIs" dxfId="0" priority="6404" operator="lessThan">
      <formula>20</formula>
    </cfRule>
  </conditionalFormatting>
  <conditionalFormatting sqref="AU401">
    <cfRule type="containsText" dxfId="2" priority="5393" operator="between" text="库存为">
      <formula>NOT(ISERROR(SEARCH("库存为",AU401)))</formula>
    </cfRule>
    <cfRule type="cellIs" dxfId="1" priority="5898" operator="greaterThan">
      <formula>120</formula>
    </cfRule>
    <cfRule type="cellIs" dxfId="0" priority="6403" operator="lessThan">
      <formula>20</formula>
    </cfRule>
  </conditionalFormatting>
  <conditionalFormatting sqref="AU402">
    <cfRule type="containsText" dxfId="2" priority="5392" operator="between" text="库存为">
      <formula>NOT(ISERROR(SEARCH("库存为",AU402)))</formula>
    </cfRule>
    <cfRule type="cellIs" dxfId="1" priority="5897" operator="greaterThan">
      <formula>120</formula>
    </cfRule>
    <cfRule type="cellIs" dxfId="0" priority="6402" operator="lessThan">
      <formula>20</formula>
    </cfRule>
  </conditionalFormatting>
  <conditionalFormatting sqref="AU403">
    <cfRule type="containsText" dxfId="2" priority="5391" operator="between" text="库存为">
      <formula>NOT(ISERROR(SEARCH("库存为",AU403)))</formula>
    </cfRule>
    <cfRule type="cellIs" dxfId="1" priority="5896" operator="greaterThan">
      <formula>120</formula>
    </cfRule>
    <cfRule type="cellIs" dxfId="0" priority="6401" operator="lessThan">
      <formula>20</formula>
    </cfRule>
  </conditionalFormatting>
  <conditionalFormatting sqref="AU404">
    <cfRule type="containsText" dxfId="2" priority="5390" operator="between" text="库存为">
      <formula>NOT(ISERROR(SEARCH("库存为",AU404)))</formula>
    </cfRule>
    <cfRule type="cellIs" dxfId="1" priority="5895" operator="greaterThan">
      <formula>120</formula>
    </cfRule>
    <cfRule type="cellIs" dxfId="0" priority="6400" operator="lessThan">
      <formula>20</formula>
    </cfRule>
  </conditionalFormatting>
  <conditionalFormatting sqref="AU405">
    <cfRule type="containsText" dxfId="2" priority="5389" operator="between" text="库存为">
      <formula>NOT(ISERROR(SEARCH("库存为",AU405)))</formula>
    </cfRule>
    <cfRule type="cellIs" dxfId="1" priority="5894" operator="greaterThan">
      <formula>120</formula>
    </cfRule>
    <cfRule type="cellIs" dxfId="0" priority="6399" operator="lessThan">
      <formula>20</formula>
    </cfRule>
  </conditionalFormatting>
  <conditionalFormatting sqref="AU406">
    <cfRule type="containsText" dxfId="2" priority="5388" operator="between" text="库存为">
      <formula>NOT(ISERROR(SEARCH("库存为",AU406)))</formula>
    </cfRule>
    <cfRule type="cellIs" dxfId="1" priority="5893" operator="greaterThan">
      <formula>120</formula>
    </cfRule>
    <cfRule type="cellIs" dxfId="0" priority="6398" operator="lessThan">
      <formula>20</formula>
    </cfRule>
  </conditionalFormatting>
  <conditionalFormatting sqref="AU407">
    <cfRule type="containsText" dxfId="2" priority="5387" operator="between" text="库存为">
      <formula>NOT(ISERROR(SEARCH("库存为",AU407)))</formula>
    </cfRule>
    <cfRule type="cellIs" dxfId="1" priority="5892" operator="greaterThan">
      <formula>120</formula>
    </cfRule>
    <cfRule type="cellIs" dxfId="0" priority="6397" operator="lessThan">
      <formula>20</formula>
    </cfRule>
  </conditionalFormatting>
  <conditionalFormatting sqref="AU408">
    <cfRule type="containsText" dxfId="2" priority="5386" operator="between" text="库存为">
      <formula>NOT(ISERROR(SEARCH("库存为",AU408)))</formula>
    </cfRule>
    <cfRule type="cellIs" dxfId="1" priority="5891" operator="greaterThan">
      <formula>120</formula>
    </cfRule>
    <cfRule type="cellIs" dxfId="0" priority="6396" operator="lessThan">
      <formula>20</formula>
    </cfRule>
  </conditionalFormatting>
  <conditionalFormatting sqref="AU409">
    <cfRule type="containsText" dxfId="2" priority="5385" operator="between" text="库存为">
      <formula>NOT(ISERROR(SEARCH("库存为",AU409)))</formula>
    </cfRule>
    <cfRule type="cellIs" dxfId="1" priority="5890" operator="greaterThan">
      <formula>120</formula>
    </cfRule>
    <cfRule type="cellIs" dxfId="0" priority="6395" operator="lessThan">
      <formula>20</formula>
    </cfRule>
  </conditionalFormatting>
  <conditionalFormatting sqref="AU410">
    <cfRule type="containsText" dxfId="2" priority="5384" operator="between" text="库存为">
      <formula>NOT(ISERROR(SEARCH("库存为",AU410)))</formula>
    </cfRule>
    <cfRule type="cellIs" dxfId="1" priority="5889" operator="greaterThan">
      <formula>120</formula>
    </cfRule>
    <cfRule type="cellIs" dxfId="0" priority="6394" operator="lessThan">
      <formula>20</formula>
    </cfRule>
  </conditionalFormatting>
  <conditionalFormatting sqref="AU411">
    <cfRule type="containsText" dxfId="2" priority="5383" operator="between" text="库存为">
      <formula>NOT(ISERROR(SEARCH("库存为",AU411)))</formula>
    </cfRule>
    <cfRule type="cellIs" dxfId="1" priority="5888" operator="greaterThan">
      <formula>120</formula>
    </cfRule>
    <cfRule type="cellIs" dxfId="0" priority="6393" operator="lessThan">
      <formula>20</formula>
    </cfRule>
  </conditionalFormatting>
  <conditionalFormatting sqref="AU412">
    <cfRule type="containsText" dxfId="2" priority="5382" operator="between" text="库存为">
      <formula>NOT(ISERROR(SEARCH("库存为",AU412)))</formula>
    </cfRule>
    <cfRule type="cellIs" dxfId="1" priority="5887" operator="greaterThan">
      <formula>120</formula>
    </cfRule>
    <cfRule type="cellIs" dxfId="0" priority="6392" operator="lessThan">
      <formula>20</formula>
    </cfRule>
  </conditionalFormatting>
  <conditionalFormatting sqref="AU413">
    <cfRule type="containsText" dxfId="2" priority="5381" operator="between" text="库存为">
      <formula>NOT(ISERROR(SEARCH("库存为",AU413)))</formula>
    </cfRule>
    <cfRule type="cellIs" dxfId="1" priority="5886" operator="greaterThan">
      <formula>120</formula>
    </cfRule>
    <cfRule type="cellIs" dxfId="0" priority="6391" operator="lessThan">
      <formula>20</formula>
    </cfRule>
  </conditionalFormatting>
  <conditionalFormatting sqref="AU414">
    <cfRule type="containsText" dxfId="2" priority="5380" operator="between" text="库存为">
      <formula>NOT(ISERROR(SEARCH("库存为",AU414)))</formula>
    </cfRule>
    <cfRule type="cellIs" dxfId="1" priority="5885" operator="greaterThan">
      <formula>120</formula>
    </cfRule>
    <cfRule type="cellIs" dxfId="0" priority="6390" operator="lessThan">
      <formula>20</formula>
    </cfRule>
  </conditionalFormatting>
  <conditionalFormatting sqref="AU415">
    <cfRule type="containsText" dxfId="2" priority="5379" operator="between" text="库存为">
      <formula>NOT(ISERROR(SEARCH("库存为",AU415)))</formula>
    </cfRule>
    <cfRule type="cellIs" dxfId="1" priority="5884" operator="greaterThan">
      <formula>120</formula>
    </cfRule>
    <cfRule type="cellIs" dxfId="0" priority="6389" operator="lessThan">
      <formula>20</formula>
    </cfRule>
  </conditionalFormatting>
  <conditionalFormatting sqref="AU416">
    <cfRule type="containsText" dxfId="2" priority="5378" operator="between" text="库存为">
      <formula>NOT(ISERROR(SEARCH("库存为",AU416)))</formula>
    </cfRule>
    <cfRule type="cellIs" dxfId="1" priority="5883" operator="greaterThan">
      <formula>120</formula>
    </cfRule>
    <cfRule type="cellIs" dxfId="0" priority="6388" operator="lessThan">
      <formula>20</formula>
    </cfRule>
  </conditionalFormatting>
  <conditionalFormatting sqref="AU417">
    <cfRule type="containsText" dxfId="2" priority="5377" operator="between" text="库存为">
      <formula>NOT(ISERROR(SEARCH("库存为",AU417)))</formula>
    </cfRule>
    <cfRule type="cellIs" dxfId="1" priority="5882" operator="greaterThan">
      <formula>120</formula>
    </cfRule>
    <cfRule type="cellIs" dxfId="0" priority="6387" operator="lessThan">
      <formula>20</formula>
    </cfRule>
  </conditionalFormatting>
  <conditionalFormatting sqref="AU418">
    <cfRule type="containsText" dxfId="2" priority="5376" operator="between" text="库存为">
      <formula>NOT(ISERROR(SEARCH("库存为",AU418)))</formula>
    </cfRule>
    <cfRule type="cellIs" dxfId="1" priority="5881" operator="greaterThan">
      <formula>120</formula>
    </cfRule>
    <cfRule type="cellIs" dxfId="0" priority="6386" operator="lessThan">
      <formula>20</formula>
    </cfRule>
  </conditionalFormatting>
  <conditionalFormatting sqref="AU419">
    <cfRule type="containsText" dxfId="2" priority="5375" operator="between" text="库存为">
      <formula>NOT(ISERROR(SEARCH("库存为",AU419)))</formula>
    </cfRule>
    <cfRule type="cellIs" dxfId="1" priority="5880" operator="greaterThan">
      <formula>120</formula>
    </cfRule>
    <cfRule type="cellIs" dxfId="0" priority="6385" operator="lessThan">
      <formula>20</formula>
    </cfRule>
  </conditionalFormatting>
  <conditionalFormatting sqref="AU420">
    <cfRule type="containsText" dxfId="2" priority="5374" operator="between" text="库存为">
      <formula>NOT(ISERROR(SEARCH("库存为",AU420)))</formula>
    </cfRule>
    <cfRule type="cellIs" dxfId="1" priority="5879" operator="greaterThan">
      <formula>120</formula>
    </cfRule>
    <cfRule type="cellIs" dxfId="0" priority="6384" operator="lessThan">
      <formula>20</formula>
    </cfRule>
  </conditionalFormatting>
  <conditionalFormatting sqref="AU421">
    <cfRule type="containsText" dxfId="2" priority="5373" operator="between" text="库存为">
      <formula>NOT(ISERROR(SEARCH("库存为",AU421)))</formula>
    </cfRule>
    <cfRule type="cellIs" dxfId="1" priority="5878" operator="greaterThan">
      <formula>120</formula>
    </cfRule>
    <cfRule type="cellIs" dxfId="0" priority="6383" operator="lessThan">
      <formula>20</formula>
    </cfRule>
  </conditionalFormatting>
  <conditionalFormatting sqref="AU422">
    <cfRule type="containsText" dxfId="2" priority="5372" operator="between" text="库存为">
      <formula>NOT(ISERROR(SEARCH("库存为",AU422)))</formula>
    </cfRule>
    <cfRule type="cellIs" dxfId="1" priority="5877" operator="greaterThan">
      <formula>120</formula>
    </cfRule>
    <cfRule type="cellIs" dxfId="0" priority="6382" operator="lessThan">
      <formula>20</formula>
    </cfRule>
  </conditionalFormatting>
  <conditionalFormatting sqref="AU423">
    <cfRule type="containsText" dxfId="2" priority="5371" operator="between" text="库存为">
      <formula>NOT(ISERROR(SEARCH("库存为",AU423)))</formula>
    </cfRule>
    <cfRule type="cellIs" dxfId="1" priority="5876" operator="greaterThan">
      <formula>120</formula>
    </cfRule>
    <cfRule type="cellIs" dxfId="0" priority="6381" operator="lessThan">
      <formula>20</formula>
    </cfRule>
  </conditionalFormatting>
  <conditionalFormatting sqref="AU424">
    <cfRule type="containsText" dxfId="2" priority="5370" operator="between" text="库存为">
      <formula>NOT(ISERROR(SEARCH("库存为",AU424)))</formula>
    </cfRule>
    <cfRule type="cellIs" dxfId="1" priority="5875" operator="greaterThan">
      <formula>120</formula>
    </cfRule>
    <cfRule type="cellIs" dxfId="0" priority="6380" operator="lessThan">
      <formula>20</formula>
    </cfRule>
  </conditionalFormatting>
  <conditionalFormatting sqref="AU425">
    <cfRule type="containsText" dxfId="2" priority="5369" operator="between" text="库存为">
      <formula>NOT(ISERROR(SEARCH("库存为",AU425)))</formula>
    </cfRule>
    <cfRule type="cellIs" dxfId="1" priority="5874" operator="greaterThan">
      <formula>120</formula>
    </cfRule>
    <cfRule type="cellIs" dxfId="0" priority="6379" operator="lessThan">
      <formula>20</formula>
    </cfRule>
  </conditionalFormatting>
  <conditionalFormatting sqref="AU426">
    <cfRule type="containsText" dxfId="2" priority="5368" operator="between" text="库存为">
      <formula>NOT(ISERROR(SEARCH("库存为",AU426)))</formula>
    </cfRule>
    <cfRule type="cellIs" dxfId="1" priority="5873" operator="greaterThan">
      <formula>120</formula>
    </cfRule>
    <cfRule type="cellIs" dxfId="0" priority="6378" operator="lessThan">
      <formula>20</formula>
    </cfRule>
  </conditionalFormatting>
  <conditionalFormatting sqref="AU427">
    <cfRule type="containsText" dxfId="2" priority="5367" operator="between" text="库存为">
      <formula>NOT(ISERROR(SEARCH("库存为",AU427)))</formula>
    </cfRule>
    <cfRule type="cellIs" dxfId="1" priority="5872" operator="greaterThan">
      <formula>120</formula>
    </cfRule>
    <cfRule type="cellIs" dxfId="0" priority="6377" operator="lessThan">
      <formula>20</formula>
    </cfRule>
  </conditionalFormatting>
  <conditionalFormatting sqref="AU428">
    <cfRule type="containsText" dxfId="2" priority="5366" operator="between" text="库存为">
      <formula>NOT(ISERROR(SEARCH("库存为",AU428)))</formula>
    </cfRule>
    <cfRule type="cellIs" dxfId="1" priority="5871" operator="greaterThan">
      <formula>120</formula>
    </cfRule>
    <cfRule type="cellIs" dxfId="0" priority="6376" operator="lessThan">
      <formula>20</formula>
    </cfRule>
  </conditionalFormatting>
  <conditionalFormatting sqref="AU429">
    <cfRule type="containsText" dxfId="2" priority="5365" operator="between" text="库存为">
      <formula>NOT(ISERROR(SEARCH("库存为",AU429)))</formula>
    </cfRule>
    <cfRule type="cellIs" dxfId="1" priority="5870" operator="greaterThan">
      <formula>120</formula>
    </cfRule>
    <cfRule type="cellIs" dxfId="0" priority="6375" operator="lessThan">
      <formula>20</formula>
    </cfRule>
  </conditionalFormatting>
  <conditionalFormatting sqref="AU430">
    <cfRule type="containsText" dxfId="2" priority="5364" operator="between" text="库存为">
      <formula>NOT(ISERROR(SEARCH("库存为",AU430)))</formula>
    </cfRule>
    <cfRule type="cellIs" dxfId="1" priority="5869" operator="greaterThan">
      <formula>120</formula>
    </cfRule>
    <cfRule type="cellIs" dxfId="0" priority="6374" operator="lessThan">
      <formula>20</formula>
    </cfRule>
  </conditionalFormatting>
  <conditionalFormatting sqref="AU431">
    <cfRule type="containsText" dxfId="2" priority="5363" operator="between" text="库存为">
      <formula>NOT(ISERROR(SEARCH("库存为",AU431)))</formula>
    </cfRule>
    <cfRule type="cellIs" dxfId="1" priority="5868" operator="greaterThan">
      <formula>120</formula>
    </cfRule>
    <cfRule type="cellIs" dxfId="0" priority="6373" operator="lessThan">
      <formula>20</formula>
    </cfRule>
  </conditionalFormatting>
  <conditionalFormatting sqref="AU432">
    <cfRule type="containsText" dxfId="2" priority="5362" operator="between" text="库存为">
      <formula>NOT(ISERROR(SEARCH("库存为",AU432)))</formula>
    </cfRule>
    <cfRule type="cellIs" dxfId="1" priority="5867" operator="greaterThan">
      <formula>120</formula>
    </cfRule>
    <cfRule type="cellIs" dxfId="0" priority="6372" operator="lessThan">
      <formula>20</formula>
    </cfRule>
  </conditionalFormatting>
  <conditionalFormatting sqref="AU433">
    <cfRule type="containsText" dxfId="2" priority="5361" operator="between" text="库存为">
      <formula>NOT(ISERROR(SEARCH("库存为",AU433)))</formula>
    </cfRule>
    <cfRule type="cellIs" dxfId="1" priority="5866" operator="greaterThan">
      <formula>120</formula>
    </cfRule>
    <cfRule type="cellIs" dxfId="0" priority="6371" operator="lessThan">
      <formula>20</formula>
    </cfRule>
  </conditionalFormatting>
  <conditionalFormatting sqref="AU434">
    <cfRule type="containsText" dxfId="2" priority="5360" operator="between" text="库存为">
      <formula>NOT(ISERROR(SEARCH("库存为",AU434)))</formula>
    </cfRule>
    <cfRule type="cellIs" dxfId="1" priority="5865" operator="greaterThan">
      <formula>120</formula>
    </cfRule>
    <cfRule type="cellIs" dxfId="0" priority="6370" operator="lessThan">
      <formula>20</formula>
    </cfRule>
  </conditionalFormatting>
  <conditionalFormatting sqref="AU435">
    <cfRule type="containsText" dxfId="2" priority="5359" operator="between" text="库存为">
      <formula>NOT(ISERROR(SEARCH("库存为",AU435)))</formula>
    </cfRule>
    <cfRule type="cellIs" dxfId="1" priority="5864" operator="greaterThan">
      <formula>120</formula>
    </cfRule>
    <cfRule type="cellIs" dxfId="0" priority="6369" operator="lessThan">
      <formula>20</formula>
    </cfRule>
  </conditionalFormatting>
  <conditionalFormatting sqref="AU436">
    <cfRule type="containsText" dxfId="2" priority="5358" operator="between" text="库存为">
      <formula>NOT(ISERROR(SEARCH("库存为",AU436)))</formula>
    </cfRule>
    <cfRule type="cellIs" dxfId="1" priority="5863" operator="greaterThan">
      <formula>120</formula>
    </cfRule>
    <cfRule type="cellIs" dxfId="0" priority="6368" operator="lessThan">
      <formula>20</formula>
    </cfRule>
  </conditionalFormatting>
  <conditionalFormatting sqref="AU437">
    <cfRule type="containsText" dxfId="2" priority="5357" operator="between" text="库存为">
      <formula>NOT(ISERROR(SEARCH("库存为",AU437)))</formula>
    </cfRule>
    <cfRule type="cellIs" dxfId="1" priority="5862" operator="greaterThan">
      <formula>120</formula>
    </cfRule>
    <cfRule type="cellIs" dxfId="0" priority="6367" operator="lessThan">
      <formula>20</formula>
    </cfRule>
  </conditionalFormatting>
  <conditionalFormatting sqref="AU438">
    <cfRule type="containsText" dxfId="2" priority="5356" operator="between" text="库存为">
      <formula>NOT(ISERROR(SEARCH("库存为",AU438)))</formula>
    </cfRule>
    <cfRule type="cellIs" dxfId="1" priority="5861" operator="greaterThan">
      <formula>120</formula>
    </cfRule>
    <cfRule type="cellIs" dxfId="0" priority="6366" operator="lessThan">
      <formula>20</formula>
    </cfRule>
  </conditionalFormatting>
  <conditionalFormatting sqref="AU439">
    <cfRule type="containsText" dxfId="2" priority="5355" operator="between" text="库存为">
      <formula>NOT(ISERROR(SEARCH("库存为",AU439)))</formula>
    </cfRule>
    <cfRule type="cellIs" dxfId="1" priority="5860" operator="greaterThan">
      <formula>120</formula>
    </cfRule>
    <cfRule type="cellIs" dxfId="0" priority="6365" operator="lessThan">
      <formula>20</formula>
    </cfRule>
  </conditionalFormatting>
  <conditionalFormatting sqref="AU440">
    <cfRule type="containsText" dxfId="2" priority="5354" operator="between" text="库存为">
      <formula>NOT(ISERROR(SEARCH("库存为",AU440)))</formula>
    </cfRule>
    <cfRule type="cellIs" dxfId="1" priority="5859" operator="greaterThan">
      <formula>120</formula>
    </cfRule>
    <cfRule type="cellIs" dxfId="0" priority="6364" operator="lessThan">
      <formula>20</formula>
    </cfRule>
  </conditionalFormatting>
  <conditionalFormatting sqref="AU441">
    <cfRule type="containsText" dxfId="2" priority="5353" operator="between" text="库存为">
      <formula>NOT(ISERROR(SEARCH("库存为",AU441)))</formula>
    </cfRule>
    <cfRule type="cellIs" dxfId="1" priority="5858" operator="greaterThan">
      <formula>120</formula>
    </cfRule>
    <cfRule type="cellIs" dxfId="0" priority="6363" operator="lessThan">
      <formula>20</formula>
    </cfRule>
  </conditionalFormatting>
  <conditionalFormatting sqref="AU442">
    <cfRule type="containsText" dxfId="2" priority="5352" operator="between" text="库存为">
      <formula>NOT(ISERROR(SEARCH("库存为",AU442)))</formula>
    </cfRule>
    <cfRule type="cellIs" dxfId="1" priority="5857" operator="greaterThan">
      <formula>120</formula>
    </cfRule>
    <cfRule type="cellIs" dxfId="0" priority="6362" operator="lessThan">
      <formula>20</formula>
    </cfRule>
  </conditionalFormatting>
  <conditionalFormatting sqref="AU443">
    <cfRule type="containsText" dxfId="2" priority="5351" operator="between" text="库存为">
      <formula>NOT(ISERROR(SEARCH("库存为",AU443)))</formula>
    </cfRule>
    <cfRule type="cellIs" dxfId="1" priority="5856" operator="greaterThan">
      <formula>120</formula>
    </cfRule>
    <cfRule type="cellIs" dxfId="0" priority="6361" operator="lessThan">
      <formula>20</formula>
    </cfRule>
  </conditionalFormatting>
  <conditionalFormatting sqref="AU444">
    <cfRule type="containsText" dxfId="2" priority="5350" operator="between" text="库存为">
      <formula>NOT(ISERROR(SEARCH("库存为",AU444)))</formula>
    </cfRule>
    <cfRule type="cellIs" dxfId="1" priority="5855" operator="greaterThan">
      <formula>120</formula>
    </cfRule>
    <cfRule type="cellIs" dxfId="0" priority="6360" operator="lessThan">
      <formula>20</formula>
    </cfRule>
  </conditionalFormatting>
  <conditionalFormatting sqref="AU445">
    <cfRule type="containsText" dxfId="2" priority="5349" operator="between" text="库存为">
      <formula>NOT(ISERROR(SEARCH("库存为",AU445)))</formula>
    </cfRule>
    <cfRule type="cellIs" dxfId="1" priority="5854" operator="greaterThan">
      <formula>120</formula>
    </cfRule>
    <cfRule type="cellIs" dxfId="0" priority="6359" operator="lessThan">
      <formula>20</formula>
    </cfRule>
  </conditionalFormatting>
  <conditionalFormatting sqref="AU446">
    <cfRule type="containsText" dxfId="2" priority="5348" operator="between" text="库存为">
      <formula>NOT(ISERROR(SEARCH("库存为",AU446)))</formula>
    </cfRule>
    <cfRule type="cellIs" dxfId="1" priority="5853" operator="greaterThan">
      <formula>120</formula>
    </cfRule>
    <cfRule type="cellIs" dxfId="0" priority="6358" operator="lessThan">
      <formula>20</formula>
    </cfRule>
  </conditionalFormatting>
  <conditionalFormatting sqref="AU447">
    <cfRule type="containsText" dxfId="2" priority="5347" operator="between" text="库存为">
      <formula>NOT(ISERROR(SEARCH("库存为",AU447)))</formula>
    </cfRule>
    <cfRule type="cellIs" dxfId="1" priority="5852" operator="greaterThan">
      <formula>120</formula>
    </cfRule>
    <cfRule type="cellIs" dxfId="0" priority="6357" operator="lessThan">
      <formula>20</formula>
    </cfRule>
  </conditionalFormatting>
  <conditionalFormatting sqref="AU448">
    <cfRule type="containsText" dxfId="2" priority="5346" operator="between" text="库存为">
      <formula>NOT(ISERROR(SEARCH("库存为",AU448)))</formula>
    </cfRule>
    <cfRule type="cellIs" dxfId="1" priority="5851" operator="greaterThan">
      <formula>120</formula>
    </cfRule>
    <cfRule type="cellIs" dxfId="0" priority="6356" operator="lessThan">
      <formula>20</formula>
    </cfRule>
  </conditionalFormatting>
  <conditionalFormatting sqref="AU449">
    <cfRule type="containsText" dxfId="2" priority="5345" operator="between" text="库存为">
      <formula>NOT(ISERROR(SEARCH("库存为",AU449)))</formula>
    </cfRule>
    <cfRule type="cellIs" dxfId="1" priority="5850" operator="greaterThan">
      <formula>120</formula>
    </cfRule>
    <cfRule type="cellIs" dxfId="0" priority="6355" operator="lessThan">
      <formula>20</formula>
    </cfRule>
  </conditionalFormatting>
  <conditionalFormatting sqref="AU450">
    <cfRule type="containsText" dxfId="2" priority="5344" operator="between" text="库存为">
      <formula>NOT(ISERROR(SEARCH("库存为",AU450)))</formula>
    </cfRule>
    <cfRule type="cellIs" dxfId="1" priority="5849" operator="greaterThan">
      <formula>120</formula>
    </cfRule>
    <cfRule type="cellIs" dxfId="0" priority="6354" operator="lessThan">
      <formula>20</formula>
    </cfRule>
  </conditionalFormatting>
  <conditionalFormatting sqref="AU451">
    <cfRule type="containsText" dxfId="2" priority="5343" operator="between" text="库存为">
      <formula>NOT(ISERROR(SEARCH("库存为",AU451)))</formula>
    </cfRule>
    <cfRule type="cellIs" dxfId="1" priority="5848" operator="greaterThan">
      <formula>120</formula>
    </cfRule>
    <cfRule type="cellIs" dxfId="0" priority="6353" operator="lessThan">
      <formula>20</formula>
    </cfRule>
  </conditionalFormatting>
  <conditionalFormatting sqref="AU452">
    <cfRule type="containsText" dxfId="2" priority="5342" operator="between" text="库存为">
      <formula>NOT(ISERROR(SEARCH("库存为",AU452)))</formula>
    </cfRule>
    <cfRule type="cellIs" dxfId="1" priority="5847" operator="greaterThan">
      <formula>120</formula>
    </cfRule>
    <cfRule type="cellIs" dxfId="0" priority="6352" operator="lessThan">
      <formula>20</formula>
    </cfRule>
  </conditionalFormatting>
  <conditionalFormatting sqref="AU453">
    <cfRule type="containsText" dxfId="2" priority="5341" operator="between" text="库存为">
      <formula>NOT(ISERROR(SEARCH("库存为",AU453)))</formula>
    </cfRule>
    <cfRule type="cellIs" dxfId="1" priority="5846" operator="greaterThan">
      <formula>120</formula>
    </cfRule>
    <cfRule type="cellIs" dxfId="0" priority="6351" operator="lessThan">
      <formula>20</formula>
    </cfRule>
  </conditionalFormatting>
  <conditionalFormatting sqref="AU454">
    <cfRule type="containsText" dxfId="2" priority="5340" operator="between" text="库存为">
      <formula>NOT(ISERROR(SEARCH("库存为",AU454)))</formula>
    </cfRule>
    <cfRule type="cellIs" dxfId="1" priority="5845" operator="greaterThan">
      <formula>120</formula>
    </cfRule>
    <cfRule type="cellIs" dxfId="0" priority="6350" operator="lessThan">
      <formula>20</formula>
    </cfRule>
  </conditionalFormatting>
  <conditionalFormatting sqref="AU455">
    <cfRule type="containsText" dxfId="2" priority="5339" operator="between" text="库存为">
      <formula>NOT(ISERROR(SEARCH("库存为",AU455)))</formula>
    </cfRule>
    <cfRule type="cellIs" dxfId="1" priority="5844" operator="greaterThan">
      <formula>120</formula>
    </cfRule>
    <cfRule type="cellIs" dxfId="0" priority="6349" operator="lessThan">
      <formula>20</formula>
    </cfRule>
  </conditionalFormatting>
  <conditionalFormatting sqref="AU456">
    <cfRule type="containsText" dxfId="2" priority="5338" operator="between" text="库存为">
      <formula>NOT(ISERROR(SEARCH("库存为",AU456)))</formula>
    </cfRule>
    <cfRule type="cellIs" dxfId="1" priority="5843" operator="greaterThan">
      <formula>120</formula>
    </cfRule>
    <cfRule type="cellIs" dxfId="0" priority="6348" operator="lessThan">
      <formula>20</formula>
    </cfRule>
  </conditionalFormatting>
  <conditionalFormatting sqref="AU457">
    <cfRule type="containsText" dxfId="2" priority="5337" operator="between" text="库存为">
      <formula>NOT(ISERROR(SEARCH("库存为",AU457)))</formula>
    </cfRule>
    <cfRule type="cellIs" dxfId="1" priority="5842" operator="greaterThan">
      <formula>120</formula>
    </cfRule>
    <cfRule type="cellIs" dxfId="0" priority="6347" operator="lessThan">
      <formula>20</formula>
    </cfRule>
  </conditionalFormatting>
  <conditionalFormatting sqref="AU458">
    <cfRule type="containsText" dxfId="2" priority="5336" operator="between" text="库存为">
      <formula>NOT(ISERROR(SEARCH("库存为",AU458)))</formula>
    </cfRule>
    <cfRule type="cellIs" dxfId="1" priority="5841" operator="greaterThan">
      <formula>120</formula>
    </cfRule>
    <cfRule type="cellIs" dxfId="0" priority="6346" operator="lessThan">
      <formula>20</formula>
    </cfRule>
  </conditionalFormatting>
  <conditionalFormatting sqref="AU459">
    <cfRule type="containsText" dxfId="2" priority="5335" operator="between" text="库存为">
      <formula>NOT(ISERROR(SEARCH("库存为",AU459)))</formula>
    </cfRule>
    <cfRule type="cellIs" dxfId="1" priority="5840" operator="greaterThan">
      <formula>120</formula>
    </cfRule>
    <cfRule type="cellIs" dxfId="0" priority="6345" operator="lessThan">
      <formula>20</formula>
    </cfRule>
  </conditionalFormatting>
  <conditionalFormatting sqref="AU460">
    <cfRule type="containsText" dxfId="2" priority="5334" operator="between" text="库存为">
      <formula>NOT(ISERROR(SEARCH("库存为",AU460)))</formula>
    </cfRule>
    <cfRule type="cellIs" dxfId="1" priority="5839" operator="greaterThan">
      <formula>120</formula>
    </cfRule>
    <cfRule type="cellIs" dxfId="0" priority="6344" operator="lessThan">
      <formula>20</formula>
    </cfRule>
  </conditionalFormatting>
  <conditionalFormatting sqref="AU461">
    <cfRule type="containsText" dxfId="2" priority="5333" operator="between" text="库存为">
      <formula>NOT(ISERROR(SEARCH("库存为",AU461)))</formula>
    </cfRule>
    <cfRule type="cellIs" dxfId="1" priority="5838" operator="greaterThan">
      <formula>120</formula>
    </cfRule>
    <cfRule type="cellIs" dxfId="0" priority="6343" operator="lessThan">
      <formula>20</formula>
    </cfRule>
  </conditionalFormatting>
  <conditionalFormatting sqref="AU462">
    <cfRule type="containsText" dxfId="2" priority="5332" operator="between" text="库存为">
      <formula>NOT(ISERROR(SEARCH("库存为",AU462)))</formula>
    </cfRule>
    <cfRule type="cellIs" dxfId="1" priority="5837" operator="greaterThan">
      <formula>120</formula>
    </cfRule>
    <cfRule type="cellIs" dxfId="0" priority="6342" operator="lessThan">
      <formula>20</formula>
    </cfRule>
  </conditionalFormatting>
  <conditionalFormatting sqref="AU463">
    <cfRule type="containsText" dxfId="2" priority="5331" operator="between" text="库存为">
      <formula>NOT(ISERROR(SEARCH("库存为",AU463)))</formula>
    </cfRule>
    <cfRule type="cellIs" dxfId="1" priority="5836" operator="greaterThan">
      <formula>120</formula>
    </cfRule>
    <cfRule type="cellIs" dxfId="0" priority="6341" operator="lessThan">
      <formula>20</formula>
    </cfRule>
  </conditionalFormatting>
  <conditionalFormatting sqref="AU464">
    <cfRule type="containsText" dxfId="2" priority="5330" operator="between" text="库存为">
      <formula>NOT(ISERROR(SEARCH("库存为",AU464)))</formula>
    </cfRule>
    <cfRule type="cellIs" dxfId="1" priority="5835" operator="greaterThan">
      <formula>120</formula>
    </cfRule>
    <cfRule type="cellIs" dxfId="0" priority="6340" operator="lessThan">
      <formula>20</formula>
    </cfRule>
  </conditionalFormatting>
  <conditionalFormatting sqref="AU465">
    <cfRule type="containsText" dxfId="2" priority="5329" operator="between" text="库存为">
      <formula>NOT(ISERROR(SEARCH("库存为",AU465)))</formula>
    </cfRule>
    <cfRule type="cellIs" dxfId="1" priority="5834" operator="greaterThan">
      <formula>120</formula>
    </cfRule>
    <cfRule type="cellIs" dxfId="0" priority="6339" operator="lessThan">
      <formula>20</formula>
    </cfRule>
  </conditionalFormatting>
  <conditionalFormatting sqref="AU466">
    <cfRule type="containsText" dxfId="2" priority="5328" operator="between" text="库存为">
      <formula>NOT(ISERROR(SEARCH("库存为",AU466)))</formula>
    </cfRule>
    <cfRule type="cellIs" dxfId="1" priority="5833" operator="greaterThan">
      <formula>120</formula>
    </cfRule>
    <cfRule type="cellIs" dxfId="0" priority="6338" operator="lessThan">
      <formula>20</formula>
    </cfRule>
  </conditionalFormatting>
  <conditionalFormatting sqref="AU467">
    <cfRule type="containsText" dxfId="2" priority="5327" operator="between" text="库存为">
      <formula>NOT(ISERROR(SEARCH("库存为",AU467)))</formula>
    </cfRule>
    <cfRule type="cellIs" dxfId="1" priority="5832" operator="greaterThan">
      <formula>120</formula>
    </cfRule>
    <cfRule type="cellIs" dxfId="0" priority="6337" operator="lessThan">
      <formula>20</formula>
    </cfRule>
  </conditionalFormatting>
  <conditionalFormatting sqref="AU468">
    <cfRule type="containsText" dxfId="2" priority="5326" operator="between" text="库存为">
      <formula>NOT(ISERROR(SEARCH("库存为",AU468)))</formula>
    </cfRule>
    <cfRule type="cellIs" dxfId="1" priority="5831" operator="greaterThan">
      <formula>120</formula>
    </cfRule>
    <cfRule type="cellIs" dxfId="0" priority="6336" operator="lessThan">
      <formula>20</formula>
    </cfRule>
  </conditionalFormatting>
  <conditionalFormatting sqref="AU469">
    <cfRule type="containsText" dxfId="2" priority="5325" operator="between" text="库存为">
      <formula>NOT(ISERROR(SEARCH("库存为",AU469)))</formula>
    </cfRule>
    <cfRule type="cellIs" dxfId="1" priority="5830" operator="greaterThan">
      <formula>120</formula>
    </cfRule>
    <cfRule type="cellIs" dxfId="0" priority="6335" operator="lessThan">
      <formula>20</formula>
    </cfRule>
  </conditionalFormatting>
  <conditionalFormatting sqref="AU470">
    <cfRule type="containsText" dxfId="2" priority="5324" operator="between" text="库存为">
      <formula>NOT(ISERROR(SEARCH("库存为",AU470)))</formula>
    </cfRule>
    <cfRule type="cellIs" dxfId="1" priority="5829" operator="greaterThan">
      <formula>120</formula>
    </cfRule>
    <cfRule type="cellIs" dxfId="0" priority="6334" operator="lessThan">
      <formula>20</formula>
    </cfRule>
  </conditionalFormatting>
  <conditionalFormatting sqref="AU471">
    <cfRule type="containsText" dxfId="2" priority="5323" operator="between" text="库存为">
      <formula>NOT(ISERROR(SEARCH("库存为",AU471)))</formula>
    </cfRule>
    <cfRule type="cellIs" dxfId="1" priority="5828" operator="greaterThan">
      <formula>120</formula>
    </cfRule>
    <cfRule type="cellIs" dxfId="0" priority="6333" operator="lessThan">
      <formula>20</formula>
    </cfRule>
  </conditionalFormatting>
  <conditionalFormatting sqref="AU472">
    <cfRule type="containsText" dxfId="2" priority="5322" operator="between" text="库存为">
      <formula>NOT(ISERROR(SEARCH("库存为",AU472)))</formula>
    </cfRule>
    <cfRule type="cellIs" dxfId="1" priority="5827" operator="greaterThan">
      <formula>120</formula>
    </cfRule>
    <cfRule type="cellIs" dxfId="0" priority="6332" operator="lessThan">
      <formula>20</formula>
    </cfRule>
  </conditionalFormatting>
  <conditionalFormatting sqref="AU473">
    <cfRule type="containsText" dxfId="2" priority="5321" operator="between" text="库存为">
      <formula>NOT(ISERROR(SEARCH("库存为",AU473)))</formula>
    </cfRule>
    <cfRule type="cellIs" dxfId="1" priority="5826" operator="greaterThan">
      <formula>120</formula>
    </cfRule>
    <cfRule type="cellIs" dxfId="0" priority="6331" operator="lessThan">
      <formula>20</formula>
    </cfRule>
  </conditionalFormatting>
  <conditionalFormatting sqref="AU474">
    <cfRule type="containsText" dxfId="2" priority="5320" operator="between" text="库存为">
      <formula>NOT(ISERROR(SEARCH("库存为",AU474)))</formula>
    </cfRule>
    <cfRule type="cellIs" dxfId="1" priority="5825" operator="greaterThan">
      <formula>120</formula>
    </cfRule>
    <cfRule type="cellIs" dxfId="0" priority="6330" operator="lessThan">
      <formula>20</formula>
    </cfRule>
  </conditionalFormatting>
  <conditionalFormatting sqref="AU475">
    <cfRule type="containsText" dxfId="2" priority="5319" operator="between" text="库存为">
      <formula>NOT(ISERROR(SEARCH("库存为",AU475)))</formula>
    </cfRule>
    <cfRule type="cellIs" dxfId="1" priority="5824" operator="greaterThan">
      <formula>120</formula>
    </cfRule>
    <cfRule type="cellIs" dxfId="0" priority="6329" operator="lessThan">
      <formula>20</formula>
    </cfRule>
  </conditionalFormatting>
  <conditionalFormatting sqref="AU476">
    <cfRule type="containsText" dxfId="2" priority="5318" operator="between" text="库存为">
      <formula>NOT(ISERROR(SEARCH("库存为",AU476)))</formula>
    </cfRule>
    <cfRule type="cellIs" dxfId="1" priority="5823" operator="greaterThan">
      <formula>120</formula>
    </cfRule>
    <cfRule type="cellIs" dxfId="0" priority="6328" operator="lessThan">
      <formula>20</formula>
    </cfRule>
  </conditionalFormatting>
  <conditionalFormatting sqref="AU477">
    <cfRule type="containsText" dxfId="2" priority="5317" operator="between" text="库存为">
      <formula>NOT(ISERROR(SEARCH("库存为",AU477)))</formula>
    </cfRule>
    <cfRule type="cellIs" dxfId="1" priority="5822" operator="greaterThan">
      <formula>120</formula>
    </cfRule>
    <cfRule type="cellIs" dxfId="0" priority="6327" operator="lessThan">
      <formula>20</formula>
    </cfRule>
  </conditionalFormatting>
  <conditionalFormatting sqref="AU478">
    <cfRule type="containsText" dxfId="2" priority="5316" operator="between" text="库存为">
      <formula>NOT(ISERROR(SEARCH("库存为",AU478)))</formula>
    </cfRule>
    <cfRule type="cellIs" dxfId="1" priority="5821" operator="greaterThan">
      <formula>120</formula>
    </cfRule>
    <cfRule type="cellIs" dxfId="0" priority="6326" operator="lessThan">
      <formula>20</formula>
    </cfRule>
  </conditionalFormatting>
  <conditionalFormatting sqref="AU479">
    <cfRule type="containsText" dxfId="2" priority="5315" operator="between" text="库存为">
      <formula>NOT(ISERROR(SEARCH("库存为",AU479)))</formula>
    </cfRule>
    <cfRule type="cellIs" dxfId="1" priority="5820" operator="greaterThan">
      <formula>120</formula>
    </cfRule>
    <cfRule type="cellIs" dxfId="0" priority="6325" operator="lessThan">
      <formula>20</formula>
    </cfRule>
  </conditionalFormatting>
  <conditionalFormatting sqref="AU480">
    <cfRule type="containsText" dxfId="2" priority="5314" operator="between" text="库存为">
      <formula>NOT(ISERROR(SEARCH("库存为",AU480)))</formula>
    </cfRule>
    <cfRule type="cellIs" dxfId="1" priority="5819" operator="greaterThan">
      <formula>120</formula>
    </cfRule>
    <cfRule type="cellIs" dxfId="0" priority="6324" operator="lessThan">
      <formula>20</formula>
    </cfRule>
  </conditionalFormatting>
  <conditionalFormatting sqref="AU481">
    <cfRule type="containsText" dxfId="2" priority="5313" operator="between" text="库存为">
      <formula>NOT(ISERROR(SEARCH("库存为",AU481)))</formula>
    </cfRule>
    <cfRule type="cellIs" dxfId="1" priority="5818" operator="greaterThan">
      <formula>120</formula>
    </cfRule>
    <cfRule type="cellIs" dxfId="0" priority="6323" operator="lessThan">
      <formula>20</formula>
    </cfRule>
  </conditionalFormatting>
  <conditionalFormatting sqref="AU482">
    <cfRule type="containsText" dxfId="2" priority="5312" operator="between" text="库存为">
      <formula>NOT(ISERROR(SEARCH("库存为",AU482)))</formula>
    </cfRule>
    <cfRule type="cellIs" dxfId="1" priority="5817" operator="greaterThan">
      <formula>120</formula>
    </cfRule>
    <cfRule type="cellIs" dxfId="0" priority="6322" operator="lessThan">
      <formula>20</formula>
    </cfRule>
  </conditionalFormatting>
  <conditionalFormatting sqref="AU483">
    <cfRule type="containsText" dxfId="2" priority="5311" operator="between" text="库存为">
      <formula>NOT(ISERROR(SEARCH("库存为",AU483)))</formula>
    </cfRule>
    <cfRule type="cellIs" dxfId="1" priority="5816" operator="greaterThan">
      <formula>120</formula>
    </cfRule>
    <cfRule type="cellIs" dxfId="0" priority="6321" operator="lessThan">
      <formula>20</formula>
    </cfRule>
  </conditionalFormatting>
  <conditionalFormatting sqref="AU484">
    <cfRule type="containsText" dxfId="2" priority="5310" operator="between" text="库存为">
      <formula>NOT(ISERROR(SEARCH("库存为",AU484)))</formula>
    </cfRule>
    <cfRule type="cellIs" dxfId="1" priority="5815" operator="greaterThan">
      <formula>120</formula>
    </cfRule>
    <cfRule type="cellIs" dxfId="0" priority="6320" operator="lessThan">
      <formula>20</formula>
    </cfRule>
  </conditionalFormatting>
  <conditionalFormatting sqref="AU485">
    <cfRule type="containsText" dxfId="2" priority="5309" operator="between" text="库存为">
      <formula>NOT(ISERROR(SEARCH("库存为",AU485)))</formula>
    </cfRule>
    <cfRule type="cellIs" dxfId="1" priority="5814" operator="greaterThan">
      <formula>120</formula>
    </cfRule>
    <cfRule type="cellIs" dxfId="0" priority="6319" operator="lessThan">
      <formula>20</formula>
    </cfRule>
  </conditionalFormatting>
  <conditionalFormatting sqref="AU486">
    <cfRule type="containsText" dxfId="2" priority="5308" operator="between" text="库存为">
      <formula>NOT(ISERROR(SEARCH("库存为",AU486)))</formula>
    </cfRule>
    <cfRule type="cellIs" dxfId="1" priority="5813" operator="greaterThan">
      <formula>120</formula>
    </cfRule>
    <cfRule type="cellIs" dxfId="0" priority="6318" operator="lessThan">
      <formula>20</formula>
    </cfRule>
  </conditionalFormatting>
  <conditionalFormatting sqref="AU487">
    <cfRule type="containsText" dxfId="2" priority="5307" operator="between" text="库存为">
      <formula>NOT(ISERROR(SEARCH("库存为",AU487)))</formula>
    </cfRule>
    <cfRule type="cellIs" dxfId="1" priority="5812" operator="greaterThan">
      <formula>120</formula>
    </cfRule>
    <cfRule type="cellIs" dxfId="0" priority="6317" operator="lessThan">
      <formula>20</formula>
    </cfRule>
  </conditionalFormatting>
  <conditionalFormatting sqref="AU488">
    <cfRule type="containsText" dxfId="2" priority="5306" operator="between" text="库存为">
      <formula>NOT(ISERROR(SEARCH("库存为",AU488)))</formula>
    </cfRule>
    <cfRule type="cellIs" dxfId="1" priority="5811" operator="greaterThan">
      <formula>120</formula>
    </cfRule>
    <cfRule type="cellIs" dxfId="0" priority="6316" operator="lessThan">
      <formula>20</formula>
    </cfRule>
  </conditionalFormatting>
  <conditionalFormatting sqref="AU489">
    <cfRule type="containsText" dxfId="2" priority="5305" operator="between" text="库存为">
      <formula>NOT(ISERROR(SEARCH("库存为",AU489)))</formula>
    </cfRule>
    <cfRule type="cellIs" dxfId="1" priority="5810" operator="greaterThan">
      <formula>120</formula>
    </cfRule>
    <cfRule type="cellIs" dxfId="0" priority="6315" operator="lessThan">
      <formula>20</formula>
    </cfRule>
  </conditionalFormatting>
  <conditionalFormatting sqref="AU490">
    <cfRule type="containsText" dxfId="2" priority="5304" operator="between" text="库存为">
      <formula>NOT(ISERROR(SEARCH("库存为",AU490)))</formula>
    </cfRule>
    <cfRule type="cellIs" dxfId="1" priority="5809" operator="greaterThan">
      <formula>120</formula>
    </cfRule>
    <cfRule type="cellIs" dxfId="0" priority="6314" operator="lessThan">
      <formula>20</formula>
    </cfRule>
  </conditionalFormatting>
  <conditionalFormatting sqref="AU491">
    <cfRule type="containsText" dxfId="2" priority="5303" operator="between" text="库存为">
      <formula>NOT(ISERROR(SEARCH("库存为",AU491)))</formula>
    </cfRule>
    <cfRule type="cellIs" dxfId="1" priority="5808" operator="greaterThan">
      <formula>120</formula>
    </cfRule>
    <cfRule type="cellIs" dxfId="0" priority="6313" operator="lessThan">
      <formula>20</formula>
    </cfRule>
  </conditionalFormatting>
  <conditionalFormatting sqref="AU492">
    <cfRule type="containsText" dxfId="2" priority="5302" operator="between" text="库存为">
      <formula>NOT(ISERROR(SEARCH("库存为",AU492)))</formula>
    </cfRule>
    <cfRule type="cellIs" dxfId="1" priority="5807" operator="greaterThan">
      <formula>120</formula>
    </cfRule>
    <cfRule type="cellIs" dxfId="0" priority="6312" operator="lessThan">
      <formula>20</formula>
    </cfRule>
  </conditionalFormatting>
  <conditionalFormatting sqref="AU493">
    <cfRule type="containsText" dxfId="2" priority="5301" operator="between" text="库存为">
      <formula>NOT(ISERROR(SEARCH("库存为",AU493)))</formula>
    </cfRule>
    <cfRule type="cellIs" dxfId="1" priority="5806" operator="greaterThan">
      <formula>120</formula>
    </cfRule>
    <cfRule type="cellIs" dxfId="0" priority="6311" operator="lessThan">
      <formula>20</formula>
    </cfRule>
  </conditionalFormatting>
  <conditionalFormatting sqref="AU494">
    <cfRule type="containsText" dxfId="2" priority="5300" operator="between" text="库存为">
      <formula>NOT(ISERROR(SEARCH("库存为",AU494)))</formula>
    </cfRule>
    <cfRule type="cellIs" dxfId="1" priority="5805" operator="greaterThan">
      <formula>120</formula>
    </cfRule>
    <cfRule type="cellIs" dxfId="0" priority="6310" operator="lessThan">
      <formula>20</formula>
    </cfRule>
  </conditionalFormatting>
  <conditionalFormatting sqref="AU495">
    <cfRule type="containsText" dxfId="2" priority="5299" operator="between" text="库存为">
      <formula>NOT(ISERROR(SEARCH("库存为",AU495)))</formula>
    </cfRule>
    <cfRule type="cellIs" dxfId="1" priority="5804" operator="greaterThan">
      <formula>120</formula>
    </cfRule>
    <cfRule type="cellIs" dxfId="0" priority="6309" operator="lessThan">
      <formula>20</formula>
    </cfRule>
  </conditionalFormatting>
  <conditionalFormatting sqref="AU496">
    <cfRule type="containsText" dxfId="2" priority="5298" operator="between" text="库存为">
      <formula>NOT(ISERROR(SEARCH("库存为",AU496)))</formula>
    </cfRule>
    <cfRule type="cellIs" dxfId="1" priority="5803" operator="greaterThan">
      <formula>120</formula>
    </cfRule>
    <cfRule type="cellIs" dxfId="0" priority="6308" operator="lessThan">
      <formula>20</formula>
    </cfRule>
  </conditionalFormatting>
  <conditionalFormatting sqref="AU497">
    <cfRule type="containsText" dxfId="2" priority="5297" operator="between" text="库存为">
      <formula>NOT(ISERROR(SEARCH("库存为",AU497)))</formula>
    </cfRule>
    <cfRule type="cellIs" dxfId="1" priority="5802" operator="greaterThan">
      <formula>120</formula>
    </cfRule>
    <cfRule type="cellIs" dxfId="0" priority="6307" operator="lessThan">
      <formula>20</formula>
    </cfRule>
  </conditionalFormatting>
  <conditionalFormatting sqref="AU498">
    <cfRule type="containsText" dxfId="2" priority="5296" operator="between" text="库存为">
      <formula>NOT(ISERROR(SEARCH("库存为",AU498)))</formula>
    </cfRule>
    <cfRule type="cellIs" dxfId="1" priority="5801" operator="greaterThan">
      <formula>120</formula>
    </cfRule>
    <cfRule type="cellIs" dxfId="0" priority="6306" operator="lessThan">
      <formula>20</formula>
    </cfRule>
  </conditionalFormatting>
  <conditionalFormatting sqref="AU499">
    <cfRule type="containsText" dxfId="2" priority="5295" operator="between" text="库存为">
      <formula>NOT(ISERROR(SEARCH("库存为",AU499)))</formula>
    </cfRule>
    <cfRule type="cellIs" dxfId="1" priority="5800" operator="greaterThan">
      <formula>120</formula>
    </cfRule>
    <cfRule type="cellIs" dxfId="0" priority="6305" operator="lessThan">
      <formula>20</formula>
    </cfRule>
  </conditionalFormatting>
  <conditionalFormatting sqref="AU500">
    <cfRule type="containsText" dxfId="2" priority="5294" operator="between" text="库存为">
      <formula>NOT(ISERROR(SEARCH("库存为",AU500)))</formula>
    </cfRule>
    <cfRule type="cellIs" dxfId="1" priority="5799" operator="greaterThan">
      <formula>120</formula>
    </cfRule>
    <cfRule type="cellIs" dxfId="0" priority="6304" operator="lessThan">
      <formula>20</formula>
    </cfRule>
  </conditionalFormatting>
  <conditionalFormatting sqref="AU501">
    <cfRule type="containsText" dxfId="2" priority="5293" operator="between" text="库存为">
      <formula>NOT(ISERROR(SEARCH("库存为",AU501)))</formula>
    </cfRule>
    <cfRule type="cellIs" dxfId="1" priority="5798" operator="greaterThan">
      <formula>120</formula>
    </cfRule>
    <cfRule type="cellIs" dxfId="0" priority="6303" operator="lessThan">
      <formula>20</formula>
    </cfRule>
  </conditionalFormatting>
  <conditionalFormatting sqref="AU502:AU1293">
    <cfRule type="containsText" dxfId="2" priority="6821" operator="between" text="库存为">
      <formula>NOT(ISERROR(SEARCH("库存为",AU502)))</formula>
    </cfRule>
    <cfRule type="cellIs" dxfId="1" priority="6822" operator="greaterThan">
      <formula>120</formula>
    </cfRule>
    <cfRule type="cellIs" dxfId="0" priority="6823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905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157"/>
    </sheetView>
  </sheetViews>
  <sheetFormatPr defaultColWidth="9" defaultRowHeight="14.25"/>
  <cols>
    <col min="1" max="1" width="24" style="5" customWidth="1"/>
    <col min="2" max="5" width="5.625" style="5" customWidth="1"/>
    <col min="6" max="6" width="5.625" style="6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7"/>
    <col min="44" max="44" width="15.25" style="7" customWidth="1"/>
    <col min="45" max="45" width="12.625"/>
    <col min="46" max="46" width="15.625"/>
  </cols>
  <sheetData>
    <row r="1" ht="25" customHeight="1" spans="1:46">
      <c r="A1" s="8" t="s">
        <v>0</v>
      </c>
      <c r="B1" s="8" t="s">
        <v>1</v>
      </c>
      <c r="C1" s="8"/>
      <c r="D1" s="8"/>
      <c r="E1" s="8"/>
      <c r="F1" s="9"/>
      <c r="G1" s="10" t="s">
        <v>2</v>
      </c>
      <c r="H1" s="10"/>
      <c r="I1" s="10"/>
      <c r="J1" s="10"/>
      <c r="K1" s="10"/>
      <c r="L1" s="10"/>
      <c r="M1" s="10"/>
      <c r="N1" s="10" t="s">
        <v>704</v>
      </c>
      <c r="O1" s="10"/>
      <c r="P1" s="10"/>
      <c r="Q1" s="10"/>
      <c r="R1" s="10" t="s">
        <v>4</v>
      </c>
      <c r="S1" s="10"/>
      <c r="T1" s="10"/>
      <c r="U1" s="10"/>
      <c r="V1" s="10" t="s">
        <v>5</v>
      </c>
      <c r="W1" s="10"/>
      <c r="X1" s="10"/>
      <c r="Y1" s="10"/>
      <c r="Z1" s="10" t="s">
        <v>6</v>
      </c>
      <c r="AA1" s="10"/>
      <c r="AB1" s="10"/>
      <c r="AC1" s="10"/>
      <c r="AD1" s="10" t="s">
        <v>7</v>
      </c>
      <c r="AE1" s="10"/>
      <c r="AF1" s="10"/>
      <c r="AG1" s="10"/>
      <c r="AH1" s="10" t="s">
        <v>705</v>
      </c>
      <c r="AI1" s="10"/>
      <c r="AJ1" s="10"/>
      <c r="AK1" s="10"/>
      <c r="AL1" s="10" t="s">
        <v>706</v>
      </c>
      <c r="AM1" s="10"/>
      <c r="AN1" s="10"/>
      <c r="AO1" s="10"/>
      <c r="AP1" s="10" t="s">
        <v>10</v>
      </c>
      <c r="AQ1" s="24"/>
      <c r="AR1" s="24"/>
      <c r="AS1" s="10"/>
      <c r="AT1" s="10"/>
    </row>
    <row r="2" hidden="1" spans="1:46">
      <c r="A2" s="11">
        <f>时间!$B$1</f>
        <v>43311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6" t="str">
        <f>IFERROR(VLOOKUP(A2,'[4]父sku-单价'!$A:$B,2,0),"")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68" si="2">IF(AND(Z2&gt;0,B2=0),"无销量广告费为"&amp;Z2,IFERROR(Z2/(B2*$F2),""))</f>
        <v/>
      </c>
      <c r="AE2" s="23" t="str">
        <f t="shared" ref="AE2:AE68" si="3">IF(AND(AA2&gt;0,C2=0),"无销量广告费为"&amp;AA2,IFERROR(AA2/(C2*$F2),""))</f>
        <v/>
      </c>
      <c r="AF2" s="23" t="str">
        <f t="shared" ref="AF2:AF68" si="4">IF(AND(AB2&gt;0,D2=0),"无销量广告费为"&amp;AB2,IFERROR(AB2/(D2*$F2),""))</f>
        <v/>
      </c>
      <c r="AG2" s="23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68" si="6">IFERROR(B2/AH2,"")</f>
        <v/>
      </c>
      <c r="AM2" s="23" t="str">
        <f t="shared" ref="AM2:AM68" si="7">IFERROR(C2/AI2,"")</f>
        <v/>
      </c>
      <c r="AN2" s="23" t="str">
        <f t="shared" ref="AN2:AN68" si="8">IFERROR(D2/AJ2,"")</f>
        <v/>
      </c>
      <c r="AO2" s="23" t="str">
        <f t="shared" ref="AO2:AO68" si="9">IFERROR(E2/AK2,"")</f>
        <v/>
      </c>
      <c r="AP2" s="7">
        <f t="shared" ref="AP2:AP68" si="10">B2/7</f>
        <v>0</v>
      </c>
      <c r="AQ2" s="7">
        <f t="shared" ref="AQ2:AQ68" si="11">AP2*60</f>
        <v>0</v>
      </c>
      <c r="AR2" s="7">
        <f t="shared" ref="AR2:AR68" si="12">K2-AQ2</f>
        <v>0</v>
      </c>
      <c r="AS2" t="str">
        <f t="shared" ref="AS2:AS68" si="13">IF(AP2=0,"库存为"&amp;K2,INT(K2/AP2))</f>
        <v>库存为0</v>
      </c>
      <c r="AT2" s="2" t="str">
        <f>IFERROR($A$2+AS2,"上周无销量")</f>
        <v>上周无销量</v>
      </c>
    </row>
    <row r="3" ht="25" customHeight="1" spans="1:46">
      <c r="A3" s="12"/>
      <c r="B3" s="13" t="str">
        <f>TEXT(时间!$B$6,"yyyy/M/d")&amp;"-"&amp;TEXT(时间!$B$5,"yyyy/M/d")</f>
        <v>2018/8/20-2018/8/26</v>
      </c>
      <c r="C3" s="13" t="str">
        <f>TEXT(时间!$B$8,"yyyy/M/d")&amp;"-"&amp;TEXT(时间!$B$7,"yyyy/M/d")</f>
        <v>2018/8/13-2018/8/19</v>
      </c>
      <c r="D3" s="13" t="str">
        <f>TEXT(时间!$B$10,"yyyy/M/d")&amp;"-"&amp;TEXT(时间!$B$9,"yyyy/M/d")</f>
        <v>2018/8/6-2018/8/12</v>
      </c>
      <c r="E3" s="13" t="str">
        <f>TEXT(时间!$B$12,"yyyy/M/d")&amp;"-"&amp;TEXT(时间!$B$11,"yyyy/M/d")</f>
        <v>2018/7/30-2018/8/5</v>
      </c>
      <c r="F3" s="14"/>
      <c r="G3" s="15"/>
      <c r="H3" s="15"/>
      <c r="I3" s="15"/>
      <c r="J3" s="15"/>
      <c r="K3" s="15"/>
      <c r="L3" s="15"/>
      <c r="M3" s="19" t="s">
        <v>707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5"/>
      <c r="AR3" s="25"/>
      <c r="AS3" s="20"/>
      <c r="AT3" s="20"/>
    </row>
    <row r="4" spans="1:46">
      <c r="A4" s="5" t="s">
        <v>15</v>
      </c>
      <c r="B4" s="5" t="s">
        <v>708</v>
      </c>
      <c r="C4" s="5" t="s">
        <v>709</v>
      </c>
      <c r="D4" s="5" t="s">
        <v>710</v>
      </c>
      <c r="E4" s="5" t="s">
        <v>711</v>
      </c>
      <c r="F4" s="6" t="s">
        <v>20</v>
      </c>
      <c r="G4" t="s">
        <v>21</v>
      </c>
      <c r="H4" t="s">
        <v>22</v>
      </c>
      <c r="I4" t="s">
        <v>712</v>
      </c>
      <c r="J4" t="s">
        <v>24</v>
      </c>
      <c r="K4" t="s">
        <v>25</v>
      </c>
      <c r="L4" t="s">
        <v>26</v>
      </c>
      <c r="M4" t="s">
        <v>27</v>
      </c>
      <c r="N4" s="21" t="s">
        <v>28</v>
      </c>
      <c r="O4" s="21" t="s">
        <v>29</v>
      </c>
      <c r="P4" s="21" t="s">
        <v>30</v>
      </c>
      <c r="Q4" s="21" t="s">
        <v>31</v>
      </c>
      <c r="R4" s="21" t="s">
        <v>32</v>
      </c>
      <c r="S4" s="21" t="s">
        <v>33</v>
      </c>
      <c r="T4" s="21" t="s">
        <v>34</v>
      </c>
      <c r="U4" s="21" t="s">
        <v>35</v>
      </c>
      <c r="V4" s="21" t="s">
        <v>36</v>
      </c>
      <c r="W4" s="21" t="s">
        <v>37</v>
      </c>
      <c r="X4" s="21" t="s">
        <v>38</v>
      </c>
      <c r="Y4" s="21" t="s">
        <v>39</v>
      </c>
      <c r="Z4" s="21" t="s">
        <v>40</v>
      </c>
      <c r="AA4" s="21" t="s">
        <v>41</v>
      </c>
      <c r="AB4" s="21" t="s">
        <v>42</v>
      </c>
      <c r="AC4" s="21" t="s">
        <v>43</v>
      </c>
      <c r="AD4" s="21">
        <f>时间!$B$6</f>
        <v>43332</v>
      </c>
      <c r="AE4" s="21">
        <f>时间!$B$7</f>
        <v>43331</v>
      </c>
      <c r="AF4" s="21">
        <f>时间!$B$8</f>
        <v>43325</v>
      </c>
      <c r="AG4" s="21">
        <f>时间!$B$9</f>
        <v>43324</v>
      </c>
      <c r="AH4" s="21">
        <f>时间!$B$6</f>
        <v>43332</v>
      </c>
      <c r="AI4" s="21">
        <f>时间!$B$7</f>
        <v>43331</v>
      </c>
      <c r="AJ4" s="21">
        <f>时间!$B$8</f>
        <v>43325</v>
      </c>
      <c r="AK4" s="21">
        <f>时间!$B$9</f>
        <v>43324</v>
      </c>
      <c r="AL4" s="21">
        <f>时间!$B$6</f>
        <v>43332</v>
      </c>
      <c r="AM4" s="21">
        <f>时间!$B$7</f>
        <v>43331</v>
      </c>
      <c r="AN4" s="21">
        <f>时间!$B$8</f>
        <v>43325</v>
      </c>
      <c r="AO4" s="21">
        <f>时间!$B$9</f>
        <v>43324</v>
      </c>
      <c r="AP4" s="7" t="s">
        <v>44</v>
      </c>
      <c r="AQ4" s="7" t="s">
        <v>45</v>
      </c>
      <c r="AR4" s="7" t="s">
        <v>46</v>
      </c>
      <c r="AS4" t="s">
        <v>47</v>
      </c>
      <c r="AT4" t="s">
        <v>48</v>
      </c>
    </row>
    <row r="5" s="4" customFormat="1" spans="1:44">
      <c r="A5" s="16" t="s">
        <v>49</v>
      </c>
      <c r="B5" s="16">
        <f t="shared" ref="B5:N5" si="14">SUM(B6:B9995)</f>
        <v>183</v>
      </c>
      <c r="C5" s="16">
        <f t="shared" si="14"/>
        <v>201</v>
      </c>
      <c r="D5" s="16">
        <f t="shared" si="14"/>
        <v>211</v>
      </c>
      <c r="E5" s="16">
        <f t="shared" si="14"/>
        <v>204</v>
      </c>
      <c r="F5" s="17"/>
      <c r="G5" s="4">
        <f t="shared" si="14"/>
        <v>1892</v>
      </c>
      <c r="H5" s="4">
        <f t="shared" si="14"/>
        <v>142</v>
      </c>
      <c r="I5" s="4">
        <f t="shared" si="14"/>
        <v>1</v>
      </c>
      <c r="J5" s="4">
        <f t="shared" si="14"/>
        <v>67</v>
      </c>
      <c r="K5" s="4">
        <f t="shared" si="14"/>
        <v>2102</v>
      </c>
      <c r="L5" s="4">
        <f t="shared" si="14"/>
        <v>21</v>
      </c>
      <c r="M5" s="4">
        <f t="shared" si="14"/>
        <v>363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4">
        <f>SUM(Z6:Z9995)</f>
        <v>2010.61</v>
      </c>
      <c r="AA5" s="4">
        <f>SUM(AA6:AA9995)</f>
        <v>1540.2</v>
      </c>
      <c r="AB5" s="4">
        <f>SUM(AB6:AB9995)</f>
        <v>6945.35</v>
      </c>
      <c r="AC5" s="4">
        <f>SUM(AC6:AC9995)</f>
        <v>6964.24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6"/>
      <c r="AQ5" s="26"/>
      <c r="AR5" s="26"/>
    </row>
    <row r="6" spans="1:46">
      <c r="A6" s="18" t="s">
        <v>53</v>
      </c>
      <c r="B6" s="5">
        <f>SUMIF('库存（子SKU）'!$C:$C,$A6,'库存（子SKU）'!D:D)</f>
        <v>0</v>
      </c>
      <c r="C6" s="5">
        <f>SUMIF('库存（子SKU）'!$C:$C,$A6,'库存（子SKU）'!E:E)</f>
        <v>0</v>
      </c>
      <c r="D6" s="5">
        <f>SUMIF('库存（子SKU）'!$C:$C,$A6,'库存（子SKU）'!F:F)</f>
        <v>0</v>
      </c>
      <c r="E6" s="5">
        <f>SUMIF('库存（子SKU）'!$C:$C,$A6,'库存（子SKU）'!G:G)</f>
        <v>0</v>
      </c>
      <c r="F6" s="6" t="s">
        <v>54</v>
      </c>
      <c r="G6">
        <f>SUMIF('库存（子SKU）'!$C:$C,$A6,'库存（子SKU）'!I:I)</f>
        <v>0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0</v>
      </c>
      <c r="L6">
        <f>SUMIF('库存（子SKU）'!$C:$C,$A6,'库存（子SKU）'!N:N)</f>
        <v>0</v>
      </c>
      <c r="M6">
        <f>SUMIF('库存（子SKU）'!$C:$C,$A6,'库存（子SKU）'!O:O)</f>
        <v>0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23" t="str">
        <f t="shared" ref="V6:V69" si="15">IFERROR(R6/N6,"")</f>
        <v/>
      </c>
      <c r="W6" s="23" t="str">
        <f t="shared" ref="W6:W69" si="16">IFERROR(S6/O6,"")</f>
        <v/>
      </c>
      <c r="X6" s="23" t="str">
        <f t="shared" ref="X6:X69" si="17">IFERROR(T6/P6,"")</f>
        <v/>
      </c>
      <c r="Y6" s="23" t="str">
        <f t="shared" ref="Y6:Y69" si="18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23" t="str">
        <f t="shared" si="2"/>
        <v/>
      </c>
      <c r="AE6" s="23" t="str">
        <f t="shared" si="3"/>
        <v/>
      </c>
      <c r="AF6" s="23" t="str">
        <f t="shared" si="4"/>
        <v/>
      </c>
      <c r="AG6" s="23" t="str">
        <f t="shared" si="5"/>
        <v/>
      </c>
      <c r="AH6">
        <f>SUMIF('库存（子SKU）'!$C:$C,$A6,'库存（子SKU）'!AJ:AJ)</f>
        <v>817</v>
      </c>
      <c r="AI6">
        <f>SUMIF('库存（子SKU）'!$C:$C,$A6,'库存（子SKU）'!AK:AK)</f>
        <v>1473</v>
      </c>
      <c r="AJ6">
        <f>SUMIF('库存（子SKU）'!$C:$C,$A6,'库存（子SKU）'!AL:AL)</f>
        <v>1332</v>
      </c>
      <c r="AK6">
        <f>SUMIF('库存（子SKU）'!$C:$C,$A6,'库存（子SKU）'!AM:AM)</f>
        <v>1292</v>
      </c>
      <c r="AL6" s="23">
        <f t="shared" si="6"/>
        <v>0</v>
      </c>
      <c r="AM6" s="23">
        <f t="shared" si="7"/>
        <v>0</v>
      </c>
      <c r="AN6" s="23">
        <f t="shared" si="8"/>
        <v>0</v>
      </c>
      <c r="AO6" s="23">
        <f t="shared" si="9"/>
        <v>0</v>
      </c>
      <c r="AP6" s="7">
        <f t="shared" si="10"/>
        <v>0</v>
      </c>
      <c r="AQ6" s="7">
        <f t="shared" si="11"/>
        <v>0</v>
      </c>
      <c r="AR6" s="7">
        <f t="shared" si="12"/>
        <v>0</v>
      </c>
      <c r="AS6" t="str">
        <f t="shared" si="13"/>
        <v>库存为0</v>
      </c>
      <c r="AT6" s="2" t="str">
        <f>IFERROR(时间!$B$4+AS6,"上周无销量")</f>
        <v>上周无销量</v>
      </c>
    </row>
    <row r="7" spans="1:46">
      <c r="A7" s="18" t="s">
        <v>57</v>
      </c>
      <c r="B7" s="5">
        <f>SUMIF('库存（子SKU）'!$C:$C,$A7,'库存（子SKU）'!D:D)</f>
        <v>0</v>
      </c>
      <c r="C7" s="5">
        <f>SUMIF('库存（子SKU）'!$C:$C,$A7,'库存（子SKU）'!E:E)</f>
        <v>0</v>
      </c>
      <c r="D7" s="5">
        <f>SUMIF('库存（子SKU）'!$C:$C,$A7,'库存（子SKU）'!F:F)</f>
        <v>0</v>
      </c>
      <c r="E7" s="5">
        <f>SUMIF('库存（子SKU）'!$C:$C,$A7,'库存（子SKU）'!G:G)</f>
        <v>0</v>
      </c>
      <c r="F7" s="6" t="s">
        <v>54</v>
      </c>
      <c r="G7">
        <f>SUMIF('库存（子SKU）'!$C:$C,$A7,'库存（子SKU）'!I:I)</f>
        <v>0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0</v>
      </c>
      <c r="L7">
        <f>SUMIF('库存（子SKU）'!$C:$C,$A7,'库存（子SKU）'!N:N)</f>
        <v>0</v>
      </c>
      <c r="M7">
        <f>SUMIF('库存（子SKU）'!$C:$C,$A7,'库存（子SKU）'!O:O)</f>
        <v>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3" t="str">
        <f t="shared" si="15"/>
        <v/>
      </c>
      <c r="W7" s="23" t="str">
        <f t="shared" si="16"/>
        <v/>
      </c>
      <c r="X7" s="23" t="str">
        <f t="shared" si="17"/>
        <v/>
      </c>
      <c r="Y7" s="23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3" t="str">
        <f t="shared" si="2"/>
        <v/>
      </c>
      <c r="AE7" s="23" t="str">
        <f t="shared" si="3"/>
        <v/>
      </c>
      <c r="AF7" s="23" t="str">
        <f t="shared" si="4"/>
        <v/>
      </c>
      <c r="AG7" s="23" t="str">
        <f t="shared" si="5"/>
        <v/>
      </c>
      <c r="AH7">
        <f>SUMIF('库存（子SKU）'!$C:$C,$A7,'库存（子SKU）'!AJ:AJ)</f>
        <v>617</v>
      </c>
      <c r="AI7">
        <f>SUMIF('库存（子SKU）'!$C:$C,$A7,'库存（子SKU）'!AK:AK)</f>
        <v>304</v>
      </c>
      <c r="AJ7">
        <f>SUMIF('库存（子SKU）'!$C:$C,$A7,'库存（子SKU）'!AL:AL)</f>
        <v>484</v>
      </c>
      <c r="AK7">
        <f>SUMIF('库存（子SKU）'!$C:$C,$A7,'库存（子SKU）'!AM:AM)</f>
        <v>235</v>
      </c>
      <c r="AL7" s="23">
        <f t="shared" si="6"/>
        <v>0</v>
      </c>
      <c r="AM7" s="23">
        <f t="shared" si="7"/>
        <v>0</v>
      </c>
      <c r="AN7" s="23">
        <f t="shared" si="8"/>
        <v>0</v>
      </c>
      <c r="AO7" s="23">
        <f t="shared" si="9"/>
        <v>0</v>
      </c>
      <c r="AP7" s="7">
        <f t="shared" si="10"/>
        <v>0</v>
      </c>
      <c r="AQ7" s="7">
        <f t="shared" si="11"/>
        <v>0</v>
      </c>
      <c r="AR7" s="7">
        <f t="shared" si="12"/>
        <v>0</v>
      </c>
      <c r="AS7" t="str">
        <f t="shared" si="13"/>
        <v>库存为0</v>
      </c>
      <c r="AT7" s="2" t="str">
        <f>IFERROR(时间!$B$4+AS7,"上周无销量")</f>
        <v>上周无销量</v>
      </c>
    </row>
    <row r="8" spans="1:46">
      <c r="A8" s="18" t="s">
        <v>60</v>
      </c>
      <c r="B8" s="5">
        <f>SUMIF('库存（子SKU）'!$C:$C,$A8,'库存（子SKU）'!D:D)</f>
        <v>0</v>
      </c>
      <c r="C8" s="5">
        <f>SUMIF('库存（子SKU）'!$C:$C,$A8,'库存（子SKU）'!E:E)</f>
        <v>0</v>
      </c>
      <c r="D8" s="5">
        <f>SUMIF('库存（子SKU）'!$C:$C,$A8,'库存（子SKU）'!F:F)</f>
        <v>0</v>
      </c>
      <c r="E8" s="5">
        <f>SUMIF('库存（子SKU）'!$C:$C,$A8,'库存（子SKU）'!G:G)</f>
        <v>0</v>
      </c>
      <c r="F8" s="6" t="s">
        <v>54</v>
      </c>
      <c r="G8">
        <f>SUMIF('库存（子SKU）'!$C:$C,$A8,'库存（子SKU）'!I:I)</f>
        <v>0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0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3" t="str">
        <f t="shared" si="15"/>
        <v/>
      </c>
      <c r="W8" s="23" t="str">
        <f t="shared" si="16"/>
        <v/>
      </c>
      <c r="X8" s="23" t="str">
        <f t="shared" si="17"/>
        <v/>
      </c>
      <c r="Y8" s="23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3" t="str">
        <f t="shared" si="2"/>
        <v/>
      </c>
      <c r="AE8" s="23" t="str">
        <f t="shared" si="3"/>
        <v/>
      </c>
      <c r="AF8" s="23" t="str">
        <f t="shared" si="4"/>
        <v/>
      </c>
      <c r="AG8" s="23" t="str">
        <f t="shared" si="5"/>
        <v/>
      </c>
      <c r="AH8">
        <f>SUMIF('库存（子SKU）'!$C:$C,$A8,'库存（子SKU）'!AJ:AJ)</f>
        <v>153</v>
      </c>
      <c r="AI8">
        <f>SUMIF('库存（子SKU）'!$C:$C,$A8,'库存（子SKU）'!AK:AK)</f>
        <v>96</v>
      </c>
      <c r="AJ8">
        <f>SUMIF('库存（子SKU）'!$C:$C,$A8,'库存（子SKU）'!AL:AL)</f>
        <v>70</v>
      </c>
      <c r="AK8">
        <f>SUMIF('库存（子SKU）'!$C:$C,$A8,'库存（子SKU）'!AM:AM)</f>
        <v>31</v>
      </c>
      <c r="AL8" s="23">
        <f t="shared" si="6"/>
        <v>0</v>
      </c>
      <c r="AM8" s="23">
        <f t="shared" si="7"/>
        <v>0</v>
      </c>
      <c r="AN8" s="23">
        <f t="shared" si="8"/>
        <v>0</v>
      </c>
      <c r="AO8" s="23">
        <f t="shared" si="9"/>
        <v>0</v>
      </c>
      <c r="AP8" s="7">
        <f t="shared" si="10"/>
        <v>0</v>
      </c>
      <c r="AQ8" s="7">
        <f t="shared" si="11"/>
        <v>0</v>
      </c>
      <c r="AR8" s="7">
        <f t="shared" si="12"/>
        <v>0</v>
      </c>
      <c r="AS8" t="str">
        <f t="shared" si="13"/>
        <v>库存为0</v>
      </c>
      <c r="AT8" s="2" t="str">
        <f>IFERROR(时间!$B$4+AS8,"上周无销量")</f>
        <v>上周无销量</v>
      </c>
    </row>
    <row r="9" spans="1:46">
      <c r="A9" t="s">
        <v>63</v>
      </c>
      <c r="B9" s="5">
        <f>SUMIF('库存（子SKU）'!$C:$C,$A9,'库存（子SKU）'!D:D)</f>
        <v>0</v>
      </c>
      <c r="C9" s="5">
        <f>SUMIF('库存（子SKU）'!$C:$C,$A9,'库存（子SKU）'!E:E)</f>
        <v>0</v>
      </c>
      <c r="D9" s="5">
        <f>SUMIF('库存（子SKU）'!$C:$C,$A9,'库存（子SKU）'!F:F)</f>
        <v>0</v>
      </c>
      <c r="E9" s="5">
        <f>SUMIF('库存（子SKU）'!$C:$C,$A9,'库存（子SKU）'!G:G)</f>
        <v>0</v>
      </c>
      <c r="F9" s="6" t="s">
        <v>54</v>
      </c>
      <c r="G9">
        <f>SUMIF('库存（子SKU）'!$C:$C,$A9,'库存（子SKU）'!I:I)</f>
        <v>0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0</v>
      </c>
      <c r="L9">
        <f>SUMIF('库存（子SKU）'!$C:$C,$A9,'库存（子SKU）'!N:N)</f>
        <v>0</v>
      </c>
      <c r="M9">
        <f>SUMIF('库存（子SKU）'!$C:$C,$A9,'库存（子SKU）'!O:O)</f>
        <v>0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3" t="str">
        <f t="shared" si="15"/>
        <v/>
      </c>
      <c r="W9" s="23" t="str">
        <f t="shared" si="16"/>
        <v/>
      </c>
      <c r="X9" s="23" t="str">
        <f t="shared" si="17"/>
        <v/>
      </c>
      <c r="Y9" s="23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3" t="str">
        <f t="shared" si="2"/>
        <v/>
      </c>
      <c r="AE9" s="23" t="str">
        <f t="shared" si="3"/>
        <v/>
      </c>
      <c r="AF9" s="23" t="str">
        <f t="shared" si="4"/>
        <v/>
      </c>
      <c r="AG9" s="23" t="str">
        <f t="shared" si="5"/>
        <v/>
      </c>
      <c r="AH9">
        <f>SUMIF('库存（子SKU）'!$C:$C,$A9,'库存（子SKU）'!AJ:AJ)</f>
        <v>286</v>
      </c>
      <c r="AI9">
        <f>SUMIF('库存（子SKU）'!$C:$C,$A9,'库存（子SKU）'!AK:AK)</f>
        <v>301</v>
      </c>
      <c r="AJ9">
        <f>SUMIF('库存（子SKU）'!$C:$C,$A9,'库存（子SKU）'!AL:AL)</f>
        <v>174</v>
      </c>
      <c r="AK9">
        <f>SUMIF('库存（子SKU）'!$C:$C,$A9,'库存（子SKU）'!AM:AM)</f>
        <v>124</v>
      </c>
      <c r="AL9" s="23">
        <f t="shared" si="6"/>
        <v>0</v>
      </c>
      <c r="AM9" s="23">
        <f t="shared" si="7"/>
        <v>0</v>
      </c>
      <c r="AN9" s="23">
        <f t="shared" si="8"/>
        <v>0</v>
      </c>
      <c r="AO9" s="23">
        <f t="shared" si="9"/>
        <v>0</v>
      </c>
      <c r="AP9" s="7">
        <f t="shared" si="10"/>
        <v>0</v>
      </c>
      <c r="AQ9" s="7">
        <f t="shared" si="11"/>
        <v>0</v>
      </c>
      <c r="AR9" s="7">
        <f t="shared" si="12"/>
        <v>0</v>
      </c>
      <c r="AS9" t="str">
        <f t="shared" si="13"/>
        <v>库存为0</v>
      </c>
      <c r="AT9" s="2" t="str">
        <f>IFERROR(时间!$B$4+AS9,"上周无销量")</f>
        <v>上周无销量</v>
      </c>
    </row>
    <row r="10" spans="1:46">
      <c r="A10" t="s">
        <v>66</v>
      </c>
      <c r="B10" s="5">
        <f>SUMIF('库存（子SKU）'!$C:$C,$A10,'库存（子SKU）'!D:D)</f>
        <v>0</v>
      </c>
      <c r="C10" s="5">
        <f>SUMIF('库存（子SKU）'!$C:$C,$A10,'库存（子SKU）'!E:E)</f>
        <v>0</v>
      </c>
      <c r="D10" s="5">
        <f>SUMIF('库存（子SKU）'!$C:$C,$A10,'库存（子SKU）'!F:F)</f>
        <v>0</v>
      </c>
      <c r="E10" s="5">
        <f>SUMIF('库存（子SKU）'!$C:$C,$A10,'库存（子SKU）'!G:G)</f>
        <v>0</v>
      </c>
      <c r="F10" s="6" t="s">
        <v>54</v>
      </c>
      <c r="G10">
        <f>SUMIF('库存（子SKU）'!$C:$C,$A10,'库存（子SKU）'!I:I)</f>
        <v>0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0</v>
      </c>
      <c r="L10">
        <f>SUMIF('库存（子SKU）'!$C:$C,$A10,'库存（子SKU）'!N:N)</f>
        <v>0</v>
      </c>
      <c r="M10">
        <f>SUMIF('库存（子SKU）'!$C:$C,$A10,'库存（子SKU）'!O:O)</f>
        <v>0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3" t="str">
        <f t="shared" si="15"/>
        <v/>
      </c>
      <c r="W10" s="23" t="str">
        <f t="shared" si="16"/>
        <v/>
      </c>
      <c r="X10" s="23" t="str">
        <f t="shared" si="17"/>
        <v/>
      </c>
      <c r="Y10" s="23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3" t="str">
        <f t="shared" si="2"/>
        <v/>
      </c>
      <c r="AE10" s="23" t="str">
        <f t="shared" si="3"/>
        <v/>
      </c>
      <c r="AF10" s="23" t="str">
        <f t="shared" si="4"/>
        <v/>
      </c>
      <c r="AG10" s="23" t="str">
        <f t="shared" si="5"/>
        <v/>
      </c>
      <c r="AH10">
        <f>SUMIF('库存（子SKU）'!$C:$C,$A10,'库存（子SKU）'!AJ:AJ)</f>
        <v>37</v>
      </c>
      <c r="AI10">
        <f>SUMIF('库存（子SKU）'!$C:$C,$A10,'库存（子SKU）'!AK:AK)</f>
        <v>0</v>
      </c>
      <c r="AJ10">
        <f>SUMIF('库存（子SKU）'!$C:$C,$A10,'库存（子SKU）'!AL:AL)</f>
        <v>100</v>
      </c>
      <c r="AK10">
        <f>SUMIF('库存（子SKU）'!$C:$C,$A10,'库存（子SKU）'!AM:AM)</f>
        <v>79</v>
      </c>
      <c r="AL10" s="23">
        <f t="shared" si="6"/>
        <v>0</v>
      </c>
      <c r="AM10" s="23" t="str">
        <f t="shared" si="7"/>
        <v/>
      </c>
      <c r="AN10" s="23">
        <f t="shared" si="8"/>
        <v>0</v>
      </c>
      <c r="AO10" s="23">
        <f t="shared" si="9"/>
        <v>0</v>
      </c>
      <c r="AP10" s="7">
        <f t="shared" si="10"/>
        <v>0</v>
      </c>
      <c r="AQ10" s="7">
        <f t="shared" si="11"/>
        <v>0</v>
      </c>
      <c r="AR10" s="7">
        <f t="shared" si="12"/>
        <v>0</v>
      </c>
      <c r="AS10" t="str">
        <f t="shared" si="13"/>
        <v>库存为0</v>
      </c>
      <c r="AT10" s="2" t="str">
        <f>IFERROR(时间!$B$4+AS10,"上周无销量")</f>
        <v>上周无销量</v>
      </c>
    </row>
    <row r="11" spans="1:46">
      <c r="A11" t="s">
        <v>69</v>
      </c>
      <c r="B11" s="5">
        <f>SUMIF('库存（子SKU）'!$C:$C,$A11,'库存（子SKU）'!D:D)</f>
        <v>0</v>
      </c>
      <c r="C11" s="5">
        <f>SUMIF('库存（子SKU）'!$C:$C,$A11,'库存（子SKU）'!E:E)</f>
        <v>0</v>
      </c>
      <c r="D11" s="5">
        <f>SUMIF('库存（子SKU）'!$C:$C,$A11,'库存（子SKU）'!F:F)</f>
        <v>0</v>
      </c>
      <c r="E11" s="5">
        <f>SUMIF('库存（子SKU）'!$C:$C,$A11,'库存（子SKU）'!G:G)</f>
        <v>0</v>
      </c>
      <c r="F11" s="6" t="s">
        <v>54</v>
      </c>
      <c r="G11">
        <f>SUMIF('库存（子SKU）'!$C:$C,$A11,'库存（子SKU）'!I:I)</f>
        <v>0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0</v>
      </c>
      <c r="L11">
        <f>SUMIF('库存（子SKU）'!$C:$C,$A11,'库存（子SKU）'!N:N)</f>
        <v>0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3" t="str">
        <f t="shared" si="15"/>
        <v/>
      </c>
      <c r="W11" s="23" t="str">
        <f t="shared" si="16"/>
        <v/>
      </c>
      <c r="X11" s="23" t="str">
        <f t="shared" si="17"/>
        <v/>
      </c>
      <c r="Y11" s="23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3" t="str">
        <f t="shared" si="2"/>
        <v/>
      </c>
      <c r="AE11" s="23" t="str">
        <f t="shared" si="3"/>
        <v/>
      </c>
      <c r="AF11" s="23" t="str">
        <f t="shared" si="4"/>
        <v/>
      </c>
      <c r="AG11" s="23" t="str">
        <f t="shared" si="5"/>
        <v/>
      </c>
      <c r="AH11">
        <f>SUMIF('库存（子SKU）'!$C:$C,$A11,'库存（子SKU）'!AJ:AJ)</f>
        <v>44</v>
      </c>
      <c r="AI11">
        <f>SUMIF('库存（子SKU）'!$C:$C,$A11,'库存（子SKU）'!AK:AK)</f>
        <v>66</v>
      </c>
      <c r="AJ11">
        <f>SUMIF('库存（子SKU）'!$C:$C,$A11,'库存（子SKU）'!AL:AL)</f>
        <v>40</v>
      </c>
      <c r="AK11">
        <f>SUMIF('库存（子SKU）'!$C:$C,$A11,'库存（子SKU）'!AM:AM)</f>
        <v>46</v>
      </c>
      <c r="AL11" s="23">
        <f t="shared" si="6"/>
        <v>0</v>
      </c>
      <c r="AM11" s="23">
        <f t="shared" si="7"/>
        <v>0</v>
      </c>
      <c r="AN11" s="23">
        <f t="shared" si="8"/>
        <v>0</v>
      </c>
      <c r="AO11" s="23">
        <f t="shared" si="9"/>
        <v>0</v>
      </c>
      <c r="AP11" s="7">
        <f t="shared" si="10"/>
        <v>0</v>
      </c>
      <c r="AQ11" s="7">
        <f t="shared" si="11"/>
        <v>0</v>
      </c>
      <c r="AR11" s="7">
        <f t="shared" si="12"/>
        <v>0</v>
      </c>
      <c r="AS11" t="str">
        <f t="shared" si="13"/>
        <v>库存为0</v>
      </c>
      <c r="AT11" s="2" t="str">
        <f>IFERROR(时间!$B$4+AS11,"上周无销量")</f>
        <v>上周无销量</v>
      </c>
    </row>
    <row r="12" spans="1:46">
      <c r="A12" t="s">
        <v>72</v>
      </c>
      <c r="B12" s="5">
        <f>SUMIF('库存（子SKU）'!$C:$C,$A12,'库存（子SKU）'!D:D)</f>
        <v>0</v>
      </c>
      <c r="C12" s="5">
        <f>SUMIF('库存（子SKU）'!$C:$C,$A12,'库存（子SKU）'!E:E)</f>
        <v>0</v>
      </c>
      <c r="D12" s="5">
        <f>SUMIF('库存（子SKU）'!$C:$C,$A12,'库存（子SKU）'!F:F)</f>
        <v>0</v>
      </c>
      <c r="E12" s="5">
        <f>SUMIF('库存（子SKU）'!$C:$C,$A12,'库存（子SKU）'!G:G)</f>
        <v>0</v>
      </c>
      <c r="F12" s="6" t="s">
        <v>54</v>
      </c>
      <c r="G12">
        <f>SUMIF('库存（子SKU）'!$C:$C,$A12,'库存（子SKU）'!I:I)</f>
        <v>0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0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3" t="str">
        <f t="shared" si="15"/>
        <v/>
      </c>
      <c r="W12" s="23" t="str">
        <f t="shared" si="16"/>
        <v/>
      </c>
      <c r="X12" s="23" t="str">
        <f t="shared" si="17"/>
        <v/>
      </c>
      <c r="Y12" s="23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3" t="str">
        <f t="shared" si="2"/>
        <v/>
      </c>
      <c r="AE12" s="23" t="str">
        <f t="shared" si="3"/>
        <v/>
      </c>
      <c r="AF12" s="23" t="str">
        <f t="shared" si="4"/>
        <v/>
      </c>
      <c r="AG12" s="23" t="str">
        <f t="shared" si="5"/>
        <v/>
      </c>
      <c r="AH12">
        <f>SUMIF('库存（子SKU）'!$C:$C,$A12,'库存（子SKU）'!AJ:AJ)</f>
        <v>158</v>
      </c>
      <c r="AI12">
        <f>SUMIF('库存（子SKU）'!$C:$C,$A12,'库存（子SKU）'!AK:AK)</f>
        <v>118</v>
      </c>
      <c r="AJ12">
        <f>SUMIF('库存（子SKU）'!$C:$C,$A12,'库存（子SKU）'!AL:AL)</f>
        <v>147</v>
      </c>
      <c r="AK12">
        <f>SUMIF('库存（子SKU）'!$C:$C,$A12,'库存（子SKU）'!AM:AM)</f>
        <v>90</v>
      </c>
      <c r="AL12" s="23">
        <f t="shared" si="6"/>
        <v>0</v>
      </c>
      <c r="AM12" s="23">
        <f t="shared" si="7"/>
        <v>0</v>
      </c>
      <c r="AN12" s="23">
        <f t="shared" si="8"/>
        <v>0</v>
      </c>
      <c r="AO12" s="23">
        <f t="shared" si="9"/>
        <v>0</v>
      </c>
      <c r="AP12" s="7">
        <f t="shared" si="10"/>
        <v>0</v>
      </c>
      <c r="AQ12" s="7">
        <f t="shared" si="11"/>
        <v>0</v>
      </c>
      <c r="AR12" s="7">
        <f t="shared" si="12"/>
        <v>0</v>
      </c>
      <c r="AS12" t="str">
        <f t="shared" si="13"/>
        <v>库存为0</v>
      </c>
      <c r="AT12" s="2" t="str">
        <f>IFERROR(时间!$B$4+AS12,"上周无销量")</f>
        <v>上周无销量</v>
      </c>
    </row>
    <row r="13" spans="1:46">
      <c r="A13" t="s">
        <v>75</v>
      </c>
      <c r="B13" s="5">
        <f>SUMIF('库存（子SKU）'!$C:$C,$A13,'库存（子SKU）'!D:D)</f>
        <v>0</v>
      </c>
      <c r="C13" s="5">
        <f>SUMIF('库存（子SKU）'!$C:$C,$A13,'库存（子SKU）'!E:E)</f>
        <v>0</v>
      </c>
      <c r="D13" s="5">
        <f>SUMIF('库存（子SKU）'!$C:$C,$A13,'库存（子SKU）'!F:F)</f>
        <v>0</v>
      </c>
      <c r="E13" s="5">
        <f>SUMIF('库存（子SKU）'!$C:$C,$A13,'库存（子SKU）'!G:G)</f>
        <v>0</v>
      </c>
      <c r="F13" s="6" t="s">
        <v>54</v>
      </c>
      <c r="G13">
        <f>SUMIF('库存（子SKU）'!$C:$C,$A13,'库存（子SKU）'!I:I)</f>
        <v>0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0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3" t="str">
        <f t="shared" si="15"/>
        <v/>
      </c>
      <c r="W13" s="23" t="str">
        <f t="shared" si="16"/>
        <v/>
      </c>
      <c r="X13" s="23" t="str">
        <f t="shared" si="17"/>
        <v/>
      </c>
      <c r="Y13" s="23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3" t="str">
        <f t="shared" si="2"/>
        <v/>
      </c>
      <c r="AE13" s="23" t="str">
        <f t="shared" si="3"/>
        <v/>
      </c>
      <c r="AF13" s="23" t="str">
        <f t="shared" si="4"/>
        <v/>
      </c>
      <c r="AG13" s="23" t="str">
        <f t="shared" si="5"/>
        <v/>
      </c>
      <c r="AH13">
        <f>SUMIF('库存（子SKU）'!$C:$C,$A13,'库存（子SKU）'!AJ:AJ)</f>
        <v>0</v>
      </c>
      <c r="AI13">
        <f>SUMIF('库存（子SKU）'!$C:$C,$A13,'库存（子SKU）'!AK:AK)</f>
        <v>0</v>
      </c>
      <c r="AJ13">
        <f>SUMIF('库存（子SKU）'!$C:$C,$A13,'库存（子SKU）'!AL:AL)</f>
        <v>0</v>
      </c>
      <c r="AK13">
        <f>SUMIF('库存（子SKU）'!$C:$C,$A13,'库存（子SKU）'!AM:AM)</f>
        <v>0</v>
      </c>
      <c r="AL13" s="23" t="str">
        <f t="shared" si="6"/>
        <v/>
      </c>
      <c r="AM13" s="23" t="str">
        <f t="shared" si="7"/>
        <v/>
      </c>
      <c r="AN13" s="23" t="str">
        <f t="shared" si="8"/>
        <v/>
      </c>
      <c r="AO13" s="23" t="str">
        <f t="shared" si="9"/>
        <v/>
      </c>
      <c r="AP13" s="7">
        <f t="shared" si="10"/>
        <v>0</v>
      </c>
      <c r="AQ13" s="7">
        <f t="shared" si="11"/>
        <v>0</v>
      </c>
      <c r="AR13" s="7">
        <f t="shared" si="12"/>
        <v>0</v>
      </c>
      <c r="AS13" t="str">
        <f t="shared" si="13"/>
        <v>库存为0</v>
      </c>
      <c r="AT13" s="2" t="str">
        <f>IFERROR(时间!$B$4+AS13,"上周无销量")</f>
        <v>上周无销量</v>
      </c>
    </row>
    <row r="14" spans="1:46">
      <c r="A14" t="s">
        <v>78</v>
      </c>
      <c r="B14" s="5">
        <f>SUMIF('库存（子SKU）'!$C:$C,$A14,'库存（子SKU）'!D:D)</f>
        <v>0</v>
      </c>
      <c r="C14" s="5">
        <f>SUMIF('库存（子SKU）'!$C:$C,$A14,'库存（子SKU）'!E:E)</f>
        <v>0</v>
      </c>
      <c r="D14" s="5">
        <f>SUMIF('库存（子SKU）'!$C:$C,$A14,'库存（子SKU）'!F:F)</f>
        <v>0</v>
      </c>
      <c r="E14" s="5">
        <f>SUMIF('库存（子SKU）'!$C:$C,$A14,'库存（子SKU）'!G:G)</f>
        <v>0</v>
      </c>
      <c r="F14" s="6" t="s">
        <v>54</v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3" t="str">
        <f t="shared" si="15"/>
        <v/>
      </c>
      <c r="W14" s="23" t="str">
        <f t="shared" si="16"/>
        <v/>
      </c>
      <c r="X14" s="23" t="str">
        <f t="shared" si="17"/>
        <v/>
      </c>
      <c r="Y14" s="23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3" t="str">
        <f t="shared" si="2"/>
        <v/>
      </c>
      <c r="AE14" s="23" t="str">
        <f t="shared" si="3"/>
        <v/>
      </c>
      <c r="AF14" s="23" t="str">
        <f t="shared" si="4"/>
        <v/>
      </c>
      <c r="AG14" s="23" t="str">
        <f t="shared" si="5"/>
        <v/>
      </c>
      <c r="AH14">
        <f>SUMIF('库存（子SKU）'!$C:$C,$A14,'库存（子SKU）'!AJ:AJ)</f>
        <v>336</v>
      </c>
      <c r="AI14">
        <f>SUMIF('库存（子SKU）'!$C:$C,$A14,'库存（子SKU）'!AK:AK)</f>
        <v>295</v>
      </c>
      <c r="AJ14">
        <f>SUMIF('库存（子SKU）'!$C:$C,$A14,'库存（子SKU）'!AL:AL)</f>
        <v>513</v>
      </c>
      <c r="AK14">
        <f>SUMIF('库存（子SKU）'!$C:$C,$A14,'库存（子SKU）'!AM:AM)</f>
        <v>267</v>
      </c>
      <c r="AL14" s="23">
        <f t="shared" si="6"/>
        <v>0</v>
      </c>
      <c r="AM14" s="23">
        <f t="shared" si="7"/>
        <v>0</v>
      </c>
      <c r="AN14" s="23">
        <f t="shared" si="8"/>
        <v>0</v>
      </c>
      <c r="AO14" s="23">
        <f t="shared" si="9"/>
        <v>0</v>
      </c>
      <c r="AP14" s="7">
        <f t="shared" si="10"/>
        <v>0</v>
      </c>
      <c r="AQ14" s="7">
        <f t="shared" si="11"/>
        <v>0</v>
      </c>
      <c r="AR14" s="7">
        <f t="shared" si="12"/>
        <v>0</v>
      </c>
      <c r="AS14" t="str">
        <f t="shared" si="13"/>
        <v>库存为0</v>
      </c>
      <c r="AT14" s="2" t="str">
        <f>IFERROR(时间!$B$4+AS14,"上周无销量")</f>
        <v>上周无销量</v>
      </c>
    </row>
    <row r="15" spans="1:46">
      <c r="A15" t="s">
        <v>81</v>
      </c>
      <c r="B15" s="5">
        <f>SUMIF('库存（子SKU）'!$C:$C,$A15,'库存（子SKU）'!D:D)</f>
        <v>0</v>
      </c>
      <c r="C15" s="5">
        <f>SUMIF('库存（子SKU）'!$C:$C,$A15,'库存（子SKU）'!E:E)</f>
        <v>0</v>
      </c>
      <c r="D15" s="5">
        <f>SUMIF('库存（子SKU）'!$C:$C,$A15,'库存（子SKU）'!F:F)</f>
        <v>0</v>
      </c>
      <c r="E15" s="5">
        <f>SUMIF('库存（子SKU）'!$C:$C,$A15,'库存（子SKU）'!G:G)</f>
        <v>0</v>
      </c>
      <c r="F15" s="6" t="s">
        <v>54</v>
      </c>
      <c r="G15">
        <f>SUMIF('库存（子SKU）'!$C:$C,$A15,'库存（子SKU）'!I:I)</f>
        <v>0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0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3" t="str">
        <f t="shared" si="15"/>
        <v/>
      </c>
      <c r="W15" s="23" t="str">
        <f t="shared" si="16"/>
        <v/>
      </c>
      <c r="X15" s="23" t="str">
        <f t="shared" si="17"/>
        <v/>
      </c>
      <c r="Y15" s="23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3" t="str">
        <f t="shared" si="2"/>
        <v/>
      </c>
      <c r="AE15" s="23" t="str">
        <f t="shared" si="3"/>
        <v/>
      </c>
      <c r="AF15" s="23" t="str">
        <f t="shared" si="4"/>
        <v/>
      </c>
      <c r="AG15" s="23" t="str">
        <f t="shared" si="5"/>
        <v/>
      </c>
      <c r="AH15">
        <f>SUMIF('库存（子SKU）'!$C:$C,$A15,'库存（子SKU）'!AJ:AJ)</f>
        <v>228</v>
      </c>
      <c r="AI15">
        <f>SUMIF('库存（子SKU）'!$C:$C,$A15,'库存（子SKU）'!AK:AK)</f>
        <v>195</v>
      </c>
      <c r="AJ15">
        <f>SUMIF('库存（子SKU）'!$C:$C,$A15,'库存（子SKU）'!AL:AL)</f>
        <v>216</v>
      </c>
      <c r="AK15">
        <f>SUMIF('库存（子SKU）'!$C:$C,$A15,'库存（子SKU）'!AM:AM)</f>
        <v>14</v>
      </c>
      <c r="AL15" s="23">
        <f t="shared" si="6"/>
        <v>0</v>
      </c>
      <c r="AM15" s="23">
        <f t="shared" si="7"/>
        <v>0</v>
      </c>
      <c r="AN15" s="23">
        <f t="shared" si="8"/>
        <v>0</v>
      </c>
      <c r="AO15" s="23">
        <f t="shared" si="9"/>
        <v>0</v>
      </c>
      <c r="AP15" s="7">
        <f t="shared" si="10"/>
        <v>0</v>
      </c>
      <c r="AQ15" s="7">
        <f t="shared" si="11"/>
        <v>0</v>
      </c>
      <c r="AR15" s="7">
        <f t="shared" si="12"/>
        <v>0</v>
      </c>
      <c r="AS15" t="str">
        <f t="shared" si="13"/>
        <v>库存为0</v>
      </c>
      <c r="AT15" s="2" t="str">
        <f>IFERROR(时间!$B$4+AS15,"上周无销量")</f>
        <v>上周无销量</v>
      </c>
    </row>
    <row r="16" spans="1:46">
      <c r="A16" t="s">
        <v>84</v>
      </c>
      <c r="B16" s="5">
        <f>SUMIF('库存（子SKU）'!$C:$C,$A16,'库存（子SKU）'!D:D)</f>
        <v>0</v>
      </c>
      <c r="C16" s="5">
        <f>SUMIF('库存（子SKU）'!$C:$C,$A16,'库存（子SKU）'!E:E)</f>
        <v>0</v>
      </c>
      <c r="D16" s="5">
        <f>SUMIF('库存（子SKU）'!$C:$C,$A16,'库存（子SKU）'!F:F)</f>
        <v>0</v>
      </c>
      <c r="E16" s="5">
        <f>SUMIF('库存（子SKU）'!$C:$C,$A16,'库存（子SKU）'!G:G)</f>
        <v>0</v>
      </c>
      <c r="F16" s="6" t="s">
        <v>54</v>
      </c>
      <c r="G16">
        <f>SUMIF('库存（子SKU）'!$C:$C,$A16,'库存（子SKU）'!I:I)</f>
        <v>0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0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3" t="str">
        <f t="shared" si="15"/>
        <v/>
      </c>
      <c r="W16" s="23" t="str">
        <f t="shared" si="16"/>
        <v/>
      </c>
      <c r="X16" s="23" t="str">
        <f t="shared" si="17"/>
        <v/>
      </c>
      <c r="Y16" s="23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3" t="str">
        <f t="shared" si="2"/>
        <v/>
      </c>
      <c r="AE16" s="23" t="str">
        <f t="shared" si="3"/>
        <v/>
      </c>
      <c r="AF16" s="23" t="str">
        <f t="shared" si="4"/>
        <v/>
      </c>
      <c r="AG16" s="23" t="str">
        <f t="shared" si="5"/>
        <v/>
      </c>
      <c r="AH16">
        <f>SUMIF('库存（子SKU）'!$C:$C,$A16,'库存（子SKU）'!AJ:AJ)</f>
        <v>158</v>
      </c>
      <c r="AI16">
        <f>SUMIF('库存（子SKU）'!$C:$C,$A16,'库存（子SKU）'!AK:AK)</f>
        <v>372</v>
      </c>
      <c r="AJ16">
        <f>SUMIF('库存（子SKU）'!$C:$C,$A16,'库存（子SKU）'!AL:AL)</f>
        <v>174</v>
      </c>
      <c r="AK16">
        <f>SUMIF('库存（子SKU）'!$C:$C,$A16,'库存（子SKU）'!AM:AM)</f>
        <v>96</v>
      </c>
      <c r="AL16" s="23">
        <f t="shared" si="6"/>
        <v>0</v>
      </c>
      <c r="AM16" s="23">
        <f t="shared" si="7"/>
        <v>0</v>
      </c>
      <c r="AN16" s="23">
        <f t="shared" si="8"/>
        <v>0</v>
      </c>
      <c r="AO16" s="23">
        <f t="shared" si="9"/>
        <v>0</v>
      </c>
      <c r="AP16" s="7">
        <f t="shared" si="10"/>
        <v>0</v>
      </c>
      <c r="AQ16" s="7">
        <f t="shared" si="11"/>
        <v>0</v>
      </c>
      <c r="AR16" s="7">
        <f t="shared" si="12"/>
        <v>0</v>
      </c>
      <c r="AS16" t="str">
        <f t="shared" si="13"/>
        <v>库存为0</v>
      </c>
      <c r="AT16" s="2" t="str">
        <f>IFERROR(时间!$B$4+AS16,"上周无销量")</f>
        <v>上周无销量</v>
      </c>
    </row>
    <row r="17" spans="1:46">
      <c r="A17" t="s">
        <v>87</v>
      </c>
      <c r="B17" s="5">
        <f>SUMIF('库存（子SKU）'!$C:$C,$A17,'库存（子SKU）'!D:D)</f>
        <v>0</v>
      </c>
      <c r="C17" s="5">
        <f>SUMIF('库存（子SKU）'!$C:$C,$A17,'库存（子SKU）'!E:E)</f>
        <v>0</v>
      </c>
      <c r="D17" s="5">
        <f>SUMIF('库存（子SKU）'!$C:$C,$A17,'库存（子SKU）'!F:F)</f>
        <v>0</v>
      </c>
      <c r="E17" s="5">
        <f>SUMIF('库存（子SKU）'!$C:$C,$A17,'库存（子SKU）'!G:G)</f>
        <v>0</v>
      </c>
      <c r="F17" s="6" t="s">
        <v>54</v>
      </c>
      <c r="G17">
        <f>SUMIF('库存（子SKU）'!$C:$C,$A17,'库存（子SKU）'!I:I)</f>
        <v>0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0</v>
      </c>
      <c r="L17">
        <f>SUMIF('库存（子SKU）'!$C:$C,$A17,'库存（子SKU）'!N:N)</f>
        <v>0</v>
      </c>
      <c r="M17">
        <f>SUMIF('库存（子SKU）'!$C:$C,$A17,'库存（子SKU）'!O:O)</f>
        <v>0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3" t="str">
        <f t="shared" si="15"/>
        <v/>
      </c>
      <c r="W17" s="23" t="str">
        <f t="shared" si="16"/>
        <v/>
      </c>
      <c r="X17" s="23" t="str">
        <f t="shared" si="17"/>
        <v/>
      </c>
      <c r="Y17" s="23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3" t="str">
        <f t="shared" si="2"/>
        <v/>
      </c>
      <c r="AE17" s="23" t="str">
        <f t="shared" si="3"/>
        <v/>
      </c>
      <c r="AF17" s="23" t="str">
        <f t="shared" si="4"/>
        <v/>
      </c>
      <c r="AG17" s="23" t="str">
        <f t="shared" si="5"/>
        <v/>
      </c>
      <c r="AH17">
        <f>SUMIF('库存（子SKU）'!$C:$C,$A17,'库存（子SKU）'!AJ:AJ)</f>
        <v>279</v>
      </c>
      <c r="AI17">
        <f>SUMIF('库存（子SKU）'!$C:$C,$A17,'库存（子SKU）'!AK:AK)</f>
        <v>508</v>
      </c>
      <c r="AJ17">
        <f>SUMIF('库存（子SKU）'!$C:$C,$A17,'库存（子SKU）'!AL:AL)</f>
        <v>621</v>
      </c>
      <c r="AK17">
        <f>SUMIF('库存（子SKU）'!$C:$C,$A17,'库存（子SKU）'!AM:AM)</f>
        <v>328</v>
      </c>
      <c r="AL17" s="23">
        <f t="shared" si="6"/>
        <v>0</v>
      </c>
      <c r="AM17" s="23">
        <f t="shared" si="7"/>
        <v>0</v>
      </c>
      <c r="AN17" s="23">
        <f t="shared" si="8"/>
        <v>0</v>
      </c>
      <c r="AO17" s="23">
        <f t="shared" si="9"/>
        <v>0</v>
      </c>
      <c r="AP17" s="7">
        <f t="shared" si="10"/>
        <v>0</v>
      </c>
      <c r="AQ17" s="7">
        <f t="shared" si="11"/>
        <v>0</v>
      </c>
      <c r="AR17" s="7">
        <f t="shared" si="12"/>
        <v>0</v>
      </c>
      <c r="AS17" t="str">
        <f t="shared" si="13"/>
        <v>库存为0</v>
      </c>
      <c r="AT17" s="2" t="str">
        <f>IFERROR(时间!$B$4+AS17,"上周无销量")</f>
        <v>上周无销量</v>
      </c>
    </row>
    <row r="18" spans="1:46">
      <c r="A18" t="s">
        <v>90</v>
      </c>
      <c r="B18" s="5">
        <f>SUMIF('库存（子SKU）'!$C:$C,$A18,'库存（子SKU）'!D:D)</f>
        <v>0</v>
      </c>
      <c r="C18" s="5">
        <f>SUMIF('库存（子SKU）'!$C:$C,$A18,'库存（子SKU）'!E:E)</f>
        <v>0</v>
      </c>
      <c r="D18" s="5">
        <f>SUMIF('库存（子SKU）'!$C:$C,$A18,'库存（子SKU）'!F:F)</f>
        <v>0</v>
      </c>
      <c r="E18" s="5">
        <f>SUMIF('库存（子SKU）'!$C:$C,$A18,'库存（子SKU）'!G:G)</f>
        <v>0</v>
      </c>
      <c r="F18" s="6" t="s">
        <v>54</v>
      </c>
      <c r="G18">
        <f>SUMIF('库存（子SKU）'!$C:$C,$A18,'库存（子SKU）'!I:I)</f>
        <v>0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0</v>
      </c>
      <c r="L18">
        <f>SUMIF('库存（子SKU）'!$C:$C,$A18,'库存（子SKU）'!N:N)</f>
        <v>0</v>
      </c>
      <c r="M18">
        <f>SUMIF('库存（子SKU）'!$C:$C,$A18,'库存（子SKU）'!O:O)</f>
        <v>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3" t="str">
        <f t="shared" si="15"/>
        <v/>
      </c>
      <c r="W18" s="23" t="str">
        <f t="shared" si="16"/>
        <v/>
      </c>
      <c r="X18" s="23" t="str">
        <f t="shared" si="17"/>
        <v/>
      </c>
      <c r="Y18" s="23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3" t="str">
        <f t="shared" si="2"/>
        <v/>
      </c>
      <c r="AE18" s="23" t="str">
        <f t="shared" si="3"/>
        <v/>
      </c>
      <c r="AF18" s="23" t="str">
        <f t="shared" si="4"/>
        <v/>
      </c>
      <c r="AG18" s="23" t="str">
        <f t="shared" si="5"/>
        <v/>
      </c>
      <c r="AH18">
        <f>SUMIF('库存（子SKU）'!$C:$C,$A18,'库存（子SKU）'!AJ:AJ)</f>
        <v>606</v>
      </c>
      <c r="AI18">
        <f>SUMIF('库存（子SKU）'!$C:$C,$A18,'库存（子SKU）'!AK:AK)</f>
        <v>431</v>
      </c>
      <c r="AJ18">
        <f>SUMIF('库存（子SKU）'!$C:$C,$A18,'库存（子SKU）'!AL:AL)</f>
        <v>381</v>
      </c>
      <c r="AK18">
        <f>SUMIF('库存（子SKU）'!$C:$C,$A18,'库存（子SKU）'!AM:AM)</f>
        <v>429</v>
      </c>
      <c r="AL18" s="23">
        <f t="shared" si="6"/>
        <v>0</v>
      </c>
      <c r="AM18" s="23">
        <f t="shared" si="7"/>
        <v>0</v>
      </c>
      <c r="AN18" s="23">
        <f t="shared" si="8"/>
        <v>0</v>
      </c>
      <c r="AO18" s="23">
        <f t="shared" si="9"/>
        <v>0</v>
      </c>
      <c r="AP18" s="7">
        <f t="shared" si="10"/>
        <v>0</v>
      </c>
      <c r="AQ18" s="7">
        <f t="shared" si="11"/>
        <v>0</v>
      </c>
      <c r="AR18" s="7">
        <f t="shared" si="12"/>
        <v>0</v>
      </c>
      <c r="AS18" t="str">
        <f t="shared" si="13"/>
        <v>库存为0</v>
      </c>
      <c r="AT18" s="2" t="str">
        <f>IFERROR(时间!$B$4+AS18,"上周无销量")</f>
        <v>上周无销量</v>
      </c>
    </row>
    <row r="19" spans="1:46">
      <c r="A19" t="s">
        <v>93</v>
      </c>
      <c r="B19" s="5">
        <f>SUMIF('库存（子SKU）'!$C:$C,$A19,'库存（子SKU）'!D:D)</f>
        <v>0</v>
      </c>
      <c r="C19" s="5">
        <f>SUMIF('库存（子SKU）'!$C:$C,$A19,'库存（子SKU）'!E:E)</f>
        <v>0</v>
      </c>
      <c r="D19" s="5">
        <f>SUMIF('库存（子SKU）'!$C:$C,$A19,'库存（子SKU）'!F:F)</f>
        <v>0</v>
      </c>
      <c r="E19" s="5">
        <f>SUMIF('库存（子SKU）'!$C:$C,$A19,'库存（子SKU）'!G:G)</f>
        <v>0</v>
      </c>
      <c r="F19" s="6" t="s">
        <v>54</v>
      </c>
      <c r="G19">
        <f>SUMIF('库存（子SKU）'!$C:$C,$A19,'库存（子SKU）'!I:I)</f>
        <v>0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0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3" t="str">
        <f t="shared" si="15"/>
        <v/>
      </c>
      <c r="W19" s="23" t="str">
        <f t="shared" si="16"/>
        <v/>
      </c>
      <c r="X19" s="23" t="str">
        <f t="shared" si="17"/>
        <v/>
      </c>
      <c r="Y19" s="23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3" t="str">
        <f t="shared" si="2"/>
        <v/>
      </c>
      <c r="AE19" s="23" t="str">
        <f t="shared" si="3"/>
        <v/>
      </c>
      <c r="AF19" s="23" t="str">
        <f t="shared" si="4"/>
        <v/>
      </c>
      <c r="AG19" s="23" t="str">
        <f t="shared" si="5"/>
        <v/>
      </c>
      <c r="AH19">
        <f>SUMIF('库存（子SKU）'!$C:$C,$A19,'库存（子SKU）'!AJ:AJ)</f>
        <v>407</v>
      </c>
      <c r="AI19">
        <f>SUMIF('库存（子SKU）'!$C:$C,$A19,'库存（子SKU）'!AK:AK)</f>
        <v>403</v>
      </c>
      <c r="AJ19">
        <f>SUMIF('库存（子SKU）'!$C:$C,$A19,'库存（子SKU）'!AL:AL)</f>
        <v>642</v>
      </c>
      <c r="AK19">
        <f>SUMIF('库存（子SKU）'!$C:$C,$A19,'库存（子SKU）'!AM:AM)</f>
        <v>343</v>
      </c>
      <c r="AL19" s="23">
        <f t="shared" si="6"/>
        <v>0</v>
      </c>
      <c r="AM19" s="23">
        <f t="shared" si="7"/>
        <v>0</v>
      </c>
      <c r="AN19" s="23">
        <f t="shared" si="8"/>
        <v>0</v>
      </c>
      <c r="AO19" s="23">
        <f t="shared" si="9"/>
        <v>0</v>
      </c>
      <c r="AP19" s="7">
        <f t="shared" si="10"/>
        <v>0</v>
      </c>
      <c r="AQ19" s="7">
        <f t="shared" si="11"/>
        <v>0</v>
      </c>
      <c r="AR19" s="7">
        <f t="shared" si="12"/>
        <v>0</v>
      </c>
      <c r="AS19" t="str">
        <f t="shared" si="13"/>
        <v>库存为0</v>
      </c>
      <c r="AT19" s="2" t="str">
        <f>IFERROR(时间!$B$4+AS19,"上周无销量")</f>
        <v>上周无销量</v>
      </c>
    </row>
    <row r="20" spans="1:46">
      <c r="A20" t="s">
        <v>96</v>
      </c>
      <c r="B20" s="5">
        <f>SUMIF('库存（子SKU）'!$C:$C,$A20,'库存（子SKU）'!D:D)</f>
        <v>0</v>
      </c>
      <c r="C20" s="5">
        <f>SUMIF('库存（子SKU）'!$C:$C,$A20,'库存（子SKU）'!E:E)</f>
        <v>0</v>
      </c>
      <c r="D20" s="5">
        <f>SUMIF('库存（子SKU）'!$C:$C,$A20,'库存（子SKU）'!F:F)</f>
        <v>0</v>
      </c>
      <c r="E20" s="5">
        <f>SUMIF('库存（子SKU）'!$C:$C,$A20,'库存（子SKU）'!G:G)</f>
        <v>0</v>
      </c>
      <c r="F20" s="6" t="s">
        <v>54</v>
      </c>
      <c r="G20">
        <f>SUMIF('库存（子SKU）'!$C:$C,$A20,'库存（子SKU）'!I:I)</f>
        <v>0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0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3" t="str">
        <f t="shared" si="15"/>
        <v/>
      </c>
      <c r="W20" s="23" t="str">
        <f t="shared" si="16"/>
        <v/>
      </c>
      <c r="X20" s="23" t="str">
        <f t="shared" si="17"/>
        <v/>
      </c>
      <c r="Y20" s="23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3" t="str">
        <f t="shared" si="2"/>
        <v/>
      </c>
      <c r="AE20" s="23" t="str">
        <f t="shared" si="3"/>
        <v/>
      </c>
      <c r="AF20" s="23" t="str">
        <f t="shared" si="4"/>
        <v/>
      </c>
      <c r="AG20" s="23" t="str">
        <f t="shared" si="5"/>
        <v/>
      </c>
      <c r="AH20">
        <f>SUMIF('库存（子SKU）'!$C:$C,$A20,'库存（子SKU）'!AJ:AJ)</f>
        <v>277</v>
      </c>
      <c r="AI20">
        <f>SUMIF('库存（子SKU）'!$C:$C,$A20,'库存（子SKU）'!AK:AK)</f>
        <v>212</v>
      </c>
      <c r="AJ20">
        <f>SUMIF('库存（子SKU）'!$C:$C,$A20,'库存（子SKU）'!AL:AL)</f>
        <v>244</v>
      </c>
      <c r="AK20">
        <f>SUMIF('库存（子SKU）'!$C:$C,$A20,'库存（子SKU）'!AM:AM)</f>
        <v>204</v>
      </c>
      <c r="AL20" s="23">
        <f t="shared" si="6"/>
        <v>0</v>
      </c>
      <c r="AM20" s="23">
        <f t="shared" si="7"/>
        <v>0</v>
      </c>
      <c r="AN20" s="23">
        <f t="shared" si="8"/>
        <v>0</v>
      </c>
      <c r="AO20" s="23">
        <f t="shared" si="9"/>
        <v>0</v>
      </c>
      <c r="AP20" s="7">
        <f t="shared" si="10"/>
        <v>0</v>
      </c>
      <c r="AQ20" s="7">
        <f t="shared" si="11"/>
        <v>0</v>
      </c>
      <c r="AR20" s="7">
        <f t="shared" si="12"/>
        <v>0</v>
      </c>
      <c r="AS20" t="str">
        <f t="shared" si="13"/>
        <v>库存为0</v>
      </c>
      <c r="AT20" s="2" t="str">
        <f>IFERROR(时间!$B$4+AS20,"上周无销量")</f>
        <v>上周无销量</v>
      </c>
    </row>
    <row r="21" spans="1:46">
      <c r="A21" t="s">
        <v>99</v>
      </c>
      <c r="B21" s="5">
        <f>SUMIF('库存（子SKU）'!$C:$C,$A21,'库存（子SKU）'!D:D)</f>
        <v>0</v>
      </c>
      <c r="C21" s="5">
        <f>SUMIF('库存（子SKU）'!$C:$C,$A21,'库存（子SKU）'!E:E)</f>
        <v>0</v>
      </c>
      <c r="D21" s="5">
        <f>SUMIF('库存（子SKU）'!$C:$C,$A21,'库存（子SKU）'!F:F)</f>
        <v>0</v>
      </c>
      <c r="E21" s="5">
        <f>SUMIF('库存（子SKU）'!$C:$C,$A21,'库存（子SKU）'!G:G)</f>
        <v>0</v>
      </c>
      <c r="F21" s="6" t="s">
        <v>54</v>
      </c>
      <c r="G21">
        <f>SUMIF('库存（子SKU）'!$C:$C,$A21,'库存（子SKU）'!I:I)</f>
        <v>0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0</v>
      </c>
      <c r="L21">
        <f>SUMIF('库存（子SKU）'!$C:$C,$A21,'库存（子SKU）'!N:N)</f>
        <v>0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3" t="str">
        <f t="shared" si="15"/>
        <v/>
      </c>
      <c r="W21" s="23" t="str">
        <f t="shared" si="16"/>
        <v/>
      </c>
      <c r="X21" s="23" t="str">
        <f t="shared" si="17"/>
        <v/>
      </c>
      <c r="Y21" s="23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3" t="str">
        <f t="shared" si="2"/>
        <v/>
      </c>
      <c r="AE21" s="23" t="str">
        <f t="shared" si="3"/>
        <v/>
      </c>
      <c r="AF21" s="23" t="str">
        <f t="shared" si="4"/>
        <v/>
      </c>
      <c r="AG21" s="23" t="str">
        <f t="shared" si="5"/>
        <v/>
      </c>
      <c r="AH21">
        <f>SUMIF('库存（子SKU）'!$C:$C,$A21,'库存（子SKU）'!AJ:AJ)</f>
        <v>661</v>
      </c>
      <c r="AI21">
        <f>SUMIF('库存（子SKU）'!$C:$C,$A21,'库存（子SKU）'!AK:AK)</f>
        <v>981</v>
      </c>
      <c r="AJ21">
        <f>SUMIF('库存（子SKU）'!$C:$C,$A21,'库存（子SKU）'!AL:AL)</f>
        <v>798</v>
      </c>
      <c r="AK21">
        <f>SUMIF('库存（子SKU）'!$C:$C,$A21,'库存（子SKU）'!AM:AM)</f>
        <v>635</v>
      </c>
      <c r="AL21" s="23">
        <f t="shared" si="6"/>
        <v>0</v>
      </c>
      <c r="AM21" s="23">
        <f t="shared" si="7"/>
        <v>0</v>
      </c>
      <c r="AN21" s="23">
        <f t="shared" si="8"/>
        <v>0</v>
      </c>
      <c r="AO21" s="23">
        <f t="shared" si="9"/>
        <v>0</v>
      </c>
      <c r="AP21" s="7">
        <f t="shared" si="10"/>
        <v>0</v>
      </c>
      <c r="AQ21" s="7">
        <f t="shared" si="11"/>
        <v>0</v>
      </c>
      <c r="AR21" s="7">
        <f t="shared" si="12"/>
        <v>0</v>
      </c>
      <c r="AS21" t="str">
        <f t="shared" si="13"/>
        <v>库存为0</v>
      </c>
      <c r="AT21" s="2" t="str">
        <f>IFERROR(时间!$B$4+AS21,"上周无销量")</f>
        <v>上周无销量</v>
      </c>
    </row>
    <row r="22" spans="1:46">
      <c r="A22" t="s">
        <v>102</v>
      </c>
      <c r="B22" s="5">
        <f>SUMIF('库存（子SKU）'!$C:$C,$A22,'库存（子SKU）'!D:D)</f>
        <v>16</v>
      </c>
      <c r="C22" s="5">
        <f>SUMIF('库存（子SKU）'!$C:$C,$A22,'库存（子SKU）'!E:E)</f>
        <v>6</v>
      </c>
      <c r="D22" s="5">
        <f>SUMIF('库存（子SKU）'!$C:$C,$A22,'库存（子SKU）'!F:F)</f>
        <v>15</v>
      </c>
      <c r="E22" s="5">
        <f>SUMIF('库存（子SKU）'!$C:$C,$A22,'库存（子SKU）'!G:G)</f>
        <v>18</v>
      </c>
      <c r="F22" s="6">
        <v>91.9899999999998</v>
      </c>
      <c r="G22">
        <f>SUMIF('库存（子SKU）'!$C:$C,$A22,'库存（子SKU）'!I:I)</f>
        <v>78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5</v>
      </c>
      <c r="K22">
        <f t="shared" si="0"/>
        <v>83</v>
      </c>
      <c r="L22">
        <f>SUMIF('库存（子SKU）'!$C:$C,$A22,'库存（子SKU）'!N:N)</f>
        <v>7</v>
      </c>
      <c r="M22">
        <f>SUMIF('库存（子SKU）'!$C:$C,$A22,'库存（子SKU）'!O:O)</f>
        <v>0</v>
      </c>
      <c r="N22">
        <f>SUMIF('库存（子SKU）'!$C:$C,$A22,'库存（子SKU）'!P:P)</f>
        <v>175759</v>
      </c>
      <c r="O22">
        <f>SUMIF('库存（子SKU）'!$C:$C,$A22,'库存（子SKU）'!Q:Q)</f>
        <v>116770</v>
      </c>
      <c r="P22">
        <f>SUMIF('库存（子SKU）'!$C:$C,$A22,'库存（子SKU）'!R:R)</f>
        <v>681465</v>
      </c>
      <c r="Q22">
        <f>SUMIF('库存（子SKU）'!$C:$C,$A22,'库存（子SKU）'!S:S)</f>
        <v>684003</v>
      </c>
      <c r="R22">
        <f>SUMIF('库存（子SKU）'!$C:$C,$A22,'库存（子SKU）'!T:T)</f>
        <v>770</v>
      </c>
      <c r="S22">
        <f>SUMIF('库存（子SKU）'!$C:$C,$A22,'库存（子SKU）'!U:U)</f>
        <v>538</v>
      </c>
      <c r="T22">
        <f>SUMIF('库存（子SKU）'!$C:$C,$A22,'库存（子SKU）'!V:V)</f>
        <v>2828</v>
      </c>
      <c r="U22">
        <f>SUMIF('库存（子SKU）'!$C:$C,$A22,'库存（子SKU）'!W:W)</f>
        <v>2840</v>
      </c>
      <c r="V22" s="23">
        <f t="shared" si="15"/>
        <v>0.00438099898155998</v>
      </c>
      <c r="W22" s="23">
        <f t="shared" si="16"/>
        <v>0.00460734777768262</v>
      </c>
      <c r="X22" s="23">
        <f t="shared" si="17"/>
        <v>0.0041498829727132</v>
      </c>
      <c r="Y22" s="23">
        <f t="shared" si="18"/>
        <v>0.0041520285729741</v>
      </c>
      <c r="Z22">
        <f>SUMIF('库存（子SKU）'!$C:$C,$A22,'库存（子SKU）'!AB:AB)</f>
        <v>109.69</v>
      </c>
      <c r="AA22">
        <f>SUMIF('库存（子SKU）'!$C:$C,$A22,'库存（子SKU）'!AC:AC)</f>
        <v>73.66</v>
      </c>
      <c r="AB22">
        <f>SUMIF('库存（子SKU）'!$C:$C,$A22,'库存（子SKU）'!AD:AD)</f>
        <v>608.44</v>
      </c>
      <c r="AC22">
        <f>SUMIF('库存（子SKU）'!$C:$C,$A22,'库存（子SKU）'!AE:AE)</f>
        <v>611.61</v>
      </c>
      <c r="AD22" s="23">
        <f t="shared" si="2"/>
        <v>0.0745257636699643</v>
      </c>
      <c r="AE22" s="23">
        <f t="shared" si="3"/>
        <v>0.13345653513063</v>
      </c>
      <c r="AF22" s="23">
        <f t="shared" si="4"/>
        <v>0.440946479689822</v>
      </c>
      <c r="AG22" s="23">
        <f t="shared" si="5"/>
        <v>0.36936985904265</v>
      </c>
      <c r="AH22">
        <f>SUMIF('库存（子SKU）'!$C:$C,$A22,'库存（子SKU）'!AJ:AJ)</f>
        <v>1221</v>
      </c>
      <c r="AI22">
        <f>SUMIF('库存（子SKU）'!$C:$C,$A22,'库存（子SKU）'!AK:AK)</f>
        <v>1035</v>
      </c>
      <c r="AJ22">
        <f>SUMIF('库存（子SKU）'!$C:$C,$A22,'库存（子SKU）'!AL:AL)</f>
        <v>1221</v>
      </c>
      <c r="AK22">
        <f>SUMIF('库存（子SKU）'!$C:$C,$A22,'库存（子SKU）'!AM:AM)</f>
        <v>1631</v>
      </c>
      <c r="AL22" s="23">
        <f t="shared" si="6"/>
        <v>0.0131040131040131</v>
      </c>
      <c r="AM22" s="23">
        <f t="shared" si="7"/>
        <v>0.00579710144927536</v>
      </c>
      <c r="AN22" s="23">
        <f t="shared" si="8"/>
        <v>0.0122850122850123</v>
      </c>
      <c r="AO22" s="23">
        <f t="shared" si="9"/>
        <v>0.0110361741263029</v>
      </c>
      <c r="AP22" s="7">
        <f t="shared" si="10"/>
        <v>2.28571428571429</v>
      </c>
      <c r="AQ22" s="7">
        <f t="shared" si="11"/>
        <v>137.142857142857</v>
      </c>
      <c r="AR22" s="7">
        <f t="shared" si="12"/>
        <v>-54.1428571428571</v>
      </c>
      <c r="AS22">
        <f t="shared" si="13"/>
        <v>36</v>
      </c>
      <c r="AT22" s="2">
        <f>IFERROR(时间!$B$4+AS22,"上周无销量")</f>
        <v>43375</v>
      </c>
    </row>
    <row r="23" spans="1:46">
      <c r="A23" t="s">
        <v>105</v>
      </c>
      <c r="B23" s="5">
        <f>SUMIF('库存（子SKU）'!$C:$C,$A23,'库存（子SKU）'!D:D)</f>
        <v>1</v>
      </c>
      <c r="C23" s="5">
        <f>SUMIF('库存（子SKU）'!$C:$C,$A23,'库存（子SKU）'!E:E)</f>
        <v>0</v>
      </c>
      <c r="D23" s="5">
        <f>SUMIF('库存（子SKU）'!$C:$C,$A23,'库存（子SKU）'!F:F)</f>
        <v>2</v>
      </c>
      <c r="E23" s="5">
        <f>SUMIF('库存（子SKU）'!$C:$C,$A23,'库存（子SKU）'!G:G)</f>
        <v>3</v>
      </c>
      <c r="F23" s="6">
        <v>32.99</v>
      </c>
      <c r="G23">
        <f>SUMIF('库存（子SKU）'!$C:$C,$A23,'库存（子SKU）'!I:I)</f>
        <v>117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1</v>
      </c>
      <c r="K23">
        <f t="shared" si="0"/>
        <v>118</v>
      </c>
      <c r="L23">
        <f>SUMIF('库存（子SKU）'!$C:$C,$A23,'库存（子SKU）'!N:N)</f>
        <v>0</v>
      </c>
      <c r="M23">
        <f>SUMIF('库存（子SKU）'!$C:$C,$A23,'库存（子SKU）'!O:O)</f>
        <v>2</v>
      </c>
      <c r="N23">
        <f>SUMIF('库存（子SKU）'!$C:$C,$A23,'库存（子SKU）'!P:P)</f>
        <v>27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1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3">
        <f t="shared" si="15"/>
        <v>0.037037037037037</v>
      </c>
      <c r="W23" s="23" t="str">
        <f t="shared" si="16"/>
        <v/>
      </c>
      <c r="X23" s="23" t="str">
        <f t="shared" si="17"/>
        <v/>
      </c>
      <c r="Y23" s="23" t="str">
        <f t="shared" si="18"/>
        <v/>
      </c>
      <c r="Z23">
        <f>SUMIF('库存（子SKU）'!$C:$C,$A23,'库存（子SKU）'!AB:AB)</f>
        <v>0.06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3">
        <f t="shared" si="2"/>
        <v>0.0018187329493786</v>
      </c>
      <c r="AE23" s="23" t="str">
        <f t="shared" si="3"/>
        <v/>
      </c>
      <c r="AF23" s="23">
        <f t="shared" si="4"/>
        <v>0</v>
      </c>
      <c r="AG23" s="23">
        <f t="shared" si="5"/>
        <v>0</v>
      </c>
      <c r="AH23">
        <f>SUMIF('库存（子SKU）'!$C:$C,$A23,'库存（子SKU）'!AJ:AJ)</f>
        <v>119</v>
      </c>
      <c r="AI23">
        <f>SUMIF('库存（子SKU）'!$C:$C,$A23,'库存（子SKU）'!AK:AK)</f>
        <v>76</v>
      </c>
      <c r="AJ23">
        <f>SUMIF('库存（子SKU）'!$C:$C,$A23,'库存（子SKU）'!AL:AL)</f>
        <v>89</v>
      </c>
      <c r="AK23">
        <f>SUMIF('库存（子SKU）'!$C:$C,$A23,'库存（子SKU）'!AM:AM)</f>
        <v>38</v>
      </c>
      <c r="AL23" s="23">
        <f t="shared" si="6"/>
        <v>0.00840336134453781</v>
      </c>
      <c r="AM23" s="23">
        <f t="shared" si="7"/>
        <v>0</v>
      </c>
      <c r="AN23" s="23">
        <f t="shared" si="8"/>
        <v>0.0224719101123595</v>
      </c>
      <c r="AO23" s="23">
        <f t="shared" si="9"/>
        <v>0.0789473684210526</v>
      </c>
      <c r="AP23" s="7">
        <f t="shared" si="10"/>
        <v>0.142857142857143</v>
      </c>
      <c r="AQ23" s="7">
        <f t="shared" si="11"/>
        <v>8.57142857142857</v>
      </c>
      <c r="AR23" s="7">
        <f t="shared" si="12"/>
        <v>109.428571428571</v>
      </c>
      <c r="AS23">
        <f t="shared" si="13"/>
        <v>826</v>
      </c>
      <c r="AT23" s="2">
        <f>IFERROR(时间!$B$4+AS23,"上周无销量")</f>
        <v>44165</v>
      </c>
    </row>
    <row r="24" spans="1:46">
      <c r="A24" t="s">
        <v>111</v>
      </c>
      <c r="B24" s="5">
        <f>SUMIF('库存（子SKU）'!$C:$C,$A24,'库存（子SKU）'!D:D)</f>
        <v>1</v>
      </c>
      <c r="C24" s="5">
        <f>SUMIF('库存（子SKU）'!$C:$C,$A24,'库存（子SKU）'!E:E)</f>
        <v>4</v>
      </c>
      <c r="D24" s="5">
        <f>SUMIF('库存（子SKU）'!$C:$C,$A24,'库存（子SKU）'!F:F)</f>
        <v>6</v>
      </c>
      <c r="E24" s="5">
        <f>SUMIF('库存（子SKU）'!$C:$C,$A24,'库存（子SKU）'!G:G)</f>
        <v>0</v>
      </c>
      <c r="F24" s="6">
        <v>23.99</v>
      </c>
      <c r="G24">
        <f>SUMIF('库存（子SKU）'!$C:$C,$A24,'库存（子SKU）'!I:I)</f>
        <v>12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12</v>
      </c>
      <c r="L24">
        <f>SUMIF('库存（子SKU）'!$C:$C,$A24,'库存（子SKU）'!N:N)</f>
        <v>0</v>
      </c>
      <c r="M24">
        <f>SUMIF('库存（子SKU）'!$C:$C,$A24,'库存（子SKU）'!O:O)</f>
        <v>0</v>
      </c>
      <c r="N24">
        <f>SUMIF('库存（子SKU）'!$C:$C,$A24,'库存（子SKU）'!P:P)</f>
        <v>904</v>
      </c>
      <c r="O24">
        <f>SUMIF('库存（子SKU）'!$C:$C,$A24,'库存（子SKU）'!Q:Q)</f>
        <v>767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6</v>
      </c>
      <c r="S24">
        <f>SUMIF('库存（子SKU）'!$C:$C,$A24,'库存（子SKU）'!U:U)</f>
        <v>8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23">
        <f t="shared" si="15"/>
        <v>0.00663716814159292</v>
      </c>
      <c r="W24" s="23">
        <f t="shared" si="16"/>
        <v>0.0104302477183833</v>
      </c>
      <c r="X24" s="23" t="str">
        <f t="shared" si="17"/>
        <v/>
      </c>
      <c r="Y24" s="23" t="str">
        <f t="shared" si="18"/>
        <v/>
      </c>
      <c r="Z24">
        <f>SUMIF('库存（子SKU）'!$C:$C,$A24,'库存（子SKU）'!AB:AB)</f>
        <v>0.88</v>
      </c>
      <c r="AA24">
        <f>SUMIF('库存（子SKU）'!$C:$C,$A24,'库存（子SKU）'!AC:AC)</f>
        <v>1.05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23">
        <f t="shared" si="2"/>
        <v>0.0366819508128387</v>
      </c>
      <c r="AE24" s="23">
        <f t="shared" si="3"/>
        <v>0.0109420591913297</v>
      </c>
      <c r="AF24" s="23">
        <f t="shared" si="4"/>
        <v>0</v>
      </c>
      <c r="AG24" s="23" t="str">
        <f t="shared" si="5"/>
        <v/>
      </c>
      <c r="AH24">
        <f>SUMIF('库存（子SKU）'!$C:$C,$A24,'库存（子SKU）'!AJ:AJ)</f>
        <v>76</v>
      </c>
      <c r="AI24">
        <f>SUMIF('库存（子SKU）'!$C:$C,$A24,'库存（子SKU）'!AK:AK)</f>
        <v>91</v>
      </c>
      <c r="AJ24">
        <f>SUMIF('库存（子SKU）'!$C:$C,$A24,'库存（子SKU）'!AL:AL)</f>
        <v>89</v>
      </c>
      <c r="AK24">
        <f>SUMIF('库存（子SKU）'!$C:$C,$A24,'库存（子SKU）'!AM:AM)</f>
        <v>74</v>
      </c>
      <c r="AL24" s="23">
        <f t="shared" si="6"/>
        <v>0.0131578947368421</v>
      </c>
      <c r="AM24" s="23">
        <f t="shared" si="7"/>
        <v>0.043956043956044</v>
      </c>
      <c r="AN24" s="23">
        <f t="shared" si="8"/>
        <v>0.0674157303370786</v>
      </c>
      <c r="AO24" s="23">
        <f t="shared" si="9"/>
        <v>0</v>
      </c>
      <c r="AP24" s="7">
        <f t="shared" si="10"/>
        <v>0.142857142857143</v>
      </c>
      <c r="AQ24" s="7">
        <f t="shared" si="11"/>
        <v>8.57142857142857</v>
      </c>
      <c r="AR24" s="7">
        <f t="shared" si="12"/>
        <v>3.42857142857143</v>
      </c>
      <c r="AS24">
        <f t="shared" si="13"/>
        <v>84</v>
      </c>
      <c r="AT24" s="2">
        <f>IFERROR(时间!$B$4+AS24,"上周无销量")</f>
        <v>43423</v>
      </c>
    </row>
    <row r="25" spans="1:46">
      <c r="A25" t="s">
        <v>114</v>
      </c>
      <c r="B25" s="5">
        <f>SUMIF('库存（子SKU）'!$C:$C,$A25,'库存（子SKU）'!D:D)</f>
        <v>0</v>
      </c>
      <c r="C25" s="5">
        <f>SUMIF('库存（子SKU）'!$C:$C,$A25,'库存（子SKU）'!E:E)</f>
        <v>0</v>
      </c>
      <c r="D25" s="5">
        <f>SUMIF('库存（子SKU）'!$C:$C,$A25,'库存（子SKU）'!F:F)</f>
        <v>0</v>
      </c>
      <c r="E25" s="5">
        <f>SUMIF('库存（子SKU）'!$C:$C,$A25,'库存（子SKU）'!G:G)</f>
        <v>1</v>
      </c>
      <c r="F25" s="6">
        <v>23.99</v>
      </c>
      <c r="G25">
        <f>SUMIF('库存（子SKU）'!$C:$C,$A25,'库存（子SKU）'!I:I)</f>
        <v>12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12</v>
      </c>
      <c r="L25">
        <f>SUMIF('库存（子SKU）'!$C:$C,$A25,'库存（子SKU）'!N:N)</f>
        <v>0</v>
      </c>
      <c r="M25">
        <f>SUMIF('库存（子SKU）'!$C:$C,$A25,'库存（子SKU）'!O:O)</f>
        <v>12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3" t="str">
        <f t="shared" si="15"/>
        <v/>
      </c>
      <c r="W25" s="23" t="str">
        <f t="shared" si="16"/>
        <v/>
      </c>
      <c r="X25" s="23" t="str">
        <f t="shared" si="17"/>
        <v/>
      </c>
      <c r="Y25" s="23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3" t="str">
        <f t="shared" si="2"/>
        <v/>
      </c>
      <c r="AE25" s="23" t="str">
        <f t="shared" si="3"/>
        <v/>
      </c>
      <c r="AF25" s="23" t="str">
        <f t="shared" si="4"/>
        <v/>
      </c>
      <c r="AG25" s="23">
        <f t="shared" si="5"/>
        <v>0</v>
      </c>
      <c r="AH25">
        <f>SUMIF('库存（子SKU）'!$C:$C,$A25,'库存（子SKU）'!AJ:AJ)</f>
        <v>34</v>
      </c>
      <c r="AI25">
        <f>SUMIF('库存（子SKU）'!$C:$C,$A25,'库存（子SKU）'!AK:AK)</f>
        <v>60</v>
      </c>
      <c r="AJ25">
        <f>SUMIF('库存（子SKU）'!$C:$C,$A25,'库存（子SKU）'!AL:AL)</f>
        <v>26</v>
      </c>
      <c r="AK25">
        <f>SUMIF('库存（子SKU）'!$C:$C,$A25,'库存（子SKU）'!AM:AM)</f>
        <v>14</v>
      </c>
      <c r="AL25" s="23">
        <f t="shared" si="6"/>
        <v>0</v>
      </c>
      <c r="AM25" s="23">
        <f t="shared" si="7"/>
        <v>0</v>
      </c>
      <c r="AN25" s="23">
        <f t="shared" si="8"/>
        <v>0</v>
      </c>
      <c r="AO25" s="23">
        <f t="shared" si="9"/>
        <v>0.0714285714285714</v>
      </c>
      <c r="AP25" s="7">
        <f t="shared" si="10"/>
        <v>0</v>
      </c>
      <c r="AQ25" s="7">
        <f t="shared" si="11"/>
        <v>0</v>
      </c>
      <c r="AR25" s="7">
        <f t="shared" si="12"/>
        <v>12</v>
      </c>
      <c r="AS25" t="str">
        <f t="shared" si="13"/>
        <v>库存为12</v>
      </c>
      <c r="AT25" s="2" t="str">
        <f>IFERROR(时间!$B$4+AS25,"上周无销量")</f>
        <v>上周无销量</v>
      </c>
    </row>
    <row r="26" spans="1:46">
      <c r="A26" t="s">
        <v>120</v>
      </c>
      <c r="B26" s="5">
        <f>SUMIF('库存（子SKU）'!$C:$C,$A26,'库存（子SKU）'!D:D)</f>
        <v>0</v>
      </c>
      <c r="C26" s="5">
        <f>SUMIF('库存（子SKU）'!$C:$C,$A26,'库存（子SKU）'!E:E)</f>
        <v>0</v>
      </c>
      <c r="D26" s="5">
        <f>SUMIF('库存（子SKU）'!$C:$C,$A26,'库存（子SKU）'!F:F)</f>
        <v>0</v>
      </c>
      <c r="E26" s="5">
        <f>SUMIF('库存（子SKU）'!$C:$C,$A26,'库存（子SKU）'!G:G)</f>
        <v>0</v>
      </c>
      <c r="F26" s="6" t="s">
        <v>54</v>
      </c>
      <c r="G26">
        <f>SUMIF('库存（子SKU）'!$C:$C,$A26,'库存（子SKU）'!I:I)</f>
        <v>52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52</v>
      </c>
      <c r="L26">
        <f>SUMIF('库存（子SKU）'!$C:$C,$A26,'库存（子SKU）'!N:N)</f>
        <v>0</v>
      </c>
      <c r="M26">
        <f>SUMIF('库存（子SKU）'!$C:$C,$A26,'库存（子SKU）'!O:O)</f>
        <v>21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21598</v>
      </c>
      <c r="Q26">
        <f>SUMIF('库存（子SKU）'!$C:$C,$A26,'库存（子SKU）'!S:S)</f>
        <v>21598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36</v>
      </c>
      <c r="U26">
        <f>SUMIF('库存（子SKU）'!$C:$C,$A26,'库存（子SKU）'!W:W)</f>
        <v>36</v>
      </c>
      <c r="V26" s="23" t="str">
        <f t="shared" si="15"/>
        <v/>
      </c>
      <c r="W26" s="23" t="str">
        <f t="shared" si="16"/>
        <v/>
      </c>
      <c r="X26" s="23">
        <f t="shared" si="17"/>
        <v>0.00166682100194462</v>
      </c>
      <c r="Y26" s="23">
        <f t="shared" si="18"/>
        <v>0.00166682100194462</v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9.39</v>
      </c>
      <c r="AC26">
        <f>SUMIF('库存（子SKU）'!$C:$C,$A26,'库存（子SKU）'!AE:AE)</f>
        <v>9.39</v>
      </c>
      <c r="AD26" s="23" t="str">
        <f t="shared" si="2"/>
        <v/>
      </c>
      <c r="AE26" s="23" t="str">
        <f t="shared" si="3"/>
        <v/>
      </c>
      <c r="AF26" s="23" t="str">
        <f t="shared" si="4"/>
        <v>无销量广告费为9.39</v>
      </c>
      <c r="AG26" s="23" t="str">
        <f t="shared" si="5"/>
        <v>无销量广告费为9.39</v>
      </c>
      <c r="AH26">
        <f>SUMIF('库存（子SKU）'!$C:$C,$A26,'库存（子SKU）'!AJ:AJ)</f>
        <v>25</v>
      </c>
      <c r="AI26">
        <f>SUMIF('库存（子SKU）'!$C:$C,$A26,'库存（子SKU）'!AK:AK)</f>
        <v>20</v>
      </c>
      <c r="AJ26">
        <f>SUMIF('库存（子SKU）'!$C:$C,$A26,'库存（子SKU）'!AL:AL)</f>
        <v>21</v>
      </c>
      <c r="AK26">
        <f>SUMIF('库存（子SKU）'!$C:$C,$A26,'库存（子SKU）'!AM:AM)</f>
        <v>10</v>
      </c>
      <c r="AL26" s="23">
        <f t="shared" si="6"/>
        <v>0</v>
      </c>
      <c r="AM26" s="23">
        <f t="shared" si="7"/>
        <v>0</v>
      </c>
      <c r="AN26" s="23">
        <f t="shared" si="8"/>
        <v>0</v>
      </c>
      <c r="AO26" s="23">
        <f t="shared" si="9"/>
        <v>0</v>
      </c>
      <c r="AP26" s="7">
        <f t="shared" si="10"/>
        <v>0</v>
      </c>
      <c r="AQ26" s="7">
        <f t="shared" si="11"/>
        <v>0</v>
      </c>
      <c r="AR26" s="7">
        <f t="shared" si="12"/>
        <v>52</v>
      </c>
      <c r="AS26" t="str">
        <f t="shared" si="13"/>
        <v>库存为52</v>
      </c>
      <c r="AT26" s="2" t="str">
        <f>IFERROR(时间!$B$4+AS26,"上周无销量")</f>
        <v>上周无销量</v>
      </c>
    </row>
    <row r="27" spans="1:46">
      <c r="A27" t="s">
        <v>127</v>
      </c>
      <c r="B27" s="5">
        <f>SUMIF('库存（子SKU）'!$C:$C,$A27,'库存（子SKU）'!D:D)</f>
        <v>0</v>
      </c>
      <c r="C27" s="5">
        <f>SUMIF('库存（子SKU）'!$C:$C,$A27,'库存（子SKU）'!E:E)</f>
        <v>0</v>
      </c>
      <c r="D27" s="5">
        <f>SUMIF('库存（子SKU）'!$C:$C,$A27,'库存（子SKU）'!F:F)</f>
        <v>0</v>
      </c>
      <c r="E27" s="5">
        <f>SUMIF('库存（子SKU）'!$C:$C,$A27,'库存（子SKU）'!G:G)</f>
        <v>0</v>
      </c>
      <c r="F27" s="6" t="s">
        <v>54</v>
      </c>
      <c r="G27">
        <f>SUMIF('库存（子SKU）'!$C:$C,$A27,'库存（子SKU）'!I:I)</f>
        <v>3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3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2118</v>
      </c>
      <c r="Q27">
        <f>SUMIF('库存（子SKU）'!$C:$C,$A27,'库存（子SKU）'!S:S)</f>
        <v>2132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29</v>
      </c>
      <c r="U27">
        <f>SUMIF('库存（子SKU）'!$C:$C,$A27,'库存（子SKU）'!W:W)</f>
        <v>29</v>
      </c>
      <c r="V27" s="23" t="str">
        <f t="shared" si="15"/>
        <v/>
      </c>
      <c r="W27" s="23" t="str">
        <f t="shared" si="16"/>
        <v/>
      </c>
      <c r="X27" s="23">
        <f t="shared" si="17"/>
        <v>0.0136921624173749</v>
      </c>
      <c r="Y27" s="23">
        <f t="shared" si="18"/>
        <v>0.0136022514071295</v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9.99</v>
      </c>
      <c r="AC27">
        <f>SUMIF('库存（子SKU）'!$C:$C,$A27,'库存（子SKU）'!AE:AE)</f>
        <v>9.99</v>
      </c>
      <c r="AD27" s="23" t="str">
        <f t="shared" si="2"/>
        <v/>
      </c>
      <c r="AE27" s="23" t="str">
        <f t="shared" si="3"/>
        <v/>
      </c>
      <c r="AF27" s="23" t="str">
        <f t="shared" si="4"/>
        <v>无销量广告费为9.99</v>
      </c>
      <c r="AG27" s="23" t="str">
        <f t="shared" si="5"/>
        <v>无销量广告费为9.99</v>
      </c>
      <c r="AH27">
        <f>SUMIF('库存（子SKU）'!$C:$C,$A27,'库存（子SKU）'!AJ:AJ)</f>
        <v>7</v>
      </c>
      <c r="AI27">
        <f>SUMIF('库存（子SKU）'!$C:$C,$A27,'库存（子SKU）'!AK:AK)</f>
        <v>5</v>
      </c>
      <c r="AJ27">
        <f>SUMIF('库存（子SKU）'!$C:$C,$A27,'库存（子SKU）'!AL:AL)</f>
        <v>45</v>
      </c>
      <c r="AK27">
        <f>SUMIF('库存（子SKU）'!$C:$C,$A27,'库存（子SKU）'!AM:AM)</f>
        <v>18</v>
      </c>
      <c r="AL27" s="23">
        <f t="shared" si="6"/>
        <v>0</v>
      </c>
      <c r="AM27" s="23">
        <f t="shared" si="7"/>
        <v>0</v>
      </c>
      <c r="AN27" s="23">
        <f t="shared" si="8"/>
        <v>0</v>
      </c>
      <c r="AO27" s="23">
        <f t="shared" si="9"/>
        <v>0</v>
      </c>
      <c r="AP27" s="7">
        <f t="shared" si="10"/>
        <v>0</v>
      </c>
      <c r="AQ27" s="7">
        <f t="shared" si="11"/>
        <v>0</v>
      </c>
      <c r="AR27" s="7">
        <f t="shared" si="12"/>
        <v>3</v>
      </c>
      <c r="AS27" t="str">
        <f t="shared" si="13"/>
        <v>库存为3</v>
      </c>
      <c r="AT27" s="2" t="str">
        <f>IFERROR(时间!$B$4+AS27,"上周无销量")</f>
        <v>上周无销量</v>
      </c>
    </row>
    <row r="28" spans="1:46">
      <c r="A28" t="s">
        <v>131</v>
      </c>
      <c r="B28" s="5">
        <f>SUMIF('库存（子SKU）'!$C:$C,$A28,'库存（子SKU）'!D:D)</f>
        <v>1</v>
      </c>
      <c r="C28" s="5">
        <f>SUMIF('库存（子SKU）'!$C:$C,$A28,'库存（子SKU）'!E:E)</f>
        <v>1</v>
      </c>
      <c r="D28" s="5">
        <f>SUMIF('库存（子SKU）'!$C:$C,$A28,'库存（子SKU）'!F:F)</f>
        <v>4</v>
      </c>
      <c r="E28" s="5">
        <f>SUMIF('库存（子SKU）'!$C:$C,$A28,'库存（子SKU）'!G:G)</f>
        <v>2</v>
      </c>
      <c r="F28" s="6">
        <v>87.49</v>
      </c>
      <c r="G28">
        <f>SUMIF('库存（子SKU）'!$C:$C,$A28,'库存（子SKU）'!I:I)</f>
        <v>29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29</v>
      </c>
      <c r="L28">
        <f>SUMIF('库存（子SKU）'!$C:$C,$A28,'库存（子SKU）'!N:N)</f>
        <v>1</v>
      </c>
      <c r="M28">
        <f>SUMIF('库存（子SKU）'!$C:$C,$A28,'库存（子SKU）'!O:O)</f>
        <v>5</v>
      </c>
      <c r="N28">
        <f>SUMIF('库存（子SKU）'!$C:$C,$A28,'库存（子SKU）'!P:P)</f>
        <v>20215</v>
      </c>
      <c r="O28">
        <f>SUMIF('库存（子SKU）'!$C:$C,$A28,'库存（子SKU）'!Q:Q)</f>
        <v>17018</v>
      </c>
      <c r="P28">
        <f>SUMIF('库存（子SKU）'!$C:$C,$A28,'库存（子SKU）'!R:R)</f>
        <v>43019</v>
      </c>
      <c r="Q28">
        <f>SUMIF('库存（子SKU）'!$C:$C,$A28,'库存（子SKU）'!S:S)</f>
        <v>43268</v>
      </c>
      <c r="R28">
        <f>SUMIF('库存（子SKU）'!$C:$C,$A28,'库存（子SKU）'!T:T)</f>
        <v>164</v>
      </c>
      <c r="S28">
        <f>SUMIF('库存（子SKU）'!$C:$C,$A28,'库存（子SKU）'!U:U)</f>
        <v>162</v>
      </c>
      <c r="T28">
        <f>SUMIF('库存（子SKU）'!$C:$C,$A28,'库存（子SKU）'!V:V)</f>
        <v>450</v>
      </c>
      <c r="U28">
        <f>SUMIF('库存（子SKU）'!$C:$C,$A28,'库存（子SKU）'!W:W)</f>
        <v>450</v>
      </c>
      <c r="V28" s="23">
        <f t="shared" si="15"/>
        <v>0.0081127875340094</v>
      </c>
      <c r="W28" s="23">
        <f t="shared" si="16"/>
        <v>0.00951933247150076</v>
      </c>
      <c r="X28" s="23">
        <f t="shared" si="17"/>
        <v>0.0104604942002371</v>
      </c>
      <c r="Y28" s="23">
        <f t="shared" si="18"/>
        <v>0.010400295830637</v>
      </c>
      <c r="Z28">
        <f>SUMIF('库存（子SKU）'!$C:$C,$A28,'库存（子SKU）'!AB:AB)</f>
        <v>54.31</v>
      </c>
      <c r="AA28">
        <f>SUMIF('库存（子SKU）'!$C:$C,$A28,'库存（子SKU）'!AC:AC)</f>
        <v>50.87</v>
      </c>
      <c r="AB28">
        <f>SUMIF('库存（子SKU）'!$C:$C,$A28,'库存（子SKU）'!AD:AD)</f>
        <v>85.67</v>
      </c>
      <c r="AC28">
        <f>SUMIF('库存（子SKU）'!$C:$C,$A28,'库存（子SKU）'!AE:AE)</f>
        <v>85.67</v>
      </c>
      <c r="AD28" s="23">
        <f t="shared" si="2"/>
        <v>0.62075665790376</v>
      </c>
      <c r="AE28" s="23">
        <f t="shared" si="3"/>
        <v>0.581437878614699</v>
      </c>
      <c r="AF28" s="23">
        <f t="shared" si="4"/>
        <v>0.24479940564636</v>
      </c>
      <c r="AG28" s="23">
        <f t="shared" si="5"/>
        <v>0.489598811292719</v>
      </c>
      <c r="AH28">
        <f>SUMIF('库存（子SKU）'!$C:$C,$A28,'库存（子SKU）'!AJ:AJ)</f>
        <v>257</v>
      </c>
      <c r="AI28">
        <f>SUMIF('库存（子SKU）'!$C:$C,$A28,'库存（子SKU）'!AK:AK)</f>
        <v>212</v>
      </c>
      <c r="AJ28">
        <f>SUMIF('库存（子SKU）'!$C:$C,$A28,'库存（子SKU）'!AL:AL)</f>
        <v>198</v>
      </c>
      <c r="AK28">
        <f>SUMIF('库存（子SKU）'!$C:$C,$A28,'库存（子SKU）'!AM:AM)</f>
        <v>274</v>
      </c>
      <c r="AL28" s="23">
        <f t="shared" si="6"/>
        <v>0.00389105058365759</v>
      </c>
      <c r="AM28" s="23">
        <f t="shared" si="7"/>
        <v>0.00471698113207547</v>
      </c>
      <c r="AN28" s="23">
        <f t="shared" si="8"/>
        <v>0.0202020202020202</v>
      </c>
      <c r="AO28" s="23">
        <f t="shared" si="9"/>
        <v>0.0072992700729927</v>
      </c>
      <c r="AP28" s="7">
        <f t="shared" si="10"/>
        <v>0.142857142857143</v>
      </c>
      <c r="AQ28" s="7">
        <f t="shared" si="11"/>
        <v>8.57142857142857</v>
      </c>
      <c r="AR28" s="7">
        <f t="shared" si="12"/>
        <v>20.4285714285714</v>
      </c>
      <c r="AS28">
        <f t="shared" si="13"/>
        <v>203</v>
      </c>
      <c r="AT28" s="2">
        <f>IFERROR(时间!$B$4+AS28,"上周无销量")</f>
        <v>43542</v>
      </c>
    </row>
    <row r="29" spans="1:46">
      <c r="A29" t="s">
        <v>138</v>
      </c>
      <c r="B29" s="5">
        <f>SUMIF('库存（子SKU）'!$C:$C,$A29,'库存（子SKU）'!D:D)</f>
        <v>0</v>
      </c>
      <c r="C29" s="5">
        <f>SUMIF('库存（子SKU）'!$C:$C,$A29,'库存（子SKU）'!E:E)</f>
        <v>0</v>
      </c>
      <c r="D29" s="5">
        <f>SUMIF('库存（子SKU）'!$C:$C,$A29,'库存（子SKU）'!F:F)</f>
        <v>0</v>
      </c>
      <c r="E29" s="5">
        <f>SUMIF('库存（子SKU）'!$C:$C,$A29,'库存（子SKU）'!G:G)</f>
        <v>0</v>
      </c>
      <c r="F29" s="6" t="s">
        <v>54</v>
      </c>
      <c r="G29">
        <f>SUMIF('库存（子SKU）'!$C:$C,$A29,'库存（子SKU）'!I:I)</f>
        <v>18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18</v>
      </c>
      <c r="L29">
        <f>SUMIF('库存（子SKU）'!$C:$C,$A29,'库存（子SKU）'!N:N)</f>
        <v>0</v>
      </c>
      <c r="M29">
        <f>SUMIF('库存（子SKU）'!$C:$C,$A29,'库存（子SKU）'!O:O)</f>
        <v>18</v>
      </c>
      <c r="N29">
        <f>SUMIF('库存（子SKU）'!$C:$C,$A29,'库存（子SKU）'!P:P)</f>
        <v>5812</v>
      </c>
      <c r="O29">
        <f>SUMIF('库存（子SKU）'!$C:$C,$A29,'库存（子SKU）'!Q:Q)</f>
        <v>34231</v>
      </c>
      <c r="P29">
        <f>SUMIF('库存（子SKU）'!$C:$C,$A29,'库存（子SKU）'!R:R)</f>
        <v>495665</v>
      </c>
      <c r="Q29">
        <f>SUMIF('库存（子SKU）'!$C:$C,$A29,'库存（子SKU）'!S:S)</f>
        <v>495668</v>
      </c>
      <c r="R29">
        <f>SUMIF('库存（子SKU）'!$C:$C,$A29,'库存（子SKU）'!T:T)</f>
        <v>6</v>
      </c>
      <c r="S29">
        <f>SUMIF('库存（子SKU）'!$C:$C,$A29,'库存（子SKU）'!U:U)</f>
        <v>69</v>
      </c>
      <c r="T29">
        <f>SUMIF('库存（子SKU）'!$C:$C,$A29,'库存（子SKU）'!V:V)</f>
        <v>554</v>
      </c>
      <c r="U29">
        <f>SUMIF('库存（子SKU）'!$C:$C,$A29,'库存（子SKU）'!W:W)</f>
        <v>554</v>
      </c>
      <c r="V29" s="23">
        <f t="shared" si="15"/>
        <v>0.00103234686854783</v>
      </c>
      <c r="W29" s="23">
        <f t="shared" si="16"/>
        <v>0.00201571674797698</v>
      </c>
      <c r="X29" s="23">
        <f t="shared" si="17"/>
        <v>0.00111769037555607</v>
      </c>
      <c r="Y29" s="23">
        <f t="shared" si="18"/>
        <v>0.00111768361080401</v>
      </c>
      <c r="Z29">
        <f>SUMIF('库存（子SKU）'!$C:$C,$A29,'库存（子SKU）'!AB:AB)</f>
        <v>2.34</v>
      </c>
      <c r="AA29">
        <f>SUMIF('库存（子SKU）'!$C:$C,$A29,'库存（子SKU）'!AC:AC)</f>
        <v>21.71</v>
      </c>
      <c r="AB29">
        <f>SUMIF('库存（子SKU）'!$C:$C,$A29,'库存（子SKU）'!AD:AD)</f>
        <v>145.43</v>
      </c>
      <c r="AC29">
        <f>SUMIF('库存（子SKU）'!$C:$C,$A29,'库存（子SKU）'!AE:AE)</f>
        <v>145.43</v>
      </c>
      <c r="AD29" s="23" t="str">
        <f t="shared" si="2"/>
        <v>无销量广告费为2.34</v>
      </c>
      <c r="AE29" s="23" t="str">
        <f t="shared" si="3"/>
        <v>无销量广告费为21.71</v>
      </c>
      <c r="AF29" s="23" t="str">
        <f t="shared" si="4"/>
        <v>无销量广告费为145.43</v>
      </c>
      <c r="AG29" s="23" t="str">
        <f t="shared" si="5"/>
        <v>无销量广告费为145.43</v>
      </c>
      <c r="AH29">
        <f>SUMIF('库存（子SKU）'!$C:$C,$A29,'库存（子SKU）'!AJ:AJ)</f>
        <v>25</v>
      </c>
      <c r="AI29">
        <f>SUMIF('库存（子SKU）'!$C:$C,$A29,'库存（子SKU）'!AK:AK)</f>
        <v>104</v>
      </c>
      <c r="AJ29">
        <f>SUMIF('库存（子SKU）'!$C:$C,$A29,'库存（子SKU）'!AL:AL)</f>
        <v>58</v>
      </c>
      <c r="AK29">
        <f>SUMIF('库存（子SKU）'!$C:$C,$A29,'库存（子SKU）'!AM:AM)</f>
        <v>36</v>
      </c>
      <c r="AL29" s="23">
        <f t="shared" si="6"/>
        <v>0</v>
      </c>
      <c r="AM29" s="23">
        <f t="shared" si="7"/>
        <v>0</v>
      </c>
      <c r="AN29" s="23">
        <f t="shared" si="8"/>
        <v>0</v>
      </c>
      <c r="AO29" s="23">
        <f t="shared" si="9"/>
        <v>0</v>
      </c>
      <c r="AP29" s="7">
        <f t="shared" si="10"/>
        <v>0</v>
      </c>
      <c r="AQ29" s="7">
        <f t="shared" si="11"/>
        <v>0</v>
      </c>
      <c r="AR29" s="7">
        <f t="shared" si="12"/>
        <v>18</v>
      </c>
      <c r="AS29" t="str">
        <f t="shared" si="13"/>
        <v>库存为18</v>
      </c>
      <c r="AT29" s="2" t="str">
        <f>IFERROR(时间!$B$4+AS29,"上周无销量")</f>
        <v>上周无销量</v>
      </c>
    </row>
    <row r="30" spans="1:46">
      <c r="A30" t="s">
        <v>144</v>
      </c>
      <c r="B30" s="5">
        <f>SUMIF('库存（子SKU）'!$C:$C,$A30,'库存（子SKU）'!D:D)</f>
        <v>0</v>
      </c>
      <c r="C30" s="5">
        <f>SUMIF('库存（子SKU）'!$C:$C,$A30,'库存（子SKU）'!E:E)</f>
        <v>2</v>
      </c>
      <c r="D30" s="5">
        <f>SUMIF('库存（子SKU）'!$C:$C,$A30,'库存（子SKU）'!F:F)</f>
        <v>2</v>
      </c>
      <c r="E30" s="5">
        <f>SUMIF('库存（子SKU）'!$C:$C,$A30,'库存（子SKU）'!G:G)</f>
        <v>3</v>
      </c>
      <c r="F30" s="6">
        <v>89.99</v>
      </c>
      <c r="G30">
        <f>SUMIF('库存（子SKU）'!$C:$C,$A30,'库存（子SKU）'!I:I)</f>
        <v>13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4</v>
      </c>
      <c r="K30">
        <f t="shared" si="0"/>
        <v>17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68</v>
      </c>
      <c r="O30">
        <f>SUMIF('库存（子SKU）'!$C:$C,$A30,'库存（子SKU）'!Q:Q)</f>
        <v>172</v>
      </c>
      <c r="P30">
        <f>SUMIF('库存（子SKU）'!$C:$C,$A30,'库存（子SKU）'!R:R)</f>
        <v>899</v>
      </c>
      <c r="Q30">
        <f>SUMIF('库存（子SKU）'!$C:$C,$A30,'库存（子SKU）'!S:S)</f>
        <v>899</v>
      </c>
      <c r="R30">
        <f>SUMIF('库存（子SKU）'!$C:$C,$A30,'库存（子SKU）'!T:T)</f>
        <v>0</v>
      </c>
      <c r="S30">
        <f>SUMIF('库存（子SKU）'!$C:$C,$A30,'库存（子SKU）'!U:U)</f>
        <v>2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3">
        <f t="shared" si="15"/>
        <v>0</v>
      </c>
      <c r="W30" s="23">
        <f t="shared" si="16"/>
        <v>0.0116279069767442</v>
      </c>
      <c r="X30" s="23">
        <f t="shared" si="17"/>
        <v>0</v>
      </c>
      <c r="Y30" s="23">
        <f t="shared" si="18"/>
        <v>0</v>
      </c>
      <c r="Z30">
        <f>SUMIF('库存（子SKU）'!$C:$C,$A30,'库存（子SKU）'!AB:AB)</f>
        <v>0</v>
      </c>
      <c r="AA30">
        <f>SUMIF('库存（子SKU）'!$C:$C,$A30,'库存（子SKU）'!AC:AC)</f>
        <v>0.63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3" t="str">
        <f t="shared" si="2"/>
        <v/>
      </c>
      <c r="AE30" s="23">
        <f t="shared" si="3"/>
        <v>0.00350038893210357</v>
      </c>
      <c r="AF30" s="23">
        <f t="shared" si="4"/>
        <v>0</v>
      </c>
      <c r="AG30" s="23">
        <f t="shared" si="5"/>
        <v>0</v>
      </c>
      <c r="AH30">
        <f>SUMIF('库存（子SKU）'!$C:$C,$A30,'库存（子SKU）'!AJ:AJ)</f>
        <v>109</v>
      </c>
      <c r="AI30">
        <f>SUMIF('库存（子SKU）'!$C:$C,$A30,'库存（子SKU）'!AK:AK)</f>
        <v>133</v>
      </c>
      <c r="AJ30">
        <f>SUMIF('库存（子SKU）'!$C:$C,$A30,'库存（子SKU）'!AL:AL)</f>
        <v>124</v>
      </c>
      <c r="AK30">
        <f>SUMIF('库存（子SKU）'!$C:$C,$A30,'库存（子SKU）'!AM:AM)</f>
        <v>76</v>
      </c>
      <c r="AL30" s="23">
        <f t="shared" si="6"/>
        <v>0</v>
      </c>
      <c r="AM30" s="23">
        <f t="shared" si="7"/>
        <v>0.0150375939849624</v>
      </c>
      <c r="AN30" s="23">
        <f t="shared" si="8"/>
        <v>0.0161290322580645</v>
      </c>
      <c r="AO30" s="23">
        <f t="shared" si="9"/>
        <v>0.0394736842105263</v>
      </c>
      <c r="AP30" s="7">
        <f t="shared" si="10"/>
        <v>0</v>
      </c>
      <c r="AQ30" s="7">
        <f t="shared" si="11"/>
        <v>0</v>
      </c>
      <c r="AR30" s="7">
        <f t="shared" si="12"/>
        <v>17</v>
      </c>
      <c r="AS30" t="str">
        <f t="shared" si="13"/>
        <v>库存为17</v>
      </c>
      <c r="AT30" s="2" t="str">
        <f>IFERROR(时间!$B$4+AS30,"上周无销量")</f>
        <v>上周无销量</v>
      </c>
    </row>
    <row r="31" spans="1:46">
      <c r="A31" t="s">
        <v>147</v>
      </c>
      <c r="B31" s="5">
        <f>SUMIF('库存（子SKU）'!$C:$C,$A31,'库存（子SKU）'!D:D)</f>
        <v>2</v>
      </c>
      <c r="C31" s="5">
        <f>SUMIF('库存（子SKU）'!$C:$C,$A31,'库存（子SKU）'!E:E)</f>
        <v>6</v>
      </c>
      <c r="D31" s="5">
        <f>SUMIF('库存（子SKU）'!$C:$C,$A31,'库存（子SKU）'!F:F)</f>
        <v>1</v>
      </c>
      <c r="E31" s="5">
        <f>SUMIF('库存（子SKU）'!$C:$C,$A31,'库存（子SKU）'!G:G)</f>
        <v>1</v>
      </c>
      <c r="F31" s="6">
        <v>77.991</v>
      </c>
      <c r="G31">
        <f>SUMIF('库存（子SKU）'!$C:$C,$A31,'库存（子SKU）'!I:I)</f>
        <v>15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15</v>
      </c>
      <c r="L31">
        <f>SUMIF('库存（子SKU）'!$C:$C,$A31,'库存（子SKU）'!N:N)</f>
        <v>0</v>
      </c>
      <c r="M31">
        <f>SUMIF('库存（子SKU）'!$C:$C,$A31,'库存（子SKU）'!O:O)</f>
        <v>12</v>
      </c>
      <c r="N31">
        <f>SUMIF('库存（子SKU）'!$C:$C,$A31,'库存（子SKU）'!P:P)</f>
        <v>21883</v>
      </c>
      <c r="O31">
        <f>SUMIF('库存（子SKU）'!$C:$C,$A31,'库存（子SKU）'!Q:Q)</f>
        <v>23278</v>
      </c>
      <c r="P31">
        <f>SUMIF('库存（子SKU）'!$C:$C,$A31,'库存（子SKU）'!R:R)</f>
        <v>4303</v>
      </c>
      <c r="Q31">
        <f>SUMIF('库存（子SKU）'!$C:$C,$A31,'库存（子SKU）'!S:S)</f>
        <v>4470</v>
      </c>
      <c r="R31">
        <f>SUMIF('库存（子SKU）'!$C:$C,$A31,'库存（子SKU）'!T:T)</f>
        <v>131</v>
      </c>
      <c r="S31">
        <f>SUMIF('库存（子SKU）'!$C:$C,$A31,'库存（子SKU）'!U:U)</f>
        <v>152</v>
      </c>
      <c r="T31">
        <f>SUMIF('库存（子SKU）'!$C:$C,$A31,'库存（子SKU）'!V:V)</f>
        <v>13</v>
      </c>
      <c r="U31">
        <f>SUMIF('库存（子SKU）'!$C:$C,$A31,'库存（子SKU）'!W:W)</f>
        <v>13</v>
      </c>
      <c r="V31" s="23">
        <f t="shared" si="15"/>
        <v>0.00598638212310926</v>
      </c>
      <c r="W31" s="23">
        <f t="shared" si="16"/>
        <v>0.0065297705988487</v>
      </c>
      <c r="X31" s="23">
        <f t="shared" si="17"/>
        <v>0.00302114803625378</v>
      </c>
      <c r="Y31" s="23">
        <f t="shared" si="18"/>
        <v>0.0029082774049217</v>
      </c>
      <c r="Z31">
        <f>SUMIF('库存（子SKU）'!$C:$C,$A31,'库存（子SKU）'!AB:AB)</f>
        <v>35.71</v>
      </c>
      <c r="AA31">
        <f>SUMIF('库存（子SKU）'!$C:$C,$A31,'库存（子SKU）'!AC:AC)</f>
        <v>43.73</v>
      </c>
      <c r="AB31">
        <f>SUMIF('库存（子SKU）'!$C:$C,$A31,'库存（子SKU）'!AD:AD)</f>
        <v>4.69</v>
      </c>
      <c r="AC31">
        <f>SUMIF('库存（子SKU）'!$C:$C,$A31,'库存（子SKU）'!AE:AE)</f>
        <v>4.69</v>
      </c>
      <c r="AD31" s="23">
        <f t="shared" si="2"/>
        <v>0.228936672180123</v>
      </c>
      <c r="AE31" s="23">
        <f t="shared" si="3"/>
        <v>0.0934509537425258</v>
      </c>
      <c r="AF31" s="23">
        <f t="shared" si="4"/>
        <v>0.0601351437986434</v>
      </c>
      <c r="AG31" s="23">
        <f t="shared" si="5"/>
        <v>0.0601351437986434</v>
      </c>
      <c r="AH31">
        <f>SUMIF('库存（子SKU）'!$C:$C,$A31,'库存（子SKU）'!AJ:AJ)</f>
        <v>269</v>
      </c>
      <c r="AI31">
        <f>SUMIF('库存（子SKU）'!$C:$C,$A31,'库存（子SKU）'!AK:AK)</f>
        <v>314</v>
      </c>
      <c r="AJ31">
        <f>SUMIF('库存（子SKU）'!$C:$C,$A31,'库存（子SKU）'!AL:AL)</f>
        <v>256</v>
      </c>
      <c r="AK31">
        <f>SUMIF('库存（子SKU）'!$C:$C,$A31,'库存（子SKU）'!AM:AM)</f>
        <v>91</v>
      </c>
      <c r="AL31" s="23">
        <f t="shared" si="6"/>
        <v>0.00743494423791822</v>
      </c>
      <c r="AM31" s="23">
        <f t="shared" si="7"/>
        <v>0.0191082802547771</v>
      </c>
      <c r="AN31" s="23">
        <f t="shared" si="8"/>
        <v>0.00390625</v>
      </c>
      <c r="AO31" s="23">
        <f t="shared" si="9"/>
        <v>0.010989010989011</v>
      </c>
      <c r="AP31" s="7">
        <f t="shared" si="10"/>
        <v>0.285714285714286</v>
      </c>
      <c r="AQ31" s="7">
        <f t="shared" si="11"/>
        <v>17.1428571428571</v>
      </c>
      <c r="AR31" s="7">
        <f t="shared" si="12"/>
        <v>-2.14285714285714</v>
      </c>
      <c r="AS31">
        <f t="shared" si="13"/>
        <v>52</v>
      </c>
      <c r="AT31" s="2">
        <f>IFERROR(时间!$B$4+AS31,"上周无销量")</f>
        <v>43391</v>
      </c>
    </row>
    <row r="32" spans="1:46">
      <c r="A32" t="s">
        <v>154</v>
      </c>
      <c r="B32" s="5">
        <f>SUMIF('库存（子SKU）'!$C:$C,$A32,'库存（子SKU）'!D:D)</f>
        <v>0</v>
      </c>
      <c r="C32" s="5">
        <f>SUMIF('库存（子SKU）'!$C:$C,$A32,'库存（子SKU）'!E:E)</f>
        <v>0</v>
      </c>
      <c r="D32" s="5">
        <f>SUMIF('库存（子SKU）'!$C:$C,$A32,'库存（子SKU）'!F:F)</f>
        <v>0</v>
      </c>
      <c r="E32" s="5">
        <f>SUMIF('库存（子SKU）'!$C:$C,$A32,'库存（子SKU）'!G:G)</f>
        <v>0</v>
      </c>
      <c r="F32" s="6" t="s">
        <v>54</v>
      </c>
      <c r="G32">
        <f>SUMIF('库存（子SKU）'!$C:$C,$A32,'库存（子SKU）'!I:I)</f>
        <v>12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12</v>
      </c>
      <c r="L32">
        <f>SUMIF('库存（子SKU）'!$C:$C,$A32,'库存（子SKU）'!N:N)</f>
        <v>0</v>
      </c>
      <c r="M32">
        <f>SUMIF('库存（子SKU）'!$C:$C,$A32,'库存（子SKU）'!O:O)</f>
        <v>8</v>
      </c>
      <c r="N32">
        <f>SUMIF('库存（子SKU）'!$C:$C,$A32,'库存（子SKU）'!P:P)</f>
        <v>1084</v>
      </c>
      <c r="O32">
        <f>SUMIF('库存（子SKU）'!$C:$C,$A32,'库存（子SKU）'!Q:Q)</f>
        <v>602</v>
      </c>
      <c r="P32">
        <f>SUMIF('库存（子SKU）'!$C:$C,$A32,'库存（子SKU）'!R:R)</f>
        <v>12377</v>
      </c>
      <c r="Q32">
        <f>SUMIF('库存（子SKU）'!$C:$C,$A32,'库存（子SKU）'!S:S)</f>
        <v>12415</v>
      </c>
      <c r="R32">
        <f>SUMIF('库存（子SKU）'!$C:$C,$A32,'库存（子SKU）'!T:T)</f>
        <v>10</v>
      </c>
      <c r="S32">
        <f>SUMIF('库存（子SKU）'!$C:$C,$A32,'库存（子SKU）'!U:U)</f>
        <v>6</v>
      </c>
      <c r="T32">
        <f>SUMIF('库存（子SKU）'!$C:$C,$A32,'库存（子SKU）'!V:V)</f>
        <v>84</v>
      </c>
      <c r="U32">
        <f>SUMIF('库存（子SKU）'!$C:$C,$A32,'库存（子SKU）'!W:W)</f>
        <v>85</v>
      </c>
      <c r="V32" s="23">
        <f t="shared" si="15"/>
        <v>0.00922509225092251</v>
      </c>
      <c r="W32" s="23">
        <f t="shared" si="16"/>
        <v>0.00996677740863787</v>
      </c>
      <c r="X32" s="23">
        <f t="shared" si="17"/>
        <v>0.00678678193423285</v>
      </c>
      <c r="Y32" s="23">
        <f t="shared" si="18"/>
        <v>0.00684655658477648</v>
      </c>
      <c r="Z32">
        <f>SUMIF('库存（子SKU）'!$C:$C,$A32,'库存（子SKU）'!AB:AB)</f>
        <v>2.49</v>
      </c>
      <c r="AA32">
        <f>SUMIF('库存（子SKU）'!$C:$C,$A32,'库存（子SKU）'!AC:AC)</f>
        <v>1.62</v>
      </c>
      <c r="AB32">
        <f>SUMIF('库存（子SKU）'!$C:$C,$A32,'库存（子SKU）'!AD:AD)</f>
        <v>13.72</v>
      </c>
      <c r="AC32">
        <f>SUMIF('库存（子SKU）'!$C:$C,$A32,'库存（子SKU）'!AE:AE)</f>
        <v>13.86</v>
      </c>
      <c r="AD32" s="23" t="str">
        <f t="shared" si="2"/>
        <v>无销量广告费为2.49</v>
      </c>
      <c r="AE32" s="23" t="str">
        <f t="shared" si="3"/>
        <v>无销量广告费为1.62</v>
      </c>
      <c r="AF32" s="23" t="str">
        <f t="shared" si="4"/>
        <v>无销量广告费为13.72</v>
      </c>
      <c r="AG32" s="23" t="str">
        <f t="shared" si="5"/>
        <v>无销量广告费为13.86</v>
      </c>
      <c r="AH32">
        <f>SUMIF('库存（子SKU）'!$C:$C,$A32,'库存（子SKU）'!AJ:AJ)</f>
        <v>28</v>
      </c>
      <c r="AI32">
        <f>SUMIF('库存（子SKU）'!$C:$C,$A32,'库存（子SKU）'!AK:AK)</f>
        <v>26</v>
      </c>
      <c r="AJ32">
        <f>SUMIF('库存（子SKU）'!$C:$C,$A32,'库存（子SKU）'!AL:AL)</f>
        <v>22</v>
      </c>
      <c r="AK32">
        <f>SUMIF('库存（子SKU）'!$C:$C,$A32,'库存（子SKU）'!AM:AM)</f>
        <v>37</v>
      </c>
      <c r="AL32" s="23">
        <f t="shared" si="6"/>
        <v>0</v>
      </c>
      <c r="AM32" s="23">
        <f t="shared" si="7"/>
        <v>0</v>
      </c>
      <c r="AN32" s="23">
        <f t="shared" si="8"/>
        <v>0</v>
      </c>
      <c r="AO32" s="23">
        <f t="shared" si="9"/>
        <v>0</v>
      </c>
      <c r="AP32" s="7">
        <f t="shared" si="10"/>
        <v>0</v>
      </c>
      <c r="AQ32" s="7">
        <f t="shared" si="11"/>
        <v>0</v>
      </c>
      <c r="AR32" s="7">
        <f t="shared" si="12"/>
        <v>12</v>
      </c>
      <c r="AS32" t="str">
        <f t="shared" si="13"/>
        <v>库存为12</v>
      </c>
      <c r="AT32" s="2" t="str">
        <f>IFERROR(时间!$B$4+AS32,"上周无销量")</f>
        <v>上周无销量</v>
      </c>
    </row>
    <row r="33" spans="1:46">
      <c r="A33" t="s">
        <v>163</v>
      </c>
      <c r="B33" s="5">
        <f>SUMIF('库存（子SKU）'!$C:$C,$A33,'库存（子SKU）'!D:D)</f>
        <v>0</v>
      </c>
      <c r="C33" s="5">
        <f>SUMIF('库存（子SKU）'!$C:$C,$A33,'库存（子SKU）'!E:E)</f>
        <v>1</v>
      </c>
      <c r="D33" s="5">
        <f>SUMIF('库存（子SKU）'!$C:$C,$A33,'库存（子SKU）'!F:F)</f>
        <v>0</v>
      </c>
      <c r="E33" s="5">
        <f>SUMIF('库存（子SKU）'!$C:$C,$A33,'库存（子SKU）'!G:G)</f>
        <v>0</v>
      </c>
      <c r="F33" s="6">
        <v>118.99</v>
      </c>
      <c r="G33">
        <f>SUMIF('库存（子SKU）'!$C:$C,$A33,'库存（子SKU）'!I:I)</f>
        <v>9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9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16270</v>
      </c>
      <c r="O33">
        <f>SUMIF('库存（子SKU）'!$C:$C,$A33,'库存（子SKU）'!Q:Q)</f>
        <v>6188</v>
      </c>
      <c r="P33">
        <f>SUMIF('库存（子SKU）'!$C:$C,$A33,'库存（子SKU）'!R:R)</f>
        <v>1446</v>
      </c>
      <c r="Q33">
        <f>SUMIF('库存（子SKU）'!$C:$C,$A33,'库存（子SKU）'!S:S)</f>
        <v>1492</v>
      </c>
      <c r="R33">
        <f>SUMIF('库存（子SKU）'!$C:$C,$A33,'库存（子SKU）'!T:T)</f>
        <v>72</v>
      </c>
      <c r="S33">
        <f>SUMIF('库存（子SKU）'!$C:$C,$A33,'库存（子SKU）'!U:U)</f>
        <v>43</v>
      </c>
      <c r="T33">
        <f>SUMIF('库存（子SKU）'!$C:$C,$A33,'库存（子SKU）'!V:V)</f>
        <v>15</v>
      </c>
      <c r="U33">
        <f>SUMIF('库存（子SKU）'!$C:$C,$A33,'库存（子SKU）'!W:W)</f>
        <v>15</v>
      </c>
      <c r="V33" s="23">
        <f t="shared" si="15"/>
        <v>0.00442532267977873</v>
      </c>
      <c r="W33" s="23">
        <f t="shared" si="16"/>
        <v>0.00694893341952165</v>
      </c>
      <c r="X33" s="23">
        <f t="shared" si="17"/>
        <v>0.0103734439834025</v>
      </c>
      <c r="Y33" s="23">
        <f t="shared" si="18"/>
        <v>0.0100536193029491</v>
      </c>
      <c r="Z33">
        <f>SUMIF('库存（子SKU）'!$C:$C,$A33,'库存（子SKU）'!AB:AB)</f>
        <v>14.98</v>
      </c>
      <c r="AA33">
        <f>SUMIF('库存（子SKU）'!$C:$C,$A33,'库存（子SKU）'!AC:AC)</f>
        <v>10.27</v>
      </c>
      <c r="AB33">
        <f>SUMIF('库存（子SKU）'!$C:$C,$A33,'库存（子SKU）'!AD:AD)</f>
        <v>3.4</v>
      </c>
      <c r="AC33">
        <f>SUMIF('库存（子SKU）'!$C:$C,$A33,'库存（子SKU）'!AE:AE)</f>
        <v>3.4</v>
      </c>
      <c r="AD33" s="23" t="str">
        <f t="shared" si="2"/>
        <v>无销量广告费为14.98</v>
      </c>
      <c r="AE33" s="23">
        <f t="shared" si="3"/>
        <v>0.0863097739305824</v>
      </c>
      <c r="AF33" s="23" t="str">
        <f t="shared" si="4"/>
        <v>无销量广告费为3.4</v>
      </c>
      <c r="AG33" s="23" t="str">
        <f t="shared" si="5"/>
        <v>无销量广告费为3.4</v>
      </c>
      <c r="AH33">
        <f>SUMIF('库存（子SKU）'!$C:$C,$A33,'库存（子SKU）'!AJ:AJ)</f>
        <v>125</v>
      </c>
      <c r="AI33">
        <f>SUMIF('库存（子SKU）'!$C:$C,$A33,'库存（子SKU）'!AK:AK)</f>
        <v>59</v>
      </c>
      <c r="AJ33">
        <f>SUMIF('库存（子SKU）'!$C:$C,$A33,'库存（子SKU）'!AL:AL)</f>
        <v>22</v>
      </c>
      <c r="AK33">
        <f>SUMIF('库存（子SKU）'!$C:$C,$A33,'库存（子SKU）'!AM:AM)</f>
        <v>22</v>
      </c>
      <c r="AL33" s="23">
        <f t="shared" si="6"/>
        <v>0</v>
      </c>
      <c r="AM33" s="23">
        <f t="shared" si="7"/>
        <v>0.0169491525423729</v>
      </c>
      <c r="AN33" s="23">
        <f t="shared" si="8"/>
        <v>0</v>
      </c>
      <c r="AO33" s="23">
        <f t="shared" si="9"/>
        <v>0</v>
      </c>
      <c r="AP33" s="7">
        <f t="shared" si="10"/>
        <v>0</v>
      </c>
      <c r="AQ33" s="7">
        <f t="shared" si="11"/>
        <v>0</v>
      </c>
      <c r="AR33" s="7">
        <f t="shared" si="12"/>
        <v>9</v>
      </c>
      <c r="AS33" t="str">
        <f t="shared" si="13"/>
        <v>库存为9</v>
      </c>
      <c r="AT33" s="2" t="str">
        <f>IFERROR(时间!$B$4+AS33,"上周无销量")</f>
        <v>上周无销量</v>
      </c>
    </row>
    <row r="34" spans="1:46">
      <c r="A34" t="s">
        <v>168</v>
      </c>
      <c r="B34" s="5">
        <f>SUMIF('库存（子SKU）'!$C:$C,$A34,'库存（子SKU）'!D:D)</f>
        <v>1</v>
      </c>
      <c r="C34" s="5">
        <f>SUMIF('库存（子SKU）'!$C:$C,$A34,'库存（子SKU）'!E:E)</f>
        <v>0</v>
      </c>
      <c r="D34" s="5">
        <f>SUMIF('库存（子SKU）'!$C:$C,$A34,'库存（子SKU）'!F:F)</f>
        <v>0</v>
      </c>
      <c r="E34" s="5">
        <f>SUMIF('库存（子SKU）'!$C:$C,$A34,'库存（子SKU）'!G:G)</f>
        <v>0</v>
      </c>
      <c r="F34" s="6">
        <v>89.99</v>
      </c>
      <c r="G34">
        <f>SUMIF('库存（子SKU）'!$C:$C,$A34,'库存（子SKU）'!I:I)</f>
        <v>4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4</v>
      </c>
      <c r="L34">
        <f>SUMIF('库存（子SKU）'!$C:$C,$A34,'库存（子SKU）'!N:N)</f>
        <v>0</v>
      </c>
      <c r="M34">
        <f>SUMIF('库存（子SKU）'!$C:$C,$A34,'库存（子SKU）'!O:O)</f>
        <v>4</v>
      </c>
      <c r="N34">
        <f>SUMIF('库存（子SKU）'!$C:$C,$A34,'库存（子SKU）'!P:P)</f>
        <v>4733</v>
      </c>
      <c r="O34">
        <f>SUMIF('库存（子SKU）'!$C:$C,$A34,'库存（子SKU）'!Q:Q)</f>
        <v>4498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38</v>
      </c>
      <c r="S34">
        <f>SUMIF('库存（子SKU）'!$C:$C,$A34,'库存（子SKU）'!U:U)</f>
        <v>41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23">
        <f t="shared" si="15"/>
        <v>0.00802873441791675</v>
      </c>
      <c r="W34" s="23">
        <f t="shared" si="16"/>
        <v>0.00911516229435304</v>
      </c>
      <c r="X34" s="23" t="str">
        <f t="shared" si="17"/>
        <v/>
      </c>
      <c r="Y34" s="23" t="str">
        <f t="shared" si="18"/>
        <v/>
      </c>
      <c r="Z34">
        <f>SUMIF('库存（子SKU）'!$C:$C,$A34,'库存（子SKU）'!AB:AB)</f>
        <v>10.75</v>
      </c>
      <c r="AA34">
        <f>SUMIF('库存（子SKU）'!$C:$C,$A34,'库存（子SKU）'!AC:AC)</f>
        <v>10.61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23">
        <f t="shared" si="2"/>
        <v>0.119457717524169</v>
      </c>
      <c r="AE34" s="23" t="str">
        <f t="shared" si="3"/>
        <v>无销量广告费为10.61</v>
      </c>
      <c r="AF34" s="23" t="str">
        <f t="shared" si="4"/>
        <v/>
      </c>
      <c r="AG34" s="23" t="str">
        <f t="shared" si="5"/>
        <v/>
      </c>
      <c r="AH34">
        <f>SUMIF('库存（子SKU）'!$C:$C,$A34,'库存（子SKU）'!AJ:AJ)</f>
        <v>65</v>
      </c>
      <c r="AI34">
        <f>SUMIF('库存（子SKU）'!$C:$C,$A34,'库存（子SKU）'!AK:AK)</f>
        <v>51</v>
      </c>
      <c r="AJ34">
        <f>SUMIF('库存（子SKU）'!$C:$C,$A34,'库存（子SKU）'!AL:AL)</f>
        <v>26</v>
      </c>
      <c r="AK34">
        <f>SUMIF('库存（子SKU）'!$C:$C,$A34,'库存（子SKU）'!AM:AM)</f>
        <v>4</v>
      </c>
      <c r="AL34" s="23">
        <f t="shared" si="6"/>
        <v>0.0153846153846154</v>
      </c>
      <c r="AM34" s="23">
        <f t="shared" si="7"/>
        <v>0</v>
      </c>
      <c r="AN34" s="23">
        <f t="shared" si="8"/>
        <v>0</v>
      </c>
      <c r="AO34" s="23">
        <f t="shared" si="9"/>
        <v>0</v>
      </c>
      <c r="AP34" s="7">
        <f t="shared" si="10"/>
        <v>0.142857142857143</v>
      </c>
      <c r="AQ34" s="7">
        <f t="shared" si="11"/>
        <v>8.57142857142857</v>
      </c>
      <c r="AR34" s="7">
        <f t="shared" si="12"/>
        <v>-4.57142857142857</v>
      </c>
      <c r="AS34">
        <f t="shared" si="13"/>
        <v>28</v>
      </c>
      <c r="AT34" s="2">
        <f>IFERROR(时间!$B$4+AS34,"上周无销量")</f>
        <v>43367</v>
      </c>
    </row>
    <row r="35" spans="1:46">
      <c r="A35" t="s">
        <v>172</v>
      </c>
      <c r="B35" s="5">
        <f>SUMIF('库存（子SKU）'!$C:$C,$A35,'库存（子SKU）'!D:D)</f>
        <v>0</v>
      </c>
      <c r="C35" s="5">
        <f>SUMIF('库存（子SKU）'!$C:$C,$A35,'库存（子SKU）'!E:E)</f>
        <v>2</v>
      </c>
      <c r="D35" s="5">
        <f>SUMIF('库存（子SKU）'!$C:$C,$A35,'库存（子SKU）'!F:F)</f>
        <v>2</v>
      </c>
      <c r="E35" s="5">
        <f>SUMIF('库存（子SKU）'!$C:$C,$A35,'库存（子SKU）'!G:G)</f>
        <v>2</v>
      </c>
      <c r="F35" s="6">
        <v>32.99</v>
      </c>
      <c r="G35">
        <f>SUMIF('库存（子SKU）'!$C:$C,$A35,'库存（子SKU）'!I:I)</f>
        <v>26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26</v>
      </c>
      <c r="L35">
        <f>SUMIF('库存（子SKU）'!$C:$C,$A35,'库存（子SKU）'!N:N)</f>
        <v>1</v>
      </c>
      <c r="M35">
        <f>SUMIF('库存（子SKU）'!$C:$C,$A35,'库存（子SKU）'!O:O)</f>
        <v>5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23" t="str">
        <f t="shared" si="15"/>
        <v/>
      </c>
      <c r="W35" s="23" t="str">
        <f t="shared" si="16"/>
        <v/>
      </c>
      <c r="X35" s="23" t="str">
        <f t="shared" si="17"/>
        <v/>
      </c>
      <c r="Y35" s="23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23" t="str">
        <f t="shared" si="2"/>
        <v/>
      </c>
      <c r="AE35" s="23">
        <f t="shared" si="3"/>
        <v>0</v>
      </c>
      <c r="AF35" s="23">
        <f t="shared" si="4"/>
        <v>0</v>
      </c>
      <c r="AG35" s="23">
        <f t="shared" si="5"/>
        <v>0</v>
      </c>
      <c r="AH35">
        <f>SUMIF('库存（子SKU）'!$C:$C,$A35,'库存（子SKU）'!AJ:AJ)</f>
        <v>94</v>
      </c>
      <c r="AI35">
        <f>SUMIF('库存（子SKU）'!$C:$C,$A35,'库存（子SKU）'!AK:AK)</f>
        <v>155</v>
      </c>
      <c r="AJ35">
        <f>SUMIF('库存（子SKU）'!$C:$C,$A35,'库存（子SKU）'!AL:AL)</f>
        <v>114</v>
      </c>
      <c r="AK35">
        <f>SUMIF('库存（子SKU）'!$C:$C,$A35,'库存（子SKU）'!AM:AM)</f>
        <v>130</v>
      </c>
      <c r="AL35" s="23">
        <f t="shared" si="6"/>
        <v>0</v>
      </c>
      <c r="AM35" s="23">
        <f t="shared" si="7"/>
        <v>0.0129032258064516</v>
      </c>
      <c r="AN35" s="23">
        <f t="shared" si="8"/>
        <v>0.0175438596491228</v>
      </c>
      <c r="AO35" s="23">
        <f t="shared" si="9"/>
        <v>0.0153846153846154</v>
      </c>
      <c r="AP35" s="7">
        <f t="shared" si="10"/>
        <v>0</v>
      </c>
      <c r="AQ35" s="7">
        <f t="shared" si="11"/>
        <v>0</v>
      </c>
      <c r="AR35" s="7">
        <f t="shared" si="12"/>
        <v>26</v>
      </c>
      <c r="AS35" t="str">
        <f t="shared" si="13"/>
        <v>库存为26</v>
      </c>
      <c r="AT35" s="2" t="str">
        <f>IFERROR(时间!$B$4+AS35,"上周无销量")</f>
        <v>上周无销量</v>
      </c>
    </row>
    <row r="36" spans="1:46">
      <c r="A36" t="s">
        <v>177</v>
      </c>
      <c r="B36" s="5">
        <f>SUMIF('库存（子SKU）'!$C:$C,$A36,'库存（子SKU）'!D:D)</f>
        <v>1</v>
      </c>
      <c r="C36" s="5">
        <f>SUMIF('库存（子SKU）'!$C:$C,$A36,'库存（子SKU）'!E:E)</f>
        <v>3</v>
      </c>
      <c r="D36" s="5">
        <f>SUMIF('库存（子SKU）'!$C:$C,$A36,'库存（子SKU）'!F:F)</f>
        <v>0</v>
      </c>
      <c r="E36" s="5">
        <f>SUMIF('库存（子SKU）'!$C:$C,$A36,'库存（子SKU）'!G:G)</f>
        <v>0</v>
      </c>
      <c r="F36" s="6">
        <v>104.99</v>
      </c>
      <c r="G36">
        <f>SUMIF('库存（子SKU）'!$C:$C,$A36,'库存（子SKU）'!I:I)</f>
        <v>18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18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37703</v>
      </c>
      <c r="O36">
        <f>SUMIF('库存（子SKU）'!$C:$C,$A36,'库存（子SKU）'!Q:Q)</f>
        <v>30215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439</v>
      </c>
      <c r="S36">
        <f>SUMIF('库存（子SKU）'!$C:$C,$A36,'库存（子SKU）'!U:U)</f>
        <v>498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23">
        <f t="shared" si="15"/>
        <v>0.0116436357849508</v>
      </c>
      <c r="W36" s="23">
        <f t="shared" si="16"/>
        <v>0.0164818798609962</v>
      </c>
      <c r="X36" s="23" t="str">
        <f t="shared" si="17"/>
        <v/>
      </c>
      <c r="Y36" s="23" t="str">
        <f t="shared" si="18"/>
        <v/>
      </c>
      <c r="Z36">
        <f>SUMIF('库存（子SKU）'!$C:$C,$A36,'库存（子SKU）'!AB:AB)</f>
        <v>111.65</v>
      </c>
      <c r="AA36">
        <f>SUMIF('库存（子SKU）'!$C:$C,$A36,'库存（子SKU）'!AC:AC)</f>
        <v>127.59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23">
        <f t="shared" si="2"/>
        <v>1.06343461282027</v>
      </c>
      <c r="AE36" s="23">
        <f t="shared" si="3"/>
        <v>0.405086198685589</v>
      </c>
      <c r="AF36" s="23" t="str">
        <f t="shared" si="4"/>
        <v/>
      </c>
      <c r="AG36" s="23" t="str">
        <f t="shared" si="5"/>
        <v/>
      </c>
      <c r="AH36">
        <f>SUMIF('库存（子SKU）'!$C:$C,$A36,'库存（子SKU）'!AJ:AJ)</f>
        <v>642</v>
      </c>
      <c r="AI36">
        <f>SUMIF('库存（子SKU）'!$C:$C,$A36,'库存（子SKU）'!AK:AK)</f>
        <v>631</v>
      </c>
      <c r="AJ36">
        <f>SUMIF('库存（子SKU）'!$C:$C,$A36,'库存（子SKU）'!AL:AL)</f>
        <v>147</v>
      </c>
      <c r="AK36">
        <f>SUMIF('库存（子SKU）'!$C:$C,$A36,'库存（子SKU）'!AM:AM)</f>
        <v>120</v>
      </c>
      <c r="AL36" s="23">
        <f t="shared" si="6"/>
        <v>0.00155763239875389</v>
      </c>
      <c r="AM36" s="23">
        <f t="shared" si="7"/>
        <v>0.00475435816164818</v>
      </c>
      <c r="AN36" s="23">
        <f t="shared" si="8"/>
        <v>0</v>
      </c>
      <c r="AO36" s="23">
        <f t="shared" si="9"/>
        <v>0</v>
      </c>
      <c r="AP36" s="7">
        <f t="shared" si="10"/>
        <v>0.142857142857143</v>
      </c>
      <c r="AQ36" s="7">
        <f t="shared" si="11"/>
        <v>8.57142857142857</v>
      </c>
      <c r="AR36" s="7">
        <f t="shared" si="12"/>
        <v>9.42857142857143</v>
      </c>
      <c r="AS36">
        <f t="shared" si="13"/>
        <v>126</v>
      </c>
      <c r="AT36" s="2">
        <f>IFERROR(时间!$B$4+AS36,"上周无销量")</f>
        <v>43465</v>
      </c>
    </row>
    <row r="37" spans="1:46">
      <c r="A37" t="s">
        <v>182</v>
      </c>
      <c r="B37" s="5">
        <f>SUMIF('库存（子SKU）'!$C:$C,$A37,'库存（子SKU）'!D:D)</f>
        <v>1</v>
      </c>
      <c r="C37" s="5">
        <f>SUMIF('库存（子SKU）'!$C:$C,$A37,'库存（子SKU）'!E:E)</f>
        <v>0</v>
      </c>
      <c r="D37" s="5">
        <f>SUMIF('库存（子SKU）'!$C:$C,$A37,'库存（子SKU）'!F:F)</f>
        <v>4</v>
      </c>
      <c r="E37" s="5">
        <f>SUMIF('库存（子SKU）'!$C:$C,$A37,'库存（子SKU）'!G:G)</f>
        <v>4</v>
      </c>
      <c r="F37" s="6">
        <v>88.99</v>
      </c>
      <c r="G37">
        <f>SUMIF('库存（子SKU）'!$C:$C,$A37,'库存（子SKU）'!I:I)</f>
        <v>3</v>
      </c>
      <c r="H37">
        <f>SUMIF('库存（子SKU）'!$C:$C,$A37,'库存（子SKU）'!J:J)</f>
        <v>7</v>
      </c>
      <c r="I37">
        <f>SUMIF('库存（子SKU）'!$C:$C,$A37,'库存（子SKU）'!K:K)</f>
        <v>0</v>
      </c>
      <c r="J37">
        <f>SUMIF('库存（子SKU）'!$C:$C,$A37,'库存（子SKU）'!L:L)</f>
        <v>1</v>
      </c>
      <c r="K37">
        <f t="shared" si="0"/>
        <v>11</v>
      </c>
      <c r="L37">
        <f>SUMIF('库存（子SKU）'!$C:$C,$A37,'库存（子SKU）'!N:N)</f>
        <v>0</v>
      </c>
      <c r="M37">
        <f>SUMIF('库存（子SKU）'!$C:$C,$A37,'库存（子SKU）'!O:O)</f>
        <v>0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3" t="str">
        <f t="shared" si="15"/>
        <v/>
      </c>
      <c r="W37" s="23" t="str">
        <f t="shared" si="16"/>
        <v/>
      </c>
      <c r="X37" s="23" t="str">
        <f t="shared" si="17"/>
        <v/>
      </c>
      <c r="Y37" s="23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3">
        <f t="shared" si="2"/>
        <v>0</v>
      </c>
      <c r="AE37" s="23" t="str">
        <f t="shared" si="3"/>
        <v/>
      </c>
      <c r="AF37" s="23">
        <f t="shared" si="4"/>
        <v>0</v>
      </c>
      <c r="AG37" s="23">
        <f t="shared" si="5"/>
        <v>0</v>
      </c>
      <c r="AH37">
        <f>SUMIF('库存（子SKU）'!$C:$C,$A37,'库存（子SKU）'!AJ:AJ)</f>
        <v>23</v>
      </c>
      <c r="AI37">
        <f>SUMIF('库存（子SKU）'!$C:$C,$A37,'库存（子SKU）'!AK:AK)</f>
        <v>0</v>
      </c>
      <c r="AJ37">
        <f>SUMIF('库存（子SKU）'!$C:$C,$A37,'库存（子SKU）'!AL:AL)</f>
        <v>111</v>
      </c>
      <c r="AK37">
        <f>SUMIF('库存（子SKU）'!$C:$C,$A37,'库存（子SKU）'!AM:AM)</f>
        <v>94</v>
      </c>
      <c r="AL37" s="23">
        <f t="shared" si="6"/>
        <v>0.0434782608695652</v>
      </c>
      <c r="AM37" s="23" t="str">
        <f t="shared" si="7"/>
        <v/>
      </c>
      <c r="AN37" s="23">
        <f t="shared" si="8"/>
        <v>0.036036036036036</v>
      </c>
      <c r="AO37" s="23">
        <f t="shared" si="9"/>
        <v>0.0425531914893617</v>
      </c>
      <c r="AP37" s="7">
        <f t="shared" si="10"/>
        <v>0.142857142857143</v>
      </c>
      <c r="AQ37" s="7">
        <f t="shared" si="11"/>
        <v>8.57142857142857</v>
      </c>
      <c r="AR37" s="7">
        <f t="shared" si="12"/>
        <v>2.42857142857143</v>
      </c>
      <c r="AS37">
        <f t="shared" si="13"/>
        <v>77</v>
      </c>
      <c r="AT37" s="2">
        <f>IFERROR(时间!$B$4+AS37,"上周无销量")</f>
        <v>43416</v>
      </c>
    </row>
    <row r="38" spans="1:46">
      <c r="A38" t="s">
        <v>185</v>
      </c>
      <c r="B38" s="5">
        <f>SUMIF('库存（子SKU）'!$C:$C,$A38,'库存（子SKU）'!D:D)</f>
        <v>3</v>
      </c>
      <c r="C38" s="5">
        <f>SUMIF('库存（子SKU）'!$C:$C,$A38,'库存（子SKU）'!E:E)</f>
        <v>1</v>
      </c>
      <c r="D38" s="5">
        <f>SUMIF('库存（子SKU）'!$C:$C,$A38,'库存（子SKU）'!F:F)</f>
        <v>0</v>
      </c>
      <c r="E38" s="5">
        <f>SUMIF('库存（子SKU）'!$C:$C,$A38,'库存（子SKU）'!G:G)</f>
        <v>1</v>
      </c>
      <c r="F38" s="6">
        <v>75.99</v>
      </c>
      <c r="G38">
        <f>SUMIF('库存（子SKU）'!$C:$C,$A38,'库存（子SKU）'!I:I)</f>
        <v>0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2</v>
      </c>
      <c r="K38">
        <f t="shared" si="0"/>
        <v>2</v>
      </c>
      <c r="L38">
        <f>SUMIF('库存（子SKU）'!$C:$C,$A38,'库存（子SKU）'!N:N)</f>
        <v>0</v>
      </c>
      <c r="M38">
        <f>SUMIF('库存（子SKU）'!$C:$C,$A38,'库存（子SKU）'!O:O)</f>
        <v>4</v>
      </c>
      <c r="N38">
        <f>SUMIF('库存（子SKU）'!$C:$C,$A38,'库存（子SKU）'!P:P)</f>
        <v>19611</v>
      </c>
      <c r="O38">
        <f>SUMIF('库存（子SKU）'!$C:$C,$A38,'库存（子SKU）'!Q:Q)</f>
        <v>17557</v>
      </c>
      <c r="P38">
        <f>SUMIF('库存（子SKU）'!$C:$C,$A38,'库存（子SKU）'!R:R)</f>
        <v>64626</v>
      </c>
      <c r="Q38">
        <f>SUMIF('库存（子SKU）'!$C:$C,$A38,'库存（子SKU）'!S:S)</f>
        <v>64875</v>
      </c>
      <c r="R38">
        <f>SUMIF('库存（子SKU）'!$C:$C,$A38,'库存（子SKU）'!T:T)</f>
        <v>117</v>
      </c>
      <c r="S38">
        <f>SUMIF('库存（子SKU）'!$C:$C,$A38,'库存（子SKU）'!U:U)</f>
        <v>78</v>
      </c>
      <c r="T38">
        <f>SUMIF('库存（子SKU）'!$C:$C,$A38,'库存（子SKU）'!V:V)</f>
        <v>310</v>
      </c>
      <c r="U38">
        <f>SUMIF('库存（子SKU）'!$C:$C,$A38,'库存（子SKU）'!W:W)</f>
        <v>311</v>
      </c>
      <c r="V38" s="23">
        <f t="shared" si="15"/>
        <v>0.00596603946764571</v>
      </c>
      <c r="W38" s="23">
        <f t="shared" si="16"/>
        <v>0.00444267243834368</v>
      </c>
      <c r="X38" s="23">
        <f t="shared" si="17"/>
        <v>0.00479683099681243</v>
      </c>
      <c r="Y38" s="23">
        <f t="shared" si="18"/>
        <v>0.00479383429672447</v>
      </c>
      <c r="Z38">
        <f>SUMIF('库存（子SKU）'!$C:$C,$A38,'库存（子SKU）'!AB:AB)</f>
        <v>35.96</v>
      </c>
      <c r="AA38">
        <f>SUMIF('库存（子SKU）'!$C:$C,$A38,'库存（子SKU）'!AC:AC)</f>
        <v>22.97</v>
      </c>
      <c r="AB38">
        <f>SUMIF('库存（子SKU）'!$C:$C,$A38,'库存（子SKU）'!AD:AD)</f>
        <v>52.68</v>
      </c>
      <c r="AC38">
        <f>SUMIF('库存（子SKU）'!$C:$C,$A38,'库存（子SKU）'!AE:AE)</f>
        <v>52.73</v>
      </c>
      <c r="AD38" s="23">
        <f t="shared" si="2"/>
        <v>0.157740053515814</v>
      </c>
      <c r="AE38" s="23">
        <f t="shared" si="3"/>
        <v>0.302276615344124</v>
      </c>
      <c r="AF38" s="23" t="str">
        <f t="shared" si="4"/>
        <v>无销量广告费为52.68</v>
      </c>
      <c r="AG38" s="23">
        <f t="shared" si="5"/>
        <v>0.693907093038558</v>
      </c>
      <c r="AH38">
        <f>SUMIF('库存（子SKU）'!$C:$C,$A38,'库存（子SKU）'!AJ:AJ)</f>
        <v>207</v>
      </c>
      <c r="AI38">
        <f>SUMIF('库存（子SKU）'!$C:$C,$A38,'库存（子SKU）'!AK:AK)</f>
        <v>120</v>
      </c>
      <c r="AJ38">
        <f>SUMIF('库存（子SKU）'!$C:$C,$A38,'库存（子SKU）'!AL:AL)</f>
        <v>135</v>
      </c>
      <c r="AK38">
        <f>SUMIF('库存（子SKU）'!$C:$C,$A38,'库存（子SKU）'!AM:AM)</f>
        <v>98</v>
      </c>
      <c r="AL38" s="23">
        <f t="shared" si="6"/>
        <v>0.0144927536231884</v>
      </c>
      <c r="AM38" s="23">
        <f t="shared" si="7"/>
        <v>0.00833333333333333</v>
      </c>
      <c r="AN38" s="23">
        <f t="shared" si="8"/>
        <v>0</v>
      </c>
      <c r="AO38" s="23">
        <f t="shared" si="9"/>
        <v>0.0102040816326531</v>
      </c>
      <c r="AP38" s="7">
        <f t="shared" si="10"/>
        <v>0.428571428571429</v>
      </c>
      <c r="AQ38" s="7">
        <f t="shared" si="11"/>
        <v>25.7142857142857</v>
      </c>
      <c r="AR38" s="7">
        <f t="shared" si="12"/>
        <v>-23.7142857142857</v>
      </c>
      <c r="AS38">
        <f t="shared" si="13"/>
        <v>4</v>
      </c>
      <c r="AT38" s="2">
        <f>IFERROR(时间!$B$4+AS38,"上周无销量")</f>
        <v>43343</v>
      </c>
    </row>
    <row r="39" spans="1:46">
      <c r="A39" t="s">
        <v>189</v>
      </c>
      <c r="B39" s="5">
        <f>SUMIF('库存（子SKU）'!$C:$C,$A39,'库存（子SKU）'!D:D)</f>
        <v>1</v>
      </c>
      <c r="C39" s="5">
        <f>SUMIF('库存（子SKU）'!$C:$C,$A39,'库存（子SKU）'!E:E)</f>
        <v>0</v>
      </c>
      <c r="D39" s="5">
        <f>SUMIF('库存（子SKU）'!$C:$C,$A39,'库存（子SKU）'!F:F)</f>
        <v>0</v>
      </c>
      <c r="E39" s="5">
        <f>SUMIF('库存（子SKU）'!$C:$C,$A39,'库存（子SKU）'!G:G)</f>
        <v>1</v>
      </c>
      <c r="F39" s="6">
        <v>99.99</v>
      </c>
      <c r="G39">
        <f>SUMIF('库存（子SKU）'!$C:$C,$A39,'库存（子SKU）'!I:I)</f>
        <v>5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5</v>
      </c>
      <c r="L39">
        <f>SUMIF('库存（子SKU）'!$C:$C,$A39,'库存（子SKU）'!N:N)</f>
        <v>0</v>
      </c>
      <c r="M39">
        <f>SUMIF('库存（子SKU）'!$C:$C,$A39,'库存（子SKU）'!O:O)</f>
        <v>4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3" t="str">
        <f t="shared" si="15"/>
        <v/>
      </c>
      <c r="W39" s="23" t="str">
        <f t="shared" si="16"/>
        <v/>
      </c>
      <c r="X39" s="23" t="str">
        <f t="shared" si="17"/>
        <v/>
      </c>
      <c r="Y39" s="23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3">
        <f t="shared" si="2"/>
        <v>0</v>
      </c>
      <c r="AE39" s="23" t="str">
        <f t="shared" si="3"/>
        <v/>
      </c>
      <c r="AF39" s="23" t="str">
        <f t="shared" si="4"/>
        <v/>
      </c>
      <c r="AG39" s="23">
        <f t="shared" si="5"/>
        <v>0</v>
      </c>
      <c r="AH39">
        <f>SUMIF('库存（子SKU）'!$C:$C,$A39,'库存（子SKU）'!AJ:AJ)</f>
        <v>21</v>
      </c>
      <c r="AI39">
        <f>SUMIF('库存（子SKU）'!$C:$C,$A39,'库存（子SKU）'!AK:AK)</f>
        <v>31</v>
      </c>
      <c r="AJ39">
        <f>SUMIF('库存（子SKU）'!$C:$C,$A39,'库存（子SKU）'!AL:AL)</f>
        <v>14</v>
      </c>
      <c r="AK39">
        <f>SUMIF('库存（子SKU）'!$C:$C,$A39,'库存（子SKU）'!AM:AM)</f>
        <v>15</v>
      </c>
      <c r="AL39" s="23">
        <f t="shared" si="6"/>
        <v>0.0476190476190476</v>
      </c>
      <c r="AM39" s="23">
        <f t="shared" si="7"/>
        <v>0</v>
      </c>
      <c r="AN39" s="23">
        <f t="shared" si="8"/>
        <v>0</v>
      </c>
      <c r="AO39" s="23">
        <f t="shared" si="9"/>
        <v>0.0666666666666667</v>
      </c>
      <c r="AP39" s="7">
        <f t="shared" si="10"/>
        <v>0.142857142857143</v>
      </c>
      <c r="AQ39" s="7">
        <f t="shared" si="11"/>
        <v>8.57142857142857</v>
      </c>
      <c r="AR39" s="7">
        <f t="shared" si="12"/>
        <v>-3.57142857142857</v>
      </c>
      <c r="AS39">
        <f t="shared" si="13"/>
        <v>35</v>
      </c>
      <c r="AT39" s="2">
        <f>IFERROR(时间!$B$4+AS39,"上周无销量")</f>
        <v>43374</v>
      </c>
    </row>
    <row r="40" spans="1:46">
      <c r="A40" t="s">
        <v>191</v>
      </c>
      <c r="B40" s="5">
        <f>SUMIF('库存（子SKU）'!$C:$C,$A40,'库存（子SKU）'!D:D)</f>
        <v>10</v>
      </c>
      <c r="C40" s="5">
        <f>SUMIF('库存（子SKU）'!$C:$C,$A40,'库存（子SKU）'!E:E)</f>
        <v>8</v>
      </c>
      <c r="D40" s="5">
        <f>SUMIF('库存（子SKU）'!$C:$C,$A40,'库存（子SKU）'!F:F)</f>
        <v>3</v>
      </c>
      <c r="E40" s="5">
        <f>SUMIF('库存（子SKU）'!$C:$C,$A40,'库存（子SKU）'!G:G)</f>
        <v>9</v>
      </c>
      <c r="F40" s="6">
        <v>79.99</v>
      </c>
      <c r="G40">
        <f>SUMIF('库存（子SKU）'!$C:$C,$A40,'库存（子SKU）'!I:I)</f>
        <v>14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1</v>
      </c>
      <c r="K40">
        <f t="shared" si="0"/>
        <v>15</v>
      </c>
      <c r="L40">
        <f>SUMIF('库存（子SKU）'!$C:$C,$A40,'库存（子SKU）'!N:N)</f>
        <v>0</v>
      </c>
      <c r="M40">
        <f>SUMIF('库存（子SKU）'!$C:$C,$A40,'库存（子SKU）'!O:O)</f>
        <v>0</v>
      </c>
      <c r="N40">
        <f>SUMIF('库存（子SKU）'!$C:$C,$A40,'库存（子SKU）'!P:P)</f>
        <v>30784</v>
      </c>
      <c r="O40">
        <f>SUMIF('库存（子SKU）'!$C:$C,$A40,'库存（子SKU）'!Q:Q)</f>
        <v>41322</v>
      </c>
      <c r="P40">
        <f>SUMIF('库存（子SKU）'!$C:$C,$A40,'库存（子SKU）'!R:R)</f>
        <v>79488</v>
      </c>
      <c r="Q40">
        <f>SUMIF('库存（子SKU）'!$C:$C,$A40,'库存（子SKU）'!S:S)</f>
        <v>79979</v>
      </c>
      <c r="R40">
        <f>SUMIF('库存（子SKU）'!$C:$C,$A40,'库存（子SKU）'!T:T)</f>
        <v>144</v>
      </c>
      <c r="S40">
        <f>SUMIF('库存（子SKU）'!$C:$C,$A40,'库存（子SKU）'!U:U)</f>
        <v>137</v>
      </c>
      <c r="T40">
        <f>SUMIF('库存（子SKU）'!$C:$C,$A40,'库存（子SKU）'!V:V)</f>
        <v>448</v>
      </c>
      <c r="U40">
        <f>SUMIF('库存（子SKU）'!$C:$C,$A40,'库存（子SKU）'!W:W)</f>
        <v>451</v>
      </c>
      <c r="V40" s="23">
        <f t="shared" si="15"/>
        <v>0.00467775467775468</v>
      </c>
      <c r="W40" s="23">
        <f t="shared" si="16"/>
        <v>0.0033154251972315</v>
      </c>
      <c r="X40" s="23">
        <f t="shared" si="17"/>
        <v>0.00563607085346216</v>
      </c>
      <c r="Y40" s="23">
        <f t="shared" si="18"/>
        <v>0.00563898023231098</v>
      </c>
      <c r="Z40">
        <f>SUMIF('库存（子SKU）'!$C:$C,$A40,'库存（子SKU）'!AB:AB)</f>
        <v>41.11</v>
      </c>
      <c r="AA40">
        <f>SUMIF('库存（子SKU）'!$C:$C,$A40,'库存（子SKU）'!AC:AC)</f>
        <v>36.68</v>
      </c>
      <c r="AB40">
        <f>SUMIF('库存（子SKU）'!$C:$C,$A40,'库存（子SKU）'!AD:AD)</f>
        <v>90.56</v>
      </c>
      <c r="AC40">
        <f>SUMIF('库存（子SKU）'!$C:$C,$A40,'库存（子SKU）'!AE:AE)</f>
        <v>91.2</v>
      </c>
      <c r="AD40" s="23">
        <f t="shared" si="2"/>
        <v>0.0513939242405301</v>
      </c>
      <c r="AE40" s="23">
        <f t="shared" si="3"/>
        <v>0.0573196649581198</v>
      </c>
      <c r="AF40" s="23">
        <f t="shared" si="4"/>
        <v>0.37738050589657</v>
      </c>
      <c r="AG40" s="23">
        <f t="shared" si="5"/>
        <v>0.126682501979414</v>
      </c>
      <c r="AH40">
        <f>SUMIF('库存（子SKU）'!$C:$C,$A40,'库存（子SKU）'!AJ:AJ)</f>
        <v>336</v>
      </c>
      <c r="AI40">
        <f>SUMIF('库存（子SKU）'!$C:$C,$A40,'库存（子SKU）'!AK:AK)</f>
        <v>295</v>
      </c>
      <c r="AJ40">
        <f>SUMIF('库存（子SKU）'!$C:$C,$A40,'库存（子SKU）'!AL:AL)</f>
        <v>513</v>
      </c>
      <c r="AK40">
        <f>SUMIF('库存（子SKU）'!$C:$C,$A40,'库存（子SKU）'!AM:AM)</f>
        <v>267</v>
      </c>
      <c r="AL40" s="23">
        <f t="shared" si="6"/>
        <v>0.0297619047619048</v>
      </c>
      <c r="AM40" s="23">
        <f t="shared" si="7"/>
        <v>0.0271186440677966</v>
      </c>
      <c r="AN40" s="23">
        <f t="shared" si="8"/>
        <v>0.00584795321637427</v>
      </c>
      <c r="AO40" s="23">
        <f t="shared" si="9"/>
        <v>0.0337078651685393</v>
      </c>
      <c r="AP40" s="7">
        <f t="shared" si="10"/>
        <v>1.42857142857143</v>
      </c>
      <c r="AQ40" s="7">
        <f t="shared" si="11"/>
        <v>85.7142857142857</v>
      </c>
      <c r="AR40" s="7">
        <f t="shared" si="12"/>
        <v>-70.7142857142857</v>
      </c>
      <c r="AS40">
        <f t="shared" si="13"/>
        <v>10</v>
      </c>
      <c r="AT40" s="2">
        <f>IFERROR(时间!$B$4+AS40,"上周无销量")</f>
        <v>43349</v>
      </c>
    </row>
    <row r="41" spans="1:46">
      <c r="A41" t="s">
        <v>194</v>
      </c>
      <c r="B41" s="5">
        <f>SUMIF('库存（子SKU）'!$C:$C,$A41,'库存（子SKU）'!D:D)</f>
        <v>0</v>
      </c>
      <c r="C41" s="5">
        <f>SUMIF('库存（子SKU）'!$C:$C,$A41,'库存（子SKU）'!E:E)</f>
        <v>0</v>
      </c>
      <c r="D41" s="5">
        <f>SUMIF('库存（子SKU）'!$C:$C,$A41,'库存（子SKU）'!F:F)</f>
        <v>0</v>
      </c>
      <c r="E41" s="5">
        <f>SUMIF('库存（子SKU）'!$C:$C,$A41,'库存（子SKU）'!G:G)</f>
        <v>0</v>
      </c>
      <c r="F41" s="6" t="s">
        <v>54</v>
      </c>
      <c r="G41">
        <f>SUMIF('库存（子SKU）'!$C:$C,$A41,'库存（子SKU）'!I:I)</f>
        <v>11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11</v>
      </c>
      <c r="L41">
        <f>SUMIF('库存（子SKU）'!$C:$C,$A41,'库存（子SKU）'!N:N)</f>
        <v>0</v>
      </c>
      <c r="M41">
        <f>SUMIF('库存（子SKU）'!$C:$C,$A41,'库存（子SKU）'!O:O)</f>
        <v>1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49721</v>
      </c>
      <c r="Q41">
        <f>SUMIF('库存（子SKU）'!$C:$C,$A41,'库存（子SKU）'!S:S)</f>
        <v>49757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229</v>
      </c>
      <c r="U41">
        <f>SUMIF('库存（子SKU）'!$C:$C,$A41,'库存（子SKU）'!W:W)</f>
        <v>230</v>
      </c>
      <c r="V41" s="23" t="str">
        <f t="shared" si="15"/>
        <v/>
      </c>
      <c r="W41" s="23" t="str">
        <f t="shared" si="16"/>
        <v/>
      </c>
      <c r="X41" s="23">
        <f t="shared" si="17"/>
        <v>0.00460569980491141</v>
      </c>
      <c r="Y41" s="23">
        <f t="shared" si="18"/>
        <v>0.00462246518077858</v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49.78</v>
      </c>
      <c r="AC41">
        <f>SUMIF('库存（子SKU）'!$C:$C,$A41,'库存（子SKU）'!AE:AE)</f>
        <v>50.19</v>
      </c>
      <c r="AD41" s="23" t="str">
        <f t="shared" si="2"/>
        <v/>
      </c>
      <c r="AE41" s="23" t="str">
        <f t="shared" si="3"/>
        <v/>
      </c>
      <c r="AF41" s="23" t="str">
        <f t="shared" si="4"/>
        <v>无销量广告费为49.78</v>
      </c>
      <c r="AG41" s="23" t="str">
        <f t="shared" si="5"/>
        <v>无销量广告费为50.19</v>
      </c>
      <c r="AH41">
        <f>SUMIF('库存（子SKU）'!$C:$C,$A41,'库存（子SKU）'!AJ:AJ)</f>
        <v>36</v>
      </c>
      <c r="AI41">
        <f>SUMIF('库存（子SKU）'!$C:$C,$A41,'库存（子SKU）'!AK:AK)</f>
        <v>32</v>
      </c>
      <c r="AJ41">
        <f>SUMIF('库存（子SKU）'!$C:$C,$A41,'库存（子SKU）'!AL:AL)</f>
        <v>76</v>
      </c>
      <c r="AK41">
        <f>SUMIF('库存（子SKU）'!$C:$C,$A41,'库存（子SKU）'!AM:AM)</f>
        <v>65</v>
      </c>
      <c r="AL41" s="23">
        <f t="shared" si="6"/>
        <v>0</v>
      </c>
      <c r="AM41" s="23">
        <f t="shared" si="7"/>
        <v>0</v>
      </c>
      <c r="AN41" s="23">
        <f t="shared" si="8"/>
        <v>0</v>
      </c>
      <c r="AO41" s="23">
        <f t="shared" si="9"/>
        <v>0</v>
      </c>
      <c r="AP41" s="7">
        <f t="shared" si="10"/>
        <v>0</v>
      </c>
      <c r="AQ41" s="7">
        <f t="shared" si="11"/>
        <v>0</v>
      </c>
      <c r="AR41" s="7">
        <f t="shared" si="12"/>
        <v>11</v>
      </c>
      <c r="AS41" t="str">
        <f t="shared" si="13"/>
        <v>库存为11</v>
      </c>
      <c r="AT41" s="2" t="str">
        <f>IFERROR(时间!$B$4+AS41,"上周无销量")</f>
        <v>上周无销量</v>
      </c>
    </row>
    <row r="42" spans="1:46">
      <c r="A42" t="s">
        <v>201</v>
      </c>
      <c r="B42" s="5">
        <f>SUMIF('库存（子SKU）'!$C:$C,$A42,'库存（子SKU）'!D:D)</f>
        <v>0</v>
      </c>
      <c r="C42" s="5">
        <f>SUMIF('库存（子SKU）'!$C:$C,$A42,'库存（子SKU）'!E:E)</f>
        <v>1</v>
      </c>
      <c r="D42" s="5">
        <f>SUMIF('库存（子SKU）'!$C:$C,$A42,'库存（子SKU）'!F:F)</f>
        <v>0</v>
      </c>
      <c r="E42" s="5">
        <f>SUMIF('库存（子SKU）'!$C:$C,$A42,'库存（子SKU）'!G:G)</f>
        <v>1</v>
      </c>
      <c r="F42" s="6">
        <v>89.99</v>
      </c>
      <c r="G42">
        <f>SUMIF('库存（子SKU）'!$C:$C,$A42,'库存（子SKU）'!I:I)</f>
        <v>4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4</v>
      </c>
      <c r="L42">
        <f>SUMIF('库存（子SKU）'!$C:$C,$A42,'库存（子SKU）'!N:N)</f>
        <v>0</v>
      </c>
      <c r="M42">
        <f>SUMIF('库存（子SKU）'!$C:$C,$A42,'库存（子SKU）'!O:O)</f>
        <v>0</v>
      </c>
      <c r="N42">
        <f>SUMIF('库存（子SKU）'!$C:$C,$A42,'库存（子SKU）'!P:P)</f>
        <v>4899</v>
      </c>
      <c r="O42">
        <f>SUMIF('库存（子SKU）'!$C:$C,$A42,'库存（子SKU）'!Q:Q)</f>
        <v>7880</v>
      </c>
      <c r="P42">
        <f>SUMIF('库存（子SKU）'!$C:$C,$A42,'库存（子SKU）'!R:R)</f>
        <v>32815</v>
      </c>
      <c r="Q42">
        <f>SUMIF('库存（子SKU）'!$C:$C,$A42,'库存（子SKU）'!S:S)</f>
        <v>32890</v>
      </c>
      <c r="R42">
        <f>SUMIF('库存（子SKU）'!$C:$C,$A42,'库存（子SKU）'!T:T)</f>
        <v>23</v>
      </c>
      <c r="S42">
        <f>SUMIF('库存（子SKU）'!$C:$C,$A42,'库存（子SKU）'!U:U)</f>
        <v>55</v>
      </c>
      <c r="T42">
        <f>SUMIF('库存（子SKU）'!$C:$C,$A42,'库存（子SKU）'!V:V)</f>
        <v>240</v>
      </c>
      <c r="U42">
        <f>SUMIF('库存（子SKU）'!$C:$C,$A42,'库存（子SKU）'!W:W)</f>
        <v>241</v>
      </c>
      <c r="V42" s="23">
        <f t="shared" si="15"/>
        <v>0.00469483568075117</v>
      </c>
      <c r="W42" s="23">
        <f t="shared" si="16"/>
        <v>0.00697969543147208</v>
      </c>
      <c r="X42" s="23">
        <f t="shared" si="17"/>
        <v>0.00731372847783026</v>
      </c>
      <c r="Y42" s="23">
        <f t="shared" si="18"/>
        <v>0.00732745515354211</v>
      </c>
      <c r="Z42">
        <f>SUMIF('库存（子SKU）'!$C:$C,$A42,'库存（子SKU）'!AB:AB)</f>
        <v>5.66</v>
      </c>
      <c r="AA42">
        <f>SUMIF('库存（子SKU）'!$C:$C,$A42,'库存（子SKU）'!AC:AC)</f>
        <v>13.63</v>
      </c>
      <c r="AB42">
        <f>SUMIF('库存（子SKU）'!$C:$C,$A42,'库存（子SKU）'!AD:AD)</f>
        <v>60.04</v>
      </c>
      <c r="AC42">
        <f>SUMIF('库存（子SKU）'!$C:$C,$A42,'库存（子SKU）'!AE:AE)</f>
        <v>60.54</v>
      </c>
      <c r="AD42" s="23" t="str">
        <f t="shared" si="2"/>
        <v>无销量广告费为5.66</v>
      </c>
      <c r="AE42" s="23">
        <f t="shared" si="3"/>
        <v>0.151461273474831</v>
      </c>
      <c r="AF42" s="23" t="str">
        <f t="shared" si="4"/>
        <v>无销量广告费为60.04</v>
      </c>
      <c r="AG42" s="23">
        <f t="shared" si="5"/>
        <v>0.672741415712857</v>
      </c>
      <c r="AH42">
        <f>SUMIF('库存（子SKU）'!$C:$C,$A42,'库存（子SKU）'!AJ:AJ)</f>
        <v>44</v>
      </c>
      <c r="AI42">
        <f>SUMIF('库存（子SKU）'!$C:$C,$A42,'库存（子SKU）'!AK:AK)</f>
        <v>94</v>
      </c>
      <c r="AJ42">
        <f>SUMIF('库存（子SKU）'!$C:$C,$A42,'库存（子SKU）'!AL:AL)</f>
        <v>50</v>
      </c>
      <c r="AK42">
        <f>SUMIF('库存（子SKU）'!$C:$C,$A42,'库存（子SKU）'!AM:AM)</f>
        <v>78</v>
      </c>
      <c r="AL42" s="23">
        <f t="shared" si="6"/>
        <v>0</v>
      </c>
      <c r="AM42" s="23">
        <f t="shared" si="7"/>
        <v>0.0106382978723404</v>
      </c>
      <c r="AN42" s="23">
        <f t="shared" si="8"/>
        <v>0</v>
      </c>
      <c r="AO42" s="23">
        <f t="shared" si="9"/>
        <v>0.0128205128205128</v>
      </c>
      <c r="AP42" s="7">
        <f t="shared" si="10"/>
        <v>0</v>
      </c>
      <c r="AQ42" s="7">
        <f t="shared" si="11"/>
        <v>0</v>
      </c>
      <c r="AR42" s="7">
        <f t="shared" si="12"/>
        <v>4</v>
      </c>
      <c r="AS42" t="str">
        <f t="shared" si="13"/>
        <v>库存为4</v>
      </c>
      <c r="AT42" s="2" t="str">
        <f>IFERROR(时间!$B$4+AS42,"上周无销量")</f>
        <v>上周无销量</v>
      </c>
    </row>
    <row r="43" spans="1:46">
      <c r="A43" t="s">
        <v>206</v>
      </c>
      <c r="B43" s="5">
        <f>SUMIF('库存（子SKU）'!$C:$C,$A43,'库存（子SKU）'!D:D)</f>
        <v>0</v>
      </c>
      <c r="C43" s="5">
        <f>SUMIF('库存（子SKU）'!$C:$C,$A43,'库存（子SKU）'!E:E)</f>
        <v>0</v>
      </c>
      <c r="D43" s="5">
        <f>SUMIF('库存（子SKU）'!$C:$C,$A43,'库存（子SKU）'!F:F)</f>
        <v>0</v>
      </c>
      <c r="E43" s="5">
        <f>SUMIF('库存（子SKU）'!$C:$C,$A43,'库存（子SKU）'!G:G)</f>
        <v>0</v>
      </c>
      <c r="F43" s="6" t="s">
        <v>54</v>
      </c>
      <c r="G43">
        <f>SUMIF('库存（子SKU）'!$C:$C,$A43,'库存（子SKU）'!I:I)</f>
        <v>18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18</v>
      </c>
      <c r="L43">
        <f>SUMIF('库存（子SKU）'!$C:$C,$A43,'库存（子SKU）'!N:N)</f>
        <v>0</v>
      </c>
      <c r="M43">
        <f>SUMIF('库存（子SKU）'!$C:$C,$A43,'库存（子SKU）'!O:O)</f>
        <v>8</v>
      </c>
      <c r="N43">
        <f>SUMIF('库存（子SKU）'!$C:$C,$A43,'库存（子SKU）'!P:P)</f>
        <v>583</v>
      </c>
      <c r="O43">
        <f>SUMIF('库存（子SKU）'!$C:$C,$A43,'库存（子SKU）'!Q:Q)</f>
        <v>587</v>
      </c>
      <c r="P43">
        <f>SUMIF('库存（子SKU）'!$C:$C,$A43,'库存（子SKU）'!R:R)</f>
        <v>37489</v>
      </c>
      <c r="Q43">
        <f>SUMIF('库存（子SKU）'!$C:$C,$A43,'库存（子SKU）'!S:S)</f>
        <v>37493</v>
      </c>
      <c r="R43">
        <f>SUMIF('库存（子SKU）'!$C:$C,$A43,'库存（子SKU）'!T:T)</f>
        <v>12</v>
      </c>
      <c r="S43">
        <f>SUMIF('库存（子SKU）'!$C:$C,$A43,'库存（子SKU）'!U:U)</f>
        <v>3</v>
      </c>
      <c r="T43">
        <f>SUMIF('库存（子SKU）'!$C:$C,$A43,'库存（子SKU）'!V:V)</f>
        <v>245</v>
      </c>
      <c r="U43">
        <f>SUMIF('库存（子SKU）'!$C:$C,$A43,'库存（子SKU）'!W:W)</f>
        <v>245</v>
      </c>
      <c r="V43" s="23">
        <f t="shared" si="15"/>
        <v>0.0205831903945112</v>
      </c>
      <c r="W43" s="23">
        <f t="shared" si="16"/>
        <v>0.00511073253833049</v>
      </c>
      <c r="X43" s="23">
        <f t="shared" si="17"/>
        <v>0.00653525034009976</v>
      </c>
      <c r="Y43" s="23">
        <f t="shared" si="18"/>
        <v>0.00653455311658176</v>
      </c>
      <c r="Z43">
        <f>SUMIF('库存（子SKU）'!$C:$C,$A43,'库存（子SKU）'!AB:AB)</f>
        <v>1.86</v>
      </c>
      <c r="AA43">
        <f>SUMIF('库存（子SKU）'!$C:$C,$A43,'库存（子SKU）'!AC:AC)</f>
        <v>0.56</v>
      </c>
      <c r="AB43">
        <f>SUMIF('库存（子SKU）'!$C:$C,$A43,'库存（子SKU）'!AD:AD)</f>
        <v>39.74</v>
      </c>
      <c r="AC43">
        <f>SUMIF('库存（子SKU）'!$C:$C,$A43,'库存（子SKU）'!AE:AE)</f>
        <v>39.74</v>
      </c>
      <c r="AD43" s="23" t="str">
        <f t="shared" si="2"/>
        <v>无销量广告费为1.86</v>
      </c>
      <c r="AE43" s="23" t="str">
        <f t="shared" si="3"/>
        <v>无销量广告费为0.56</v>
      </c>
      <c r="AF43" s="23" t="str">
        <f t="shared" si="4"/>
        <v>无销量广告费为39.74</v>
      </c>
      <c r="AG43" s="23" t="str">
        <f t="shared" si="5"/>
        <v>无销量广告费为39.74</v>
      </c>
      <c r="AH43">
        <f>SUMIF('库存（子SKU）'!$C:$C,$A43,'库存（子SKU）'!AJ:AJ)</f>
        <v>41</v>
      </c>
      <c r="AI43">
        <f>SUMIF('库存（子SKU）'!$C:$C,$A43,'库存（子SKU）'!AK:AK)</f>
        <v>20</v>
      </c>
      <c r="AJ43">
        <f>SUMIF('库存（子SKU）'!$C:$C,$A43,'库存（子SKU）'!AL:AL)</f>
        <v>33</v>
      </c>
      <c r="AK43">
        <f>SUMIF('库存（子SKU）'!$C:$C,$A43,'库存（子SKU）'!AM:AM)</f>
        <v>26</v>
      </c>
      <c r="AL43" s="23">
        <f t="shared" si="6"/>
        <v>0</v>
      </c>
      <c r="AM43" s="23">
        <f t="shared" si="7"/>
        <v>0</v>
      </c>
      <c r="AN43" s="23">
        <f t="shared" si="8"/>
        <v>0</v>
      </c>
      <c r="AO43" s="23">
        <f t="shared" si="9"/>
        <v>0</v>
      </c>
      <c r="AP43" s="7">
        <f t="shared" si="10"/>
        <v>0</v>
      </c>
      <c r="AQ43" s="7">
        <f t="shared" si="11"/>
        <v>0</v>
      </c>
      <c r="AR43" s="7">
        <f t="shared" si="12"/>
        <v>18</v>
      </c>
      <c r="AS43" t="str">
        <f t="shared" si="13"/>
        <v>库存为18</v>
      </c>
      <c r="AT43" s="2" t="str">
        <f>IFERROR(时间!$B$4+AS43,"上周无销量")</f>
        <v>上周无销量</v>
      </c>
    </row>
    <row r="44" spans="1:46">
      <c r="A44" t="s">
        <v>215</v>
      </c>
      <c r="B44" s="5">
        <f>SUMIF('库存（子SKU）'!$C:$C,$A44,'库存（子SKU）'!D:D)</f>
        <v>5</v>
      </c>
      <c r="C44" s="5">
        <f>SUMIF('库存（子SKU）'!$C:$C,$A44,'库存（子SKU）'!E:E)</f>
        <v>10</v>
      </c>
      <c r="D44" s="5">
        <f>SUMIF('库存（子SKU）'!$C:$C,$A44,'库存（子SKU）'!F:F)</f>
        <v>13</v>
      </c>
      <c r="E44" s="5">
        <f>SUMIF('库存（子SKU）'!$C:$C,$A44,'库存（子SKU）'!G:G)</f>
        <v>7</v>
      </c>
      <c r="F44" s="6">
        <v>85.1042857142857</v>
      </c>
      <c r="G44">
        <f>SUMIF('库存（子SKU）'!$C:$C,$A44,'库存（子SKU）'!I:I)</f>
        <v>90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90</v>
      </c>
      <c r="L44">
        <f>SUMIF('库存（子SKU）'!$C:$C,$A44,'库存（子SKU）'!N:N)</f>
        <v>2</v>
      </c>
      <c r="M44">
        <f>SUMIF('库存（子SKU）'!$C:$C,$A44,'库存（子SKU）'!O:O)</f>
        <v>4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3" t="str">
        <f t="shared" si="15"/>
        <v/>
      </c>
      <c r="W44" s="23" t="str">
        <f t="shared" si="16"/>
        <v/>
      </c>
      <c r="X44" s="23" t="str">
        <f t="shared" si="17"/>
        <v/>
      </c>
      <c r="Y44" s="23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3">
        <f t="shared" si="2"/>
        <v>0</v>
      </c>
      <c r="AE44" s="23">
        <f t="shared" si="3"/>
        <v>0</v>
      </c>
      <c r="AF44" s="23">
        <f t="shared" si="4"/>
        <v>0</v>
      </c>
      <c r="AG44" s="23">
        <f t="shared" si="5"/>
        <v>0</v>
      </c>
      <c r="AH44">
        <f>SUMIF('库存（子SKU）'!$C:$C,$A44,'库存（子SKU）'!AJ:AJ)</f>
        <v>664</v>
      </c>
      <c r="AI44">
        <f>SUMIF('库存（子SKU）'!$C:$C,$A44,'库存（子SKU）'!AK:AK)</f>
        <v>966</v>
      </c>
      <c r="AJ44">
        <f>SUMIF('库存（子SKU）'!$C:$C,$A44,'库存（子SKU）'!AL:AL)</f>
        <v>1111</v>
      </c>
      <c r="AK44">
        <f>SUMIF('库存（子SKU）'!$C:$C,$A44,'库存（子SKU）'!AM:AM)</f>
        <v>718</v>
      </c>
      <c r="AL44" s="23">
        <f t="shared" si="6"/>
        <v>0.00753012048192771</v>
      </c>
      <c r="AM44" s="23">
        <f t="shared" si="7"/>
        <v>0.010351966873706</v>
      </c>
      <c r="AN44" s="23">
        <f t="shared" si="8"/>
        <v>0.0117011701170117</v>
      </c>
      <c r="AO44" s="23">
        <f t="shared" si="9"/>
        <v>0.00974930362116992</v>
      </c>
      <c r="AP44" s="7">
        <f t="shared" si="10"/>
        <v>0.714285714285714</v>
      </c>
      <c r="AQ44" s="7">
        <f t="shared" si="11"/>
        <v>42.8571428571429</v>
      </c>
      <c r="AR44" s="7">
        <f t="shared" si="12"/>
        <v>47.1428571428571</v>
      </c>
      <c r="AS44">
        <f t="shared" si="13"/>
        <v>126</v>
      </c>
      <c r="AT44" s="2">
        <f>IFERROR(时间!$B$4+AS44,"上周无销量")</f>
        <v>43465</v>
      </c>
    </row>
    <row r="45" spans="1:46">
      <c r="A45" t="s">
        <v>222</v>
      </c>
      <c r="B45" s="5">
        <f>SUMIF('库存（子SKU）'!$C:$C,$A45,'库存（子SKU）'!D:D)</f>
        <v>1</v>
      </c>
      <c r="C45" s="5">
        <f>SUMIF('库存（子SKU）'!$C:$C,$A45,'库存（子SKU）'!E:E)</f>
        <v>2</v>
      </c>
      <c r="D45" s="5">
        <f>SUMIF('库存（子SKU）'!$C:$C,$A45,'库存（子SKU）'!F:F)</f>
        <v>0</v>
      </c>
      <c r="E45" s="5">
        <f>SUMIF('库存（子SKU）'!$C:$C,$A45,'库存（子SKU）'!G:G)</f>
        <v>0</v>
      </c>
      <c r="F45" s="6">
        <v>69.99</v>
      </c>
      <c r="G45">
        <f>SUMIF('库存（子SKU）'!$C:$C,$A45,'库存（子SKU）'!I:I)</f>
        <v>2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2</v>
      </c>
      <c r="L45">
        <f>SUMIF('库存（子SKU）'!$C:$C,$A45,'库存（子SKU）'!N:N)</f>
        <v>0</v>
      </c>
      <c r="M45">
        <f>SUMIF('库存（子SKU）'!$C:$C,$A45,'库存（子SKU）'!O:O)</f>
        <v>2</v>
      </c>
      <c r="N45">
        <f>SUMIF('库存（子SKU）'!$C:$C,$A45,'库存（子SKU）'!P:P)</f>
        <v>4996</v>
      </c>
      <c r="O45">
        <f>SUMIF('库存（子SKU）'!$C:$C,$A45,'库存（子SKU）'!Q:Q)</f>
        <v>11072</v>
      </c>
      <c r="P45">
        <f>SUMIF('库存（子SKU）'!$C:$C,$A45,'库存（子SKU）'!R:R)</f>
        <v>18799</v>
      </c>
      <c r="Q45">
        <f>SUMIF('库存（子SKU）'!$C:$C,$A45,'库存（子SKU）'!S:S)</f>
        <v>18799</v>
      </c>
      <c r="R45">
        <f>SUMIF('库存（子SKU）'!$C:$C,$A45,'库存（子SKU）'!T:T)</f>
        <v>55</v>
      </c>
      <c r="S45">
        <f>SUMIF('库存（子SKU）'!$C:$C,$A45,'库存（子SKU）'!U:U)</f>
        <v>87</v>
      </c>
      <c r="T45">
        <f>SUMIF('库存（子SKU）'!$C:$C,$A45,'库存（子SKU）'!V:V)</f>
        <v>117</v>
      </c>
      <c r="U45">
        <f>SUMIF('库存（子SKU）'!$C:$C,$A45,'库存（子SKU）'!W:W)</f>
        <v>117</v>
      </c>
      <c r="V45" s="23">
        <f t="shared" si="15"/>
        <v>0.0110088070456365</v>
      </c>
      <c r="W45" s="23">
        <f t="shared" si="16"/>
        <v>0.00785765895953757</v>
      </c>
      <c r="X45" s="23">
        <f t="shared" si="17"/>
        <v>0.00622373530506942</v>
      </c>
      <c r="Y45" s="23">
        <f t="shared" si="18"/>
        <v>0.00622373530506942</v>
      </c>
      <c r="Z45">
        <f>SUMIF('库存（子SKU）'!$C:$C,$A45,'库存（子SKU）'!AB:AB)</f>
        <v>14.87</v>
      </c>
      <c r="AA45">
        <f>SUMIF('库存（子SKU）'!$C:$C,$A45,'库存（子SKU）'!AC:AC)</f>
        <v>25.16</v>
      </c>
      <c r="AB45">
        <f>SUMIF('库存（子SKU）'!$C:$C,$A45,'库存（子SKU）'!AD:AD)</f>
        <v>18.87</v>
      </c>
      <c r="AC45">
        <f>SUMIF('库存（子SKU）'!$C:$C,$A45,'库存（子SKU）'!AE:AE)</f>
        <v>18.87</v>
      </c>
      <c r="AD45" s="23">
        <f t="shared" si="2"/>
        <v>0.212458922703243</v>
      </c>
      <c r="AE45" s="23">
        <f t="shared" si="3"/>
        <v>0.179739962851836</v>
      </c>
      <c r="AF45" s="23" t="str">
        <f t="shared" si="4"/>
        <v>无销量广告费为18.87</v>
      </c>
      <c r="AG45" s="23" t="str">
        <f t="shared" si="5"/>
        <v>无销量广告费为18.87</v>
      </c>
      <c r="AH45">
        <f>SUMIF('库存（子SKU）'!$C:$C,$A45,'库存（子SKU）'!AJ:AJ)</f>
        <v>73</v>
      </c>
      <c r="AI45">
        <f>SUMIF('库存（子SKU）'!$C:$C,$A45,'库存（子SKU）'!AK:AK)</f>
        <v>102</v>
      </c>
      <c r="AJ45">
        <f>SUMIF('库存（子SKU）'!$C:$C,$A45,'库存（子SKU）'!AL:AL)</f>
        <v>51</v>
      </c>
      <c r="AK45">
        <f>SUMIF('库存（子SKU）'!$C:$C,$A45,'库存（子SKU）'!AM:AM)</f>
        <v>12</v>
      </c>
      <c r="AL45" s="23">
        <f t="shared" si="6"/>
        <v>0.0136986301369863</v>
      </c>
      <c r="AM45" s="23">
        <f t="shared" si="7"/>
        <v>0.0196078431372549</v>
      </c>
      <c r="AN45" s="23">
        <f t="shared" si="8"/>
        <v>0</v>
      </c>
      <c r="AO45" s="23">
        <f t="shared" si="9"/>
        <v>0</v>
      </c>
      <c r="AP45" s="7">
        <f t="shared" si="10"/>
        <v>0.142857142857143</v>
      </c>
      <c r="AQ45" s="7">
        <f t="shared" si="11"/>
        <v>8.57142857142857</v>
      </c>
      <c r="AR45" s="7">
        <f t="shared" si="12"/>
        <v>-6.57142857142857</v>
      </c>
      <c r="AS45">
        <f t="shared" si="13"/>
        <v>14</v>
      </c>
      <c r="AT45" s="2">
        <f>IFERROR(时间!$B$4+AS45,"上周无销量")</f>
        <v>43353</v>
      </c>
    </row>
    <row r="46" spans="1:46">
      <c r="A46" t="s">
        <v>226</v>
      </c>
      <c r="B46" s="5">
        <f>SUMIF('库存（子SKU）'!$C:$C,$A46,'库存（子SKU）'!D:D)</f>
        <v>0</v>
      </c>
      <c r="C46" s="5">
        <f>SUMIF('库存（子SKU）'!$C:$C,$A46,'库存（子SKU）'!E:E)</f>
        <v>2</v>
      </c>
      <c r="D46" s="5">
        <f>SUMIF('库存（子SKU）'!$C:$C,$A46,'库存（子SKU）'!F:F)</f>
        <v>1</v>
      </c>
      <c r="E46" s="5">
        <f>SUMIF('库存（子SKU）'!$C:$C,$A46,'库存（子SKU）'!G:G)</f>
        <v>2</v>
      </c>
      <c r="F46" s="6">
        <v>89.99</v>
      </c>
      <c r="G46">
        <f>SUMIF('库存（子SKU）'!$C:$C,$A46,'库存（子SKU）'!I:I)</f>
        <v>10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10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14903</v>
      </c>
      <c r="O46">
        <f>SUMIF('库存（子SKU）'!$C:$C,$A46,'库存（子SKU）'!Q:Q)</f>
        <v>6671</v>
      </c>
      <c r="P46">
        <f>SUMIF('库存（子SKU）'!$C:$C,$A46,'库存（子SKU）'!R:R)</f>
        <v>183870</v>
      </c>
      <c r="Q46">
        <f>SUMIF('库存（子SKU）'!$C:$C,$A46,'库存（子SKU）'!S:S)</f>
        <v>184603</v>
      </c>
      <c r="R46">
        <f>SUMIF('库存（子SKU）'!$C:$C,$A46,'库存（子SKU）'!T:T)</f>
        <v>59</v>
      </c>
      <c r="S46">
        <f>SUMIF('库存（子SKU）'!$C:$C,$A46,'库存（子SKU）'!U:U)</f>
        <v>33</v>
      </c>
      <c r="T46">
        <f>SUMIF('库存（子SKU）'!$C:$C,$A46,'库存（子SKU）'!V:V)</f>
        <v>640</v>
      </c>
      <c r="U46">
        <f>SUMIF('库存（子SKU）'!$C:$C,$A46,'库存（子SKU）'!W:W)</f>
        <v>640</v>
      </c>
      <c r="V46" s="23">
        <f t="shared" si="15"/>
        <v>0.00395893444272965</v>
      </c>
      <c r="W46" s="23">
        <f t="shared" si="16"/>
        <v>0.00494678459001649</v>
      </c>
      <c r="X46" s="23">
        <f t="shared" si="17"/>
        <v>0.0034807200739653</v>
      </c>
      <c r="Y46" s="23">
        <f t="shared" si="18"/>
        <v>0.00346689923782387</v>
      </c>
      <c r="Z46">
        <f>SUMIF('库存（子SKU）'!$C:$C,$A46,'库存（子SKU）'!AB:AB)</f>
        <v>15.72</v>
      </c>
      <c r="AA46">
        <f>SUMIF('库存（子SKU）'!$C:$C,$A46,'库存（子SKU）'!AC:AC)</f>
        <v>8.38</v>
      </c>
      <c r="AB46">
        <f>SUMIF('库存（子SKU）'!$C:$C,$A46,'库存（子SKU）'!AD:AD)</f>
        <v>128.94</v>
      </c>
      <c r="AC46">
        <f>SUMIF('库存（子SKU）'!$C:$C,$A46,'库存（子SKU）'!AE:AE)</f>
        <v>128.94</v>
      </c>
      <c r="AD46" s="23" t="str">
        <f t="shared" si="2"/>
        <v>无销量广告费为15.72</v>
      </c>
      <c r="AE46" s="23">
        <f t="shared" si="3"/>
        <v>0.0465607289698855</v>
      </c>
      <c r="AF46" s="23">
        <f t="shared" si="4"/>
        <v>1.43282586954106</v>
      </c>
      <c r="AG46" s="23">
        <f t="shared" si="5"/>
        <v>0.71641293477053</v>
      </c>
      <c r="AH46">
        <f>SUMIF('库存（子SKU）'!$C:$C,$A46,'库存（子SKU）'!AJ:AJ)</f>
        <v>98</v>
      </c>
      <c r="AI46">
        <f>SUMIF('库存（子SKU）'!$C:$C,$A46,'库存（子SKU）'!AK:AK)</f>
        <v>97</v>
      </c>
      <c r="AJ46">
        <f>SUMIF('库存（子SKU）'!$C:$C,$A46,'库存（子SKU）'!AL:AL)</f>
        <v>198</v>
      </c>
      <c r="AK46">
        <f>SUMIF('库存（子SKU）'!$C:$C,$A46,'库存（子SKU）'!AM:AM)</f>
        <v>182</v>
      </c>
      <c r="AL46" s="23">
        <f t="shared" si="6"/>
        <v>0</v>
      </c>
      <c r="AM46" s="23">
        <f t="shared" si="7"/>
        <v>0.0206185567010309</v>
      </c>
      <c r="AN46" s="23">
        <f t="shared" si="8"/>
        <v>0.00505050505050505</v>
      </c>
      <c r="AO46" s="23">
        <f t="shared" si="9"/>
        <v>0.010989010989011</v>
      </c>
      <c r="AP46" s="7">
        <f t="shared" si="10"/>
        <v>0</v>
      </c>
      <c r="AQ46" s="7">
        <f t="shared" si="11"/>
        <v>0</v>
      </c>
      <c r="AR46" s="7">
        <f t="shared" si="12"/>
        <v>10</v>
      </c>
      <c r="AS46" t="str">
        <f t="shared" si="13"/>
        <v>库存为10</v>
      </c>
      <c r="AT46" s="2" t="str">
        <f>IFERROR(时间!$B$4+AS46,"上周无销量")</f>
        <v>上周无销量</v>
      </c>
    </row>
    <row r="47" spans="1:46">
      <c r="A47" t="s">
        <v>230</v>
      </c>
      <c r="B47" s="5">
        <f>SUMIF('库存（子SKU）'!$C:$C,$A47,'库存（子SKU）'!D:D)</f>
        <v>0</v>
      </c>
      <c r="C47" s="5">
        <f>SUMIF('库存（子SKU）'!$C:$C,$A47,'库存（子SKU）'!E:E)</f>
        <v>0</v>
      </c>
      <c r="D47" s="5">
        <f>SUMIF('库存（子SKU）'!$C:$C,$A47,'库存（子SKU）'!F:F)</f>
        <v>1</v>
      </c>
      <c r="E47" s="5">
        <f>SUMIF('库存（子SKU）'!$C:$C,$A47,'库存（子SKU）'!G:G)</f>
        <v>0</v>
      </c>
      <c r="F47" s="6">
        <v>91.6</v>
      </c>
      <c r="G47">
        <f>SUMIF('库存（子SKU）'!$C:$C,$A47,'库存（子SKU）'!I:I)</f>
        <v>46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46</v>
      </c>
      <c r="L47">
        <f>SUMIF('库存（子SKU）'!$C:$C,$A47,'库存（子SKU）'!N:N)</f>
        <v>0</v>
      </c>
      <c r="M47">
        <f>SUMIF('库存（子SKU）'!$C:$C,$A47,'库存（子SKU）'!O:O)</f>
        <v>16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20780</v>
      </c>
      <c r="Q47">
        <f>SUMIF('库存（子SKU）'!$C:$C,$A47,'库存（子SKU）'!S:S)</f>
        <v>20780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97</v>
      </c>
      <c r="U47">
        <f>SUMIF('库存（子SKU）'!$C:$C,$A47,'库存（子SKU）'!W:W)</f>
        <v>97</v>
      </c>
      <c r="V47" s="23" t="str">
        <f t="shared" si="15"/>
        <v/>
      </c>
      <c r="W47" s="23" t="str">
        <f t="shared" si="16"/>
        <v/>
      </c>
      <c r="X47" s="23">
        <f t="shared" si="17"/>
        <v>0.00466794995187681</v>
      </c>
      <c r="Y47" s="23">
        <f t="shared" si="18"/>
        <v>0.00466794995187681</v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16.25</v>
      </c>
      <c r="AC47">
        <f>SUMIF('库存（子SKU）'!$C:$C,$A47,'库存（子SKU）'!AE:AE)</f>
        <v>16.25</v>
      </c>
      <c r="AD47" s="23" t="str">
        <f t="shared" si="2"/>
        <v/>
      </c>
      <c r="AE47" s="23" t="str">
        <f t="shared" si="3"/>
        <v/>
      </c>
      <c r="AF47" s="23">
        <f t="shared" si="4"/>
        <v>0.177401746724891</v>
      </c>
      <c r="AG47" s="23" t="str">
        <f t="shared" si="5"/>
        <v>无销量广告费为16.25</v>
      </c>
      <c r="AH47">
        <f>SUMIF('库存（子SKU）'!$C:$C,$A47,'库存（子SKU）'!AJ:AJ)</f>
        <v>6</v>
      </c>
      <c r="AI47">
        <f>SUMIF('库存（子SKU）'!$C:$C,$A47,'库存（子SKU）'!AK:AK)</f>
        <v>5</v>
      </c>
      <c r="AJ47">
        <f>SUMIF('库存（子SKU）'!$C:$C,$A47,'库存（子SKU）'!AL:AL)</f>
        <v>12</v>
      </c>
      <c r="AK47">
        <f>SUMIF('库存（子SKU）'!$C:$C,$A47,'库存（子SKU）'!AM:AM)</f>
        <v>4</v>
      </c>
      <c r="AL47" s="23">
        <f t="shared" si="6"/>
        <v>0</v>
      </c>
      <c r="AM47" s="23">
        <f t="shared" si="7"/>
        <v>0</v>
      </c>
      <c r="AN47" s="23">
        <f t="shared" si="8"/>
        <v>0.0833333333333333</v>
      </c>
      <c r="AO47" s="23">
        <f t="shared" si="9"/>
        <v>0</v>
      </c>
      <c r="AP47" s="7">
        <f t="shared" si="10"/>
        <v>0</v>
      </c>
      <c r="AQ47" s="7">
        <f t="shared" si="11"/>
        <v>0</v>
      </c>
      <c r="AR47" s="7">
        <f t="shared" si="12"/>
        <v>46</v>
      </c>
      <c r="AS47" t="str">
        <f t="shared" si="13"/>
        <v>库存为46</v>
      </c>
      <c r="AT47" s="2" t="str">
        <f>IFERROR(时间!$B$4+AS47,"上周无销量")</f>
        <v>上周无销量</v>
      </c>
    </row>
    <row r="48" spans="1:46">
      <c r="A48" t="s">
        <v>233</v>
      </c>
      <c r="B48" s="5">
        <f>SUMIF('库存（子SKU）'!$C:$C,$A48,'库存（子SKU）'!D:D)</f>
        <v>0</v>
      </c>
      <c r="C48" s="5">
        <f>SUMIF('库存（子SKU）'!$C:$C,$A48,'库存（子SKU）'!E:E)</f>
        <v>0</v>
      </c>
      <c r="D48" s="5">
        <f>SUMIF('库存（子SKU）'!$C:$C,$A48,'库存（子SKU）'!F:F)</f>
        <v>0</v>
      </c>
      <c r="E48" s="5">
        <f>SUMIF('库存（子SKU）'!$C:$C,$A48,'库存（子SKU）'!G:G)</f>
        <v>0</v>
      </c>
      <c r="F48" s="6" t="s">
        <v>54</v>
      </c>
      <c r="G48">
        <f>SUMIF('库存（子SKU）'!$C:$C,$A48,'库存（子SKU）'!I:I)</f>
        <v>4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4</v>
      </c>
      <c r="L48">
        <f>SUMIF('库存（子SKU）'!$C:$C,$A48,'库存（子SKU）'!N:N)</f>
        <v>0</v>
      </c>
      <c r="M48">
        <f>SUMIF('库存（子SKU）'!$C:$C,$A48,'库存（子SKU）'!O:O)</f>
        <v>4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3" t="str">
        <f t="shared" si="15"/>
        <v/>
      </c>
      <c r="W48" s="23" t="str">
        <f t="shared" si="16"/>
        <v/>
      </c>
      <c r="X48" s="23" t="str">
        <f t="shared" si="17"/>
        <v/>
      </c>
      <c r="Y48" s="23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3" t="str">
        <f t="shared" si="2"/>
        <v/>
      </c>
      <c r="AE48" s="23" t="str">
        <f t="shared" si="3"/>
        <v/>
      </c>
      <c r="AF48" s="23" t="str">
        <f t="shared" si="4"/>
        <v/>
      </c>
      <c r="AG48" s="23" t="str">
        <f t="shared" si="5"/>
        <v/>
      </c>
      <c r="AH48">
        <f>SUMIF('库存（子SKU）'!$C:$C,$A48,'库存（子SKU）'!AJ:AJ)</f>
        <v>8</v>
      </c>
      <c r="AI48">
        <f>SUMIF('库存（子SKU）'!$C:$C,$A48,'库存（子SKU）'!AK:AK)</f>
        <v>7</v>
      </c>
      <c r="AJ48">
        <f>SUMIF('库存（子SKU）'!$C:$C,$A48,'库存（子SKU）'!AL:AL)</f>
        <v>6</v>
      </c>
      <c r="AK48">
        <f>SUMIF('库存（子SKU）'!$C:$C,$A48,'库存（子SKU）'!AM:AM)</f>
        <v>8</v>
      </c>
      <c r="AL48" s="23">
        <f t="shared" si="6"/>
        <v>0</v>
      </c>
      <c r="AM48" s="23">
        <f t="shared" si="7"/>
        <v>0</v>
      </c>
      <c r="AN48" s="23">
        <f t="shared" si="8"/>
        <v>0</v>
      </c>
      <c r="AO48" s="23">
        <f t="shared" si="9"/>
        <v>0</v>
      </c>
      <c r="AP48" s="7">
        <f t="shared" si="10"/>
        <v>0</v>
      </c>
      <c r="AQ48" s="7">
        <f t="shared" si="11"/>
        <v>0</v>
      </c>
      <c r="AR48" s="7">
        <f t="shared" si="12"/>
        <v>4</v>
      </c>
      <c r="AS48" t="str">
        <f t="shared" si="13"/>
        <v>库存为4</v>
      </c>
      <c r="AT48" s="2" t="str">
        <f>IFERROR(时间!$B$4+AS48,"上周无销量")</f>
        <v>上周无销量</v>
      </c>
    </row>
    <row r="49" spans="1:46">
      <c r="A49" t="s">
        <v>236</v>
      </c>
      <c r="B49" s="5">
        <f>SUMIF('库存（子SKU）'!$C:$C,$A49,'库存（子SKU）'!D:D)</f>
        <v>0</v>
      </c>
      <c r="C49" s="5">
        <f>SUMIF('库存（子SKU）'!$C:$C,$A49,'库存（子SKU）'!E:E)</f>
        <v>2</v>
      </c>
      <c r="D49" s="5">
        <f>SUMIF('库存（子SKU）'!$C:$C,$A49,'库存（子SKU）'!F:F)</f>
        <v>0</v>
      </c>
      <c r="E49" s="5">
        <f>SUMIF('库存（子SKU）'!$C:$C,$A49,'库存（子SKU）'!G:G)</f>
        <v>0</v>
      </c>
      <c r="F49" s="6">
        <v>89.99</v>
      </c>
      <c r="G49">
        <f>SUMIF('库存（子SKU）'!$C:$C,$A49,'库存（子SKU）'!I:I)</f>
        <v>6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6</v>
      </c>
      <c r="L49">
        <f>SUMIF('库存（子SKU）'!$C:$C,$A49,'库存（子SKU）'!N:N)</f>
        <v>0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7921</v>
      </c>
      <c r="P49">
        <f>SUMIF('库存（子SKU）'!$C:$C,$A49,'库存（子SKU）'!R:R)</f>
        <v>70699</v>
      </c>
      <c r="Q49">
        <f>SUMIF('库存（子SKU）'!$C:$C,$A49,'库存（子SKU）'!S:S)</f>
        <v>70847</v>
      </c>
      <c r="R49">
        <f>SUMIF('库存（子SKU）'!$C:$C,$A49,'库存（子SKU）'!T:T)</f>
        <v>0</v>
      </c>
      <c r="S49">
        <f>SUMIF('库存（子SKU）'!$C:$C,$A49,'库存（子SKU）'!U:U)</f>
        <v>79</v>
      </c>
      <c r="T49">
        <f>SUMIF('库存（子SKU）'!$C:$C,$A49,'库存（子SKU）'!V:V)</f>
        <v>457</v>
      </c>
      <c r="U49">
        <f>SUMIF('库存（子SKU）'!$C:$C,$A49,'库存（子SKU）'!W:W)</f>
        <v>460</v>
      </c>
      <c r="V49" s="23" t="str">
        <f t="shared" si="15"/>
        <v/>
      </c>
      <c r="W49" s="23">
        <f t="shared" si="16"/>
        <v>0.00997348819593486</v>
      </c>
      <c r="X49" s="23">
        <f t="shared" si="17"/>
        <v>0.0064640235364008</v>
      </c>
      <c r="Y49" s="23">
        <f t="shared" si="18"/>
        <v>0.00649286490606518</v>
      </c>
      <c r="Z49">
        <f>SUMIF('库存（子SKU）'!$C:$C,$A49,'库存（子SKU）'!AB:AB)</f>
        <v>0</v>
      </c>
      <c r="AA49">
        <f>SUMIF('库存（子SKU）'!$C:$C,$A49,'库存（子SKU）'!AC:AC)</f>
        <v>21.35</v>
      </c>
      <c r="AB49">
        <f>SUMIF('库存（子SKU）'!$C:$C,$A49,'库存（子SKU）'!AD:AD)</f>
        <v>124.8</v>
      </c>
      <c r="AC49">
        <f>SUMIF('库存（子SKU）'!$C:$C,$A49,'库存（子SKU）'!AE:AE)</f>
        <v>125.86</v>
      </c>
      <c r="AD49" s="23" t="str">
        <f t="shared" si="2"/>
        <v/>
      </c>
      <c r="AE49" s="23">
        <f t="shared" si="3"/>
        <v>0.118624291587954</v>
      </c>
      <c r="AF49" s="23" t="str">
        <f t="shared" si="4"/>
        <v>无销量广告费为124.8</v>
      </c>
      <c r="AG49" s="23" t="str">
        <f t="shared" si="5"/>
        <v>无销量广告费为125.86</v>
      </c>
      <c r="AH49">
        <f>SUMIF('库存（子SKU）'!$C:$C,$A49,'库存（子SKU）'!AJ:AJ)</f>
        <v>39</v>
      </c>
      <c r="AI49">
        <f>SUMIF('库存（子SKU）'!$C:$C,$A49,'库存（子SKU）'!AK:AK)</f>
        <v>180</v>
      </c>
      <c r="AJ49">
        <f>SUMIF('库存（子SKU）'!$C:$C,$A49,'库存（子SKU）'!AL:AL)</f>
        <v>134</v>
      </c>
      <c r="AK49">
        <f>SUMIF('库存（子SKU）'!$C:$C,$A49,'库存（子SKU）'!AM:AM)</f>
        <v>252</v>
      </c>
      <c r="AL49" s="23">
        <f t="shared" si="6"/>
        <v>0</v>
      </c>
      <c r="AM49" s="23">
        <f t="shared" si="7"/>
        <v>0.0111111111111111</v>
      </c>
      <c r="AN49" s="23">
        <f t="shared" si="8"/>
        <v>0</v>
      </c>
      <c r="AO49" s="23">
        <f t="shared" si="9"/>
        <v>0</v>
      </c>
      <c r="AP49" s="7">
        <f t="shared" si="10"/>
        <v>0</v>
      </c>
      <c r="AQ49" s="7">
        <f t="shared" si="11"/>
        <v>0</v>
      </c>
      <c r="AR49" s="7">
        <f t="shared" si="12"/>
        <v>6</v>
      </c>
      <c r="AS49" t="str">
        <f t="shared" si="13"/>
        <v>库存为6</v>
      </c>
      <c r="AT49" s="2" t="str">
        <f>IFERROR(时间!$B$4+AS49,"上周无销量")</f>
        <v>上周无销量</v>
      </c>
    </row>
    <row r="50" spans="1:46">
      <c r="A50" t="s">
        <v>241</v>
      </c>
      <c r="B50" s="5">
        <f>SUMIF('库存（子SKU）'!$C:$C,$A50,'库存（子SKU）'!D:D)</f>
        <v>4</v>
      </c>
      <c r="C50" s="5">
        <f>SUMIF('库存（子SKU）'!$C:$C,$A50,'库存（子SKU）'!E:E)</f>
        <v>3</v>
      </c>
      <c r="D50" s="5">
        <f>SUMIF('库存（子SKU）'!$C:$C,$A50,'库存（子SKU）'!F:F)</f>
        <v>3</v>
      </c>
      <c r="E50" s="5">
        <f>SUMIF('库存（子SKU）'!$C:$C,$A50,'库存（子SKU）'!G:G)</f>
        <v>7</v>
      </c>
      <c r="F50" s="6">
        <v>88.8135294117647</v>
      </c>
      <c r="G50">
        <f>SUMIF('库存（子SKU）'!$C:$C,$A50,'库存（子SKU）'!I:I)</f>
        <v>31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31</v>
      </c>
      <c r="L50">
        <f>SUMIF('库存（子SKU）'!$C:$C,$A50,'库存（子SKU）'!N:N)</f>
        <v>0</v>
      </c>
      <c r="M50">
        <f>SUMIF('库存（子SKU）'!$C:$C,$A50,'库存（子SKU）'!O:O)</f>
        <v>2</v>
      </c>
      <c r="N50">
        <f>SUMIF('库存（子SKU）'!$C:$C,$A50,'库存（子SKU）'!P:P)</f>
        <v>2581</v>
      </c>
      <c r="O50">
        <f>SUMIF('库存（子SKU）'!$C:$C,$A50,'库存（子SKU）'!Q:Q)</f>
        <v>2967</v>
      </c>
      <c r="P50">
        <f>SUMIF('库存（子SKU）'!$C:$C,$A50,'库存（子SKU）'!R:R)</f>
        <v>328729</v>
      </c>
      <c r="Q50">
        <f>SUMIF('库存（子SKU）'!$C:$C,$A50,'库存（子SKU）'!S:S)</f>
        <v>329184</v>
      </c>
      <c r="R50">
        <f>SUMIF('库存（子SKU）'!$C:$C,$A50,'库存（子SKU）'!T:T)</f>
        <v>41</v>
      </c>
      <c r="S50">
        <f>SUMIF('库存（子SKU）'!$C:$C,$A50,'库存（子SKU）'!U:U)</f>
        <v>46</v>
      </c>
      <c r="T50">
        <f>SUMIF('库存（子SKU）'!$C:$C,$A50,'库存（子SKU）'!V:V)</f>
        <v>2063</v>
      </c>
      <c r="U50">
        <f>SUMIF('库存（子SKU）'!$C:$C,$A50,'库存（子SKU）'!W:W)</f>
        <v>2064</v>
      </c>
      <c r="V50" s="23">
        <f t="shared" si="15"/>
        <v>0.0158853157690818</v>
      </c>
      <c r="W50" s="23">
        <f t="shared" si="16"/>
        <v>0.0155038759689922</v>
      </c>
      <c r="X50" s="23">
        <f t="shared" si="17"/>
        <v>0.00627568605142838</v>
      </c>
      <c r="Y50" s="23">
        <f t="shared" si="18"/>
        <v>0.00627004957713619</v>
      </c>
      <c r="Z50">
        <f>SUMIF('库存（子SKU）'!$C:$C,$A50,'库存（子SKU）'!AB:AB)</f>
        <v>5.97</v>
      </c>
      <c r="AA50">
        <f>SUMIF('库存（子SKU）'!$C:$C,$A50,'库存（子SKU）'!AC:AC)</f>
        <v>5.48</v>
      </c>
      <c r="AB50">
        <f>SUMIF('库存（子SKU）'!$C:$C,$A50,'库存（子SKU）'!AD:AD)</f>
        <v>405.5</v>
      </c>
      <c r="AC50">
        <f>SUMIF('库存（子SKU）'!$C:$C,$A50,'库存（子SKU）'!AE:AE)</f>
        <v>405.62</v>
      </c>
      <c r="AD50" s="23">
        <f t="shared" si="2"/>
        <v>0.0168048720716902</v>
      </c>
      <c r="AE50" s="23">
        <f t="shared" si="3"/>
        <v>0.020567436952063</v>
      </c>
      <c r="AF50" s="23">
        <f t="shared" si="4"/>
        <v>1.52191527081415</v>
      </c>
      <c r="AG50" s="23">
        <f t="shared" si="5"/>
        <v>0.652442422562237</v>
      </c>
      <c r="AH50">
        <f>SUMIF('库存（子SKU）'!$C:$C,$A50,'库存（子SKU）'!AJ:AJ)</f>
        <v>304</v>
      </c>
      <c r="AI50">
        <f>SUMIF('库存（子SKU）'!$C:$C,$A50,'库存（子SKU）'!AK:AK)</f>
        <v>436</v>
      </c>
      <c r="AJ50">
        <f>SUMIF('库存（子SKU）'!$C:$C,$A50,'库存（子SKU）'!AL:AL)</f>
        <v>374</v>
      </c>
      <c r="AK50">
        <f>SUMIF('库存（子SKU）'!$C:$C,$A50,'库存（子SKU）'!AM:AM)</f>
        <v>564</v>
      </c>
      <c r="AL50" s="23">
        <f t="shared" si="6"/>
        <v>0.0131578947368421</v>
      </c>
      <c r="AM50" s="23">
        <f t="shared" si="7"/>
        <v>0.00688073394495413</v>
      </c>
      <c r="AN50" s="23">
        <f t="shared" si="8"/>
        <v>0.00802139037433155</v>
      </c>
      <c r="AO50" s="23">
        <f t="shared" si="9"/>
        <v>0.0124113475177305</v>
      </c>
      <c r="AP50" s="7">
        <f t="shared" si="10"/>
        <v>0.571428571428571</v>
      </c>
      <c r="AQ50" s="7">
        <f t="shared" si="11"/>
        <v>34.2857142857143</v>
      </c>
      <c r="AR50" s="7">
        <f t="shared" si="12"/>
        <v>-3.28571428571428</v>
      </c>
      <c r="AS50">
        <f t="shared" si="13"/>
        <v>54</v>
      </c>
      <c r="AT50" s="2">
        <f>IFERROR(时间!$B$4+AS50,"上周无销量")</f>
        <v>43393</v>
      </c>
    </row>
    <row r="51" spans="1:46">
      <c r="A51" t="s">
        <v>246</v>
      </c>
      <c r="B51" s="5">
        <f>SUMIF('库存（子SKU）'!$C:$C,$A51,'库存（子SKU）'!D:D)</f>
        <v>4</v>
      </c>
      <c r="C51" s="5">
        <f>SUMIF('库存（子SKU）'!$C:$C,$A51,'库存（子SKU）'!E:E)</f>
        <v>2</v>
      </c>
      <c r="D51" s="5">
        <f>SUMIF('库存（子SKU）'!$C:$C,$A51,'库存（子SKU）'!F:F)</f>
        <v>8</v>
      </c>
      <c r="E51" s="5">
        <f>SUMIF('库存（子SKU）'!$C:$C,$A51,'库存（子SKU）'!G:G)</f>
        <v>4</v>
      </c>
      <c r="F51" s="6">
        <v>87.3233333333333</v>
      </c>
      <c r="G51">
        <f>SUMIF('库存（子SKU）'!$C:$C,$A51,'库存（子SKU）'!I:I)</f>
        <v>47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47</v>
      </c>
      <c r="L51">
        <f>SUMIF('库存（子SKU）'!$C:$C,$A51,'库存（子SKU）'!N:N)</f>
        <v>0</v>
      </c>
      <c r="M51">
        <f>SUMIF('库存（子SKU）'!$C:$C,$A51,'库存（子SKU）'!O:O)</f>
        <v>6</v>
      </c>
      <c r="N51">
        <f>SUMIF('库存（子SKU）'!$C:$C,$A51,'库存（子SKU）'!P:P)</f>
        <v>64615</v>
      </c>
      <c r="O51">
        <f>SUMIF('库存（子SKU）'!$C:$C,$A51,'库存（子SKU）'!Q:Q)</f>
        <v>18289</v>
      </c>
      <c r="P51">
        <f>SUMIF('库存（子SKU）'!$C:$C,$A51,'库存（子SKU）'!R:R)</f>
        <v>448645</v>
      </c>
      <c r="Q51">
        <f>SUMIF('库存（子SKU）'!$C:$C,$A51,'库存（子SKU）'!S:S)</f>
        <v>450774</v>
      </c>
      <c r="R51">
        <f>SUMIF('库存（子SKU）'!$C:$C,$A51,'库存（子SKU）'!T:T)</f>
        <v>484</v>
      </c>
      <c r="S51">
        <f>SUMIF('库存（子SKU）'!$C:$C,$A51,'库存（子SKU）'!U:U)</f>
        <v>201</v>
      </c>
      <c r="T51">
        <f>SUMIF('库存（子SKU）'!$C:$C,$A51,'库存（子SKU）'!V:V)</f>
        <v>2720</v>
      </c>
      <c r="U51">
        <f>SUMIF('库存（子SKU）'!$C:$C,$A51,'库存（子SKU）'!W:W)</f>
        <v>2728</v>
      </c>
      <c r="V51" s="23">
        <f t="shared" si="15"/>
        <v>0.00749052077690939</v>
      </c>
      <c r="W51" s="23">
        <f t="shared" si="16"/>
        <v>0.0109902126961562</v>
      </c>
      <c r="X51" s="23">
        <f t="shared" si="17"/>
        <v>0.00606269990749925</v>
      </c>
      <c r="Y51" s="23">
        <f t="shared" si="18"/>
        <v>0.00605181310368389</v>
      </c>
      <c r="Z51">
        <f>SUMIF('库存（子SKU）'!$C:$C,$A51,'库存（子SKU）'!AB:AB)</f>
        <v>108.12</v>
      </c>
      <c r="AA51">
        <f>SUMIF('库存（子SKU）'!$C:$C,$A51,'库存（子SKU）'!AC:AC)</f>
        <v>36.94</v>
      </c>
      <c r="AB51">
        <f>SUMIF('库存（子SKU）'!$C:$C,$A51,'库存（子SKU）'!AD:AD)</f>
        <v>542.25</v>
      </c>
      <c r="AC51">
        <f>SUMIF('库存（子SKU）'!$C:$C,$A51,'库存（子SKU）'!AE:AE)</f>
        <v>543.95</v>
      </c>
      <c r="AD51" s="23">
        <f t="shared" si="2"/>
        <v>0.309539260220636</v>
      </c>
      <c r="AE51" s="23">
        <f t="shared" si="3"/>
        <v>0.21151276863763</v>
      </c>
      <c r="AF51" s="23">
        <f t="shared" si="4"/>
        <v>0.776210062220865</v>
      </c>
      <c r="AG51" s="23">
        <f t="shared" si="5"/>
        <v>1.55728709394206</v>
      </c>
      <c r="AH51">
        <f>SUMIF('库存（子SKU）'!$C:$C,$A51,'库存（子SKU）'!AJ:AJ)</f>
        <v>672</v>
      </c>
      <c r="AI51">
        <f>SUMIF('库存（子SKU）'!$C:$C,$A51,'库存（子SKU）'!AK:AK)</f>
        <v>496</v>
      </c>
      <c r="AJ51">
        <f>SUMIF('库存（子SKU）'!$C:$C,$A51,'库存（子SKU）'!AL:AL)</f>
        <v>917</v>
      </c>
      <c r="AK51">
        <f>SUMIF('库存（子SKU）'!$C:$C,$A51,'库存（子SKU）'!AM:AM)</f>
        <v>1119</v>
      </c>
      <c r="AL51" s="23">
        <f t="shared" si="6"/>
        <v>0.00595238095238095</v>
      </c>
      <c r="AM51" s="23">
        <f t="shared" si="7"/>
        <v>0.00403225806451613</v>
      </c>
      <c r="AN51" s="23">
        <f t="shared" si="8"/>
        <v>0.00872410032715376</v>
      </c>
      <c r="AO51" s="23">
        <f t="shared" si="9"/>
        <v>0.00357462019660411</v>
      </c>
      <c r="AP51" s="7">
        <f t="shared" si="10"/>
        <v>0.571428571428571</v>
      </c>
      <c r="AQ51" s="7">
        <f t="shared" si="11"/>
        <v>34.2857142857143</v>
      </c>
      <c r="AR51" s="7">
        <f t="shared" si="12"/>
        <v>12.7142857142857</v>
      </c>
      <c r="AS51">
        <f t="shared" si="13"/>
        <v>82</v>
      </c>
      <c r="AT51" s="2">
        <f>IFERROR(时间!$B$4+AS51,"上周无销量")</f>
        <v>43421</v>
      </c>
    </row>
    <row r="52" spans="1:46">
      <c r="A52" t="s">
        <v>254</v>
      </c>
      <c r="B52" s="5">
        <f>SUMIF('库存（子SKU）'!$C:$C,$A52,'库存（子SKU）'!D:D)</f>
        <v>0</v>
      </c>
      <c r="C52" s="5">
        <f>SUMIF('库存（子SKU）'!$C:$C,$A52,'库存（子SKU）'!E:E)</f>
        <v>0</v>
      </c>
      <c r="D52" s="5">
        <f>SUMIF('库存（子SKU）'!$C:$C,$A52,'库存（子SKU）'!F:F)</f>
        <v>1</v>
      </c>
      <c r="E52" s="5">
        <f>SUMIF('库存（子SKU）'!$C:$C,$A52,'库存（子SKU）'!G:G)</f>
        <v>0</v>
      </c>
      <c r="F52" s="6">
        <v>79.99</v>
      </c>
      <c r="G52">
        <f>SUMIF('库存（子SKU）'!$C:$C,$A52,'库存（子SKU）'!I:I)</f>
        <v>2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2</v>
      </c>
      <c r="L52">
        <f>SUMIF('库存（子SKU）'!$C:$C,$A52,'库存（子SKU）'!N:N)</f>
        <v>0</v>
      </c>
      <c r="M52">
        <f>SUMIF('库存（子SKU）'!$C:$C,$A52,'库存（子SKU）'!O:O)</f>
        <v>2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63097</v>
      </c>
      <c r="Q52">
        <f>SUMIF('库存（子SKU）'!$C:$C,$A52,'库存（子SKU）'!S:S)</f>
        <v>63123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179</v>
      </c>
      <c r="U52">
        <f>SUMIF('库存（子SKU）'!$C:$C,$A52,'库存（子SKU）'!W:W)</f>
        <v>180</v>
      </c>
      <c r="V52" s="23" t="str">
        <f t="shared" si="15"/>
        <v/>
      </c>
      <c r="W52" s="23" t="str">
        <f t="shared" si="16"/>
        <v/>
      </c>
      <c r="X52" s="23">
        <f t="shared" si="17"/>
        <v>0.00283690191292771</v>
      </c>
      <c r="Y52" s="23">
        <f t="shared" si="18"/>
        <v>0.00285157549546124</v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52.18</v>
      </c>
      <c r="AC52">
        <f>SUMIF('库存（子SKU）'!$C:$C,$A52,'库存（子SKU）'!AE:AE)</f>
        <v>52.56</v>
      </c>
      <c r="AD52" s="23" t="str">
        <f t="shared" si="2"/>
        <v/>
      </c>
      <c r="AE52" s="23" t="str">
        <f t="shared" si="3"/>
        <v/>
      </c>
      <c r="AF52" s="23">
        <f t="shared" si="4"/>
        <v>0.65233154144268</v>
      </c>
      <c r="AG52" s="23" t="str">
        <f t="shared" si="5"/>
        <v>无销量广告费为52.56</v>
      </c>
      <c r="AH52">
        <f>SUMIF('库存（子SKU）'!$C:$C,$A52,'库存（子SKU）'!AJ:AJ)</f>
        <v>18</v>
      </c>
      <c r="AI52">
        <f>SUMIF('库存（子SKU）'!$C:$C,$A52,'库存（子SKU）'!AK:AK)</f>
        <v>19</v>
      </c>
      <c r="AJ52">
        <f>SUMIF('库存（子SKU）'!$C:$C,$A52,'库存（子SKU）'!AL:AL)</f>
        <v>20</v>
      </c>
      <c r="AK52">
        <f>SUMIF('库存（子SKU）'!$C:$C,$A52,'库存（子SKU）'!AM:AM)</f>
        <v>21</v>
      </c>
      <c r="AL52" s="23">
        <f t="shared" si="6"/>
        <v>0</v>
      </c>
      <c r="AM52" s="23">
        <f t="shared" si="7"/>
        <v>0</v>
      </c>
      <c r="AN52" s="23">
        <f t="shared" si="8"/>
        <v>0.05</v>
      </c>
      <c r="AO52" s="23">
        <f t="shared" si="9"/>
        <v>0</v>
      </c>
      <c r="AP52" s="7">
        <f t="shared" si="10"/>
        <v>0</v>
      </c>
      <c r="AQ52" s="7">
        <f t="shared" si="11"/>
        <v>0</v>
      </c>
      <c r="AR52" s="7">
        <f t="shared" si="12"/>
        <v>2</v>
      </c>
      <c r="AS52" t="str">
        <f t="shared" si="13"/>
        <v>库存为2</v>
      </c>
      <c r="AT52" s="2" t="str">
        <f>IFERROR(时间!$B$4+AS52,"上周无销量")</f>
        <v>上周无销量</v>
      </c>
    </row>
    <row r="53" spans="1:46">
      <c r="A53" t="s">
        <v>258</v>
      </c>
      <c r="B53" s="5">
        <f>SUMIF('库存（子SKU）'!$C:$C,$A53,'库存（子SKU）'!D:D)</f>
        <v>2</v>
      </c>
      <c r="C53" s="5">
        <f>SUMIF('库存（子SKU）'!$C:$C,$A53,'库存（子SKU）'!E:E)</f>
        <v>0</v>
      </c>
      <c r="D53" s="5">
        <f>SUMIF('库存（子SKU）'!$C:$C,$A53,'库存（子SKU）'!F:F)</f>
        <v>1</v>
      </c>
      <c r="E53" s="5">
        <f>SUMIF('库存（子SKU）'!$C:$C,$A53,'库存（子SKU）'!G:G)</f>
        <v>1</v>
      </c>
      <c r="F53" s="6">
        <v>82.49</v>
      </c>
      <c r="G53">
        <f>SUMIF('库存（子SKU）'!$C:$C,$A53,'库存（子SKU）'!I:I)</f>
        <v>5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5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9397</v>
      </c>
      <c r="O53">
        <f>SUMIF('库存（子SKU）'!$C:$C,$A53,'库存（子SKU）'!Q:Q)</f>
        <v>28508</v>
      </c>
      <c r="P53">
        <f>SUMIF('库存（子SKU）'!$C:$C,$A53,'库存（子SKU）'!R:R)</f>
        <v>257498</v>
      </c>
      <c r="Q53">
        <f>SUMIF('库存（子SKU）'!$C:$C,$A53,'库存（子SKU）'!S:S)</f>
        <v>257831</v>
      </c>
      <c r="R53">
        <f>SUMIF('库存（子SKU）'!$C:$C,$A53,'库存（子SKU）'!T:T)</f>
        <v>19</v>
      </c>
      <c r="S53">
        <f>SUMIF('库存（子SKU）'!$C:$C,$A53,'库存（子SKU）'!U:U)</f>
        <v>82</v>
      </c>
      <c r="T53">
        <f>SUMIF('库存（子SKU）'!$C:$C,$A53,'库存（子SKU）'!V:V)</f>
        <v>757</v>
      </c>
      <c r="U53">
        <f>SUMIF('库存（子SKU）'!$C:$C,$A53,'库存（子SKU）'!W:W)</f>
        <v>757</v>
      </c>
      <c r="V53" s="23">
        <f t="shared" si="15"/>
        <v>0.00202192188996488</v>
      </c>
      <c r="W53" s="23">
        <f t="shared" si="16"/>
        <v>0.00287638557597867</v>
      </c>
      <c r="X53" s="23">
        <f t="shared" si="17"/>
        <v>0.00293982865886337</v>
      </c>
      <c r="Y53" s="23">
        <f t="shared" si="18"/>
        <v>0.00293603174172229</v>
      </c>
      <c r="Z53">
        <f>SUMIF('库存（子SKU）'!$C:$C,$A53,'库存（子SKU）'!AB:AB)</f>
        <v>2.74</v>
      </c>
      <c r="AA53">
        <f>SUMIF('库存（子SKU）'!$C:$C,$A53,'库存（子SKU）'!AC:AC)</f>
        <v>13.67</v>
      </c>
      <c r="AB53">
        <f>SUMIF('库存（子SKU）'!$C:$C,$A53,'库存（子SKU）'!AD:AD)</f>
        <v>162.07</v>
      </c>
      <c r="AC53">
        <f>SUMIF('库存（子SKU）'!$C:$C,$A53,'库存（子SKU）'!AE:AE)</f>
        <v>162.07</v>
      </c>
      <c r="AD53" s="23">
        <f t="shared" si="2"/>
        <v>0.0166080737059037</v>
      </c>
      <c r="AE53" s="23" t="str">
        <f t="shared" si="3"/>
        <v>无销量广告费为13.67</v>
      </c>
      <c r="AF53" s="23">
        <f t="shared" si="4"/>
        <v>1.96472299672688</v>
      </c>
      <c r="AG53" s="23">
        <f t="shared" si="5"/>
        <v>1.96472299672688</v>
      </c>
      <c r="AH53">
        <f>SUMIF('库存（子SKU）'!$C:$C,$A53,'库存（子SKU）'!AJ:AJ)</f>
        <v>48</v>
      </c>
      <c r="AI53">
        <f>SUMIF('库存（子SKU）'!$C:$C,$A53,'库存（子SKU）'!AK:AK)</f>
        <v>157</v>
      </c>
      <c r="AJ53">
        <f>SUMIF('库存（子SKU）'!$C:$C,$A53,'库存（子SKU）'!AL:AL)</f>
        <v>202</v>
      </c>
      <c r="AK53">
        <f>SUMIF('库存（子SKU）'!$C:$C,$A53,'库存（子SKU）'!AM:AM)</f>
        <v>124</v>
      </c>
      <c r="AL53" s="23">
        <f t="shared" si="6"/>
        <v>0.0416666666666667</v>
      </c>
      <c r="AM53" s="23">
        <f t="shared" si="7"/>
        <v>0</v>
      </c>
      <c r="AN53" s="23">
        <f t="shared" si="8"/>
        <v>0.00495049504950495</v>
      </c>
      <c r="AO53" s="23">
        <f t="shared" si="9"/>
        <v>0.00806451612903226</v>
      </c>
      <c r="AP53" s="7">
        <f t="shared" si="10"/>
        <v>0.285714285714286</v>
      </c>
      <c r="AQ53" s="7">
        <f t="shared" si="11"/>
        <v>17.1428571428571</v>
      </c>
      <c r="AR53" s="7">
        <f t="shared" si="12"/>
        <v>-12.1428571428571</v>
      </c>
      <c r="AS53">
        <f t="shared" si="13"/>
        <v>17</v>
      </c>
      <c r="AT53" s="2">
        <f>IFERROR(时间!$B$4+AS53,"上周无销量")</f>
        <v>43356</v>
      </c>
    </row>
    <row r="54" spans="1:46">
      <c r="A54" t="s">
        <v>267</v>
      </c>
      <c r="B54" s="5">
        <f>SUMIF('库存（子SKU）'!$C:$C,$A54,'库存（子SKU）'!D:D)</f>
        <v>2</v>
      </c>
      <c r="C54" s="5">
        <f>SUMIF('库存（子SKU）'!$C:$C,$A54,'库存（子SKU）'!E:E)</f>
        <v>2</v>
      </c>
      <c r="D54" s="5">
        <f>SUMIF('库存（子SKU）'!$C:$C,$A54,'库存（子SKU）'!F:F)</f>
        <v>0</v>
      </c>
      <c r="E54" s="5">
        <f>SUMIF('库存（子SKU）'!$C:$C,$A54,'库存（子SKU）'!G:G)</f>
        <v>1</v>
      </c>
      <c r="F54" s="6">
        <v>99.99</v>
      </c>
      <c r="G54">
        <f>SUMIF('库存（子SKU）'!$C:$C,$A54,'库存（子SKU）'!I:I)</f>
        <v>6</v>
      </c>
      <c r="H54">
        <f>SUMIF('库存（子SKU）'!$C:$C,$A54,'库存（子SKU）'!J:J)</f>
        <v>5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11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33</v>
      </c>
      <c r="O54">
        <f>SUMIF('库存（子SKU）'!$C:$C,$A54,'库存（子SKU）'!Q:Q)</f>
        <v>0</v>
      </c>
      <c r="P54">
        <f>SUMIF('库存（子SKU）'!$C:$C,$A54,'库存（子SKU）'!R:R)</f>
        <v>73447</v>
      </c>
      <c r="Q54">
        <f>SUMIF('库存（子SKU）'!$C:$C,$A54,'库存（子SKU）'!S:S)</f>
        <v>73628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350</v>
      </c>
      <c r="U54">
        <f>SUMIF('库存（子SKU）'!$C:$C,$A54,'库存（子SKU）'!W:W)</f>
        <v>353</v>
      </c>
      <c r="V54" s="23">
        <f t="shared" si="15"/>
        <v>0</v>
      </c>
      <c r="W54" s="23" t="str">
        <f t="shared" si="16"/>
        <v/>
      </c>
      <c r="X54" s="23">
        <f t="shared" si="17"/>
        <v>0.00476534099418628</v>
      </c>
      <c r="Y54" s="23">
        <f t="shared" si="18"/>
        <v>0.00479437170641604</v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88.57</v>
      </c>
      <c r="AC54">
        <f>SUMIF('库存（子SKU）'!$C:$C,$A54,'库存（子SKU）'!AE:AE)</f>
        <v>89.77</v>
      </c>
      <c r="AD54" s="23">
        <f t="shared" si="2"/>
        <v>0</v>
      </c>
      <c r="AE54" s="23">
        <f t="shared" si="3"/>
        <v>0</v>
      </c>
      <c r="AF54" s="23" t="str">
        <f t="shared" si="4"/>
        <v>无销量广告费为88.57</v>
      </c>
      <c r="AG54" s="23">
        <f t="shared" si="5"/>
        <v>0.897789778977898</v>
      </c>
      <c r="AH54">
        <f>SUMIF('库存（子SKU）'!$C:$C,$A54,'库存（子SKU）'!AJ:AJ)</f>
        <v>78</v>
      </c>
      <c r="AI54">
        <f>SUMIF('库存（子SKU）'!$C:$C,$A54,'库存（子SKU）'!AK:AK)</f>
        <v>100</v>
      </c>
      <c r="AJ54">
        <f>SUMIF('库存（子SKU）'!$C:$C,$A54,'库存（子SKU）'!AL:AL)</f>
        <v>100</v>
      </c>
      <c r="AK54">
        <f>SUMIF('库存（子SKU）'!$C:$C,$A54,'库存（子SKU）'!AM:AM)</f>
        <v>162</v>
      </c>
      <c r="AL54" s="23">
        <f t="shared" si="6"/>
        <v>0.0256410256410256</v>
      </c>
      <c r="AM54" s="23">
        <f t="shared" si="7"/>
        <v>0.02</v>
      </c>
      <c r="AN54" s="23">
        <f t="shared" si="8"/>
        <v>0</v>
      </c>
      <c r="AO54" s="23">
        <f t="shared" si="9"/>
        <v>0.00617283950617284</v>
      </c>
      <c r="AP54" s="7">
        <f t="shared" si="10"/>
        <v>0.285714285714286</v>
      </c>
      <c r="AQ54" s="7">
        <f t="shared" si="11"/>
        <v>17.1428571428571</v>
      </c>
      <c r="AR54" s="7">
        <f t="shared" si="12"/>
        <v>-6.14285714285714</v>
      </c>
      <c r="AS54">
        <f t="shared" si="13"/>
        <v>38</v>
      </c>
      <c r="AT54" s="2">
        <f>IFERROR(时间!$B$4+AS54,"上周无销量")</f>
        <v>43377</v>
      </c>
    </row>
    <row r="55" spans="1:46">
      <c r="A55" t="s">
        <v>273</v>
      </c>
      <c r="B55" s="5">
        <f>SUMIF('库存（子SKU）'!$C:$C,$A55,'库存（子SKU）'!D:D)</f>
        <v>0</v>
      </c>
      <c r="C55" s="5">
        <f>SUMIF('库存（子SKU）'!$C:$C,$A55,'库存（子SKU）'!E:E)</f>
        <v>1</v>
      </c>
      <c r="D55" s="5">
        <f>SUMIF('库存（子SKU）'!$C:$C,$A55,'库存（子SKU）'!F:F)</f>
        <v>0</v>
      </c>
      <c r="E55" s="5">
        <f>SUMIF('库存（子SKU）'!$C:$C,$A55,'库存（子SKU）'!G:G)</f>
        <v>0</v>
      </c>
      <c r="F55" s="6">
        <v>89.6</v>
      </c>
      <c r="G55">
        <f>SUMIF('库存（子SKU）'!$C:$C,$A55,'库存（子SKU）'!I:I)</f>
        <v>2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2</v>
      </c>
      <c r="L55">
        <f>SUMIF('库存（子SKU）'!$C:$C,$A55,'库存（子SKU）'!N:N)</f>
        <v>0</v>
      </c>
      <c r="M55">
        <f>SUMIF('库存（子SKU）'!$C:$C,$A55,'库存（子SKU）'!O:O)</f>
        <v>2</v>
      </c>
      <c r="N55">
        <f>SUMIF('库存（子SKU）'!$C:$C,$A55,'库存（子SKU）'!P:P)</f>
        <v>10035</v>
      </c>
      <c r="O55">
        <f>SUMIF('库存（子SKU）'!$C:$C,$A55,'库存（子SKU）'!Q:Q)</f>
        <v>19362</v>
      </c>
      <c r="P55">
        <f>SUMIF('库存（子SKU）'!$C:$C,$A55,'库存（子SKU）'!R:R)</f>
        <v>322313</v>
      </c>
      <c r="Q55">
        <f>SUMIF('库存（子SKU）'!$C:$C,$A55,'库存（子SKU）'!S:S)</f>
        <v>322318</v>
      </c>
      <c r="R55">
        <f>SUMIF('库存（子SKU）'!$C:$C,$A55,'库存（子SKU）'!T:T)</f>
        <v>52</v>
      </c>
      <c r="S55">
        <f>SUMIF('库存（子SKU）'!$C:$C,$A55,'库存（子SKU）'!U:U)</f>
        <v>108</v>
      </c>
      <c r="T55">
        <f>SUMIF('库存（子SKU）'!$C:$C,$A55,'库存（子SKU）'!V:V)</f>
        <v>792</v>
      </c>
      <c r="U55">
        <f>SUMIF('库存（子SKU）'!$C:$C,$A55,'库存（子SKU）'!W:W)</f>
        <v>792</v>
      </c>
      <c r="V55" s="23">
        <f t="shared" si="15"/>
        <v>0.0051818634778276</v>
      </c>
      <c r="W55" s="23">
        <f t="shared" si="16"/>
        <v>0.00557793616361946</v>
      </c>
      <c r="X55" s="23">
        <f t="shared" si="17"/>
        <v>0.00245723877100831</v>
      </c>
      <c r="Y55" s="23">
        <f t="shared" si="18"/>
        <v>0.00245720065277149</v>
      </c>
      <c r="Z55">
        <f>SUMIF('库存（子SKU）'!$C:$C,$A55,'库存（子SKU）'!AB:AB)</f>
        <v>19.64</v>
      </c>
      <c r="AA55">
        <f>SUMIF('库存（子SKU）'!$C:$C,$A55,'库存（子SKU）'!AC:AC)</f>
        <v>35.79</v>
      </c>
      <c r="AB55">
        <f>SUMIF('库存（子SKU）'!$C:$C,$A55,'库存（子SKU）'!AD:AD)</f>
        <v>202.38</v>
      </c>
      <c r="AC55">
        <f>SUMIF('库存（子SKU）'!$C:$C,$A55,'库存（子SKU）'!AE:AE)</f>
        <v>202.38</v>
      </c>
      <c r="AD55" s="23" t="str">
        <f t="shared" si="2"/>
        <v>无销量广告费为19.64</v>
      </c>
      <c r="AE55" s="23">
        <f t="shared" si="3"/>
        <v>0.399441964285714</v>
      </c>
      <c r="AF55" s="23" t="str">
        <f t="shared" si="4"/>
        <v>无销量广告费为202.38</v>
      </c>
      <c r="AG55" s="23" t="str">
        <f t="shared" si="5"/>
        <v>无销量广告费为202.38</v>
      </c>
      <c r="AH55">
        <f>SUMIF('库存（子SKU）'!$C:$C,$A55,'库存（子SKU）'!AJ:AJ)</f>
        <v>68</v>
      </c>
      <c r="AI55">
        <f>SUMIF('库存（子SKU）'!$C:$C,$A55,'库存（子SKU）'!AK:AK)</f>
        <v>108</v>
      </c>
      <c r="AJ55">
        <f>SUMIF('库存（子SKU）'!$C:$C,$A55,'库存（子SKU）'!AL:AL)</f>
        <v>67</v>
      </c>
      <c r="AK55">
        <f>SUMIF('库存（子SKU）'!$C:$C,$A55,'库存（子SKU）'!AM:AM)</f>
        <v>42</v>
      </c>
      <c r="AL55" s="23">
        <f t="shared" si="6"/>
        <v>0</v>
      </c>
      <c r="AM55" s="23">
        <f t="shared" si="7"/>
        <v>0.00925925925925926</v>
      </c>
      <c r="AN55" s="23">
        <f t="shared" si="8"/>
        <v>0</v>
      </c>
      <c r="AO55" s="23">
        <f t="shared" si="9"/>
        <v>0</v>
      </c>
      <c r="AP55" s="7">
        <f t="shared" si="10"/>
        <v>0</v>
      </c>
      <c r="AQ55" s="7">
        <f t="shared" si="11"/>
        <v>0</v>
      </c>
      <c r="AR55" s="7">
        <f t="shared" si="12"/>
        <v>2</v>
      </c>
      <c r="AS55" t="str">
        <f t="shared" si="13"/>
        <v>库存为2</v>
      </c>
      <c r="AT55" s="2" t="str">
        <f>IFERROR(时间!$B$4+AS55,"上周无销量")</f>
        <v>上周无销量</v>
      </c>
    </row>
    <row r="56" spans="1:46">
      <c r="A56" t="s">
        <v>278</v>
      </c>
      <c r="B56" s="5">
        <f>SUMIF('库存（子SKU）'!$C:$C,$A56,'库存（子SKU）'!D:D)</f>
        <v>3</v>
      </c>
      <c r="C56" s="5">
        <f>SUMIF('库存（子SKU）'!$C:$C,$A56,'库存（子SKU）'!E:E)</f>
        <v>0</v>
      </c>
      <c r="D56" s="5">
        <f>SUMIF('库存（子SKU）'!$C:$C,$A56,'库存（子SKU）'!F:F)</f>
        <v>0</v>
      </c>
      <c r="E56" s="5">
        <f>SUMIF('库存（子SKU）'!$C:$C,$A56,'库存（子SKU）'!G:G)</f>
        <v>0</v>
      </c>
      <c r="F56" s="6">
        <v>99.6</v>
      </c>
      <c r="G56">
        <f>SUMIF('库存（子SKU）'!$C:$C,$A56,'库存（子SKU）'!I:I)</f>
        <v>23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23</v>
      </c>
      <c r="L56">
        <f>SUMIF('库存（子SKU）'!$C:$C,$A56,'库存（子SKU）'!N:N)</f>
        <v>0</v>
      </c>
      <c r="M56">
        <f>SUMIF('库存（子SKU）'!$C:$C,$A56,'库存（子SKU）'!O:O)</f>
        <v>3</v>
      </c>
      <c r="N56">
        <f>SUMIF('库存（子SKU）'!$C:$C,$A56,'库存（子SKU）'!P:P)</f>
        <v>23610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108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3">
        <f t="shared" si="15"/>
        <v>0.00457433290978399</v>
      </c>
      <c r="W56" s="23" t="str">
        <f t="shared" si="16"/>
        <v/>
      </c>
      <c r="X56" s="23" t="str">
        <f t="shared" si="17"/>
        <v/>
      </c>
      <c r="Y56" s="23" t="str">
        <f t="shared" si="18"/>
        <v/>
      </c>
      <c r="Z56">
        <f>SUMIF('库存（子SKU）'!$C:$C,$A56,'库存（子SKU）'!AB:AB)</f>
        <v>40.52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3">
        <f t="shared" si="2"/>
        <v>0.135609103078983</v>
      </c>
      <c r="AE56" s="23" t="str">
        <f t="shared" si="3"/>
        <v/>
      </c>
      <c r="AF56" s="23" t="str">
        <f t="shared" si="4"/>
        <v/>
      </c>
      <c r="AG56" s="23" t="str">
        <f t="shared" si="5"/>
        <v/>
      </c>
      <c r="AH56">
        <f>SUMIF('库存（子SKU）'!$C:$C,$A56,'库存（子SKU）'!AJ:AJ)</f>
        <v>194</v>
      </c>
      <c r="AI56">
        <f>SUMIF('库存（子SKU）'!$C:$C,$A56,'库存（子SKU）'!AK:AK)</f>
        <v>30</v>
      </c>
      <c r="AJ56">
        <f>SUMIF('库存（子SKU）'!$C:$C,$A56,'库存（子SKU）'!AL:AL)</f>
        <v>37</v>
      </c>
      <c r="AK56">
        <f>SUMIF('库存（子SKU）'!$C:$C,$A56,'库存（子SKU）'!AM:AM)</f>
        <v>31</v>
      </c>
      <c r="AL56" s="23">
        <f t="shared" si="6"/>
        <v>0.0154639175257732</v>
      </c>
      <c r="AM56" s="23">
        <f t="shared" si="7"/>
        <v>0</v>
      </c>
      <c r="AN56" s="23">
        <f t="shared" si="8"/>
        <v>0</v>
      </c>
      <c r="AO56" s="23">
        <f t="shared" si="9"/>
        <v>0</v>
      </c>
      <c r="AP56" s="7">
        <f t="shared" si="10"/>
        <v>0.428571428571429</v>
      </c>
      <c r="AQ56" s="7">
        <f t="shared" si="11"/>
        <v>25.7142857142857</v>
      </c>
      <c r="AR56" s="7">
        <f t="shared" si="12"/>
        <v>-2.71428571428571</v>
      </c>
      <c r="AS56">
        <f t="shared" si="13"/>
        <v>53</v>
      </c>
      <c r="AT56" s="2">
        <f>IFERROR(时间!$B$4+AS56,"上周无销量")</f>
        <v>43392</v>
      </c>
    </row>
    <row r="57" spans="1:46">
      <c r="A57" t="s">
        <v>281</v>
      </c>
      <c r="B57" s="5">
        <f>SUMIF('库存（子SKU）'!$C:$C,$A57,'库存（子SKU）'!D:D)</f>
        <v>1</v>
      </c>
      <c r="C57" s="5">
        <f>SUMIF('库存（子SKU）'!$C:$C,$A57,'库存（子SKU）'!E:E)</f>
        <v>1</v>
      </c>
      <c r="D57" s="5">
        <f>SUMIF('库存（子SKU）'!$C:$C,$A57,'库存（子SKU）'!F:F)</f>
        <v>0</v>
      </c>
      <c r="E57" s="5">
        <f>SUMIF('库存（子SKU）'!$C:$C,$A57,'库存（子SKU）'!G:G)</f>
        <v>1</v>
      </c>
      <c r="F57" s="6">
        <v>85.99</v>
      </c>
      <c r="G57">
        <f>SUMIF('库存（子SKU）'!$C:$C,$A57,'库存（子SKU）'!I:I)</f>
        <v>4</v>
      </c>
      <c r="H57">
        <f>SUMIF('库存（子SKU）'!$C:$C,$A57,'库存（子SKU）'!J:J)</f>
        <v>5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9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15264</v>
      </c>
      <c r="O57">
        <f>SUMIF('库存（子SKU）'!$C:$C,$A57,'库存（子SKU）'!Q:Q)</f>
        <v>9838</v>
      </c>
      <c r="P57">
        <f>SUMIF('库存（子SKU）'!$C:$C,$A57,'库存（子SKU）'!R:R)</f>
        <v>62824</v>
      </c>
      <c r="Q57">
        <f>SUMIF('库存（子SKU）'!$C:$C,$A57,'库存（子SKU）'!S:S)</f>
        <v>62955</v>
      </c>
      <c r="R57">
        <f>SUMIF('库存（子SKU）'!$C:$C,$A57,'库存（子SKU）'!T:T)</f>
        <v>89</v>
      </c>
      <c r="S57">
        <f>SUMIF('库存（子SKU）'!$C:$C,$A57,'库存（子SKU）'!U:U)</f>
        <v>56</v>
      </c>
      <c r="T57">
        <f>SUMIF('库存（子SKU）'!$C:$C,$A57,'库存（子SKU）'!V:V)</f>
        <v>283</v>
      </c>
      <c r="U57">
        <f>SUMIF('库存（子SKU）'!$C:$C,$A57,'库存（子SKU）'!W:W)</f>
        <v>284</v>
      </c>
      <c r="V57" s="23">
        <f t="shared" si="15"/>
        <v>0.00583071278825996</v>
      </c>
      <c r="W57" s="23">
        <f t="shared" si="16"/>
        <v>0.00569221386460663</v>
      </c>
      <c r="X57" s="23">
        <f t="shared" si="17"/>
        <v>0.00450464790525914</v>
      </c>
      <c r="Y57" s="23">
        <f t="shared" si="18"/>
        <v>0.00451115876419665</v>
      </c>
      <c r="Z57">
        <f>SUMIF('库存（子SKU）'!$C:$C,$A57,'库存（子SKU）'!AB:AB)</f>
        <v>27.87</v>
      </c>
      <c r="AA57">
        <f>SUMIF('库存（子SKU）'!$C:$C,$A57,'库存（子SKU）'!AC:AC)</f>
        <v>14.58</v>
      </c>
      <c r="AB57">
        <f>SUMIF('库存（子SKU）'!$C:$C,$A57,'库存（子SKU）'!AD:AD)</f>
        <v>57.21</v>
      </c>
      <c r="AC57">
        <f>SUMIF('库存（子SKU）'!$C:$C,$A57,'库存（子SKU）'!AE:AE)</f>
        <v>57.36</v>
      </c>
      <c r="AD57" s="23">
        <f t="shared" si="2"/>
        <v>0.324107454355158</v>
      </c>
      <c r="AE57" s="23">
        <f t="shared" si="3"/>
        <v>0.16955459937202</v>
      </c>
      <c r="AF57" s="23" t="str">
        <f t="shared" si="4"/>
        <v>无销量广告费为57.21</v>
      </c>
      <c r="AG57" s="23">
        <f t="shared" si="5"/>
        <v>0.66705430864054</v>
      </c>
      <c r="AH57">
        <f>SUMIF('库存（子SKU）'!$C:$C,$A57,'库存（子SKU）'!AJ:AJ)</f>
        <v>191</v>
      </c>
      <c r="AI57">
        <f>SUMIF('库存（子SKU）'!$C:$C,$A57,'库存（子SKU）'!AK:AK)</f>
        <v>88</v>
      </c>
      <c r="AJ57">
        <f>SUMIF('库存（子SKU）'!$C:$C,$A57,'库存（子SKU）'!AL:AL)</f>
        <v>106</v>
      </c>
      <c r="AK57">
        <f>SUMIF('库存（子SKU）'!$C:$C,$A57,'库存（子SKU）'!AM:AM)</f>
        <v>71</v>
      </c>
      <c r="AL57" s="23">
        <f t="shared" si="6"/>
        <v>0.00523560209424084</v>
      </c>
      <c r="AM57" s="23">
        <f t="shared" si="7"/>
        <v>0.0113636363636364</v>
      </c>
      <c r="AN57" s="23">
        <f t="shared" si="8"/>
        <v>0</v>
      </c>
      <c r="AO57" s="23">
        <f t="shared" si="9"/>
        <v>0.0140845070422535</v>
      </c>
      <c r="AP57" s="7">
        <f t="shared" si="10"/>
        <v>0.142857142857143</v>
      </c>
      <c r="AQ57" s="7">
        <f t="shared" si="11"/>
        <v>8.57142857142857</v>
      </c>
      <c r="AR57" s="7">
        <f t="shared" si="12"/>
        <v>0.428571428571429</v>
      </c>
      <c r="AS57">
        <f t="shared" si="13"/>
        <v>63</v>
      </c>
      <c r="AT57" s="2">
        <f>IFERROR(时间!$B$4+AS57,"上周无销量")</f>
        <v>43402</v>
      </c>
    </row>
    <row r="58" spans="1:46">
      <c r="A58" t="s">
        <v>285</v>
      </c>
      <c r="B58" s="5">
        <f>SUMIF('库存（子SKU）'!$C:$C,$A58,'库存（子SKU）'!D:D)</f>
        <v>2</v>
      </c>
      <c r="C58" s="5">
        <f>SUMIF('库存（子SKU）'!$C:$C,$A58,'库存（子SKU）'!E:E)</f>
        <v>0</v>
      </c>
      <c r="D58" s="5">
        <f>SUMIF('库存（子SKU）'!$C:$C,$A58,'库存（子SKU）'!F:F)</f>
        <v>2</v>
      </c>
      <c r="E58" s="5">
        <f>SUMIF('库存（子SKU）'!$C:$C,$A58,'库存（子SKU）'!G:G)</f>
        <v>0</v>
      </c>
      <c r="F58" s="6">
        <v>89.99</v>
      </c>
      <c r="G58">
        <f>SUMIF('库存（子SKU）'!$C:$C,$A58,'库存（子SKU）'!I:I)</f>
        <v>13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13</v>
      </c>
      <c r="L58">
        <f>SUMIF('库存（子SKU）'!$C:$C,$A58,'库存（子SKU）'!N:N)</f>
        <v>0</v>
      </c>
      <c r="M58">
        <f>SUMIF('库存（子SKU）'!$C:$C,$A58,'库存（子SKU）'!O:O)</f>
        <v>1</v>
      </c>
      <c r="N58">
        <f>SUMIF('库存（子SKU）'!$C:$C,$A58,'库存（子SKU）'!P:P)</f>
        <v>104937</v>
      </c>
      <c r="O58">
        <f>SUMIF('库存（子SKU）'!$C:$C,$A58,'库存（子SKU）'!Q:Q)</f>
        <v>46197</v>
      </c>
      <c r="P58">
        <f>SUMIF('库存（子SKU）'!$C:$C,$A58,'库存（子SKU）'!R:R)</f>
        <v>151772</v>
      </c>
      <c r="Q58">
        <f>SUMIF('库存（子SKU）'!$C:$C,$A58,'库存（子SKU）'!S:S)</f>
        <v>152205</v>
      </c>
      <c r="R58">
        <f>SUMIF('库存（子SKU）'!$C:$C,$A58,'库存（子SKU）'!T:T)</f>
        <v>317</v>
      </c>
      <c r="S58">
        <f>SUMIF('库存（子SKU）'!$C:$C,$A58,'库存（子SKU）'!U:U)</f>
        <v>165</v>
      </c>
      <c r="T58">
        <f>SUMIF('库存（子SKU）'!$C:$C,$A58,'库存（子SKU）'!V:V)</f>
        <v>697</v>
      </c>
      <c r="U58">
        <f>SUMIF('库存（子SKU）'!$C:$C,$A58,'库存（子SKU）'!W:W)</f>
        <v>697</v>
      </c>
      <c r="V58" s="23">
        <f t="shared" si="15"/>
        <v>0.0030208601351287</v>
      </c>
      <c r="W58" s="23">
        <f t="shared" si="16"/>
        <v>0.0035716604974349</v>
      </c>
      <c r="X58" s="23">
        <f t="shared" si="17"/>
        <v>0.00459241493819677</v>
      </c>
      <c r="Y58" s="23">
        <f t="shared" si="18"/>
        <v>0.00457935021845537</v>
      </c>
      <c r="Z58">
        <f>SUMIF('库存（子SKU）'!$C:$C,$A58,'库存（子SKU）'!AB:AB)</f>
        <v>46.66</v>
      </c>
      <c r="AA58">
        <f>SUMIF('库存（子SKU）'!$C:$C,$A58,'库存（子SKU）'!AC:AC)</f>
        <v>25.35</v>
      </c>
      <c r="AB58">
        <f>SUMIF('库存（子SKU）'!$C:$C,$A58,'库存（子SKU）'!AD:AD)</f>
        <v>142.57</v>
      </c>
      <c r="AC58">
        <f>SUMIF('库存（子SKU）'!$C:$C,$A58,'库存（子SKU）'!AE:AE)</f>
        <v>142.57</v>
      </c>
      <c r="AD58" s="23">
        <f t="shared" si="2"/>
        <v>0.259251027891988</v>
      </c>
      <c r="AE58" s="23" t="str">
        <f t="shared" si="3"/>
        <v>无销量广告费为25.35</v>
      </c>
      <c r="AF58" s="23">
        <f t="shared" si="4"/>
        <v>0.792143571507945</v>
      </c>
      <c r="AG58" s="23" t="str">
        <f t="shared" si="5"/>
        <v>无销量广告费为142.57</v>
      </c>
      <c r="AH58">
        <f>SUMIF('库存（子SKU）'!$C:$C,$A58,'库存（子SKU）'!AJ:AJ)</f>
        <v>386</v>
      </c>
      <c r="AI58">
        <f>SUMIF('库存（子SKU）'!$C:$C,$A58,'库存（子SKU）'!AK:AK)</f>
        <v>243</v>
      </c>
      <c r="AJ58">
        <f>SUMIF('库存（子SKU）'!$C:$C,$A58,'库存（子SKU）'!AL:AL)</f>
        <v>350</v>
      </c>
      <c r="AK58">
        <f>SUMIF('库存（子SKU）'!$C:$C,$A58,'库存（子SKU）'!AM:AM)</f>
        <v>266</v>
      </c>
      <c r="AL58" s="23">
        <f t="shared" si="6"/>
        <v>0.00518134715025907</v>
      </c>
      <c r="AM58" s="23">
        <f t="shared" si="7"/>
        <v>0</v>
      </c>
      <c r="AN58" s="23">
        <f t="shared" si="8"/>
        <v>0.00571428571428571</v>
      </c>
      <c r="AO58" s="23">
        <f t="shared" si="9"/>
        <v>0</v>
      </c>
      <c r="AP58" s="7">
        <f t="shared" si="10"/>
        <v>0.285714285714286</v>
      </c>
      <c r="AQ58" s="7">
        <f t="shared" si="11"/>
        <v>17.1428571428571</v>
      </c>
      <c r="AR58" s="7">
        <f t="shared" si="12"/>
        <v>-4.14285714285714</v>
      </c>
      <c r="AS58">
        <f t="shared" si="13"/>
        <v>45</v>
      </c>
      <c r="AT58" s="2">
        <f>IFERROR(时间!$B$4+AS58,"上周无销量")</f>
        <v>43384</v>
      </c>
    </row>
    <row r="59" spans="1:46">
      <c r="A59" t="s">
        <v>292</v>
      </c>
      <c r="B59" s="5">
        <f>SUMIF('库存（子SKU）'!$C:$C,$A59,'库存（子SKU）'!D:D)</f>
        <v>0</v>
      </c>
      <c r="C59" s="5">
        <f>SUMIF('库存（子SKU）'!$C:$C,$A59,'库存（子SKU）'!E:E)</f>
        <v>0</v>
      </c>
      <c r="D59" s="5">
        <f>SUMIF('库存（子SKU）'!$C:$C,$A59,'库存（子SKU）'!F:F)</f>
        <v>2</v>
      </c>
      <c r="E59" s="5">
        <f>SUMIF('库存（子SKU）'!$C:$C,$A59,'库存（子SKU）'!G:G)</f>
        <v>1</v>
      </c>
      <c r="F59" s="6">
        <v>79.99</v>
      </c>
      <c r="G59">
        <f>SUMIF('库存（子SKU）'!$C:$C,$A59,'库存（子SKU）'!I:I)</f>
        <v>3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1</v>
      </c>
      <c r="K59">
        <f t="shared" si="0"/>
        <v>4</v>
      </c>
      <c r="L59">
        <f>SUMIF('库存（子SKU）'!$C:$C,$A59,'库存（子SKU）'!N:N)</f>
        <v>0</v>
      </c>
      <c r="M59">
        <f>SUMIF('库存（子SKU）'!$C:$C,$A59,'库存（子SKU）'!O:O)</f>
        <v>0</v>
      </c>
      <c r="N59">
        <f>SUMIF('库存（子SKU）'!$C:$C,$A59,'库存（子SKU）'!P:P)</f>
        <v>19751</v>
      </c>
      <c r="O59">
        <f>SUMIF('库存（子SKU）'!$C:$C,$A59,'库存（子SKU）'!Q:Q)</f>
        <v>18991</v>
      </c>
      <c r="P59">
        <f>SUMIF('库存（子SKU）'!$C:$C,$A59,'库存（子SKU）'!R:R)</f>
        <v>2394</v>
      </c>
      <c r="Q59">
        <f>SUMIF('库存（子SKU）'!$C:$C,$A59,'库存（子SKU）'!S:S)</f>
        <v>2404</v>
      </c>
      <c r="R59">
        <f>SUMIF('库存（子SKU）'!$C:$C,$A59,'库存（子SKU）'!T:T)</f>
        <v>183</v>
      </c>
      <c r="S59">
        <f>SUMIF('库存（子SKU）'!$C:$C,$A59,'库存（子SKU）'!U:U)</f>
        <v>159</v>
      </c>
      <c r="T59">
        <f>SUMIF('库存（子SKU）'!$C:$C,$A59,'库存（子SKU）'!V:V)</f>
        <v>31</v>
      </c>
      <c r="U59">
        <f>SUMIF('库存（子SKU）'!$C:$C,$A59,'库存（子SKU）'!W:W)</f>
        <v>32</v>
      </c>
      <c r="V59" s="23">
        <f t="shared" si="15"/>
        <v>0.0092653536529796</v>
      </c>
      <c r="W59" s="23">
        <f t="shared" si="16"/>
        <v>0.00837238692012006</v>
      </c>
      <c r="X59" s="23">
        <f t="shared" si="17"/>
        <v>0.0129490392648287</v>
      </c>
      <c r="Y59" s="23">
        <f t="shared" si="18"/>
        <v>0.0133111480865225</v>
      </c>
      <c r="Z59">
        <f>SUMIF('库存（子SKU）'!$C:$C,$A59,'库存（子SKU）'!AB:AB)</f>
        <v>49.98</v>
      </c>
      <c r="AA59">
        <f>SUMIF('库存（子SKU）'!$C:$C,$A59,'库存（子SKU）'!AC:AC)</f>
        <v>40.41</v>
      </c>
      <c r="AB59">
        <f>SUMIF('库存（子SKU）'!$C:$C,$A59,'库存（子SKU）'!AD:AD)</f>
        <v>7.94</v>
      </c>
      <c r="AC59">
        <f>SUMIF('库存（子SKU）'!$C:$C,$A59,'库存（子SKU）'!AE:AE)</f>
        <v>8.23</v>
      </c>
      <c r="AD59" s="23" t="str">
        <f t="shared" si="2"/>
        <v>无销量广告费为49.98</v>
      </c>
      <c r="AE59" s="23" t="str">
        <f t="shared" si="3"/>
        <v>无销量广告费为40.41</v>
      </c>
      <c r="AF59" s="23">
        <f t="shared" si="4"/>
        <v>0.0496312039004876</v>
      </c>
      <c r="AG59" s="23">
        <f t="shared" si="5"/>
        <v>0.102887860982623</v>
      </c>
      <c r="AH59">
        <f>SUMIF('库存（子SKU）'!$C:$C,$A59,'库存（子SKU）'!AJ:AJ)</f>
        <v>324</v>
      </c>
      <c r="AI59">
        <f>SUMIF('库存（子SKU）'!$C:$C,$A59,'库存（子SKU）'!AK:AK)</f>
        <v>329</v>
      </c>
      <c r="AJ59">
        <f>SUMIF('库存（子SKU）'!$C:$C,$A59,'库存（子SKU）'!AL:AL)</f>
        <v>192</v>
      </c>
      <c r="AK59">
        <f>SUMIF('库存（子SKU）'!$C:$C,$A59,'库存（子SKU）'!AM:AM)</f>
        <v>39</v>
      </c>
      <c r="AL59" s="23">
        <f t="shared" si="6"/>
        <v>0</v>
      </c>
      <c r="AM59" s="23">
        <f t="shared" si="7"/>
        <v>0</v>
      </c>
      <c r="AN59" s="23">
        <f t="shared" si="8"/>
        <v>0.0104166666666667</v>
      </c>
      <c r="AO59" s="23">
        <f t="shared" si="9"/>
        <v>0.0256410256410256</v>
      </c>
      <c r="AP59" s="7">
        <f t="shared" si="10"/>
        <v>0</v>
      </c>
      <c r="AQ59" s="7">
        <f t="shared" si="11"/>
        <v>0</v>
      </c>
      <c r="AR59" s="7">
        <f t="shared" si="12"/>
        <v>4</v>
      </c>
      <c r="AS59" t="str">
        <f t="shared" si="13"/>
        <v>库存为4</v>
      </c>
      <c r="AT59" s="2" t="str">
        <f>IFERROR(时间!$B$4+AS59,"上周无销量")</f>
        <v>上周无销量</v>
      </c>
    </row>
    <row r="60" spans="1:46">
      <c r="A60" t="s">
        <v>300</v>
      </c>
      <c r="B60" s="5">
        <f>SUMIF('库存（子SKU）'!$C:$C,$A60,'库存（子SKU）'!D:D)</f>
        <v>0</v>
      </c>
      <c r="C60" s="5">
        <f>SUMIF('库存（子SKU）'!$C:$C,$A60,'库存（子SKU）'!E:E)</f>
        <v>1</v>
      </c>
      <c r="D60" s="5">
        <f>SUMIF('库存（子SKU）'!$C:$C,$A60,'库存（子SKU）'!F:F)</f>
        <v>0</v>
      </c>
      <c r="E60" s="5">
        <f>SUMIF('库存（子SKU）'!$C:$C,$A60,'库存（子SKU）'!G:G)</f>
        <v>0</v>
      </c>
      <c r="F60" s="6">
        <v>118.99</v>
      </c>
      <c r="G60">
        <f>SUMIF('库存（子SKU）'!$C:$C,$A60,'库存（子SKU）'!I:I)</f>
        <v>5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5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12310</v>
      </c>
      <c r="O60">
        <f>SUMIF('库存（子SKU）'!$C:$C,$A60,'库存（子SKU）'!Q:Q)</f>
        <v>3451</v>
      </c>
      <c r="P60">
        <f>SUMIF('库存（子SKU）'!$C:$C,$A60,'库存（子SKU）'!R:R)</f>
        <v>1776</v>
      </c>
      <c r="Q60">
        <f>SUMIF('库存（子SKU）'!$C:$C,$A60,'库存（子SKU）'!S:S)</f>
        <v>1831</v>
      </c>
      <c r="R60">
        <f>SUMIF('库存（子SKU）'!$C:$C,$A60,'库存（子SKU）'!T:T)</f>
        <v>26</v>
      </c>
      <c r="S60">
        <f>SUMIF('库存（子SKU）'!$C:$C,$A60,'库存（子SKU）'!U:U)</f>
        <v>25</v>
      </c>
      <c r="T60">
        <f>SUMIF('库存（子SKU）'!$C:$C,$A60,'库存（子SKU）'!V:V)</f>
        <v>8</v>
      </c>
      <c r="U60">
        <f>SUMIF('库存（子SKU）'!$C:$C,$A60,'库存（子SKU）'!W:W)</f>
        <v>8</v>
      </c>
      <c r="V60" s="23">
        <f t="shared" si="15"/>
        <v>0.00211210398050366</v>
      </c>
      <c r="W60" s="23">
        <f t="shared" si="16"/>
        <v>0.00724427702115329</v>
      </c>
      <c r="X60" s="23">
        <f t="shared" si="17"/>
        <v>0.0045045045045045</v>
      </c>
      <c r="Y60" s="23">
        <f t="shared" si="18"/>
        <v>0.00436919716002185</v>
      </c>
      <c r="Z60">
        <f>SUMIF('库存（子SKU）'!$C:$C,$A60,'库存（子SKU）'!AB:AB)</f>
        <v>5.73</v>
      </c>
      <c r="AA60">
        <f>SUMIF('库存（子SKU）'!$C:$C,$A60,'库存（子SKU）'!AC:AC)</f>
        <v>6.15</v>
      </c>
      <c r="AB60">
        <f>SUMIF('库存（子SKU）'!$C:$C,$A60,'库存（子SKU）'!AD:AD)</f>
        <v>3.09</v>
      </c>
      <c r="AC60">
        <f>SUMIF('库存（子SKU）'!$C:$C,$A60,'库存（子SKU）'!AE:AE)</f>
        <v>3.09</v>
      </c>
      <c r="AD60" s="23" t="str">
        <f t="shared" si="2"/>
        <v>无销量广告费为5.73</v>
      </c>
      <c r="AE60" s="23">
        <f t="shared" si="3"/>
        <v>0.051685015547525</v>
      </c>
      <c r="AF60" s="23" t="str">
        <f t="shared" si="4"/>
        <v>无销量广告费为3.09</v>
      </c>
      <c r="AG60" s="23" t="str">
        <f t="shared" si="5"/>
        <v>无销量广告费为3.09</v>
      </c>
      <c r="AH60">
        <f>SUMIF('库存（子SKU）'!$C:$C,$A60,'库存（子SKU）'!AJ:AJ)</f>
        <v>47</v>
      </c>
      <c r="AI60">
        <f>SUMIF('库存（子SKU）'!$C:$C,$A60,'库存（子SKU）'!AK:AK)</f>
        <v>28</v>
      </c>
      <c r="AJ60">
        <f>SUMIF('库存（子SKU）'!$C:$C,$A60,'库存（子SKU）'!AL:AL)</f>
        <v>12</v>
      </c>
      <c r="AK60">
        <f>SUMIF('库存（子SKU）'!$C:$C,$A60,'库存（子SKU）'!AM:AM)</f>
        <v>31</v>
      </c>
      <c r="AL60" s="23">
        <f t="shared" si="6"/>
        <v>0</v>
      </c>
      <c r="AM60" s="23">
        <f t="shared" si="7"/>
        <v>0.0357142857142857</v>
      </c>
      <c r="AN60" s="23">
        <f t="shared" si="8"/>
        <v>0</v>
      </c>
      <c r="AO60" s="23">
        <f t="shared" si="9"/>
        <v>0</v>
      </c>
      <c r="AP60" s="7">
        <f t="shared" si="10"/>
        <v>0</v>
      </c>
      <c r="AQ60" s="7">
        <f t="shared" si="11"/>
        <v>0</v>
      </c>
      <c r="AR60" s="7">
        <f t="shared" si="12"/>
        <v>5</v>
      </c>
      <c r="AS60" t="str">
        <f t="shared" si="13"/>
        <v>库存为5</v>
      </c>
      <c r="AT60" s="2" t="str">
        <f>IFERROR(时间!$B$4+AS60,"上周无销量")</f>
        <v>上周无销量</v>
      </c>
    </row>
    <row r="61" spans="1:46">
      <c r="A61" t="s">
        <v>305</v>
      </c>
      <c r="B61" s="5">
        <f>SUMIF('库存（子SKU）'!$C:$C,$A61,'库存（子SKU）'!D:D)</f>
        <v>0</v>
      </c>
      <c r="C61" s="5">
        <f>SUMIF('库存（子SKU）'!$C:$C,$A61,'库存（子SKU）'!E:E)</f>
        <v>1</v>
      </c>
      <c r="D61" s="5">
        <f>SUMIF('库存（子SKU）'!$C:$C,$A61,'库存（子SKU）'!F:F)</f>
        <v>1</v>
      </c>
      <c r="E61" s="5">
        <f>SUMIF('库存（子SKU）'!$C:$C,$A61,'库存（子SKU）'!G:G)</f>
        <v>2</v>
      </c>
      <c r="F61" s="6">
        <v>92.795</v>
      </c>
      <c r="G61">
        <f>SUMIF('库存（子SKU）'!$C:$C,$A61,'库存（子SKU）'!I:I)</f>
        <v>16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16</v>
      </c>
      <c r="L61">
        <f>SUMIF('库存（子SKU）'!$C:$C,$A61,'库存（子SKU）'!N:N)</f>
        <v>0</v>
      </c>
      <c r="M61">
        <f>SUMIF('库存（子SKU）'!$C:$C,$A61,'库存（子SKU）'!O:O)</f>
        <v>2</v>
      </c>
      <c r="N61">
        <f>SUMIF('库存（子SKU）'!$C:$C,$A61,'库存（子SKU）'!P:P)</f>
        <v>7174</v>
      </c>
      <c r="O61">
        <f>SUMIF('库存（子SKU）'!$C:$C,$A61,'库存（子SKU）'!Q:Q)</f>
        <v>0</v>
      </c>
      <c r="P61">
        <f>SUMIF('库存（子SKU）'!$C:$C,$A61,'库存（子SKU）'!R:R)</f>
        <v>142828</v>
      </c>
      <c r="Q61">
        <f>SUMIF('库存（子SKU）'!$C:$C,$A61,'库存（子SKU）'!S:S)</f>
        <v>143089</v>
      </c>
      <c r="R61">
        <f>SUMIF('库存（子SKU）'!$C:$C,$A61,'库存（子SKU）'!T:T)</f>
        <v>46</v>
      </c>
      <c r="S61">
        <f>SUMIF('库存（子SKU）'!$C:$C,$A61,'库存（子SKU）'!U:U)</f>
        <v>0</v>
      </c>
      <c r="T61">
        <f>SUMIF('库存（子SKU）'!$C:$C,$A61,'库存（子SKU）'!V:V)</f>
        <v>538</v>
      </c>
      <c r="U61">
        <f>SUMIF('库存（子SKU）'!$C:$C,$A61,'库存（子SKU）'!W:W)</f>
        <v>540</v>
      </c>
      <c r="V61" s="23">
        <f t="shared" si="15"/>
        <v>0.00641204349038193</v>
      </c>
      <c r="W61" s="23" t="str">
        <f t="shared" si="16"/>
        <v/>
      </c>
      <c r="X61" s="23">
        <f t="shared" si="17"/>
        <v>0.00376676842075783</v>
      </c>
      <c r="Y61" s="23">
        <f t="shared" si="18"/>
        <v>0.00377387500087358</v>
      </c>
      <c r="Z61">
        <f>SUMIF('库存（子SKU）'!$C:$C,$A61,'库存（子SKU）'!AB:AB)</f>
        <v>12.56</v>
      </c>
      <c r="AA61">
        <f>SUMIF('库存（子SKU）'!$C:$C,$A61,'库存（子SKU）'!AC:AC)</f>
        <v>0</v>
      </c>
      <c r="AB61">
        <f>SUMIF('库存（子SKU）'!$C:$C,$A61,'库存（子SKU）'!AD:AD)</f>
        <v>141.65</v>
      </c>
      <c r="AC61">
        <f>SUMIF('库存（子SKU）'!$C:$C,$A61,'库存（子SKU）'!AE:AE)</f>
        <v>142.46</v>
      </c>
      <c r="AD61" s="23" t="str">
        <f t="shared" si="2"/>
        <v>无销量广告费为12.56</v>
      </c>
      <c r="AE61" s="23">
        <f t="shared" si="3"/>
        <v>0</v>
      </c>
      <c r="AF61" s="23">
        <f t="shared" si="4"/>
        <v>1.52648310792607</v>
      </c>
      <c r="AG61" s="23">
        <f t="shared" si="5"/>
        <v>0.767606013255024</v>
      </c>
      <c r="AH61">
        <f>SUMIF('库存（子SKU）'!$C:$C,$A61,'库存（子SKU）'!AJ:AJ)</f>
        <v>156</v>
      </c>
      <c r="AI61">
        <f>SUMIF('库存（子SKU）'!$C:$C,$A61,'库存（子SKU）'!AK:AK)</f>
        <v>143</v>
      </c>
      <c r="AJ61">
        <f>SUMIF('库存（子SKU）'!$C:$C,$A61,'库存（子SKU）'!AL:AL)</f>
        <v>182</v>
      </c>
      <c r="AK61">
        <f>SUMIF('库存（子SKU）'!$C:$C,$A61,'库存（子SKU）'!AM:AM)</f>
        <v>273</v>
      </c>
      <c r="AL61" s="23">
        <f t="shared" si="6"/>
        <v>0</v>
      </c>
      <c r="AM61" s="23">
        <f t="shared" si="7"/>
        <v>0.00699300699300699</v>
      </c>
      <c r="AN61" s="23">
        <f t="shared" si="8"/>
        <v>0.00549450549450549</v>
      </c>
      <c r="AO61" s="23">
        <f t="shared" si="9"/>
        <v>0.00732600732600733</v>
      </c>
      <c r="AP61" s="7">
        <f t="shared" si="10"/>
        <v>0</v>
      </c>
      <c r="AQ61" s="7">
        <f t="shared" si="11"/>
        <v>0</v>
      </c>
      <c r="AR61" s="7">
        <f t="shared" si="12"/>
        <v>16</v>
      </c>
      <c r="AS61" t="str">
        <f t="shared" si="13"/>
        <v>库存为16</v>
      </c>
      <c r="AT61" s="2" t="str">
        <f>IFERROR(时间!$B$4+AS61,"上周无销量")</f>
        <v>上周无销量</v>
      </c>
    </row>
    <row r="62" spans="1:46">
      <c r="A62" t="s">
        <v>314</v>
      </c>
      <c r="B62" s="5">
        <f>SUMIF('库存（子SKU）'!$C:$C,$A62,'库存（子SKU）'!D:D)</f>
        <v>0</v>
      </c>
      <c r="C62" s="5">
        <f>SUMIF('库存（子SKU）'!$C:$C,$A62,'库存（子SKU）'!E:E)</f>
        <v>0</v>
      </c>
      <c r="D62" s="5">
        <f>SUMIF('库存（子SKU）'!$C:$C,$A62,'库存（子SKU）'!F:F)</f>
        <v>0</v>
      </c>
      <c r="E62" s="5">
        <f>SUMIF('库存（子SKU）'!$C:$C,$A62,'库存（子SKU）'!G:G)</f>
        <v>2</v>
      </c>
      <c r="F62" s="6">
        <v>79.99</v>
      </c>
      <c r="G62">
        <f>SUMIF('库存（子SKU）'!$C:$C,$A62,'库存（子SKU）'!I:I)</f>
        <v>2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2</v>
      </c>
      <c r="L62">
        <f>SUMIF('库存（子SKU）'!$C:$C,$A62,'库存（子SKU）'!N:N)</f>
        <v>0</v>
      </c>
      <c r="M62">
        <f>SUMIF('库存（子SKU）'!$C:$C,$A62,'库存（子SKU）'!O:O)</f>
        <v>2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3" t="str">
        <f t="shared" si="15"/>
        <v/>
      </c>
      <c r="W62" s="23" t="str">
        <f t="shared" si="16"/>
        <v/>
      </c>
      <c r="X62" s="23" t="str">
        <f t="shared" si="17"/>
        <v/>
      </c>
      <c r="Y62" s="23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3" t="str">
        <f t="shared" si="2"/>
        <v/>
      </c>
      <c r="AE62" s="23" t="str">
        <f t="shared" si="3"/>
        <v/>
      </c>
      <c r="AF62" s="23" t="str">
        <f t="shared" si="4"/>
        <v/>
      </c>
      <c r="AG62" s="23">
        <f t="shared" si="5"/>
        <v>0</v>
      </c>
      <c r="AH62">
        <f>SUMIF('库存（子SKU）'!$C:$C,$A62,'库存（子SKU）'!AJ:AJ)</f>
        <v>9</v>
      </c>
      <c r="AI62">
        <f>SUMIF('库存（子SKU）'!$C:$C,$A62,'库存（子SKU）'!AK:AK)</f>
        <v>13</v>
      </c>
      <c r="AJ62">
        <f>SUMIF('库存（子SKU）'!$C:$C,$A62,'库存（子SKU）'!AL:AL)</f>
        <v>11</v>
      </c>
      <c r="AK62">
        <f>SUMIF('库存（子SKU）'!$C:$C,$A62,'库存（子SKU）'!AM:AM)</f>
        <v>21</v>
      </c>
      <c r="AL62" s="23">
        <f t="shared" si="6"/>
        <v>0</v>
      </c>
      <c r="AM62" s="23">
        <f t="shared" si="7"/>
        <v>0</v>
      </c>
      <c r="AN62" s="23">
        <f t="shared" si="8"/>
        <v>0</v>
      </c>
      <c r="AO62" s="23">
        <f t="shared" si="9"/>
        <v>0.0952380952380952</v>
      </c>
      <c r="AP62" s="7">
        <f t="shared" si="10"/>
        <v>0</v>
      </c>
      <c r="AQ62" s="7">
        <f t="shared" si="11"/>
        <v>0</v>
      </c>
      <c r="AR62" s="7">
        <f t="shared" si="12"/>
        <v>2</v>
      </c>
      <c r="AS62" t="str">
        <f t="shared" si="13"/>
        <v>库存为2</v>
      </c>
      <c r="AT62" s="2" t="str">
        <f>IFERROR(时间!$B$4+AS62,"上周无销量")</f>
        <v>上周无销量</v>
      </c>
    </row>
    <row r="63" spans="1:46">
      <c r="A63" t="s">
        <v>316</v>
      </c>
      <c r="B63" s="5">
        <f>SUMIF('库存（子SKU）'!$C:$C,$A63,'库存（子SKU）'!D:D)</f>
        <v>8</v>
      </c>
      <c r="C63" s="5">
        <f>SUMIF('库存（子SKU）'!$C:$C,$A63,'库存（子SKU）'!E:E)</f>
        <v>5</v>
      </c>
      <c r="D63" s="5">
        <f>SUMIF('库存（子SKU）'!$C:$C,$A63,'库存（子SKU）'!F:F)</f>
        <v>6</v>
      </c>
      <c r="E63" s="5">
        <f>SUMIF('库存（子SKU）'!$C:$C,$A63,'库存（子SKU）'!G:G)</f>
        <v>9</v>
      </c>
      <c r="F63" s="6">
        <v>89.99</v>
      </c>
      <c r="G63">
        <f>SUMIF('库存（子SKU）'!$C:$C,$A63,'库存（子SKU）'!I:I)</f>
        <v>56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1</v>
      </c>
      <c r="K63">
        <f t="shared" si="0"/>
        <v>57</v>
      </c>
      <c r="L63">
        <f>SUMIF('库存（子SKU）'!$C:$C,$A63,'库存（子SKU）'!N:N)</f>
        <v>0</v>
      </c>
      <c r="M63">
        <f>SUMIF('库存（子SKU）'!$C:$C,$A63,'库存（子SKU）'!O:O)</f>
        <v>0</v>
      </c>
      <c r="N63">
        <f>SUMIF('库存（子SKU）'!$C:$C,$A63,'库存（子SKU）'!P:P)</f>
        <v>0</v>
      </c>
      <c r="O63">
        <f>SUMIF('库存（子SKU）'!$C:$C,$A63,'库存（子SKU）'!Q:Q)</f>
        <v>28447</v>
      </c>
      <c r="P63">
        <f>SUMIF('库存（子SKU）'!$C:$C,$A63,'库存（子SKU）'!R:R)</f>
        <v>23998</v>
      </c>
      <c r="Q63">
        <f>SUMIF('库存（子SKU）'!$C:$C,$A63,'库存（子SKU）'!S:S)</f>
        <v>23998</v>
      </c>
      <c r="R63">
        <f>SUMIF('库存（子SKU）'!$C:$C,$A63,'库存（子SKU）'!T:T)</f>
        <v>0</v>
      </c>
      <c r="S63">
        <f>SUMIF('库存（子SKU）'!$C:$C,$A63,'库存（子SKU）'!U:U)</f>
        <v>136</v>
      </c>
      <c r="T63">
        <f>SUMIF('库存（子SKU）'!$C:$C,$A63,'库存（子SKU）'!V:V)</f>
        <v>138</v>
      </c>
      <c r="U63">
        <f>SUMIF('库存（子SKU）'!$C:$C,$A63,'库存（子SKU）'!W:W)</f>
        <v>138</v>
      </c>
      <c r="V63" s="23" t="str">
        <f t="shared" si="15"/>
        <v/>
      </c>
      <c r="W63" s="23">
        <f t="shared" si="16"/>
        <v>0.00478082047316061</v>
      </c>
      <c r="X63" s="23">
        <f t="shared" si="17"/>
        <v>0.00575047920660055</v>
      </c>
      <c r="Y63" s="23">
        <f t="shared" si="18"/>
        <v>0.00575047920660055</v>
      </c>
      <c r="Z63">
        <f>SUMIF('库存（子SKU）'!$C:$C,$A63,'库存（子SKU）'!AB:AB)</f>
        <v>0</v>
      </c>
      <c r="AA63">
        <f>SUMIF('库存（子SKU）'!$C:$C,$A63,'库存（子SKU）'!AC:AC)</f>
        <v>35.38</v>
      </c>
      <c r="AB63">
        <f>SUMIF('库存（子SKU）'!$C:$C,$A63,'库存（子SKU）'!AD:AD)</f>
        <v>19.3</v>
      </c>
      <c r="AC63">
        <f>SUMIF('库存（子SKU）'!$C:$C,$A63,'库存（子SKU）'!AE:AE)</f>
        <v>19.3</v>
      </c>
      <c r="AD63" s="23">
        <f t="shared" si="2"/>
        <v>0</v>
      </c>
      <c r="AE63" s="23">
        <f t="shared" si="3"/>
        <v>0.0786309589954439</v>
      </c>
      <c r="AF63" s="23">
        <f t="shared" si="4"/>
        <v>0.0357447123754491</v>
      </c>
      <c r="AG63" s="23">
        <f t="shared" si="5"/>
        <v>0.0238298082502994</v>
      </c>
      <c r="AH63">
        <f>SUMIF('库存（子SKU）'!$C:$C,$A63,'库存（子SKU）'!AJ:AJ)</f>
        <v>661</v>
      </c>
      <c r="AI63">
        <f>SUMIF('库存（子SKU）'!$C:$C,$A63,'库存（子SKU）'!AK:AK)</f>
        <v>981</v>
      </c>
      <c r="AJ63">
        <f>SUMIF('库存（子SKU）'!$C:$C,$A63,'库存（子SKU）'!AL:AL)</f>
        <v>798</v>
      </c>
      <c r="AK63">
        <f>SUMIF('库存（子SKU）'!$C:$C,$A63,'库存（子SKU）'!AM:AM)</f>
        <v>635</v>
      </c>
      <c r="AL63" s="23">
        <f t="shared" si="6"/>
        <v>0.0121028744326778</v>
      </c>
      <c r="AM63" s="23">
        <f t="shared" si="7"/>
        <v>0.00509683995922528</v>
      </c>
      <c r="AN63" s="23">
        <f t="shared" si="8"/>
        <v>0.0075187969924812</v>
      </c>
      <c r="AO63" s="23">
        <f t="shared" si="9"/>
        <v>0.0141732283464567</v>
      </c>
      <c r="AP63" s="7">
        <f t="shared" si="10"/>
        <v>1.14285714285714</v>
      </c>
      <c r="AQ63" s="7">
        <f t="shared" si="11"/>
        <v>68.5714285714286</v>
      </c>
      <c r="AR63" s="7">
        <f t="shared" si="12"/>
        <v>-11.5714285714286</v>
      </c>
      <c r="AS63">
        <f t="shared" si="13"/>
        <v>49</v>
      </c>
      <c r="AT63" s="2">
        <f>IFERROR(时间!$B$4+AS63,"上周无销量")</f>
        <v>43388</v>
      </c>
    </row>
    <row r="64" spans="1:46">
      <c r="A64" t="s">
        <v>319</v>
      </c>
      <c r="B64" s="5">
        <f>SUMIF('库存（子SKU）'!$C:$C,$A64,'库存（子SKU）'!D:D)</f>
        <v>1</v>
      </c>
      <c r="C64" s="5">
        <f>SUMIF('库存（子SKU）'!$C:$C,$A64,'库存（子SKU）'!E:E)</f>
        <v>0</v>
      </c>
      <c r="D64" s="5">
        <f>SUMIF('库存（子SKU）'!$C:$C,$A64,'库存（子SKU）'!F:F)</f>
        <v>0</v>
      </c>
      <c r="E64" s="5">
        <f>SUMIF('库存（子SKU）'!$C:$C,$A64,'库存（子SKU）'!G:G)</f>
        <v>0</v>
      </c>
      <c r="F64" s="6">
        <v>89.99</v>
      </c>
      <c r="G64">
        <f>SUMIF('库存（子SKU）'!$C:$C,$A64,'库存（子SKU）'!I:I)</f>
        <v>4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1</v>
      </c>
      <c r="K64">
        <f t="shared" si="0"/>
        <v>5</v>
      </c>
      <c r="L64">
        <f>SUMIF('库存（子SKU）'!$C:$C,$A64,'库存（子SKU）'!N:N)</f>
        <v>0</v>
      </c>
      <c r="M64">
        <f>SUMIF('库存（子SKU）'!$C:$C,$A64,'库存（子SKU）'!O:O)</f>
        <v>0</v>
      </c>
      <c r="N64">
        <f>SUMIF('库存（子SKU）'!$C:$C,$A64,'库存（子SKU）'!P:P)</f>
        <v>395</v>
      </c>
      <c r="O64">
        <f>SUMIF('库存（子SKU）'!$C:$C,$A64,'库存（子SKU）'!Q:Q)</f>
        <v>543</v>
      </c>
      <c r="P64">
        <f>SUMIF('库存（子SKU）'!$C:$C,$A64,'库存（子SKU）'!R:R)</f>
        <v>1788</v>
      </c>
      <c r="Q64">
        <f>SUMIF('库存（子SKU）'!$C:$C,$A64,'库存（子SKU）'!S:S)</f>
        <v>1851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9</v>
      </c>
      <c r="U64">
        <f>SUMIF('库存（子SKU）'!$C:$C,$A64,'库存（子SKU）'!W:W)</f>
        <v>9</v>
      </c>
      <c r="V64" s="23">
        <f t="shared" si="15"/>
        <v>0</v>
      </c>
      <c r="W64" s="23">
        <f t="shared" si="16"/>
        <v>0</v>
      </c>
      <c r="X64" s="23">
        <f t="shared" si="17"/>
        <v>0.00503355704697987</v>
      </c>
      <c r="Y64" s="23">
        <f t="shared" si="18"/>
        <v>0.00486223662884927</v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3.12</v>
      </c>
      <c r="AC64">
        <f>SUMIF('库存（子SKU）'!$C:$C,$A64,'库存（子SKU）'!AE:AE)</f>
        <v>3.12</v>
      </c>
      <c r="AD64" s="23">
        <f t="shared" si="2"/>
        <v>0</v>
      </c>
      <c r="AE64" s="23" t="str">
        <f t="shared" si="3"/>
        <v/>
      </c>
      <c r="AF64" s="23" t="str">
        <f t="shared" si="4"/>
        <v>无销量广告费为3.12</v>
      </c>
      <c r="AG64" s="23" t="str">
        <f t="shared" si="5"/>
        <v>无销量广告费为3.12</v>
      </c>
      <c r="AH64">
        <f>SUMIF('库存（子SKU）'!$C:$C,$A64,'库存（子SKU）'!AJ:AJ)</f>
        <v>104</v>
      </c>
      <c r="AI64">
        <f>SUMIF('库存（子SKU）'!$C:$C,$A64,'库存（子SKU）'!AK:AK)</f>
        <v>3</v>
      </c>
      <c r="AJ64">
        <f>SUMIF('库存（子SKU）'!$C:$C,$A64,'库存（子SKU）'!AL:AL)</f>
        <v>4</v>
      </c>
      <c r="AK64">
        <f>SUMIF('库存（子SKU）'!$C:$C,$A64,'库存（子SKU）'!AM:AM)</f>
        <v>23</v>
      </c>
      <c r="AL64" s="23">
        <f t="shared" si="6"/>
        <v>0.00961538461538462</v>
      </c>
      <c r="AM64" s="23">
        <f t="shared" si="7"/>
        <v>0</v>
      </c>
      <c r="AN64" s="23">
        <f t="shared" si="8"/>
        <v>0</v>
      </c>
      <c r="AO64" s="23">
        <f t="shared" si="9"/>
        <v>0</v>
      </c>
      <c r="AP64" s="7">
        <f t="shared" si="10"/>
        <v>0.142857142857143</v>
      </c>
      <c r="AQ64" s="7">
        <f t="shared" si="11"/>
        <v>8.57142857142857</v>
      </c>
      <c r="AR64" s="7">
        <f t="shared" si="12"/>
        <v>-3.57142857142857</v>
      </c>
      <c r="AS64">
        <f t="shared" si="13"/>
        <v>35</v>
      </c>
      <c r="AT64" s="2">
        <f>IFERROR(时间!$B$4+AS64,"上周无销量")</f>
        <v>43374</v>
      </c>
    </row>
    <row r="65" spans="1:46">
      <c r="A65" t="s">
        <v>325</v>
      </c>
      <c r="B65" s="5">
        <f>SUMIF('库存（子SKU）'!$C:$C,$A65,'库存（子SKU）'!D:D)</f>
        <v>0</v>
      </c>
      <c r="C65" s="5">
        <f>SUMIF('库存（子SKU）'!$C:$C,$A65,'库存（子SKU）'!E:E)</f>
        <v>0</v>
      </c>
      <c r="D65" s="5">
        <f>SUMIF('库存（子SKU）'!$C:$C,$A65,'库存（子SKU）'!F:F)</f>
        <v>0</v>
      </c>
      <c r="E65" s="5">
        <f>SUMIF('库存（子SKU）'!$C:$C,$A65,'库存（子SKU）'!G:G)</f>
        <v>0</v>
      </c>
      <c r="F65" s="6" t="s">
        <v>54</v>
      </c>
      <c r="G65">
        <f>SUMIF('库存（子SKU）'!$C:$C,$A65,'库存（子SKU）'!I:I)</f>
        <v>0</v>
      </c>
      <c r="H65">
        <f>SUMIF('库存（子SKU）'!$C:$C,$A65,'库存（子SKU）'!J:J)</f>
        <v>3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3</v>
      </c>
      <c r="L65">
        <f>SUMIF('库存（子SKU）'!$C:$C,$A65,'库存（子SKU）'!N:N)</f>
        <v>0</v>
      </c>
      <c r="M65">
        <f>SUMIF('库存（子SKU）'!$C:$C,$A65,'库存（子SKU）'!O:O)</f>
        <v>0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3" t="str">
        <f t="shared" si="15"/>
        <v/>
      </c>
      <c r="W65" s="23" t="str">
        <f t="shared" si="16"/>
        <v/>
      </c>
      <c r="X65" s="23" t="str">
        <f t="shared" si="17"/>
        <v/>
      </c>
      <c r="Y65" s="23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3" t="str">
        <f t="shared" si="2"/>
        <v/>
      </c>
      <c r="AE65" s="23" t="str">
        <f t="shared" si="3"/>
        <v/>
      </c>
      <c r="AF65" s="23" t="str">
        <f t="shared" si="4"/>
        <v/>
      </c>
      <c r="AG65" s="23" t="str">
        <f t="shared" si="5"/>
        <v/>
      </c>
      <c r="AH65">
        <f>SUMIF('库存（子SKU）'!$C:$C,$A65,'库存（子SKU）'!AJ:AJ)</f>
        <v>0</v>
      </c>
      <c r="AI65">
        <f>SUMIF('库存（子SKU）'!$C:$C,$A65,'库存（子SKU）'!AK:AK)</f>
        <v>0</v>
      </c>
      <c r="AJ65">
        <f>SUMIF('库存（子SKU）'!$C:$C,$A65,'库存（子SKU）'!AL:AL)</f>
        <v>0</v>
      </c>
      <c r="AK65">
        <f>SUMIF('库存（子SKU）'!$C:$C,$A65,'库存（子SKU）'!AM:AM)</f>
        <v>0</v>
      </c>
      <c r="AL65" s="23" t="str">
        <f t="shared" si="6"/>
        <v/>
      </c>
      <c r="AM65" s="23" t="str">
        <f t="shared" si="7"/>
        <v/>
      </c>
      <c r="AN65" s="23" t="str">
        <f t="shared" si="8"/>
        <v/>
      </c>
      <c r="AO65" s="23" t="str">
        <f t="shared" si="9"/>
        <v/>
      </c>
      <c r="AP65" s="7">
        <f t="shared" si="10"/>
        <v>0</v>
      </c>
      <c r="AQ65" s="7">
        <f t="shared" si="11"/>
        <v>0</v>
      </c>
      <c r="AR65" s="7">
        <f t="shared" si="12"/>
        <v>3</v>
      </c>
      <c r="AS65" t="str">
        <f t="shared" si="13"/>
        <v>库存为3</v>
      </c>
      <c r="AT65" s="2" t="str">
        <f>IFERROR(时间!$B$4+AS65,"上周无销量")</f>
        <v>上周无销量</v>
      </c>
    </row>
    <row r="66" spans="1:46">
      <c r="A66" t="s">
        <v>328</v>
      </c>
      <c r="B66" s="5">
        <f>SUMIF('库存（子SKU）'!$C:$C,$A66,'库存（子SKU）'!D:D)</f>
        <v>0</v>
      </c>
      <c r="C66" s="5">
        <f>SUMIF('库存（子SKU）'!$C:$C,$A66,'库存（子SKU）'!E:E)</f>
        <v>0</v>
      </c>
      <c r="D66" s="5">
        <f>SUMIF('库存（子SKU）'!$C:$C,$A66,'库存（子SKU）'!F:F)</f>
        <v>0</v>
      </c>
      <c r="E66" s="5">
        <f>SUMIF('库存（子SKU）'!$C:$C,$A66,'库存（子SKU）'!G:G)</f>
        <v>0</v>
      </c>
      <c r="F66" s="6" t="s">
        <v>54</v>
      </c>
      <c r="G66">
        <f>SUMIF('库存（子SKU）'!$C:$C,$A66,'库存（子SKU）'!I:I)</f>
        <v>3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3</v>
      </c>
      <c r="L66">
        <f>SUMIF('库存（子SKU）'!$C:$C,$A66,'库存（子SKU）'!N:N)</f>
        <v>0</v>
      </c>
      <c r="M66">
        <f>SUMIF('库存（子SKU）'!$C:$C,$A66,'库存（子SKU）'!O:O)</f>
        <v>0</v>
      </c>
      <c r="N66">
        <f>SUMIF('库存（子SKU）'!$C:$C,$A66,'库存（子SKU）'!P:P)</f>
        <v>1539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17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3">
        <f t="shared" si="15"/>
        <v>0.0110461338531514</v>
      </c>
      <c r="W66" s="23" t="str">
        <f t="shared" si="16"/>
        <v/>
      </c>
      <c r="X66" s="23" t="str">
        <f t="shared" si="17"/>
        <v/>
      </c>
      <c r="Y66" s="23" t="str">
        <f t="shared" si="18"/>
        <v/>
      </c>
      <c r="Z66">
        <f>SUMIF('库存（子SKU）'!$C:$C,$A66,'库存（子SKU）'!AB:AB)</f>
        <v>4.56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3" t="str">
        <f t="shared" si="2"/>
        <v>无销量广告费为4.56</v>
      </c>
      <c r="AE66" s="23" t="str">
        <f t="shared" si="3"/>
        <v/>
      </c>
      <c r="AF66" s="23" t="str">
        <f t="shared" si="4"/>
        <v/>
      </c>
      <c r="AG66" s="23" t="str">
        <f t="shared" si="5"/>
        <v/>
      </c>
      <c r="AH66">
        <f>SUMIF('库存（子SKU）'!$C:$C,$A66,'库存（子SKU）'!AJ:AJ)</f>
        <v>35</v>
      </c>
      <c r="AI66">
        <f>SUMIF('库存（子SKU）'!$C:$C,$A66,'库存（子SKU）'!AK:AK)</f>
        <v>6</v>
      </c>
      <c r="AJ66">
        <f>SUMIF('库存（子SKU）'!$C:$C,$A66,'库存（子SKU）'!AL:AL)</f>
        <v>1</v>
      </c>
      <c r="AK66">
        <f>SUMIF('库存（子SKU）'!$C:$C,$A66,'库存（子SKU）'!AM:AM)</f>
        <v>0</v>
      </c>
      <c r="AL66" s="23">
        <f t="shared" si="6"/>
        <v>0</v>
      </c>
      <c r="AM66" s="23">
        <f t="shared" si="7"/>
        <v>0</v>
      </c>
      <c r="AN66" s="23">
        <f t="shared" si="8"/>
        <v>0</v>
      </c>
      <c r="AO66" s="23" t="str">
        <f t="shared" si="9"/>
        <v/>
      </c>
      <c r="AP66" s="7">
        <f t="shared" si="10"/>
        <v>0</v>
      </c>
      <c r="AQ66" s="7">
        <f t="shared" si="11"/>
        <v>0</v>
      </c>
      <c r="AR66" s="7">
        <f t="shared" si="12"/>
        <v>3</v>
      </c>
      <c r="AS66" t="str">
        <f t="shared" si="13"/>
        <v>库存为3</v>
      </c>
      <c r="AT66" s="2" t="str">
        <f>IFERROR(时间!$B$4+AS66,"上周无销量")</f>
        <v>上周无销量</v>
      </c>
    </row>
    <row r="67" spans="1:46">
      <c r="A67" t="s">
        <v>332</v>
      </c>
      <c r="B67" s="5">
        <f>SUMIF('库存（子SKU）'!$C:$C,$A67,'库存（子SKU）'!D:D)</f>
        <v>0</v>
      </c>
      <c r="C67" s="5">
        <f>SUMIF('库存（子SKU）'!$C:$C,$A67,'库存（子SKU）'!E:E)</f>
        <v>0</v>
      </c>
      <c r="D67" s="5">
        <f>SUMIF('库存（子SKU）'!$C:$C,$A67,'库存（子SKU）'!F:F)</f>
        <v>0</v>
      </c>
      <c r="E67" s="5">
        <f>SUMIF('库存（子SKU）'!$C:$C,$A67,'库存（子SKU）'!G:G)</f>
        <v>0</v>
      </c>
      <c r="F67" s="6" t="s">
        <v>54</v>
      </c>
      <c r="G67">
        <f>SUMIF('库存（子SKU）'!$C:$C,$A67,'库存（子SKU）'!I:I)</f>
        <v>3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3</v>
      </c>
      <c r="L67">
        <f>SUMIF('库存（子SKU）'!$C:$C,$A67,'库存（子SKU）'!N:N)</f>
        <v>0</v>
      </c>
      <c r="M67">
        <f>SUMIF('库存（子SKU）'!$C:$C,$A67,'库存（子SKU）'!O:O)</f>
        <v>0</v>
      </c>
      <c r="N67">
        <f>SUMIF('库存（子SKU）'!$C:$C,$A67,'库存（子SKU）'!P:P)</f>
        <v>992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7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3">
        <f t="shared" si="15"/>
        <v>0.00705645161290323</v>
      </c>
      <c r="W67" s="23" t="str">
        <f t="shared" si="16"/>
        <v/>
      </c>
      <c r="X67" s="23" t="str">
        <f t="shared" si="17"/>
        <v/>
      </c>
      <c r="Y67" s="23" t="str">
        <f t="shared" si="18"/>
        <v/>
      </c>
      <c r="Z67">
        <f>SUMIF('库存（子SKU）'!$C:$C,$A67,'库存（子SKU）'!AB:AB)</f>
        <v>1.92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3" t="str">
        <f t="shared" si="2"/>
        <v>无销量广告费为1.92</v>
      </c>
      <c r="AE67" s="23" t="str">
        <f t="shared" si="3"/>
        <v/>
      </c>
      <c r="AF67" s="23" t="str">
        <f t="shared" si="4"/>
        <v/>
      </c>
      <c r="AG67" s="23" t="str">
        <f t="shared" si="5"/>
        <v/>
      </c>
      <c r="AH67">
        <f>SUMIF('库存（子SKU）'!$C:$C,$A67,'库存（子SKU）'!AJ:AJ)</f>
        <v>16</v>
      </c>
      <c r="AI67">
        <f>SUMIF('库存（子SKU）'!$C:$C,$A67,'库存（子SKU）'!AK:AK)</f>
        <v>6</v>
      </c>
      <c r="AJ67">
        <f>SUMIF('库存（子SKU）'!$C:$C,$A67,'库存（子SKU）'!AL:AL)</f>
        <v>0</v>
      </c>
      <c r="AK67">
        <f>SUMIF('库存（子SKU）'!$C:$C,$A67,'库存（子SKU）'!AM:AM)</f>
        <v>0</v>
      </c>
      <c r="AL67" s="23">
        <f t="shared" si="6"/>
        <v>0</v>
      </c>
      <c r="AM67" s="23">
        <f t="shared" si="7"/>
        <v>0</v>
      </c>
      <c r="AN67" s="23" t="str">
        <f t="shared" si="8"/>
        <v/>
      </c>
      <c r="AO67" s="23" t="str">
        <f t="shared" si="9"/>
        <v/>
      </c>
      <c r="AP67" s="7">
        <f t="shared" si="10"/>
        <v>0</v>
      </c>
      <c r="AQ67" s="7">
        <f t="shared" si="11"/>
        <v>0</v>
      </c>
      <c r="AR67" s="7">
        <f t="shared" si="12"/>
        <v>3</v>
      </c>
      <c r="AS67" t="str">
        <f t="shared" si="13"/>
        <v>库存为3</v>
      </c>
      <c r="AT67" s="2" t="str">
        <f>IFERROR(时间!$B$4+AS67,"上周无销量")</f>
        <v>上周无销量</v>
      </c>
    </row>
    <row r="68" spans="1:46">
      <c r="A68" t="s">
        <v>336</v>
      </c>
      <c r="B68" s="5">
        <f>SUMIF('库存（子SKU）'!$C:$C,$A68,'库存（子SKU）'!D:D)</f>
        <v>0</v>
      </c>
      <c r="C68" s="5">
        <f>SUMIF('库存（子SKU）'!$C:$C,$A68,'库存（子SKU）'!E:E)</f>
        <v>0</v>
      </c>
      <c r="D68" s="5">
        <f>SUMIF('库存（子SKU）'!$C:$C,$A68,'库存（子SKU）'!F:F)</f>
        <v>0</v>
      </c>
      <c r="E68" s="5">
        <f>SUMIF('库存（子SKU）'!$C:$C,$A68,'库存（子SKU）'!G:G)</f>
        <v>0</v>
      </c>
      <c r="F68" s="6" t="s">
        <v>54</v>
      </c>
      <c r="G68">
        <f>SUMIF('库存（子SKU）'!$C:$C,$A68,'库存（子SKU）'!I:I)</f>
        <v>3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3</v>
      </c>
      <c r="L68">
        <f>SUMIF('库存（子SKU）'!$C:$C,$A68,'库存（子SKU）'!N:N)</f>
        <v>0</v>
      </c>
      <c r="M68">
        <f>SUMIF('库存（子SKU）'!$C:$C,$A68,'库存（子SKU）'!O:O)</f>
        <v>0</v>
      </c>
      <c r="N68">
        <f>SUMIF('库存（子SKU）'!$C:$C,$A68,'库存（子SKU）'!P:P)</f>
        <v>1943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27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23">
        <f t="shared" si="15"/>
        <v>0.0138960370560988</v>
      </c>
      <c r="W68" s="23" t="str">
        <f t="shared" si="16"/>
        <v/>
      </c>
      <c r="X68" s="23" t="str">
        <f t="shared" si="17"/>
        <v/>
      </c>
      <c r="Y68" s="23" t="str">
        <f t="shared" si="18"/>
        <v/>
      </c>
      <c r="Z68">
        <f>SUMIF('库存（子SKU）'!$C:$C,$A68,'库存（子SKU）'!AB:AB)</f>
        <v>6.81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3" t="str">
        <f t="shared" si="2"/>
        <v>无销量广告费为6.81</v>
      </c>
      <c r="AE68" s="23" t="str">
        <f t="shared" si="3"/>
        <v/>
      </c>
      <c r="AF68" s="23" t="str">
        <f t="shared" si="4"/>
        <v/>
      </c>
      <c r="AG68" s="23" t="str">
        <f t="shared" si="5"/>
        <v/>
      </c>
      <c r="AH68">
        <f>SUMIF('库存（子SKU）'!$C:$C,$A68,'库存（子SKU）'!AJ:AJ)</f>
        <v>45</v>
      </c>
      <c r="AI68">
        <f>SUMIF('库存（子SKU）'!$C:$C,$A68,'库存（子SKU）'!AK:AK)</f>
        <v>10</v>
      </c>
      <c r="AJ68">
        <f>SUMIF('库存（子SKU）'!$C:$C,$A68,'库存（子SKU）'!AL:AL)</f>
        <v>2</v>
      </c>
      <c r="AK68">
        <f>SUMIF('库存（子SKU）'!$C:$C,$A68,'库存（子SKU）'!AM:AM)</f>
        <v>0</v>
      </c>
      <c r="AL68" s="23">
        <f t="shared" si="6"/>
        <v>0</v>
      </c>
      <c r="AM68" s="23">
        <f t="shared" si="7"/>
        <v>0</v>
      </c>
      <c r="AN68" s="23">
        <f t="shared" si="8"/>
        <v>0</v>
      </c>
      <c r="AO68" s="23" t="str">
        <f t="shared" si="9"/>
        <v/>
      </c>
      <c r="AP68" s="7">
        <f t="shared" si="10"/>
        <v>0</v>
      </c>
      <c r="AQ68" s="7">
        <f t="shared" si="11"/>
        <v>0</v>
      </c>
      <c r="AR68" s="7">
        <f t="shared" si="12"/>
        <v>3</v>
      </c>
      <c r="AS68" t="str">
        <f t="shared" si="13"/>
        <v>库存为3</v>
      </c>
      <c r="AT68" s="2" t="str">
        <f>IFERROR(时间!$B$4+AS68,"上周无销量")</f>
        <v>上周无销量</v>
      </c>
    </row>
    <row r="69" spans="1:46">
      <c r="A69" t="s">
        <v>340</v>
      </c>
      <c r="B69" s="5">
        <f>SUMIF('库存（子SKU）'!$C:$C,$A69,'库存（子SKU）'!D:D)</f>
        <v>0</v>
      </c>
      <c r="C69" s="5">
        <f>SUMIF('库存（子SKU）'!$C:$C,$A69,'库存（子SKU）'!E:E)</f>
        <v>0</v>
      </c>
      <c r="D69" s="5">
        <f>SUMIF('库存（子SKU）'!$C:$C,$A69,'库存（子SKU）'!F:F)</f>
        <v>0</v>
      </c>
      <c r="E69" s="5">
        <f>SUMIF('库存（子SKU）'!$C:$C,$A69,'库存（子SKU）'!G:G)</f>
        <v>0</v>
      </c>
      <c r="F69" s="6" t="s">
        <v>54</v>
      </c>
      <c r="G69">
        <f>SUMIF('库存（子SKU）'!$C:$C,$A69,'库存（子SKU）'!I:I)</f>
        <v>0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32" si="19">SUM(G69:J69)</f>
        <v>0</v>
      </c>
      <c r="L69">
        <f>SUMIF('库存（子SKU）'!$C:$C,$A69,'库存（子SKU）'!N:N)</f>
        <v>0</v>
      </c>
      <c r="M69">
        <f>SUMIF('库存（子SKU）'!$C:$C,$A69,'库存（子SKU）'!O:O)</f>
        <v>0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3" t="str">
        <f t="shared" si="15"/>
        <v/>
      </c>
      <c r="W69" s="23" t="str">
        <f t="shared" si="16"/>
        <v/>
      </c>
      <c r="X69" s="23" t="str">
        <f t="shared" si="17"/>
        <v/>
      </c>
      <c r="Y69" s="23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3" t="str">
        <f t="shared" ref="AD69:AD132" si="20">IF(AND(Z69&gt;0,B69=0),"无销量广告费为"&amp;Z69,IFERROR(Z69/(B69*$F69),""))</f>
        <v/>
      </c>
      <c r="AE69" s="23" t="str">
        <f t="shared" ref="AE69:AE132" si="21">IF(AND(AA69&gt;0,C69=0),"无销量广告费为"&amp;AA69,IFERROR(AA69/(C69*$F69),""))</f>
        <v/>
      </c>
      <c r="AF69" s="23" t="str">
        <f t="shared" ref="AF69:AF132" si="22">IF(AND(AB69&gt;0,D69=0),"无销量广告费为"&amp;AB69,IFERROR(AB69/(D69*$F69),""))</f>
        <v/>
      </c>
      <c r="AG69" s="23" t="str">
        <f t="shared" ref="AG69:AG132" si="23">IF(AND(AC69&gt;0,E69=0),"无销量广告费为"&amp;AC69,IFERROR(AC69/(E69*$F69),""))</f>
        <v/>
      </c>
      <c r="AH69">
        <f>SUMIF('库存（子SKU）'!$C:$C,$A69,'库存（子SKU）'!AJ:AJ)</f>
        <v>0</v>
      </c>
      <c r="AI69">
        <f>SUMIF('库存（子SKU）'!$C:$C,$A69,'库存（子SKU）'!AK:AK)</f>
        <v>0</v>
      </c>
      <c r="AJ69">
        <f>SUMIF('库存（子SKU）'!$C:$C,$A69,'库存（子SKU）'!AL:AL)</f>
        <v>0</v>
      </c>
      <c r="AK69">
        <f>SUMIF('库存（子SKU）'!$C:$C,$A69,'库存（子SKU）'!AM:AM)</f>
        <v>0</v>
      </c>
      <c r="AL69" s="23" t="str">
        <f t="shared" ref="AL69:AL132" si="24">IFERROR(B69/AH69,"")</f>
        <v/>
      </c>
      <c r="AM69" s="23" t="str">
        <f t="shared" ref="AM69:AM132" si="25">IFERROR(C69/AI69,"")</f>
        <v/>
      </c>
      <c r="AN69" s="23" t="str">
        <f t="shared" ref="AN69:AN132" si="26">IFERROR(D69/AJ69,"")</f>
        <v/>
      </c>
      <c r="AO69" s="23" t="str">
        <f t="shared" ref="AO69:AO132" si="27">IFERROR(E69/AK69,"")</f>
        <v/>
      </c>
      <c r="AP69" s="7">
        <f t="shared" ref="AP69:AP132" si="28">B69/7</f>
        <v>0</v>
      </c>
      <c r="AQ69" s="7">
        <f t="shared" ref="AQ69:AQ132" si="29">AP69*60</f>
        <v>0</v>
      </c>
      <c r="AR69" s="7">
        <f t="shared" ref="AR69:AR132" si="30">K69-AQ69</f>
        <v>0</v>
      </c>
      <c r="AS69" t="str">
        <f t="shared" ref="AS69:AS132" si="31">IF(AP69=0,"库存为"&amp;K69,INT(K69/AP69))</f>
        <v>库存为0</v>
      </c>
      <c r="AT69" s="2" t="str">
        <f>IFERROR(时间!$B$4+AS69,"上周无销量")</f>
        <v>上周无销量</v>
      </c>
    </row>
    <row r="70" spans="1:46">
      <c r="A70" t="s">
        <v>343</v>
      </c>
      <c r="B70" s="5">
        <f>SUMIF('库存（子SKU）'!$C:$C,$A70,'库存（子SKU）'!D:D)</f>
        <v>0</v>
      </c>
      <c r="C70" s="5">
        <f>SUMIF('库存（子SKU）'!$C:$C,$A70,'库存（子SKU）'!E:E)</f>
        <v>0</v>
      </c>
      <c r="D70" s="5">
        <f>SUMIF('库存（子SKU）'!$C:$C,$A70,'库存（子SKU）'!F:F)</f>
        <v>0</v>
      </c>
      <c r="E70" s="5">
        <f>SUMIF('库存（子SKU）'!$C:$C,$A70,'库存（子SKU）'!G:G)</f>
        <v>0</v>
      </c>
      <c r="F70" s="6" t="s">
        <v>54</v>
      </c>
      <c r="G70">
        <f>SUMIF('库存（子SKU）'!$C:$C,$A70,'库存（子SKU）'!I:I)</f>
        <v>3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3</v>
      </c>
      <c r="L70">
        <f>SUMIF('库存（子SKU）'!$C:$C,$A70,'库存（子SKU）'!N:N)</f>
        <v>0</v>
      </c>
      <c r="M70">
        <f>SUMIF('库存（子SKU）'!$C:$C,$A70,'库存（子SKU）'!O:O)</f>
        <v>0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23" t="str">
        <f t="shared" ref="V70:V133" si="32">IFERROR(R70/N70,"")</f>
        <v/>
      </c>
      <c r="W70" s="23" t="str">
        <f t="shared" ref="W70:W133" si="33">IFERROR(S70/O70,"")</f>
        <v/>
      </c>
      <c r="X70" s="23" t="str">
        <f t="shared" ref="X70:X133" si="34">IFERROR(T70/P70,"")</f>
        <v/>
      </c>
      <c r="Y70" s="23" t="str">
        <f t="shared" ref="Y70:Y133" si="35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23" t="str">
        <f t="shared" si="20"/>
        <v/>
      </c>
      <c r="AE70" s="23" t="str">
        <f t="shared" si="21"/>
        <v/>
      </c>
      <c r="AF70" s="23" t="str">
        <f t="shared" si="22"/>
        <v/>
      </c>
      <c r="AG70" s="23" t="str">
        <f t="shared" si="23"/>
        <v/>
      </c>
      <c r="AH70">
        <f>SUMIF('库存（子SKU）'!$C:$C,$A70,'库存（子SKU）'!AJ:AJ)</f>
        <v>2</v>
      </c>
      <c r="AI70">
        <f>SUMIF('库存（子SKU）'!$C:$C,$A70,'库存（子SKU）'!AK:AK)</f>
        <v>0</v>
      </c>
      <c r="AJ70">
        <f>SUMIF('库存（子SKU）'!$C:$C,$A70,'库存（子SKU）'!AL:AL)</f>
        <v>0</v>
      </c>
      <c r="AK70">
        <f>SUMIF('库存（子SKU）'!$C:$C,$A70,'库存（子SKU）'!AM:AM)</f>
        <v>0</v>
      </c>
      <c r="AL70" s="23">
        <f t="shared" si="24"/>
        <v>0</v>
      </c>
      <c r="AM70" s="23" t="str">
        <f t="shared" si="25"/>
        <v/>
      </c>
      <c r="AN70" s="23" t="str">
        <f t="shared" si="26"/>
        <v/>
      </c>
      <c r="AO70" s="23" t="str">
        <f t="shared" si="27"/>
        <v/>
      </c>
      <c r="AP70" s="7">
        <f t="shared" si="28"/>
        <v>0</v>
      </c>
      <c r="AQ70" s="7">
        <f t="shared" si="29"/>
        <v>0</v>
      </c>
      <c r="AR70" s="7">
        <f t="shared" si="30"/>
        <v>3</v>
      </c>
      <c r="AS70" t="str">
        <f t="shared" si="31"/>
        <v>库存为3</v>
      </c>
      <c r="AT70" s="2" t="str">
        <f>IFERROR(时间!$B$4+AS70,"上周无销量")</f>
        <v>上周无销量</v>
      </c>
    </row>
    <row r="71" spans="1:46">
      <c r="A71" t="s">
        <v>346</v>
      </c>
      <c r="B71" s="5">
        <f>SUMIF('库存（子SKU）'!$C:$C,$A71,'库存（子SKU）'!D:D)</f>
        <v>0</v>
      </c>
      <c r="C71" s="5">
        <f>SUMIF('库存（子SKU）'!$C:$C,$A71,'库存（子SKU）'!E:E)</f>
        <v>0</v>
      </c>
      <c r="D71" s="5">
        <f>SUMIF('库存（子SKU）'!$C:$C,$A71,'库存（子SKU）'!F:F)</f>
        <v>0</v>
      </c>
      <c r="E71" s="5">
        <f>SUMIF('库存（子SKU）'!$C:$C,$A71,'库存（子SKU）'!G:G)</f>
        <v>0</v>
      </c>
      <c r="F71" s="6" t="s">
        <v>54</v>
      </c>
      <c r="G71">
        <f>SUMIF('库存（子SKU）'!$C:$C,$A71,'库存（子SKU）'!I:I)</f>
        <v>0</v>
      </c>
      <c r="H71">
        <f>SUMIF('库存（子SKU）'!$C:$C,$A71,'库存（子SKU）'!J:J)</f>
        <v>3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3</v>
      </c>
      <c r="L71">
        <f>SUMIF('库存（子SKU）'!$C:$C,$A71,'库存（子SKU）'!N:N)</f>
        <v>0</v>
      </c>
      <c r="M71">
        <f>SUMIF('库存（子SKU）'!$C:$C,$A71,'库存（子SKU）'!O:O)</f>
        <v>0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23" t="str">
        <f t="shared" si="32"/>
        <v/>
      </c>
      <c r="W71" s="23" t="str">
        <f t="shared" si="33"/>
        <v/>
      </c>
      <c r="X71" s="23" t="str">
        <f t="shared" si="34"/>
        <v/>
      </c>
      <c r="Y71" s="23" t="str">
        <f t="shared" si="35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3" t="str">
        <f t="shared" si="20"/>
        <v/>
      </c>
      <c r="AE71" s="23" t="str">
        <f t="shared" si="21"/>
        <v/>
      </c>
      <c r="AF71" s="23" t="str">
        <f t="shared" si="22"/>
        <v/>
      </c>
      <c r="AG71" s="23" t="str">
        <f t="shared" si="23"/>
        <v/>
      </c>
      <c r="AH71">
        <f>SUMIF('库存（子SKU）'!$C:$C,$A71,'库存（子SKU）'!AJ:AJ)</f>
        <v>0</v>
      </c>
      <c r="AI71">
        <f>SUMIF('库存（子SKU）'!$C:$C,$A71,'库存（子SKU）'!AK:AK)</f>
        <v>0</v>
      </c>
      <c r="AJ71">
        <f>SUMIF('库存（子SKU）'!$C:$C,$A71,'库存（子SKU）'!AL:AL)</f>
        <v>0</v>
      </c>
      <c r="AK71">
        <f>SUMIF('库存（子SKU）'!$C:$C,$A71,'库存（子SKU）'!AM:AM)</f>
        <v>0</v>
      </c>
      <c r="AL71" s="23" t="str">
        <f t="shared" si="24"/>
        <v/>
      </c>
      <c r="AM71" s="23" t="str">
        <f t="shared" si="25"/>
        <v/>
      </c>
      <c r="AN71" s="23" t="str">
        <f t="shared" si="26"/>
        <v/>
      </c>
      <c r="AO71" s="23" t="str">
        <f t="shared" si="27"/>
        <v/>
      </c>
      <c r="AP71" s="7">
        <f t="shared" si="28"/>
        <v>0</v>
      </c>
      <c r="AQ71" s="7">
        <f t="shared" si="29"/>
        <v>0</v>
      </c>
      <c r="AR71" s="7">
        <f t="shared" si="30"/>
        <v>3</v>
      </c>
      <c r="AS71" t="str">
        <f t="shared" si="31"/>
        <v>库存为3</v>
      </c>
      <c r="AT71" s="2" t="str">
        <f>IFERROR(时间!$B$4+AS71,"上周无销量")</f>
        <v>上周无销量</v>
      </c>
    </row>
    <row r="72" spans="1:46">
      <c r="A72" t="s">
        <v>349</v>
      </c>
      <c r="B72" s="5">
        <f>SUMIF('库存（子SKU）'!$C:$C,$A72,'库存（子SKU）'!D:D)</f>
        <v>0</v>
      </c>
      <c r="C72" s="5">
        <f>SUMIF('库存（子SKU）'!$C:$C,$A72,'库存（子SKU）'!E:E)</f>
        <v>0</v>
      </c>
      <c r="D72" s="5">
        <f>SUMIF('库存（子SKU）'!$C:$C,$A72,'库存（子SKU）'!F:F)</f>
        <v>0</v>
      </c>
      <c r="E72" s="5">
        <f>SUMIF('库存（子SKU）'!$C:$C,$A72,'库存（子SKU）'!G:G)</f>
        <v>0</v>
      </c>
      <c r="F72" s="6" t="s">
        <v>54</v>
      </c>
      <c r="G72">
        <f>SUMIF('库存（子SKU）'!$C:$C,$A72,'库存（子SKU）'!I:I)</f>
        <v>2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1</v>
      </c>
      <c r="K72">
        <f t="shared" si="19"/>
        <v>3</v>
      </c>
      <c r="L72">
        <f>SUMIF('库存（子SKU）'!$C:$C,$A72,'库存（子SKU）'!N:N)</f>
        <v>0</v>
      </c>
      <c r="M72">
        <f>SUMIF('库存（子SKU）'!$C:$C,$A72,'库存（子SKU）'!O:O)</f>
        <v>0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23" t="str">
        <f t="shared" si="32"/>
        <v/>
      </c>
      <c r="W72" s="23" t="str">
        <f t="shared" si="33"/>
        <v/>
      </c>
      <c r="X72" s="23" t="str">
        <f t="shared" si="34"/>
        <v/>
      </c>
      <c r="Y72" s="23" t="str">
        <f t="shared" si="35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3" t="str">
        <f t="shared" si="20"/>
        <v/>
      </c>
      <c r="AE72" s="23" t="str">
        <f t="shared" si="21"/>
        <v/>
      </c>
      <c r="AF72" s="23" t="str">
        <f t="shared" si="22"/>
        <v/>
      </c>
      <c r="AG72" s="23" t="str">
        <f t="shared" si="23"/>
        <v/>
      </c>
      <c r="AH72">
        <f>SUMIF('库存（子SKU）'!$C:$C,$A72,'库存（子SKU）'!AJ:AJ)</f>
        <v>3</v>
      </c>
      <c r="AI72">
        <f>SUMIF('库存（子SKU）'!$C:$C,$A72,'库存（子SKU）'!AK:AK)</f>
        <v>0</v>
      </c>
      <c r="AJ72">
        <f>SUMIF('库存（子SKU）'!$C:$C,$A72,'库存（子SKU）'!AL:AL)</f>
        <v>0</v>
      </c>
      <c r="AK72">
        <f>SUMIF('库存（子SKU）'!$C:$C,$A72,'库存（子SKU）'!AM:AM)</f>
        <v>0</v>
      </c>
      <c r="AL72" s="23">
        <f t="shared" si="24"/>
        <v>0</v>
      </c>
      <c r="AM72" s="23" t="str">
        <f t="shared" si="25"/>
        <v/>
      </c>
      <c r="AN72" s="23" t="str">
        <f t="shared" si="26"/>
        <v/>
      </c>
      <c r="AO72" s="23" t="str">
        <f t="shared" si="27"/>
        <v/>
      </c>
      <c r="AP72" s="7">
        <f t="shared" si="28"/>
        <v>0</v>
      </c>
      <c r="AQ72" s="7">
        <f t="shared" si="29"/>
        <v>0</v>
      </c>
      <c r="AR72" s="7">
        <f t="shared" si="30"/>
        <v>3</v>
      </c>
      <c r="AS72" t="str">
        <f t="shared" si="31"/>
        <v>库存为3</v>
      </c>
      <c r="AT72" s="2" t="str">
        <f>IFERROR(时间!$B$4+AS72,"上周无销量")</f>
        <v>上周无销量</v>
      </c>
    </row>
    <row r="73" spans="1:46">
      <c r="A73" t="s">
        <v>352</v>
      </c>
      <c r="B73" s="5">
        <f>SUMIF('库存（子SKU）'!$C:$C,$A73,'库存（子SKU）'!D:D)</f>
        <v>0</v>
      </c>
      <c r="C73" s="5">
        <f>SUMIF('库存（子SKU）'!$C:$C,$A73,'库存（子SKU）'!E:E)</f>
        <v>0</v>
      </c>
      <c r="D73" s="5">
        <f>SUMIF('库存（子SKU）'!$C:$C,$A73,'库存（子SKU）'!F:F)</f>
        <v>0</v>
      </c>
      <c r="E73" s="5">
        <f>SUMIF('库存（子SKU）'!$C:$C,$A73,'库存（子SKU）'!G:G)</f>
        <v>0</v>
      </c>
      <c r="F73" s="6" t="s">
        <v>54</v>
      </c>
      <c r="G73">
        <f>SUMIF('库存（子SKU）'!$C:$C,$A73,'库存（子SKU）'!I:I)</f>
        <v>0</v>
      </c>
      <c r="H73">
        <f>SUMIF('库存（子SKU）'!$C:$C,$A73,'库存（子SKU）'!J:J)</f>
        <v>3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3</v>
      </c>
      <c r="L73">
        <f>SUMIF('库存（子SKU）'!$C:$C,$A73,'库存（子SKU）'!N:N)</f>
        <v>0</v>
      </c>
      <c r="M73">
        <f>SUMIF('库存（子SKU）'!$C:$C,$A73,'库存（子SKU）'!O:O)</f>
        <v>0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23" t="str">
        <f t="shared" si="32"/>
        <v/>
      </c>
      <c r="W73" s="23" t="str">
        <f t="shared" si="33"/>
        <v/>
      </c>
      <c r="X73" s="23" t="str">
        <f t="shared" si="34"/>
        <v/>
      </c>
      <c r="Y73" s="23" t="str">
        <f t="shared" si="35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23" t="str">
        <f t="shared" si="20"/>
        <v/>
      </c>
      <c r="AE73" s="23" t="str">
        <f t="shared" si="21"/>
        <v/>
      </c>
      <c r="AF73" s="23" t="str">
        <f t="shared" si="22"/>
        <v/>
      </c>
      <c r="AG73" s="23" t="str">
        <f t="shared" si="23"/>
        <v/>
      </c>
      <c r="AH73">
        <f>SUMIF('库存（子SKU）'!$C:$C,$A73,'库存（子SKU）'!AJ:AJ)</f>
        <v>0</v>
      </c>
      <c r="AI73">
        <f>SUMIF('库存（子SKU）'!$C:$C,$A73,'库存（子SKU）'!AK:AK)</f>
        <v>0</v>
      </c>
      <c r="AJ73">
        <f>SUMIF('库存（子SKU）'!$C:$C,$A73,'库存（子SKU）'!AL:AL)</f>
        <v>0</v>
      </c>
      <c r="AK73">
        <f>SUMIF('库存（子SKU）'!$C:$C,$A73,'库存（子SKU）'!AM:AM)</f>
        <v>0</v>
      </c>
      <c r="AL73" s="23" t="str">
        <f t="shared" si="24"/>
        <v/>
      </c>
      <c r="AM73" s="23" t="str">
        <f t="shared" si="25"/>
        <v/>
      </c>
      <c r="AN73" s="23" t="str">
        <f t="shared" si="26"/>
        <v/>
      </c>
      <c r="AO73" s="23" t="str">
        <f t="shared" si="27"/>
        <v/>
      </c>
      <c r="AP73" s="7">
        <f t="shared" si="28"/>
        <v>0</v>
      </c>
      <c r="AQ73" s="7">
        <f t="shared" si="29"/>
        <v>0</v>
      </c>
      <c r="AR73" s="7">
        <f t="shared" si="30"/>
        <v>3</v>
      </c>
      <c r="AS73" t="str">
        <f t="shared" si="31"/>
        <v>库存为3</v>
      </c>
      <c r="AT73" s="2" t="str">
        <f>IFERROR(时间!$B$4+AS73,"上周无销量")</f>
        <v>上周无销量</v>
      </c>
    </row>
    <row r="74" spans="1:46">
      <c r="A74" t="s">
        <v>355</v>
      </c>
      <c r="B74" s="5">
        <f>SUMIF('库存（子SKU）'!$C:$C,$A74,'库存（子SKU）'!D:D)</f>
        <v>0</v>
      </c>
      <c r="C74" s="5">
        <f>SUMIF('库存（子SKU）'!$C:$C,$A74,'库存（子SKU）'!E:E)</f>
        <v>0</v>
      </c>
      <c r="D74" s="5">
        <f>SUMIF('库存（子SKU）'!$C:$C,$A74,'库存（子SKU）'!F:F)</f>
        <v>0</v>
      </c>
      <c r="E74" s="5">
        <f>SUMIF('库存（子SKU）'!$C:$C,$A74,'库存（子SKU）'!G:G)</f>
        <v>0</v>
      </c>
      <c r="F74" s="6" t="s">
        <v>54</v>
      </c>
      <c r="G74">
        <f>SUMIF('库存（子SKU）'!$C:$C,$A74,'库存（子SKU）'!I:I)</f>
        <v>0</v>
      </c>
      <c r="H74">
        <f>SUMIF('库存（子SKU）'!$C:$C,$A74,'库存（子SKU）'!J:J)</f>
        <v>3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3</v>
      </c>
      <c r="L74">
        <f>SUMIF('库存（子SKU）'!$C:$C,$A74,'库存（子SKU）'!N:N)</f>
        <v>0</v>
      </c>
      <c r="M74">
        <f>SUMIF('库存（子SKU）'!$C:$C,$A74,'库存（子SKU）'!O:O)</f>
        <v>0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3" t="str">
        <f t="shared" si="32"/>
        <v/>
      </c>
      <c r="W74" s="23" t="str">
        <f t="shared" si="33"/>
        <v/>
      </c>
      <c r="X74" s="23" t="str">
        <f t="shared" si="34"/>
        <v/>
      </c>
      <c r="Y74" s="23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3" t="str">
        <f t="shared" si="20"/>
        <v/>
      </c>
      <c r="AE74" s="23" t="str">
        <f t="shared" si="21"/>
        <v/>
      </c>
      <c r="AF74" s="23" t="str">
        <f t="shared" si="22"/>
        <v/>
      </c>
      <c r="AG74" s="23" t="str">
        <f t="shared" si="23"/>
        <v/>
      </c>
      <c r="AH74">
        <f>SUMIF('库存（子SKU）'!$C:$C,$A74,'库存（子SKU）'!AJ:AJ)</f>
        <v>0</v>
      </c>
      <c r="AI74">
        <f>SUMIF('库存（子SKU）'!$C:$C,$A74,'库存（子SKU）'!AK:AK)</f>
        <v>0</v>
      </c>
      <c r="AJ74">
        <f>SUMIF('库存（子SKU）'!$C:$C,$A74,'库存（子SKU）'!AL:AL)</f>
        <v>0</v>
      </c>
      <c r="AK74">
        <f>SUMIF('库存（子SKU）'!$C:$C,$A74,'库存（子SKU）'!AM:AM)</f>
        <v>0</v>
      </c>
      <c r="AL74" s="23" t="str">
        <f t="shared" si="24"/>
        <v/>
      </c>
      <c r="AM74" s="23" t="str">
        <f t="shared" si="25"/>
        <v/>
      </c>
      <c r="AN74" s="23" t="str">
        <f t="shared" si="26"/>
        <v/>
      </c>
      <c r="AO74" s="23" t="str">
        <f t="shared" si="27"/>
        <v/>
      </c>
      <c r="AP74" s="7">
        <f t="shared" si="28"/>
        <v>0</v>
      </c>
      <c r="AQ74" s="7">
        <f t="shared" si="29"/>
        <v>0</v>
      </c>
      <c r="AR74" s="7">
        <f t="shared" si="30"/>
        <v>3</v>
      </c>
      <c r="AS74" t="str">
        <f t="shared" si="31"/>
        <v>库存为3</v>
      </c>
      <c r="AT74" s="2" t="str">
        <f>IFERROR(时间!$B$4+AS74,"上周无销量")</f>
        <v>上周无销量</v>
      </c>
    </row>
    <row r="75" spans="1:46">
      <c r="A75" t="s">
        <v>358</v>
      </c>
      <c r="B75" s="5">
        <f>SUMIF('库存（子SKU）'!$C:$C,$A75,'库存（子SKU）'!D:D)</f>
        <v>1</v>
      </c>
      <c r="C75" s="5">
        <f>SUMIF('库存（子SKU）'!$C:$C,$A75,'库存（子SKU）'!E:E)</f>
        <v>1</v>
      </c>
      <c r="D75" s="5">
        <f>SUMIF('库存（子SKU）'!$C:$C,$A75,'库存（子SKU）'!F:F)</f>
        <v>0</v>
      </c>
      <c r="E75" s="5">
        <f>SUMIF('库存（子SKU）'!$C:$C,$A75,'库存（子SKU）'!G:G)</f>
        <v>0</v>
      </c>
      <c r="F75" s="6">
        <v>32.99</v>
      </c>
      <c r="G75">
        <f>SUMIF('库存（子SKU）'!$C:$C,$A75,'库存（子SKU）'!I:I)</f>
        <v>20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2</v>
      </c>
      <c r="K75">
        <f t="shared" si="19"/>
        <v>22</v>
      </c>
      <c r="L75">
        <f>SUMIF('库存（子SKU）'!$C:$C,$A75,'库存（子SKU）'!N:N)</f>
        <v>0</v>
      </c>
      <c r="M75">
        <f>SUMIF('库存（子SKU）'!$C:$C,$A75,'库存（子SKU）'!O:O)</f>
        <v>2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3" t="str">
        <f t="shared" si="32"/>
        <v/>
      </c>
      <c r="W75" s="23" t="str">
        <f t="shared" si="33"/>
        <v/>
      </c>
      <c r="X75" s="23" t="str">
        <f t="shared" si="34"/>
        <v/>
      </c>
      <c r="Y75" s="23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3">
        <f t="shared" si="20"/>
        <v>0</v>
      </c>
      <c r="AE75" s="23">
        <f t="shared" si="21"/>
        <v>0</v>
      </c>
      <c r="AF75" s="23" t="str">
        <f t="shared" si="22"/>
        <v/>
      </c>
      <c r="AG75" s="23" t="str">
        <f t="shared" si="23"/>
        <v/>
      </c>
      <c r="AH75">
        <f>SUMIF('库存（子SKU）'!$C:$C,$A75,'库存（子SKU）'!AJ:AJ)</f>
        <v>79</v>
      </c>
      <c r="AI75">
        <f>SUMIF('库存（子SKU）'!$C:$C,$A75,'库存（子SKU）'!AK:AK)</f>
        <v>106</v>
      </c>
      <c r="AJ75">
        <f>SUMIF('库存（子SKU）'!$C:$C,$A75,'库存（子SKU）'!AL:AL)</f>
        <v>89</v>
      </c>
      <c r="AK75">
        <f>SUMIF('库存（子SKU）'!$C:$C,$A75,'库存（子SKU）'!AM:AM)</f>
        <v>99</v>
      </c>
      <c r="AL75" s="23">
        <f t="shared" si="24"/>
        <v>0.0126582278481013</v>
      </c>
      <c r="AM75" s="23">
        <f t="shared" si="25"/>
        <v>0.00943396226415094</v>
      </c>
      <c r="AN75" s="23">
        <f t="shared" si="26"/>
        <v>0</v>
      </c>
      <c r="AO75" s="23">
        <f t="shared" si="27"/>
        <v>0</v>
      </c>
      <c r="AP75" s="7">
        <f t="shared" si="28"/>
        <v>0.142857142857143</v>
      </c>
      <c r="AQ75" s="7">
        <f t="shared" si="29"/>
        <v>8.57142857142857</v>
      </c>
      <c r="AR75" s="7">
        <f t="shared" si="30"/>
        <v>13.4285714285714</v>
      </c>
      <c r="AS75">
        <f t="shared" si="31"/>
        <v>154</v>
      </c>
      <c r="AT75" s="2">
        <f>IFERROR(时间!$B$4+AS75,"上周无销量")</f>
        <v>43493</v>
      </c>
    </row>
    <row r="76" spans="1:46">
      <c r="A76" t="s">
        <v>363</v>
      </c>
      <c r="B76" s="5">
        <f>SUMIF('库存（子SKU）'!$C:$C,$A76,'库存（子SKU）'!D:D)</f>
        <v>0</v>
      </c>
      <c r="C76" s="5">
        <f>SUMIF('库存（子SKU）'!$C:$C,$A76,'库存（子SKU）'!E:E)</f>
        <v>0</v>
      </c>
      <c r="D76" s="5">
        <f>SUMIF('库存（子SKU）'!$C:$C,$A76,'库存（子SKU）'!F:F)</f>
        <v>0</v>
      </c>
      <c r="E76" s="5">
        <f>SUMIF('库存（子SKU）'!$C:$C,$A76,'库存（子SKU）'!G:G)</f>
        <v>2</v>
      </c>
      <c r="F76" s="6">
        <v>89.99</v>
      </c>
      <c r="G76">
        <f>SUMIF('库存（子SKU）'!$C:$C,$A76,'库存（子SKU）'!I:I)</f>
        <v>16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16</v>
      </c>
      <c r="L76">
        <f>SUMIF('库存（子SKU）'!$C:$C,$A76,'库存（子SKU）'!N:N)</f>
        <v>0</v>
      </c>
      <c r="M76">
        <f>SUMIF('库存（子SKU）'!$C:$C,$A76,'库存（子SKU）'!O:O)</f>
        <v>0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3" t="str">
        <f t="shared" si="32"/>
        <v/>
      </c>
      <c r="W76" s="23" t="str">
        <f t="shared" si="33"/>
        <v/>
      </c>
      <c r="X76" s="23" t="str">
        <f t="shared" si="34"/>
        <v/>
      </c>
      <c r="Y76" s="23" t="str">
        <f t="shared" si="35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3" t="str">
        <f t="shared" si="20"/>
        <v/>
      </c>
      <c r="AE76" s="23" t="str">
        <f t="shared" si="21"/>
        <v/>
      </c>
      <c r="AF76" s="23" t="str">
        <f t="shared" si="22"/>
        <v/>
      </c>
      <c r="AG76" s="23">
        <f t="shared" si="23"/>
        <v>0</v>
      </c>
      <c r="AH76">
        <f>SUMIF('库存（子SKU）'!$C:$C,$A76,'库存（子SKU）'!AJ:AJ)</f>
        <v>19</v>
      </c>
      <c r="AI76">
        <f>SUMIF('库存（子SKU）'!$C:$C,$A76,'库存（子SKU）'!AK:AK)</f>
        <v>15</v>
      </c>
      <c r="AJ76">
        <f>SUMIF('库存（子SKU）'!$C:$C,$A76,'库存（子SKU）'!AL:AL)</f>
        <v>8</v>
      </c>
      <c r="AK76">
        <f>SUMIF('库存（子SKU）'!$C:$C,$A76,'库存（子SKU）'!AM:AM)</f>
        <v>21</v>
      </c>
      <c r="AL76" s="23">
        <f t="shared" si="24"/>
        <v>0</v>
      </c>
      <c r="AM76" s="23">
        <f t="shared" si="25"/>
        <v>0</v>
      </c>
      <c r="AN76" s="23">
        <f t="shared" si="26"/>
        <v>0</v>
      </c>
      <c r="AO76" s="23">
        <f t="shared" si="27"/>
        <v>0.0952380952380952</v>
      </c>
      <c r="AP76" s="7">
        <f t="shared" si="28"/>
        <v>0</v>
      </c>
      <c r="AQ76" s="7">
        <f t="shared" si="29"/>
        <v>0</v>
      </c>
      <c r="AR76" s="7">
        <f t="shared" si="30"/>
        <v>16</v>
      </c>
      <c r="AS76" t="str">
        <f t="shared" si="31"/>
        <v>库存为16</v>
      </c>
      <c r="AT76" s="2" t="str">
        <f>IFERROR(时间!$B$4+AS76,"上周无销量")</f>
        <v>上周无销量</v>
      </c>
    </row>
    <row r="77" spans="1:46">
      <c r="A77" t="s">
        <v>366</v>
      </c>
      <c r="B77" s="5">
        <f>SUMIF('库存（子SKU）'!$C:$C,$A77,'库存（子SKU）'!D:D)</f>
        <v>0</v>
      </c>
      <c r="C77" s="5">
        <f>SUMIF('库存（子SKU）'!$C:$C,$A77,'库存（子SKU）'!E:E)</f>
        <v>0</v>
      </c>
      <c r="D77" s="5">
        <f>SUMIF('库存（子SKU）'!$C:$C,$A77,'库存（子SKU）'!F:F)</f>
        <v>0</v>
      </c>
      <c r="E77" s="5">
        <f>SUMIF('库存（子SKU）'!$C:$C,$A77,'库存（子SKU）'!G:G)</f>
        <v>0</v>
      </c>
      <c r="F77" s="6" t="s">
        <v>54</v>
      </c>
      <c r="G77">
        <f>SUMIF('库存（子SKU）'!$C:$C,$A77,'库存（子SKU）'!I:I)</f>
        <v>3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3</v>
      </c>
      <c r="L77">
        <f>SUMIF('库存（子SKU）'!$C:$C,$A77,'库存（子SKU）'!N:N)</f>
        <v>0</v>
      </c>
      <c r="M77">
        <f>SUMIF('库存（子SKU）'!$C:$C,$A77,'库存（子SKU）'!O:O)</f>
        <v>3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23" t="str">
        <f t="shared" si="32"/>
        <v/>
      </c>
      <c r="W77" s="23" t="str">
        <f t="shared" si="33"/>
        <v/>
      </c>
      <c r="X77" s="23" t="str">
        <f t="shared" si="34"/>
        <v/>
      </c>
      <c r="Y77" s="23" t="str">
        <f t="shared" si="35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3" t="str">
        <f t="shared" si="20"/>
        <v/>
      </c>
      <c r="AE77" s="23" t="str">
        <f t="shared" si="21"/>
        <v/>
      </c>
      <c r="AF77" s="23" t="str">
        <f t="shared" si="22"/>
        <v/>
      </c>
      <c r="AG77" s="23" t="str">
        <f t="shared" si="23"/>
        <v/>
      </c>
      <c r="AH77">
        <f>SUMIF('库存（子SKU）'!$C:$C,$A77,'库存（子SKU）'!AJ:AJ)</f>
        <v>14</v>
      </c>
      <c r="AI77">
        <f>SUMIF('库存（子SKU）'!$C:$C,$A77,'库存（子SKU）'!AK:AK)</f>
        <v>4</v>
      </c>
      <c r="AJ77">
        <f>SUMIF('库存（子SKU）'!$C:$C,$A77,'库存（子SKU）'!AL:AL)</f>
        <v>4</v>
      </c>
      <c r="AK77">
        <f>SUMIF('库存（子SKU）'!$C:$C,$A77,'库存（子SKU）'!AM:AM)</f>
        <v>2</v>
      </c>
      <c r="AL77" s="23">
        <f t="shared" si="24"/>
        <v>0</v>
      </c>
      <c r="AM77" s="23">
        <f t="shared" si="25"/>
        <v>0</v>
      </c>
      <c r="AN77" s="23">
        <f t="shared" si="26"/>
        <v>0</v>
      </c>
      <c r="AO77" s="23">
        <f t="shared" si="27"/>
        <v>0</v>
      </c>
      <c r="AP77" s="7">
        <f t="shared" si="28"/>
        <v>0</v>
      </c>
      <c r="AQ77" s="7">
        <f t="shared" si="29"/>
        <v>0</v>
      </c>
      <c r="AR77" s="7">
        <f t="shared" si="30"/>
        <v>3</v>
      </c>
      <c r="AS77" t="str">
        <f t="shared" si="31"/>
        <v>库存为3</v>
      </c>
      <c r="AT77" s="2" t="str">
        <f>IFERROR(时间!$B$4+AS77,"上周无销量")</f>
        <v>上周无销量</v>
      </c>
    </row>
    <row r="78" spans="1:46">
      <c r="A78" t="s">
        <v>369</v>
      </c>
      <c r="B78" s="5">
        <f>SUMIF('库存（子SKU）'!$C:$C,$A78,'库存（子SKU）'!D:D)</f>
        <v>0</v>
      </c>
      <c r="C78" s="5">
        <f>SUMIF('库存（子SKU）'!$C:$C,$A78,'库存（子SKU）'!E:E)</f>
        <v>4</v>
      </c>
      <c r="D78" s="5">
        <f>SUMIF('库存（子SKU）'!$C:$C,$A78,'库存（子SKU）'!F:F)</f>
        <v>3</v>
      </c>
      <c r="E78" s="5">
        <f>SUMIF('库存（子SKU）'!$C:$C,$A78,'库存（子SKU）'!G:G)</f>
        <v>1</v>
      </c>
      <c r="F78" s="6">
        <v>79.99</v>
      </c>
      <c r="G78">
        <f>SUMIF('库存（子SKU）'!$C:$C,$A78,'库存（子SKU）'!I:I)</f>
        <v>19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19</v>
      </c>
      <c r="L78">
        <f>SUMIF('库存（子SKU）'!$C:$C,$A78,'库存（子SKU）'!N:N)</f>
        <v>1</v>
      </c>
      <c r="M78">
        <f>SUMIF('库存（子SKU）'!$C:$C,$A78,'库存（子SKU）'!O:O)</f>
        <v>0</v>
      </c>
      <c r="N78">
        <f>SUMIF('库存（子SKU）'!$C:$C,$A78,'库存（子SKU）'!P:P)</f>
        <v>27548</v>
      </c>
      <c r="O78">
        <f>SUMIF('库存（子SKU）'!$C:$C,$A78,'库存（子SKU）'!Q:Q)</f>
        <v>8377</v>
      </c>
      <c r="P78">
        <f>SUMIF('库存（子SKU）'!$C:$C,$A78,'库存（子SKU）'!R:R)</f>
        <v>46443</v>
      </c>
      <c r="Q78">
        <f>SUMIF('库存（子SKU）'!$C:$C,$A78,'库存（子SKU）'!S:S)</f>
        <v>46621</v>
      </c>
      <c r="R78">
        <f>SUMIF('库存（子SKU）'!$C:$C,$A78,'库存（子SKU）'!T:T)</f>
        <v>103</v>
      </c>
      <c r="S78">
        <f>SUMIF('库存（子SKU）'!$C:$C,$A78,'库存（子SKU）'!U:U)</f>
        <v>32</v>
      </c>
      <c r="T78">
        <f>SUMIF('库存（子SKU）'!$C:$C,$A78,'库存（子SKU）'!V:V)</f>
        <v>253</v>
      </c>
      <c r="U78">
        <f>SUMIF('库存（子SKU）'!$C:$C,$A78,'库存（子SKU）'!W:W)</f>
        <v>255</v>
      </c>
      <c r="V78" s="23">
        <f t="shared" si="32"/>
        <v>0.00373892841585596</v>
      </c>
      <c r="W78" s="23">
        <f t="shared" si="33"/>
        <v>0.00381998328757312</v>
      </c>
      <c r="X78" s="23">
        <f t="shared" si="34"/>
        <v>0.005447537842086</v>
      </c>
      <c r="Y78" s="23">
        <f t="shared" si="35"/>
        <v>0.00546963814589992</v>
      </c>
      <c r="Z78">
        <f>SUMIF('库存（子SKU）'!$C:$C,$A78,'库存（子SKU）'!AB:AB)</f>
        <v>29.42</v>
      </c>
      <c r="AA78">
        <f>SUMIF('库存（子SKU）'!$C:$C,$A78,'库存（子SKU）'!AC:AC)</f>
        <v>9.24</v>
      </c>
      <c r="AB78">
        <f>SUMIF('库存（子SKU）'!$C:$C,$A78,'库存（子SKU）'!AD:AD)</f>
        <v>41.04</v>
      </c>
      <c r="AC78">
        <f>SUMIF('库存（子SKU）'!$C:$C,$A78,'库存（子SKU）'!AE:AE)</f>
        <v>41.62</v>
      </c>
      <c r="AD78" s="23" t="str">
        <f t="shared" si="20"/>
        <v>无销量广告费为29.42</v>
      </c>
      <c r="AE78" s="23">
        <f t="shared" si="21"/>
        <v>0.0288786098262283</v>
      </c>
      <c r="AF78" s="23">
        <f t="shared" si="22"/>
        <v>0.171021377672209</v>
      </c>
      <c r="AG78" s="23">
        <f t="shared" si="23"/>
        <v>0.520315039379923</v>
      </c>
      <c r="AH78">
        <f>SUMIF('库存（子SKU）'!$C:$C,$A78,'库存（子SKU）'!AJ:AJ)</f>
        <v>215</v>
      </c>
      <c r="AI78">
        <f>SUMIF('库存（子SKU）'!$C:$C,$A78,'库存（子SKU）'!AK:AK)</f>
        <v>110</v>
      </c>
      <c r="AJ78">
        <f>SUMIF('库存（子SKU）'!$C:$C,$A78,'库存（子SKU）'!AL:AL)</f>
        <v>191</v>
      </c>
      <c r="AK78">
        <f>SUMIF('库存（子SKU）'!$C:$C,$A78,'库存（子SKU）'!AM:AM)</f>
        <v>141</v>
      </c>
      <c r="AL78" s="23">
        <f t="shared" si="24"/>
        <v>0</v>
      </c>
      <c r="AM78" s="23">
        <f t="shared" si="25"/>
        <v>0.0363636363636364</v>
      </c>
      <c r="AN78" s="23">
        <f t="shared" si="26"/>
        <v>0.0157068062827225</v>
      </c>
      <c r="AO78" s="23">
        <f t="shared" si="27"/>
        <v>0.00709219858156028</v>
      </c>
      <c r="AP78" s="7">
        <f t="shared" si="28"/>
        <v>0</v>
      </c>
      <c r="AQ78" s="7">
        <f t="shared" si="29"/>
        <v>0</v>
      </c>
      <c r="AR78" s="7">
        <f t="shared" si="30"/>
        <v>19</v>
      </c>
      <c r="AS78" t="str">
        <f t="shared" si="31"/>
        <v>库存为19</v>
      </c>
      <c r="AT78" s="2" t="str">
        <f>IFERROR(时间!$B$4+AS78,"上周无销量")</f>
        <v>上周无销量</v>
      </c>
    </row>
    <row r="79" spans="1:46">
      <c r="A79" t="s">
        <v>373</v>
      </c>
      <c r="B79" s="5">
        <f>SUMIF('库存（子SKU）'!$C:$C,$A79,'库存（子SKU）'!D:D)</f>
        <v>3</v>
      </c>
      <c r="C79" s="5">
        <f>SUMIF('库存（子SKU）'!$C:$C,$A79,'库存（子SKU）'!E:E)</f>
        <v>0</v>
      </c>
      <c r="D79" s="5">
        <f>SUMIF('库存（子SKU）'!$C:$C,$A79,'库存（子SKU）'!F:F)</f>
        <v>0</v>
      </c>
      <c r="E79" s="5">
        <f>SUMIF('库存（子SKU）'!$C:$C,$A79,'库存（子SKU）'!G:G)</f>
        <v>1</v>
      </c>
      <c r="F79" s="6">
        <v>32.99</v>
      </c>
      <c r="G79">
        <f>SUMIF('库存（子SKU）'!$C:$C,$A79,'库存（子SKU）'!I:I)</f>
        <v>8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1</v>
      </c>
      <c r="K79">
        <f t="shared" si="19"/>
        <v>9</v>
      </c>
      <c r="L79">
        <f>SUMIF('库存（子SKU）'!$C:$C,$A79,'库存（子SKU）'!N:N)</f>
        <v>1</v>
      </c>
      <c r="M79">
        <f>SUMIF('库存（子SKU）'!$C:$C,$A79,'库存（子SKU）'!O:O)</f>
        <v>0</v>
      </c>
      <c r="N79">
        <f>SUMIF('库存（子SKU）'!$C:$C,$A79,'库存（子SKU）'!P:P)</f>
        <v>40959</v>
      </c>
      <c r="O79">
        <f>SUMIF('库存（子SKU）'!$C:$C,$A79,'库存（子SKU）'!Q:Q)</f>
        <v>3875</v>
      </c>
      <c r="P79">
        <f>SUMIF('库存（子SKU）'!$C:$C,$A79,'库存（子SKU）'!R:R)</f>
        <v>10001</v>
      </c>
      <c r="Q79">
        <f>SUMIF('库存（子SKU）'!$C:$C,$A79,'库存（子SKU）'!S:S)</f>
        <v>10007</v>
      </c>
      <c r="R79">
        <f>SUMIF('库存（子SKU）'!$C:$C,$A79,'库存（子SKU）'!T:T)</f>
        <v>217</v>
      </c>
      <c r="S79">
        <f>SUMIF('库存（子SKU）'!$C:$C,$A79,'库存（子SKU）'!U:U)</f>
        <v>31</v>
      </c>
      <c r="T79">
        <f>SUMIF('库存（子SKU）'!$C:$C,$A79,'库存（子SKU）'!V:V)</f>
        <v>110</v>
      </c>
      <c r="U79">
        <f>SUMIF('库存（子SKU）'!$C:$C,$A79,'库存（子SKU）'!W:W)</f>
        <v>110</v>
      </c>
      <c r="V79" s="23">
        <f t="shared" si="32"/>
        <v>0.00529798090773701</v>
      </c>
      <c r="W79" s="23">
        <f t="shared" si="33"/>
        <v>0.008</v>
      </c>
      <c r="X79" s="23">
        <f t="shared" si="34"/>
        <v>0.010998900109989</v>
      </c>
      <c r="Y79" s="23">
        <f t="shared" si="35"/>
        <v>0.0109923053862296</v>
      </c>
      <c r="Z79">
        <f>SUMIF('库存（子SKU）'!$C:$C,$A79,'库存（子SKU）'!AB:AB)</f>
        <v>56.91</v>
      </c>
      <c r="AA79">
        <f>SUMIF('库存（子SKU）'!$C:$C,$A79,'库存（子SKU）'!AC:AC)</f>
        <v>4.59</v>
      </c>
      <c r="AB79">
        <f>SUMIF('库存（子SKU）'!$C:$C,$A79,'库存（子SKU）'!AD:AD)</f>
        <v>17.3</v>
      </c>
      <c r="AC79">
        <f>SUMIF('库存（子SKU）'!$C:$C,$A79,'库存（子SKU）'!AE:AE)</f>
        <v>17.3</v>
      </c>
      <c r="AD79" s="23">
        <f t="shared" si="20"/>
        <v>0.575022734161867</v>
      </c>
      <c r="AE79" s="23" t="str">
        <f t="shared" si="21"/>
        <v>无销量广告费为4.59</v>
      </c>
      <c r="AF79" s="23" t="str">
        <f t="shared" si="22"/>
        <v>无销量广告费为17.3</v>
      </c>
      <c r="AG79" s="23">
        <f t="shared" si="23"/>
        <v>0.524401333737496</v>
      </c>
      <c r="AH79">
        <f>SUMIF('库存（子SKU）'!$C:$C,$A79,'库存（子SKU）'!AJ:AJ)</f>
        <v>306</v>
      </c>
      <c r="AI79">
        <f>SUMIF('库存（子SKU）'!$C:$C,$A79,'库存（子SKU）'!AK:AK)</f>
        <v>53</v>
      </c>
      <c r="AJ79">
        <f>SUMIF('库存（子SKU）'!$C:$C,$A79,'库存（子SKU）'!AL:AL)</f>
        <v>53</v>
      </c>
      <c r="AK79">
        <f>SUMIF('库存（子SKU）'!$C:$C,$A79,'库存（子SKU）'!AM:AM)</f>
        <v>27</v>
      </c>
      <c r="AL79" s="23">
        <f t="shared" si="24"/>
        <v>0.00980392156862745</v>
      </c>
      <c r="AM79" s="23">
        <f t="shared" si="25"/>
        <v>0</v>
      </c>
      <c r="AN79" s="23">
        <f t="shared" si="26"/>
        <v>0</v>
      </c>
      <c r="AO79" s="23">
        <f t="shared" si="27"/>
        <v>0.037037037037037</v>
      </c>
      <c r="AP79" s="7">
        <f t="shared" si="28"/>
        <v>0.428571428571429</v>
      </c>
      <c r="AQ79" s="7">
        <f t="shared" si="29"/>
        <v>25.7142857142857</v>
      </c>
      <c r="AR79" s="7">
        <f t="shared" si="30"/>
        <v>-16.7142857142857</v>
      </c>
      <c r="AS79">
        <f t="shared" si="31"/>
        <v>21</v>
      </c>
      <c r="AT79" s="2">
        <f>IFERROR(时间!$B$4+AS79,"上周无销量")</f>
        <v>43360</v>
      </c>
    </row>
    <row r="80" spans="1:46">
      <c r="A80" t="s">
        <v>378</v>
      </c>
      <c r="B80" s="5">
        <f>SUMIF('库存（子SKU）'!$C:$C,$A80,'库存（子SKU）'!D:D)</f>
        <v>0</v>
      </c>
      <c r="C80" s="5">
        <f>SUMIF('库存（子SKU）'!$C:$C,$A80,'库存（子SKU）'!E:E)</f>
        <v>0</v>
      </c>
      <c r="D80" s="5">
        <f>SUMIF('库存（子SKU）'!$C:$C,$A80,'库存（子SKU）'!F:F)</f>
        <v>0</v>
      </c>
      <c r="E80" s="5">
        <f>SUMIF('库存（子SKU）'!$C:$C,$A80,'库存（子SKU）'!G:G)</f>
        <v>0</v>
      </c>
      <c r="F80" s="6" t="s">
        <v>54</v>
      </c>
      <c r="G80">
        <f>SUMIF('库存（子SKU）'!$C:$C,$A80,'库存（子SKU）'!I:I)</f>
        <v>0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0</v>
      </c>
      <c r="L80">
        <f>SUMIF('库存（子SKU）'!$C:$C,$A80,'库存（子SKU）'!N:N)</f>
        <v>0</v>
      </c>
      <c r="M80">
        <f>SUMIF('库存（子SKU）'!$C:$C,$A80,'库存（子SKU）'!O:O)</f>
        <v>0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23" t="str">
        <f t="shared" si="32"/>
        <v/>
      </c>
      <c r="W80" s="23" t="str">
        <f t="shared" si="33"/>
        <v/>
      </c>
      <c r="X80" s="23" t="str">
        <f t="shared" si="34"/>
        <v/>
      </c>
      <c r="Y80" s="23" t="str">
        <f t="shared" si="35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23" t="str">
        <f t="shared" si="20"/>
        <v/>
      </c>
      <c r="AE80" s="23" t="str">
        <f t="shared" si="21"/>
        <v/>
      </c>
      <c r="AF80" s="23" t="str">
        <f t="shared" si="22"/>
        <v/>
      </c>
      <c r="AG80" s="23" t="str">
        <f t="shared" si="23"/>
        <v/>
      </c>
      <c r="AH80">
        <f>SUMIF('库存（子SKU）'!$C:$C,$A80,'库存（子SKU）'!AJ:AJ)</f>
        <v>0</v>
      </c>
      <c r="AI80">
        <f>SUMIF('库存（子SKU）'!$C:$C,$A80,'库存（子SKU）'!AK:AK)</f>
        <v>0</v>
      </c>
      <c r="AJ80">
        <f>SUMIF('库存（子SKU）'!$C:$C,$A80,'库存（子SKU）'!AL:AL)</f>
        <v>0</v>
      </c>
      <c r="AK80">
        <f>SUMIF('库存（子SKU）'!$C:$C,$A80,'库存（子SKU）'!AM:AM)</f>
        <v>0</v>
      </c>
      <c r="AL80" s="23" t="str">
        <f t="shared" si="24"/>
        <v/>
      </c>
      <c r="AM80" s="23" t="str">
        <f t="shared" si="25"/>
        <v/>
      </c>
      <c r="AN80" s="23" t="str">
        <f t="shared" si="26"/>
        <v/>
      </c>
      <c r="AO80" s="23" t="str">
        <f t="shared" si="27"/>
        <v/>
      </c>
      <c r="AP80" s="7">
        <f t="shared" si="28"/>
        <v>0</v>
      </c>
      <c r="AQ80" s="7">
        <f t="shared" si="29"/>
        <v>0</v>
      </c>
      <c r="AR80" s="7">
        <f t="shared" si="30"/>
        <v>0</v>
      </c>
      <c r="AS80" t="str">
        <f t="shared" si="31"/>
        <v>库存为0</v>
      </c>
      <c r="AT80" s="2" t="str">
        <f>IFERROR(时间!$B$4+AS80,"上周无销量")</f>
        <v>上周无销量</v>
      </c>
    </row>
    <row r="81" spans="1:46">
      <c r="A81" t="s">
        <v>381</v>
      </c>
      <c r="B81" s="5">
        <f>SUMIF('库存（子SKU）'!$C:$C,$A81,'库存（子SKU）'!D:D)</f>
        <v>0</v>
      </c>
      <c r="C81" s="5">
        <f>SUMIF('库存（子SKU）'!$C:$C,$A81,'库存（子SKU）'!E:E)</f>
        <v>0</v>
      </c>
      <c r="D81" s="5">
        <f>SUMIF('库存（子SKU）'!$C:$C,$A81,'库存（子SKU）'!F:F)</f>
        <v>0</v>
      </c>
      <c r="E81" s="5">
        <f>SUMIF('库存（子SKU）'!$C:$C,$A81,'库存（子SKU）'!G:G)</f>
        <v>0</v>
      </c>
      <c r="F81" s="6" t="s">
        <v>54</v>
      </c>
      <c r="G81">
        <f>SUMIF('库存（子SKU）'!$C:$C,$A81,'库存（子SKU）'!I:I)</f>
        <v>0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0</v>
      </c>
      <c r="L81">
        <f>SUMIF('库存（子SKU）'!$C:$C,$A81,'库存（子SKU）'!N:N)</f>
        <v>0</v>
      </c>
      <c r="M81">
        <f>SUMIF('库存（子SKU）'!$C:$C,$A81,'库存（子SKU）'!O:O)</f>
        <v>0</v>
      </c>
      <c r="N81">
        <f>SUMIF('库存（子SKU）'!$C:$C,$A81,'库存（子SKU）'!P:P)</f>
        <v>0</v>
      </c>
      <c r="O81">
        <f>SUMIF('库存（子SKU）'!$C:$C,$A81,'库存（子SKU）'!Q:Q)</f>
        <v>3991</v>
      </c>
      <c r="P81">
        <f>SUMIF('库存（子SKU）'!$C:$C,$A81,'库存（子SKU）'!R:R)</f>
        <v>117743</v>
      </c>
      <c r="Q81">
        <f>SUMIF('库存（子SKU）'!$C:$C,$A81,'库存（子SKU）'!S:S)</f>
        <v>118258</v>
      </c>
      <c r="R81">
        <f>SUMIF('库存（子SKU）'!$C:$C,$A81,'库存（子SKU）'!T:T)</f>
        <v>0</v>
      </c>
      <c r="S81">
        <f>SUMIF('库存（子SKU）'!$C:$C,$A81,'库存（子SKU）'!U:U)</f>
        <v>12</v>
      </c>
      <c r="T81">
        <f>SUMIF('库存（子SKU）'!$C:$C,$A81,'库存（子SKU）'!V:V)</f>
        <v>370</v>
      </c>
      <c r="U81">
        <f>SUMIF('库存（子SKU）'!$C:$C,$A81,'库存（子SKU）'!W:W)</f>
        <v>373</v>
      </c>
      <c r="V81" s="23" t="str">
        <f t="shared" si="32"/>
        <v/>
      </c>
      <c r="W81" s="23">
        <f t="shared" si="33"/>
        <v>0.00300676522174893</v>
      </c>
      <c r="X81" s="23">
        <f t="shared" si="34"/>
        <v>0.00314243734234732</v>
      </c>
      <c r="Y81" s="23">
        <f t="shared" si="35"/>
        <v>0.00315412065145698</v>
      </c>
      <c r="Z81">
        <f>SUMIF('库存（子SKU）'!$C:$C,$A81,'库存（子SKU）'!AB:AB)</f>
        <v>0</v>
      </c>
      <c r="AA81">
        <f>SUMIF('库存（子SKU）'!$C:$C,$A81,'库存（子SKU）'!AC:AC)</f>
        <v>1.75</v>
      </c>
      <c r="AB81">
        <f>SUMIF('库存（子SKU）'!$C:$C,$A81,'库存（子SKU）'!AD:AD)</f>
        <v>63.99</v>
      </c>
      <c r="AC81">
        <f>SUMIF('库存（子SKU）'!$C:$C,$A81,'库存（子SKU）'!AE:AE)</f>
        <v>64.49</v>
      </c>
      <c r="AD81" s="23" t="str">
        <f t="shared" si="20"/>
        <v/>
      </c>
      <c r="AE81" s="23" t="str">
        <f t="shared" si="21"/>
        <v>无销量广告费为1.75</v>
      </c>
      <c r="AF81" s="23" t="str">
        <f t="shared" si="22"/>
        <v>无销量广告费为63.99</v>
      </c>
      <c r="AG81" s="23" t="str">
        <f t="shared" si="23"/>
        <v>无销量广告费为64.49</v>
      </c>
      <c r="AH81">
        <f>SUMIF('库存（子SKU）'!$C:$C,$A81,'库存（子SKU）'!AJ:AJ)</f>
        <v>0</v>
      </c>
      <c r="AI81">
        <f>SUMIF('库存（子SKU）'!$C:$C,$A81,'库存（子SKU）'!AK:AK)</f>
        <v>32</v>
      </c>
      <c r="AJ81">
        <f>SUMIF('库存（子SKU）'!$C:$C,$A81,'库存（子SKU）'!AL:AL)</f>
        <v>134</v>
      </c>
      <c r="AK81">
        <f>SUMIF('库存（子SKU）'!$C:$C,$A81,'库存（子SKU）'!AM:AM)</f>
        <v>168</v>
      </c>
      <c r="AL81" s="23" t="str">
        <f t="shared" si="24"/>
        <v/>
      </c>
      <c r="AM81" s="23">
        <f t="shared" si="25"/>
        <v>0</v>
      </c>
      <c r="AN81" s="23">
        <f t="shared" si="26"/>
        <v>0</v>
      </c>
      <c r="AO81" s="23">
        <f t="shared" si="27"/>
        <v>0</v>
      </c>
      <c r="AP81" s="7">
        <f t="shared" si="28"/>
        <v>0</v>
      </c>
      <c r="AQ81" s="7">
        <f t="shared" si="29"/>
        <v>0</v>
      </c>
      <c r="AR81" s="7">
        <f t="shared" si="30"/>
        <v>0</v>
      </c>
      <c r="AS81" t="str">
        <f t="shared" si="31"/>
        <v>库存为0</v>
      </c>
      <c r="AT81" s="2" t="str">
        <f>IFERROR(时间!$B$4+AS81,"上周无销量")</f>
        <v>上周无销量</v>
      </c>
    </row>
    <row r="82" spans="1:46">
      <c r="A82" t="s">
        <v>387</v>
      </c>
      <c r="B82" s="5">
        <f>SUMIF('库存（子SKU）'!$C:$C,$A82,'库存（子SKU）'!D:D)</f>
        <v>0</v>
      </c>
      <c r="C82" s="5">
        <f>SUMIF('库存（子SKU）'!$C:$C,$A82,'库存（子SKU）'!E:E)</f>
        <v>1</v>
      </c>
      <c r="D82" s="5">
        <f>SUMIF('库存（子SKU）'!$C:$C,$A82,'库存（子SKU）'!F:F)</f>
        <v>1</v>
      </c>
      <c r="E82" s="5">
        <f>SUMIF('库存（子SKU）'!$C:$C,$A82,'库存（子SKU）'!G:G)</f>
        <v>2</v>
      </c>
      <c r="F82" s="6">
        <v>89.99</v>
      </c>
      <c r="G82">
        <f>SUMIF('库存（子SKU）'!$C:$C,$A82,'库存（子SKU）'!I:I)</f>
        <v>9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9</v>
      </c>
      <c r="L82">
        <f>SUMIF('库存（子SKU）'!$C:$C,$A82,'库存（子SKU）'!N:N)</f>
        <v>0</v>
      </c>
      <c r="M82">
        <f>SUMIF('库存（子SKU）'!$C:$C,$A82,'库存（子SKU）'!O:O)</f>
        <v>0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23" t="str">
        <f t="shared" si="32"/>
        <v/>
      </c>
      <c r="W82" s="23" t="str">
        <f t="shared" si="33"/>
        <v/>
      </c>
      <c r="X82" s="23" t="str">
        <f t="shared" si="34"/>
        <v/>
      </c>
      <c r="Y82" s="23" t="str">
        <f t="shared" si="35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23" t="str">
        <f t="shared" si="20"/>
        <v/>
      </c>
      <c r="AE82" s="23">
        <f t="shared" si="21"/>
        <v>0</v>
      </c>
      <c r="AF82" s="23">
        <f t="shared" si="22"/>
        <v>0</v>
      </c>
      <c r="AG82" s="23">
        <f t="shared" si="23"/>
        <v>0</v>
      </c>
      <c r="AH82">
        <f>SUMIF('库存（子SKU）'!$C:$C,$A82,'库存（子SKU）'!AJ:AJ)</f>
        <v>28</v>
      </c>
      <c r="AI82">
        <f>SUMIF('库存（子SKU）'!$C:$C,$A82,'库存（子SKU）'!AK:AK)</f>
        <v>29</v>
      </c>
      <c r="AJ82">
        <f>SUMIF('库存（子SKU）'!$C:$C,$A82,'库存（子SKU）'!AL:AL)</f>
        <v>24</v>
      </c>
      <c r="AK82">
        <f>SUMIF('库存（子SKU）'!$C:$C,$A82,'库存（子SKU）'!AM:AM)</f>
        <v>8</v>
      </c>
      <c r="AL82" s="23">
        <f t="shared" si="24"/>
        <v>0</v>
      </c>
      <c r="AM82" s="23">
        <f t="shared" si="25"/>
        <v>0.0344827586206897</v>
      </c>
      <c r="AN82" s="23">
        <f t="shared" si="26"/>
        <v>0.0416666666666667</v>
      </c>
      <c r="AO82" s="23">
        <f t="shared" si="27"/>
        <v>0.25</v>
      </c>
      <c r="AP82" s="7">
        <f t="shared" si="28"/>
        <v>0</v>
      </c>
      <c r="AQ82" s="7">
        <f t="shared" si="29"/>
        <v>0</v>
      </c>
      <c r="AR82" s="7">
        <f t="shared" si="30"/>
        <v>9</v>
      </c>
      <c r="AS82" t="str">
        <f t="shared" si="31"/>
        <v>库存为9</v>
      </c>
      <c r="AT82" s="2" t="str">
        <f>IFERROR(时间!$B$4+AS82,"上周无销量")</f>
        <v>上周无销量</v>
      </c>
    </row>
    <row r="83" spans="1:46">
      <c r="A83" t="s">
        <v>390</v>
      </c>
      <c r="B83" s="5">
        <f>SUMIF('库存（子SKU）'!$C:$C,$A83,'库存（子SKU）'!D:D)</f>
        <v>1</v>
      </c>
      <c r="C83" s="5">
        <f>SUMIF('库存（子SKU）'!$C:$C,$A83,'库存（子SKU）'!E:E)</f>
        <v>0</v>
      </c>
      <c r="D83" s="5">
        <f>SUMIF('库存（子SKU）'!$C:$C,$A83,'库存（子SKU）'!F:F)</f>
        <v>0</v>
      </c>
      <c r="E83" s="5">
        <f>SUMIF('库存（子SKU）'!$C:$C,$A83,'库存（子SKU）'!G:G)</f>
        <v>1</v>
      </c>
      <c r="F83" s="6">
        <v>79.99</v>
      </c>
      <c r="G83">
        <f>SUMIF('库存（子SKU）'!$C:$C,$A83,'库存（子SKU）'!I:I)</f>
        <v>8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9"/>
        <v>8</v>
      </c>
      <c r="L83">
        <f>SUMIF('库存（子SKU）'!$C:$C,$A83,'库存（子SKU）'!N:N)</f>
        <v>0</v>
      </c>
      <c r="M83">
        <f>SUMIF('库存（子SKU）'!$C:$C,$A83,'库存（子SKU）'!O:O)</f>
        <v>8</v>
      </c>
      <c r="N83">
        <f>SUMIF('库存（子SKU）'!$C:$C,$A83,'库存（子SKU）'!P:P)</f>
        <v>13703</v>
      </c>
      <c r="O83">
        <f>SUMIF('库存（子SKU）'!$C:$C,$A83,'库存（子SKU）'!Q:Q)</f>
        <v>14378</v>
      </c>
      <c r="P83">
        <f>SUMIF('库存（子SKU）'!$C:$C,$A83,'库存（子SKU）'!R:R)</f>
        <v>7194</v>
      </c>
      <c r="Q83">
        <f>SUMIF('库存（子SKU）'!$C:$C,$A83,'库存（子SKU）'!S:S)</f>
        <v>7252</v>
      </c>
      <c r="R83">
        <f>SUMIF('库存（子SKU）'!$C:$C,$A83,'库存（子SKU）'!T:T)</f>
        <v>78</v>
      </c>
      <c r="S83">
        <f>SUMIF('库存（子SKU）'!$C:$C,$A83,'库存（子SKU）'!U:U)</f>
        <v>45</v>
      </c>
      <c r="T83">
        <f>SUMIF('库存（子SKU）'!$C:$C,$A83,'库存（子SKU）'!V:V)</f>
        <v>72</v>
      </c>
      <c r="U83">
        <f>SUMIF('库存（子SKU）'!$C:$C,$A83,'库存（子SKU）'!W:W)</f>
        <v>72</v>
      </c>
      <c r="V83" s="23">
        <f t="shared" si="32"/>
        <v>0.00569218419324236</v>
      </c>
      <c r="W83" s="23">
        <f t="shared" si="33"/>
        <v>0.00312978161079427</v>
      </c>
      <c r="X83" s="23">
        <f t="shared" si="34"/>
        <v>0.0100083402835696</v>
      </c>
      <c r="Y83" s="23">
        <f t="shared" si="35"/>
        <v>0.00992829564258136</v>
      </c>
      <c r="Z83">
        <f>SUMIF('库存（子SKU）'!$C:$C,$A83,'库存（子SKU）'!AB:AB)</f>
        <v>20.33</v>
      </c>
      <c r="AA83">
        <f>SUMIF('库存（子SKU）'!$C:$C,$A83,'库存（子SKU）'!AC:AC)</f>
        <v>12.06</v>
      </c>
      <c r="AB83">
        <f>SUMIF('库存（子SKU）'!$C:$C,$A83,'库存（子SKU）'!AD:AD)</f>
        <v>13.02</v>
      </c>
      <c r="AC83">
        <f>SUMIF('库存（子SKU）'!$C:$C,$A83,'库存（子SKU）'!AE:AE)</f>
        <v>13.02</v>
      </c>
      <c r="AD83" s="23">
        <f t="shared" si="20"/>
        <v>0.2541567695962</v>
      </c>
      <c r="AE83" s="23" t="str">
        <f t="shared" si="21"/>
        <v>无销量广告费为12.06</v>
      </c>
      <c r="AF83" s="23" t="str">
        <f t="shared" si="22"/>
        <v>无销量广告费为13.02</v>
      </c>
      <c r="AG83" s="23">
        <f t="shared" si="23"/>
        <v>0.162770346293287</v>
      </c>
      <c r="AH83">
        <f>SUMIF('库存（子SKU）'!$C:$C,$A83,'库存（子SKU）'!AJ:AJ)</f>
        <v>87</v>
      </c>
      <c r="AI83">
        <f>SUMIF('库存（子SKU）'!$C:$C,$A83,'库存（子SKU）'!AK:AK)</f>
        <v>70</v>
      </c>
      <c r="AJ83">
        <f>SUMIF('库存（子SKU）'!$C:$C,$A83,'库存（子SKU）'!AL:AL)</f>
        <v>76</v>
      </c>
      <c r="AK83">
        <f>SUMIF('库存（子SKU）'!$C:$C,$A83,'库存（子SKU）'!AM:AM)</f>
        <v>48</v>
      </c>
      <c r="AL83" s="23">
        <f t="shared" si="24"/>
        <v>0.0114942528735632</v>
      </c>
      <c r="AM83" s="23">
        <f t="shared" si="25"/>
        <v>0</v>
      </c>
      <c r="AN83" s="23">
        <f t="shared" si="26"/>
        <v>0</v>
      </c>
      <c r="AO83" s="23">
        <f t="shared" si="27"/>
        <v>0.0208333333333333</v>
      </c>
      <c r="AP83" s="7">
        <f t="shared" si="28"/>
        <v>0.142857142857143</v>
      </c>
      <c r="AQ83" s="7">
        <f t="shared" si="29"/>
        <v>8.57142857142857</v>
      </c>
      <c r="AR83" s="7">
        <f t="shared" si="30"/>
        <v>-0.571428571428571</v>
      </c>
      <c r="AS83">
        <f t="shared" si="31"/>
        <v>56</v>
      </c>
      <c r="AT83" s="2">
        <f>IFERROR(时间!$B$4+AS83,"上周无销量")</f>
        <v>43395</v>
      </c>
    </row>
    <row r="84" spans="1:46">
      <c r="A84" t="s">
        <v>395</v>
      </c>
      <c r="B84" s="5">
        <f>SUMIF('库存（子SKU）'!$C:$C,$A84,'库存（子SKU）'!D:D)</f>
        <v>0</v>
      </c>
      <c r="C84" s="5">
        <f>SUMIF('库存（子SKU）'!$C:$C,$A84,'库存（子SKU）'!E:E)</f>
        <v>2</v>
      </c>
      <c r="D84" s="5">
        <f>SUMIF('库存（子SKU）'!$C:$C,$A84,'库存（子SKU）'!F:F)</f>
        <v>1</v>
      </c>
      <c r="E84" s="5">
        <f>SUMIF('库存（子SKU）'!$C:$C,$A84,'库存（子SKU）'!G:G)</f>
        <v>0</v>
      </c>
      <c r="F84" s="6">
        <v>59.99</v>
      </c>
      <c r="G84">
        <f>SUMIF('库存（子SKU）'!$C:$C,$A84,'库存（子SKU）'!I:I)</f>
        <v>0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0</v>
      </c>
      <c r="L84">
        <f>SUMIF('库存（子SKU）'!$C:$C,$A84,'库存（子SKU）'!N:N)</f>
        <v>0</v>
      </c>
      <c r="M84">
        <f>SUMIF('库存（子SKU）'!$C:$C,$A84,'库存（子SKU）'!O:O)</f>
        <v>0</v>
      </c>
      <c r="N84">
        <f>SUMIF('库存（子SKU）'!$C:$C,$A84,'库存（子SKU）'!P:P)</f>
        <v>0</v>
      </c>
      <c r="O84">
        <f>SUMIF('库存（子SKU）'!$C:$C,$A84,'库存（子SKU）'!Q:Q)</f>
        <v>8830</v>
      </c>
      <c r="P84">
        <f>SUMIF('库存（子SKU）'!$C:$C,$A84,'库存（子SKU）'!R:R)</f>
        <v>6155</v>
      </c>
      <c r="Q84">
        <f>SUMIF('库存（子SKU）'!$C:$C,$A84,'库存（子SKU）'!S:S)</f>
        <v>6196</v>
      </c>
      <c r="R84">
        <f>SUMIF('库存（子SKU）'!$C:$C,$A84,'库存（子SKU）'!T:T)</f>
        <v>0</v>
      </c>
      <c r="S84">
        <f>SUMIF('库存（子SKU）'!$C:$C,$A84,'库存（子SKU）'!U:U)</f>
        <v>35</v>
      </c>
      <c r="T84">
        <f>SUMIF('库存（子SKU）'!$C:$C,$A84,'库存（子SKU）'!V:V)</f>
        <v>24</v>
      </c>
      <c r="U84">
        <f>SUMIF('库存（子SKU）'!$C:$C,$A84,'库存（子SKU）'!W:W)</f>
        <v>24</v>
      </c>
      <c r="V84" s="23" t="str">
        <f t="shared" si="32"/>
        <v/>
      </c>
      <c r="W84" s="23">
        <f t="shared" si="33"/>
        <v>0.00396375990939977</v>
      </c>
      <c r="X84" s="23">
        <f t="shared" si="34"/>
        <v>0.00389926888708367</v>
      </c>
      <c r="Y84" s="23">
        <f t="shared" si="35"/>
        <v>0.00387346675274371</v>
      </c>
      <c r="Z84">
        <f>SUMIF('库存（子SKU）'!$C:$C,$A84,'库存（子SKU）'!AB:AB)</f>
        <v>0</v>
      </c>
      <c r="AA84">
        <f>SUMIF('库存（子SKU）'!$C:$C,$A84,'库存（子SKU）'!AC:AC)</f>
        <v>9.87</v>
      </c>
      <c r="AB84">
        <f>SUMIF('库存（子SKU）'!$C:$C,$A84,'库存（子SKU）'!AD:AD)</f>
        <v>6.34</v>
      </c>
      <c r="AC84">
        <f>SUMIF('库存（子SKU）'!$C:$C,$A84,'库存（子SKU）'!AE:AE)</f>
        <v>6.34</v>
      </c>
      <c r="AD84" s="23" t="str">
        <f t="shared" si="20"/>
        <v/>
      </c>
      <c r="AE84" s="23">
        <f t="shared" si="21"/>
        <v>0.0822637106184364</v>
      </c>
      <c r="AF84" s="23">
        <f t="shared" si="22"/>
        <v>0.105684280713452</v>
      </c>
      <c r="AG84" s="23" t="str">
        <f t="shared" si="23"/>
        <v>无销量广告费为6.34</v>
      </c>
      <c r="AH84">
        <f>SUMIF('库存（子SKU）'!$C:$C,$A84,'库存（子SKU）'!AJ:AJ)</f>
        <v>0</v>
      </c>
      <c r="AI84">
        <f>SUMIF('库存（子SKU）'!$C:$C,$A84,'库存（子SKU）'!AK:AK)</f>
        <v>30</v>
      </c>
      <c r="AJ84">
        <f>SUMIF('库存（子SKU）'!$C:$C,$A84,'库存（子SKU）'!AL:AL)</f>
        <v>47</v>
      </c>
      <c r="AK84">
        <f>SUMIF('库存（子SKU）'!$C:$C,$A84,'库存（子SKU）'!AM:AM)</f>
        <v>46</v>
      </c>
      <c r="AL84" s="23" t="str">
        <f t="shared" si="24"/>
        <v/>
      </c>
      <c r="AM84" s="23">
        <f t="shared" si="25"/>
        <v>0.0666666666666667</v>
      </c>
      <c r="AN84" s="23">
        <f t="shared" si="26"/>
        <v>0.0212765957446809</v>
      </c>
      <c r="AO84" s="23">
        <f t="shared" si="27"/>
        <v>0</v>
      </c>
      <c r="AP84" s="7">
        <f t="shared" si="28"/>
        <v>0</v>
      </c>
      <c r="AQ84" s="7">
        <f t="shared" si="29"/>
        <v>0</v>
      </c>
      <c r="AR84" s="7">
        <f t="shared" si="30"/>
        <v>0</v>
      </c>
      <c r="AS84" t="str">
        <f t="shared" si="31"/>
        <v>库存为0</v>
      </c>
      <c r="AT84" s="2" t="str">
        <f>IFERROR(时间!$B$4+AS84,"上周无销量")</f>
        <v>上周无销量</v>
      </c>
    </row>
    <row r="85" spans="1:46">
      <c r="A85" t="s">
        <v>399</v>
      </c>
      <c r="B85" s="5">
        <f>SUMIF('库存（子SKU）'!$C:$C,$A85,'库存（子SKU）'!D:D)</f>
        <v>2</v>
      </c>
      <c r="C85" s="5">
        <f>SUMIF('库存（子SKU）'!$C:$C,$A85,'库存（子SKU）'!E:E)</f>
        <v>0</v>
      </c>
      <c r="D85" s="5">
        <f>SUMIF('库存（子SKU）'!$C:$C,$A85,'库存（子SKU）'!F:F)</f>
        <v>0</v>
      </c>
      <c r="E85" s="5">
        <f>SUMIF('库存（子SKU）'!$C:$C,$A85,'库存（子SKU）'!G:G)</f>
        <v>0</v>
      </c>
      <c r="F85" s="6">
        <v>118.99</v>
      </c>
      <c r="G85">
        <f>SUMIF('库存（子SKU）'!$C:$C,$A85,'库存（子SKU）'!I:I)</f>
        <v>1</v>
      </c>
      <c r="H85">
        <f>SUMIF('库存（子SKU）'!$C:$C,$A85,'库存（子SKU）'!J:J)</f>
        <v>3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4</v>
      </c>
      <c r="L85">
        <f>SUMIF('库存（子SKU）'!$C:$C,$A85,'库存（子SKU）'!N:N)</f>
        <v>0</v>
      </c>
      <c r="M85">
        <f>SUMIF('库存（子SKU）'!$C:$C,$A85,'库存（子SKU）'!O:O)</f>
        <v>0</v>
      </c>
      <c r="N85">
        <f>SUMIF('库存（子SKU）'!$C:$C,$A85,'库存（子SKU）'!P:P)</f>
        <v>3036</v>
      </c>
      <c r="O85">
        <f>SUMIF('库存（子SKU）'!$C:$C,$A85,'库存（子SKU）'!Q:Q)</f>
        <v>3181</v>
      </c>
      <c r="P85">
        <f>SUMIF('库存（子SKU）'!$C:$C,$A85,'库存（子SKU）'!R:R)</f>
        <v>1872</v>
      </c>
      <c r="Q85">
        <f>SUMIF('库存（子SKU）'!$C:$C,$A85,'库存（子SKU）'!S:S)</f>
        <v>1950</v>
      </c>
      <c r="R85">
        <f>SUMIF('库存（子SKU）'!$C:$C,$A85,'库存（子SKU）'!T:T)</f>
        <v>38</v>
      </c>
      <c r="S85">
        <f>SUMIF('库存（子SKU）'!$C:$C,$A85,'库存（子SKU）'!U:U)</f>
        <v>22</v>
      </c>
      <c r="T85">
        <f>SUMIF('库存（子SKU）'!$C:$C,$A85,'库存（子SKU）'!V:V)</f>
        <v>6</v>
      </c>
      <c r="U85">
        <f>SUMIF('库存（子SKU）'!$C:$C,$A85,'库存（子SKU）'!W:W)</f>
        <v>6</v>
      </c>
      <c r="V85" s="23">
        <f t="shared" si="32"/>
        <v>0.0125164690382082</v>
      </c>
      <c r="W85" s="23">
        <f t="shared" si="33"/>
        <v>0.00691606413077649</v>
      </c>
      <c r="X85" s="23">
        <f t="shared" si="34"/>
        <v>0.00320512820512821</v>
      </c>
      <c r="Y85" s="23">
        <f t="shared" si="35"/>
        <v>0.00307692307692308</v>
      </c>
      <c r="Z85">
        <f>SUMIF('库存（子SKU）'!$C:$C,$A85,'库存（子SKU）'!AB:AB)</f>
        <v>9.1</v>
      </c>
      <c r="AA85">
        <f>SUMIF('库存（子SKU）'!$C:$C,$A85,'库存（子SKU）'!AC:AC)</f>
        <v>4.6</v>
      </c>
      <c r="AB85">
        <f>SUMIF('库存（子SKU）'!$C:$C,$A85,'库存（子SKU）'!AD:AD)</f>
        <v>2.25</v>
      </c>
      <c r="AC85">
        <f>SUMIF('库存（子SKU）'!$C:$C,$A85,'库存（子SKU）'!AE:AE)</f>
        <v>2.25</v>
      </c>
      <c r="AD85" s="23">
        <f t="shared" si="20"/>
        <v>0.0382385074375998</v>
      </c>
      <c r="AE85" s="23" t="str">
        <f t="shared" si="21"/>
        <v>无销量广告费为4.6</v>
      </c>
      <c r="AF85" s="23" t="str">
        <f t="shared" si="22"/>
        <v>无销量广告费为2.25</v>
      </c>
      <c r="AG85" s="23" t="str">
        <f t="shared" si="23"/>
        <v>无销量广告费为2.25</v>
      </c>
      <c r="AH85">
        <f>SUMIF('库存（子SKU）'!$C:$C,$A85,'库存（子SKU）'!AJ:AJ)</f>
        <v>103</v>
      </c>
      <c r="AI85">
        <f>SUMIF('库存（子SKU）'!$C:$C,$A85,'库存（子SKU）'!AK:AK)</f>
        <v>44</v>
      </c>
      <c r="AJ85">
        <f>SUMIF('库存（子SKU）'!$C:$C,$A85,'库存（子SKU）'!AL:AL)</f>
        <v>16</v>
      </c>
      <c r="AK85">
        <f>SUMIF('库存（子SKU）'!$C:$C,$A85,'库存（子SKU）'!AM:AM)</f>
        <v>29</v>
      </c>
      <c r="AL85" s="23">
        <f t="shared" si="24"/>
        <v>0.0194174757281553</v>
      </c>
      <c r="AM85" s="23">
        <f t="shared" si="25"/>
        <v>0</v>
      </c>
      <c r="AN85" s="23">
        <f t="shared" si="26"/>
        <v>0</v>
      </c>
      <c r="AO85" s="23">
        <f t="shared" si="27"/>
        <v>0</v>
      </c>
      <c r="AP85" s="7">
        <f t="shared" si="28"/>
        <v>0.285714285714286</v>
      </c>
      <c r="AQ85" s="7">
        <f t="shared" si="29"/>
        <v>17.1428571428571</v>
      </c>
      <c r="AR85" s="7">
        <f t="shared" si="30"/>
        <v>-13.1428571428571</v>
      </c>
      <c r="AS85">
        <f t="shared" si="31"/>
        <v>14</v>
      </c>
      <c r="AT85" s="2">
        <f>IFERROR(时间!$B$4+AS85,"上周无销量")</f>
        <v>43353</v>
      </c>
    </row>
    <row r="86" spans="1:46">
      <c r="A86" t="s">
        <v>404</v>
      </c>
      <c r="B86" s="5">
        <f>SUMIF('库存（子SKU）'!$C:$C,$A86,'库存（子SKU）'!D:D)</f>
        <v>1</v>
      </c>
      <c r="C86" s="5">
        <f>SUMIF('库存（子SKU）'!$C:$C,$A86,'库存（子SKU）'!E:E)</f>
        <v>0</v>
      </c>
      <c r="D86" s="5">
        <f>SUMIF('库存（子SKU）'!$C:$C,$A86,'库存（子SKU）'!F:F)</f>
        <v>0</v>
      </c>
      <c r="E86" s="5">
        <f>SUMIF('库存（子SKU）'!$C:$C,$A86,'库存（子SKU）'!G:G)</f>
        <v>0</v>
      </c>
      <c r="F86" s="6">
        <v>99.9</v>
      </c>
      <c r="G86">
        <f>SUMIF('库存（子SKU）'!$C:$C,$A86,'库存（子SKU）'!I:I)</f>
        <v>2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2</v>
      </c>
      <c r="L86">
        <f>SUMIF('库存（子SKU）'!$C:$C,$A86,'库存（子SKU）'!N:N)</f>
        <v>0</v>
      </c>
      <c r="M86">
        <f>SUMIF('库存（子SKU）'!$C:$C,$A86,'库存（子SKU）'!O:O)</f>
        <v>0</v>
      </c>
      <c r="N86">
        <f>SUMIF('库存（子SKU）'!$C:$C,$A86,'库存（子SKU）'!P:P)</f>
        <v>1934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13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23">
        <f t="shared" si="32"/>
        <v>0.00672182006204757</v>
      </c>
      <c r="W86" s="23" t="str">
        <f t="shared" si="33"/>
        <v/>
      </c>
      <c r="X86" s="23" t="str">
        <f t="shared" si="34"/>
        <v/>
      </c>
      <c r="Y86" s="23" t="str">
        <f t="shared" si="35"/>
        <v/>
      </c>
      <c r="Z86">
        <f>SUMIF('库存（子SKU）'!$C:$C,$A86,'库存（子SKU）'!AB:AB)</f>
        <v>4.68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23">
        <f t="shared" si="20"/>
        <v>0.0468468468468468</v>
      </c>
      <c r="AE86" s="23" t="str">
        <f t="shared" si="21"/>
        <v/>
      </c>
      <c r="AF86" s="23" t="str">
        <f t="shared" si="22"/>
        <v/>
      </c>
      <c r="AG86" s="23" t="str">
        <f t="shared" si="23"/>
        <v/>
      </c>
      <c r="AH86">
        <f>SUMIF('库存（子SKU）'!$C:$C,$A86,'库存（子SKU）'!AJ:AJ)</f>
        <v>35</v>
      </c>
      <c r="AI86">
        <f>SUMIF('库存（子SKU）'!$C:$C,$A86,'库存（子SKU）'!AK:AK)</f>
        <v>4</v>
      </c>
      <c r="AJ86">
        <f>SUMIF('库存（子SKU）'!$C:$C,$A86,'库存（子SKU）'!AL:AL)</f>
        <v>1</v>
      </c>
      <c r="AK86">
        <f>SUMIF('库存（子SKU）'!$C:$C,$A86,'库存（子SKU）'!AM:AM)</f>
        <v>2</v>
      </c>
      <c r="AL86" s="23">
        <f t="shared" si="24"/>
        <v>0.0285714285714286</v>
      </c>
      <c r="AM86" s="23">
        <f t="shared" si="25"/>
        <v>0</v>
      </c>
      <c r="AN86" s="23">
        <f t="shared" si="26"/>
        <v>0</v>
      </c>
      <c r="AO86" s="23">
        <f t="shared" si="27"/>
        <v>0</v>
      </c>
      <c r="AP86" s="7">
        <f t="shared" si="28"/>
        <v>0.142857142857143</v>
      </c>
      <c r="AQ86" s="7">
        <f t="shared" si="29"/>
        <v>8.57142857142857</v>
      </c>
      <c r="AR86" s="7">
        <f t="shared" si="30"/>
        <v>-6.57142857142857</v>
      </c>
      <c r="AS86">
        <f t="shared" si="31"/>
        <v>14</v>
      </c>
      <c r="AT86" s="2">
        <f>IFERROR(时间!$B$4+AS86,"上周无销量")</f>
        <v>43353</v>
      </c>
    </row>
    <row r="87" spans="1:46">
      <c r="A87" t="s">
        <v>407</v>
      </c>
      <c r="B87" s="5">
        <f>SUMIF('库存（子SKU）'!$C:$C,$A87,'库存（子SKU）'!D:D)</f>
        <v>1</v>
      </c>
      <c r="C87" s="5">
        <f>SUMIF('库存（子SKU）'!$C:$C,$A87,'库存（子SKU）'!E:E)</f>
        <v>1</v>
      </c>
      <c r="D87" s="5">
        <f>SUMIF('库存（子SKU）'!$C:$C,$A87,'库存（子SKU）'!F:F)</f>
        <v>1</v>
      </c>
      <c r="E87" s="5">
        <f>SUMIF('库存（子SKU）'!$C:$C,$A87,'库存（子SKU）'!G:G)</f>
        <v>0</v>
      </c>
      <c r="F87" s="6">
        <v>89.99</v>
      </c>
      <c r="G87">
        <f>SUMIF('库存（子SKU）'!$C:$C,$A87,'库存（子SKU）'!I:I)</f>
        <v>5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9"/>
        <v>5</v>
      </c>
      <c r="L87">
        <f>SUMIF('库存（子SKU）'!$C:$C,$A87,'库存（子SKU）'!N:N)</f>
        <v>0</v>
      </c>
      <c r="M87">
        <f>SUMIF('库存（子SKU）'!$C:$C,$A87,'库存（子SKU）'!O:O)</f>
        <v>6</v>
      </c>
      <c r="N87">
        <f>SUMIF('库存（子SKU）'!$C:$C,$A87,'库存（子SKU）'!P:P)</f>
        <v>10369</v>
      </c>
      <c r="O87">
        <f>SUMIF('库存（子SKU）'!$C:$C,$A87,'库存（子SKU）'!Q:Q)</f>
        <v>14188</v>
      </c>
      <c r="P87">
        <f>SUMIF('库存（子SKU）'!$C:$C,$A87,'库存（子SKU）'!R:R)</f>
        <v>99282</v>
      </c>
      <c r="Q87">
        <f>SUMIF('库存（子SKU）'!$C:$C,$A87,'库存（子SKU）'!S:S)</f>
        <v>99448</v>
      </c>
      <c r="R87">
        <f>SUMIF('库存（子SKU）'!$C:$C,$A87,'库存（子SKU）'!T:T)</f>
        <v>123</v>
      </c>
      <c r="S87">
        <f>SUMIF('库存（子SKU）'!$C:$C,$A87,'库存（子SKU）'!U:U)</f>
        <v>114</v>
      </c>
      <c r="T87">
        <f>SUMIF('库存（子SKU）'!$C:$C,$A87,'库存（子SKU）'!V:V)</f>
        <v>496</v>
      </c>
      <c r="U87">
        <f>SUMIF('库存（子SKU）'!$C:$C,$A87,'库存（子SKU）'!W:W)</f>
        <v>497</v>
      </c>
      <c r="V87" s="23">
        <f t="shared" si="32"/>
        <v>0.0118622818015238</v>
      </c>
      <c r="W87" s="23">
        <f t="shared" si="33"/>
        <v>0.00803495912038342</v>
      </c>
      <c r="X87" s="23">
        <f t="shared" si="34"/>
        <v>0.00499587034910659</v>
      </c>
      <c r="Y87" s="23">
        <f t="shared" si="35"/>
        <v>0.00499758667846513</v>
      </c>
      <c r="Z87">
        <f>SUMIF('库存（子SKU）'!$C:$C,$A87,'库存（子SKU）'!AB:AB)</f>
        <v>23.45</v>
      </c>
      <c r="AA87">
        <f>SUMIF('库存（子SKU）'!$C:$C,$A87,'库存（子SKU）'!AC:AC)</f>
        <v>19.8</v>
      </c>
      <c r="AB87">
        <f>SUMIF('库存（子SKU）'!$C:$C,$A87,'库存（子SKU）'!AD:AD)</f>
        <v>152.33</v>
      </c>
      <c r="AC87">
        <f>SUMIF('库存（子SKU）'!$C:$C,$A87,'库存（子SKU）'!AE:AE)</f>
        <v>152.51</v>
      </c>
      <c r="AD87" s="23">
        <f t="shared" si="20"/>
        <v>0.260584509389932</v>
      </c>
      <c r="AE87" s="23">
        <f t="shared" si="21"/>
        <v>0.220024447160796</v>
      </c>
      <c r="AF87" s="23">
        <f t="shared" si="22"/>
        <v>1.69274363818202</v>
      </c>
      <c r="AG87" s="23" t="str">
        <f t="shared" si="23"/>
        <v>无销量广告费为152.51</v>
      </c>
      <c r="AH87">
        <f>SUMIF('库存（子SKU）'!$C:$C,$A87,'库存（子SKU）'!AJ:AJ)</f>
        <v>168</v>
      </c>
      <c r="AI87">
        <f>SUMIF('库存（子SKU）'!$C:$C,$A87,'库存（子SKU）'!AK:AK)</f>
        <v>185</v>
      </c>
      <c r="AJ87">
        <f>SUMIF('库存（子SKU）'!$C:$C,$A87,'库存（子SKU）'!AL:AL)</f>
        <v>73</v>
      </c>
      <c r="AK87">
        <f>SUMIF('库存（子SKU）'!$C:$C,$A87,'库存（子SKU）'!AM:AM)</f>
        <v>74</v>
      </c>
      <c r="AL87" s="23">
        <f t="shared" si="24"/>
        <v>0.00595238095238095</v>
      </c>
      <c r="AM87" s="23">
        <f t="shared" si="25"/>
        <v>0.00540540540540541</v>
      </c>
      <c r="AN87" s="23">
        <f t="shared" si="26"/>
        <v>0.0136986301369863</v>
      </c>
      <c r="AO87" s="23">
        <f t="shared" si="27"/>
        <v>0</v>
      </c>
      <c r="AP87" s="7">
        <f t="shared" si="28"/>
        <v>0.142857142857143</v>
      </c>
      <c r="AQ87" s="7">
        <f t="shared" si="29"/>
        <v>8.57142857142857</v>
      </c>
      <c r="AR87" s="7">
        <f t="shared" si="30"/>
        <v>-3.57142857142857</v>
      </c>
      <c r="AS87">
        <f t="shared" si="31"/>
        <v>35</v>
      </c>
      <c r="AT87" s="2">
        <f>IFERROR(时间!$B$4+AS87,"上周无销量")</f>
        <v>43374</v>
      </c>
    </row>
    <row r="88" spans="1:46">
      <c r="A88" t="s">
        <v>411</v>
      </c>
      <c r="B88" s="5">
        <f>SUMIF('库存（子SKU）'!$C:$C,$A88,'库存（子SKU）'!D:D)</f>
        <v>0</v>
      </c>
      <c r="C88" s="5">
        <f>SUMIF('库存（子SKU）'!$C:$C,$A88,'库存（子SKU）'!E:E)</f>
        <v>0</v>
      </c>
      <c r="D88" s="5">
        <f>SUMIF('库存（子SKU）'!$C:$C,$A88,'库存（子SKU）'!F:F)</f>
        <v>0</v>
      </c>
      <c r="E88" s="5">
        <f>SUMIF('库存（子SKU）'!$C:$C,$A88,'库存（子SKU）'!G:G)</f>
        <v>0</v>
      </c>
      <c r="F88" s="6" t="s">
        <v>54</v>
      </c>
      <c r="G88">
        <f>SUMIF('库存（子SKU）'!$C:$C,$A88,'库存（子SKU）'!I:I)</f>
        <v>20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20</v>
      </c>
      <c r="L88">
        <f>SUMIF('库存（子SKU）'!$C:$C,$A88,'库存（子SKU）'!N:N)</f>
        <v>0</v>
      </c>
      <c r="M88">
        <f>SUMIF('库存（子SKU）'!$C:$C,$A88,'库存（子SKU）'!O:O)</f>
        <v>20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23" t="str">
        <f t="shared" si="32"/>
        <v/>
      </c>
      <c r="W88" s="23" t="str">
        <f t="shared" si="33"/>
        <v/>
      </c>
      <c r="X88" s="23" t="str">
        <f t="shared" si="34"/>
        <v/>
      </c>
      <c r="Y88" s="23" t="str">
        <f t="shared" si="35"/>
        <v/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23" t="str">
        <f t="shared" si="20"/>
        <v/>
      </c>
      <c r="AE88" s="23" t="str">
        <f t="shared" si="21"/>
        <v/>
      </c>
      <c r="AF88" s="23" t="str">
        <f t="shared" si="22"/>
        <v/>
      </c>
      <c r="AG88" s="23" t="str">
        <f t="shared" si="23"/>
        <v/>
      </c>
      <c r="AH88">
        <f>SUMIF('库存（子SKU）'!$C:$C,$A88,'库存（子SKU）'!AJ:AJ)</f>
        <v>24</v>
      </c>
      <c r="AI88">
        <f>SUMIF('库存（子SKU）'!$C:$C,$A88,'库存（子SKU）'!AK:AK)</f>
        <v>52</v>
      </c>
      <c r="AJ88">
        <f>SUMIF('库存（子SKU）'!$C:$C,$A88,'库存（子SKU）'!AL:AL)</f>
        <v>46</v>
      </c>
      <c r="AK88">
        <f>SUMIF('库存（子SKU）'!$C:$C,$A88,'库存（子SKU）'!AM:AM)</f>
        <v>27</v>
      </c>
      <c r="AL88" s="23">
        <f t="shared" si="24"/>
        <v>0</v>
      </c>
      <c r="AM88" s="23">
        <f t="shared" si="25"/>
        <v>0</v>
      </c>
      <c r="AN88" s="23">
        <f t="shared" si="26"/>
        <v>0</v>
      </c>
      <c r="AO88" s="23">
        <f t="shared" si="27"/>
        <v>0</v>
      </c>
      <c r="AP88" s="7">
        <f t="shared" si="28"/>
        <v>0</v>
      </c>
      <c r="AQ88" s="7">
        <f t="shared" si="29"/>
        <v>0</v>
      </c>
      <c r="AR88" s="7">
        <f t="shared" si="30"/>
        <v>20</v>
      </c>
      <c r="AS88" t="str">
        <f t="shared" si="31"/>
        <v>库存为20</v>
      </c>
      <c r="AT88" s="2" t="str">
        <f>IFERROR(时间!$B$4+AS88,"上周无销量")</f>
        <v>上周无销量</v>
      </c>
    </row>
    <row r="89" spans="1:46">
      <c r="A89" t="s">
        <v>414</v>
      </c>
      <c r="B89" s="5">
        <f>SUMIF('库存（子SKU）'!$C:$C,$A89,'库存（子SKU）'!D:D)</f>
        <v>0</v>
      </c>
      <c r="C89" s="5">
        <f>SUMIF('库存（子SKU）'!$C:$C,$A89,'库存（子SKU）'!E:E)</f>
        <v>1</v>
      </c>
      <c r="D89" s="5">
        <f>SUMIF('库存（子SKU）'!$C:$C,$A89,'库存（子SKU）'!F:F)</f>
        <v>3</v>
      </c>
      <c r="E89" s="5">
        <f>SUMIF('库存（子SKU）'!$C:$C,$A89,'库存（子SKU）'!G:G)</f>
        <v>1</v>
      </c>
      <c r="F89" s="6">
        <v>59.99</v>
      </c>
      <c r="G89">
        <f>SUMIF('库存（子SKU）'!$C:$C,$A89,'库存（子SKU）'!I:I)</f>
        <v>0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9"/>
        <v>0</v>
      </c>
      <c r="L89">
        <f>SUMIF('库存（子SKU）'!$C:$C,$A89,'库存（子SKU）'!N:N)</f>
        <v>0</v>
      </c>
      <c r="M89">
        <f>SUMIF('库存（子SKU）'!$C:$C,$A89,'库存（子SKU）'!O:O)</f>
        <v>0</v>
      </c>
      <c r="N89">
        <f>SUMIF('库存（子SKU）'!$C:$C,$A89,'库存（子SKU）'!P:P)</f>
        <v>0</v>
      </c>
      <c r="O89">
        <f>SUMIF('库存（子SKU）'!$C:$C,$A89,'库存（子SKU）'!Q:Q)</f>
        <v>79</v>
      </c>
      <c r="P89">
        <f>SUMIF('库存（子SKU）'!$C:$C,$A89,'库存（子SKU）'!R:R)</f>
        <v>8521</v>
      </c>
      <c r="Q89">
        <f>SUMIF('库存（子SKU）'!$C:$C,$A89,'库存（子SKU）'!S:S)</f>
        <v>8522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101</v>
      </c>
      <c r="U89">
        <f>SUMIF('库存（子SKU）'!$C:$C,$A89,'库存（子SKU）'!W:W)</f>
        <v>101</v>
      </c>
      <c r="V89" s="23" t="str">
        <f t="shared" si="32"/>
        <v/>
      </c>
      <c r="W89" s="23">
        <f t="shared" si="33"/>
        <v>0</v>
      </c>
      <c r="X89" s="23">
        <f t="shared" si="34"/>
        <v>0.0118530688886281</v>
      </c>
      <c r="Y89" s="23">
        <f t="shared" si="35"/>
        <v>0.0118516780098568</v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19.01</v>
      </c>
      <c r="AC89">
        <f>SUMIF('库存（子SKU）'!$C:$C,$A89,'库存（子SKU）'!AE:AE)</f>
        <v>19.01</v>
      </c>
      <c r="AD89" s="23" t="str">
        <f t="shared" si="20"/>
        <v/>
      </c>
      <c r="AE89" s="23">
        <f t="shared" si="21"/>
        <v>0</v>
      </c>
      <c r="AF89" s="23">
        <f t="shared" si="22"/>
        <v>0.105628715897094</v>
      </c>
      <c r="AG89" s="23">
        <f t="shared" si="23"/>
        <v>0.316886147691282</v>
      </c>
      <c r="AH89">
        <f>SUMIF('库存（子SKU）'!$C:$C,$A89,'库存（子SKU）'!AJ:AJ)</f>
        <v>0</v>
      </c>
      <c r="AI89">
        <f>SUMIF('库存（子SKU）'!$C:$C,$A89,'库存（子SKU）'!AK:AK)</f>
        <v>32</v>
      </c>
      <c r="AJ89">
        <f>SUMIF('库存（子SKU）'!$C:$C,$A89,'库存（子SKU）'!AL:AL)</f>
        <v>92</v>
      </c>
      <c r="AK89">
        <f>SUMIF('库存（子SKU）'!$C:$C,$A89,'库存（子SKU）'!AM:AM)</f>
        <v>51</v>
      </c>
      <c r="AL89" s="23" t="str">
        <f t="shared" si="24"/>
        <v/>
      </c>
      <c r="AM89" s="23">
        <f t="shared" si="25"/>
        <v>0.03125</v>
      </c>
      <c r="AN89" s="23">
        <f t="shared" si="26"/>
        <v>0.0326086956521739</v>
      </c>
      <c r="AO89" s="23">
        <f t="shared" si="27"/>
        <v>0.0196078431372549</v>
      </c>
      <c r="AP89" s="7">
        <f t="shared" si="28"/>
        <v>0</v>
      </c>
      <c r="AQ89" s="7">
        <f t="shared" si="29"/>
        <v>0</v>
      </c>
      <c r="AR89" s="7">
        <f t="shared" si="30"/>
        <v>0</v>
      </c>
      <c r="AS89" t="str">
        <f t="shared" si="31"/>
        <v>库存为0</v>
      </c>
      <c r="AT89" s="2" t="str">
        <f>IFERROR(时间!$B$4+AS89,"上周无销量")</f>
        <v>上周无销量</v>
      </c>
    </row>
    <row r="90" spans="1:46">
      <c r="A90" t="s">
        <v>417</v>
      </c>
      <c r="B90" s="5">
        <f>SUMIF('库存（子SKU）'!$C:$C,$A90,'库存（子SKU）'!D:D)</f>
        <v>0</v>
      </c>
      <c r="C90" s="5">
        <f>SUMIF('库存（子SKU）'!$C:$C,$A90,'库存（子SKU）'!E:E)</f>
        <v>0</v>
      </c>
      <c r="D90" s="5">
        <f>SUMIF('库存（子SKU）'!$C:$C,$A90,'库存（子SKU）'!F:F)</f>
        <v>0</v>
      </c>
      <c r="E90" s="5">
        <f>SUMIF('库存（子SKU）'!$C:$C,$A90,'库存（子SKU）'!G:G)</f>
        <v>0</v>
      </c>
      <c r="F90" s="6" t="s">
        <v>54</v>
      </c>
      <c r="G90">
        <f>SUMIF('库存（子SKU）'!$C:$C,$A90,'库存（子SKU）'!I:I)</f>
        <v>6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6</v>
      </c>
      <c r="L90">
        <f>SUMIF('库存（子SKU）'!$C:$C,$A90,'库存（子SKU）'!N:N)</f>
        <v>0</v>
      </c>
      <c r="M90">
        <f>SUMIF('库存（子SKU）'!$C:$C,$A90,'库存（子SKU）'!O:O)</f>
        <v>0</v>
      </c>
      <c r="N90">
        <f>SUMIF('库存（子SKU）'!$C:$C,$A90,'库存（子SKU）'!P:P)</f>
        <v>36874</v>
      </c>
      <c r="O90">
        <f>SUMIF('库存（子SKU）'!$C:$C,$A90,'库存（子SKU）'!Q:Q)</f>
        <v>0</v>
      </c>
      <c r="P90">
        <f>SUMIF('库存（子SKU）'!$C:$C,$A90,'库存（子SKU）'!R:R)</f>
        <v>15876</v>
      </c>
      <c r="Q90">
        <f>SUMIF('库存（子SKU）'!$C:$C,$A90,'库存（子SKU）'!S:S)</f>
        <v>15876</v>
      </c>
      <c r="R90">
        <f>SUMIF('库存（子SKU）'!$C:$C,$A90,'库存（子SKU）'!T:T)</f>
        <v>183</v>
      </c>
      <c r="S90">
        <f>SUMIF('库存（子SKU）'!$C:$C,$A90,'库存（子SKU）'!U:U)</f>
        <v>0</v>
      </c>
      <c r="T90">
        <f>SUMIF('库存（子SKU）'!$C:$C,$A90,'库存（子SKU）'!V:V)</f>
        <v>99</v>
      </c>
      <c r="U90">
        <f>SUMIF('库存（子SKU）'!$C:$C,$A90,'库存（子SKU）'!W:W)</f>
        <v>99</v>
      </c>
      <c r="V90" s="23">
        <f t="shared" si="32"/>
        <v>0.00496284645007322</v>
      </c>
      <c r="W90" s="23" t="str">
        <f t="shared" si="33"/>
        <v/>
      </c>
      <c r="X90" s="23">
        <f t="shared" si="34"/>
        <v>0.00623582766439909</v>
      </c>
      <c r="Y90" s="23">
        <f t="shared" si="35"/>
        <v>0.00623582766439909</v>
      </c>
      <c r="Z90">
        <f>SUMIF('库存（子SKU）'!$C:$C,$A90,'库存（子SKU）'!AB:AB)</f>
        <v>49.6</v>
      </c>
      <c r="AA90">
        <f>SUMIF('库存（子SKU）'!$C:$C,$A90,'库存（子SKU）'!AC:AC)</f>
        <v>0</v>
      </c>
      <c r="AB90">
        <f>SUMIF('库存（子SKU）'!$C:$C,$A90,'库存（子SKU）'!AD:AD)</f>
        <v>13.3</v>
      </c>
      <c r="AC90">
        <f>SUMIF('库存（子SKU）'!$C:$C,$A90,'库存（子SKU）'!AE:AE)</f>
        <v>13.3</v>
      </c>
      <c r="AD90" s="23" t="str">
        <f t="shared" si="20"/>
        <v>无销量广告费为49.6</v>
      </c>
      <c r="AE90" s="23" t="str">
        <f t="shared" si="21"/>
        <v/>
      </c>
      <c r="AF90" s="23" t="str">
        <f t="shared" si="22"/>
        <v>无销量广告费为13.3</v>
      </c>
      <c r="AG90" s="23" t="str">
        <f t="shared" si="23"/>
        <v>无销量广告费为13.3</v>
      </c>
      <c r="AH90">
        <f>SUMIF('库存（子SKU）'!$C:$C,$A90,'库存（子SKU）'!AJ:AJ)</f>
        <v>232</v>
      </c>
      <c r="AI90">
        <f>SUMIF('库存（子SKU）'!$C:$C,$A90,'库存（子SKU）'!AK:AK)</f>
        <v>19</v>
      </c>
      <c r="AJ90">
        <f>SUMIF('库存（子SKU）'!$C:$C,$A90,'库存（子SKU）'!AL:AL)</f>
        <v>23</v>
      </c>
      <c r="AK90">
        <f>SUMIF('库存（子SKU）'!$C:$C,$A90,'库存（子SKU）'!AM:AM)</f>
        <v>16</v>
      </c>
      <c r="AL90" s="23">
        <f t="shared" si="24"/>
        <v>0</v>
      </c>
      <c r="AM90" s="23">
        <f t="shared" si="25"/>
        <v>0</v>
      </c>
      <c r="AN90" s="23">
        <f t="shared" si="26"/>
        <v>0</v>
      </c>
      <c r="AO90" s="23">
        <f t="shared" si="27"/>
        <v>0</v>
      </c>
      <c r="AP90" s="7">
        <f t="shared" si="28"/>
        <v>0</v>
      </c>
      <c r="AQ90" s="7">
        <f t="shared" si="29"/>
        <v>0</v>
      </c>
      <c r="AR90" s="7">
        <f t="shared" si="30"/>
        <v>6</v>
      </c>
      <c r="AS90" t="str">
        <f t="shared" si="31"/>
        <v>库存为6</v>
      </c>
      <c r="AT90" s="2" t="str">
        <f>IFERROR(时间!$B$4+AS90,"上周无销量")</f>
        <v>上周无销量</v>
      </c>
    </row>
    <row r="91" spans="1:46">
      <c r="A91" t="s">
        <v>422</v>
      </c>
      <c r="B91" s="5">
        <f>SUMIF('库存（子SKU）'!$C:$C,$A91,'库存（子SKU）'!D:D)</f>
        <v>0</v>
      </c>
      <c r="C91" s="5">
        <f>SUMIF('库存（子SKU）'!$C:$C,$A91,'库存（子SKU）'!E:E)</f>
        <v>0</v>
      </c>
      <c r="D91" s="5">
        <f>SUMIF('库存（子SKU）'!$C:$C,$A91,'库存（子SKU）'!F:F)</f>
        <v>0</v>
      </c>
      <c r="E91" s="5">
        <f>SUMIF('库存（子SKU）'!$C:$C,$A91,'库存（子SKU）'!G:G)</f>
        <v>2</v>
      </c>
      <c r="F91" s="6">
        <v>87.99</v>
      </c>
      <c r="G91">
        <f>SUMIF('库存（子SKU）'!$C:$C,$A91,'库存（子SKU）'!I:I)</f>
        <v>4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4</v>
      </c>
      <c r="L91">
        <f>SUMIF('库存（子SKU）'!$C:$C,$A91,'库存（子SKU）'!N:N)</f>
        <v>0</v>
      </c>
      <c r="M91">
        <f>SUMIF('库存（子SKU）'!$C:$C,$A91,'库存（子SKU）'!O:O)</f>
        <v>4</v>
      </c>
      <c r="N91">
        <f>SUMIF('库存（子SKU）'!$C:$C,$A91,'库存（子SKU）'!P:P)</f>
        <v>20711</v>
      </c>
      <c r="O91">
        <f>SUMIF('库存（子SKU）'!$C:$C,$A91,'库存（子SKU）'!Q:Q)</f>
        <v>26273</v>
      </c>
      <c r="P91">
        <f>SUMIF('库存（子SKU）'!$C:$C,$A91,'库存（子SKU）'!R:R)</f>
        <v>201368</v>
      </c>
      <c r="Q91">
        <f>SUMIF('库存（子SKU）'!$C:$C,$A91,'库存（子SKU）'!S:S)</f>
        <v>202640</v>
      </c>
      <c r="R91">
        <f>SUMIF('库存（子SKU）'!$C:$C,$A91,'库存（子SKU）'!T:T)</f>
        <v>222</v>
      </c>
      <c r="S91">
        <f>SUMIF('库存（子SKU）'!$C:$C,$A91,'库存（子SKU）'!U:U)</f>
        <v>263</v>
      </c>
      <c r="T91">
        <f>SUMIF('库存（子SKU）'!$C:$C,$A91,'库存（子SKU）'!V:V)</f>
        <v>1112</v>
      </c>
      <c r="U91">
        <f>SUMIF('库存（子SKU）'!$C:$C,$A91,'库存（子SKU）'!W:W)</f>
        <v>1117</v>
      </c>
      <c r="V91" s="23">
        <f t="shared" si="32"/>
        <v>0.0107189416252233</v>
      </c>
      <c r="W91" s="23">
        <f t="shared" si="33"/>
        <v>0.0100102767099303</v>
      </c>
      <c r="X91" s="23">
        <f t="shared" si="34"/>
        <v>0.00552222796074848</v>
      </c>
      <c r="Y91" s="23">
        <f t="shared" si="35"/>
        <v>0.00551223845242795</v>
      </c>
      <c r="Z91">
        <f>SUMIF('库存（子SKU）'!$C:$C,$A91,'库存（子SKU）'!AB:AB)</f>
        <v>40.37</v>
      </c>
      <c r="AA91">
        <f>SUMIF('库存（子SKU）'!$C:$C,$A91,'库存（子SKU）'!AC:AC)</f>
        <v>53.61</v>
      </c>
      <c r="AB91">
        <f>SUMIF('库存（子SKU）'!$C:$C,$A91,'库存（子SKU）'!AD:AD)</f>
        <v>339.63</v>
      </c>
      <c r="AC91">
        <f>SUMIF('库存（子SKU）'!$C:$C,$A91,'库存（子SKU）'!AE:AE)</f>
        <v>340.83</v>
      </c>
      <c r="AD91" s="23" t="str">
        <f t="shared" si="20"/>
        <v>无销量广告费为40.37</v>
      </c>
      <c r="AE91" s="23" t="str">
        <f t="shared" si="21"/>
        <v>无销量广告费为53.61</v>
      </c>
      <c r="AF91" s="23" t="str">
        <f t="shared" si="22"/>
        <v>无销量广告费为339.63</v>
      </c>
      <c r="AG91" s="23">
        <f t="shared" si="23"/>
        <v>1.93675417661098</v>
      </c>
      <c r="AH91">
        <f>SUMIF('库存（子SKU）'!$C:$C,$A91,'库存（子SKU）'!AJ:AJ)</f>
        <v>308</v>
      </c>
      <c r="AI91">
        <f>SUMIF('库存（子SKU）'!$C:$C,$A91,'库存（子SKU）'!AK:AK)</f>
        <v>245</v>
      </c>
      <c r="AJ91">
        <f>SUMIF('库存（子SKU）'!$C:$C,$A91,'库存（子SKU）'!AL:AL)</f>
        <v>280</v>
      </c>
      <c r="AK91">
        <f>SUMIF('库存（子SKU）'!$C:$C,$A91,'库存（子SKU）'!AM:AM)</f>
        <v>493</v>
      </c>
      <c r="AL91" s="23">
        <f t="shared" si="24"/>
        <v>0</v>
      </c>
      <c r="AM91" s="23">
        <f t="shared" si="25"/>
        <v>0</v>
      </c>
      <c r="AN91" s="23">
        <f t="shared" si="26"/>
        <v>0</v>
      </c>
      <c r="AO91" s="23">
        <f t="shared" si="27"/>
        <v>0.00405679513184584</v>
      </c>
      <c r="AP91" s="7">
        <f t="shared" si="28"/>
        <v>0</v>
      </c>
      <c r="AQ91" s="7">
        <f t="shared" si="29"/>
        <v>0</v>
      </c>
      <c r="AR91" s="7">
        <f t="shared" si="30"/>
        <v>4</v>
      </c>
      <c r="AS91" t="str">
        <f t="shared" si="31"/>
        <v>库存为4</v>
      </c>
      <c r="AT91" s="2" t="str">
        <f>IFERROR(时间!$B$4+AS91,"上周无销量")</f>
        <v>上周无销量</v>
      </c>
    </row>
    <row r="92" spans="1:46">
      <c r="A92" t="s">
        <v>427</v>
      </c>
      <c r="B92" s="5">
        <f>SUMIF('库存（子SKU）'!$C:$C,$A92,'库存（子SKU）'!D:D)</f>
        <v>1</v>
      </c>
      <c r="C92" s="5">
        <f>SUMIF('库存（子SKU）'!$C:$C,$A92,'库存（子SKU）'!E:E)</f>
        <v>9</v>
      </c>
      <c r="D92" s="5">
        <f>SUMIF('库存（子SKU）'!$C:$C,$A92,'库存（子SKU）'!F:F)</f>
        <v>5</v>
      </c>
      <c r="E92" s="5">
        <f>SUMIF('库存（子SKU）'!$C:$C,$A92,'库存（子SKU）'!G:G)</f>
        <v>3</v>
      </c>
      <c r="F92" s="6">
        <v>86.2677777777778</v>
      </c>
      <c r="G92">
        <f>SUMIF('库存（子SKU）'!$C:$C,$A92,'库存（子SKU）'!I:I)</f>
        <v>3</v>
      </c>
      <c r="H92">
        <f>SUMIF('库存（子SKU）'!$C:$C,$A92,'库存（子SKU）'!J:J)</f>
        <v>8</v>
      </c>
      <c r="I92">
        <f>SUMIF('库存（子SKU）'!$C:$C,$A92,'库存（子SKU）'!K:K)</f>
        <v>0</v>
      </c>
      <c r="J92">
        <f>SUMIF('库存（子SKU）'!$C:$C,$A92,'库存（子SKU）'!L:L)</f>
        <v>5</v>
      </c>
      <c r="K92">
        <f t="shared" si="19"/>
        <v>16</v>
      </c>
      <c r="L92">
        <f>SUMIF('库存（子SKU）'!$C:$C,$A92,'库存（子SKU）'!N:N)</f>
        <v>0</v>
      </c>
      <c r="M92">
        <f>SUMIF('库存（子SKU）'!$C:$C,$A92,'库存（子SKU）'!O:O)</f>
        <v>0</v>
      </c>
      <c r="N92">
        <f>SUMIF('库存（子SKU）'!$C:$C,$A92,'库存（子SKU）'!P:P)</f>
        <v>146701</v>
      </c>
      <c r="O92">
        <f>SUMIF('库存（子SKU）'!$C:$C,$A92,'库存（子SKU）'!Q:Q)</f>
        <v>100945</v>
      </c>
      <c r="P92">
        <f>SUMIF('库存（子SKU）'!$C:$C,$A92,'库存（子SKU）'!R:R)</f>
        <v>400509</v>
      </c>
      <c r="Q92">
        <f>SUMIF('库存（子SKU）'!$C:$C,$A92,'库存（子SKU）'!S:S)</f>
        <v>401100</v>
      </c>
      <c r="R92">
        <f>SUMIF('库存（子SKU）'!$C:$C,$A92,'库存（子SKU）'!T:T)</f>
        <v>916</v>
      </c>
      <c r="S92">
        <f>SUMIF('库存（子SKU）'!$C:$C,$A92,'库存（子SKU）'!U:U)</f>
        <v>694</v>
      </c>
      <c r="T92">
        <f>SUMIF('库存（子SKU）'!$C:$C,$A92,'库存（子SKU）'!V:V)</f>
        <v>1987</v>
      </c>
      <c r="U92">
        <f>SUMIF('库存（子SKU）'!$C:$C,$A92,'库存（子SKU）'!W:W)</f>
        <v>1991</v>
      </c>
      <c r="V92" s="23">
        <f t="shared" si="32"/>
        <v>0.00624399288348409</v>
      </c>
      <c r="W92" s="23">
        <f t="shared" si="33"/>
        <v>0.00687503095745208</v>
      </c>
      <c r="X92" s="23">
        <f t="shared" si="34"/>
        <v>0.00496118688968288</v>
      </c>
      <c r="Y92" s="23">
        <f t="shared" si="35"/>
        <v>0.00496384941411119</v>
      </c>
      <c r="Z92">
        <f>SUMIF('库存（子SKU）'!$C:$C,$A92,'库存（子SKU）'!AB:AB)</f>
        <v>127.15</v>
      </c>
      <c r="AA92">
        <f>SUMIF('库存（子SKU）'!$C:$C,$A92,'库存（子SKU）'!AC:AC)</f>
        <v>95.02</v>
      </c>
      <c r="AB92">
        <f>SUMIF('库存（子SKU）'!$C:$C,$A92,'库存（子SKU）'!AD:AD)</f>
        <v>309.41</v>
      </c>
      <c r="AC92">
        <f>SUMIF('库存（子SKU）'!$C:$C,$A92,'库存（子SKU）'!AE:AE)</f>
        <v>309.96</v>
      </c>
      <c r="AD92" s="23">
        <f t="shared" si="20"/>
        <v>1.47389909970248</v>
      </c>
      <c r="AE92" s="23">
        <f t="shared" si="21"/>
        <v>0.122383792068624</v>
      </c>
      <c r="AF92" s="23">
        <f t="shared" si="22"/>
        <v>0.71732460942028</v>
      </c>
      <c r="AG92" s="23">
        <f t="shared" si="23"/>
        <v>1.1976661815278</v>
      </c>
      <c r="AH92">
        <f>SUMIF('库存（子SKU）'!$C:$C,$A92,'库存（子SKU）'!AJ:AJ)</f>
        <v>896</v>
      </c>
      <c r="AI92">
        <f>SUMIF('库存（子SKU）'!$C:$C,$A92,'库存（子SKU）'!AK:AK)</f>
        <v>812</v>
      </c>
      <c r="AJ92">
        <f>SUMIF('库存（子SKU）'!$C:$C,$A92,'库存（子SKU）'!AL:AL)</f>
        <v>1105</v>
      </c>
      <c r="AK92">
        <f>SUMIF('库存（子SKU）'!$C:$C,$A92,'库存（子SKU）'!AM:AM)</f>
        <v>563</v>
      </c>
      <c r="AL92" s="23">
        <f t="shared" si="24"/>
        <v>0.00111607142857143</v>
      </c>
      <c r="AM92" s="23">
        <f t="shared" si="25"/>
        <v>0.0110837438423645</v>
      </c>
      <c r="AN92" s="23">
        <f t="shared" si="26"/>
        <v>0.00452488687782805</v>
      </c>
      <c r="AO92" s="23">
        <f t="shared" si="27"/>
        <v>0.00532859680284192</v>
      </c>
      <c r="AP92" s="7">
        <f t="shared" si="28"/>
        <v>0.142857142857143</v>
      </c>
      <c r="AQ92" s="7">
        <f t="shared" si="29"/>
        <v>8.57142857142857</v>
      </c>
      <c r="AR92" s="7">
        <f t="shared" si="30"/>
        <v>7.42857142857143</v>
      </c>
      <c r="AS92">
        <f t="shared" si="31"/>
        <v>112</v>
      </c>
      <c r="AT92" s="2">
        <f>IFERROR(时间!$B$4+AS92,"上周无销量")</f>
        <v>43451</v>
      </c>
    </row>
    <row r="93" spans="1:46">
      <c r="A93" t="s">
        <v>432</v>
      </c>
      <c r="B93" s="5">
        <f>SUMIF('库存（子SKU）'!$C:$C,$A93,'库存（子SKU）'!D:D)</f>
        <v>0</v>
      </c>
      <c r="C93" s="5">
        <f>SUMIF('库存（子SKU）'!$C:$C,$A93,'库存（子SKU）'!E:E)</f>
        <v>0</v>
      </c>
      <c r="D93" s="5">
        <f>SUMIF('库存（子SKU）'!$C:$C,$A93,'库存（子SKU）'!F:F)</f>
        <v>0</v>
      </c>
      <c r="E93" s="5">
        <f>SUMIF('库存（子SKU）'!$C:$C,$A93,'库存（子SKU）'!G:G)</f>
        <v>0</v>
      </c>
      <c r="F93" s="6" t="s">
        <v>54</v>
      </c>
      <c r="G93">
        <f>SUMIF('库存（子SKU）'!$C:$C,$A93,'库存（子SKU）'!I:I)</f>
        <v>17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9"/>
        <v>17</v>
      </c>
      <c r="L93">
        <f>SUMIF('库存（子SKU）'!$C:$C,$A93,'库存（子SKU）'!N:N)</f>
        <v>0</v>
      </c>
      <c r="M93">
        <f>SUMIF('库存（子SKU）'!$C:$C,$A93,'库存（子SKU）'!O:O)</f>
        <v>17</v>
      </c>
      <c r="N93">
        <f>SUMIF('库存（子SKU）'!$C:$C,$A93,'库存（子SKU）'!P:P)</f>
        <v>0</v>
      </c>
      <c r="O93">
        <f>SUMIF('库存（子SKU）'!$C:$C,$A93,'库存（子SKU）'!Q:Q)</f>
        <v>0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0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23" t="str">
        <f t="shared" si="32"/>
        <v/>
      </c>
      <c r="W93" s="23" t="str">
        <f t="shared" si="33"/>
        <v/>
      </c>
      <c r="X93" s="23" t="str">
        <f t="shared" si="34"/>
        <v/>
      </c>
      <c r="Y93" s="23" t="str">
        <f t="shared" si="35"/>
        <v/>
      </c>
      <c r="Z93">
        <f>SUMIF('库存（子SKU）'!$C:$C,$A93,'库存（子SKU）'!AB:AB)</f>
        <v>0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23" t="str">
        <f t="shared" si="20"/>
        <v/>
      </c>
      <c r="AE93" s="23" t="str">
        <f t="shared" si="21"/>
        <v/>
      </c>
      <c r="AF93" s="23" t="str">
        <f t="shared" si="22"/>
        <v/>
      </c>
      <c r="AG93" s="23" t="str">
        <f t="shared" si="23"/>
        <v/>
      </c>
      <c r="AH93">
        <f>SUMIF('库存（子SKU）'!$C:$C,$A93,'库存（子SKU）'!AJ:AJ)</f>
        <v>5</v>
      </c>
      <c r="AI93">
        <f>SUMIF('库存（子SKU）'!$C:$C,$A93,'库存（子SKU）'!AK:AK)</f>
        <v>9</v>
      </c>
      <c r="AJ93">
        <f>SUMIF('库存（子SKU）'!$C:$C,$A93,'库存（子SKU）'!AL:AL)</f>
        <v>21</v>
      </c>
      <c r="AK93">
        <f>SUMIF('库存（子SKU）'!$C:$C,$A93,'库存（子SKU）'!AM:AM)</f>
        <v>12</v>
      </c>
      <c r="AL93" s="23">
        <f t="shared" si="24"/>
        <v>0</v>
      </c>
      <c r="AM93" s="23">
        <f t="shared" si="25"/>
        <v>0</v>
      </c>
      <c r="AN93" s="23">
        <f t="shared" si="26"/>
        <v>0</v>
      </c>
      <c r="AO93" s="23">
        <f t="shared" si="27"/>
        <v>0</v>
      </c>
      <c r="AP93" s="7">
        <f t="shared" si="28"/>
        <v>0</v>
      </c>
      <c r="AQ93" s="7">
        <f t="shared" si="29"/>
        <v>0</v>
      </c>
      <c r="AR93" s="7">
        <f t="shared" si="30"/>
        <v>17</v>
      </c>
      <c r="AS93" t="str">
        <f t="shared" si="31"/>
        <v>库存为17</v>
      </c>
      <c r="AT93" s="2" t="str">
        <f>IFERROR(时间!$B$4+AS93,"上周无销量")</f>
        <v>上周无销量</v>
      </c>
    </row>
    <row r="94" spans="1:46">
      <c r="A94" t="s">
        <v>435</v>
      </c>
      <c r="B94" s="5">
        <f>SUMIF('库存（子SKU）'!$C:$C,$A94,'库存（子SKU）'!D:D)</f>
        <v>0</v>
      </c>
      <c r="C94" s="5">
        <f>SUMIF('库存（子SKU）'!$C:$C,$A94,'库存（子SKU）'!E:E)</f>
        <v>1</v>
      </c>
      <c r="D94" s="5">
        <f>SUMIF('库存（子SKU）'!$C:$C,$A94,'库存（子SKU）'!F:F)</f>
        <v>0</v>
      </c>
      <c r="E94" s="5">
        <f>SUMIF('库存（子SKU）'!$C:$C,$A94,'库存（子SKU）'!G:G)</f>
        <v>0</v>
      </c>
      <c r="F94" s="6">
        <v>99.99</v>
      </c>
      <c r="G94">
        <f>SUMIF('库存（子SKU）'!$C:$C,$A94,'库存（子SKU）'!I:I)</f>
        <v>8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9"/>
        <v>8</v>
      </c>
      <c r="L94">
        <f>SUMIF('库存（子SKU）'!$C:$C,$A94,'库存（子SKU）'!N:N)</f>
        <v>1</v>
      </c>
      <c r="M94">
        <f>SUMIF('库存（子SKU）'!$C:$C,$A94,'库存（子SKU）'!O:O)</f>
        <v>0</v>
      </c>
      <c r="N94">
        <f>SUMIF('库存（子SKU）'!$C:$C,$A94,'库存（子SKU）'!P:P)</f>
        <v>29798</v>
      </c>
      <c r="O94">
        <f>SUMIF('库存（子SKU）'!$C:$C,$A94,'库存（子SKU）'!Q:Q)</f>
        <v>9401</v>
      </c>
      <c r="P94">
        <f>SUMIF('库存（子SKU）'!$C:$C,$A94,'库存（子SKU）'!R:R)</f>
        <v>81802</v>
      </c>
      <c r="Q94">
        <f>SUMIF('库存（子SKU）'!$C:$C,$A94,'库存（子SKU）'!S:S)</f>
        <v>82026</v>
      </c>
      <c r="R94">
        <f>SUMIF('库存（子SKU）'!$C:$C,$A94,'库存（子SKU）'!T:T)</f>
        <v>120</v>
      </c>
      <c r="S94">
        <f>SUMIF('库存（子SKU）'!$C:$C,$A94,'库存（子SKU）'!U:U)</f>
        <v>65</v>
      </c>
      <c r="T94">
        <f>SUMIF('库存（子SKU）'!$C:$C,$A94,'库存（子SKU）'!V:V)</f>
        <v>559</v>
      </c>
      <c r="U94">
        <f>SUMIF('库存（子SKU）'!$C:$C,$A94,'库存（子SKU）'!W:W)</f>
        <v>561</v>
      </c>
      <c r="V94" s="23">
        <f t="shared" si="32"/>
        <v>0.00402711591381972</v>
      </c>
      <c r="W94" s="23">
        <f t="shared" si="33"/>
        <v>0.00691415806829061</v>
      </c>
      <c r="X94" s="23">
        <f t="shared" si="34"/>
        <v>0.00683357375125303</v>
      </c>
      <c r="Y94" s="23">
        <f t="shared" si="35"/>
        <v>0.00683929485772804</v>
      </c>
      <c r="Z94">
        <f>SUMIF('库存（子SKU）'!$C:$C,$A94,'库存（子SKU）'!AB:AB)</f>
        <v>39.27</v>
      </c>
      <c r="AA94">
        <f>SUMIF('库存（子SKU）'!$C:$C,$A94,'库存（子SKU）'!AC:AC)</f>
        <v>16.51</v>
      </c>
      <c r="AB94">
        <f>SUMIF('库存（子SKU）'!$C:$C,$A94,'库存（子SKU）'!AD:AD)</f>
        <v>136.75</v>
      </c>
      <c r="AC94">
        <f>SUMIF('库存（子SKU）'!$C:$C,$A94,'库存（子SKU）'!AE:AE)</f>
        <v>137.63</v>
      </c>
      <c r="AD94" s="23" t="str">
        <f t="shared" si="20"/>
        <v>无销量广告费为39.27</v>
      </c>
      <c r="AE94" s="23">
        <f t="shared" si="21"/>
        <v>0.165116511651165</v>
      </c>
      <c r="AF94" s="23" t="str">
        <f t="shared" si="22"/>
        <v>无销量广告费为136.75</v>
      </c>
      <c r="AG94" s="23" t="str">
        <f t="shared" si="23"/>
        <v>无销量广告费为137.63</v>
      </c>
      <c r="AH94">
        <f>SUMIF('库存（子SKU）'!$C:$C,$A94,'库存（子SKU）'!AJ:AJ)</f>
        <v>151</v>
      </c>
      <c r="AI94">
        <f>SUMIF('库存（子SKU）'!$C:$C,$A94,'库存（子SKU）'!AK:AK)</f>
        <v>125</v>
      </c>
      <c r="AJ94">
        <f>SUMIF('库存（子SKU）'!$C:$C,$A94,'库存（子SKU）'!AL:AL)</f>
        <v>119</v>
      </c>
      <c r="AK94">
        <f>SUMIF('库存（子SKU）'!$C:$C,$A94,'库存（子SKU）'!AM:AM)</f>
        <v>205</v>
      </c>
      <c r="AL94" s="23">
        <f t="shared" si="24"/>
        <v>0</v>
      </c>
      <c r="AM94" s="23">
        <f t="shared" si="25"/>
        <v>0.008</v>
      </c>
      <c r="AN94" s="23">
        <f t="shared" si="26"/>
        <v>0</v>
      </c>
      <c r="AO94" s="23">
        <f t="shared" si="27"/>
        <v>0</v>
      </c>
      <c r="AP94" s="7">
        <f t="shared" si="28"/>
        <v>0</v>
      </c>
      <c r="AQ94" s="7">
        <f t="shared" si="29"/>
        <v>0</v>
      </c>
      <c r="AR94" s="7">
        <f t="shared" si="30"/>
        <v>8</v>
      </c>
      <c r="AS94" t="str">
        <f t="shared" si="31"/>
        <v>库存为8</v>
      </c>
      <c r="AT94" s="2" t="str">
        <f>IFERROR(时间!$B$4+AS94,"上周无销量")</f>
        <v>上周无销量</v>
      </c>
    </row>
    <row r="95" spans="1:46">
      <c r="A95" t="s">
        <v>441</v>
      </c>
      <c r="B95" s="5">
        <f>SUMIF('库存（子SKU）'!$C:$C,$A95,'库存（子SKU）'!D:D)</f>
        <v>0</v>
      </c>
      <c r="C95" s="5">
        <f>SUMIF('库存（子SKU）'!$C:$C,$A95,'库存（子SKU）'!E:E)</f>
        <v>1</v>
      </c>
      <c r="D95" s="5">
        <f>SUMIF('库存（子SKU）'!$C:$C,$A95,'库存（子SKU）'!F:F)</f>
        <v>0</v>
      </c>
      <c r="E95" s="5">
        <f>SUMIF('库存（子SKU）'!$C:$C,$A95,'库存（子SKU）'!G:G)</f>
        <v>3</v>
      </c>
      <c r="F95" s="6">
        <v>99.6</v>
      </c>
      <c r="G95">
        <f>SUMIF('库存（子SKU）'!$C:$C,$A95,'库存（子SKU）'!I:I)</f>
        <v>65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5</v>
      </c>
      <c r="K95">
        <f t="shared" si="19"/>
        <v>70</v>
      </c>
      <c r="L95">
        <f>SUMIF('库存（子SKU）'!$C:$C,$A95,'库存（子SKU）'!N:N)</f>
        <v>1</v>
      </c>
      <c r="M95">
        <f>SUMIF('库存（子SKU）'!$C:$C,$A95,'库存（子SKU）'!O:O)</f>
        <v>9</v>
      </c>
      <c r="N95">
        <f>SUMIF('库存（子SKU）'!$C:$C,$A95,'库存（子SKU）'!P:P)</f>
        <v>18975</v>
      </c>
      <c r="O95">
        <f>SUMIF('库存（子SKU）'!$C:$C,$A95,'库存（子SKU）'!Q:Q)</f>
        <v>19685</v>
      </c>
      <c r="P95">
        <f>SUMIF('库存（子SKU）'!$C:$C,$A95,'库存（子SKU）'!R:R)</f>
        <v>56808</v>
      </c>
      <c r="Q95">
        <f>SUMIF('库存（子SKU）'!$C:$C,$A95,'库存（子SKU）'!S:S)</f>
        <v>56921</v>
      </c>
      <c r="R95">
        <f>SUMIF('库存（子SKU）'!$C:$C,$A95,'库存（子SKU）'!T:T)</f>
        <v>94</v>
      </c>
      <c r="S95">
        <f>SUMIF('库存（子SKU）'!$C:$C,$A95,'库存（子SKU）'!U:U)</f>
        <v>84</v>
      </c>
      <c r="T95">
        <f>SUMIF('库存（子SKU）'!$C:$C,$A95,'库存（子SKU）'!V:V)</f>
        <v>189</v>
      </c>
      <c r="U95">
        <f>SUMIF('库存（子SKU）'!$C:$C,$A95,'库存（子SKU）'!W:W)</f>
        <v>190</v>
      </c>
      <c r="V95" s="23">
        <f t="shared" si="32"/>
        <v>0.00495388669301713</v>
      </c>
      <c r="W95" s="23">
        <f t="shared" si="33"/>
        <v>0.00426720853441707</v>
      </c>
      <c r="X95" s="23">
        <f t="shared" si="34"/>
        <v>0.00332699619771863</v>
      </c>
      <c r="Y95" s="23">
        <f t="shared" si="35"/>
        <v>0.00333795962825671</v>
      </c>
      <c r="Z95">
        <f>SUMIF('库存（子SKU）'!$C:$C,$A95,'库存（子SKU）'!AB:AB)</f>
        <v>32.56</v>
      </c>
      <c r="AA95">
        <f>SUMIF('库存（子SKU）'!$C:$C,$A95,'库存（子SKU）'!AC:AC)</f>
        <v>21.81</v>
      </c>
      <c r="AB95">
        <f>SUMIF('库存（子SKU）'!$C:$C,$A95,'库存（子SKU）'!AD:AD)</f>
        <v>67.09</v>
      </c>
      <c r="AC95">
        <f>SUMIF('库存（子SKU）'!$C:$C,$A95,'库存（子SKU）'!AE:AE)</f>
        <v>67.45</v>
      </c>
      <c r="AD95" s="23" t="str">
        <f t="shared" si="20"/>
        <v>无销量广告费为32.56</v>
      </c>
      <c r="AE95" s="23">
        <f t="shared" si="21"/>
        <v>0.218975903614458</v>
      </c>
      <c r="AF95" s="23" t="str">
        <f t="shared" si="22"/>
        <v>无销量广告费为67.09</v>
      </c>
      <c r="AG95" s="23">
        <f t="shared" si="23"/>
        <v>0.225736278447122</v>
      </c>
      <c r="AH95">
        <f>SUMIF('库存（子SKU）'!$C:$C,$A95,'库存（子SKU）'!AJ:AJ)</f>
        <v>290</v>
      </c>
      <c r="AI95">
        <f>SUMIF('库存（子SKU）'!$C:$C,$A95,'库存（子SKU）'!AK:AK)</f>
        <v>223</v>
      </c>
      <c r="AJ95">
        <f>SUMIF('库存（子SKU）'!$C:$C,$A95,'库存（子SKU）'!AL:AL)</f>
        <v>192</v>
      </c>
      <c r="AK95">
        <f>SUMIF('库存（子SKU）'!$C:$C,$A95,'库存（子SKU）'!AM:AM)</f>
        <v>265</v>
      </c>
      <c r="AL95" s="23">
        <f t="shared" si="24"/>
        <v>0</v>
      </c>
      <c r="AM95" s="23">
        <f t="shared" si="25"/>
        <v>0.00448430493273543</v>
      </c>
      <c r="AN95" s="23">
        <f t="shared" si="26"/>
        <v>0</v>
      </c>
      <c r="AO95" s="23">
        <f t="shared" si="27"/>
        <v>0.0113207547169811</v>
      </c>
      <c r="AP95" s="7">
        <f t="shared" si="28"/>
        <v>0</v>
      </c>
      <c r="AQ95" s="7">
        <f t="shared" si="29"/>
        <v>0</v>
      </c>
      <c r="AR95" s="7">
        <f t="shared" si="30"/>
        <v>70</v>
      </c>
      <c r="AS95" t="str">
        <f t="shared" si="31"/>
        <v>库存为70</v>
      </c>
      <c r="AT95" s="2" t="str">
        <f>IFERROR(时间!$B$4+AS95,"上周无销量")</f>
        <v>上周无销量</v>
      </c>
    </row>
    <row r="96" spans="1:46">
      <c r="A96" t="s">
        <v>449</v>
      </c>
      <c r="B96" s="5">
        <f>SUMIF('库存（子SKU）'!$C:$C,$A96,'库存（子SKU）'!D:D)</f>
        <v>1</v>
      </c>
      <c r="C96" s="5">
        <f>SUMIF('库存（子SKU）'!$C:$C,$A96,'库存（子SKU）'!E:E)</f>
        <v>1</v>
      </c>
      <c r="D96" s="5">
        <f>SUMIF('库存（子SKU）'!$C:$C,$A96,'库存（子SKU）'!F:F)</f>
        <v>1</v>
      </c>
      <c r="E96" s="5">
        <f>SUMIF('库存（子SKU）'!$C:$C,$A96,'库存（子SKU）'!G:G)</f>
        <v>0</v>
      </c>
      <c r="F96" s="6">
        <v>99.99</v>
      </c>
      <c r="G96">
        <f>SUMIF('库存（子SKU）'!$C:$C,$A96,'库存（子SKU）'!I:I)</f>
        <v>9</v>
      </c>
      <c r="H96">
        <f>SUMIF('库存（子SKU）'!$C:$C,$A96,'库存（子SKU）'!J:J)</f>
        <v>0</v>
      </c>
      <c r="I96">
        <f>SUMIF('库存（子SKU）'!$C:$C,$A96,'库存（子SKU）'!K:K)</f>
        <v>1</v>
      </c>
      <c r="J96">
        <f>SUMIF('库存（子SKU）'!$C:$C,$A96,'库存（子SKU）'!L:L)</f>
        <v>0</v>
      </c>
      <c r="K96">
        <f t="shared" si="19"/>
        <v>10</v>
      </c>
      <c r="L96">
        <f>SUMIF('库存（子SKU）'!$C:$C,$A96,'库存（子SKU）'!N:N)</f>
        <v>0</v>
      </c>
      <c r="M96">
        <f>SUMIF('库存（子SKU）'!$C:$C,$A96,'库存（子SKU）'!O:O)</f>
        <v>0</v>
      </c>
      <c r="N96">
        <f>SUMIF('库存（子SKU）'!$C:$C,$A96,'库存（子SKU）'!P:P)</f>
        <v>19</v>
      </c>
      <c r="O96">
        <f>SUMIF('库存（子SKU）'!$C:$C,$A96,'库存（子SKU）'!Q:Q)</f>
        <v>0</v>
      </c>
      <c r="P96">
        <f>SUMIF('库存（子SKU）'!$C:$C,$A96,'库存（子SKU）'!R:R)</f>
        <v>21</v>
      </c>
      <c r="Q96">
        <f>SUMIF('库存（子SKU）'!$C:$C,$A96,'库存（子SKU）'!S:S)</f>
        <v>21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23">
        <f t="shared" si="32"/>
        <v>0</v>
      </c>
      <c r="W96" s="23" t="str">
        <f t="shared" si="33"/>
        <v/>
      </c>
      <c r="X96" s="23">
        <f t="shared" si="34"/>
        <v>0</v>
      </c>
      <c r="Y96" s="23">
        <f t="shared" si="35"/>
        <v>0</v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23">
        <f t="shared" si="20"/>
        <v>0</v>
      </c>
      <c r="AE96" s="23">
        <f t="shared" si="21"/>
        <v>0</v>
      </c>
      <c r="AF96" s="23">
        <f t="shared" si="22"/>
        <v>0</v>
      </c>
      <c r="AG96" s="23" t="str">
        <f t="shared" si="23"/>
        <v/>
      </c>
      <c r="AH96">
        <f>SUMIF('库存（子SKU）'!$C:$C,$A96,'库存（子SKU）'!AJ:AJ)</f>
        <v>56</v>
      </c>
      <c r="AI96">
        <f>SUMIF('库存（子SKU）'!$C:$C,$A96,'库存（子SKU）'!AK:AK)</f>
        <v>67</v>
      </c>
      <c r="AJ96">
        <f>SUMIF('库存（子SKU）'!$C:$C,$A96,'库存（子SKU）'!AL:AL)</f>
        <v>53</v>
      </c>
      <c r="AK96">
        <f>SUMIF('库存（子SKU）'!$C:$C,$A96,'库存（子SKU）'!AM:AM)</f>
        <v>27</v>
      </c>
      <c r="AL96" s="23">
        <f t="shared" si="24"/>
        <v>0.0178571428571429</v>
      </c>
      <c r="AM96" s="23">
        <f t="shared" si="25"/>
        <v>0.0149253731343284</v>
      </c>
      <c r="AN96" s="23">
        <f t="shared" si="26"/>
        <v>0.0188679245283019</v>
      </c>
      <c r="AO96" s="23">
        <f t="shared" si="27"/>
        <v>0</v>
      </c>
      <c r="AP96" s="7">
        <f t="shared" si="28"/>
        <v>0.142857142857143</v>
      </c>
      <c r="AQ96" s="7">
        <f t="shared" si="29"/>
        <v>8.57142857142857</v>
      </c>
      <c r="AR96" s="7">
        <f t="shared" si="30"/>
        <v>1.42857142857143</v>
      </c>
      <c r="AS96">
        <f t="shared" si="31"/>
        <v>70</v>
      </c>
      <c r="AT96" s="2">
        <f>IFERROR(时间!$B$4+AS96,"上周无销量")</f>
        <v>43409</v>
      </c>
    </row>
    <row r="97" spans="1:46">
      <c r="A97" t="s">
        <v>454</v>
      </c>
      <c r="B97" s="5">
        <f>SUMIF('库存（子SKU）'!$C:$C,$A97,'库存（子SKU）'!D:D)</f>
        <v>0</v>
      </c>
      <c r="C97" s="5">
        <f>SUMIF('库存（子SKU）'!$C:$C,$A97,'库存（子SKU）'!E:E)</f>
        <v>0</v>
      </c>
      <c r="D97" s="5">
        <f>SUMIF('库存（子SKU）'!$C:$C,$A97,'库存（子SKU）'!F:F)</f>
        <v>0</v>
      </c>
      <c r="E97" s="5">
        <f>SUMIF('库存（子SKU）'!$C:$C,$A97,'库存（子SKU）'!G:G)</f>
        <v>0</v>
      </c>
      <c r="F97" s="6" t="s">
        <v>54</v>
      </c>
      <c r="G97">
        <f>SUMIF('库存（子SKU）'!$C:$C,$A97,'库存（子SKU）'!I:I)</f>
        <v>11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9"/>
        <v>11</v>
      </c>
      <c r="L97">
        <f>SUMIF('库存（子SKU）'!$C:$C,$A97,'库存（子SKU）'!N:N)</f>
        <v>0</v>
      </c>
      <c r="M97">
        <f>SUMIF('库存（子SKU）'!$C:$C,$A97,'库存（子SKU）'!O:O)</f>
        <v>11</v>
      </c>
      <c r="N97">
        <f>SUMIF('库存（子SKU）'!$C:$C,$A97,'库存（子SKU）'!P:P)</f>
        <v>0</v>
      </c>
      <c r="O97">
        <f>SUMIF('库存（子SKU）'!$C:$C,$A97,'库存（子SKU）'!Q:Q)</f>
        <v>0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23" t="str">
        <f t="shared" si="32"/>
        <v/>
      </c>
      <c r="W97" s="23" t="str">
        <f t="shared" si="33"/>
        <v/>
      </c>
      <c r="X97" s="23" t="str">
        <f t="shared" si="34"/>
        <v/>
      </c>
      <c r="Y97" s="23" t="str">
        <f t="shared" si="35"/>
        <v/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23" t="str">
        <f t="shared" si="20"/>
        <v/>
      </c>
      <c r="AE97" s="23" t="str">
        <f t="shared" si="21"/>
        <v/>
      </c>
      <c r="AF97" s="23" t="str">
        <f t="shared" si="22"/>
        <v/>
      </c>
      <c r="AG97" s="23" t="str">
        <f t="shared" si="23"/>
        <v/>
      </c>
      <c r="AH97">
        <f>SUMIF('库存（子SKU）'!$C:$C,$A97,'库存（子SKU）'!AJ:AJ)</f>
        <v>4</v>
      </c>
      <c r="AI97">
        <f>SUMIF('库存（子SKU）'!$C:$C,$A97,'库存（子SKU）'!AK:AK)</f>
        <v>2</v>
      </c>
      <c r="AJ97">
        <f>SUMIF('库存（子SKU）'!$C:$C,$A97,'库存（子SKU）'!AL:AL)</f>
        <v>4</v>
      </c>
      <c r="AK97">
        <f>SUMIF('库存（子SKU）'!$C:$C,$A97,'库存（子SKU）'!AM:AM)</f>
        <v>0</v>
      </c>
      <c r="AL97" s="23">
        <f t="shared" si="24"/>
        <v>0</v>
      </c>
      <c r="AM97" s="23">
        <f t="shared" si="25"/>
        <v>0</v>
      </c>
      <c r="AN97" s="23">
        <f t="shared" si="26"/>
        <v>0</v>
      </c>
      <c r="AO97" s="23" t="str">
        <f t="shared" si="27"/>
        <v/>
      </c>
      <c r="AP97" s="7">
        <f t="shared" si="28"/>
        <v>0</v>
      </c>
      <c r="AQ97" s="7">
        <f t="shared" si="29"/>
        <v>0</v>
      </c>
      <c r="AR97" s="7">
        <f t="shared" si="30"/>
        <v>11</v>
      </c>
      <c r="AS97" t="str">
        <f t="shared" si="31"/>
        <v>库存为11</v>
      </c>
      <c r="AT97" s="2" t="str">
        <f>IFERROR(时间!$B$4+AS97,"上周无销量")</f>
        <v>上周无销量</v>
      </c>
    </row>
    <row r="98" spans="1:46">
      <c r="A98" t="s">
        <v>457</v>
      </c>
      <c r="B98" s="5">
        <f>SUMIF('库存（子SKU）'!$C:$C,$A98,'库存（子SKU）'!D:D)</f>
        <v>1</v>
      </c>
      <c r="C98" s="5">
        <f>SUMIF('库存（子SKU）'!$C:$C,$A98,'库存（子SKU）'!E:E)</f>
        <v>1</v>
      </c>
      <c r="D98" s="5">
        <f>SUMIF('库存（子SKU）'!$C:$C,$A98,'库存（子SKU）'!F:F)</f>
        <v>0</v>
      </c>
      <c r="E98" s="5">
        <f>SUMIF('库存（子SKU）'!$C:$C,$A98,'库存（子SKU）'!G:G)</f>
        <v>2</v>
      </c>
      <c r="F98" s="6">
        <v>79.99</v>
      </c>
      <c r="G98">
        <f>SUMIF('库存（子SKU）'!$C:$C,$A98,'库存（子SKU）'!I:I)</f>
        <v>7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7</v>
      </c>
      <c r="L98">
        <f>SUMIF('库存（子SKU）'!$C:$C,$A98,'库存（子SKU）'!N:N)</f>
        <v>0</v>
      </c>
      <c r="M98">
        <f>SUMIF('库存（子SKU）'!$C:$C,$A98,'库存（子SKU）'!O:O)</f>
        <v>0</v>
      </c>
      <c r="N98">
        <f>SUMIF('库存（子SKU）'!$C:$C,$A98,'库存（子SKU）'!P:P)</f>
        <v>6381</v>
      </c>
      <c r="O98">
        <f>SUMIF('库存（子SKU）'!$C:$C,$A98,'库存（子SKU）'!Q:Q)</f>
        <v>0</v>
      </c>
      <c r="P98">
        <f>SUMIF('库存（子SKU）'!$C:$C,$A98,'库存（子SKU）'!R:R)</f>
        <v>80588</v>
      </c>
      <c r="Q98">
        <f>SUMIF('库存（子SKU）'!$C:$C,$A98,'库存（子SKU）'!S:S)</f>
        <v>80640</v>
      </c>
      <c r="R98">
        <f>SUMIF('库存（子SKU）'!$C:$C,$A98,'库存（子SKU）'!T:T)</f>
        <v>68</v>
      </c>
      <c r="S98">
        <f>SUMIF('库存（子SKU）'!$C:$C,$A98,'库存（子SKU）'!U:U)</f>
        <v>0</v>
      </c>
      <c r="T98">
        <f>SUMIF('库存（子SKU）'!$C:$C,$A98,'库存（子SKU）'!V:V)</f>
        <v>612</v>
      </c>
      <c r="U98">
        <f>SUMIF('库存（子SKU）'!$C:$C,$A98,'库存（子SKU）'!W:W)</f>
        <v>613</v>
      </c>
      <c r="V98" s="23">
        <f t="shared" si="32"/>
        <v>0.0106566368907695</v>
      </c>
      <c r="W98" s="23" t="str">
        <f t="shared" si="33"/>
        <v/>
      </c>
      <c r="X98" s="23">
        <f t="shared" si="34"/>
        <v>0.00759418275673798</v>
      </c>
      <c r="Y98" s="23">
        <f t="shared" si="35"/>
        <v>0.00760168650793651</v>
      </c>
      <c r="Z98">
        <f>SUMIF('库存（子SKU）'!$C:$C,$A98,'库存（子SKU）'!AB:AB)</f>
        <v>19.76</v>
      </c>
      <c r="AA98">
        <f>SUMIF('库存（子SKU）'!$C:$C,$A98,'库存（子SKU）'!AC:AC)</f>
        <v>0</v>
      </c>
      <c r="AB98">
        <f>SUMIF('库存（子SKU）'!$C:$C,$A98,'库存（子SKU）'!AD:AD)</f>
        <v>137.12</v>
      </c>
      <c r="AC98">
        <f>SUMIF('库存（子SKU）'!$C:$C,$A98,'库存（子SKU）'!AE:AE)</f>
        <v>137.41</v>
      </c>
      <c r="AD98" s="23">
        <f t="shared" si="20"/>
        <v>0.247030878859858</v>
      </c>
      <c r="AE98" s="23">
        <f t="shared" si="21"/>
        <v>0</v>
      </c>
      <c r="AF98" s="23" t="str">
        <f t="shared" si="22"/>
        <v>无销量广告费为137.12</v>
      </c>
      <c r="AG98" s="23">
        <f t="shared" si="23"/>
        <v>0.858919864983123</v>
      </c>
      <c r="AH98">
        <f>SUMIF('库存（子SKU）'!$C:$C,$A98,'库存（子SKU）'!AJ:AJ)</f>
        <v>114</v>
      </c>
      <c r="AI98">
        <f>SUMIF('库存（子SKU）'!$C:$C,$A98,'库存（子SKU）'!AK:AK)</f>
        <v>21</v>
      </c>
      <c r="AJ98">
        <f>SUMIF('库存（子SKU）'!$C:$C,$A98,'库存（子SKU）'!AL:AL)</f>
        <v>55</v>
      </c>
      <c r="AK98">
        <f>SUMIF('库存（子SKU）'!$C:$C,$A98,'库存（子SKU）'!AM:AM)</f>
        <v>84</v>
      </c>
      <c r="AL98" s="23">
        <f t="shared" si="24"/>
        <v>0.0087719298245614</v>
      </c>
      <c r="AM98" s="23">
        <f t="shared" si="25"/>
        <v>0.0476190476190476</v>
      </c>
      <c r="AN98" s="23">
        <f t="shared" si="26"/>
        <v>0</v>
      </c>
      <c r="AO98" s="23">
        <f t="shared" si="27"/>
        <v>0.0238095238095238</v>
      </c>
      <c r="AP98" s="7">
        <f t="shared" si="28"/>
        <v>0.142857142857143</v>
      </c>
      <c r="AQ98" s="7">
        <f t="shared" si="29"/>
        <v>8.57142857142857</v>
      </c>
      <c r="AR98" s="7">
        <f t="shared" si="30"/>
        <v>-1.57142857142857</v>
      </c>
      <c r="AS98">
        <f t="shared" si="31"/>
        <v>49</v>
      </c>
      <c r="AT98" s="2">
        <f>IFERROR(时间!$B$4+AS98,"上周无销量")</f>
        <v>43388</v>
      </c>
    </row>
    <row r="99" spans="1:46">
      <c r="A99" t="s">
        <v>461</v>
      </c>
      <c r="B99" s="5">
        <f>SUMIF('库存（子SKU）'!$C:$C,$A99,'库存（子SKU）'!D:D)</f>
        <v>0</v>
      </c>
      <c r="C99" s="5">
        <f>SUMIF('库存（子SKU）'!$C:$C,$A99,'库存（子SKU）'!E:E)</f>
        <v>0</v>
      </c>
      <c r="D99" s="5">
        <f>SUMIF('库存（子SKU）'!$C:$C,$A99,'库存（子SKU）'!F:F)</f>
        <v>0</v>
      </c>
      <c r="E99" s="5">
        <f>SUMIF('库存（子SKU）'!$C:$C,$A99,'库存（子SKU）'!G:G)</f>
        <v>0</v>
      </c>
      <c r="F99" s="6" t="s">
        <v>54</v>
      </c>
      <c r="G99">
        <f>SUMIF('库存（子SKU）'!$C:$C,$A99,'库存（子SKU）'!I:I)</f>
        <v>0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9"/>
        <v>0</v>
      </c>
      <c r="L99">
        <f>SUMIF('库存（子SKU）'!$C:$C,$A99,'库存（子SKU）'!N:N)</f>
        <v>0</v>
      </c>
      <c r="M99">
        <f>SUMIF('库存（子SKU）'!$C:$C,$A99,'库存（子SKU）'!O:O)</f>
        <v>0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23" t="str">
        <f t="shared" si="32"/>
        <v/>
      </c>
      <c r="W99" s="23" t="str">
        <f t="shared" si="33"/>
        <v/>
      </c>
      <c r="X99" s="23" t="str">
        <f t="shared" si="34"/>
        <v/>
      </c>
      <c r="Y99" s="23" t="str">
        <f t="shared" si="35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23" t="str">
        <f t="shared" si="20"/>
        <v/>
      </c>
      <c r="AE99" s="23" t="str">
        <f t="shared" si="21"/>
        <v/>
      </c>
      <c r="AF99" s="23" t="str">
        <f t="shared" si="22"/>
        <v/>
      </c>
      <c r="AG99" s="23" t="str">
        <f t="shared" si="23"/>
        <v/>
      </c>
      <c r="AH99">
        <f>SUMIF('库存（子SKU）'!$C:$C,$A99,'库存（子SKU）'!AJ:AJ)</f>
        <v>0</v>
      </c>
      <c r="AI99">
        <f>SUMIF('库存（子SKU）'!$C:$C,$A99,'库存（子SKU）'!AK:AK)</f>
        <v>0</v>
      </c>
      <c r="AJ99">
        <f>SUMIF('库存（子SKU）'!$C:$C,$A99,'库存（子SKU）'!AL:AL)</f>
        <v>0</v>
      </c>
      <c r="AK99">
        <f>SUMIF('库存（子SKU）'!$C:$C,$A99,'库存（子SKU）'!AM:AM)</f>
        <v>0</v>
      </c>
      <c r="AL99" s="23" t="str">
        <f t="shared" si="24"/>
        <v/>
      </c>
      <c r="AM99" s="23" t="str">
        <f t="shared" si="25"/>
        <v/>
      </c>
      <c r="AN99" s="23" t="str">
        <f t="shared" si="26"/>
        <v/>
      </c>
      <c r="AO99" s="23" t="str">
        <f t="shared" si="27"/>
        <v/>
      </c>
      <c r="AP99" s="7">
        <f t="shared" si="28"/>
        <v>0</v>
      </c>
      <c r="AQ99" s="7">
        <f t="shared" si="29"/>
        <v>0</v>
      </c>
      <c r="AR99" s="7">
        <f t="shared" si="30"/>
        <v>0</v>
      </c>
      <c r="AS99" t="str">
        <f t="shared" si="31"/>
        <v>库存为0</v>
      </c>
      <c r="AT99" s="2" t="str">
        <f>IFERROR(时间!$B$4+AS99,"上周无销量")</f>
        <v>上周无销量</v>
      </c>
    </row>
    <row r="100" spans="1:46">
      <c r="A100" t="s">
        <v>464</v>
      </c>
      <c r="B100" s="5">
        <f>SUMIF('库存（子SKU）'!$C:$C,$A100,'库存（子SKU）'!D:D)</f>
        <v>0</v>
      </c>
      <c r="C100" s="5">
        <f>SUMIF('库存（子SKU）'!$C:$C,$A100,'库存（子SKU）'!E:E)</f>
        <v>0</v>
      </c>
      <c r="D100" s="5">
        <f>SUMIF('库存（子SKU）'!$C:$C,$A100,'库存（子SKU）'!F:F)</f>
        <v>0</v>
      </c>
      <c r="E100" s="5">
        <f>SUMIF('库存（子SKU）'!$C:$C,$A100,'库存（子SKU）'!G:G)</f>
        <v>0</v>
      </c>
      <c r="F100" s="6" t="s">
        <v>54</v>
      </c>
      <c r="G100">
        <f>SUMIF('库存（子SKU）'!$C:$C,$A100,'库存（子SKU）'!I:I)</f>
        <v>0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9"/>
        <v>0</v>
      </c>
      <c r="L100">
        <f>SUMIF('库存（子SKU）'!$C:$C,$A100,'库存（子SKU）'!N:N)</f>
        <v>0</v>
      </c>
      <c r="M100">
        <f>SUMIF('库存（子SKU）'!$C:$C,$A100,'库存（子SKU）'!O:O)</f>
        <v>0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23" t="str">
        <f t="shared" si="32"/>
        <v/>
      </c>
      <c r="W100" s="23" t="str">
        <f t="shared" si="33"/>
        <v/>
      </c>
      <c r="X100" s="23" t="str">
        <f t="shared" si="34"/>
        <v/>
      </c>
      <c r="Y100" s="23" t="str">
        <f t="shared" si="35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23" t="str">
        <f t="shared" si="20"/>
        <v/>
      </c>
      <c r="AE100" s="23" t="str">
        <f t="shared" si="21"/>
        <v/>
      </c>
      <c r="AF100" s="23" t="str">
        <f t="shared" si="22"/>
        <v/>
      </c>
      <c r="AG100" s="23" t="str">
        <f t="shared" si="23"/>
        <v/>
      </c>
      <c r="AH100">
        <f>SUMIF('库存（子SKU）'!$C:$C,$A100,'库存（子SKU）'!AJ:AJ)</f>
        <v>0</v>
      </c>
      <c r="AI100">
        <f>SUMIF('库存（子SKU）'!$C:$C,$A100,'库存（子SKU）'!AK:AK)</f>
        <v>0</v>
      </c>
      <c r="AJ100">
        <f>SUMIF('库存（子SKU）'!$C:$C,$A100,'库存（子SKU）'!AL:AL)</f>
        <v>0</v>
      </c>
      <c r="AK100">
        <f>SUMIF('库存（子SKU）'!$C:$C,$A100,'库存（子SKU）'!AM:AM)</f>
        <v>0</v>
      </c>
      <c r="AL100" s="23" t="str">
        <f t="shared" si="24"/>
        <v/>
      </c>
      <c r="AM100" s="23" t="str">
        <f t="shared" si="25"/>
        <v/>
      </c>
      <c r="AN100" s="23" t="str">
        <f t="shared" si="26"/>
        <v/>
      </c>
      <c r="AO100" s="23" t="str">
        <f t="shared" si="27"/>
        <v/>
      </c>
      <c r="AP100" s="7">
        <f t="shared" si="28"/>
        <v>0</v>
      </c>
      <c r="AQ100" s="7">
        <f t="shared" si="29"/>
        <v>0</v>
      </c>
      <c r="AR100" s="7">
        <f t="shared" si="30"/>
        <v>0</v>
      </c>
      <c r="AS100" t="str">
        <f t="shared" si="31"/>
        <v>库存为0</v>
      </c>
      <c r="AT100" s="2" t="str">
        <f>IFERROR(时间!$B$4+AS100,"上周无销量")</f>
        <v>上周无销量</v>
      </c>
    </row>
    <row r="101" spans="1:46">
      <c r="A101" t="s">
        <v>467</v>
      </c>
      <c r="B101" s="5">
        <f>SUMIF('库存（子SKU）'!$C:$C,$A101,'库存（子SKU）'!D:D)</f>
        <v>0</v>
      </c>
      <c r="C101" s="5">
        <f>SUMIF('库存（子SKU）'!$C:$C,$A101,'库存（子SKU）'!E:E)</f>
        <v>0</v>
      </c>
      <c r="D101" s="5">
        <f>SUMIF('库存（子SKU）'!$C:$C,$A101,'库存（子SKU）'!F:F)</f>
        <v>0</v>
      </c>
      <c r="E101" s="5">
        <f>SUMIF('库存（子SKU）'!$C:$C,$A101,'库存（子SKU）'!G:G)</f>
        <v>0</v>
      </c>
      <c r="F101" s="6" t="s">
        <v>54</v>
      </c>
      <c r="G101">
        <f>SUMIF('库存（子SKU）'!$C:$C,$A101,'库存（子SKU）'!I:I)</f>
        <v>0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9"/>
        <v>0</v>
      </c>
      <c r="L101">
        <f>SUMIF('库存（子SKU）'!$C:$C,$A101,'库存（子SKU）'!N:N)</f>
        <v>0</v>
      </c>
      <c r="M101">
        <f>SUMIF('库存（子SKU）'!$C:$C,$A101,'库存（子SKU）'!O:O)</f>
        <v>0</v>
      </c>
      <c r="N101">
        <f>SUMIF('库存（子SKU）'!$C:$C,$A101,'库存（子SKU）'!P:P)</f>
        <v>0</v>
      </c>
      <c r="O101">
        <f>SUMIF('库存（子SKU）'!$C:$C,$A101,'库存（子SKU）'!Q:Q)</f>
        <v>0</v>
      </c>
      <c r="P101">
        <f>SUMIF('库存（子SKU）'!$C:$C,$A101,'库存（子SKU）'!R:R)</f>
        <v>0</v>
      </c>
      <c r="Q101">
        <f>SUMIF('库存（子SKU）'!$C:$C,$A101,'库存（子SKU）'!S:S)</f>
        <v>0</v>
      </c>
      <c r="R101">
        <f>SUMIF('库存（子SKU）'!$C:$C,$A101,'库存（子SKU）'!T:T)</f>
        <v>0</v>
      </c>
      <c r="S101">
        <f>SUMIF('库存（子SKU）'!$C:$C,$A101,'库存（子SKU）'!U:U)</f>
        <v>0</v>
      </c>
      <c r="T101">
        <f>SUMIF('库存（子SKU）'!$C:$C,$A101,'库存（子SKU）'!V:V)</f>
        <v>0</v>
      </c>
      <c r="U101">
        <f>SUMIF('库存（子SKU）'!$C:$C,$A101,'库存（子SKU）'!W:W)</f>
        <v>0</v>
      </c>
      <c r="V101" s="23" t="str">
        <f t="shared" si="32"/>
        <v/>
      </c>
      <c r="W101" s="23" t="str">
        <f t="shared" si="33"/>
        <v/>
      </c>
      <c r="X101" s="23" t="str">
        <f t="shared" si="34"/>
        <v/>
      </c>
      <c r="Y101" s="23" t="str">
        <f t="shared" si="35"/>
        <v/>
      </c>
      <c r="Z101">
        <f>SUMIF('库存（子SKU）'!$C:$C,$A101,'库存（子SKU）'!AB:AB)</f>
        <v>0</v>
      </c>
      <c r="AA101">
        <f>SUMIF('库存（子SKU）'!$C:$C,$A101,'库存（子SKU）'!AC:AC)</f>
        <v>0</v>
      </c>
      <c r="AB101">
        <f>SUMIF('库存（子SKU）'!$C:$C,$A101,'库存（子SKU）'!AD:AD)</f>
        <v>0</v>
      </c>
      <c r="AC101">
        <f>SUMIF('库存（子SKU）'!$C:$C,$A101,'库存（子SKU）'!AE:AE)</f>
        <v>0</v>
      </c>
      <c r="AD101" s="23" t="str">
        <f t="shared" si="20"/>
        <v/>
      </c>
      <c r="AE101" s="23" t="str">
        <f t="shared" si="21"/>
        <v/>
      </c>
      <c r="AF101" s="23" t="str">
        <f t="shared" si="22"/>
        <v/>
      </c>
      <c r="AG101" s="23" t="str">
        <f t="shared" si="23"/>
        <v/>
      </c>
      <c r="AH101">
        <f>SUMIF('库存（子SKU）'!$C:$C,$A101,'库存（子SKU）'!AJ:AJ)</f>
        <v>0</v>
      </c>
      <c r="AI101">
        <f>SUMIF('库存（子SKU）'!$C:$C,$A101,'库存（子SKU）'!AK:AK)</f>
        <v>0</v>
      </c>
      <c r="AJ101">
        <f>SUMIF('库存（子SKU）'!$C:$C,$A101,'库存（子SKU）'!AL:AL)</f>
        <v>0</v>
      </c>
      <c r="AK101">
        <f>SUMIF('库存（子SKU）'!$C:$C,$A101,'库存（子SKU）'!AM:AM)</f>
        <v>0</v>
      </c>
      <c r="AL101" s="23" t="str">
        <f t="shared" si="24"/>
        <v/>
      </c>
      <c r="AM101" s="23" t="str">
        <f t="shared" si="25"/>
        <v/>
      </c>
      <c r="AN101" s="23" t="str">
        <f t="shared" si="26"/>
        <v/>
      </c>
      <c r="AO101" s="23" t="str">
        <f t="shared" si="27"/>
        <v/>
      </c>
      <c r="AP101" s="7">
        <f t="shared" si="28"/>
        <v>0</v>
      </c>
      <c r="AQ101" s="7">
        <f t="shared" si="29"/>
        <v>0</v>
      </c>
      <c r="AR101" s="7">
        <f t="shared" si="30"/>
        <v>0</v>
      </c>
      <c r="AS101" t="str">
        <f t="shared" si="31"/>
        <v>库存为0</v>
      </c>
      <c r="AT101" s="2" t="str">
        <f>IFERROR(时间!$B$4+AS101,"上周无销量")</f>
        <v>上周无销量</v>
      </c>
    </row>
    <row r="102" spans="1:46">
      <c r="A102" t="s">
        <v>470</v>
      </c>
      <c r="B102" s="5">
        <f>SUMIF('库存（子SKU）'!$C:$C,$A102,'库存（子SKU）'!D:D)</f>
        <v>0</v>
      </c>
      <c r="C102" s="5">
        <f>SUMIF('库存（子SKU）'!$C:$C,$A102,'库存（子SKU）'!E:E)</f>
        <v>0</v>
      </c>
      <c r="D102" s="5">
        <f>SUMIF('库存（子SKU）'!$C:$C,$A102,'库存（子SKU）'!F:F)</f>
        <v>0</v>
      </c>
      <c r="E102" s="5">
        <f>SUMIF('库存（子SKU）'!$C:$C,$A102,'库存（子SKU）'!G:G)</f>
        <v>0</v>
      </c>
      <c r="F102" s="6" t="s">
        <v>54</v>
      </c>
      <c r="G102">
        <f>SUMIF('库存（子SKU）'!$C:$C,$A102,'库存（子SKU）'!I:I)</f>
        <v>0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9"/>
        <v>0</v>
      </c>
      <c r="L102">
        <f>SUMIF('库存（子SKU）'!$C:$C,$A102,'库存（子SKU）'!N:N)</f>
        <v>0</v>
      </c>
      <c r="M102">
        <f>SUMIF('库存（子SKU）'!$C:$C,$A102,'库存（子SKU）'!O:O)</f>
        <v>0</v>
      </c>
      <c r="N102">
        <f>SUMIF('库存（子SKU）'!$C:$C,$A102,'库存（子SKU）'!P:P)</f>
        <v>0</v>
      </c>
      <c r="O102">
        <f>SUMIF('库存（子SKU）'!$C:$C,$A102,'库存（子SKU）'!Q:Q)</f>
        <v>0</v>
      </c>
      <c r="P102">
        <f>SUMIF('库存（子SKU）'!$C:$C,$A102,'库存（子SKU）'!R:R)</f>
        <v>0</v>
      </c>
      <c r="Q102">
        <f>SUMIF('库存（子SKU）'!$C:$C,$A102,'库存（子SKU）'!S:S)</f>
        <v>0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0</v>
      </c>
      <c r="V102" s="23" t="str">
        <f t="shared" si="32"/>
        <v/>
      </c>
      <c r="W102" s="23" t="str">
        <f t="shared" si="33"/>
        <v/>
      </c>
      <c r="X102" s="23" t="str">
        <f t="shared" si="34"/>
        <v/>
      </c>
      <c r="Y102" s="23" t="str">
        <f t="shared" si="35"/>
        <v/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23" t="str">
        <f t="shared" si="20"/>
        <v/>
      </c>
      <c r="AE102" s="23" t="str">
        <f t="shared" si="21"/>
        <v/>
      </c>
      <c r="AF102" s="23" t="str">
        <f t="shared" si="22"/>
        <v/>
      </c>
      <c r="AG102" s="23" t="str">
        <f t="shared" si="23"/>
        <v/>
      </c>
      <c r="AH102">
        <f>SUMIF('库存（子SKU）'!$C:$C,$A102,'库存（子SKU）'!AJ:AJ)</f>
        <v>0</v>
      </c>
      <c r="AI102">
        <f>SUMIF('库存（子SKU）'!$C:$C,$A102,'库存（子SKU）'!AK:AK)</f>
        <v>0</v>
      </c>
      <c r="AJ102">
        <f>SUMIF('库存（子SKU）'!$C:$C,$A102,'库存（子SKU）'!AL:AL)</f>
        <v>0</v>
      </c>
      <c r="AK102">
        <f>SUMIF('库存（子SKU）'!$C:$C,$A102,'库存（子SKU）'!AM:AM)</f>
        <v>0</v>
      </c>
      <c r="AL102" s="23" t="str">
        <f t="shared" si="24"/>
        <v/>
      </c>
      <c r="AM102" s="23" t="str">
        <f t="shared" si="25"/>
        <v/>
      </c>
      <c r="AN102" s="23" t="str">
        <f t="shared" si="26"/>
        <v/>
      </c>
      <c r="AO102" s="23" t="str">
        <f t="shared" si="27"/>
        <v/>
      </c>
      <c r="AP102" s="7">
        <f t="shared" si="28"/>
        <v>0</v>
      </c>
      <c r="AQ102" s="7">
        <f t="shared" si="29"/>
        <v>0</v>
      </c>
      <c r="AR102" s="7">
        <f t="shared" si="30"/>
        <v>0</v>
      </c>
      <c r="AS102" t="str">
        <f t="shared" si="31"/>
        <v>库存为0</v>
      </c>
      <c r="AT102" s="2" t="str">
        <f>IFERROR(时间!$B$4+AS102,"上周无销量")</f>
        <v>上周无销量</v>
      </c>
    </row>
    <row r="103" spans="1:46">
      <c r="A103" t="s">
        <v>473</v>
      </c>
      <c r="B103" s="5">
        <f>SUMIF('库存（子SKU）'!$C:$C,$A103,'库存（子SKU）'!D:D)</f>
        <v>0</v>
      </c>
      <c r="C103" s="5">
        <f>SUMIF('库存（子SKU）'!$C:$C,$A103,'库存（子SKU）'!E:E)</f>
        <v>0</v>
      </c>
      <c r="D103" s="5">
        <f>SUMIF('库存（子SKU）'!$C:$C,$A103,'库存（子SKU）'!F:F)</f>
        <v>0</v>
      </c>
      <c r="E103" s="5">
        <f>SUMIF('库存（子SKU）'!$C:$C,$A103,'库存（子SKU）'!G:G)</f>
        <v>0</v>
      </c>
      <c r="F103" s="6" t="s">
        <v>54</v>
      </c>
      <c r="G103">
        <f>SUMIF('库存（子SKU）'!$C:$C,$A103,'库存（子SKU）'!I:I)</f>
        <v>0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9"/>
        <v>0</v>
      </c>
      <c r="L103">
        <f>SUMIF('库存（子SKU）'!$C:$C,$A103,'库存（子SKU）'!N:N)</f>
        <v>0</v>
      </c>
      <c r="M103">
        <f>SUMIF('库存（子SKU）'!$C:$C,$A103,'库存（子SKU）'!O:O)</f>
        <v>0</v>
      </c>
      <c r="N103">
        <f>SUMIF('库存（子SKU）'!$C:$C,$A103,'库存（子SKU）'!P:P)</f>
        <v>0</v>
      </c>
      <c r="O103">
        <f>SUMIF('库存（子SKU）'!$C:$C,$A103,'库存（子SKU）'!Q:Q)</f>
        <v>0</v>
      </c>
      <c r="P103">
        <f>SUMIF('库存（子SKU）'!$C:$C,$A103,'库存（子SKU）'!R:R)</f>
        <v>0</v>
      </c>
      <c r="Q103">
        <f>SUMIF('库存（子SKU）'!$C:$C,$A103,'库存（子SKU）'!S:S)</f>
        <v>0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0</v>
      </c>
      <c r="U103">
        <f>SUMIF('库存（子SKU）'!$C:$C,$A103,'库存（子SKU）'!W:W)</f>
        <v>0</v>
      </c>
      <c r="V103" s="23" t="str">
        <f t="shared" si="32"/>
        <v/>
      </c>
      <c r="W103" s="23" t="str">
        <f t="shared" si="33"/>
        <v/>
      </c>
      <c r="X103" s="23" t="str">
        <f t="shared" si="34"/>
        <v/>
      </c>
      <c r="Y103" s="23" t="str">
        <f t="shared" si="35"/>
        <v/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0</v>
      </c>
      <c r="AC103">
        <f>SUMIF('库存（子SKU）'!$C:$C,$A103,'库存（子SKU）'!AE:AE)</f>
        <v>0</v>
      </c>
      <c r="AD103" s="23" t="str">
        <f t="shared" si="20"/>
        <v/>
      </c>
      <c r="AE103" s="23" t="str">
        <f t="shared" si="21"/>
        <v/>
      </c>
      <c r="AF103" s="23" t="str">
        <f t="shared" si="22"/>
        <v/>
      </c>
      <c r="AG103" s="23" t="str">
        <f t="shared" si="23"/>
        <v/>
      </c>
      <c r="AH103">
        <f>SUMIF('库存（子SKU）'!$C:$C,$A103,'库存（子SKU）'!AJ:AJ)</f>
        <v>0</v>
      </c>
      <c r="AI103">
        <f>SUMIF('库存（子SKU）'!$C:$C,$A103,'库存（子SKU）'!AK:AK)</f>
        <v>0</v>
      </c>
      <c r="AJ103">
        <f>SUMIF('库存（子SKU）'!$C:$C,$A103,'库存（子SKU）'!AL:AL)</f>
        <v>0</v>
      </c>
      <c r="AK103">
        <f>SUMIF('库存（子SKU）'!$C:$C,$A103,'库存（子SKU）'!AM:AM)</f>
        <v>0</v>
      </c>
      <c r="AL103" s="23" t="str">
        <f t="shared" si="24"/>
        <v/>
      </c>
      <c r="AM103" s="23" t="str">
        <f t="shared" si="25"/>
        <v/>
      </c>
      <c r="AN103" s="23" t="str">
        <f t="shared" si="26"/>
        <v/>
      </c>
      <c r="AO103" s="23" t="str">
        <f t="shared" si="27"/>
        <v/>
      </c>
      <c r="AP103" s="7">
        <f t="shared" si="28"/>
        <v>0</v>
      </c>
      <c r="AQ103" s="7">
        <f t="shared" si="29"/>
        <v>0</v>
      </c>
      <c r="AR103" s="7">
        <f t="shared" si="30"/>
        <v>0</v>
      </c>
      <c r="AS103" t="str">
        <f t="shared" si="31"/>
        <v>库存为0</v>
      </c>
      <c r="AT103" s="2" t="str">
        <f>IFERROR(时间!$B$4+AS103,"上周无销量")</f>
        <v>上周无销量</v>
      </c>
    </row>
    <row r="104" spans="1:46">
      <c r="A104" t="s">
        <v>476</v>
      </c>
      <c r="B104" s="5">
        <f>SUMIF('库存（子SKU）'!$C:$C,$A104,'库存（子SKU）'!D:D)</f>
        <v>0</v>
      </c>
      <c r="C104" s="5">
        <f>SUMIF('库存（子SKU）'!$C:$C,$A104,'库存（子SKU）'!E:E)</f>
        <v>0</v>
      </c>
      <c r="D104" s="5">
        <f>SUMIF('库存（子SKU）'!$C:$C,$A104,'库存（子SKU）'!F:F)</f>
        <v>0</v>
      </c>
      <c r="E104" s="5">
        <f>SUMIF('库存（子SKU）'!$C:$C,$A104,'库存（子SKU）'!G:G)</f>
        <v>0</v>
      </c>
      <c r="F104" s="6" t="s">
        <v>54</v>
      </c>
      <c r="G104">
        <f>SUMIF('库存（子SKU）'!$C:$C,$A104,'库存（子SKU）'!I:I)</f>
        <v>0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9"/>
        <v>0</v>
      </c>
      <c r="L104">
        <f>SUMIF('库存（子SKU）'!$C:$C,$A104,'库存（子SKU）'!N:N)</f>
        <v>0</v>
      </c>
      <c r="M104">
        <f>SUMIF('库存（子SKU）'!$C:$C,$A104,'库存（子SKU）'!O:O)</f>
        <v>0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23" t="str">
        <f t="shared" si="32"/>
        <v/>
      </c>
      <c r="W104" s="23" t="str">
        <f t="shared" si="33"/>
        <v/>
      </c>
      <c r="X104" s="23" t="str">
        <f t="shared" si="34"/>
        <v/>
      </c>
      <c r="Y104" s="23" t="str">
        <f t="shared" si="35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23" t="str">
        <f t="shared" si="20"/>
        <v/>
      </c>
      <c r="AE104" s="23" t="str">
        <f t="shared" si="21"/>
        <v/>
      </c>
      <c r="AF104" s="23" t="str">
        <f t="shared" si="22"/>
        <v/>
      </c>
      <c r="AG104" s="23" t="str">
        <f t="shared" si="23"/>
        <v/>
      </c>
      <c r="AH104">
        <f>SUMIF('库存（子SKU）'!$C:$C,$A104,'库存（子SKU）'!AJ:AJ)</f>
        <v>0</v>
      </c>
      <c r="AI104">
        <f>SUMIF('库存（子SKU）'!$C:$C,$A104,'库存（子SKU）'!AK:AK)</f>
        <v>0</v>
      </c>
      <c r="AJ104">
        <f>SUMIF('库存（子SKU）'!$C:$C,$A104,'库存（子SKU）'!AL:AL)</f>
        <v>0</v>
      </c>
      <c r="AK104">
        <f>SUMIF('库存（子SKU）'!$C:$C,$A104,'库存（子SKU）'!AM:AM)</f>
        <v>0</v>
      </c>
      <c r="AL104" s="23" t="str">
        <f t="shared" si="24"/>
        <v/>
      </c>
      <c r="AM104" s="23" t="str">
        <f t="shared" si="25"/>
        <v/>
      </c>
      <c r="AN104" s="23" t="str">
        <f t="shared" si="26"/>
        <v/>
      </c>
      <c r="AO104" s="23" t="str">
        <f t="shared" si="27"/>
        <v/>
      </c>
      <c r="AP104" s="7">
        <f t="shared" si="28"/>
        <v>0</v>
      </c>
      <c r="AQ104" s="7">
        <f t="shared" si="29"/>
        <v>0</v>
      </c>
      <c r="AR104" s="7">
        <f t="shared" si="30"/>
        <v>0</v>
      </c>
      <c r="AS104" t="str">
        <f t="shared" si="31"/>
        <v>库存为0</v>
      </c>
      <c r="AT104" s="2" t="str">
        <f>IFERROR(时间!$B$4+AS104,"上周无销量")</f>
        <v>上周无销量</v>
      </c>
    </row>
    <row r="105" spans="1:46">
      <c r="A105" t="s">
        <v>479</v>
      </c>
      <c r="B105" s="5">
        <f>SUMIF('库存（子SKU）'!$C:$C,$A105,'库存（子SKU）'!D:D)</f>
        <v>0</v>
      </c>
      <c r="C105" s="5">
        <f>SUMIF('库存（子SKU）'!$C:$C,$A105,'库存（子SKU）'!E:E)</f>
        <v>0</v>
      </c>
      <c r="D105" s="5">
        <f>SUMIF('库存（子SKU）'!$C:$C,$A105,'库存（子SKU）'!F:F)</f>
        <v>0</v>
      </c>
      <c r="E105" s="5">
        <f>SUMIF('库存（子SKU）'!$C:$C,$A105,'库存（子SKU）'!G:G)</f>
        <v>0</v>
      </c>
      <c r="F105" s="6" t="s">
        <v>54</v>
      </c>
      <c r="G105">
        <f>SUMIF('库存（子SKU）'!$C:$C,$A105,'库存（子SKU）'!I:I)</f>
        <v>0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9"/>
        <v>0</v>
      </c>
      <c r="L105">
        <f>SUMIF('库存（子SKU）'!$C:$C,$A105,'库存（子SKU）'!N:N)</f>
        <v>0</v>
      </c>
      <c r="M105">
        <f>SUMIF('库存（子SKU）'!$C:$C,$A105,'库存（子SKU）'!O:O)</f>
        <v>0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23" t="str">
        <f t="shared" si="32"/>
        <v/>
      </c>
      <c r="W105" s="23" t="str">
        <f t="shared" si="33"/>
        <v/>
      </c>
      <c r="X105" s="23" t="str">
        <f t="shared" si="34"/>
        <v/>
      </c>
      <c r="Y105" s="23" t="str">
        <f t="shared" si="35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23" t="str">
        <f t="shared" si="20"/>
        <v/>
      </c>
      <c r="AE105" s="23" t="str">
        <f t="shared" si="21"/>
        <v/>
      </c>
      <c r="AF105" s="23" t="str">
        <f t="shared" si="22"/>
        <v/>
      </c>
      <c r="AG105" s="23" t="str">
        <f t="shared" si="23"/>
        <v/>
      </c>
      <c r="AH105">
        <f>SUMIF('库存（子SKU）'!$C:$C,$A105,'库存（子SKU）'!AJ:AJ)</f>
        <v>0</v>
      </c>
      <c r="AI105">
        <f>SUMIF('库存（子SKU）'!$C:$C,$A105,'库存（子SKU）'!AK:AK)</f>
        <v>0</v>
      </c>
      <c r="AJ105">
        <f>SUMIF('库存（子SKU）'!$C:$C,$A105,'库存（子SKU）'!AL:AL)</f>
        <v>0</v>
      </c>
      <c r="AK105">
        <f>SUMIF('库存（子SKU）'!$C:$C,$A105,'库存（子SKU）'!AM:AM)</f>
        <v>0</v>
      </c>
      <c r="AL105" s="23" t="str">
        <f t="shared" si="24"/>
        <v/>
      </c>
      <c r="AM105" s="23" t="str">
        <f t="shared" si="25"/>
        <v/>
      </c>
      <c r="AN105" s="23" t="str">
        <f t="shared" si="26"/>
        <v/>
      </c>
      <c r="AO105" s="23" t="str">
        <f t="shared" si="27"/>
        <v/>
      </c>
      <c r="AP105" s="7">
        <f t="shared" si="28"/>
        <v>0</v>
      </c>
      <c r="AQ105" s="7">
        <f t="shared" si="29"/>
        <v>0</v>
      </c>
      <c r="AR105" s="7">
        <f t="shared" si="30"/>
        <v>0</v>
      </c>
      <c r="AS105" t="str">
        <f t="shared" si="31"/>
        <v>库存为0</v>
      </c>
      <c r="AT105" s="2" t="str">
        <f>IFERROR(时间!$B$4+AS105,"上周无销量")</f>
        <v>上周无销量</v>
      </c>
    </row>
    <row r="106" spans="1:46">
      <c r="A106" t="s">
        <v>486</v>
      </c>
      <c r="B106" s="5">
        <f>SUMIF('库存（子SKU）'!$C:$C,$A106,'库存（子SKU）'!D:D)</f>
        <v>3</v>
      </c>
      <c r="C106" s="5">
        <f>SUMIF('库存（子SKU）'!$C:$C,$A106,'库存（子SKU）'!E:E)</f>
        <v>2</v>
      </c>
      <c r="D106" s="5">
        <f>SUMIF('库存（子SKU）'!$C:$C,$A106,'库存（子SKU）'!F:F)</f>
        <v>0</v>
      </c>
      <c r="E106" s="5">
        <f>SUMIF('库存（子SKU）'!$C:$C,$A106,'库存（子SKU）'!G:G)</f>
        <v>3</v>
      </c>
      <c r="F106" s="6">
        <v>99.99</v>
      </c>
      <c r="G106">
        <f>SUMIF('库存（子SKU）'!$C:$C,$A106,'库存（子SKU）'!I:I)</f>
        <v>0</v>
      </c>
      <c r="H106">
        <f>SUMIF('库存（子SKU）'!$C:$C,$A106,'库存（子SKU）'!J:J)</f>
        <v>5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9"/>
        <v>5</v>
      </c>
      <c r="L106">
        <f>SUMIF('库存（子SKU）'!$C:$C,$A106,'库存（子SKU）'!N:N)</f>
        <v>0</v>
      </c>
      <c r="M106">
        <f>SUMIF('库存（子SKU）'!$C:$C,$A106,'库存（子SKU）'!O:O)</f>
        <v>0</v>
      </c>
      <c r="N106">
        <f>SUMIF('库存（子SKU）'!$C:$C,$A106,'库存（子SKU）'!P:P)</f>
        <v>38248</v>
      </c>
      <c r="O106">
        <f>SUMIF('库存（子SKU）'!$C:$C,$A106,'库存（子SKU）'!Q:Q)</f>
        <v>67824</v>
      </c>
      <c r="P106">
        <f>SUMIF('库存（子SKU）'!$C:$C,$A106,'库存（子SKU）'!R:R)</f>
        <v>248690</v>
      </c>
      <c r="Q106">
        <f>SUMIF('库存（子SKU）'!$C:$C,$A106,'库存（子SKU）'!S:S)</f>
        <v>249727</v>
      </c>
      <c r="R106">
        <f>SUMIF('库存（子SKU）'!$C:$C,$A106,'库存（子SKU）'!T:T)</f>
        <v>257</v>
      </c>
      <c r="S106">
        <f>SUMIF('库存（子SKU）'!$C:$C,$A106,'库存（子SKU）'!U:U)</f>
        <v>436</v>
      </c>
      <c r="T106">
        <f>SUMIF('库存（子SKU）'!$C:$C,$A106,'库存（子SKU）'!V:V)</f>
        <v>1820</v>
      </c>
      <c r="U106">
        <f>SUMIF('库存（子SKU）'!$C:$C,$A106,'库存（子SKU）'!W:W)</f>
        <v>1827</v>
      </c>
      <c r="V106" s="23">
        <f t="shared" si="32"/>
        <v>0.00671930558460573</v>
      </c>
      <c r="W106" s="23">
        <f t="shared" si="33"/>
        <v>0.00642840292521821</v>
      </c>
      <c r="X106" s="23">
        <f t="shared" si="34"/>
        <v>0.00731834814427601</v>
      </c>
      <c r="Y106" s="23">
        <f t="shared" si="35"/>
        <v>0.00731598906005358</v>
      </c>
      <c r="Z106">
        <f>SUMIF('库存（子SKU）'!$C:$C,$A106,'库存（子SKU）'!AB:AB)</f>
        <v>35.21</v>
      </c>
      <c r="AA106">
        <f>SUMIF('库存（子SKU）'!$C:$C,$A106,'库存（子SKU）'!AC:AC)</f>
        <v>57.74</v>
      </c>
      <c r="AB106">
        <f>SUMIF('库存（子SKU）'!$C:$C,$A106,'库存（子SKU）'!AD:AD)</f>
        <v>256.75</v>
      </c>
      <c r="AC106">
        <f>SUMIF('库存（子SKU）'!$C:$C,$A106,'库存（子SKU）'!AE:AE)</f>
        <v>257.98</v>
      </c>
      <c r="AD106" s="23">
        <f t="shared" si="20"/>
        <v>0.117378404507117</v>
      </c>
      <c r="AE106" s="23">
        <f t="shared" si="21"/>
        <v>0.288728872887289</v>
      </c>
      <c r="AF106" s="23" t="str">
        <f t="shared" si="22"/>
        <v>无销量广告费为256.75</v>
      </c>
      <c r="AG106" s="23">
        <f t="shared" si="23"/>
        <v>0.86001933526686</v>
      </c>
      <c r="AH106">
        <f>SUMIF('库存（子SKU）'!$C:$C,$A106,'库存（子SKU）'!AJ:AJ)</f>
        <v>319</v>
      </c>
      <c r="AI106">
        <f>SUMIF('库存（子SKU）'!$C:$C,$A106,'库存（子SKU）'!AK:AK)</f>
        <v>497</v>
      </c>
      <c r="AJ106">
        <f>SUMIF('库存（子SKU）'!$C:$C,$A106,'库存（子SKU）'!AL:AL)</f>
        <v>0</v>
      </c>
      <c r="AK106">
        <f>SUMIF('库存（子SKU）'!$C:$C,$A106,'库存（子SKU）'!AM:AM)</f>
        <v>289</v>
      </c>
      <c r="AL106" s="23">
        <f t="shared" si="24"/>
        <v>0.00940438871473354</v>
      </c>
      <c r="AM106" s="23">
        <f t="shared" si="25"/>
        <v>0.00402414486921529</v>
      </c>
      <c r="AN106" s="23" t="str">
        <f t="shared" si="26"/>
        <v/>
      </c>
      <c r="AO106" s="23">
        <f t="shared" si="27"/>
        <v>0.0103806228373702</v>
      </c>
      <c r="AP106" s="7">
        <f t="shared" si="28"/>
        <v>0.428571428571429</v>
      </c>
      <c r="AQ106" s="7">
        <f t="shared" si="29"/>
        <v>25.7142857142857</v>
      </c>
      <c r="AR106" s="7">
        <f t="shared" si="30"/>
        <v>-20.7142857142857</v>
      </c>
      <c r="AS106">
        <f t="shared" si="31"/>
        <v>11</v>
      </c>
      <c r="AT106" s="2">
        <f>IFERROR(时间!$B$4+AS106,"上周无销量")</f>
        <v>43350</v>
      </c>
    </row>
    <row r="107" spans="1:46">
      <c r="A107" t="s">
        <v>489</v>
      </c>
      <c r="B107" s="5">
        <f>SUMIF('库存（子SKU）'!$C:$C,$A107,'库存（子SKU）'!D:D)</f>
        <v>1</v>
      </c>
      <c r="C107" s="5">
        <f>SUMIF('库存（子SKU）'!$C:$C,$A107,'库存（子SKU）'!E:E)</f>
        <v>2</v>
      </c>
      <c r="D107" s="5">
        <f>SUMIF('库存（子SKU）'!$C:$C,$A107,'库存（子SKU）'!F:F)</f>
        <v>0</v>
      </c>
      <c r="E107" s="5">
        <f>SUMIF('库存（子SKU）'!$C:$C,$A107,'库存（子SKU）'!G:G)</f>
        <v>0</v>
      </c>
      <c r="F107" s="6">
        <v>92.99</v>
      </c>
      <c r="G107">
        <f>SUMIF('库存（子SKU）'!$C:$C,$A107,'库存（子SKU）'!I:I)</f>
        <v>0</v>
      </c>
      <c r="H107">
        <f>SUMIF('库存（子SKU）'!$C:$C,$A107,'库存（子SKU）'!J:J)</f>
        <v>5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9"/>
        <v>5</v>
      </c>
      <c r="L107">
        <f>SUMIF('库存（子SKU）'!$C:$C,$A107,'库存（子SKU）'!N:N)</f>
        <v>0</v>
      </c>
      <c r="M107">
        <f>SUMIF('库存（子SKU）'!$C:$C,$A107,'库存（子SKU）'!O:O)</f>
        <v>0</v>
      </c>
      <c r="N107">
        <f>SUMIF('库存（子SKU）'!$C:$C,$A107,'库存（子SKU）'!P:P)</f>
        <v>23841</v>
      </c>
      <c r="O107">
        <f>SUMIF('库存（子SKU）'!$C:$C,$A107,'库存（子SKU）'!Q:Q)</f>
        <v>14332</v>
      </c>
      <c r="P107">
        <f>SUMIF('库存（子SKU）'!$C:$C,$A107,'库存（子SKU）'!R:R)</f>
        <v>103442</v>
      </c>
      <c r="Q107">
        <f>SUMIF('库存（子SKU）'!$C:$C,$A107,'库存（子SKU）'!S:S)</f>
        <v>103442</v>
      </c>
      <c r="R107">
        <f>SUMIF('库存（子SKU）'!$C:$C,$A107,'库存（子SKU）'!T:T)</f>
        <v>182</v>
      </c>
      <c r="S107">
        <f>SUMIF('库存（子SKU）'!$C:$C,$A107,'库存（子SKU）'!U:U)</f>
        <v>101</v>
      </c>
      <c r="T107">
        <f>SUMIF('库存（子SKU）'!$C:$C,$A107,'库存（子SKU）'!V:V)</f>
        <v>574</v>
      </c>
      <c r="U107">
        <f>SUMIF('库存（子SKU）'!$C:$C,$A107,'库存（子SKU）'!W:W)</f>
        <v>574</v>
      </c>
      <c r="V107" s="23">
        <f t="shared" si="32"/>
        <v>0.00763390797365882</v>
      </c>
      <c r="W107" s="23">
        <f t="shared" si="33"/>
        <v>0.00704716717834217</v>
      </c>
      <c r="X107" s="23">
        <f t="shared" si="34"/>
        <v>0.00554900330620058</v>
      </c>
      <c r="Y107" s="23">
        <f t="shared" si="35"/>
        <v>0.00554900330620058</v>
      </c>
      <c r="Z107">
        <f>SUMIF('库存（子SKU）'!$C:$C,$A107,'库存（子SKU）'!AB:AB)</f>
        <v>25.58</v>
      </c>
      <c r="AA107">
        <f>SUMIF('库存（子SKU）'!$C:$C,$A107,'库存（子SKU）'!AC:AC)</f>
        <v>14.3</v>
      </c>
      <c r="AB107">
        <f>SUMIF('库存（子SKU）'!$C:$C,$A107,'库存（子SKU）'!AD:AD)</f>
        <v>89.8</v>
      </c>
      <c r="AC107">
        <f>SUMIF('库存（子SKU）'!$C:$C,$A107,'库存（子SKU）'!AE:AE)</f>
        <v>89.8</v>
      </c>
      <c r="AD107" s="23">
        <f t="shared" si="20"/>
        <v>0.27508334229487</v>
      </c>
      <c r="AE107" s="23">
        <f t="shared" si="21"/>
        <v>0.0768899881707711</v>
      </c>
      <c r="AF107" s="23" t="str">
        <f t="shared" si="22"/>
        <v>无销量广告费为89.8</v>
      </c>
      <c r="AG107" s="23" t="str">
        <f t="shared" si="23"/>
        <v>无销量广告费为89.8</v>
      </c>
      <c r="AH107">
        <f>SUMIF('库存（子SKU）'!$C:$C,$A107,'库存（子SKU）'!AJ:AJ)</f>
        <v>228</v>
      </c>
      <c r="AI107">
        <f>SUMIF('库存（子SKU）'!$C:$C,$A107,'库存（子SKU）'!AK:AK)</f>
        <v>195</v>
      </c>
      <c r="AJ107">
        <f>SUMIF('库存（子SKU）'!$C:$C,$A107,'库存（子SKU）'!AL:AL)</f>
        <v>216</v>
      </c>
      <c r="AK107">
        <f>SUMIF('库存（子SKU）'!$C:$C,$A107,'库存（子SKU）'!AM:AM)</f>
        <v>14</v>
      </c>
      <c r="AL107" s="23">
        <f t="shared" si="24"/>
        <v>0.0043859649122807</v>
      </c>
      <c r="AM107" s="23">
        <f t="shared" si="25"/>
        <v>0.0102564102564103</v>
      </c>
      <c r="AN107" s="23">
        <f t="shared" si="26"/>
        <v>0</v>
      </c>
      <c r="AO107" s="23">
        <f t="shared" si="27"/>
        <v>0</v>
      </c>
      <c r="AP107" s="7">
        <f t="shared" si="28"/>
        <v>0.142857142857143</v>
      </c>
      <c r="AQ107" s="7">
        <f t="shared" si="29"/>
        <v>8.57142857142857</v>
      </c>
      <c r="AR107" s="7">
        <f t="shared" si="30"/>
        <v>-3.57142857142857</v>
      </c>
      <c r="AS107">
        <f t="shared" si="31"/>
        <v>35</v>
      </c>
      <c r="AT107" s="2">
        <f>IFERROR(时间!$B$4+AS107,"上周无销量")</f>
        <v>43374</v>
      </c>
    </row>
    <row r="108" spans="1:46">
      <c r="A108" t="s">
        <v>493</v>
      </c>
      <c r="B108" s="5">
        <f>SUMIF('库存（子SKU）'!$C:$C,$A108,'库存（子SKU）'!D:D)</f>
        <v>8</v>
      </c>
      <c r="C108" s="5">
        <f>SUMIF('库存（子SKU）'!$C:$C,$A108,'库存（子SKU）'!E:E)</f>
        <v>4</v>
      </c>
      <c r="D108" s="5">
        <f>SUMIF('库存（子SKU）'!$C:$C,$A108,'库存（子SKU）'!F:F)</f>
        <v>2</v>
      </c>
      <c r="E108" s="5">
        <f>SUMIF('库存（子SKU）'!$C:$C,$A108,'库存（子SKU）'!G:G)</f>
        <v>5</v>
      </c>
      <c r="F108" s="6">
        <v>99.99</v>
      </c>
      <c r="G108">
        <f>SUMIF('库存（子SKU）'!$C:$C,$A108,'库存（子SKU）'!I:I)</f>
        <v>2</v>
      </c>
      <c r="H108">
        <f>SUMIF('库存（子SKU）'!$C:$C,$A108,'库存（子SKU）'!J:J)</f>
        <v>2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9"/>
        <v>4</v>
      </c>
      <c r="L108">
        <f>SUMIF('库存（子SKU）'!$C:$C,$A108,'库存（子SKU）'!N:N)</f>
        <v>1</v>
      </c>
      <c r="M108">
        <f>SUMIF('库存（子SKU）'!$C:$C,$A108,'库存（子SKU）'!O:O)</f>
        <v>0</v>
      </c>
      <c r="N108">
        <f>SUMIF('库存（子SKU）'!$C:$C,$A108,'库存（子SKU）'!P:P)</f>
        <v>141603</v>
      </c>
      <c r="O108">
        <f>SUMIF('库存（子SKU）'!$C:$C,$A108,'库存（子SKU）'!Q:Q)</f>
        <v>78503</v>
      </c>
      <c r="P108">
        <f>SUMIF('库存（子SKU）'!$C:$C,$A108,'库存（子SKU）'!R:R)</f>
        <v>239580</v>
      </c>
      <c r="Q108">
        <f>SUMIF('库存（子SKU）'!$C:$C,$A108,'库存（子SKU）'!S:S)</f>
        <v>240542</v>
      </c>
      <c r="R108">
        <f>SUMIF('库存（子SKU）'!$C:$C,$A108,'库存（子SKU）'!T:T)</f>
        <v>777</v>
      </c>
      <c r="S108">
        <f>SUMIF('库存（子SKU）'!$C:$C,$A108,'库存（子SKU）'!U:U)</f>
        <v>443</v>
      </c>
      <c r="T108">
        <f>SUMIF('库存（子SKU）'!$C:$C,$A108,'库存（子SKU）'!V:V)</f>
        <v>1285</v>
      </c>
      <c r="U108">
        <f>SUMIF('库存（子SKU）'!$C:$C,$A108,'库存（子SKU）'!W:W)</f>
        <v>1286</v>
      </c>
      <c r="V108" s="23">
        <f t="shared" si="32"/>
        <v>0.00548717188195165</v>
      </c>
      <c r="W108" s="23">
        <f t="shared" si="33"/>
        <v>0.00564309644217418</v>
      </c>
      <c r="X108" s="23">
        <f t="shared" si="34"/>
        <v>0.00536355288421404</v>
      </c>
      <c r="Y108" s="23">
        <f t="shared" si="35"/>
        <v>0.00534625969685128</v>
      </c>
      <c r="Z108">
        <f>SUMIF('库存（子SKU）'!$C:$C,$A108,'库存（子SKU）'!AB:AB)</f>
        <v>111.54</v>
      </c>
      <c r="AA108">
        <f>SUMIF('库存（子SKU）'!$C:$C,$A108,'库存（子SKU）'!AC:AC)</f>
        <v>63.73</v>
      </c>
      <c r="AB108">
        <f>SUMIF('库存（子SKU）'!$C:$C,$A108,'库存（子SKU）'!AD:AD)</f>
        <v>174.23</v>
      </c>
      <c r="AC108">
        <f>SUMIF('库存（子SKU）'!$C:$C,$A108,'库存（子SKU）'!AE:AE)</f>
        <v>174.42</v>
      </c>
      <c r="AD108" s="23">
        <f t="shared" si="20"/>
        <v>0.139438943894389</v>
      </c>
      <c r="AE108" s="23">
        <f t="shared" si="21"/>
        <v>0.159340934093409</v>
      </c>
      <c r="AF108" s="23">
        <f t="shared" si="22"/>
        <v>0.871237123712371</v>
      </c>
      <c r="AG108" s="23">
        <f t="shared" si="23"/>
        <v>0.348874887488749</v>
      </c>
      <c r="AH108">
        <f>SUMIF('库存（子SKU）'!$C:$C,$A108,'库存（子SKU）'!AJ:AJ)</f>
        <v>904</v>
      </c>
      <c r="AI108">
        <f>SUMIF('库存（子SKU）'!$C:$C,$A108,'库存（子SKU）'!AK:AK)</f>
        <v>679</v>
      </c>
      <c r="AJ108">
        <f>SUMIF('库存（子SKU）'!$C:$C,$A108,'库存（子SKU）'!AL:AL)</f>
        <v>373</v>
      </c>
      <c r="AK108">
        <f>SUMIF('库存（子SKU）'!$C:$C,$A108,'库存（子SKU）'!AM:AM)</f>
        <v>569</v>
      </c>
      <c r="AL108" s="23">
        <f t="shared" si="24"/>
        <v>0.00884955752212389</v>
      </c>
      <c r="AM108" s="23">
        <f t="shared" si="25"/>
        <v>0.00589101620029455</v>
      </c>
      <c r="AN108" s="23">
        <f t="shared" si="26"/>
        <v>0.00536193029490617</v>
      </c>
      <c r="AO108" s="23">
        <f t="shared" si="27"/>
        <v>0.00878734622144113</v>
      </c>
      <c r="AP108" s="7">
        <f t="shared" si="28"/>
        <v>1.14285714285714</v>
      </c>
      <c r="AQ108" s="7">
        <f t="shared" si="29"/>
        <v>68.5714285714286</v>
      </c>
      <c r="AR108" s="7">
        <f t="shared" si="30"/>
        <v>-64.5714285714286</v>
      </c>
      <c r="AS108">
        <f t="shared" si="31"/>
        <v>3</v>
      </c>
      <c r="AT108" s="2">
        <f>IFERROR(时间!$B$4+AS108,"上周无销量")</f>
        <v>43342</v>
      </c>
    </row>
    <row r="109" spans="1:46">
      <c r="A109" t="s">
        <v>495</v>
      </c>
      <c r="B109" s="5">
        <f>SUMIF('库存（子SKU）'!$C:$C,$A109,'库存（子SKU）'!D:D)</f>
        <v>4</v>
      </c>
      <c r="C109" s="5">
        <f>SUMIF('库存（子SKU）'!$C:$C,$A109,'库存（子SKU）'!E:E)</f>
        <v>2</v>
      </c>
      <c r="D109" s="5">
        <f>SUMIF('库存（子SKU）'!$C:$C,$A109,'库存（子SKU）'!F:F)</f>
        <v>1</v>
      </c>
      <c r="E109" s="5">
        <f>SUMIF('库存（子SKU）'!$C:$C,$A109,'库存（子SKU）'!G:G)</f>
        <v>2</v>
      </c>
      <c r="F109" s="6">
        <v>89.99</v>
      </c>
      <c r="G109">
        <f>SUMIF('库存（子SKU）'!$C:$C,$A109,'库存（子SKU）'!I:I)</f>
        <v>2</v>
      </c>
      <c r="H109">
        <f>SUMIF('库存（子SKU）'!$C:$C,$A109,'库存（子SKU）'!J:J)</f>
        <v>5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9"/>
        <v>7</v>
      </c>
      <c r="L109">
        <f>SUMIF('库存（子SKU）'!$C:$C,$A109,'库存（子SKU）'!N:N)</f>
        <v>0</v>
      </c>
      <c r="M109">
        <f>SUMIF('库存（子SKU）'!$C:$C,$A109,'库存（子SKU）'!O:O)</f>
        <v>0</v>
      </c>
      <c r="N109">
        <f>SUMIF('库存（子SKU）'!$C:$C,$A109,'库存（子SKU）'!P:P)</f>
        <v>29041</v>
      </c>
      <c r="O109">
        <f>SUMIF('库存（子SKU）'!$C:$C,$A109,'库存（子SKU）'!Q:Q)</f>
        <v>16782</v>
      </c>
      <c r="P109">
        <f>SUMIF('库存（子SKU）'!$C:$C,$A109,'库存（子SKU）'!R:R)</f>
        <v>154991</v>
      </c>
      <c r="Q109">
        <f>SUMIF('库存（子SKU）'!$C:$C,$A109,'库存（子SKU）'!S:S)</f>
        <v>155121</v>
      </c>
      <c r="R109">
        <f>SUMIF('库存（子SKU）'!$C:$C,$A109,'库存（子SKU）'!T:T)</f>
        <v>161</v>
      </c>
      <c r="S109">
        <f>SUMIF('库存（子SKU）'!$C:$C,$A109,'库存（子SKU）'!U:U)</f>
        <v>104</v>
      </c>
      <c r="T109">
        <f>SUMIF('库存（子SKU）'!$C:$C,$A109,'库存（子SKU）'!V:V)</f>
        <v>685</v>
      </c>
      <c r="U109">
        <f>SUMIF('库存（子SKU）'!$C:$C,$A109,'库存（子SKU）'!W:W)</f>
        <v>685</v>
      </c>
      <c r="V109" s="23">
        <f t="shared" si="32"/>
        <v>0.00554388622981302</v>
      </c>
      <c r="W109" s="23">
        <f t="shared" si="33"/>
        <v>0.00619711595757359</v>
      </c>
      <c r="X109" s="23">
        <f t="shared" si="34"/>
        <v>0.00441961146131066</v>
      </c>
      <c r="Y109" s="23">
        <f t="shared" si="35"/>
        <v>0.00441590758182322</v>
      </c>
      <c r="Z109">
        <f>SUMIF('库存（子SKU）'!$C:$C,$A109,'库存（子SKU）'!AB:AB)</f>
        <v>22.43</v>
      </c>
      <c r="AA109">
        <f>SUMIF('库存（子SKU）'!$C:$C,$A109,'库存（子SKU）'!AC:AC)</f>
        <v>13.23</v>
      </c>
      <c r="AB109">
        <f>SUMIF('库存（子SKU）'!$C:$C,$A109,'库存（子SKU）'!AD:AD)</f>
        <v>110.37</v>
      </c>
      <c r="AC109">
        <f>SUMIF('库存（子SKU）'!$C:$C,$A109,'库存（子SKU）'!AE:AE)</f>
        <v>110.37</v>
      </c>
      <c r="AD109" s="23">
        <f t="shared" si="20"/>
        <v>0.0623124791643516</v>
      </c>
      <c r="AE109" s="23">
        <f t="shared" si="21"/>
        <v>0.0735081675741749</v>
      </c>
      <c r="AF109" s="23">
        <f t="shared" si="22"/>
        <v>1.22646960773419</v>
      </c>
      <c r="AG109" s="23">
        <f t="shared" si="23"/>
        <v>0.613234803867096</v>
      </c>
      <c r="AH109">
        <f>SUMIF('库存（子SKU）'!$C:$C,$A109,'库存（子SKU）'!AJ:AJ)</f>
        <v>277</v>
      </c>
      <c r="AI109">
        <f>SUMIF('库存（子SKU）'!$C:$C,$A109,'库存（子SKU）'!AK:AK)</f>
        <v>212</v>
      </c>
      <c r="AJ109">
        <f>SUMIF('库存（子SKU）'!$C:$C,$A109,'库存（子SKU）'!AL:AL)</f>
        <v>244</v>
      </c>
      <c r="AK109">
        <f>SUMIF('库存（子SKU）'!$C:$C,$A109,'库存（子SKU）'!AM:AM)</f>
        <v>204</v>
      </c>
      <c r="AL109" s="23">
        <f t="shared" si="24"/>
        <v>0.0144404332129964</v>
      </c>
      <c r="AM109" s="23">
        <f t="shared" si="25"/>
        <v>0.00943396226415094</v>
      </c>
      <c r="AN109" s="23">
        <f t="shared" si="26"/>
        <v>0.00409836065573771</v>
      </c>
      <c r="AO109" s="23">
        <f t="shared" si="27"/>
        <v>0.00980392156862745</v>
      </c>
      <c r="AP109" s="7">
        <f t="shared" si="28"/>
        <v>0.571428571428571</v>
      </c>
      <c r="AQ109" s="7">
        <f t="shared" si="29"/>
        <v>34.2857142857143</v>
      </c>
      <c r="AR109" s="7">
        <f t="shared" si="30"/>
        <v>-27.2857142857143</v>
      </c>
      <c r="AS109">
        <f t="shared" si="31"/>
        <v>12</v>
      </c>
      <c r="AT109" s="2">
        <f>IFERROR(时间!$B$4+AS109,"上周无销量")</f>
        <v>43351</v>
      </c>
    </row>
    <row r="110" spans="1:46">
      <c r="A110" t="s">
        <v>497</v>
      </c>
      <c r="B110" s="5">
        <f>SUMIF('库存（子SKU）'!$C:$C,$A110,'库存（子SKU）'!D:D)</f>
        <v>4</v>
      </c>
      <c r="C110" s="5">
        <f>SUMIF('库存（子SKU）'!$C:$C,$A110,'库存（子SKU）'!E:E)</f>
        <v>5</v>
      </c>
      <c r="D110" s="5">
        <f>SUMIF('库存（子SKU）'!$C:$C,$A110,'库存（子SKU）'!F:F)</f>
        <v>4</v>
      </c>
      <c r="E110" s="5">
        <f>SUMIF('库存（子SKU）'!$C:$C,$A110,'库存（子SKU）'!G:G)</f>
        <v>0</v>
      </c>
      <c r="F110" s="6">
        <v>100.606153846154</v>
      </c>
      <c r="G110">
        <f>SUMIF('库存（子SKU）'!$C:$C,$A110,'库存（子SKU）'!I:I)</f>
        <v>0</v>
      </c>
      <c r="H110">
        <f>SUMIF('库存（子SKU）'!$C:$C,$A110,'库存（子SKU）'!J:J)</f>
        <v>14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9"/>
        <v>14</v>
      </c>
      <c r="L110">
        <f>SUMIF('库存（子SKU）'!$C:$C,$A110,'库存（子SKU）'!N:N)</f>
        <v>0</v>
      </c>
      <c r="M110">
        <f>SUMIF('库存（子SKU）'!$C:$C,$A110,'库存（子SKU）'!O:O)</f>
        <v>0</v>
      </c>
      <c r="N110">
        <f>SUMIF('库存（子SKU）'!$C:$C,$A110,'库存（子SKU）'!P:P)</f>
        <v>10272</v>
      </c>
      <c r="O110">
        <f>SUMIF('库存（子SKU）'!$C:$C,$A110,'库存（子SKU）'!Q:Q)</f>
        <v>4336</v>
      </c>
      <c r="P110">
        <f>SUMIF('库存（子SKU）'!$C:$C,$A110,'库存（子SKU）'!R:R)</f>
        <v>8129</v>
      </c>
      <c r="Q110">
        <f>SUMIF('库存（子SKU）'!$C:$C,$A110,'库存（子SKU）'!S:S)</f>
        <v>8180</v>
      </c>
      <c r="R110">
        <f>SUMIF('库存（子SKU）'!$C:$C,$A110,'库存（子SKU）'!T:T)</f>
        <v>140</v>
      </c>
      <c r="S110">
        <f>SUMIF('库存（子SKU）'!$C:$C,$A110,'库存（子SKU）'!U:U)</f>
        <v>31</v>
      </c>
      <c r="T110">
        <f>SUMIF('库存（子SKU）'!$C:$C,$A110,'库存（子SKU）'!V:V)</f>
        <v>115</v>
      </c>
      <c r="U110">
        <f>SUMIF('库存（子SKU）'!$C:$C,$A110,'库存（子SKU）'!W:W)</f>
        <v>117</v>
      </c>
      <c r="V110" s="23">
        <f t="shared" si="32"/>
        <v>0.0136292834890966</v>
      </c>
      <c r="W110" s="23">
        <f t="shared" si="33"/>
        <v>0.00714944649446494</v>
      </c>
      <c r="X110" s="23">
        <f t="shared" si="34"/>
        <v>0.0141468815352442</v>
      </c>
      <c r="Y110" s="23">
        <f t="shared" si="35"/>
        <v>0.0143031784841076</v>
      </c>
      <c r="Z110">
        <f>SUMIF('库存（子SKU）'!$C:$C,$A110,'库存（子SKU）'!AB:AB)</f>
        <v>25.92</v>
      </c>
      <c r="AA110">
        <f>SUMIF('库存（子SKU）'!$C:$C,$A110,'库存（子SKU）'!AC:AC)</f>
        <v>4.34</v>
      </c>
      <c r="AB110">
        <f>SUMIF('库存（子SKU）'!$C:$C,$A110,'库存（子SKU）'!AD:AD)</f>
        <v>25</v>
      </c>
      <c r="AC110">
        <f>SUMIF('库存（子SKU）'!$C:$C,$A110,'库存（子SKU）'!AE:AE)</f>
        <v>25.22</v>
      </c>
      <c r="AD110" s="23">
        <f t="shared" si="20"/>
        <v>0.0644095788604458</v>
      </c>
      <c r="AE110" s="23">
        <f t="shared" si="21"/>
        <v>0.00862770284735601</v>
      </c>
      <c r="AF110" s="23">
        <f t="shared" si="22"/>
        <v>0.062123436400893</v>
      </c>
      <c r="AG110" s="23" t="str">
        <f t="shared" si="23"/>
        <v>无销量广告费为25.22</v>
      </c>
      <c r="AH110">
        <f>SUMIF('库存（子SKU）'!$C:$C,$A110,'库存（子SKU）'!AJ:AJ)</f>
        <v>158</v>
      </c>
      <c r="AI110">
        <f>SUMIF('库存（子SKU）'!$C:$C,$A110,'库存（子SKU）'!AK:AK)</f>
        <v>118</v>
      </c>
      <c r="AJ110">
        <f>SUMIF('库存（子SKU）'!$C:$C,$A110,'库存（子SKU）'!AL:AL)</f>
        <v>147</v>
      </c>
      <c r="AK110">
        <f>SUMIF('库存（子SKU）'!$C:$C,$A110,'库存（子SKU）'!AM:AM)</f>
        <v>90</v>
      </c>
      <c r="AL110" s="23">
        <f t="shared" si="24"/>
        <v>0.0253164556962025</v>
      </c>
      <c r="AM110" s="23">
        <f t="shared" si="25"/>
        <v>0.0423728813559322</v>
      </c>
      <c r="AN110" s="23">
        <f t="shared" si="26"/>
        <v>0.0272108843537415</v>
      </c>
      <c r="AO110" s="23">
        <f t="shared" si="27"/>
        <v>0</v>
      </c>
      <c r="AP110" s="7">
        <f t="shared" si="28"/>
        <v>0.571428571428571</v>
      </c>
      <c r="AQ110" s="7">
        <f t="shared" si="29"/>
        <v>34.2857142857143</v>
      </c>
      <c r="AR110" s="7">
        <f t="shared" si="30"/>
        <v>-20.2857142857143</v>
      </c>
      <c r="AS110">
        <f t="shared" si="31"/>
        <v>24</v>
      </c>
      <c r="AT110" s="2">
        <f>IFERROR(时间!$B$4+AS110,"上周无销量")</f>
        <v>43363</v>
      </c>
    </row>
    <row r="111" spans="1:46">
      <c r="A111" t="s">
        <v>501</v>
      </c>
      <c r="B111" s="5">
        <f>SUMIF('库存（子SKU）'!$C:$C,$A111,'库存（子SKU）'!D:D)</f>
        <v>4</v>
      </c>
      <c r="C111" s="5">
        <f>SUMIF('库存（子SKU）'!$C:$C,$A111,'库存（子SKU）'!E:E)</f>
        <v>0</v>
      </c>
      <c r="D111" s="5">
        <f>SUMIF('库存（子SKU）'!$C:$C,$A111,'库存（子SKU）'!F:F)</f>
        <v>0</v>
      </c>
      <c r="E111" s="5">
        <f>SUMIF('库存（子SKU）'!$C:$C,$A111,'库存（子SKU）'!G:G)</f>
        <v>0</v>
      </c>
      <c r="F111" s="6">
        <v>52.99</v>
      </c>
      <c r="G111">
        <f>SUMIF('库存（子SKU）'!$C:$C,$A111,'库存（子SKU）'!I:I)</f>
        <v>36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9"/>
        <v>36</v>
      </c>
      <c r="L111">
        <f>SUMIF('库存（子SKU）'!$C:$C,$A111,'库存（子SKU）'!N:N)</f>
        <v>0</v>
      </c>
      <c r="M111">
        <f>SUMIF('库存（子SKU）'!$C:$C,$A111,'库存（子SKU）'!O:O)</f>
        <v>23</v>
      </c>
      <c r="N111">
        <f>SUMIF('库存（子SKU）'!$C:$C,$A111,'库存（子SKU）'!P:P)</f>
        <v>23544</v>
      </c>
      <c r="O111">
        <f>SUMIF('库存（子SKU）'!$C:$C,$A111,'库存（子SKU）'!Q:Q)</f>
        <v>7247</v>
      </c>
      <c r="P111">
        <f>SUMIF('库存（子SKU）'!$C:$C,$A111,'库存（子SKU）'!R:R)</f>
        <v>3088</v>
      </c>
      <c r="Q111">
        <f>SUMIF('库存（子SKU）'!$C:$C,$A111,'库存（子SKU）'!S:S)</f>
        <v>3110</v>
      </c>
      <c r="R111">
        <f>SUMIF('库存（子SKU）'!$C:$C,$A111,'库存（子SKU）'!T:T)</f>
        <v>125</v>
      </c>
      <c r="S111">
        <f>SUMIF('库存（子SKU）'!$C:$C,$A111,'库存（子SKU）'!U:U)</f>
        <v>57</v>
      </c>
      <c r="T111">
        <f>SUMIF('库存（子SKU）'!$C:$C,$A111,'库存（子SKU）'!V:V)</f>
        <v>57</v>
      </c>
      <c r="U111">
        <f>SUMIF('库存（子SKU）'!$C:$C,$A111,'库存（子SKU）'!W:W)</f>
        <v>57</v>
      </c>
      <c r="V111" s="23">
        <f t="shared" si="32"/>
        <v>0.00530920829085967</v>
      </c>
      <c r="W111" s="23">
        <f t="shared" si="33"/>
        <v>0.00786532358217193</v>
      </c>
      <c r="X111" s="23">
        <f t="shared" si="34"/>
        <v>0.0184585492227979</v>
      </c>
      <c r="Y111" s="23">
        <f t="shared" si="35"/>
        <v>0.0183279742765273</v>
      </c>
      <c r="Z111">
        <f>SUMIF('库存（子SKU）'!$C:$C,$A111,'库存（子SKU）'!AB:AB)</f>
        <v>24.31</v>
      </c>
      <c r="AA111">
        <f>SUMIF('库存（子SKU）'!$C:$C,$A111,'库存（子SKU）'!AC:AC)</f>
        <v>11.32</v>
      </c>
      <c r="AB111">
        <f>SUMIF('库存（子SKU）'!$C:$C,$A111,'库存（子SKU）'!AD:AD)</f>
        <v>18.49</v>
      </c>
      <c r="AC111">
        <f>SUMIF('库存（子SKU）'!$C:$C,$A111,'库存（子SKU）'!AE:AE)</f>
        <v>18.49</v>
      </c>
      <c r="AD111" s="23">
        <f t="shared" si="20"/>
        <v>0.114691451217211</v>
      </c>
      <c r="AE111" s="23" t="str">
        <f t="shared" si="21"/>
        <v>无销量广告费为11.32</v>
      </c>
      <c r="AF111" s="23" t="str">
        <f t="shared" si="22"/>
        <v>无销量广告费为18.49</v>
      </c>
      <c r="AG111" s="23" t="str">
        <f t="shared" si="23"/>
        <v>无销量广告费为18.49</v>
      </c>
      <c r="AH111">
        <f>SUMIF('库存（子SKU）'!$C:$C,$A111,'库存（子SKU）'!AJ:AJ)</f>
        <v>249</v>
      </c>
      <c r="AI111">
        <f>SUMIF('库存（子SKU）'!$C:$C,$A111,'库存（子SKU）'!AK:AK)</f>
        <v>227</v>
      </c>
      <c r="AJ111">
        <f>SUMIF('库存（子SKU）'!$C:$C,$A111,'库存（子SKU）'!AL:AL)</f>
        <v>185</v>
      </c>
      <c r="AK111">
        <f>SUMIF('库存（子SKU）'!$C:$C,$A111,'库存（子SKU）'!AM:AM)</f>
        <v>131</v>
      </c>
      <c r="AL111" s="23">
        <f t="shared" si="24"/>
        <v>0.0160642570281124</v>
      </c>
      <c r="AM111" s="23">
        <f t="shared" si="25"/>
        <v>0</v>
      </c>
      <c r="AN111" s="23">
        <f t="shared" si="26"/>
        <v>0</v>
      </c>
      <c r="AO111" s="23">
        <f t="shared" si="27"/>
        <v>0</v>
      </c>
      <c r="AP111" s="7">
        <f t="shared" si="28"/>
        <v>0.571428571428571</v>
      </c>
      <c r="AQ111" s="7">
        <f t="shared" si="29"/>
        <v>34.2857142857143</v>
      </c>
      <c r="AR111" s="7">
        <f t="shared" si="30"/>
        <v>1.71428571428572</v>
      </c>
      <c r="AS111">
        <f t="shared" si="31"/>
        <v>63</v>
      </c>
      <c r="AT111" s="2">
        <f>IFERROR(时间!$B$4+AS111,"上周无销量")</f>
        <v>43402</v>
      </c>
    </row>
    <row r="112" spans="1:46">
      <c r="A112" t="s">
        <v>510</v>
      </c>
      <c r="B112" s="5">
        <f>SUMIF('库存（子SKU）'!$C:$C,$A112,'库存（子SKU）'!D:D)</f>
        <v>0</v>
      </c>
      <c r="C112" s="5">
        <f>SUMIF('库存（子SKU）'!$C:$C,$A112,'库存（子SKU）'!E:E)</f>
        <v>1</v>
      </c>
      <c r="D112" s="5">
        <f>SUMIF('库存（子SKU）'!$C:$C,$A112,'库存（子SKU）'!F:F)</f>
        <v>0</v>
      </c>
      <c r="E112" s="5">
        <f>SUMIF('库存（子SKU）'!$C:$C,$A112,'库存（子SKU）'!G:G)</f>
        <v>1</v>
      </c>
      <c r="F112" s="6">
        <v>99.99</v>
      </c>
      <c r="G112">
        <f>SUMIF('库存（子SKU）'!$C:$C,$A112,'库存（子SKU）'!I:I)</f>
        <v>6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6</v>
      </c>
      <c r="L112">
        <f>SUMIF('库存（子SKU）'!$C:$C,$A112,'库存（子SKU）'!N:N)</f>
        <v>0</v>
      </c>
      <c r="M112">
        <f>SUMIF('库存（子SKU）'!$C:$C,$A112,'库存（子SKU）'!O:O)</f>
        <v>0</v>
      </c>
      <c r="N112">
        <f>SUMIF('库存（子SKU）'!$C:$C,$A112,'库存（子SKU）'!P:P)</f>
        <v>4230</v>
      </c>
      <c r="O112">
        <f>SUMIF('库存（子SKU）'!$C:$C,$A112,'库存（子SKU）'!Q:Q)</f>
        <v>5110</v>
      </c>
      <c r="P112">
        <f>SUMIF('库存（子SKU）'!$C:$C,$A112,'库存（子SKU）'!R:R)</f>
        <v>8207</v>
      </c>
      <c r="Q112">
        <f>SUMIF('库存（子SKU）'!$C:$C,$A112,'库存（子SKU）'!S:S)</f>
        <v>8246</v>
      </c>
      <c r="R112">
        <f>SUMIF('库存（子SKU）'!$C:$C,$A112,'库存（子SKU）'!T:T)</f>
        <v>28</v>
      </c>
      <c r="S112">
        <f>SUMIF('库存（子SKU）'!$C:$C,$A112,'库存（子SKU）'!U:U)</f>
        <v>23</v>
      </c>
      <c r="T112">
        <f>SUMIF('库存（子SKU）'!$C:$C,$A112,'库存（子SKU）'!V:V)</f>
        <v>49</v>
      </c>
      <c r="U112">
        <f>SUMIF('库存（子SKU）'!$C:$C,$A112,'库存（子SKU）'!W:W)</f>
        <v>49</v>
      </c>
      <c r="V112" s="23">
        <f t="shared" si="32"/>
        <v>0.0066193853427896</v>
      </c>
      <c r="W112" s="23">
        <f t="shared" si="33"/>
        <v>0.00450097847358121</v>
      </c>
      <c r="X112" s="23">
        <f t="shared" si="34"/>
        <v>0.00597051297672718</v>
      </c>
      <c r="Y112" s="23">
        <f t="shared" si="35"/>
        <v>0.00594227504244482</v>
      </c>
      <c r="Z112">
        <f>SUMIF('库存（子SKU）'!$C:$C,$A112,'库存（子SKU）'!AB:AB)</f>
        <v>6.25</v>
      </c>
      <c r="AA112">
        <f>SUMIF('库存（子SKU）'!$C:$C,$A112,'库存（子SKU）'!AC:AC)</f>
        <v>5.94</v>
      </c>
      <c r="AB112">
        <f>SUMIF('库存（子SKU）'!$C:$C,$A112,'库存（子SKU）'!AD:AD)</f>
        <v>14.84</v>
      </c>
      <c r="AC112">
        <f>SUMIF('库存（子SKU）'!$C:$C,$A112,'库存（子SKU）'!AE:AE)</f>
        <v>14.84</v>
      </c>
      <c r="AD112" s="23" t="str">
        <f t="shared" si="20"/>
        <v>无销量广告费为6.25</v>
      </c>
      <c r="AE112" s="23">
        <f t="shared" si="21"/>
        <v>0.0594059405940594</v>
      </c>
      <c r="AF112" s="23" t="str">
        <f t="shared" si="22"/>
        <v>无销量广告费为14.84</v>
      </c>
      <c r="AG112" s="23">
        <f t="shared" si="23"/>
        <v>0.148414841484148</v>
      </c>
      <c r="AH112">
        <f>SUMIF('库存（子SKU）'!$C:$C,$A112,'库存（子SKU）'!AJ:AJ)</f>
        <v>44</v>
      </c>
      <c r="AI112">
        <f>SUMIF('库存（子SKU）'!$C:$C,$A112,'库存（子SKU）'!AK:AK)</f>
        <v>66</v>
      </c>
      <c r="AJ112">
        <f>SUMIF('库存（子SKU）'!$C:$C,$A112,'库存（子SKU）'!AL:AL)</f>
        <v>40</v>
      </c>
      <c r="AK112">
        <f>SUMIF('库存（子SKU）'!$C:$C,$A112,'库存（子SKU）'!AM:AM)</f>
        <v>46</v>
      </c>
      <c r="AL112" s="23">
        <f t="shared" si="24"/>
        <v>0</v>
      </c>
      <c r="AM112" s="23">
        <f t="shared" si="25"/>
        <v>0.0151515151515152</v>
      </c>
      <c r="AN112" s="23">
        <f t="shared" si="26"/>
        <v>0</v>
      </c>
      <c r="AO112" s="23">
        <f t="shared" si="27"/>
        <v>0.0217391304347826</v>
      </c>
      <c r="AP112" s="7">
        <f t="shared" si="28"/>
        <v>0</v>
      </c>
      <c r="AQ112" s="7">
        <f t="shared" si="29"/>
        <v>0</v>
      </c>
      <c r="AR112" s="7">
        <f t="shared" si="30"/>
        <v>6</v>
      </c>
      <c r="AS112" t="str">
        <f t="shared" si="31"/>
        <v>库存为6</v>
      </c>
      <c r="AT112" s="2" t="str">
        <f>IFERROR(时间!$B$4+AS112,"上周无销量")</f>
        <v>上周无销量</v>
      </c>
    </row>
    <row r="113" spans="1:46">
      <c r="A113" t="s">
        <v>514</v>
      </c>
      <c r="B113" s="5">
        <f>SUMIF('库存（子SKU）'!$C:$C,$A113,'库存（子SKU）'!D:D)</f>
        <v>2</v>
      </c>
      <c r="C113" s="5">
        <f>SUMIF('库存（子SKU）'!$C:$C,$A113,'库存（子SKU）'!E:E)</f>
        <v>1</v>
      </c>
      <c r="D113" s="5">
        <f>SUMIF('库存（子SKU）'!$C:$C,$A113,'库存（子SKU）'!F:F)</f>
        <v>1</v>
      </c>
      <c r="E113" s="5">
        <f>SUMIF('库存（子SKU）'!$C:$C,$A113,'库存（子SKU）'!G:G)</f>
        <v>0</v>
      </c>
      <c r="F113" s="6">
        <v>108.99</v>
      </c>
      <c r="G113">
        <f>SUMIF('库存（子SKU）'!$C:$C,$A113,'库存（子SKU）'!I:I)</f>
        <v>9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9"/>
        <v>9</v>
      </c>
      <c r="L113">
        <f>SUMIF('库存（子SKU）'!$C:$C,$A113,'库存（子SKU）'!N:N)</f>
        <v>0</v>
      </c>
      <c r="M113">
        <f>SUMIF('库存（子SKU）'!$C:$C,$A113,'库存（子SKU）'!O:O)</f>
        <v>0</v>
      </c>
      <c r="N113">
        <f>SUMIF('库存（子SKU）'!$C:$C,$A113,'库存（子SKU）'!P:P)</f>
        <v>30407</v>
      </c>
      <c r="O113">
        <f>SUMIF('库存（子SKU）'!$C:$C,$A113,'库存（子SKU）'!Q:Q)</f>
        <v>28752</v>
      </c>
      <c r="P113">
        <f>SUMIF('库存（子SKU）'!$C:$C,$A113,'库存（子SKU）'!R:R)</f>
        <v>68946</v>
      </c>
      <c r="Q113">
        <f>SUMIF('库存（子SKU）'!$C:$C,$A113,'库存（子SKU）'!S:S)</f>
        <v>69070</v>
      </c>
      <c r="R113">
        <f>SUMIF('库存（子SKU）'!$C:$C,$A113,'库存（子SKU）'!T:T)</f>
        <v>203</v>
      </c>
      <c r="S113">
        <f>SUMIF('库存（子SKU）'!$C:$C,$A113,'库存（子SKU）'!U:U)</f>
        <v>184</v>
      </c>
      <c r="T113">
        <f>SUMIF('库存（子SKU）'!$C:$C,$A113,'库存（子SKU）'!V:V)</f>
        <v>262</v>
      </c>
      <c r="U113">
        <f>SUMIF('库存（子SKU）'!$C:$C,$A113,'库存（子SKU）'!W:W)</f>
        <v>262</v>
      </c>
      <c r="V113" s="23">
        <f t="shared" si="32"/>
        <v>0.00667609432038675</v>
      </c>
      <c r="W113" s="23">
        <f t="shared" si="33"/>
        <v>0.00639955481357819</v>
      </c>
      <c r="X113" s="23">
        <f t="shared" si="34"/>
        <v>0.00380007542134424</v>
      </c>
      <c r="Y113" s="23">
        <f t="shared" si="35"/>
        <v>0.00379325322136963</v>
      </c>
      <c r="Z113">
        <f>SUMIF('库存（子SKU）'!$C:$C,$A113,'库存（子SKU）'!AB:AB)</f>
        <v>54.94</v>
      </c>
      <c r="AA113">
        <f>SUMIF('库存（子SKU）'!$C:$C,$A113,'库存（子SKU）'!AC:AC)</f>
        <v>48.74</v>
      </c>
      <c r="AB113">
        <f>SUMIF('库存（子SKU）'!$C:$C,$A113,'库存（子SKU）'!AD:AD)</f>
        <v>60.22</v>
      </c>
      <c r="AC113">
        <f>SUMIF('库存（子SKU）'!$C:$C,$A113,'库存（子SKU）'!AE:AE)</f>
        <v>60.22</v>
      </c>
      <c r="AD113" s="23">
        <f t="shared" si="20"/>
        <v>0.252041471694651</v>
      </c>
      <c r="AE113" s="23">
        <f t="shared" si="21"/>
        <v>0.447196990549592</v>
      </c>
      <c r="AF113" s="23">
        <f t="shared" si="22"/>
        <v>0.552527754839894</v>
      </c>
      <c r="AG113" s="23" t="str">
        <f t="shared" si="23"/>
        <v>无销量广告费为60.22</v>
      </c>
      <c r="AH113">
        <f>SUMIF('库存（子SKU）'!$C:$C,$A113,'库存（子SKU）'!AJ:AJ)</f>
        <v>286</v>
      </c>
      <c r="AI113">
        <f>SUMIF('库存（子SKU）'!$C:$C,$A113,'库存（子SKU）'!AK:AK)</f>
        <v>301</v>
      </c>
      <c r="AJ113">
        <f>SUMIF('库存（子SKU）'!$C:$C,$A113,'库存（子SKU）'!AL:AL)</f>
        <v>174</v>
      </c>
      <c r="AK113">
        <f>SUMIF('库存（子SKU）'!$C:$C,$A113,'库存（子SKU）'!AM:AM)</f>
        <v>124</v>
      </c>
      <c r="AL113" s="23">
        <f t="shared" si="24"/>
        <v>0.00699300699300699</v>
      </c>
      <c r="AM113" s="23">
        <f t="shared" si="25"/>
        <v>0.00332225913621262</v>
      </c>
      <c r="AN113" s="23">
        <f t="shared" si="26"/>
        <v>0.00574712643678161</v>
      </c>
      <c r="AO113" s="23">
        <f t="shared" si="27"/>
        <v>0</v>
      </c>
      <c r="AP113" s="7">
        <f t="shared" si="28"/>
        <v>0.285714285714286</v>
      </c>
      <c r="AQ113" s="7">
        <f t="shared" si="29"/>
        <v>17.1428571428571</v>
      </c>
      <c r="AR113" s="7">
        <f t="shared" si="30"/>
        <v>-8.14285714285714</v>
      </c>
      <c r="AS113">
        <f t="shared" si="31"/>
        <v>31</v>
      </c>
      <c r="AT113" s="2">
        <f>IFERROR(时间!$B$4+AS113,"上周无销量")</f>
        <v>43370</v>
      </c>
    </row>
    <row r="114" spans="1:46">
      <c r="A114" t="s">
        <v>517</v>
      </c>
      <c r="B114" s="5">
        <f>SUMIF('库存（子SKU）'!$C:$C,$A114,'库存（子SKU）'!D:D)</f>
        <v>1</v>
      </c>
      <c r="C114" s="5">
        <f>SUMIF('库存（子SKU）'!$C:$C,$A114,'库存（子SKU）'!E:E)</f>
        <v>0</v>
      </c>
      <c r="D114" s="5">
        <f>SUMIF('库存（子SKU）'!$C:$C,$A114,'库存（子SKU）'!F:F)</f>
        <v>3</v>
      </c>
      <c r="E114" s="5">
        <f>SUMIF('库存（子SKU）'!$C:$C,$A114,'库存（子SKU）'!G:G)</f>
        <v>2</v>
      </c>
      <c r="F114" s="6">
        <v>108.99</v>
      </c>
      <c r="G114">
        <f>SUMIF('库存（子SKU）'!$C:$C,$A114,'库存（子SKU）'!I:I)</f>
        <v>4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9"/>
        <v>4</v>
      </c>
      <c r="L114">
        <f>SUMIF('库存（子SKU）'!$C:$C,$A114,'库存（子SKU）'!N:N)</f>
        <v>0</v>
      </c>
      <c r="M114">
        <f>SUMIF('库存（子SKU）'!$C:$C,$A114,'库存（子SKU）'!O:O)</f>
        <v>0</v>
      </c>
      <c r="N114">
        <f>SUMIF('库存（子SKU）'!$C:$C,$A114,'库存（子SKU）'!P:P)</f>
        <v>8688</v>
      </c>
      <c r="O114">
        <f>SUMIF('库存（子SKU）'!$C:$C,$A114,'库存（子SKU）'!Q:Q)</f>
        <v>0</v>
      </c>
      <c r="P114">
        <f>SUMIF('库存（子SKU）'!$C:$C,$A114,'库存（子SKU）'!R:R)</f>
        <v>69100</v>
      </c>
      <c r="Q114">
        <f>SUMIF('库存（子SKU）'!$C:$C,$A114,'库存（子SKU）'!S:S)</f>
        <v>69142</v>
      </c>
      <c r="R114">
        <f>SUMIF('库存（子SKU）'!$C:$C,$A114,'库存（子SKU）'!T:T)</f>
        <v>42</v>
      </c>
      <c r="S114">
        <f>SUMIF('库存（子SKU）'!$C:$C,$A114,'库存（子SKU）'!U:U)</f>
        <v>0</v>
      </c>
      <c r="T114">
        <f>SUMIF('库存（子SKU）'!$C:$C,$A114,'库存（子SKU）'!V:V)</f>
        <v>281</v>
      </c>
      <c r="U114">
        <f>SUMIF('库存（子SKU）'!$C:$C,$A114,'库存（子SKU）'!W:W)</f>
        <v>281</v>
      </c>
      <c r="V114" s="23">
        <f t="shared" si="32"/>
        <v>0.00483425414364641</v>
      </c>
      <c r="W114" s="23" t="str">
        <f t="shared" si="33"/>
        <v/>
      </c>
      <c r="X114" s="23">
        <f t="shared" si="34"/>
        <v>0.00406657018813314</v>
      </c>
      <c r="Y114" s="23">
        <f t="shared" si="35"/>
        <v>0.00406409996818142</v>
      </c>
      <c r="Z114">
        <f>SUMIF('库存（子SKU）'!$C:$C,$A114,'库存（子SKU）'!AB:AB)</f>
        <v>12.21</v>
      </c>
      <c r="AA114">
        <f>SUMIF('库存（子SKU）'!$C:$C,$A114,'库存（子SKU）'!AC:AC)</f>
        <v>0</v>
      </c>
      <c r="AB114">
        <f>SUMIF('库存（子SKU）'!$C:$C,$A114,'库存（子SKU）'!AD:AD)</f>
        <v>83.43</v>
      </c>
      <c r="AC114">
        <f>SUMIF('库存（子SKU）'!$C:$C,$A114,'库存（子SKU）'!AE:AE)</f>
        <v>83.43</v>
      </c>
      <c r="AD114" s="23">
        <f t="shared" si="20"/>
        <v>0.112028626479494</v>
      </c>
      <c r="AE114" s="23" t="str">
        <f t="shared" si="21"/>
        <v/>
      </c>
      <c r="AF114" s="23">
        <f t="shared" si="22"/>
        <v>0.255161023947151</v>
      </c>
      <c r="AG114" s="23">
        <f t="shared" si="23"/>
        <v>0.382741535920727</v>
      </c>
      <c r="AH114">
        <f>SUMIF('库存（子SKU）'!$C:$C,$A114,'库存（子SKU）'!AJ:AJ)</f>
        <v>37</v>
      </c>
      <c r="AI114">
        <f>SUMIF('库存（子SKU）'!$C:$C,$A114,'库存（子SKU）'!AK:AK)</f>
        <v>0</v>
      </c>
      <c r="AJ114">
        <f>SUMIF('库存（子SKU）'!$C:$C,$A114,'库存（子SKU）'!AL:AL)</f>
        <v>100</v>
      </c>
      <c r="AK114">
        <f>SUMIF('库存（子SKU）'!$C:$C,$A114,'库存（子SKU）'!AM:AM)</f>
        <v>79</v>
      </c>
      <c r="AL114" s="23">
        <f t="shared" si="24"/>
        <v>0.027027027027027</v>
      </c>
      <c r="AM114" s="23" t="str">
        <f t="shared" si="25"/>
        <v/>
      </c>
      <c r="AN114" s="23">
        <f t="shared" si="26"/>
        <v>0.03</v>
      </c>
      <c r="AO114" s="23">
        <f t="shared" si="27"/>
        <v>0.0253164556962025</v>
      </c>
      <c r="AP114" s="7">
        <f t="shared" si="28"/>
        <v>0.142857142857143</v>
      </c>
      <c r="AQ114" s="7">
        <f t="shared" si="29"/>
        <v>8.57142857142857</v>
      </c>
      <c r="AR114" s="7">
        <f t="shared" si="30"/>
        <v>-4.57142857142857</v>
      </c>
      <c r="AS114">
        <f t="shared" si="31"/>
        <v>28</v>
      </c>
      <c r="AT114" s="2">
        <f>IFERROR(时间!$B$4+AS114,"上周无销量")</f>
        <v>43367</v>
      </c>
    </row>
    <row r="115" spans="1:46">
      <c r="A115" t="s">
        <v>520</v>
      </c>
      <c r="B115" s="5">
        <f>SUMIF('库存（子SKU）'!$C:$C,$A115,'库存（子SKU）'!D:D)</f>
        <v>0</v>
      </c>
      <c r="C115" s="5">
        <f>SUMIF('库存（子SKU）'!$C:$C,$A115,'库存（子SKU）'!E:E)</f>
        <v>0</v>
      </c>
      <c r="D115" s="5">
        <f>SUMIF('库存（子SKU）'!$C:$C,$A115,'库存（子SKU）'!F:F)</f>
        <v>0</v>
      </c>
      <c r="E115" s="5">
        <f>SUMIF('库存（子SKU）'!$C:$C,$A115,'库存（子SKU）'!G:G)</f>
        <v>0</v>
      </c>
      <c r="F115" s="6" t="s">
        <v>54</v>
      </c>
      <c r="G115">
        <f>SUMIF('库存（子SKU）'!$C:$C,$A115,'库存（子SKU）'!I:I)</f>
        <v>3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9"/>
        <v>3</v>
      </c>
      <c r="L115">
        <f>SUMIF('库存（子SKU）'!$C:$C,$A115,'库存（子SKU）'!N:N)</f>
        <v>0</v>
      </c>
      <c r="M115">
        <f>SUMIF('库存（子SKU）'!$C:$C,$A115,'库存（子SKU）'!O:O)</f>
        <v>0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23" t="str">
        <f t="shared" si="32"/>
        <v/>
      </c>
      <c r="W115" s="23" t="str">
        <f t="shared" si="33"/>
        <v/>
      </c>
      <c r="X115" s="23" t="str">
        <f t="shared" si="34"/>
        <v/>
      </c>
      <c r="Y115" s="23" t="str">
        <f t="shared" si="35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23" t="str">
        <f t="shared" si="20"/>
        <v/>
      </c>
      <c r="AE115" s="23" t="str">
        <f t="shared" si="21"/>
        <v/>
      </c>
      <c r="AF115" s="23" t="str">
        <f t="shared" si="22"/>
        <v/>
      </c>
      <c r="AG115" s="23" t="str">
        <f t="shared" si="23"/>
        <v/>
      </c>
      <c r="AH115">
        <f>SUMIF('库存（子SKU）'!$C:$C,$A115,'库存（子SKU）'!AJ:AJ)</f>
        <v>8</v>
      </c>
      <c r="AI115">
        <f>SUMIF('库存（子SKU）'!$C:$C,$A115,'库存（子SKU）'!AK:AK)</f>
        <v>13</v>
      </c>
      <c r="AJ115">
        <f>SUMIF('库存（子SKU）'!$C:$C,$A115,'库存（子SKU）'!AL:AL)</f>
        <v>3</v>
      </c>
      <c r="AK115">
        <f>SUMIF('库存（子SKU）'!$C:$C,$A115,'库存（子SKU）'!AM:AM)</f>
        <v>0</v>
      </c>
      <c r="AL115" s="23">
        <f t="shared" si="24"/>
        <v>0</v>
      </c>
      <c r="AM115" s="23">
        <f t="shared" si="25"/>
        <v>0</v>
      </c>
      <c r="AN115" s="23">
        <f t="shared" si="26"/>
        <v>0</v>
      </c>
      <c r="AO115" s="23" t="str">
        <f t="shared" si="27"/>
        <v/>
      </c>
      <c r="AP115" s="7">
        <f t="shared" si="28"/>
        <v>0</v>
      </c>
      <c r="AQ115" s="7">
        <f t="shared" si="29"/>
        <v>0</v>
      </c>
      <c r="AR115" s="7">
        <f t="shared" si="30"/>
        <v>3</v>
      </c>
      <c r="AS115" t="str">
        <f t="shared" si="31"/>
        <v>库存为3</v>
      </c>
      <c r="AT115" s="2" t="str">
        <f>IFERROR(时间!$B$4+AS115,"上周无销量")</f>
        <v>上周无销量</v>
      </c>
    </row>
    <row r="116" spans="1:46">
      <c r="A116" t="s">
        <v>523</v>
      </c>
      <c r="B116" s="5">
        <f>SUMIF('库存（子SKU）'!$C:$C,$A116,'库存（子SKU）'!D:D)</f>
        <v>0</v>
      </c>
      <c r="C116" s="5">
        <f>SUMIF('库存（子SKU）'!$C:$C,$A116,'库存（子SKU）'!E:E)</f>
        <v>0</v>
      </c>
      <c r="D116" s="5">
        <f>SUMIF('库存（子SKU）'!$C:$C,$A116,'库存（子SKU）'!F:F)</f>
        <v>0</v>
      </c>
      <c r="E116" s="5">
        <f>SUMIF('库存（子SKU）'!$C:$C,$A116,'库存（子SKU）'!G:G)</f>
        <v>0</v>
      </c>
      <c r="F116" s="6" t="s">
        <v>54</v>
      </c>
      <c r="G116">
        <f>SUMIF('库存（子SKU）'!$C:$C,$A116,'库存（子SKU）'!I:I)</f>
        <v>0</v>
      </c>
      <c r="H116">
        <f>SUMIF('库存（子SKU）'!$C:$C,$A116,'库存（子SKU）'!J:J)</f>
        <v>3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9"/>
        <v>3</v>
      </c>
      <c r="L116">
        <f>SUMIF('库存（子SKU）'!$C:$C,$A116,'库存（子SKU）'!N:N)</f>
        <v>0</v>
      </c>
      <c r="M116">
        <f>SUMIF('库存（子SKU）'!$C:$C,$A116,'库存（子SKU）'!O:O)</f>
        <v>0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23" t="str">
        <f t="shared" si="32"/>
        <v/>
      </c>
      <c r="W116" s="23" t="str">
        <f t="shared" si="33"/>
        <v/>
      </c>
      <c r="X116" s="23" t="str">
        <f t="shared" si="34"/>
        <v/>
      </c>
      <c r="Y116" s="23" t="str">
        <f t="shared" si="35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23" t="str">
        <f t="shared" si="20"/>
        <v/>
      </c>
      <c r="AE116" s="23" t="str">
        <f t="shared" si="21"/>
        <v/>
      </c>
      <c r="AF116" s="23" t="str">
        <f t="shared" si="22"/>
        <v/>
      </c>
      <c r="AG116" s="23" t="str">
        <f t="shared" si="23"/>
        <v/>
      </c>
      <c r="AH116">
        <f>SUMIF('库存（子SKU）'!$C:$C,$A116,'库存（子SKU）'!AJ:AJ)</f>
        <v>0</v>
      </c>
      <c r="AI116">
        <f>SUMIF('库存（子SKU）'!$C:$C,$A116,'库存（子SKU）'!AK:AK)</f>
        <v>0</v>
      </c>
      <c r="AJ116">
        <f>SUMIF('库存（子SKU）'!$C:$C,$A116,'库存（子SKU）'!AL:AL)</f>
        <v>0</v>
      </c>
      <c r="AK116">
        <f>SUMIF('库存（子SKU）'!$C:$C,$A116,'库存（子SKU）'!AM:AM)</f>
        <v>0</v>
      </c>
      <c r="AL116" s="23" t="str">
        <f t="shared" si="24"/>
        <v/>
      </c>
      <c r="AM116" s="23" t="str">
        <f t="shared" si="25"/>
        <v/>
      </c>
      <c r="AN116" s="23" t="str">
        <f t="shared" si="26"/>
        <v/>
      </c>
      <c r="AO116" s="23" t="str">
        <f t="shared" si="27"/>
        <v/>
      </c>
      <c r="AP116" s="7">
        <f t="shared" si="28"/>
        <v>0</v>
      </c>
      <c r="AQ116" s="7">
        <f t="shared" si="29"/>
        <v>0</v>
      </c>
      <c r="AR116" s="7">
        <f t="shared" si="30"/>
        <v>3</v>
      </c>
      <c r="AS116" t="str">
        <f t="shared" si="31"/>
        <v>库存为3</v>
      </c>
      <c r="AT116" s="2" t="str">
        <f>IFERROR(时间!$B$4+AS116,"上周无销量")</f>
        <v>上周无销量</v>
      </c>
    </row>
    <row r="117" spans="1:46">
      <c r="A117" t="s">
        <v>526</v>
      </c>
      <c r="B117" s="5">
        <f>SUMIF('库存（子SKU）'!$C:$C,$A117,'库存（子SKU）'!D:D)</f>
        <v>0</v>
      </c>
      <c r="C117" s="5">
        <f>SUMIF('库存（子SKU）'!$C:$C,$A117,'库存（子SKU）'!E:E)</f>
        <v>1</v>
      </c>
      <c r="D117" s="5">
        <f>SUMIF('库存（子SKU）'!$C:$C,$A117,'库存（子SKU）'!F:F)</f>
        <v>0</v>
      </c>
      <c r="E117" s="5">
        <f>SUMIF('库存（子SKU）'!$C:$C,$A117,'库存（子SKU）'!G:G)</f>
        <v>0</v>
      </c>
      <c r="F117" s="6">
        <v>79.99</v>
      </c>
      <c r="G117">
        <f>SUMIF('库存（子SKU）'!$C:$C,$A117,'库存（子SKU）'!I:I)</f>
        <v>0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1</v>
      </c>
      <c r="K117">
        <f t="shared" si="19"/>
        <v>1</v>
      </c>
      <c r="L117">
        <f>SUMIF('库存（子SKU）'!$C:$C,$A117,'库存（子SKU）'!N:N)</f>
        <v>0</v>
      </c>
      <c r="M117">
        <f>SUMIF('库存（子SKU）'!$C:$C,$A117,'库存（子SKU）'!O:O)</f>
        <v>0</v>
      </c>
      <c r="N117">
        <f>SUMIF('库存（子SKU）'!$C:$C,$A117,'库存（子SKU）'!P:P)</f>
        <v>3604</v>
      </c>
      <c r="O117">
        <f>SUMIF('库存（子SKU）'!$C:$C,$A117,'库存（子SKU）'!Q:Q)</f>
        <v>3229</v>
      </c>
      <c r="P117">
        <f>SUMIF('库存（子SKU）'!$C:$C,$A117,'库存（子SKU）'!R:R)</f>
        <v>173</v>
      </c>
      <c r="Q117">
        <f>SUMIF('库存（子SKU）'!$C:$C,$A117,'库存（子SKU）'!S:S)</f>
        <v>187</v>
      </c>
      <c r="R117">
        <f>SUMIF('库存（子SKU）'!$C:$C,$A117,'库存（子SKU）'!T:T)</f>
        <v>26</v>
      </c>
      <c r="S117">
        <f>SUMIF('库存（子SKU）'!$C:$C,$A117,'库存（子SKU）'!U:U)</f>
        <v>21</v>
      </c>
      <c r="T117">
        <f>SUMIF('库存（子SKU）'!$C:$C,$A117,'库存（子SKU）'!V:V)</f>
        <v>2</v>
      </c>
      <c r="U117">
        <f>SUMIF('库存（子SKU）'!$C:$C,$A117,'库存（子SKU）'!W:W)</f>
        <v>2</v>
      </c>
      <c r="V117" s="23">
        <f t="shared" si="32"/>
        <v>0.0072142064372919</v>
      </c>
      <c r="W117" s="23">
        <f t="shared" si="33"/>
        <v>0.0065035614741406</v>
      </c>
      <c r="X117" s="23">
        <f t="shared" si="34"/>
        <v>0.0115606936416185</v>
      </c>
      <c r="Y117" s="23">
        <f t="shared" si="35"/>
        <v>0.0106951871657754</v>
      </c>
      <c r="Z117">
        <f>SUMIF('库存（子SKU）'!$C:$C,$A117,'库存（子SKU）'!AB:AB)</f>
        <v>7.39</v>
      </c>
      <c r="AA117">
        <f>SUMIF('库存（子SKU）'!$C:$C,$A117,'库存（子SKU）'!AC:AC)</f>
        <v>5.65</v>
      </c>
      <c r="AB117">
        <f>SUMIF('库存（子SKU）'!$C:$C,$A117,'库存（子SKU）'!AD:AD)</f>
        <v>0.64</v>
      </c>
      <c r="AC117">
        <f>SUMIF('库存（子SKU）'!$C:$C,$A117,'库存（子SKU）'!AE:AE)</f>
        <v>0.64</v>
      </c>
      <c r="AD117" s="23" t="str">
        <f t="shared" si="20"/>
        <v>无销量广告费为7.39</v>
      </c>
      <c r="AE117" s="23">
        <f t="shared" si="21"/>
        <v>0.0706338292286536</v>
      </c>
      <c r="AF117" s="23" t="str">
        <f t="shared" si="22"/>
        <v>无销量广告费为0.64</v>
      </c>
      <c r="AG117" s="23" t="str">
        <f t="shared" si="23"/>
        <v>无销量广告费为0.64</v>
      </c>
      <c r="AH117">
        <f>SUMIF('库存（子SKU）'!$C:$C,$A117,'库存（子SKU）'!AJ:AJ)</f>
        <v>31</v>
      </c>
      <c r="AI117">
        <f>SUMIF('库存（子SKU）'!$C:$C,$A117,'库存（子SKU）'!AK:AK)</f>
        <v>36</v>
      </c>
      <c r="AJ117">
        <f>SUMIF('库存（子SKU）'!$C:$C,$A117,'库存（子SKU）'!AL:AL)</f>
        <v>24</v>
      </c>
      <c r="AK117">
        <f>SUMIF('库存（子SKU）'!$C:$C,$A117,'库存（子SKU）'!AM:AM)</f>
        <v>6</v>
      </c>
      <c r="AL117" s="23">
        <f t="shared" si="24"/>
        <v>0</v>
      </c>
      <c r="AM117" s="23">
        <f t="shared" si="25"/>
        <v>0.0277777777777778</v>
      </c>
      <c r="AN117" s="23">
        <f t="shared" si="26"/>
        <v>0</v>
      </c>
      <c r="AO117" s="23">
        <f t="shared" si="27"/>
        <v>0</v>
      </c>
      <c r="AP117" s="7">
        <f t="shared" si="28"/>
        <v>0</v>
      </c>
      <c r="AQ117" s="7">
        <f t="shared" si="29"/>
        <v>0</v>
      </c>
      <c r="AR117" s="7">
        <f t="shared" si="30"/>
        <v>1</v>
      </c>
      <c r="AS117" t="str">
        <f t="shared" si="31"/>
        <v>库存为1</v>
      </c>
      <c r="AT117" s="2" t="str">
        <f>IFERROR(时间!$B$4+AS117,"上周无销量")</f>
        <v>上周无销量</v>
      </c>
    </row>
    <row r="118" spans="1:46">
      <c r="A118" t="s">
        <v>531</v>
      </c>
      <c r="B118" s="5">
        <f>SUMIF('库存（子SKU）'!$C:$C,$A118,'库存（子SKU）'!D:D)</f>
        <v>0</v>
      </c>
      <c r="C118" s="5">
        <f>SUMIF('库存（子SKU）'!$C:$C,$A118,'库存（子SKU）'!E:E)</f>
        <v>2</v>
      </c>
      <c r="D118" s="5">
        <f>SUMIF('库存（子SKU）'!$C:$C,$A118,'库存（子SKU）'!F:F)</f>
        <v>0</v>
      </c>
      <c r="E118" s="5">
        <f>SUMIF('库存（子SKU）'!$C:$C,$A118,'库存（子SKU）'!G:G)</f>
        <v>0</v>
      </c>
      <c r="F118" s="6">
        <v>109.99</v>
      </c>
      <c r="G118">
        <f>SUMIF('库存（子SKU）'!$C:$C,$A118,'库存（子SKU）'!I:I)</f>
        <v>4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9"/>
        <v>4</v>
      </c>
      <c r="L118">
        <f>SUMIF('库存（子SKU）'!$C:$C,$A118,'库存（子SKU）'!N:N)</f>
        <v>0</v>
      </c>
      <c r="M118">
        <f>SUMIF('库存（子SKU）'!$C:$C,$A118,'库存（子SKU）'!O:O)</f>
        <v>0</v>
      </c>
      <c r="N118">
        <f>SUMIF('库存（子SKU）'!$C:$C,$A118,'库存（子SKU）'!P:P)</f>
        <v>18</v>
      </c>
      <c r="O118">
        <f>SUMIF('库存（子SKU）'!$C:$C,$A118,'库存（子SKU）'!Q:Q)</f>
        <v>14468</v>
      </c>
      <c r="P118">
        <f>SUMIF('库存（子SKU）'!$C:$C,$A118,'库存（子SKU）'!R:R)</f>
        <v>262</v>
      </c>
      <c r="Q118">
        <f>SUMIF('库存（子SKU）'!$C:$C,$A118,'库存（子SKU）'!S:S)</f>
        <v>269</v>
      </c>
      <c r="R118">
        <f>SUMIF('库存（子SKU）'!$C:$C,$A118,'库存（子SKU）'!T:T)</f>
        <v>1</v>
      </c>
      <c r="S118">
        <f>SUMIF('库存（子SKU）'!$C:$C,$A118,'库存（子SKU）'!U:U)</f>
        <v>157</v>
      </c>
      <c r="T118">
        <f>SUMIF('库存（子SKU）'!$C:$C,$A118,'库存（子SKU）'!V:V)</f>
        <v>5</v>
      </c>
      <c r="U118">
        <f>SUMIF('库存（子SKU）'!$C:$C,$A118,'库存（子SKU）'!W:W)</f>
        <v>5</v>
      </c>
      <c r="V118" s="23">
        <f t="shared" si="32"/>
        <v>0.0555555555555556</v>
      </c>
      <c r="W118" s="23">
        <f t="shared" si="33"/>
        <v>0.0108515344207907</v>
      </c>
      <c r="X118" s="23">
        <f t="shared" si="34"/>
        <v>0.0190839694656489</v>
      </c>
      <c r="Y118" s="23">
        <f t="shared" si="35"/>
        <v>0.0185873605947955</v>
      </c>
      <c r="Z118">
        <f>SUMIF('库存（子SKU）'!$C:$C,$A118,'库存（子SKU）'!AB:AB)</f>
        <v>0.02</v>
      </c>
      <c r="AA118">
        <f>SUMIF('库存（子SKU）'!$C:$C,$A118,'库存（子SKU）'!AC:AC)</f>
        <v>42.01</v>
      </c>
      <c r="AB118">
        <f>SUMIF('库存（子SKU）'!$C:$C,$A118,'库存（子SKU）'!AD:AD)</f>
        <v>2.06</v>
      </c>
      <c r="AC118">
        <f>SUMIF('库存（子SKU）'!$C:$C,$A118,'库存（子SKU）'!AE:AE)</f>
        <v>2.06</v>
      </c>
      <c r="AD118" s="23" t="str">
        <f t="shared" si="20"/>
        <v>无销量广告费为0.02</v>
      </c>
      <c r="AE118" s="23">
        <f t="shared" si="21"/>
        <v>0.190971906536958</v>
      </c>
      <c r="AF118" s="23" t="str">
        <f t="shared" si="22"/>
        <v>无销量广告费为2.06</v>
      </c>
      <c r="AG118" s="23" t="str">
        <f t="shared" si="23"/>
        <v>无销量广告费为2.06</v>
      </c>
      <c r="AH118">
        <f>SUMIF('库存（子SKU）'!$C:$C,$A118,'库存（子SKU）'!AJ:AJ)</f>
        <v>94</v>
      </c>
      <c r="AI118">
        <f>SUMIF('库存（子SKU）'!$C:$C,$A118,'库存（子SKU）'!AK:AK)</f>
        <v>284</v>
      </c>
      <c r="AJ118">
        <f>SUMIF('库存（子SKU）'!$C:$C,$A118,'库存（子SKU）'!AL:AL)</f>
        <v>178</v>
      </c>
      <c r="AK118">
        <f>SUMIF('库存（子SKU）'!$C:$C,$A118,'库存（子SKU）'!AM:AM)</f>
        <v>46</v>
      </c>
      <c r="AL118" s="23">
        <f t="shared" si="24"/>
        <v>0</v>
      </c>
      <c r="AM118" s="23">
        <f t="shared" si="25"/>
        <v>0.00704225352112676</v>
      </c>
      <c r="AN118" s="23">
        <f t="shared" si="26"/>
        <v>0</v>
      </c>
      <c r="AO118" s="23">
        <f t="shared" si="27"/>
        <v>0</v>
      </c>
      <c r="AP118" s="7">
        <f t="shared" si="28"/>
        <v>0</v>
      </c>
      <c r="AQ118" s="7">
        <f t="shared" si="29"/>
        <v>0</v>
      </c>
      <c r="AR118" s="7">
        <f t="shared" si="30"/>
        <v>4</v>
      </c>
      <c r="AS118" t="str">
        <f t="shared" si="31"/>
        <v>库存为4</v>
      </c>
      <c r="AT118" s="2" t="str">
        <f>IFERROR(时间!$B$4+AS118,"上周无销量")</f>
        <v>上周无销量</v>
      </c>
    </row>
    <row r="119" spans="1:46">
      <c r="A119" t="s">
        <v>536</v>
      </c>
      <c r="B119" s="5">
        <f>SUMIF('库存（子SKU）'!$C:$C,$A119,'库存（子SKU）'!D:D)</f>
        <v>0</v>
      </c>
      <c r="C119" s="5">
        <f>SUMIF('库存（子SKU）'!$C:$C,$A119,'库存（子SKU）'!E:E)</f>
        <v>0</v>
      </c>
      <c r="D119" s="5">
        <f>SUMIF('库存（子SKU）'!$C:$C,$A119,'库存（子SKU）'!F:F)</f>
        <v>0</v>
      </c>
      <c r="E119" s="5">
        <f>SUMIF('库存（子SKU）'!$C:$C,$A119,'库存（子SKU）'!G:G)</f>
        <v>0</v>
      </c>
      <c r="F119" s="6" t="s">
        <v>54</v>
      </c>
      <c r="G119">
        <f>SUMIF('库存（子SKU）'!$C:$C,$A119,'库存（子SKU）'!I:I)</f>
        <v>3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9"/>
        <v>3</v>
      </c>
      <c r="L119">
        <f>SUMIF('库存（子SKU）'!$C:$C,$A119,'库存（子SKU）'!N:N)</f>
        <v>0</v>
      </c>
      <c r="M119">
        <f>SUMIF('库存（子SKU）'!$C:$C,$A119,'库存（子SKU）'!O:O)</f>
        <v>0</v>
      </c>
      <c r="N119">
        <f>SUMIF('库存（子SKU）'!$C:$C,$A119,'库存（子SKU）'!P:P)</f>
        <v>2464</v>
      </c>
      <c r="O119">
        <f>SUMIF('库存（子SKU）'!$C:$C,$A119,'库存（子SKU）'!Q:Q)</f>
        <v>7291</v>
      </c>
      <c r="P119">
        <f>SUMIF('库存（子SKU）'!$C:$C,$A119,'库存（子SKU）'!R:R)</f>
        <v>193</v>
      </c>
      <c r="Q119">
        <f>SUMIF('库存（子SKU）'!$C:$C,$A119,'库存（子SKU）'!S:S)</f>
        <v>204</v>
      </c>
      <c r="R119">
        <f>SUMIF('库存（子SKU）'!$C:$C,$A119,'库存（子SKU）'!T:T)</f>
        <v>15</v>
      </c>
      <c r="S119">
        <f>SUMIF('库存（子SKU）'!$C:$C,$A119,'库存（子SKU）'!U:U)</f>
        <v>47</v>
      </c>
      <c r="T119">
        <f>SUMIF('库存（子SKU）'!$C:$C,$A119,'库存（子SKU）'!V:V)</f>
        <v>1</v>
      </c>
      <c r="U119">
        <f>SUMIF('库存（子SKU）'!$C:$C,$A119,'库存（子SKU）'!W:W)</f>
        <v>1</v>
      </c>
      <c r="V119" s="23">
        <f t="shared" si="32"/>
        <v>0.00608766233766234</v>
      </c>
      <c r="W119" s="23">
        <f t="shared" si="33"/>
        <v>0.0064463036620491</v>
      </c>
      <c r="X119" s="23">
        <f t="shared" si="34"/>
        <v>0.00518134715025907</v>
      </c>
      <c r="Y119" s="23">
        <f t="shared" si="35"/>
        <v>0.00490196078431373</v>
      </c>
      <c r="Z119">
        <f>SUMIF('库存（子SKU）'!$C:$C,$A119,'库存（子SKU）'!AB:AB)</f>
        <v>3.59</v>
      </c>
      <c r="AA119">
        <f>SUMIF('库存（子SKU）'!$C:$C,$A119,'库存（子SKU）'!AC:AC)</f>
        <v>12.52</v>
      </c>
      <c r="AB119">
        <f>SUMIF('库存（子SKU）'!$C:$C,$A119,'库存（子SKU）'!AD:AD)</f>
        <v>0.74</v>
      </c>
      <c r="AC119">
        <f>SUMIF('库存（子SKU）'!$C:$C,$A119,'库存（子SKU）'!AE:AE)</f>
        <v>0.74</v>
      </c>
      <c r="AD119" s="23" t="str">
        <f t="shared" si="20"/>
        <v>无销量广告费为3.59</v>
      </c>
      <c r="AE119" s="23" t="str">
        <f t="shared" si="21"/>
        <v>无销量广告费为12.52</v>
      </c>
      <c r="AF119" s="23" t="str">
        <f t="shared" si="22"/>
        <v>无销量广告费为0.74</v>
      </c>
      <c r="AG119" s="23" t="str">
        <f t="shared" si="23"/>
        <v>无销量广告费为0.74</v>
      </c>
      <c r="AH119">
        <f>SUMIF('库存（子SKU）'!$C:$C,$A119,'库存（子SKU）'!AJ:AJ)</f>
        <v>36</v>
      </c>
      <c r="AI119">
        <f>SUMIF('库存（子SKU）'!$C:$C,$A119,'库存（子SKU）'!AK:AK)</f>
        <v>72</v>
      </c>
      <c r="AJ119">
        <f>SUMIF('库存（子SKU）'!$C:$C,$A119,'库存（子SKU）'!AL:AL)</f>
        <v>20</v>
      </c>
      <c r="AK119">
        <f>SUMIF('库存（子SKU）'!$C:$C,$A119,'库存（子SKU）'!AM:AM)</f>
        <v>9</v>
      </c>
      <c r="AL119" s="23">
        <f t="shared" si="24"/>
        <v>0</v>
      </c>
      <c r="AM119" s="23">
        <f t="shared" si="25"/>
        <v>0</v>
      </c>
      <c r="AN119" s="23">
        <f t="shared" si="26"/>
        <v>0</v>
      </c>
      <c r="AO119" s="23">
        <f t="shared" si="27"/>
        <v>0</v>
      </c>
      <c r="AP119" s="7">
        <f t="shared" si="28"/>
        <v>0</v>
      </c>
      <c r="AQ119" s="7">
        <f t="shared" si="29"/>
        <v>0</v>
      </c>
      <c r="AR119" s="7">
        <f t="shared" si="30"/>
        <v>3</v>
      </c>
      <c r="AS119" t="str">
        <f t="shared" si="31"/>
        <v>库存为3</v>
      </c>
      <c r="AT119" s="2" t="str">
        <f>IFERROR(时间!$B$4+AS119,"上周无销量")</f>
        <v>上周无销量</v>
      </c>
    </row>
    <row r="120" spans="1:46">
      <c r="A120" t="s">
        <v>541</v>
      </c>
      <c r="B120" s="5">
        <f>SUMIF('库存（子SKU）'!$C:$C,$A120,'库存（子SKU）'!D:D)</f>
        <v>0</v>
      </c>
      <c r="C120" s="5">
        <f>SUMIF('库存（子SKU）'!$C:$C,$A120,'库存（子SKU）'!E:E)</f>
        <v>4</v>
      </c>
      <c r="D120" s="5">
        <f>SUMIF('库存（子SKU）'!$C:$C,$A120,'库存（子SKU）'!F:F)</f>
        <v>4</v>
      </c>
      <c r="E120" s="5">
        <f>SUMIF('库存（子SKU）'!$C:$C,$A120,'库存（子SKU）'!G:G)</f>
        <v>3</v>
      </c>
      <c r="F120" s="6">
        <v>89.99</v>
      </c>
      <c r="G120">
        <f>SUMIF('库存（子SKU）'!$C:$C,$A120,'库存（子SKU）'!I:I)</f>
        <v>30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9"/>
        <v>30</v>
      </c>
      <c r="L120">
        <f>SUMIF('库存（子SKU）'!$C:$C,$A120,'库存（子SKU）'!N:N)</f>
        <v>1</v>
      </c>
      <c r="M120">
        <f>SUMIF('库存（子SKU）'!$C:$C,$A120,'库存（子SKU）'!O:O)</f>
        <v>0</v>
      </c>
      <c r="N120">
        <f>SUMIF('库存（子SKU）'!$C:$C,$A120,'库存（子SKU）'!P:P)</f>
        <v>8857</v>
      </c>
      <c r="O120">
        <f>SUMIF('库存（子SKU）'!$C:$C,$A120,'库存（子SKU）'!Q:Q)</f>
        <v>38669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47</v>
      </c>
      <c r="S120">
        <f>SUMIF('库存（子SKU）'!$C:$C,$A120,'库存（子SKU）'!U:U)</f>
        <v>182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23">
        <f t="shared" si="32"/>
        <v>0.00530653720221294</v>
      </c>
      <c r="W120" s="23">
        <f t="shared" si="33"/>
        <v>0.00470661253200238</v>
      </c>
      <c r="X120" s="23" t="str">
        <f t="shared" si="34"/>
        <v/>
      </c>
      <c r="Y120" s="23" t="str">
        <f t="shared" si="35"/>
        <v/>
      </c>
      <c r="Z120">
        <f>SUMIF('库存（子SKU）'!$C:$C,$A120,'库存（子SKU）'!AB:AB)</f>
        <v>14.26</v>
      </c>
      <c r="AA120">
        <f>SUMIF('库存（子SKU）'!$C:$C,$A120,'库存（子SKU）'!AC:AC)</f>
        <v>47.37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23" t="str">
        <f t="shared" si="20"/>
        <v>无销量广告费为14.26</v>
      </c>
      <c r="AE120" s="23">
        <f t="shared" si="21"/>
        <v>0.13159795532837</v>
      </c>
      <c r="AF120" s="23">
        <f t="shared" si="22"/>
        <v>0</v>
      </c>
      <c r="AG120" s="23">
        <f t="shared" si="23"/>
        <v>0</v>
      </c>
      <c r="AH120">
        <f>SUMIF('库存（子SKU）'!$C:$C,$A120,'库存（子SKU）'!AJ:AJ)</f>
        <v>158</v>
      </c>
      <c r="AI120">
        <f>SUMIF('库存（子SKU）'!$C:$C,$A120,'库存（子SKU）'!AK:AK)</f>
        <v>372</v>
      </c>
      <c r="AJ120">
        <f>SUMIF('库存（子SKU）'!$C:$C,$A120,'库存（子SKU）'!AL:AL)</f>
        <v>174</v>
      </c>
      <c r="AK120">
        <f>SUMIF('库存（子SKU）'!$C:$C,$A120,'库存（子SKU）'!AM:AM)</f>
        <v>96</v>
      </c>
      <c r="AL120" s="23">
        <f t="shared" si="24"/>
        <v>0</v>
      </c>
      <c r="AM120" s="23">
        <f t="shared" si="25"/>
        <v>0.010752688172043</v>
      </c>
      <c r="AN120" s="23">
        <f t="shared" si="26"/>
        <v>0.0229885057471264</v>
      </c>
      <c r="AO120" s="23">
        <f t="shared" si="27"/>
        <v>0.03125</v>
      </c>
      <c r="AP120" s="7">
        <f t="shared" si="28"/>
        <v>0</v>
      </c>
      <c r="AQ120" s="7">
        <f t="shared" si="29"/>
        <v>0</v>
      </c>
      <c r="AR120" s="7">
        <f t="shared" si="30"/>
        <v>30</v>
      </c>
      <c r="AS120" t="str">
        <f t="shared" si="31"/>
        <v>库存为30</v>
      </c>
      <c r="AT120" s="2" t="str">
        <f>IFERROR(时间!$B$4+AS120,"上周无销量")</f>
        <v>上周无销量</v>
      </c>
    </row>
    <row r="121" spans="1:46">
      <c r="A121" t="s">
        <v>545</v>
      </c>
      <c r="B121" s="5">
        <f>SUMIF('库存（子SKU）'!$C:$C,$A121,'库存（子SKU）'!D:D)</f>
        <v>2</v>
      </c>
      <c r="C121" s="5">
        <f>SUMIF('库存（子SKU）'!$C:$C,$A121,'库存（子SKU）'!E:E)</f>
        <v>4</v>
      </c>
      <c r="D121" s="5">
        <f>SUMIF('库存（子SKU）'!$C:$C,$A121,'库存（子SKU）'!F:F)</f>
        <v>1</v>
      </c>
      <c r="E121" s="5">
        <f>SUMIF('库存（子SKU）'!$C:$C,$A121,'库存（子SKU）'!G:G)</f>
        <v>1</v>
      </c>
      <c r="F121" s="6">
        <v>106.99</v>
      </c>
      <c r="G121">
        <f>SUMIF('库存（子SKU）'!$C:$C,$A121,'库存（子SKU）'!I:I)</f>
        <v>3</v>
      </c>
      <c r="H121">
        <f>SUMIF('库存（子SKU）'!$C:$C,$A121,'库存（子SKU）'!J:J)</f>
        <v>11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9"/>
        <v>14</v>
      </c>
      <c r="L121">
        <f>SUMIF('库存（子SKU）'!$C:$C,$A121,'库存（子SKU）'!N:N)</f>
        <v>0</v>
      </c>
      <c r="M121">
        <f>SUMIF('库存（子SKU）'!$C:$C,$A121,'库存（子SKU）'!O:O)</f>
        <v>1</v>
      </c>
      <c r="N121">
        <f>SUMIF('库存（子SKU）'!$C:$C,$A121,'库存（子SKU）'!P:P)</f>
        <v>33</v>
      </c>
      <c r="O121">
        <f>SUMIF('库存（子SKU）'!$C:$C,$A121,'库存（子SKU）'!Q:Q)</f>
        <v>0</v>
      </c>
      <c r="P121">
        <f>SUMIF('库存（子SKU）'!$C:$C,$A121,'库存（子SKU）'!R:R)</f>
        <v>97258</v>
      </c>
      <c r="Q121">
        <f>SUMIF('库存（子SKU）'!$C:$C,$A121,'库存（子SKU）'!S:S)</f>
        <v>97458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390</v>
      </c>
      <c r="U121">
        <f>SUMIF('库存（子SKU）'!$C:$C,$A121,'库存（子SKU）'!W:W)</f>
        <v>392</v>
      </c>
      <c r="V121" s="23">
        <f t="shared" si="32"/>
        <v>0</v>
      </c>
      <c r="W121" s="23" t="str">
        <f t="shared" si="33"/>
        <v/>
      </c>
      <c r="X121" s="23">
        <f t="shared" si="34"/>
        <v>0.00400995290875815</v>
      </c>
      <c r="Y121" s="23">
        <f t="shared" si="35"/>
        <v>0.00402224548010425</v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129.66</v>
      </c>
      <c r="AC121">
        <f>SUMIF('库存（子SKU）'!$C:$C,$A121,'库存（子SKU）'!AE:AE)</f>
        <v>130.55</v>
      </c>
      <c r="AD121" s="23">
        <f t="shared" si="20"/>
        <v>0</v>
      </c>
      <c r="AE121" s="23">
        <f t="shared" si="21"/>
        <v>0</v>
      </c>
      <c r="AF121" s="23">
        <f t="shared" si="22"/>
        <v>1.21188896158519</v>
      </c>
      <c r="AG121" s="23">
        <f t="shared" si="23"/>
        <v>1.22020749602767</v>
      </c>
      <c r="AH121">
        <f>SUMIF('库存（子SKU）'!$C:$C,$A121,'库存（子SKU）'!AJ:AJ)</f>
        <v>212</v>
      </c>
      <c r="AI121">
        <f>SUMIF('库存（子SKU）'!$C:$C,$A121,'库存（子SKU）'!AK:AK)</f>
        <v>262</v>
      </c>
      <c r="AJ121">
        <f>SUMIF('库存（子SKU）'!$C:$C,$A121,'库存（子SKU）'!AL:AL)</f>
        <v>240</v>
      </c>
      <c r="AK121">
        <f>SUMIF('库存（子SKU）'!$C:$C,$A121,'库存（子SKU）'!AM:AM)</f>
        <v>319</v>
      </c>
      <c r="AL121" s="23">
        <f t="shared" si="24"/>
        <v>0.00943396226415094</v>
      </c>
      <c r="AM121" s="23">
        <f t="shared" si="25"/>
        <v>0.0152671755725191</v>
      </c>
      <c r="AN121" s="23">
        <f t="shared" si="26"/>
        <v>0.00416666666666667</v>
      </c>
      <c r="AO121" s="23">
        <f t="shared" si="27"/>
        <v>0.00313479623824451</v>
      </c>
      <c r="AP121" s="7">
        <f t="shared" si="28"/>
        <v>0.285714285714286</v>
      </c>
      <c r="AQ121" s="7">
        <f t="shared" si="29"/>
        <v>17.1428571428571</v>
      </c>
      <c r="AR121" s="7">
        <f t="shared" si="30"/>
        <v>-3.14285714285714</v>
      </c>
      <c r="AS121">
        <f t="shared" si="31"/>
        <v>49</v>
      </c>
      <c r="AT121" s="2">
        <f>IFERROR(时间!$B$4+AS121,"上周无销量")</f>
        <v>43388</v>
      </c>
    </row>
    <row r="122" spans="1:46">
      <c r="A122" t="s">
        <v>550</v>
      </c>
      <c r="B122" s="5">
        <f>SUMIF('库存（子SKU）'!$C:$C,$A122,'库存（子SKU）'!D:D)</f>
        <v>1</v>
      </c>
      <c r="C122" s="5">
        <f>SUMIF('库存（子SKU）'!$C:$C,$A122,'库存（子SKU）'!E:E)</f>
        <v>8</v>
      </c>
      <c r="D122" s="5">
        <f>SUMIF('库存（子SKU）'!$C:$C,$A122,'库存（子SKU）'!F:F)</f>
        <v>7</v>
      </c>
      <c r="E122" s="5">
        <f>SUMIF('库存（子SKU）'!$C:$C,$A122,'库存（子SKU）'!G:G)</f>
        <v>3</v>
      </c>
      <c r="F122" s="6">
        <v>29.99</v>
      </c>
      <c r="G122">
        <f>SUMIF('库存（子SKU）'!$C:$C,$A122,'库存（子SKU）'!I:I)</f>
        <v>6</v>
      </c>
      <c r="H122">
        <f>SUMIF('库存（子SKU）'!$C:$C,$A122,'库存（子SKU）'!J:J)</f>
        <v>5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9"/>
        <v>11</v>
      </c>
      <c r="L122">
        <f>SUMIF('库存（子SKU）'!$C:$C,$A122,'库存（子SKU）'!N:N)</f>
        <v>0</v>
      </c>
      <c r="M122">
        <f>SUMIF('库存（子SKU）'!$C:$C,$A122,'库存（子SKU）'!O:O)</f>
        <v>6</v>
      </c>
      <c r="N122">
        <f>SUMIF('库存（子SKU）'!$C:$C,$A122,'库存（子SKU）'!P:P)</f>
        <v>0</v>
      </c>
      <c r="O122">
        <f>SUMIF('库存（子SKU）'!$C:$C,$A122,'库存（子SKU）'!Q:Q)</f>
        <v>10909</v>
      </c>
      <c r="P122">
        <f>SUMIF('库存（子SKU）'!$C:$C,$A122,'库存（子SKU）'!R:R)</f>
        <v>5079</v>
      </c>
      <c r="Q122">
        <f>SUMIF('库存（子SKU）'!$C:$C,$A122,'库存（子SKU）'!S:S)</f>
        <v>5169</v>
      </c>
      <c r="R122">
        <f>SUMIF('库存（子SKU）'!$C:$C,$A122,'库存（子SKU）'!T:T)</f>
        <v>0</v>
      </c>
      <c r="S122">
        <f>SUMIF('库存（子SKU）'!$C:$C,$A122,'库存（子SKU）'!U:U)</f>
        <v>157</v>
      </c>
      <c r="T122">
        <f>SUMIF('库存（子SKU）'!$C:$C,$A122,'库存（子SKU）'!V:V)</f>
        <v>105</v>
      </c>
      <c r="U122">
        <f>SUMIF('库存（子SKU）'!$C:$C,$A122,'库存（子SKU）'!W:W)</f>
        <v>106</v>
      </c>
      <c r="V122" s="23" t="str">
        <f t="shared" si="32"/>
        <v/>
      </c>
      <c r="W122" s="23">
        <f t="shared" si="33"/>
        <v>0.0143917865982217</v>
      </c>
      <c r="X122" s="23">
        <f t="shared" si="34"/>
        <v>0.0206733608978145</v>
      </c>
      <c r="Y122" s="23">
        <f t="shared" si="35"/>
        <v>0.020506867866125</v>
      </c>
      <c r="Z122">
        <f>SUMIF('库存（子SKU）'!$C:$C,$A122,'库存（子SKU）'!AB:AB)</f>
        <v>0</v>
      </c>
      <c r="AA122">
        <f>SUMIF('库存（子SKU）'!$C:$C,$A122,'库存（子SKU）'!AC:AC)</f>
        <v>38</v>
      </c>
      <c r="AB122">
        <f>SUMIF('库存（子SKU）'!$C:$C,$A122,'库存（子SKU）'!AD:AD)</f>
        <v>19.84</v>
      </c>
      <c r="AC122">
        <f>SUMIF('库存（子SKU）'!$C:$C,$A122,'库存（子SKU）'!AE:AE)</f>
        <v>20.03</v>
      </c>
      <c r="AD122" s="23">
        <f t="shared" si="20"/>
        <v>0</v>
      </c>
      <c r="AE122" s="23">
        <f t="shared" si="21"/>
        <v>0.15838612870957</v>
      </c>
      <c r="AF122" s="23">
        <f t="shared" si="22"/>
        <v>0.0945076930405373</v>
      </c>
      <c r="AG122" s="23">
        <f t="shared" si="23"/>
        <v>0.222629765477381</v>
      </c>
      <c r="AH122">
        <f>SUMIF('库存（子SKU）'!$C:$C,$A122,'库存（子SKU）'!AJ:AJ)</f>
        <v>80</v>
      </c>
      <c r="AI122">
        <f>SUMIF('库存（子SKU）'!$C:$C,$A122,'库存（子SKU）'!AK:AK)</f>
        <v>433</v>
      </c>
      <c r="AJ122">
        <f>SUMIF('库存（子SKU）'!$C:$C,$A122,'库存（子SKU）'!AL:AL)</f>
        <v>378</v>
      </c>
      <c r="AK122">
        <f>SUMIF('库存（子SKU）'!$C:$C,$A122,'库存（子SKU）'!AM:AM)</f>
        <v>324</v>
      </c>
      <c r="AL122" s="23">
        <f t="shared" si="24"/>
        <v>0.0125</v>
      </c>
      <c r="AM122" s="23">
        <f t="shared" si="25"/>
        <v>0.0184757505773672</v>
      </c>
      <c r="AN122" s="23">
        <f t="shared" si="26"/>
        <v>0.0185185185185185</v>
      </c>
      <c r="AO122" s="23">
        <f t="shared" si="27"/>
        <v>0.00925925925925926</v>
      </c>
      <c r="AP122" s="7">
        <f t="shared" si="28"/>
        <v>0.142857142857143</v>
      </c>
      <c r="AQ122" s="7">
        <f t="shared" si="29"/>
        <v>8.57142857142857</v>
      </c>
      <c r="AR122" s="7">
        <f t="shared" si="30"/>
        <v>2.42857142857143</v>
      </c>
      <c r="AS122">
        <f t="shared" si="31"/>
        <v>77</v>
      </c>
      <c r="AT122" s="2">
        <f>IFERROR(时间!$B$4+AS122,"上周无销量")</f>
        <v>43416</v>
      </c>
    </row>
    <row r="123" spans="1:46">
      <c r="A123" t="s">
        <v>555</v>
      </c>
      <c r="B123" s="5">
        <f>SUMIF('库存（子SKU）'!$C:$C,$A123,'库存（子SKU）'!D:D)</f>
        <v>1</v>
      </c>
      <c r="C123" s="5">
        <f>SUMIF('库存（子SKU）'!$C:$C,$A123,'库存（子SKU）'!E:E)</f>
        <v>0</v>
      </c>
      <c r="D123" s="5">
        <f>SUMIF('库存（子SKU）'!$C:$C,$A123,'库存（子SKU）'!F:F)</f>
        <v>0</v>
      </c>
      <c r="E123" s="5">
        <f>SUMIF('库存（子SKU）'!$C:$C,$A123,'库存（子SKU）'!G:G)</f>
        <v>0</v>
      </c>
      <c r="F123" s="6">
        <v>26.99</v>
      </c>
      <c r="G123">
        <f>SUMIF('库存（子SKU）'!$C:$C,$A123,'库存（子SKU）'!I:I)</f>
        <v>9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9"/>
        <v>9</v>
      </c>
      <c r="L123">
        <f>SUMIF('库存（子SKU）'!$C:$C,$A123,'库存（子SKU）'!N:N)</f>
        <v>0</v>
      </c>
      <c r="M123">
        <f>SUMIF('库存（子SKU）'!$C:$C,$A123,'库存（子SKU）'!O:O)</f>
        <v>6</v>
      </c>
      <c r="N123">
        <f>SUMIF('库存（子SKU）'!$C:$C,$A123,'库存（子SKU）'!P:P)</f>
        <v>3235</v>
      </c>
      <c r="O123">
        <f>SUMIF('库存（子SKU）'!$C:$C,$A123,'库存（子SKU）'!Q:Q)</f>
        <v>2844</v>
      </c>
      <c r="P123">
        <f>SUMIF('库存（子SKU）'!$C:$C,$A123,'库存（子SKU）'!R:R)</f>
        <v>26870</v>
      </c>
      <c r="Q123">
        <f>SUMIF('库存（子SKU）'!$C:$C,$A123,'库存（子SKU）'!S:S)</f>
        <v>26887</v>
      </c>
      <c r="R123">
        <f>SUMIF('库存（子SKU）'!$C:$C,$A123,'库存（子SKU）'!T:T)</f>
        <v>32</v>
      </c>
      <c r="S123">
        <f>SUMIF('库存（子SKU）'!$C:$C,$A123,'库存（子SKU）'!U:U)</f>
        <v>37</v>
      </c>
      <c r="T123">
        <f>SUMIF('库存（子SKU）'!$C:$C,$A123,'库存（子SKU）'!V:V)</f>
        <v>164</v>
      </c>
      <c r="U123">
        <f>SUMIF('库存（子SKU）'!$C:$C,$A123,'库存（子SKU）'!W:W)</f>
        <v>164</v>
      </c>
      <c r="V123" s="23">
        <f t="shared" si="32"/>
        <v>0.00989180834621329</v>
      </c>
      <c r="W123" s="23">
        <f t="shared" si="33"/>
        <v>0.0130098452883263</v>
      </c>
      <c r="X123" s="23">
        <f t="shared" si="34"/>
        <v>0.00610346110904354</v>
      </c>
      <c r="Y123" s="23">
        <f t="shared" si="35"/>
        <v>0.00609960203815971</v>
      </c>
      <c r="Z123">
        <f>SUMIF('库存（子SKU）'!$C:$C,$A123,'库存（子SKU）'!AB:AB)</f>
        <v>4.92</v>
      </c>
      <c r="AA123">
        <f>SUMIF('库存（子SKU）'!$C:$C,$A123,'库存（子SKU）'!AC:AC)</f>
        <v>5.55</v>
      </c>
      <c r="AB123">
        <f>SUMIF('库存（子SKU）'!$C:$C,$A123,'库存（子SKU）'!AD:AD)</f>
        <v>29.1</v>
      </c>
      <c r="AC123">
        <f>SUMIF('库存（子SKU）'!$C:$C,$A123,'库存（子SKU）'!AE:AE)</f>
        <v>29.1</v>
      </c>
      <c r="AD123" s="23">
        <f t="shared" si="20"/>
        <v>0.182289736939607</v>
      </c>
      <c r="AE123" s="23" t="str">
        <f t="shared" si="21"/>
        <v>无销量广告费为5.55</v>
      </c>
      <c r="AF123" s="23" t="str">
        <f t="shared" si="22"/>
        <v>无销量广告费为29.1</v>
      </c>
      <c r="AG123" s="23" t="str">
        <f t="shared" si="23"/>
        <v>无销量广告费为29.1</v>
      </c>
      <c r="AH123">
        <f>SUMIF('库存（子SKU）'!$C:$C,$A123,'库存（子SKU）'!AJ:AJ)</f>
        <v>76</v>
      </c>
      <c r="AI123">
        <f>SUMIF('库存（子SKU）'!$C:$C,$A123,'库存（子SKU）'!AK:AK)</f>
        <v>91</v>
      </c>
      <c r="AJ123">
        <f>SUMIF('库存（子SKU）'!$C:$C,$A123,'库存（子SKU）'!AL:AL)</f>
        <v>39</v>
      </c>
      <c r="AK123">
        <f>SUMIF('库存（子SKU）'!$C:$C,$A123,'库存（子SKU）'!AM:AM)</f>
        <v>53</v>
      </c>
      <c r="AL123" s="23">
        <f t="shared" si="24"/>
        <v>0.0131578947368421</v>
      </c>
      <c r="AM123" s="23">
        <f t="shared" si="25"/>
        <v>0</v>
      </c>
      <c r="AN123" s="23">
        <f t="shared" si="26"/>
        <v>0</v>
      </c>
      <c r="AO123" s="23">
        <f t="shared" si="27"/>
        <v>0</v>
      </c>
      <c r="AP123" s="7">
        <f t="shared" si="28"/>
        <v>0.142857142857143</v>
      </c>
      <c r="AQ123" s="7">
        <f t="shared" si="29"/>
        <v>8.57142857142857</v>
      </c>
      <c r="AR123" s="7">
        <f t="shared" si="30"/>
        <v>0.428571428571429</v>
      </c>
      <c r="AS123">
        <f t="shared" si="31"/>
        <v>63</v>
      </c>
      <c r="AT123" s="2">
        <f>IFERROR(时间!$B$4+AS123,"上周无销量")</f>
        <v>43402</v>
      </c>
    </row>
    <row r="124" spans="1:46">
      <c r="A124" t="s">
        <v>560</v>
      </c>
      <c r="B124" s="5">
        <f>SUMIF('库存（子SKU）'!$C:$C,$A124,'库存（子SKU）'!D:D)</f>
        <v>0</v>
      </c>
      <c r="C124" s="5">
        <f>SUMIF('库存（子SKU）'!$C:$C,$A124,'库存（子SKU）'!E:E)</f>
        <v>1</v>
      </c>
      <c r="D124" s="5">
        <f>SUMIF('库存（子SKU）'!$C:$C,$A124,'库存（子SKU）'!F:F)</f>
        <v>1</v>
      </c>
      <c r="E124" s="5">
        <f>SUMIF('库存（子SKU）'!$C:$C,$A124,'库存（子SKU）'!G:G)</f>
        <v>2</v>
      </c>
      <c r="F124" s="6">
        <v>26.99</v>
      </c>
      <c r="G124">
        <f>SUMIF('库存（子SKU）'!$C:$C,$A124,'库存（子SKU）'!I:I)</f>
        <v>16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9"/>
        <v>16</v>
      </c>
      <c r="L124">
        <f>SUMIF('库存（子SKU）'!$C:$C,$A124,'库存（子SKU）'!N:N)</f>
        <v>0</v>
      </c>
      <c r="M124">
        <f>SUMIF('库存（子SKU）'!$C:$C,$A124,'库存（子SKU）'!O:O)</f>
        <v>15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16294</v>
      </c>
      <c r="Q124">
        <f>SUMIF('库存（子SKU）'!$C:$C,$A124,'库存（子SKU）'!S:S)</f>
        <v>16294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84</v>
      </c>
      <c r="U124">
        <f>SUMIF('库存（子SKU）'!$C:$C,$A124,'库存（子SKU）'!W:W)</f>
        <v>84</v>
      </c>
      <c r="V124" s="23" t="str">
        <f t="shared" si="32"/>
        <v/>
      </c>
      <c r="W124" s="23" t="str">
        <f t="shared" si="33"/>
        <v/>
      </c>
      <c r="X124" s="23">
        <f t="shared" si="34"/>
        <v>0.00515527187921934</v>
      </c>
      <c r="Y124" s="23">
        <f t="shared" si="35"/>
        <v>0.00515527187921934</v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15.06</v>
      </c>
      <c r="AC124">
        <f>SUMIF('库存（子SKU）'!$C:$C,$A124,'库存（子SKU）'!AE:AE)</f>
        <v>15.06</v>
      </c>
      <c r="AD124" s="23" t="str">
        <f t="shared" si="20"/>
        <v/>
      </c>
      <c r="AE124" s="23">
        <f t="shared" si="21"/>
        <v>0</v>
      </c>
      <c r="AF124" s="23">
        <f t="shared" si="22"/>
        <v>0.557984438680993</v>
      </c>
      <c r="AG124" s="23">
        <f t="shared" si="23"/>
        <v>0.278992219340497</v>
      </c>
      <c r="AH124">
        <f>SUMIF('库存（子SKU）'!$C:$C,$A124,'库存（子SKU）'!AJ:AJ)</f>
        <v>91</v>
      </c>
      <c r="AI124">
        <f>SUMIF('库存（子SKU）'!$C:$C,$A124,'库存（子SKU）'!AK:AK)</f>
        <v>110</v>
      </c>
      <c r="AJ124">
        <f>SUMIF('库存（子SKU）'!$C:$C,$A124,'库存（子SKU）'!AL:AL)</f>
        <v>114</v>
      </c>
      <c r="AK124">
        <f>SUMIF('库存（子SKU）'!$C:$C,$A124,'库存（子SKU）'!AM:AM)</f>
        <v>168</v>
      </c>
      <c r="AL124" s="23">
        <f t="shared" si="24"/>
        <v>0</v>
      </c>
      <c r="AM124" s="23">
        <f t="shared" si="25"/>
        <v>0.00909090909090909</v>
      </c>
      <c r="AN124" s="23">
        <f t="shared" si="26"/>
        <v>0.0087719298245614</v>
      </c>
      <c r="AO124" s="23">
        <f t="shared" si="27"/>
        <v>0.0119047619047619</v>
      </c>
      <c r="AP124" s="7">
        <f t="shared" si="28"/>
        <v>0</v>
      </c>
      <c r="AQ124" s="7">
        <f t="shared" si="29"/>
        <v>0</v>
      </c>
      <c r="AR124" s="7">
        <f t="shared" si="30"/>
        <v>16</v>
      </c>
      <c r="AS124" t="str">
        <f t="shared" si="31"/>
        <v>库存为16</v>
      </c>
      <c r="AT124" s="2" t="str">
        <f>IFERROR(时间!$B$4+AS124,"上周无销量")</f>
        <v>上周无销量</v>
      </c>
    </row>
    <row r="125" spans="1:46">
      <c r="A125" t="s">
        <v>567</v>
      </c>
      <c r="B125" s="5">
        <f>SUMIF('库存（子SKU）'!$C:$C,$A125,'库存（子SKU）'!D:D)</f>
        <v>0</v>
      </c>
      <c r="C125" s="5">
        <f>SUMIF('库存（子SKU）'!$C:$C,$A125,'库存（子SKU）'!E:E)</f>
        <v>0</v>
      </c>
      <c r="D125" s="5">
        <f>SUMIF('库存（子SKU）'!$C:$C,$A125,'库存（子SKU）'!F:F)</f>
        <v>0</v>
      </c>
      <c r="E125" s="5">
        <f>SUMIF('库存（子SKU）'!$C:$C,$A125,'库存（子SKU）'!G:G)</f>
        <v>0</v>
      </c>
      <c r="F125" s="6" t="s">
        <v>54</v>
      </c>
      <c r="G125">
        <f>SUMIF('库存（子SKU）'!$C:$C,$A125,'库存（子SKU）'!I:I)</f>
        <v>0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9"/>
        <v>0</v>
      </c>
      <c r="L125">
        <f>SUMIF('库存（子SKU）'!$C:$C,$A125,'库存（子SKU）'!N:N)</f>
        <v>0</v>
      </c>
      <c r="M125">
        <f>SUMIF('库存（子SKU）'!$C:$C,$A125,'库存（子SKU）'!O:O)</f>
        <v>0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23" t="str">
        <f t="shared" si="32"/>
        <v/>
      </c>
      <c r="W125" s="23" t="str">
        <f t="shared" si="33"/>
        <v/>
      </c>
      <c r="X125" s="23" t="str">
        <f t="shared" si="34"/>
        <v/>
      </c>
      <c r="Y125" s="23" t="str">
        <f t="shared" si="35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23" t="str">
        <f t="shared" si="20"/>
        <v/>
      </c>
      <c r="AE125" s="23" t="str">
        <f t="shared" si="21"/>
        <v/>
      </c>
      <c r="AF125" s="23" t="str">
        <f t="shared" si="22"/>
        <v/>
      </c>
      <c r="AG125" s="23" t="str">
        <f t="shared" si="23"/>
        <v/>
      </c>
      <c r="AH125">
        <f>SUMIF('库存（子SKU）'!$C:$C,$A125,'库存（子SKU）'!AJ:AJ)</f>
        <v>0</v>
      </c>
      <c r="AI125">
        <f>SUMIF('库存（子SKU）'!$C:$C,$A125,'库存（子SKU）'!AK:AK)</f>
        <v>7</v>
      </c>
      <c r="AJ125">
        <f>SUMIF('库存（子SKU）'!$C:$C,$A125,'库存（子SKU）'!AL:AL)</f>
        <v>49</v>
      </c>
      <c r="AK125">
        <f>SUMIF('库存（子SKU）'!$C:$C,$A125,'库存（子SKU）'!AM:AM)</f>
        <v>42</v>
      </c>
      <c r="AL125" s="23" t="str">
        <f t="shared" si="24"/>
        <v/>
      </c>
      <c r="AM125" s="23">
        <f t="shared" si="25"/>
        <v>0</v>
      </c>
      <c r="AN125" s="23">
        <f t="shared" si="26"/>
        <v>0</v>
      </c>
      <c r="AO125" s="23">
        <f t="shared" si="27"/>
        <v>0</v>
      </c>
      <c r="AP125" s="7">
        <f t="shared" si="28"/>
        <v>0</v>
      </c>
      <c r="AQ125" s="7">
        <f t="shared" si="29"/>
        <v>0</v>
      </c>
      <c r="AR125" s="7">
        <f t="shared" si="30"/>
        <v>0</v>
      </c>
      <c r="AS125" t="str">
        <f t="shared" si="31"/>
        <v>库存为0</v>
      </c>
      <c r="AT125" s="2" t="str">
        <f>IFERROR(时间!$B$4+AS125,"上周无销量")</f>
        <v>上周无销量</v>
      </c>
    </row>
    <row r="126" spans="1:46">
      <c r="A126" t="s">
        <v>572</v>
      </c>
      <c r="B126" s="5">
        <f>SUMIF('库存（子SKU）'!$C:$C,$A126,'库存（子SKU）'!D:D)</f>
        <v>0</v>
      </c>
      <c r="C126" s="5">
        <f>SUMIF('库存（子SKU）'!$C:$C,$A126,'库存（子SKU）'!E:E)</f>
        <v>0</v>
      </c>
      <c r="D126" s="5">
        <f>SUMIF('库存（子SKU）'!$C:$C,$A126,'库存（子SKU）'!F:F)</f>
        <v>0</v>
      </c>
      <c r="E126" s="5">
        <f>SUMIF('库存（子SKU）'!$C:$C,$A126,'库存（子SKU）'!G:G)</f>
        <v>0</v>
      </c>
      <c r="F126" s="6" t="s">
        <v>54</v>
      </c>
      <c r="G126">
        <f>SUMIF('库存（子SKU）'!$C:$C,$A126,'库存（子SKU）'!I:I)</f>
        <v>4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9"/>
        <v>4</v>
      </c>
      <c r="L126">
        <f>SUMIF('库存（子SKU）'!$C:$C,$A126,'库存（子SKU）'!N:N)</f>
        <v>0</v>
      </c>
      <c r="M126">
        <f>SUMIF('库存（子SKU）'!$C:$C,$A126,'库存（子SKU）'!O:O)</f>
        <v>0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8505</v>
      </c>
      <c r="Q126">
        <f>SUMIF('库存（子SKU）'!$C:$C,$A126,'库存（子SKU）'!S:S)</f>
        <v>8505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97</v>
      </c>
      <c r="U126">
        <f>SUMIF('库存（子SKU）'!$C:$C,$A126,'库存（子SKU）'!W:W)</f>
        <v>97</v>
      </c>
      <c r="V126" s="23" t="str">
        <f t="shared" si="32"/>
        <v/>
      </c>
      <c r="W126" s="23" t="str">
        <f t="shared" si="33"/>
        <v/>
      </c>
      <c r="X126" s="23">
        <f t="shared" si="34"/>
        <v>0.0114050558495003</v>
      </c>
      <c r="Y126" s="23">
        <f t="shared" si="35"/>
        <v>0.0114050558495003</v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12.73</v>
      </c>
      <c r="AC126">
        <f>SUMIF('库存（子SKU）'!$C:$C,$A126,'库存（子SKU）'!AE:AE)</f>
        <v>12.73</v>
      </c>
      <c r="AD126" s="23" t="str">
        <f t="shared" si="20"/>
        <v/>
      </c>
      <c r="AE126" s="23" t="str">
        <f t="shared" si="21"/>
        <v/>
      </c>
      <c r="AF126" s="23" t="str">
        <f t="shared" si="22"/>
        <v>无销量广告费为12.73</v>
      </c>
      <c r="AG126" s="23" t="str">
        <f t="shared" si="23"/>
        <v>无销量广告费为12.73</v>
      </c>
      <c r="AH126">
        <f>SUMIF('库存（子SKU）'!$C:$C,$A126,'库存（子SKU）'!AJ:AJ)</f>
        <v>13</v>
      </c>
      <c r="AI126">
        <f>SUMIF('库存（子SKU）'!$C:$C,$A126,'库存（子SKU）'!AK:AK)</f>
        <v>34</v>
      </c>
      <c r="AJ126">
        <f>SUMIF('库存（子SKU）'!$C:$C,$A126,'库存（子SKU）'!AL:AL)</f>
        <v>25</v>
      </c>
      <c r="AK126">
        <f>SUMIF('库存（子SKU）'!$C:$C,$A126,'库存（子SKU）'!AM:AM)</f>
        <v>11</v>
      </c>
      <c r="AL126" s="23">
        <f t="shared" si="24"/>
        <v>0</v>
      </c>
      <c r="AM126" s="23">
        <f t="shared" si="25"/>
        <v>0</v>
      </c>
      <c r="AN126" s="23">
        <f t="shared" si="26"/>
        <v>0</v>
      </c>
      <c r="AO126" s="23">
        <f t="shared" si="27"/>
        <v>0</v>
      </c>
      <c r="AP126" s="7">
        <f t="shared" si="28"/>
        <v>0</v>
      </c>
      <c r="AQ126" s="7">
        <f t="shared" si="29"/>
        <v>0</v>
      </c>
      <c r="AR126" s="7">
        <f t="shared" si="30"/>
        <v>4</v>
      </c>
      <c r="AS126" t="str">
        <f t="shared" si="31"/>
        <v>库存为4</v>
      </c>
      <c r="AT126" s="2" t="str">
        <f>IFERROR(时间!$B$4+AS126,"上周无销量")</f>
        <v>上周无销量</v>
      </c>
    </row>
    <row r="127" spans="1:46">
      <c r="A127" t="s">
        <v>575</v>
      </c>
      <c r="B127" s="5">
        <f>SUMIF('库存（子SKU）'!$C:$C,$A127,'库存（子SKU）'!D:D)</f>
        <v>11</v>
      </c>
      <c r="C127" s="5">
        <f>SUMIF('库存（子SKU）'!$C:$C,$A127,'库存（子SKU）'!E:E)</f>
        <v>11</v>
      </c>
      <c r="D127" s="5">
        <f>SUMIF('库存（子SKU）'!$C:$C,$A127,'库存（子SKU）'!F:F)</f>
        <v>16</v>
      </c>
      <c r="E127" s="5">
        <f>SUMIF('库存（子SKU）'!$C:$C,$A127,'库存（子SKU）'!G:G)</f>
        <v>13</v>
      </c>
      <c r="F127" s="6">
        <v>97.1860784313724</v>
      </c>
      <c r="G127">
        <f>SUMIF('库存（子SKU）'!$C:$C,$A127,'库存（子SKU）'!I:I)</f>
        <v>94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9"/>
        <v>94</v>
      </c>
      <c r="L127">
        <f>SUMIF('库存（子SKU）'!$C:$C,$A127,'库存（子SKU）'!N:N)</f>
        <v>0</v>
      </c>
      <c r="M127">
        <f>SUMIF('库存（子SKU）'!$C:$C,$A127,'库存（子SKU）'!O:O)</f>
        <v>0</v>
      </c>
      <c r="N127">
        <f>SUMIF('库存（子SKU）'!$C:$C,$A127,'库存（子SKU）'!P:P)</f>
        <v>92461</v>
      </c>
      <c r="O127">
        <f>SUMIF('库存（子SKU）'!$C:$C,$A127,'库存（子SKU）'!Q:Q)</f>
        <v>40000</v>
      </c>
      <c r="P127">
        <f>SUMIF('库存（子SKU）'!$C:$C,$A127,'库存（子SKU）'!R:R)</f>
        <v>278529</v>
      </c>
      <c r="Q127">
        <f>SUMIF('库存（子SKU）'!$C:$C,$A127,'库存（子SKU）'!S:S)</f>
        <v>279023</v>
      </c>
      <c r="R127">
        <f>SUMIF('库存（子SKU）'!$C:$C,$A127,'库存（子SKU）'!T:T)</f>
        <v>289</v>
      </c>
      <c r="S127">
        <f>SUMIF('库存（子SKU）'!$C:$C,$A127,'库存（子SKU）'!U:U)</f>
        <v>159</v>
      </c>
      <c r="T127">
        <f>SUMIF('库存（子SKU）'!$C:$C,$A127,'库存（子SKU）'!V:V)</f>
        <v>1430</v>
      </c>
      <c r="U127">
        <f>SUMIF('库存（子SKU）'!$C:$C,$A127,'库存（子SKU）'!W:W)</f>
        <v>1431</v>
      </c>
      <c r="V127" s="23">
        <f t="shared" si="32"/>
        <v>0.00312564216264155</v>
      </c>
      <c r="W127" s="23">
        <f t="shared" si="33"/>
        <v>0.003975</v>
      </c>
      <c r="X127" s="23">
        <f t="shared" si="34"/>
        <v>0.0051341152985865</v>
      </c>
      <c r="Y127" s="23">
        <f t="shared" si="35"/>
        <v>0.00512860946947026</v>
      </c>
      <c r="Z127">
        <f>SUMIF('库存（子SKU）'!$C:$C,$A127,'库存（子SKU）'!AB:AB)</f>
        <v>86.75</v>
      </c>
      <c r="AA127">
        <f>SUMIF('库存（子SKU）'!$C:$C,$A127,'库存（子SKU）'!AC:AC)</f>
        <v>48.46</v>
      </c>
      <c r="AB127">
        <f>SUMIF('库存（子SKU）'!$C:$C,$A127,'库存（子SKU）'!AD:AD)</f>
        <v>281.81</v>
      </c>
      <c r="AC127">
        <f>SUMIF('库存（子SKU）'!$C:$C,$A127,'库存（子SKU）'!AE:AE)</f>
        <v>282.1</v>
      </c>
      <c r="AD127" s="23">
        <f t="shared" si="20"/>
        <v>0.0811470507263297</v>
      </c>
      <c r="AE127" s="23">
        <f t="shared" si="21"/>
        <v>0.0453300988841261</v>
      </c>
      <c r="AF127" s="23">
        <f t="shared" si="22"/>
        <v>0.181230946698168</v>
      </c>
      <c r="AG127" s="23">
        <f t="shared" si="23"/>
        <v>0.223283008742074</v>
      </c>
      <c r="AH127">
        <f>SUMIF('库存（子SKU）'!$C:$C,$A127,'库存（子SKU）'!AJ:AJ)</f>
        <v>817</v>
      </c>
      <c r="AI127">
        <f>SUMIF('库存（子SKU）'!$C:$C,$A127,'库存（子SKU）'!AK:AK)</f>
        <v>1473</v>
      </c>
      <c r="AJ127">
        <f>SUMIF('库存（子SKU）'!$C:$C,$A127,'库存（子SKU）'!AL:AL)</f>
        <v>1332</v>
      </c>
      <c r="AK127">
        <f>SUMIF('库存（子SKU）'!$C:$C,$A127,'库存（子SKU）'!AM:AM)</f>
        <v>1292</v>
      </c>
      <c r="AL127" s="23">
        <f t="shared" si="24"/>
        <v>0.0134638922888617</v>
      </c>
      <c r="AM127" s="23">
        <f t="shared" si="25"/>
        <v>0.00746775288526816</v>
      </c>
      <c r="AN127" s="23">
        <f t="shared" si="26"/>
        <v>0.012012012012012</v>
      </c>
      <c r="AO127" s="23">
        <f t="shared" si="27"/>
        <v>0.010061919504644</v>
      </c>
      <c r="AP127" s="7">
        <f t="shared" si="28"/>
        <v>1.57142857142857</v>
      </c>
      <c r="AQ127" s="7">
        <f t="shared" si="29"/>
        <v>94.2857142857143</v>
      </c>
      <c r="AR127" s="7">
        <f t="shared" si="30"/>
        <v>-0.285714285714278</v>
      </c>
      <c r="AS127">
        <f t="shared" si="31"/>
        <v>59</v>
      </c>
      <c r="AT127" s="2">
        <f>IFERROR(时间!$B$4+AS127,"上周无销量")</f>
        <v>43398</v>
      </c>
    </row>
    <row r="128" spans="1:46">
      <c r="A128" t="s">
        <v>578</v>
      </c>
      <c r="B128" s="5">
        <f>SUMIF('库存（子SKU）'!$C:$C,$A128,'库存（子SKU）'!D:D)</f>
        <v>13</v>
      </c>
      <c r="C128" s="5">
        <f>SUMIF('库存（子SKU）'!$C:$C,$A128,'库存（子SKU）'!E:E)</f>
        <v>15</v>
      </c>
      <c r="D128" s="5">
        <f>SUMIF('库存（子SKU）'!$C:$C,$A128,'库存（子SKU）'!F:F)</f>
        <v>12</v>
      </c>
      <c r="E128" s="5">
        <f>SUMIF('库存（子SKU）'!$C:$C,$A128,'库存（子SKU）'!G:G)</f>
        <v>15</v>
      </c>
      <c r="F128" s="6">
        <v>89.9899999999998</v>
      </c>
      <c r="G128">
        <f>SUMIF('库存（子SKU）'!$C:$C,$A128,'库存（子SKU）'!I:I)</f>
        <v>11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20</v>
      </c>
      <c r="K128">
        <f t="shared" si="19"/>
        <v>31</v>
      </c>
      <c r="L128">
        <f>SUMIF('库存（子SKU）'!$C:$C,$A128,'库存（子SKU）'!N:N)</f>
        <v>1</v>
      </c>
      <c r="M128">
        <f>SUMIF('库存（子SKU）'!$C:$C,$A128,'库存（子SKU）'!O:O)</f>
        <v>0</v>
      </c>
      <c r="N128">
        <f>SUMIF('库存（子SKU）'!$C:$C,$A128,'库存（子SKU）'!P:P)</f>
        <v>74861</v>
      </c>
      <c r="O128">
        <f>SUMIF('库存（子SKU）'!$C:$C,$A128,'库存（子SKU）'!Q:Q)</f>
        <v>23442</v>
      </c>
      <c r="P128">
        <f>SUMIF('库存（子SKU）'!$C:$C,$A128,'库存（子SKU）'!R:R)</f>
        <v>242920</v>
      </c>
      <c r="Q128">
        <f>SUMIF('库存（子SKU）'!$C:$C,$A128,'库存（子SKU）'!S:S)</f>
        <v>243750</v>
      </c>
      <c r="R128">
        <f>SUMIF('库存（子SKU）'!$C:$C,$A128,'库存（子SKU）'!T:T)</f>
        <v>497</v>
      </c>
      <c r="S128">
        <f>SUMIF('库存（子SKU）'!$C:$C,$A128,'库存（子SKU）'!U:U)</f>
        <v>184</v>
      </c>
      <c r="T128">
        <f>SUMIF('库存（子SKU）'!$C:$C,$A128,'库存（子SKU）'!V:V)</f>
        <v>1731</v>
      </c>
      <c r="U128">
        <f>SUMIF('库存（子SKU）'!$C:$C,$A128,'库存（子SKU）'!W:W)</f>
        <v>1734</v>
      </c>
      <c r="V128" s="23">
        <f t="shared" si="32"/>
        <v>0.00663897089272118</v>
      </c>
      <c r="W128" s="23">
        <f t="shared" si="33"/>
        <v>0.00784915962801809</v>
      </c>
      <c r="X128" s="23">
        <f t="shared" si="34"/>
        <v>0.00712580273341018</v>
      </c>
      <c r="Y128" s="23">
        <f t="shared" si="35"/>
        <v>0.00711384615384615</v>
      </c>
      <c r="Z128">
        <f>SUMIF('库存（子SKU）'!$C:$C,$A128,'库存（子SKU）'!AB:AB)</f>
        <v>160.97</v>
      </c>
      <c r="AA128">
        <f>SUMIF('库存（子SKU）'!$C:$C,$A128,'库存（子SKU）'!AC:AC)</f>
        <v>64.98</v>
      </c>
      <c r="AB128">
        <f>SUMIF('库存（子SKU）'!$C:$C,$A128,'库存（子SKU）'!AD:AD)</f>
        <v>364.92</v>
      </c>
      <c r="AC128">
        <f>SUMIF('库存（子SKU）'!$C:$C,$A128,'库存（子SKU）'!AE:AE)</f>
        <v>365.48</v>
      </c>
      <c r="AD128" s="23">
        <f t="shared" si="20"/>
        <v>0.137596485079539</v>
      </c>
      <c r="AE128" s="23">
        <f t="shared" si="21"/>
        <v>0.0481386820757863</v>
      </c>
      <c r="AF128" s="23">
        <f t="shared" si="22"/>
        <v>0.337926436270698</v>
      </c>
      <c r="AG128" s="23">
        <f t="shared" si="23"/>
        <v>0.27075600992703</v>
      </c>
      <c r="AH128">
        <f>SUMIF('库存（子SKU）'!$C:$C,$A128,'库存（子SKU）'!AJ:AJ)</f>
        <v>1144</v>
      </c>
      <c r="AI128">
        <f>SUMIF('库存（子SKU）'!$C:$C,$A128,'库存（子SKU）'!AK:AK)</f>
        <v>792</v>
      </c>
      <c r="AJ128">
        <f>SUMIF('库存（子SKU）'!$C:$C,$A128,'库存（子SKU）'!AL:AL)</f>
        <v>813</v>
      </c>
      <c r="AK128">
        <f>SUMIF('库存（子SKU）'!$C:$C,$A128,'库存（子SKU）'!AM:AM)</f>
        <v>798</v>
      </c>
      <c r="AL128" s="23">
        <f t="shared" si="24"/>
        <v>0.0113636363636364</v>
      </c>
      <c r="AM128" s="23">
        <f t="shared" si="25"/>
        <v>0.0189393939393939</v>
      </c>
      <c r="AN128" s="23">
        <f t="shared" si="26"/>
        <v>0.014760147601476</v>
      </c>
      <c r="AO128" s="23">
        <f t="shared" si="27"/>
        <v>0.018796992481203</v>
      </c>
      <c r="AP128" s="7">
        <f t="shared" si="28"/>
        <v>1.85714285714286</v>
      </c>
      <c r="AQ128" s="7">
        <f t="shared" si="29"/>
        <v>111.428571428571</v>
      </c>
      <c r="AR128" s="7">
        <f t="shared" si="30"/>
        <v>-80.4285714285714</v>
      </c>
      <c r="AS128">
        <f t="shared" si="31"/>
        <v>16</v>
      </c>
      <c r="AT128" s="2">
        <f>IFERROR(时间!$B$4+AS128,"上周无销量")</f>
        <v>43355</v>
      </c>
    </row>
    <row r="129" spans="1:46">
      <c r="A129" t="s">
        <v>580</v>
      </c>
      <c r="B129" s="5">
        <f>SUMIF('库存（子SKU）'!$C:$C,$A129,'库存（子SKU）'!D:D)</f>
        <v>2</v>
      </c>
      <c r="C129" s="5">
        <f>SUMIF('库存（子SKU）'!$C:$C,$A129,'库存（子SKU）'!E:E)</f>
        <v>4</v>
      </c>
      <c r="D129" s="5">
        <f>SUMIF('库存（子SKU）'!$C:$C,$A129,'库存（子SKU）'!F:F)</f>
        <v>5</v>
      </c>
      <c r="E129" s="5">
        <f>SUMIF('库存（子SKU）'!$C:$C,$A129,'库存（子SKU）'!G:G)</f>
        <v>3</v>
      </c>
      <c r="F129" s="6">
        <v>89.99</v>
      </c>
      <c r="G129">
        <f>SUMIF('库存（子SKU）'!$C:$C,$A129,'库存（子SKU）'!I:I)</f>
        <v>54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9"/>
        <v>54</v>
      </c>
      <c r="L129">
        <f>SUMIF('库存（子SKU）'!$C:$C,$A129,'库存（子SKU）'!N:N)</f>
        <v>1</v>
      </c>
      <c r="M129">
        <f>SUMIF('库存（子SKU）'!$C:$C,$A129,'库存（子SKU）'!O:O)</f>
        <v>0</v>
      </c>
      <c r="N129">
        <f>SUMIF('库存（子SKU）'!$C:$C,$A129,'库存（子SKU）'!P:P)</f>
        <v>28859</v>
      </c>
      <c r="O129">
        <f>SUMIF('库存（子SKU）'!$C:$C,$A129,'库存（子SKU）'!Q:Q)</f>
        <v>22782</v>
      </c>
      <c r="P129">
        <f>SUMIF('库存（子SKU）'!$C:$C,$A129,'库存（子SKU）'!R:R)</f>
        <v>0</v>
      </c>
      <c r="Q129">
        <f>SUMIF('库存（子SKU）'!$C:$C,$A129,'库存（子SKU）'!S:S)</f>
        <v>0</v>
      </c>
      <c r="R129">
        <f>SUMIF('库存（子SKU）'!$C:$C,$A129,'库存（子SKU）'!T:T)</f>
        <v>140</v>
      </c>
      <c r="S129">
        <f>SUMIF('库存（子SKU）'!$C:$C,$A129,'库存（子SKU）'!U:U)</f>
        <v>82</v>
      </c>
      <c r="T129">
        <f>SUMIF('库存（子SKU）'!$C:$C,$A129,'库存（子SKU）'!V:V)</f>
        <v>0</v>
      </c>
      <c r="U129">
        <f>SUMIF('库存（子SKU）'!$C:$C,$A129,'库存（子SKU）'!W:W)</f>
        <v>0</v>
      </c>
      <c r="V129" s="23">
        <f t="shared" si="32"/>
        <v>0.00485117294431547</v>
      </c>
      <c r="W129" s="23">
        <f t="shared" si="33"/>
        <v>0.0035993328066017</v>
      </c>
      <c r="X129" s="23" t="str">
        <f t="shared" si="34"/>
        <v/>
      </c>
      <c r="Y129" s="23" t="str">
        <f t="shared" si="35"/>
        <v/>
      </c>
      <c r="Z129">
        <f>SUMIF('库存（子SKU）'!$C:$C,$A129,'库存（子SKU）'!AB:AB)</f>
        <v>35.8</v>
      </c>
      <c r="AA129">
        <f>SUMIF('库存（子SKU）'!$C:$C,$A129,'库存（子SKU）'!AC:AC)</f>
        <v>19.42</v>
      </c>
      <c r="AB129">
        <f>SUMIF('库存（子SKU）'!$C:$C,$A129,'库存（子SKU）'!AD:AD)</f>
        <v>0</v>
      </c>
      <c r="AC129">
        <f>SUMIF('库存（子SKU）'!$C:$C,$A129,'库存（子SKU）'!AE:AE)</f>
        <v>0</v>
      </c>
      <c r="AD129" s="23">
        <f t="shared" si="20"/>
        <v>0.198910990110012</v>
      </c>
      <c r="AE129" s="23">
        <f t="shared" si="21"/>
        <v>0.0539504389376597</v>
      </c>
      <c r="AF129" s="23">
        <f t="shared" si="22"/>
        <v>0</v>
      </c>
      <c r="AG129" s="23">
        <f t="shared" si="23"/>
        <v>0</v>
      </c>
      <c r="AH129">
        <f>SUMIF('库存（子SKU）'!$C:$C,$A129,'库存（子SKU）'!AJ:AJ)</f>
        <v>407</v>
      </c>
      <c r="AI129">
        <f>SUMIF('库存（子SKU）'!$C:$C,$A129,'库存（子SKU）'!AK:AK)</f>
        <v>403</v>
      </c>
      <c r="AJ129">
        <f>SUMIF('库存（子SKU）'!$C:$C,$A129,'库存（子SKU）'!AL:AL)</f>
        <v>642</v>
      </c>
      <c r="AK129">
        <f>SUMIF('库存（子SKU）'!$C:$C,$A129,'库存（子SKU）'!AM:AM)</f>
        <v>343</v>
      </c>
      <c r="AL129" s="23">
        <f t="shared" si="24"/>
        <v>0.00491400491400491</v>
      </c>
      <c r="AM129" s="23">
        <f t="shared" si="25"/>
        <v>0.00992555831265509</v>
      </c>
      <c r="AN129" s="23">
        <f t="shared" si="26"/>
        <v>0.00778816199376947</v>
      </c>
      <c r="AO129" s="23">
        <f t="shared" si="27"/>
        <v>0.0087463556851312</v>
      </c>
      <c r="AP129" s="7">
        <f t="shared" si="28"/>
        <v>0.285714285714286</v>
      </c>
      <c r="AQ129" s="7">
        <f t="shared" si="29"/>
        <v>17.1428571428571</v>
      </c>
      <c r="AR129" s="7">
        <f t="shared" si="30"/>
        <v>36.8571428571429</v>
      </c>
      <c r="AS129">
        <f t="shared" si="31"/>
        <v>189</v>
      </c>
      <c r="AT129" s="2">
        <f>IFERROR(时间!$B$4+AS129,"上周无销量")</f>
        <v>43528</v>
      </c>
    </row>
    <row r="130" spans="1:46">
      <c r="A130" t="s">
        <v>583</v>
      </c>
      <c r="B130" s="5">
        <f>SUMIF('库存（子SKU）'!$C:$C,$A130,'库存（子SKU）'!D:D)</f>
        <v>2</v>
      </c>
      <c r="C130" s="5">
        <f>SUMIF('库存（子SKU）'!$C:$C,$A130,'库存（子SKU）'!E:E)</f>
        <v>4</v>
      </c>
      <c r="D130" s="5">
        <f>SUMIF('库存（子SKU）'!$C:$C,$A130,'库存（子SKU）'!F:F)</f>
        <v>3</v>
      </c>
      <c r="E130" s="5">
        <f>SUMIF('库存（子SKU）'!$C:$C,$A130,'库存（子SKU）'!G:G)</f>
        <v>2</v>
      </c>
      <c r="F130" s="6">
        <v>89.6</v>
      </c>
      <c r="G130">
        <f>SUMIF('库存（子SKU）'!$C:$C,$A130,'库存（子SKU）'!I:I)</f>
        <v>51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9"/>
        <v>51</v>
      </c>
      <c r="L130">
        <f>SUMIF('库存（子SKU）'!$C:$C,$A130,'库存（子SKU）'!N:N)</f>
        <v>0</v>
      </c>
      <c r="M130">
        <f>SUMIF('库存（子SKU）'!$C:$C,$A130,'库存（子SKU）'!O:O)</f>
        <v>0</v>
      </c>
      <c r="N130">
        <f>SUMIF('库存（子SKU）'!$C:$C,$A130,'库存（子SKU）'!P:P)</f>
        <v>37951</v>
      </c>
      <c r="O130">
        <f>SUMIF('库存（子SKU）'!$C:$C,$A130,'库存（子SKU）'!Q:Q)</f>
        <v>37950</v>
      </c>
      <c r="P130">
        <f>SUMIF('库存（子SKU）'!$C:$C,$A130,'库存（子SKU）'!R:R)</f>
        <v>162405</v>
      </c>
      <c r="Q130">
        <f>SUMIF('库存（子SKU）'!$C:$C,$A130,'库存（子SKU）'!S:S)</f>
        <v>164186</v>
      </c>
      <c r="R130">
        <f>SUMIF('库存（子SKU）'!$C:$C,$A130,'库存（子SKU）'!T:T)</f>
        <v>108</v>
      </c>
      <c r="S130">
        <f>SUMIF('库存（子SKU）'!$C:$C,$A130,'库存（子SKU）'!U:U)</f>
        <v>139</v>
      </c>
      <c r="T130">
        <f>SUMIF('库存（子SKU）'!$C:$C,$A130,'库存（子SKU）'!V:V)</f>
        <v>760</v>
      </c>
      <c r="U130">
        <f>SUMIF('库存（子SKU）'!$C:$C,$A130,'库存（子SKU）'!W:W)</f>
        <v>761</v>
      </c>
      <c r="V130" s="23">
        <f t="shared" si="32"/>
        <v>0.00284577481489289</v>
      </c>
      <c r="W130" s="23">
        <f t="shared" si="33"/>
        <v>0.00366271409749671</v>
      </c>
      <c r="X130" s="23">
        <f t="shared" si="34"/>
        <v>0.00467965887749761</v>
      </c>
      <c r="Y130" s="23">
        <f t="shared" si="35"/>
        <v>0.00463498714872157</v>
      </c>
      <c r="Z130">
        <f>SUMIF('库存（子SKU）'!$C:$C,$A130,'库存（子SKU）'!AB:AB)</f>
        <v>34.21</v>
      </c>
      <c r="AA130">
        <f>SUMIF('库存（子SKU）'!$C:$C,$A130,'库存（子SKU）'!AC:AC)</f>
        <v>39.51</v>
      </c>
      <c r="AB130">
        <f>SUMIF('库存（子SKU）'!$C:$C,$A130,'库存（子SKU）'!AD:AD)</f>
        <v>191.5</v>
      </c>
      <c r="AC130">
        <f>SUMIF('库存（子SKU）'!$C:$C,$A130,'库存（子SKU）'!AE:AE)</f>
        <v>191.66</v>
      </c>
      <c r="AD130" s="23">
        <f t="shared" si="20"/>
        <v>0.190904017857143</v>
      </c>
      <c r="AE130" s="23">
        <f t="shared" si="21"/>
        <v>0.110239955357143</v>
      </c>
      <c r="AF130" s="23">
        <f t="shared" si="22"/>
        <v>0.712425595238095</v>
      </c>
      <c r="AG130" s="23">
        <f t="shared" si="23"/>
        <v>1.06953125</v>
      </c>
      <c r="AH130">
        <f>SUMIF('库存（子SKU）'!$C:$C,$A130,'库存（子SKU）'!AJ:AJ)</f>
        <v>194</v>
      </c>
      <c r="AI130">
        <f>SUMIF('库存（子SKU）'!$C:$C,$A130,'库存（子SKU）'!AK:AK)</f>
        <v>168</v>
      </c>
      <c r="AJ130">
        <f>SUMIF('库存（子SKU）'!$C:$C,$A130,'库存（子SKU）'!AL:AL)</f>
        <v>223</v>
      </c>
      <c r="AK130">
        <f>SUMIF('库存（子SKU）'!$C:$C,$A130,'库存（子SKU）'!AM:AM)</f>
        <v>252</v>
      </c>
      <c r="AL130" s="23">
        <f t="shared" si="24"/>
        <v>0.0103092783505155</v>
      </c>
      <c r="AM130" s="23">
        <f t="shared" si="25"/>
        <v>0.0238095238095238</v>
      </c>
      <c r="AN130" s="23">
        <f t="shared" si="26"/>
        <v>0.0134529147982063</v>
      </c>
      <c r="AO130" s="23">
        <f t="shared" si="27"/>
        <v>0.00793650793650794</v>
      </c>
      <c r="AP130" s="7">
        <f t="shared" si="28"/>
        <v>0.285714285714286</v>
      </c>
      <c r="AQ130" s="7">
        <f t="shared" si="29"/>
        <v>17.1428571428571</v>
      </c>
      <c r="AR130" s="7">
        <f t="shared" si="30"/>
        <v>33.8571428571429</v>
      </c>
      <c r="AS130">
        <f t="shared" si="31"/>
        <v>178</v>
      </c>
      <c r="AT130" s="2">
        <f>IFERROR(时间!$B$4+AS130,"上周无销量")</f>
        <v>43517</v>
      </c>
    </row>
    <row r="131" spans="1:46">
      <c r="A131" t="s">
        <v>585</v>
      </c>
      <c r="B131" s="5">
        <f>SUMIF('库存（子SKU）'!$C:$C,$A131,'库存（子SKU）'!D:D)</f>
        <v>3</v>
      </c>
      <c r="C131" s="5">
        <f>SUMIF('库存（子SKU）'!$C:$C,$A131,'库存（子SKU）'!E:E)</f>
        <v>5</v>
      </c>
      <c r="D131" s="5">
        <f>SUMIF('库存（子SKU）'!$C:$C,$A131,'库存（子SKU）'!F:F)</f>
        <v>10</v>
      </c>
      <c r="E131" s="5">
        <f>SUMIF('库存（子SKU）'!$C:$C,$A131,'库存（子SKU）'!G:G)</f>
        <v>7</v>
      </c>
      <c r="F131" s="6">
        <v>89.99</v>
      </c>
      <c r="G131">
        <f>SUMIF('库存（子SKU）'!$C:$C,$A131,'库存（子SKU）'!I:I)</f>
        <v>69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1</v>
      </c>
      <c r="K131">
        <f t="shared" si="19"/>
        <v>70</v>
      </c>
      <c r="L131">
        <f>SUMIF('库存（子SKU）'!$C:$C,$A131,'库存（子SKU）'!N:N)</f>
        <v>0</v>
      </c>
      <c r="M131">
        <f>SUMIF('库存（子SKU）'!$C:$C,$A131,'库存（子SKU）'!O:O)</f>
        <v>0</v>
      </c>
      <c r="N131">
        <f>SUMIF('库存（子SKU）'!$C:$C,$A131,'库存（子SKU）'!P:P)</f>
        <v>66385</v>
      </c>
      <c r="O131">
        <f>SUMIF('库存（子SKU）'!$C:$C,$A131,'库存（子SKU）'!Q:Q)</f>
        <v>0</v>
      </c>
      <c r="P131">
        <f>SUMIF('库存（子SKU）'!$C:$C,$A131,'库存（子SKU）'!R:R)</f>
        <v>50890</v>
      </c>
      <c r="Q131">
        <f>SUMIF('库存（子SKU）'!$C:$C,$A131,'库存（子SKU）'!S:S)</f>
        <v>50890</v>
      </c>
      <c r="R131">
        <f>SUMIF('库存（子SKU）'!$C:$C,$A131,'库存（子SKU）'!T:T)</f>
        <v>319</v>
      </c>
      <c r="S131">
        <f>SUMIF('库存（子SKU）'!$C:$C,$A131,'库存（子SKU）'!U:U)</f>
        <v>0</v>
      </c>
      <c r="T131">
        <f>SUMIF('库存（子SKU）'!$C:$C,$A131,'库存（子SKU）'!V:V)</f>
        <v>279</v>
      </c>
      <c r="U131">
        <f>SUMIF('库存（子SKU）'!$C:$C,$A131,'库存（子SKU）'!W:W)</f>
        <v>279</v>
      </c>
      <c r="V131" s="23">
        <f t="shared" si="32"/>
        <v>0.0048053024026512</v>
      </c>
      <c r="W131" s="23" t="str">
        <f t="shared" si="33"/>
        <v/>
      </c>
      <c r="X131" s="23">
        <f t="shared" si="34"/>
        <v>0.00548241304775005</v>
      </c>
      <c r="Y131" s="23">
        <f t="shared" si="35"/>
        <v>0.00548241304775005</v>
      </c>
      <c r="Z131">
        <f>SUMIF('库存（子SKU）'!$C:$C,$A131,'库存（子SKU）'!AB:AB)</f>
        <v>89.69</v>
      </c>
      <c r="AA131">
        <f>SUMIF('库存（子SKU）'!$C:$C,$A131,'库存（子SKU）'!AC:AC)</f>
        <v>0</v>
      </c>
      <c r="AB131">
        <f>SUMIF('库存（子SKU）'!$C:$C,$A131,'库存（子SKU）'!AD:AD)</f>
        <v>69.5</v>
      </c>
      <c r="AC131">
        <f>SUMIF('库存（子SKU）'!$C:$C,$A131,'库存（子SKU）'!AE:AE)</f>
        <v>69.5</v>
      </c>
      <c r="AD131" s="23">
        <f t="shared" si="20"/>
        <v>0.332222098751713</v>
      </c>
      <c r="AE131" s="23">
        <f t="shared" si="21"/>
        <v>0</v>
      </c>
      <c r="AF131" s="23">
        <f t="shared" si="22"/>
        <v>0.0772308034226025</v>
      </c>
      <c r="AG131" s="23">
        <f t="shared" si="23"/>
        <v>0.110329719175146</v>
      </c>
      <c r="AH131">
        <f>SUMIF('库存（子SKU）'!$C:$C,$A131,'库存（子SKU）'!AJ:AJ)</f>
        <v>606</v>
      </c>
      <c r="AI131">
        <f>SUMIF('库存（子SKU）'!$C:$C,$A131,'库存（子SKU）'!AK:AK)</f>
        <v>431</v>
      </c>
      <c r="AJ131">
        <f>SUMIF('库存（子SKU）'!$C:$C,$A131,'库存（子SKU）'!AL:AL)</f>
        <v>381</v>
      </c>
      <c r="AK131">
        <f>SUMIF('库存（子SKU）'!$C:$C,$A131,'库存（子SKU）'!AM:AM)</f>
        <v>429</v>
      </c>
      <c r="AL131" s="23">
        <f t="shared" si="24"/>
        <v>0.00495049504950495</v>
      </c>
      <c r="AM131" s="23">
        <f t="shared" si="25"/>
        <v>0.0116009280742459</v>
      </c>
      <c r="AN131" s="23">
        <f t="shared" si="26"/>
        <v>0.026246719160105</v>
      </c>
      <c r="AO131" s="23">
        <f t="shared" si="27"/>
        <v>0.0163170163170163</v>
      </c>
      <c r="AP131" s="7">
        <f t="shared" si="28"/>
        <v>0.428571428571429</v>
      </c>
      <c r="AQ131" s="7">
        <f t="shared" si="29"/>
        <v>25.7142857142857</v>
      </c>
      <c r="AR131" s="7">
        <f t="shared" si="30"/>
        <v>44.2857142857143</v>
      </c>
      <c r="AS131">
        <f t="shared" si="31"/>
        <v>163</v>
      </c>
      <c r="AT131" s="2">
        <f>IFERROR(时间!$B$4+AS131,"上周无销量")</f>
        <v>43502</v>
      </c>
    </row>
    <row r="132" spans="1:46">
      <c r="A132" t="s">
        <v>588</v>
      </c>
      <c r="B132" s="5">
        <f>SUMIF('库存（子SKU）'!$C:$C,$A132,'库存（子SKU）'!D:D)</f>
        <v>3</v>
      </c>
      <c r="C132" s="5">
        <f>SUMIF('库存（子SKU）'!$C:$C,$A132,'库存（子SKU）'!E:E)</f>
        <v>3</v>
      </c>
      <c r="D132" s="5">
        <f>SUMIF('库存（子SKU）'!$C:$C,$A132,'库存（子SKU）'!F:F)</f>
        <v>0</v>
      </c>
      <c r="E132" s="5">
        <f>SUMIF('库存（子SKU）'!$C:$C,$A132,'库存（子SKU）'!G:G)</f>
        <v>2</v>
      </c>
      <c r="F132" s="6">
        <v>89.99</v>
      </c>
      <c r="G132">
        <f>SUMIF('库存（子SKU）'!$C:$C,$A132,'库存（子SKU）'!I:I)</f>
        <v>63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9"/>
        <v>63</v>
      </c>
      <c r="L132">
        <f>SUMIF('库存（子SKU）'!$C:$C,$A132,'库存（子SKU）'!N:N)</f>
        <v>1</v>
      </c>
      <c r="M132">
        <f>SUMIF('库存（子SKU）'!$C:$C,$A132,'库存（子SKU）'!O:O)</f>
        <v>0</v>
      </c>
      <c r="N132">
        <f>SUMIF('库存（子SKU）'!$C:$C,$A132,'库存（子SKU）'!P:P)</f>
        <v>0</v>
      </c>
      <c r="O132">
        <f>SUMIF('库存（子SKU）'!$C:$C,$A132,'库存（子SKU）'!Q:Q)</f>
        <v>0</v>
      </c>
      <c r="P132">
        <f>SUMIF('库存（子SKU）'!$C:$C,$A132,'库存（子SKU）'!R:R)</f>
        <v>23482</v>
      </c>
      <c r="Q132">
        <f>SUMIF('库存（子SKU）'!$C:$C,$A132,'库存（子SKU）'!S:S)</f>
        <v>23482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119</v>
      </c>
      <c r="U132">
        <f>SUMIF('库存（子SKU）'!$C:$C,$A132,'库存（子SKU）'!W:W)</f>
        <v>119</v>
      </c>
      <c r="V132" s="23" t="str">
        <f t="shared" si="32"/>
        <v/>
      </c>
      <c r="W132" s="23" t="str">
        <f t="shared" si="33"/>
        <v/>
      </c>
      <c r="X132" s="23">
        <f t="shared" si="34"/>
        <v>0.00506771143854868</v>
      </c>
      <c r="Y132" s="23">
        <f t="shared" si="35"/>
        <v>0.00506771143854868</v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16.6</v>
      </c>
      <c r="AC132">
        <f>SUMIF('库存（子SKU）'!$C:$C,$A132,'库存（子SKU）'!AE:AE)</f>
        <v>16.6</v>
      </c>
      <c r="AD132" s="23">
        <f t="shared" si="20"/>
        <v>0</v>
      </c>
      <c r="AE132" s="23">
        <f t="shared" si="21"/>
        <v>0</v>
      </c>
      <c r="AF132" s="23" t="str">
        <f t="shared" si="22"/>
        <v>无销量广告费为16.6</v>
      </c>
      <c r="AG132" s="23">
        <f t="shared" si="23"/>
        <v>0.092232470274475</v>
      </c>
      <c r="AH132">
        <f>SUMIF('库存（子SKU）'!$C:$C,$A132,'库存（子SKU）'!AJ:AJ)</f>
        <v>69</v>
      </c>
      <c r="AI132">
        <f>SUMIF('库存（子SKU）'!$C:$C,$A132,'库存（子SKU）'!AK:AK)</f>
        <v>57</v>
      </c>
      <c r="AJ132">
        <f>SUMIF('库存（子SKU）'!$C:$C,$A132,'库存（子SKU）'!AL:AL)</f>
        <v>57</v>
      </c>
      <c r="AK132">
        <f>SUMIF('库存（子SKU）'!$C:$C,$A132,'库存（子SKU）'!AM:AM)</f>
        <v>62</v>
      </c>
      <c r="AL132" s="23">
        <f t="shared" si="24"/>
        <v>0.0434782608695652</v>
      </c>
      <c r="AM132" s="23">
        <f t="shared" si="25"/>
        <v>0.0526315789473684</v>
      </c>
      <c r="AN132" s="23">
        <f t="shared" si="26"/>
        <v>0</v>
      </c>
      <c r="AO132" s="23">
        <f t="shared" si="27"/>
        <v>0.032258064516129</v>
      </c>
      <c r="AP132" s="7">
        <f t="shared" si="28"/>
        <v>0.428571428571429</v>
      </c>
      <c r="AQ132" s="7">
        <f t="shared" si="29"/>
        <v>25.7142857142857</v>
      </c>
      <c r="AR132" s="7">
        <f t="shared" si="30"/>
        <v>37.2857142857143</v>
      </c>
      <c r="AS132">
        <f t="shared" si="31"/>
        <v>147</v>
      </c>
      <c r="AT132" s="2">
        <f>IFERROR(时间!$B$4+AS132,"上周无销量")</f>
        <v>43486</v>
      </c>
    </row>
    <row r="133" spans="1:46">
      <c r="A133" t="s">
        <v>592</v>
      </c>
      <c r="B133" s="5">
        <f>SUMIF('库存（子SKU）'!$C:$C,$A133,'库存（子SKU）'!D:D)</f>
        <v>0</v>
      </c>
      <c r="C133" s="5">
        <f>SUMIF('库存（子SKU）'!$C:$C,$A133,'库存（子SKU）'!E:E)</f>
        <v>0</v>
      </c>
      <c r="D133" s="5">
        <f>SUMIF('库存（子SKU）'!$C:$C,$A133,'库存（子SKU）'!F:F)</f>
        <v>0</v>
      </c>
      <c r="E133" s="5">
        <f>SUMIF('库存（子SKU）'!$C:$C,$A133,'库存（子SKU）'!G:G)</f>
        <v>1</v>
      </c>
      <c r="F133" s="6">
        <v>79.6</v>
      </c>
      <c r="G133">
        <f>SUMIF('库存（子SKU）'!$C:$C,$A133,'库存（子SKU）'!I:I)</f>
        <v>5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ref="K133:K157" si="36">SUM(G133:J133)</f>
        <v>5</v>
      </c>
      <c r="L133">
        <f>SUMIF('库存（子SKU）'!$C:$C,$A133,'库存（子SKU）'!N:N)</f>
        <v>0</v>
      </c>
      <c r="M133">
        <f>SUMIF('库存（子SKU）'!$C:$C,$A133,'库存（子SKU）'!O:O)</f>
        <v>5</v>
      </c>
      <c r="N133">
        <f>SUMIF('库存（子SKU）'!$C:$C,$A133,'库存（子SKU）'!P:P)</f>
        <v>0</v>
      </c>
      <c r="O133">
        <f>SUMIF('库存（子SKU）'!$C:$C,$A133,'库存（子SKU）'!Q:Q)</f>
        <v>8956</v>
      </c>
      <c r="P133">
        <f>SUMIF('库存（子SKU）'!$C:$C,$A133,'库存（子SKU）'!R:R)</f>
        <v>0</v>
      </c>
      <c r="Q133">
        <f>SUMIF('库存（子SKU）'!$C:$C,$A133,'库存（子SKU）'!S:S)</f>
        <v>0</v>
      </c>
      <c r="R133">
        <f>SUMIF('库存（子SKU）'!$C:$C,$A133,'库存（子SKU）'!T:T)</f>
        <v>0</v>
      </c>
      <c r="S133">
        <f>SUMIF('库存（子SKU）'!$C:$C,$A133,'库存（子SKU）'!U:U)</f>
        <v>51</v>
      </c>
      <c r="T133">
        <f>SUMIF('库存（子SKU）'!$C:$C,$A133,'库存（子SKU）'!V:V)</f>
        <v>0</v>
      </c>
      <c r="U133">
        <f>SUMIF('库存（子SKU）'!$C:$C,$A133,'库存（子SKU）'!W:W)</f>
        <v>0</v>
      </c>
      <c r="V133" s="23" t="str">
        <f t="shared" si="32"/>
        <v/>
      </c>
      <c r="W133" s="23">
        <f t="shared" si="33"/>
        <v>0.0056945064761054</v>
      </c>
      <c r="X133" s="23" t="str">
        <f t="shared" si="34"/>
        <v/>
      </c>
      <c r="Y133" s="23" t="str">
        <f t="shared" si="35"/>
        <v/>
      </c>
      <c r="Z133">
        <f>SUMIF('库存（子SKU）'!$C:$C,$A133,'库存（子SKU）'!AB:AB)</f>
        <v>0</v>
      </c>
      <c r="AA133">
        <f>SUMIF('库存（子SKU）'!$C:$C,$A133,'库存（子SKU）'!AC:AC)</f>
        <v>13.8</v>
      </c>
      <c r="AB133">
        <f>SUMIF('库存（子SKU）'!$C:$C,$A133,'库存（子SKU）'!AD:AD)</f>
        <v>0</v>
      </c>
      <c r="AC133">
        <f>SUMIF('库存（子SKU）'!$C:$C,$A133,'库存（子SKU）'!AE:AE)</f>
        <v>0</v>
      </c>
      <c r="AD133" s="23" t="str">
        <f t="shared" ref="AD133:AD157" si="37">IF(AND(Z133&gt;0,B133=0),"无销量广告费为"&amp;Z133,IFERROR(Z133/(B133*$F133),""))</f>
        <v/>
      </c>
      <c r="AE133" s="23" t="str">
        <f t="shared" ref="AE133:AE157" si="38">IF(AND(AA133&gt;0,C133=0),"无销量广告费为"&amp;AA133,IFERROR(AA133/(C133*$F133),""))</f>
        <v>无销量广告费为13.8</v>
      </c>
      <c r="AF133" s="23" t="str">
        <f t="shared" ref="AF133:AF157" si="39">IF(AND(AB133&gt;0,D133=0),"无销量广告费为"&amp;AB133,IFERROR(AB133/(D133*$F133),""))</f>
        <v/>
      </c>
      <c r="AG133" s="23">
        <f t="shared" ref="AG133:AG157" si="40">IF(AND(AC133&gt;0,E133=0),"无销量广告费为"&amp;AC133,IFERROR(AC133/(E133*$F133),""))</f>
        <v>0</v>
      </c>
      <c r="AH133">
        <f>SUMIF('库存（子SKU）'!$C:$C,$A133,'库存（子SKU）'!AJ:AJ)</f>
        <v>10</v>
      </c>
      <c r="AI133">
        <f>SUMIF('库存（子SKU）'!$C:$C,$A133,'库存（子SKU）'!AK:AK)</f>
        <v>72</v>
      </c>
      <c r="AJ133">
        <f>SUMIF('库存（子SKU）'!$C:$C,$A133,'库存（子SKU）'!AL:AL)</f>
        <v>65</v>
      </c>
      <c r="AK133">
        <f>SUMIF('库存（子SKU）'!$C:$C,$A133,'库存（子SKU）'!AM:AM)</f>
        <v>16</v>
      </c>
      <c r="AL133" s="23">
        <f t="shared" ref="AL133:AL157" si="41">IFERROR(B133/AH133,"")</f>
        <v>0</v>
      </c>
      <c r="AM133" s="23">
        <f t="shared" ref="AM133:AM157" si="42">IFERROR(C133/AI133,"")</f>
        <v>0</v>
      </c>
      <c r="AN133" s="23">
        <f t="shared" ref="AN133:AN157" si="43">IFERROR(D133/AJ133,"")</f>
        <v>0</v>
      </c>
      <c r="AO133" s="23">
        <f t="shared" ref="AO133:AO157" si="44">IFERROR(E133/AK133,"")</f>
        <v>0.0625</v>
      </c>
      <c r="AP133" s="7">
        <f t="shared" ref="AP133:AP157" si="45">B133/7</f>
        <v>0</v>
      </c>
      <c r="AQ133" s="7">
        <f t="shared" ref="AQ133:AQ157" si="46">AP133*60</f>
        <v>0</v>
      </c>
      <c r="AR133" s="7">
        <f t="shared" ref="AR133:AR157" si="47">K133-AQ133</f>
        <v>5</v>
      </c>
      <c r="AS133" t="str">
        <f t="shared" ref="AS133:AS157" si="48">IF(AP133=0,"库存为"&amp;K133,INT(K133/AP133))</f>
        <v>库存为5</v>
      </c>
      <c r="AT133" s="2" t="str">
        <f>IFERROR(时间!$B$4+AS133,"上周无销量")</f>
        <v>上周无销量</v>
      </c>
    </row>
    <row r="134" spans="1:46">
      <c r="A134" t="s">
        <v>596</v>
      </c>
      <c r="B134" s="5">
        <f>SUMIF('库存（子SKU）'!$C:$C,$A134,'库存（子SKU）'!D:D)</f>
        <v>0</v>
      </c>
      <c r="C134" s="5">
        <f>SUMIF('库存（子SKU）'!$C:$C,$A134,'库存（子SKU）'!E:E)</f>
        <v>0</v>
      </c>
      <c r="D134" s="5">
        <f>SUMIF('库存（子SKU）'!$C:$C,$A134,'库存（子SKU）'!F:F)</f>
        <v>2</v>
      </c>
      <c r="E134" s="5">
        <f>SUMIF('库存（子SKU）'!$C:$C,$A134,'库存（子SKU）'!G:G)</f>
        <v>1</v>
      </c>
      <c r="F134" s="6">
        <v>79.99</v>
      </c>
      <c r="G134">
        <f>SUMIF('库存（子SKU）'!$C:$C,$A134,'库存（子SKU）'!I:I)</f>
        <v>13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si="36"/>
        <v>13</v>
      </c>
      <c r="L134">
        <f>SUMIF('库存（子SKU）'!$C:$C,$A134,'库存（子SKU）'!N:N)</f>
        <v>0</v>
      </c>
      <c r="M134">
        <f>SUMIF('库存（子SKU）'!$C:$C,$A134,'库存（子SKU）'!O:O)</f>
        <v>13</v>
      </c>
      <c r="N134">
        <f>SUMIF('库存（子SKU）'!$C:$C,$A134,'库存（子SKU）'!P:P)</f>
        <v>0</v>
      </c>
      <c r="O134">
        <f>SUMIF('库存（子SKU）'!$C:$C,$A134,'库存（子SKU）'!Q:Q)</f>
        <v>0</v>
      </c>
      <c r="P134">
        <f>SUMIF('库存（子SKU）'!$C:$C,$A134,'库存（子SKU）'!R:R)</f>
        <v>0</v>
      </c>
      <c r="Q134">
        <f>SUMIF('库存（子SKU）'!$C:$C,$A134,'库存（子SKU）'!S:S)</f>
        <v>0</v>
      </c>
      <c r="R134">
        <f>SUMIF('库存（子SKU）'!$C:$C,$A134,'库存（子SKU）'!T:T)</f>
        <v>0</v>
      </c>
      <c r="S134">
        <f>SUMIF('库存（子SKU）'!$C:$C,$A134,'库存（子SKU）'!U:U)</f>
        <v>0</v>
      </c>
      <c r="T134">
        <f>SUMIF('库存（子SKU）'!$C:$C,$A134,'库存（子SKU）'!V:V)</f>
        <v>0</v>
      </c>
      <c r="U134">
        <f>SUMIF('库存（子SKU）'!$C:$C,$A134,'库存（子SKU）'!W:W)</f>
        <v>0</v>
      </c>
      <c r="V134" s="23" t="str">
        <f t="shared" ref="V134:V157" si="49">IFERROR(R134/N134,"")</f>
        <v/>
      </c>
      <c r="W134" s="23" t="str">
        <f t="shared" ref="W134:W157" si="50">IFERROR(S134/O134,"")</f>
        <v/>
      </c>
      <c r="X134" s="23" t="str">
        <f t="shared" ref="X134:X157" si="51">IFERROR(T134/P134,"")</f>
        <v/>
      </c>
      <c r="Y134" s="23" t="str">
        <f t="shared" ref="Y134:Y157" si="52">IFERROR(U134/Q134,"")</f>
        <v/>
      </c>
      <c r="Z134">
        <f>SUMIF('库存（子SKU）'!$C:$C,$A134,'库存（子SKU）'!AB:AB)</f>
        <v>0</v>
      </c>
      <c r="AA134">
        <f>SUMIF('库存（子SKU）'!$C:$C,$A134,'库存（子SKU）'!AC:AC)</f>
        <v>0</v>
      </c>
      <c r="AB134">
        <f>SUMIF('库存（子SKU）'!$C:$C,$A134,'库存（子SKU）'!AD:AD)</f>
        <v>0</v>
      </c>
      <c r="AC134">
        <f>SUMIF('库存（子SKU）'!$C:$C,$A134,'库存（子SKU）'!AE:AE)</f>
        <v>0</v>
      </c>
      <c r="AD134" s="23" t="str">
        <f t="shared" si="37"/>
        <v/>
      </c>
      <c r="AE134" s="23" t="str">
        <f t="shared" si="38"/>
        <v/>
      </c>
      <c r="AF134" s="23">
        <f t="shared" si="39"/>
        <v>0</v>
      </c>
      <c r="AG134" s="23">
        <f t="shared" si="40"/>
        <v>0</v>
      </c>
      <c r="AH134">
        <f>SUMIF('库存（子SKU）'!$C:$C,$A134,'库存（子SKU）'!AJ:AJ)</f>
        <v>34</v>
      </c>
      <c r="AI134">
        <f>SUMIF('库存（子SKU）'!$C:$C,$A134,'库存（子SKU）'!AK:AK)</f>
        <v>90</v>
      </c>
      <c r="AJ134">
        <f>SUMIF('库存（子SKU）'!$C:$C,$A134,'库存（子SKU）'!AL:AL)</f>
        <v>60</v>
      </c>
      <c r="AK134">
        <f>SUMIF('库存（子SKU）'!$C:$C,$A134,'库存（子SKU）'!AM:AM)</f>
        <v>24</v>
      </c>
      <c r="AL134" s="23">
        <f t="shared" si="41"/>
        <v>0</v>
      </c>
      <c r="AM134" s="23">
        <f t="shared" si="42"/>
        <v>0</v>
      </c>
      <c r="AN134" s="23">
        <f t="shared" si="43"/>
        <v>0.0333333333333333</v>
      </c>
      <c r="AO134" s="23">
        <f t="shared" si="44"/>
        <v>0.0416666666666667</v>
      </c>
      <c r="AP134" s="7">
        <f t="shared" si="45"/>
        <v>0</v>
      </c>
      <c r="AQ134" s="7">
        <f t="shared" si="46"/>
        <v>0</v>
      </c>
      <c r="AR134" s="7">
        <f t="shared" si="47"/>
        <v>13</v>
      </c>
      <c r="AS134" t="str">
        <f t="shared" si="48"/>
        <v>库存为13</v>
      </c>
      <c r="AT134" s="2" t="str">
        <f>IFERROR(时间!$B$4+AS134,"上周无销量")</f>
        <v>上周无销量</v>
      </c>
    </row>
    <row r="135" spans="1:46">
      <c r="A135" t="s">
        <v>599</v>
      </c>
      <c r="B135" s="5">
        <f>SUMIF('库存（子SKU）'!$C:$C,$A135,'库存（子SKU）'!D:D)</f>
        <v>0</v>
      </c>
      <c r="C135" s="5">
        <f>SUMIF('库存（子SKU）'!$C:$C,$A135,'库存（子SKU）'!E:E)</f>
        <v>0</v>
      </c>
      <c r="D135" s="5">
        <f>SUMIF('库存（子SKU）'!$C:$C,$A135,'库存（子SKU）'!F:F)</f>
        <v>0</v>
      </c>
      <c r="E135" s="5">
        <f>SUMIF('库存（子SKU）'!$C:$C,$A135,'库存（子SKU）'!G:G)</f>
        <v>1</v>
      </c>
      <c r="F135" s="6">
        <v>89.99</v>
      </c>
      <c r="G135">
        <f>SUMIF('库存（子SKU）'!$C:$C,$A135,'库存（子SKU）'!I:I)</f>
        <v>2</v>
      </c>
      <c r="H135">
        <f>SUMIF('库存（子SKU）'!$C:$C,$A135,'库存（子SKU）'!J:J)</f>
        <v>0</v>
      </c>
      <c r="I135">
        <f>SUMIF('库存（子SKU）'!$C:$C,$A135,'库存（子SKU）'!K:K)</f>
        <v>0</v>
      </c>
      <c r="J135">
        <f>SUMIF('库存（子SKU）'!$C:$C,$A135,'库存（子SKU）'!L:L)</f>
        <v>0</v>
      </c>
      <c r="K135">
        <f t="shared" si="36"/>
        <v>2</v>
      </c>
      <c r="L135">
        <f>SUMIF('库存（子SKU）'!$C:$C,$A135,'库存（子SKU）'!N:N)</f>
        <v>0</v>
      </c>
      <c r="M135">
        <f>SUMIF('库存（子SKU）'!$C:$C,$A135,'库存（子SKU）'!O:O)</f>
        <v>1</v>
      </c>
      <c r="N135">
        <f>SUMIF('库存（子SKU）'!$C:$C,$A135,'库存（子SKU）'!P:P)</f>
        <v>78</v>
      </c>
      <c r="O135">
        <f>SUMIF('库存（子SKU）'!$C:$C,$A135,'库存（子SKU）'!Q:Q)</f>
        <v>1193</v>
      </c>
      <c r="P135">
        <f>SUMIF('库存（子SKU）'!$C:$C,$A135,'库存（子SKU）'!R:R)</f>
        <v>24872</v>
      </c>
      <c r="Q135">
        <f>SUMIF('库存（子SKU）'!$C:$C,$A135,'库存（子SKU）'!S:S)</f>
        <v>24914</v>
      </c>
      <c r="R135">
        <f>SUMIF('库存（子SKU）'!$C:$C,$A135,'库存（子SKU）'!T:T)</f>
        <v>2</v>
      </c>
      <c r="S135">
        <f>SUMIF('库存（子SKU）'!$C:$C,$A135,'库存（子SKU）'!U:U)</f>
        <v>10</v>
      </c>
      <c r="T135">
        <f>SUMIF('库存（子SKU）'!$C:$C,$A135,'库存（子SKU）'!V:V)</f>
        <v>230</v>
      </c>
      <c r="U135">
        <f>SUMIF('库存（子SKU）'!$C:$C,$A135,'库存（子SKU）'!W:W)</f>
        <v>230</v>
      </c>
      <c r="V135" s="23">
        <f t="shared" si="49"/>
        <v>0.0256410256410256</v>
      </c>
      <c r="W135" s="23">
        <f t="shared" si="50"/>
        <v>0.00838222967309304</v>
      </c>
      <c r="X135" s="23">
        <f t="shared" si="51"/>
        <v>0.00924734641363783</v>
      </c>
      <c r="Y135" s="23">
        <f t="shared" si="52"/>
        <v>0.00923175724492253</v>
      </c>
      <c r="Z135">
        <f>SUMIF('库存（子SKU）'!$C:$C,$A135,'库存（子SKU）'!AB:AB)</f>
        <v>0.47</v>
      </c>
      <c r="AA135">
        <f>SUMIF('库存（子SKU）'!$C:$C,$A135,'库存（子SKU）'!AC:AC)</f>
        <v>2.05</v>
      </c>
      <c r="AB135">
        <f>SUMIF('库存（子SKU）'!$C:$C,$A135,'库存（子SKU）'!AD:AD)</f>
        <v>46.44</v>
      </c>
      <c r="AC135">
        <f>SUMIF('库存（子SKU）'!$C:$C,$A135,'库存（子SKU）'!AE:AE)</f>
        <v>46.44</v>
      </c>
      <c r="AD135" s="23" t="str">
        <f t="shared" si="37"/>
        <v>无销量广告费为0.47</v>
      </c>
      <c r="AE135" s="23" t="str">
        <f t="shared" si="38"/>
        <v>无销量广告费为2.05</v>
      </c>
      <c r="AF135" s="23" t="str">
        <f t="shared" si="39"/>
        <v>无销量广告费为46.44</v>
      </c>
      <c r="AG135" s="23">
        <f t="shared" si="40"/>
        <v>0.516057339704412</v>
      </c>
      <c r="AH135">
        <f>SUMIF('库存（子SKU）'!$C:$C,$A135,'库存（子SKU）'!AJ:AJ)</f>
        <v>22</v>
      </c>
      <c r="AI135">
        <f>SUMIF('库存（子SKU）'!$C:$C,$A135,'库存（子SKU）'!AK:AK)</f>
        <v>34</v>
      </c>
      <c r="AJ135">
        <f>SUMIF('库存（子SKU）'!$C:$C,$A135,'库存（子SKU）'!AL:AL)</f>
        <v>45</v>
      </c>
      <c r="AK135">
        <f>SUMIF('库存（子SKU）'!$C:$C,$A135,'库存（子SKU）'!AM:AM)</f>
        <v>83</v>
      </c>
      <c r="AL135" s="23">
        <f t="shared" si="41"/>
        <v>0</v>
      </c>
      <c r="AM135" s="23">
        <f t="shared" si="42"/>
        <v>0</v>
      </c>
      <c r="AN135" s="23">
        <f t="shared" si="43"/>
        <v>0</v>
      </c>
      <c r="AO135" s="23">
        <f t="shared" si="44"/>
        <v>0.0120481927710843</v>
      </c>
      <c r="AP135" s="7">
        <f t="shared" si="45"/>
        <v>0</v>
      </c>
      <c r="AQ135" s="7">
        <f t="shared" si="46"/>
        <v>0</v>
      </c>
      <c r="AR135" s="7">
        <f t="shared" si="47"/>
        <v>2</v>
      </c>
      <c r="AS135" t="str">
        <f t="shared" si="48"/>
        <v>库存为2</v>
      </c>
      <c r="AT135" s="2" t="str">
        <f>IFERROR(时间!$B$4+AS135,"上周无销量")</f>
        <v>上周无销量</v>
      </c>
    </row>
    <row r="136" spans="1:46">
      <c r="A136" t="s">
        <v>613</v>
      </c>
      <c r="B136" s="5">
        <f>SUMIF('库存（子SKU）'!$C:$C,$A136,'库存（子SKU）'!D:D)</f>
        <v>1</v>
      </c>
      <c r="C136" s="5">
        <f>SUMIF('库存（子SKU）'!$C:$C,$A136,'库存（子SKU）'!E:E)</f>
        <v>3</v>
      </c>
      <c r="D136" s="5">
        <f>SUMIF('库存（子SKU）'!$C:$C,$A136,'库存（子SKU）'!F:F)</f>
        <v>3</v>
      </c>
      <c r="E136" s="5">
        <f>SUMIF('库存（子SKU）'!$C:$C,$A136,'库存（子SKU）'!G:G)</f>
        <v>3</v>
      </c>
      <c r="F136" s="6">
        <v>99.99</v>
      </c>
      <c r="G136">
        <f>SUMIF('库存（子SKU）'!$C:$C,$A136,'库存（子SKU）'!I:I)</f>
        <v>16</v>
      </c>
      <c r="H136">
        <f>SUMIF('库存（子SKU）'!$C:$C,$A136,'库存（子SKU）'!J:J)</f>
        <v>2</v>
      </c>
      <c r="I136">
        <f>SUMIF('库存（子SKU）'!$C:$C,$A136,'库存（子SKU）'!K:K)</f>
        <v>0</v>
      </c>
      <c r="J136">
        <f>SUMIF('库存（子SKU）'!$C:$C,$A136,'库存（子SKU）'!L:L)</f>
        <v>2</v>
      </c>
      <c r="K136">
        <f t="shared" si="36"/>
        <v>20</v>
      </c>
      <c r="L136">
        <f>SUMIF('库存（子SKU）'!$C:$C,$A136,'库存（子SKU）'!N:N)</f>
        <v>0</v>
      </c>
      <c r="M136">
        <f>SUMIF('库存（子SKU）'!$C:$C,$A136,'库存（子SKU）'!O:O)</f>
        <v>0</v>
      </c>
      <c r="N136">
        <f>SUMIF('库存（子SKU）'!$C:$C,$A136,'库存（子SKU）'!P:P)</f>
        <v>6127</v>
      </c>
      <c r="O136">
        <f>SUMIF('库存（子SKU）'!$C:$C,$A136,'库存（子SKU）'!Q:Q)</f>
        <v>36494</v>
      </c>
      <c r="P136">
        <f>SUMIF('库存（子SKU）'!$C:$C,$A136,'库存（子SKU）'!R:R)</f>
        <v>14</v>
      </c>
      <c r="Q136">
        <f>SUMIF('库存（子SKU）'!$C:$C,$A136,'库存（子SKU）'!S:S)</f>
        <v>14</v>
      </c>
      <c r="R136">
        <f>SUMIF('库存（子SKU）'!$C:$C,$A136,'库存（子SKU）'!T:T)</f>
        <v>34</v>
      </c>
      <c r="S136">
        <f>SUMIF('库存（子SKU）'!$C:$C,$A136,'库存（子SKU）'!U:U)</f>
        <v>159</v>
      </c>
      <c r="T136">
        <f>SUMIF('库存（子SKU）'!$C:$C,$A136,'库存（子SKU）'!V:V)</f>
        <v>0</v>
      </c>
      <c r="U136">
        <f>SUMIF('库存（子SKU）'!$C:$C,$A136,'库存（子SKU）'!W:W)</f>
        <v>0</v>
      </c>
      <c r="V136" s="23">
        <f t="shared" si="49"/>
        <v>0.00554920842173984</v>
      </c>
      <c r="W136" s="23">
        <f t="shared" si="50"/>
        <v>0.00435688058310955</v>
      </c>
      <c r="X136" s="23">
        <f t="shared" si="51"/>
        <v>0</v>
      </c>
      <c r="Y136" s="23">
        <f t="shared" si="52"/>
        <v>0</v>
      </c>
      <c r="Z136">
        <f>SUMIF('库存（子SKU）'!$C:$C,$A136,'库存（子SKU）'!AB:AB)</f>
        <v>8.85</v>
      </c>
      <c r="AA136">
        <f>SUMIF('库存（子SKU）'!$C:$C,$A136,'库存（子SKU）'!AC:AC)</f>
        <v>40.29</v>
      </c>
      <c r="AB136">
        <f>SUMIF('库存（子SKU）'!$C:$C,$A136,'库存（子SKU）'!AD:AD)</f>
        <v>0</v>
      </c>
      <c r="AC136">
        <f>SUMIF('库存（子SKU）'!$C:$C,$A136,'库存（子SKU）'!AE:AE)</f>
        <v>0</v>
      </c>
      <c r="AD136" s="23">
        <f t="shared" si="37"/>
        <v>0.0885088508850885</v>
      </c>
      <c r="AE136" s="23">
        <f t="shared" si="38"/>
        <v>0.134313431343134</v>
      </c>
      <c r="AF136" s="23">
        <f t="shared" si="39"/>
        <v>0</v>
      </c>
      <c r="AG136" s="23">
        <f t="shared" si="40"/>
        <v>0</v>
      </c>
      <c r="AH136">
        <f>SUMIF('库存（子SKU）'!$C:$C,$A136,'库存（子SKU）'!AJ:AJ)</f>
        <v>194</v>
      </c>
      <c r="AI136">
        <f>SUMIF('库存（子SKU）'!$C:$C,$A136,'库存（子SKU）'!AK:AK)</f>
        <v>437</v>
      </c>
      <c r="AJ136">
        <f>SUMIF('库存（子SKU）'!$C:$C,$A136,'库存（子SKU）'!AL:AL)</f>
        <v>202</v>
      </c>
      <c r="AK136">
        <f>SUMIF('库存（子SKU）'!$C:$C,$A136,'库存（子SKU）'!AM:AM)</f>
        <v>144</v>
      </c>
      <c r="AL136" s="23">
        <f t="shared" si="41"/>
        <v>0.00515463917525773</v>
      </c>
      <c r="AM136" s="23">
        <f t="shared" si="42"/>
        <v>0.0068649885583524</v>
      </c>
      <c r="AN136" s="23">
        <f t="shared" si="43"/>
        <v>0.0148514851485149</v>
      </c>
      <c r="AO136" s="23">
        <f t="shared" si="44"/>
        <v>0.0208333333333333</v>
      </c>
      <c r="AP136" s="7">
        <f t="shared" si="45"/>
        <v>0.142857142857143</v>
      </c>
      <c r="AQ136" s="7">
        <f t="shared" si="46"/>
        <v>8.57142857142857</v>
      </c>
      <c r="AR136" s="7">
        <f t="shared" si="47"/>
        <v>11.4285714285714</v>
      </c>
      <c r="AS136">
        <f t="shared" si="48"/>
        <v>140</v>
      </c>
      <c r="AT136" s="2">
        <f>IFERROR(时间!$B$4+AS136,"上周无销量")</f>
        <v>43479</v>
      </c>
    </row>
    <row r="137" spans="1:46">
      <c r="A137" t="s">
        <v>616</v>
      </c>
      <c r="B137" s="5">
        <f>SUMIF('库存（子SKU）'!$C:$C,$A137,'库存（子SKU）'!D:D)</f>
        <v>0</v>
      </c>
      <c r="C137" s="5">
        <f>SUMIF('库存（子SKU）'!$C:$C,$A137,'库存（子SKU）'!E:E)</f>
        <v>0</v>
      </c>
      <c r="D137" s="5">
        <f>SUMIF('库存（子SKU）'!$C:$C,$A137,'库存（子SKU）'!F:F)</f>
        <v>0</v>
      </c>
      <c r="E137" s="5">
        <f>SUMIF('库存（子SKU）'!$C:$C,$A137,'库存（子SKU）'!G:G)</f>
        <v>0</v>
      </c>
      <c r="F137" s="6" t="s">
        <v>54</v>
      </c>
      <c r="G137">
        <f>SUMIF('库存（子SKU）'!$C:$C,$A137,'库存（子SKU）'!I:I)</f>
        <v>16</v>
      </c>
      <c r="H137">
        <f>SUMIF('库存（子SKU）'!$C:$C,$A137,'库存（子SKU）'!J:J)</f>
        <v>0</v>
      </c>
      <c r="I137">
        <f>SUMIF('库存（子SKU）'!$C:$C,$A137,'库存（子SKU）'!K:K)</f>
        <v>0</v>
      </c>
      <c r="J137">
        <f>SUMIF('库存（子SKU）'!$C:$C,$A137,'库存（子SKU）'!L:L)</f>
        <v>0</v>
      </c>
      <c r="K137">
        <f t="shared" si="36"/>
        <v>16</v>
      </c>
      <c r="L137">
        <f>SUMIF('库存（子SKU）'!$C:$C,$A137,'库存（子SKU）'!N:N)</f>
        <v>0</v>
      </c>
      <c r="M137">
        <f>SUMIF('库存（子SKU）'!$C:$C,$A137,'库存（子SKU）'!O:O)</f>
        <v>16</v>
      </c>
      <c r="N137">
        <f>SUMIF('库存（子SKU）'!$C:$C,$A137,'库存（子SKU）'!P:P)</f>
        <v>0</v>
      </c>
      <c r="O137">
        <f>SUMIF('库存（子SKU）'!$C:$C,$A137,'库存（子SKU）'!Q:Q)</f>
        <v>0</v>
      </c>
      <c r="P137">
        <f>SUMIF('库存（子SKU）'!$C:$C,$A137,'库存（子SKU）'!R:R)</f>
        <v>0</v>
      </c>
      <c r="Q137">
        <f>SUMIF('库存（子SKU）'!$C:$C,$A137,'库存（子SKU）'!S:S)</f>
        <v>0</v>
      </c>
      <c r="R137">
        <f>SUMIF('库存（子SKU）'!$C:$C,$A137,'库存（子SKU）'!T:T)</f>
        <v>0</v>
      </c>
      <c r="S137">
        <f>SUMIF('库存（子SKU）'!$C:$C,$A137,'库存（子SKU）'!U:U)</f>
        <v>0</v>
      </c>
      <c r="T137">
        <f>SUMIF('库存（子SKU）'!$C:$C,$A137,'库存（子SKU）'!V:V)</f>
        <v>0</v>
      </c>
      <c r="U137">
        <f>SUMIF('库存（子SKU）'!$C:$C,$A137,'库存（子SKU）'!W:W)</f>
        <v>0</v>
      </c>
      <c r="V137" s="23" t="str">
        <f t="shared" si="49"/>
        <v/>
      </c>
      <c r="W137" s="23" t="str">
        <f t="shared" si="50"/>
        <v/>
      </c>
      <c r="X137" s="23" t="str">
        <f t="shared" si="51"/>
        <v/>
      </c>
      <c r="Y137" s="23" t="str">
        <f t="shared" si="52"/>
        <v/>
      </c>
      <c r="Z137">
        <f>SUMIF('库存（子SKU）'!$C:$C,$A137,'库存（子SKU）'!AB:AB)</f>
        <v>0</v>
      </c>
      <c r="AA137">
        <f>SUMIF('库存（子SKU）'!$C:$C,$A137,'库存（子SKU）'!AC:AC)</f>
        <v>0</v>
      </c>
      <c r="AB137">
        <f>SUMIF('库存（子SKU）'!$C:$C,$A137,'库存（子SKU）'!AD:AD)</f>
        <v>0</v>
      </c>
      <c r="AC137">
        <f>SUMIF('库存（子SKU）'!$C:$C,$A137,'库存（子SKU）'!AE:AE)</f>
        <v>0</v>
      </c>
      <c r="AD137" s="23" t="str">
        <f t="shared" si="37"/>
        <v/>
      </c>
      <c r="AE137" s="23" t="str">
        <f t="shared" si="38"/>
        <v/>
      </c>
      <c r="AF137" s="23" t="str">
        <f t="shared" si="39"/>
        <v/>
      </c>
      <c r="AG137" s="23" t="str">
        <f t="shared" si="40"/>
        <v/>
      </c>
      <c r="AH137">
        <f>SUMIF('库存（子SKU）'!$C:$C,$A137,'库存（子SKU）'!AJ:AJ)</f>
        <v>8</v>
      </c>
      <c r="AI137">
        <f>SUMIF('库存（子SKU）'!$C:$C,$A137,'库存（子SKU）'!AK:AK)</f>
        <v>9</v>
      </c>
      <c r="AJ137">
        <f>SUMIF('库存（子SKU）'!$C:$C,$A137,'库存（子SKU）'!AL:AL)</f>
        <v>7</v>
      </c>
      <c r="AK137">
        <f>SUMIF('库存（子SKU）'!$C:$C,$A137,'库存（子SKU）'!AM:AM)</f>
        <v>8</v>
      </c>
      <c r="AL137" s="23">
        <f t="shared" si="41"/>
        <v>0</v>
      </c>
      <c r="AM137" s="23">
        <f t="shared" si="42"/>
        <v>0</v>
      </c>
      <c r="AN137" s="23">
        <f t="shared" si="43"/>
        <v>0</v>
      </c>
      <c r="AO137" s="23">
        <f t="shared" si="44"/>
        <v>0</v>
      </c>
      <c r="AP137" s="7">
        <f t="shared" si="45"/>
        <v>0</v>
      </c>
      <c r="AQ137" s="7">
        <f t="shared" si="46"/>
        <v>0</v>
      </c>
      <c r="AR137" s="7">
        <f t="shared" si="47"/>
        <v>16</v>
      </c>
      <c r="AS137" t="str">
        <f t="shared" si="48"/>
        <v>库存为16</v>
      </c>
      <c r="AT137" s="2" t="str">
        <f>IFERROR(时间!$B$4+AS137,"上周无销量")</f>
        <v>上周无销量</v>
      </c>
    </row>
    <row r="138" spans="1:46">
      <c r="A138" t="s">
        <v>619</v>
      </c>
      <c r="B138" s="5">
        <f>SUMIF('库存（子SKU）'!$C:$C,$A138,'库存（子SKU）'!D:D)</f>
        <v>0</v>
      </c>
      <c r="C138" s="5">
        <f>SUMIF('库存（子SKU）'!$C:$C,$A138,'库存（子SKU）'!E:E)</f>
        <v>2</v>
      </c>
      <c r="D138" s="5">
        <f>SUMIF('库存（子SKU）'!$C:$C,$A138,'库存（子SKU）'!F:F)</f>
        <v>3</v>
      </c>
      <c r="E138" s="5">
        <f>SUMIF('库存（子SKU）'!$C:$C,$A138,'库存（子SKU）'!G:G)</f>
        <v>2</v>
      </c>
      <c r="F138" s="6">
        <v>34.99</v>
      </c>
      <c r="G138">
        <f>SUMIF('库存（子SKU）'!$C:$C,$A138,'库存（子SKU）'!I:I)</f>
        <v>75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6"/>
        <v>75</v>
      </c>
      <c r="L138">
        <f>SUMIF('库存（子SKU）'!$C:$C,$A138,'库存（子SKU）'!N:N)</f>
        <v>1</v>
      </c>
      <c r="M138">
        <f>SUMIF('库存（子SKU）'!$C:$C,$A138,'库存（子SKU）'!O:O)</f>
        <v>12</v>
      </c>
      <c r="N138">
        <f>SUMIF('库存（子SKU）'!$C:$C,$A138,'库存（子SKU）'!P:P)</f>
        <v>0</v>
      </c>
      <c r="O138">
        <f>SUMIF('库存（子SKU）'!$C:$C,$A138,'库存（子SKU）'!Q:Q)</f>
        <v>0</v>
      </c>
      <c r="P138">
        <f>SUMIF('库存（子SKU）'!$C:$C,$A138,'库存（子SKU）'!R:R)</f>
        <v>57765</v>
      </c>
      <c r="Q138">
        <f>SUMIF('库存（子SKU）'!$C:$C,$A138,'库存（子SKU）'!S:S)</f>
        <v>57765</v>
      </c>
      <c r="R138">
        <f>SUMIF('库存（子SKU）'!$C:$C,$A138,'库存（子SKU）'!T:T)</f>
        <v>0</v>
      </c>
      <c r="S138">
        <f>SUMIF('库存（子SKU）'!$C:$C,$A138,'库存（子SKU）'!U:U)</f>
        <v>0</v>
      </c>
      <c r="T138">
        <f>SUMIF('库存（子SKU）'!$C:$C,$A138,'库存（子SKU）'!V:V)</f>
        <v>282</v>
      </c>
      <c r="U138">
        <f>SUMIF('库存（子SKU）'!$C:$C,$A138,'库存（子SKU）'!W:W)</f>
        <v>282</v>
      </c>
      <c r="V138" s="23" t="str">
        <f t="shared" si="49"/>
        <v/>
      </c>
      <c r="W138" s="23" t="str">
        <f t="shared" si="50"/>
        <v/>
      </c>
      <c r="X138" s="23">
        <f t="shared" si="51"/>
        <v>0.00488184887042327</v>
      </c>
      <c r="Y138" s="23">
        <f t="shared" si="52"/>
        <v>0.00488184887042327</v>
      </c>
      <c r="Z138">
        <f>SUMIF('库存（子SKU）'!$C:$C,$A138,'库存（子SKU）'!AB:AB)</f>
        <v>0</v>
      </c>
      <c r="AA138">
        <f>SUMIF('库存（子SKU）'!$C:$C,$A138,'库存（子SKU）'!AC:AC)</f>
        <v>0</v>
      </c>
      <c r="AB138">
        <f>SUMIF('库存（子SKU）'!$C:$C,$A138,'库存（子SKU）'!AD:AD)</f>
        <v>57.64</v>
      </c>
      <c r="AC138">
        <f>SUMIF('库存（子SKU）'!$C:$C,$A138,'库存（子SKU）'!AE:AE)</f>
        <v>57.64</v>
      </c>
      <c r="AD138" s="23" t="str">
        <f t="shared" si="37"/>
        <v/>
      </c>
      <c r="AE138" s="23">
        <f t="shared" si="38"/>
        <v>0</v>
      </c>
      <c r="AF138" s="23">
        <f t="shared" si="39"/>
        <v>0.549109269315042</v>
      </c>
      <c r="AG138" s="23">
        <f t="shared" si="40"/>
        <v>0.823663903972564</v>
      </c>
      <c r="AH138">
        <f>SUMIF('库存（子SKU）'!$C:$C,$A138,'库存（子SKU）'!AJ:AJ)</f>
        <v>140</v>
      </c>
      <c r="AI138">
        <f>SUMIF('库存（子SKU）'!$C:$C,$A138,'库存（子SKU）'!AK:AK)</f>
        <v>195</v>
      </c>
      <c r="AJ138">
        <f>SUMIF('库存（子SKU）'!$C:$C,$A138,'库存（子SKU）'!AL:AL)</f>
        <v>200</v>
      </c>
      <c r="AK138">
        <f>SUMIF('库存（子SKU）'!$C:$C,$A138,'库存（子SKU）'!AM:AM)</f>
        <v>236</v>
      </c>
      <c r="AL138" s="23">
        <f t="shared" si="41"/>
        <v>0</v>
      </c>
      <c r="AM138" s="23">
        <f t="shared" si="42"/>
        <v>0.0102564102564103</v>
      </c>
      <c r="AN138" s="23">
        <f t="shared" si="43"/>
        <v>0.015</v>
      </c>
      <c r="AO138" s="23">
        <f t="shared" si="44"/>
        <v>0.00847457627118644</v>
      </c>
      <c r="AP138" s="7">
        <f t="shared" si="45"/>
        <v>0</v>
      </c>
      <c r="AQ138" s="7">
        <f t="shared" si="46"/>
        <v>0</v>
      </c>
      <c r="AR138" s="7">
        <f t="shared" si="47"/>
        <v>75</v>
      </c>
      <c r="AS138" t="str">
        <f t="shared" si="48"/>
        <v>库存为75</v>
      </c>
      <c r="AT138" s="2" t="str">
        <f>IFERROR(时间!$B$4+AS138,"上周无销量")</f>
        <v>上周无销量</v>
      </c>
    </row>
    <row r="139" spans="1:46">
      <c r="A139" t="s">
        <v>628</v>
      </c>
      <c r="B139" s="5">
        <f>SUMIF('库存（子SKU）'!$C:$C,$A139,'库存（子SKU）'!D:D)</f>
        <v>1</v>
      </c>
      <c r="C139" s="5">
        <f>SUMIF('库存（子SKU）'!$C:$C,$A139,'库存（子SKU）'!E:E)</f>
        <v>0</v>
      </c>
      <c r="D139" s="5">
        <f>SUMIF('库存（子SKU）'!$C:$C,$A139,'库存（子SKU）'!F:F)</f>
        <v>5</v>
      </c>
      <c r="E139" s="5">
        <f>SUMIF('库存（子SKU）'!$C:$C,$A139,'库存（子SKU）'!G:G)</f>
        <v>1</v>
      </c>
      <c r="F139" s="6">
        <v>89.99</v>
      </c>
      <c r="G139">
        <f>SUMIF('库存（子SKU）'!$C:$C,$A139,'库存（子SKU）'!I:I)</f>
        <v>50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4</v>
      </c>
      <c r="K139">
        <f t="shared" si="36"/>
        <v>54</v>
      </c>
      <c r="L139">
        <f>SUMIF('库存（子SKU）'!$C:$C,$A139,'库存（子SKU）'!N:N)</f>
        <v>0</v>
      </c>
      <c r="M139">
        <f>SUMIF('库存（子SKU）'!$C:$C,$A139,'库存（子SKU）'!O:O)</f>
        <v>0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23" t="str">
        <f t="shared" si="49"/>
        <v/>
      </c>
      <c r="W139" s="23" t="str">
        <f t="shared" si="50"/>
        <v/>
      </c>
      <c r="X139" s="23" t="str">
        <f t="shared" si="51"/>
        <v/>
      </c>
      <c r="Y139" s="23" t="str">
        <f t="shared" si="52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23">
        <f t="shared" si="37"/>
        <v>0</v>
      </c>
      <c r="AE139" s="23" t="str">
        <f t="shared" si="38"/>
        <v/>
      </c>
      <c r="AF139" s="23">
        <f t="shared" si="39"/>
        <v>0</v>
      </c>
      <c r="AG139" s="23">
        <f t="shared" si="40"/>
        <v>0</v>
      </c>
      <c r="AH139">
        <f>SUMIF('库存（子SKU）'!$C:$C,$A139,'库存（子SKU）'!AJ:AJ)</f>
        <v>111</v>
      </c>
      <c r="AI139">
        <f>SUMIF('库存（子SKU）'!$C:$C,$A139,'库存（子SKU）'!AK:AK)</f>
        <v>128</v>
      </c>
      <c r="AJ139">
        <f>SUMIF('库存（子SKU）'!$C:$C,$A139,'库存（子SKU）'!AL:AL)</f>
        <v>141</v>
      </c>
      <c r="AK139">
        <f>SUMIF('库存（子SKU）'!$C:$C,$A139,'库存（子SKU）'!AM:AM)</f>
        <v>64</v>
      </c>
      <c r="AL139" s="23">
        <f t="shared" si="41"/>
        <v>0.00900900900900901</v>
      </c>
      <c r="AM139" s="23">
        <f t="shared" si="42"/>
        <v>0</v>
      </c>
      <c r="AN139" s="23">
        <f t="shared" si="43"/>
        <v>0.0354609929078014</v>
      </c>
      <c r="AO139" s="23">
        <f t="shared" si="44"/>
        <v>0.015625</v>
      </c>
      <c r="AP139" s="7">
        <f t="shared" si="45"/>
        <v>0.142857142857143</v>
      </c>
      <c r="AQ139" s="7">
        <f t="shared" si="46"/>
        <v>8.57142857142857</v>
      </c>
      <c r="AR139" s="7">
        <f t="shared" si="47"/>
        <v>45.4285714285714</v>
      </c>
      <c r="AS139">
        <f t="shared" si="48"/>
        <v>378</v>
      </c>
      <c r="AT139" s="2">
        <f>IFERROR(时间!$B$4+AS139,"上周无销量")</f>
        <v>43717</v>
      </c>
    </row>
    <row r="140" spans="1:46">
      <c r="A140" t="s">
        <v>631</v>
      </c>
      <c r="B140" s="5">
        <f>SUMIF('库存（子SKU）'!$C:$C,$A140,'库存（子SKU）'!D:D)</f>
        <v>0</v>
      </c>
      <c r="C140" s="5">
        <f>SUMIF('库存（子SKU）'!$C:$C,$A140,'库存（子SKU）'!E:E)</f>
        <v>0</v>
      </c>
      <c r="D140" s="5">
        <f>SUMIF('库存（子SKU）'!$C:$C,$A140,'库存（子SKU）'!F:F)</f>
        <v>0</v>
      </c>
      <c r="E140" s="5">
        <f>SUMIF('库存（子SKU）'!$C:$C,$A140,'库存（子SKU）'!G:G)</f>
        <v>0</v>
      </c>
      <c r="F140" s="6" t="s">
        <v>54</v>
      </c>
      <c r="G140">
        <f>SUMIF('库存（子SKU）'!$C:$C,$A140,'库存（子SKU）'!I:I)</f>
        <v>0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6"/>
        <v>0</v>
      </c>
      <c r="L140">
        <f>SUMIF('库存（子SKU）'!$C:$C,$A140,'库存（子SKU）'!N:N)</f>
        <v>0</v>
      </c>
      <c r="M140">
        <f>SUMIF('库存（子SKU）'!$C:$C,$A140,'库存（子SKU）'!O:O)</f>
        <v>0</v>
      </c>
      <c r="N140">
        <f>SUMIF('库存（子SKU）'!$C:$C,$A140,'库存（子SKU）'!P:P)</f>
        <v>0</v>
      </c>
      <c r="O140">
        <f>SUMIF('库存（子SKU）'!$C:$C,$A140,'库存（子SKU）'!Q:Q)</f>
        <v>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0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23" t="str">
        <f t="shared" si="49"/>
        <v/>
      </c>
      <c r="W140" s="23" t="str">
        <f t="shared" si="50"/>
        <v/>
      </c>
      <c r="X140" s="23" t="str">
        <f t="shared" si="51"/>
        <v/>
      </c>
      <c r="Y140" s="23" t="str">
        <f t="shared" si="52"/>
        <v/>
      </c>
      <c r="Z140">
        <f>SUMIF('库存（子SKU）'!$C:$C,$A140,'库存（子SKU）'!AB:AB)</f>
        <v>0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23" t="str">
        <f t="shared" si="37"/>
        <v/>
      </c>
      <c r="AE140" s="23" t="str">
        <f t="shared" si="38"/>
        <v/>
      </c>
      <c r="AF140" s="23" t="str">
        <f t="shared" si="39"/>
        <v/>
      </c>
      <c r="AG140" s="23" t="str">
        <f t="shared" si="40"/>
        <v/>
      </c>
      <c r="AH140">
        <f>SUMIF('库存（子SKU）'!$C:$C,$A140,'库存（子SKU）'!AJ:AJ)</f>
        <v>0</v>
      </c>
      <c r="AI140">
        <f>SUMIF('库存（子SKU）'!$C:$C,$A140,'库存（子SKU）'!AK:AK)</f>
        <v>4</v>
      </c>
      <c r="AJ140">
        <f>SUMIF('库存（子SKU）'!$C:$C,$A140,'库存（子SKU）'!AL:AL)</f>
        <v>22</v>
      </c>
      <c r="AK140">
        <f>SUMIF('库存（子SKU）'!$C:$C,$A140,'库存（子SKU）'!AM:AM)</f>
        <v>16</v>
      </c>
      <c r="AL140" s="23" t="str">
        <f t="shared" si="41"/>
        <v/>
      </c>
      <c r="AM140" s="23">
        <f t="shared" si="42"/>
        <v>0</v>
      </c>
      <c r="AN140" s="23">
        <f t="shared" si="43"/>
        <v>0</v>
      </c>
      <c r="AO140" s="23">
        <f t="shared" si="44"/>
        <v>0</v>
      </c>
      <c r="AP140" s="7">
        <f t="shared" si="45"/>
        <v>0</v>
      </c>
      <c r="AQ140" s="7">
        <f t="shared" si="46"/>
        <v>0</v>
      </c>
      <c r="AR140" s="7">
        <f t="shared" si="47"/>
        <v>0</v>
      </c>
      <c r="AS140" t="str">
        <f t="shared" si="48"/>
        <v>库存为0</v>
      </c>
      <c r="AT140" s="2" t="str">
        <f>IFERROR(时间!$B$4+AS140,"上周无销量")</f>
        <v>上周无销量</v>
      </c>
    </row>
    <row r="141" spans="1:46">
      <c r="A141" t="s">
        <v>634</v>
      </c>
      <c r="B141" s="5">
        <f>SUMIF('库存（子SKU）'!$C:$C,$A141,'库存（子SKU）'!D:D)</f>
        <v>0</v>
      </c>
      <c r="C141" s="5">
        <f>SUMIF('库存（子SKU）'!$C:$C,$A141,'库存（子SKU）'!E:E)</f>
        <v>1</v>
      </c>
      <c r="D141" s="5">
        <f>SUMIF('库存（子SKU）'!$C:$C,$A141,'库存（子SKU）'!F:F)</f>
        <v>1</v>
      </c>
      <c r="E141" s="5">
        <f>SUMIF('库存（子SKU）'!$C:$C,$A141,'库存（子SKU）'!G:G)</f>
        <v>2</v>
      </c>
      <c r="F141" s="6">
        <v>99.6</v>
      </c>
      <c r="G141">
        <f>SUMIF('库存（子SKU）'!$C:$C,$A141,'库存（子SKU）'!I:I)</f>
        <v>29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1</v>
      </c>
      <c r="K141">
        <f t="shared" si="36"/>
        <v>30</v>
      </c>
      <c r="L141">
        <f>SUMIF('库存（子SKU）'!$C:$C,$A141,'库存（子SKU）'!N:N)</f>
        <v>0</v>
      </c>
      <c r="M141">
        <f>SUMIF('库存（子SKU）'!$C:$C,$A141,'库存（子SKU）'!O:O)</f>
        <v>0</v>
      </c>
      <c r="N141">
        <f>SUMIF('库存（子SKU）'!$C:$C,$A141,'库存（子SKU）'!P:P)</f>
        <v>0</v>
      </c>
      <c r="O141">
        <f>SUMIF('库存（子SKU）'!$C:$C,$A141,'库存（子SKU）'!Q:Q)</f>
        <v>0</v>
      </c>
      <c r="P141">
        <f>SUMIF('库存（子SKU）'!$C:$C,$A141,'库存（子SKU）'!R:R)</f>
        <v>18953</v>
      </c>
      <c r="Q141">
        <f>SUMIF('库存（子SKU）'!$C:$C,$A141,'库存（子SKU）'!S:S)</f>
        <v>18953</v>
      </c>
      <c r="R141">
        <f>SUMIF('库存（子SKU）'!$C:$C,$A141,'库存（子SKU）'!T:T)</f>
        <v>0</v>
      </c>
      <c r="S141">
        <f>SUMIF('库存（子SKU）'!$C:$C,$A141,'库存（子SKU）'!U:U)</f>
        <v>0</v>
      </c>
      <c r="T141">
        <f>SUMIF('库存（子SKU）'!$C:$C,$A141,'库存（子SKU）'!V:V)</f>
        <v>131</v>
      </c>
      <c r="U141">
        <f>SUMIF('库存（子SKU）'!$C:$C,$A141,'库存（子SKU）'!W:W)</f>
        <v>131</v>
      </c>
      <c r="V141" s="23" t="str">
        <f t="shared" si="49"/>
        <v/>
      </c>
      <c r="W141" s="23" t="str">
        <f t="shared" si="50"/>
        <v/>
      </c>
      <c r="X141" s="23">
        <f t="shared" si="51"/>
        <v>0.00691183453806785</v>
      </c>
      <c r="Y141" s="23">
        <f t="shared" si="52"/>
        <v>0.00691183453806785</v>
      </c>
      <c r="Z141">
        <f>SUMIF('库存（子SKU）'!$C:$C,$A141,'库存（子SKU）'!AB:AB)</f>
        <v>0</v>
      </c>
      <c r="AA141">
        <f>SUMIF('库存（子SKU）'!$C:$C,$A141,'库存（子SKU）'!AC:AC)</f>
        <v>0</v>
      </c>
      <c r="AB141">
        <f>SUMIF('库存（子SKU）'!$C:$C,$A141,'库存（子SKU）'!AD:AD)</f>
        <v>19.11</v>
      </c>
      <c r="AC141">
        <f>SUMIF('库存（子SKU）'!$C:$C,$A141,'库存（子SKU）'!AE:AE)</f>
        <v>19.11</v>
      </c>
      <c r="AD141" s="23" t="str">
        <f t="shared" si="37"/>
        <v/>
      </c>
      <c r="AE141" s="23">
        <f t="shared" si="38"/>
        <v>0</v>
      </c>
      <c r="AF141" s="23">
        <f t="shared" si="39"/>
        <v>0.191867469879518</v>
      </c>
      <c r="AG141" s="23">
        <f t="shared" si="40"/>
        <v>0.095933734939759</v>
      </c>
      <c r="AH141">
        <f>SUMIF('库存（子SKU）'!$C:$C,$A141,'库存（子SKU）'!AJ:AJ)</f>
        <v>38</v>
      </c>
      <c r="AI141">
        <f>SUMIF('库存（子SKU）'!$C:$C,$A141,'库存（子SKU）'!AK:AK)</f>
        <v>66</v>
      </c>
      <c r="AJ141">
        <f>SUMIF('库存（子SKU）'!$C:$C,$A141,'库存（子SKU）'!AL:AL)</f>
        <v>60</v>
      </c>
      <c r="AK141">
        <f>SUMIF('库存（子SKU）'!$C:$C,$A141,'库存（子SKU）'!AM:AM)</f>
        <v>44</v>
      </c>
      <c r="AL141" s="23">
        <f t="shared" si="41"/>
        <v>0</v>
      </c>
      <c r="AM141" s="23">
        <f t="shared" si="42"/>
        <v>0.0151515151515152</v>
      </c>
      <c r="AN141" s="23">
        <f t="shared" si="43"/>
        <v>0.0166666666666667</v>
      </c>
      <c r="AO141" s="23">
        <f t="shared" si="44"/>
        <v>0.0454545454545455</v>
      </c>
      <c r="AP141" s="7">
        <f t="shared" si="45"/>
        <v>0</v>
      </c>
      <c r="AQ141" s="7">
        <f t="shared" si="46"/>
        <v>0</v>
      </c>
      <c r="AR141" s="7">
        <f t="shared" si="47"/>
        <v>30</v>
      </c>
      <c r="AS141" t="str">
        <f t="shared" si="48"/>
        <v>库存为30</v>
      </c>
      <c r="AT141" s="2" t="str">
        <f>IFERROR(时间!$B$4+AS141,"上周无销量")</f>
        <v>上周无销量</v>
      </c>
    </row>
    <row r="142" spans="1:46">
      <c r="A142" t="s">
        <v>637</v>
      </c>
      <c r="B142" s="5">
        <f>SUMIF('库存（子SKU）'!$C:$C,$A142,'库存（子SKU）'!D:D)</f>
        <v>7</v>
      </c>
      <c r="C142" s="5">
        <f>SUMIF('库存（子SKU）'!$C:$C,$A142,'库存（子SKU）'!E:E)</f>
        <v>6</v>
      </c>
      <c r="D142" s="5">
        <f>SUMIF('库存（子SKU）'!$C:$C,$A142,'库存（子SKU）'!F:F)</f>
        <v>10</v>
      </c>
      <c r="E142" s="5">
        <f>SUMIF('库存（子SKU）'!$C:$C,$A142,'库存（子SKU）'!G:G)</f>
        <v>8</v>
      </c>
      <c r="F142" s="6">
        <v>16.7641935483871</v>
      </c>
      <c r="G142">
        <f>SUMIF('库存（子SKU）'!$C:$C,$A142,'库存（子SKU）'!I:I)</f>
        <v>9</v>
      </c>
      <c r="H142">
        <f>SUMIF('库存（子SKU）'!$C:$C,$A142,'库存（子SKU）'!J:J)</f>
        <v>0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6"/>
        <v>9</v>
      </c>
      <c r="L142">
        <f>SUMIF('库存（子SKU）'!$C:$C,$A142,'库存（子SKU）'!N:N)</f>
        <v>0</v>
      </c>
      <c r="M142">
        <f>SUMIF('库存（子SKU）'!$C:$C,$A142,'库存（子SKU）'!O:O)</f>
        <v>14</v>
      </c>
      <c r="N142">
        <f>SUMIF('库存（子SKU）'!$C:$C,$A142,'库存（子SKU）'!P:P)</f>
        <v>1530</v>
      </c>
      <c r="O142">
        <f>SUMIF('库存（子SKU）'!$C:$C,$A142,'库存（子SKU）'!Q:Q)</f>
        <v>7942</v>
      </c>
      <c r="P142">
        <f>SUMIF('库存（子SKU）'!$C:$C,$A142,'库存（子SKU）'!R:R)</f>
        <v>97302</v>
      </c>
      <c r="Q142">
        <f>SUMIF('库存（子SKU）'!$C:$C,$A142,'库存（子SKU）'!S:S)</f>
        <v>97350</v>
      </c>
      <c r="R142">
        <f>SUMIF('库存（子SKU）'!$C:$C,$A142,'库存（子SKU）'!T:T)</f>
        <v>10</v>
      </c>
      <c r="S142">
        <f>SUMIF('库存（子SKU）'!$C:$C,$A142,'库存（子SKU）'!U:U)</f>
        <v>56</v>
      </c>
      <c r="T142">
        <f>SUMIF('库存（子SKU）'!$C:$C,$A142,'库存（子SKU）'!V:V)</f>
        <v>394</v>
      </c>
      <c r="U142">
        <f>SUMIF('库存（子SKU）'!$C:$C,$A142,'库存（子SKU）'!W:W)</f>
        <v>394</v>
      </c>
      <c r="V142" s="23">
        <f t="shared" si="49"/>
        <v>0.0065359477124183</v>
      </c>
      <c r="W142" s="23">
        <f t="shared" si="50"/>
        <v>0.00705112062452783</v>
      </c>
      <c r="X142" s="23">
        <f t="shared" si="51"/>
        <v>0.00404924873075579</v>
      </c>
      <c r="Y142" s="23">
        <f t="shared" si="52"/>
        <v>0.0040472521828454</v>
      </c>
      <c r="Z142">
        <f>SUMIF('库存（子SKU）'!$C:$C,$A142,'库存（子SKU）'!AB:AB)</f>
        <v>1.58</v>
      </c>
      <c r="AA142">
        <f>SUMIF('库存（子SKU）'!$C:$C,$A142,'库存（子SKU）'!AC:AC)</f>
        <v>8.17</v>
      </c>
      <c r="AB142">
        <f>SUMIF('库存（子SKU）'!$C:$C,$A142,'库存（子SKU）'!AD:AD)</f>
        <v>118.57</v>
      </c>
      <c r="AC142">
        <f>SUMIF('库存（子SKU）'!$C:$C,$A142,'库存（子SKU）'!AE:AE)</f>
        <v>118.57</v>
      </c>
      <c r="AD142" s="23">
        <f t="shared" si="37"/>
        <v>0.0134640706135251</v>
      </c>
      <c r="AE142" s="23">
        <f t="shared" si="38"/>
        <v>0.0812247044712553</v>
      </c>
      <c r="AF142" s="23">
        <f t="shared" si="39"/>
        <v>0.70728126383036</v>
      </c>
      <c r="AG142" s="23">
        <f t="shared" si="40"/>
        <v>0.88410157978795</v>
      </c>
      <c r="AH142">
        <f>SUMIF('库存（子SKU）'!$C:$C,$A142,'库存（子SKU）'!AJ:AJ)</f>
        <v>175</v>
      </c>
      <c r="AI142">
        <f>SUMIF('库存（子SKU）'!$C:$C,$A142,'库存（子SKU）'!AK:AK)</f>
        <v>258</v>
      </c>
      <c r="AJ142">
        <f>SUMIF('库存（子SKU）'!$C:$C,$A142,'库存（子SKU）'!AL:AL)</f>
        <v>136</v>
      </c>
      <c r="AK142">
        <f>SUMIF('库存（子SKU）'!$C:$C,$A142,'库存（子SKU）'!AM:AM)</f>
        <v>117</v>
      </c>
      <c r="AL142" s="23">
        <f t="shared" si="41"/>
        <v>0.04</v>
      </c>
      <c r="AM142" s="23">
        <f t="shared" si="42"/>
        <v>0.0232558139534884</v>
      </c>
      <c r="AN142" s="23">
        <f t="shared" si="43"/>
        <v>0.0735294117647059</v>
      </c>
      <c r="AO142" s="23">
        <f t="shared" si="44"/>
        <v>0.0683760683760684</v>
      </c>
      <c r="AP142" s="7">
        <f t="shared" si="45"/>
        <v>1</v>
      </c>
      <c r="AQ142" s="7">
        <f t="shared" si="46"/>
        <v>60</v>
      </c>
      <c r="AR142" s="7">
        <f t="shared" si="47"/>
        <v>-51</v>
      </c>
      <c r="AS142">
        <f t="shared" si="48"/>
        <v>9</v>
      </c>
      <c r="AT142" s="2">
        <f>IFERROR(时间!$B$4+AS142,"上周无销量")</f>
        <v>43348</v>
      </c>
    </row>
    <row r="143" spans="1:46">
      <c r="A143" t="s">
        <v>645</v>
      </c>
      <c r="B143" s="5">
        <f>SUMIF('库存（子SKU）'!$C:$C,$A143,'库存（子SKU）'!D:D)</f>
        <v>0</v>
      </c>
      <c r="C143" s="5">
        <f>SUMIF('库存（子SKU）'!$C:$C,$A143,'库存（子SKU）'!E:E)</f>
        <v>0</v>
      </c>
      <c r="D143" s="5">
        <f>SUMIF('库存（子SKU）'!$C:$C,$A143,'库存（子SKU）'!F:F)</f>
        <v>1</v>
      </c>
      <c r="E143" s="5">
        <f>SUMIF('库存（子SKU）'!$C:$C,$A143,'库存（子SKU）'!G:G)</f>
        <v>0</v>
      </c>
      <c r="F143" s="6">
        <v>16.99</v>
      </c>
      <c r="G143">
        <f>SUMIF('库存（子SKU）'!$C:$C,$A143,'库存（子SKU）'!I:I)</f>
        <v>11</v>
      </c>
      <c r="H143">
        <f>SUMIF('库存（子SKU）'!$C:$C,$A143,'库存（子SKU）'!J:J)</f>
        <v>0</v>
      </c>
      <c r="I143">
        <f>SUMIF('库存（子SKU）'!$C:$C,$A143,'库存（子SKU）'!K:K)</f>
        <v>0</v>
      </c>
      <c r="J143">
        <f>SUMIF('库存（子SKU）'!$C:$C,$A143,'库存（子SKU）'!L:L)</f>
        <v>0</v>
      </c>
      <c r="K143">
        <f t="shared" si="36"/>
        <v>11</v>
      </c>
      <c r="L143">
        <f>SUMIF('库存（子SKU）'!$C:$C,$A143,'库存（子SKU）'!N:N)</f>
        <v>0</v>
      </c>
      <c r="M143">
        <f>SUMIF('库存（子SKU）'!$C:$C,$A143,'库存（子SKU）'!O:O)</f>
        <v>11</v>
      </c>
      <c r="N143">
        <f>SUMIF('库存（子SKU）'!$C:$C,$A143,'库存（子SKU）'!P:P)</f>
        <v>0</v>
      </c>
      <c r="O143">
        <f>SUMIF('库存（子SKU）'!$C:$C,$A143,'库存（子SKU）'!Q:Q)</f>
        <v>0</v>
      </c>
      <c r="P143">
        <f>SUMIF('库存（子SKU）'!$C:$C,$A143,'库存（子SKU）'!R:R)</f>
        <v>0</v>
      </c>
      <c r="Q143">
        <f>SUMIF('库存（子SKU）'!$C:$C,$A143,'库存（子SKU）'!S:S)</f>
        <v>0</v>
      </c>
      <c r="R143">
        <f>SUMIF('库存（子SKU）'!$C:$C,$A143,'库存（子SKU）'!T:T)</f>
        <v>0</v>
      </c>
      <c r="S143">
        <f>SUMIF('库存（子SKU）'!$C:$C,$A143,'库存（子SKU）'!U:U)</f>
        <v>0</v>
      </c>
      <c r="T143">
        <f>SUMIF('库存（子SKU）'!$C:$C,$A143,'库存（子SKU）'!V:V)</f>
        <v>0</v>
      </c>
      <c r="U143">
        <f>SUMIF('库存（子SKU）'!$C:$C,$A143,'库存（子SKU）'!W:W)</f>
        <v>0</v>
      </c>
      <c r="V143" s="23" t="str">
        <f t="shared" si="49"/>
        <v/>
      </c>
      <c r="W143" s="23" t="str">
        <f t="shared" si="50"/>
        <v/>
      </c>
      <c r="X143" s="23" t="str">
        <f t="shared" si="51"/>
        <v/>
      </c>
      <c r="Y143" s="23" t="str">
        <f t="shared" si="52"/>
        <v/>
      </c>
      <c r="Z143">
        <f>SUMIF('库存（子SKU）'!$C:$C,$A143,'库存（子SKU）'!AB:AB)</f>
        <v>0</v>
      </c>
      <c r="AA143">
        <f>SUMIF('库存（子SKU）'!$C:$C,$A143,'库存（子SKU）'!AC:AC)</f>
        <v>0</v>
      </c>
      <c r="AB143">
        <f>SUMIF('库存（子SKU）'!$C:$C,$A143,'库存（子SKU）'!AD:AD)</f>
        <v>0</v>
      </c>
      <c r="AC143">
        <f>SUMIF('库存（子SKU）'!$C:$C,$A143,'库存（子SKU）'!AE:AE)</f>
        <v>0</v>
      </c>
      <c r="AD143" s="23" t="str">
        <f t="shared" si="37"/>
        <v/>
      </c>
      <c r="AE143" s="23" t="str">
        <f t="shared" si="38"/>
        <v/>
      </c>
      <c r="AF143" s="23">
        <f t="shared" si="39"/>
        <v>0</v>
      </c>
      <c r="AG143" s="23" t="str">
        <f t="shared" si="40"/>
        <v/>
      </c>
      <c r="AH143">
        <f>SUMIF('库存（子SKU）'!$C:$C,$A143,'库存（子SKU）'!AJ:AJ)</f>
        <v>5</v>
      </c>
      <c r="AI143">
        <f>SUMIF('库存（子SKU）'!$C:$C,$A143,'库存（子SKU）'!AK:AK)</f>
        <v>9</v>
      </c>
      <c r="AJ143">
        <f>SUMIF('库存（子SKU）'!$C:$C,$A143,'库存（子SKU）'!AL:AL)</f>
        <v>8</v>
      </c>
      <c r="AK143">
        <f>SUMIF('库存（子SKU）'!$C:$C,$A143,'库存（子SKU）'!AM:AM)</f>
        <v>12</v>
      </c>
      <c r="AL143" s="23">
        <f t="shared" si="41"/>
        <v>0</v>
      </c>
      <c r="AM143" s="23">
        <f t="shared" si="42"/>
        <v>0</v>
      </c>
      <c r="AN143" s="23">
        <f t="shared" si="43"/>
        <v>0.125</v>
      </c>
      <c r="AO143" s="23">
        <f t="shared" si="44"/>
        <v>0</v>
      </c>
      <c r="AP143" s="7">
        <f t="shared" si="45"/>
        <v>0</v>
      </c>
      <c r="AQ143" s="7">
        <f t="shared" si="46"/>
        <v>0</v>
      </c>
      <c r="AR143" s="7">
        <f t="shared" si="47"/>
        <v>11</v>
      </c>
      <c r="AS143" t="str">
        <f t="shared" si="48"/>
        <v>库存为11</v>
      </c>
      <c r="AT143" s="2" t="str">
        <f>IFERROR(时间!$B$4+AS143,"上周无销量")</f>
        <v>上周无销量</v>
      </c>
    </row>
    <row r="144" spans="1:46">
      <c r="A144" t="s">
        <v>649</v>
      </c>
      <c r="B144" s="5">
        <f>SUMIF('库存（子SKU）'!$C:$C,$A144,'库存（子SKU）'!D:D)</f>
        <v>1</v>
      </c>
      <c r="C144" s="5">
        <f>SUMIF('库存（子SKU）'!$C:$C,$A144,'库存（子SKU）'!E:E)</f>
        <v>1</v>
      </c>
      <c r="D144" s="5">
        <f>SUMIF('库存（子SKU）'!$C:$C,$A144,'库存（子SKU）'!F:F)</f>
        <v>0</v>
      </c>
      <c r="E144" s="5">
        <f>SUMIF('库存（子SKU）'!$C:$C,$A144,'库存（子SKU）'!G:G)</f>
        <v>3</v>
      </c>
      <c r="F144" s="6">
        <v>21.99</v>
      </c>
      <c r="G144">
        <f>SUMIF('库存（子SKU）'!$C:$C,$A144,'库存（子SKU）'!I:I)</f>
        <v>13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6"/>
        <v>13</v>
      </c>
      <c r="L144">
        <f>SUMIF('库存（子SKU）'!$C:$C,$A144,'库存（子SKU）'!N:N)</f>
        <v>0</v>
      </c>
      <c r="M144">
        <f>SUMIF('库存（子SKU）'!$C:$C,$A144,'库存（子SKU）'!O:O)</f>
        <v>0</v>
      </c>
      <c r="N144">
        <f>SUMIF('库存（子SKU）'!$C:$C,$A144,'库存（子SKU）'!P:P)</f>
        <v>0</v>
      </c>
      <c r="O144">
        <f>SUMIF('库存（子SKU）'!$C:$C,$A144,'库存（子SKU）'!Q:Q)</f>
        <v>0</v>
      </c>
      <c r="P144">
        <f>SUMIF('库存（子SKU）'!$C:$C,$A144,'库存（子SKU）'!R:R)</f>
        <v>0</v>
      </c>
      <c r="Q144">
        <f>SUMIF('库存（子SKU）'!$C:$C,$A144,'库存（子SKU）'!S:S)</f>
        <v>0</v>
      </c>
      <c r="R144">
        <f>SUMIF('库存（子SKU）'!$C:$C,$A144,'库存（子SKU）'!T:T)</f>
        <v>0</v>
      </c>
      <c r="S144">
        <f>SUMIF('库存（子SKU）'!$C:$C,$A144,'库存（子SKU）'!U:U)</f>
        <v>0</v>
      </c>
      <c r="T144">
        <f>SUMIF('库存（子SKU）'!$C:$C,$A144,'库存（子SKU）'!V:V)</f>
        <v>0</v>
      </c>
      <c r="U144">
        <f>SUMIF('库存（子SKU）'!$C:$C,$A144,'库存（子SKU）'!W:W)</f>
        <v>0</v>
      </c>
      <c r="V144" s="23" t="str">
        <f t="shared" si="49"/>
        <v/>
      </c>
      <c r="W144" s="23" t="str">
        <f t="shared" si="50"/>
        <v/>
      </c>
      <c r="X144" s="23" t="str">
        <f t="shared" si="51"/>
        <v/>
      </c>
      <c r="Y144" s="23" t="str">
        <f t="shared" si="52"/>
        <v/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23">
        <f t="shared" si="37"/>
        <v>0</v>
      </c>
      <c r="AE144" s="23">
        <f t="shared" si="38"/>
        <v>0</v>
      </c>
      <c r="AF144" s="23" t="str">
        <f t="shared" si="39"/>
        <v/>
      </c>
      <c r="AG144" s="23">
        <f t="shared" si="40"/>
        <v>0</v>
      </c>
      <c r="AH144">
        <f>SUMIF('库存（子SKU）'!$C:$C,$A144,'库存（子SKU）'!AJ:AJ)</f>
        <v>34</v>
      </c>
      <c r="AI144">
        <f>SUMIF('库存（子SKU）'!$C:$C,$A144,'库存（子SKU）'!AK:AK)</f>
        <v>35</v>
      </c>
      <c r="AJ144">
        <f>SUMIF('库存（子SKU）'!$C:$C,$A144,'库存（子SKU）'!AL:AL)</f>
        <v>26</v>
      </c>
      <c r="AK144">
        <f>SUMIF('库存（子SKU）'!$C:$C,$A144,'库存（子SKU）'!AM:AM)</f>
        <v>44</v>
      </c>
      <c r="AL144" s="23">
        <f t="shared" si="41"/>
        <v>0.0294117647058824</v>
      </c>
      <c r="AM144" s="23">
        <f t="shared" si="42"/>
        <v>0.0285714285714286</v>
      </c>
      <c r="AN144" s="23">
        <f t="shared" si="43"/>
        <v>0</v>
      </c>
      <c r="AO144" s="23">
        <f t="shared" si="44"/>
        <v>0.0681818181818182</v>
      </c>
      <c r="AP144" s="7">
        <f t="shared" si="45"/>
        <v>0.142857142857143</v>
      </c>
      <c r="AQ144" s="7">
        <f t="shared" si="46"/>
        <v>8.57142857142857</v>
      </c>
      <c r="AR144" s="7">
        <f t="shared" si="47"/>
        <v>4.42857142857143</v>
      </c>
      <c r="AS144">
        <f t="shared" si="48"/>
        <v>91</v>
      </c>
      <c r="AT144" s="2">
        <f>IFERROR(时间!$B$4+AS144,"上周无销量")</f>
        <v>43430</v>
      </c>
    </row>
    <row r="145" spans="1:46">
      <c r="A145" t="s">
        <v>652</v>
      </c>
      <c r="B145" s="5">
        <f>SUMIF('库存（子SKU）'!$C:$C,$A145,'库存（子SKU）'!D:D)</f>
        <v>7</v>
      </c>
      <c r="C145" s="5">
        <f>SUMIF('库存（子SKU）'!$C:$C,$A145,'库存（子SKU）'!E:E)</f>
        <v>5</v>
      </c>
      <c r="D145" s="5">
        <f>SUMIF('库存（子SKU）'!$C:$C,$A145,'库存（子SKU）'!F:F)</f>
        <v>6</v>
      </c>
      <c r="E145" s="5">
        <f>SUMIF('库存（子SKU）'!$C:$C,$A145,'库存（子SKU）'!G:G)</f>
        <v>2</v>
      </c>
      <c r="F145" s="6">
        <v>21.99</v>
      </c>
      <c r="G145">
        <f>SUMIF('库存（子SKU）'!$C:$C,$A145,'库存（子SKU）'!I:I)</f>
        <v>17</v>
      </c>
      <c r="H145">
        <f>SUMIF('库存（子SKU）'!$C:$C,$A145,'库存（子SKU）'!J:J)</f>
        <v>19</v>
      </c>
      <c r="I145">
        <f>SUMIF('库存（子SKU）'!$C:$C,$A145,'库存（子SKU）'!K:K)</f>
        <v>0</v>
      </c>
      <c r="J145">
        <f>SUMIF('库存（子SKU）'!$C:$C,$A145,'库存（子SKU）'!L:L)</f>
        <v>5</v>
      </c>
      <c r="K145">
        <f t="shared" si="36"/>
        <v>41</v>
      </c>
      <c r="L145">
        <f>SUMIF('库存（子SKU）'!$C:$C,$A145,'库存（子SKU）'!N:N)</f>
        <v>0</v>
      </c>
      <c r="M145">
        <f>SUMIF('库存（子SKU）'!$C:$C,$A145,'库存（子SKU）'!O:O)</f>
        <v>0</v>
      </c>
      <c r="N145">
        <f>SUMIF('库存（子SKU）'!$C:$C,$A145,'库存（子SKU）'!P:P)</f>
        <v>0</v>
      </c>
      <c r="O145">
        <f>SUMIF('库存（子SKU）'!$C:$C,$A145,'库存（子SKU）'!Q:Q)</f>
        <v>0</v>
      </c>
      <c r="P145">
        <f>SUMIF('库存（子SKU）'!$C:$C,$A145,'库存（子SKU）'!R:R)</f>
        <v>0</v>
      </c>
      <c r="Q145">
        <f>SUMIF('库存（子SKU）'!$C:$C,$A145,'库存（子SKU）'!S:S)</f>
        <v>0</v>
      </c>
      <c r="R145">
        <f>SUMIF('库存（子SKU）'!$C:$C,$A145,'库存（子SKU）'!T:T)</f>
        <v>0</v>
      </c>
      <c r="S145">
        <f>SUMIF('库存（子SKU）'!$C:$C,$A145,'库存（子SKU）'!U:U)</f>
        <v>0</v>
      </c>
      <c r="T145">
        <f>SUMIF('库存（子SKU）'!$C:$C,$A145,'库存（子SKU）'!V:V)</f>
        <v>0</v>
      </c>
      <c r="U145">
        <f>SUMIF('库存（子SKU）'!$C:$C,$A145,'库存（子SKU）'!W:W)</f>
        <v>0</v>
      </c>
      <c r="V145" s="23" t="str">
        <f t="shared" si="49"/>
        <v/>
      </c>
      <c r="W145" s="23" t="str">
        <f t="shared" si="50"/>
        <v/>
      </c>
      <c r="X145" s="23" t="str">
        <f t="shared" si="51"/>
        <v/>
      </c>
      <c r="Y145" s="23" t="str">
        <f t="shared" si="52"/>
        <v/>
      </c>
      <c r="Z145">
        <f>SUMIF('库存（子SKU）'!$C:$C,$A145,'库存（子SKU）'!AB:AB)</f>
        <v>0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23">
        <f t="shared" si="37"/>
        <v>0</v>
      </c>
      <c r="AE145" s="23">
        <f t="shared" si="38"/>
        <v>0</v>
      </c>
      <c r="AF145" s="23">
        <f t="shared" si="39"/>
        <v>0</v>
      </c>
      <c r="AG145" s="23">
        <f t="shared" si="40"/>
        <v>0</v>
      </c>
      <c r="AH145">
        <f>SUMIF('库存（子SKU）'!$C:$C,$A145,'库存（子SKU）'!AJ:AJ)</f>
        <v>169</v>
      </c>
      <c r="AI145">
        <f>SUMIF('库存（子SKU）'!$C:$C,$A145,'库存（子SKU）'!AK:AK)</f>
        <v>162</v>
      </c>
      <c r="AJ145">
        <f>SUMIF('库存（子SKU）'!$C:$C,$A145,'库存（子SKU）'!AL:AL)</f>
        <v>85</v>
      </c>
      <c r="AK145">
        <f>SUMIF('库存（子SKU）'!$C:$C,$A145,'库存（子SKU）'!AM:AM)</f>
        <v>60</v>
      </c>
      <c r="AL145" s="23">
        <f t="shared" si="41"/>
        <v>0.0414201183431953</v>
      </c>
      <c r="AM145" s="23">
        <f t="shared" si="42"/>
        <v>0.0308641975308642</v>
      </c>
      <c r="AN145" s="23">
        <f t="shared" si="43"/>
        <v>0.0705882352941176</v>
      </c>
      <c r="AO145" s="23">
        <f t="shared" si="44"/>
        <v>0.0333333333333333</v>
      </c>
      <c r="AP145" s="7">
        <f t="shared" si="45"/>
        <v>1</v>
      </c>
      <c r="AQ145" s="7">
        <f t="shared" si="46"/>
        <v>60</v>
      </c>
      <c r="AR145" s="7">
        <f t="shared" si="47"/>
        <v>-19</v>
      </c>
      <c r="AS145">
        <f t="shared" si="48"/>
        <v>41</v>
      </c>
      <c r="AT145" s="2">
        <f>IFERROR(时间!$B$4+AS145,"上周无销量")</f>
        <v>43380</v>
      </c>
    </row>
    <row r="146" spans="1:46">
      <c r="A146" t="s">
        <v>657</v>
      </c>
      <c r="B146" s="5">
        <f>SUMIF('库存（子SKU）'!$C:$C,$A146,'库存（子SKU）'!D:D)</f>
        <v>13</v>
      </c>
      <c r="C146" s="5">
        <f>SUMIF('库存（子SKU）'!$C:$C,$A146,'库存（子SKU）'!E:E)</f>
        <v>5</v>
      </c>
      <c r="D146" s="5">
        <f>SUMIF('库存（子SKU）'!$C:$C,$A146,'库存（子SKU）'!F:F)</f>
        <v>8</v>
      </c>
      <c r="E146" s="5">
        <f>SUMIF('库存（子SKU）'!$C:$C,$A146,'库存（子SKU）'!G:G)</f>
        <v>8</v>
      </c>
      <c r="F146" s="6">
        <v>21.99</v>
      </c>
      <c r="G146">
        <f>SUMIF('库存（子SKU）'!$C:$C,$A146,'库存（子SKU）'!I:I)</f>
        <v>24</v>
      </c>
      <c r="H146">
        <f>SUMIF('库存（子SKU）'!$C:$C,$A146,'库存（子SKU）'!J:J)</f>
        <v>18</v>
      </c>
      <c r="I146">
        <f>SUMIF('库存（子SKU）'!$C:$C,$A146,'库存（子SKU）'!K:K)</f>
        <v>0</v>
      </c>
      <c r="J146">
        <f>SUMIF('库存（子SKU）'!$C:$C,$A146,'库存（子SKU）'!L:L)</f>
        <v>1</v>
      </c>
      <c r="K146">
        <f t="shared" si="36"/>
        <v>43</v>
      </c>
      <c r="L146">
        <f>SUMIF('库存（子SKU）'!$C:$C,$A146,'库存（子SKU）'!N:N)</f>
        <v>0</v>
      </c>
      <c r="M146">
        <f>SUMIF('库存（子SKU）'!$C:$C,$A146,'库存（子SKU）'!O:O)</f>
        <v>0</v>
      </c>
      <c r="N146">
        <f>SUMIF('库存（子SKU）'!$C:$C,$A146,'库存（子SKU）'!P:P)</f>
        <v>0</v>
      </c>
      <c r="O146">
        <f>SUMIF('库存（子SKU）'!$C:$C,$A146,'库存（子SKU）'!Q:Q)</f>
        <v>0</v>
      </c>
      <c r="P146">
        <f>SUMIF('库存（子SKU）'!$C:$C,$A146,'库存（子SKU）'!R:R)</f>
        <v>0</v>
      </c>
      <c r="Q146">
        <f>SUMIF('库存（子SKU）'!$C:$C,$A146,'库存（子SKU）'!S:S)</f>
        <v>0</v>
      </c>
      <c r="R146">
        <f>SUMIF('库存（子SKU）'!$C:$C,$A146,'库存（子SKU）'!T:T)</f>
        <v>0</v>
      </c>
      <c r="S146">
        <f>SUMIF('库存（子SKU）'!$C:$C,$A146,'库存（子SKU）'!U:U)</f>
        <v>0</v>
      </c>
      <c r="T146">
        <f>SUMIF('库存（子SKU）'!$C:$C,$A146,'库存（子SKU）'!V:V)</f>
        <v>0</v>
      </c>
      <c r="U146">
        <f>SUMIF('库存（子SKU）'!$C:$C,$A146,'库存（子SKU）'!W:W)</f>
        <v>0</v>
      </c>
      <c r="V146" s="23" t="str">
        <f t="shared" si="49"/>
        <v/>
      </c>
      <c r="W146" s="23" t="str">
        <f t="shared" si="50"/>
        <v/>
      </c>
      <c r="X146" s="23" t="str">
        <f t="shared" si="51"/>
        <v/>
      </c>
      <c r="Y146" s="23" t="str">
        <f t="shared" si="52"/>
        <v/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</v>
      </c>
      <c r="AC146">
        <f>SUMIF('库存（子SKU）'!$C:$C,$A146,'库存（子SKU）'!AE:AE)</f>
        <v>0</v>
      </c>
      <c r="AD146" s="23">
        <f t="shared" si="37"/>
        <v>0</v>
      </c>
      <c r="AE146" s="23">
        <f t="shared" si="38"/>
        <v>0</v>
      </c>
      <c r="AF146" s="23">
        <f t="shared" si="39"/>
        <v>0</v>
      </c>
      <c r="AG146" s="23">
        <f t="shared" si="40"/>
        <v>0</v>
      </c>
      <c r="AH146">
        <f>SUMIF('库存（子SKU）'!$C:$C,$A146,'库存（子SKU）'!AJ:AJ)</f>
        <v>208</v>
      </c>
      <c r="AI146">
        <f>SUMIF('库存（子SKU）'!$C:$C,$A146,'库存（子SKU）'!AK:AK)</f>
        <v>252</v>
      </c>
      <c r="AJ146">
        <f>SUMIF('库存（子SKU）'!$C:$C,$A146,'库存（子SKU）'!AL:AL)</f>
        <v>181</v>
      </c>
      <c r="AK146">
        <f>SUMIF('库存（子SKU）'!$C:$C,$A146,'库存（子SKU）'!AM:AM)</f>
        <v>188</v>
      </c>
      <c r="AL146" s="23">
        <f t="shared" si="41"/>
        <v>0.0625</v>
      </c>
      <c r="AM146" s="23">
        <f t="shared" si="42"/>
        <v>0.0198412698412698</v>
      </c>
      <c r="AN146" s="23">
        <f t="shared" si="43"/>
        <v>0.0441988950276243</v>
      </c>
      <c r="AO146" s="23">
        <f t="shared" si="44"/>
        <v>0.0425531914893617</v>
      </c>
      <c r="AP146" s="7">
        <f t="shared" si="45"/>
        <v>1.85714285714286</v>
      </c>
      <c r="AQ146" s="7">
        <f t="shared" si="46"/>
        <v>111.428571428571</v>
      </c>
      <c r="AR146" s="7">
        <f t="shared" si="47"/>
        <v>-68.4285714285714</v>
      </c>
      <c r="AS146">
        <f t="shared" si="48"/>
        <v>23</v>
      </c>
      <c r="AT146" s="2">
        <f>IFERROR(时间!$B$4+AS146,"上周无销量")</f>
        <v>43362</v>
      </c>
    </row>
    <row r="147" spans="1:46">
      <c r="A147" t="s">
        <v>660</v>
      </c>
      <c r="B147" s="5">
        <f>SUMIF('库存（子SKU）'!$C:$C,$A147,'库存（子SKU）'!D:D)</f>
        <v>2</v>
      </c>
      <c r="C147" s="5">
        <f>SUMIF('库存（子SKU）'!$C:$C,$A147,'库存（子SKU）'!E:E)</f>
        <v>0</v>
      </c>
      <c r="D147" s="5">
        <f>SUMIF('库存（子SKU）'!$C:$C,$A147,'库存（子SKU）'!F:F)</f>
        <v>0</v>
      </c>
      <c r="E147" s="5">
        <f>SUMIF('库存（子SKU）'!$C:$C,$A147,'库存（子SKU）'!G:G)</f>
        <v>1</v>
      </c>
      <c r="F147" s="6">
        <v>23.3233333333333</v>
      </c>
      <c r="G147">
        <f>SUMIF('库存（子SKU）'!$C:$C,$A147,'库存（子SKU）'!I:I)</f>
        <v>3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6"/>
        <v>3</v>
      </c>
      <c r="L147">
        <f>SUMIF('库存（子SKU）'!$C:$C,$A147,'库存（子SKU）'!N:N)</f>
        <v>0</v>
      </c>
      <c r="M147">
        <f>SUMIF('库存（子SKU）'!$C:$C,$A147,'库存（子SKU）'!O:O)</f>
        <v>0</v>
      </c>
      <c r="N147">
        <f>SUMIF('库存（子SKU）'!$C:$C,$A147,'库存（子SKU）'!P:P)</f>
        <v>0</v>
      </c>
      <c r="O147">
        <f>SUMIF('库存（子SKU）'!$C:$C,$A147,'库存（子SKU）'!Q:Q)</f>
        <v>0</v>
      </c>
      <c r="P147">
        <f>SUMIF('库存（子SKU）'!$C:$C,$A147,'库存（子SKU）'!R:R)</f>
        <v>0</v>
      </c>
      <c r="Q147">
        <f>SUMIF('库存（子SKU）'!$C:$C,$A147,'库存（子SKU）'!S:S)</f>
        <v>0</v>
      </c>
      <c r="R147">
        <f>SUMIF('库存（子SKU）'!$C:$C,$A147,'库存（子SKU）'!T:T)</f>
        <v>0</v>
      </c>
      <c r="S147">
        <f>SUMIF('库存（子SKU）'!$C:$C,$A147,'库存（子SKU）'!U:U)</f>
        <v>0</v>
      </c>
      <c r="T147">
        <f>SUMIF('库存（子SKU）'!$C:$C,$A147,'库存（子SKU）'!V:V)</f>
        <v>0</v>
      </c>
      <c r="U147">
        <f>SUMIF('库存（子SKU）'!$C:$C,$A147,'库存（子SKU）'!W:W)</f>
        <v>0</v>
      </c>
      <c r="V147" s="23" t="str">
        <f t="shared" si="49"/>
        <v/>
      </c>
      <c r="W147" s="23" t="str">
        <f t="shared" si="50"/>
        <v/>
      </c>
      <c r="X147" s="23" t="str">
        <f t="shared" si="51"/>
        <v/>
      </c>
      <c r="Y147" s="23" t="str">
        <f t="shared" si="52"/>
        <v/>
      </c>
      <c r="Z147">
        <f>SUMIF('库存（子SKU）'!$C:$C,$A147,'库存（子SKU）'!AB:AB)</f>
        <v>0</v>
      </c>
      <c r="AA147">
        <f>SUMIF('库存（子SKU）'!$C:$C,$A147,'库存（子SKU）'!AC:AC)</f>
        <v>0</v>
      </c>
      <c r="AB147">
        <f>SUMIF('库存（子SKU）'!$C:$C,$A147,'库存（子SKU）'!AD:AD)</f>
        <v>0</v>
      </c>
      <c r="AC147">
        <f>SUMIF('库存（子SKU）'!$C:$C,$A147,'库存（子SKU）'!AE:AE)</f>
        <v>0</v>
      </c>
      <c r="AD147" s="23">
        <f t="shared" si="37"/>
        <v>0</v>
      </c>
      <c r="AE147" s="23" t="str">
        <f t="shared" si="38"/>
        <v/>
      </c>
      <c r="AF147" s="23" t="str">
        <f t="shared" si="39"/>
        <v/>
      </c>
      <c r="AG147" s="23">
        <f t="shared" si="40"/>
        <v>0</v>
      </c>
      <c r="AH147">
        <f>SUMIF('库存（子SKU）'!$C:$C,$A147,'库存（子SKU）'!AJ:AJ)</f>
        <v>40</v>
      </c>
      <c r="AI147">
        <f>SUMIF('库存（子SKU）'!$C:$C,$A147,'库存（子SKU）'!AK:AK)</f>
        <v>20</v>
      </c>
      <c r="AJ147">
        <f>SUMIF('库存（子SKU）'!$C:$C,$A147,'库存（子SKU）'!AL:AL)</f>
        <v>18</v>
      </c>
      <c r="AK147">
        <f>SUMIF('库存（子SKU）'!$C:$C,$A147,'库存（子SKU）'!AM:AM)</f>
        <v>3</v>
      </c>
      <c r="AL147" s="23">
        <f t="shared" si="41"/>
        <v>0.05</v>
      </c>
      <c r="AM147" s="23">
        <f t="shared" si="42"/>
        <v>0</v>
      </c>
      <c r="AN147" s="23">
        <f t="shared" si="43"/>
        <v>0</v>
      </c>
      <c r="AO147" s="23">
        <f t="shared" si="44"/>
        <v>0.333333333333333</v>
      </c>
      <c r="AP147" s="7">
        <f t="shared" si="45"/>
        <v>0.285714285714286</v>
      </c>
      <c r="AQ147" s="7">
        <f t="shared" si="46"/>
        <v>17.1428571428571</v>
      </c>
      <c r="AR147" s="7">
        <f t="shared" si="47"/>
        <v>-14.1428571428571</v>
      </c>
      <c r="AS147">
        <f t="shared" si="48"/>
        <v>10</v>
      </c>
      <c r="AT147" s="2">
        <f>IFERROR(时间!$B$4+AS147,"上周无销量")</f>
        <v>43349</v>
      </c>
    </row>
    <row r="148" spans="1:46">
      <c r="A148" t="s">
        <v>663</v>
      </c>
      <c r="B148" s="5">
        <f>SUMIF('库存（子SKU）'!$C:$C,$A148,'库存（子SKU）'!D:D)</f>
        <v>0</v>
      </c>
      <c r="C148" s="5">
        <f>SUMIF('库存（子SKU）'!$C:$C,$A148,'库存（子SKU）'!E:E)</f>
        <v>0</v>
      </c>
      <c r="D148" s="5">
        <f>SUMIF('库存（子SKU）'!$C:$C,$A148,'库存（子SKU）'!F:F)</f>
        <v>0</v>
      </c>
      <c r="E148" s="5">
        <f>SUMIF('库存（子SKU）'!$C:$C,$A148,'库存（子SKU）'!G:G)</f>
        <v>0</v>
      </c>
      <c r="F148" s="6" t="s">
        <v>54</v>
      </c>
      <c r="G148">
        <f>SUMIF('库存（子SKU）'!$C:$C,$A148,'库存（子SKU）'!I:I)</f>
        <v>8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0</v>
      </c>
      <c r="K148">
        <f t="shared" si="36"/>
        <v>8</v>
      </c>
      <c r="L148">
        <f>SUMIF('库存（子SKU）'!$C:$C,$A148,'库存（子SKU）'!N:N)</f>
        <v>0</v>
      </c>
      <c r="M148">
        <f>SUMIF('库存（子SKU）'!$C:$C,$A148,'库存（子SKU）'!O:O)</f>
        <v>0</v>
      </c>
      <c r="N148">
        <f>SUMIF('库存（子SKU）'!$C:$C,$A148,'库存（子SKU）'!P:P)</f>
        <v>0</v>
      </c>
      <c r="O148">
        <f>SUMIF('库存（子SKU）'!$C:$C,$A148,'库存（子SKU）'!Q:Q)</f>
        <v>0</v>
      </c>
      <c r="P148">
        <f>SUMIF('库存（子SKU）'!$C:$C,$A148,'库存（子SKU）'!R:R)</f>
        <v>0</v>
      </c>
      <c r="Q148">
        <f>SUMIF('库存（子SKU）'!$C:$C,$A148,'库存（子SKU）'!S:S)</f>
        <v>0</v>
      </c>
      <c r="R148">
        <f>SUMIF('库存（子SKU）'!$C:$C,$A148,'库存（子SKU）'!T:T)</f>
        <v>0</v>
      </c>
      <c r="S148">
        <f>SUMIF('库存（子SKU）'!$C:$C,$A148,'库存（子SKU）'!U:U)</f>
        <v>0</v>
      </c>
      <c r="T148">
        <f>SUMIF('库存（子SKU）'!$C:$C,$A148,'库存（子SKU）'!V:V)</f>
        <v>0</v>
      </c>
      <c r="U148">
        <f>SUMIF('库存（子SKU）'!$C:$C,$A148,'库存（子SKU）'!W:W)</f>
        <v>0</v>
      </c>
      <c r="V148" s="23" t="str">
        <f t="shared" si="49"/>
        <v/>
      </c>
      <c r="W148" s="23" t="str">
        <f t="shared" si="50"/>
        <v/>
      </c>
      <c r="X148" s="23" t="str">
        <f t="shared" si="51"/>
        <v/>
      </c>
      <c r="Y148" s="23" t="str">
        <f t="shared" si="52"/>
        <v/>
      </c>
      <c r="Z148">
        <f>SUMIF('库存（子SKU）'!$C:$C,$A148,'库存（子SKU）'!AB:AB)</f>
        <v>0</v>
      </c>
      <c r="AA148">
        <f>SUMIF('库存（子SKU）'!$C:$C,$A148,'库存（子SKU）'!AC:AC)</f>
        <v>0</v>
      </c>
      <c r="AB148">
        <f>SUMIF('库存（子SKU）'!$C:$C,$A148,'库存（子SKU）'!AD:AD)</f>
        <v>0</v>
      </c>
      <c r="AC148">
        <f>SUMIF('库存（子SKU）'!$C:$C,$A148,'库存（子SKU）'!AE:AE)</f>
        <v>0</v>
      </c>
      <c r="AD148" s="23" t="str">
        <f t="shared" si="37"/>
        <v/>
      </c>
      <c r="AE148" s="23" t="str">
        <f t="shared" si="38"/>
        <v/>
      </c>
      <c r="AF148" s="23" t="str">
        <f t="shared" si="39"/>
        <v/>
      </c>
      <c r="AG148" s="23" t="str">
        <f t="shared" si="40"/>
        <v/>
      </c>
      <c r="AH148">
        <f>SUMIF('库存（子SKU）'!$C:$C,$A148,'库存（子SKU）'!AJ:AJ)</f>
        <v>19</v>
      </c>
      <c r="AI148">
        <f>SUMIF('库存（子SKU）'!$C:$C,$A148,'库存（子SKU）'!AK:AK)</f>
        <v>21</v>
      </c>
      <c r="AJ148">
        <f>SUMIF('库存（子SKU）'!$C:$C,$A148,'库存（子SKU）'!AL:AL)</f>
        <v>11</v>
      </c>
      <c r="AK148">
        <f>SUMIF('库存（子SKU）'!$C:$C,$A148,'库存（子SKU）'!AM:AM)</f>
        <v>5</v>
      </c>
      <c r="AL148" s="23">
        <f t="shared" si="41"/>
        <v>0</v>
      </c>
      <c r="AM148" s="23">
        <f t="shared" si="42"/>
        <v>0</v>
      </c>
      <c r="AN148" s="23">
        <f t="shared" si="43"/>
        <v>0</v>
      </c>
      <c r="AO148" s="23">
        <f t="shared" si="44"/>
        <v>0</v>
      </c>
      <c r="AP148" s="7">
        <f t="shared" si="45"/>
        <v>0</v>
      </c>
      <c r="AQ148" s="7">
        <f t="shared" si="46"/>
        <v>0</v>
      </c>
      <c r="AR148" s="7">
        <f t="shared" si="47"/>
        <v>8</v>
      </c>
      <c r="AS148" t="str">
        <f t="shared" si="48"/>
        <v>库存为8</v>
      </c>
      <c r="AT148" s="2" t="str">
        <f>IFERROR(时间!$B$4+AS148,"上周无销量")</f>
        <v>上周无销量</v>
      </c>
    </row>
    <row r="149" spans="1:46">
      <c r="A149" t="s">
        <v>666</v>
      </c>
      <c r="B149" s="5">
        <f>SUMIF('库存（子SKU）'!$C:$C,$A149,'库存（子SKU）'!D:D)</f>
        <v>0</v>
      </c>
      <c r="C149" s="5">
        <f>SUMIF('库存（子SKU）'!$C:$C,$A149,'库存（子SKU）'!E:E)</f>
        <v>1</v>
      </c>
      <c r="D149" s="5">
        <f>SUMIF('库存（子SKU）'!$C:$C,$A149,'库存（子SKU）'!F:F)</f>
        <v>2</v>
      </c>
      <c r="E149" s="5">
        <f>SUMIF('库存（子SKU）'!$C:$C,$A149,'库存（子SKU）'!G:G)</f>
        <v>0</v>
      </c>
      <c r="F149" s="6">
        <v>23.99</v>
      </c>
      <c r="G149">
        <f>SUMIF('库存（子SKU）'!$C:$C,$A149,'库存（子SKU）'!I:I)</f>
        <v>0</v>
      </c>
      <c r="H149">
        <f>SUMIF('库存（子SKU）'!$C:$C,$A149,'库存（子SKU）'!J:J)</f>
        <v>5</v>
      </c>
      <c r="I149">
        <f>SUMIF('库存（子SKU）'!$C:$C,$A149,'库存（子SKU）'!K:K)</f>
        <v>0</v>
      </c>
      <c r="J149">
        <f>SUMIF('库存（子SKU）'!$C:$C,$A149,'库存（子SKU）'!L:L)</f>
        <v>0</v>
      </c>
      <c r="K149">
        <f t="shared" si="36"/>
        <v>5</v>
      </c>
      <c r="L149">
        <f>SUMIF('库存（子SKU）'!$C:$C,$A149,'库存（子SKU）'!N:N)</f>
        <v>0</v>
      </c>
      <c r="M149">
        <f>SUMIF('库存（子SKU）'!$C:$C,$A149,'库存（子SKU）'!O:O)</f>
        <v>0</v>
      </c>
      <c r="N149">
        <f>SUMIF('库存（子SKU）'!$C:$C,$A149,'库存（子SKU）'!P:P)</f>
        <v>0</v>
      </c>
      <c r="O149">
        <f>SUMIF('库存（子SKU）'!$C:$C,$A149,'库存（子SKU）'!Q:Q)</f>
        <v>0</v>
      </c>
      <c r="P149">
        <f>SUMIF('库存（子SKU）'!$C:$C,$A149,'库存（子SKU）'!R:R)</f>
        <v>0</v>
      </c>
      <c r="Q149">
        <f>SUMIF('库存（子SKU）'!$C:$C,$A149,'库存（子SKU）'!S:S)</f>
        <v>0</v>
      </c>
      <c r="R149">
        <f>SUMIF('库存（子SKU）'!$C:$C,$A149,'库存（子SKU）'!T:T)</f>
        <v>0</v>
      </c>
      <c r="S149">
        <f>SUMIF('库存（子SKU）'!$C:$C,$A149,'库存（子SKU）'!U:U)</f>
        <v>0</v>
      </c>
      <c r="T149">
        <f>SUMIF('库存（子SKU）'!$C:$C,$A149,'库存（子SKU）'!V:V)</f>
        <v>0</v>
      </c>
      <c r="U149">
        <f>SUMIF('库存（子SKU）'!$C:$C,$A149,'库存（子SKU）'!W:W)</f>
        <v>0</v>
      </c>
      <c r="V149" s="23" t="str">
        <f t="shared" si="49"/>
        <v/>
      </c>
      <c r="W149" s="23" t="str">
        <f t="shared" si="50"/>
        <v/>
      </c>
      <c r="X149" s="23" t="str">
        <f t="shared" si="51"/>
        <v/>
      </c>
      <c r="Y149" s="23" t="str">
        <f t="shared" si="52"/>
        <v/>
      </c>
      <c r="Z149">
        <f>SUMIF('库存（子SKU）'!$C:$C,$A149,'库存（子SKU）'!AB:AB)</f>
        <v>0</v>
      </c>
      <c r="AA149">
        <f>SUMIF('库存（子SKU）'!$C:$C,$A149,'库存（子SKU）'!AC:AC)</f>
        <v>0</v>
      </c>
      <c r="AB149">
        <f>SUMIF('库存（子SKU）'!$C:$C,$A149,'库存（子SKU）'!AD:AD)</f>
        <v>0</v>
      </c>
      <c r="AC149">
        <f>SUMIF('库存（子SKU）'!$C:$C,$A149,'库存（子SKU）'!AE:AE)</f>
        <v>0</v>
      </c>
      <c r="AD149" s="23" t="str">
        <f t="shared" si="37"/>
        <v/>
      </c>
      <c r="AE149" s="23">
        <f t="shared" si="38"/>
        <v>0</v>
      </c>
      <c r="AF149" s="23">
        <f t="shared" si="39"/>
        <v>0</v>
      </c>
      <c r="AG149" s="23" t="str">
        <f t="shared" si="40"/>
        <v/>
      </c>
      <c r="AH149">
        <f>SUMIF('库存（子SKU）'!$C:$C,$A149,'库存（子SKU）'!AJ:AJ)</f>
        <v>0</v>
      </c>
      <c r="AI149">
        <f>SUMIF('库存（子SKU）'!$C:$C,$A149,'库存（子SKU）'!AK:AK)</f>
        <v>39</v>
      </c>
      <c r="AJ149">
        <f>SUMIF('库存（子SKU）'!$C:$C,$A149,'库存（子SKU）'!AL:AL)</f>
        <v>26</v>
      </c>
      <c r="AK149">
        <f>SUMIF('库存（子SKU）'!$C:$C,$A149,'库存（子SKU）'!AM:AM)</f>
        <v>2</v>
      </c>
      <c r="AL149" s="23" t="str">
        <f t="shared" si="41"/>
        <v/>
      </c>
      <c r="AM149" s="23">
        <f t="shared" si="42"/>
        <v>0.0256410256410256</v>
      </c>
      <c r="AN149" s="23">
        <f t="shared" si="43"/>
        <v>0.0769230769230769</v>
      </c>
      <c r="AO149" s="23">
        <f t="shared" si="44"/>
        <v>0</v>
      </c>
      <c r="AP149" s="7">
        <f t="shared" si="45"/>
        <v>0</v>
      </c>
      <c r="AQ149" s="7">
        <f t="shared" si="46"/>
        <v>0</v>
      </c>
      <c r="AR149" s="7">
        <f t="shared" si="47"/>
        <v>5</v>
      </c>
      <c r="AS149" t="str">
        <f t="shared" si="48"/>
        <v>库存为5</v>
      </c>
      <c r="AT149" s="2" t="str">
        <f>IFERROR(时间!$B$4+AS149,"上周无销量")</f>
        <v>上周无销量</v>
      </c>
    </row>
    <row r="150" spans="1:46">
      <c r="A150" t="s">
        <v>669</v>
      </c>
      <c r="B150" s="5">
        <f>SUMIF('库存（子SKU）'!$C:$C,$A150,'库存（子SKU）'!D:D)</f>
        <v>0</v>
      </c>
      <c r="C150" s="5">
        <f>SUMIF('库存（子SKU）'!$C:$C,$A150,'库存（子SKU）'!E:E)</f>
        <v>1</v>
      </c>
      <c r="D150" s="5">
        <f>SUMIF('库存（子SKU）'!$C:$C,$A150,'库存（子SKU）'!F:F)</f>
        <v>0</v>
      </c>
      <c r="E150" s="5">
        <f>SUMIF('库存（子SKU）'!$C:$C,$A150,'库存（子SKU）'!G:G)</f>
        <v>0</v>
      </c>
      <c r="F150" s="6">
        <v>21.99</v>
      </c>
      <c r="G150">
        <f>SUMIF('库存（子SKU）'!$C:$C,$A150,'库存（子SKU）'!I:I)</f>
        <v>10</v>
      </c>
      <c r="H150">
        <f>SUMIF('库存（子SKU）'!$C:$C,$A150,'库存（子SKU）'!J:J)</f>
        <v>0</v>
      </c>
      <c r="I150">
        <f>SUMIF('库存（子SKU）'!$C:$C,$A150,'库存（子SKU）'!K:K)</f>
        <v>0</v>
      </c>
      <c r="J150">
        <f>SUMIF('库存（子SKU）'!$C:$C,$A150,'库存（子SKU）'!L:L)</f>
        <v>0</v>
      </c>
      <c r="K150">
        <f t="shared" si="36"/>
        <v>10</v>
      </c>
      <c r="L150">
        <f>SUMIF('库存（子SKU）'!$C:$C,$A150,'库存（子SKU）'!N:N)</f>
        <v>0</v>
      </c>
      <c r="M150">
        <f>SUMIF('库存（子SKU）'!$C:$C,$A150,'库存（子SKU）'!O:O)</f>
        <v>10</v>
      </c>
      <c r="N150">
        <f>SUMIF('库存（子SKU）'!$C:$C,$A150,'库存（子SKU）'!P:P)</f>
        <v>0</v>
      </c>
      <c r="O150">
        <f>SUMIF('库存（子SKU）'!$C:$C,$A150,'库存（子SKU）'!Q:Q)</f>
        <v>0</v>
      </c>
      <c r="P150">
        <f>SUMIF('库存（子SKU）'!$C:$C,$A150,'库存（子SKU）'!R:R)</f>
        <v>0</v>
      </c>
      <c r="Q150">
        <f>SUMIF('库存（子SKU）'!$C:$C,$A150,'库存（子SKU）'!S:S)</f>
        <v>0</v>
      </c>
      <c r="R150">
        <f>SUMIF('库存（子SKU）'!$C:$C,$A150,'库存（子SKU）'!T:T)</f>
        <v>0</v>
      </c>
      <c r="S150">
        <f>SUMIF('库存（子SKU）'!$C:$C,$A150,'库存（子SKU）'!U:U)</f>
        <v>0</v>
      </c>
      <c r="T150">
        <f>SUMIF('库存（子SKU）'!$C:$C,$A150,'库存（子SKU）'!V:V)</f>
        <v>0</v>
      </c>
      <c r="U150">
        <f>SUMIF('库存（子SKU）'!$C:$C,$A150,'库存（子SKU）'!W:W)</f>
        <v>0</v>
      </c>
      <c r="V150" s="23" t="str">
        <f t="shared" si="49"/>
        <v/>
      </c>
      <c r="W150" s="23" t="str">
        <f t="shared" si="50"/>
        <v/>
      </c>
      <c r="X150" s="23" t="str">
        <f t="shared" si="51"/>
        <v/>
      </c>
      <c r="Y150" s="23" t="str">
        <f t="shared" si="52"/>
        <v/>
      </c>
      <c r="Z150">
        <f>SUMIF('库存（子SKU）'!$C:$C,$A150,'库存（子SKU）'!AB:AB)</f>
        <v>0</v>
      </c>
      <c r="AA150">
        <f>SUMIF('库存（子SKU）'!$C:$C,$A150,'库存（子SKU）'!AC:AC)</f>
        <v>0</v>
      </c>
      <c r="AB150">
        <f>SUMIF('库存（子SKU）'!$C:$C,$A150,'库存（子SKU）'!AD:AD)</f>
        <v>0</v>
      </c>
      <c r="AC150">
        <f>SUMIF('库存（子SKU）'!$C:$C,$A150,'库存（子SKU）'!AE:AE)</f>
        <v>0</v>
      </c>
      <c r="AD150" s="23" t="str">
        <f t="shared" si="37"/>
        <v/>
      </c>
      <c r="AE150" s="23">
        <f t="shared" si="38"/>
        <v>0</v>
      </c>
      <c r="AF150" s="23" t="str">
        <f t="shared" si="39"/>
        <v/>
      </c>
      <c r="AG150" s="23" t="str">
        <f t="shared" si="40"/>
        <v/>
      </c>
      <c r="AH150">
        <f>SUMIF('库存（子SKU）'!$C:$C,$A150,'库存（子SKU）'!AJ:AJ)</f>
        <v>13</v>
      </c>
      <c r="AI150">
        <f>SUMIF('库存（子SKU）'!$C:$C,$A150,'库存（子SKU）'!AK:AK)</f>
        <v>13</v>
      </c>
      <c r="AJ150">
        <f>SUMIF('库存（子SKU）'!$C:$C,$A150,'库存（子SKU）'!AL:AL)</f>
        <v>15</v>
      </c>
      <c r="AK150">
        <f>SUMIF('库存（子SKU）'!$C:$C,$A150,'库存（子SKU）'!AM:AM)</f>
        <v>16</v>
      </c>
      <c r="AL150" s="23">
        <f t="shared" si="41"/>
        <v>0</v>
      </c>
      <c r="AM150" s="23">
        <f t="shared" si="42"/>
        <v>0.0769230769230769</v>
      </c>
      <c r="AN150" s="23">
        <f t="shared" si="43"/>
        <v>0</v>
      </c>
      <c r="AO150" s="23">
        <f t="shared" si="44"/>
        <v>0</v>
      </c>
      <c r="AP150" s="7">
        <f t="shared" si="45"/>
        <v>0</v>
      </c>
      <c r="AQ150" s="7">
        <f t="shared" si="46"/>
        <v>0</v>
      </c>
      <c r="AR150" s="7">
        <f t="shared" si="47"/>
        <v>10</v>
      </c>
      <c r="AS150" t="str">
        <f t="shared" si="48"/>
        <v>库存为10</v>
      </c>
      <c r="AT150" s="2" t="str">
        <f>IFERROR(时间!$B$4+AS150,"上周无销量")</f>
        <v>上周无销量</v>
      </c>
    </row>
    <row r="151" spans="1:46">
      <c r="A151" t="s">
        <v>672</v>
      </c>
      <c r="B151" s="5">
        <f>SUMIF('库存（子SKU）'!$C:$C,$A151,'库存（子SKU）'!D:D)</f>
        <v>1</v>
      </c>
      <c r="C151" s="5">
        <f>SUMIF('库存（子SKU）'!$C:$C,$A151,'库存（子SKU）'!E:E)</f>
        <v>2</v>
      </c>
      <c r="D151" s="5">
        <f>SUMIF('库存（子SKU）'!$C:$C,$A151,'库存（子SKU）'!F:F)</f>
        <v>1</v>
      </c>
      <c r="E151" s="5">
        <f>SUMIF('库存（子SKU）'!$C:$C,$A151,'库存（子SKU）'!G:G)</f>
        <v>1</v>
      </c>
      <c r="F151" s="6">
        <v>17.592</v>
      </c>
      <c r="G151">
        <f>SUMIF('库存（子SKU）'!$C:$C,$A151,'库存（子SKU）'!I:I)</f>
        <v>3</v>
      </c>
      <c r="H151">
        <f>SUMIF('库存（子SKU）'!$C:$C,$A151,'库存（子SKU）'!J:J)</f>
        <v>8</v>
      </c>
      <c r="I151">
        <f>SUMIF('库存（子SKU）'!$C:$C,$A151,'库存（子SKU）'!K:K)</f>
        <v>0</v>
      </c>
      <c r="J151">
        <f>SUMIF('库存（子SKU）'!$C:$C,$A151,'库存（子SKU）'!L:L)</f>
        <v>0</v>
      </c>
      <c r="K151">
        <f t="shared" si="36"/>
        <v>11</v>
      </c>
      <c r="L151">
        <f>SUMIF('库存（子SKU）'!$C:$C,$A151,'库存（子SKU）'!N:N)</f>
        <v>0</v>
      </c>
      <c r="M151">
        <f>SUMIF('库存（子SKU）'!$C:$C,$A151,'库存（子SKU）'!O:O)</f>
        <v>0</v>
      </c>
      <c r="N151">
        <f>SUMIF('库存（子SKU）'!$C:$C,$A151,'库存（子SKU）'!P:P)</f>
        <v>0</v>
      </c>
      <c r="O151">
        <f>SUMIF('库存（子SKU）'!$C:$C,$A151,'库存（子SKU）'!Q:Q)</f>
        <v>0</v>
      </c>
      <c r="P151">
        <f>SUMIF('库存（子SKU）'!$C:$C,$A151,'库存（子SKU）'!R:R)</f>
        <v>0</v>
      </c>
      <c r="Q151">
        <f>SUMIF('库存（子SKU）'!$C:$C,$A151,'库存（子SKU）'!S:S)</f>
        <v>0</v>
      </c>
      <c r="R151">
        <f>SUMIF('库存（子SKU）'!$C:$C,$A151,'库存（子SKU）'!T:T)</f>
        <v>0</v>
      </c>
      <c r="S151">
        <f>SUMIF('库存（子SKU）'!$C:$C,$A151,'库存（子SKU）'!U:U)</f>
        <v>0</v>
      </c>
      <c r="T151">
        <f>SUMIF('库存（子SKU）'!$C:$C,$A151,'库存（子SKU）'!V:V)</f>
        <v>0</v>
      </c>
      <c r="U151">
        <f>SUMIF('库存（子SKU）'!$C:$C,$A151,'库存（子SKU）'!W:W)</f>
        <v>0</v>
      </c>
      <c r="V151" s="23" t="str">
        <f t="shared" si="49"/>
        <v/>
      </c>
      <c r="W151" s="23" t="str">
        <f t="shared" si="50"/>
        <v/>
      </c>
      <c r="X151" s="23" t="str">
        <f t="shared" si="51"/>
        <v/>
      </c>
      <c r="Y151" s="23" t="str">
        <f t="shared" si="52"/>
        <v/>
      </c>
      <c r="Z151">
        <f>SUMIF('库存（子SKU）'!$C:$C,$A151,'库存（子SKU）'!AB:AB)</f>
        <v>0</v>
      </c>
      <c r="AA151">
        <f>SUMIF('库存（子SKU）'!$C:$C,$A151,'库存（子SKU）'!AC:AC)</f>
        <v>0</v>
      </c>
      <c r="AB151">
        <f>SUMIF('库存（子SKU）'!$C:$C,$A151,'库存（子SKU）'!AD:AD)</f>
        <v>0</v>
      </c>
      <c r="AC151">
        <f>SUMIF('库存（子SKU）'!$C:$C,$A151,'库存（子SKU）'!AE:AE)</f>
        <v>0</v>
      </c>
      <c r="AD151" s="23">
        <f t="shared" si="37"/>
        <v>0</v>
      </c>
      <c r="AE151" s="23">
        <f t="shared" si="38"/>
        <v>0</v>
      </c>
      <c r="AF151" s="23">
        <f t="shared" si="39"/>
        <v>0</v>
      </c>
      <c r="AG151" s="23">
        <f t="shared" si="40"/>
        <v>0</v>
      </c>
      <c r="AH151">
        <f>SUMIF('库存（子SKU）'!$C:$C,$A151,'库存（子SKU）'!AJ:AJ)</f>
        <v>28</v>
      </c>
      <c r="AI151">
        <f>SUMIF('库存（子SKU）'!$C:$C,$A151,'库存（子SKU）'!AK:AK)</f>
        <v>21</v>
      </c>
      <c r="AJ151">
        <f>SUMIF('库存（子SKU）'!$C:$C,$A151,'库存（子SKU）'!AL:AL)</f>
        <v>11</v>
      </c>
      <c r="AK151">
        <f>SUMIF('库存（子SKU）'!$C:$C,$A151,'库存（子SKU）'!AM:AM)</f>
        <v>11</v>
      </c>
      <c r="AL151" s="23">
        <f t="shared" si="41"/>
        <v>0.0357142857142857</v>
      </c>
      <c r="AM151" s="23">
        <f t="shared" si="42"/>
        <v>0.0952380952380952</v>
      </c>
      <c r="AN151" s="23">
        <f t="shared" si="43"/>
        <v>0.0909090909090909</v>
      </c>
      <c r="AO151" s="23">
        <f t="shared" si="44"/>
        <v>0.0909090909090909</v>
      </c>
      <c r="AP151" s="7">
        <f t="shared" si="45"/>
        <v>0.142857142857143</v>
      </c>
      <c r="AQ151" s="7">
        <f t="shared" si="46"/>
        <v>8.57142857142857</v>
      </c>
      <c r="AR151" s="7">
        <f t="shared" si="47"/>
        <v>2.42857142857143</v>
      </c>
      <c r="AS151">
        <f t="shared" si="48"/>
        <v>77</v>
      </c>
      <c r="AT151" s="2">
        <f>IFERROR(时间!$B$4+AS151,"上周无销量")</f>
        <v>43416</v>
      </c>
    </row>
    <row r="152" spans="1:46">
      <c r="A152" t="s">
        <v>675</v>
      </c>
      <c r="B152" s="5">
        <f>SUMIF('库存（子SKU）'!$C:$C,$A152,'库存（子SKU）'!D:D)</f>
        <v>2</v>
      </c>
      <c r="C152" s="5">
        <f>SUMIF('库存（子SKU）'!$C:$C,$A152,'库存（子SKU）'!E:E)</f>
        <v>3</v>
      </c>
      <c r="D152" s="5">
        <f>SUMIF('库存（子SKU）'!$C:$C,$A152,'库存（子SKU）'!F:F)</f>
        <v>3</v>
      </c>
      <c r="E152" s="5">
        <f>SUMIF('库存（子SKU）'!$C:$C,$A152,'库存（子SKU）'!G:G)</f>
        <v>1</v>
      </c>
      <c r="F152" s="6">
        <v>21.99</v>
      </c>
      <c r="G152">
        <f>SUMIF('库存（子SKU）'!$C:$C,$A152,'库存（子SKU）'!I:I)</f>
        <v>4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1</v>
      </c>
      <c r="K152">
        <f t="shared" si="36"/>
        <v>5</v>
      </c>
      <c r="L152">
        <f>SUMIF('库存（子SKU）'!$C:$C,$A152,'库存（子SKU）'!N:N)</f>
        <v>0</v>
      </c>
      <c r="M152">
        <f>SUMIF('库存（子SKU）'!$C:$C,$A152,'库存（子SKU）'!O:O)</f>
        <v>0</v>
      </c>
      <c r="N152">
        <f>SUMIF('库存（子SKU）'!$C:$C,$A152,'库存（子SKU）'!P:P)</f>
        <v>0</v>
      </c>
      <c r="O152">
        <f>SUMIF('库存（子SKU）'!$C:$C,$A152,'库存（子SKU）'!Q:Q)</f>
        <v>0</v>
      </c>
      <c r="P152">
        <f>SUMIF('库存（子SKU）'!$C:$C,$A152,'库存（子SKU）'!R:R)</f>
        <v>0</v>
      </c>
      <c r="Q152">
        <f>SUMIF('库存（子SKU）'!$C:$C,$A152,'库存（子SKU）'!S:S)</f>
        <v>0</v>
      </c>
      <c r="R152">
        <f>SUMIF('库存（子SKU）'!$C:$C,$A152,'库存（子SKU）'!T:T)</f>
        <v>0</v>
      </c>
      <c r="S152">
        <f>SUMIF('库存（子SKU）'!$C:$C,$A152,'库存（子SKU）'!U:U)</f>
        <v>0</v>
      </c>
      <c r="T152">
        <f>SUMIF('库存（子SKU）'!$C:$C,$A152,'库存（子SKU）'!V:V)</f>
        <v>0</v>
      </c>
      <c r="U152">
        <f>SUMIF('库存（子SKU）'!$C:$C,$A152,'库存（子SKU）'!W:W)</f>
        <v>0</v>
      </c>
      <c r="V152" s="23" t="str">
        <f t="shared" si="49"/>
        <v/>
      </c>
      <c r="W152" s="23" t="str">
        <f t="shared" si="50"/>
        <v/>
      </c>
      <c r="X152" s="23" t="str">
        <f t="shared" si="51"/>
        <v/>
      </c>
      <c r="Y152" s="23" t="str">
        <f t="shared" si="52"/>
        <v/>
      </c>
      <c r="Z152">
        <f>SUMIF('库存（子SKU）'!$C:$C,$A152,'库存（子SKU）'!AB:AB)</f>
        <v>0</v>
      </c>
      <c r="AA152">
        <f>SUMIF('库存（子SKU）'!$C:$C,$A152,'库存（子SKU）'!AC:AC)</f>
        <v>0</v>
      </c>
      <c r="AB152">
        <f>SUMIF('库存（子SKU）'!$C:$C,$A152,'库存（子SKU）'!AD:AD)</f>
        <v>0</v>
      </c>
      <c r="AC152">
        <f>SUMIF('库存（子SKU）'!$C:$C,$A152,'库存（子SKU）'!AE:AE)</f>
        <v>0</v>
      </c>
      <c r="AD152" s="23">
        <f t="shared" si="37"/>
        <v>0</v>
      </c>
      <c r="AE152" s="23">
        <f t="shared" si="38"/>
        <v>0</v>
      </c>
      <c r="AF152" s="23">
        <f t="shared" si="39"/>
        <v>0</v>
      </c>
      <c r="AG152" s="23">
        <f t="shared" si="40"/>
        <v>0</v>
      </c>
      <c r="AH152">
        <f>SUMIF('库存（子SKU）'!$C:$C,$A152,'库存（子SKU）'!AJ:AJ)</f>
        <v>53</v>
      </c>
      <c r="AI152">
        <f>SUMIF('库存（子SKU）'!$C:$C,$A152,'库存（子SKU）'!AK:AK)</f>
        <v>59</v>
      </c>
      <c r="AJ152">
        <f>SUMIF('库存（子SKU）'!$C:$C,$A152,'库存（子SKU）'!AL:AL)</f>
        <v>58</v>
      </c>
      <c r="AK152">
        <f>SUMIF('库存（子SKU）'!$C:$C,$A152,'库存（子SKU）'!AM:AM)</f>
        <v>31</v>
      </c>
      <c r="AL152" s="23">
        <f t="shared" si="41"/>
        <v>0.0377358490566038</v>
      </c>
      <c r="AM152" s="23">
        <f t="shared" si="42"/>
        <v>0.0508474576271186</v>
      </c>
      <c r="AN152" s="23">
        <f t="shared" si="43"/>
        <v>0.0517241379310345</v>
      </c>
      <c r="AO152" s="23">
        <f t="shared" si="44"/>
        <v>0.032258064516129</v>
      </c>
      <c r="AP152" s="7">
        <f t="shared" si="45"/>
        <v>0.285714285714286</v>
      </c>
      <c r="AQ152" s="7">
        <f t="shared" si="46"/>
        <v>17.1428571428571</v>
      </c>
      <c r="AR152" s="7">
        <f t="shared" si="47"/>
        <v>-12.1428571428571</v>
      </c>
      <c r="AS152">
        <f t="shared" si="48"/>
        <v>17</v>
      </c>
      <c r="AT152" s="2">
        <f>IFERROR(时间!$B$4+AS152,"上周无销量")</f>
        <v>43356</v>
      </c>
    </row>
    <row r="153" spans="1:46">
      <c r="A153" t="s">
        <v>679</v>
      </c>
      <c r="B153" s="5">
        <f>SUMIF('库存（子SKU）'!$C:$C,$A153,'库存（子SKU）'!D:D)</f>
        <v>0</v>
      </c>
      <c r="C153" s="5">
        <f>SUMIF('库存（子SKU）'!$C:$C,$A153,'库存（子SKU）'!E:E)</f>
        <v>0</v>
      </c>
      <c r="D153" s="5">
        <f>SUMIF('库存（子SKU）'!$C:$C,$A153,'库存（子SKU）'!F:F)</f>
        <v>3</v>
      </c>
      <c r="E153" s="5">
        <f>SUMIF('库存（子SKU）'!$C:$C,$A153,'库存（子SKU）'!G:G)</f>
        <v>2</v>
      </c>
      <c r="F153" s="6">
        <v>69.99</v>
      </c>
      <c r="G153">
        <f>SUMIF('库存（子SKU）'!$C:$C,$A153,'库存（子SKU）'!I:I)</f>
        <v>0</v>
      </c>
      <c r="H153">
        <f>SUMIF('库存（子SKU）'!$C:$C,$A153,'库存（子SKU）'!J:J)</f>
        <v>0</v>
      </c>
      <c r="I153">
        <f>SUMIF('库存（子SKU）'!$C:$C,$A153,'库存（子SKU）'!K:K)</f>
        <v>0</v>
      </c>
      <c r="J153">
        <f>SUMIF('库存（子SKU）'!$C:$C,$A153,'库存（子SKU）'!L:L)</f>
        <v>0</v>
      </c>
      <c r="K153">
        <f t="shared" si="36"/>
        <v>0</v>
      </c>
      <c r="L153">
        <f>SUMIF('库存（子SKU）'!$C:$C,$A153,'库存（子SKU）'!N:N)</f>
        <v>0</v>
      </c>
      <c r="M153">
        <f>SUMIF('库存（子SKU）'!$C:$C,$A153,'库存（子SKU）'!O:O)</f>
        <v>0</v>
      </c>
      <c r="N153">
        <f>SUMIF('库存（子SKU）'!$C:$C,$A153,'库存（子SKU）'!P:P)</f>
        <v>0</v>
      </c>
      <c r="O153">
        <f>SUMIF('库存（子SKU）'!$C:$C,$A153,'库存（子SKU）'!Q:Q)</f>
        <v>0</v>
      </c>
      <c r="P153">
        <f>SUMIF('库存（子SKU）'!$C:$C,$A153,'库存（子SKU）'!R:R)</f>
        <v>152059</v>
      </c>
      <c r="Q153">
        <f>SUMIF('库存（子SKU）'!$C:$C,$A153,'库存（子SKU）'!S:S)</f>
        <v>152059</v>
      </c>
      <c r="R153">
        <f>SUMIF('库存（子SKU）'!$C:$C,$A153,'库存（子SKU）'!T:T)</f>
        <v>0</v>
      </c>
      <c r="S153">
        <f>SUMIF('库存（子SKU）'!$C:$C,$A153,'库存（子SKU）'!U:U)</f>
        <v>0</v>
      </c>
      <c r="T153">
        <f>SUMIF('库存（子SKU）'!$C:$C,$A153,'库存（子SKU）'!V:V)</f>
        <v>544</v>
      </c>
      <c r="U153">
        <f>SUMIF('库存（子SKU）'!$C:$C,$A153,'库存（子SKU）'!W:W)</f>
        <v>544</v>
      </c>
      <c r="V153" s="23" t="str">
        <f t="shared" si="49"/>
        <v/>
      </c>
      <c r="W153" s="23" t="str">
        <f t="shared" si="50"/>
        <v/>
      </c>
      <c r="X153" s="23">
        <f t="shared" si="51"/>
        <v>0.00357755871076359</v>
      </c>
      <c r="Y153" s="23">
        <f t="shared" si="52"/>
        <v>0.00357755871076359</v>
      </c>
      <c r="Z153">
        <f>SUMIF('库存（子SKU）'!$C:$C,$A153,'库存（子SKU）'!AB:AB)</f>
        <v>0</v>
      </c>
      <c r="AA153">
        <f>SUMIF('库存（子SKU）'!$C:$C,$A153,'库存（子SKU）'!AC:AC)</f>
        <v>0</v>
      </c>
      <c r="AB153">
        <f>SUMIF('库存（子SKU）'!$C:$C,$A153,'库存（子SKU）'!AD:AD)</f>
        <v>88.02</v>
      </c>
      <c r="AC153">
        <f>SUMIF('库存（子SKU）'!$C:$C,$A153,'库存（子SKU）'!AE:AE)</f>
        <v>88.02</v>
      </c>
      <c r="AD153" s="23" t="str">
        <f t="shared" si="37"/>
        <v/>
      </c>
      <c r="AE153" s="23" t="str">
        <f t="shared" si="38"/>
        <v/>
      </c>
      <c r="AF153" s="23">
        <f t="shared" si="39"/>
        <v>0.419202743249036</v>
      </c>
      <c r="AG153" s="23">
        <f t="shared" si="40"/>
        <v>0.628804114873553</v>
      </c>
      <c r="AH153">
        <f>SUMIF('库存（子SKU）'!$C:$C,$A153,'库存（子SKU）'!AJ:AJ)</f>
        <v>45</v>
      </c>
      <c r="AI153">
        <f>SUMIF('库存（子SKU）'!$C:$C,$A153,'库存（子SKU）'!AK:AK)</f>
        <v>40</v>
      </c>
      <c r="AJ153">
        <f>SUMIF('库存（子SKU）'!$C:$C,$A153,'库存（子SKU）'!AL:AL)</f>
        <v>129</v>
      </c>
      <c r="AK153">
        <f>SUMIF('库存（子SKU）'!$C:$C,$A153,'库存（子SKU）'!AM:AM)</f>
        <v>75</v>
      </c>
      <c r="AL153" s="23">
        <f t="shared" si="41"/>
        <v>0</v>
      </c>
      <c r="AM153" s="23">
        <f t="shared" si="42"/>
        <v>0</v>
      </c>
      <c r="AN153" s="23">
        <f t="shared" si="43"/>
        <v>0.0232558139534884</v>
      </c>
      <c r="AO153" s="23">
        <f t="shared" si="44"/>
        <v>0.0266666666666667</v>
      </c>
      <c r="AP153" s="7">
        <f t="shared" si="45"/>
        <v>0</v>
      </c>
      <c r="AQ153" s="7">
        <f t="shared" si="46"/>
        <v>0</v>
      </c>
      <c r="AR153" s="7">
        <f t="shared" si="47"/>
        <v>0</v>
      </c>
      <c r="AS153" t="str">
        <f t="shared" si="48"/>
        <v>库存为0</v>
      </c>
      <c r="AT153" s="2" t="str">
        <f>IFERROR(时间!$B$4+AS153,"上周无销量")</f>
        <v>上周无销量</v>
      </c>
    </row>
    <row r="154" spans="1:46">
      <c r="A154" t="s">
        <v>684</v>
      </c>
      <c r="B154" s="5">
        <f>SUMIF('库存（子SKU）'!$C:$C,$A154,'库存（子SKU）'!D:D)</f>
        <v>0</v>
      </c>
      <c r="C154" s="5">
        <f>SUMIF('库存（子SKU）'!$C:$C,$A154,'库存（子SKU）'!E:E)</f>
        <v>0</v>
      </c>
      <c r="D154" s="5">
        <f>SUMIF('库存（子SKU）'!$C:$C,$A154,'库存（子SKU）'!F:F)</f>
        <v>0</v>
      </c>
      <c r="E154" s="5">
        <f>SUMIF('库存（子SKU）'!$C:$C,$A154,'库存（子SKU）'!G:G)</f>
        <v>2</v>
      </c>
      <c r="F154" s="6">
        <v>23.99</v>
      </c>
      <c r="G154">
        <f>SUMIF('库存（子SKU）'!$C:$C,$A154,'库存（子SKU）'!I:I)</f>
        <v>0</v>
      </c>
      <c r="H154">
        <f>SUMIF('库存（子SKU）'!$C:$C,$A154,'库存（子SKU）'!J:J)</f>
        <v>0</v>
      </c>
      <c r="I154">
        <f>SUMIF('库存（子SKU）'!$C:$C,$A154,'库存（子SKU）'!K:K)</f>
        <v>0</v>
      </c>
      <c r="J154">
        <f>SUMIF('库存（子SKU）'!$C:$C,$A154,'库存（子SKU）'!L:L)</f>
        <v>0</v>
      </c>
      <c r="K154">
        <f t="shared" si="36"/>
        <v>0</v>
      </c>
      <c r="L154">
        <f>SUMIF('库存（子SKU）'!$C:$C,$A154,'库存（子SKU）'!N:N)</f>
        <v>0</v>
      </c>
      <c r="M154">
        <f>SUMIF('库存（子SKU）'!$C:$C,$A154,'库存（子SKU）'!O:O)</f>
        <v>0</v>
      </c>
      <c r="N154">
        <f>SUMIF('库存（子SKU）'!$C:$C,$A154,'库存（子SKU）'!P:P)</f>
        <v>0</v>
      </c>
      <c r="O154">
        <f>SUMIF('库存（子SKU）'!$C:$C,$A154,'库存（子SKU）'!Q:Q)</f>
        <v>0</v>
      </c>
      <c r="P154">
        <f>SUMIF('库存（子SKU）'!$C:$C,$A154,'库存（子SKU）'!R:R)</f>
        <v>0</v>
      </c>
      <c r="Q154">
        <f>SUMIF('库存（子SKU）'!$C:$C,$A154,'库存（子SKU）'!S:S)</f>
        <v>0</v>
      </c>
      <c r="R154">
        <f>SUMIF('库存（子SKU）'!$C:$C,$A154,'库存（子SKU）'!T:T)</f>
        <v>0</v>
      </c>
      <c r="S154">
        <f>SUMIF('库存（子SKU）'!$C:$C,$A154,'库存（子SKU）'!U:U)</f>
        <v>0</v>
      </c>
      <c r="T154">
        <f>SUMIF('库存（子SKU）'!$C:$C,$A154,'库存（子SKU）'!V:V)</f>
        <v>0</v>
      </c>
      <c r="U154">
        <f>SUMIF('库存（子SKU）'!$C:$C,$A154,'库存（子SKU）'!W:W)</f>
        <v>0</v>
      </c>
      <c r="V154" s="23" t="str">
        <f t="shared" si="49"/>
        <v/>
      </c>
      <c r="W154" s="23" t="str">
        <f t="shared" si="50"/>
        <v/>
      </c>
      <c r="X154" s="23" t="str">
        <f t="shared" si="51"/>
        <v/>
      </c>
      <c r="Y154" s="23" t="str">
        <f t="shared" si="52"/>
        <v/>
      </c>
      <c r="Z154">
        <f>SUMIF('库存（子SKU）'!$C:$C,$A154,'库存（子SKU）'!AB:AB)</f>
        <v>0</v>
      </c>
      <c r="AA154">
        <f>SUMIF('库存（子SKU）'!$C:$C,$A154,'库存（子SKU）'!AC:AC)</f>
        <v>0</v>
      </c>
      <c r="AB154">
        <f>SUMIF('库存（子SKU）'!$C:$C,$A154,'库存（子SKU）'!AD:AD)</f>
        <v>0</v>
      </c>
      <c r="AC154">
        <f>SUMIF('库存（子SKU）'!$C:$C,$A154,'库存（子SKU）'!AE:AE)</f>
        <v>0</v>
      </c>
      <c r="AD154" s="23" t="str">
        <f t="shared" si="37"/>
        <v/>
      </c>
      <c r="AE154" s="23" t="str">
        <f t="shared" si="38"/>
        <v/>
      </c>
      <c r="AF154" s="23" t="str">
        <f t="shared" si="39"/>
        <v/>
      </c>
      <c r="AG154" s="23">
        <f t="shared" si="40"/>
        <v>0</v>
      </c>
      <c r="AH154">
        <f>SUMIF('库存（子SKU）'!$C:$C,$A154,'库存（子SKU）'!AJ:AJ)</f>
        <v>0</v>
      </c>
      <c r="AI154">
        <f>SUMIF('库存（子SKU）'!$C:$C,$A154,'库存（子SKU）'!AK:AK)</f>
        <v>0</v>
      </c>
      <c r="AJ154">
        <f>SUMIF('库存（子SKU）'!$C:$C,$A154,'库存（子SKU）'!AL:AL)</f>
        <v>0</v>
      </c>
      <c r="AK154">
        <f>SUMIF('库存（子SKU）'!$C:$C,$A154,'库存（子SKU）'!AM:AM)</f>
        <v>6</v>
      </c>
      <c r="AL154" s="23" t="str">
        <f t="shared" si="41"/>
        <v/>
      </c>
      <c r="AM154" s="23" t="str">
        <f t="shared" si="42"/>
        <v/>
      </c>
      <c r="AN154" s="23" t="str">
        <f t="shared" si="43"/>
        <v/>
      </c>
      <c r="AO154" s="23">
        <f t="shared" si="44"/>
        <v>0.333333333333333</v>
      </c>
      <c r="AP154" s="7">
        <f t="shared" si="45"/>
        <v>0</v>
      </c>
      <c r="AQ154" s="7">
        <f t="shared" si="46"/>
        <v>0</v>
      </c>
      <c r="AR154" s="7">
        <f t="shared" si="47"/>
        <v>0</v>
      </c>
      <c r="AS154" t="str">
        <f t="shared" si="48"/>
        <v>库存为0</v>
      </c>
      <c r="AT154" s="2" t="str">
        <f>IFERROR(时间!$B$4+AS154,"上周无销量")</f>
        <v>上周无销量</v>
      </c>
    </row>
    <row r="155" spans="1:46">
      <c r="A155" t="s">
        <v>687</v>
      </c>
      <c r="B155" s="5">
        <f>SUMIF('库存（子SKU）'!$C:$C,$A155,'库存（子SKU）'!D:D)</f>
        <v>0</v>
      </c>
      <c r="C155" s="5">
        <f>SUMIF('库存（子SKU）'!$C:$C,$A155,'库存（子SKU）'!E:E)</f>
        <v>2</v>
      </c>
      <c r="D155" s="5">
        <f>SUMIF('库存（子SKU）'!$C:$C,$A155,'库存（子SKU）'!F:F)</f>
        <v>0</v>
      </c>
      <c r="E155" s="5">
        <f>SUMIF('库存（子SKU）'!$C:$C,$A155,'库存（子SKU）'!G:G)</f>
        <v>0</v>
      </c>
      <c r="F155" s="6">
        <v>59.99</v>
      </c>
      <c r="G155">
        <f>SUMIF('库存（子SKU）'!$C:$C,$A155,'库存（子SKU）'!I:I)</f>
        <v>0</v>
      </c>
      <c r="H155">
        <f>SUMIF('库存（子SKU）'!$C:$C,$A155,'库存（子SKU）'!J:J)</f>
        <v>0</v>
      </c>
      <c r="I155">
        <f>SUMIF('库存（子SKU）'!$C:$C,$A155,'库存（子SKU）'!K:K)</f>
        <v>0</v>
      </c>
      <c r="J155">
        <f>SUMIF('库存（子SKU）'!$C:$C,$A155,'库存（子SKU）'!L:L)</f>
        <v>0</v>
      </c>
      <c r="K155">
        <f t="shared" si="36"/>
        <v>0</v>
      </c>
      <c r="L155">
        <f>SUMIF('库存（子SKU）'!$C:$C,$A155,'库存（子SKU）'!N:N)</f>
        <v>0</v>
      </c>
      <c r="M155">
        <f>SUMIF('库存（子SKU）'!$C:$C,$A155,'库存（子SKU）'!O:O)</f>
        <v>0</v>
      </c>
      <c r="N155">
        <f>SUMIF('库存（子SKU）'!$C:$C,$A155,'库存（子SKU）'!P:P)</f>
        <v>0</v>
      </c>
      <c r="O155">
        <f>SUMIF('库存（子SKU）'!$C:$C,$A155,'库存（子SKU）'!Q:Q)</f>
        <v>0</v>
      </c>
      <c r="P155">
        <f>SUMIF('库存（子SKU）'!$C:$C,$A155,'库存（子SKU）'!R:R)</f>
        <v>0</v>
      </c>
      <c r="Q155">
        <f>SUMIF('库存（子SKU）'!$C:$C,$A155,'库存（子SKU）'!S:S)</f>
        <v>0</v>
      </c>
      <c r="R155">
        <f>SUMIF('库存（子SKU）'!$C:$C,$A155,'库存（子SKU）'!T:T)</f>
        <v>0</v>
      </c>
      <c r="S155">
        <f>SUMIF('库存（子SKU）'!$C:$C,$A155,'库存（子SKU）'!U:U)</f>
        <v>0</v>
      </c>
      <c r="T155">
        <f>SUMIF('库存（子SKU）'!$C:$C,$A155,'库存（子SKU）'!V:V)</f>
        <v>0</v>
      </c>
      <c r="U155">
        <f>SUMIF('库存（子SKU）'!$C:$C,$A155,'库存（子SKU）'!W:W)</f>
        <v>0</v>
      </c>
      <c r="V155" s="23" t="str">
        <f t="shared" si="49"/>
        <v/>
      </c>
      <c r="W155" s="23" t="str">
        <f t="shared" si="50"/>
        <v/>
      </c>
      <c r="X155" s="23" t="str">
        <f t="shared" si="51"/>
        <v/>
      </c>
      <c r="Y155" s="23" t="str">
        <f t="shared" si="52"/>
        <v/>
      </c>
      <c r="Z155">
        <f>SUMIF('库存（子SKU）'!$C:$C,$A155,'库存（子SKU）'!AB:AB)</f>
        <v>0</v>
      </c>
      <c r="AA155">
        <f>SUMIF('库存（子SKU）'!$C:$C,$A155,'库存（子SKU）'!AC:AC)</f>
        <v>0</v>
      </c>
      <c r="AB155">
        <f>SUMIF('库存（子SKU）'!$C:$C,$A155,'库存（子SKU）'!AD:AD)</f>
        <v>0</v>
      </c>
      <c r="AC155">
        <f>SUMIF('库存（子SKU）'!$C:$C,$A155,'库存（子SKU）'!AE:AE)</f>
        <v>0</v>
      </c>
      <c r="AD155" s="23" t="str">
        <f t="shared" si="37"/>
        <v/>
      </c>
      <c r="AE155" s="23">
        <f t="shared" si="38"/>
        <v>0</v>
      </c>
      <c r="AF155" s="23" t="str">
        <f t="shared" si="39"/>
        <v/>
      </c>
      <c r="AG155" s="23" t="str">
        <f t="shared" si="40"/>
        <v/>
      </c>
      <c r="AH155">
        <f>SUMIF('库存（子SKU）'!$C:$C,$A155,'库存（子SKU）'!AJ:AJ)</f>
        <v>0</v>
      </c>
      <c r="AI155">
        <f>SUMIF('库存（子SKU）'!$C:$C,$A155,'库存（子SKU）'!AK:AK)</f>
        <v>13</v>
      </c>
      <c r="AJ155">
        <f>SUMIF('库存（子SKU）'!$C:$C,$A155,'库存（子SKU）'!AL:AL)</f>
        <v>20</v>
      </c>
      <c r="AK155">
        <f>SUMIF('库存（子SKU）'!$C:$C,$A155,'库存（子SKU）'!AM:AM)</f>
        <v>20</v>
      </c>
      <c r="AL155" s="23" t="str">
        <f t="shared" si="41"/>
        <v/>
      </c>
      <c r="AM155" s="23">
        <f t="shared" si="42"/>
        <v>0.153846153846154</v>
      </c>
      <c r="AN155" s="23">
        <f t="shared" si="43"/>
        <v>0</v>
      </c>
      <c r="AO155" s="23">
        <f t="shared" si="44"/>
        <v>0</v>
      </c>
      <c r="AP155" s="7">
        <f t="shared" si="45"/>
        <v>0</v>
      </c>
      <c r="AQ155" s="7">
        <f t="shared" si="46"/>
        <v>0</v>
      </c>
      <c r="AR155" s="7">
        <f t="shared" si="47"/>
        <v>0</v>
      </c>
      <c r="AS155" t="str">
        <f t="shared" si="48"/>
        <v>库存为0</v>
      </c>
      <c r="AT155" s="2" t="str">
        <f>IFERROR(时间!$B$4+AS155,"上周无销量")</f>
        <v>上周无销量</v>
      </c>
    </row>
    <row r="156" spans="1:46">
      <c r="A156" t="s">
        <v>690</v>
      </c>
      <c r="B156" s="5">
        <f>SUMIF('库存（子SKU）'!$C:$C,$A156,'库存（子SKU）'!D:D)</f>
        <v>0</v>
      </c>
      <c r="C156" s="5">
        <f>SUMIF('库存（子SKU）'!$C:$C,$A156,'库存（子SKU）'!E:E)</f>
        <v>0</v>
      </c>
      <c r="D156" s="5">
        <f>SUMIF('库存（子SKU）'!$C:$C,$A156,'库存（子SKU）'!F:F)</f>
        <v>0</v>
      </c>
      <c r="E156" s="5">
        <f>SUMIF('库存（子SKU）'!$C:$C,$A156,'库存（子SKU）'!G:G)</f>
        <v>0</v>
      </c>
      <c r="F156" s="6" t="s">
        <v>54</v>
      </c>
      <c r="G156">
        <f>SUMIF('库存（子SKU）'!$C:$C,$A156,'库存（子SKU）'!I:I)</f>
        <v>0</v>
      </c>
      <c r="H156">
        <f>SUMIF('库存（子SKU）'!$C:$C,$A156,'库存（子SKU）'!J:J)</f>
        <v>0</v>
      </c>
      <c r="I156">
        <f>SUMIF('库存（子SKU）'!$C:$C,$A156,'库存（子SKU）'!K:K)</f>
        <v>0</v>
      </c>
      <c r="J156">
        <f>SUMIF('库存（子SKU）'!$C:$C,$A156,'库存（子SKU）'!L:L)</f>
        <v>0</v>
      </c>
      <c r="K156">
        <f t="shared" si="36"/>
        <v>0</v>
      </c>
      <c r="L156">
        <f>SUMIF('库存（子SKU）'!$C:$C,$A156,'库存（子SKU）'!N:N)</f>
        <v>0</v>
      </c>
      <c r="M156">
        <f>SUMIF('库存（子SKU）'!$C:$C,$A156,'库存（子SKU）'!O:O)</f>
        <v>0</v>
      </c>
      <c r="N156">
        <f>SUMIF('库存（子SKU）'!$C:$C,$A156,'库存（子SKU）'!P:P)</f>
        <v>0</v>
      </c>
      <c r="O156">
        <f>SUMIF('库存（子SKU）'!$C:$C,$A156,'库存（子SKU）'!Q:Q)</f>
        <v>0</v>
      </c>
      <c r="P156">
        <f>SUMIF('库存（子SKU）'!$C:$C,$A156,'库存（子SKU）'!R:R)</f>
        <v>236</v>
      </c>
      <c r="Q156">
        <f>SUMIF('库存（子SKU）'!$C:$C,$A156,'库存（子SKU）'!S:S)</f>
        <v>236</v>
      </c>
      <c r="R156">
        <f>SUMIF('库存（子SKU）'!$C:$C,$A156,'库存（子SKU）'!T:T)</f>
        <v>0</v>
      </c>
      <c r="S156">
        <f>SUMIF('库存（子SKU）'!$C:$C,$A156,'库存（子SKU）'!U:U)</f>
        <v>0</v>
      </c>
      <c r="T156">
        <f>SUMIF('库存（子SKU）'!$C:$C,$A156,'库存（子SKU）'!V:V)</f>
        <v>3</v>
      </c>
      <c r="U156">
        <f>SUMIF('库存（子SKU）'!$C:$C,$A156,'库存（子SKU）'!W:W)</f>
        <v>3</v>
      </c>
      <c r="V156" s="23" t="str">
        <f t="shared" si="49"/>
        <v/>
      </c>
      <c r="W156" s="23" t="str">
        <f t="shared" si="50"/>
        <v/>
      </c>
      <c r="X156" s="23">
        <f t="shared" si="51"/>
        <v>0.0127118644067797</v>
      </c>
      <c r="Y156" s="23">
        <f t="shared" si="52"/>
        <v>0.0127118644067797</v>
      </c>
      <c r="Z156">
        <f>SUMIF('库存（子SKU）'!$C:$C,$A156,'库存（子SKU）'!AB:AB)</f>
        <v>0</v>
      </c>
      <c r="AA156">
        <f>SUMIF('库存（子SKU）'!$C:$C,$A156,'库存（子SKU）'!AC:AC)</f>
        <v>0</v>
      </c>
      <c r="AB156">
        <f>SUMIF('库存（子SKU）'!$C:$C,$A156,'库存（子SKU）'!AD:AD)</f>
        <v>0.6</v>
      </c>
      <c r="AC156">
        <f>SUMIF('库存（子SKU）'!$C:$C,$A156,'库存（子SKU）'!AE:AE)</f>
        <v>0.6</v>
      </c>
      <c r="AD156" s="23" t="str">
        <f t="shared" si="37"/>
        <v/>
      </c>
      <c r="AE156" s="23" t="str">
        <f t="shared" si="38"/>
        <v/>
      </c>
      <c r="AF156" s="23" t="str">
        <f t="shared" si="39"/>
        <v>无销量广告费为0.6</v>
      </c>
      <c r="AG156" s="23" t="str">
        <f t="shared" si="40"/>
        <v>无销量广告费为0.6</v>
      </c>
      <c r="AH156">
        <f>SUMIF('库存（子SKU）'!$C:$C,$A156,'库存（子SKU）'!AJ:AJ)</f>
        <v>0</v>
      </c>
      <c r="AI156">
        <f>SUMIF('库存（子SKU）'!$C:$C,$A156,'库存（子SKU）'!AK:AK)</f>
        <v>0</v>
      </c>
      <c r="AJ156">
        <f>SUMIF('库存（子SKU）'!$C:$C,$A156,'库存（子SKU）'!AL:AL)</f>
        <v>0</v>
      </c>
      <c r="AK156">
        <f>SUMIF('库存（子SKU）'!$C:$C,$A156,'库存（子SKU）'!AM:AM)</f>
        <v>0</v>
      </c>
      <c r="AL156" s="23" t="str">
        <f t="shared" si="41"/>
        <v/>
      </c>
      <c r="AM156" s="23" t="str">
        <f t="shared" si="42"/>
        <v/>
      </c>
      <c r="AN156" s="23" t="str">
        <f t="shared" si="43"/>
        <v/>
      </c>
      <c r="AO156" s="23" t="str">
        <f t="shared" si="44"/>
        <v/>
      </c>
      <c r="AP156" s="7">
        <f t="shared" si="45"/>
        <v>0</v>
      </c>
      <c r="AQ156" s="7">
        <f t="shared" si="46"/>
        <v>0</v>
      </c>
      <c r="AR156" s="7">
        <f t="shared" si="47"/>
        <v>0</v>
      </c>
      <c r="AS156" t="str">
        <f t="shared" si="48"/>
        <v>库存为0</v>
      </c>
      <c r="AT156" s="2" t="str">
        <f>IFERROR(时间!$B$4+AS156,"上周无销量")</f>
        <v>上周无销量</v>
      </c>
    </row>
    <row r="157" spans="1:46">
      <c r="A157" t="s">
        <v>696</v>
      </c>
      <c r="B157" s="5">
        <f>SUMIF('库存（子SKU）'!$C:$C,$A157,'库存（子SKU）'!D:D)</f>
        <v>0</v>
      </c>
      <c r="C157" s="5">
        <f>SUMIF('库存（子SKU）'!$C:$C,$A157,'库存（子SKU）'!E:E)</f>
        <v>0</v>
      </c>
      <c r="D157" s="5">
        <f>SUMIF('库存（子SKU）'!$C:$C,$A157,'库存（子SKU）'!F:F)</f>
        <v>0</v>
      </c>
      <c r="E157" s="5">
        <f>SUMIF('库存（子SKU）'!$C:$C,$A157,'库存（子SKU）'!G:G)</f>
        <v>0</v>
      </c>
      <c r="F157" s="6" t="s">
        <v>54</v>
      </c>
      <c r="G157">
        <f>SUMIF('库存（子SKU）'!$C:$C,$A157,'库存（子SKU）'!I:I)</f>
        <v>0</v>
      </c>
      <c r="H157">
        <f>SUMIF('库存（子SKU）'!$C:$C,$A157,'库存（子SKU）'!J:J)</f>
        <v>0</v>
      </c>
      <c r="I157">
        <f>SUMIF('库存（子SKU）'!$C:$C,$A157,'库存（子SKU）'!K:K)</f>
        <v>0</v>
      </c>
      <c r="J157">
        <f>SUMIF('库存（子SKU）'!$C:$C,$A157,'库存（子SKU）'!L:L)</f>
        <v>0</v>
      </c>
      <c r="K157">
        <f t="shared" si="36"/>
        <v>0</v>
      </c>
      <c r="L157">
        <f>SUMIF('库存（子SKU）'!$C:$C,$A157,'库存（子SKU）'!N:N)</f>
        <v>0</v>
      </c>
      <c r="M157">
        <f>SUMIF('库存（子SKU）'!$C:$C,$A157,'库存（子SKU）'!O:O)</f>
        <v>0</v>
      </c>
      <c r="N157">
        <f>SUMIF('库存（子SKU）'!$C:$C,$A157,'库存（子SKU）'!P:P)</f>
        <v>0</v>
      </c>
      <c r="O157">
        <f>SUMIF('库存（子SKU）'!$C:$C,$A157,'库存（子SKU）'!Q:Q)</f>
        <v>0</v>
      </c>
      <c r="P157">
        <f>SUMIF('库存（子SKU）'!$C:$C,$A157,'库存（子SKU）'!R:R)</f>
        <v>20189</v>
      </c>
      <c r="Q157">
        <f>SUMIF('库存（子SKU）'!$C:$C,$A157,'库存（子SKU）'!S:S)</f>
        <v>20189</v>
      </c>
      <c r="R157">
        <f>SUMIF('库存（子SKU）'!$C:$C,$A157,'库存（子SKU）'!T:T)</f>
        <v>0</v>
      </c>
      <c r="S157">
        <f>SUMIF('库存（子SKU）'!$C:$C,$A157,'库存（子SKU）'!U:U)</f>
        <v>0</v>
      </c>
      <c r="T157">
        <f>SUMIF('库存（子SKU）'!$C:$C,$A157,'库存（子SKU）'!V:V)</f>
        <v>264</v>
      </c>
      <c r="U157">
        <f>SUMIF('库存（子SKU）'!$C:$C,$A157,'库存（子SKU）'!W:W)</f>
        <v>264</v>
      </c>
      <c r="V157" s="23" t="str">
        <f t="shared" si="49"/>
        <v/>
      </c>
      <c r="W157" s="23" t="str">
        <f t="shared" si="50"/>
        <v/>
      </c>
      <c r="X157" s="23">
        <f t="shared" si="51"/>
        <v>0.0130764277576898</v>
      </c>
      <c r="Y157" s="23">
        <f t="shared" si="52"/>
        <v>0.0130764277576898</v>
      </c>
      <c r="Z157">
        <f>SUMIF('库存（子SKU）'!$C:$C,$A157,'库存（子SKU）'!AB:AB)</f>
        <v>0</v>
      </c>
      <c r="AA157">
        <f>SUMIF('库存（子SKU）'!$C:$C,$A157,'库存（子SKU）'!AC:AC)</f>
        <v>0</v>
      </c>
      <c r="AB157">
        <f>SUMIF('库存（子SKU）'!$C:$C,$A157,'库存（子SKU）'!AD:AD)</f>
        <v>38.88</v>
      </c>
      <c r="AC157">
        <f>SUMIF('库存（子SKU）'!$C:$C,$A157,'库存（子SKU）'!AE:AE)</f>
        <v>38.88</v>
      </c>
      <c r="AD157" s="23" t="str">
        <f t="shared" si="37"/>
        <v/>
      </c>
      <c r="AE157" s="23" t="str">
        <f t="shared" si="38"/>
        <v/>
      </c>
      <c r="AF157" s="23" t="str">
        <f t="shared" si="39"/>
        <v>无销量广告费为38.88</v>
      </c>
      <c r="AG157" s="23" t="str">
        <f t="shared" si="40"/>
        <v>无销量广告费为38.88</v>
      </c>
      <c r="AH157">
        <f>SUMIF('库存（子SKU）'!$C:$C,$A157,'库存（子SKU）'!AJ:AJ)</f>
        <v>0</v>
      </c>
      <c r="AI157">
        <f>SUMIF('库存（子SKU）'!$C:$C,$A157,'库存（子SKU）'!AK:AK)</f>
        <v>0</v>
      </c>
      <c r="AJ157">
        <f>SUMIF('库存（子SKU）'!$C:$C,$A157,'库存（子SKU）'!AL:AL)</f>
        <v>0</v>
      </c>
      <c r="AK157">
        <f>SUMIF('库存（子SKU）'!$C:$C,$A157,'库存（子SKU）'!AM:AM)</f>
        <v>0</v>
      </c>
      <c r="AL157" s="23" t="str">
        <f t="shared" si="41"/>
        <v/>
      </c>
      <c r="AM157" s="23" t="str">
        <f t="shared" si="42"/>
        <v/>
      </c>
      <c r="AN157" s="23" t="str">
        <f t="shared" si="43"/>
        <v/>
      </c>
      <c r="AO157" s="23" t="str">
        <f t="shared" si="44"/>
        <v/>
      </c>
      <c r="AP157" s="7">
        <f t="shared" si="45"/>
        <v>0</v>
      </c>
      <c r="AQ157" s="7">
        <f t="shared" si="46"/>
        <v>0</v>
      </c>
      <c r="AR157" s="7">
        <f t="shared" si="47"/>
        <v>0</v>
      </c>
      <c r="AS157" t="str">
        <f t="shared" si="48"/>
        <v>库存为0</v>
      </c>
      <c r="AT157" s="2" t="str">
        <f>IFERROR(时间!$B$4+AS157,"上周无销量")</f>
        <v>上周无销量</v>
      </c>
    </row>
    <row r="158" spans="1:46">
      <c r="A158"/>
      <c r="V158" s="23"/>
      <c r="W158" s="23"/>
      <c r="X158" s="23"/>
      <c r="Y158" s="23"/>
      <c r="AD158" s="23"/>
      <c r="AE158" s="23"/>
      <c r="AF158" s="23"/>
      <c r="AG158" s="23"/>
      <c r="AL158" s="23"/>
      <c r="AM158" s="23"/>
      <c r="AN158" s="23"/>
      <c r="AO158" s="23"/>
      <c r="AP158" s="7"/>
      <c r="AT158" s="2"/>
    </row>
    <row r="159" spans="1:46">
      <c r="A159"/>
      <c r="V159" s="23"/>
      <c r="W159" s="23"/>
      <c r="X159" s="23"/>
      <c r="Y159" s="23"/>
      <c r="AD159" s="23"/>
      <c r="AE159" s="23"/>
      <c r="AF159" s="23"/>
      <c r="AG159" s="23"/>
      <c r="AL159" s="23"/>
      <c r="AM159" s="23"/>
      <c r="AN159" s="23"/>
      <c r="AO159" s="23"/>
      <c r="AP159" s="7"/>
      <c r="AT159" s="2"/>
    </row>
    <row r="160" spans="1:46">
      <c r="A160"/>
      <c r="V160" s="23"/>
      <c r="W160" s="23"/>
      <c r="X160" s="23"/>
      <c r="Y160" s="23"/>
      <c r="AD160" s="23"/>
      <c r="AE160" s="23"/>
      <c r="AF160" s="23"/>
      <c r="AG160" s="23"/>
      <c r="AL160" s="23"/>
      <c r="AM160" s="23"/>
      <c r="AN160" s="23"/>
      <c r="AO160" s="23"/>
      <c r="AP160" s="7"/>
      <c r="AT160" s="2"/>
    </row>
    <row r="161" spans="1:46">
      <c r="A161"/>
      <c r="V161" s="23"/>
      <c r="W161" s="23"/>
      <c r="X161" s="23"/>
      <c r="Y161" s="23"/>
      <c r="AD161" s="23"/>
      <c r="AE161" s="23"/>
      <c r="AF161" s="23"/>
      <c r="AG161" s="23"/>
      <c r="AL161" s="23"/>
      <c r="AM161" s="23"/>
      <c r="AN161" s="23"/>
      <c r="AO161" s="23"/>
      <c r="AP161" s="7"/>
      <c r="AT161" s="2"/>
    </row>
    <row r="162" spans="1:46">
      <c r="A162"/>
      <c r="V162" s="23"/>
      <c r="W162" s="23"/>
      <c r="X162" s="23"/>
      <c r="Y162" s="23"/>
      <c r="AD162" s="23"/>
      <c r="AE162" s="23"/>
      <c r="AF162" s="23"/>
      <c r="AG162" s="23"/>
      <c r="AL162" s="23"/>
      <c r="AM162" s="23"/>
      <c r="AN162" s="23"/>
      <c r="AO162" s="23"/>
      <c r="AP162" s="7"/>
      <c r="AT162" s="2"/>
    </row>
    <row r="163" spans="1:46">
      <c r="A163"/>
      <c r="V163" s="23"/>
      <c r="W163" s="23"/>
      <c r="X163" s="23"/>
      <c r="Y163" s="23"/>
      <c r="AD163" s="23"/>
      <c r="AE163" s="23"/>
      <c r="AF163" s="23"/>
      <c r="AG163" s="23"/>
      <c r="AL163" s="23"/>
      <c r="AM163" s="23"/>
      <c r="AN163" s="23"/>
      <c r="AO163" s="23"/>
      <c r="AP163" s="7"/>
      <c r="AT163" s="2"/>
    </row>
    <row r="164" spans="1:46">
      <c r="A164"/>
      <c r="V164" s="23"/>
      <c r="W164" s="23"/>
      <c r="X164" s="23"/>
      <c r="Y164" s="23"/>
      <c r="AD164" s="23"/>
      <c r="AE164" s="23"/>
      <c r="AF164" s="23"/>
      <c r="AG164" s="23"/>
      <c r="AL164" s="23"/>
      <c r="AM164" s="23"/>
      <c r="AN164" s="23"/>
      <c r="AO164" s="23"/>
      <c r="AP164" s="7"/>
      <c r="AT164" s="2"/>
    </row>
    <row r="165" spans="1:46">
      <c r="A165"/>
      <c r="V165" s="23"/>
      <c r="W165" s="23"/>
      <c r="X165" s="23"/>
      <c r="Y165" s="23"/>
      <c r="AD165" s="23"/>
      <c r="AE165" s="23"/>
      <c r="AF165" s="23"/>
      <c r="AG165" s="23"/>
      <c r="AL165" s="23"/>
      <c r="AM165" s="23"/>
      <c r="AN165" s="23"/>
      <c r="AO165" s="23"/>
      <c r="AP165" s="7"/>
      <c r="AT165" s="2"/>
    </row>
    <row r="166" spans="1:46">
      <c r="A166"/>
      <c r="V166" s="23"/>
      <c r="W166" s="23"/>
      <c r="X166" s="23"/>
      <c r="Y166" s="23"/>
      <c r="AD166" s="23"/>
      <c r="AE166" s="23"/>
      <c r="AF166" s="23"/>
      <c r="AG166" s="23"/>
      <c r="AL166" s="23"/>
      <c r="AM166" s="23"/>
      <c r="AN166" s="23"/>
      <c r="AO166" s="23"/>
      <c r="AP166" s="7"/>
      <c r="AT166" s="2"/>
    </row>
    <row r="167" spans="1:46">
      <c r="A167"/>
      <c r="V167" s="23"/>
      <c r="W167" s="23"/>
      <c r="X167" s="23"/>
      <c r="Y167" s="23"/>
      <c r="AD167" s="23"/>
      <c r="AE167" s="23"/>
      <c r="AF167" s="23"/>
      <c r="AG167" s="23"/>
      <c r="AL167" s="23"/>
      <c r="AM167" s="23"/>
      <c r="AN167" s="23"/>
      <c r="AO167" s="23"/>
      <c r="AP167" s="7"/>
      <c r="AT167" s="2"/>
    </row>
    <row r="168" spans="1:46">
      <c r="A168"/>
      <c r="V168" s="23"/>
      <c r="W168" s="23"/>
      <c r="X168" s="23"/>
      <c r="Y168" s="23"/>
      <c r="AD168" s="23"/>
      <c r="AE168" s="23"/>
      <c r="AF168" s="23"/>
      <c r="AG168" s="23"/>
      <c r="AL168" s="23"/>
      <c r="AM168" s="23"/>
      <c r="AN168" s="23"/>
      <c r="AO168" s="23"/>
      <c r="AP168" s="7"/>
      <c r="AT168" s="2"/>
    </row>
    <row r="169" spans="1:46">
      <c r="A169"/>
      <c r="V169" s="23"/>
      <c r="W169" s="23"/>
      <c r="X169" s="23"/>
      <c r="Y169" s="23"/>
      <c r="AD169" s="23"/>
      <c r="AE169" s="23"/>
      <c r="AF169" s="23"/>
      <c r="AG169" s="23"/>
      <c r="AL169" s="23"/>
      <c r="AM169" s="23"/>
      <c r="AN169" s="23"/>
      <c r="AO169" s="23"/>
      <c r="AP169" s="7"/>
      <c r="AT169" s="2"/>
    </row>
    <row r="170" spans="1:46">
      <c r="A170"/>
      <c r="V170" s="23"/>
      <c r="W170" s="23"/>
      <c r="X170" s="23"/>
      <c r="Y170" s="23"/>
      <c r="AD170" s="23"/>
      <c r="AE170" s="23"/>
      <c r="AF170" s="23"/>
      <c r="AG170" s="23"/>
      <c r="AL170" s="23"/>
      <c r="AM170" s="23"/>
      <c r="AN170" s="23"/>
      <c r="AO170" s="23"/>
      <c r="AP170" s="7"/>
      <c r="AT170" s="2"/>
    </row>
    <row r="171" spans="1:46">
      <c r="A171"/>
      <c r="V171" s="23"/>
      <c r="W171" s="23"/>
      <c r="X171" s="23"/>
      <c r="Y171" s="23"/>
      <c r="AD171" s="23"/>
      <c r="AE171" s="23"/>
      <c r="AF171" s="23"/>
      <c r="AG171" s="23"/>
      <c r="AL171" s="23"/>
      <c r="AM171" s="23"/>
      <c r="AN171" s="23"/>
      <c r="AO171" s="23"/>
      <c r="AP171" s="7"/>
      <c r="AT171" s="2"/>
    </row>
    <row r="172" spans="1:46">
      <c r="A172"/>
      <c r="V172" s="23"/>
      <c r="W172" s="23"/>
      <c r="X172" s="23"/>
      <c r="Y172" s="23"/>
      <c r="AD172" s="23"/>
      <c r="AE172" s="23"/>
      <c r="AF172" s="23"/>
      <c r="AG172" s="23"/>
      <c r="AL172" s="23"/>
      <c r="AM172" s="23"/>
      <c r="AN172" s="23"/>
      <c r="AO172" s="23"/>
      <c r="AP172" s="7"/>
      <c r="AT172" s="2"/>
    </row>
    <row r="173" spans="1:46">
      <c r="A173"/>
      <c r="V173" s="23"/>
      <c r="W173" s="23"/>
      <c r="X173" s="23"/>
      <c r="Y173" s="23"/>
      <c r="AD173" s="23"/>
      <c r="AE173" s="23"/>
      <c r="AF173" s="23"/>
      <c r="AG173" s="23"/>
      <c r="AL173" s="23"/>
      <c r="AM173" s="23"/>
      <c r="AN173" s="23"/>
      <c r="AO173" s="23"/>
      <c r="AP173" s="7"/>
      <c r="AT173" s="2"/>
    </row>
    <row r="174" spans="1:46">
      <c r="A174"/>
      <c r="V174" s="23"/>
      <c r="W174" s="23"/>
      <c r="X174" s="23"/>
      <c r="Y174" s="23"/>
      <c r="AD174" s="23"/>
      <c r="AE174" s="23"/>
      <c r="AF174" s="23"/>
      <c r="AG174" s="23"/>
      <c r="AL174" s="23"/>
      <c r="AM174" s="23"/>
      <c r="AN174" s="23"/>
      <c r="AO174" s="23"/>
      <c r="AP174" s="7"/>
      <c r="AT174" s="2"/>
    </row>
    <row r="175" spans="1:46">
      <c r="A175"/>
      <c r="V175" s="23"/>
      <c r="W175" s="23"/>
      <c r="X175" s="23"/>
      <c r="Y175" s="23"/>
      <c r="AD175" s="23"/>
      <c r="AE175" s="23"/>
      <c r="AF175" s="23"/>
      <c r="AG175" s="23"/>
      <c r="AL175" s="23"/>
      <c r="AM175" s="23"/>
      <c r="AN175" s="23"/>
      <c r="AO175" s="23"/>
      <c r="AP175" s="7"/>
      <c r="AT175" s="2"/>
    </row>
    <row r="176" spans="1:46">
      <c r="A176"/>
      <c r="V176" s="23"/>
      <c r="W176" s="23"/>
      <c r="X176" s="23"/>
      <c r="Y176" s="23"/>
      <c r="AD176" s="23"/>
      <c r="AE176" s="23"/>
      <c r="AF176" s="23"/>
      <c r="AG176" s="23"/>
      <c r="AL176" s="23"/>
      <c r="AM176" s="23"/>
      <c r="AN176" s="23"/>
      <c r="AO176" s="23"/>
      <c r="AP176" s="7"/>
      <c r="AT176" s="2"/>
    </row>
    <row r="177" spans="1:46">
      <c r="A177"/>
      <c r="V177" s="23"/>
      <c r="W177" s="23"/>
      <c r="X177" s="23"/>
      <c r="Y177" s="23"/>
      <c r="AD177" s="23"/>
      <c r="AE177" s="23"/>
      <c r="AF177" s="23"/>
      <c r="AG177" s="23"/>
      <c r="AL177" s="23"/>
      <c r="AM177" s="23"/>
      <c r="AN177" s="23"/>
      <c r="AO177" s="23"/>
      <c r="AP177" s="7"/>
      <c r="AT177" s="2"/>
    </row>
    <row r="178" spans="1:46">
      <c r="A178"/>
      <c r="V178" s="23"/>
      <c r="W178" s="23"/>
      <c r="X178" s="23"/>
      <c r="Y178" s="23"/>
      <c r="AD178" s="23"/>
      <c r="AE178" s="23"/>
      <c r="AF178" s="23"/>
      <c r="AG178" s="23"/>
      <c r="AL178" s="23"/>
      <c r="AM178" s="23"/>
      <c r="AN178" s="23"/>
      <c r="AO178" s="23"/>
      <c r="AP178" s="7"/>
      <c r="AT178" s="2"/>
    </row>
    <row r="179" spans="1:46">
      <c r="A179"/>
      <c r="V179" s="23"/>
      <c r="W179" s="23"/>
      <c r="X179" s="23"/>
      <c r="Y179" s="23"/>
      <c r="AD179" s="23"/>
      <c r="AE179" s="23"/>
      <c r="AF179" s="23"/>
      <c r="AG179" s="23"/>
      <c r="AL179" s="23"/>
      <c r="AM179" s="23"/>
      <c r="AN179" s="23"/>
      <c r="AO179" s="23"/>
      <c r="AP179" s="7"/>
      <c r="AT179" s="2"/>
    </row>
    <row r="180" spans="1:46">
      <c r="A180"/>
      <c r="V180" s="23"/>
      <c r="W180" s="23"/>
      <c r="X180" s="23"/>
      <c r="Y180" s="23"/>
      <c r="AD180" s="23"/>
      <c r="AE180" s="23"/>
      <c r="AF180" s="23"/>
      <c r="AG180" s="23"/>
      <c r="AL180" s="23"/>
      <c r="AM180" s="23"/>
      <c r="AN180" s="23"/>
      <c r="AO180" s="23"/>
      <c r="AP180" s="7"/>
      <c r="AT180" s="2"/>
    </row>
    <row r="181" spans="1:46">
      <c r="A181"/>
      <c r="V181" s="23"/>
      <c r="W181" s="23"/>
      <c r="X181" s="23"/>
      <c r="Y181" s="23"/>
      <c r="AD181" s="23"/>
      <c r="AE181" s="23"/>
      <c r="AF181" s="23"/>
      <c r="AG181" s="23"/>
      <c r="AL181" s="23"/>
      <c r="AM181" s="23"/>
      <c r="AN181" s="23"/>
      <c r="AO181" s="23"/>
      <c r="AP181" s="7"/>
      <c r="AT181" s="2"/>
    </row>
    <row r="182" spans="1:46">
      <c r="A182"/>
      <c r="V182" s="23"/>
      <c r="W182" s="23"/>
      <c r="X182" s="23"/>
      <c r="Y182" s="23"/>
      <c r="AD182" s="23"/>
      <c r="AE182" s="23"/>
      <c r="AF182" s="23"/>
      <c r="AG182" s="23"/>
      <c r="AL182" s="23"/>
      <c r="AM182" s="23"/>
      <c r="AN182" s="23"/>
      <c r="AO182" s="23"/>
      <c r="AP182" s="7"/>
      <c r="AT182" s="2"/>
    </row>
    <row r="183" spans="1:46">
      <c r="A183"/>
      <c r="V183" s="23"/>
      <c r="W183" s="23"/>
      <c r="X183" s="23"/>
      <c r="Y183" s="23"/>
      <c r="AD183" s="23"/>
      <c r="AE183" s="23"/>
      <c r="AF183" s="23"/>
      <c r="AG183" s="23"/>
      <c r="AL183" s="23"/>
      <c r="AM183" s="23"/>
      <c r="AN183" s="23"/>
      <c r="AO183" s="23"/>
      <c r="AP183" s="7"/>
      <c r="AT183" s="2"/>
    </row>
    <row r="184" spans="1:46">
      <c r="A184"/>
      <c r="V184" s="23"/>
      <c r="W184" s="23"/>
      <c r="X184" s="23"/>
      <c r="Y184" s="23"/>
      <c r="AD184" s="23"/>
      <c r="AE184" s="23"/>
      <c r="AF184" s="23"/>
      <c r="AG184" s="23"/>
      <c r="AL184" s="23"/>
      <c r="AM184" s="23"/>
      <c r="AN184" s="23"/>
      <c r="AO184" s="23"/>
      <c r="AP184" s="7"/>
      <c r="AT184" s="2"/>
    </row>
    <row r="185" spans="1:46">
      <c r="A185"/>
      <c r="V185" s="23"/>
      <c r="W185" s="23"/>
      <c r="X185" s="23"/>
      <c r="Y185" s="23"/>
      <c r="AD185" s="23"/>
      <c r="AE185" s="23"/>
      <c r="AF185" s="23"/>
      <c r="AG185" s="23"/>
      <c r="AL185" s="23"/>
      <c r="AM185" s="23"/>
      <c r="AN185" s="23"/>
      <c r="AO185" s="23"/>
      <c r="AP185" s="7"/>
      <c r="AT185" s="2"/>
    </row>
    <row r="186" spans="1:46">
      <c r="A186"/>
      <c r="V186" s="23"/>
      <c r="W186" s="23"/>
      <c r="X186" s="23"/>
      <c r="Y186" s="23"/>
      <c r="AD186" s="23"/>
      <c r="AE186" s="23"/>
      <c r="AF186" s="23"/>
      <c r="AG186" s="23"/>
      <c r="AL186" s="23"/>
      <c r="AM186" s="23"/>
      <c r="AN186" s="23"/>
      <c r="AO186" s="23"/>
      <c r="AP186" s="7"/>
      <c r="AT186" s="2"/>
    </row>
    <row r="187" spans="1:46">
      <c r="A187"/>
      <c r="V187" s="23"/>
      <c r="W187" s="23"/>
      <c r="X187" s="23"/>
      <c r="Y187" s="23"/>
      <c r="AD187" s="23"/>
      <c r="AE187" s="23"/>
      <c r="AF187" s="23"/>
      <c r="AG187" s="23"/>
      <c r="AL187" s="23"/>
      <c r="AM187" s="23"/>
      <c r="AN187" s="23"/>
      <c r="AO187" s="23"/>
      <c r="AP187" s="7"/>
      <c r="AT187" s="2"/>
    </row>
    <row r="188" spans="1:46">
      <c r="A188"/>
      <c r="V188" s="23"/>
      <c r="W188" s="23"/>
      <c r="X188" s="23"/>
      <c r="Y188" s="23"/>
      <c r="AD188" s="23"/>
      <c r="AE188" s="23"/>
      <c r="AF188" s="23"/>
      <c r="AG188" s="23"/>
      <c r="AL188" s="23"/>
      <c r="AM188" s="23"/>
      <c r="AN188" s="23"/>
      <c r="AO188" s="23"/>
      <c r="AP188" s="7"/>
      <c r="AT188" s="2"/>
    </row>
    <row r="189" spans="1:46">
      <c r="A189"/>
      <c r="V189" s="23"/>
      <c r="W189" s="23"/>
      <c r="X189" s="23"/>
      <c r="Y189" s="23"/>
      <c r="AD189" s="23"/>
      <c r="AE189" s="23"/>
      <c r="AF189" s="23"/>
      <c r="AG189" s="23"/>
      <c r="AL189" s="23"/>
      <c r="AM189" s="23"/>
      <c r="AN189" s="23"/>
      <c r="AO189" s="23"/>
      <c r="AP189" s="7"/>
      <c r="AT189" s="2"/>
    </row>
    <row r="190" spans="1:46">
      <c r="A190"/>
      <c r="V190" s="23"/>
      <c r="W190" s="23"/>
      <c r="X190" s="23"/>
      <c r="Y190" s="23"/>
      <c r="AD190" s="23"/>
      <c r="AE190" s="23"/>
      <c r="AF190" s="23"/>
      <c r="AG190" s="23"/>
      <c r="AL190" s="23"/>
      <c r="AM190" s="23"/>
      <c r="AN190" s="23"/>
      <c r="AO190" s="23"/>
      <c r="AP190" s="7"/>
      <c r="AT190" s="2"/>
    </row>
    <row r="191" spans="1:46">
      <c r="A191"/>
      <c r="V191" s="23"/>
      <c r="W191" s="23"/>
      <c r="X191" s="23"/>
      <c r="Y191" s="23"/>
      <c r="AD191" s="23"/>
      <c r="AE191" s="23"/>
      <c r="AF191" s="23"/>
      <c r="AG191" s="23"/>
      <c r="AL191" s="23"/>
      <c r="AM191" s="23"/>
      <c r="AN191" s="23"/>
      <c r="AO191" s="23"/>
      <c r="AP191" s="7"/>
      <c r="AT191" s="2"/>
    </row>
    <row r="192" spans="1:46">
      <c r="A192"/>
      <c r="V192" s="23"/>
      <c r="W192" s="23"/>
      <c r="X192" s="23"/>
      <c r="Y192" s="23"/>
      <c r="AD192" s="23"/>
      <c r="AE192" s="23"/>
      <c r="AF192" s="23"/>
      <c r="AG192" s="23"/>
      <c r="AL192" s="23"/>
      <c r="AM192" s="23"/>
      <c r="AN192" s="23"/>
      <c r="AO192" s="23"/>
      <c r="AP192" s="7"/>
      <c r="AT192" s="2"/>
    </row>
    <row r="193" spans="1:46">
      <c r="A193"/>
      <c r="V193" s="23"/>
      <c r="W193" s="23"/>
      <c r="X193" s="23"/>
      <c r="Y193" s="23"/>
      <c r="AD193" s="23"/>
      <c r="AE193" s="23"/>
      <c r="AF193" s="23"/>
      <c r="AG193" s="23"/>
      <c r="AL193" s="23"/>
      <c r="AM193" s="23"/>
      <c r="AN193" s="23"/>
      <c r="AO193" s="23"/>
      <c r="AP193" s="7"/>
      <c r="AT193" s="2"/>
    </row>
    <row r="194" spans="1:46">
      <c r="A194"/>
      <c r="V194" s="23"/>
      <c r="W194" s="23"/>
      <c r="X194" s="23"/>
      <c r="Y194" s="23"/>
      <c r="AD194" s="23"/>
      <c r="AE194" s="23"/>
      <c r="AF194" s="23"/>
      <c r="AG194" s="23"/>
      <c r="AL194" s="23"/>
      <c r="AM194" s="23"/>
      <c r="AN194" s="23"/>
      <c r="AO194" s="23"/>
      <c r="AP194" s="7"/>
      <c r="AT194" s="2"/>
    </row>
    <row r="195" spans="1:46">
      <c r="A195"/>
      <c r="V195" s="23"/>
      <c r="W195" s="23"/>
      <c r="X195" s="23"/>
      <c r="Y195" s="23"/>
      <c r="AD195" s="23"/>
      <c r="AE195" s="23"/>
      <c r="AF195" s="23"/>
      <c r="AG195" s="23"/>
      <c r="AL195" s="23"/>
      <c r="AM195" s="23"/>
      <c r="AN195" s="23"/>
      <c r="AO195" s="23"/>
      <c r="AP195" s="7"/>
      <c r="AT195" s="2"/>
    </row>
    <row r="196" spans="1:46">
      <c r="A196"/>
      <c r="V196" s="23"/>
      <c r="W196" s="23"/>
      <c r="X196" s="23"/>
      <c r="Y196" s="23"/>
      <c r="AD196" s="23"/>
      <c r="AE196" s="23"/>
      <c r="AF196" s="23"/>
      <c r="AG196" s="23"/>
      <c r="AL196" s="23"/>
      <c r="AM196" s="23"/>
      <c r="AN196" s="23"/>
      <c r="AO196" s="23"/>
      <c r="AP196" s="7"/>
      <c r="AT196" s="2"/>
    </row>
    <row r="197" spans="1:46">
      <c r="A197"/>
      <c r="V197" s="23"/>
      <c r="W197" s="23"/>
      <c r="X197" s="23"/>
      <c r="Y197" s="23"/>
      <c r="AD197" s="23"/>
      <c r="AE197" s="23"/>
      <c r="AF197" s="23"/>
      <c r="AG197" s="23"/>
      <c r="AL197" s="23"/>
      <c r="AM197" s="23"/>
      <c r="AN197" s="23"/>
      <c r="AO197" s="23"/>
      <c r="AP197" s="7"/>
      <c r="AT197" s="2"/>
    </row>
    <row r="198" spans="1:46">
      <c r="A198"/>
      <c r="V198" s="23"/>
      <c r="W198" s="23"/>
      <c r="X198" s="23"/>
      <c r="Y198" s="23"/>
      <c r="AD198" s="23"/>
      <c r="AE198" s="23"/>
      <c r="AF198" s="23"/>
      <c r="AG198" s="23"/>
      <c r="AL198" s="23"/>
      <c r="AM198" s="23"/>
      <c r="AN198" s="23"/>
      <c r="AO198" s="23"/>
      <c r="AP198" s="7"/>
      <c r="AT198" s="2"/>
    </row>
    <row r="199" spans="1:46">
      <c r="A199"/>
      <c r="V199" s="23"/>
      <c r="W199" s="23"/>
      <c r="X199" s="23"/>
      <c r="Y199" s="23"/>
      <c r="AD199" s="23"/>
      <c r="AE199" s="23"/>
      <c r="AF199" s="23"/>
      <c r="AG199" s="23"/>
      <c r="AL199" s="23"/>
      <c r="AM199" s="23"/>
      <c r="AN199" s="23"/>
      <c r="AO199" s="23"/>
      <c r="AP199" s="7"/>
      <c r="AT199" s="2"/>
    </row>
    <row r="200" spans="1:46">
      <c r="A200"/>
      <c r="V200" s="23"/>
      <c r="W200" s="23"/>
      <c r="X200" s="23"/>
      <c r="Y200" s="23"/>
      <c r="AD200" s="23"/>
      <c r="AE200" s="23"/>
      <c r="AF200" s="23"/>
      <c r="AG200" s="23"/>
      <c r="AL200" s="23"/>
      <c r="AM200" s="23"/>
      <c r="AN200" s="23"/>
      <c r="AO200" s="23"/>
      <c r="AP200" s="7"/>
      <c r="AT200" s="2"/>
    </row>
    <row r="201" spans="1:46">
      <c r="A201"/>
      <c r="V201" s="23"/>
      <c r="W201" s="23"/>
      <c r="X201" s="23"/>
      <c r="Y201" s="23"/>
      <c r="AD201" s="23"/>
      <c r="AE201" s="23"/>
      <c r="AF201" s="23"/>
      <c r="AG201" s="23"/>
      <c r="AL201" s="23"/>
      <c r="AM201" s="23"/>
      <c r="AN201" s="23"/>
      <c r="AO201" s="23"/>
      <c r="AP201" s="7"/>
      <c r="AT201" s="2"/>
    </row>
    <row r="202" spans="1:46">
      <c r="A202"/>
      <c r="V202" s="23"/>
      <c r="W202" s="23"/>
      <c r="X202" s="23"/>
      <c r="Y202" s="23"/>
      <c r="AD202" s="23"/>
      <c r="AE202" s="23"/>
      <c r="AF202" s="23"/>
      <c r="AG202" s="23"/>
      <c r="AL202" s="23"/>
      <c r="AM202" s="23"/>
      <c r="AN202" s="23"/>
      <c r="AO202" s="23"/>
      <c r="AP202" s="7"/>
      <c r="AT202" s="2"/>
    </row>
    <row r="203" spans="1:46">
      <c r="A203"/>
      <c r="V203" s="23"/>
      <c r="W203" s="23"/>
      <c r="X203" s="23"/>
      <c r="Y203" s="23"/>
      <c r="AD203" s="23"/>
      <c r="AE203" s="23"/>
      <c r="AF203" s="23"/>
      <c r="AG203" s="23"/>
      <c r="AL203" s="23"/>
      <c r="AM203" s="23"/>
      <c r="AN203" s="23"/>
      <c r="AO203" s="23"/>
      <c r="AP203" s="7"/>
      <c r="AT203" s="2"/>
    </row>
    <row r="204" spans="1:46">
      <c r="A204"/>
      <c r="V204" s="23"/>
      <c r="W204" s="23"/>
      <c r="X204" s="23"/>
      <c r="Y204" s="23"/>
      <c r="AD204" s="23"/>
      <c r="AE204" s="23"/>
      <c r="AF204" s="23"/>
      <c r="AG204" s="23"/>
      <c r="AL204" s="23"/>
      <c r="AM204" s="23"/>
      <c r="AN204" s="23"/>
      <c r="AO204" s="23"/>
      <c r="AP204" s="7"/>
      <c r="AT204" s="2"/>
    </row>
    <row r="205" spans="1:46">
      <c r="A205"/>
      <c r="V205" s="23"/>
      <c r="W205" s="23"/>
      <c r="X205" s="23"/>
      <c r="Y205" s="23"/>
      <c r="AD205" s="23"/>
      <c r="AE205" s="23"/>
      <c r="AF205" s="23"/>
      <c r="AG205" s="23"/>
      <c r="AL205" s="23"/>
      <c r="AM205" s="23"/>
      <c r="AN205" s="23"/>
      <c r="AO205" s="23"/>
      <c r="AP205" s="7"/>
      <c r="AT205" s="2"/>
    </row>
    <row r="206" spans="1:46">
      <c r="A206"/>
      <c r="V206" s="23"/>
      <c r="W206" s="23"/>
      <c r="X206" s="23"/>
      <c r="Y206" s="23"/>
      <c r="AD206" s="23"/>
      <c r="AE206" s="23"/>
      <c r="AF206" s="23"/>
      <c r="AG206" s="23"/>
      <c r="AL206" s="23"/>
      <c r="AM206" s="23"/>
      <c r="AN206" s="23"/>
      <c r="AO206" s="23"/>
      <c r="AP206" s="7"/>
      <c r="AT206" s="2"/>
    </row>
    <row r="207" spans="1:46">
      <c r="A207"/>
      <c r="V207" s="23"/>
      <c r="W207" s="23"/>
      <c r="X207" s="23"/>
      <c r="Y207" s="23"/>
      <c r="AD207" s="23"/>
      <c r="AE207" s="23"/>
      <c r="AF207" s="23"/>
      <c r="AG207" s="23"/>
      <c r="AL207" s="23"/>
      <c r="AM207" s="23"/>
      <c r="AN207" s="23"/>
      <c r="AO207" s="23"/>
      <c r="AP207" s="7"/>
      <c r="AT207" s="2"/>
    </row>
    <row r="208" spans="1:46">
      <c r="A208"/>
      <c r="V208" s="23"/>
      <c r="W208" s="23"/>
      <c r="X208" s="23"/>
      <c r="Y208" s="23"/>
      <c r="AD208" s="23"/>
      <c r="AE208" s="23"/>
      <c r="AF208" s="23"/>
      <c r="AG208" s="23"/>
      <c r="AL208" s="23"/>
      <c r="AM208" s="23"/>
      <c r="AN208" s="23"/>
      <c r="AO208" s="23"/>
      <c r="AP208" s="7"/>
      <c r="AT208" s="2"/>
    </row>
    <row r="209" spans="1:46">
      <c r="A209"/>
      <c r="V209" s="23"/>
      <c r="W209" s="23"/>
      <c r="X209" s="23"/>
      <c r="Y209" s="23"/>
      <c r="AD209" s="23"/>
      <c r="AE209" s="23"/>
      <c r="AF209" s="23"/>
      <c r="AG209" s="23"/>
      <c r="AL209" s="23"/>
      <c r="AM209" s="23"/>
      <c r="AN209" s="23"/>
      <c r="AO209" s="23"/>
      <c r="AP209" s="7"/>
      <c r="AT209" s="2"/>
    </row>
    <row r="210" spans="1:46">
      <c r="A210"/>
      <c r="V210" s="23"/>
      <c r="W210" s="23"/>
      <c r="X210" s="23"/>
      <c r="Y210" s="23"/>
      <c r="AD210" s="23"/>
      <c r="AE210" s="23"/>
      <c r="AF210" s="23"/>
      <c r="AG210" s="23"/>
      <c r="AL210" s="23"/>
      <c r="AM210" s="23"/>
      <c r="AN210" s="23"/>
      <c r="AO210" s="23"/>
      <c r="AP210" s="7"/>
      <c r="AT210" s="2"/>
    </row>
    <row r="211" spans="1:46">
      <c r="A211"/>
      <c r="V211" s="23"/>
      <c r="W211" s="23"/>
      <c r="X211" s="23"/>
      <c r="Y211" s="23"/>
      <c r="AD211" s="23"/>
      <c r="AE211" s="23"/>
      <c r="AF211" s="23"/>
      <c r="AG211" s="23"/>
      <c r="AL211" s="23"/>
      <c r="AM211" s="23"/>
      <c r="AN211" s="23"/>
      <c r="AO211" s="23"/>
      <c r="AP211" s="7"/>
      <c r="AT211" s="2"/>
    </row>
    <row r="212" spans="1:46">
      <c r="A212"/>
      <c r="V212" s="23"/>
      <c r="W212" s="23"/>
      <c r="X212" s="23"/>
      <c r="Y212" s="23"/>
      <c r="AD212" s="23"/>
      <c r="AE212" s="23"/>
      <c r="AF212" s="23"/>
      <c r="AG212" s="23"/>
      <c r="AL212" s="23"/>
      <c r="AM212" s="23"/>
      <c r="AN212" s="23"/>
      <c r="AO212" s="23"/>
      <c r="AP212" s="7"/>
      <c r="AT212" s="2"/>
    </row>
    <row r="213" spans="1:46">
      <c r="A213"/>
      <c r="V213" s="23"/>
      <c r="W213" s="23"/>
      <c r="X213" s="23"/>
      <c r="Y213" s="23"/>
      <c r="AD213" s="23"/>
      <c r="AE213" s="23"/>
      <c r="AF213" s="23"/>
      <c r="AG213" s="23"/>
      <c r="AL213" s="23"/>
      <c r="AM213" s="23"/>
      <c r="AN213" s="23"/>
      <c r="AO213" s="23"/>
      <c r="AP213" s="7"/>
      <c r="AT213" s="2"/>
    </row>
    <row r="214" spans="1:46">
      <c r="A214"/>
      <c r="V214" s="23"/>
      <c r="W214" s="23"/>
      <c r="X214" s="23"/>
      <c r="Y214" s="23"/>
      <c r="AD214" s="23"/>
      <c r="AE214" s="23"/>
      <c r="AF214" s="23"/>
      <c r="AG214" s="23"/>
      <c r="AL214" s="23"/>
      <c r="AM214" s="23"/>
      <c r="AN214" s="23"/>
      <c r="AO214" s="23"/>
      <c r="AP214" s="7"/>
      <c r="AT214" s="2"/>
    </row>
    <row r="215" spans="1:46">
      <c r="A215"/>
      <c r="V215" s="23"/>
      <c r="W215" s="23"/>
      <c r="X215" s="23"/>
      <c r="Y215" s="23"/>
      <c r="AD215" s="23"/>
      <c r="AE215" s="23"/>
      <c r="AF215" s="23"/>
      <c r="AG215" s="23"/>
      <c r="AL215" s="23"/>
      <c r="AM215" s="23"/>
      <c r="AN215" s="23"/>
      <c r="AO215" s="23"/>
      <c r="AP215" s="7"/>
      <c r="AT215" s="2"/>
    </row>
    <row r="216" spans="1:46">
      <c r="A216"/>
      <c r="V216" s="23"/>
      <c r="W216" s="23"/>
      <c r="X216" s="23"/>
      <c r="Y216" s="23"/>
      <c r="AD216" s="23"/>
      <c r="AE216" s="23"/>
      <c r="AF216" s="23"/>
      <c r="AG216" s="23"/>
      <c r="AL216" s="23"/>
      <c r="AM216" s="23"/>
      <c r="AN216" s="23"/>
      <c r="AO216" s="23"/>
      <c r="AP216" s="7"/>
      <c r="AT216" s="2"/>
    </row>
    <row r="217" spans="1:46">
      <c r="A217"/>
      <c r="V217" s="23"/>
      <c r="W217" s="23"/>
      <c r="X217" s="23"/>
      <c r="Y217" s="23"/>
      <c r="AD217" s="23"/>
      <c r="AE217" s="23"/>
      <c r="AF217" s="23"/>
      <c r="AG217" s="23"/>
      <c r="AL217" s="23"/>
      <c r="AM217" s="23"/>
      <c r="AN217" s="23"/>
      <c r="AO217" s="23"/>
      <c r="AP217" s="7"/>
      <c r="AT217" s="2"/>
    </row>
    <row r="218" spans="1:46">
      <c r="A218"/>
      <c r="V218" s="23"/>
      <c r="W218" s="23"/>
      <c r="X218" s="23"/>
      <c r="Y218" s="23"/>
      <c r="AD218" s="23"/>
      <c r="AE218" s="23"/>
      <c r="AF218" s="23"/>
      <c r="AG218" s="23"/>
      <c r="AL218" s="23"/>
      <c r="AM218" s="23"/>
      <c r="AN218" s="23"/>
      <c r="AO218" s="23"/>
      <c r="AP218" s="7"/>
      <c r="AT218" s="2"/>
    </row>
    <row r="219" spans="1:46">
      <c r="A219"/>
      <c r="V219" s="23"/>
      <c r="W219" s="23"/>
      <c r="X219" s="23"/>
      <c r="Y219" s="23"/>
      <c r="AD219" s="23"/>
      <c r="AE219" s="23"/>
      <c r="AF219" s="23"/>
      <c r="AG219" s="23"/>
      <c r="AL219" s="23"/>
      <c r="AM219" s="23"/>
      <c r="AN219" s="23"/>
      <c r="AO219" s="23"/>
      <c r="AP219" s="7"/>
      <c r="AT219" s="2"/>
    </row>
    <row r="220" spans="1:46">
      <c r="A220"/>
      <c r="V220" s="23"/>
      <c r="W220" s="23"/>
      <c r="X220" s="23"/>
      <c r="Y220" s="23"/>
      <c r="AD220" s="23"/>
      <c r="AE220" s="23"/>
      <c r="AF220" s="23"/>
      <c r="AG220" s="23"/>
      <c r="AL220" s="23"/>
      <c r="AM220" s="23"/>
      <c r="AN220" s="23"/>
      <c r="AO220" s="23"/>
      <c r="AP220" s="7"/>
      <c r="AT220" s="2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</sheetData>
  <autoFilter ref="A4:AT242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4167" operator="lessThan">
      <formula>20</formula>
    </cfRule>
    <cfRule type="cellIs" dxfId="1" priority="4166" operator="greaterThan">
      <formula>120</formula>
    </cfRule>
    <cfRule type="containsText" dxfId="3" priority="4165" operator="between" text="库存">
      <formula>NOT(ISERROR(SEARCH("库存",AS2)))</formula>
    </cfRule>
  </conditionalFormatting>
  <conditionalFormatting sqref="AS6">
    <cfRule type="cellIs" dxfId="0" priority="456" operator="lessThan">
      <formula>20</formula>
    </cfRule>
    <cfRule type="cellIs" dxfId="1" priority="304" operator="greaterThan">
      <formula>120</formula>
    </cfRule>
    <cfRule type="containsText" dxfId="3" priority="152" operator="between" text="库存">
      <formula>NOT(ISERROR(SEARCH("库存",AS6)))</formula>
    </cfRule>
  </conditionalFormatting>
  <conditionalFormatting sqref="AS7">
    <cfRule type="cellIs" dxfId="0" priority="455" operator="lessThan">
      <formula>20</formula>
    </cfRule>
    <cfRule type="cellIs" dxfId="1" priority="303" operator="greaterThan">
      <formula>120</formula>
    </cfRule>
    <cfRule type="containsText" dxfId="3" priority="151" operator="between" text="库存">
      <formula>NOT(ISERROR(SEARCH("库存",AS7)))</formula>
    </cfRule>
  </conditionalFormatting>
  <conditionalFormatting sqref="AS8">
    <cfRule type="cellIs" dxfId="0" priority="454" operator="lessThan">
      <formula>20</formula>
    </cfRule>
    <cfRule type="cellIs" dxfId="1" priority="302" operator="greaterThan">
      <formula>120</formula>
    </cfRule>
    <cfRule type="containsText" dxfId="3" priority="150" operator="between" text="库存">
      <formula>NOT(ISERROR(SEARCH("库存",AS8)))</formula>
    </cfRule>
  </conditionalFormatting>
  <conditionalFormatting sqref="AS9">
    <cfRule type="cellIs" dxfId="0" priority="453" operator="lessThan">
      <formula>20</formula>
    </cfRule>
    <cfRule type="cellIs" dxfId="1" priority="301" operator="greaterThan">
      <formula>120</formula>
    </cfRule>
    <cfRule type="containsText" dxfId="3" priority="149" operator="between" text="库存">
      <formula>NOT(ISERROR(SEARCH("库存",AS9)))</formula>
    </cfRule>
  </conditionalFormatting>
  <conditionalFormatting sqref="AS10">
    <cfRule type="cellIs" dxfId="0" priority="452" operator="lessThan">
      <formula>20</formula>
    </cfRule>
    <cfRule type="cellIs" dxfId="1" priority="300" operator="greaterThan">
      <formula>120</formula>
    </cfRule>
    <cfRule type="containsText" dxfId="3" priority="148" operator="between" text="库存">
      <formula>NOT(ISERROR(SEARCH("库存",AS10)))</formula>
    </cfRule>
  </conditionalFormatting>
  <conditionalFormatting sqref="AS11">
    <cfRule type="cellIs" dxfId="0" priority="451" operator="lessThan">
      <formula>20</formula>
    </cfRule>
    <cfRule type="cellIs" dxfId="1" priority="299" operator="greaterThan">
      <formula>120</formula>
    </cfRule>
    <cfRule type="containsText" dxfId="3" priority="147" operator="between" text="库存">
      <formula>NOT(ISERROR(SEARCH("库存",AS11)))</formula>
    </cfRule>
  </conditionalFormatting>
  <conditionalFormatting sqref="AS12">
    <cfRule type="cellIs" dxfId="0" priority="450" operator="lessThan">
      <formula>20</formula>
    </cfRule>
    <cfRule type="cellIs" dxfId="1" priority="298" operator="greaterThan">
      <formula>120</formula>
    </cfRule>
    <cfRule type="containsText" dxfId="3" priority="146" operator="between" text="库存">
      <formula>NOT(ISERROR(SEARCH("库存",AS12)))</formula>
    </cfRule>
  </conditionalFormatting>
  <conditionalFormatting sqref="AS13">
    <cfRule type="cellIs" dxfId="0" priority="449" operator="lessThan">
      <formula>20</formula>
    </cfRule>
    <cfRule type="cellIs" dxfId="1" priority="297" operator="greaterThan">
      <formula>120</formula>
    </cfRule>
    <cfRule type="containsText" dxfId="3" priority="145" operator="between" text="库存">
      <formula>NOT(ISERROR(SEARCH("库存",AS13)))</formula>
    </cfRule>
  </conditionalFormatting>
  <conditionalFormatting sqref="AS14">
    <cfRule type="cellIs" dxfId="0" priority="448" operator="lessThan">
      <formula>20</formula>
    </cfRule>
    <cfRule type="cellIs" dxfId="1" priority="296" operator="greaterThan">
      <formula>120</formula>
    </cfRule>
    <cfRule type="containsText" dxfId="3" priority="144" operator="between" text="库存">
      <formula>NOT(ISERROR(SEARCH("库存",AS14)))</formula>
    </cfRule>
  </conditionalFormatting>
  <conditionalFormatting sqref="AS15">
    <cfRule type="cellIs" dxfId="0" priority="447" operator="lessThan">
      <formula>20</formula>
    </cfRule>
    <cfRule type="cellIs" dxfId="1" priority="295" operator="greaterThan">
      <formula>120</formula>
    </cfRule>
    <cfRule type="containsText" dxfId="3" priority="143" operator="between" text="库存">
      <formula>NOT(ISERROR(SEARCH("库存",AS15)))</formula>
    </cfRule>
  </conditionalFormatting>
  <conditionalFormatting sqref="AS16">
    <cfRule type="cellIs" dxfId="0" priority="446" operator="lessThan">
      <formula>20</formula>
    </cfRule>
    <cfRule type="cellIs" dxfId="1" priority="294" operator="greaterThan">
      <formula>120</formula>
    </cfRule>
    <cfRule type="containsText" dxfId="3" priority="142" operator="between" text="库存">
      <formula>NOT(ISERROR(SEARCH("库存",AS16)))</formula>
    </cfRule>
  </conditionalFormatting>
  <conditionalFormatting sqref="AS17">
    <cfRule type="cellIs" dxfId="0" priority="445" operator="lessThan">
      <formula>20</formula>
    </cfRule>
    <cfRule type="cellIs" dxfId="1" priority="293" operator="greaterThan">
      <formula>120</formula>
    </cfRule>
    <cfRule type="containsText" dxfId="3" priority="141" operator="between" text="库存">
      <formula>NOT(ISERROR(SEARCH("库存",AS17)))</formula>
    </cfRule>
  </conditionalFormatting>
  <conditionalFormatting sqref="AS18">
    <cfRule type="cellIs" dxfId="0" priority="444" operator="lessThan">
      <formula>20</formula>
    </cfRule>
    <cfRule type="cellIs" dxfId="1" priority="292" operator="greaterThan">
      <formula>120</formula>
    </cfRule>
    <cfRule type="containsText" dxfId="3" priority="140" operator="between" text="库存">
      <formula>NOT(ISERROR(SEARCH("库存",AS18)))</formula>
    </cfRule>
  </conditionalFormatting>
  <conditionalFormatting sqref="AS19">
    <cfRule type="cellIs" dxfId="0" priority="443" operator="lessThan">
      <formula>20</formula>
    </cfRule>
    <cfRule type="cellIs" dxfId="1" priority="291" operator="greaterThan">
      <formula>120</formula>
    </cfRule>
    <cfRule type="containsText" dxfId="3" priority="139" operator="between" text="库存">
      <formula>NOT(ISERROR(SEARCH("库存",AS19)))</formula>
    </cfRule>
  </conditionalFormatting>
  <conditionalFormatting sqref="AS20">
    <cfRule type="cellIs" dxfId="0" priority="442" operator="lessThan">
      <formula>20</formula>
    </cfRule>
    <cfRule type="cellIs" dxfId="1" priority="290" operator="greaterThan">
      <formula>120</formula>
    </cfRule>
    <cfRule type="containsText" dxfId="3" priority="138" operator="between" text="库存">
      <formula>NOT(ISERROR(SEARCH("库存",AS20)))</formula>
    </cfRule>
  </conditionalFormatting>
  <conditionalFormatting sqref="AS21">
    <cfRule type="cellIs" dxfId="0" priority="441" operator="lessThan">
      <formula>20</formula>
    </cfRule>
    <cfRule type="cellIs" dxfId="1" priority="289" operator="greaterThan">
      <formula>120</formula>
    </cfRule>
    <cfRule type="containsText" dxfId="3" priority="137" operator="between" text="库存">
      <formula>NOT(ISERROR(SEARCH("库存",AS21)))</formula>
    </cfRule>
  </conditionalFormatting>
  <conditionalFormatting sqref="AS22">
    <cfRule type="cellIs" dxfId="0" priority="440" operator="lessThan">
      <formula>20</formula>
    </cfRule>
    <cfRule type="cellIs" dxfId="1" priority="288" operator="greaterThan">
      <formula>120</formula>
    </cfRule>
    <cfRule type="containsText" dxfId="3" priority="136" operator="between" text="库存">
      <formula>NOT(ISERROR(SEARCH("库存",AS22)))</formula>
    </cfRule>
  </conditionalFormatting>
  <conditionalFormatting sqref="AS23">
    <cfRule type="cellIs" dxfId="0" priority="439" operator="lessThan">
      <formula>20</formula>
    </cfRule>
    <cfRule type="cellIs" dxfId="1" priority="287" operator="greaterThan">
      <formula>120</formula>
    </cfRule>
    <cfRule type="containsText" dxfId="3" priority="135" operator="between" text="库存">
      <formula>NOT(ISERROR(SEARCH("库存",AS23)))</formula>
    </cfRule>
  </conditionalFormatting>
  <conditionalFormatting sqref="AS24">
    <cfRule type="cellIs" dxfId="0" priority="438" operator="lessThan">
      <formula>20</formula>
    </cfRule>
    <cfRule type="cellIs" dxfId="1" priority="286" operator="greaterThan">
      <formula>120</formula>
    </cfRule>
    <cfRule type="containsText" dxfId="3" priority="134" operator="between" text="库存">
      <formula>NOT(ISERROR(SEARCH("库存",AS24)))</formula>
    </cfRule>
  </conditionalFormatting>
  <conditionalFormatting sqref="AS25">
    <cfRule type="cellIs" dxfId="0" priority="437" operator="lessThan">
      <formula>20</formula>
    </cfRule>
    <cfRule type="cellIs" dxfId="1" priority="285" operator="greaterThan">
      <formula>120</formula>
    </cfRule>
    <cfRule type="containsText" dxfId="3" priority="133" operator="between" text="库存">
      <formula>NOT(ISERROR(SEARCH("库存",AS25)))</formula>
    </cfRule>
  </conditionalFormatting>
  <conditionalFormatting sqref="AS26">
    <cfRule type="cellIs" dxfId="0" priority="436" operator="lessThan">
      <formula>20</formula>
    </cfRule>
    <cfRule type="cellIs" dxfId="1" priority="284" operator="greaterThan">
      <formula>120</formula>
    </cfRule>
    <cfRule type="containsText" dxfId="3" priority="132" operator="between" text="库存">
      <formula>NOT(ISERROR(SEARCH("库存",AS26)))</formula>
    </cfRule>
  </conditionalFormatting>
  <conditionalFormatting sqref="AS27">
    <cfRule type="cellIs" dxfId="0" priority="435" operator="lessThan">
      <formula>20</formula>
    </cfRule>
    <cfRule type="cellIs" dxfId="1" priority="283" operator="greaterThan">
      <formula>120</formula>
    </cfRule>
    <cfRule type="containsText" dxfId="3" priority="131" operator="between" text="库存">
      <formula>NOT(ISERROR(SEARCH("库存",AS27)))</formula>
    </cfRule>
  </conditionalFormatting>
  <conditionalFormatting sqref="AS28">
    <cfRule type="cellIs" dxfId="0" priority="434" operator="lessThan">
      <formula>20</formula>
    </cfRule>
    <cfRule type="cellIs" dxfId="1" priority="282" operator="greaterThan">
      <formula>120</formula>
    </cfRule>
    <cfRule type="containsText" dxfId="3" priority="130" operator="between" text="库存">
      <formula>NOT(ISERROR(SEARCH("库存",AS28)))</formula>
    </cfRule>
  </conditionalFormatting>
  <conditionalFormatting sqref="AS29">
    <cfRule type="cellIs" dxfId="0" priority="433" operator="lessThan">
      <formula>20</formula>
    </cfRule>
    <cfRule type="cellIs" dxfId="1" priority="281" operator="greaterThan">
      <formula>120</formula>
    </cfRule>
    <cfRule type="containsText" dxfId="3" priority="129" operator="between" text="库存">
      <formula>NOT(ISERROR(SEARCH("库存",AS29)))</formula>
    </cfRule>
  </conditionalFormatting>
  <conditionalFormatting sqref="AS30">
    <cfRule type="cellIs" dxfId="0" priority="432" operator="lessThan">
      <formula>20</formula>
    </cfRule>
    <cfRule type="cellIs" dxfId="1" priority="280" operator="greaterThan">
      <formula>120</formula>
    </cfRule>
    <cfRule type="containsText" dxfId="3" priority="128" operator="between" text="库存">
      <formula>NOT(ISERROR(SEARCH("库存",AS30)))</formula>
    </cfRule>
  </conditionalFormatting>
  <conditionalFormatting sqref="AS31">
    <cfRule type="cellIs" dxfId="0" priority="431" operator="lessThan">
      <formula>20</formula>
    </cfRule>
    <cfRule type="cellIs" dxfId="1" priority="279" operator="greaterThan">
      <formula>120</formula>
    </cfRule>
    <cfRule type="containsText" dxfId="3" priority="127" operator="between" text="库存">
      <formula>NOT(ISERROR(SEARCH("库存",AS31)))</formula>
    </cfRule>
  </conditionalFormatting>
  <conditionalFormatting sqref="AS32">
    <cfRule type="cellIs" dxfId="0" priority="430" operator="lessThan">
      <formula>20</formula>
    </cfRule>
    <cfRule type="cellIs" dxfId="1" priority="278" operator="greaterThan">
      <formula>120</formula>
    </cfRule>
    <cfRule type="containsText" dxfId="3" priority="126" operator="between" text="库存">
      <formula>NOT(ISERROR(SEARCH("库存",AS32)))</formula>
    </cfRule>
  </conditionalFormatting>
  <conditionalFormatting sqref="AS33">
    <cfRule type="cellIs" dxfId="0" priority="429" operator="lessThan">
      <formula>20</formula>
    </cfRule>
    <cfRule type="cellIs" dxfId="1" priority="277" operator="greaterThan">
      <formula>120</formula>
    </cfRule>
    <cfRule type="containsText" dxfId="3" priority="125" operator="between" text="库存">
      <formula>NOT(ISERROR(SEARCH("库存",AS33)))</formula>
    </cfRule>
  </conditionalFormatting>
  <conditionalFormatting sqref="AS34">
    <cfRule type="cellIs" dxfId="0" priority="428" operator="lessThan">
      <formula>20</formula>
    </cfRule>
    <cfRule type="cellIs" dxfId="1" priority="276" operator="greaterThan">
      <formula>120</formula>
    </cfRule>
    <cfRule type="containsText" dxfId="3" priority="124" operator="between" text="库存">
      <formula>NOT(ISERROR(SEARCH("库存",AS34)))</formula>
    </cfRule>
  </conditionalFormatting>
  <conditionalFormatting sqref="AS35">
    <cfRule type="cellIs" dxfId="0" priority="427" operator="lessThan">
      <formula>20</formula>
    </cfRule>
    <cfRule type="cellIs" dxfId="1" priority="275" operator="greaterThan">
      <formula>120</formula>
    </cfRule>
    <cfRule type="containsText" dxfId="3" priority="123" operator="between" text="库存">
      <formula>NOT(ISERROR(SEARCH("库存",AS35)))</formula>
    </cfRule>
  </conditionalFormatting>
  <conditionalFormatting sqref="AS36">
    <cfRule type="cellIs" dxfId="0" priority="426" operator="lessThan">
      <formula>20</formula>
    </cfRule>
    <cfRule type="cellIs" dxfId="1" priority="274" operator="greaterThan">
      <formula>120</formula>
    </cfRule>
    <cfRule type="containsText" dxfId="3" priority="122" operator="between" text="库存">
      <formula>NOT(ISERROR(SEARCH("库存",AS36)))</formula>
    </cfRule>
  </conditionalFormatting>
  <conditionalFormatting sqref="AS37">
    <cfRule type="cellIs" dxfId="0" priority="425" operator="lessThan">
      <formula>20</formula>
    </cfRule>
    <cfRule type="cellIs" dxfId="1" priority="273" operator="greaterThan">
      <formula>120</formula>
    </cfRule>
    <cfRule type="containsText" dxfId="3" priority="121" operator="between" text="库存">
      <formula>NOT(ISERROR(SEARCH("库存",AS37)))</formula>
    </cfRule>
  </conditionalFormatting>
  <conditionalFormatting sqref="AS38">
    <cfRule type="cellIs" dxfId="0" priority="424" operator="lessThan">
      <formula>20</formula>
    </cfRule>
    <cfRule type="cellIs" dxfId="1" priority="272" operator="greaterThan">
      <formula>120</formula>
    </cfRule>
    <cfRule type="containsText" dxfId="3" priority="120" operator="between" text="库存">
      <formula>NOT(ISERROR(SEARCH("库存",AS38)))</formula>
    </cfRule>
  </conditionalFormatting>
  <conditionalFormatting sqref="AS39">
    <cfRule type="cellIs" dxfId="0" priority="423" operator="lessThan">
      <formula>20</formula>
    </cfRule>
    <cfRule type="cellIs" dxfId="1" priority="271" operator="greaterThan">
      <formula>120</formula>
    </cfRule>
    <cfRule type="containsText" dxfId="3" priority="119" operator="between" text="库存">
      <formula>NOT(ISERROR(SEARCH("库存",AS39)))</formula>
    </cfRule>
  </conditionalFormatting>
  <conditionalFormatting sqref="AS40">
    <cfRule type="cellIs" dxfId="0" priority="422" operator="lessThan">
      <formula>20</formula>
    </cfRule>
    <cfRule type="cellIs" dxfId="1" priority="270" operator="greaterThan">
      <formula>120</formula>
    </cfRule>
    <cfRule type="containsText" dxfId="3" priority="118" operator="between" text="库存">
      <formula>NOT(ISERROR(SEARCH("库存",AS40)))</formula>
    </cfRule>
  </conditionalFormatting>
  <conditionalFormatting sqref="AS41">
    <cfRule type="cellIs" dxfId="0" priority="421" operator="lessThan">
      <formula>20</formula>
    </cfRule>
    <cfRule type="cellIs" dxfId="1" priority="269" operator="greaterThan">
      <formula>120</formula>
    </cfRule>
    <cfRule type="containsText" dxfId="3" priority="117" operator="between" text="库存">
      <formula>NOT(ISERROR(SEARCH("库存",AS41)))</formula>
    </cfRule>
  </conditionalFormatting>
  <conditionalFormatting sqref="AS42">
    <cfRule type="cellIs" dxfId="0" priority="420" operator="lessThan">
      <formula>20</formula>
    </cfRule>
    <cfRule type="cellIs" dxfId="1" priority="268" operator="greaterThan">
      <formula>120</formula>
    </cfRule>
    <cfRule type="containsText" dxfId="3" priority="116" operator="between" text="库存">
      <formula>NOT(ISERROR(SEARCH("库存",AS42)))</formula>
    </cfRule>
  </conditionalFormatting>
  <conditionalFormatting sqref="AS43">
    <cfRule type="cellIs" dxfId="0" priority="419" operator="lessThan">
      <formula>20</formula>
    </cfRule>
    <cfRule type="cellIs" dxfId="1" priority="267" operator="greaterThan">
      <formula>120</formula>
    </cfRule>
    <cfRule type="containsText" dxfId="3" priority="115" operator="between" text="库存">
      <formula>NOT(ISERROR(SEARCH("库存",AS43)))</formula>
    </cfRule>
  </conditionalFormatting>
  <conditionalFormatting sqref="AS44">
    <cfRule type="cellIs" dxfId="0" priority="418" operator="lessThan">
      <formula>20</formula>
    </cfRule>
    <cfRule type="cellIs" dxfId="1" priority="266" operator="greaterThan">
      <formula>120</formula>
    </cfRule>
    <cfRule type="containsText" dxfId="3" priority="114" operator="between" text="库存">
      <formula>NOT(ISERROR(SEARCH("库存",AS44)))</formula>
    </cfRule>
  </conditionalFormatting>
  <conditionalFormatting sqref="AS45">
    <cfRule type="cellIs" dxfId="0" priority="417" operator="lessThan">
      <formula>20</formula>
    </cfRule>
    <cfRule type="cellIs" dxfId="1" priority="265" operator="greaterThan">
      <formula>120</formula>
    </cfRule>
    <cfRule type="containsText" dxfId="3" priority="113" operator="between" text="库存">
      <formula>NOT(ISERROR(SEARCH("库存",AS45)))</formula>
    </cfRule>
  </conditionalFormatting>
  <conditionalFormatting sqref="AS46">
    <cfRule type="cellIs" dxfId="0" priority="416" operator="lessThan">
      <formula>20</formula>
    </cfRule>
    <cfRule type="cellIs" dxfId="1" priority="264" operator="greaterThan">
      <formula>120</formula>
    </cfRule>
    <cfRule type="containsText" dxfId="3" priority="112" operator="between" text="库存">
      <formula>NOT(ISERROR(SEARCH("库存",AS46)))</formula>
    </cfRule>
  </conditionalFormatting>
  <conditionalFormatting sqref="AS47">
    <cfRule type="cellIs" dxfId="0" priority="415" operator="lessThan">
      <formula>20</formula>
    </cfRule>
    <cfRule type="cellIs" dxfId="1" priority="263" operator="greaterThan">
      <formula>120</formula>
    </cfRule>
    <cfRule type="containsText" dxfId="3" priority="111" operator="between" text="库存">
      <formula>NOT(ISERROR(SEARCH("库存",AS47)))</formula>
    </cfRule>
  </conditionalFormatting>
  <conditionalFormatting sqref="AS48">
    <cfRule type="cellIs" dxfId="0" priority="414" operator="lessThan">
      <formula>20</formula>
    </cfRule>
    <cfRule type="cellIs" dxfId="1" priority="262" operator="greaterThan">
      <formula>120</formula>
    </cfRule>
    <cfRule type="containsText" dxfId="3" priority="110" operator="between" text="库存">
      <formula>NOT(ISERROR(SEARCH("库存",AS48)))</formula>
    </cfRule>
  </conditionalFormatting>
  <conditionalFormatting sqref="AS49">
    <cfRule type="cellIs" dxfId="0" priority="413" operator="lessThan">
      <formula>20</formula>
    </cfRule>
    <cfRule type="cellIs" dxfId="1" priority="261" operator="greaterThan">
      <formula>120</formula>
    </cfRule>
    <cfRule type="containsText" dxfId="3" priority="109" operator="between" text="库存">
      <formula>NOT(ISERROR(SEARCH("库存",AS49)))</formula>
    </cfRule>
  </conditionalFormatting>
  <conditionalFormatting sqref="AS50">
    <cfRule type="cellIs" dxfId="0" priority="412" operator="lessThan">
      <formula>20</formula>
    </cfRule>
    <cfRule type="cellIs" dxfId="1" priority="260" operator="greaterThan">
      <formula>120</formula>
    </cfRule>
    <cfRule type="containsText" dxfId="3" priority="108" operator="between" text="库存">
      <formula>NOT(ISERROR(SEARCH("库存",AS50)))</formula>
    </cfRule>
  </conditionalFormatting>
  <conditionalFormatting sqref="AS51">
    <cfRule type="cellIs" dxfId="0" priority="411" operator="lessThan">
      <formula>20</formula>
    </cfRule>
    <cfRule type="cellIs" dxfId="1" priority="259" operator="greaterThan">
      <formula>120</formula>
    </cfRule>
    <cfRule type="containsText" dxfId="3" priority="107" operator="between" text="库存">
      <formula>NOT(ISERROR(SEARCH("库存",AS51)))</formula>
    </cfRule>
  </conditionalFormatting>
  <conditionalFormatting sqref="AS52">
    <cfRule type="cellIs" dxfId="0" priority="410" operator="lessThan">
      <formula>20</formula>
    </cfRule>
    <cfRule type="cellIs" dxfId="1" priority="258" operator="greaterThan">
      <formula>120</formula>
    </cfRule>
    <cfRule type="containsText" dxfId="3" priority="106" operator="between" text="库存">
      <formula>NOT(ISERROR(SEARCH("库存",AS52)))</formula>
    </cfRule>
  </conditionalFormatting>
  <conditionalFormatting sqref="AS53">
    <cfRule type="cellIs" dxfId="0" priority="409" operator="lessThan">
      <formula>20</formula>
    </cfRule>
    <cfRule type="cellIs" dxfId="1" priority="257" operator="greaterThan">
      <formula>120</formula>
    </cfRule>
    <cfRule type="containsText" dxfId="3" priority="105" operator="between" text="库存">
      <formula>NOT(ISERROR(SEARCH("库存",AS53)))</formula>
    </cfRule>
  </conditionalFormatting>
  <conditionalFormatting sqref="AS54">
    <cfRule type="cellIs" dxfId="0" priority="408" operator="lessThan">
      <formula>20</formula>
    </cfRule>
    <cfRule type="cellIs" dxfId="1" priority="256" operator="greaterThan">
      <formula>120</formula>
    </cfRule>
    <cfRule type="containsText" dxfId="3" priority="104" operator="between" text="库存">
      <formula>NOT(ISERROR(SEARCH("库存",AS54)))</formula>
    </cfRule>
  </conditionalFormatting>
  <conditionalFormatting sqref="AS55">
    <cfRule type="cellIs" dxfId="0" priority="407" operator="lessThan">
      <formula>20</formula>
    </cfRule>
    <cfRule type="cellIs" dxfId="1" priority="255" operator="greaterThan">
      <formula>120</formula>
    </cfRule>
    <cfRule type="containsText" dxfId="3" priority="103" operator="between" text="库存">
      <formula>NOT(ISERROR(SEARCH("库存",AS55)))</formula>
    </cfRule>
  </conditionalFormatting>
  <conditionalFormatting sqref="AS56">
    <cfRule type="cellIs" dxfId="0" priority="406" operator="lessThan">
      <formula>20</formula>
    </cfRule>
    <cfRule type="cellIs" dxfId="1" priority="254" operator="greaterThan">
      <formula>120</formula>
    </cfRule>
    <cfRule type="containsText" dxfId="3" priority="102" operator="between" text="库存">
      <formula>NOT(ISERROR(SEARCH("库存",AS56)))</formula>
    </cfRule>
  </conditionalFormatting>
  <conditionalFormatting sqref="AS57">
    <cfRule type="cellIs" dxfId="0" priority="405" operator="lessThan">
      <formula>20</formula>
    </cfRule>
    <cfRule type="cellIs" dxfId="1" priority="253" operator="greaterThan">
      <formula>120</formula>
    </cfRule>
    <cfRule type="containsText" dxfId="3" priority="101" operator="between" text="库存">
      <formula>NOT(ISERROR(SEARCH("库存",AS57)))</formula>
    </cfRule>
  </conditionalFormatting>
  <conditionalFormatting sqref="AS58">
    <cfRule type="cellIs" dxfId="0" priority="404" operator="lessThan">
      <formula>20</formula>
    </cfRule>
    <cfRule type="cellIs" dxfId="1" priority="252" operator="greaterThan">
      <formula>120</formula>
    </cfRule>
    <cfRule type="containsText" dxfId="3" priority="100" operator="between" text="库存">
      <formula>NOT(ISERROR(SEARCH("库存",AS58)))</formula>
    </cfRule>
  </conditionalFormatting>
  <conditionalFormatting sqref="AS59">
    <cfRule type="cellIs" dxfId="0" priority="403" operator="lessThan">
      <formula>20</formula>
    </cfRule>
    <cfRule type="cellIs" dxfId="1" priority="251" operator="greaterThan">
      <formula>120</formula>
    </cfRule>
    <cfRule type="containsText" dxfId="3" priority="99" operator="between" text="库存">
      <formula>NOT(ISERROR(SEARCH("库存",AS59)))</formula>
    </cfRule>
  </conditionalFormatting>
  <conditionalFormatting sqref="AS60">
    <cfRule type="cellIs" dxfId="0" priority="402" operator="lessThan">
      <formula>20</formula>
    </cfRule>
    <cfRule type="cellIs" dxfId="1" priority="250" operator="greaterThan">
      <formula>120</formula>
    </cfRule>
    <cfRule type="containsText" dxfId="3" priority="98" operator="between" text="库存">
      <formula>NOT(ISERROR(SEARCH("库存",AS60)))</formula>
    </cfRule>
  </conditionalFormatting>
  <conditionalFormatting sqref="AS61">
    <cfRule type="cellIs" dxfId="0" priority="401" operator="lessThan">
      <formula>20</formula>
    </cfRule>
    <cfRule type="cellIs" dxfId="1" priority="249" operator="greaterThan">
      <formula>120</formula>
    </cfRule>
    <cfRule type="containsText" dxfId="3" priority="97" operator="between" text="库存">
      <formula>NOT(ISERROR(SEARCH("库存",AS61)))</formula>
    </cfRule>
  </conditionalFormatting>
  <conditionalFormatting sqref="AS62">
    <cfRule type="cellIs" dxfId="0" priority="400" operator="lessThan">
      <formula>20</formula>
    </cfRule>
    <cfRule type="cellIs" dxfId="1" priority="248" operator="greaterThan">
      <formula>120</formula>
    </cfRule>
    <cfRule type="containsText" dxfId="3" priority="96" operator="between" text="库存">
      <formula>NOT(ISERROR(SEARCH("库存",AS62)))</formula>
    </cfRule>
  </conditionalFormatting>
  <conditionalFormatting sqref="AS63">
    <cfRule type="cellIs" dxfId="0" priority="399" operator="lessThan">
      <formula>20</formula>
    </cfRule>
    <cfRule type="cellIs" dxfId="1" priority="247" operator="greaterThan">
      <formula>120</formula>
    </cfRule>
    <cfRule type="containsText" dxfId="3" priority="95" operator="between" text="库存">
      <formula>NOT(ISERROR(SEARCH("库存",AS63)))</formula>
    </cfRule>
  </conditionalFormatting>
  <conditionalFormatting sqref="AS64">
    <cfRule type="cellIs" dxfId="0" priority="398" operator="lessThan">
      <formula>20</formula>
    </cfRule>
    <cfRule type="cellIs" dxfId="1" priority="246" operator="greaterThan">
      <formula>120</formula>
    </cfRule>
    <cfRule type="containsText" dxfId="3" priority="94" operator="between" text="库存">
      <formula>NOT(ISERROR(SEARCH("库存",AS64)))</formula>
    </cfRule>
  </conditionalFormatting>
  <conditionalFormatting sqref="AS65">
    <cfRule type="cellIs" dxfId="0" priority="397" operator="lessThan">
      <formula>20</formula>
    </cfRule>
    <cfRule type="cellIs" dxfId="1" priority="245" operator="greaterThan">
      <formula>120</formula>
    </cfRule>
    <cfRule type="containsText" dxfId="3" priority="93" operator="between" text="库存">
      <formula>NOT(ISERROR(SEARCH("库存",AS65)))</formula>
    </cfRule>
  </conditionalFormatting>
  <conditionalFormatting sqref="AS66">
    <cfRule type="cellIs" dxfId="0" priority="396" operator="lessThan">
      <formula>20</formula>
    </cfRule>
    <cfRule type="cellIs" dxfId="1" priority="244" operator="greaterThan">
      <formula>120</formula>
    </cfRule>
    <cfRule type="containsText" dxfId="3" priority="92" operator="between" text="库存">
      <formula>NOT(ISERROR(SEARCH("库存",AS66)))</formula>
    </cfRule>
  </conditionalFormatting>
  <conditionalFormatting sqref="AS67">
    <cfRule type="cellIs" dxfId="0" priority="395" operator="lessThan">
      <formula>20</formula>
    </cfRule>
    <cfRule type="cellIs" dxfId="1" priority="243" operator="greaterThan">
      <formula>120</formula>
    </cfRule>
    <cfRule type="containsText" dxfId="3" priority="91" operator="between" text="库存">
      <formula>NOT(ISERROR(SEARCH("库存",AS67)))</formula>
    </cfRule>
  </conditionalFormatting>
  <conditionalFormatting sqref="AS68">
    <cfRule type="cellIs" dxfId="0" priority="394" operator="lessThan">
      <formula>20</formula>
    </cfRule>
    <cfRule type="cellIs" dxfId="1" priority="242" operator="greaterThan">
      <formula>120</formula>
    </cfRule>
    <cfRule type="containsText" dxfId="3" priority="90" operator="between" text="库存">
      <formula>NOT(ISERROR(SEARCH("库存",AS68)))</formula>
    </cfRule>
  </conditionalFormatting>
  <conditionalFormatting sqref="AS69">
    <cfRule type="cellIs" dxfId="0" priority="393" operator="lessThan">
      <formula>20</formula>
    </cfRule>
    <cfRule type="cellIs" dxfId="1" priority="241" operator="greaterThan">
      <formula>120</formula>
    </cfRule>
    <cfRule type="containsText" dxfId="3" priority="89" operator="between" text="库存">
      <formula>NOT(ISERROR(SEARCH("库存",AS69)))</formula>
    </cfRule>
  </conditionalFormatting>
  <conditionalFormatting sqref="AS70">
    <cfRule type="cellIs" dxfId="0" priority="392" operator="lessThan">
      <formula>20</formula>
    </cfRule>
    <cfRule type="cellIs" dxfId="1" priority="240" operator="greaterThan">
      <formula>120</formula>
    </cfRule>
    <cfRule type="containsText" dxfId="3" priority="88" operator="between" text="库存">
      <formula>NOT(ISERROR(SEARCH("库存",AS70)))</formula>
    </cfRule>
  </conditionalFormatting>
  <conditionalFormatting sqref="AS71">
    <cfRule type="cellIs" dxfId="0" priority="391" operator="lessThan">
      <formula>20</formula>
    </cfRule>
    <cfRule type="cellIs" dxfId="1" priority="239" operator="greaterThan">
      <formula>120</formula>
    </cfRule>
    <cfRule type="containsText" dxfId="3" priority="87" operator="between" text="库存">
      <formula>NOT(ISERROR(SEARCH("库存",AS71)))</formula>
    </cfRule>
  </conditionalFormatting>
  <conditionalFormatting sqref="AS72">
    <cfRule type="cellIs" dxfId="0" priority="390" operator="lessThan">
      <formula>20</formula>
    </cfRule>
    <cfRule type="cellIs" dxfId="1" priority="238" operator="greaterThan">
      <formula>120</formula>
    </cfRule>
    <cfRule type="containsText" dxfId="3" priority="86" operator="between" text="库存">
      <formula>NOT(ISERROR(SEARCH("库存",AS72)))</formula>
    </cfRule>
  </conditionalFormatting>
  <conditionalFormatting sqref="AS73">
    <cfRule type="cellIs" dxfId="0" priority="389" operator="lessThan">
      <formula>20</formula>
    </cfRule>
    <cfRule type="cellIs" dxfId="1" priority="237" operator="greaterThan">
      <formula>120</formula>
    </cfRule>
    <cfRule type="containsText" dxfId="3" priority="85" operator="between" text="库存">
      <formula>NOT(ISERROR(SEARCH("库存",AS73)))</formula>
    </cfRule>
  </conditionalFormatting>
  <conditionalFormatting sqref="AS74">
    <cfRule type="cellIs" dxfId="0" priority="388" operator="lessThan">
      <formula>20</formula>
    </cfRule>
    <cfRule type="cellIs" dxfId="1" priority="236" operator="greaterThan">
      <formula>120</formula>
    </cfRule>
    <cfRule type="containsText" dxfId="3" priority="84" operator="between" text="库存">
      <formula>NOT(ISERROR(SEARCH("库存",AS74)))</formula>
    </cfRule>
  </conditionalFormatting>
  <conditionalFormatting sqref="AS75">
    <cfRule type="cellIs" dxfId="0" priority="387" operator="lessThan">
      <formula>20</formula>
    </cfRule>
    <cfRule type="cellIs" dxfId="1" priority="235" operator="greaterThan">
      <formula>120</formula>
    </cfRule>
    <cfRule type="containsText" dxfId="3" priority="83" operator="between" text="库存">
      <formula>NOT(ISERROR(SEARCH("库存",AS75)))</formula>
    </cfRule>
  </conditionalFormatting>
  <conditionalFormatting sqref="AS76">
    <cfRule type="cellIs" dxfId="0" priority="386" operator="lessThan">
      <formula>20</formula>
    </cfRule>
    <cfRule type="cellIs" dxfId="1" priority="234" operator="greaterThan">
      <formula>120</formula>
    </cfRule>
    <cfRule type="containsText" dxfId="3" priority="82" operator="between" text="库存">
      <formula>NOT(ISERROR(SEARCH("库存",AS76)))</formula>
    </cfRule>
  </conditionalFormatting>
  <conditionalFormatting sqref="AS77">
    <cfRule type="cellIs" dxfId="0" priority="385" operator="lessThan">
      <formula>20</formula>
    </cfRule>
    <cfRule type="cellIs" dxfId="1" priority="233" operator="greaterThan">
      <formula>120</formula>
    </cfRule>
    <cfRule type="containsText" dxfId="3" priority="81" operator="between" text="库存">
      <formula>NOT(ISERROR(SEARCH("库存",AS77)))</formula>
    </cfRule>
  </conditionalFormatting>
  <conditionalFormatting sqref="AS78">
    <cfRule type="cellIs" dxfId="0" priority="384" operator="lessThan">
      <formula>20</formula>
    </cfRule>
    <cfRule type="cellIs" dxfId="1" priority="232" operator="greaterThan">
      <formula>120</formula>
    </cfRule>
    <cfRule type="containsText" dxfId="3" priority="80" operator="between" text="库存">
      <formula>NOT(ISERROR(SEARCH("库存",AS78)))</formula>
    </cfRule>
  </conditionalFormatting>
  <conditionalFormatting sqref="AS79">
    <cfRule type="cellIs" dxfId="0" priority="383" operator="lessThan">
      <formula>20</formula>
    </cfRule>
    <cfRule type="cellIs" dxfId="1" priority="231" operator="greaterThan">
      <formula>120</formula>
    </cfRule>
    <cfRule type="containsText" dxfId="3" priority="79" operator="between" text="库存">
      <formula>NOT(ISERROR(SEARCH("库存",AS79)))</formula>
    </cfRule>
  </conditionalFormatting>
  <conditionalFormatting sqref="AS80">
    <cfRule type="cellIs" dxfId="0" priority="382" operator="lessThan">
      <formula>20</formula>
    </cfRule>
    <cfRule type="cellIs" dxfId="1" priority="230" operator="greaterThan">
      <formula>120</formula>
    </cfRule>
    <cfRule type="containsText" dxfId="3" priority="78" operator="between" text="库存">
      <formula>NOT(ISERROR(SEARCH("库存",AS80)))</formula>
    </cfRule>
  </conditionalFormatting>
  <conditionalFormatting sqref="AS81">
    <cfRule type="cellIs" dxfId="0" priority="381" operator="lessThan">
      <formula>20</formula>
    </cfRule>
    <cfRule type="cellIs" dxfId="1" priority="229" operator="greaterThan">
      <formula>120</formula>
    </cfRule>
    <cfRule type="containsText" dxfId="3" priority="77" operator="between" text="库存">
      <formula>NOT(ISERROR(SEARCH("库存",AS81)))</formula>
    </cfRule>
  </conditionalFormatting>
  <conditionalFormatting sqref="AS82">
    <cfRule type="cellIs" dxfId="0" priority="380" operator="lessThan">
      <formula>20</formula>
    </cfRule>
    <cfRule type="cellIs" dxfId="1" priority="228" operator="greaterThan">
      <formula>120</formula>
    </cfRule>
    <cfRule type="containsText" dxfId="3" priority="76" operator="between" text="库存">
      <formula>NOT(ISERROR(SEARCH("库存",AS82)))</formula>
    </cfRule>
  </conditionalFormatting>
  <conditionalFormatting sqref="AS83">
    <cfRule type="cellIs" dxfId="0" priority="379" operator="lessThan">
      <formula>20</formula>
    </cfRule>
    <cfRule type="cellIs" dxfId="1" priority="227" operator="greaterThan">
      <formula>120</formula>
    </cfRule>
    <cfRule type="containsText" dxfId="3" priority="75" operator="between" text="库存">
      <formula>NOT(ISERROR(SEARCH("库存",AS83)))</formula>
    </cfRule>
  </conditionalFormatting>
  <conditionalFormatting sqref="AS84">
    <cfRule type="cellIs" dxfId="0" priority="378" operator="lessThan">
      <formula>20</formula>
    </cfRule>
    <cfRule type="cellIs" dxfId="1" priority="226" operator="greaterThan">
      <formula>120</formula>
    </cfRule>
    <cfRule type="containsText" dxfId="3" priority="74" operator="between" text="库存">
      <formula>NOT(ISERROR(SEARCH("库存",AS84)))</formula>
    </cfRule>
  </conditionalFormatting>
  <conditionalFormatting sqref="AS85">
    <cfRule type="cellIs" dxfId="0" priority="377" operator="lessThan">
      <formula>20</formula>
    </cfRule>
    <cfRule type="cellIs" dxfId="1" priority="225" operator="greaterThan">
      <formula>120</formula>
    </cfRule>
    <cfRule type="containsText" dxfId="3" priority="73" operator="between" text="库存">
      <formula>NOT(ISERROR(SEARCH("库存",AS85)))</formula>
    </cfRule>
  </conditionalFormatting>
  <conditionalFormatting sqref="AS86">
    <cfRule type="cellIs" dxfId="0" priority="376" operator="lessThan">
      <formula>20</formula>
    </cfRule>
    <cfRule type="cellIs" dxfId="1" priority="224" operator="greaterThan">
      <formula>120</formula>
    </cfRule>
    <cfRule type="containsText" dxfId="3" priority="72" operator="between" text="库存">
      <formula>NOT(ISERROR(SEARCH("库存",AS86)))</formula>
    </cfRule>
  </conditionalFormatting>
  <conditionalFormatting sqref="AS87">
    <cfRule type="cellIs" dxfId="0" priority="375" operator="lessThan">
      <formula>20</formula>
    </cfRule>
    <cfRule type="cellIs" dxfId="1" priority="223" operator="greaterThan">
      <formula>120</formula>
    </cfRule>
    <cfRule type="containsText" dxfId="3" priority="71" operator="between" text="库存">
      <formula>NOT(ISERROR(SEARCH("库存",AS87)))</formula>
    </cfRule>
  </conditionalFormatting>
  <conditionalFormatting sqref="AS88">
    <cfRule type="cellIs" dxfId="0" priority="374" operator="lessThan">
      <formula>20</formula>
    </cfRule>
    <cfRule type="cellIs" dxfId="1" priority="222" operator="greaterThan">
      <formula>120</formula>
    </cfRule>
    <cfRule type="containsText" dxfId="3" priority="70" operator="between" text="库存">
      <formula>NOT(ISERROR(SEARCH("库存",AS88)))</formula>
    </cfRule>
  </conditionalFormatting>
  <conditionalFormatting sqref="AS89">
    <cfRule type="cellIs" dxfId="0" priority="373" operator="lessThan">
      <formula>20</formula>
    </cfRule>
    <cfRule type="cellIs" dxfId="1" priority="221" operator="greaterThan">
      <formula>120</formula>
    </cfRule>
    <cfRule type="containsText" dxfId="3" priority="69" operator="between" text="库存">
      <formula>NOT(ISERROR(SEARCH("库存",AS89)))</formula>
    </cfRule>
  </conditionalFormatting>
  <conditionalFormatting sqref="AS90">
    <cfRule type="cellIs" dxfId="0" priority="372" operator="lessThan">
      <formula>20</formula>
    </cfRule>
    <cfRule type="cellIs" dxfId="1" priority="220" operator="greaterThan">
      <formula>120</formula>
    </cfRule>
    <cfRule type="containsText" dxfId="3" priority="68" operator="between" text="库存">
      <formula>NOT(ISERROR(SEARCH("库存",AS90)))</formula>
    </cfRule>
  </conditionalFormatting>
  <conditionalFormatting sqref="AS91">
    <cfRule type="cellIs" dxfId="0" priority="371" operator="lessThan">
      <formula>20</formula>
    </cfRule>
    <cfRule type="cellIs" dxfId="1" priority="219" operator="greaterThan">
      <formula>120</formula>
    </cfRule>
    <cfRule type="containsText" dxfId="3" priority="67" operator="between" text="库存">
      <formula>NOT(ISERROR(SEARCH("库存",AS91)))</formula>
    </cfRule>
  </conditionalFormatting>
  <conditionalFormatting sqref="AS92">
    <cfRule type="cellIs" dxfId="0" priority="370" operator="lessThan">
      <formula>20</formula>
    </cfRule>
    <cfRule type="cellIs" dxfId="1" priority="218" operator="greaterThan">
      <formula>120</formula>
    </cfRule>
    <cfRule type="containsText" dxfId="3" priority="66" operator="between" text="库存">
      <formula>NOT(ISERROR(SEARCH("库存",AS92)))</formula>
    </cfRule>
  </conditionalFormatting>
  <conditionalFormatting sqref="AS93">
    <cfRule type="cellIs" dxfId="0" priority="369" operator="lessThan">
      <formula>20</formula>
    </cfRule>
    <cfRule type="cellIs" dxfId="1" priority="217" operator="greaterThan">
      <formula>120</formula>
    </cfRule>
    <cfRule type="containsText" dxfId="3" priority="65" operator="between" text="库存">
      <formula>NOT(ISERROR(SEARCH("库存",AS93)))</formula>
    </cfRule>
  </conditionalFormatting>
  <conditionalFormatting sqref="AS94">
    <cfRule type="cellIs" dxfId="0" priority="368" operator="lessThan">
      <formula>20</formula>
    </cfRule>
    <cfRule type="cellIs" dxfId="1" priority="216" operator="greaterThan">
      <formula>120</formula>
    </cfRule>
    <cfRule type="containsText" dxfId="3" priority="64" operator="between" text="库存">
      <formula>NOT(ISERROR(SEARCH("库存",AS94)))</formula>
    </cfRule>
  </conditionalFormatting>
  <conditionalFormatting sqref="AS95">
    <cfRule type="cellIs" dxfId="0" priority="367" operator="lessThan">
      <formula>20</formula>
    </cfRule>
    <cfRule type="cellIs" dxfId="1" priority="215" operator="greaterThan">
      <formula>120</formula>
    </cfRule>
    <cfRule type="containsText" dxfId="3" priority="63" operator="between" text="库存">
      <formula>NOT(ISERROR(SEARCH("库存",AS95)))</formula>
    </cfRule>
  </conditionalFormatting>
  <conditionalFormatting sqref="AS96">
    <cfRule type="cellIs" dxfId="0" priority="366" operator="lessThan">
      <formula>20</formula>
    </cfRule>
    <cfRule type="cellIs" dxfId="1" priority="214" operator="greaterThan">
      <formula>120</formula>
    </cfRule>
    <cfRule type="containsText" dxfId="3" priority="62" operator="between" text="库存">
      <formula>NOT(ISERROR(SEARCH("库存",AS96)))</formula>
    </cfRule>
  </conditionalFormatting>
  <conditionalFormatting sqref="AS97">
    <cfRule type="cellIs" dxfId="0" priority="365" operator="lessThan">
      <formula>20</formula>
    </cfRule>
    <cfRule type="cellIs" dxfId="1" priority="213" operator="greaterThan">
      <formula>120</formula>
    </cfRule>
    <cfRule type="containsText" dxfId="3" priority="61" operator="between" text="库存">
      <formula>NOT(ISERROR(SEARCH("库存",AS97)))</formula>
    </cfRule>
  </conditionalFormatting>
  <conditionalFormatting sqref="AS98">
    <cfRule type="cellIs" dxfId="0" priority="364" operator="lessThan">
      <formula>20</formula>
    </cfRule>
    <cfRule type="cellIs" dxfId="1" priority="212" operator="greaterThan">
      <formula>120</formula>
    </cfRule>
    <cfRule type="containsText" dxfId="3" priority="60" operator="between" text="库存">
      <formula>NOT(ISERROR(SEARCH("库存",AS98)))</formula>
    </cfRule>
  </conditionalFormatting>
  <conditionalFormatting sqref="AS99">
    <cfRule type="cellIs" dxfId="0" priority="363" operator="lessThan">
      <formula>20</formula>
    </cfRule>
    <cfRule type="cellIs" dxfId="1" priority="211" operator="greaterThan">
      <formula>120</formula>
    </cfRule>
    <cfRule type="containsText" dxfId="3" priority="59" operator="between" text="库存">
      <formula>NOT(ISERROR(SEARCH("库存",AS99)))</formula>
    </cfRule>
  </conditionalFormatting>
  <conditionalFormatting sqref="AS100">
    <cfRule type="cellIs" dxfId="0" priority="362" operator="lessThan">
      <formula>20</formula>
    </cfRule>
    <cfRule type="cellIs" dxfId="1" priority="210" operator="greaterThan">
      <formula>120</formula>
    </cfRule>
    <cfRule type="containsText" dxfId="3" priority="58" operator="between" text="库存">
      <formula>NOT(ISERROR(SEARCH("库存",AS100)))</formula>
    </cfRule>
  </conditionalFormatting>
  <conditionalFormatting sqref="AS101">
    <cfRule type="cellIs" dxfId="0" priority="361" operator="lessThan">
      <formula>20</formula>
    </cfRule>
    <cfRule type="cellIs" dxfId="1" priority="209" operator="greaterThan">
      <formula>120</formula>
    </cfRule>
    <cfRule type="containsText" dxfId="3" priority="57" operator="between" text="库存">
      <formula>NOT(ISERROR(SEARCH("库存",AS101)))</formula>
    </cfRule>
  </conditionalFormatting>
  <conditionalFormatting sqref="AS102">
    <cfRule type="cellIs" dxfId="0" priority="360" operator="lessThan">
      <formula>20</formula>
    </cfRule>
    <cfRule type="cellIs" dxfId="1" priority="208" operator="greaterThan">
      <formula>120</formula>
    </cfRule>
    <cfRule type="containsText" dxfId="3" priority="56" operator="between" text="库存">
      <formula>NOT(ISERROR(SEARCH("库存",AS102)))</formula>
    </cfRule>
  </conditionalFormatting>
  <conditionalFormatting sqref="AS103">
    <cfRule type="cellIs" dxfId="0" priority="359" operator="lessThan">
      <formula>20</formula>
    </cfRule>
    <cfRule type="cellIs" dxfId="1" priority="207" operator="greaterThan">
      <formula>120</formula>
    </cfRule>
    <cfRule type="containsText" dxfId="3" priority="55" operator="between" text="库存">
      <formula>NOT(ISERROR(SEARCH("库存",AS103)))</formula>
    </cfRule>
  </conditionalFormatting>
  <conditionalFormatting sqref="AS104">
    <cfRule type="cellIs" dxfId="0" priority="358" operator="lessThan">
      <formula>20</formula>
    </cfRule>
    <cfRule type="cellIs" dxfId="1" priority="206" operator="greaterThan">
      <formula>120</formula>
    </cfRule>
    <cfRule type="containsText" dxfId="3" priority="54" operator="between" text="库存">
      <formula>NOT(ISERROR(SEARCH("库存",AS104)))</formula>
    </cfRule>
  </conditionalFormatting>
  <conditionalFormatting sqref="AS105">
    <cfRule type="cellIs" dxfId="0" priority="357" operator="lessThan">
      <formula>20</formula>
    </cfRule>
    <cfRule type="cellIs" dxfId="1" priority="205" operator="greaterThan">
      <formula>120</formula>
    </cfRule>
    <cfRule type="containsText" dxfId="3" priority="53" operator="between" text="库存">
      <formula>NOT(ISERROR(SEARCH("库存",AS105)))</formula>
    </cfRule>
  </conditionalFormatting>
  <conditionalFormatting sqref="AS106">
    <cfRule type="cellIs" dxfId="0" priority="356" operator="lessThan">
      <formula>20</formula>
    </cfRule>
    <cfRule type="cellIs" dxfId="1" priority="204" operator="greaterThan">
      <formula>120</formula>
    </cfRule>
    <cfRule type="containsText" dxfId="3" priority="52" operator="between" text="库存">
      <formula>NOT(ISERROR(SEARCH("库存",AS106)))</formula>
    </cfRule>
  </conditionalFormatting>
  <conditionalFormatting sqref="AS107">
    <cfRule type="cellIs" dxfId="0" priority="355" operator="lessThan">
      <formula>20</formula>
    </cfRule>
    <cfRule type="cellIs" dxfId="1" priority="203" operator="greaterThan">
      <formula>120</formula>
    </cfRule>
    <cfRule type="containsText" dxfId="3" priority="51" operator="between" text="库存">
      <formula>NOT(ISERROR(SEARCH("库存",AS107)))</formula>
    </cfRule>
  </conditionalFormatting>
  <conditionalFormatting sqref="AS108">
    <cfRule type="cellIs" dxfId="0" priority="354" operator="lessThan">
      <formula>20</formula>
    </cfRule>
    <cfRule type="cellIs" dxfId="1" priority="202" operator="greaterThan">
      <formula>120</formula>
    </cfRule>
    <cfRule type="containsText" dxfId="3" priority="50" operator="between" text="库存">
      <formula>NOT(ISERROR(SEARCH("库存",AS108)))</formula>
    </cfRule>
  </conditionalFormatting>
  <conditionalFormatting sqref="AS109">
    <cfRule type="cellIs" dxfId="0" priority="353" operator="lessThan">
      <formula>20</formula>
    </cfRule>
    <cfRule type="cellIs" dxfId="1" priority="201" operator="greaterThan">
      <formula>120</formula>
    </cfRule>
    <cfRule type="containsText" dxfId="3" priority="49" operator="between" text="库存">
      <formula>NOT(ISERROR(SEARCH("库存",AS109)))</formula>
    </cfRule>
  </conditionalFormatting>
  <conditionalFormatting sqref="AS110">
    <cfRule type="cellIs" dxfId="0" priority="352" operator="lessThan">
      <formula>20</formula>
    </cfRule>
    <cfRule type="cellIs" dxfId="1" priority="200" operator="greaterThan">
      <formula>120</formula>
    </cfRule>
    <cfRule type="containsText" dxfId="3" priority="48" operator="between" text="库存">
      <formula>NOT(ISERROR(SEARCH("库存",AS110)))</formula>
    </cfRule>
  </conditionalFormatting>
  <conditionalFormatting sqref="AS111">
    <cfRule type="cellIs" dxfId="0" priority="351" operator="lessThan">
      <formula>20</formula>
    </cfRule>
    <cfRule type="cellIs" dxfId="1" priority="199" operator="greaterThan">
      <formula>120</formula>
    </cfRule>
    <cfRule type="containsText" dxfId="3" priority="47" operator="between" text="库存">
      <formula>NOT(ISERROR(SEARCH("库存",AS111)))</formula>
    </cfRule>
  </conditionalFormatting>
  <conditionalFormatting sqref="AS112">
    <cfRule type="cellIs" dxfId="0" priority="350" operator="lessThan">
      <formula>20</formula>
    </cfRule>
    <cfRule type="cellIs" dxfId="1" priority="198" operator="greaterThan">
      <formula>120</formula>
    </cfRule>
    <cfRule type="containsText" dxfId="3" priority="46" operator="between" text="库存">
      <formula>NOT(ISERROR(SEARCH("库存",AS112)))</formula>
    </cfRule>
  </conditionalFormatting>
  <conditionalFormatting sqref="AS113">
    <cfRule type="cellIs" dxfId="0" priority="349" operator="lessThan">
      <formula>20</formula>
    </cfRule>
    <cfRule type="cellIs" dxfId="1" priority="197" operator="greaterThan">
      <formula>120</formula>
    </cfRule>
    <cfRule type="containsText" dxfId="3" priority="45" operator="between" text="库存">
      <formula>NOT(ISERROR(SEARCH("库存",AS113)))</formula>
    </cfRule>
  </conditionalFormatting>
  <conditionalFormatting sqref="AS114">
    <cfRule type="cellIs" dxfId="0" priority="348" operator="lessThan">
      <formula>20</formula>
    </cfRule>
    <cfRule type="cellIs" dxfId="1" priority="196" operator="greaterThan">
      <formula>120</formula>
    </cfRule>
    <cfRule type="containsText" dxfId="3" priority="44" operator="between" text="库存">
      <formula>NOT(ISERROR(SEARCH("库存",AS114)))</formula>
    </cfRule>
  </conditionalFormatting>
  <conditionalFormatting sqref="AS115">
    <cfRule type="cellIs" dxfId="0" priority="347" operator="lessThan">
      <formula>20</formula>
    </cfRule>
    <cfRule type="cellIs" dxfId="1" priority="195" operator="greaterThan">
      <formula>120</formula>
    </cfRule>
    <cfRule type="containsText" dxfId="3" priority="43" operator="between" text="库存">
      <formula>NOT(ISERROR(SEARCH("库存",AS115)))</formula>
    </cfRule>
  </conditionalFormatting>
  <conditionalFormatting sqref="AS116">
    <cfRule type="cellIs" dxfId="0" priority="346" operator="lessThan">
      <formula>20</formula>
    </cfRule>
    <cfRule type="cellIs" dxfId="1" priority="194" operator="greaterThan">
      <formula>120</formula>
    </cfRule>
    <cfRule type="containsText" dxfId="3" priority="42" operator="between" text="库存">
      <formula>NOT(ISERROR(SEARCH("库存",AS116)))</formula>
    </cfRule>
  </conditionalFormatting>
  <conditionalFormatting sqref="AS117">
    <cfRule type="cellIs" dxfId="0" priority="345" operator="lessThan">
      <formula>20</formula>
    </cfRule>
    <cfRule type="cellIs" dxfId="1" priority="193" operator="greaterThan">
      <formula>120</formula>
    </cfRule>
    <cfRule type="containsText" dxfId="3" priority="41" operator="between" text="库存">
      <formula>NOT(ISERROR(SEARCH("库存",AS117)))</formula>
    </cfRule>
  </conditionalFormatting>
  <conditionalFormatting sqref="AS118">
    <cfRule type="cellIs" dxfId="0" priority="344" operator="lessThan">
      <formula>20</formula>
    </cfRule>
    <cfRule type="cellIs" dxfId="1" priority="192" operator="greaterThan">
      <formula>120</formula>
    </cfRule>
    <cfRule type="containsText" dxfId="3" priority="40" operator="between" text="库存">
      <formula>NOT(ISERROR(SEARCH("库存",AS118)))</formula>
    </cfRule>
  </conditionalFormatting>
  <conditionalFormatting sqref="AS119">
    <cfRule type="cellIs" dxfId="0" priority="343" operator="lessThan">
      <formula>20</formula>
    </cfRule>
    <cfRule type="cellIs" dxfId="1" priority="191" operator="greaterThan">
      <formula>120</formula>
    </cfRule>
    <cfRule type="containsText" dxfId="3" priority="39" operator="between" text="库存">
      <formula>NOT(ISERROR(SEARCH("库存",AS119)))</formula>
    </cfRule>
  </conditionalFormatting>
  <conditionalFormatting sqref="AS120">
    <cfRule type="cellIs" dxfId="0" priority="342" operator="lessThan">
      <formula>20</formula>
    </cfRule>
    <cfRule type="cellIs" dxfId="1" priority="190" operator="greaterThan">
      <formula>120</formula>
    </cfRule>
    <cfRule type="containsText" dxfId="3" priority="38" operator="between" text="库存">
      <formula>NOT(ISERROR(SEARCH("库存",AS120)))</formula>
    </cfRule>
  </conditionalFormatting>
  <conditionalFormatting sqref="AS121">
    <cfRule type="cellIs" dxfId="0" priority="341" operator="lessThan">
      <formula>20</formula>
    </cfRule>
    <cfRule type="cellIs" dxfId="1" priority="189" operator="greaterThan">
      <formula>120</formula>
    </cfRule>
    <cfRule type="containsText" dxfId="3" priority="37" operator="between" text="库存">
      <formula>NOT(ISERROR(SEARCH("库存",AS121)))</formula>
    </cfRule>
  </conditionalFormatting>
  <conditionalFormatting sqref="AS122">
    <cfRule type="cellIs" dxfId="0" priority="340" operator="lessThan">
      <formula>20</formula>
    </cfRule>
    <cfRule type="cellIs" dxfId="1" priority="188" operator="greaterThan">
      <formula>120</formula>
    </cfRule>
    <cfRule type="containsText" dxfId="3" priority="36" operator="between" text="库存">
      <formula>NOT(ISERROR(SEARCH("库存",AS122)))</formula>
    </cfRule>
  </conditionalFormatting>
  <conditionalFormatting sqref="AS123">
    <cfRule type="cellIs" dxfId="0" priority="339" operator="lessThan">
      <formula>20</formula>
    </cfRule>
    <cfRule type="cellIs" dxfId="1" priority="187" operator="greaterThan">
      <formula>120</formula>
    </cfRule>
    <cfRule type="containsText" dxfId="3" priority="35" operator="between" text="库存">
      <formula>NOT(ISERROR(SEARCH("库存",AS123)))</formula>
    </cfRule>
  </conditionalFormatting>
  <conditionalFormatting sqref="AS124">
    <cfRule type="cellIs" dxfId="0" priority="338" operator="lessThan">
      <formula>20</formula>
    </cfRule>
    <cfRule type="cellIs" dxfId="1" priority="186" operator="greaterThan">
      <formula>120</formula>
    </cfRule>
    <cfRule type="containsText" dxfId="3" priority="34" operator="between" text="库存">
      <formula>NOT(ISERROR(SEARCH("库存",AS124)))</formula>
    </cfRule>
  </conditionalFormatting>
  <conditionalFormatting sqref="AS125">
    <cfRule type="cellIs" dxfId="0" priority="337" operator="lessThan">
      <formula>20</formula>
    </cfRule>
    <cfRule type="cellIs" dxfId="1" priority="185" operator="greaterThan">
      <formula>120</formula>
    </cfRule>
    <cfRule type="containsText" dxfId="3" priority="33" operator="between" text="库存">
      <formula>NOT(ISERROR(SEARCH("库存",AS125)))</formula>
    </cfRule>
  </conditionalFormatting>
  <conditionalFormatting sqref="AS126">
    <cfRule type="cellIs" dxfId="0" priority="336" operator="lessThan">
      <formula>20</formula>
    </cfRule>
    <cfRule type="cellIs" dxfId="1" priority="184" operator="greaterThan">
      <formula>120</formula>
    </cfRule>
    <cfRule type="containsText" dxfId="3" priority="32" operator="between" text="库存">
      <formula>NOT(ISERROR(SEARCH("库存",AS126)))</formula>
    </cfRule>
  </conditionalFormatting>
  <conditionalFormatting sqref="AS127">
    <cfRule type="cellIs" dxfId="0" priority="335" operator="lessThan">
      <formula>20</formula>
    </cfRule>
    <cfRule type="cellIs" dxfId="1" priority="183" operator="greaterThan">
      <formula>120</formula>
    </cfRule>
    <cfRule type="containsText" dxfId="3" priority="31" operator="between" text="库存">
      <formula>NOT(ISERROR(SEARCH("库存",AS127)))</formula>
    </cfRule>
  </conditionalFormatting>
  <conditionalFormatting sqref="AS128">
    <cfRule type="cellIs" dxfId="0" priority="334" operator="lessThan">
      <formula>20</formula>
    </cfRule>
    <cfRule type="cellIs" dxfId="1" priority="182" operator="greaterThan">
      <formula>120</formula>
    </cfRule>
    <cfRule type="containsText" dxfId="3" priority="30" operator="between" text="库存">
      <formula>NOT(ISERROR(SEARCH("库存",AS128)))</formula>
    </cfRule>
  </conditionalFormatting>
  <conditionalFormatting sqref="AS129">
    <cfRule type="cellIs" dxfId="0" priority="333" operator="lessThan">
      <formula>20</formula>
    </cfRule>
    <cfRule type="cellIs" dxfId="1" priority="181" operator="greaterThan">
      <formula>120</formula>
    </cfRule>
    <cfRule type="containsText" dxfId="3" priority="29" operator="between" text="库存">
      <formula>NOT(ISERROR(SEARCH("库存",AS129)))</formula>
    </cfRule>
  </conditionalFormatting>
  <conditionalFormatting sqref="AS130">
    <cfRule type="cellIs" dxfId="0" priority="332" operator="lessThan">
      <formula>20</formula>
    </cfRule>
    <cfRule type="cellIs" dxfId="1" priority="180" operator="greaterThan">
      <formula>120</formula>
    </cfRule>
    <cfRule type="containsText" dxfId="3" priority="28" operator="between" text="库存">
      <formula>NOT(ISERROR(SEARCH("库存",AS130)))</formula>
    </cfRule>
  </conditionalFormatting>
  <conditionalFormatting sqref="AS131">
    <cfRule type="cellIs" dxfId="0" priority="331" operator="lessThan">
      <formula>20</formula>
    </cfRule>
    <cfRule type="cellIs" dxfId="1" priority="179" operator="greaterThan">
      <formula>120</formula>
    </cfRule>
    <cfRule type="containsText" dxfId="3" priority="27" operator="between" text="库存">
      <formula>NOT(ISERROR(SEARCH("库存",AS131)))</formula>
    </cfRule>
  </conditionalFormatting>
  <conditionalFormatting sqref="AS132">
    <cfRule type="cellIs" dxfId="0" priority="330" operator="lessThan">
      <formula>20</formula>
    </cfRule>
    <cfRule type="cellIs" dxfId="1" priority="178" operator="greaterThan">
      <formula>120</formula>
    </cfRule>
    <cfRule type="containsText" dxfId="3" priority="26" operator="between" text="库存">
      <formula>NOT(ISERROR(SEARCH("库存",AS132)))</formula>
    </cfRule>
  </conditionalFormatting>
  <conditionalFormatting sqref="AS133">
    <cfRule type="cellIs" dxfId="0" priority="329" operator="lessThan">
      <formula>20</formula>
    </cfRule>
    <cfRule type="cellIs" dxfId="1" priority="177" operator="greaterThan">
      <formula>120</formula>
    </cfRule>
    <cfRule type="containsText" dxfId="3" priority="25" operator="between" text="库存">
      <formula>NOT(ISERROR(SEARCH("库存",AS133)))</formula>
    </cfRule>
  </conditionalFormatting>
  <conditionalFormatting sqref="AS134">
    <cfRule type="cellIs" dxfId="0" priority="328" operator="lessThan">
      <formula>20</formula>
    </cfRule>
    <cfRule type="cellIs" dxfId="1" priority="176" operator="greaterThan">
      <formula>120</formula>
    </cfRule>
    <cfRule type="containsText" dxfId="3" priority="24" operator="between" text="库存">
      <formula>NOT(ISERROR(SEARCH("库存",AS134)))</formula>
    </cfRule>
  </conditionalFormatting>
  <conditionalFormatting sqref="AS135">
    <cfRule type="cellIs" dxfId="0" priority="327" operator="lessThan">
      <formula>20</formula>
    </cfRule>
    <cfRule type="cellIs" dxfId="1" priority="175" operator="greaterThan">
      <formula>120</formula>
    </cfRule>
    <cfRule type="containsText" dxfId="3" priority="23" operator="between" text="库存">
      <formula>NOT(ISERROR(SEARCH("库存",AS135)))</formula>
    </cfRule>
  </conditionalFormatting>
  <conditionalFormatting sqref="AS136">
    <cfRule type="cellIs" dxfId="0" priority="326" operator="lessThan">
      <formula>20</formula>
    </cfRule>
    <cfRule type="cellIs" dxfId="1" priority="174" operator="greaterThan">
      <formula>120</formula>
    </cfRule>
    <cfRule type="containsText" dxfId="3" priority="22" operator="between" text="库存">
      <formula>NOT(ISERROR(SEARCH("库存",AS136)))</formula>
    </cfRule>
  </conditionalFormatting>
  <conditionalFormatting sqref="AS137">
    <cfRule type="cellIs" dxfId="0" priority="325" operator="lessThan">
      <formula>20</formula>
    </cfRule>
    <cfRule type="cellIs" dxfId="1" priority="173" operator="greaterThan">
      <formula>120</formula>
    </cfRule>
    <cfRule type="containsText" dxfId="3" priority="21" operator="between" text="库存">
      <formula>NOT(ISERROR(SEARCH("库存",AS137)))</formula>
    </cfRule>
  </conditionalFormatting>
  <conditionalFormatting sqref="AS138">
    <cfRule type="cellIs" dxfId="0" priority="324" operator="lessThan">
      <formula>20</formula>
    </cfRule>
    <cfRule type="cellIs" dxfId="1" priority="172" operator="greaterThan">
      <formula>120</formula>
    </cfRule>
    <cfRule type="containsText" dxfId="3" priority="20" operator="between" text="库存">
      <formula>NOT(ISERROR(SEARCH("库存",AS138)))</formula>
    </cfRule>
  </conditionalFormatting>
  <conditionalFormatting sqref="AS139">
    <cfRule type="cellIs" dxfId="0" priority="323" operator="lessThan">
      <formula>20</formula>
    </cfRule>
    <cfRule type="cellIs" dxfId="1" priority="171" operator="greaterThan">
      <formula>120</formula>
    </cfRule>
    <cfRule type="containsText" dxfId="3" priority="19" operator="between" text="库存">
      <formula>NOT(ISERROR(SEARCH("库存",AS139)))</formula>
    </cfRule>
  </conditionalFormatting>
  <conditionalFormatting sqref="AS140">
    <cfRule type="cellIs" dxfId="0" priority="322" operator="lessThan">
      <formula>20</formula>
    </cfRule>
    <cfRule type="cellIs" dxfId="1" priority="170" operator="greaterThan">
      <formula>120</formula>
    </cfRule>
    <cfRule type="containsText" dxfId="3" priority="18" operator="between" text="库存">
      <formula>NOT(ISERROR(SEARCH("库存",AS140)))</formula>
    </cfRule>
  </conditionalFormatting>
  <conditionalFormatting sqref="AS141">
    <cfRule type="cellIs" dxfId="0" priority="321" operator="lessThan">
      <formula>20</formula>
    </cfRule>
    <cfRule type="cellIs" dxfId="1" priority="169" operator="greaterThan">
      <formula>120</formula>
    </cfRule>
    <cfRule type="containsText" dxfId="3" priority="17" operator="between" text="库存">
      <formula>NOT(ISERROR(SEARCH("库存",AS141)))</formula>
    </cfRule>
  </conditionalFormatting>
  <conditionalFormatting sqref="AS142">
    <cfRule type="cellIs" dxfId="0" priority="320" operator="lessThan">
      <formula>20</formula>
    </cfRule>
    <cfRule type="cellIs" dxfId="1" priority="168" operator="greaterThan">
      <formula>120</formula>
    </cfRule>
    <cfRule type="containsText" dxfId="3" priority="16" operator="between" text="库存">
      <formula>NOT(ISERROR(SEARCH("库存",AS142)))</formula>
    </cfRule>
  </conditionalFormatting>
  <conditionalFormatting sqref="AS143">
    <cfRule type="cellIs" dxfId="0" priority="319" operator="lessThan">
      <formula>20</formula>
    </cfRule>
    <cfRule type="cellIs" dxfId="1" priority="167" operator="greaterThan">
      <formula>120</formula>
    </cfRule>
    <cfRule type="containsText" dxfId="3" priority="15" operator="between" text="库存">
      <formula>NOT(ISERROR(SEARCH("库存",AS143)))</formula>
    </cfRule>
  </conditionalFormatting>
  <conditionalFormatting sqref="AS144">
    <cfRule type="cellIs" dxfId="0" priority="318" operator="lessThan">
      <formula>20</formula>
    </cfRule>
    <cfRule type="cellIs" dxfId="1" priority="166" operator="greaterThan">
      <formula>120</formula>
    </cfRule>
    <cfRule type="containsText" dxfId="3" priority="14" operator="between" text="库存">
      <formula>NOT(ISERROR(SEARCH("库存",AS144)))</formula>
    </cfRule>
  </conditionalFormatting>
  <conditionalFormatting sqref="AS145">
    <cfRule type="cellIs" dxfId="0" priority="317" operator="lessThan">
      <formula>20</formula>
    </cfRule>
    <cfRule type="cellIs" dxfId="1" priority="165" operator="greaterThan">
      <formula>120</formula>
    </cfRule>
    <cfRule type="containsText" dxfId="3" priority="13" operator="between" text="库存">
      <formula>NOT(ISERROR(SEARCH("库存",AS145)))</formula>
    </cfRule>
  </conditionalFormatting>
  <conditionalFormatting sqref="AS146">
    <cfRule type="cellIs" dxfId="0" priority="316" operator="lessThan">
      <formula>20</formula>
    </cfRule>
    <cfRule type="cellIs" dxfId="1" priority="164" operator="greaterThan">
      <formula>120</formula>
    </cfRule>
    <cfRule type="containsText" dxfId="3" priority="12" operator="between" text="库存">
      <formula>NOT(ISERROR(SEARCH("库存",AS146)))</formula>
    </cfRule>
  </conditionalFormatting>
  <conditionalFormatting sqref="AS147">
    <cfRule type="cellIs" dxfId="0" priority="315" operator="lessThan">
      <formula>20</formula>
    </cfRule>
    <cfRule type="cellIs" dxfId="1" priority="163" operator="greaterThan">
      <formula>120</formula>
    </cfRule>
    <cfRule type="containsText" dxfId="3" priority="11" operator="between" text="库存">
      <formula>NOT(ISERROR(SEARCH("库存",AS147)))</formula>
    </cfRule>
  </conditionalFormatting>
  <conditionalFormatting sqref="AS148">
    <cfRule type="cellIs" dxfId="0" priority="314" operator="lessThan">
      <formula>20</formula>
    </cfRule>
    <cfRule type="cellIs" dxfId="1" priority="162" operator="greaterThan">
      <formula>120</formula>
    </cfRule>
    <cfRule type="containsText" dxfId="3" priority="10" operator="between" text="库存">
      <formula>NOT(ISERROR(SEARCH("库存",AS148)))</formula>
    </cfRule>
  </conditionalFormatting>
  <conditionalFormatting sqref="AS149">
    <cfRule type="cellIs" dxfId="0" priority="313" operator="lessThan">
      <formula>20</formula>
    </cfRule>
    <cfRule type="cellIs" dxfId="1" priority="161" operator="greaterThan">
      <formula>120</formula>
    </cfRule>
    <cfRule type="containsText" dxfId="3" priority="9" operator="between" text="库存">
      <formula>NOT(ISERROR(SEARCH("库存",AS149)))</formula>
    </cfRule>
  </conditionalFormatting>
  <conditionalFormatting sqref="AS150">
    <cfRule type="cellIs" dxfId="0" priority="312" operator="lessThan">
      <formula>20</formula>
    </cfRule>
    <cfRule type="cellIs" dxfId="1" priority="160" operator="greaterThan">
      <formula>120</formula>
    </cfRule>
    <cfRule type="containsText" dxfId="3" priority="8" operator="between" text="库存">
      <formula>NOT(ISERROR(SEARCH("库存",AS150)))</formula>
    </cfRule>
  </conditionalFormatting>
  <conditionalFormatting sqref="AS151">
    <cfRule type="cellIs" dxfId="0" priority="311" operator="lessThan">
      <formula>20</formula>
    </cfRule>
    <cfRule type="cellIs" dxfId="1" priority="159" operator="greaterThan">
      <formula>120</formula>
    </cfRule>
    <cfRule type="containsText" dxfId="3" priority="7" operator="between" text="库存">
      <formula>NOT(ISERROR(SEARCH("库存",AS151)))</formula>
    </cfRule>
  </conditionalFormatting>
  <conditionalFormatting sqref="AS152">
    <cfRule type="cellIs" dxfId="0" priority="310" operator="lessThan">
      <formula>20</formula>
    </cfRule>
    <cfRule type="cellIs" dxfId="1" priority="158" operator="greaterThan">
      <formula>120</formula>
    </cfRule>
    <cfRule type="containsText" dxfId="3" priority="6" operator="between" text="库存">
      <formula>NOT(ISERROR(SEARCH("库存",AS152)))</formula>
    </cfRule>
  </conditionalFormatting>
  <conditionalFormatting sqref="AS153">
    <cfRule type="cellIs" dxfId="0" priority="309" operator="lessThan">
      <formula>20</formula>
    </cfRule>
    <cfRule type="cellIs" dxfId="1" priority="157" operator="greaterThan">
      <formula>120</formula>
    </cfRule>
    <cfRule type="containsText" dxfId="3" priority="5" operator="between" text="库存">
      <formula>NOT(ISERROR(SEARCH("库存",AS153)))</formula>
    </cfRule>
  </conditionalFormatting>
  <conditionalFormatting sqref="AS154">
    <cfRule type="cellIs" dxfId="0" priority="308" operator="lessThan">
      <formula>20</formula>
    </cfRule>
    <cfRule type="cellIs" dxfId="1" priority="156" operator="greaterThan">
      <formula>120</formula>
    </cfRule>
    <cfRule type="containsText" dxfId="3" priority="4" operator="between" text="库存">
      <formula>NOT(ISERROR(SEARCH("库存",AS154)))</formula>
    </cfRule>
  </conditionalFormatting>
  <conditionalFormatting sqref="AS155">
    <cfRule type="cellIs" dxfId="0" priority="307" operator="lessThan">
      <formula>20</formula>
    </cfRule>
    <cfRule type="cellIs" dxfId="1" priority="155" operator="greaterThan">
      <formula>120</formula>
    </cfRule>
    <cfRule type="containsText" dxfId="3" priority="3" operator="between" text="库存">
      <formula>NOT(ISERROR(SEARCH("库存",AS155)))</formula>
    </cfRule>
  </conditionalFormatting>
  <conditionalFormatting sqref="AS156">
    <cfRule type="cellIs" dxfId="0" priority="306" operator="lessThan">
      <formula>20</formula>
    </cfRule>
    <cfRule type="cellIs" dxfId="1" priority="154" operator="greaterThan">
      <formula>120</formula>
    </cfRule>
    <cfRule type="containsText" dxfId="3" priority="2" operator="between" text="库存">
      <formula>NOT(ISERROR(SEARCH("库存",AS156)))</formula>
    </cfRule>
  </conditionalFormatting>
  <conditionalFormatting sqref="AS157">
    <cfRule type="cellIs" dxfId="0" priority="305" operator="lessThan">
      <formula>20</formula>
    </cfRule>
    <cfRule type="cellIs" dxfId="1" priority="153" operator="greaterThan">
      <formula>120</formula>
    </cfRule>
    <cfRule type="containsText" dxfId="3" priority="1" operator="between" text="库存">
      <formula>NOT(ISERROR(SEARCH("库存",AS157)))</formula>
    </cfRule>
  </conditionalFormatting>
  <conditionalFormatting sqref="AS158">
    <cfRule type="cellIs" dxfId="0" priority="4012" operator="lessThan">
      <formula>20</formula>
    </cfRule>
    <cfRule type="cellIs" dxfId="1" priority="3859" operator="greaterThan">
      <formula>120</formula>
    </cfRule>
    <cfRule type="containsText" dxfId="3" priority="3706" operator="between" text="库存">
      <formula>NOT(ISERROR(SEARCH("库存",AS158)))</formula>
    </cfRule>
  </conditionalFormatting>
  <conditionalFormatting sqref="AS1 AS3:AS5 AS159:AS1048576">
    <cfRule type="containsText" dxfId="3" priority="4168" operator="between" text="库存">
      <formula>NOT(ISERROR(SEARCH("库存",AS1)))</formula>
    </cfRule>
    <cfRule type="cellIs" dxfId="1" priority="4169" operator="greaterThan">
      <formula>120</formula>
    </cfRule>
    <cfRule type="cellIs" dxfId="0" priority="4170" operator="lessThan">
      <formula>20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9525</xdr:colOff>
                <xdr:row>2</xdr:row>
                <xdr:rowOff>6350</xdr:rowOff>
              </from>
              <to>
                <xdr:col>47</xdr:col>
                <xdr:colOff>9525</xdr:colOff>
                <xdr:row>2</xdr:row>
                <xdr:rowOff>304800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3" sqref="B3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713</v>
      </c>
      <c r="B1" s="1">
        <f>B12</f>
        <v>43311</v>
      </c>
    </row>
    <row r="2" spans="1:2">
      <c r="A2" t="s">
        <v>714</v>
      </c>
      <c r="B2" s="1">
        <v>43338</v>
      </c>
    </row>
    <row r="4" spans="1:2">
      <c r="A4" t="s">
        <v>715</v>
      </c>
      <c r="B4" s="2">
        <f>B2+1</f>
        <v>43339</v>
      </c>
    </row>
    <row r="5" spans="1:2">
      <c r="A5" t="s">
        <v>716</v>
      </c>
      <c r="B5" s="3">
        <f>B2</f>
        <v>43338</v>
      </c>
    </row>
    <row r="6" spans="1:2">
      <c r="A6" t="s">
        <v>717</v>
      </c>
      <c r="B6" s="2">
        <f>B5-6</f>
        <v>43332</v>
      </c>
    </row>
    <row r="7" spans="1:2">
      <c r="A7" t="s">
        <v>718</v>
      </c>
      <c r="B7" s="2">
        <f>B5-7</f>
        <v>43331</v>
      </c>
    </row>
    <row r="8" spans="1:2">
      <c r="A8" t="s">
        <v>719</v>
      </c>
      <c r="B8" s="2">
        <f>B5-13</f>
        <v>43325</v>
      </c>
    </row>
    <row r="9" spans="1:2">
      <c r="A9" t="s">
        <v>720</v>
      </c>
      <c r="B9" s="2">
        <f>B5-14</f>
        <v>43324</v>
      </c>
    </row>
    <row r="10" spans="1:2">
      <c r="A10" t="s">
        <v>721</v>
      </c>
      <c r="B10" s="2">
        <f>B5-20</f>
        <v>43318</v>
      </c>
    </row>
    <row r="11" spans="1:2">
      <c r="A11" t="s">
        <v>722</v>
      </c>
      <c r="B11" s="2">
        <f>B5-21</f>
        <v>43317</v>
      </c>
    </row>
    <row r="12" spans="1:2">
      <c r="A12" t="s">
        <v>723</v>
      </c>
      <c r="B12" s="2">
        <f>B5-27</f>
        <v>43311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</xdr:col>
                <xdr:colOff>1085850</xdr:colOff>
                <xdr:row>2</xdr:row>
                <xdr:rowOff>19050</xdr:rowOff>
              </from>
              <to>
                <xdr:col>3</xdr:col>
                <xdr:colOff>95885</xdr:colOff>
                <xdr:row>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2018-08-28T10:29:08Z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